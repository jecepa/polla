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polla\"/>
    </mc:Choice>
  </mc:AlternateContent>
  <bookViews>
    <workbookView xWindow="0" yWindow="0" windowWidth="20490" windowHeight="8340" tabRatio="500"/>
  </bookViews>
  <sheets>
    <sheet name="Puntajes" sheetId="1" r:id="rId1"/>
    <sheet name="Puntaje Anterior" sheetId="12" r:id="rId2"/>
    <sheet name="ClaGrupo" sheetId="3" r:id="rId3"/>
    <sheet name="Clasif_Pron" sheetId="4" r:id="rId4"/>
    <sheet name="Participantes" sheetId="5" r:id="rId5"/>
    <sheet name="Partidos" sheetId="6" r:id="rId6"/>
    <sheet name="VGrupo" sheetId="7" r:id="rId7"/>
    <sheet name="Clasificacion" sheetId="8" r:id="rId8"/>
    <sheet name="Posiciones" sheetId="9" r:id="rId9"/>
    <sheet name="Grupo" sheetId="10" r:id="rId10"/>
    <sheet name="Mejores_Terceros" sheetId="11" r:id="rId11"/>
  </sheets>
  <externalReferences>
    <externalReference r:id="rId12"/>
  </externalReferences>
  <calcPr calcId="152511"/>
</workbook>
</file>

<file path=xl/calcChain.xml><?xml version="1.0" encoding="utf-8"?>
<calcChain xmlns="http://schemas.openxmlformats.org/spreadsheetml/2006/main">
  <c r="J13" i="1" l="1"/>
  <c r="J26" i="1"/>
  <c r="I26" i="1"/>
  <c r="L25" i="1"/>
  <c r="J25" i="1"/>
  <c r="I25" i="1"/>
  <c r="J22" i="1"/>
  <c r="I22" i="1"/>
  <c r="L21" i="1"/>
  <c r="J21" i="1"/>
  <c r="I21" i="1"/>
  <c r="J18" i="1"/>
  <c r="I18" i="1"/>
  <c r="L17" i="1"/>
  <c r="J17" i="1"/>
  <c r="I17" i="1"/>
  <c r="J14" i="1"/>
  <c r="I14" i="1"/>
  <c r="L13" i="1"/>
  <c r="I13" i="1"/>
  <c r="J10" i="1"/>
  <c r="I10" i="1"/>
  <c r="L9" i="1"/>
  <c r="J9" i="1"/>
  <c r="I9" i="1"/>
  <c r="J6" i="1"/>
  <c r="I6" i="1"/>
  <c r="L5" i="1"/>
  <c r="J5" i="1"/>
  <c r="I5" i="1"/>
  <c r="HI51" i="7"/>
  <c r="HH51" i="7"/>
  <c r="HG51" i="7"/>
  <c r="HF51" i="7"/>
  <c r="HE51" i="7"/>
  <c r="HD51" i="7"/>
  <c r="HI50" i="7"/>
  <c r="HH50" i="7"/>
  <c r="HG50" i="7"/>
  <c r="HF50" i="7"/>
  <c r="HE50" i="7"/>
  <c r="HD50" i="7"/>
  <c r="HI49" i="7"/>
  <c r="HH49" i="7"/>
  <c r="HG49" i="7"/>
  <c r="HF49" i="7"/>
  <c r="HE49" i="7"/>
  <c r="HD49" i="7"/>
  <c r="HI48" i="7"/>
  <c r="HH48" i="7"/>
  <c r="HG48" i="7"/>
  <c r="HF48" i="7"/>
  <c r="HE48" i="7"/>
  <c r="HD48" i="7"/>
  <c r="HI47" i="7"/>
  <c r="HH47" i="7"/>
  <c r="HG47" i="7"/>
  <c r="HF47" i="7"/>
  <c r="HE47" i="7"/>
  <c r="HD47" i="7"/>
  <c r="HI46" i="7"/>
  <c r="HH46" i="7"/>
  <c r="HG46" i="7"/>
  <c r="HF46" i="7"/>
  <c r="HE46" i="7"/>
  <c r="HD46" i="7"/>
  <c r="HI45" i="7"/>
  <c r="HH45" i="7"/>
  <c r="HG45" i="7"/>
  <c r="HF45" i="7"/>
  <c r="HE45" i="7"/>
  <c r="HD45" i="7"/>
  <c r="HI44" i="7"/>
  <c r="HH44" i="7"/>
  <c r="HG44" i="7"/>
  <c r="HF44" i="7"/>
  <c r="HE44" i="7"/>
  <c r="HD44" i="7"/>
  <c r="HI43" i="7"/>
  <c r="HH43" i="7"/>
  <c r="HG43" i="7"/>
  <c r="HF43" i="7"/>
  <c r="HE43" i="7"/>
  <c r="HD43" i="7"/>
  <c r="HI42" i="7"/>
  <c r="HH42" i="7"/>
  <c r="HG42" i="7"/>
  <c r="HF42" i="7"/>
  <c r="HE42" i="7"/>
  <c r="HD42" i="7"/>
  <c r="HI41" i="7"/>
  <c r="HH41" i="7"/>
  <c r="HG41" i="7"/>
  <c r="HF41" i="7"/>
  <c r="HE41" i="7"/>
  <c r="HD41" i="7"/>
  <c r="HI40" i="7"/>
  <c r="HH40" i="7"/>
  <c r="HG40" i="7"/>
  <c r="HF40" i="7"/>
  <c r="HE40" i="7"/>
  <c r="HD40" i="7"/>
  <c r="HI39" i="7"/>
  <c r="HH39" i="7"/>
  <c r="HG39" i="7"/>
  <c r="HF39" i="7"/>
  <c r="HE39" i="7"/>
  <c r="HD39" i="7"/>
  <c r="HI38" i="7"/>
  <c r="HH38" i="7"/>
  <c r="HG38" i="7"/>
  <c r="HF38" i="7"/>
  <c r="HE38" i="7"/>
  <c r="HD38" i="7"/>
  <c r="HI37" i="7"/>
  <c r="HH37" i="7"/>
  <c r="HG37" i="7"/>
  <c r="HF37" i="7"/>
  <c r="HE37" i="7"/>
  <c r="HD37" i="7"/>
  <c r="HI36" i="7"/>
  <c r="HH36" i="7"/>
  <c r="HG36" i="7"/>
  <c r="HF36" i="7"/>
  <c r="HE36" i="7"/>
  <c r="HD36" i="7"/>
  <c r="HI35" i="7"/>
  <c r="HH35" i="7"/>
  <c r="HG35" i="7"/>
  <c r="HF35" i="7"/>
  <c r="HE35" i="7"/>
  <c r="HD35" i="7"/>
  <c r="HI34" i="7"/>
  <c r="HH34" i="7"/>
  <c r="HG34" i="7"/>
  <c r="HF34" i="7"/>
  <c r="HE34" i="7"/>
  <c r="HD34" i="7"/>
  <c r="HI33" i="7"/>
  <c r="HH33" i="7"/>
  <c r="HG33" i="7"/>
  <c r="HF33" i="7"/>
  <c r="HE33" i="7"/>
  <c r="HD33" i="7"/>
  <c r="HI32" i="7"/>
  <c r="HH32" i="7"/>
  <c r="HG32" i="7"/>
  <c r="HF32" i="7"/>
  <c r="HE32" i="7"/>
  <c r="HD32" i="7"/>
  <c r="HI31" i="7"/>
  <c r="HH31" i="7"/>
  <c r="HG31" i="7"/>
  <c r="HF31" i="7"/>
  <c r="HE31" i="7"/>
  <c r="HD31" i="7"/>
  <c r="HI30" i="7"/>
  <c r="HH30" i="7"/>
  <c r="HG30" i="7"/>
  <c r="HF30" i="7"/>
  <c r="HE30" i="7"/>
  <c r="HD30" i="7"/>
  <c r="HI29" i="7"/>
  <c r="HH29" i="7"/>
  <c r="HG29" i="7"/>
  <c r="HF29" i="7"/>
  <c r="HE29" i="7"/>
  <c r="HD29" i="7"/>
  <c r="HI28" i="7"/>
  <c r="HH28" i="7"/>
  <c r="HG28" i="7"/>
  <c r="HF28" i="7"/>
  <c r="HE28" i="7"/>
  <c r="HD28" i="7"/>
  <c r="HI27" i="7"/>
  <c r="HH27" i="7"/>
  <c r="HG27" i="7"/>
  <c r="HF27" i="7"/>
  <c r="HE27" i="7"/>
  <c r="HD27" i="7"/>
  <c r="HI26" i="7"/>
  <c r="HH26" i="7"/>
  <c r="HG26" i="7"/>
  <c r="HF26" i="7"/>
  <c r="HE26" i="7"/>
  <c r="HD26" i="7"/>
  <c r="HI25" i="7"/>
  <c r="HH25" i="7"/>
  <c r="HG25" i="7"/>
  <c r="HF25" i="7"/>
  <c r="HE25" i="7"/>
  <c r="HD25" i="7"/>
  <c r="HI24" i="7"/>
  <c r="HH24" i="7"/>
  <c r="HG24" i="7"/>
  <c r="HF24" i="7"/>
  <c r="HE24" i="7"/>
  <c r="HD24" i="7"/>
  <c r="HI23" i="7"/>
  <c r="HH23" i="7"/>
  <c r="HG23" i="7"/>
  <c r="HF23" i="7"/>
  <c r="HE23" i="7"/>
  <c r="HD23" i="7"/>
  <c r="HI22" i="7"/>
  <c r="HH22" i="7"/>
  <c r="HG22" i="7"/>
  <c r="HF22" i="7"/>
  <c r="HE22" i="7"/>
  <c r="HD22" i="7"/>
  <c r="HI21" i="7"/>
  <c r="HH21" i="7"/>
  <c r="HG21" i="7"/>
  <c r="HF21" i="7"/>
  <c r="HE21" i="7"/>
  <c r="HD21" i="7"/>
  <c r="HI20" i="7"/>
  <c r="HH20" i="7"/>
  <c r="HG20" i="7"/>
  <c r="HF20" i="7"/>
  <c r="HE20" i="7"/>
  <c r="HD20" i="7"/>
  <c r="HI19" i="7"/>
  <c r="HH19" i="7"/>
  <c r="HG19" i="7"/>
  <c r="HF19" i="7"/>
  <c r="HE19" i="7"/>
  <c r="HD19" i="7"/>
  <c r="HI18" i="7"/>
  <c r="HH18" i="7"/>
  <c r="HG18" i="7"/>
  <c r="HF18" i="7"/>
  <c r="HE18" i="7"/>
  <c r="HD18" i="7"/>
  <c r="HI17" i="7"/>
  <c r="HH17" i="7"/>
  <c r="HG17" i="7"/>
  <c r="HF17" i="7"/>
  <c r="HE17" i="7"/>
  <c r="HD17" i="7"/>
  <c r="HI16" i="7"/>
  <c r="HH16" i="7"/>
  <c r="HG16" i="7"/>
  <c r="HF16" i="7"/>
  <c r="HE16" i="7"/>
  <c r="HD16" i="7"/>
  <c r="HI15" i="7"/>
  <c r="HH15" i="7"/>
  <c r="HG15" i="7"/>
  <c r="HF15" i="7"/>
  <c r="HE15" i="7"/>
  <c r="HD15" i="7"/>
  <c r="HI14" i="7"/>
  <c r="HH14" i="7"/>
  <c r="HG14" i="7"/>
  <c r="HF14" i="7"/>
  <c r="HE14" i="7"/>
  <c r="HD14" i="7"/>
  <c r="HI13" i="7"/>
  <c r="HH13" i="7"/>
  <c r="HG13" i="7"/>
  <c r="HF13" i="7"/>
  <c r="HE13" i="7"/>
  <c r="HD13" i="7"/>
  <c r="HI12" i="7"/>
  <c r="HH12" i="7"/>
  <c r="HG12" i="7"/>
  <c r="HF12" i="7"/>
  <c r="HE12" i="7"/>
  <c r="HD12" i="7"/>
  <c r="HI11" i="7"/>
  <c r="HH11" i="7"/>
  <c r="HG11" i="7"/>
  <c r="HF11" i="7"/>
  <c r="HE11" i="7"/>
  <c r="HD11" i="7"/>
  <c r="HI10" i="7"/>
  <c r="HH10" i="7"/>
  <c r="HG10" i="7"/>
  <c r="HF10" i="7"/>
  <c r="HE10" i="7"/>
  <c r="HD10" i="7"/>
  <c r="HI9" i="7"/>
  <c r="HH9" i="7"/>
  <c r="HG9" i="7"/>
  <c r="HF9" i="7"/>
  <c r="HE9" i="7"/>
  <c r="HD9" i="7"/>
  <c r="HI8" i="7"/>
  <c r="HH8" i="7"/>
  <c r="HG8" i="7"/>
  <c r="HF8" i="7"/>
  <c r="HE8" i="7"/>
  <c r="HD8" i="7"/>
  <c r="HI7" i="7"/>
  <c r="HH7" i="7"/>
  <c r="HG7" i="7"/>
  <c r="HF7" i="7"/>
  <c r="HE7" i="7"/>
  <c r="HD7" i="7"/>
  <c r="HI6" i="7"/>
  <c r="HH6" i="7"/>
  <c r="HG6" i="7"/>
  <c r="HF6" i="7"/>
  <c r="HE6" i="7"/>
  <c r="HD6" i="7"/>
  <c r="HI5" i="7"/>
  <c r="HH5" i="7"/>
  <c r="HG5" i="7"/>
  <c r="HF5" i="7"/>
  <c r="HE5" i="7"/>
  <c r="HD5" i="7"/>
  <c r="HI4" i="7"/>
  <c r="HH4" i="7"/>
  <c r="HG4" i="7"/>
  <c r="HF4" i="7"/>
  <c r="HE4" i="7"/>
  <c r="HD4" i="7"/>
  <c r="HI3" i="7"/>
  <c r="HH3" i="7"/>
  <c r="HG3" i="7"/>
  <c r="HF3" i="7"/>
  <c r="HE3" i="7"/>
  <c r="HD3" i="7"/>
  <c r="HI2" i="7"/>
  <c r="HH2" i="7"/>
  <c r="HG2" i="7"/>
  <c r="HF2" i="7"/>
  <c r="HE2" i="7"/>
  <c r="HD2" i="7"/>
  <c r="HI1" i="7"/>
  <c r="HH1" i="7"/>
  <c r="HG1" i="7"/>
  <c r="HF1" i="7"/>
  <c r="HE1" i="7"/>
  <c r="HD1" i="7"/>
  <c r="HC51" i="7"/>
  <c r="HB51" i="7"/>
  <c r="HA51" i="7"/>
  <c r="GZ51" i="7"/>
  <c r="GY51" i="7"/>
  <c r="GX51" i="7"/>
  <c r="GW51" i="7"/>
  <c r="GV51" i="7"/>
  <c r="GU51" i="7"/>
  <c r="GT51" i="7"/>
  <c r="GS51" i="7"/>
  <c r="GR51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HC49" i="7"/>
  <c r="HB49" i="7"/>
  <c r="HA49" i="7"/>
  <c r="GZ49" i="7"/>
  <c r="GY49" i="7"/>
  <c r="GX49" i="7"/>
  <c r="GW49" i="7"/>
  <c r="GV49" i="7"/>
  <c r="GU49" i="7"/>
  <c r="GT49" i="7"/>
  <c r="GS49" i="7"/>
  <c r="GR49" i="7"/>
  <c r="HC48" i="7"/>
  <c r="HB48" i="7"/>
  <c r="HA48" i="7"/>
  <c r="GZ48" i="7"/>
  <c r="GY48" i="7"/>
  <c r="GX48" i="7"/>
  <c r="GW48" i="7"/>
  <c r="GV48" i="7"/>
  <c r="GU48" i="7"/>
  <c r="GT48" i="7"/>
  <c r="GS48" i="7"/>
  <c r="GR48" i="7"/>
  <c r="HC47" i="7"/>
  <c r="HB47" i="7"/>
  <c r="HA47" i="7"/>
  <c r="GZ47" i="7"/>
  <c r="GY47" i="7"/>
  <c r="GX47" i="7"/>
  <c r="GW47" i="7"/>
  <c r="GV47" i="7"/>
  <c r="GU47" i="7"/>
  <c r="GT47" i="7"/>
  <c r="GS47" i="7"/>
  <c r="GR47" i="7"/>
  <c r="HC46" i="7"/>
  <c r="HB46" i="7"/>
  <c r="HA46" i="7"/>
  <c r="GZ46" i="7"/>
  <c r="GY46" i="7"/>
  <c r="GX46" i="7"/>
  <c r="GW46" i="7"/>
  <c r="GV46" i="7"/>
  <c r="GU46" i="7"/>
  <c r="GT46" i="7"/>
  <c r="GS46" i="7"/>
  <c r="GR46" i="7"/>
  <c r="HC45" i="7"/>
  <c r="HB45" i="7"/>
  <c r="HA45" i="7"/>
  <c r="GZ45" i="7"/>
  <c r="GY45" i="7"/>
  <c r="GX45" i="7"/>
  <c r="GW45" i="7"/>
  <c r="GV45" i="7"/>
  <c r="GU45" i="7"/>
  <c r="GT45" i="7"/>
  <c r="GS45" i="7"/>
  <c r="GR45" i="7"/>
  <c r="HC44" i="7"/>
  <c r="HB44" i="7"/>
  <c r="HA44" i="7"/>
  <c r="GZ44" i="7"/>
  <c r="GY44" i="7"/>
  <c r="GX44" i="7"/>
  <c r="GW44" i="7"/>
  <c r="GV44" i="7"/>
  <c r="GU44" i="7"/>
  <c r="GT44" i="7"/>
  <c r="GS44" i="7"/>
  <c r="GR44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HC42" i="7"/>
  <c r="HB42" i="7"/>
  <c r="HA42" i="7"/>
  <c r="GZ42" i="7"/>
  <c r="GY42" i="7"/>
  <c r="GX42" i="7"/>
  <c r="GW42" i="7"/>
  <c r="GV42" i="7"/>
  <c r="GU42" i="7"/>
  <c r="GT42" i="7"/>
  <c r="GS42" i="7"/>
  <c r="GR42" i="7"/>
  <c r="HC41" i="7"/>
  <c r="HB41" i="7"/>
  <c r="HA41" i="7"/>
  <c r="GZ41" i="7"/>
  <c r="GY41" i="7"/>
  <c r="GX41" i="7"/>
  <c r="GW41" i="7"/>
  <c r="GV41" i="7"/>
  <c r="GU41" i="7"/>
  <c r="GT41" i="7"/>
  <c r="GS41" i="7"/>
  <c r="GR41" i="7"/>
  <c r="HC40" i="7"/>
  <c r="HB40" i="7"/>
  <c r="HA40" i="7"/>
  <c r="GZ40" i="7"/>
  <c r="GY40" i="7"/>
  <c r="GX40" i="7"/>
  <c r="GW40" i="7"/>
  <c r="GV40" i="7"/>
  <c r="GU40" i="7"/>
  <c r="GT40" i="7"/>
  <c r="GS40" i="7"/>
  <c r="GR40" i="7"/>
  <c r="HC39" i="7"/>
  <c r="HB39" i="7"/>
  <c r="HA39" i="7"/>
  <c r="GZ39" i="7"/>
  <c r="GY39" i="7"/>
  <c r="GX39" i="7"/>
  <c r="GW39" i="7"/>
  <c r="GV39" i="7"/>
  <c r="GU39" i="7"/>
  <c r="GT39" i="7"/>
  <c r="GS39" i="7"/>
  <c r="GR39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HC37" i="7"/>
  <c r="HB37" i="7"/>
  <c r="HA37" i="7"/>
  <c r="GZ37" i="7"/>
  <c r="GY37" i="7"/>
  <c r="GX37" i="7"/>
  <c r="GW37" i="7"/>
  <c r="GV37" i="7"/>
  <c r="GU37" i="7"/>
  <c r="GT37" i="7"/>
  <c r="GS37" i="7"/>
  <c r="GR37" i="7"/>
  <c r="HC36" i="7"/>
  <c r="HB36" i="7"/>
  <c r="HA36" i="7"/>
  <c r="GZ36" i="7"/>
  <c r="GY36" i="7"/>
  <c r="GX36" i="7"/>
  <c r="GW36" i="7"/>
  <c r="GV36" i="7"/>
  <c r="GU36" i="7"/>
  <c r="GT36" i="7"/>
  <c r="GS36" i="7"/>
  <c r="GR36" i="7"/>
  <c r="HC35" i="7"/>
  <c r="HB35" i="7"/>
  <c r="HA35" i="7"/>
  <c r="GZ35" i="7"/>
  <c r="GY35" i="7"/>
  <c r="GX35" i="7"/>
  <c r="GW35" i="7"/>
  <c r="GV35" i="7"/>
  <c r="GU35" i="7"/>
  <c r="GT35" i="7"/>
  <c r="GS35" i="7"/>
  <c r="GR35" i="7"/>
  <c r="HC34" i="7"/>
  <c r="HB34" i="7"/>
  <c r="HA34" i="7"/>
  <c r="GZ34" i="7"/>
  <c r="GY34" i="7"/>
  <c r="GX34" i="7"/>
  <c r="GW34" i="7"/>
  <c r="GV34" i="7"/>
  <c r="GU34" i="7"/>
  <c r="GT34" i="7"/>
  <c r="GS34" i="7"/>
  <c r="GR34" i="7"/>
  <c r="HC33" i="7"/>
  <c r="HB33" i="7"/>
  <c r="HA33" i="7"/>
  <c r="GZ33" i="7"/>
  <c r="GY33" i="7"/>
  <c r="GX33" i="7"/>
  <c r="GW33" i="7"/>
  <c r="GV33" i="7"/>
  <c r="GU33" i="7"/>
  <c r="GT33" i="7"/>
  <c r="GS33" i="7"/>
  <c r="GR33" i="7"/>
  <c r="HC32" i="7"/>
  <c r="HB32" i="7"/>
  <c r="HA32" i="7"/>
  <c r="GZ32" i="7"/>
  <c r="GY32" i="7"/>
  <c r="GX32" i="7"/>
  <c r="GW32" i="7"/>
  <c r="GV32" i="7"/>
  <c r="GU32" i="7"/>
  <c r="GT32" i="7"/>
  <c r="GS32" i="7"/>
  <c r="GR32" i="7"/>
  <c r="HC31" i="7"/>
  <c r="HB31" i="7"/>
  <c r="HA31" i="7"/>
  <c r="GZ31" i="7"/>
  <c r="GY31" i="7"/>
  <c r="GX31" i="7"/>
  <c r="GW31" i="7"/>
  <c r="GV31" i="7"/>
  <c r="GU31" i="7"/>
  <c r="GT31" i="7"/>
  <c r="GS31" i="7"/>
  <c r="GR31" i="7"/>
  <c r="HC30" i="7"/>
  <c r="HB30" i="7"/>
  <c r="HA30" i="7"/>
  <c r="GZ30" i="7"/>
  <c r="GY30" i="7"/>
  <c r="GX30" i="7"/>
  <c r="GW30" i="7"/>
  <c r="GV30" i="7"/>
  <c r="GU30" i="7"/>
  <c r="GT30" i="7"/>
  <c r="GS30" i="7"/>
  <c r="GR30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HC28" i="7"/>
  <c r="HB28" i="7"/>
  <c r="HA28" i="7"/>
  <c r="GZ28" i="7"/>
  <c r="GY28" i="7"/>
  <c r="GX28" i="7"/>
  <c r="GW28" i="7"/>
  <c r="GV28" i="7"/>
  <c r="GU28" i="7"/>
  <c r="GT28" i="7"/>
  <c r="GS28" i="7"/>
  <c r="GR28" i="7"/>
  <c r="HC27" i="7"/>
  <c r="HB27" i="7"/>
  <c r="HA27" i="7"/>
  <c r="GZ27" i="7"/>
  <c r="GY27" i="7"/>
  <c r="GX27" i="7"/>
  <c r="GW27" i="7"/>
  <c r="GV27" i="7"/>
  <c r="GU27" i="7"/>
  <c r="GT27" i="7"/>
  <c r="GS27" i="7"/>
  <c r="GR27" i="7"/>
  <c r="HC26" i="7"/>
  <c r="HB26" i="7"/>
  <c r="HA26" i="7"/>
  <c r="GZ26" i="7"/>
  <c r="GY26" i="7"/>
  <c r="GX26" i="7"/>
  <c r="GW26" i="7"/>
  <c r="GV26" i="7"/>
  <c r="GU26" i="7"/>
  <c r="GT26" i="7"/>
  <c r="GS26" i="7"/>
  <c r="GR26" i="7"/>
  <c r="HC25" i="7"/>
  <c r="HB25" i="7"/>
  <c r="HA25" i="7"/>
  <c r="GZ25" i="7"/>
  <c r="GY25" i="7"/>
  <c r="GX25" i="7"/>
  <c r="GW25" i="7"/>
  <c r="GV25" i="7"/>
  <c r="GU25" i="7"/>
  <c r="GT25" i="7"/>
  <c r="GS25" i="7"/>
  <c r="GR25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HC23" i="7"/>
  <c r="HB23" i="7"/>
  <c r="HA23" i="7"/>
  <c r="GZ23" i="7"/>
  <c r="GY23" i="7"/>
  <c r="GX23" i="7"/>
  <c r="GW23" i="7"/>
  <c r="GV23" i="7"/>
  <c r="GU23" i="7"/>
  <c r="GT23" i="7"/>
  <c r="GS23" i="7"/>
  <c r="GR23" i="7"/>
  <c r="HC22" i="7"/>
  <c r="HB22" i="7"/>
  <c r="HA22" i="7"/>
  <c r="GZ22" i="7"/>
  <c r="GY22" i="7"/>
  <c r="GX22" i="7"/>
  <c r="GW22" i="7"/>
  <c r="GV22" i="7"/>
  <c r="GU22" i="7"/>
  <c r="GT22" i="7"/>
  <c r="GS22" i="7"/>
  <c r="GR22" i="7"/>
  <c r="HC21" i="7"/>
  <c r="HB21" i="7"/>
  <c r="HA21" i="7"/>
  <c r="GZ21" i="7"/>
  <c r="GY21" i="7"/>
  <c r="GX21" i="7"/>
  <c r="GW21" i="7"/>
  <c r="GV21" i="7"/>
  <c r="GU21" i="7"/>
  <c r="GT21" i="7"/>
  <c r="GS21" i="7"/>
  <c r="GR21" i="7"/>
  <c r="HC20" i="7"/>
  <c r="HB20" i="7"/>
  <c r="HA20" i="7"/>
  <c r="GZ20" i="7"/>
  <c r="GY20" i="7"/>
  <c r="GX20" i="7"/>
  <c r="GW20" i="7"/>
  <c r="GV20" i="7"/>
  <c r="GU20" i="7"/>
  <c r="GT20" i="7"/>
  <c r="GS20" i="7"/>
  <c r="GR20" i="7"/>
  <c r="HC19" i="7"/>
  <c r="HB19" i="7"/>
  <c r="HA19" i="7"/>
  <c r="GZ19" i="7"/>
  <c r="GY19" i="7"/>
  <c r="GX19" i="7"/>
  <c r="GW19" i="7"/>
  <c r="GV19" i="7"/>
  <c r="GU19" i="7"/>
  <c r="GT19" i="7"/>
  <c r="GS19" i="7"/>
  <c r="GR19" i="7"/>
  <c r="HC18" i="7"/>
  <c r="HB18" i="7"/>
  <c r="HA18" i="7"/>
  <c r="GZ18" i="7"/>
  <c r="GY18" i="7"/>
  <c r="GX18" i="7"/>
  <c r="GW18" i="7"/>
  <c r="GV18" i="7"/>
  <c r="GU18" i="7"/>
  <c r="GT18" i="7"/>
  <c r="GS18" i="7"/>
  <c r="GR18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HC16" i="7"/>
  <c r="HB16" i="7"/>
  <c r="HA16" i="7"/>
  <c r="GZ16" i="7"/>
  <c r="GY16" i="7"/>
  <c r="GX16" i="7"/>
  <c r="GW16" i="7"/>
  <c r="GV16" i="7"/>
  <c r="GU16" i="7"/>
  <c r="GT16" i="7"/>
  <c r="GS16" i="7"/>
  <c r="GR16" i="7"/>
  <c r="HC15" i="7"/>
  <c r="HB15" i="7"/>
  <c r="HA15" i="7"/>
  <c r="GZ15" i="7"/>
  <c r="GY15" i="7"/>
  <c r="GX15" i="7"/>
  <c r="GW15" i="7"/>
  <c r="GV15" i="7"/>
  <c r="GU15" i="7"/>
  <c r="GT15" i="7"/>
  <c r="GS15" i="7"/>
  <c r="GR15" i="7"/>
  <c r="HC14" i="7"/>
  <c r="HB14" i="7"/>
  <c r="HA14" i="7"/>
  <c r="GZ14" i="7"/>
  <c r="GY14" i="7"/>
  <c r="GX14" i="7"/>
  <c r="GW14" i="7"/>
  <c r="GV14" i="7"/>
  <c r="GU14" i="7"/>
  <c r="GT14" i="7"/>
  <c r="GS14" i="7"/>
  <c r="GR14" i="7"/>
  <c r="HC13" i="7"/>
  <c r="HB13" i="7"/>
  <c r="HA13" i="7"/>
  <c r="GZ13" i="7"/>
  <c r="GY13" i="7"/>
  <c r="GX13" i="7"/>
  <c r="GW13" i="7"/>
  <c r="GV13" i="7"/>
  <c r="GU13" i="7"/>
  <c r="GT13" i="7"/>
  <c r="GS13" i="7"/>
  <c r="GR13" i="7"/>
  <c r="HC12" i="7"/>
  <c r="HB12" i="7"/>
  <c r="HA12" i="7"/>
  <c r="GZ12" i="7"/>
  <c r="GY12" i="7"/>
  <c r="GX12" i="7"/>
  <c r="GW12" i="7"/>
  <c r="GV12" i="7"/>
  <c r="GU12" i="7"/>
  <c r="GT12" i="7"/>
  <c r="GS12" i="7"/>
  <c r="GR12" i="7"/>
  <c r="HC11" i="7"/>
  <c r="HB11" i="7"/>
  <c r="HA11" i="7"/>
  <c r="GZ11" i="7"/>
  <c r="GY11" i="7"/>
  <c r="GX11" i="7"/>
  <c r="GW11" i="7"/>
  <c r="GV11" i="7"/>
  <c r="GU11" i="7"/>
  <c r="GT11" i="7"/>
  <c r="GS11" i="7"/>
  <c r="GR11" i="7"/>
  <c r="HC10" i="7"/>
  <c r="HB10" i="7"/>
  <c r="HA10" i="7"/>
  <c r="GZ10" i="7"/>
  <c r="GY10" i="7"/>
  <c r="GX10" i="7"/>
  <c r="GW10" i="7"/>
  <c r="GV10" i="7"/>
  <c r="GU10" i="7"/>
  <c r="GT10" i="7"/>
  <c r="GS10" i="7"/>
  <c r="GR10" i="7"/>
  <c r="HC9" i="7"/>
  <c r="HB9" i="7"/>
  <c r="HA9" i="7"/>
  <c r="GZ9" i="7"/>
  <c r="GY9" i="7"/>
  <c r="GX9" i="7"/>
  <c r="GW9" i="7"/>
  <c r="GV9" i="7"/>
  <c r="GU9" i="7"/>
  <c r="GT9" i="7"/>
  <c r="GS9" i="7"/>
  <c r="GR9" i="7"/>
  <c r="HC8" i="7"/>
  <c r="HB8" i="7"/>
  <c r="HA8" i="7"/>
  <c r="GZ8" i="7"/>
  <c r="GY8" i="7"/>
  <c r="GX8" i="7"/>
  <c r="GW8" i="7"/>
  <c r="GV8" i="7"/>
  <c r="GU8" i="7"/>
  <c r="GT8" i="7"/>
  <c r="GS8" i="7"/>
  <c r="GR8" i="7"/>
  <c r="HC7" i="7"/>
  <c r="HB7" i="7"/>
  <c r="HA7" i="7"/>
  <c r="GZ7" i="7"/>
  <c r="GY7" i="7"/>
  <c r="GX7" i="7"/>
  <c r="GW7" i="7"/>
  <c r="GV7" i="7"/>
  <c r="GU7" i="7"/>
  <c r="GT7" i="7"/>
  <c r="GS7" i="7"/>
  <c r="GR7" i="7"/>
  <c r="HC6" i="7"/>
  <c r="HB6" i="7"/>
  <c r="HA6" i="7"/>
  <c r="GZ6" i="7"/>
  <c r="GY6" i="7"/>
  <c r="GX6" i="7"/>
  <c r="GW6" i="7"/>
  <c r="GV6" i="7"/>
  <c r="GU6" i="7"/>
  <c r="GT6" i="7"/>
  <c r="GS6" i="7"/>
  <c r="GR6" i="7"/>
  <c r="HC5" i="7"/>
  <c r="HB5" i="7"/>
  <c r="HA5" i="7"/>
  <c r="GZ5" i="7"/>
  <c r="GY5" i="7"/>
  <c r="GX5" i="7"/>
  <c r="GW5" i="7"/>
  <c r="GV5" i="7"/>
  <c r="GU5" i="7"/>
  <c r="GT5" i="7"/>
  <c r="GS5" i="7"/>
  <c r="GR5" i="7"/>
  <c r="HC4" i="7"/>
  <c r="HB4" i="7"/>
  <c r="HA4" i="7"/>
  <c r="GZ4" i="7"/>
  <c r="GY4" i="7"/>
  <c r="GX4" i="7"/>
  <c r="GW4" i="7"/>
  <c r="GV4" i="7"/>
  <c r="GU4" i="7"/>
  <c r="GT4" i="7"/>
  <c r="GS4" i="7"/>
  <c r="GR4" i="7"/>
  <c r="HC3" i="7"/>
  <c r="HB3" i="7"/>
  <c r="HA3" i="7"/>
  <c r="GZ3" i="7"/>
  <c r="GY3" i="7"/>
  <c r="GX3" i="7"/>
  <c r="GW3" i="7"/>
  <c r="GV3" i="7"/>
  <c r="GU3" i="7"/>
  <c r="GT3" i="7"/>
  <c r="GS3" i="7"/>
  <c r="GR3" i="7"/>
  <c r="HC2" i="7"/>
  <c r="HB2" i="7"/>
  <c r="HA2" i="7"/>
  <c r="GZ2" i="7"/>
  <c r="GY2" i="7"/>
  <c r="GX2" i="7"/>
  <c r="GW2" i="7"/>
  <c r="GV2" i="7"/>
  <c r="GU2" i="7"/>
  <c r="GT2" i="7"/>
  <c r="GS2" i="7"/>
  <c r="GR2" i="7"/>
  <c r="HC1" i="7"/>
  <c r="HB1" i="7"/>
  <c r="HA1" i="7"/>
  <c r="GZ1" i="7"/>
  <c r="GY1" i="7"/>
  <c r="GX1" i="7"/>
  <c r="GW1" i="7"/>
  <c r="GV1" i="7"/>
  <c r="GU1" i="7"/>
  <c r="GT1" i="7"/>
  <c r="GS1" i="7"/>
  <c r="GR1" i="7"/>
  <c r="GP51" i="7"/>
  <c r="GO51" i="7"/>
  <c r="GM51" i="7"/>
  <c r="GL51" i="7"/>
  <c r="GP50" i="7"/>
  <c r="GO50" i="7"/>
  <c r="GM50" i="7"/>
  <c r="GL50" i="7"/>
  <c r="GP49" i="7"/>
  <c r="GO49" i="7"/>
  <c r="GM49" i="7"/>
  <c r="GL49" i="7"/>
  <c r="GP48" i="7"/>
  <c r="GO48" i="7"/>
  <c r="GM48" i="7"/>
  <c r="GL48" i="7"/>
  <c r="GP47" i="7"/>
  <c r="GO47" i="7"/>
  <c r="GM47" i="7"/>
  <c r="GL47" i="7"/>
  <c r="GP46" i="7"/>
  <c r="GO46" i="7"/>
  <c r="GM46" i="7"/>
  <c r="GL46" i="7"/>
  <c r="GP45" i="7"/>
  <c r="GO45" i="7"/>
  <c r="GM45" i="7"/>
  <c r="GL45" i="7"/>
  <c r="GP44" i="7"/>
  <c r="GO44" i="7"/>
  <c r="GM44" i="7"/>
  <c r="GL44" i="7"/>
  <c r="GP43" i="7"/>
  <c r="GO43" i="7"/>
  <c r="GM43" i="7"/>
  <c r="GL43" i="7"/>
  <c r="GP42" i="7"/>
  <c r="GO42" i="7"/>
  <c r="GM42" i="7"/>
  <c r="GL42" i="7"/>
  <c r="GP41" i="7"/>
  <c r="GO41" i="7"/>
  <c r="GM41" i="7"/>
  <c r="GL41" i="7"/>
  <c r="GP40" i="7"/>
  <c r="GO40" i="7"/>
  <c r="GM40" i="7"/>
  <c r="GL40" i="7"/>
  <c r="GP39" i="7"/>
  <c r="GO39" i="7"/>
  <c r="GM39" i="7"/>
  <c r="GL39" i="7"/>
  <c r="GP38" i="7"/>
  <c r="GO38" i="7"/>
  <c r="GM38" i="7"/>
  <c r="GL38" i="7"/>
  <c r="GP37" i="7"/>
  <c r="GO37" i="7"/>
  <c r="GM37" i="7"/>
  <c r="GL37" i="7"/>
  <c r="GP36" i="7"/>
  <c r="GO36" i="7"/>
  <c r="GM36" i="7"/>
  <c r="GL36" i="7"/>
  <c r="GP35" i="7"/>
  <c r="GO35" i="7"/>
  <c r="GM35" i="7"/>
  <c r="GL35" i="7"/>
  <c r="GP34" i="7"/>
  <c r="GO34" i="7"/>
  <c r="GM34" i="7"/>
  <c r="GL34" i="7"/>
  <c r="GP33" i="7"/>
  <c r="GO33" i="7"/>
  <c r="GM33" i="7"/>
  <c r="GL33" i="7"/>
  <c r="GP32" i="7"/>
  <c r="GO32" i="7"/>
  <c r="GM32" i="7"/>
  <c r="GL32" i="7"/>
  <c r="GP31" i="7"/>
  <c r="GO31" i="7"/>
  <c r="GM31" i="7"/>
  <c r="GL31" i="7"/>
  <c r="GP30" i="7"/>
  <c r="GO30" i="7"/>
  <c r="GM30" i="7"/>
  <c r="GL30" i="7"/>
  <c r="GP29" i="7"/>
  <c r="GO29" i="7"/>
  <c r="GM29" i="7"/>
  <c r="GL29" i="7"/>
  <c r="GP28" i="7"/>
  <c r="GO28" i="7"/>
  <c r="GM28" i="7"/>
  <c r="GL28" i="7"/>
  <c r="GP27" i="7"/>
  <c r="GO27" i="7"/>
  <c r="GM27" i="7"/>
  <c r="GL27" i="7"/>
  <c r="GP26" i="7"/>
  <c r="GO26" i="7"/>
  <c r="GM26" i="7"/>
  <c r="GL26" i="7"/>
  <c r="GP25" i="7"/>
  <c r="GO25" i="7"/>
  <c r="GM25" i="7"/>
  <c r="GL25" i="7"/>
  <c r="GP24" i="7"/>
  <c r="GO24" i="7"/>
  <c r="GM24" i="7"/>
  <c r="GL24" i="7"/>
  <c r="GP23" i="7"/>
  <c r="GO23" i="7"/>
  <c r="GM23" i="7"/>
  <c r="GL23" i="7"/>
  <c r="GP22" i="7"/>
  <c r="GO22" i="7"/>
  <c r="GM22" i="7"/>
  <c r="GL22" i="7"/>
  <c r="GP21" i="7"/>
  <c r="GO21" i="7"/>
  <c r="GM21" i="7"/>
  <c r="GL21" i="7"/>
  <c r="GP20" i="7"/>
  <c r="GO20" i="7"/>
  <c r="GM20" i="7"/>
  <c r="GL20" i="7"/>
  <c r="GP19" i="7"/>
  <c r="GO19" i="7"/>
  <c r="GM19" i="7"/>
  <c r="GL19" i="7"/>
  <c r="GP18" i="7"/>
  <c r="GO18" i="7"/>
  <c r="GM18" i="7"/>
  <c r="GL18" i="7"/>
  <c r="GP17" i="7"/>
  <c r="GO17" i="7"/>
  <c r="GM17" i="7"/>
  <c r="GL17" i="7"/>
  <c r="GP16" i="7"/>
  <c r="GO16" i="7"/>
  <c r="GM16" i="7"/>
  <c r="GL16" i="7"/>
  <c r="GP15" i="7"/>
  <c r="GO15" i="7"/>
  <c r="GM15" i="7"/>
  <c r="GL15" i="7"/>
  <c r="GP14" i="7"/>
  <c r="GO14" i="7"/>
  <c r="GM14" i="7"/>
  <c r="GL14" i="7"/>
  <c r="GP13" i="7"/>
  <c r="GO13" i="7"/>
  <c r="GM13" i="7"/>
  <c r="GL13" i="7"/>
  <c r="GP12" i="7"/>
  <c r="GO12" i="7"/>
  <c r="GM12" i="7"/>
  <c r="GL12" i="7"/>
  <c r="GP11" i="7"/>
  <c r="GO11" i="7"/>
  <c r="GM11" i="7"/>
  <c r="GL11" i="7"/>
  <c r="GP10" i="7"/>
  <c r="GO10" i="7"/>
  <c r="GM10" i="7"/>
  <c r="GL10" i="7"/>
  <c r="GP9" i="7"/>
  <c r="GO9" i="7"/>
  <c r="GM9" i="7"/>
  <c r="GL9" i="7"/>
  <c r="GP8" i="7"/>
  <c r="GO8" i="7"/>
  <c r="GM8" i="7"/>
  <c r="GL8" i="7"/>
  <c r="GP7" i="7"/>
  <c r="GO7" i="7"/>
  <c r="GM7" i="7"/>
  <c r="GL7" i="7"/>
  <c r="GP6" i="7"/>
  <c r="GO6" i="7"/>
  <c r="GM6" i="7"/>
  <c r="GL6" i="7"/>
  <c r="GP5" i="7"/>
  <c r="GO5" i="7"/>
  <c r="GM5" i="7"/>
  <c r="GL5" i="7"/>
  <c r="GP4" i="7"/>
  <c r="GO4" i="7"/>
  <c r="GM4" i="7"/>
  <c r="GL4" i="7"/>
  <c r="GP3" i="7"/>
  <c r="GO3" i="7"/>
  <c r="GM3" i="7"/>
  <c r="GL3" i="7"/>
  <c r="GQ2" i="7"/>
  <c r="GN2" i="7"/>
  <c r="GQ1" i="7"/>
  <c r="GP1" i="7"/>
  <c r="GO1" i="7"/>
  <c r="GN1" i="7"/>
  <c r="GM1" i="7"/>
  <c r="GL1" i="7"/>
  <c r="GJ51" i="7"/>
  <c r="GI51" i="7"/>
  <c r="GG51" i="7"/>
  <c r="GF51" i="7"/>
  <c r="GD51" i="7"/>
  <c r="GC51" i="7"/>
  <c r="GA51" i="7"/>
  <c r="FZ51" i="7"/>
  <c r="GJ50" i="7"/>
  <c r="GI50" i="7"/>
  <c r="GG50" i="7"/>
  <c r="GF50" i="7"/>
  <c r="GD50" i="7"/>
  <c r="GC50" i="7"/>
  <c r="GA50" i="7"/>
  <c r="FZ50" i="7"/>
  <c r="GJ49" i="7"/>
  <c r="GI49" i="7"/>
  <c r="GG49" i="7"/>
  <c r="GF49" i="7"/>
  <c r="GD49" i="7"/>
  <c r="GC49" i="7"/>
  <c r="GA49" i="7"/>
  <c r="FZ49" i="7"/>
  <c r="GJ48" i="7"/>
  <c r="GI48" i="7"/>
  <c r="GG48" i="7"/>
  <c r="GF48" i="7"/>
  <c r="GD48" i="7"/>
  <c r="GC48" i="7"/>
  <c r="GA48" i="7"/>
  <c r="FZ48" i="7"/>
  <c r="GJ47" i="7"/>
  <c r="GI47" i="7"/>
  <c r="GG47" i="7"/>
  <c r="GF47" i="7"/>
  <c r="GD47" i="7"/>
  <c r="GC47" i="7"/>
  <c r="GA47" i="7"/>
  <c r="FZ47" i="7"/>
  <c r="GJ46" i="7"/>
  <c r="GI46" i="7"/>
  <c r="GG46" i="7"/>
  <c r="GF46" i="7"/>
  <c r="GD46" i="7"/>
  <c r="GC46" i="7"/>
  <c r="GA46" i="7"/>
  <c r="FZ46" i="7"/>
  <c r="GJ45" i="7"/>
  <c r="GI45" i="7"/>
  <c r="GG45" i="7"/>
  <c r="GF45" i="7"/>
  <c r="GD45" i="7"/>
  <c r="GC45" i="7"/>
  <c r="GA45" i="7"/>
  <c r="FZ45" i="7"/>
  <c r="GJ44" i="7"/>
  <c r="GI44" i="7"/>
  <c r="GG44" i="7"/>
  <c r="GF44" i="7"/>
  <c r="GD44" i="7"/>
  <c r="GC44" i="7"/>
  <c r="GA44" i="7"/>
  <c r="FZ44" i="7"/>
  <c r="GJ43" i="7"/>
  <c r="GI43" i="7"/>
  <c r="GG43" i="7"/>
  <c r="GF43" i="7"/>
  <c r="GD43" i="7"/>
  <c r="GC43" i="7"/>
  <c r="GA43" i="7"/>
  <c r="FZ43" i="7"/>
  <c r="GJ42" i="7"/>
  <c r="GI42" i="7"/>
  <c r="GG42" i="7"/>
  <c r="GF42" i="7"/>
  <c r="GD42" i="7"/>
  <c r="GC42" i="7"/>
  <c r="GA42" i="7"/>
  <c r="FZ42" i="7"/>
  <c r="GJ41" i="7"/>
  <c r="GI41" i="7"/>
  <c r="GG41" i="7"/>
  <c r="GF41" i="7"/>
  <c r="GD41" i="7"/>
  <c r="GC41" i="7"/>
  <c r="GA41" i="7"/>
  <c r="FZ41" i="7"/>
  <c r="GJ40" i="7"/>
  <c r="GI40" i="7"/>
  <c r="GG40" i="7"/>
  <c r="GF40" i="7"/>
  <c r="GD40" i="7"/>
  <c r="GC40" i="7"/>
  <c r="GA40" i="7"/>
  <c r="FZ40" i="7"/>
  <c r="GJ39" i="7"/>
  <c r="GI39" i="7"/>
  <c r="GG39" i="7"/>
  <c r="GF39" i="7"/>
  <c r="GD39" i="7"/>
  <c r="GC39" i="7"/>
  <c r="GA39" i="7"/>
  <c r="FZ39" i="7"/>
  <c r="GJ38" i="7"/>
  <c r="GI38" i="7"/>
  <c r="GG38" i="7"/>
  <c r="GF38" i="7"/>
  <c r="GD38" i="7"/>
  <c r="GC38" i="7"/>
  <c r="GA38" i="7"/>
  <c r="FZ38" i="7"/>
  <c r="GJ37" i="7"/>
  <c r="GI37" i="7"/>
  <c r="GG37" i="7"/>
  <c r="GF37" i="7"/>
  <c r="GD37" i="7"/>
  <c r="GC37" i="7"/>
  <c r="GA37" i="7"/>
  <c r="FZ37" i="7"/>
  <c r="GJ36" i="7"/>
  <c r="GI36" i="7"/>
  <c r="GG36" i="7"/>
  <c r="GF36" i="7"/>
  <c r="GD36" i="7"/>
  <c r="GC36" i="7"/>
  <c r="GA36" i="7"/>
  <c r="FZ36" i="7"/>
  <c r="GJ35" i="7"/>
  <c r="GI35" i="7"/>
  <c r="GG35" i="7"/>
  <c r="GF35" i="7"/>
  <c r="GD35" i="7"/>
  <c r="GC35" i="7"/>
  <c r="GA35" i="7"/>
  <c r="FZ35" i="7"/>
  <c r="GJ34" i="7"/>
  <c r="GI34" i="7"/>
  <c r="GG34" i="7"/>
  <c r="GF34" i="7"/>
  <c r="GD34" i="7"/>
  <c r="GC34" i="7"/>
  <c r="GA34" i="7"/>
  <c r="FZ34" i="7"/>
  <c r="GJ33" i="7"/>
  <c r="GI33" i="7"/>
  <c r="GG33" i="7"/>
  <c r="GF33" i="7"/>
  <c r="GD33" i="7"/>
  <c r="GC33" i="7"/>
  <c r="GA33" i="7"/>
  <c r="FZ33" i="7"/>
  <c r="GJ32" i="7"/>
  <c r="GI32" i="7"/>
  <c r="GG32" i="7"/>
  <c r="GF32" i="7"/>
  <c r="GD32" i="7"/>
  <c r="GC32" i="7"/>
  <c r="GA32" i="7"/>
  <c r="FZ32" i="7"/>
  <c r="GJ31" i="7"/>
  <c r="GI31" i="7"/>
  <c r="GG31" i="7"/>
  <c r="GF31" i="7"/>
  <c r="GD31" i="7"/>
  <c r="GC31" i="7"/>
  <c r="GA31" i="7"/>
  <c r="FZ31" i="7"/>
  <c r="GJ30" i="7"/>
  <c r="GI30" i="7"/>
  <c r="GG30" i="7"/>
  <c r="GF30" i="7"/>
  <c r="GD30" i="7"/>
  <c r="GC30" i="7"/>
  <c r="GA30" i="7"/>
  <c r="FZ30" i="7"/>
  <c r="GJ29" i="7"/>
  <c r="GI29" i="7"/>
  <c r="GG29" i="7"/>
  <c r="GF29" i="7"/>
  <c r="GD29" i="7"/>
  <c r="GC29" i="7"/>
  <c r="GA29" i="7"/>
  <c r="FZ29" i="7"/>
  <c r="GJ28" i="7"/>
  <c r="GI28" i="7"/>
  <c r="GG28" i="7"/>
  <c r="GF28" i="7"/>
  <c r="GD28" i="7"/>
  <c r="GC28" i="7"/>
  <c r="GA28" i="7"/>
  <c r="FZ28" i="7"/>
  <c r="GJ27" i="7"/>
  <c r="GI27" i="7"/>
  <c r="GG27" i="7"/>
  <c r="GF27" i="7"/>
  <c r="GD27" i="7"/>
  <c r="GC27" i="7"/>
  <c r="GA27" i="7"/>
  <c r="FZ27" i="7"/>
  <c r="GJ26" i="7"/>
  <c r="GI26" i="7"/>
  <c r="GG26" i="7"/>
  <c r="GF26" i="7"/>
  <c r="GD26" i="7"/>
  <c r="GC26" i="7"/>
  <c r="GA26" i="7"/>
  <c r="FZ26" i="7"/>
  <c r="GJ25" i="7"/>
  <c r="GI25" i="7"/>
  <c r="GG25" i="7"/>
  <c r="GF25" i="7"/>
  <c r="GD25" i="7"/>
  <c r="GC25" i="7"/>
  <c r="GA25" i="7"/>
  <c r="FZ25" i="7"/>
  <c r="GJ24" i="7"/>
  <c r="GI24" i="7"/>
  <c r="GG24" i="7"/>
  <c r="GF24" i="7"/>
  <c r="GD24" i="7"/>
  <c r="GC24" i="7"/>
  <c r="GA24" i="7"/>
  <c r="FZ24" i="7"/>
  <c r="GJ23" i="7"/>
  <c r="GI23" i="7"/>
  <c r="GG23" i="7"/>
  <c r="GF23" i="7"/>
  <c r="GD23" i="7"/>
  <c r="GC23" i="7"/>
  <c r="GA23" i="7"/>
  <c r="FZ23" i="7"/>
  <c r="GJ22" i="7"/>
  <c r="GI22" i="7"/>
  <c r="GG22" i="7"/>
  <c r="GF22" i="7"/>
  <c r="GD22" i="7"/>
  <c r="GC22" i="7"/>
  <c r="GA22" i="7"/>
  <c r="FZ22" i="7"/>
  <c r="GJ21" i="7"/>
  <c r="GI21" i="7"/>
  <c r="GG21" i="7"/>
  <c r="GF21" i="7"/>
  <c r="GD21" i="7"/>
  <c r="GC21" i="7"/>
  <c r="GA21" i="7"/>
  <c r="FZ21" i="7"/>
  <c r="GJ20" i="7"/>
  <c r="GI20" i="7"/>
  <c r="GG20" i="7"/>
  <c r="GF20" i="7"/>
  <c r="GD20" i="7"/>
  <c r="GC20" i="7"/>
  <c r="GA20" i="7"/>
  <c r="FZ20" i="7"/>
  <c r="GJ19" i="7"/>
  <c r="GI19" i="7"/>
  <c r="GG19" i="7"/>
  <c r="GF19" i="7"/>
  <c r="GD19" i="7"/>
  <c r="GC19" i="7"/>
  <c r="GA19" i="7"/>
  <c r="FZ19" i="7"/>
  <c r="GJ18" i="7"/>
  <c r="GI18" i="7"/>
  <c r="GG18" i="7"/>
  <c r="GF18" i="7"/>
  <c r="GD18" i="7"/>
  <c r="GC18" i="7"/>
  <c r="GA18" i="7"/>
  <c r="FZ18" i="7"/>
  <c r="GJ17" i="7"/>
  <c r="GI17" i="7"/>
  <c r="GG17" i="7"/>
  <c r="GF17" i="7"/>
  <c r="GD17" i="7"/>
  <c r="GC17" i="7"/>
  <c r="GA17" i="7"/>
  <c r="FZ17" i="7"/>
  <c r="GJ16" i="7"/>
  <c r="GI16" i="7"/>
  <c r="GG16" i="7"/>
  <c r="GF16" i="7"/>
  <c r="GD16" i="7"/>
  <c r="GC16" i="7"/>
  <c r="GA16" i="7"/>
  <c r="FZ16" i="7"/>
  <c r="GJ15" i="7"/>
  <c r="GI15" i="7"/>
  <c r="GG15" i="7"/>
  <c r="GF15" i="7"/>
  <c r="GD15" i="7"/>
  <c r="GC15" i="7"/>
  <c r="GA15" i="7"/>
  <c r="FZ15" i="7"/>
  <c r="GJ14" i="7"/>
  <c r="GI14" i="7"/>
  <c r="GG14" i="7"/>
  <c r="GF14" i="7"/>
  <c r="GD14" i="7"/>
  <c r="GC14" i="7"/>
  <c r="GA14" i="7"/>
  <c r="FZ14" i="7"/>
  <c r="GJ13" i="7"/>
  <c r="GI13" i="7"/>
  <c r="GG13" i="7"/>
  <c r="GF13" i="7"/>
  <c r="GD13" i="7"/>
  <c r="GC13" i="7"/>
  <c r="GA13" i="7"/>
  <c r="FZ13" i="7"/>
  <c r="GJ12" i="7"/>
  <c r="GI12" i="7"/>
  <c r="GG12" i="7"/>
  <c r="GF12" i="7"/>
  <c r="GD12" i="7"/>
  <c r="GC12" i="7"/>
  <c r="GA12" i="7"/>
  <c r="FZ12" i="7"/>
  <c r="GJ11" i="7"/>
  <c r="GI11" i="7"/>
  <c r="GG11" i="7"/>
  <c r="GF11" i="7"/>
  <c r="GD11" i="7"/>
  <c r="GC11" i="7"/>
  <c r="GA11" i="7"/>
  <c r="FZ11" i="7"/>
  <c r="GJ10" i="7"/>
  <c r="GI10" i="7"/>
  <c r="GG10" i="7"/>
  <c r="GF10" i="7"/>
  <c r="GD10" i="7"/>
  <c r="GC10" i="7"/>
  <c r="GA10" i="7"/>
  <c r="FZ10" i="7"/>
  <c r="GJ9" i="7"/>
  <c r="GI9" i="7"/>
  <c r="GG9" i="7"/>
  <c r="GF9" i="7"/>
  <c r="GD9" i="7"/>
  <c r="GC9" i="7"/>
  <c r="GA9" i="7"/>
  <c r="FZ9" i="7"/>
  <c r="GJ8" i="7"/>
  <c r="GI8" i="7"/>
  <c r="GG8" i="7"/>
  <c r="GF8" i="7"/>
  <c r="GD8" i="7"/>
  <c r="GC8" i="7"/>
  <c r="GA8" i="7"/>
  <c r="FZ8" i="7"/>
  <c r="GJ7" i="7"/>
  <c r="GI7" i="7"/>
  <c r="GG7" i="7"/>
  <c r="GF7" i="7"/>
  <c r="GD7" i="7"/>
  <c r="GC7" i="7"/>
  <c r="GA7" i="7"/>
  <c r="FZ7" i="7"/>
  <c r="GJ6" i="7"/>
  <c r="GI6" i="7"/>
  <c r="GG6" i="7"/>
  <c r="GF6" i="7"/>
  <c r="GD6" i="7"/>
  <c r="GC6" i="7"/>
  <c r="GA6" i="7"/>
  <c r="FZ6" i="7"/>
  <c r="GJ5" i="7"/>
  <c r="GI5" i="7"/>
  <c r="GG5" i="7"/>
  <c r="GF5" i="7"/>
  <c r="GD5" i="7"/>
  <c r="GC5" i="7"/>
  <c r="GA5" i="7"/>
  <c r="FZ5" i="7"/>
  <c r="GJ4" i="7"/>
  <c r="GI4" i="7"/>
  <c r="GG4" i="7"/>
  <c r="GF4" i="7"/>
  <c r="GD4" i="7"/>
  <c r="GC4" i="7"/>
  <c r="GA4" i="7"/>
  <c r="FZ4" i="7"/>
  <c r="GJ3" i="7"/>
  <c r="GI3" i="7"/>
  <c r="GG3" i="7"/>
  <c r="GF3" i="7"/>
  <c r="GD3" i="7"/>
  <c r="GC3" i="7"/>
  <c r="GA3" i="7"/>
  <c r="FZ3" i="7"/>
  <c r="GK2" i="7"/>
  <c r="GH2" i="7"/>
  <c r="GE2" i="7"/>
  <c r="GB2" i="7"/>
  <c r="GK1" i="7"/>
  <c r="GJ1" i="7"/>
  <c r="GI1" i="7"/>
  <c r="GH1" i="7"/>
  <c r="GG1" i="7"/>
  <c r="GF1" i="7"/>
  <c r="GE1" i="7"/>
  <c r="GD1" i="7"/>
  <c r="GC1" i="7"/>
  <c r="GB1" i="7"/>
  <c r="GA1" i="7"/>
  <c r="FZ1" i="7"/>
  <c r="I69" i="6"/>
  <c r="I70" i="6"/>
  <c r="I71" i="6"/>
  <c r="I72" i="6"/>
  <c r="I73" i="6"/>
  <c r="H69" i="6"/>
  <c r="H70" i="6"/>
  <c r="H71" i="6"/>
  <c r="H72" i="6"/>
  <c r="H73" i="6"/>
  <c r="I63" i="6"/>
  <c r="I64" i="6"/>
  <c r="I65" i="6"/>
  <c r="I66" i="6"/>
  <c r="I67" i="6"/>
  <c r="H62" i="6"/>
  <c r="H63" i="6"/>
  <c r="H64" i="6"/>
  <c r="H65" i="6"/>
  <c r="H66" i="6"/>
  <c r="H67" i="6"/>
  <c r="FX51" i="7"/>
  <c r="FW51" i="7"/>
  <c r="FU51" i="7"/>
  <c r="FT51" i="7"/>
  <c r="FR51" i="7"/>
  <c r="FQ51" i="7"/>
  <c r="FO51" i="7"/>
  <c r="FN51" i="7"/>
  <c r="FL51" i="7"/>
  <c r="FK51" i="7"/>
  <c r="FI51" i="7"/>
  <c r="FH51" i="7"/>
  <c r="FX50" i="7"/>
  <c r="FW50" i="7"/>
  <c r="FU50" i="7"/>
  <c r="FT50" i="7"/>
  <c r="FR50" i="7"/>
  <c r="FQ50" i="7"/>
  <c r="FO50" i="7"/>
  <c r="FN50" i="7"/>
  <c r="FL50" i="7"/>
  <c r="FK50" i="7"/>
  <c r="FI50" i="7"/>
  <c r="FH50" i="7"/>
  <c r="FX49" i="7"/>
  <c r="FW49" i="7"/>
  <c r="FU49" i="7"/>
  <c r="FT49" i="7"/>
  <c r="FR49" i="7"/>
  <c r="FQ49" i="7"/>
  <c r="FO49" i="7"/>
  <c r="FN49" i="7"/>
  <c r="FL49" i="7"/>
  <c r="FK49" i="7"/>
  <c r="FI49" i="7"/>
  <c r="FH49" i="7"/>
  <c r="FX48" i="7"/>
  <c r="FW48" i="7"/>
  <c r="FU48" i="7"/>
  <c r="FT48" i="7"/>
  <c r="FR48" i="7"/>
  <c r="FQ48" i="7"/>
  <c r="FO48" i="7"/>
  <c r="FN48" i="7"/>
  <c r="FL48" i="7"/>
  <c r="FK48" i="7"/>
  <c r="FI48" i="7"/>
  <c r="FH48" i="7"/>
  <c r="FX47" i="7"/>
  <c r="FW47" i="7"/>
  <c r="FU47" i="7"/>
  <c r="FT47" i="7"/>
  <c r="FR47" i="7"/>
  <c r="FQ47" i="7"/>
  <c r="FO47" i="7"/>
  <c r="FN47" i="7"/>
  <c r="FL47" i="7"/>
  <c r="FK47" i="7"/>
  <c r="FI47" i="7"/>
  <c r="FH47" i="7"/>
  <c r="FX46" i="7"/>
  <c r="FW46" i="7"/>
  <c r="FU46" i="7"/>
  <c r="FT46" i="7"/>
  <c r="FR46" i="7"/>
  <c r="FQ46" i="7"/>
  <c r="FO46" i="7"/>
  <c r="FN46" i="7"/>
  <c r="FL46" i="7"/>
  <c r="FK46" i="7"/>
  <c r="FI46" i="7"/>
  <c r="FH46" i="7"/>
  <c r="FX45" i="7"/>
  <c r="FW45" i="7"/>
  <c r="FU45" i="7"/>
  <c r="FT45" i="7"/>
  <c r="FR45" i="7"/>
  <c r="FQ45" i="7"/>
  <c r="FO45" i="7"/>
  <c r="FN45" i="7"/>
  <c r="FL45" i="7"/>
  <c r="FK45" i="7"/>
  <c r="FI45" i="7"/>
  <c r="FH45" i="7"/>
  <c r="FX44" i="7"/>
  <c r="FW44" i="7"/>
  <c r="FU44" i="7"/>
  <c r="FT44" i="7"/>
  <c r="FR44" i="7"/>
  <c r="FQ44" i="7"/>
  <c r="FO44" i="7"/>
  <c r="FN44" i="7"/>
  <c r="FL44" i="7"/>
  <c r="FK44" i="7"/>
  <c r="FI44" i="7"/>
  <c r="FH44" i="7"/>
  <c r="FX43" i="7"/>
  <c r="FW43" i="7"/>
  <c r="FU43" i="7"/>
  <c r="FT43" i="7"/>
  <c r="FR43" i="7"/>
  <c r="FQ43" i="7"/>
  <c r="FO43" i="7"/>
  <c r="FN43" i="7"/>
  <c r="FL43" i="7"/>
  <c r="FK43" i="7"/>
  <c r="FI43" i="7"/>
  <c r="FH43" i="7"/>
  <c r="FX42" i="7"/>
  <c r="FW42" i="7"/>
  <c r="FU42" i="7"/>
  <c r="FT42" i="7"/>
  <c r="FR42" i="7"/>
  <c r="FQ42" i="7"/>
  <c r="FO42" i="7"/>
  <c r="FN42" i="7"/>
  <c r="FL42" i="7"/>
  <c r="FK42" i="7"/>
  <c r="FI42" i="7"/>
  <c r="FH42" i="7"/>
  <c r="FX41" i="7"/>
  <c r="FW41" i="7"/>
  <c r="FU41" i="7"/>
  <c r="FT41" i="7"/>
  <c r="FR41" i="7"/>
  <c r="FQ41" i="7"/>
  <c r="FO41" i="7"/>
  <c r="FN41" i="7"/>
  <c r="FL41" i="7"/>
  <c r="FK41" i="7"/>
  <c r="FI41" i="7"/>
  <c r="FH41" i="7"/>
  <c r="FX40" i="7"/>
  <c r="FW40" i="7"/>
  <c r="FU40" i="7"/>
  <c r="FT40" i="7"/>
  <c r="FR40" i="7"/>
  <c r="FQ40" i="7"/>
  <c r="FO40" i="7"/>
  <c r="FN40" i="7"/>
  <c r="FL40" i="7"/>
  <c r="FK40" i="7"/>
  <c r="FI40" i="7"/>
  <c r="FH40" i="7"/>
  <c r="FX39" i="7"/>
  <c r="FW39" i="7"/>
  <c r="FU39" i="7"/>
  <c r="FT39" i="7"/>
  <c r="FR39" i="7"/>
  <c r="FQ39" i="7"/>
  <c r="FO39" i="7"/>
  <c r="FN39" i="7"/>
  <c r="FL39" i="7"/>
  <c r="FK39" i="7"/>
  <c r="FI39" i="7"/>
  <c r="FH39" i="7"/>
  <c r="FX38" i="7"/>
  <c r="FW38" i="7"/>
  <c r="FU38" i="7"/>
  <c r="FT38" i="7"/>
  <c r="FR38" i="7"/>
  <c r="FQ38" i="7"/>
  <c r="FO38" i="7"/>
  <c r="FN38" i="7"/>
  <c r="FL38" i="7"/>
  <c r="FK38" i="7"/>
  <c r="FI38" i="7"/>
  <c r="FH38" i="7"/>
  <c r="FX37" i="7"/>
  <c r="FW37" i="7"/>
  <c r="FU37" i="7"/>
  <c r="FT37" i="7"/>
  <c r="FR37" i="7"/>
  <c r="FQ37" i="7"/>
  <c r="FO37" i="7"/>
  <c r="FN37" i="7"/>
  <c r="FL37" i="7"/>
  <c r="FK37" i="7"/>
  <c r="FI37" i="7"/>
  <c r="FH37" i="7"/>
  <c r="FX36" i="7"/>
  <c r="FW36" i="7"/>
  <c r="FU36" i="7"/>
  <c r="FT36" i="7"/>
  <c r="FR36" i="7"/>
  <c r="FQ36" i="7"/>
  <c r="FO36" i="7"/>
  <c r="FN36" i="7"/>
  <c r="FL36" i="7"/>
  <c r="FK36" i="7"/>
  <c r="FI36" i="7"/>
  <c r="FH36" i="7"/>
  <c r="FX35" i="7"/>
  <c r="FW35" i="7"/>
  <c r="FU35" i="7"/>
  <c r="FT35" i="7"/>
  <c r="FR35" i="7"/>
  <c r="FQ35" i="7"/>
  <c r="FO35" i="7"/>
  <c r="FN35" i="7"/>
  <c r="FL35" i="7"/>
  <c r="FK35" i="7"/>
  <c r="FI35" i="7"/>
  <c r="FH35" i="7"/>
  <c r="FX34" i="7"/>
  <c r="FW34" i="7"/>
  <c r="FU34" i="7"/>
  <c r="FT34" i="7"/>
  <c r="FR34" i="7"/>
  <c r="FQ34" i="7"/>
  <c r="FO34" i="7"/>
  <c r="FN34" i="7"/>
  <c r="FL34" i="7"/>
  <c r="FK34" i="7"/>
  <c r="FI34" i="7"/>
  <c r="FH34" i="7"/>
  <c r="FX33" i="7"/>
  <c r="FW33" i="7"/>
  <c r="FU33" i="7"/>
  <c r="FT33" i="7"/>
  <c r="FR33" i="7"/>
  <c r="FQ33" i="7"/>
  <c r="FO33" i="7"/>
  <c r="FN33" i="7"/>
  <c r="FL33" i="7"/>
  <c r="FK33" i="7"/>
  <c r="FI33" i="7"/>
  <c r="FH33" i="7"/>
  <c r="FX32" i="7"/>
  <c r="FW32" i="7"/>
  <c r="FU32" i="7"/>
  <c r="FT32" i="7"/>
  <c r="FR32" i="7"/>
  <c r="FQ32" i="7"/>
  <c r="FO32" i="7"/>
  <c r="FN32" i="7"/>
  <c r="FL32" i="7"/>
  <c r="FK32" i="7"/>
  <c r="FI32" i="7"/>
  <c r="FH32" i="7"/>
  <c r="FX31" i="7"/>
  <c r="FW31" i="7"/>
  <c r="FU31" i="7"/>
  <c r="FT31" i="7"/>
  <c r="FR31" i="7"/>
  <c r="FQ31" i="7"/>
  <c r="FO31" i="7"/>
  <c r="FN31" i="7"/>
  <c r="FL31" i="7"/>
  <c r="FK31" i="7"/>
  <c r="FI31" i="7"/>
  <c r="FH31" i="7"/>
  <c r="FX30" i="7"/>
  <c r="FW30" i="7"/>
  <c r="FU30" i="7"/>
  <c r="FT30" i="7"/>
  <c r="FR30" i="7"/>
  <c r="FQ30" i="7"/>
  <c r="FO30" i="7"/>
  <c r="FN30" i="7"/>
  <c r="FL30" i="7"/>
  <c r="FK30" i="7"/>
  <c r="FI30" i="7"/>
  <c r="FH30" i="7"/>
  <c r="FX29" i="7"/>
  <c r="FW29" i="7"/>
  <c r="FU29" i="7"/>
  <c r="FT29" i="7"/>
  <c r="FR29" i="7"/>
  <c r="FQ29" i="7"/>
  <c r="FO29" i="7"/>
  <c r="FN29" i="7"/>
  <c r="FL29" i="7"/>
  <c r="FK29" i="7"/>
  <c r="FI29" i="7"/>
  <c r="FH29" i="7"/>
  <c r="FX28" i="7"/>
  <c r="FW28" i="7"/>
  <c r="FU28" i="7"/>
  <c r="FT28" i="7"/>
  <c r="FR28" i="7"/>
  <c r="FQ28" i="7"/>
  <c r="FO28" i="7"/>
  <c r="FN28" i="7"/>
  <c r="FL28" i="7"/>
  <c r="FK28" i="7"/>
  <c r="FI28" i="7"/>
  <c r="FH28" i="7"/>
  <c r="FX27" i="7"/>
  <c r="FW27" i="7"/>
  <c r="FU27" i="7"/>
  <c r="FT27" i="7"/>
  <c r="FR27" i="7"/>
  <c r="FQ27" i="7"/>
  <c r="FO27" i="7"/>
  <c r="FN27" i="7"/>
  <c r="FL27" i="7"/>
  <c r="FK27" i="7"/>
  <c r="FI27" i="7"/>
  <c r="FH27" i="7"/>
  <c r="FX26" i="7"/>
  <c r="FW26" i="7"/>
  <c r="FU26" i="7"/>
  <c r="FT26" i="7"/>
  <c r="FR26" i="7"/>
  <c r="FQ26" i="7"/>
  <c r="FO26" i="7"/>
  <c r="FN26" i="7"/>
  <c r="FL26" i="7"/>
  <c r="FK26" i="7"/>
  <c r="FI26" i="7"/>
  <c r="FH26" i="7"/>
  <c r="FX25" i="7"/>
  <c r="FW25" i="7"/>
  <c r="FU25" i="7"/>
  <c r="FT25" i="7"/>
  <c r="FR25" i="7"/>
  <c r="FQ25" i="7"/>
  <c r="FO25" i="7"/>
  <c r="FN25" i="7"/>
  <c r="FL25" i="7"/>
  <c r="FK25" i="7"/>
  <c r="FI25" i="7"/>
  <c r="FH25" i="7"/>
  <c r="FX24" i="7"/>
  <c r="FW24" i="7"/>
  <c r="FU24" i="7"/>
  <c r="FT24" i="7"/>
  <c r="FR24" i="7"/>
  <c r="FQ24" i="7"/>
  <c r="FO24" i="7"/>
  <c r="FN24" i="7"/>
  <c r="FL24" i="7"/>
  <c r="FK24" i="7"/>
  <c r="FI24" i="7"/>
  <c r="FH24" i="7"/>
  <c r="FX23" i="7"/>
  <c r="FW23" i="7"/>
  <c r="FU23" i="7"/>
  <c r="FT23" i="7"/>
  <c r="FR23" i="7"/>
  <c r="FQ23" i="7"/>
  <c r="FO23" i="7"/>
  <c r="FN23" i="7"/>
  <c r="FL23" i="7"/>
  <c r="FK23" i="7"/>
  <c r="FI23" i="7"/>
  <c r="FH23" i="7"/>
  <c r="FX22" i="7"/>
  <c r="FW22" i="7"/>
  <c r="FU22" i="7"/>
  <c r="FT22" i="7"/>
  <c r="FR22" i="7"/>
  <c r="FQ22" i="7"/>
  <c r="FO22" i="7"/>
  <c r="FN22" i="7"/>
  <c r="FL22" i="7"/>
  <c r="FK22" i="7"/>
  <c r="FI22" i="7"/>
  <c r="FH22" i="7"/>
  <c r="FX21" i="7"/>
  <c r="FW21" i="7"/>
  <c r="FU21" i="7"/>
  <c r="FT21" i="7"/>
  <c r="FR21" i="7"/>
  <c r="FQ21" i="7"/>
  <c r="FO21" i="7"/>
  <c r="FN21" i="7"/>
  <c r="FL21" i="7"/>
  <c r="FK21" i="7"/>
  <c r="FI21" i="7"/>
  <c r="FH21" i="7"/>
  <c r="FX20" i="7"/>
  <c r="FW20" i="7"/>
  <c r="FU20" i="7"/>
  <c r="FT20" i="7"/>
  <c r="FR20" i="7"/>
  <c r="FQ20" i="7"/>
  <c r="FO20" i="7"/>
  <c r="FN20" i="7"/>
  <c r="FL20" i="7"/>
  <c r="FK20" i="7"/>
  <c r="FI20" i="7"/>
  <c r="FH20" i="7"/>
  <c r="FX19" i="7"/>
  <c r="FW19" i="7"/>
  <c r="FU19" i="7"/>
  <c r="FT19" i="7"/>
  <c r="FR19" i="7"/>
  <c r="FQ19" i="7"/>
  <c r="FO19" i="7"/>
  <c r="FN19" i="7"/>
  <c r="FL19" i="7"/>
  <c r="FK19" i="7"/>
  <c r="FI19" i="7"/>
  <c r="FH19" i="7"/>
  <c r="FX18" i="7"/>
  <c r="FW18" i="7"/>
  <c r="FU18" i="7"/>
  <c r="FT18" i="7"/>
  <c r="FR18" i="7"/>
  <c r="FQ18" i="7"/>
  <c r="FO18" i="7"/>
  <c r="FN18" i="7"/>
  <c r="FL18" i="7"/>
  <c r="FK18" i="7"/>
  <c r="FI18" i="7"/>
  <c r="FH18" i="7"/>
  <c r="FX17" i="7"/>
  <c r="FW17" i="7"/>
  <c r="FU17" i="7"/>
  <c r="FT17" i="7"/>
  <c r="FR17" i="7"/>
  <c r="FQ17" i="7"/>
  <c r="FO17" i="7"/>
  <c r="FN17" i="7"/>
  <c r="FL17" i="7"/>
  <c r="FK17" i="7"/>
  <c r="FI17" i="7"/>
  <c r="FH17" i="7"/>
  <c r="FX16" i="7"/>
  <c r="FW16" i="7"/>
  <c r="FU16" i="7"/>
  <c r="FT16" i="7"/>
  <c r="FR16" i="7"/>
  <c r="FQ16" i="7"/>
  <c r="FO16" i="7"/>
  <c r="FN16" i="7"/>
  <c r="FL16" i="7"/>
  <c r="FK16" i="7"/>
  <c r="FI16" i="7"/>
  <c r="FH16" i="7"/>
  <c r="FX15" i="7"/>
  <c r="FW15" i="7"/>
  <c r="FU15" i="7"/>
  <c r="FT15" i="7"/>
  <c r="FR15" i="7"/>
  <c r="FQ15" i="7"/>
  <c r="FO15" i="7"/>
  <c r="FN15" i="7"/>
  <c r="FL15" i="7"/>
  <c r="FK15" i="7"/>
  <c r="FI15" i="7"/>
  <c r="FH15" i="7"/>
  <c r="FX14" i="7"/>
  <c r="FW14" i="7"/>
  <c r="FU14" i="7"/>
  <c r="FT14" i="7"/>
  <c r="FR14" i="7"/>
  <c r="FQ14" i="7"/>
  <c r="FO14" i="7"/>
  <c r="FN14" i="7"/>
  <c r="FL14" i="7"/>
  <c r="FK14" i="7"/>
  <c r="FI14" i="7"/>
  <c r="FH14" i="7"/>
  <c r="FX13" i="7"/>
  <c r="FW13" i="7"/>
  <c r="FU13" i="7"/>
  <c r="FT13" i="7"/>
  <c r="FR13" i="7"/>
  <c r="FQ13" i="7"/>
  <c r="FO13" i="7"/>
  <c r="FN13" i="7"/>
  <c r="FL13" i="7"/>
  <c r="FK13" i="7"/>
  <c r="FI13" i="7"/>
  <c r="FH13" i="7"/>
  <c r="FX12" i="7"/>
  <c r="FW12" i="7"/>
  <c r="FU12" i="7"/>
  <c r="FT12" i="7"/>
  <c r="FR12" i="7"/>
  <c r="FQ12" i="7"/>
  <c r="FO12" i="7"/>
  <c r="FN12" i="7"/>
  <c r="FL12" i="7"/>
  <c r="FK12" i="7"/>
  <c r="FI12" i="7"/>
  <c r="FH12" i="7"/>
  <c r="FX11" i="7"/>
  <c r="FW11" i="7"/>
  <c r="FU11" i="7"/>
  <c r="FT11" i="7"/>
  <c r="FR11" i="7"/>
  <c r="FQ11" i="7"/>
  <c r="FO11" i="7"/>
  <c r="FN11" i="7"/>
  <c r="FL11" i="7"/>
  <c r="FK11" i="7"/>
  <c r="FI11" i="7"/>
  <c r="FH11" i="7"/>
  <c r="FX10" i="7"/>
  <c r="FW10" i="7"/>
  <c r="FU10" i="7"/>
  <c r="FT10" i="7"/>
  <c r="FR10" i="7"/>
  <c r="FQ10" i="7"/>
  <c r="FO10" i="7"/>
  <c r="FN10" i="7"/>
  <c r="FL10" i="7"/>
  <c r="FK10" i="7"/>
  <c r="FI10" i="7"/>
  <c r="FH10" i="7"/>
  <c r="FX9" i="7"/>
  <c r="FW9" i="7"/>
  <c r="FU9" i="7"/>
  <c r="FT9" i="7"/>
  <c r="FR9" i="7"/>
  <c r="FQ9" i="7"/>
  <c r="FO9" i="7"/>
  <c r="FN9" i="7"/>
  <c r="FL9" i="7"/>
  <c r="FK9" i="7"/>
  <c r="FI9" i="7"/>
  <c r="FH9" i="7"/>
  <c r="FX8" i="7"/>
  <c r="FW8" i="7"/>
  <c r="FU8" i="7"/>
  <c r="FT8" i="7"/>
  <c r="FR8" i="7"/>
  <c r="FQ8" i="7"/>
  <c r="FO8" i="7"/>
  <c r="FN8" i="7"/>
  <c r="FL8" i="7"/>
  <c r="FK8" i="7"/>
  <c r="FI8" i="7"/>
  <c r="FH8" i="7"/>
  <c r="FX7" i="7"/>
  <c r="FW7" i="7"/>
  <c r="FU7" i="7"/>
  <c r="FT7" i="7"/>
  <c r="FR7" i="7"/>
  <c r="FQ7" i="7"/>
  <c r="FO7" i="7"/>
  <c r="FN7" i="7"/>
  <c r="FL7" i="7"/>
  <c r="FK7" i="7"/>
  <c r="FI7" i="7"/>
  <c r="FH7" i="7"/>
  <c r="FX6" i="7"/>
  <c r="FW6" i="7"/>
  <c r="FU6" i="7"/>
  <c r="FT6" i="7"/>
  <c r="FR6" i="7"/>
  <c r="FQ6" i="7"/>
  <c r="FO6" i="7"/>
  <c r="FN6" i="7"/>
  <c r="FL6" i="7"/>
  <c r="FK6" i="7"/>
  <c r="FI6" i="7"/>
  <c r="FH6" i="7"/>
  <c r="FX5" i="7"/>
  <c r="FW5" i="7"/>
  <c r="FU5" i="7"/>
  <c r="FT5" i="7"/>
  <c r="FR5" i="7"/>
  <c r="FQ5" i="7"/>
  <c r="FO5" i="7"/>
  <c r="FN5" i="7"/>
  <c r="FL5" i="7"/>
  <c r="FK5" i="7"/>
  <c r="FI5" i="7"/>
  <c r="FH5" i="7"/>
  <c r="FX4" i="7"/>
  <c r="FW4" i="7"/>
  <c r="FU4" i="7"/>
  <c r="FT4" i="7"/>
  <c r="FR4" i="7"/>
  <c r="FQ4" i="7"/>
  <c r="FO4" i="7"/>
  <c r="FN4" i="7"/>
  <c r="FL4" i="7"/>
  <c r="FK4" i="7"/>
  <c r="FI4" i="7"/>
  <c r="FH4" i="7"/>
  <c r="FX3" i="7"/>
  <c r="FW3" i="7"/>
  <c r="FU3" i="7"/>
  <c r="FT3" i="7"/>
  <c r="FR3" i="7"/>
  <c r="FQ3" i="7"/>
  <c r="FO3" i="7"/>
  <c r="FN3" i="7"/>
  <c r="FL3" i="7"/>
  <c r="FK3" i="7"/>
  <c r="FI3" i="7"/>
  <c r="FH3" i="7"/>
  <c r="FY2" i="7"/>
  <c r="FV2" i="7"/>
  <c r="FS2" i="7"/>
  <c r="FP2" i="7"/>
  <c r="FM2" i="7"/>
  <c r="FJ2" i="7"/>
  <c r="FY1" i="7"/>
  <c r="FX1" i="7"/>
  <c r="FW1" i="7"/>
  <c r="FV1" i="7"/>
  <c r="FU1" i="7"/>
  <c r="FT1" i="7"/>
  <c r="FS1" i="7"/>
  <c r="FR1" i="7"/>
  <c r="FQ1" i="7"/>
  <c r="FP1" i="7"/>
  <c r="FO1" i="7"/>
  <c r="FN1" i="7"/>
  <c r="FM1" i="7"/>
  <c r="FL1" i="7"/>
  <c r="FK1" i="7"/>
  <c r="FJ1" i="7"/>
  <c r="FI1" i="7"/>
  <c r="FH1" i="7"/>
  <c r="I62" i="6"/>
  <c r="I68" i="6"/>
  <c r="H68" i="6"/>
  <c r="B2" i="1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FG2" i="7" l="1"/>
  <c r="FD2" i="7"/>
  <c r="FA2" i="7"/>
  <c r="EX2" i="7"/>
  <c r="EU2" i="7"/>
  <c r="ER2" i="7"/>
  <c r="FG1" i="7"/>
  <c r="FF1" i="7"/>
  <c r="FE1" i="7"/>
  <c r="FD1" i="7"/>
  <c r="FC1" i="7"/>
  <c r="FB1" i="7"/>
  <c r="FA1" i="7"/>
  <c r="EZ1" i="7"/>
  <c r="EY1" i="7"/>
  <c r="EX1" i="7"/>
  <c r="EW1" i="7"/>
  <c r="EV1" i="7"/>
  <c r="EU1" i="7"/>
  <c r="ET1" i="7"/>
  <c r="ES1" i="7"/>
  <c r="ER1" i="7"/>
  <c r="EQ1" i="7"/>
  <c r="EP1" i="7"/>
  <c r="I24" i="1"/>
  <c r="I16" i="1"/>
  <c r="I8" i="1"/>
  <c r="EW2" i="10"/>
  <c r="EW2" i="7" s="1"/>
  <c r="I20" i="1"/>
  <c r="I1" i="1"/>
  <c r="EE2" i="10"/>
  <c r="EE2" i="7" s="1"/>
  <c r="EM2" i="10"/>
  <c r="EM2" i="7" s="1"/>
  <c r="ED2" i="10"/>
  <c r="ED2" i="7" s="1"/>
  <c r="EJ2" i="10"/>
  <c r="EJ2" i="7" s="1"/>
  <c r="EO2" i="7"/>
  <c r="EL2" i="7"/>
  <c r="EI2" i="7"/>
  <c r="EF2" i="7"/>
  <c r="EO1" i="7"/>
  <c r="EN1" i="7"/>
  <c r="EM1" i="7"/>
  <c r="EL1" i="7"/>
  <c r="EK1" i="7"/>
  <c r="EJ1" i="7"/>
  <c r="EI1" i="7"/>
  <c r="EH1" i="7"/>
  <c r="EG1" i="7"/>
  <c r="EF1" i="7"/>
  <c r="EE1" i="7"/>
  <c r="ED1" i="7"/>
  <c r="I12" i="1"/>
  <c r="I4" i="1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45" i="6"/>
  <c r="EA2" i="10"/>
  <c r="EA2" i="7" s="1"/>
  <c r="D2" i="7"/>
  <c r="G2" i="7"/>
  <c r="J2" i="7"/>
  <c r="M2" i="7"/>
  <c r="P2" i="7"/>
  <c r="S2" i="7"/>
  <c r="V2" i="7"/>
  <c r="Y2" i="7"/>
  <c r="AB2" i="7"/>
  <c r="AE2" i="7"/>
  <c r="AH2" i="7"/>
  <c r="AK2" i="7"/>
  <c r="AN2" i="7"/>
  <c r="AQ2" i="7"/>
  <c r="AT2" i="7"/>
  <c r="AW2" i="7"/>
  <c r="AZ2" i="7"/>
  <c r="BC2" i="7"/>
  <c r="BF2" i="7"/>
  <c r="BI2" i="7"/>
  <c r="BL2" i="7"/>
  <c r="BO2" i="7"/>
  <c r="BR2" i="7"/>
  <c r="BU2" i="7"/>
  <c r="BX2" i="7"/>
  <c r="CA2" i="7"/>
  <c r="CD2" i="7"/>
  <c r="CG2" i="7"/>
  <c r="CJ2" i="7"/>
  <c r="CM2" i="7"/>
  <c r="CP2" i="7"/>
  <c r="CS2" i="7"/>
  <c r="CV2" i="7"/>
  <c r="CY2" i="7"/>
  <c r="DB2" i="7"/>
  <c r="DE2" i="7"/>
  <c r="DH2" i="7"/>
  <c r="DK2" i="7"/>
  <c r="DN2" i="7"/>
  <c r="DQ2" i="7"/>
  <c r="DT2" i="7"/>
  <c r="DW2" i="7"/>
  <c r="DZ2" i="7"/>
  <c r="EC2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DC1" i="7"/>
  <c r="DD1" i="7"/>
  <c r="DE1" i="7"/>
  <c r="DF1" i="7"/>
  <c r="DG1" i="7"/>
  <c r="DH1" i="7"/>
  <c r="DI1" i="7"/>
  <c r="DJ1" i="7"/>
  <c r="DK1" i="7"/>
  <c r="DL1" i="7"/>
  <c r="DM1" i="7"/>
  <c r="DN1" i="7"/>
  <c r="DO1" i="7"/>
  <c r="DP1" i="7"/>
  <c r="DQ1" i="7"/>
  <c r="DR1" i="7"/>
  <c r="DS1" i="7"/>
  <c r="DT1" i="7"/>
  <c r="DU1" i="7"/>
  <c r="DV1" i="7"/>
  <c r="DW1" i="7"/>
  <c r="DX1" i="7"/>
  <c r="DY1" i="7"/>
  <c r="DZ1" i="7"/>
  <c r="EA1" i="7"/>
  <c r="EB1" i="7"/>
  <c r="EC1" i="7"/>
  <c r="B1" i="7"/>
  <c r="DR2" i="10"/>
  <c r="DR2" i="7" s="1"/>
  <c r="HH51" i="10"/>
  <c r="HG51" i="10"/>
  <c r="HE51" i="10"/>
  <c r="HD51" i="10"/>
  <c r="HB51" i="10"/>
  <c r="HA51" i="10"/>
  <c r="GY51" i="10"/>
  <c r="GX51" i="10"/>
  <c r="GV51" i="10"/>
  <c r="GU51" i="10"/>
  <c r="GS51" i="10"/>
  <c r="GR51" i="10"/>
  <c r="GP51" i="10"/>
  <c r="GO51" i="10"/>
  <c r="GM51" i="10"/>
  <c r="GL51" i="10"/>
  <c r="GJ51" i="10"/>
  <c r="GI51" i="10"/>
  <c r="GG51" i="10"/>
  <c r="GF51" i="10"/>
  <c r="GD51" i="10"/>
  <c r="GC51" i="10"/>
  <c r="GA51" i="10"/>
  <c r="FZ51" i="10"/>
  <c r="FX51" i="10"/>
  <c r="FW51" i="10"/>
  <c r="FU51" i="10"/>
  <c r="FT51" i="10"/>
  <c r="FR51" i="10"/>
  <c r="FQ51" i="10"/>
  <c r="FO51" i="10"/>
  <c r="FN51" i="10"/>
  <c r="FL51" i="10"/>
  <c r="FK51" i="10"/>
  <c r="FI51" i="10"/>
  <c r="FH51" i="10"/>
  <c r="FF51" i="10"/>
  <c r="FF51" i="7" s="1"/>
  <c r="FE51" i="10"/>
  <c r="FE51" i="7" s="1"/>
  <c r="FC51" i="10"/>
  <c r="FC51" i="7" s="1"/>
  <c r="FB51" i="10"/>
  <c r="FB51" i="7" s="1"/>
  <c r="EZ51" i="10"/>
  <c r="EZ51" i="7" s="1"/>
  <c r="EY51" i="10"/>
  <c r="EY51" i="7" s="1"/>
  <c r="EW51" i="10"/>
  <c r="EW51" i="7" s="1"/>
  <c r="EV51" i="10"/>
  <c r="EV51" i="7" s="1"/>
  <c r="ET51" i="10"/>
  <c r="ET51" i="7" s="1"/>
  <c r="ES51" i="10"/>
  <c r="ES51" i="7" s="1"/>
  <c r="EQ51" i="10"/>
  <c r="EQ51" i="7" s="1"/>
  <c r="EP51" i="10"/>
  <c r="EP51" i="7" s="1"/>
  <c r="EN51" i="10"/>
  <c r="EN51" i="7" s="1"/>
  <c r="EM51" i="10"/>
  <c r="EM51" i="7" s="1"/>
  <c r="EK51" i="10"/>
  <c r="EK51" i="7" s="1"/>
  <c r="EJ51" i="10"/>
  <c r="EJ51" i="7" s="1"/>
  <c r="EH51" i="10"/>
  <c r="EH51" i="7" s="1"/>
  <c r="EG51" i="10"/>
  <c r="EG51" i="7" s="1"/>
  <c r="EE51" i="10"/>
  <c r="EE51" i="7" s="1"/>
  <c r="ED51" i="10"/>
  <c r="ED51" i="7" s="1"/>
  <c r="EB51" i="10"/>
  <c r="EB51" i="7" s="1"/>
  <c r="EA51" i="10"/>
  <c r="EA51" i="7" s="1"/>
  <c r="DY51" i="10"/>
  <c r="DY51" i="7" s="1"/>
  <c r="DX51" i="10"/>
  <c r="DX51" i="7" s="1"/>
  <c r="DV51" i="10"/>
  <c r="DV51" i="7" s="1"/>
  <c r="DU51" i="10"/>
  <c r="DU51" i="7" s="1"/>
  <c r="DS51" i="10"/>
  <c r="DS51" i="7" s="1"/>
  <c r="DR51" i="10"/>
  <c r="DR51" i="7" s="1"/>
  <c r="DP51" i="10"/>
  <c r="DP51" i="7" s="1"/>
  <c r="DO51" i="10"/>
  <c r="DO51" i="7" s="1"/>
  <c r="DM51" i="10"/>
  <c r="DM51" i="7" s="1"/>
  <c r="DL51" i="10"/>
  <c r="DL51" i="7" s="1"/>
  <c r="DJ51" i="10"/>
  <c r="DJ51" i="7" s="1"/>
  <c r="DI51" i="10"/>
  <c r="DI51" i="7" s="1"/>
  <c r="DG51" i="10"/>
  <c r="DG51" i="7" s="1"/>
  <c r="DF51" i="10"/>
  <c r="DF51" i="7" s="1"/>
  <c r="DD51" i="10"/>
  <c r="DD51" i="7" s="1"/>
  <c r="DC51" i="10"/>
  <c r="DC51" i="7" s="1"/>
  <c r="DA51" i="10"/>
  <c r="DA51" i="7" s="1"/>
  <c r="CZ51" i="10"/>
  <c r="CZ51" i="7" s="1"/>
  <c r="CX51" i="10"/>
  <c r="CX51" i="7" s="1"/>
  <c r="CW51" i="10"/>
  <c r="CW51" i="7" s="1"/>
  <c r="CU51" i="10"/>
  <c r="CU51" i="7" s="1"/>
  <c r="CT51" i="10"/>
  <c r="CT51" i="7" s="1"/>
  <c r="CR51" i="10"/>
  <c r="CR51" i="7" s="1"/>
  <c r="CQ51" i="10"/>
  <c r="CQ51" i="7" s="1"/>
  <c r="CO51" i="10"/>
  <c r="CO51" i="7" s="1"/>
  <c r="CN51" i="10"/>
  <c r="CN51" i="7" s="1"/>
  <c r="CL51" i="10"/>
  <c r="CL51" i="7" s="1"/>
  <c r="CK51" i="10"/>
  <c r="CK51" i="7" s="1"/>
  <c r="CI51" i="10"/>
  <c r="CI51" i="7" s="1"/>
  <c r="CH51" i="10"/>
  <c r="CH51" i="7" s="1"/>
  <c r="CF51" i="10"/>
  <c r="CF51" i="7" s="1"/>
  <c r="CE51" i="10"/>
  <c r="CE51" i="7" s="1"/>
  <c r="CC51" i="10"/>
  <c r="CC51" i="7" s="1"/>
  <c r="CB51" i="10"/>
  <c r="CB51" i="7" s="1"/>
  <c r="BZ51" i="10"/>
  <c r="BZ51" i="7" s="1"/>
  <c r="BY51" i="10"/>
  <c r="BY51" i="7" s="1"/>
  <c r="BW51" i="10"/>
  <c r="BW51" i="7" s="1"/>
  <c r="BV51" i="10"/>
  <c r="BV51" i="7" s="1"/>
  <c r="BT51" i="10"/>
  <c r="BT51" i="7" s="1"/>
  <c r="BS51" i="10"/>
  <c r="BS51" i="7" s="1"/>
  <c r="BQ51" i="10"/>
  <c r="BQ51" i="7" s="1"/>
  <c r="BP51" i="10"/>
  <c r="BP51" i="7" s="1"/>
  <c r="BN51" i="10"/>
  <c r="BN51" i="7" s="1"/>
  <c r="BM51" i="10"/>
  <c r="BM51" i="7" s="1"/>
  <c r="BK51" i="10"/>
  <c r="BK51" i="7" s="1"/>
  <c r="BJ51" i="10"/>
  <c r="BJ51" i="7" s="1"/>
  <c r="BH51" i="10"/>
  <c r="BH51" i="7" s="1"/>
  <c r="BG51" i="10"/>
  <c r="BG51" i="7" s="1"/>
  <c r="BE51" i="10"/>
  <c r="BE51" i="7" s="1"/>
  <c r="BD51" i="10"/>
  <c r="BD51" i="7" s="1"/>
  <c r="BB51" i="10"/>
  <c r="BB51" i="7" s="1"/>
  <c r="BA51" i="10"/>
  <c r="BA51" i="7" s="1"/>
  <c r="AY51" i="10"/>
  <c r="AY51" i="7" s="1"/>
  <c r="AX51" i="10"/>
  <c r="AX51" i="7" s="1"/>
  <c r="AV51" i="10"/>
  <c r="AV51" i="7" s="1"/>
  <c r="AU51" i="10"/>
  <c r="AU51" i="7" s="1"/>
  <c r="AS51" i="10"/>
  <c r="AS51" i="7" s="1"/>
  <c r="AR51" i="10"/>
  <c r="AR51" i="7" s="1"/>
  <c r="AP51" i="10"/>
  <c r="AP51" i="7" s="1"/>
  <c r="AO51" i="10"/>
  <c r="AO51" i="7" s="1"/>
  <c r="AM51" i="10"/>
  <c r="AM51" i="7" s="1"/>
  <c r="AL51" i="10"/>
  <c r="AL51" i="7" s="1"/>
  <c r="AJ51" i="10"/>
  <c r="AJ51" i="7" s="1"/>
  <c r="AI51" i="10"/>
  <c r="AI51" i="7" s="1"/>
  <c r="AG51" i="10"/>
  <c r="AG51" i="7" s="1"/>
  <c r="AF51" i="10"/>
  <c r="AF51" i="7" s="1"/>
  <c r="AD51" i="10"/>
  <c r="AD51" i="7" s="1"/>
  <c r="AC51" i="10"/>
  <c r="AC51" i="7" s="1"/>
  <c r="AA51" i="10"/>
  <c r="AA51" i="7" s="1"/>
  <c r="Z51" i="10"/>
  <c r="Z51" i="7" s="1"/>
  <c r="X51" i="10"/>
  <c r="X51" i="7" s="1"/>
  <c r="W51" i="10"/>
  <c r="W51" i="7" s="1"/>
  <c r="U51" i="10"/>
  <c r="U51" i="7" s="1"/>
  <c r="T51" i="10"/>
  <c r="T51" i="7" s="1"/>
  <c r="R51" i="10"/>
  <c r="R51" i="7" s="1"/>
  <c r="Q51" i="10"/>
  <c r="Q51" i="7" s="1"/>
  <c r="O51" i="10"/>
  <c r="O51" i="7" s="1"/>
  <c r="N51" i="10"/>
  <c r="N51" i="7" s="1"/>
  <c r="L51" i="10"/>
  <c r="L51" i="7" s="1"/>
  <c r="K51" i="10"/>
  <c r="K51" i="7" s="1"/>
  <c r="I51" i="10"/>
  <c r="I51" i="7" s="1"/>
  <c r="H51" i="10"/>
  <c r="H51" i="7" s="1"/>
  <c r="F51" i="10"/>
  <c r="F51" i="7" s="1"/>
  <c r="E51" i="10"/>
  <c r="E51" i="7" s="1"/>
  <c r="C51" i="10"/>
  <c r="C51" i="7" s="1"/>
  <c r="B51" i="10"/>
  <c r="B51" i="7" s="1"/>
  <c r="A51" i="10"/>
  <c r="N50" i="1" s="1"/>
  <c r="HH50" i="10"/>
  <c r="HG50" i="10"/>
  <c r="HE50" i="10"/>
  <c r="HD50" i="10"/>
  <c r="HB50" i="10"/>
  <c r="HA50" i="10"/>
  <c r="GY50" i="10"/>
  <c r="GX50" i="10"/>
  <c r="GV50" i="10"/>
  <c r="GU50" i="10"/>
  <c r="GS50" i="10"/>
  <c r="GR50" i="10"/>
  <c r="GP50" i="10"/>
  <c r="GO50" i="10"/>
  <c r="GM50" i="10"/>
  <c r="GL50" i="10"/>
  <c r="GJ50" i="10"/>
  <c r="GI50" i="10"/>
  <c r="GG50" i="10"/>
  <c r="GF50" i="10"/>
  <c r="GD50" i="10"/>
  <c r="GC50" i="10"/>
  <c r="GA50" i="10"/>
  <c r="FZ50" i="10"/>
  <c r="FX50" i="10"/>
  <c r="FW50" i="10"/>
  <c r="FU50" i="10"/>
  <c r="FT50" i="10"/>
  <c r="FR50" i="10"/>
  <c r="FQ50" i="10"/>
  <c r="FO50" i="10"/>
  <c r="FN50" i="10"/>
  <c r="FL50" i="10"/>
  <c r="FK50" i="10"/>
  <c r="FI50" i="10"/>
  <c r="FH50" i="10"/>
  <c r="FF50" i="10"/>
  <c r="FF50" i="7" s="1"/>
  <c r="FE50" i="10"/>
  <c r="FE50" i="7" s="1"/>
  <c r="FC50" i="10"/>
  <c r="FC50" i="7" s="1"/>
  <c r="FB50" i="10"/>
  <c r="FB50" i="7" s="1"/>
  <c r="EZ50" i="10"/>
  <c r="EZ50" i="7" s="1"/>
  <c r="EY50" i="10"/>
  <c r="EY50" i="7" s="1"/>
  <c r="EW50" i="10"/>
  <c r="EW50" i="7" s="1"/>
  <c r="EV50" i="10"/>
  <c r="EV50" i="7" s="1"/>
  <c r="ET50" i="10"/>
  <c r="ET50" i="7" s="1"/>
  <c r="ES50" i="10"/>
  <c r="ES50" i="7" s="1"/>
  <c r="EQ50" i="10"/>
  <c r="EQ50" i="7" s="1"/>
  <c r="EP50" i="10"/>
  <c r="EP50" i="7" s="1"/>
  <c r="EN50" i="10"/>
  <c r="EN50" i="7" s="1"/>
  <c r="EM50" i="10"/>
  <c r="EM50" i="7" s="1"/>
  <c r="EK50" i="10"/>
  <c r="EK50" i="7" s="1"/>
  <c r="EJ50" i="10"/>
  <c r="EJ50" i="7" s="1"/>
  <c r="EH50" i="10"/>
  <c r="EH50" i="7" s="1"/>
  <c r="EG50" i="10"/>
  <c r="EG50" i="7" s="1"/>
  <c r="EE50" i="10"/>
  <c r="EE50" i="7" s="1"/>
  <c r="ED50" i="10"/>
  <c r="ED50" i="7" s="1"/>
  <c r="EB50" i="10"/>
  <c r="EB50" i="7" s="1"/>
  <c r="EA50" i="10"/>
  <c r="EA50" i="7" s="1"/>
  <c r="DY50" i="10"/>
  <c r="DY50" i="7" s="1"/>
  <c r="DX50" i="10"/>
  <c r="DX50" i="7" s="1"/>
  <c r="DV50" i="10"/>
  <c r="DV50" i="7" s="1"/>
  <c r="DU50" i="10"/>
  <c r="DU50" i="7" s="1"/>
  <c r="DS50" i="10"/>
  <c r="DS50" i="7" s="1"/>
  <c r="DR50" i="10"/>
  <c r="DR50" i="7" s="1"/>
  <c r="DP50" i="10"/>
  <c r="DP50" i="7" s="1"/>
  <c r="DO50" i="10"/>
  <c r="DO50" i="7" s="1"/>
  <c r="DM50" i="10"/>
  <c r="DM50" i="7" s="1"/>
  <c r="DL50" i="10"/>
  <c r="DL50" i="7" s="1"/>
  <c r="DJ50" i="10"/>
  <c r="DJ50" i="7" s="1"/>
  <c r="DI50" i="10"/>
  <c r="DI50" i="7" s="1"/>
  <c r="DG50" i="10"/>
  <c r="DG50" i="7" s="1"/>
  <c r="DF50" i="10"/>
  <c r="DF50" i="7" s="1"/>
  <c r="DD50" i="10"/>
  <c r="DD50" i="7" s="1"/>
  <c r="DC50" i="10"/>
  <c r="DC50" i="7" s="1"/>
  <c r="DA50" i="10"/>
  <c r="DA50" i="7" s="1"/>
  <c r="CZ50" i="10"/>
  <c r="CZ50" i="7" s="1"/>
  <c r="CX50" i="10"/>
  <c r="CX50" i="7" s="1"/>
  <c r="CW50" i="10"/>
  <c r="CW50" i="7" s="1"/>
  <c r="CU50" i="10"/>
  <c r="CU50" i="7" s="1"/>
  <c r="CT50" i="10"/>
  <c r="CT50" i="7" s="1"/>
  <c r="CR50" i="10"/>
  <c r="CR50" i="7" s="1"/>
  <c r="CQ50" i="10"/>
  <c r="CQ50" i="7" s="1"/>
  <c r="CO50" i="10"/>
  <c r="CO50" i="7" s="1"/>
  <c r="CN50" i="10"/>
  <c r="CN50" i="7" s="1"/>
  <c r="CL50" i="10"/>
  <c r="CL50" i="7" s="1"/>
  <c r="CK50" i="10"/>
  <c r="CK50" i="7" s="1"/>
  <c r="CI50" i="10"/>
  <c r="CI50" i="7" s="1"/>
  <c r="CH50" i="10"/>
  <c r="CH50" i="7" s="1"/>
  <c r="CF50" i="10"/>
  <c r="CF50" i="7" s="1"/>
  <c r="CE50" i="10"/>
  <c r="CE50" i="7" s="1"/>
  <c r="CC50" i="10"/>
  <c r="CC50" i="7" s="1"/>
  <c r="CB50" i="10"/>
  <c r="CB50" i="7" s="1"/>
  <c r="BZ50" i="10"/>
  <c r="BZ50" i="7" s="1"/>
  <c r="BY50" i="10"/>
  <c r="BY50" i="7" s="1"/>
  <c r="BW50" i="10"/>
  <c r="BW50" i="7" s="1"/>
  <c r="BV50" i="10"/>
  <c r="BV50" i="7" s="1"/>
  <c r="BT50" i="10"/>
  <c r="BT50" i="7" s="1"/>
  <c r="BS50" i="10"/>
  <c r="BS50" i="7" s="1"/>
  <c r="BQ50" i="10"/>
  <c r="BQ50" i="7" s="1"/>
  <c r="BP50" i="10"/>
  <c r="BP50" i="7" s="1"/>
  <c r="BN50" i="10"/>
  <c r="BN50" i="7" s="1"/>
  <c r="BM50" i="10"/>
  <c r="BM50" i="7" s="1"/>
  <c r="BK50" i="10"/>
  <c r="BK50" i="7" s="1"/>
  <c r="BJ50" i="10"/>
  <c r="BJ50" i="7" s="1"/>
  <c r="BH50" i="10"/>
  <c r="BH50" i="7" s="1"/>
  <c r="BG50" i="10"/>
  <c r="BG50" i="7" s="1"/>
  <c r="BE50" i="10"/>
  <c r="BE50" i="7" s="1"/>
  <c r="BD50" i="10"/>
  <c r="BD50" i="7" s="1"/>
  <c r="BB50" i="10"/>
  <c r="BB50" i="7" s="1"/>
  <c r="BA50" i="10"/>
  <c r="BA50" i="7" s="1"/>
  <c r="AY50" i="10"/>
  <c r="AY50" i="7" s="1"/>
  <c r="AX50" i="10"/>
  <c r="AX50" i="7" s="1"/>
  <c r="AV50" i="10"/>
  <c r="AV50" i="7" s="1"/>
  <c r="AU50" i="10"/>
  <c r="AU50" i="7" s="1"/>
  <c r="AS50" i="10"/>
  <c r="AS50" i="7" s="1"/>
  <c r="AR50" i="10"/>
  <c r="AR50" i="7" s="1"/>
  <c r="AP50" i="10"/>
  <c r="AP50" i="7" s="1"/>
  <c r="AO50" i="10"/>
  <c r="AO50" i="7" s="1"/>
  <c r="AM50" i="10"/>
  <c r="AM50" i="7" s="1"/>
  <c r="AL50" i="10"/>
  <c r="AL50" i="7" s="1"/>
  <c r="AJ50" i="10"/>
  <c r="AJ50" i="7" s="1"/>
  <c r="AI50" i="10"/>
  <c r="AI50" i="7" s="1"/>
  <c r="AG50" i="10"/>
  <c r="AG50" i="7" s="1"/>
  <c r="AF50" i="10"/>
  <c r="AF50" i="7" s="1"/>
  <c r="AD50" i="10"/>
  <c r="AD50" i="7" s="1"/>
  <c r="AC50" i="10"/>
  <c r="AC50" i="7" s="1"/>
  <c r="AA50" i="10"/>
  <c r="AA50" i="7" s="1"/>
  <c r="Z50" i="10"/>
  <c r="Z50" i="7" s="1"/>
  <c r="X50" i="10"/>
  <c r="X50" i="7" s="1"/>
  <c r="W50" i="10"/>
  <c r="W50" i="7" s="1"/>
  <c r="U50" i="10"/>
  <c r="U50" i="7" s="1"/>
  <c r="T50" i="10"/>
  <c r="T50" i="7" s="1"/>
  <c r="R50" i="10"/>
  <c r="R50" i="7" s="1"/>
  <c r="Q50" i="10"/>
  <c r="Q50" i="7" s="1"/>
  <c r="O50" i="10"/>
  <c r="O50" i="7" s="1"/>
  <c r="N50" i="10"/>
  <c r="N50" i="7" s="1"/>
  <c r="L50" i="10"/>
  <c r="L50" i="7" s="1"/>
  <c r="K50" i="10"/>
  <c r="K50" i="7" s="1"/>
  <c r="I50" i="10"/>
  <c r="I50" i="7" s="1"/>
  <c r="H50" i="10"/>
  <c r="H50" i="7" s="1"/>
  <c r="F50" i="10"/>
  <c r="F50" i="7" s="1"/>
  <c r="E50" i="10"/>
  <c r="E50" i="7" s="1"/>
  <c r="C50" i="10"/>
  <c r="C50" i="7" s="1"/>
  <c r="B50" i="10"/>
  <c r="B50" i="7" s="1"/>
  <c r="A50" i="10"/>
  <c r="A50" i="7" s="1"/>
  <c r="HH49" i="10"/>
  <c r="HG49" i="10"/>
  <c r="HE49" i="10"/>
  <c r="HD49" i="10"/>
  <c r="HB49" i="10"/>
  <c r="HA49" i="10"/>
  <c r="GY49" i="10"/>
  <c r="GX49" i="10"/>
  <c r="GV49" i="10"/>
  <c r="GU49" i="10"/>
  <c r="GS49" i="10"/>
  <c r="GR49" i="10"/>
  <c r="GP49" i="10"/>
  <c r="GO49" i="10"/>
  <c r="GM49" i="10"/>
  <c r="GL49" i="10"/>
  <c r="GJ49" i="10"/>
  <c r="GI49" i="10"/>
  <c r="GG49" i="10"/>
  <c r="GF49" i="10"/>
  <c r="GD49" i="10"/>
  <c r="GC49" i="10"/>
  <c r="GA49" i="10"/>
  <c r="FZ49" i="10"/>
  <c r="FX49" i="10"/>
  <c r="FW49" i="10"/>
  <c r="FU49" i="10"/>
  <c r="FT49" i="10"/>
  <c r="FR49" i="10"/>
  <c r="FQ49" i="10"/>
  <c r="FO49" i="10"/>
  <c r="FN49" i="10"/>
  <c r="FL49" i="10"/>
  <c r="FK49" i="10"/>
  <c r="FI49" i="10"/>
  <c r="FH49" i="10"/>
  <c r="FF49" i="10"/>
  <c r="FF49" i="7" s="1"/>
  <c r="FE49" i="10"/>
  <c r="FE49" i="7" s="1"/>
  <c r="FC49" i="10"/>
  <c r="FC49" i="7" s="1"/>
  <c r="FB49" i="10"/>
  <c r="FB49" i="7" s="1"/>
  <c r="EZ49" i="10"/>
  <c r="EZ49" i="7" s="1"/>
  <c r="EY49" i="10"/>
  <c r="EY49" i="7" s="1"/>
  <c r="EW49" i="10"/>
  <c r="EW49" i="7" s="1"/>
  <c r="EV49" i="10"/>
  <c r="EV49" i="7" s="1"/>
  <c r="ET49" i="10"/>
  <c r="ET49" i="7" s="1"/>
  <c r="ES49" i="10"/>
  <c r="ES49" i="7" s="1"/>
  <c r="EQ49" i="10"/>
  <c r="EQ49" i="7" s="1"/>
  <c r="EP49" i="10"/>
  <c r="EP49" i="7" s="1"/>
  <c r="EN49" i="10"/>
  <c r="EN49" i="7" s="1"/>
  <c r="EM49" i="10"/>
  <c r="EM49" i="7" s="1"/>
  <c r="EK49" i="10"/>
  <c r="EK49" i="7" s="1"/>
  <c r="EJ49" i="10"/>
  <c r="EJ49" i="7" s="1"/>
  <c r="EH49" i="10"/>
  <c r="EH49" i="7" s="1"/>
  <c r="EG49" i="10"/>
  <c r="EG49" i="7" s="1"/>
  <c r="EE49" i="10"/>
  <c r="EE49" i="7" s="1"/>
  <c r="ED49" i="10"/>
  <c r="ED49" i="7" s="1"/>
  <c r="EB49" i="10"/>
  <c r="EB49" i="7" s="1"/>
  <c r="EA49" i="10"/>
  <c r="EA49" i="7" s="1"/>
  <c r="DY49" i="10"/>
  <c r="DY49" i="7" s="1"/>
  <c r="DX49" i="10"/>
  <c r="DX49" i="7" s="1"/>
  <c r="DV49" i="10"/>
  <c r="DV49" i="7" s="1"/>
  <c r="DU49" i="10"/>
  <c r="DU49" i="7" s="1"/>
  <c r="DS49" i="10"/>
  <c r="DS49" i="7" s="1"/>
  <c r="DR49" i="10"/>
  <c r="DR49" i="7" s="1"/>
  <c r="DP49" i="10"/>
  <c r="DP49" i="7" s="1"/>
  <c r="DO49" i="10"/>
  <c r="DO49" i="7" s="1"/>
  <c r="DM49" i="10"/>
  <c r="DM49" i="7" s="1"/>
  <c r="DL49" i="10"/>
  <c r="DL49" i="7" s="1"/>
  <c r="DJ49" i="10"/>
  <c r="DJ49" i="7" s="1"/>
  <c r="DI49" i="10"/>
  <c r="DI49" i="7" s="1"/>
  <c r="DG49" i="10"/>
  <c r="DG49" i="7" s="1"/>
  <c r="DF49" i="10"/>
  <c r="DF49" i="7" s="1"/>
  <c r="DD49" i="10"/>
  <c r="DD49" i="7" s="1"/>
  <c r="DC49" i="10"/>
  <c r="DC49" i="7" s="1"/>
  <c r="DA49" i="10"/>
  <c r="DA49" i="7" s="1"/>
  <c r="CZ49" i="10"/>
  <c r="CZ49" i="7" s="1"/>
  <c r="CX49" i="10"/>
  <c r="CX49" i="7" s="1"/>
  <c r="CW49" i="10"/>
  <c r="CW49" i="7" s="1"/>
  <c r="CU49" i="10"/>
  <c r="CU49" i="7" s="1"/>
  <c r="CT49" i="10"/>
  <c r="CT49" i="7" s="1"/>
  <c r="CR49" i="10"/>
  <c r="CR49" i="7" s="1"/>
  <c r="CQ49" i="10"/>
  <c r="CQ49" i="7" s="1"/>
  <c r="CO49" i="10"/>
  <c r="CO49" i="7" s="1"/>
  <c r="CN49" i="10"/>
  <c r="CN49" i="7" s="1"/>
  <c r="CL49" i="10"/>
  <c r="CL49" i="7" s="1"/>
  <c r="CK49" i="10"/>
  <c r="CK49" i="7" s="1"/>
  <c r="CI49" i="10"/>
  <c r="CI49" i="7" s="1"/>
  <c r="CH49" i="10"/>
  <c r="CH49" i="7" s="1"/>
  <c r="CF49" i="10"/>
  <c r="CF49" i="7" s="1"/>
  <c r="CE49" i="10"/>
  <c r="CE49" i="7" s="1"/>
  <c r="CC49" i="10"/>
  <c r="CC49" i="7" s="1"/>
  <c r="CB49" i="10"/>
  <c r="CB49" i="7" s="1"/>
  <c r="BZ49" i="10"/>
  <c r="BZ49" i="7" s="1"/>
  <c r="BY49" i="10"/>
  <c r="BY49" i="7" s="1"/>
  <c r="BW49" i="10"/>
  <c r="BW49" i="7" s="1"/>
  <c r="BV49" i="10"/>
  <c r="BV49" i="7" s="1"/>
  <c r="BT49" i="10"/>
  <c r="BT49" i="7" s="1"/>
  <c r="BS49" i="10"/>
  <c r="BS49" i="7" s="1"/>
  <c r="BQ49" i="10"/>
  <c r="BQ49" i="7" s="1"/>
  <c r="BP49" i="10"/>
  <c r="BP49" i="7" s="1"/>
  <c r="BN49" i="10"/>
  <c r="BN49" i="7" s="1"/>
  <c r="BM49" i="10"/>
  <c r="BM49" i="7" s="1"/>
  <c r="BK49" i="10"/>
  <c r="BK49" i="7" s="1"/>
  <c r="BJ49" i="10"/>
  <c r="BJ49" i="7" s="1"/>
  <c r="BH49" i="10"/>
  <c r="BH49" i="7" s="1"/>
  <c r="BG49" i="10"/>
  <c r="BG49" i="7" s="1"/>
  <c r="BE49" i="10"/>
  <c r="BE49" i="7" s="1"/>
  <c r="BD49" i="10"/>
  <c r="BD49" i="7" s="1"/>
  <c r="BB49" i="10"/>
  <c r="BB49" i="7" s="1"/>
  <c r="BA49" i="10"/>
  <c r="BA49" i="7" s="1"/>
  <c r="AY49" i="10"/>
  <c r="AY49" i="7" s="1"/>
  <c r="AX49" i="10"/>
  <c r="AX49" i="7" s="1"/>
  <c r="AV49" i="10"/>
  <c r="AV49" i="7" s="1"/>
  <c r="AU49" i="10"/>
  <c r="AU49" i="7" s="1"/>
  <c r="AS49" i="10"/>
  <c r="AS49" i="7" s="1"/>
  <c r="AR49" i="10"/>
  <c r="AR49" i="7" s="1"/>
  <c r="AP49" i="10"/>
  <c r="AP49" i="7" s="1"/>
  <c r="AO49" i="10"/>
  <c r="AO49" i="7" s="1"/>
  <c r="AM49" i="10"/>
  <c r="AM49" i="7" s="1"/>
  <c r="AL49" i="10"/>
  <c r="AL49" i="7" s="1"/>
  <c r="AJ49" i="10"/>
  <c r="AJ49" i="7" s="1"/>
  <c r="AI49" i="10"/>
  <c r="AI49" i="7" s="1"/>
  <c r="AG49" i="10"/>
  <c r="AG49" i="7" s="1"/>
  <c r="AF49" i="10"/>
  <c r="AF49" i="7" s="1"/>
  <c r="AD49" i="10"/>
  <c r="AD49" i="7" s="1"/>
  <c r="AC49" i="10"/>
  <c r="AC49" i="7" s="1"/>
  <c r="AA49" i="10"/>
  <c r="AA49" i="7" s="1"/>
  <c r="Z49" i="10"/>
  <c r="Z49" i="7" s="1"/>
  <c r="X49" i="10"/>
  <c r="X49" i="7" s="1"/>
  <c r="W49" i="10"/>
  <c r="W49" i="7" s="1"/>
  <c r="U49" i="10"/>
  <c r="U49" i="7" s="1"/>
  <c r="T49" i="10"/>
  <c r="T49" i="7" s="1"/>
  <c r="R49" i="10"/>
  <c r="R49" i="7" s="1"/>
  <c r="Q49" i="10"/>
  <c r="Q49" i="7" s="1"/>
  <c r="O49" i="10"/>
  <c r="O49" i="7" s="1"/>
  <c r="N49" i="10"/>
  <c r="N49" i="7" s="1"/>
  <c r="L49" i="10"/>
  <c r="L49" i="7" s="1"/>
  <c r="K49" i="10"/>
  <c r="K49" i="7" s="1"/>
  <c r="I49" i="10"/>
  <c r="I49" i="7" s="1"/>
  <c r="H49" i="10"/>
  <c r="H49" i="7" s="1"/>
  <c r="F49" i="10"/>
  <c r="F49" i="7" s="1"/>
  <c r="E49" i="10"/>
  <c r="E49" i="7" s="1"/>
  <c r="C49" i="10"/>
  <c r="C49" i="7" s="1"/>
  <c r="B49" i="10"/>
  <c r="B49" i="7" s="1"/>
  <c r="A49" i="10"/>
  <c r="A49" i="7" s="1"/>
  <c r="HH48" i="10"/>
  <c r="HG48" i="10"/>
  <c r="HE48" i="10"/>
  <c r="HD48" i="10"/>
  <c r="HB48" i="10"/>
  <c r="HA48" i="10"/>
  <c r="GY48" i="10"/>
  <c r="GX48" i="10"/>
  <c r="GV48" i="10"/>
  <c r="GU48" i="10"/>
  <c r="GS48" i="10"/>
  <c r="GR48" i="10"/>
  <c r="GP48" i="10"/>
  <c r="GO48" i="10"/>
  <c r="GM48" i="10"/>
  <c r="GL48" i="10"/>
  <c r="GJ48" i="10"/>
  <c r="GI48" i="10"/>
  <c r="GG48" i="10"/>
  <c r="GF48" i="10"/>
  <c r="GD48" i="10"/>
  <c r="GC48" i="10"/>
  <c r="GA48" i="10"/>
  <c r="FZ48" i="10"/>
  <c r="FX48" i="10"/>
  <c r="FW48" i="10"/>
  <c r="FU48" i="10"/>
  <c r="FT48" i="10"/>
  <c r="FR48" i="10"/>
  <c r="FQ48" i="10"/>
  <c r="FO48" i="10"/>
  <c r="FN48" i="10"/>
  <c r="FL48" i="10"/>
  <c r="FK48" i="10"/>
  <c r="FI48" i="10"/>
  <c r="FH48" i="10"/>
  <c r="FF48" i="10"/>
  <c r="FF48" i="7" s="1"/>
  <c r="FE48" i="10"/>
  <c r="FE48" i="7" s="1"/>
  <c r="FC48" i="10"/>
  <c r="FC48" i="7" s="1"/>
  <c r="FB48" i="10"/>
  <c r="FB48" i="7" s="1"/>
  <c r="EZ48" i="10"/>
  <c r="EZ48" i="7" s="1"/>
  <c r="EY48" i="10"/>
  <c r="EY48" i="7" s="1"/>
  <c r="EW48" i="10"/>
  <c r="EW48" i="7" s="1"/>
  <c r="EV48" i="10"/>
  <c r="EV48" i="7" s="1"/>
  <c r="ET48" i="10"/>
  <c r="ET48" i="7" s="1"/>
  <c r="ES48" i="10"/>
  <c r="ES48" i="7" s="1"/>
  <c r="EQ48" i="10"/>
  <c r="EQ48" i="7" s="1"/>
  <c r="EP48" i="10"/>
  <c r="EP48" i="7" s="1"/>
  <c r="EN48" i="10"/>
  <c r="EN48" i="7" s="1"/>
  <c r="EM48" i="10"/>
  <c r="EM48" i="7" s="1"/>
  <c r="EK48" i="10"/>
  <c r="EK48" i="7" s="1"/>
  <c r="EJ48" i="10"/>
  <c r="EJ48" i="7" s="1"/>
  <c r="EH48" i="10"/>
  <c r="EH48" i="7" s="1"/>
  <c r="EG48" i="10"/>
  <c r="EG48" i="7" s="1"/>
  <c r="EE48" i="10"/>
  <c r="EE48" i="7" s="1"/>
  <c r="ED48" i="10"/>
  <c r="ED48" i="7" s="1"/>
  <c r="EB48" i="10"/>
  <c r="EB48" i="7" s="1"/>
  <c r="EA48" i="10"/>
  <c r="EA48" i="7" s="1"/>
  <c r="DY48" i="10"/>
  <c r="DY48" i="7" s="1"/>
  <c r="DX48" i="10"/>
  <c r="DX48" i="7" s="1"/>
  <c r="DV48" i="10"/>
  <c r="DV48" i="7" s="1"/>
  <c r="DU48" i="10"/>
  <c r="DU48" i="7" s="1"/>
  <c r="DS48" i="10"/>
  <c r="DS48" i="7" s="1"/>
  <c r="DR48" i="10"/>
  <c r="DR48" i="7" s="1"/>
  <c r="DP48" i="10"/>
  <c r="DP48" i="7" s="1"/>
  <c r="DO48" i="10"/>
  <c r="DO48" i="7" s="1"/>
  <c r="DM48" i="10"/>
  <c r="DM48" i="7" s="1"/>
  <c r="DL48" i="10"/>
  <c r="DL48" i="7" s="1"/>
  <c r="DJ48" i="10"/>
  <c r="DJ48" i="7" s="1"/>
  <c r="DI48" i="10"/>
  <c r="DI48" i="7" s="1"/>
  <c r="DG48" i="10"/>
  <c r="DG48" i="7" s="1"/>
  <c r="DF48" i="10"/>
  <c r="DF48" i="7" s="1"/>
  <c r="DD48" i="10"/>
  <c r="DD48" i="7" s="1"/>
  <c r="DC48" i="10"/>
  <c r="DC48" i="7" s="1"/>
  <c r="DA48" i="10"/>
  <c r="DA48" i="7" s="1"/>
  <c r="CZ48" i="10"/>
  <c r="CZ48" i="7" s="1"/>
  <c r="CX48" i="10"/>
  <c r="CX48" i="7" s="1"/>
  <c r="CW48" i="10"/>
  <c r="CW48" i="7" s="1"/>
  <c r="CU48" i="10"/>
  <c r="CU48" i="7" s="1"/>
  <c r="CT48" i="10"/>
  <c r="CT48" i="7" s="1"/>
  <c r="CR48" i="10"/>
  <c r="CR48" i="7" s="1"/>
  <c r="CQ48" i="10"/>
  <c r="CQ48" i="7" s="1"/>
  <c r="CO48" i="10"/>
  <c r="CO48" i="7" s="1"/>
  <c r="CN48" i="10"/>
  <c r="CN48" i="7" s="1"/>
  <c r="CL48" i="10"/>
  <c r="CL48" i="7" s="1"/>
  <c r="CK48" i="10"/>
  <c r="CK48" i="7" s="1"/>
  <c r="CI48" i="10"/>
  <c r="CI48" i="7" s="1"/>
  <c r="CH48" i="10"/>
  <c r="CH48" i="7" s="1"/>
  <c r="CF48" i="10"/>
  <c r="CF48" i="7" s="1"/>
  <c r="CE48" i="10"/>
  <c r="CE48" i="7" s="1"/>
  <c r="CC48" i="10"/>
  <c r="CC48" i="7" s="1"/>
  <c r="CB48" i="10"/>
  <c r="CB48" i="7" s="1"/>
  <c r="BZ48" i="10"/>
  <c r="BZ48" i="7" s="1"/>
  <c r="BY48" i="10"/>
  <c r="BY48" i="7" s="1"/>
  <c r="BW48" i="10"/>
  <c r="BW48" i="7" s="1"/>
  <c r="BV48" i="10"/>
  <c r="BV48" i="7" s="1"/>
  <c r="BT48" i="10"/>
  <c r="BT48" i="7" s="1"/>
  <c r="BS48" i="10"/>
  <c r="BS48" i="7" s="1"/>
  <c r="BQ48" i="10"/>
  <c r="BQ48" i="7" s="1"/>
  <c r="BP48" i="10"/>
  <c r="BP48" i="7" s="1"/>
  <c r="BN48" i="10"/>
  <c r="BN48" i="7" s="1"/>
  <c r="BM48" i="10"/>
  <c r="BM48" i="7" s="1"/>
  <c r="BK48" i="10"/>
  <c r="BK48" i="7" s="1"/>
  <c r="BJ48" i="10"/>
  <c r="BJ48" i="7" s="1"/>
  <c r="BH48" i="10"/>
  <c r="BH48" i="7" s="1"/>
  <c r="BG48" i="10"/>
  <c r="BG48" i="7" s="1"/>
  <c r="BE48" i="10"/>
  <c r="BE48" i="7" s="1"/>
  <c r="BD48" i="10"/>
  <c r="BD48" i="7" s="1"/>
  <c r="BB48" i="10"/>
  <c r="BB48" i="7" s="1"/>
  <c r="BA48" i="10"/>
  <c r="BA48" i="7" s="1"/>
  <c r="AY48" i="10"/>
  <c r="AY48" i="7" s="1"/>
  <c r="AX48" i="10"/>
  <c r="AX48" i="7" s="1"/>
  <c r="AV48" i="10"/>
  <c r="AV48" i="7" s="1"/>
  <c r="AU48" i="10"/>
  <c r="AU48" i="7" s="1"/>
  <c r="AS48" i="10"/>
  <c r="AS48" i="7" s="1"/>
  <c r="AR48" i="10"/>
  <c r="AR48" i="7" s="1"/>
  <c r="AP48" i="10"/>
  <c r="AP48" i="7" s="1"/>
  <c r="AO48" i="10"/>
  <c r="AO48" i="7" s="1"/>
  <c r="AM48" i="10"/>
  <c r="AM48" i="7" s="1"/>
  <c r="AL48" i="10"/>
  <c r="AL48" i="7" s="1"/>
  <c r="AJ48" i="10"/>
  <c r="AJ48" i="7" s="1"/>
  <c r="AI48" i="10"/>
  <c r="AI48" i="7" s="1"/>
  <c r="AG48" i="10"/>
  <c r="AG48" i="7" s="1"/>
  <c r="AF48" i="10"/>
  <c r="AF48" i="7" s="1"/>
  <c r="AD48" i="10"/>
  <c r="AD48" i="7" s="1"/>
  <c r="AC48" i="10"/>
  <c r="AC48" i="7" s="1"/>
  <c r="AA48" i="10"/>
  <c r="AA48" i="7" s="1"/>
  <c r="Z48" i="10"/>
  <c r="Z48" i="7" s="1"/>
  <c r="X48" i="10"/>
  <c r="X48" i="7" s="1"/>
  <c r="W48" i="10"/>
  <c r="W48" i="7" s="1"/>
  <c r="U48" i="10"/>
  <c r="U48" i="7" s="1"/>
  <c r="T48" i="10"/>
  <c r="T48" i="7" s="1"/>
  <c r="R48" i="10"/>
  <c r="R48" i="7" s="1"/>
  <c r="Q48" i="10"/>
  <c r="Q48" i="7" s="1"/>
  <c r="O48" i="10"/>
  <c r="O48" i="7" s="1"/>
  <c r="N48" i="10"/>
  <c r="N48" i="7" s="1"/>
  <c r="L48" i="10"/>
  <c r="L48" i="7" s="1"/>
  <c r="K48" i="10"/>
  <c r="K48" i="7" s="1"/>
  <c r="I48" i="10"/>
  <c r="I48" i="7" s="1"/>
  <c r="H48" i="10"/>
  <c r="H48" i="7" s="1"/>
  <c r="F48" i="10"/>
  <c r="F48" i="7" s="1"/>
  <c r="E48" i="10"/>
  <c r="E48" i="7" s="1"/>
  <c r="C48" i="10"/>
  <c r="C48" i="7" s="1"/>
  <c r="B48" i="10"/>
  <c r="B48" i="7" s="1"/>
  <c r="A48" i="10"/>
  <c r="HH47" i="10"/>
  <c r="HG47" i="10"/>
  <c r="HE47" i="10"/>
  <c r="HD47" i="10"/>
  <c r="HB47" i="10"/>
  <c r="HA47" i="10"/>
  <c r="GY47" i="10"/>
  <c r="GX47" i="10"/>
  <c r="GV47" i="10"/>
  <c r="GU47" i="10"/>
  <c r="GS47" i="10"/>
  <c r="GR47" i="10"/>
  <c r="GP47" i="10"/>
  <c r="GO47" i="10"/>
  <c r="GM47" i="10"/>
  <c r="GL47" i="10"/>
  <c r="GJ47" i="10"/>
  <c r="GI47" i="10"/>
  <c r="GG47" i="10"/>
  <c r="GF47" i="10"/>
  <c r="GD47" i="10"/>
  <c r="GC47" i="10"/>
  <c r="GA47" i="10"/>
  <c r="FZ47" i="10"/>
  <c r="FX47" i="10"/>
  <c r="FW47" i="10"/>
  <c r="FU47" i="10"/>
  <c r="FT47" i="10"/>
  <c r="FR47" i="10"/>
  <c r="FQ47" i="10"/>
  <c r="FO47" i="10"/>
  <c r="FN47" i="10"/>
  <c r="FL47" i="10"/>
  <c r="FK47" i="10"/>
  <c r="FI47" i="10"/>
  <c r="FH47" i="10"/>
  <c r="FF47" i="10"/>
  <c r="FF47" i="7" s="1"/>
  <c r="FE47" i="10"/>
  <c r="FE47" i="7" s="1"/>
  <c r="FC47" i="10"/>
  <c r="FC47" i="7" s="1"/>
  <c r="FB47" i="10"/>
  <c r="FB47" i="7" s="1"/>
  <c r="EZ47" i="10"/>
  <c r="EZ47" i="7" s="1"/>
  <c r="EY47" i="10"/>
  <c r="EY47" i="7" s="1"/>
  <c r="EW47" i="10"/>
  <c r="EW47" i="7" s="1"/>
  <c r="EV47" i="10"/>
  <c r="EV47" i="7" s="1"/>
  <c r="ET47" i="10"/>
  <c r="ET47" i="7" s="1"/>
  <c r="ES47" i="10"/>
  <c r="ES47" i="7" s="1"/>
  <c r="EQ47" i="10"/>
  <c r="EQ47" i="7" s="1"/>
  <c r="EP47" i="10"/>
  <c r="EP47" i="7" s="1"/>
  <c r="EN47" i="10"/>
  <c r="EN47" i="7" s="1"/>
  <c r="EM47" i="10"/>
  <c r="EM47" i="7" s="1"/>
  <c r="EK47" i="10"/>
  <c r="EK47" i="7" s="1"/>
  <c r="EJ47" i="10"/>
  <c r="EJ47" i="7" s="1"/>
  <c r="EH47" i="10"/>
  <c r="EH47" i="7" s="1"/>
  <c r="EG47" i="10"/>
  <c r="EG47" i="7" s="1"/>
  <c r="EE47" i="10"/>
  <c r="EE47" i="7" s="1"/>
  <c r="ED47" i="10"/>
  <c r="ED47" i="7" s="1"/>
  <c r="EB47" i="10"/>
  <c r="EB47" i="7" s="1"/>
  <c r="EA47" i="10"/>
  <c r="EA47" i="7" s="1"/>
  <c r="DY47" i="10"/>
  <c r="DY47" i="7" s="1"/>
  <c r="DX47" i="10"/>
  <c r="DX47" i="7" s="1"/>
  <c r="DV47" i="10"/>
  <c r="DV47" i="7" s="1"/>
  <c r="DU47" i="10"/>
  <c r="DU47" i="7" s="1"/>
  <c r="DS47" i="10"/>
  <c r="DS47" i="7" s="1"/>
  <c r="DR47" i="10"/>
  <c r="DR47" i="7" s="1"/>
  <c r="DP47" i="10"/>
  <c r="DP47" i="7" s="1"/>
  <c r="DO47" i="10"/>
  <c r="DO47" i="7" s="1"/>
  <c r="DM47" i="10"/>
  <c r="DM47" i="7" s="1"/>
  <c r="DL47" i="10"/>
  <c r="DL47" i="7" s="1"/>
  <c r="DJ47" i="10"/>
  <c r="DJ47" i="7" s="1"/>
  <c r="DI47" i="10"/>
  <c r="DI47" i="7" s="1"/>
  <c r="DG47" i="10"/>
  <c r="DG47" i="7" s="1"/>
  <c r="DF47" i="10"/>
  <c r="DF47" i="7" s="1"/>
  <c r="DD47" i="10"/>
  <c r="DD47" i="7" s="1"/>
  <c r="DC47" i="10"/>
  <c r="DC47" i="7" s="1"/>
  <c r="DA47" i="10"/>
  <c r="DA47" i="7" s="1"/>
  <c r="CZ47" i="10"/>
  <c r="CZ47" i="7" s="1"/>
  <c r="CX47" i="10"/>
  <c r="CX47" i="7" s="1"/>
  <c r="CW47" i="10"/>
  <c r="CW47" i="7" s="1"/>
  <c r="CU47" i="10"/>
  <c r="CU47" i="7" s="1"/>
  <c r="CT47" i="10"/>
  <c r="CT47" i="7" s="1"/>
  <c r="CR47" i="10"/>
  <c r="CR47" i="7" s="1"/>
  <c r="CQ47" i="10"/>
  <c r="CQ47" i="7" s="1"/>
  <c r="CO47" i="10"/>
  <c r="CO47" i="7" s="1"/>
  <c r="CN47" i="10"/>
  <c r="CN47" i="7" s="1"/>
  <c r="CL47" i="10"/>
  <c r="CL47" i="7" s="1"/>
  <c r="CK47" i="10"/>
  <c r="CK47" i="7" s="1"/>
  <c r="CI47" i="10"/>
  <c r="CI47" i="7" s="1"/>
  <c r="CH47" i="10"/>
  <c r="CH47" i="7" s="1"/>
  <c r="CF47" i="10"/>
  <c r="CF47" i="7" s="1"/>
  <c r="CE47" i="10"/>
  <c r="CE47" i="7" s="1"/>
  <c r="CC47" i="10"/>
  <c r="CC47" i="7" s="1"/>
  <c r="CB47" i="10"/>
  <c r="CB47" i="7" s="1"/>
  <c r="BZ47" i="10"/>
  <c r="BZ47" i="7" s="1"/>
  <c r="BY47" i="10"/>
  <c r="BY47" i="7" s="1"/>
  <c r="BW47" i="10"/>
  <c r="BW47" i="7" s="1"/>
  <c r="BV47" i="10"/>
  <c r="BV47" i="7" s="1"/>
  <c r="BT47" i="10"/>
  <c r="BT47" i="7" s="1"/>
  <c r="BS47" i="10"/>
  <c r="BS47" i="7" s="1"/>
  <c r="BQ47" i="10"/>
  <c r="BQ47" i="7" s="1"/>
  <c r="BP47" i="10"/>
  <c r="BP47" i="7" s="1"/>
  <c r="BN47" i="10"/>
  <c r="BN47" i="7" s="1"/>
  <c r="BM47" i="10"/>
  <c r="BM47" i="7" s="1"/>
  <c r="BK47" i="10"/>
  <c r="BK47" i="7" s="1"/>
  <c r="BJ47" i="10"/>
  <c r="BJ47" i="7" s="1"/>
  <c r="BH47" i="10"/>
  <c r="BH47" i="7" s="1"/>
  <c r="BG47" i="10"/>
  <c r="BG47" i="7" s="1"/>
  <c r="BE47" i="10"/>
  <c r="BE47" i="7" s="1"/>
  <c r="BD47" i="10"/>
  <c r="BD47" i="7" s="1"/>
  <c r="BB47" i="10"/>
  <c r="BB47" i="7" s="1"/>
  <c r="BA47" i="10"/>
  <c r="BA47" i="7" s="1"/>
  <c r="AY47" i="10"/>
  <c r="AY47" i="7" s="1"/>
  <c r="AX47" i="10"/>
  <c r="AX47" i="7" s="1"/>
  <c r="AV47" i="10"/>
  <c r="AV47" i="7" s="1"/>
  <c r="AU47" i="10"/>
  <c r="AU47" i="7" s="1"/>
  <c r="AS47" i="10"/>
  <c r="AS47" i="7" s="1"/>
  <c r="AR47" i="10"/>
  <c r="AR47" i="7" s="1"/>
  <c r="AP47" i="10"/>
  <c r="AP47" i="7" s="1"/>
  <c r="AO47" i="10"/>
  <c r="AO47" i="7" s="1"/>
  <c r="AM47" i="10"/>
  <c r="AM47" i="7" s="1"/>
  <c r="AL47" i="10"/>
  <c r="AL47" i="7" s="1"/>
  <c r="AJ47" i="10"/>
  <c r="AJ47" i="7" s="1"/>
  <c r="AI47" i="10"/>
  <c r="AI47" i="7" s="1"/>
  <c r="AG47" i="10"/>
  <c r="AG47" i="7" s="1"/>
  <c r="AF47" i="10"/>
  <c r="AF47" i="7" s="1"/>
  <c r="AD47" i="10"/>
  <c r="AD47" i="7" s="1"/>
  <c r="AC47" i="10"/>
  <c r="AC47" i="7" s="1"/>
  <c r="AA47" i="10"/>
  <c r="AA47" i="7" s="1"/>
  <c r="Z47" i="10"/>
  <c r="Z47" i="7" s="1"/>
  <c r="X47" i="10"/>
  <c r="X47" i="7" s="1"/>
  <c r="W47" i="10"/>
  <c r="W47" i="7" s="1"/>
  <c r="U47" i="10"/>
  <c r="U47" i="7" s="1"/>
  <c r="T47" i="10"/>
  <c r="T47" i="7" s="1"/>
  <c r="R47" i="10"/>
  <c r="R47" i="7" s="1"/>
  <c r="Q47" i="10"/>
  <c r="Q47" i="7" s="1"/>
  <c r="O47" i="10"/>
  <c r="O47" i="7" s="1"/>
  <c r="N47" i="10"/>
  <c r="N47" i="7" s="1"/>
  <c r="L47" i="10"/>
  <c r="L47" i="7" s="1"/>
  <c r="K47" i="10"/>
  <c r="K47" i="7" s="1"/>
  <c r="I47" i="10"/>
  <c r="I47" i="7" s="1"/>
  <c r="H47" i="10"/>
  <c r="H47" i="7" s="1"/>
  <c r="F47" i="10"/>
  <c r="F47" i="7" s="1"/>
  <c r="E47" i="10"/>
  <c r="E47" i="7" s="1"/>
  <c r="C47" i="10"/>
  <c r="C47" i="7" s="1"/>
  <c r="B47" i="10"/>
  <c r="B47" i="7" s="1"/>
  <c r="A47" i="10"/>
  <c r="HH46" i="10"/>
  <c r="HG46" i="10"/>
  <c r="HE46" i="10"/>
  <c r="HD46" i="10"/>
  <c r="HB46" i="10"/>
  <c r="HA46" i="10"/>
  <c r="GY46" i="10"/>
  <c r="GX46" i="10"/>
  <c r="GV46" i="10"/>
  <c r="GU46" i="10"/>
  <c r="GS46" i="10"/>
  <c r="GR46" i="10"/>
  <c r="GP46" i="10"/>
  <c r="GO46" i="10"/>
  <c r="GM46" i="10"/>
  <c r="GL46" i="10"/>
  <c r="GJ46" i="10"/>
  <c r="GI46" i="10"/>
  <c r="GG46" i="10"/>
  <c r="GF46" i="10"/>
  <c r="GD46" i="10"/>
  <c r="GC46" i="10"/>
  <c r="GA46" i="10"/>
  <c r="FZ46" i="10"/>
  <c r="FX46" i="10"/>
  <c r="FW46" i="10"/>
  <c r="FU46" i="10"/>
  <c r="FT46" i="10"/>
  <c r="FR46" i="10"/>
  <c r="FQ46" i="10"/>
  <c r="FO46" i="10"/>
  <c r="FN46" i="10"/>
  <c r="FL46" i="10"/>
  <c r="FK46" i="10"/>
  <c r="FI46" i="10"/>
  <c r="FH46" i="10"/>
  <c r="FF46" i="10"/>
  <c r="FF46" i="7" s="1"/>
  <c r="FE46" i="10"/>
  <c r="FE46" i="7" s="1"/>
  <c r="FC46" i="10"/>
  <c r="FC46" i="7" s="1"/>
  <c r="FB46" i="10"/>
  <c r="FB46" i="7" s="1"/>
  <c r="EZ46" i="10"/>
  <c r="EZ46" i="7" s="1"/>
  <c r="EY46" i="10"/>
  <c r="EY46" i="7" s="1"/>
  <c r="EW46" i="10"/>
  <c r="EW46" i="7" s="1"/>
  <c r="EV46" i="10"/>
  <c r="EV46" i="7" s="1"/>
  <c r="ET46" i="10"/>
  <c r="ET46" i="7" s="1"/>
  <c r="ES46" i="10"/>
  <c r="ES46" i="7" s="1"/>
  <c r="EQ46" i="10"/>
  <c r="EQ46" i="7" s="1"/>
  <c r="EP46" i="10"/>
  <c r="EP46" i="7" s="1"/>
  <c r="EN46" i="10"/>
  <c r="EN46" i="7" s="1"/>
  <c r="EM46" i="10"/>
  <c r="EM46" i="7" s="1"/>
  <c r="EK46" i="10"/>
  <c r="EK46" i="7" s="1"/>
  <c r="EJ46" i="10"/>
  <c r="EJ46" i="7" s="1"/>
  <c r="EH46" i="10"/>
  <c r="EH46" i="7" s="1"/>
  <c r="EG46" i="10"/>
  <c r="EG46" i="7" s="1"/>
  <c r="EE46" i="10"/>
  <c r="EE46" i="7" s="1"/>
  <c r="ED46" i="10"/>
  <c r="ED46" i="7" s="1"/>
  <c r="EB46" i="10"/>
  <c r="EB46" i="7" s="1"/>
  <c r="EA46" i="10"/>
  <c r="EA46" i="7" s="1"/>
  <c r="DY46" i="10"/>
  <c r="DY46" i="7" s="1"/>
  <c r="DX46" i="10"/>
  <c r="DX46" i="7" s="1"/>
  <c r="DV46" i="10"/>
  <c r="DV46" i="7" s="1"/>
  <c r="DU46" i="10"/>
  <c r="DU46" i="7" s="1"/>
  <c r="DS46" i="10"/>
  <c r="DS46" i="7" s="1"/>
  <c r="DR46" i="10"/>
  <c r="DR46" i="7" s="1"/>
  <c r="DP46" i="10"/>
  <c r="DP46" i="7" s="1"/>
  <c r="DO46" i="10"/>
  <c r="DO46" i="7" s="1"/>
  <c r="DM46" i="10"/>
  <c r="DM46" i="7" s="1"/>
  <c r="DL46" i="10"/>
  <c r="DL46" i="7" s="1"/>
  <c r="DJ46" i="10"/>
  <c r="DJ46" i="7" s="1"/>
  <c r="DI46" i="10"/>
  <c r="DI46" i="7" s="1"/>
  <c r="DG46" i="10"/>
  <c r="DG46" i="7" s="1"/>
  <c r="DF46" i="10"/>
  <c r="DF46" i="7" s="1"/>
  <c r="DD46" i="10"/>
  <c r="DD46" i="7" s="1"/>
  <c r="DC46" i="10"/>
  <c r="DC46" i="7" s="1"/>
  <c r="DA46" i="10"/>
  <c r="DA46" i="7" s="1"/>
  <c r="CZ46" i="10"/>
  <c r="CZ46" i="7" s="1"/>
  <c r="CX46" i="10"/>
  <c r="CX46" i="7" s="1"/>
  <c r="CW46" i="10"/>
  <c r="CW46" i="7" s="1"/>
  <c r="CU46" i="10"/>
  <c r="CU46" i="7" s="1"/>
  <c r="CT46" i="10"/>
  <c r="CT46" i="7" s="1"/>
  <c r="CR46" i="10"/>
  <c r="CR46" i="7" s="1"/>
  <c r="CQ46" i="10"/>
  <c r="CQ46" i="7" s="1"/>
  <c r="CO46" i="10"/>
  <c r="CO46" i="7" s="1"/>
  <c r="CN46" i="10"/>
  <c r="CN46" i="7" s="1"/>
  <c r="CL46" i="10"/>
  <c r="CL46" i="7" s="1"/>
  <c r="CK46" i="10"/>
  <c r="CK46" i="7" s="1"/>
  <c r="CI46" i="10"/>
  <c r="CI46" i="7" s="1"/>
  <c r="CH46" i="10"/>
  <c r="CH46" i="7" s="1"/>
  <c r="CF46" i="10"/>
  <c r="CF46" i="7" s="1"/>
  <c r="CE46" i="10"/>
  <c r="CE46" i="7" s="1"/>
  <c r="CC46" i="10"/>
  <c r="CC46" i="7" s="1"/>
  <c r="CB46" i="10"/>
  <c r="CB46" i="7" s="1"/>
  <c r="BZ46" i="10"/>
  <c r="BZ46" i="7" s="1"/>
  <c r="BY46" i="10"/>
  <c r="BY46" i="7" s="1"/>
  <c r="BW46" i="10"/>
  <c r="BW46" i="7" s="1"/>
  <c r="BV46" i="10"/>
  <c r="BV46" i="7" s="1"/>
  <c r="BT46" i="10"/>
  <c r="BT46" i="7" s="1"/>
  <c r="BS46" i="10"/>
  <c r="BS46" i="7" s="1"/>
  <c r="BQ46" i="10"/>
  <c r="BQ46" i="7" s="1"/>
  <c r="BP46" i="10"/>
  <c r="BP46" i="7" s="1"/>
  <c r="BN46" i="10"/>
  <c r="BN46" i="7" s="1"/>
  <c r="BM46" i="10"/>
  <c r="BM46" i="7" s="1"/>
  <c r="BK46" i="10"/>
  <c r="BK46" i="7" s="1"/>
  <c r="BJ46" i="10"/>
  <c r="BJ46" i="7" s="1"/>
  <c r="BH46" i="10"/>
  <c r="BH46" i="7" s="1"/>
  <c r="BG46" i="10"/>
  <c r="BG46" i="7" s="1"/>
  <c r="BE46" i="10"/>
  <c r="BE46" i="7" s="1"/>
  <c r="BD46" i="10"/>
  <c r="BD46" i="7" s="1"/>
  <c r="BB46" i="10"/>
  <c r="BB46" i="7" s="1"/>
  <c r="BA46" i="10"/>
  <c r="BA46" i="7" s="1"/>
  <c r="AY46" i="10"/>
  <c r="AY46" i="7" s="1"/>
  <c r="AX46" i="10"/>
  <c r="AX46" i="7" s="1"/>
  <c r="AV46" i="10"/>
  <c r="AV46" i="7" s="1"/>
  <c r="AU46" i="10"/>
  <c r="AU46" i="7" s="1"/>
  <c r="AS46" i="10"/>
  <c r="AS46" i="7" s="1"/>
  <c r="AR46" i="10"/>
  <c r="AR46" i="7" s="1"/>
  <c r="AP46" i="10"/>
  <c r="AP46" i="7" s="1"/>
  <c r="AO46" i="10"/>
  <c r="AO46" i="7" s="1"/>
  <c r="AM46" i="10"/>
  <c r="AM46" i="7" s="1"/>
  <c r="AL46" i="10"/>
  <c r="AL46" i="7" s="1"/>
  <c r="AJ46" i="10"/>
  <c r="AJ46" i="7" s="1"/>
  <c r="AI46" i="10"/>
  <c r="AI46" i="7" s="1"/>
  <c r="AG46" i="10"/>
  <c r="AG46" i="7" s="1"/>
  <c r="AF46" i="10"/>
  <c r="AF46" i="7" s="1"/>
  <c r="AD46" i="10"/>
  <c r="AD46" i="7" s="1"/>
  <c r="AC46" i="10"/>
  <c r="AC46" i="7" s="1"/>
  <c r="AA46" i="10"/>
  <c r="AA46" i="7" s="1"/>
  <c r="Z46" i="10"/>
  <c r="Z46" i="7" s="1"/>
  <c r="X46" i="10"/>
  <c r="X46" i="7" s="1"/>
  <c r="W46" i="10"/>
  <c r="W46" i="7" s="1"/>
  <c r="U46" i="10"/>
  <c r="U46" i="7" s="1"/>
  <c r="T46" i="10"/>
  <c r="T46" i="7" s="1"/>
  <c r="R46" i="10"/>
  <c r="R46" i="7" s="1"/>
  <c r="Q46" i="10"/>
  <c r="Q46" i="7" s="1"/>
  <c r="O46" i="10"/>
  <c r="O46" i="7" s="1"/>
  <c r="N46" i="10"/>
  <c r="N46" i="7" s="1"/>
  <c r="L46" i="10"/>
  <c r="L46" i="7" s="1"/>
  <c r="K46" i="10"/>
  <c r="K46" i="7" s="1"/>
  <c r="I46" i="10"/>
  <c r="I46" i="7" s="1"/>
  <c r="H46" i="10"/>
  <c r="H46" i="7" s="1"/>
  <c r="F46" i="10"/>
  <c r="F46" i="7" s="1"/>
  <c r="E46" i="10"/>
  <c r="E46" i="7" s="1"/>
  <c r="C46" i="10"/>
  <c r="C46" i="7" s="1"/>
  <c r="B46" i="10"/>
  <c r="B46" i="7" s="1"/>
  <c r="A46" i="10"/>
  <c r="A46" i="7" s="1"/>
  <c r="HH45" i="10"/>
  <c r="HG45" i="10"/>
  <c r="HE45" i="10"/>
  <c r="HD45" i="10"/>
  <c r="HB45" i="10"/>
  <c r="HA45" i="10"/>
  <c r="GY45" i="10"/>
  <c r="GX45" i="10"/>
  <c r="GV45" i="10"/>
  <c r="GU45" i="10"/>
  <c r="GS45" i="10"/>
  <c r="GR45" i="10"/>
  <c r="GP45" i="10"/>
  <c r="GO45" i="10"/>
  <c r="GM45" i="10"/>
  <c r="GL45" i="10"/>
  <c r="GJ45" i="10"/>
  <c r="GI45" i="10"/>
  <c r="GG45" i="10"/>
  <c r="GF45" i="10"/>
  <c r="GD45" i="10"/>
  <c r="GC45" i="10"/>
  <c r="GA45" i="10"/>
  <c r="FZ45" i="10"/>
  <c r="FX45" i="10"/>
  <c r="FW45" i="10"/>
  <c r="FU45" i="10"/>
  <c r="FT45" i="10"/>
  <c r="FR45" i="10"/>
  <c r="FQ45" i="10"/>
  <c r="FO45" i="10"/>
  <c r="FN45" i="10"/>
  <c r="FL45" i="10"/>
  <c r="FK45" i="10"/>
  <c r="FI45" i="10"/>
  <c r="FH45" i="10"/>
  <c r="FF45" i="10"/>
  <c r="FF45" i="7" s="1"/>
  <c r="FE45" i="10"/>
  <c r="FE45" i="7" s="1"/>
  <c r="FC45" i="10"/>
  <c r="FC45" i="7" s="1"/>
  <c r="FB45" i="10"/>
  <c r="FB45" i="7" s="1"/>
  <c r="EZ45" i="10"/>
  <c r="EZ45" i="7" s="1"/>
  <c r="EY45" i="10"/>
  <c r="EY45" i="7" s="1"/>
  <c r="EW45" i="10"/>
  <c r="EW45" i="7" s="1"/>
  <c r="EV45" i="10"/>
  <c r="EV45" i="7" s="1"/>
  <c r="ET45" i="10"/>
  <c r="ET45" i="7" s="1"/>
  <c r="ES45" i="10"/>
  <c r="ES45" i="7" s="1"/>
  <c r="EQ45" i="10"/>
  <c r="EQ45" i="7" s="1"/>
  <c r="EP45" i="10"/>
  <c r="EP45" i="7" s="1"/>
  <c r="EN45" i="10"/>
  <c r="EN45" i="7" s="1"/>
  <c r="EM45" i="10"/>
  <c r="EM45" i="7" s="1"/>
  <c r="EK45" i="10"/>
  <c r="EK45" i="7" s="1"/>
  <c r="EJ45" i="10"/>
  <c r="EJ45" i="7" s="1"/>
  <c r="EH45" i="10"/>
  <c r="EH45" i="7" s="1"/>
  <c r="EG45" i="10"/>
  <c r="EG45" i="7" s="1"/>
  <c r="EE45" i="10"/>
  <c r="EE45" i="7" s="1"/>
  <c r="ED45" i="10"/>
  <c r="ED45" i="7" s="1"/>
  <c r="EB45" i="10"/>
  <c r="EB45" i="7" s="1"/>
  <c r="EA45" i="10"/>
  <c r="EA45" i="7" s="1"/>
  <c r="DY45" i="10"/>
  <c r="DY45" i="7" s="1"/>
  <c r="DX45" i="10"/>
  <c r="DX45" i="7" s="1"/>
  <c r="DV45" i="10"/>
  <c r="DV45" i="7" s="1"/>
  <c r="DU45" i="10"/>
  <c r="DU45" i="7" s="1"/>
  <c r="DS45" i="10"/>
  <c r="DS45" i="7" s="1"/>
  <c r="DR45" i="10"/>
  <c r="DR45" i="7" s="1"/>
  <c r="DP45" i="10"/>
  <c r="DP45" i="7" s="1"/>
  <c r="DO45" i="10"/>
  <c r="DO45" i="7" s="1"/>
  <c r="DM45" i="10"/>
  <c r="DM45" i="7" s="1"/>
  <c r="DL45" i="10"/>
  <c r="DL45" i="7" s="1"/>
  <c r="DJ45" i="10"/>
  <c r="DJ45" i="7" s="1"/>
  <c r="DI45" i="10"/>
  <c r="DI45" i="7" s="1"/>
  <c r="DG45" i="10"/>
  <c r="DG45" i="7" s="1"/>
  <c r="DF45" i="10"/>
  <c r="DF45" i="7" s="1"/>
  <c r="DD45" i="10"/>
  <c r="DD45" i="7" s="1"/>
  <c r="DC45" i="10"/>
  <c r="DC45" i="7" s="1"/>
  <c r="DA45" i="10"/>
  <c r="DA45" i="7" s="1"/>
  <c r="CZ45" i="10"/>
  <c r="CZ45" i="7" s="1"/>
  <c r="CX45" i="10"/>
  <c r="CX45" i="7" s="1"/>
  <c r="CW45" i="10"/>
  <c r="CW45" i="7" s="1"/>
  <c r="CU45" i="10"/>
  <c r="CU45" i="7" s="1"/>
  <c r="CT45" i="10"/>
  <c r="CT45" i="7" s="1"/>
  <c r="CR45" i="10"/>
  <c r="CR45" i="7" s="1"/>
  <c r="CQ45" i="10"/>
  <c r="CQ45" i="7" s="1"/>
  <c r="CO45" i="10"/>
  <c r="CO45" i="7" s="1"/>
  <c r="CN45" i="10"/>
  <c r="CN45" i="7" s="1"/>
  <c r="CL45" i="10"/>
  <c r="CL45" i="7" s="1"/>
  <c r="CK45" i="10"/>
  <c r="CK45" i="7" s="1"/>
  <c r="CI45" i="10"/>
  <c r="CI45" i="7" s="1"/>
  <c r="CH45" i="10"/>
  <c r="CH45" i="7" s="1"/>
  <c r="CF45" i="10"/>
  <c r="CF45" i="7" s="1"/>
  <c r="CE45" i="10"/>
  <c r="CE45" i="7" s="1"/>
  <c r="CC45" i="10"/>
  <c r="CC45" i="7" s="1"/>
  <c r="CB45" i="10"/>
  <c r="CB45" i="7" s="1"/>
  <c r="BZ45" i="10"/>
  <c r="BZ45" i="7" s="1"/>
  <c r="BY45" i="10"/>
  <c r="BY45" i="7" s="1"/>
  <c r="BW45" i="10"/>
  <c r="BW45" i="7" s="1"/>
  <c r="BV45" i="10"/>
  <c r="BV45" i="7" s="1"/>
  <c r="BT45" i="10"/>
  <c r="BT45" i="7" s="1"/>
  <c r="BS45" i="10"/>
  <c r="BS45" i="7" s="1"/>
  <c r="BQ45" i="10"/>
  <c r="BQ45" i="7" s="1"/>
  <c r="BP45" i="10"/>
  <c r="BP45" i="7" s="1"/>
  <c r="BN45" i="10"/>
  <c r="BN45" i="7" s="1"/>
  <c r="BM45" i="10"/>
  <c r="BM45" i="7" s="1"/>
  <c r="BK45" i="10"/>
  <c r="BK45" i="7" s="1"/>
  <c r="BJ45" i="10"/>
  <c r="BJ45" i="7" s="1"/>
  <c r="BH45" i="10"/>
  <c r="BH45" i="7" s="1"/>
  <c r="BG45" i="10"/>
  <c r="BG45" i="7" s="1"/>
  <c r="BE45" i="10"/>
  <c r="BE45" i="7" s="1"/>
  <c r="BD45" i="10"/>
  <c r="BD45" i="7" s="1"/>
  <c r="BB45" i="10"/>
  <c r="BB45" i="7" s="1"/>
  <c r="BA45" i="10"/>
  <c r="BA45" i="7" s="1"/>
  <c r="AY45" i="10"/>
  <c r="AY45" i="7" s="1"/>
  <c r="AX45" i="10"/>
  <c r="AX45" i="7" s="1"/>
  <c r="AV45" i="10"/>
  <c r="AV45" i="7" s="1"/>
  <c r="AU45" i="10"/>
  <c r="AU45" i="7" s="1"/>
  <c r="AS45" i="10"/>
  <c r="AS45" i="7" s="1"/>
  <c r="AR45" i="10"/>
  <c r="AR45" i="7" s="1"/>
  <c r="AP45" i="10"/>
  <c r="AP45" i="7" s="1"/>
  <c r="AO45" i="10"/>
  <c r="AO45" i="7" s="1"/>
  <c r="AM45" i="10"/>
  <c r="AM45" i="7" s="1"/>
  <c r="AL45" i="10"/>
  <c r="AL45" i="7" s="1"/>
  <c r="AJ45" i="10"/>
  <c r="AJ45" i="7" s="1"/>
  <c r="AI45" i="10"/>
  <c r="AI45" i="7" s="1"/>
  <c r="AG45" i="10"/>
  <c r="AG45" i="7" s="1"/>
  <c r="AF45" i="10"/>
  <c r="AF45" i="7" s="1"/>
  <c r="AD45" i="10"/>
  <c r="AD45" i="7" s="1"/>
  <c r="AC45" i="10"/>
  <c r="AC45" i="7" s="1"/>
  <c r="AA45" i="10"/>
  <c r="AA45" i="7" s="1"/>
  <c r="Z45" i="10"/>
  <c r="Z45" i="7" s="1"/>
  <c r="X45" i="10"/>
  <c r="X45" i="7" s="1"/>
  <c r="W45" i="10"/>
  <c r="W45" i="7" s="1"/>
  <c r="U45" i="10"/>
  <c r="U45" i="7" s="1"/>
  <c r="T45" i="10"/>
  <c r="T45" i="7" s="1"/>
  <c r="R45" i="10"/>
  <c r="R45" i="7" s="1"/>
  <c r="Q45" i="10"/>
  <c r="Q45" i="7" s="1"/>
  <c r="O45" i="10"/>
  <c r="O45" i="7" s="1"/>
  <c r="N45" i="10"/>
  <c r="N45" i="7" s="1"/>
  <c r="L45" i="10"/>
  <c r="L45" i="7" s="1"/>
  <c r="K45" i="10"/>
  <c r="K45" i="7" s="1"/>
  <c r="I45" i="10"/>
  <c r="I45" i="7" s="1"/>
  <c r="H45" i="10"/>
  <c r="H45" i="7" s="1"/>
  <c r="F45" i="10"/>
  <c r="F45" i="7" s="1"/>
  <c r="E45" i="10"/>
  <c r="E45" i="7" s="1"/>
  <c r="C45" i="10"/>
  <c r="C45" i="7" s="1"/>
  <c r="B45" i="10"/>
  <c r="B45" i="7" s="1"/>
  <c r="A45" i="10"/>
  <c r="A45" i="7" s="1"/>
  <c r="HH44" i="10"/>
  <c r="HG44" i="10"/>
  <c r="HE44" i="10"/>
  <c r="HD44" i="10"/>
  <c r="HB44" i="10"/>
  <c r="HA44" i="10"/>
  <c r="GY44" i="10"/>
  <c r="GX44" i="10"/>
  <c r="GV44" i="10"/>
  <c r="GU44" i="10"/>
  <c r="GS44" i="10"/>
  <c r="GR44" i="10"/>
  <c r="GP44" i="10"/>
  <c r="GO44" i="10"/>
  <c r="GM44" i="10"/>
  <c r="GL44" i="10"/>
  <c r="GJ44" i="10"/>
  <c r="GI44" i="10"/>
  <c r="GG44" i="10"/>
  <c r="GF44" i="10"/>
  <c r="GD44" i="10"/>
  <c r="GC44" i="10"/>
  <c r="GA44" i="10"/>
  <c r="FZ44" i="10"/>
  <c r="FX44" i="10"/>
  <c r="FW44" i="10"/>
  <c r="FU44" i="10"/>
  <c r="FT44" i="10"/>
  <c r="FR44" i="10"/>
  <c r="FQ44" i="10"/>
  <c r="FO44" i="10"/>
  <c r="FN44" i="10"/>
  <c r="FL44" i="10"/>
  <c r="FK44" i="10"/>
  <c r="FI44" i="10"/>
  <c r="FH44" i="10"/>
  <c r="FF44" i="10"/>
  <c r="FF44" i="7" s="1"/>
  <c r="FE44" i="10"/>
  <c r="FE44" i="7" s="1"/>
  <c r="FC44" i="10"/>
  <c r="FC44" i="7" s="1"/>
  <c r="FB44" i="10"/>
  <c r="FB44" i="7" s="1"/>
  <c r="EZ44" i="10"/>
  <c r="EZ44" i="7" s="1"/>
  <c r="EY44" i="10"/>
  <c r="EY44" i="7" s="1"/>
  <c r="EW44" i="10"/>
  <c r="EW44" i="7" s="1"/>
  <c r="EV44" i="10"/>
  <c r="EV44" i="7" s="1"/>
  <c r="ET44" i="10"/>
  <c r="ET44" i="7" s="1"/>
  <c r="ES44" i="10"/>
  <c r="ES44" i="7" s="1"/>
  <c r="EQ44" i="10"/>
  <c r="EQ44" i="7" s="1"/>
  <c r="EP44" i="10"/>
  <c r="EP44" i="7" s="1"/>
  <c r="EN44" i="10"/>
  <c r="EN44" i="7" s="1"/>
  <c r="EM44" i="10"/>
  <c r="EM44" i="7" s="1"/>
  <c r="EK44" i="10"/>
  <c r="EK44" i="7" s="1"/>
  <c r="EJ44" i="10"/>
  <c r="EJ44" i="7" s="1"/>
  <c r="EH44" i="10"/>
  <c r="EH44" i="7" s="1"/>
  <c r="EG44" i="10"/>
  <c r="EG44" i="7" s="1"/>
  <c r="EE44" i="10"/>
  <c r="EE44" i="7" s="1"/>
  <c r="ED44" i="10"/>
  <c r="ED44" i="7" s="1"/>
  <c r="EB44" i="10"/>
  <c r="EB44" i="7" s="1"/>
  <c r="EA44" i="10"/>
  <c r="EA44" i="7" s="1"/>
  <c r="DY44" i="10"/>
  <c r="DY44" i="7" s="1"/>
  <c r="DX44" i="10"/>
  <c r="DX44" i="7" s="1"/>
  <c r="DV44" i="10"/>
  <c r="DV44" i="7" s="1"/>
  <c r="DU44" i="10"/>
  <c r="DU44" i="7" s="1"/>
  <c r="DS44" i="10"/>
  <c r="DS44" i="7" s="1"/>
  <c r="DR44" i="10"/>
  <c r="DR44" i="7" s="1"/>
  <c r="DP44" i="10"/>
  <c r="DP44" i="7" s="1"/>
  <c r="DO44" i="10"/>
  <c r="DO44" i="7" s="1"/>
  <c r="DM44" i="10"/>
  <c r="DM44" i="7" s="1"/>
  <c r="DL44" i="10"/>
  <c r="DL44" i="7" s="1"/>
  <c r="DJ44" i="10"/>
  <c r="DJ44" i="7" s="1"/>
  <c r="DI44" i="10"/>
  <c r="DI44" i="7" s="1"/>
  <c r="DG44" i="10"/>
  <c r="DG44" i="7" s="1"/>
  <c r="DF44" i="10"/>
  <c r="DF44" i="7" s="1"/>
  <c r="DD44" i="10"/>
  <c r="DD44" i="7" s="1"/>
  <c r="DC44" i="10"/>
  <c r="DC44" i="7" s="1"/>
  <c r="DA44" i="10"/>
  <c r="DA44" i="7" s="1"/>
  <c r="CZ44" i="10"/>
  <c r="CZ44" i="7" s="1"/>
  <c r="CX44" i="10"/>
  <c r="CX44" i="7" s="1"/>
  <c r="CW44" i="10"/>
  <c r="CW44" i="7" s="1"/>
  <c r="CU44" i="10"/>
  <c r="CU44" i="7" s="1"/>
  <c r="CT44" i="10"/>
  <c r="CT44" i="7" s="1"/>
  <c r="CR44" i="10"/>
  <c r="CR44" i="7" s="1"/>
  <c r="CQ44" i="10"/>
  <c r="CQ44" i="7" s="1"/>
  <c r="CO44" i="10"/>
  <c r="CO44" i="7" s="1"/>
  <c r="CN44" i="10"/>
  <c r="CN44" i="7" s="1"/>
  <c r="CL44" i="10"/>
  <c r="CL44" i="7" s="1"/>
  <c r="CK44" i="10"/>
  <c r="CK44" i="7" s="1"/>
  <c r="CI44" i="10"/>
  <c r="CI44" i="7" s="1"/>
  <c r="CH44" i="10"/>
  <c r="CH44" i="7" s="1"/>
  <c r="CF44" i="10"/>
  <c r="CF44" i="7" s="1"/>
  <c r="CE44" i="10"/>
  <c r="CE44" i="7" s="1"/>
  <c r="CC44" i="10"/>
  <c r="CC44" i="7" s="1"/>
  <c r="CB44" i="10"/>
  <c r="CB44" i="7" s="1"/>
  <c r="BZ44" i="10"/>
  <c r="BZ44" i="7" s="1"/>
  <c r="BY44" i="10"/>
  <c r="BY44" i="7" s="1"/>
  <c r="BW44" i="10"/>
  <c r="BW44" i="7" s="1"/>
  <c r="BV44" i="10"/>
  <c r="BV44" i="7" s="1"/>
  <c r="BT44" i="10"/>
  <c r="BT44" i="7" s="1"/>
  <c r="BS44" i="10"/>
  <c r="BS44" i="7" s="1"/>
  <c r="BQ44" i="10"/>
  <c r="BQ44" i="7" s="1"/>
  <c r="BP44" i="10"/>
  <c r="BP44" i="7" s="1"/>
  <c r="BN44" i="10"/>
  <c r="BN44" i="7" s="1"/>
  <c r="BM44" i="10"/>
  <c r="BM44" i="7" s="1"/>
  <c r="BK44" i="10"/>
  <c r="BK44" i="7" s="1"/>
  <c r="BJ44" i="10"/>
  <c r="BJ44" i="7" s="1"/>
  <c r="BH44" i="10"/>
  <c r="BH44" i="7" s="1"/>
  <c r="BG44" i="10"/>
  <c r="BG44" i="7" s="1"/>
  <c r="BE44" i="10"/>
  <c r="BE44" i="7" s="1"/>
  <c r="BD44" i="10"/>
  <c r="BD44" i="7" s="1"/>
  <c r="BB44" i="10"/>
  <c r="BB44" i="7" s="1"/>
  <c r="BA44" i="10"/>
  <c r="BA44" i="7" s="1"/>
  <c r="AY44" i="10"/>
  <c r="AY44" i="7" s="1"/>
  <c r="AX44" i="10"/>
  <c r="AX44" i="7" s="1"/>
  <c r="AV44" i="10"/>
  <c r="AV44" i="7" s="1"/>
  <c r="AU44" i="10"/>
  <c r="AU44" i="7" s="1"/>
  <c r="AS44" i="10"/>
  <c r="AS44" i="7" s="1"/>
  <c r="AR44" i="10"/>
  <c r="AR44" i="7" s="1"/>
  <c r="AP44" i="10"/>
  <c r="AP44" i="7" s="1"/>
  <c r="AO44" i="10"/>
  <c r="AO44" i="7" s="1"/>
  <c r="AM44" i="10"/>
  <c r="AM44" i="7" s="1"/>
  <c r="AL44" i="10"/>
  <c r="AL44" i="7" s="1"/>
  <c r="AJ44" i="10"/>
  <c r="AJ44" i="7" s="1"/>
  <c r="AI44" i="10"/>
  <c r="AI44" i="7" s="1"/>
  <c r="AG44" i="10"/>
  <c r="AG44" i="7" s="1"/>
  <c r="AF44" i="10"/>
  <c r="AF44" i="7" s="1"/>
  <c r="AD44" i="10"/>
  <c r="AD44" i="7" s="1"/>
  <c r="AC44" i="10"/>
  <c r="AC44" i="7" s="1"/>
  <c r="AA44" i="10"/>
  <c r="AA44" i="7" s="1"/>
  <c r="Z44" i="10"/>
  <c r="Z44" i="7" s="1"/>
  <c r="X44" i="10"/>
  <c r="X44" i="7" s="1"/>
  <c r="W44" i="10"/>
  <c r="W44" i="7" s="1"/>
  <c r="U44" i="10"/>
  <c r="U44" i="7" s="1"/>
  <c r="T44" i="10"/>
  <c r="T44" i="7" s="1"/>
  <c r="R44" i="10"/>
  <c r="R44" i="7" s="1"/>
  <c r="Q44" i="10"/>
  <c r="Q44" i="7" s="1"/>
  <c r="O44" i="10"/>
  <c r="O44" i="7" s="1"/>
  <c r="N44" i="10"/>
  <c r="N44" i="7" s="1"/>
  <c r="L44" i="10"/>
  <c r="L44" i="7" s="1"/>
  <c r="K44" i="10"/>
  <c r="K44" i="7" s="1"/>
  <c r="I44" i="10"/>
  <c r="I44" i="7" s="1"/>
  <c r="H44" i="10"/>
  <c r="H44" i="7" s="1"/>
  <c r="F44" i="10"/>
  <c r="F44" i="7" s="1"/>
  <c r="E44" i="10"/>
  <c r="E44" i="7" s="1"/>
  <c r="C44" i="10"/>
  <c r="C44" i="7" s="1"/>
  <c r="B44" i="10"/>
  <c r="B44" i="7" s="1"/>
  <c r="A44" i="10"/>
  <c r="A44" i="7" s="1"/>
  <c r="HH43" i="10"/>
  <c r="HG43" i="10"/>
  <c r="HE43" i="10"/>
  <c r="HD43" i="10"/>
  <c r="HB43" i="10"/>
  <c r="HA43" i="10"/>
  <c r="GY43" i="10"/>
  <c r="GX43" i="10"/>
  <c r="GV43" i="10"/>
  <c r="GU43" i="10"/>
  <c r="GS43" i="10"/>
  <c r="GR43" i="10"/>
  <c r="GP43" i="10"/>
  <c r="GO43" i="10"/>
  <c r="GM43" i="10"/>
  <c r="GL43" i="10"/>
  <c r="GJ43" i="10"/>
  <c r="GI43" i="10"/>
  <c r="GG43" i="10"/>
  <c r="GF43" i="10"/>
  <c r="GD43" i="10"/>
  <c r="GC43" i="10"/>
  <c r="GA43" i="10"/>
  <c r="FZ43" i="10"/>
  <c r="FX43" i="10"/>
  <c r="FW43" i="10"/>
  <c r="FU43" i="10"/>
  <c r="FT43" i="10"/>
  <c r="FR43" i="10"/>
  <c r="FQ43" i="10"/>
  <c r="FO43" i="10"/>
  <c r="FN43" i="10"/>
  <c r="FL43" i="10"/>
  <c r="FK43" i="10"/>
  <c r="FI43" i="10"/>
  <c r="FH43" i="10"/>
  <c r="FF43" i="10"/>
  <c r="FF43" i="7" s="1"/>
  <c r="FE43" i="10"/>
  <c r="FE43" i="7" s="1"/>
  <c r="FC43" i="10"/>
  <c r="FC43" i="7" s="1"/>
  <c r="FB43" i="10"/>
  <c r="FB43" i="7" s="1"/>
  <c r="EZ43" i="10"/>
  <c r="EZ43" i="7" s="1"/>
  <c r="EY43" i="10"/>
  <c r="EY43" i="7" s="1"/>
  <c r="EW43" i="10"/>
  <c r="EW43" i="7" s="1"/>
  <c r="EV43" i="10"/>
  <c r="EV43" i="7" s="1"/>
  <c r="ET43" i="10"/>
  <c r="ET43" i="7" s="1"/>
  <c r="ES43" i="10"/>
  <c r="ES43" i="7" s="1"/>
  <c r="EQ43" i="10"/>
  <c r="EQ43" i="7" s="1"/>
  <c r="EP43" i="10"/>
  <c r="EP43" i="7" s="1"/>
  <c r="EN43" i="10"/>
  <c r="EN43" i="7" s="1"/>
  <c r="EM43" i="10"/>
  <c r="EM43" i="7" s="1"/>
  <c r="EK43" i="10"/>
  <c r="EK43" i="7" s="1"/>
  <c r="EJ43" i="10"/>
  <c r="EJ43" i="7" s="1"/>
  <c r="EH43" i="10"/>
  <c r="EH43" i="7" s="1"/>
  <c r="EG43" i="10"/>
  <c r="EG43" i="7" s="1"/>
  <c r="EE43" i="10"/>
  <c r="EE43" i="7" s="1"/>
  <c r="ED43" i="10"/>
  <c r="ED43" i="7" s="1"/>
  <c r="EB43" i="10"/>
  <c r="EB43" i="7" s="1"/>
  <c r="EA43" i="10"/>
  <c r="EA43" i="7" s="1"/>
  <c r="DY43" i="10"/>
  <c r="DY43" i="7" s="1"/>
  <c r="DX43" i="10"/>
  <c r="DX43" i="7" s="1"/>
  <c r="DV43" i="10"/>
  <c r="DV43" i="7" s="1"/>
  <c r="DU43" i="10"/>
  <c r="DU43" i="7" s="1"/>
  <c r="DS43" i="10"/>
  <c r="DS43" i="7" s="1"/>
  <c r="DR43" i="10"/>
  <c r="DR43" i="7" s="1"/>
  <c r="DP43" i="10"/>
  <c r="DP43" i="7" s="1"/>
  <c r="DO43" i="10"/>
  <c r="DO43" i="7" s="1"/>
  <c r="DM43" i="10"/>
  <c r="DM43" i="7" s="1"/>
  <c r="DL43" i="10"/>
  <c r="DL43" i="7" s="1"/>
  <c r="DJ43" i="10"/>
  <c r="DJ43" i="7" s="1"/>
  <c r="DI43" i="10"/>
  <c r="DI43" i="7" s="1"/>
  <c r="DG43" i="10"/>
  <c r="DG43" i="7" s="1"/>
  <c r="DF43" i="10"/>
  <c r="DF43" i="7" s="1"/>
  <c r="DD43" i="10"/>
  <c r="DD43" i="7" s="1"/>
  <c r="DC43" i="10"/>
  <c r="DC43" i="7" s="1"/>
  <c r="DA43" i="10"/>
  <c r="DA43" i="7" s="1"/>
  <c r="CZ43" i="10"/>
  <c r="CZ43" i="7" s="1"/>
  <c r="CX43" i="10"/>
  <c r="CX43" i="7" s="1"/>
  <c r="CW43" i="10"/>
  <c r="CW43" i="7" s="1"/>
  <c r="CU43" i="10"/>
  <c r="CU43" i="7" s="1"/>
  <c r="CT43" i="10"/>
  <c r="CT43" i="7" s="1"/>
  <c r="CR43" i="10"/>
  <c r="CR43" i="7" s="1"/>
  <c r="CQ43" i="10"/>
  <c r="CQ43" i="7" s="1"/>
  <c r="CO43" i="10"/>
  <c r="CO43" i="7" s="1"/>
  <c r="CN43" i="10"/>
  <c r="CN43" i="7" s="1"/>
  <c r="CL43" i="10"/>
  <c r="CL43" i="7" s="1"/>
  <c r="CK43" i="10"/>
  <c r="CK43" i="7" s="1"/>
  <c r="CI43" i="10"/>
  <c r="CI43" i="7" s="1"/>
  <c r="CH43" i="10"/>
  <c r="CH43" i="7" s="1"/>
  <c r="CF43" i="10"/>
  <c r="CF43" i="7" s="1"/>
  <c r="CE43" i="10"/>
  <c r="CE43" i="7" s="1"/>
  <c r="CC43" i="10"/>
  <c r="CC43" i="7" s="1"/>
  <c r="CB43" i="10"/>
  <c r="CB43" i="7" s="1"/>
  <c r="BZ43" i="10"/>
  <c r="BZ43" i="7" s="1"/>
  <c r="BY43" i="10"/>
  <c r="BY43" i="7" s="1"/>
  <c r="BW43" i="10"/>
  <c r="BW43" i="7" s="1"/>
  <c r="BV43" i="10"/>
  <c r="BV43" i="7" s="1"/>
  <c r="BT43" i="10"/>
  <c r="BT43" i="7" s="1"/>
  <c r="BS43" i="10"/>
  <c r="BS43" i="7" s="1"/>
  <c r="BQ43" i="10"/>
  <c r="BQ43" i="7" s="1"/>
  <c r="BP43" i="10"/>
  <c r="BP43" i="7" s="1"/>
  <c r="BN43" i="10"/>
  <c r="BN43" i="7" s="1"/>
  <c r="BM43" i="10"/>
  <c r="BM43" i="7" s="1"/>
  <c r="BK43" i="10"/>
  <c r="BK43" i="7" s="1"/>
  <c r="BJ43" i="10"/>
  <c r="BJ43" i="7" s="1"/>
  <c r="BH43" i="10"/>
  <c r="BH43" i="7" s="1"/>
  <c r="BG43" i="10"/>
  <c r="BG43" i="7" s="1"/>
  <c r="BE43" i="10"/>
  <c r="BE43" i="7" s="1"/>
  <c r="BD43" i="10"/>
  <c r="BD43" i="7" s="1"/>
  <c r="BB43" i="10"/>
  <c r="BB43" i="7" s="1"/>
  <c r="BA43" i="10"/>
  <c r="BA43" i="7" s="1"/>
  <c r="AY43" i="10"/>
  <c r="AY43" i="7" s="1"/>
  <c r="AX43" i="10"/>
  <c r="AX43" i="7" s="1"/>
  <c r="AV43" i="10"/>
  <c r="AV43" i="7" s="1"/>
  <c r="AU43" i="10"/>
  <c r="AU43" i="7" s="1"/>
  <c r="AS43" i="10"/>
  <c r="AS43" i="7" s="1"/>
  <c r="AR43" i="10"/>
  <c r="AR43" i="7" s="1"/>
  <c r="AP43" i="10"/>
  <c r="AP43" i="7" s="1"/>
  <c r="AO43" i="10"/>
  <c r="AO43" i="7" s="1"/>
  <c r="AM43" i="10"/>
  <c r="AM43" i="7" s="1"/>
  <c r="AL43" i="10"/>
  <c r="AL43" i="7" s="1"/>
  <c r="AJ43" i="10"/>
  <c r="AJ43" i="7" s="1"/>
  <c r="AI43" i="10"/>
  <c r="AI43" i="7" s="1"/>
  <c r="AG43" i="10"/>
  <c r="AG43" i="7" s="1"/>
  <c r="AF43" i="10"/>
  <c r="AF43" i="7" s="1"/>
  <c r="AD43" i="10"/>
  <c r="AD43" i="7" s="1"/>
  <c r="AC43" i="10"/>
  <c r="AC43" i="7" s="1"/>
  <c r="AA43" i="10"/>
  <c r="AA43" i="7" s="1"/>
  <c r="Z43" i="10"/>
  <c r="Z43" i="7" s="1"/>
  <c r="X43" i="10"/>
  <c r="X43" i="7" s="1"/>
  <c r="W43" i="10"/>
  <c r="W43" i="7" s="1"/>
  <c r="U43" i="10"/>
  <c r="U43" i="7" s="1"/>
  <c r="T43" i="10"/>
  <c r="T43" i="7" s="1"/>
  <c r="R43" i="10"/>
  <c r="R43" i="7" s="1"/>
  <c r="Q43" i="10"/>
  <c r="Q43" i="7" s="1"/>
  <c r="O43" i="10"/>
  <c r="O43" i="7" s="1"/>
  <c r="N43" i="10"/>
  <c r="N43" i="7" s="1"/>
  <c r="L43" i="10"/>
  <c r="L43" i="7" s="1"/>
  <c r="K43" i="10"/>
  <c r="K43" i="7" s="1"/>
  <c r="I43" i="10"/>
  <c r="I43" i="7" s="1"/>
  <c r="H43" i="10"/>
  <c r="H43" i="7" s="1"/>
  <c r="F43" i="10"/>
  <c r="F43" i="7" s="1"/>
  <c r="E43" i="10"/>
  <c r="E43" i="7" s="1"/>
  <c r="C43" i="10"/>
  <c r="C43" i="7" s="1"/>
  <c r="B43" i="10"/>
  <c r="B43" i="7" s="1"/>
  <c r="A43" i="10"/>
  <c r="A43" i="7" s="1"/>
  <c r="HH42" i="10"/>
  <c r="HG42" i="10"/>
  <c r="HE42" i="10"/>
  <c r="HD42" i="10"/>
  <c r="HB42" i="10"/>
  <c r="HA42" i="10"/>
  <c r="GY42" i="10"/>
  <c r="GX42" i="10"/>
  <c r="GV42" i="10"/>
  <c r="GU42" i="10"/>
  <c r="GS42" i="10"/>
  <c r="GR42" i="10"/>
  <c r="GP42" i="10"/>
  <c r="GO42" i="10"/>
  <c r="GM42" i="10"/>
  <c r="GL42" i="10"/>
  <c r="GJ42" i="10"/>
  <c r="GI42" i="10"/>
  <c r="GG42" i="10"/>
  <c r="GF42" i="10"/>
  <c r="GD42" i="10"/>
  <c r="GC42" i="10"/>
  <c r="GA42" i="10"/>
  <c r="FZ42" i="10"/>
  <c r="FX42" i="10"/>
  <c r="FW42" i="10"/>
  <c r="FU42" i="10"/>
  <c r="FT42" i="10"/>
  <c r="FR42" i="10"/>
  <c r="FQ42" i="10"/>
  <c r="FO42" i="10"/>
  <c r="FN42" i="10"/>
  <c r="FL42" i="10"/>
  <c r="FK42" i="10"/>
  <c r="FI42" i="10"/>
  <c r="FH42" i="10"/>
  <c r="FF42" i="10"/>
  <c r="FF42" i="7" s="1"/>
  <c r="FE42" i="10"/>
  <c r="FE42" i="7" s="1"/>
  <c r="FC42" i="10"/>
  <c r="FC42" i="7" s="1"/>
  <c r="FB42" i="10"/>
  <c r="FB42" i="7" s="1"/>
  <c r="EZ42" i="10"/>
  <c r="EZ42" i="7" s="1"/>
  <c r="EY42" i="10"/>
  <c r="EY42" i="7" s="1"/>
  <c r="EW42" i="10"/>
  <c r="EW42" i="7" s="1"/>
  <c r="EV42" i="10"/>
  <c r="EV42" i="7" s="1"/>
  <c r="ET42" i="10"/>
  <c r="ET42" i="7" s="1"/>
  <c r="ES42" i="10"/>
  <c r="ES42" i="7" s="1"/>
  <c r="EQ42" i="10"/>
  <c r="EQ42" i="7" s="1"/>
  <c r="EP42" i="10"/>
  <c r="EP42" i="7" s="1"/>
  <c r="EN42" i="10"/>
  <c r="EN42" i="7" s="1"/>
  <c r="EM42" i="10"/>
  <c r="EM42" i="7" s="1"/>
  <c r="EK42" i="10"/>
  <c r="EK42" i="7" s="1"/>
  <c r="EJ42" i="10"/>
  <c r="EJ42" i="7" s="1"/>
  <c r="EH42" i="10"/>
  <c r="EH42" i="7" s="1"/>
  <c r="EG42" i="10"/>
  <c r="EG42" i="7" s="1"/>
  <c r="EE42" i="10"/>
  <c r="EE42" i="7" s="1"/>
  <c r="ED42" i="10"/>
  <c r="ED42" i="7" s="1"/>
  <c r="EB42" i="10"/>
  <c r="EB42" i="7" s="1"/>
  <c r="EA42" i="10"/>
  <c r="EA42" i="7" s="1"/>
  <c r="DY42" i="10"/>
  <c r="DY42" i="7" s="1"/>
  <c r="DX42" i="10"/>
  <c r="DX42" i="7" s="1"/>
  <c r="DV42" i="10"/>
  <c r="DV42" i="7" s="1"/>
  <c r="DU42" i="10"/>
  <c r="DU42" i="7" s="1"/>
  <c r="DS42" i="10"/>
  <c r="DS42" i="7" s="1"/>
  <c r="DR42" i="10"/>
  <c r="DR42" i="7" s="1"/>
  <c r="DP42" i="10"/>
  <c r="DP42" i="7" s="1"/>
  <c r="DO42" i="10"/>
  <c r="DO42" i="7" s="1"/>
  <c r="DM42" i="10"/>
  <c r="DM42" i="7" s="1"/>
  <c r="DL42" i="10"/>
  <c r="DL42" i="7" s="1"/>
  <c r="DJ42" i="10"/>
  <c r="DJ42" i="7" s="1"/>
  <c r="DI42" i="10"/>
  <c r="DI42" i="7" s="1"/>
  <c r="DG42" i="10"/>
  <c r="DG42" i="7" s="1"/>
  <c r="DF42" i="10"/>
  <c r="DF42" i="7" s="1"/>
  <c r="DD42" i="10"/>
  <c r="DD42" i="7" s="1"/>
  <c r="DC42" i="10"/>
  <c r="DC42" i="7" s="1"/>
  <c r="DA42" i="10"/>
  <c r="DA42" i="7" s="1"/>
  <c r="CZ42" i="10"/>
  <c r="CZ42" i="7" s="1"/>
  <c r="CX42" i="10"/>
  <c r="CX42" i="7" s="1"/>
  <c r="CW42" i="10"/>
  <c r="CW42" i="7" s="1"/>
  <c r="CU42" i="10"/>
  <c r="CU42" i="7" s="1"/>
  <c r="CT42" i="10"/>
  <c r="CT42" i="7" s="1"/>
  <c r="CR42" i="10"/>
  <c r="CR42" i="7" s="1"/>
  <c r="CQ42" i="10"/>
  <c r="CQ42" i="7" s="1"/>
  <c r="CO42" i="10"/>
  <c r="CO42" i="7" s="1"/>
  <c r="CN42" i="10"/>
  <c r="CN42" i="7" s="1"/>
  <c r="CL42" i="10"/>
  <c r="CL42" i="7" s="1"/>
  <c r="CK42" i="10"/>
  <c r="CK42" i="7" s="1"/>
  <c r="CI42" i="10"/>
  <c r="CI42" i="7" s="1"/>
  <c r="CH42" i="10"/>
  <c r="CH42" i="7" s="1"/>
  <c r="CF42" i="10"/>
  <c r="CF42" i="7" s="1"/>
  <c r="CE42" i="10"/>
  <c r="CE42" i="7" s="1"/>
  <c r="CC42" i="10"/>
  <c r="CC42" i="7" s="1"/>
  <c r="CB42" i="10"/>
  <c r="CB42" i="7" s="1"/>
  <c r="BZ42" i="10"/>
  <c r="BZ42" i="7" s="1"/>
  <c r="BY42" i="10"/>
  <c r="BY42" i="7" s="1"/>
  <c r="BW42" i="10"/>
  <c r="BW42" i="7" s="1"/>
  <c r="BV42" i="10"/>
  <c r="BV42" i="7" s="1"/>
  <c r="BT42" i="10"/>
  <c r="BT42" i="7" s="1"/>
  <c r="BS42" i="10"/>
  <c r="BS42" i="7" s="1"/>
  <c r="BQ42" i="10"/>
  <c r="BQ42" i="7" s="1"/>
  <c r="BP42" i="10"/>
  <c r="BP42" i="7" s="1"/>
  <c r="BN42" i="10"/>
  <c r="BN42" i="7" s="1"/>
  <c r="BM42" i="10"/>
  <c r="BM42" i="7" s="1"/>
  <c r="BK42" i="10"/>
  <c r="BK42" i="7" s="1"/>
  <c r="BJ42" i="10"/>
  <c r="BJ42" i="7" s="1"/>
  <c r="BH42" i="10"/>
  <c r="BH42" i="7" s="1"/>
  <c r="BG42" i="10"/>
  <c r="BG42" i="7" s="1"/>
  <c r="BE42" i="10"/>
  <c r="BE42" i="7" s="1"/>
  <c r="BD42" i="10"/>
  <c r="BD42" i="7" s="1"/>
  <c r="BB42" i="10"/>
  <c r="BB42" i="7" s="1"/>
  <c r="BA42" i="10"/>
  <c r="BA42" i="7" s="1"/>
  <c r="AY42" i="10"/>
  <c r="AY42" i="7" s="1"/>
  <c r="AX42" i="10"/>
  <c r="AX42" i="7" s="1"/>
  <c r="AV42" i="10"/>
  <c r="AV42" i="7" s="1"/>
  <c r="AU42" i="10"/>
  <c r="AU42" i="7" s="1"/>
  <c r="AS42" i="10"/>
  <c r="AS42" i="7" s="1"/>
  <c r="AR42" i="10"/>
  <c r="AR42" i="7" s="1"/>
  <c r="AP42" i="10"/>
  <c r="AP42" i="7" s="1"/>
  <c r="AO42" i="10"/>
  <c r="AO42" i="7" s="1"/>
  <c r="AM42" i="10"/>
  <c r="AM42" i="7" s="1"/>
  <c r="AL42" i="10"/>
  <c r="AL42" i="7" s="1"/>
  <c r="AJ42" i="10"/>
  <c r="AJ42" i="7" s="1"/>
  <c r="AI42" i="10"/>
  <c r="AI42" i="7" s="1"/>
  <c r="AG42" i="10"/>
  <c r="AG42" i="7" s="1"/>
  <c r="AF42" i="10"/>
  <c r="AF42" i="7" s="1"/>
  <c r="AD42" i="10"/>
  <c r="AD42" i="7" s="1"/>
  <c r="AC42" i="10"/>
  <c r="AC42" i="7" s="1"/>
  <c r="AA42" i="10"/>
  <c r="AA42" i="7" s="1"/>
  <c r="Z42" i="10"/>
  <c r="Z42" i="7" s="1"/>
  <c r="X42" i="10"/>
  <c r="X42" i="7" s="1"/>
  <c r="W42" i="10"/>
  <c r="W42" i="7" s="1"/>
  <c r="U42" i="10"/>
  <c r="U42" i="7" s="1"/>
  <c r="T42" i="10"/>
  <c r="T42" i="7" s="1"/>
  <c r="R42" i="10"/>
  <c r="R42" i="7" s="1"/>
  <c r="Q42" i="10"/>
  <c r="Q42" i="7" s="1"/>
  <c r="O42" i="10"/>
  <c r="O42" i="7" s="1"/>
  <c r="N42" i="10"/>
  <c r="N42" i="7" s="1"/>
  <c r="L42" i="10"/>
  <c r="L42" i="7" s="1"/>
  <c r="K42" i="10"/>
  <c r="K42" i="7" s="1"/>
  <c r="I42" i="10"/>
  <c r="I42" i="7" s="1"/>
  <c r="H42" i="10"/>
  <c r="H42" i="7" s="1"/>
  <c r="F42" i="10"/>
  <c r="F42" i="7" s="1"/>
  <c r="E42" i="10"/>
  <c r="E42" i="7" s="1"/>
  <c r="C42" i="10"/>
  <c r="C42" i="7" s="1"/>
  <c r="B42" i="10"/>
  <c r="B42" i="7" s="1"/>
  <c r="A42" i="10"/>
  <c r="N41" i="1" s="1"/>
  <c r="HH41" i="10"/>
  <c r="HG41" i="10"/>
  <c r="HE41" i="10"/>
  <c r="HD41" i="10"/>
  <c r="HB41" i="10"/>
  <c r="HA41" i="10"/>
  <c r="GY41" i="10"/>
  <c r="GX41" i="10"/>
  <c r="GV41" i="10"/>
  <c r="GU41" i="10"/>
  <c r="GS41" i="10"/>
  <c r="GR41" i="10"/>
  <c r="GP41" i="10"/>
  <c r="GO41" i="10"/>
  <c r="GM41" i="10"/>
  <c r="GL41" i="10"/>
  <c r="GJ41" i="10"/>
  <c r="GI41" i="10"/>
  <c r="GG41" i="10"/>
  <c r="GF41" i="10"/>
  <c r="GD41" i="10"/>
  <c r="GC41" i="10"/>
  <c r="GA41" i="10"/>
  <c r="FZ41" i="10"/>
  <c r="FX41" i="10"/>
  <c r="FW41" i="10"/>
  <c r="FU41" i="10"/>
  <c r="FT41" i="10"/>
  <c r="FR41" i="10"/>
  <c r="FQ41" i="10"/>
  <c r="FO41" i="10"/>
  <c r="FN41" i="10"/>
  <c r="FL41" i="10"/>
  <c r="FK41" i="10"/>
  <c r="FI41" i="10"/>
  <c r="FH41" i="10"/>
  <c r="FF41" i="10"/>
  <c r="FF41" i="7" s="1"/>
  <c r="FE41" i="10"/>
  <c r="FE41" i="7" s="1"/>
  <c r="FC41" i="10"/>
  <c r="FC41" i="7" s="1"/>
  <c r="FB41" i="10"/>
  <c r="FB41" i="7" s="1"/>
  <c r="EZ41" i="10"/>
  <c r="EZ41" i="7" s="1"/>
  <c r="EY41" i="10"/>
  <c r="EY41" i="7" s="1"/>
  <c r="EW41" i="10"/>
  <c r="EW41" i="7" s="1"/>
  <c r="EV41" i="10"/>
  <c r="EV41" i="7" s="1"/>
  <c r="ET41" i="10"/>
  <c r="ET41" i="7" s="1"/>
  <c r="ES41" i="10"/>
  <c r="ES41" i="7" s="1"/>
  <c r="EQ41" i="10"/>
  <c r="EQ41" i="7" s="1"/>
  <c r="EP41" i="10"/>
  <c r="EP41" i="7" s="1"/>
  <c r="EN41" i="10"/>
  <c r="EN41" i="7" s="1"/>
  <c r="EM41" i="10"/>
  <c r="EM41" i="7" s="1"/>
  <c r="EK41" i="10"/>
  <c r="EK41" i="7" s="1"/>
  <c r="EJ41" i="10"/>
  <c r="EJ41" i="7" s="1"/>
  <c r="EH41" i="10"/>
  <c r="EH41" i="7" s="1"/>
  <c r="EG41" i="10"/>
  <c r="EG41" i="7" s="1"/>
  <c r="EE41" i="10"/>
  <c r="EE41" i="7" s="1"/>
  <c r="ED41" i="10"/>
  <c r="ED41" i="7" s="1"/>
  <c r="EB41" i="10"/>
  <c r="EB41" i="7" s="1"/>
  <c r="EA41" i="10"/>
  <c r="EA41" i="7" s="1"/>
  <c r="DY41" i="10"/>
  <c r="DY41" i="7" s="1"/>
  <c r="DX41" i="10"/>
  <c r="DX41" i="7" s="1"/>
  <c r="DV41" i="10"/>
  <c r="DV41" i="7" s="1"/>
  <c r="DU41" i="10"/>
  <c r="DU41" i="7" s="1"/>
  <c r="DS41" i="10"/>
  <c r="DS41" i="7" s="1"/>
  <c r="DR41" i="10"/>
  <c r="DR41" i="7" s="1"/>
  <c r="DP41" i="10"/>
  <c r="DP41" i="7" s="1"/>
  <c r="DO41" i="10"/>
  <c r="DO41" i="7" s="1"/>
  <c r="DM41" i="10"/>
  <c r="DM41" i="7" s="1"/>
  <c r="DL41" i="10"/>
  <c r="DL41" i="7" s="1"/>
  <c r="DJ41" i="10"/>
  <c r="DJ41" i="7" s="1"/>
  <c r="DI41" i="10"/>
  <c r="DI41" i="7" s="1"/>
  <c r="DG41" i="10"/>
  <c r="DG41" i="7" s="1"/>
  <c r="DF41" i="10"/>
  <c r="DF41" i="7" s="1"/>
  <c r="DD41" i="10"/>
  <c r="DD41" i="7" s="1"/>
  <c r="DC41" i="10"/>
  <c r="DC41" i="7" s="1"/>
  <c r="DA41" i="10"/>
  <c r="DA41" i="7" s="1"/>
  <c r="CZ41" i="10"/>
  <c r="CZ41" i="7" s="1"/>
  <c r="CX41" i="10"/>
  <c r="CX41" i="7" s="1"/>
  <c r="CW41" i="10"/>
  <c r="CW41" i="7" s="1"/>
  <c r="CU41" i="10"/>
  <c r="CU41" i="7" s="1"/>
  <c r="CT41" i="10"/>
  <c r="CT41" i="7" s="1"/>
  <c r="CR41" i="10"/>
  <c r="CR41" i="7" s="1"/>
  <c r="CQ41" i="10"/>
  <c r="CQ41" i="7" s="1"/>
  <c r="CO41" i="10"/>
  <c r="CO41" i="7" s="1"/>
  <c r="CN41" i="10"/>
  <c r="CN41" i="7" s="1"/>
  <c r="CL41" i="10"/>
  <c r="CL41" i="7" s="1"/>
  <c r="CK41" i="10"/>
  <c r="CK41" i="7" s="1"/>
  <c r="CI41" i="10"/>
  <c r="CI41" i="7" s="1"/>
  <c r="CH41" i="10"/>
  <c r="CH41" i="7" s="1"/>
  <c r="CF41" i="10"/>
  <c r="CF41" i="7" s="1"/>
  <c r="CE41" i="10"/>
  <c r="CE41" i="7" s="1"/>
  <c r="CC41" i="10"/>
  <c r="CC41" i="7" s="1"/>
  <c r="CB41" i="10"/>
  <c r="CB41" i="7" s="1"/>
  <c r="BZ41" i="10"/>
  <c r="BZ41" i="7" s="1"/>
  <c r="BY41" i="10"/>
  <c r="BY41" i="7" s="1"/>
  <c r="BW41" i="10"/>
  <c r="BW41" i="7" s="1"/>
  <c r="BV41" i="10"/>
  <c r="BV41" i="7" s="1"/>
  <c r="BT41" i="10"/>
  <c r="BT41" i="7" s="1"/>
  <c r="BS41" i="10"/>
  <c r="BS41" i="7" s="1"/>
  <c r="BQ41" i="10"/>
  <c r="BQ41" i="7" s="1"/>
  <c r="BP41" i="10"/>
  <c r="BP41" i="7" s="1"/>
  <c r="BN41" i="10"/>
  <c r="BN41" i="7" s="1"/>
  <c r="BM41" i="10"/>
  <c r="BM41" i="7" s="1"/>
  <c r="BK41" i="10"/>
  <c r="BK41" i="7" s="1"/>
  <c r="BJ41" i="10"/>
  <c r="BJ41" i="7" s="1"/>
  <c r="BH41" i="10"/>
  <c r="BH41" i="7" s="1"/>
  <c r="BG41" i="10"/>
  <c r="BG41" i="7" s="1"/>
  <c r="BE41" i="10"/>
  <c r="BE41" i="7" s="1"/>
  <c r="BD41" i="10"/>
  <c r="BD41" i="7" s="1"/>
  <c r="BB41" i="10"/>
  <c r="BB41" i="7" s="1"/>
  <c r="BA41" i="10"/>
  <c r="BA41" i="7" s="1"/>
  <c r="AY41" i="10"/>
  <c r="AY41" i="7" s="1"/>
  <c r="AX41" i="10"/>
  <c r="AX41" i="7" s="1"/>
  <c r="AV41" i="10"/>
  <c r="AV41" i="7" s="1"/>
  <c r="AU41" i="10"/>
  <c r="AU41" i="7" s="1"/>
  <c r="AS41" i="10"/>
  <c r="AS41" i="7" s="1"/>
  <c r="AR41" i="10"/>
  <c r="AR41" i="7" s="1"/>
  <c r="AP41" i="10"/>
  <c r="AP41" i="7" s="1"/>
  <c r="AO41" i="10"/>
  <c r="AO41" i="7" s="1"/>
  <c r="AM41" i="10"/>
  <c r="AM41" i="7" s="1"/>
  <c r="AL41" i="10"/>
  <c r="AL41" i="7" s="1"/>
  <c r="AJ41" i="10"/>
  <c r="AJ41" i="7" s="1"/>
  <c r="AI41" i="10"/>
  <c r="AI41" i="7" s="1"/>
  <c r="AG41" i="10"/>
  <c r="AG41" i="7" s="1"/>
  <c r="AF41" i="10"/>
  <c r="AF41" i="7" s="1"/>
  <c r="AD41" i="10"/>
  <c r="AD41" i="7" s="1"/>
  <c r="AC41" i="10"/>
  <c r="AC41" i="7" s="1"/>
  <c r="AA41" i="10"/>
  <c r="AA41" i="7" s="1"/>
  <c r="Z41" i="10"/>
  <c r="Z41" i="7" s="1"/>
  <c r="X41" i="10"/>
  <c r="X41" i="7" s="1"/>
  <c r="W41" i="10"/>
  <c r="W41" i="7" s="1"/>
  <c r="U41" i="10"/>
  <c r="U41" i="7" s="1"/>
  <c r="T41" i="10"/>
  <c r="T41" i="7" s="1"/>
  <c r="R41" i="10"/>
  <c r="R41" i="7" s="1"/>
  <c r="Q41" i="10"/>
  <c r="Q41" i="7" s="1"/>
  <c r="O41" i="10"/>
  <c r="O41" i="7" s="1"/>
  <c r="N41" i="10"/>
  <c r="N41" i="7" s="1"/>
  <c r="L41" i="10"/>
  <c r="L41" i="7" s="1"/>
  <c r="K41" i="10"/>
  <c r="K41" i="7" s="1"/>
  <c r="I41" i="10"/>
  <c r="I41" i="7" s="1"/>
  <c r="H41" i="10"/>
  <c r="H41" i="7" s="1"/>
  <c r="F41" i="10"/>
  <c r="F41" i="7" s="1"/>
  <c r="E41" i="10"/>
  <c r="E41" i="7" s="1"/>
  <c r="C41" i="10"/>
  <c r="C41" i="7" s="1"/>
  <c r="B41" i="10"/>
  <c r="B41" i="7" s="1"/>
  <c r="A41" i="10"/>
  <c r="A41" i="7" s="1"/>
  <c r="HH40" i="10"/>
  <c r="HG40" i="10"/>
  <c r="HE40" i="10"/>
  <c r="HD40" i="10"/>
  <c r="HB40" i="10"/>
  <c r="HA40" i="10"/>
  <c r="GY40" i="10"/>
  <c r="GX40" i="10"/>
  <c r="GV40" i="10"/>
  <c r="GU40" i="10"/>
  <c r="GS40" i="10"/>
  <c r="GR40" i="10"/>
  <c r="GP40" i="10"/>
  <c r="GO40" i="10"/>
  <c r="GM40" i="10"/>
  <c r="GL40" i="10"/>
  <c r="GJ40" i="10"/>
  <c r="GI40" i="10"/>
  <c r="GG40" i="10"/>
  <c r="GF40" i="10"/>
  <c r="GD40" i="10"/>
  <c r="GC40" i="10"/>
  <c r="GA40" i="10"/>
  <c r="FZ40" i="10"/>
  <c r="FX40" i="10"/>
  <c r="FW40" i="10"/>
  <c r="FU40" i="10"/>
  <c r="FT40" i="10"/>
  <c r="FR40" i="10"/>
  <c r="FQ40" i="10"/>
  <c r="FO40" i="10"/>
  <c r="FN40" i="10"/>
  <c r="FL40" i="10"/>
  <c r="FK40" i="10"/>
  <c r="FI40" i="10"/>
  <c r="FH40" i="10"/>
  <c r="FF40" i="10"/>
  <c r="FF40" i="7" s="1"/>
  <c r="FE40" i="10"/>
  <c r="FE40" i="7" s="1"/>
  <c r="FC40" i="10"/>
  <c r="FC40" i="7" s="1"/>
  <c r="FB40" i="10"/>
  <c r="FB40" i="7" s="1"/>
  <c r="EZ40" i="10"/>
  <c r="EZ40" i="7" s="1"/>
  <c r="EY40" i="10"/>
  <c r="EY40" i="7" s="1"/>
  <c r="EW40" i="10"/>
  <c r="EW40" i="7" s="1"/>
  <c r="EV40" i="10"/>
  <c r="EV40" i="7" s="1"/>
  <c r="ET40" i="10"/>
  <c r="ET40" i="7" s="1"/>
  <c r="ES40" i="10"/>
  <c r="ES40" i="7" s="1"/>
  <c r="EQ40" i="10"/>
  <c r="EQ40" i="7" s="1"/>
  <c r="EP40" i="10"/>
  <c r="EP40" i="7" s="1"/>
  <c r="EN40" i="10"/>
  <c r="EN40" i="7" s="1"/>
  <c r="EM40" i="10"/>
  <c r="EM40" i="7" s="1"/>
  <c r="EK40" i="10"/>
  <c r="EK40" i="7" s="1"/>
  <c r="EJ40" i="10"/>
  <c r="EJ40" i="7" s="1"/>
  <c r="EH40" i="10"/>
  <c r="EH40" i="7" s="1"/>
  <c r="EG40" i="10"/>
  <c r="EG40" i="7" s="1"/>
  <c r="EE40" i="10"/>
  <c r="EE40" i="7" s="1"/>
  <c r="ED40" i="10"/>
  <c r="ED40" i="7" s="1"/>
  <c r="EB40" i="10"/>
  <c r="EB40" i="7" s="1"/>
  <c r="EA40" i="10"/>
  <c r="EA40" i="7" s="1"/>
  <c r="DY40" i="10"/>
  <c r="DY40" i="7" s="1"/>
  <c r="DX40" i="10"/>
  <c r="DX40" i="7" s="1"/>
  <c r="DV40" i="10"/>
  <c r="DV40" i="7" s="1"/>
  <c r="DU40" i="10"/>
  <c r="DU40" i="7" s="1"/>
  <c r="DS40" i="10"/>
  <c r="DS40" i="7" s="1"/>
  <c r="DR40" i="10"/>
  <c r="DR40" i="7" s="1"/>
  <c r="DP40" i="10"/>
  <c r="DP40" i="7" s="1"/>
  <c r="DO40" i="10"/>
  <c r="DO40" i="7" s="1"/>
  <c r="DM40" i="10"/>
  <c r="DM40" i="7" s="1"/>
  <c r="DL40" i="10"/>
  <c r="DL40" i="7" s="1"/>
  <c r="DJ40" i="10"/>
  <c r="DJ40" i="7" s="1"/>
  <c r="DI40" i="10"/>
  <c r="DI40" i="7" s="1"/>
  <c r="DG40" i="10"/>
  <c r="DG40" i="7" s="1"/>
  <c r="DF40" i="10"/>
  <c r="DF40" i="7" s="1"/>
  <c r="DD40" i="10"/>
  <c r="DD40" i="7" s="1"/>
  <c r="DC40" i="10"/>
  <c r="DC40" i="7" s="1"/>
  <c r="DA40" i="10"/>
  <c r="DA40" i="7" s="1"/>
  <c r="CZ40" i="10"/>
  <c r="CZ40" i="7" s="1"/>
  <c r="CX40" i="10"/>
  <c r="CX40" i="7" s="1"/>
  <c r="CW40" i="10"/>
  <c r="CW40" i="7" s="1"/>
  <c r="CU40" i="10"/>
  <c r="CU40" i="7" s="1"/>
  <c r="CT40" i="10"/>
  <c r="CT40" i="7" s="1"/>
  <c r="CR40" i="10"/>
  <c r="CR40" i="7" s="1"/>
  <c r="CQ40" i="10"/>
  <c r="CQ40" i="7" s="1"/>
  <c r="CO40" i="10"/>
  <c r="CO40" i="7" s="1"/>
  <c r="CN40" i="10"/>
  <c r="CN40" i="7" s="1"/>
  <c r="CL40" i="10"/>
  <c r="CL40" i="7" s="1"/>
  <c r="CK40" i="10"/>
  <c r="CK40" i="7" s="1"/>
  <c r="CI40" i="10"/>
  <c r="CI40" i="7" s="1"/>
  <c r="CH40" i="10"/>
  <c r="CH40" i="7" s="1"/>
  <c r="CF40" i="10"/>
  <c r="CF40" i="7" s="1"/>
  <c r="CE40" i="10"/>
  <c r="CE40" i="7" s="1"/>
  <c r="CC40" i="10"/>
  <c r="CC40" i="7" s="1"/>
  <c r="CB40" i="10"/>
  <c r="CB40" i="7" s="1"/>
  <c r="BZ40" i="10"/>
  <c r="BZ40" i="7" s="1"/>
  <c r="BY40" i="10"/>
  <c r="BY40" i="7" s="1"/>
  <c r="BW40" i="10"/>
  <c r="BW40" i="7" s="1"/>
  <c r="BV40" i="10"/>
  <c r="BV40" i="7" s="1"/>
  <c r="BT40" i="10"/>
  <c r="BT40" i="7" s="1"/>
  <c r="BS40" i="10"/>
  <c r="BS40" i="7" s="1"/>
  <c r="BQ40" i="10"/>
  <c r="BQ40" i="7" s="1"/>
  <c r="BP40" i="10"/>
  <c r="BP40" i="7" s="1"/>
  <c r="BN40" i="10"/>
  <c r="BN40" i="7" s="1"/>
  <c r="BM40" i="10"/>
  <c r="BM40" i="7" s="1"/>
  <c r="BK40" i="10"/>
  <c r="BK40" i="7" s="1"/>
  <c r="BJ40" i="10"/>
  <c r="BJ40" i="7" s="1"/>
  <c r="BH40" i="10"/>
  <c r="BH40" i="7" s="1"/>
  <c r="BG40" i="10"/>
  <c r="BG40" i="7" s="1"/>
  <c r="BE40" i="10"/>
  <c r="BE40" i="7" s="1"/>
  <c r="BD40" i="10"/>
  <c r="BD40" i="7" s="1"/>
  <c r="BB40" i="10"/>
  <c r="BB40" i="7" s="1"/>
  <c r="BA40" i="10"/>
  <c r="BA40" i="7" s="1"/>
  <c r="AY40" i="10"/>
  <c r="AY40" i="7" s="1"/>
  <c r="AX40" i="10"/>
  <c r="AX40" i="7" s="1"/>
  <c r="AV40" i="10"/>
  <c r="AV40" i="7" s="1"/>
  <c r="AU40" i="10"/>
  <c r="AU40" i="7" s="1"/>
  <c r="AS40" i="10"/>
  <c r="AS40" i="7" s="1"/>
  <c r="AR40" i="10"/>
  <c r="AR40" i="7" s="1"/>
  <c r="AP40" i="10"/>
  <c r="AP40" i="7" s="1"/>
  <c r="AO40" i="10"/>
  <c r="AO40" i="7" s="1"/>
  <c r="AM40" i="10"/>
  <c r="AM40" i="7" s="1"/>
  <c r="AL40" i="10"/>
  <c r="AL40" i="7" s="1"/>
  <c r="AJ40" i="10"/>
  <c r="AJ40" i="7" s="1"/>
  <c r="AI40" i="10"/>
  <c r="AI40" i="7" s="1"/>
  <c r="AG40" i="10"/>
  <c r="AG40" i="7" s="1"/>
  <c r="AF40" i="10"/>
  <c r="AF40" i="7" s="1"/>
  <c r="AD40" i="10"/>
  <c r="AD40" i="7" s="1"/>
  <c r="AC40" i="10"/>
  <c r="AC40" i="7" s="1"/>
  <c r="AA40" i="10"/>
  <c r="AA40" i="7" s="1"/>
  <c r="Z40" i="10"/>
  <c r="Z40" i="7" s="1"/>
  <c r="X40" i="10"/>
  <c r="X40" i="7" s="1"/>
  <c r="W40" i="10"/>
  <c r="W40" i="7" s="1"/>
  <c r="U40" i="10"/>
  <c r="U40" i="7" s="1"/>
  <c r="T40" i="10"/>
  <c r="T40" i="7" s="1"/>
  <c r="R40" i="10"/>
  <c r="R40" i="7" s="1"/>
  <c r="Q40" i="10"/>
  <c r="Q40" i="7" s="1"/>
  <c r="O40" i="10"/>
  <c r="O40" i="7" s="1"/>
  <c r="N40" i="10"/>
  <c r="N40" i="7" s="1"/>
  <c r="L40" i="10"/>
  <c r="L40" i="7" s="1"/>
  <c r="K40" i="10"/>
  <c r="K40" i="7" s="1"/>
  <c r="I40" i="10"/>
  <c r="I40" i="7" s="1"/>
  <c r="H40" i="10"/>
  <c r="H40" i="7" s="1"/>
  <c r="F40" i="10"/>
  <c r="F40" i="7" s="1"/>
  <c r="E40" i="10"/>
  <c r="E40" i="7" s="1"/>
  <c r="C40" i="10"/>
  <c r="C40" i="7" s="1"/>
  <c r="B40" i="10"/>
  <c r="B40" i="7" s="1"/>
  <c r="A40" i="10"/>
  <c r="HH39" i="10"/>
  <c r="HG39" i="10"/>
  <c r="HE39" i="10"/>
  <c r="HD39" i="10"/>
  <c r="HB39" i="10"/>
  <c r="HA39" i="10"/>
  <c r="GY39" i="10"/>
  <c r="GX39" i="10"/>
  <c r="GV39" i="10"/>
  <c r="GU39" i="10"/>
  <c r="GS39" i="10"/>
  <c r="GR39" i="10"/>
  <c r="GP39" i="10"/>
  <c r="GO39" i="10"/>
  <c r="GM39" i="10"/>
  <c r="GL39" i="10"/>
  <c r="GJ39" i="10"/>
  <c r="GI39" i="10"/>
  <c r="GG39" i="10"/>
  <c r="GF39" i="10"/>
  <c r="GD39" i="10"/>
  <c r="GC39" i="10"/>
  <c r="GA39" i="10"/>
  <c r="FZ39" i="10"/>
  <c r="FX39" i="10"/>
  <c r="FW39" i="10"/>
  <c r="FU39" i="10"/>
  <c r="FT39" i="10"/>
  <c r="FR39" i="10"/>
  <c r="FQ39" i="10"/>
  <c r="FO39" i="10"/>
  <c r="FN39" i="10"/>
  <c r="FL39" i="10"/>
  <c r="FK39" i="10"/>
  <c r="FI39" i="10"/>
  <c r="FH39" i="10"/>
  <c r="FF39" i="10"/>
  <c r="FF39" i="7" s="1"/>
  <c r="FE39" i="10"/>
  <c r="FE39" i="7" s="1"/>
  <c r="FC39" i="10"/>
  <c r="FC39" i="7" s="1"/>
  <c r="FB39" i="10"/>
  <c r="FB39" i="7" s="1"/>
  <c r="EZ39" i="10"/>
  <c r="EZ39" i="7" s="1"/>
  <c r="EY39" i="10"/>
  <c r="EY39" i="7" s="1"/>
  <c r="EW39" i="10"/>
  <c r="EW39" i="7" s="1"/>
  <c r="EV39" i="10"/>
  <c r="EV39" i="7" s="1"/>
  <c r="ET39" i="10"/>
  <c r="ET39" i="7" s="1"/>
  <c r="ES39" i="10"/>
  <c r="ES39" i="7" s="1"/>
  <c r="EQ39" i="10"/>
  <c r="EQ39" i="7" s="1"/>
  <c r="EP39" i="10"/>
  <c r="EP39" i="7" s="1"/>
  <c r="EN39" i="10"/>
  <c r="EN39" i="7" s="1"/>
  <c r="EM39" i="10"/>
  <c r="EM39" i="7" s="1"/>
  <c r="EK39" i="10"/>
  <c r="EK39" i="7" s="1"/>
  <c r="EJ39" i="10"/>
  <c r="EJ39" i="7" s="1"/>
  <c r="EH39" i="10"/>
  <c r="EH39" i="7" s="1"/>
  <c r="EG39" i="10"/>
  <c r="EG39" i="7" s="1"/>
  <c r="EE39" i="10"/>
  <c r="EE39" i="7" s="1"/>
  <c r="ED39" i="10"/>
  <c r="ED39" i="7" s="1"/>
  <c r="EB39" i="10"/>
  <c r="EB39" i="7" s="1"/>
  <c r="EA39" i="10"/>
  <c r="EA39" i="7" s="1"/>
  <c r="DY39" i="10"/>
  <c r="DY39" i="7" s="1"/>
  <c r="DX39" i="10"/>
  <c r="DX39" i="7" s="1"/>
  <c r="DV39" i="10"/>
  <c r="DV39" i="7" s="1"/>
  <c r="DU39" i="10"/>
  <c r="DU39" i="7" s="1"/>
  <c r="DS39" i="10"/>
  <c r="DS39" i="7" s="1"/>
  <c r="DR39" i="10"/>
  <c r="DR39" i="7" s="1"/>
  <c r="DP39" i="10"/>
  <c r="DP39" i="7" s="1"/>
  <c r="DO39" i="10"/>
  <c r="DO39" i="7" s="1"/>
  <c r="DM39" i="10"/>
  <c r="DM39" i="7" s="1"/>
  <c r="DL39" i="10"/>
  <c r="DL39" i="7" s="1"/>
  <c r="DJ39" i="10"/>
  <c r="DJ39" i="7" s="1"/>
  <c r="DI39" i="10"/>
  <c r="DI39" i="7" s="1"/>
  <c r="DG39" i="10"/>
  <c r="DG39" i="7" s="1"/>
  <c r="DF39" i="10"/>
  <c r="DF39" i="7" s="1"/>
  <c r="DD39" i="10"/>
  <c r="DD39" i="7" s="1"/>
  <c r="DC39" i="10"/>
  <c r="DC39" i="7" s="1"/>
  <c r="DA39" i="10"/>
  <c r="DA39" i="7" s="1"/>
  <c r="CZ39" i="10"/>
  <c r="CZ39" i="7" s="1"/>
  <c r="CX39" i="10"/>
  <c r="CX39" i="7" s="1"/>
  <c r="CW39" i="10"/>
  <c r="CW39" i="7" s="1"/>
  <c r="CU39" i="10"/>
  <c r="CU39" i="7" s="1"/>
  <c r="CT39" i="10"/>
  <c r="CT39" i="7" s="1"/>
  <c r="CR39" i="10"/>
  <c r="CR39" i="7" s="1"/>
  <c r="CQ39" i="10"/>
  <c r="CQ39" i="7" s="1"/>
  <c r="CO39" i="10"/>
  <c r="CO39" i="7" s="1"/>
  <c r="CN39" i="10"/>
  <c r="CN39" i="7" s="1"/>
  <c r="CL39" i="10"/>
  <c r="CL39" i="7" s="1"/>
  <c r="CK39" i="10"/>
  <c r="CK39" i="7" s="1"/>
  <c r="CI39" i="10"/>
  <c r="CI39" i="7" s="1"/>
  <c r="CH39" i="10"/>
  <c r="CH39" i="7" s="1"/>
  <c r="CF39" i="10"/>
  <c r="CF39" i="7" s="1"/>
  <c r="CE39" i="10"/>
  <c r="CE39" i="7" s="1"/>
  <c r="CC39" i="10"/>
  <c r="CC39" i="7" s="1"/>
  <c r="CB39" i="10"/>
  <c r="CB39" i="7" s="1"/>
  <c r="BZ39" i="10"/>
  <c r="BZ39" i="7" s="1"/>
  <c r="BY39" i="10"/>
  <c r="BY39" i="7" s="1"/>
  <c r="BW39" i="10"/>
  <c r="BW39" i="7" s="1"/>
  <c r="BV39" i="10"/>
  <c r="BV39" i="7" s="1"/>
  <c r="BT39" i="10"/>
  <c r="BT39" i="7" s="1"/>
  <c r="BS39" i="10"/>
  <c r="BS39" i="7" s="1"/>
  <c r="BQ39" i="10"/>
  <c r="BQ39" i="7" s="1"/>
  <c r="BP39" i="10"/>
  <c r="BP39" i="7" s="1"/>
  <c r="BN39" i="10"/>
  <c r="BN39" i="7" s="1"/>
  <c r="BM39" i="10"/>
  <c r="BM39" i="7" s="1"/>
  <c r="BK39" i="10"/>
  <c r="BK39" i="7" s="1"/>
  <c r="BJ39" i="10"/>
  <c r="BJ39" i="7" s="1"/>
  <c r="BH39" i="10"/>
  <c r="BH39" i="7" s="1"/>
  <c r="BG39" i="10"/>
  <c r="BG39" i="7" s="1"/>
  <c r="BE39" i="10"/>
  <c r="BE39" i="7" s="1"/>
  <c r="BD39" i="10"/>
  <c r="BD39" i="7" s="1"/>
  <c r="BB39" i="10"/>
  <c r="BB39" i="7" s="1"/>
  <c r="BA39" i="10"/>
  <c r="BA39" i="7" s="1"/>
  <c r="AY39" i="10"/>
  <c r="AY39" i="7" s="1"/>
  <c r="AX39" i="10"/>
  <c r="AX39" i="7" s="1"/>
  <c r="AV39" i="10"/>
  <c r="AV39" i="7" s="1"/>
  <c r="AU39" i="10"/>
  <c r="AU39" i="7" s="1"/>
  <c r="AS39" i="10"/>
  <c r="AS39" i="7" s="1"/>
  <c r="AR39" i="10"/>
  <c r="AR39" i="7" s="1"/>
  <c r="AP39" i="10"/>
  <c r="AP39" i="7" s="1"/>
  <c r="AO39" i="10"/>
  <c r="AO39" i="7" s="1"/>
  <c r="AM39" i="10"/>
  <c r="AM39" i="7" s="1"/>
  <c r="AL39" i="10"/>
  <c r="AL39" i="7" s="1"/>
  <c r="AJ39" i="10"/>
  <c r="AJ39" i="7" s="1"/>
  <c r="AI39" i="10"/>
  <c r="AI39" i="7" s="1"/>
  <c r="AG39" i="10"/>
  <c r="AG39" i="7" s="1"/>
  <c r="AF39" i="10"/>
  <c r="AF39" i="7" s="1"/>
  <c r="AD39" i="10"/>
  <c r="AD39" i="7" s="1"/>
  <c r="AC39" i="10"/>
  <c r="AC39" i="7" s="1"/>
  <c r="AA39" i="10"/>
  <c r="AA39" i="7" s="1"/>
  <c r="Z39" i="10"/>
  <c r="Z39" i="7" s="1"/>
  <c r="X39" i="10"/>
  <c r="X39" i="7" s="1"/>
  <c r="W39" i="10"/>
  <c r="W39" i="7" s="1"/>
  <c r="U39" i="10"/>
  <c r="U39" i="7" s="1"/>
  <c r="T39" i="10"/>
  <c r="T39" i="7" s="1"/>
  <c r="R39" i="10"/>
  <c r="R39" i="7" s="1"/>
  <c r="Q39" i="10"/>
  <c r="Q39" i="7" s="1"/>
  <c r="O39" i="10"/>
  <c r="O39" i="7" s="1"/>
  <c r="N39" i="10"/>
  <c r="N39" i="7" s="1"/>
  <c r="L39" i="10"/>
  <c r="L39" i="7" s="1"/>
  <c r="K39" i="10"/>
  <c r="K39" i="7" s="1"/>
  <c r="I39" i="10"/>
  <c r="I39" i="7" s="1"/>
  <c r="H39" i="10"/>
  <c r="H39" i="7" s="1"/>
  <c r="F39" i="10"/>
  <c r="F39" i="7" s="1"/>
  <c r="E39" i="10"/>
  <c r="E39" i="7" s="1"/>
  <c r="C39" i="10"/>
  <c r="C39" i="7" s="1"/>
  <c r="B39" i="10"/>
  <c r="B39" i="7" s="1"/>
  <c r="A39" i="10"/>
  <c r="HH38" i="10"/>
  <c r="HG38" i="10"/>
  <c r="HE38" i="10"/>
  <c r="HD38" i="10"/>
  <c r="HB38" i="10"/>
  <c r="HA38" i="10"/>
  <c r="GY38" i="10"/>
  <c r="GX38" i="10"/>
  <c r="GV38" i="10"/>
  <c r="GU38" i="10"/>
  <c r="GS38" i="10"/>
  <c r="GR38" i="10"/>
  <c r="GP38" i="10"/>
  <c r="GO38" i="10"/>
  <c r="GM38" i="10"/>
  <c r="GL38" i="10"/>
  <c r="GJ38" i="10"/>
  <c r="GI38" i="10"/>
  <c r="GG38" i="10"/>
  <c r="GF38" i="10"/>
  <c r="GD38" i="10"/>
  <c r="GC38" i="10"/>
  <c r="GA38" i="10"/>
  <c r="FZ38" i="10"/>
  <c r="FX38" i="10"/>
  <c r="FW38" i="10"/>
  <c r="FU38" i="10"/>
  <c r="FT38" i="10"/>
  <c r="FR38" i="10"/>
  <c r="FQ38" i="10"/>
  <c r="FO38" i="10"/>
  <c r="FN38" i="10"/>
  <c r="FL38" i="10"/>
  <c r="FK38" i="10"/>
  <c r="FI38" i="10"/>
  <c r="FH38" i="10"/>
  <c r="FF38" i="10"/>
  <c r="FF38" i="7" s="1"/>
  <c r="FE38" i="10"/>
  <c r="FE38" i="7" s="1"/>
  <c r="FC38" i="10"/>
  <c r="FC38" i="7" s="1"/>
  <c r="FB38" i="10"/>
  <c r="FB38" i="7" s="1"/>
  <c r="EZ38" i="10"/>
  <c r="EZ38" i="7" s="1"/>
  <c r="EY38" i="10"/>
  <c r="EY38" i="7" s="1"/>
  <c r="EW38" i="10"/>
  <c r="EW38" i="7" s="1"/>
  <c r="EV38" i="10"/>
  <c r="EV38" i="7" s="1"/>
  <c r="ET38" i="10"/>
  <c r="ET38" i="7" s="1"/>
  <c r="ES38" i="10"/>
  <c r="ES38" i="7" s="1"/>
  <c r="EQ38" i="10"/>
  <c r="EQ38" i="7" s="1"/>
  <c r="EP38" i="10"/>
  <c r="EP38" i="7" s="1"/>
  <c r="EN38" i="10"/>
  <c r="EN38" i="7" s="1"/>
  <c r="EM38" i="10"/>
  <c r="EM38" i="7" s="1"/>
  <c r="EK38" i="10"/>
  <c r="EK38" i="7" s="1"/>
  <c r="EJ38" i="10"/>
  <c r="EJ38" i="7" s="1"/>
  <c r="EH38" i="10"/>
  <c r="EH38" i="7" s="1"/>
  <c r="EG38" i="10"/>
  <c r="EG38" i="7" s="1"/>
  <c r="EE38" i="10"/>
  <c r="EE38" i="7" s="1"/>
  <c r="ED38" i="10"/>
  <c r="ED38" i="7" s="1"/>
  <c r="EB38" i="10"/>
  <c r="EB38" i="7" s="1"/>
  <c r="EA38" i="10"/>
  <c r="EA38" i="7" s="1"/>
  <c r="DY38" i="10"/>
  <c r="DY38" i="7" s="1"/>
  <c r="DX38" i="10"/>
  <c r="DX38" i="7" s="1"/>
  <c r="DV38" i="10"/>
  <c r="DV38" i="7" s="1"/>
  <c r="DU38" i="10"/>
  <c r="DU38" i="7" s="1"/>
  <c r="DS38" i="10"/>
  <c r="DS38" i="7" s="1"/>
  <c r="DR38" i="10"/>
  <c r="DR38" i="7" s="1"/>
  <c r="DP38" i="10"/>
  <c r="DP38" i="7" s="1"/>
  <c r="DO38" i="10"/>
  <c r="DO38" i="7" s="1"/>
  <c r="DM38" i="10"/>
  <c r="DM38" i="7" s="1"/>
  <c r="DL38" i="10"/>
  <c r="DL38" i="7" s="1"/>
  <c r="DJ38" i="10"/>
  <c r="DJ38" i="7" s="1"/>
  <c r="DI38" i="10"/>
  <c r="DI38" i="7" s="1"/>
  <c r="DG38" i="10"/>
  <c r="DG38" i="7" s="1"/>
  <c r="DF38" i="10"/>
  <c r="DF38" i="7" s="1"/>
  <c r="DD38" i="10"/>
  <c r="DD38" i="7" s="1"/>
  <c r="DC38" i="10"/>
  <c r="DC38" i="7" s="1"/>
  <c r="DA38" i="10"/>
  <c r="DA38" i="7" s="1"/>
  <c r="CZ38" i="10"/>
  <c r="CZ38" i="7" s="1"/>
  <c r="CX38" i="10"/>
  <c r="CX38" i="7" s="1"/>
  <c r="CW38" i="10"/>
  <c r="CW38" i="7" s="1"/>
  <c r="CU38" i="10"/>
  <c r="CU38" i="7" s="1"/>
  <c r="CT38" i="10"/>
  <c r="CT38" i="7" s="1"/>
  <c r="CR38" i="10"/>
  <c r="CR38" i="7" s="1"/>
  <c r="CQ38" i="10"/>
  <c r="CQ38" i="7" s="1"/>
  <c r="CO38" i="10"/>
  <c r="CO38" i="7" s="1"/>
  <c r="CN38" i="10"/>
  <c r="CN38" i="7" s="1"/>
  <c r="CL38" i="10"/>
  <c r="CL38" i="7" s="1"/>
  <c r="CK38" i="10"/>
  <c r="CK38" i="7" s="1"/>
  <c r="CI38" i="10"/>
  <c r="CI38" i="7" s="1"/>
  <c r="CH38" i="10"/>
  <c r="CH38" i="7" s="1"/>
  <c r="CF38" i="10"/>
  <c r="CF38" i="7" s="1"/>
  <c r="CE38" i="10"/>
  <c r="CE38" i="7" s="1"/>
  <c r="CC38" i="10"/>
  <c r="CC38" i="7" s="1"/>
  <c r="CB38" i="10"/>
  <c r="CB38" i="7" s="1"/>
  <c r="BZ38" i="10"/>
  <c r="BZ38" i="7" s="1"/>
  <c r="BY38" i="10"/>
  <c r="BY38" i="7" s="1"/>
  <c r="BW38" i="10"/>
  <c r="BW38" i="7" s="1"/>
  <c r="BV38" i="10"/>
  <c r="BV38" i="7" s="1"/>
  <c r="BT38" i="10"/>
  <c r="BT38" i="7" s="1"/>
  <c r="BS38" i="10"/>
  <c r="BS38" i="7" s="1"/>
  <c r="BQ38" i="10"/>
  <c r="BQ38" i="7" s="1"/>
  <c r="BP38" i="10"/>
  <c r="BP38" i="7" s="1"/>
  <c r="BN38" i="10"/>
  <c r="BN38" i="7" s="1"/>
  <c r="BM38" i="10"/>
  <c r="BM38" i="7" s="1"/>
  <c r="BK38" i="10"/>
  <c r="BK38" i="7" s="1"/>
  <c r="BJ38" i="10"/>
  <c r="BJ38" i="7" s="1"/>
  <c r="BH38" i="10"/>
  <c r="BH38" i="7" s="1"/>
  <c r="BG38" i="10"/>
  <c r="BG38" i="7" s="1"/>
  <c r="BE38" i="10"/>
  <c r="BE38" i="7" s="1"/>
  <c r="BD38" i="10"/>
  <c r="BD38" i="7" s="1"/>
  <c r="BB38" i="10"/>
  <c r="BB38" i="7" s="1"/>
  <c r="BA38" i="10"/>
  <c r="BA38" i="7" s="1"/>
  <c r="AY38" i="10"/>
  <c r="AY38" i="7" s="1"/>
  <c r="AX38" i="10"/>
  <c r="AX38" i="7" s="1"/>
  <c r="AV38" i="10"/>
  <c r="AV38" i="7" s="1"/>
  <c r="AU38" i="10"/>
  <c r="AU38" i="7" s="1"/>
  <c r="AS38" i="10"/>
  <c r="AS38" i="7" s="1"/>
  <c r="AR38" i="10"/>
  <c r="AR38" i="7" s="1"/>
  <c r="AP38" i="10"/>
  <c r="AP38" i="7" s="1"/>
  <c r="AO38" i="10"/>
  <c r="AO38" i="7" s="1"/>
  <c r="AM38" i="10"/>
  <c r="AM38" i="7" s="1"/>
  <c r="AL38" i="10"/>
  <c r="AL38" i="7" s="1"/>
  <c r="AJ38" i="10"/>
  <c r="AJ38" i="7" s="1"/>
  <c r="AI38" i="10"/>
  <c r="AI38" i="7" s="1"/>
  <c r="AG38" i="10"/>
  <c r="AG38" i="7" s="1"/>
  <c r="AF38" i="10"/>
  <c r="AF38" i="7" s="1"/>
  <c r="AD38" i="10"/>
  <c r="AD38" i="7" s="1"/>
  <c r="AC38" i="10"/>
  <c r="AC38" i="7" s="1"/>
  <c r="AA38" i="10"/>
  <c r="AA38" i="7" s="1"/>
  <c r="Z38" i="10"/>
  <c r="Z38" i="7" s="1"/>
  <c r="X38" i="10"/>
  <c r="X38" i="7" s="1"/>
  <c r="W38" i="10"/>
  <c r="W38" i="7" s="1"/>
  <c r="U38" i="10"/>
  <c r="U38" i="7" s="1"/>
  <c r="T38" i="10"/>
  <c r="T38" i="7" s="1"/>
  <c r="R38" i="10"/>
  <c r="R38" i="7" s="1"/>
  <c r="Q38" i="10"/>
  <c r="Q38" i="7" s="1"/>
  <c r="O38" i="10"/>
  <c r="O38" i="7" s="1"/>
  <c r="N38" i="10"/>
  <c r="N38" i="7" s="1"/>
  <c r="L38" i="10"/>
  <c r="L38" i="7" s="1"/>
  <c r="K38" i="10"/>
  <c r="K38" i="7" s="1"/>
  <c r="I38" i="10"/>
  <c r="I38" i="7" s="1"/>
  <c r="H38" i="10"/>
  <c r="H38" i="7" s="1"/>
  <c r="F38" i="10"/>
  <c r="F38" i="7" s="1"/>
  <c r="E38" i="10"/>
  <c r="E38" i="7" s="1"/>
  <c r="C38" i="10"/>
  <c r="C38" i="7" s="1"/>
  <c r="B38" i="10"/>
  <c r="B38" i="7" s="1"/>
  <c r="A38" i="10"/>
  <c r="HH37" i="10"/>
  <c r="HG37" i="10"/>
  <c r="HE37" i="10"/>
  <c r="HD37" i="10"/>
  <c r="HB37" i="10"/>
  <c r="HA37" i="10"/>
  <c r="GY37" i="10"/>
  <c r="GX37" i="10"/>
  <c r="GV37" i="10"/>
  <c r="GU37" i="10"/>
  <c r="GS37" i="10"/>
  <c r="GR37" i="10"/>
  <c r="GP37" i="10"/>
  <c r="GO37" i="10"/>
  <c r="GM37" i="10"/>
  <c r="GL37" i="10"/>
  <c r="GJ37" i="10"/>
  <c r="GI37" i="10"/>
  <c r="GG37" i="10"/>
  <c r="GF37" i="10"/>
  <c r="GD37" i="10"/>
  <c r="GC37" i="10"/>
  <c r="GA37" i="10"/>
  <c r="FZ37" i="10"/>
  <c r="FX37" i="10"/>
  <c r="FW37" i="10"/>
  <c r="FU37" i="10"/>
  <c r="FT37" i="10"/>
  <c r="FR37" i="10"/>
  <c r="FQ37" i="10"/>
  <c r="FO37" i="10"/>
  <c r="FN37" i="10"/>
  <c r="FL37" i="10"/>
  <c r="FK37" i="10"/>
  <c r="FI37" i="10"/>
  <c r="FH37" i="10"/>
  <c r="FF37" i="10"/>
  <c r="FF37" i="7" s="1"/>
  <c r="FE37" i="10"/>
  <c r="FE37" i="7" s="1"/>
  <c r="FC37" i="10"/>
  <c r="FC37" i="7" s="1"/>
  <c r="FB37" i="10"/>
  <c r="FB37" i="7" s="1"/>
  <c r="EZ37" i="10"/>
  <c r="EZ37" i="7" s="1"/>
  <c r="EY37" i="10"/>
  <c r="EY37" i="7" s="1"/>
  <c r="EW37" i="10"/>
  <c r="EW37" i="7" s="1"/>
  <c r="EV37" i="10"/>
  <c r="EV37" i="7" s="1"/>
  <c r="ET37" i="10"/>
  <c r="ET37" i="7" s="1"/>
  <c r="ES37" i="10"/>
  <c r="ES37" i="7" s="1"/>
  <c r="EQ37" i="10"/>
  <c r="EQ37" i="7" s="1"/>
  <c r="EP37" i="10"/>
  <c r="EP37" i="7" s="1"/>
  <c r="EN37" i="10"/>
  <c r="EN37" i="7" s="1"/>
  <c r="EM37" i="10"/>
  <c r="EM37" i="7" s="1"/>
  <c r="EK37" i="10"/>
  <c r="EK37" i="7" s="1"/>
  <c r="EJ37" i="10"/>
  <c r="EJ37" i="7" s="1"/>
  <c r="EH37" i="10"/>
  <c r="EH37" i="7" s="1"/>
  <c r="EG37" i="10"/>
  <c r="EG37" i="7" s="1"/>
  <c r="EE37" i="10"/>
  <c r="EE37" i="7" s="1"/>
  <c r="ED37" i="10"/>
  <c r="ED37" i="7" s="1"/>
  <c r="EB37" i="10"/>
  <c r="EB37" i="7" s="1"/>
  <c r="EA37" i="10"/>
  <c r="EA37" i="7" s="1"/>
  <c r="DY37" i="10"/>
  <c r="DY37" i="7" s="1"/>
  <c r="DX37" i="10"/>
  <c r="DX37" i="7" s="1"/>
  <c r="DV37" i="10"/>
  <c r="DV37" i="7" s="1"/>
  <c r="DU37" i="10"/>
  <c r="DU37" i="7" s="1"/>
  <c r="DS37" i="10"/>
  <c r="DS37" i="7" s="1"/>
  <c r="DR37" i="10"/>
  <c r="DR37" i="7" s="1"/>
  <c r="DP37" i="10"/>
  <c r="DP37" i="7" s="1"/>
  <c r="DO37" i="10"/>
  <c r="DO37" i="7" s="1"/>
  <c r="DM37" i="10"/>
  <c r="DM37" i="7" s="1"/>
  <c r="DL37" i="10"/>
  <c r="DL37" i="7" s="1"/>
  <c r="DJ37" i="10"/>
  <c r="DJ37" i="7" s="1"/>
  <c r="DI37" i="10"/>
  <c r="DI37" i="7" s="1"/>
  <c r="DG37" i="10"/>
  <c r="DG37" i="7" s="1"/>
  <c r="DF37" i="10"/>
  <c r="DF37" i="7" s="1"/>
  <c r="DD37" i="10"/>
  <c r="DD37" i="7" s="1"/>
  <c r="DC37" i="10"/>
  <c r="DC37" i="7" s="1"/>
  <c r="DA37" i="10"/>
  <c r="DA37" i="7" s="1"/>
  <c r="CZ37" i="10"/>
  <c r="CZ37" i="7" s="1"/>
  <c r="CX37" i="10"/>
  <c r="CX37" i="7" s="1"/>
  <c r="CW37" i="10"/>
  <c r="CW37" i="7" s="1"/>
  <c r="CU37" i="10"/>
  <c r="CU37" i="7" s="1"/>
  <c r="CT37" i="10"/>
  <c r="CT37" i="7" s="1"/>
  <c r="CR37" i="10"/>
  <c r="CR37" i="7" s="1"/>
  <c r="CQ37" i="10"/>
  <c r="CQ37" i="7" s="1"/>
  <c r="CO37" i="10"/>
  <c r="CO37" i="7" s="1"/>
  <c r="CN37" i="10"/>
  <c r="CN37" i="7" s="1"/>
  <c r="CL37" i="10"/>
  <c r="CL37" i="7" s="1"/>
  <c r="CK37" i="10"/>
  <c r="CK37" i="7" s="1"/>
  <c r="CI37" i="10"/>
  <c r="CI37" i="7" s="1"/>
  <c r="CH37" i="10"/>
  <c r="CH37" i="7" s="1"/>
  <c r="CF37" i="10"/>
  <c r="CF37" i="7" s="1"/>
  <c r="CE37" i="10"/>
  <c r="CE37" i="7" s="1"/>
  <c r="CC37" i="10"/>
  <c r="CC37" i="7" s="1"/>
  <c r="CB37" i="10"/>
  <c r="CB37" i="7" s="1"/>
  <c r="BZ37" i="10"/>
  <c r="BZ37" i="7" s="1"/>
  <c r="BY37" i="10"/>
  <c r="BY37" i="7" s="1"/>
  <c r="BW37" i="10"/>
  <c r="BW37" i="7" s="1"/>
  <c r="BV37" i="10"/>
  <c r="BV37" i="7" s="1"/>
  <c r="BT37" i="10"/>
  <c r="BT37" i="7" s="1"/>
  <c r="BS37" i="10"/>
  <c r="BS37" i="7" s="1"/>
  <c r="BQ37" i="10"/>
  <c r="BQ37" i="7" s="1"/>
  <c r="BP37" i="10"/>
  <c r="BP37" i="7" s="1"/>
  <c r="BN37" i="10"/>
  <c r="BN37" i="7" s="1"/>
  <c r="BM37" i="10"/>
  <c r="BM37" i="7" s="1"/>
  <c r="BK37" i="10"/>
  <c r="BK37" i="7" s="1"/>
  <c r="BJ37" i="10"/>
  <c r="BJ37" i="7" s="1"/>
  <c r="BH37" i="10"/>
  <c r="BH37" i="7" s="1"/>
  <c r="BG37" i="10"/>
  <c r="BG37" i="7" s="1"/>
  <c r="BE37" i="10"/>
  <c r="BE37" i="7" s="1"/>
  <c r="BD37" i="10"/>
  <c r="BD37" i="7" s="1"/>
  <c r="BB37" i="10"/>
  <c r="BB37" i="7" s="1"/>
  <c r="BA37" i="10"/>
  <c r="BA37" i="7" s="1"/>
  <c r="AY37" i="10"/>
  <c r="AY37" i="7" s="1"/>
  <c r="AX37" i="10"/>
  <c r="AX37" i="7" s="1"/>
  <c r="AV37" i="10"/>
  <c r="AV37" i="7" s="1"/>
  <c r="AU37" i="10"/>
  <c r="AU37" i="7" s="1"/>
  <c r="AS37" i="10"/>
  <c r="AS37" i="7" s="1"/>
  <c r="AR37" i="10"/>
  <c r="AR37" i="7" s="1"/>
  <c r="AP37" i="10"/>
  <c r="AP37" i="7" s="1"/>
  <c r="AO37" i="10"/>
  <c r="AO37" i="7" s="1"/>
  <c r="AM37" i="10"/>
  <c r="AM37" i="7" s="1"/>
  <c r="AL37" i="10"/>
  <c r="AL37" i="7" s="1"/>
  <c r="AJ37" i="10"/>
  <c r="AJ37" i="7" s="1"/>
  <c r="AI37" i="10"/>
  <c r="AI37" i="7" s="1"/>
  <c r="AG37" i="10"/>
  <c r="AG37" i="7" s="1"/>
  <c r="AF37" i="10"/>
  <c r="AF37" i="7" s="1"/>
  <c r="AD37" i="10"/>
  <c r="AD37" i="7" s="1"/>
  <c r="AC37" i="10"/>
  <c r="AC37" i="7" s="1"/>
  <c r="AA37" i="10"/>
  <c r="AA37" i="7" s="1"/>
  <c r="Z37" i="10"/>
  <c r="Z37" i="7" s="1"/>
  <c r="X37" i="10"/>
  <c r="X37" i="7" s="1"/>
  <c r="W37" i="10"/>
  <c r="W37" i="7" s="1"/>
  <c r="U37" i="10"/>
  <c r="U37" i="7" s="1"/>
  <c r="T37" i="10"/>
  <c r="T37" i="7" s="1"/>
  <c r="R37" i="10"/>
  <c r="R37" i="7" s="1"/>
  <c r="Q37" i="10"/>
  <c r="Q37" i="7" s="1"/>
  <c r="O37" i="10"/>
  <c r="O37" i="7" s="1"/>
  <c r="N37" i="10"/>
  <c r="N37" i="7" s="1"/>
  <c r="L37" i="10"/>
  <c r="L37" i="7" s="1"/>
  <c r="K37" i="10"/>
  <c r="K37" i="7" s="1"/>
  <c r="I37" i="10"/>
  <c r="I37" i="7" s="1"/>
  <c r="H37" i="10"/>
  <c r="H37" i="7" s="1"/>
  <c r="F37" i="10"/>
  <c r="F37" i="7" s="1"/>
  <c r="E37" i="10"/>
  <c r="E37" i="7" s="1"/>
  <c r="C37" i="10"/>
  <c r="C37" i="7" s="1"/>
  <c r="B37" i="10"/>
  <c r="B37" i="7" s="1"/>
  <c r="A37" i="10"/>
  <c r="A37" i="7" s="1"/>
  <c r="HH36" i="10"/>
  <c r="HG36" i="10"/>
  <c r="HE36" i="10"/>
  <c r="HD36" i="10"/>
  <c r="HB36" i="10"/>
  <c r="HA36" i="10"/>
  <c r="GY36" i="10"/>
  <c r="GX36" i="10"/>
  <c r="GV36" i="10"/>
  <c r="GU36" i="10"/>
  <c r="GS36" i="10"/>
  <c r="GR36" i="10"/>
  <c r="GP36" i="10"/>
  <c r="GO36" i="10"/>
  <c r="GM36" i="10"/>
  <c r="GL36" i="10"/>
  <c r="GJ36" i="10"/>
  <c r="GI36" i="10"/>
  <c r="GG36" i="10"/>
  <c r="GF36" i="10"/>
  <c r="GD36" i="10"/>
  <c r="GC36" i="10"/>
  <c r="GA36" i="10"/>
  <c r="FZ36" i="10"/>
  <c r="FX36" i="10"/>
  <c r="FW36" i="10"/>
  <c r="FU36" i="10"/>
  <c r="FT36" i="10"/>
  <c r="FR36" i="10"/>
  <c r="FQ36" i="10"/>
  <c r="FO36" i="10"/>
  <c r="FN36" i="10"/>
  <c r="FL36" i="10"/>
  <c r="FK36" i="10"/>
  <c r="FI36" i="10"/>
  <c r="FH36" i="10"/>
  <c r="FF36" i="10"/>
  <c r="FF36" i="7" s="1"/>
  <c r="FE36" i="10"/>
  <c r="FE36" i="7" s="1"/>
  <c r="FC36" i="10"/>
  <c r="FC36" i="7" s="1"/>
  <c r="FB36" i="10"/>
  <c r="FB36" i="7" s="1"/>
  <c r="EZ36" i="10"/>
  <c r="EZ36" i="7" s="1"/>
  <c r="EY36" i="10"/>
  <c r="EY36" i="7" s="1"/>
  <c r="EW36" i="10"/>
  <c r="EW36" i="7" s="1"/>
  <c r="EV36" i="10"/>
  <c r="EV36" i="7" s="1"/>
  <c r="ET36" i="10"/>
  <c r="ET36" i="7" s="1"/>
  <c r="ES36" i="10"/>
  <c r="ES36" i="7" s="1"/>
  <c r="EQ36" i="10"/>
  <c r="EQ36" i="7" s="1"/>
  <c r="EP36" i="10"/>
  <c r="EP36" i="7" s="1"/>
  <c r="EN36" i="10"/>
  <c r="EN36" i="7" s="1"/>
  <c r="EM36" i="10"/>
  <c r="EM36" i="7" s="1"/>
  <c r="EK36" i="10"/>
  <c r="EK36" i="7" s="1"/>
  <c r="EJ36" i="10"/>
  <c r="EJ36" i="7" s="1"/>
  <c r="EH36" i="10"/>
  <c r="EH36" i="7" s="1"/>
  <c r="EG36" i="10"/>
  <c r="EG36" i="7" s="1"/>
  <c r="EE36" i="10"/>
  <c r="EE36" i="7" s="1"/>
  <c r="ED36" i="10"/>
  <c r="ED36" i="7" s="1"/>
  <c r="EB36" i="10"/>
  <c r="EB36" i="7" s="1"/>
  <c r="EA36" i="10"/>
  <c r="EA36" i="7" s="1"/>
  <c r="DY36" i="10"/>
  <c r="DY36" i="7" s="1"/>
  <c r="DX36" i="10"/>
  <c r="DX36" i="7" s="1"/>
  <c r="DV36" i="10"/>
  <c r="DV36" i="7" s="1"/>
  <c r="DU36" i="10"/>
  <c r="DU36" i="7" s="1"/>
  <c r="DS36" i="10"/>
  <c r="DS36" i="7" s="1"/>
  <c r="DR36" i="10"/>
  <c r="DR36" i="7" s="1"/>
  <c r="DP36" i="10"/>
  <c r="DP36" i="7" s="1"/>
  <c r="DO36" i="10"/>
  <c r="DO36" i="7" s="1"/>
  <c r="DM36" i="10"/>
  <c r="DM36" i="7" s="1"/>
  <c r="DL36" i="10"/>
  <c r="DL36" i="7" s="1"/>
  <c r="DJ36" i="10"/>
  <c r="DJ36" i="7" s="1"/>
  <c r="DI36" i="10"/>
  <c r="DI36" i="7" s="1"/>
  <c r="DG36" i="10"/>
  <c r="DG36" i="7" s="1"/>
  <c r="DF36" i="10"/>
  <c r="DF36" i="7" s="1"/>
  <c r="DD36" i="10"/>
  <c r="DD36" i="7" s="1"/>
  <c r="DC36" i="10"/>
  <c r="DC36" i="7" s="1"/>
  <c r="DA36" i="10"/>
  <c r="DA36" i="7" s="1"/>
  <c r="CZ36" i="10"/>
  <c r="CZ36" i="7" s="1"/>
  <c r="CX36" i="10"/>
  <c r="CX36" i="7" s="1"/>
  <c r="CW36" i="10"/>
  <c r="CW36" i="7" s="1"/>
  <c r="CU36" i="10"/>
  <c r="CU36" i="7" s="1"/>
  <c r="CT36" i="10"/>
  <c r="CT36" i="7" s="1"/>
  <c r="CR36" i="10"/>
  <c r="CR36" i="7" s="1"/>
  <c r="CQ36" i="10"/>
  <c r="CQ36" i="7" s="1"/>
  <c r="CO36" i="10"/>
  <c r="CO36" i="7" s="1"/>
  <c r="CN36" i="10"/>
  <c r="CN36" i="7" s="1"/>
  <c r="CL36" i="10"/>
  <c r="CL36" i="7" s="1"/>
  <c r="CK36" i="10"/>
  <c r="CK36" i="7" s="1"/>
  <c r="CI36" i="10"/>
  <c r="CI36" i="7" s="1"/>
  <c r="CH36" i="10"/>
  <c r="CH36" i="7" s="1"/>
  <c r="CF36" i="10"/>
  <c r="CF36" i="7" s="1"/>
  <c r="CE36" i="10"/>
  <c r="CE36" i="7" s="1"/>
  <c r="CC36" i="10"/>
  <c r="CC36" i="7" s="1"/>
  <c r="CB36" i="10"/>
  <c r="CB36" i="7" s="1"/>
  <c r="BZ36" i="10"/>
  <c r="BZ36" i="7" s="1"/>
  <c r="BY36" i="10"/>
  <c r="BY36" i="7" s="1"/>
  <c r="BW36" i="10"/>
  <c r="BW36" i="7" s="1"/>
  <c r="BV36" i="10"/>
  <c r="BV36" i="7" s="1"/>
  <c r="BT36" i="10"/>
  <c r="BT36" i="7" s="1"/>
  <c r="BS36" i="10"/>
  <c r="BS36" i="7" s="1"/>
  <c r="BQ36" i="10"/>
  <c r="BQ36" i="7" s="1"/>
  <c r="BP36" i="10"/>
  <c r="BP36" i="7" s="1"/>
  <c r="BN36" i="10"/>
  <c r="BN36" i="7" s="1"/>
  <c r="BM36" i="10"/>
  <c r="BM36" i="7" s="1"/>
  <c r="BK36" i="10"/>
  <c r="BK36" i="7" s="1"/>
  <c r="BJ36" i="10"/>
  <c r="BJ36" i="7" s="1"/>
  <c r="BH36" i="10"/>
  <c r="BH36" i="7" s="1"/>
  <c r="BG36" i="10"/>
  <c r="BG36" i="7" s="1"/>
  <c r="BE36" i="10"/>
  <c r="BE36" i="7" s="1"/>
  <c r="BD36" i="10"/>
  <c r="BD36" i="7" s="1"/>
  <c r="BB36" i="10"/>
  <c r="BB36" i="7" s="1"/>
  <c r="BA36" i="10"/>
  <c r="BA36" i="7" s="1"/>
  <c r="AY36" i="10"/>
  <c r="AY36" i="7" s="1"/>
  <c r="AX36" i="10"/>
  <c r="AX36" i="7" s="1"/>
  <c r="AV36" i="10"/>
  <c r="AV36" i="7" s="1"/>
  <c r="AU36" i="10"/>
  <c r="AU36" i="7" s="1"/>
  <c r="AS36" i="10"/>
  <c r="AS36" i="7" s="1"/>
  <c r="AR36" i="10"/>
  <c r="AR36" i="7" s="1"/>
  <c r="AP36" i="10"/>
  <c r="AP36" i="7" s="1"/>
  <c r="AO36" i="10"/>
  <c r="AO36" i="7" s="1"/>
  <c r="AM36" i="10"/>
  <c r="AM36" i="7" s="1"/>
  <c r="AL36" i="10"/>
  <c r="AL36" i="7" s="1"/>
  <c r="AJ36" i="10"/>
  <c r="AJ36" i="7" s="1"/>
  <c r="AI36" i="10"/>
  <c r="AI36" i="7" s="1"/>
  <c r="AG36" i="10"/>
  <c r="AG36" i="7" s="1"/>
  <c r="AF36" i="10"/>
  <c r="AF36" i="7" s="1"/>
  <c r="AD36" i="10"/>
  <c r="AD36" i="7" s="1"/>
  <c r="AC36" i="10"/>
  <c r="AC36" i="7" s="1"/>
  <c r="AA36" i="10"/>
  <c r="AA36" i="7" s="1"/>
  <c r="Z36" i="10"/>
  <c r="Z36" i="7" s="1"/>
  <c r="X36" i="10"/>
  <c r="X36" i="7" s="1"/>
  <c r="W36" i="10"/>
  <c r="W36" i="7" s="1"/>
  <c r="U36" i="10"/>
  <c r="U36" i="7" s="1"/>
  <c r="T36" i="10"/>
  <c r="T36" i="7" s="1"/>
  <c r="R36" i="10"/>
  <c r="R36" i="7" s="1"/>
  <c r="Q36" i="10"/>
  <c r="Q36" i="7" s="1"/>
  <c r="O36" i="10"/>
  <c r="O36" i="7" s="1"/>
  <c r="N36" i="10"/>
  <c r="N36" i="7" s="1"/>
  <c r="L36" i="10"/>
  <c r="L36" i="7" s="1"/>
  <c r="K36" i="10"/>
  <c r="K36" i="7" s="1"/>
  <c r="I36" i="10"/>
  <c r="I36" i="7" s="1"/>
  <c r="H36" i="10"/>
  <c r="H36" i="7" s="1"/>
  <c r="F36" i="10"/>
  <c r="F36" i="7" s="1"/>
  <c r="E36" i="10"/>
  <c r="E36" i="7" s="1"/>
  <c r="C36" i="10"/>
  <c r="C36" i="7" s="1"/>
  <c r="B36" i="10"/>
  <c r="B36" i="7" s="1"/>
  <c r="A36" i="10"/>
  <c r="A36" i="7" s="1"/>
  <c r="HH35" i="10"/>
  <c r="HG35" i="10"/>
  <c r="HE35" i="10"/>
  <c r="HD35" i="10"/>
  <c r="HB35" i="10"/>
  <c r="HA35" i="10"/>
  <c r="GY35" i="10"/>
  <c r="GX35" i="10"/>
  <c r="GV35" i="10"/>
  <c r="GU35" i="10"/>
  <c r="GS35" i="10"/>
  <c r="GR35" i="10"/>
  <c r="GP35" i="10"/>
  <c r="GO35" i="10"/>
  <c r="GM35" i="10"/>
  <c r="GL35" i="10"/>
  <c r="GJ35" i="10"/>
  <c r="GI35" i="10"/>
  <c r="GG35" i="10"/>
  <c r="GF35" i="10"/>
  <c r="GD35" i="10"/>
  <c r="GC35" i="10"/>
  <c r="GA35" i="10"/>
  <c r="FZ35" i="10"/>
  <c r="FX35" i="10"/>
  <c r="FW35" i="10"/>
  <c r="FU35" i="10"/>
  <c r="FT35" i="10"/>
  <c r="FR35" i="10"/>
  <c r="FQ35" i="10"/>
  <c r="FO35" i="10"/>
  <c r="FN35" i="10"/>
  <c r="FL35" i="10"/>
  <c r="FK35" i="10"/>
  <c r="FI35" i="10"/>
  <c r="FH35" i="10"/>
  <c r="FF35" i="10"/>
  <c r="FF35" i="7" s="1"/>
  <c r="FE35" i="10"/>
  <c r="FE35" i="7" s="1"/>
  <c r="FC35" i="10"/>
  <c r="FC35" i="7" s="1"/>
  <c r="FB35" i="10"/>
  <c r="FB35" i="7" s="1"/>
  <c r="EZ35" i="10"/>
  <c r="EZ35" i="7" s="1"/>
  <c r="EY35" i="10"/>
  <c r="EY35" i="7" s="1"/>
  <c r="EW35" i="10"/>
  <c r="EW35" i="7" s="1"/>
  <c r="EV35" i="10"/>
  <c r="EV35" i="7" s="1"/>
  <c r="ET35" i="10"/>
  <c r="ET35" i="7" s="1"/>
  <c r="ES35" i="10"/>
  <c r="ES35" i="7" s="1"/>
  <c r="EQ35" i="10"/>
  <c r="EQ35" i="7" s="1"/>
  <c r="EP35" i="10"/>
  <c r="EP35" i="7" s="1"/>
  <c r="EN35" i="10"/>
  <c r="EN35" i="7" s="1"/>
  <c r="EM35" i="10"/>
  <c r="EM35" i="7" s="1"/>
  <c r="EK35" i="10"/>
  <c r="EK35" i="7" s="1"/>
  <c r="EJ35" i="10"/>
  <c r="EJ35" i="7" s="1"/>
  <c r="EH35" i="10"/>
  <c r="EH35" i="7" s="1"/>
  <c r="EG35" i="10"/>
  <c r="EG35" i="7" s="1"/>
  <c r="EE35" i="10"/>
  <c r="EE35" i="7" s="1"/>
  <c r="ED35" i="10"/>
  <c r="ED35" i="7" s="1"/>
  <c r="EB35" i="10"/>
  <c r="EB35" i="7" s="1"/>
  <c r="EA35" i="10"/>
  <c r="EA35" i="7" s="1"/>
  <c r="DY35" i="10"/>
  <c r="DY35" i="7" s="1"/>
  <c r="DX35" i="10"/>
  <c r="DX35" i="7" s="1"/>
  <c r="DV35" i="10"/>
  <c r="DV35" i="7" s="1"/>
  <c r="DU35" i="10"/>
  <c r="DU35" i="7" s="1"/>
  <c r="DS35" i="10"/>
  <c r="DS35" i="7" s="1"/>
  <c r="DR35" i="10"/>
  <c r="DR35" i="7" s="1"/>
  <c r="DP35" i="10"/>
  <c r="DP35" i="7" s="1"/>
  <c r="DO35" i="10"/>
  <c r="DO35" i="7" s="1"/>
  <c r="DM35" i="10"/>
  <c r="DM35" i="7" s="1"/>
  <c r="DL35" i="10"/>
  <c r="DL35" i="7" s="1"/>
  <c r="DJ35" i="10"/>
  <c r="DJ35" i="7" s="1"/>
  <c r="DI35" i="10"/>
  <c r="DI35" i="7" s="1"/>
  <c r="DG35" i="10"/>
  <c r="DG35" i="7" s="1"/>
  <c r="DF35" i="10"/>
  <c r="DF35" i="7" s="1"/>
  <c r="DD35" i="10"/>
  <c r="DD35" i="7" s="1"/>
  <c r="DC35" i="10"/>
  <c r="DC35" i="7" s="1"/>
  <c r="DA35" i="10"/>
  <c r="DA35" i="7" s="1"/>
  <c r="CZ35" i="10"/>
  <c r="CZ35" i="7" s="1"/>
  <c r="CX35" i="10"/>
  <c r="CX35" i="7" s="1"/>
  <c r="CW35" i="10"/>
  <c r="CW35" i="7" s="1"/>
  <c r="CU35" i="10"/>
  <c r="CU35" i="7" s="1"/>
  <c r="CT35" i="10"/>
  <c r="CT35" i="7" s="1"/>
  <c r="CR35" i="10"/>
  <c r="CR35" i="7" s="1"/>
  <c r="CQ35" i="10"/>
  <c r="CQ35" i="7" s="1"/>
  <c r="CO35" i="10"/>
  <c r="CO35" i="7" s="1"/>
  <c r="CN35" i="10"/>
  <c r="CN35" i="7" s="1"/>
  <c r="CL35" i="10"/>
  <c r="CL35" i="7" s="1"/>
  <c r="CK35" i="10"/>
  <c r="CK35" i="7" s="1"/>
  <c r="CI35" i="10"/>
  <c r="CI35" i="7" s="1"/>
  <c r="CH35" i="10"/>
  <c r="CH35" i="7" s="1"/>
  <c r="CF35" i="10"/>
  <c r="CF35" i="7" s="1"/>
  <c r="CE35" i="10"/>
  <c r="CE35" i="7" s="1"/>
  <c r="CC35" i="10"/>
  <c r="CC35" i="7" s="1"/>
  <c r="CB35" i="10"/>
  <c r="CB35" i="7" s="1"/>
  <c r="BZ35" i="10"/>
  <c r="BZ35" i="7" s="1"/>
  <c r="BY35" i="10"/>
  <c r="BY35" i="7" s="1"/>
  <c r="BW35" i="10"/>
  <c r="BW35" i="7" s="1"/>
  <c r="BV35" i="10"/>
  <c r="BV35" i="7" s="1"/>
  <c r="BT35" i="10"/>
  <c r="BT35" i="7" s="1"/>
  <c r="BS35" i="10"/>
  <c r="BS35" i="7" s="1"/>
  <c r="BQ35" i="10"/>
  <c r="BQ35" i="7" s="1"/>
  <c r="BP35" i="10"/>
  <c r="BP35" i="7" s="1"/>
  <c r="BN35" i="10"/>
  <c r="BN35" i="7" s="1"/>
  <c r="BM35" i="10"/>
  <c r="BM35" i="7" s="1"/>
  <c r="BK35" i="10"/>
  <c r="BK35" i="7" s="1"/>
  <c r="BJ35" i="10"/>
  <c r="BJ35" i="7" s="1"/>
  <c r="BH35" i="10"/>
  <c r="BH35" i="7" s="1"/>
  <c r="BG35" i="10"/>
  <c r="BG35" i="7" s="1"/>
  <c r="BE35" i="10"/>
  <c r="BE35" i="7" s="1"/>
  <c r="BD35" i="10"/>
  <c r="BD35" i="7" s="1"/>
  <c r="BB35" i="10"/>
  <c r="BB35" i="7" s="1"/>
  <c r="BA35" i="10"/>
  <c r="BA35" i="7" s="1"/>
  <c r="AY35" i="10"/>
  <c r="AY35" i="7" s="1"/>
  <c r="AX35" i="10"/>
  <c r="AX35" i="7" s="1"/>
  <c r="AV35" i="10"/>
  <c r="AV35" i="7" s="1"/>
  <c r="AU35" i="10"/>
  <c r="AU35" i="7" s="1"/>
  <c r="AS35" i="10"/>
  <c r="AS35" i="7" s="1"/>
  <c r="AR35" i="10"/>
  <c r="AR35" i="7" s="1"/>
  <c r="AP35" i="10"/>
  <c r="AP35" i="7" s="1"/>
  <c r="AO35" i="10"/>
  <c r="AO35" i="7" s="1"/>
  <c r="AM35" i="10"/>
  <c r="AM35" i="7" s="1"/>
  <c r="AL35" i="10"/>
  <c r="AL35" i="7" s="1"/>
  <c r="AJ35" i="10"/>
  <c r="AJ35" i="7" s="1"/>
  <c r="AI35" i="10"/>
  <c r="AI35" i="7" s="1"/>
  <c r="AG35" i="10"/>
  <c r="AG35" i="7" s="1"/>
  <c r="AF35" i="10"/>
  <c r="AF35" i="7" s="1"/>
  <c r="AD35" i="10"/>
  <c r="AD35" i="7" s="1"/>
  <c r="AC35" i="10"/>
  <c r="AC35" i="7" s="1"/>
  <c r="AA35" i="10"/>
  <c r="AA35" i="7" s="1"/>
  <c r="Z35" i="10"/>
  <c r="Z35" i="7" s="1"/>
  <c r="X35" i="10"/>
  <c r="X35" i="7" s="1"/>
  <c r="W35" i="10"/>
  <c r="W35" i="7" s="1"/>
  <c r="U35" i="10"/>
  <c r="U35" i="7" s="1"/>
  <c r="T35" i="10"/>
  <c r="T35" i="7" s="1"/>
  <c r="R35" i="10"/>
  <c r="R35" i="7" s="1"/>
  <c r="Q35" i="10"/>
  <c r="Q35" i="7" s="1"/>
  <c r="O35" i="10"/>
  <c r="O35" i="7" s="1"/>
  <c r="N35" i="10"/>
  <c r="N35" i="7" s="1"/>
  <c r="L35" i="10"/>
  <c r="L35" i="7" s="1"/>
  <c r="K35" i="10"/>
  <c r="K35" i="7" s="1"/>
  <c r="I35" i="10"/>
  <c r="I35" i="7" s="1"/>
  <c r="H35" i="10"/>
  <c r="H35" i="7" s="1"/>
  <c r="F35" i="10"/>
  <c r="F35" i="7" s="1"/>
  <c r="E35" i="10"/>
  <c r="E35" i="7" s="1"/>
  <c r="C35" i="10"/>
  <c r="C35" i="7" s="1"/>
  <c r="B35" i="10"/>
  <c r="B35" i="7" s="1"/>
  <c r="A35" i="10"/>
  <c r="A35" i="7" s="1"/>
  <c r="HH34" i="10"/>
  <c r="HG34" i="10"/>
  <c r="HE34" i="10"/>
  <c r="HD34" i="10"/>
  <c r="HB34" i="10"/>
  <c r="HA34" i="10"/>
  <c r="GY34" i="10"/>
  <c r="GX34" i="10"/>
  <c r="GV34" i="10"/>
  <c r="GU34" i="10"/>
  <c r="GS34" i="10"/>
  <c r="GR34" i="10"/>
  <c r="GP34" i="10"/>
  <c r="GO34" i="10"/>
  <c r="GM34" i="10"/>
  <c r="GL34" i="10"/>
  <c r="GJ34" i="10"/>
  <c r="GI34" i="10"/>
  <c r="GG34" i="10"/>
  <c r="GF34" i="10"/>
  <c r="GD34" i="10"/>
  <c r="GC34" i="10"/>
  <c r="GA34" i="10"/>
  <c r="FZ34" i="10"/>
  <c r="FX34" i="10"/>
  <c r="FW34" i="10"/>
  <c r="FU34" i="10"/>
  <c r="FT34" i="10"/>
  <c r="FR34" i="10"/>
  <c r="FQ34" i="10"/>
  <c r="FO34" i="10"/>
  <c r="FN34" i="10"/>
  <c r="FL34" i="10"/>
  <c r="FK34" i="10"/>
  <c r="FI34" i="10"/>
  <c r="FH34" i="10"/>
  <c r="FF34" i="10"/>
  <c r="FF34" i="7" s="1"/>
  <c r="FE34" i="10"/>
  <c r="FE34" i="7" s="1"/>
  <c r="FC34" i="10"/>
  <c r="FC34" i="7" s="1"/>
  <c r="FB34" i="10"/>
  <c r="FB34" i="7" s="1"/>
  <c r="EZ34" i="10"/>
  <c r="EZ34" i="7" s="1"/>
  <c r="EY34" i="10"/>
  <c r="EY34" i="7" s="1"/>
  <c r="EW34" i="10"/>
  <c r="EW34" i="7" s="1"/>
  <c r="EV34" i="10"/>
  <c r="EV34" i="7" s="1"/>
  <c r="ET34" i="10"/>
  <c r="ET34" i="7" s="1"/>
  <c r="ES34" i="10"/>
  <c r="ES34" i="7" s="1"/>
  <c r="EQ34" i="10"/>
  <c r="EQ34" i="7" s="1"/>
  <c r="EP34" i="10"/>
  <c r="EP34" i="7" s="1"/>
  <c r="EN34" i="10"/>
  <c r="EN34" i="7" s="1"/>
  <c r="EM34" i="10"/>
  <c r="EM34" i="7" s="1"/>
  <c r="EK34" i="10"/>
  <c r="EK34" i="7" s="1"/>
  <c r="EJ34" i="10"/>
  <c r="EJ34" i="7" s="1"/>
  <c r="EH34" i="10"/>
  <c r="EH34" i="7" s="1"/>
  <c r="EG34" i="10"/>
  <c r="EG34" i="7" s="1"/>
  <c r="EE34" i="10"/>
  <c r="EE34" i="7" s="1"/>
  <c r="ED34" i="10"/>
  <c r="ED34" i="7" s="1"/>
  <c r="EB34" i="10"/>
  <c r="EB34" i="7" s="1"/>
  <c r="EA34" i="10"/>
  <c r="EA34" i="7" s="1"/>
  <c r="DY34" i="10"/>
  <c r="DY34" i="7" s="1"/>
  <c r="DX34" i="10"/>
  <c r="DX34" i="7" s="1"/>
  <c r="DV34" i="10"/>
  <c r="DV34" i="7" s="1"/>
  <c r="DU34" i="10"/>
  <c r="DU34" i="7" s="1"/>
  <c r="DS34" i="10"/>
  <c r="DS34" i="7" s="1"/>
  <c r="DR34" i="10"/>
  <c r="DR34" i="7" s="1"/>
  <c r="DP34" i="10"/>
  <c r="DP34" i="7" s="1"/>
  <c r="DO34" i="10"/>
  <c r="DO34" i="7" s="1"/>
  <c r="DM34" i="10"/>
  <c r="DM34" i="7" s="1"/>
  <c r="DL34" i="10"/>
  <c r="DL34" i="7" s="1"/>
  <c r="DJ34" i="10"/>
  <c r="DJ34" i="7" s="1"/>
  <c r="DI34" i="10"/>
  <c r="DI34" i="7" s="1"/>
  <c r="DG34" i="10"/>
  <c r="DG34" i="7" s="1"/>
  <c r="DF34" i="10"/>
  <c r="DF34" i="7" s="1"/>
  <c r="DD34" i="10"/>
  <c r="DD34" i="7" s="1"/>
  <c r="DC34" i="10"/>
  <c r="DC34" i="7" s="1"/>
  <c r="DA34" i="10"/>
  <c r="DA34" i="7" s="1"/>
  <c r="CZ34" i="10"/>
  <c r="CZ34" i="7" s="1"/>
  <c r="CX34" i="10"/>
  <c r="CX34" i="7" s="1"/>
  <c r="CW34" i="10"/>
  <c r="CW34" i="7" s="1"/>
  <c r="CU34" i="10"/>
  <c r="CU34" i="7" s="1"/>
  <c r="CT34" i="10"/>
  <c r="CT34" i="7" s="1"/>
  <c r="CR34" i="10"/>
  <c r="CR34" i="7" s="1"/>
  <c r="CQ34" i="10"/>
  <c r="CQ34" i="7" s="1"/>
  <c r="CO34" i="10"/>
  <c r="CO34" i="7" s="1"/>
  <c r="CN34" i="10"/>
  <c r="CN34" i="7" s="1"/>
  <c r="CL34" i="10"/>
  <c r="CL34" i="7" s="1"/>
  <c r="CK34" i="10"/>
  <c r="CK34" i="7" s="1"/>
  <c r="CI34" i="10"/>
  <c r="CI34" i="7" s="1"/>
  <c r="CH34" i="10"/>
  <c r="CH34" i="7" s="1"/>
  <c r="CF34" i="10"/>
  <c r="CF34" i="7" s="1"/>
  <c r="CE34" i="10"/>
  <c r="CE34" i="7" s="1"/>
  <c r="CC34" i="10"/>
  <c r="CC34" i="7" s="1"/>
  <c r="CB34" i="10"/>
  <c r="CB34" i="7" s="1"/>
  <c r="BZ34" i="10"/>
  <c r="BZ34" i="7" s="1"/>
  <c r="BY34" i="10"/>
  <c r="BY34" i="7" s="1"/>
  <c r="BW34" i="10"/>
  <c r="BW34" i="7" s="1"/>
  <c r="BV34" i="10"/>
  <c r="BV34" i="7" s="1"/>
  <c r="BT34" i="10"/>
  <c r="BT34" i="7" s="1"/>
  <c r="BS34" i="10"/>
  <c r="BS34" i="7" s="1"/>
  <c r="BQ34" i="10"/>
  <c r="BQ34" i="7" s="1"/>
  <c r="BP34" i="10"/>
  <c r="BP34" i="7" s="1"/>
  <c r="BN34" i="10"/>
  <c r="BN34" i="7" s="1"/>
  <c r="BM34" i="10"/>
  <c r="BM34" i="7" s="1"/>
  <c r="BK34" i="10"/>
  <c r="BK34" i="7" s="1"/>
  <c r="BJ34" i="10"/>
  <c r="BJ34" i="7" s="1"/>
  <c r="BH34" i="10"/>
  <c r="BH34" i="7" s="1"/>
  <c r="BG34" i="10"/>
  <c r="BG34" i="7" s="1"/>
  <c r="BE34" i="10"/>
  <c r="BE34" i="7" s="1"/>
  <c r="BD34" i="10"/>
  <c r="BD34" i="7" s="1"/>
  <c r="BB34" i="10"/>
  <c r="BB34" i="7" s="1"/>
  <c r="BA34" i="10"/>
  <c r="BA34" i="7" s="1"/>
  <c r="AY34" i="10"/>
  <c r="AY34" i="7" s="1"/>
  <c r="AX34" i="10"/>
  <c r="AX34" i="7" s="1"/>
  <c r="AV34" i="10"/>
  <c r="AV34" i="7" s="1"/>
  <c r="AU34" i="10"/>
  <c r="AU34" i="7" s="1"/>
  <c r="AS34" i="10"/>
  <c r="AS34" i="7" s="1"/>
  <c r="AR34" i="10"/>
  <c r="AR34" i="7" s="1"/>
  <c r="AP34" i="10"/>
  <c r="AP34" i="7" s="1"/>
  <c r="AO34" i="10"/>
  <c r="AO34" i="7" s="1"/>
  <c r="AM34" i="10"/>
  <c r="AM34" i="7" s="1"/>
  <c r="AL34" i="10"/>
  <c r="AL34" i="7" s="1"/>
  <c r="AJ34" i="10"/>
  <c r="AJ34" i="7" s="1"/>
  <c r="AI34" i="10"/>
  <c r="AI34" i="7" s="1"/>
  <c r="AG34" i="10"/>
  <c r="AG34" i="7" s="1"/>
  <c r="AF34" i="10"/>
  <c r="AF34" i="7" s="1"/>
  <c r="AD34" i="10"/>
  <c r="AD34" i="7" s="1"/>
  <c r="AC34" i="10"/>
  <c r="AC34" i="7" s="1"/>
  <c r="AA34" i="10"/>
  <c r="AA34" i="7" s="1"/>
  <c r="Z34" i="10"/>
  <c r="Z34" i="7" s="1"/>
  <c r="X34" i="10"/>
  <c r="X34" i="7" s="1"/>
  <c r="W34" i="10"/>
  <c r="W34" i="7" s="1"/>
  <c r="U34" i="10"/>
  <c r="U34" i="7" s="1"/>
  <c r="T34" i="10"/>
  <c r="T34" i="7" s="1"/>
  <c r="R34" i="10"/>
  <c r="R34" i="7" s="1"/>
  <c r="Q34" i="10"/>
  <c r="Q34" i="7" s="1"/>
  <c r="O34" i="10"/>
  <c r="O34" i="7" s="1"/>
  <c r="N34" i="10"/>
  <c r="N34" i="7" s="1"/>
  <c r="L34" i="10"/>
  <c r="L34" i="7" s="1"/>
  <c r="K34" i="10"/>
  <c r="K34" i="7" s="1"/>
  <c r="I34" i="10"/>
  <c r="I34" i="7" s="1"/>
  <c r="H34" i="10"/>
  <c r="H34" i="7" s="1"/>
  <c r="F34" i="10"/>
  <c r="F34" i="7" s="1"/>
  <c r="E34" i="10"/>
  <c r="E34" i="7" s="1"/>
  <c r="C34" i="10"/>
  <c r="C34" i="7" s="1"/>
  <c r="B34" i="10"/>
  <c r="B34" i="7" s="1"/>
  <c r="A34" i="10"/>
  <c r="A34" i="7" s="1"/>
  <c r="HH33" i="10"/>
  <c r="HG33" i="10"/>
  <c r="HE33" i="10"/>
  <c r="HD33" i="10"/>
  <c r="HB33" i="10"/>
  <c r="HA33" i="10"/>
  <c r="GY33" i="10"/>
  <c r="GX33" i="10"/>
  <c r="GV33" i="10"/>
  <c r="GU33" i="10"/>
  <c r="GS33" i="10"/>
  <c r="GR33" i="10"/>
  <c r="GP33" i="10"/>
  <c r="GO33" i="10"/>
  <c r="GM33" i="10"/>
  <c r="GL33" i="10"/>
  <c r="GJ33" i="10"/>
  <c r="GI33" i="10"/>
  <c r="GG33" i="10"/>
  <c r="GF33" i="10"/>
  <c r="GD33" i="10"/>
  <c r="GC33" i="10"/>
  <c r="GA33" i="10"/>
  <c r="FZ33" i="10"/>
  <c r="FX33" i="10"/>
  <c r="FW33" i="10"/>
  <c r="FU33" i="10"/>
  <c r="FT33" i="10"/>
  <c r="FR33" i="10"/>
  <c r="FQ33" i="10"/>
  <c r="FO33" i="10"/>
  <c r="FN33" i="10"/>
  <c r="FL33" i="10"/>
  <c r="FK33" i="10"/>
  <c r="FI33" i="10"/>
  <c r="FH33" i="10"/>
  <c r="FF33" i="10"/>
  <c r="FF33" i="7" s="1"/>
  <c r="FE33" i="10"/>
  <c r="FE33" i="7" s="1"/>
  <c r="FC33" i="10"/>
  <c r="FC33" i="7" s="1"/>
  <c r="FB33" i="10"/>
  <c r="FB33" i="7" s="1"/>
  <c r="EZ33" i="10"/>
  <c r="EZ33" i="7" s="1"/>
  <c r="EY33" i="10"/>
  <c r="EY33" i="7" s="1"/>
  <c r="EW33" i="10"/>
  <c r="EW33" i="7" s="1"/>
  <c r="EV33" i="10"/>
  <c r="EV33" i="7" s="1"/>
  <c r="ET33" i="10"/>
  <c r="ET33" i="7" s="1"/>
  <c r="ES33" i="10"/>
  <c r="ES33" i="7" s="1"/>
  <c r="EQ33" i="10"/>
  <c r="EQ33" i="7" s="1"/>
  <c r="EP33" i="10"/>
  <c r="EP33" i="7" s="1"/>
  <c r="EN33" i="10"/>
  <c r="EN33" i="7" s="1"/>
  <c r="EM33" i="10"/>
  <c r="EM33" i="7" s="1"/>
  <c r="EK33" i="10"/>
  <c r="EK33" i="7" s="1"/>
  <c r="EJ33" i="10"/>
  <c r="EJ33" i="7" s="1"/>
  <c r="EH33" i="10"/>
  <c r="EH33" i="7" s="1"/>
  <c r="EG33" i="10"/>
  <c r="EG33" i="7" s="1"/>
  <c r="EE33" i="10"/>
  <c r="EE33" i="7" s="1"/>
  <c r="ED33" i="10"/>
  <c r="ED33" i="7" s="1"/>
  <c r="EB33" i="10"/>
  <c r="EB33" i="7" s="1"/>
  <c r="EA33" i="10"/>
  <c r="EA33" i="7" s="1"/>
  <c r="DY33" i="10"/>
  <c r="DY33" i="7" s="1"/>
  <c r="DX33" i="10"/>
  <c r="DX33" i="7" s="1"/>
  <c r="DV33" i="10"/>
  <c r="DV33" i="7" s="1"/>
  <c r="DU33" i="10"/>
  <c r="DU33" i="7" s="1"/>
  <c r="DS33" i="10"/>
  <c r="DS33" i="7" s="1"/>
  <c r="DR33" i="10"/>
  <c r="DR33" i="7" s="1"/>
  <c r="DP33" i="10"/>
  <c r="DP33" i="7" s="1"/>
  <c r="DO33" i="10"/>
  <c r="DO33" i="7" s="1"/>
  <c r="DM33" i="10"/>
  <c r="DM33" i="7" s="1"/>
  <c r="DL33" i="10"/>
  <c r="DL33" i="7" s="1"/>
  <c r="DJ33" i="10"/>
  <c r="DJ33" i="7" s="1"/>
  <c r="DI33" i="10"/>
  <c r="DI33" i="7" s="1"/>
  <c r="DG33" i="10"/>
  <c r="DG33" i="7" s="1"/>
  <c r="DF33" i="10"/>
  <c r="DF33" i="7" s="1"/>
  <c r="DD33" i="10"/>
  <c r="DD33" i="7" s="1"/>
  <c r="DC33" i="10"/>
  <c r="DC33" i="7" s="1"/>
  <c r="DA33" i="10"/>
  <c r="DA33" i="7" s="1"/>
  <c r="CZ33" i="10"/>
  <c r="CZ33" i="7" s="1"/>
  <c r="CX33" i="10"/>
  <c r="CX33" i="7" s="1"/>
  <c r="CW33" i="10"/>
  <c r="CW33" i="7" s="1"/>
  <c r="CU33" i="10"/>
  <c r="CU33" i="7" s="1"/>
  <c r="CT33" i="10"/>
  <c r="CT33" i="7" s="1"/>
  <c r="CR33" i="10"/>
  <c r="CR33" i="7" s="1"/>
  <c r="CQ33" i="10"/>
  <c r="CQ33" i="7" s="1"/>
  <c r="CO33" i="10"/>
  <c r="CO33" i="7" s="1"/>
  <c r="CN33" i="10"/>
  <c r="CN33" i="7" s="1"/>
  <c r="CL33" i="10"/>
  <c r="CL33" i="7" s="1"/>
  <c r="CK33" i="10"/>
  <c r="CK33" i="7" s="1"/>
  <c r="CI33" i="10"/>
  <c r="CI33" i="7" s="1"/>
  <c r="CH33" i="10"/>
  <c r="CH33" i="7" s="1"/>
  <c r="CF33" i="10"/>
  <c r="CF33" i="7" s="1"/>
  <c r="CE33" i="10"/>
  <c r="CE33" i="7" s="1"/>
  <c r="CC33" i="10"/>
  <c r="CC33" i="7" s="1"/>
  <c r="CB33" i="10"/>
  <c r="CB33" i="7" s="1"/>
  <c r="BZ33" i="10"/>
  <c r="BZ33" i="7" s="1"/>
  <c r="BY33" i="10"/>
  <c r="BY33" i="7" s="1"/>
  <c r="BW33" i="10"/>
  <c r="BW33" i="7" s="1"/>
  <c r="BV33" i="10"/>
  <c r="BV33" i="7" s="1"/>
  <c r="BT33" i="10"/>
  <c r="BT33" i="7" s="1"/>
  <c r="BS33" i="10"/>
  <c r="BS33" i="7" s="1"/>
  <c r="BQ33" i="10"/>
  <c r="BQ33" i="7" s="1"/>
  <c r="BP33" i="10"/>
  <c r="BP33" i="7" s="1"/>
  <c r="BN33" i="10"/>
  <c r="BN33" i="7" s="1"/>
  <c r="BM33" i="10"/>
  <c r="BM33" i="7" s="1"/>
  <c r="BK33" i="10"/>
  <c r="BK33" i="7" s="1"/>
  <c r="BJ33" i="10"/>
  <c r="BJ33" i="7" s="1"/>
  <c r="BH33" i="10"/>
  <c r="BH33" i="7" s="1"/>
  <c r="BG33" i="10"/>
  <c r="BG33" i="7" s="1"/>
  <c r="BE33" i="10"/>
  <c r="BE33" i="7" s="1"/>
  <c r="BD33" i="10"/>
  <c r="BD33" i="7" s="1"/>
  <c r="BB33" i="10"/>
  <c r="BB33" i="7" s="1"/>
  <c r="BA33" i="10"/>
  <c r="BA33" i="7" s="1"/>
  <c r="AY33" i="10"/>
  <c r="AY33" i="7" s="1"/>
  <c r="AX33" i="10"/>
  <c r="AX33" i="7" s="1"/>
  <c r="AV33" i="10"/>
  <c r="AV33" i="7" s="1"/>
  <c r="AU33" i="10"/>
  <c r="AU33" i="7" s="1"/>
  <c r="AS33" i="10"/>
  <c r="AS33" i="7" s="1"/>
  <c r="AR33" i="10"/>
  <c r="AR33" i="7" s="1"/>
  <c r="AP33" i="10"/>
  <c r="AP33" i="7" s="1"/>
  <c r="AO33" i="10"/>
  <c r="AO33" i="7" s="1"/>
  <c r="AM33" i="10"/>
  <c r="AM33" i="7" s="1"/>
  <c r="AL33" i="10"/>
  <c r="AL33" i="7" s="1"/>
  <c r="AJ33" i="10"/>
  <c r="AJ33" i="7" s="1"/>
  <c r="AI33" i="10"/>
  <c r="AI33" i="7" s="1"/>
  <c r="AG33" i="10"/>
  <c r="AG33" i="7" s="1"/>
  <c r="AF33" i="10"/>
  <c r="AF33" i="7" s="1"/>
  <c r="AD33" i="10"/>
  <c r="AD33" i="7" s="1"/>
  <c r="AC33" i="10"/>
  <c r="AC33" i="7" s="1"/>
  <c r="AA33" i="10"/>
  <c r="AA33" i="7" s="1"/>
  <c r="Z33" i="10"/>
  <c r="Z33" i="7" s="1"/>
  <c r="X33" i="10"/>
  <c r="X33" i="7" s="1"/>
  <c r="W33" i="10"/>
  <c r="W33" i="7" s="1"/>
  <c r="U33" i="10"/>
  <c r="U33" i="7" s="1"/>
  <c r="T33" i="10"/>
  <c r="T33" i="7" s="1"/>
  <c r="R33" i="10"/>
  <c r="R33" i="7" s="1"/>
  <c r="Q33" i="10"/>
  <c r="Q33" i="7" s="1"/>
  <c r="O33" i="10"/>
  <c r="O33" i="7" s="1"/>
  <c r="N33" i="10"/>
  <c r="N33" i="7" s="1"/>
  <c r="L33" i="10"/>
  <c r="L33" i="7" s="1"/>
  <c r="K33" i="10"/>
  <c r="K33" i="7" s="1"/>
  <c r="I33" i="10"/>
  <c r="I33" i="7" s="1"/>
  <c r="H33" i="10"/>
  <c r="H33" i="7" s="1"/>
  <c r="F33" i="10"/>
  <c r="F33" i="7" s="1"/>
  <c r="E33" i="10"/>
  <c r="E33" i="7" s="1"/>
  <c r="C33" i="10"/>
  <c r="C33" i="7" s="1"/>
  <c r="B33" i="10"/>
  <c r="B33" i="7" s="1"/>
  <c r="A33" i="10"/>
  <c r="A33" i="7" s="1"/>
  <c r="HH32" i="10"/>
  <c r="HG32" i="10"/>
  <c r="HE32" i="10"/>
  <c r="HD32" i="10"/>
  <c r="HB32" i="10"/>
  <c r="HA32" i="10"/>
  <c r="GY32" i="10"/>
  <c r="GX32" i="10"/>
  <c r="GV32" i="10"/>
  <c r="GU32" i="10"/>
  <c r="GS32" i="10"/>
  <c r="GR32" i="10"/>
  <c r="GP32" i="10"/>
  <c r="GO32" i="10"/>
  <c r="GM32" i="10"/>
  <c r="GL32" i="10"/>
  <c r="GJ32" i="10"/>
  <c r="GI32" i="10"/>
  <c r="GG32" i="10"/>
  <c r="GF32" i="10"/>
  <c r="GD32" i="10"/>
  <c r="GC32" i="10"/>
  <c r="GA32" i="10"/>
  <c r="FZ32" i="10"/>
  <c r="FX32" i="10"/>
  <c r="FW32" i="10"/>
  <c r="FU32" i="10"/>
  <c r="FT32" i="10"/>
  <c r="FR32" i="10"/>
  <c r="FQ32" i="10"/>
  <c r="FO32" i="10"/>
  <c r="FN32" i="10"/>
  <c r="FL32" i="10"/>
  <c r="FK32" i="10"/>
  <c r="FI32" i="10"/>
  <c r="FH32" i="10"/>
  <c r="FF32" i="10"/>
  <c r="FF32" i="7" s="1"/>
  <c r="FE32" i="10"/>
  <c r="FE32" i="7" s="1"/>
  <c r="FC32" i="10"/>
  <c r="FC32" i="7" s="1"/>
  <c r="FB32" i="10"/>
  <c r="FB32" i="7" s="1"/>
  <c r="EZ32" i="10"/>
  <c r="EZ32" i="7" s="1"/>
  <c r="EY32" i="10"/>
  <c r="EY32" i="7" s="1"/>
  <c r="EW32" i="10"/>
  <c r="EW32" i="7" s="1"/>
  <c r="EV32" i="10"/>
  <c r="EV32" i="7" s="1"/>
  <c r="ET32" i="10"/>
  <c r="ET32" i="7" s="1"/>
  <c r="ES32" i="10"/>
  <c r="ES32" i="7" s="1"/>
  <c r="EQ32" i="10"/>
  <c r="EQ32" i="7" s="1"/>
  <c r="EP32" i="10"/>
  <c r="EP32" i="7" s="1"/>
  <c r="EN32" i="10"/>
  <c r="EN32" i="7" s="1"/>
  <c r="EM32" i="10"/>
  <c r="EM32" i="7" s="1"/>
  <c r="EK32" i="10"/>
  <c r="EK32" i="7" s="1"/>
  <c r="EJ32" i="10"/>
  <c r="EJ32" i="7" s="1"/>
  <c r="EH32" i="10"/>
  <c r="EH32" i="7" s="1"/>
  <c r="EG32" i="10"/>
  <c r="EG32" i="7" s="1"/>
  <c r="EE32" i="10"/>
  <c r="EE32" i="7" s="1"/>
  <c r="ED32" i="10"/>
  <c r="ED32" i="7" s="1"/>
  <c r="EB32" i="10"/>
  <c r="EB32" i="7" s="1"/>
  <c r="EA32" i="10"/>
  <c r="EA32" i="7" s="1"/>
  <c r="DY32" i="10"/>
  <c r="DY32" i="7" s="1"/>
  <c r="DX32" i="10"/>
  <c r="DX32" i="7" s="1"/>
  <c r="DV32" i="10"/>
  <c r="DV32" i="7" s="1"/>
  <c r="DU32" i="10"/>
  <c r="DU32" i="7" s="1"/>
  <c r="DS32" i="10"/>
  <c r="DS32" i="7" s="1"/>
  <c r="DR32" i="10"/>
  <c r="DR32" i="7" s="1"/>
  <c r="DP32" i="10"/>
  <c r="DP32" i="7" s="1"/>
  <c r="DO32" i="10"/>
  <c r="DO32" i="7" s="1"/>
  <c r="DM32" i="10"/>
  <c r="DM32" i="7" s="1"/>
  <c r="DL32" i="10"/>
  <c r="DL32" i="7" s="1"/>
  <c r="DJ32" i="10"/>
  <c r="DJ32" i="7" s="1"/>
  <c r="DI32" i="10"/>
  <c r="DI32" i="7" s="1"/>
  <c r="DG32" i="10"/>
  <c r="DG32" i="7" s="1"/>
  <c r="DF32" i="10"/>
  <c r="DF32" i="7" s="1"/>
  <c r="DD32" i="10"/>
  <c r="DD32" i="7" s="1"/>
  <c r="DC32" i="10"/>
  <c r="DC32" i="7" s="1"/>
  <c r="DA32" i="10"/>
  <c r="DA32" i="7" s="1"/>
  <c r="CZ32" i="10"/>
  <c r="CZ32" i="7" s="1"/>
  <c r="CX32" i="10"/>
  <c r="CX32" i="7" s="1"/>
  <c r="CW32" i="10"/>
  <c r="CW32" i="7" s="1"/>
  <c r="CU32" i="10"/>
  <c r="CU32" i="7" s="1"/>
  <c r="CT32" i="10"/>
  <c r="CT32" i="7" s="1"/>
  <c r="CR32" i="10"/>
  <c r="CR32" i="7" s="1"/>
  <c r="CQ32" i="10"/>
  <c r="CQ32" i="7" s="1"/>
  <c r="CO32" i="10"/>
  <c r="CO32" i="7" s="1"/>
  <c r="CN32" i="10"/>
  <c r="CN32" i="7" s="1"/>
  <c r="CL32" i="10"/>
  <c r="CL32" i="7" s="1"/>
  <c r="CK32" i="10"/>
  <c r="CK32" i="7" s="1"/>
  <c r="CI32" i="10"/>
  <c r="CI32" i="7" s="1"/>
  <c r="CH32" i="10"/>
  <c r="CH32" i="7" s="1"/>
  <c r="CF32" i="10"/>
  <c r="CF32" i="7" s="1"/>
  <c r="CE32" i="10"/>
  <c r="CE32" i="7" s="1"/>
  <c r="CC32" i="10"/>
  <c r="CC32" i="7" s="1"/>
  <c r="CB32" i="10"/>
  <c r="CB32" i="7" s="1"/>
  <c r="BZ32" i="10"/>
  <c r="BZ32" i="7" s="1"/>
  <c r="BY32" i="10"/>
  <c r="BY32" i="7" s="1"/>
  <c r="BW32" i="10"/>
  <c r="BW32" i="7" s="1"/>
  <c r="BV32" i="10"/>
  <c r="BV32" i="7" s="1"/>
  <c r="BT32" i="10"/>
  <c r="BT32" i="7" s="1"/>
  <c r="BS32" i="10"/>
  <c r="BS32" i="7" s="1"/>
  <c r="BQ32" i="10"/>
  <c r="BQ32" i="7" s="1"/>
  <c r="BP32" i="10"/>
  <c r="BP32" i="7" s="1"/>
  <c r="BN32" i="10"/>
  <c r="BN32" i="7" s="1"/>
  <c r="BM32" i="10"/>
  <c r="BM32" i="7" s="1"/>
  <c r="BK32" i="10"/>
  <c r="BK32" i="7" s="1"/>
  <c r="BJ32" i="10"/>
  <c r="BJ32" i="7" s="1"/>
  <c r="BH32" i="10"/>
  <c r="BH32" i="7" s="1"/>
  <c r="BG32" i="10"/>
  <c r="BG32" i="7" s="1"/>
  <c r="BE32" i="10"/>
  <c r="BE32" i="7" s="1"/>
  <c r="BD32" i="10"/>
  <c r="BD32" i="7" s="1"/>
  <c r="BB32" i="10"/>
  <c r="BB32" i="7" s="1"/>
  <c r="BA32" i="10"/>
  <c r="BA32" i="7" s="1"/>
  <c r="AY32" i="10"/>
  <c r="AY32" i="7" s="1"/>
  <c r="AX32" i="10"/>
  <c r="AX32" i="7" s="1"/>
  <c r="AV32" i="10"/>
  <c r="AV32" i="7" s="1"/>
  <c r="AU32" i="10"/>
  <c r="AU32" i="7" s="1"/>
  <c r="AS32" i="10"/>
  <c r="AS32" i="7" s="1"/>
  <c r="AR32" i="10"/>
  <c r="AR32" i="7" s="1"/>
  <c r="AP32" i="10"/>
  <c r="AP32" i="7" s="1"/>
  <c r="AO32" i="10"/>
  <c r="AO32" i="7" s="1"/>
  <c r="AM32" i="10"/>
  <c r="AM32" i="7" s="1"/>
  <c r="AL32" i="10"/>
  <c r="AL32" i="7" s="1"/>
  <c r="AJ32" i="10"/>
  <c r="AJ32" i="7" s="1"/>
  <c r="AI32" i="10"/>
  <c r="AI32" i="7" s="1"/>
  <c r="AG32" i="10"/>
  <c r="AG32" i="7" s="1"/>
  <c r="AF32" i="10"/>
  <c r="AF32" i="7" s="1"/>
  <c r="AD32" i="10"/>
  <c r="AD32" i="7" s="1"/>
  <c r="AC32" i="10"/>
  <c r="AC32" i="7" s="1"/>
  <c r="AA32" i="10"/>
  <c r="AA32" i="7" s="1"/>
  <c r="Z32" i="10"/>
  <c r="Z32" i="7" s="1"/>
  <c r="X32" i="10"/>
  <c r="X32" i="7" s="1"/>
  <c r="W32" i="10"/>
  <c r="W32" i="7" s="1"/>
  <c r="U32" i="10"/>
  <c r="U32" i="7" s="1"/>
  <c r="T32" i="10"/>
  <c r="T32" i="7" s="1"/>
  <c r="R32" i="10"/>
  <c r="R32" i="7" s="1"/>
  <c r="Q32" i="10"/>
  <c r="Q32" i="7" s="1"/>
  <c r="O32" i="10"/>
  <c r="O32" i="7" s="1"/>
  <c r="N32" i="10"/>
  <c r="N32" i="7" s="1"/>
  <c r="L32" i="10"/>
  <c r="L32" i="7" s="1"/>
  <c r="K32" i="10"/>
  <c r="K32" i="7" s="1"/>
  <c r="I32" i="10"/>
  <c r="I32" i="7" s="1"/>
  <c r="H32" i="10"/>
  <c r="H32" i="7" s="1"/>
  <c r="F32" i="10"/>
  <c r="F32" i="7" s="1"/>
  <c r="E32" i="10"/>
  <c r="E32" i="7" s="1"/>
  <c r="C32" i="10"/>
  <c r="C32" i="7" s="1"/>
  <c r="B32" i="10"/>
  <c r="B32" i="7" s="1"/>
  <c r="A32" i="10"/>
  <c r="A32" i="7" s="1"/>
  <c r="HH31" i="10"/>
  <c r="HG31" i="10"/>
  <c r="HE31" i="10"/>
  <c r="HD31" i="10"/>
  <c r="HB31" i="10"/>
  <c r="HA31" i="10"/>
  <c r="GY31" i="10"/>
  <c r="GX31" i="10"/>
  <c r="GV31" i="10"/>
  <c r="GU31" i="10"/>
  <c r="GS31" i="10"/>
  <c r="GR31" i="10"/>
  <c r="GP31" i="10"/>
  <c r="GO31" i="10"/>
  <c r="GM31" i="10"/>
  <c r="GL31" i="10"/>
  <c r="GJ31" i="10"/>
  <c r="GI31" i="10"/>
  <c r="GG31" i="10"/>
  <c r="GF31" i="10"/>
  <c r="GD31" i="10"/>
  <c r="GC31" i="10"/>
  <c r="GA31" i="10"/>
  <c r="FZ31" i="10"/>
  <c r="FX31" i="10"/>
  <c r="FW31" i="10"/>
  <c r="FU31" i="10"/>
  <c r="FT31" i="10"/>
  <c r="FR31" i="10"/>
  <c r="FQ31" i="10"/>
  <c r="FO31" i="10"/>
  <c r="FN31" i="10"/>
  <c r="FL31" i="10"/>
  <c r="FK31" i="10"/>
  <c r="FI31" i="10"/>
  <c r="FH31" i="10"/>
  <c r="FF31" i="10"/>
  <c r="FF31" i="7" s="1"/>
  <c r="FE31" i="10"/>
  <c r="FE31" i="7" s="1"/>
  <c r="FC31" i="10"/>
  <c r="FC31" i="7" s="1"/>
  <c r="FB31" i="10"/>
  <c r="FB31" i="7" s="1"/>
  <c r="EZ31" i="10"/>
  <c r="EZ31" i="7" s="1"/>
  <c r="EY31" i="10"/>
  <c r="EY31" i="7" s="1"/>
  <c r="EW31" i="10"/>
  <c r="EW31" i="7" s="1"/>
  <c r="EV31" i="10"/>
  <c r="EV31" i="7" s="1"/>
  <c r="ET31" i="10"/>
  <c r="ET31" i="7" s="1"/>
  <c r="ES31" i="10"/>
  <c r="ES31" i="7" s="1"/>
  <c r="EQ31" i="10"/>
  <c r="EQ31" i="7" s="1"/>
  <c r="EP31" i="10"/>
  <c r="EP31" i="7" s="1"/>
  <c r="EN31" i="10"/>
  <c r="EN31" i="7" s="1"/>
  <c r="EM31" i="10"/>
  <c r="EM31" i="7" s="1"/>
  <c r="EK31" i="10"/>
  <c r="EK31" i="7" s="1"/>
  <c r="EJ31" i="10"/>
  <c r="EJ31" i="7" s="1"/>
  <c r="EH31" i="10"/>
  <c r="EH31" i="7" s="1"/>
  <c r="EG31" i="10"/>
  <c r="EG31" i="7" s="1"/>
  <c r="EE31" i="10"/>
  <c r="EE31" i="7" s="1"/>
  <c r="ED31" i="10"/>
  <c r="ED31" i="7" s="1"/>
  <c r="EB31" i="10"/>
  <c r="EB31" i="7" s="1"/>
  <c r="EA31" i="10"/>
  <c r="EA31" i="7" s="1"/>
  <c r="DY31" i="10"/>
  <c r="DY31" i="7" s="1"/>
  <c r="DX31" i="10"/>
  <c r="DX31" i="7" s="1"/>
  <c r="DV31" i="10"/>
  <c r="DV31" i="7" s="1"/>
  <c r="DU31" i="10"/>
  <c r="DU31" i="7" s="1"/>
  <c r="DS31" i="10"/>
  <c r="DS31" i="7" s="1"/>
  <c r="DR31" i="10"/>
  <c r="DR31" i="7" s="1"/>
  <c r="DP31" i="10"/>
  <c r="DP31" i="7" s="1"/>
  <c r="DO31" i="10"/>
  <c r="DO31" i="7" s="1"/>
  <c r="DM31" i="10"/>
  <c r="DM31" i="7" s="1"/>
  <c r="DL31" i="10"/>
  <c r="DL31" i="7" s="1"/>
  <c r="DJ31" i="10"/>
  <c r="DJ31" i="7" s="1"/>
  <c r="DI31" i="10"/>
  <c r="DI31" i="7" s="1"/>
  <c r="DG31" i="10"/>
  <c r="DG31" i="7" s="1"/>
  <c r="DF31" i="10"/>
  <c r="DF31" i="7" s="1"/>
  <c r="DD31" i="10"/>
  <c r="DD31" i="7" s="1"/>
  <c r="DC31" i="10"/>
  <c r="DC31" i="7" s="1"/>
  <c r="DA31" i="10"/>
  <c r="DA31" i="7" s="1"/>
  <c r="CZ31" i="10"/>
  <c r="CZ31" i="7" s="1"/>
  <c r="CX31" i="10"/>
  <c r="CX31" i="7" s="1"/>
  <c r="CW31" i="10"/>
  <c r="CW31" i="7" s="1"/>
  <c r="CU31" i="10"/>
  <c r="CU31" i="7" s="1"/>
  <c r="CT31" i="10"/>
  <c r="CT31" i="7" s="1"/>
  <c r="CR31" i="10"/>
  <c r="CR31" i="7" s="1"/>
  <c r="CQ31" i="10"/>
  <c r="CQ31" i="7" s="1"/>
  <c r="CO31" i="10"/>
  <c r="CO31" i="7" s="1"/>
  <c r="CN31" i="10"/>
  <c r="CN31" i="7" s="1"/>
  <c r="CL31" i="10"/>
  <c r="CL31" i="7" s="1"/>
  <c r="CK31" i="10"/>
  <c r="CK31" i="7" s="1"/>
  <c r="CI31" i="10"/>
  <c r="CI31" i="7" s="1"/>
  <c r="CH31" i="10"/>
  <c r="CH31" i="7" s="1"/>
  <c r="CF31" i="10"/>
  <c r="CF31" i="7" s="1"/>
  <c r="CE31" i="10"/>
  <c r="CE31" i="7" s="1"/>
  <c r="CC31" i="10"/>
  <c r="CC31" i="7" s="1"/>
  <c r="CB31" i="10"/>
  <c r="CB31" i="7" s="1"/>
  <c r="BZ31" i="10"/>
  <c r="BZ31" i="7" s="1"/>
  <c r="BY31" i="10"/>
  <c r="BY31" i="7" s="1"/>
  <c r="BW31" i="10"/>
  <c r="BW31" i="7" s="1"/>
  <c r="BV31" i="10"/>
  <c r="BV31" i="7" s="1"/>
  <c r="BT31" i="10"/>
  <c r="BT31" i="7" s="1"/>
  <c r="BS31" i="10"/>
  <c r="BS31" i="7" s="1"/>
  <c r="BQ31" i="10"/>
  <c r="BQ31" i="7" s="1"/>
  <c r="BP31" i="10"/>
  <c r="BP31" i="7" s="1"/>
  <c r="BN31" i="10"/>
  <c r="BN31" i="7" s="1"/>
  <c r="BM31" i="10"/>
  <c r="BM31" i="7" s="1"/>
  <c r="BK31" i="10"/>
  <c r="BK31" i="7" s="1"/>
  <c r="BJ31" i="10"/>
  <c r="BJ31" i="7" s="1"/>
  <c r="BH31" i="10"/>
  <c r="BH31" i="7" s="1"/>
  <c r="BG31" i="10"/>
  <c r="BG31" i="7" s="1"/>
  <c r="BE31" i="10"/>
  <c r="BE31" i="7" s="1"/>
  <c r="BD31" i="10"/>
  <c r="BD31" i="7" s="1"/>
  <c r="BB31" i="10"/>
  <c r="BB31" i="7" s="1"/>
  <c r="BA31" i="10"/>
  <c r="BA31" i="7" s="1"/>
  <c r="AY31" i="10"/>
  <c r="AY31" i="7" s="1"/>
  <c r="AX31" i="10"/>
  <c r="AX31" i="7" s="1"/>
  <c r="AV31" i="10"/>
  <c r="AV31" i="7" s="1"/>
  <c r="AU31" i="10"/>
  <c r="AU31" i="7" s="1"/>
  <c r="AS31" i="10"/>
  <c r="AS31" i="7" s="1"/>
  <c r="AR31" i="10"/>
  <c r="AR31" i="7" s="1"/>
  <c r="AP31" i="10"/>
  <c r="AP31" i="7" s="1"/>
  <c r="AO31" i="10"/>
  <c r="AO31" i="7" s="1"/>
  <c r="AM31" i="10"/>
  <c r="AM31" i="7" s="1"/>
  <c r="AL31" i="10"/>
  <c r="AL31" i="7" s="1"/>
  <c r="AJ31" i="10"/>
  <c r="AJ31" i="7" s="1"/>
  <c r="AI31" i="10"/>
  <c r="AI31" i="7" s="1"/>
  <c r="AG31" i="10"/>
  <c r="AG31" i="7" s="1"/>
  <c r="AF31" i="10"/>
  <c r="AF31" i="7" s="1"/>
  <c r="AD31" i="10"/>
  <c r="AD31" i="7" s="1"/>
  <c r="AC31" i="10"/>
  <c r="AC31" i="7" s="1"/>
  <c r="AA31" i="10"/>
  <c r="AA31" i="7" s="1"/>
  <c r="Z31" i="10"/>
  <c r="Z31" i="7" s="1"/>
  <c r="X31" i="10"/>
  <c r="X31" i="7" s="1"/>
  <c r="W31" i="10"/>
  <c r="W31" i="7" s="1"/>
  <c r="U31" i="10"/>
  <c r="U31" i="7" s="1"/>
  <c r="T31" i="10"/>
  <c r="T31" i="7" s="1"/>
  <c r="R31" i="10"/>
  <c r="R31" i="7" s="1"/>
  <c r="Q31" i="10"/>
  <c r="Q31" i="7" s="1"/>
  <c r="O31" i="10"/>
  <c r="O31" i="7" s="1"/>
  <c r="N31" i="10"/>
  <c r="N31" i="7" s="1"/>
  <c r="L31" i="10"/>
  <c r="L31" i="7" s="1"/>
  <c r="K31" i="10"/>
  <c r="K31" i="7" s="1"/>
  <c r="I31" i="10"/>
  <c r="I31" i="7" s="1"/>
  <c r="H31" i="10"/>
  <c r="H31" i="7" s="1"/>
  <c r="F31" i="10"/>
  <c r="F31" i="7" s="1"/>
  <c r="E31" i="10"/>
  <c r="E31" i="7" s="1"/>
  <c r="C31" i="10"/>
  <c r="C31" i="7" s="1"/>
  <c r="B31" i="10"/>
  <c r="B31" i="7" s="1"/>
  <c r="A31" i="10"/>
  <c r="HH30" i="10"/>
  <c r="HG30" i="10"/>
  <c r="HE30" i="10"/>
  <c r="HD30" i="10"/>
  <c r="HB30" i="10"/>
  <c r="HA30" i="10"/>
  <c r="GY30" i="10"/>
  <c r="GX30" i="10"/>
  <c r="GV30" i="10"/>
  <c r="GU30" i="10"/>
  <c r="GS30" i="10"/>
  <c r="GR30" i="10"/>
  <c r="GP30" i="10"/>
  <c r="GO30" i="10"/>
  <c r="GM30" i="10"/>
  <c r="GL30" i="10"/>
  <c r="GJ30" i="10"/>
  <c r="GI30" i="10"/>
  <c r="GG30" i="10"/>
  <c r="GF30" i="10"/>
  <c r="GD30" i="10"/>
  <c r="GC30" i="10"/>
  <c r="GA30" i="10"/>
  <c r="FZ30" i="10"/>
  <c r="FX30" i="10"/>
  <c r="FW30" i="10"/>
  <c r="FU30" i="10"/>
  <c r="FT30" i="10"/>
  <c r="FR30" i="10"/>
  <c r="FQ30" i="10"/>
  <c r="FO30" i="10"/>
  <c r="FN30" i="10"/>
  <c r="FL30" i="10"/>
  <c r="FK30" i="10"/>
  <c r="FI30" i="10"/>
  <c r="FH30" i="10"/>
  <c r="FF30" i="10"/>
  <c r="FF30" i="7" s="1"/>
  <c r="FE30" i="10"/>
  <c r="FE30" i="7" s="1"/>
  <c r="FC30" i="10"/>
  <c r="FC30" i="7" s="1"/>
  <c r="FB30" i="10"/>
  <c r="FB30" i="7" s="1"/>
  <c r="EZ30" i="10"/>
  <c r="EZ30" i="7" s="1"/>
  <c r="EY30" i="10"/>
  <c r="EY30" i="7" s="1"/>
  <c r="EW30" i="10"/>
  <c r="EW30" i="7" s="1"/>
  <c r="EV30" i="10"/>
  <c r="EV30" i="7" s="1"/>
  <c r="ET30" i="10"/>
  <c r="ET30" i="7" s="1"/>
  <c r="ES30" i="10"/>
  <c r="ES30" i="7" s="1"/>
  <c r="EQ30" i="10"/>
  <c r="EQ30" i="7" s="1"/>
  <c r="EP30" i="10"/>
  <c r="EP30" i="7" s="1"/>
  <c r="EN30" i="10"/>
  <c r="EN30" i="7" s="1"/>
  <c r="EM30" i="10"/>
  <c r="EM30" i="7" s="1"/>
  <c r="EK30" i="10"/>
  <c r="EK30" i="7" s="1"/>
  <c r="EJ30" i="10"/>
  <c r="EJ30" i="7" s="1"/>
  <c r="EH30" i="10"/>
  <c r="EH30" i="7" s="1"/>
  <c r="EG30" i="10"/>
  <c r="EG30" i="7" s="1"/>
  <c r="EE30" i="10"/>
  <c r="EE30" i="7" s="1"/>
  <c r="ED30" i="10"/>
  <c r="ED30" i="7" s="1"/>
  <c r="EB30" i="10"/>
  <c r="EB30" i="7" s="1"/>
  <c r="EA30" i="10"/>
  <c r="EA30" i="7" s="1"/>
  <c r="DY30" i="10"/>
  <c r="DY30" i="7" s="1"/>
  <c r="DX30" i="10"/>
  <c r="DX30" i="7" s="1"/>
  <c r="DV30" i="10"/>
  <c r="DV30" i="7" s="1"/>
  <c r="DU30" i="10"/>
  <c r="DU30" i="7" s="1"/>
  <c r="DS30" i="10"/>
  <c r="DS30" i="7" s="1"/>
  <c r="DR30" i="10"/>
  <c r="DR30" i="7" s="1"/>
  <c r="DP30" i="10"/>
  <c r="DP30" i="7" s="1"/>
  <c r="DO30" i="10"/>
  <c r="DO30" i="7" s="1"/>
  <c r="DM30" i="10"/>
  <c r="DM30" i="7" s="1"/>
  <c r="DL30" i="10"/>
  <c r="DL30" i="7" s="1"/>
  <c r="DJ30" i="10"/>
  <c r="DJ30" i="7" s="1"/>
  <c r="DI30" i="10"/>
  <c r="DI30" i="7" s="1"/>
  <c r="DG30" i="10"/>
  <c r="DG30" i="7" s="1"/>
  <c r="DF30" i="10"/>
  <c r="DF30" i="7" s="1"/>
  <c r="DD30" i="10"/>
  <c r="DD30" i="7" s="1"/>
  <c r="DC30" i="10"/>
  <c r="DC30" i="7" s="1"/>
  <c r="DA30" i="10"/>
  <c r="DA30" i="7" s="1"/>
  <c r="CZ30" i="10"/>
  <c r="CZ30" i="7" s="1"/>
  <c r="CX30" i="10"/>
  <c r="CX30" i="7" s="1"/>
  <c r="CW30" i="10"/>
  <c r="CW30" i="7" s="1"/>
  <c r="CU30" i="10"/>
  <c r="CU30" i="7" s="1"/>
  <c r="CT30" i="10"/>
  <c r="CT30" i="7" s="1"/>
  <c r="CR30" i="10"/>
  <c r="CR30" i="7" s="1"/>
  <c r="CQ30" i="10"/>
  <c r="CQ30" i="7" s="1"/>
  <c r="CO30" i="10"/>
  <c r="CO30" i="7" s="1"/>
  <c r="CN30" i="10"/>
  <c r="CN30" i="7" s="1"/>
  <c r="CL30" i="10"/>
  <c r="CL30" i="7" s="1"/>
  <c r="CK30" i="10"/>
  <c r="CK30" i="7" s="1"/>
  <c r="CI30" i="10"/>
  <c r="CI30" i="7" s="1"/>
  <c r="CH30" i="10"/>
  <c r="CH30" i="7" s="1"/>
  <c r="CF30" i="10"/>
  <c r="CF30" i="7" s="1"/>
  <c r="CE30" i="10"/>
  <c r="CE30" i="7" s="1"/>
  <c r="CC30" i="10"/>
  <c r="CC30" i="7" s="1"/>
  <c r="CB30" i="10"/>
  <c r="CB30" i="7" s="1"/>
  <c r="BZ30" i="10"/>
  <c r="BZ30" i="7" s="1"/>
  <c r="BY30" i="10"/>
  <c r="BY30" i="7" s="1"/>
  <c r="BW30" i="10"/>
  <c r="BW30" i="7" s="1"/>
  <c r="BV30" i="10"/>
  <c r="BV30" i="7" s="1"/>
  <c r="BT30" i="10"/>
  <c r="BT30" i="7" s="1"/>
  <c r="BS30" i="10"/>
  <c r="BS30" i="7" s="1"/>
  <c r="BQ30" i="10"/>
  <c r="BQ30" i="7" s="1"/>
  <c r="BP30" i="10"/>
  <c r="BP30" i="7" s="1"/>
  <c r="BN30" i="10"/>
  <c r="BN30" i="7" s="1"/>
  <c r="BM30" i="10"/>
  <c r="BM30" i="7" s="1"/>
  <c r="BK30" i="10"/>
  <c r="BK30" i="7" s="1"/>
  <c r="BJ30" i="10"/>
  <c r="BJ30" i="7" s="1"/>
  <c r="BH30" i="10"/>
  <c r="BH30" i="7" s="1"/>
  <c r="BG30" i="10"/>
  <c r="BG30" i="7" s="1"/>
  <c r="BE30" i="10"/>
  <c r="BE30" i="7" s="1"/>
  <c r="BD30" i="10"/>
  <c r="BD30" i="7" s="1"/>
  <c r="BB30" i="10"/>
  <c r="BB30" i="7" s="1"/>
  <c r="BA30" i="10"/>
  <c r="BA30" i="7" s="1"/>
  <c r="AY30" i="10"/>
  <c r="AY30" i="7" s="1"/>
  <c r="AX30" i="10"/>
  <c r="AX30" i="7" s="1"/>
  <c r="AV30" i="10"/>
  <c r="AV30" i="7" s="1"/>
  <c r="AU30" i="10"/>
  <c r="AU30" i="7" s="1"/>
  <c r="AS30" i="10"/>
  <c r="AS30" i="7" s="1"/>
  <c r="AR30" i="10"/>
  <c r="AR30" i="7" s="1"/>
  <c r="AP30" i="10"/>
  <c r="AP30" i="7" s="1"/>
  <c r="AO30" i="10"/>
  <c r="AO30" i="7" s="1"/>
  <c r="AM30" i="10"/>
  <c r="AM30" i="7" s="1"/>
  <c r="AL30" i="10"/>
  <c r="AL30" i="7" s="1"/>
  <c r="AJ30" i="10"/>
  <c r="AJ30" i="7" s="1"/>
  <c r="AI30" i="10"/>
  <c r="AI30" i="7" s="1"/>
  <c r="AG30" i="10"/>
  <c r="AG30" i="7" s="1"/>
  <c r="AF30" i="10"/>
  <c r="AF30" i="7" s="1"/>
  <c r="AD30" i="10"/>
  <c r="AD30" i="7" s="1"/>
  <c r="AC30" i="10"/>
  <c r="AC30" i="7" s="1"/>
  <c r="AA30" i="10"/>
  <c r="AA30" i="7" s="1"/>
  <c r="Z30" i="10"/>
  <c r="Z30" i="7" s="1"/>
  <c r="X30" i="10"/>
  <c r="X30" i="7" s="1"/>
  <c r="W30" i="10"/>
  <c r="W30" i="7" s="1"/>
  <c r="U30" i="10"/>
  <c r="U30" i="7" s="1"/>
  <c r="T30" i="10"/>
  <c r="T30" i="7" s="1"/>
  <c r="R30" i="10"/>
  <c r="R30" i="7" s="1"/>
  <c r="Q30" i="10"/>
  <c r="Q30" i="7" s="1"/>
  <c r="O30" i="10"/>
  <c r="O30" i="7" s="1"/>
  <c r="N30" i="10"/>
  <c r="N30" i="7" s="1"/>
  <c r="L30" i="10"/>
  <c r="L30" i="7" s="1"/>
  <c r="K30" i="10"/>
  <c r="K30" i="7" s="1"/>
  <c r="I30" i="10"/>
  <c r="I30" i="7" s="1"/>
  <c r="H30" i="10"/>
  <c r="H30" i="7" s="1"/>
  <c r="F30" i="10"/>
  <c r="F30" i="7" s="1"/>
  <c r="E30" i="10"/>
  <c r="E30" i="7" s="1"/>
  <c r="C30" i="10"/>
  <c r="C30" i="7" s="1"/>
  <c r="B30" i="10"/>
  <c r="B30" i="7" s="1"/>
  <c r="A30" i="10"/>
  <c r="A30" i="7" s="1"/>
  <c r="HH29" i="10"/>
  <c r="HG29" i="10"/>
  <c r="HE29" i="10"/>
  <c r="HD29" i="10"/>
  <c r="HB29" i="10"/>
  <c r="HA29" i="10"/>
  <c r="GY29" i="10"/>
  <c r="GX29" i="10"/>
  <c r="GV29" i="10"/>
  <c r="GU29" i="10"/>
  <c r="GS29" i="10"/>
  <c r="GR29" i="10"/>
  <c r="GP29" i="10"/>
  <c r="GO29" i="10"/>
  <c r="GM29" i="10"/>
  <c r="GL29" i="10"/>
  <c r="GJ29" i="10"/>
  <c r="GI29" i="10"/>
  <c r="GG29" i="10"/>
  <c r="GF29" i="10"/>
  <c r="GD29" i="10"/>
  <c r="GC29" i="10"/>
  <c r="GA29" i="10"/>
  <c r="FZ29" i="10"/>
  <c r="FX29" i="10"/>
  <c r="FW29" i="10"/>
  <c r="FU29" i="10"/>
  <c r="FT29" i="10"/>
  <c r="FR29" i="10"/>
  <c r="FQ29" i="10"/>
  <c r="FO29" i="10"/>
  <c r="FN29" i="10"/>
  <c r="FL29" i="10"/>
  <c r="FK29" i="10"/>
  <c r="FI29" i="10"/>
  <c r="FH29" i="10"/>
  <c r="FF29" i="10"/>
  <c r="FF29" i="7" s="1"/>
  <c r="FE29" i="10"/>
  <c r="FE29" i="7" s="1"/>
  <c r="FC29" i="10"/>
  <c r="FC29" i="7" s="1"/>
  <c r="FB29" i="10"/>
  <c r="FB29" i="7" s="1"/>
  <c r="EZ29" i="10"/>
  <c r="EZ29" i="7" s="1"/>
  <c r="EY29" i="10"/>
  <c r="EY29" i="7" s="1"/>
  <c r="EW29" i="10"/>
  <c r="EW29" i="7" s="1"/>
  <c r="EV29" i="10"/>
  <c r="EV29" i="7" s="1"/>
  <c r="ET29" i="10"/>
  <c r="ET29" i="7" s="1"/>
  <c r="ES29" i="10"/>
  <c r="ES29" i="7" s="1"/>
  <c r="EQ29" i="10"/>
  <c r="EQ29" i="7" s="1"/>
  <c r="EP29" i="10"/>
  <c r="EP29" i="7" s="1"/>
  <c r="EN29" i="10"/>
  <c r="EN29" i="7" s="1"/>
  <c r="EM29" i="10"/>
  <c r="EM29" i="7" s="1"/>
  <c r="EK29" i="10"/>
  <c r="EK29" i="7" s="1"/>
  <c r="EJ29" i="10"/>
  <c r="EJ29" i="7" s="1"/>
  <c r="EH29" i="10"/>
  <c r="EH29" i="7" s="1"/>
  <c r="EG29" i="10"/>
  <c r="EG29" i="7" s="1"/>
  <c r="EE29" i="10"/>
  <c r="EE29" i="7" s="1"/>
  <c r="ED29" i="10"/>
  <c r="ED29" i="7" s="1"/>
  <c r="EB29" i="10"/>
  <c r="EB29" i="7" s="1"/>
  <c r="EA29" i="10"/>
  <c r="EA29" i="7" s="1"/>
  <c r="DY29" i="10"/>
  <c r="DY29" i="7" s="1"/>
  <c r="DX29" i="10"/>
  <c r="DX29" i="7" s="1"/>
  <c r="DV29" i="10"/>
  <c r="DV29" i="7" s="1"/>
  <c r="DU29" i="10"/>
  <c r="DU29" i="7" s="1"/>
  <c r="DS29" i="10"/>
  <c r="DS29" i="7" s="1"/>
  <c r="DR29" i="10"/>
  <c r="DR29" i="7" s="1"/>
  <c r="DP29" i="10"/>
  <c r="DP29" i="7" s="1"/>
  <c r="DO29" i="10"/>
  <c r="DO29" i="7" s="1"/>
  <c r="DM29" i="10"/>
  <c r="DM29" i="7" s="1"/>
  <c r="DL29" i="10"/>
  <c r="DL29" i="7" s="1"/>
  <c r="DJ29" i="10"/>
  <c r="DJ29" i="7" s="1"/>
  <c r="DI29" i="10"/>
  <c r="DI29" i="7" s="1"/>
  <c r="DG29" i="10"/>
  <c r="DG29" i="7" s="1"/>
  <c r="DF29" i="10"/>
  <c r="DF29" i="7" s="1"/>
  <c r="DD29" i="10"/>
  <c r="DD29" i="7" s="1"/>
  <c r="DC29" i="10"/>
  <c r="DC29" i="7" s="1"/>
  <c r="DA29" i="10"/>
  <c r="DA29" i="7" s="1"/>
  <c r="CZ29" i="10"/>
  <c r="CZ29" i="7" s="1"/>
  <c r="CX29" i="10"/>
  <c r="CX29" i="7" s="1"/>
  <c r="CW29" i="10"/>
  <c r="CW29" i="7" s="1"/>
  <c r="CU29" i="10"/>
  <c r="CU29" i="7" s="1"/>
  <c r="CT29" i="10"/>
  <c r="CT29" i="7" s="1"/>
  <c r="CR29" i="10"/>
  <c r="CR29" i="7" s="1"/>
  <c r="CQ29" i="10"/>
  <c r="CQ29" i="7" s="1"/>
  <c r="CO29" i="10"/>
  <c r="CO29" i="7" s="1"/>
  <c r="CN29" i="10"/>
  <c r="CN29" i="7" s="1"/>
  <c r="CL29" i="10"/>
  <c r="CL29" i="7" s="1"/>
  <c r="CK29" i="10"/>
  <c r="CK29" i="7" s="1"/>
  <c r="CI29" i="10"/>
  <c r="CI29" i="7" s="1"/>
  <c r="CH29" i="10"/>
  <c r="CH29" i="7" s="1"/>
  <c r="CF29" i="10"/>
  <c r="CF29" i="7" s="1"/>
  <c r="CE29" i="10"/>
  <c r="CE29" i="7" s="1"/>
  <c r="CC29" i="10"/>
  <c r="CC29" i="7" s="1"/>
  <c r="CB29" i="10"/>
  <c r="CB29" i="7" s="1"/>
  <c r="BZ29" i="10"/>
  <c r="BZ29" i="7" s="1"/>
  <c r="BY29" i="10"/>
  <c r="BY29" i="7" s="1"/>
  <c r="BW29" i="10"/>
  <c r="BW29" i="7" s="1"/>
  <c r="BV29" i="10"/>
  <c r="BV29" i="7" s="1"/>
  <c r="BT29" i="10"/>
  <c r="BT29" i="7" s="1"/>
  <c r="BS29" i="10"/>
  <c r="BS29" i="7" s="1"/>
  <c r="BQ29" i="10"/>
  <c r="BQ29" i="7" s="1"/>
  <c r="BP29" i="10"/>
  <c r="BP29" i="7" s="1"/>
  <c r="BN29" i="10"/>
  <c r="BN29" i="7" s="1"/>
  <c r="BM29" i="10"/>
  <c r="BM29" i="7" s="1"/>
  <c r="BK29" i="10"/>
  <c r="BK29" i="7" s="1"/>
  <c r="BJ29" i="10"/>
  <c r="BJ29" i="7" s="1"/>
  <c r="BH29" i="10"/>
  <c r="BH29" i="7" s="1"/>
  <c r="BG29" i="10"/>
  <c r="BG29" i="7" s="1"/>
  <c r="BE29" i="10"/>
  <c r="BE29" i="7" s="1"/>
  <c r="BD29" i="10"/>
  <c r="BD29" i="7" s="1"/>
  <c r="BB29" i="10"/>
  <c r="BB29" i="7" s="1"/>
  <c r="BA29" i="10"/>
  <c r="BA29" i="7" s="1"/>
  <c r="AY29" i="10"/>
  <c r="AY29" i="7" s="1"/>
  <c r="AX29" i="10"/>
  <c r="AX29" i="7" s="1"/>
  <c r="AV29" i="10"/>
  <c r="AV29" i="7" s="1"/>
  <c r="AU29" i="10"/>
  <c r="AU29" i="7" s="1"/>
  <c r="AS29" i="10"/>
  <c r="AS29" i="7" s="1"/>
  <c r="AR29" i="10"/>
  <c r="AR29" i="7" s="1"/>
  <c r="AP29" i="10"/>
  <c r="AP29" i="7" s="1"/>
  <c r="AO29" i="10"/>
  <c r="AO29" i="7" s="1"/>
  <c r="AM29" i="10"/>
  <c r="AM29" i="7" s="1"/>
  <c r="AL29" i="10"/>
  <c r="AL29" i="7" s="1"/>
  <c r="AJ29" i="10"/>
  <c r="AJ29" i="7" s="1"/>
  <c r="AI29" i="10"/>
  <c r="AI29" i="7" s="1"/>
  <c r="AG29" i="10"/>
  <c r="AG29" i="7" s="1"/>
  <c r="AF29" i="10"/>
  <c r="AF29" i="7" s="1"/>
  <c r="AD29" i="10"/>
  <c r="AD29" i="7" s="1"/>
  <c r="AC29" i="10"/>
  <c r="AC29" i="7" s="1"/>
  <c r="AA29" i="10"/>
  <c r="AA29" i="7" s="1"/>
  <c r="Z29" i="10"/>
  <c r="Z29" i="7" s="1"/>
  <c r="X29" i="10"/>
  <c r="X29" i="7" s="1"/>
  <c r="W29" i="10"/>
  <c r="W29" i="7" s="1"/>
  <c r="U29" i="10"/>
  <c r="U29" i="7" s="1"/>
  <c r="T29" i="10"/>
  <c r="T29" i="7" s="1"/>
  <c r="R29" i="10"/>
  <c r="R29" i="7" s="1"/>
  <c r="Q29" i="10"/>
  <c r="Q29" i="7" s="1"/>
  <c r="O29" i="10"/>
  <c r="O29" i="7" s="1"/>
  <c r="N29" i="10"/>
  <c r="N29" i="7" s="1"/>
  <c r="L29" i="10"/>
  <c r="L29" i="7" s="1"/>
  <c r="K29" i="10"/>
  <c r="K29" i="7" s="1"/>
  <c r="I29" i="10"/>
  <c r="I29" i="7" s="1"/>
  <c r="H29" i="10"/>
  <c r="H29" i="7" s="1"/>
  <c r="F29" i="10"/>
  <c r="F29" i="7" s="1"/>
  <c r="E29" i="10"/>
  <c r="E29" i="7" s="1"/>
  <c r="C29" i="10"/>
  <c r="C29" i="7" s="1"/>
  <c r="B29" i="10"/>
  <c r="B29" i="7" s="1"/>
  <c r="A29" i="10"/>
  <c r="A29" i="7" s="1"/>
  <c r="HH28" i="10"/>
  <c r="HG28" i="10"/>
  <c r="HE28" i="10"/>
  <c r="HD28" i="10"/>
  <c r="HB28" i="10"/>
  <c r="HA28" i="10"/>
  <c r="GY28" i="10"/>
  <c r="GX28" i="10"/>
  <c r="GV28" i="10"/>
  <c r="GU28" i="10"/>
  <c r="GS28" i="10"/>
  <c r="GR28" i="10"/>
  <c r="GP28" i="10"/>
  <c r="GO28" i="10"/>
  <c r="GM28" i="10"/>
  <c r="GL28" i="10"/>
  <c r="GJ28" i="10"/>
  <c r="GI28" i="10"/>
  <c r="GG28" i="10"/>
  <c r="GF28" i="10"/>
  <c r="GD28" i="10"/>
  <c r="GC28" i="10"/>
  <c r="GA28" i="10"/>
  <c r="FZ28" i="10"/>
  <c r="FX28" i="10"/>
  <c r="FW28" i="10"/>
  <c r="FU28" i="10"/>
  <c r="FT28" i="10"/>
  <c r="FR28" i="10"/>
  <c r="FQ28" i="10"/>
  <c r="FO28" i="10"/>
  <c r="FN28" i="10"/>
  <c r="FL28" i="10"/>
  <c r="FK28" i="10"/>
  <c r="FI28" i="10"/>
  <c r="FH28" i="10"/>
  <c r="FF28" i="10"/>
  <c r="FF28" i="7" s="1"/>
  <c r="FE28" i="10"/>
  <c r="FE28" i="7" s="1"/>
  <c r="FC28" i="10"/>
  <c r="FC28" i="7" s="1"/>
  <c r="FB28" i="10"/>
  <c r="FB28" i="7" s="1"/>
  <c r="EZ28" i="10"/>
  <c r="EZ28" i="7" s="1"/>
  <c r="EY28" i="10"/>
  <c r="EY28" i="7" s="1"/>
  <c r="EW28" i="10"/>
  <c r="EW28" i="7" s="1"/>
  <c r="EV28" i="10"/>
  <c r="EV28" i="7" s="1"/>
  <c r="ET28" i="10"/>
  <c r="ET28" i="7" s="1"/>
  <c r="ES28" i="10"/>
  <c r="ES28" i="7" s="1"/>
  <c r="EQ28" i="10"/>
  <c r="EQ28" i="7" s="1"/>
  <c r="EP28" i="10"/>
  <c r="EP28" i="7" s="1"/>
  <c r="EN28" i="10"/>
  <c r="EN28" i="7" s="1"/>
  <c r="EM28" i="10"/>
  <c r="EM28" i="7" s="1"/>
  <c r="EK28" i="10"/>
  <c r="EK28" i="7" s="1"/>
  <c r="EJ28" i="10"/>
  <c r="EJ28" i="7" s="1"/>
  <c r="EH28" i="10"/>
  <c r="EH28" i="7" s="1"/>
  <c r="EG28" i="10"/>
  <c r="EG28" i="7" s="1"/>
  <c r="EE28" i="10"/>
  <c r="EE28" i="7" s="1"/>
  <c r="ED28" i="10"/>
  <c r="ED28" i="7" s="1"/>
  <c r="EB28" i="10"/>
  <c r="EB28" i="7" s="1"/>
  <c r="EA28" i="10"/>
  <c r="EA28" i="7" s="1"/>
  <c r="DY28" i="10"/>
  <c r="DY28" i="7" s="1"/>
  <c r="DX28" i="10"/>
  <c r="DX28" i="7" s="1"/>
  <c r="DV28" i="10"/>
  <c r="DV28" i="7" s="1"/>
  <c r="DU28" i="10"/>
  <c r="DU28" i="7" s="1"/>
  <c r="DS28" i="10"/>
  <c r="DS28" i="7" s="1"/>
  <c r="DR28" i="10"/>
  <c r="DR28" i="7" s="1"/>
  <c r="DP28" i="10"/>
  <c r="DP28" i="7" s="1"/>
  <c r="DO28" i="10"/>
  <c r="DO28" i="7" s="1"/>
  <c r="DM28" i="10"/>
  <c r="DM28" i="7" s="1"/>
  <c r="DL28" i="10"/>
  <c r="DL28" i="7" s="1"/>
  <c r="DJ28" i="10"/>
  <c r="DJ28" i="7" s="1"/>
  <c r="DI28" i="10"/>
  <c r="DI28" i="7" s="1"/>
  <c r="DG28" i="10"/>
  <c r="DG28" i="7" s="1"/>
  <c r="DF28" i="10"/>
  <c r="DF28" i="7" s="1"/>
  <c r="DD28" i="10"/>
  <c r="DD28" i="7" s="1"/>
  <c r="DC28" i="10"/>
  <c r="DC28" i="7" s="1"/>
  <c r="DA28" i="10"/>
  <c r="DA28" i="7" s="1"/>
  <c r="CZ28" i="10"/>
  <c r="CZ28" i="7" s="1"/>
  <c r="CX28" i="10"/>
  <c r="CX28" i="7" s="1"/>
  <c r="CW28" i="10"/>
  <c r="CW28" i="7" s="1"/>
  <c r="CU28" i="10"/>
  <c r="CU28" i="7" s="1"/>
  <c r="CT28" i="10"/>
  <c r="CT28" i="7" s="1"/>
  <c r="CR28" i="10"/>
  <c r="CR28" i="7" s="1"/>
  <c r="CQ28" i="10"/>
  <c r="CQ28" i="7" s="1"/>
  <c r="CO28" i="10"/>
  <c r="CO28" i="7" s="1"/>
  <c r="CN28" i="10"/>
  <c r="CN28" i="7" s="1"/>
  <c r="CL28" i="10"/>
  <c r="CL28" i="7" s="1"/>
  <c r="CK28" i="10"/>
  <c r="CK28" i="7" s="1"/>
  <c r="CI28" i="10"/>
  <c r="CI28" i="7" s="1"/>
  <c r="CH28" i="10"/>
  <c r="CH28" i="7" s="1"/>
  <c r="CF28" i="10"/>
  <c r="CF28" i="7" s="1"/>
  <c r="CE28" i="10"/>
  <c r="CE28" i="7" s="1"/>
  <c r="CC28" i="10"/>
  <c r="CC28" i="7" s="1"/>
  <c r="CB28" i="10"/>
  <c r="CB28" i="7" s="1"/>
  <c r="BZ28" i="10"/>
  <c r="BZ28" i="7" s="1"/>
  <c r="BY28" i="10"/>
  <c r="BY28" i="7" s="1"/>
  <c r="BW28" i="10"/>
  <c r="BW28" i="7" s="1"/>
  <c r="BV28" i="10"/>
  <c r="BV28" i="7" s="1"/>
  <c r="BT28" i="10"/>
  <c r="BT28" i="7" s="1"/>
  <c r="BS28" i="10"/>
  <c r="BS28" i="7" s="1"/>
  <c r="BQ28" i="10"/>
  <c r="BQ28" i="7" s="1"/>
  <c r="BP28" i="10"/>
  <c r="BP28" i="7" s="1"/>
  <c r="BN28" i="10"/>
  <c r="BN28" i="7" s="1"/>
  <c r="BM28" i="10"/>
  <c r="BM28" i="7" s="1"/>
  <c r="BK28" i="10"/>
  <c r="BK28" i="7" s="1"/>
  <c r="BJ28" i="10"/>
  <c r="BJ28" i="7" s="1"/>
  <c r="BH28" i="10"/>
  <c r="BH28" i="7" s="1"/>
  <c r="BG28" i="10"/>
  <c r="BG28" i="7" s="1"/>
  <c r="BE28" i="10"/>
  <c r="BE28" i="7" s="1"/>
  <c r="BD28" i="10"/>
  <c r="BD28" i="7" s="1"/>
  <c r="BB28" i="10"/>
  <c r="BB28" i="7" s="1"/>
  <c r="BA28" i="10"/>
  <c r="BA28" i="7" s="1"/>
  <c r="AY28" i="10"/>
  <c r="AY28" i="7" s="1"/>
  <c r="AX28" i="10"/>
  <c r="AX28" i="7" s="1"/>
  <c r="AV28" i="10"/>
  <c r="AV28" i="7" s="1"/>
  <c r="AU28" i="10"/>
  <c r="AU28" i="7" s="1"/>
  <c r="AS28" i="10"/>
  <c r="AS28" i="7" s="1"/>
  <c r="AR28" i="10"/>
  <c r="AR28" i="7" s="1"/>
  <c r="AP28" i="10"/>
  <c r="AP28" i="7" s="1"/>
  <c r="AO28" i="10"/>
  <c r="AO28" i="7" s="1"/>
  <c r="AM28" i="10"/>
  <c r="AM28" i="7" s="1"/>
  <c r="AL28" i="10"/>
  <c r="AL28" i="7" s="1"/>
  <c r="AJ28" i="10"/>
  <c r="AJ28" i="7" s="1"/>
  <c r="AI28" i="10"/>
  <c r="AI28" i="7" s="1"/>
  <c r="AG28" i="10"/>
  <c r="AG28" i="7" s="1"/>
  <c r="AF28" i="10"/>
  <c r="AF28" i="7" s="1"/>
  <c r="AD28" i="10"/>
  <c r="AD28" i="7" s="1"/>
  <c r="AC28" i="10"/>
  <c r="AC28" i="7" s="1"/>
  <c r="AA28" i="10"/>
  <c r="AA28" i="7" s="1"/>
  <c r="Z28" i="10"/>
  <c r="Z28" i="7" s="1"/>
  <c r="X28" i="10"/>
  <c r="X28" i="7" s="1"/>
  <c r="W28" i="10"/>
  <c r="W28" i="7" s="1"/>
  <c r="U28" i="10"/>
  <c r="U28" i="7" s="1"/>
  <c r="T28" i="10"/>
  <c r="T28" i="7" s="1"/>
  <c r="R28" i="10"/>
  <c r="R28" i="7" s="1"/>
  <c r="Q28" i="10"/>
  <c r="Q28" i="7" s="1"/>
  <c r="O28" i="10"/>
  <c r="O28" i="7" s="1"/>
  <c r="N28" i="10"/>
  <c r="N28" i="7" s="1"/>
  <c r="L28" i="10"/>
  <c r="L28" i="7" s="1"/>
  <c r="K28" i="10"/>
  <c r="K28" i="7" s="1"/>
  <c r="I28" i="10"/>
  <c r="I28" i="7" s="1"/>
  <c r="H28" i="10"/>
  <c r="H28" i="7" s="1"/>
  <c r="F28" i="10"/>
  <c r="F28" i="7" s="1"/>
  <c r="E28" i="10"/>
  <c r="E28" i="7" s="1"/>
  <c r="C28" i="10"/>
  <c r="C28" i="7" s="1"/>
  <c r="B28" i="10"/>
  <c r="B28" i="7" s="1"/>
  <c r="A28" i="10"/>
  <c r="A28" i="7" s="1"/>
  <c r="HH27" i="10"/>
  <c r="HG27" i="10"/>
  <c r="HE27" i="10"/>
  <c r="HD27" i="10"/>
  <c r="HB27" i="10"/>
  <c r="HA27" i="10"/>
  <c r="GY27" i="10"/>
  <c r="GX27" i="10"/>
  <c r="GV27" i="10"/>
  <c r="GU27" i="10"/>
  <c r="GS27" i="10"/>
  <c r="GR27" i="10"/>
  <c r="GP27" i="10"/>
  <c r="GO27" i="10"/>
  <c r="GM27" i="10"/>
  <c r="GL27" i="10"/>
  <c r="GJ27" i="10"/>
  <c r="GI27" i="10"/>
  <c r="GG27" i="10"/>
  <c r="GF27" i="10"/>
  <c r="GD27" i="10"/>
  <c r="GC27" i="10"/>
  <c r="GA27" i="10"/>
  <c r="FZ27" i="10"/>
  <c r="FX27" i="10"/>
  <c r="FW27" i="10"/>
  <c r="FU27" i="10"/>
  <c r="FT27" i="10"/>
  <c r="FR27" i="10"/>
  <c r="FQ27" i="10"/>
  <c r="FO27" i="10"/>
  <c r="FN27" i="10"/>
  <c r="FL27" i="10"/>
  <c r="FK27" i="10"/>
  <c r="FI27" i="10"/>
  <c r="FH27" i="10"/>
  <c r="FF27" i="10"/>
  <c r="FF27" i="7" s="1"/>
  <c r="FE27" i="10"/>
  <c r="FE27" i="7" s="1"/>
  <c r="FC27" i="10"/>
  <c r="FC27" i="7" s="1"/>
  <c r="FB27" i="10"/>
  <c r="FB27" i="7" s="1"/>
  <c r="EZ27" i="10"/>
  <c r="EZ27" i="7" s="1"/>
  <c r="EY27" i="10"/>
  <c r="EY27" i="7" s="1"/>
  <c r="EW27" i="10"/>
  <c r="EW27" i="7" s="1"/>
  <c r="EV27" i="10"/>
  <c r="EV27" i="7" s="1"/>
  <c r="ET27" i="10"/>
  <c r="ET27" i="7" s="1"/>
  <c r="ES27" i="10"/>
  <c r="ES27" i="7" s="1"/>
  <c r="EQ27" i="10"/>
  <c r="EQ27" i="7" s="1"/>
  <c r="EP27" i="10"/>
  <c r="EP27" i="7" s="1"/>
  <c r="EN27" i="10"/>
  <c r="EN27" i="7" s="1"/>
  <c r="EM27" i="10"/>
  <c r="EM27" i="7" s="1"/>
  <c r="EK27" i="10"/>
  <c r="EK27" i="7" s="1"/>
  <c r="EJ27" i="10"/>
  <c r="EJ27" i="7" s="1"/>
  <c r="EH27" i="10"/>
  <c r="EH27" i="7" s="1"/>
  <c r="EG27" i="10"/>
  <c r="EG27" i="7" s="1"/>
  <c r="EE27" i="10"/>
  <c r="EE27" i="7" s="1"/>
  <c r="ED27" i="10"/>
  <c r="ED27" i="7" s="1"/>
  <c r="EB27" i="10"/>
  <c r="EB27" i="7" s="1"/>
  <c r="EA27" i="10"/>
  <c r="EA27" i="7" s="1"/>
  <c r="DY27" i="10"/>
  <c r="DY27" i="7" s="1"/>
  <c r="DX27" i="10"/>
  <c r="DX27" i="7" s="1"/>
  <c r="DV27" i="10"/>
  <c r="DV27" i="7" s="1"/>
  <c r="DU27" i="10"/>
  <c r="DU27" i="7" s="1"/>
  <c r="DS27" i="10"/>
  <c r="DS27" i="7" s="1"/>
  <c r="DR27" i="10"/>
  <c r="DR27" i="7" s="1"/>
  <c r="DP27" i="10"/>
  <c r="DP27" i="7" s="1"/>
  <c r="DO27" i="10"/>
  <c r="DO27" i="7" s="1"/>
  <c r="DM27" i="10"/>
  <c r="DM27" i="7" s="1"/>
  <c r="DL27" i="10"/>
  <c r="DL27" i="7" s="1"/>
  <c r="DJ27" i="10"/>
  <c r="DJ27" i="7" s="1"/>
  <c r="DI27" i="10"/>
  <c r="DI27" i="7" s="1"/>
  <c r="DG27" i="10"/>
  <c r="DG27" i="7" s="1"/>
  <c r="DF27" i="10"/>
  <c r="DF27" i="7" s="1"/>
  <c r="DD27" i="10"/>
  <c r="DD27" i="7" s="1"/>
  <c r="DC27" i="10"/>
  <c r="DC27" i="7" s="1"/>
  <c r="DA27" i="10"/>
  <c r="DA27" i="7" s="1"/>
  <c r="CZ27" i="10"/>
  <c r="CZ27" i="7" s="1"/>
  <c r="CX27" i="10"/>
  <c r="CX27" i="7" s="1"/>
  <c r="CW27" i="10"/>
  <c r="CW27" i="7" s="1"/>
  <c r="CU27" i="10"/>
  <c r="CU27" i="7" s="1"/>
  <c r="CT27" i="10"/>
  <c r="CT27" i="7" s="1"/>
  <c r="CR27" i="10"/>
  <c r="CR27" i="7" s="1"/>
  <c r="CQ27" i="10"/>
  <c r="CQ27" i="7" s="1"/>
  <c r="CO27" i="10"/>
  <c r="CO27" i="7" s="1"/>
  <c r="CN27" i="10"/>
  <c r="CN27" i="7" s="1"/>
  <c r="CL27" i="10"/>
  <c r="CL27" i="7" s="1"/>
  <c r="CK27" i="10"/>
  <c r="CK27" i="7" s="1"/>
  <c r="CI27" i="10"/>
  <c r="CI27" i="7" s="1"/>
  <c r="CH27" i="10"/>
  <c r="CH27" i="7" s="1"/>
  <c r="CF27" i="10"/>
  <c r="CF27" i="7" s="1"/>
  <c r="CE27" i="10"/>
  <c r="CE27" i="7" s="1"/>
  <c r="CC27" i="10"/>
  <c r="CC27" i="7" s="1"/>
  <c r="CB27" i="10"/>
  <c r="CB27" i="7" s="1"/>
  <c r="BZ27" i="10"/>
  <c r="BZ27" i="7" s="1"/>
  <c r="BY27" i="10"/>
  <c r="BY27" i="7" s="1"/>
  <c r="BW27" i="10"/>
  <c r="BW27" i="7" s="1"/>
  <c r="BV27" i="10"/>
  <c r="BV27" i="7" s="1"/>
  <c r="BT27" i="10"/>
  <c r="BT27" i="7" s="1"/>
  <c r="BS27" i="10"/>
  <c r="BS27" i="7" s="1"/>
  <c r="BQ27" i="10"/>
  <c r="BQ27" i="7" s="1"/>
  <c r="BP27" i="10"/>
  <c r="BP27" i="7" s="1"/>
  <c r="BN27" i="10"/>
  <c r="BN27" i="7" s="1"/>
  <c r="BM27" i="10"/>
  <c r="BM27" i="7" s="1"/>
  <c r="BK27" i="10"/>
  <c r="BK27" i="7" s="1"/>
  <c r="BJ27" i="10"/>
  <c r="BJ27" i="7" s="1"/>
  <c r="BH27" i="10"/>
  <c r="BH27" i="7" s="1"/>
  <c r="BG27" i="10"/>
  <c r="BG27" i="7" s="1"/>
  <c r="BE27" i="10"/>
  <c r="BE27" i="7" s="1"/>
  <c r="BD27" i="10"/>
  <c r="BD27" i="7" s="1"/>
  <c r="BB27" i="10"/>
  <c r="BB27" i="7" s="1"/>
  <c r="BA27" i="10"/>
  <c r="BA27" i="7" s="1"/>
  <c r="AY27" i="10"/>
  <c r="AY27" i="7" s="1"/>
  <c r="AX27" i="10"/>
  <c r="AX27" i="7" s="1"/>
  <c r="AV27" i="10"/>
  <c r="AV27" i="7" s="1"/>
  <c r="AU27" i="10"/>
  <c r="AU27" i="7" s="1"/>
  <c r="AS27" i="10"/>
  <c r="AS27" i="7" s="1"/>
  <c r="AR27" i="10"/>
  <c r="AR27" i="7" s="1"/>
  <c r="AP27" i="10"/>
  <c r="AP27" i="7" s="1"/>
  <c r="AO27" i="10"/>
  <c r="AO27" i="7" s="1"/>
  <c r="AM27" i="10"/>
  <c r="AM27" i="7" s="1"/>
  <c r="AL27" i="10"/>
  <c r="AL27" i="7" s="1"/>
  <c r="AJ27" i="10"/>
  <c r="AJ27" i="7" s="1"/>
  <c r="AI27" i="10"/>
  <c r="AI27" i="7" s="1"/>
  <c r="AG27" i="10"/>
  <c r="AG27" i="7" s="1"/>
  <c r="AF27" i="10"/>
  <c r="AF27" i="7" s="1"/>
  <c r="AD27" i="10"/>
  <c r="AD27" i="7" s="1"/>
  <c r="AC27" i="10"/>
  <c r="AC27" i="7" s="1"/>
  <c r="AA27" i="10"/>
  <c r="AA27" i="7" s="1"/>
  <c r="Z27" i="10"/>
  <c r="Z27" i="7" s="1"/>
  <c r="X27" i="10"/>
  <c r="X27" i="7" s="1"/>
  <c r="W27" i="10"/>
  <c r="W27" i="7" s="1"/>
  <c r="U27" i="10"/>
  <c r="U27" i="7" s="1"/>
  <c r="T27" i="10"/>
  <c r="T27" i="7" s="1"/>
  <c r="R27" i="10"/>
  <c r="R27" i="7" s="1"/>
  <c r="Q27" i="10"/>
  <c r="Q27" i="7" s="1"/>
  <c r="O27" i="10"/>
  <c r="O27" i="7" s="1"/>
  <c r="N27" i="10"/>
  <c r="N27" i="7" s="1"/>
  <c r="L27" i="10"/>
  <c r="L27" i="7" s="1"/>
  <c r="K27" i="10"/>
  <c r="K27" i="7" s="1"/>
  <c r="I27" i="10"/>
  <c r="I27" i="7" s="1"/>
  <c r="H27" i="10"/>
  <c r="H27" i="7" s="1"/>
  <c r="F27" i="10"/>
  <c r="F27" i="7" s="1"/>
  <c r="E27" i="10"/>
  <c r="E27" i="7" s="1"/>
  <c r="C27" i="10"/>
  <c r="C27" i="7" s="1"/>
  <c r="B27" i="10"/>
  <c r="B27" i="7" s="1"/>
  <c r="A27" i="10"/>
  <c r="A27" i="7" s="1"/>
  <c r="HH26" i="10"/>
  <c r="HG26" i="10"/>
  <c r="HE26" i="10"/>
  <c r="HD26" i="10"/>
  <c r="HB26" i="10"/>
  <c r="HA26" i="10"/>
  <c r="GY26" i="10"/>
  <c r="GX26" i="10"/>
  <c r="GV26" i="10"/>
  <c r="GU26" i="10"/>
  <c r="GS26" i="10"/>
  <c r="GR26" i="10"/>
  <c r="GP26" i="10"/>
  <c r="GO26" i="10"/>
  <c r="GM26" i="10"/>
  <c r="GL26" i="10"/>
  <c r="GJ26" i="10"/>
  <c r="GI26" i="10"/>
  <c r="GG26" i="10"/>
  <c r="GF26" i="10"/>
  <c r="GD26" i="10"/>
  <c r="GC26" i="10"/>
  <c r="GA26" i="10"/>
  <c r="FZ26" i="10"/>
  <c r="FX26" i="10"/>
  <c r="FW26" i="10"/>
  <c r="FU26" i="10"/>
  <c r="FT26" i="10"/>
  <c r="FR26" i="10"/>
  <c r="FQ26" i="10"/>
  <c r="FO26" i="10"/>
  <c r="FN26" i="10"/>
  <c r="FL26" i="10"/>
  <c r="FK26" i="10"/>
  <c r="FI26" i="10"/>
  <c r="FH26" i="10"/>
  <c r="FF26" i="10"/>
  <c r="FF26" i="7" s="1"/>
  <c r="FE26" i="10"/>
  <c r="FE26" i="7" s="1"/>
  <c r="FC26" i="10"/>
  <c r="FC26" i="7" s="1"/>
  <c r="FB26" i="10"/>
  <c r="FB26" i="7" s="1"/>
  <c r="EZ26" i="10"/>
  <c r="EZ26" i="7" s="1"/>
  <c r="EY26" i="10"/>
  <c r="EY26" i="7" s="1"/>
  <c r="EW26" i="10"/>
  <c r="EW26" i="7" s="1"/>
  <c r="EV26" i="10"/>
  <c r="EV26" i="7" s="1"/>
  <c r="ET26" i="10"/>
  <c r="ET26" i="7" s="1"/>
  <c r="ES26" i="10"/>
  <c r="ES26" i="7" s="1"/>
  <c r="EQ26" i="10"/>
  <c r="EQ26" i="7" s="1"/>
  <c r="EP26" i="10"/>
  <c r="EP26" i="7" s="1"/>
  <c r="EN26" i="10"/>
  <c r="EN26" i="7" s="1"/>
  <c r="EM26" i="10"/>
  <c r="EM26" i="7" s="1"/>
  <c r="EK26" i="10"/>
  <c r="EK26" i="7" s="1"/>
  <c r="EJ26" i="10"/>
  <c r="EJ26" i="7" s="1"/>
  <c r="EH26" i="10"/>
  <c r="EH26" i="7" s="1"/>
  <c r="EG26" i="10"/>
  <c r="EG26" i="7" s="1"/>
  <c r="EE26" i="10"/>
  <c r="EE26" i="7" s="1"/>
  <c r="ED26" i="10"/>
  <c r="ED26" i="7" s="1"/>
  <c r="EB26" i="10"/>
  <c r="EB26" i="7" s="1"/>
  <c r="EA26" i="10"/>
  <c r="EA26" i="7" s="1"/>
  <c r="DY26" i="10"/>
  <c r="DY26" i="7" s="1"/>
  <c r="DX26" i="10"/>
  <c r="DX26" i="7" s="1"/>
  <c r="DV26" i="10"/>
  <c r="DV26" i="7" s="1"/>
  <c r="DU26" i="10"/>
  <c r="DU26" i="7" s="1"/>
  <c r="DS26" i="10"/>
  <c r="DS26" i="7" s="1"/>
  <c r="DR26" i="10"/>
  <c r="DR26" i="7" s="1"/>
  <c r="DP26" i="10"/>
  <c r="DP26" i="7" s="1"/>
  <c r="DO26" i="10"/>
  <c r="DO26" i="7" s="1"/>
  <c r="DM26" i="10"/>
  <c r="DM26" i="7" s="1"/>
  <c r="DL26" i="10"/>
  <c r="DL26" i="7" s="1"/>
  <c r="DJ26" i="10"/>
  <c r="DJ26" i="7" s="1"/>
  <c r="DI26" i="10"/>
  <c r="DI26" i="7" s="1"/>
  <c r="DG26" i="10"/>
  <c r="DG26" i="7" s="1"/>
  <c r="DF26" i="10"/>
  <c r="DF26" i="7" s="1"/>
  <c r="DD26" i="10"/>
  <c r="DD26" i="7" s="1"/>
  <c r="DC26" i="10"/>
  <c r="DC26" i="7" s="1"/>
  <c r="DA26" i="10"/>
  <c r="DA26" i="7" s="1"/>
  <c r="CZ26" i="10"/>
  <c r="CZ26" i="7" s="1"/>
  <c r="CX26" i="10"/>
  <c r="CX26" i="7" s="1"/>
  <c r="CW26" i="10"/>
  <c r="CW26" i="7" s="1"/>
  <c r="CU26" i="10"/>
  <c r="CU26" i="7" s="1"/>
  <c r="CT26" i="10"/>
  <c r="CT26" i="7" s="1"/>
  <c r="CR26" i="10"/>
  <c r="CR26" i="7" s="1"/>
  <c r="CQ26" i="10"/>
  <c r="CQ26" i="7" s="1"/>
  <c r="CO26" i="10"/>
  <c r="CO26" i="7" s="1"/>
  <c r="CN26" i="10"/>
  <c r="CN26" i="7" s="1"/>
  <c r="CL26" i="10"/>
  <c r="CL26" i="7" s="1"/>
  <c r="CK26" i="10"/>
  <c r="CK26" i="7" s="1"/>
  <c r="CI26" i="10"/>
  <c r="CI26" i="7" s="1"/>
  <c r="CH26" i="10"/>
  <c r="CH26" i="7" s="1"/>
  <c r="CF26" i="10"/>
  <c r="CF26" i="7" s="1"/>
  <c r="CE26" i="10"/>
  <c r="CE26" i="7" s="1"/>
  <c r="CC26" i="10"/>
  <c r="CC26" i="7" s="1"/>
  <c r="CB26" i="10"/>
  <c r="CB26" i="7" s="1"/>
  <c r="BZ26" i="10"/>
  <c r="BZ26" i="7" s="1"/>
  <c r="BY26" i="10"/>
  <c r="BY26" i="7" s="1"/>
  <c r="BW26" i="10"/>
  <c r="BW26" i="7" s="1"/>
  <c r="BV26" i="10"/>
  <c r="BV26" i="7" s="1"/>
  <c r="BT26" i="10"/>
  <c r="BT26" i="7" s="1"/>
  <c r="BS26" i="10"/>
  <c r="BS26" i="7" s="1"/>
  <c r="BQ26" i="10"/>
  <c r="BQ26" i="7" s="1"/>
  <c r="BP26" i="10"/>
  <c r="BP26" i="7" s="1"/>
  <c r="BN26" i="10"/>
  <c r="BN26" i="7" s="1"/>
  <c r="BM26" i="10"/>
  <c r="BM26" i="7" s="1"/>
  <c r="BK26" i="10"/>
  <c r="BK26" i="7" s="1"/>
  <c r="BJ26" i="10"/>
  <c r="BJ26" i="7" s="1"/>
  <c r="BH26" i="10"/>
  <c r="BH26" i="7" s="1"/>
  <c r="BG26" i="10"/>
  <c r="BG26" i="7" s="1"/>
  <c r="BE26" i="10"/>
  <c r="BE26" i="7" s="1"/>
  <c r="BD26" i="10"/>
  <c r="BD26" i="7" s="1"/>
  <c r="BB26" i="10"/>
  <c r="BB26" i="7" s="1"/>
  <c r="BA26" i="10"/>
  <c r="BA26" i="7" s="1"/>
  <c r="AY26" i="10"/>
  <c r="AY26" i="7" s="1"/>
  <c r="AX26" i="10"/>
  <c r="AX26" i="7" s="1"/>
  <c r="AV26" i="10"/>
  <c r="AV26" i="7" s="1"/>
  <c r="AU26" i="10"/>
  <c r="AU26" i="7" s="1"/>
  <c r="AS26" i="10"/>
  <c r="AS26" i="7" s="1"/>
  <c r="AR26" i="10"/>
  <c r="AR26" i="7" s="1"/>
  <c r="AP26" i="10"/>
  <c r="AP26" i="7" s="1"/>
  <c r="AO26" i="10"/>
  <c r="AO26" i="7" s="1"/>
  <c r="AM26" i="10"/>
  <c r="AM26" i="7" s="1"/>
  <c r="AL26" i="10"/>
  <c r="AL26" i="7" s="1"/>
  <c r="AJ26" i="10"/>
  <c r="AJ26" i="7" s="1"/>
  <c r="AI26" i="10"/>
  <c r="AI26" i="7" s="1"/>
  <c r="AG26" i="10"/>
  <c r="AG26" i="7" s="1"/>
  <c r="AF26" i="10"/>
  <c r="AF26" i="7" s="1"/>
  <c r="AD26" i="10"/>
  <c r="AD26" i="7" s="1"/>
  <c r="AC26" i="10"/>
  <c r="AC26" i="7" s="1"/>
  <c r="AA26" i="10"/>
  <c r="AA26" i="7" s="1"/>
  <c r="Z26" i="10"/>
  <c r="Z26" i="7" s="1"/>
  <c r="X26" i="10"/>
  <c r="X26" i="7" s="1"/>
  <c r="W26" i="10"/>
  <c r="W26" i="7" s="1"/>
  <c r="U26" i="10"/>
  <c r="U26" i="7" s="1"/>
  <c r="T26" i="10"/>
  <c r="T26" i="7" s="1"/>
  <c r="R26" i="10"/>
  <c r="R26" i="7" s="1"/>
  <c r="Q26" i="10"/>
  <c r="Q26" i="7" s="1"/>
  <c r="O26" i="10"/>
  <c r="O26" i="7" s="1"/>
  <c r="N26" i="10"/>
  <c r="N26" i="7" s="1"/>
  <c r="L26" i="10"/>
  <c r="L26" i="7" s="1"/>
  <c r="K26" i="10"/>
  <c r="K26" i="7" s="1"/>
  <c r="I26" i="10"/>
  <c r="I26" i="7" s="1"/>
  <c r="H26" i="10"/>
  <c r="H26" i="7" s="1"/>
  <c r="F26" i="10"/>
  <c r="F26" i="7" s="1"/>
  <c r="E26" i="10"/>
  <c r="E26" i="7" s="1"/>
  <c r="C26" i="10"/>
  <c r="C26" i="7" s="1"/>
  <c r="B26" i="10"/>
  <c r="B26" i="7" s="1"/>
  <c r="A26" i="10"/>
  <c r="N25" i="1" s="1"/>
  <c r="HH25" i="10"/>
  <c r="HG25" i="10"/>
  <c r="HE25" i="10"/>
  <c r="HD25" i="10"/>
  <c r="HB25" i="10"/>
  <c r="HA25" i="10"/>
  <c r="GY25" i="10"/>
  <c r="GX25" i="10"/>
  <c r="GV25" i="10"/>
  <c r="GU25" i="10"/>
  <c r="GS25" i="10"/>
  <c r="GR25" i="10"/>
  <c r="GP25" i="10"/>
  <c r="GO25" i="10"/>
  <c r="GM25" i="10"/>
  <c r="GL25" i="10"/>
  <c r="GJ25" i="10"/>
  <c r="GI25" i="10"/>
  <c r="GG25" i="10"/>
  <c r="GF25" i="10"/>
  <c r="GD25" i="10"/>
  <c r="GC25" i="10"/>
  <c r="GA25" i="10"/>
  <c r="FZ25" i="10"/>
  <c r="FX25" i="10"/>
  <c r="FW25" i="10"/>
  <c r="FU25" i="10"/>
  <c r="FT25" i="10"/>
  <c r="FR25" i="10"/>
  <c r="FQ25" i="10"/>
  <c r="FO25" i="10"/>
  <c r="FN25" i="10"/>
  <c r="FL25" i="10"/>
  <c r="FK25" i="10"/>
  <c r="FI25" i="10"/>
  <c r="FH25" i="10"/>
  <c r="FF25" i="10"/>
  <c r="FF25" i="7" s="1"/>
  <c r="FE25" i="10"/>
  <c r="FE25" i="7" s="1"/>
  <c r="FC25" i="10"/>
  <c r="FC25" i="7" s="1"/>
  <c r="FB25" i="10"/>
  <c r="FB25" i="7" s="1"/>
  <c r="EZ25" i="10"/>
  <c r="EZ25" i="7" s="1"/>
  <c r="EY25" i="10"/>
  <c r="EY25" i="7" s="1"/>
  <c r="EW25" i="10"/>
  <c r="EW25" i="7" s="1"/>
  <c r="EV25" i="10"/>
  <c r="EV25" i="7" s="1"/>
  <c r="ET25" i="10"/>
  <c r="ET25" i="7" s="1"/>
  <c r="ES25" i="10"/>
  <c r="ES25" i="7" s="1"/>
  <c r="EQ25" i="10"/>
  <c r="EQ25" i="7" s="1"/>
  <c r="EP25" i="10"/>
  <c r="EP25" i="7" s="1"/>
  <c r="EN25" i="10"/>
  <c r="EN25" i="7" s="1"/>
  <c r="EM25" i="10"/>
  <c r="EM25" i="7" s="1"/>
  <c r="EK25" i="10"/>
  <c r="EK25" i="7" s="1"/>
  <c r="EJ25" i="10"/>
  <c r="EJ25" i="7" s="1"/>
  <c r="EH25" i="10"/>
  <c r="EH25" i="7" s="1"/>
  <c r="EG25" i="10"/>
  <c r="EG25" i="7" s="1"/>
  <c r="EE25" i="10"/>
  <c r="EE25" i="7" s="1"/>
  <c r="ED25" i="10"/>
  <c r="ED25" i="7" s="1"/>
  <c r="EB25" i="10"/>
  <c r="EB25" i="7" s="1"/>
  <c r="EA25" i="10"/>
  <c r="EA25" i="7" s="1"/>
  <c r="DY25" i="10"/>
  <c r="DY25" i="7" s="1"/>
  <c r="DX25" i="10"/>
  <c r="DX25" i="7" s="1"/>
  <c r="DV25" i="10"/>
  <c r="DV25" i="7" s="1"/>
  <c r="DU25" i="10"/>
  <c r="DU25" i="7" s="1"/>
  <c r="DS25" i="10"/>
  <c r="DS25" i="7" s="1"/>
  <c r="DR25" i="10"/>
  <c r="DR25" i="7" s="1"/>
  <c r="DP25" i="10"/>
  <c r="DP25" i="7" s="1"/>
  <c r="DO25" i="10"/>
  <c r="DO25" i="7" s="1"/>
  <c r="DM25" i="10"/>
  <c r="DM25" i="7" s="1"/>
  <c r="DL25" i="10"/>
  <c r="DL25" i="7" s="1"/>
  <c r="DJ25" i="10"/>
  <c r="DJ25" i="7" s="1"/>
  <c r="DI25" i="10"/>
  <c r="DI25" i="7" s="1"/>
  <c r="DG25" i="10"/>
  <c r="DG25" i="7" s="1"/>
  <c r="DF25" i="10"/>
  <c r="DF25" i="7" s="1"/>
  <c r="DD25" i="10"/>
  <c r="DD25" i="7" s="1"/>
  <c r="DC25" i="10"/>
  <c r="DC25" i="7" s="1"/>
  <c r="DA25" i="10"/>
  <c r="DA25" i="7" s="1"/>
  <c r="CZ25" i="10"/>
  <c r="CZ25" i="7" s="1"/>
  <c r="CX25" i="10"/>
  <c r="CX25" i="7" s="1"/>
  <c r="CW25" i="10"/>
  <c r="CW25" i="7" s="1"/>
  <c r="CU25" i="10"/>
  <c r="CU25" i="7" s="1"/>
  <c r="CT25" i="10"/>
  <c r="CT25" i="7" s="1"/>
  <c r="CR25" i="10"/>
  <c r="CR25" i="7" s="1"/>
  <c r="CQ25" i="10"/>
  <c r="CQ25" i="7" s="1"/>
  <c r="CO25" i="10"/>
  <c r="CO25" i="7" s="1"/>
  <c r="CN25" i="10"/>
  <c r="CN25" i="7" s="1"/>
  <c r="CL25" i="10"/>
  <c r="CL25" i="7" s="1"/>
  <c r="CK25" i="10"/>
  <c r="CK25" i="7" s="1"/>
  <c r="CI25" i="10"/>
  <c r="CI25" i="7" s="1"/>
  <c r="CH25" i="10"/>
  <c r="CH25" i="7" s="1"/>
  <c r="CF25" i="10"/>
  <c r="CF25" i="7" s="1"/>
  <c r="CE25" i="10"/>
  <c r="CE25" i="7" s="1"/>
  <c r="CC25" i="10"/>
  <c r="CC25" i="7" s="1"/>
  <c r="CB25" i="10"/>
  <c r="CB25" i="7" s="1"/>
  <c r="BZ25" i="10"/>
  <c r="BZ25" i="7" s="1"/>
  <c r="BY25" i="10"/>
  <c r="BY25" i="7" s="1"/>
  <c r="BW25" i="10"/>
  <c r="BW25" i="7" s="1"/>
  <c r="BV25" i="10"/>
  <c r="BV25" i="7" s="1"/>
  <c r="BT25" i="10"/>
  <c r="BT25" i="7" s="1"/>
  <c r="BS25" i="10"/>
  <c r="BS25" i="7" s="1"/>
  <c r="BQ25" i="10"/>
  <c r="BQ25" i="7" s="1"/>
  <c r="BP25" i="10"/>
  <c r="BP25" i="7" s="1"/>
  <c r="BN25" i="10"/>
  <c r="BN25" i="7" s="1"/>
  <c r="BM25" i="10"/>
  <c r="BM25" i="7" s="1"/>
  <c r="BK25" i="10"/>
  <c r="BK25" i="7" s="1"/>
  <c r="BJ25" i="10"/>
  <c r="BJ25" i="7" s="1"/>
  <c r="BH25" i="10"/>
  <c r="BH25" i="7" s="1"/>
  <c r="BG25" i="10"/>
  <c r="BG25" i="7" s="1"/>
  <c r="BE25" i="10"/>
  <c r="BE25" i="7" s="1"/>
  <c r="BD25" i="10"/>
  <c r="BD25" i="7" s="1"/>
  <c r="BB25" i="10"/>
  <c r="BB25" i="7" s="1"/>
  <c r="BA25" i="10"/>
  <c r="BA25" i="7" s="1"/>
  <c r="AY25" i="10"/>
  <c r="AY25" i="7" s="1"/>
  <c r="AX25" i="10"/>
  <c r="AX25" i="7" s="1"/>
  <c r="AV25" i="10"/>
  <c r="AV25" i="7" s="1"/>
  <c r="AU25" i="10"/>
  <c r="AU25" i="7" s="1"/>
  <c r="AS25" i="10"/>
  <c r="AS25" i="7" s="1"/>
  <c r="AR25" i="10"/>
  <c r="AR25" i="7" s="1"/>
  <c r="AP25" i="10"/>
  <c r="AP25" i="7" s="1"/>
  <c r="AO25" i="10"/>
  <c r="AO25" i="7" s="1"/>
  <c r="AM25" i="10"/>
  <c r="AM25" i="7" s="1"/>
  <c r="AL25" i="10"/>
  <c r="AL25" i="7" s="1"/>
  <c r="AJ25" i="10"/>
  <c r="AJ25" i="7" s="1"/>
  <c r="AI25" i="10"/>
  <c r="AI25" i="7" s="1"/>
  <c r="AG25" i="10"/>
  <c r="AG25" i="7" s="1"/>
  <c r="AF25" i="10"/>
  <c r="AF25" i="7" s="1"/>
  <c r="AD25" i="10"/>
  <c r="AD25" i="7" s="1"/>
  <c r="AC25" i="10"/>
  <c r="AC25" i="7" s="1"/>
  <c r="AA25" i="10"/>
  <c r="AA25" i="7" s="1"/>
  <c r="Z25" i="10"/>
  <c r="Z25" i="7" s="1"/>
  <c r="X25" i="10"/>
  <c r="X25" i="7" s="1"/>
  <c r="W25" i="10"/>
  <c r="W25" i="7" s="1"/>
  <c r="U25" i="10"/>
  <c r="U25" i="7" s="1"/>
  <c r="T25" i="10"/>
  <c r="T25" i="7" s="1"/>
  <c r="R25" i="10"/>
  <c r="R25" i="7" s="1"/>
  <c r="Q25" i="10"/>
  <c r="Q25" i="7" s="1"/>
  <c r="O25" i="10"/>
  <c r="O25" i="7" s="1"/>
  <c r="N25" i="10"/>
  <c r="N25" i="7" s="1"/>
  <c r="L25" i="10"/>
  <c r="L25" i="7" s="1"/>
  <c r="K25" i="10"/>
  <c r="K25" i="7" s="1"/>
  <c r="I25" i="10"/>
  <c r="I25" i="7" s="1"/>
  <c r="H25" i="10"/>
  <c r="H25" i="7" s="1"/>
  <c r="F25" i="10"/>
  <c r="F25" i="7" s="1"/>
  <c r="E25" i="10"/>
  <c r="E25" i="7" s="1"/>
  <c r="C25" i="10"/>
  <c r="C25" i="7" s="1"/>
  <c r="B25" i="10"/>
  <c r="B25" i="7" s="1"/>
  <c r="A25" i="10"/>
  <c r="A25" i="7" s="1"/>
  <c r="HH24" i="10"/>
  <c r="HG24" i="10"/>
  <c r="HE24" i="10"/>
  <c r="HD24" i="10"/>
  <c r="HB24" i="10"/>
  <c r="HA24" i="10"/>
  <c r="GY24" i="10"/>
  <c r="GX24" i="10"/>
  <c r="GV24" i="10"/>
  <c r="GU24" i="10"/>
  <c r="GS24" i="10"/>
  <c r="GR24" i="10"/>
  <c r="GP24" i="10"/>
  <c r="GO24" i="10"/>
  <c r="GM24" i="10"/>
  <c r="GL24" i="10"/>
  <c r="GJ24" i="10"/>
  <c r="GI24" i="10"/>
  <c r="GG24" i="10"/>
  <c r="GF24" i="10"/>
  <c r="GD24" i="10"/>
  <c r="GC24" i="10"/>
  <c r="GA24" i="10"/>
  <c r="FZ24" i="10"/>
  <c r="FX24" i="10"/>
  <c r="FW24" i="10"/>
  <c r="FU24" i="10"/>
  <c r="FT24" i="10"/>
  <c r="FR24" i="10"/>
  <c r="FQ24" i="10"/>
  <c r="FO24" i="10"/>
  <c r="FN24" i="10"/>
  <c r="FL24" i="10"/>
  <c r="FK24" i="10"/>
  <c r="FI24" i="10"/>
  <c r="FH24" i="10"/>
  <c r="FF24" i="10"/>
  <c r="FF24" i="7" s="1"/>
  <c r="FE24" i="10"/>
  <c r="FE24" i="7" s="1"/>
  <c r="FC24" i="10"/>
  <c r="FC24" i="7" s="1"/>
  <c r="FB24" i="10"/>
  <c r="FB24" i="7" s="1"/>
  <c r="EZ24" i="10"/>
  <c r="EZ24" i="7" s="1"/>
  <c r="EY24" i="10"/>
  <c r="EY24" i="7" s="1"/>
  <c r="EW24" i="10"/>
  <c r="EW24" i="7" s="1"/>
  <c r="EV24" i="10"/>
  <c r="EV24" i="7" s="1"/>
  <c r="ET24" i="10"/>
  <c r="ET24" i="7" s="1"/>
  <c r="ES24" i="10"/>
  <c r="ES24" i="7" s="1"/>
  <c r="EQ24" i="10"/>
  <c r="EQ24" i="7" s="1"/>
  <c r="EP24" i="10"/>
  <c r="EP24" i="7" s="1"/>
  <c r="EN24" i="10"/>
  <c r="EN24" i="7" s="1"/>
  <c r="EM24" i="10"/>
  <c r="EM24" i="7" s="1"/>
  <c r="EK24" i="10"/>
  <c r="EK24" i="7" s="1"/>
  <c r="EJ24" i="10"/>
  <c r="EJ24" i="7" s="1"/>
  <c r="EH24" i="10"/>
  <c r="EH24" i="7" s="1"/>
  <c r="EG24" i="10"/>
  <c r="EG24" i="7" s="1"/>
  <c r="EE24" i="10"/>
  <c r="EE24" i="7" s="1"/>
  <c r="ED24" i="10"/>
  <c r="ED24" i="7" s="1"/>
  <c r="EB24" i="10"/>
  <c r="EB24" i="7" s="1"/>
  <c r="EA24" i="10"/>
  <c r="EA24" i="7" s="1"/>
  <c r="DY24" i="10"/>
  <c r="DY24" i="7" s="1"/>
  <c r="DX24" i="10"/>
  <c r="DX24" i="7" s="1"/>
  <c r="DV24" i="10"/>
  <c r="DV24" i="7" s="1"/>
  <c r="DU24" i="10"/>
  <c r="DU24" i="7" s="1"/>
  <c r="DS24" i="10"/>
  <c r="DS24" i="7" s="1"/>
  <c r="DR24" i="10"/>
  <c r="DR24" i="7" s="1"/>
  <c r="DP24" i="10"/>
  <c r="DP24" i="7" s="1"/>
  <c r="DO24" i="10"/>
  <c r="DO24" i="7" s="1"/>
  <c r="DM24" i="10"/>
  <c r="DM24" i="7" s="1"/>
  <c r="DL24" i="10"/>
  <c r="DL24" i="7" s="1"/>
  <c r="DJ24" i="10"/>
  <c r="DJ24" i="7" s="1"/>
  <c r="DI24" i="10"/>
  <c r="DI24" i="7" s="1"/>
  <c r="DG24" i="10"/>
  <c r="DG24" i="7" s="1"/>
  <c r="DF24" i="10"/>
  <c r="DF24" i="7" s="1"/>
  <c r="DD24" i="10"/>
  <c r="DD24" i="7" s="1"/>
  <c r="DC24" i="10"/>
  <c r="DC24" i="7" s="1"/>
  <c r="DA24" i="10"/>
  <c r="DA24" i="7" s="1"/>
  <c r="CZ24" i="10"/>
  <c r="CZ24" i="7" s="1"/>
  <c r="CX24" i="10"/>
  <c r="CX24" i="7" s="1"/>
  <c r="CW24" i="10"/>
  <c r="CW24" i="7" s="1"/>
  <c r="CU24" i="10"/>
  <c r="CU24" i="7" s="1"/>
  <c r="CT24" i="10"/>
  <c r="CT24" i="7" s="1"/>
  <c r="CR24" i="10"/>
  <c r="CR24" i="7" s="1"/>
  <c r="CQ24" i="10"/>
  <c r="CQ24" i="7" s="1"/>
  <c r="CO24" i="10"/>
  <c r="CO24" i="7" s="1"/>
  <c r="CN24" i="10"/>
  <c r="CN24" i="7" s="1"/>
  <c r="CL24" i="10"/>
  <c r="CL24" i="7" s="1"/>
  <c r="CK24" i="10"/>
  <c r="CK24" i="7" s="1"/>
  <c r="CI24" i="10"/>
  <c r="CI24" i="7" s="1"/>
  <c r="CH24" i="10"/>
  <c r="CH24" i="7" s="1"/>
  <c r="CF24" i="10"/>
  <c r="CF24" i="7" s="1"/>
  <c r="CE24" i="10"/>
  <c r="CE24" i="7" s="1"/>
  <c r="CC24" i="10"/>
  <c r="CC24" i="7" s="1"/>
  <c r="CB24" i="10"/>
  <c r="CB24" i="7" s="1"/>
  <c r="BZ24" i="10"/>
  <c r="BZ24" i="7" s="1"/>
  <c r="BY24" i="10"/>
  <c r="BY24" i="7" s="1"/>
  <c r="BW24" i="10"/>
  <c r="BW24" i="7" s="1"/>
  <c r="BV24" i="10"/>
  <c r="BV24" i="7" s="1"/>
  <c r="BT24" i="10"/>
  <c r="BT24" i="7" s="1"/>
  <c r="BS24" i="10"/>
  <c r="BS24" i="7" s="1"/>
  <c r="BQ24" i="10"/>
  <c r="BQ24" i="7" s="1"/>
  <c r="BP24" i="10"/>
  <c r="BP24" i="7" s="1"/>
  <c r="BN24" i="10"/>
  <c r="BN24" i="7" s="1"/>
  <c r="BM24" i="10"/>
  <c r="BM24" i="7" s="1"/>
  <c r="BK24" i="10"/>
  <c r="BK24" i="7" s="1"/>
  <c r="BJ24" i="10"/>
  <c r="BJ24" i="7" s="1"/>
  <c r="BH24" i="10"/>
  <c r="BH24" i="7" s="1"/>
  <c r="BG24" i="10"/>
  <c r="BG24" i="7" s="1"/>
  <c r="BE24" i="10"/>
  <c r="BE24" i="7" s="1"/>
  <c r="BD24" i="10"/>
  <c r="BD24" i="7" s="1"/>
  <c r="BB24" i="10"/>
  <c r="BB24" i="7" s="1"/>
  <c r="BA24" i="10"/>
  <c r="BA24" i="7" s="1"/>
  <c r="AY24" i="10"/>
  <c r="AY24" i="7" s="1"/>
  <c r="AX24" i="10"/>
  <c r="AX24" i="7" s="1"/>
  <c r="AV24" i="10"/>
  <c r="AV24" i="7" s="1"/>
  <c r="AU24" i="10"/>
  <c r="AU24" i="7" s="1"/>
  <c r="AS24" i="10"/>
  <c r="AS24" i="7" s="1"/>
  <c r="AR24" i="10"/>
  <c r="AR24" i="7" s="1"/>
  <c r="AP24" i="10"/>
  <c r="AP24" i="7" s="1"/>
  <c r="AO24" i="10"/>
  <c r="AO24" i="7" s="1"/>
  <c r="AM24" i="10"/>
  <c r="AM24" i="7" s="1"/>
  <c r="AL24" i="10"/>
  <c r="AL24" i="7" s="1"/>
  <c r="AJ24" i="10"/>
  <c r="AJ24" i="7" s="1"/>
  <c r="AI24" i="10"/>
  <c r="AI24" i="7" s="1"/>
  <c r="AG24" i="10"/>
  <c r="AG24" i="7" s="1"/>
  <c r="AF24" i="10"/>
  <c r="AF24" i="7" s="1"/>
  <c r="AD24" i="10"/>
  <c r="AD24" i="7" s="1"/>
  <c r="AC24" i="10"/>
  <c r="AC24" i="7" s="1"/>
  <c r="AA24" i="10"/>
  <c r="AA24" i="7" s="1"/>
  <c r="Z24" i="10"/>
  <c r="Z24" i="7" s="1"/>
  <c r="X24" i="10"/>
  <c r="X24" i="7" s="1"/>
  <c r="W24" i="10"/>
  <c r="W24" i="7" s="1"/>
  <c r="U24" i="10"/>
  <c r="U24" i="7" s="1"/>
  <c r="T24" i="10"/>
  <c r="T24" i="7" s="1"/>
  <c r="R24" i="10"/>
  <c r="R24" i="7" s="1"/>
  <c r="Q24" i="10"/>
  <c r="Q24" i="7" s="1"/>
  <c r="O24" i="10"/>
  <c r="O24" i="7" s="1"/>
  <c r="N24" i="10"/>
  <c r="N24" i="7" s="1"/>
  <c r="L24" i="10"/>
  <c r="L24" i="7" s="1"/>
  <c r="K24" i="10"/>
  <c r="K24" i="7" s="1"/>
  <c r="I24" i="10"/>
  <c r="I24" i="7" s="1"/>
  <c r="H24" i="10"/>
  <c r="H24" i="7" s="1"/>
  <c r="F24" i="10"/>
  <c r="F24" i="7" s="1"/>
  <c r="E24" i="10"/>
  <c r="E24" i="7" s="1"/>
  <c r="C24" i="10"/>
  <c r="C24" i="7" s="1"/>
  <c r="B24" i="10"/>
  <c r="B24" i="7" s="1"/>
  <c r="A24" i="10"/>
  <c r="HH23" i="10"/>
  <c r="HG23" i="10"/>
  <c r="HE23" i="10"/>
  <c r="HD23" i="10"/>
  <c r="HB23" i="10"/>
  <c r="HA23" i="10"/>
  <c r="GY23" i="10"/>
  <c r="GX23" i="10"/>
  <c r="GV23" i="10"/>
  <c r="GU23" i="10"/>
  <c r="GS23" i="10"/>
  <c r="GR23" i="10"/>
  <c r="GP23" i="10"/>
  <c r="GO23" i="10"/>
  <c r="GM23" i="10"/>
  <c r="GL23" i="10"/>
  <c r="GJ23" i="10"/>
  <c r="GI23" i="10"/>
  <c r="GG23" i="10"/>
  <c r="GF23" i="10"/>
  <c r="GD23" i="10"/>
  <c r="GC23" i="10"/>
  <c r="GA23" i="10"/>
  <c r="FZ23" i="10"/>
  <c r="FX23" i="10"/>
  <c r="FW23" i="10"/>
  <c r="FU23" i="10"/>
  <c r="FT23" i="10"/>
  <c r="FR23" i="10"/>
  <c r="FQ23" i="10"/>
  <c r="FO23" i="10"/>
  <c r="FN23" i="10"/>
  <c r="FL23" i="10"/>
  <c r="FK23" i="10"/>
  <c r="FI23" i="10"/>
  <c r="FH23" i="10"/>
  <c r="FF23" i="10"/>
  <c r="FF23" i="7" s="1"/>
  <c r="FE23" i="10"/>
  <c r="FE23" i="7" s="1"/>
  <c r="FC23" i="10"/>
  <c r="FC23" i="7" s="1"/>
  <c r="FB23" i="10"/>
  <c r="FB23" i="7" s="1"/>
  <c r="EZ23" i="10"/>
  <c r="EZ23" i="7" s="1"/>
  <c r="EY23" i="10"/>
  <c r="EY23" i="7" s="1"/>
  <c r="EW23" i="10"/>
  <c r="EW23" i="7" s="1"/>
  <c r="EV23" i="10"/>
  <c r="EV23" i="7" s="1"/>
  <c r="ET23" i="10"/>
  <c r="ET23" i="7" s="1"/>
  <c r="ES23" i="10"/>
  <c r="ES23" i="7" s="1"/>
  <c r="EQ23" i="10"/>
  <c r="EQ23" i="7" s="1"/>
  <c r="EP23" i="10"/>
  <c r="EP23" i="7" s="1"/>
  <c r="EN23" i="10"/>
  <c r="EN23" i="7" s="1"/>
  <c r="EM23" i="10"/>
  <c r="EM23" i="7" s="1"/>
  <c r="EK23" i="10"/>
  <c r="EK23" i="7" s="1"/>
  <c r="EJ23" i="10"/>
  <c r="EJ23" i="7" s="1"/>
  <c r="EH23" i="10"/>
  <c r="EH23" i="7" s="1"/>
  <c r="EG23" i="10"/>
  <c r="EG23" i="7" s="1"/>
  <c r="EE23" i="10"/>
  <c r="EE23" i="7" s="1"/>
  <c r="ED23" i="10"/>
  <c r="ED23" i="7" s="1"/>
  <c r="EB23" i="10"/>
  <c r="EB23" i="7" s="1"/>
  <c r="EA23" i="10"/>
  <c r="EA23" i="7" s="1"/>
  <c r="DY23" i="10"/>
  <c r="DY23" i="7" s="1"/>
  <c r="DX23" i="10"/>
  <c r="DX23" i="7" s="1"/>
  <c r="DV23" i="10"/>
  <c r="DV23" i="7" s="1"/>
  <c r="DU23" i="10"/>
  <c r="DU23" i="7" s="1"/>
  <c r="DS23" i="10"/>
  <c r="DS23" i="7" s="1"/>
  <c r="DR23" i="10"/>
  <c r="DR23" i="7" s="1"/>
  <c r="DP23" i="10"/>
  <c r="DP23" i="7" s="1"/>
  <c r="DO23" i="10"/>
  <c r="DO23" i="7" s="1"/>
  <c r="DM23" i="10"/>
  <c r="DM23" i="7" s="1"/>
  <c r="DL23" i="10"/>
  <c r="DL23" i="7" s="1"/>
  <c r="DJ23" i="10"/>
  <c r="DJ23" i="7" s="1"/>
  <c r="DI23" i="10"/>
  <c r="DI23" i="7" s="1"/>
  <c r="DG23" i="10"/>
  <c r="DG23" i="7" s="1"/>
  <c r="DF23" i="10"/>
  <c r="DF23" i="7" s="1"/>
  <c r="DD23" i="10"/>
  <c r="DD23" i="7" s="1"/>
  <c r="DC23" i="10"/>
  <c r="DC23" i="7" s="1"/>
  <c r="DA23" i="10"/>
  <c r="DA23" i="7" s="1"/>
  <c r="CZ23" i="10"/>
  <c r="CZ23" i="7" s="1"/>
  <c r="CX23" i="10"/>
  <c r="CX23" i="7" s="1"/>
  <c r="CW23" i="10"/>
  <c r="CW23" i="7" s="1"/>
  <c r="CU23" i="10"/>
  <c r="CU23" i="7" s="1"/>
  <c r="CT23" i="10"/>
  <c r="CT23" i="7" s="1"/>
  <c r="CR23" i="10"/>
  <c r="CR23" i="7" s="1"/>
  <c r="CQ23" i="10"/>
  <c r="CQ23" i="7" s="1"/>
  <c r="CO23" i="10"/>
  <c r="CO23" i="7" s="1"/>
  <c r="CN23" i="10"/>
  <c r="CN23" i="7" s="1"/>
  <c r="CL23" i="10"/>
  <c r="CL23" i="7" s="1"/>
  <c r="CK23" i="10"/>
  <c r="CK23" i="7" s="1"/>
  <c r="CI23" i="10"/>
  <c r="CI23" i="7" s="1"/>
  <c r="CH23" i="10"/>
  <c r="CH23" i="7" s="1"/>
  <c r="CF23" i="10"/>
  <c r="CF23" i="7" s="1"/>
  <c r="CE23" i="10"/>
  <c r="CE23" i="7" s="1"/>
  <c r="CC23" i="10"/>
  <c r="CC23" i="7" s="1"/>
  <c r="CB23" i="10"/>
  <c r="CB23" i="7" s="1"/>
  <c r="BZ23" i="10"/>
  <c r="BZ23" i="7" s="1"/>
  <c r="BY23" i="10"/>
  <c r="BY23" i="7" s="1"/>
  <c r="BW23" i="10"/>
  <c r="BW23" i="7" s="1"/>
  <c r="BV23" i="10"/>
  <c r="BV23" i="7" s="1"/>
  <c r="BT23" i="10"/>
  <c r="BT23" i="7" s="1"/>
  <c r="BS23" i="10"/>
  <c r="BS23" i="7" s="1"/>
  <c r="BQ23" i="10"/>
  <c r="BQ23" i="7" s="1"/>
  <c r="BP23" i="10"/>
  <c r="BP23" i="7" s="1"/>
  <c r="BN23" i="10"/>
  <c r="BN23" i="7" s="1"/>
  <c r="BM23" i="10"/>
  <c r="BM23" i="7" s="1"/>
  <c r="BK23" i="10"/>
  <c r="BK23" i="7" s="1"/>
  <c r="BJ23" i="10"/>
  <c r="BJ23" i="7" s="1"/>
  <c r="BH23" i="10"/>
  <c r="BH23" i="7" s="1"/>
  <c r="BG23" i="10"/>
  <c r="BG23" i="7" s="1"/>
  <c r="BE23" i="10"/>
  <c r="BE23" i="7" s="1"/>
  <c r="BD23" i="10"/>
  <c r="BD23" i="7" s="1"/>
  <c r="BB23" i="10"/>
  <c r="BB23" i="7" s="1"/>
  <c r="BA23" i="10"/>
  <c r="BA23" i="7" s="1"/>
  <c r="AY23" i="10"/>
  <c r="AY23" i="7" s="1"/>
  <c r="AX23" i="10"/>
  <c r="AX23" i="7" s="1"/>
  <c r="AV23" i="10"/>
  <c r="AV23" i="7" s="1"/>
  <c r="AU23" i="10"/>
  <c r="AU23" i="7" s="1"/>
  <c r="AS23" i="10"/>
  <c r="AS23" i="7" s="1"/>
  <c r="AR23" i="10"/>
  <c r="AR23" i="7" s="1"/>
  <c r="AP23" i="10"/>
  <c r="AP23" i="7" s="1"/>
  <c r="AO23" i="10"/>
  <c r="AO23" i="7" s="1"/>
  <c r="AM23" i="10"/>
  <c r="AM23" i="7" s="1"/>
  <c r="AL23" i="10"/>
  <c r="AL23" i="7" s="1"/>
  <c r="AJ23" i="10"/>
  <c r="AJ23" i="7" s="1"/>
  <c r="AI23" i="10"/>
  <c r="AI23" i="7" s="1"/>
  <c r="AG23" i="10"/>
  <c r="AG23" i="7" s="1"/>
  <c r="AF23" i="10"/>
  <c r="AF23" i="7" s="1"/>
  <c r="AD23" i="10"/>
  <c r="AD23" i="7" s="1"/>
  <c r="AC23" i="10"/>
  <c r="AC23" i="7" s="1"/>
  <c r="AA23" i="10"/>
  <c r="AA23" i="7" s="1"/>
  <c r="Z23" i="10"/>
  <c r="Z23" i="7" s="1"/>
  <c r="X23" i="10"/>
  <c r="X23" i="7" s="1"/>
  <c r="W23" i="10"/>
  <c r="W23" i="7" s="1"/>
  <c r="U23" i="10"/>
  <c r="U23" i="7" s="1"/>
  <c r="T23" i="10"/>
  <c r="T23" i="7" s="1"/>
  <c r="R23" i="10"/>
  <c r="R23" i="7" s="1"/>
  <c r="Q23" i="10"/>
  <c r="Q23" i="7" s="1"/>
  <c r="O23" i="10"/>
  <c r="O23" i="7" s="1"/>
  <c r="N23" i="10"/>
  <c r="N23" i="7" s="1"/>
  <c r="L23" i="10"/>
  <c r="L23" i="7" s="1"/>
  <c r="K23" i="10"/>
  <c r="K23" i="7" s="1"/>
  <c r="I23" i="10"/>
  <c r="I23" i="7" s="1"/>
  <c r="H23" i="10"/>
  <c r="H23" i="7" s="1"/>
  <c r="F23" i="10"/>
  <c r="F23" i="7" s="1"/>
  <c r="E23" i="10"/>
  <c r="E23" i="7" s="1"/>
  <c r="C23" i="10"/>
  <c r="C23" i="7" s="1"/>
  <c r="B23" i="10"/>
  <c r="B23" i="7" s="1"/>
  <c r="A23" i="10"/>
  <c r="HH22" i="10"/>
  <c r="HG22" i="10"/>
  <c r="HE22" i="10"/>
  <c r="HD22" i="10"/>
  <c r="HB22" i="10"/>
  <c r="HA22" i="10"/>
  <c r="GY22" i="10"/>
  <c r="GX22" i="10"/>
  <c r="GV22" i="10"/>
  <c r="GU22" i="10"/>
  <c r="GS22" i="10"/>
  <c r="GR22" i="10"/>
  <c r="GP22" i="10"/>
  <c r="GO22" i="10"/>
  <c r="GM22" i="10"/>
  <c r="GL22" i="10"/>
  <c r="GJ22" i="10"/>
  <c r="GI22" i="10"/>
  <c r="GG22" i="10"/>
  <c r="GF22" i="10"/>
  <c r="GD22" i="10"/>
  <c r="GC22" i="10"/>
  <c r="GA22" i="10"/>
  <c r="FZ22" i="10"/>
  <c r="FX22" i="10"/>
  <c r="FW22" i="10"/>
  <c r="FU22" i="10"/>
  <c r="FT22" i="10"/>
  <c r="FR22" i="10"/>
  <c r="FQ22" i="10"/>
  <c r="FO22" i="10"/>
  <c r="FN22" i="10"/>
  <c r="FL22" i="10"/>
  <c r="FK22" i="10"/>
  <c r="FI22" i="10"/>
  <c r="FH22" i="10"/>
  <c r="FF22" i="10"/>
  <c r="FF22" i="7" s="1"/>
  <c r="FE22" i="10"/>
  <c r="FE22" i="7" s="1"/>
  <c r="FC22" i="10"/>
  <c r="FC22" i="7" s="1"/>
  <c r="FB22" i="10"/>
  <c r="FB22" i="7" s="1"/>
  <c r="EZ22" i="10"/>
  <c r="EZ22" i="7" s="1"/>
  <c r="EY22" i="10"/>
  <c r="EY22" i="7" s="1"/>
  <c r="EW22" i="10"/>
  <c r="EW22" i="7" s="1"/>
  <c r="EV22" i="10"/>
  <c r="EV22" i="7" s="1"/>
  <c r="ET22" i="10"/>
  <c r="ET22" i="7" s="1"/>
  <c r="ES22" i="10"/>
  <c r="ES22" i="7" s="1"/>
  <c r="EQ22" i="10"/>
  <c r="EQ22" i="7" s="1"/>
  <c r="EP22" i="10"/>
  <c r="EP22" i="7" s="1"/>
  <c r="EN22" i="10"/>
  <c r="EN22" i="7" s="1"/>
  <c r="EM22" i="10"/>
  <c r="EM22" i="7" s="1"/>
  <c r="EK22" i="10"/>
  <c r="EK22" i="7" s="1"/>
  <c r="EJ22" i="10"/>
  <c r="EJ22" i="7" s="1"/>
  <c r="EH22" i="10"/>
  <c r="EH22" i="7" s="1"/>
  <c r="EG22" i="10"/>
  <c r="EG22" i="7" s="1"/>
  <c r="EE22" i="10"/>
  <c r="EE22" i="7" s="1"/>
  <c r="ED22" i="10"/>
  <c r="ED22" i="7" s="1"/>
  <c r="EB22" i="10"/>
  <c r="EB22" i="7" s="1"/>
  <c r="EA22" i="10"/>
  <c r="EA22" i="7" s="1"/>
  <c r="DY22" i="10"/>
  <c r="DY22" i="7" s="1"/>
  <c r="DX22" i="10"/>
  <c r="DX22" i="7" s="1"/>
  <c r="DV22" i="10"/>
  <c r="DV22" i="7" s="1"/>
  <c r="DU22" i="10"/>
  <c r="DU22" i="7" s="1"/>
  <c r="DS22" i="10"/>
  <c r="DS22" i="7" s="1"/>
  <c r="DR22" i="10"/>
  <c r="DR22" i="7" s="1"/>
  <c r="DP22" i="10"/>
  <c r="DP22" i="7" s="1"/>
  <c r="DO22" i="10"/>
  <c r="DO22" i="7" s="1"/>
  <c r="DM22" i="10"/>
  <c r="DM22" i="7" s="1"/>
  <c r="DL22" i="10"/>
  <c r="DL22" i="7" s="1"/>
  <c r="DJ22" i="10"/>
  <c r="DJ22" i="7" s="1"/>
  <c r="DI22" i="10"/>
  <c r="DI22" i="7" s="1"/>
  <c r="DG22" i="10"/>
  <c r="DG22" i="7" s="1"/>
  <c r="DF22" i="10"/>
  <c r="DF22" i="7" s="1"/>
  <c r="DD22" i="10"/>
  <c r="DD22" i="7" s="1"/>
  <c r="DC22" i="10"/>
  <c r="DC22" i="7" s="1"/>
  <c r="DA22" i="10"/>
  <c r="DA22" i="7" s="1"/>
  <c r="CZ22" i="10"/>
  <c r="CZ22" i="7" s="1"/>
  <c r="CX22" i="10"/>
  <c r="CX22" i="7" s="1"/>
  <c r="CW22" i="10"/>
  <c r="CW22" i="7" s="1"/>
  <c r="CU22" i="10"/>
  <c r="CU22" i="7" s="1"/>
  <c r="CT22" i="10"/>
  <c r="CT22" i="7" s="1"/>
  <c r="CR22" i="10"/>
  <c r="CR22" i="7" s="1"/>
  <c r="CQ22" i="10"/>
  <c r="CQ22" i="7" s="1"/>
  <c r="CO22" i="10"/>
  <c r="CO22" i="7" s="1"/>
  <c r="CN22" i="10"/>
  <c r="CN22" i="7" s="1"/>
  <c r="CL22" i="10"/>
  <c r="CL22" i="7" s="1"/>
  <c r="CK22" i="10"/>
  <c r="CK22" i="7" s="1"/>
  <c r="CI22" i="10"/>
  <c r="CI22" i="7" s="1"/>
  <c r="CH22" i="10"/>
  <c r="CH22" i="7" s="1"/>
  <c r="CF22" i="10"/>
  <c r="CF22" i="7" s="1"/>
  <c r="CE22" i="10"/>
  <c r="CE22" i="7" s="1"/>
  <c r="CC22" i="10"/>
  <c r="CC22" i="7" s="1"/>
  <c r="CB22" i="10"/>
  <c r="CB22" i="7" s="1"/>
  <c r="BZ22" i="10"/>
  <c r="BZ22" i="7" s="1"/>
  <c r="BY22" i="10"/>
  <c r="BY22" i="7" s="1"/>
  <c r="BW22" i="10"/>
  <c r="BW22" i="7" s="1"/>
  <c r="BV22" i="10"/>
  <c r="BV22" i="7" s="1"/>
  <c r="BT22" i="10"/>
  <c r="BT22" i="7" s="1"/>
  <c r="BS22" i="10"/>
  <c r="BS22" i="7" s="1"/>
  <c r="BQ22" i="10"/>
  <c r="BQ22" i="7" s="1"/>
  <c r="BP22" i="10"/>
  <c r="BP22" i="7" s="1"/>
  <c r="BN22" i="10"/>
  <c r="BN22" i="7" s="1"/>
  <c r="BM22" i="10"/>
  <c r="BM22" i="7" s="1"/>
  <c r="BK22" i="10"/>
  <c r="BK22" i="7" s="1"/>
  <c r="BJ22" i="10"/>
  <c r="BJ22" i="7" s="1"/>
  <c r="BH22" i="10"/>
  <c r="BH22" i="7" s="1"/>
  <c r="BG22" i="10"/>
  <c r="BG22" i="7" s="1"/>
  <c r="BE22" i="10"/>
  <c r="BE22" i="7" s="1"/>
  <c r="BD22" i="10"/>
  <c r="BD22" i="7" s="1"/>
  <c r="BB22" i="10"/>
  <c r="BB22" i="7" s="1"/>
  <c r="BA22" i="10"/>
  <c r="BA22" i="7" s="1"/>
  <c r="AY22" i="10"/>
  <c r="AY22" i="7" s="1"/>
  <c r="AX22" i="10"/>
  <c r="AX22" i="7" s="1"/>
  <c r="AV22" i="10"/>
  <c r="AV22" i="7" s="1"/>
  <c r="AU22" i="10"/>
  <c r="AU22" i="7" s="1"/>
  <c r="AS22" i="10"/>
  <c r="AS22" i="7" s="1"/>
  <c r="AR22" i="10"/>
  <c r="AR22" i="7" s="1"/>
  <c r="AP22" i="10"/>
  <c r="AP22" i="7" s="1"/>
  <c r="AO22" i="10"/>
  <c r="AO22" i="7" s="1"/>
  <c r="AM22" i="10"/>
  <c r="AM22" i="7" s="1"/>
  <c r="AL22" i="10"/>
  <c r="AL22" i="7" s="1"/>
  <c r="AJ22" i="10"/>
  <c r="AJ22" i="7" s="1"/>
  <c r="AI22" i="10"/>
  <c r="AI22" i="7" s="1"/>
  <c r="AG22" i="10"/>
  <c r="AG22" i="7" s="1"/>
  <c r="AF22" i="10"/>
  <c r="AF22" i="7" s="1"/>
  <c r="AD22" i="10"/>
  <c r="AD22" i="7" s="1"/>
  <c r="AC22" i="10"/>
  <c r="AC22" i="7" s="1"/>
  <c r="AA22" i="10"/>
  <c r="AA22" i="7" s="1"/>
  <c r="Z22" i="10"/>
  <c r="Z22" i="7" s="1"/>
  <c r="X22" i="10"/>
  <c r="X22" i="7" s="1"/>
  <c r="W22" i="10"/>
  <c r="W22" i="7" s="1"/>
  <c r="U22" i="10"/>
  <c r="U22" i="7" s="1"/>
  <c r="T22" i="10"/>
  <c r="T22" i="7" s="1"/>
  <c r="R22" i="10"/>
  <c r="R22" i="7" s="1"/>
  <c r="Q22" i="10"/>
  <c r="Q22" i="7" s="1"/>
  <c r="O22" i="10"/>
  <c r="O22" i="7" s="1"/>
  <c r="N22" i="10"/>
  <c r="N22" i="7" s="1"/>
  <c r="L22" i="10"/>
  <c r="L22" i="7" s="1"/>
  <c r="K22" i="10"/>
  <c r="K22" i="7" s="1"/>
  <c r="I22" i="10"/>
  <c r="I22" i="7" s="1"/>
  <c r="H22" i="10"/>
  <c r="H22" i="7" s="1"/>
  <c r="F22" i="10"/>
  <c r="F22" i="7" s="1"/>
  <c r="E22" i="10"/>
  <c r="E22" i="7" s="1"/>
  <c r="C22" i="10"/>
  <c r="C22" i="7" s="1"/>
  <c r="B22" i="10"/>
  <c r="B22" i="7" s="1"/>
  <c r="A22" i="10"/>
  <c r="A22" i="7" s="1"/>
  <c r="HH21" i="10"/>
  <c r="HG21" i="10"/>
  <c r="HE21" i="10"/>
  <c r="HD21" i="10"/>
  <c r="HB21" i="10"/>
  <c r="HA21" i="10"/>
  <c r="GY21" i="10"/>
  <c r="GX21" i="10"/>
  <c r="GV21" i="10"/>
  <c r="GU21" i="10"/>
  <c r="GS21" i="10"/>
  <c r="GR21" i="10"/>
  <c r="GP21" i="10"/>
  <c r="GO21" i="10"/>
  <c r="GM21" i="10"/>
  <c r="GL21" i="10"/>
  <c r="GJ21" i="10"/>
  <c r="GI21" i="10"/>
  <c r="GG21" i="10"/>
  <c r="GF21" i="10"/>
  <c r="GD21" i="10"/>
  <c r="GC21" i="10"/>
  <c r="GA21" i="10"/>
  <c r="FZ21" i="10"/>
  <c r="FX21" i="10"/>
  <c r="FW21" i="10"/>
  <c r="FU21" i="10"/>
  <c r="FT21" i="10"/>
  <c r="FR21" i="10"/>
  <c r="FQ21" i="10"/>
  <c r="FO21" i="10"/>
  <c r="FN21" i="10"/>
  <c r="FL21" i="10"/>
  <c r="FK21" i="10"/>
  <c r="FI21" i="10"/>
  <c r="FH21" i="10"/>
  <c r="FF21" i="10"/>
  <c r="FF21" i="7" s="1"/>
  <c r="FE21" i="10"/>
  <c r="FE21" i="7" s="1"/>
  <c r="FC21" i="10"/>
  <c r="FC21" i="7" s="1"/>
  <c r="FB21" i="10"/>
  <c r="FB21" i="7" s="1"/>
  <c r="EZ21" i="10"/>
  <c r="EZ21" i="7" s="1"/>
  <c r="EY21" i="10"/>
  <c r="EY21" i="7" s="1"/>
  <c r="EW21" i="10"/>
  <c r="EW21" i="7" s="1"/>
  <c r="EV21" i="10"/>
  <c r="EV21" i="7" s="1"/>
  <c r="ET21" i="10"/>
  <c r="ET21" i="7" s="1"/>
  <c r="ES21" i="10"/>
  <c r="ES21" i="7" s="1"/>
  <c r="EQ21" i="10"/>
  <c r="EQ21" i="7" s="1"/>
  <c r="EP21" i="10"/>
  <c r="EP21" i="7" s="1"/>
  <c r="EN21" i="10"/>
  <c r="EN21" i="7" s="1"/>
  <c r="EM21" i="10"/>
  <c r="EM21" i="7" s="1"/>
  <c r="EK21" i="10"/>
  <c r="EK21" i="7" s="1"/>
  <c r="EJ21" i="10"/>
  <c r="EJ21" i="7" s="1"/>
  <c r="EH21" i="10"/>
  <c r="EH21" i="7" s="1"/>
  <c r="EG21" i="10"/>
  <c r="EG21" i="7" s="1"/>
  <c r="EE21" i="10"/>
  <c r="EE21" i="7" s="1"/>
  <c r="ED21" i="10"/>
  <c r="ED21" i="7" s="1"/>
  <c r="EB21" i="10"/>
  <c r="EB21" i="7" s="1"/>
  <c r="EA21" i="10"/>
  <c r="EA21" i="7" s="1"/>
  <c r="DY21" i="10"/>
  <c r="DY21" i="7" s="1"/>
  <c r="DX21" i="10"/>
  <c r="DX21" i="7" s="1"/>
  <c r="DV21" i="10"/>
  <c r="DV21" i="7" s="1"/>
  <c r="DU21" i="10"/>
  <c r="DU21" i="7" s="1"/>
  <c r="DS21" i="10"/>
  <c r="DS21" i="7" s="1"/>
  <c r="DR21" i="10"/>
  <c r="DR21" i="7" s="1"/>
  <c r="DP21" i="10"/>
  <c r="DP21" i="7" s="1"/>
  <c r="DO21" i="10"/>
  <c r="DO21" i="7" s="1"/>
  <c r="DM21" i="10"/>
  <c r="DM21" i="7" s="1"/>
  <c r="DL21" i="10"/>
  <c r="DL21" i="7" s="1"/>
  <c r="DJ21" i="10"/>
  <c r="DJ21" i="7" s="1"/>
  <c r="DI21" i="10"/>
  <c r="DI21" i="7" s="1"/>
  <c r="DG21" i="10"/>
  <c r="DG21" i="7" s="1"/>
  <c r="DF21" i="10"/>
  <c r="DF21" i="7" s="1"/>
  <c r="DD21" i="10"/>
  <c r="DD21" i="7" s="1"/>
  <c r="DC21" i="10"/>
  <c r="DC21" i="7" s="1"/>
  <c r="DA21" i="10"/>
  <c r="DA21" i="7" s="1"/>
  <c r="CZ21" i="10"/>
  <c r="CZ21" i="7" s="1"/>
  <c r="CX21" i="10"/>
  <c r="CX21" i="7" s="1"/>
  <c r="CW21" i="10"/>
  <c r="CW21" i="7" s="1"/>
  <c r="CU21" i="10"/>
  <c r="CU21" i="7" s="1"/>
  <c r="CT21" i="10"/>
  <c r="CT21" i="7" s="1"/>
  <c r="CR21" i="10"/>
  <c r="CR21" i="7" s="1"/>
  <c r="CQ21" i="10"/>
  <c r="CQ21" i="7" s="1"/>
  <c r="CO21" i="10"/>
  <c r="CO21" i="7" s="1"/>
  <c r="CN21" i="10"/>
  <c r="CN21" i="7" s="1"/>
  <c r="CL21" i="10"/>
  <c r="CL21" i="7" s="1"/>
  <c r="CK21" i="10"/>
  <c r="CK21" i="7" s="1"/>
  <c r="CI21" i="10"/>
  <c r="CI21" i="7" s="1"/>
  <c r="CH21" i="10"/>
  <c r="CH21" i="7" s="1"/>
  <c r="CF21" i="10"/>
  <c r="CF21" i="7" s="1"/>
  <c r="CE21" i="10"/>
  <c r="CE21" i="7" s="1"/>
  <c r="CC21" i="10"/>
  <c r="CC21" i="7" s="1"/>
  <c r="CB21" i="10"/>
  <c r="CB21" i="7" s="1"/>
  <c r="BZ21" i="10"/>
  <c r="BZ21" i="7" s="1"/>
  <c r="BY21" i="10"/>
  <c r="BY21" i="7" s="1"/>
  <c r="BW21" i="10"/>
  <c r="BW21" i="7" s="1"/>
  <c r="BV21" i="10"/>
  <c r="BV21" i="7" s="1"/>
  <c r="BT21" i="10"/>
  <c r="BT21" i="7" s="1"/>
  <c r="BS21" i="10"/>
  <c r="BS21" i="7" s="1"/>
  <c r="BQ21" i="10"/>
  <c r="BQ21" i="7" s="1"/>
  <c r="BP21" i="10"/>
  <c r="BP21" i="7" s="1"/>
  <c r="BN21" i="10"/>
  <c r="BN21" i="7" s="1"/>
  <c r="BM21" i="10"/>
  <c r="BM21" i="7" s="1"/>
  <c r="BK21" i="10"/>
  <c r="BK21" i="7" s="1"/>
  <c r="BJ21" i="10"/>
  <c r="BJ21" i="7" s="1"/>
  <c r="BH21" i="10"/>
  <c r="BH21" i="7" s="1"/>
  <c r="BG21" i="10"/>
  <c r="BG21" i="7" s="1"/>
  <c r="BE21" i="10"/>
  <c r="BE21" i="7" s="1"/>
  <c r="BD21" i="10"/>
  <c r="BD21" i="7" s="1"/>
  <c r="BB21" i="10"/>
  <c r="BB21" i="7" s="1"/>
  <c r="BA21" i="10"/>
  <c r="BA21" i="7" s="1"/>
  <c r="AY21" i="10"/>
  <c r="AY21" i="7" s="1"/>
  <c r="AX21" i="10"/>
  <c r="AX21" i="7" s="1"/>
  <c r="AV21" i="10"/>
  <c r="AV21" i="7" s="1"/>
  <c r="AU21" i="10"/>
  <c r="AU21" i="7" s="1"/>
  <c r="AS21" i="10"/>
  <c r="AS21" i="7" s="1"/>
  <c r="AR21" i="10"/>
  <c r="AR21" i="7" s="1"/>
  <c r="AP21" i="10"/>
  <c r="AP21" i="7" s="1"/>
  <c r="AO21" i="10"/>
  <c r="AO21" i="7" s="1"/>
  <c r="AM21" i="10"/>
  <c r="AM21" i="7" s="1"/>
  <c r="AL21" i="10"/>
  <c r="AL21" i="7" s="1"/>
  <c r="AJ21" i="10"/>
  <c r="AJ21" i="7" s="1"/>
  <c r="AI21" i="10"/>
  <c r="AI21" i="7" s="1"/>
  <c r="AG21" i="10"/>
  <c r="AG21" i="7" s="1"/>
  <c r="AF21" i="10"/>
  <c r="AF21" i="7" s="1"/>
  <c r="AD21" i="10"/>
  <c r="AD21" i="7" s="1"/>
  <c r="AC21" i="10"/>
  <c r="AC21" i="7" s="1"/>
  <c r="AA21" i="10"/>
  <c r="AA21" i="7" s="1"/>
  <c r="Z21" i="10"/>
  <c r="Z21" i="7" s="1"/>
  <c r="X21" i="10"/>
  <c r="X21" i="7" s="1"/>
  <c r="W21" i="10"/>
  <c r="W21" i="7" s="1"/>
  <c r="U21" i="10"/>
  <c r="U21" i="7" s="1"/>
  <c r="T21" i="10"/>
  <c r="T21" i="7" s="1"/>
  <c r="R21" i="10"/>
  <c r="R21" i="7" s="1"/>
  <c r="Q21" i="10"/>
  <c r="Q21" i="7" s="1"/>
  <c r="O21" i="10"/>
  <c r="O21" i="7" s="1"/>
  <c r="N21" i="10"/>
  <c r="N21" i="7" s="1"/>
  <c r="L21" i="10"/>
  <c r="L21" i="7" s="1"/>
  <c r="K21" i="10"/>
  <c r="K21" i="7" s="1"/>
  <c r="I21" i="10"/>
  <c r="I21" i="7" s="1"/>
  <c r="H21" i="10"/>
  <c r="H21" i="7" s="1"/>
  <c r="F21" i="10"/>
  <c r="F21" i="7" s="1"/>
  <c r="E21" i="10"/>
  <c r="E21" i="7" s="1"/>
  <c r="C21" i="10"/>
  <c r="C21" i="7" s="1"/>
  <c r="B21" i="10"/>
  <c r="B21" i="7" s="1"/>
  <c r="A21" i="10"/>
  <c r="A21" i="7" s="1"/>
  <c r="HH20" i="10"/>
  <c r="HG20" i="10"/>
  <c r="HE20" i="10"/>
  <c r="HD20" i="10"/>
  <c r="HB20" i="10"/>
  <c r="HA20" i="10"/>
  <c r="GY20" i="10"/>
  <c r="GX20" i="10"/>
  <c r="GV20" i="10"/>
  <c r="GU20" i="10"/>
  <c r="GS20" i="10"/>
  <c r="GR20" i="10"/>
  <c r="GP20" i="10"/>
  <c r="GO20" i="10"/>
  <c r="GM20" i="10"/>
  <c r="GL20" i="10"/>
  <c r="GJ20" i="10"/>
  <c r="GI20" i="10"/>
  <c r="GG20" i="10"/>
  <c r="GF20" i="10"/>
  <c r="GD20" i="10"/>
  <c r="GC20" i="10"/>
  <c r="GA20" i="10"/>
  <c r="FZ20" i="10"/>
  <c r="FX20" i="10"/>
  <c r="FW20" i="10"/>
  <c r="FU20" i="10"/>
  <c r="FT20" i="10"/>
  <c r="FR20" i="10"/>
  <c r="FQ20" i="10"/>
  <c r="FO20" i="10"/>
  <c r="FN20" i="10"/>
  <c r="FL20" i="10"/>
  <c r="FK20" i="10"/>
  <c r="FI20" i="10"/>
  <c r="FH20" i="10"/>
  <c r="FF20" i="10"/>
  <c r="FF20" i="7" s="1"/>
  <c r="FE20" i="10"/>
  <c r="FE20" i="7" s="1"/>
  <c r="FC20" i="10"/>
  <c r="FC20" i="7" s="1"/>
  <c r="FB20" i="10"/>
  <c r="FB20" i="7" s="1"/>
  <c r="EZ20" i="10"/>
  <c r="EZ20" i="7" s="1"/>
  <c r="EY20" i="10"/>
  <c r="EY20" i="7" s="1"/>
  <c r="EW20" i="10"/>
  <c r="EW20" i="7" s="1"/>
  <c r="EV20" i="10"/>
  <c r="EV20" i="7" s="1"/>
  <c r="ET20" i="10"/>
  <c r="ET20" i="7" s="1"/>
  <c r="ES20" i="10"/>
  <c r="ES20" i="7" s="1"/>
  <c r="EQ20" i="10"/>
  <c r="EQ20" i="7" s="1"/>
  <c r="EP20" i="10"/>
  <c r="EP20" i="7" s="1"/>
  <c r="EN20" i="10"/>
  <c r="EN20" i="7" s="1"/>
  <c r="EM20" i="10"/>
  <c r="EM20" i="7" s="1"/>
  <c r="EK20" i="10"/>
  <c r="EK20" i="7" s="1"/>
  <c r="EJ20" i="10"/>
  <c r="EJ20" i="7" s="1"/>
  <c r="EH20" i="10"/>
  <c r="EH20" i="7" s="1"/>
  <c r="EG20" i="10"/>
  <c r="EG20" i="7" s="1"/>
  <c r="EE20" i="10"/>
  <c r="EE20" i="7" s="1"/>
  <c r="ED20" i="10"/>
  <c r="ED20" i="7" s="1"/>
  <c r="EB20" i="10"/>
  <c r="EB20" i="7" s="1"/>
  <c r="EA20" i="10"/>
  <c r="EA20" i="7" s="1"/>
  <c r="DY20" i="10"/>
  <c r="DY20" i="7" s="1"/>
  <c r="DX20" i="10"/>
  <c r="DX20" i="7" s="1"/>
  <c r="DV20" i="10"/>
  <c r="DV20" i="7" s="1"/>
  <c r="DU20" i="10"/>
  <c r="DU20" i="7" s="1"/>
  <c r="DS20" i="10"/>
  <c r="DS20" i="7" s="1"/>
  <c r="DR20" i="10"/>
  <c r="DR20" i="7" s="1"/>
  <c r="DP20" i="10"/>
  <c r="DP20" i="7" s="1"/>
  <c r="DO20" i="10"/>
  <c r="DO20" i="7" s="1"/>
  <c r="DM20" i="10"/>
  <c r="DM20" i="7" s="1"/>
  <c r="DL20" i="10"/>
  <c r="DL20" i="7" s="1"/>
  <c r="DJ20" i="10"/>
  <c r="DJ20" i="7" s="1"/>
  <c r="DI20" i="10"/>
  <c r="DI20" i="7" s="1"/>
  <c r="DG20" i="10"/>
  <c r="DG20" i="7" s="1"/>
  <c r="DF20" i="10"/>
  <c r="DF20" i="7" s="1"/>
  <c r="DD20" i="10"/>
  <c r="DD20" i="7" s="1"/>
  <c r="DC20" i="10"/>
  <c r="DC20" i="7" s="1"/>
  <c r="DA20" i="10"/>
  <c r="DA20" i="7" s="1"/>
  <c r="CZ20" i="10"/>
  <c r="CZ20" i="7" s="1"/>
  <c r="CX20" i="10"/>
  <c r="CX20" i="7" s="1"/>
  <c r="CW20" i="10"/>
  <c r="CW20" i="7" s="1"/>
  <c r="CU20" i="10"/>
  <c r="CU20" i="7" s="1"/>
  <c r="CT20" i="10"/>
  <c r="CT20" i="7" s="1"/>
  <c r="CR20" i="10"/>
  <c r="CR20" i="7" s="1"/>
  <c r="CQ20" i="10"/>
  <c r="CQ20" i="7" s="1"/>
  <c r="CO20" i="10"/>
  <c r="CO20" i="7" s="1"/>
  <c r="CN20" i="10"/>
  <c r="CN20" i="7" s="1"/>
  <c r="CL20" i="10"/>
  <c r="CL20" i="7" s="1"/>
  <c r="CK20" i="10"/>
  <c r="CK20" i="7" s="1"/>
  <c r="CI20" i="10"/>
  <c r="CI20" i="7" s="1"/>
  <c r="CH20" i="10"/>
  <c r="CH20" i="7" s="1"/>
  <c r="CF20" i="10"/>
  <c r="CF20" i="7" s="1"/>
  <c r="CE20" i="10"/>
  <c r="CE20" i="7" s="1"/>
  <c r="CC20" i="10"/>
  <c r="CC20" i="7" s="1"/>
  <c r="CB20" i="10"/>
  <c r="CB20" i="7" s="1"/>
  <c r="BZ20" i="10"/>
  <c r="BZ20" i="7" s="1"/>
  <c r="BY20" i="10"/>
  <c r="BY20" i="7" s="1"/>
  <c r="BW20" i="10"/>
  <c r="BW20" i="7" s="1"/>
  <c r="BV20" i="10"/>
  <c r="BV20" i="7" s="1"/>
  <c r="BT20" i="10"/>
  <c r="BT20" i="7" s="1"/>
  <c r="BS20" i="10"/>
  <c r="BS20" i="7" s="1"/>
  <c r="BQ20" i="10"/>
  <c r="BQ20" i="7" s="1"/>
  <c r="BP20" i="10"/>
  <c r="BP20" i="7" s="1"/>
  <c r="BN20" i="10"/>
  <c r="BN20" i="7" s="1"/>
  <c r="BM20" i="10"/>
  <c r="BM20" i="7" s="1"/>
  <c r="BK20" i="10"/>
  <c r="BK20" i="7" s="1"/>
  <c r="BJ20" i="10"/>
  <c r="BJ20" i="7" s="1"/>
  <c r="BH20" i="10"/>
  <c r="BH20" i="7" s="1"/>
  <c r="BG20" i="10"/>
  <c r="BG20" i="7" s="1"/>
  <c r="BE20" i="10"/>
  <c r="BE20" i="7" s="1"/>
  <c r="BD20" i="10"/>
  <c r="BD20" i="7" s="1"/>
  <c r="BB20" i="10"/>
  <c r="BB20" i="7" s="1"/>
  <c r="BA20" i="10"/>
  <c r="BA20" i="7" s="1"/>
  <c r="AY20" i="10"/>
  <c r="AY20" i="7" s="1"/>
  <c r="AX20" i="10"/>
  <c r="AX20" i="7" s="1"/>
  <c r="AV20" i="10"/>
  <c r="AV20" i="7" s="1"/>
  <c r="AU20" i="10"/>
  <c r="AU20" i="7" s="1"/>
  <c r="AS20" i="10"/>
  <c r="AS20" i="7" s="1"/>
  <c r="AR20" i="10"/>
  <c r="AR20" i="7" s="1"/>
  <c r="AP20" i="10"/>
  <c r="AP20" i="7" s="1"/>
  <c r="AO20" i="10"/>
  <c r="AO20" i="7" s="1"/>
  <c r="AM20" i="10"/>
  <c r="AM20" i="7" s="1"/>
  <c r="AL20" i="10"/>
  <c r="AL20" i="7" s="1"/>
  <c r="AJ20" i="10"/>
  <c r="AJ20" i="7" s="1"/>
  <c r="AI20" i="10"/>
  <c r="AI20" i="7" s="1"/>
  <c r="AG20" i="10"/>
  <c r="AG20" i="7" s="1"/>
  <c r="AF20" i="10"/>
  <c r="AF20" i="7" s="1"/>
  <c r="AD20" i="10"/>
  <c r="AD20" i="7" s="1"/>
  <c r="AC20" i="10"/>
  <c r="AC20" i="7" s="1"/>
  <c r="AA20" i="10"/>
  <c r="AA20" i="7" s="1"/>
  <c r="Z20" i="10"/>
  <c r="Z20" i="7" s="1"/>
  <c r="X20" i="10"/>
  <c r="X20" i="7" s="1"/>
  <c r="W20" i="10"/>
  <c r="W20" i="7" s="1"/>
  <c r="U20" i="10"/>
  <c r="U20" i="7" s="1"/>
  <c r="T20" i="10"/>
  <c r="T20" i="7" s="1"/>
  <c r="R20" i="10"/>
  <c r="R20" i="7" s="1"/>
  <c r="Q20" i="10"/>
  <c r="Q20" i="7" s="1"/>
  <c r="O20" i="10"/>
  <c r="O20" i="7" s="1"/>
  <c r="N20" i="10"/>
  <c r="N20" i="7" s="1"/>
  <c r="L20" i="10"/>
  <c r="L20" i="7" s="1"/>
  <c r="K20" i="10"/>
  <c r="K20" i="7" s="1"/>
  <c r="I20" i="10"/>
  <c r="I20" i="7" s="1"/>
  <c r="H20" i="10"/>
  <c r="H20" i="7" s="1"/>
  <c r="F20" i="10"/>
  <c r="F20" i="7" s="1"/>
  <c r="E20" i="10"/>
  <c r="E20" i="7" s="1"/>
  <c r="C20" i="10"/>
  <c r="C20" i="7" s="1"/>
  <c r="B20" i="10"/>
  <c r="B20" i="7" s="1"/>
  <c r="A20" i="10"/>
  <c r="A20" i="7" s="1"/>
  <c r="HH19" i="10"/>
  <c r="HG19" i="10"/>
  <c r="HE19" i="10"/>
  <c r="HD19" i="10"/>
  <c r="HB19" i="10"/>
  <c r="HA19" i="10"/>
  <c r="GY19" i="10"/>
  <c r="GX19" i="10"/>
  <c r="GV19" i="10"/>
  <c r="GU19" i="10"/>
  <c r="GS19" i="10"/>
  <c r="GR19" i="10"/>
  <c r="GP19" i="10"/>
  <c r="GO19" i="10"/>
  <c r="GM19" i="10"/>
  <c r="GL19" i="10"/>
  <c r="GJ19" i="10"/>
  <c r="GI19" i="10"/>
  <c r="GG19" i="10"/>
  <c r="GF19" i="10"/>
  <c r="GD19" i="10"/>
  <c r="GC19" i="10"/>
  <c r="GA19" i="10"/>
  <c r="FZ19" i="10"/>
  <c r="FX19" i="10"/>
  <c r="FW19" i="10"/>
  <c r="FU19" i="10"/>
  <c r="FT19" i="10"/>
  <c r="FR19" i="10"/>
  <c r="FQ19" i="10"/>
  <c r="FO19" i="10"/>
  <c r="FN19" i="10"/>
  <c r="FL19" i="10"/>
  <c r="FK19" i="10"/>
  <c r="FI19" i="10"/>
  <c r="FH19" i="10"/>
  <c r="FF19" i="10"/>
  <c r="FF19" i="7" s="1"/>
  <c r="FE19" i="10"/>
  <c r="FE19" i="7" s="1"/>
  <c r="FC19" i="10"/>
  <c r="FC19" i="7" s="1"/>
  <c r="FB19" i="10"/>
  <c r="FB19" i="7" s="1"/>
  <c r="EZ19" i="10"/>
  <c r="EZ19" i="7" s="1"/>
  <c r="EY19" i="10"/>
  <c r="EY19" i="7" s="1"/>
  <c r="EW19" i="10"/>
  <c r="EW19" i="7" s="1"/>
  <c r="EV19" i="10"/>
  <c r="EV19" i="7" s="1"/>
  <c r="ET19" i="10"/>
  <c r="ET19" i="7" s="1"/>
  <c r="ES19" i="10"/>
  <c r="ES19" i="7" s="1"/>
  <c r="EQ19" i="10"/>
  <c r="EQ19" i="7" s="1"/>
  <c r="EP19" i="10"/>
  <c r="EP19" i="7" s="1"/>
  <c r="EN19" i="10"/>
  <c r="EN19" i="7" s="1"/>
  <c r="EM19" i="10"/>
  <c r="EM19" i="7" s="1"/>
  <c r="EK19" i="10"/>
  <c r="EK19" i="7" s="1"/>
  <c r="EJ19" i="10"/>
  <c r="EJ19" i="7" s="1"/>
  <c r="EH19" i="10"/>
  <c r="EH19" i="7" s="1"/>
  <c r="EG19" i="10"/>
  <c r="EG19" i="7" s="1"/>
  <c r="EE19" i="10"/>
  <c r="EE19" i="7" s="1"/>
  <c r="ED19" i="10"/>
  <c r="ED19" i="7" s="1"/>
  <c r="EB19" i="10"/>
  <c r="EB19" i="7" s="1"/>
  <c r="EA19" i="10"/>
  <c r="EA19" i="7" s="1"/>
  <c r="DY19" i="10"/>
  <c r="DY19" i="7" s="1"/>
  <c r="DX19" i="10"/>
  <c r="DX19" i="7" s="1"/>
  <c r="DV19" i="10"/>
  <c r="DV19" i="7" s="1"/>
  <c r="DU19" i="10"/>
  <c r="DU19" i="7" s="1"/>
  <c r="DS19" i="10"/>
  <c r="DS19" i="7" s="1"/>
  <c r="DR19" i="10"/>
  <c r="DR19" i="7" s="1"/>
  <c r="DP19" i="10"/>
  <c r="DP19" i="7" s="1"/>
  <c r="DO19" i="10"/>
  <c r="DO19" i="7" s="1"/>
  <c r="DM19" i="10"/>
  <c r="DM19" i="7" s="1"/>
  <c r="DL19" i="10"/>
  <c r="DL19" i="7" s="1"/>
  <c r="DJ19" i="10"/>
  <c r="DJ19" i="7" s="1"/>
  <c r="DI19" i="10"/>
  <c r="DI19" i="7" s="1"/>
  <c r="DG19" i="10"/>
  <c r="DG19" i="7" s="1"/>
  <c r="DF19" i="10"/>
  <c r="DF19" i="7" s="1"/>
  <c r="DD19" i="10"/>
  <c r="DD19" i="7" s="1"/>
  <c r="DC19" i="10"/>
  <c r="DC19" i="7" s="1"/>
  <c r="DA19" i="10"/>
  <c r="DA19" i="7" s="1"/>
  <c r="CZ19" i="10"/>
  <c r="CZ19" i="7" s="1"/>
  <c r="CX19" i="10"/>
  <c r="CX19" i="7" s="1"/>
  <c r="CW19" i="10"/>
  <c r="CW19" i="7" s="1"/>
  <c r="CU19" i="10"/>
  <c r="CU19" i="7" s="1"/>
  <c r="CT19" i="10"/>
  <c r="CT19" i="7" s="1"/>
  <c r="CR19" i="10"/>
  <c r="CR19" i="7" s="1"/>
  <c r="CQ19" i="10"/>
  <c r="CQ19" i="7" s="1"/>
  <c r="CO19" i="10"/>
  <c r="CO19" i="7" s="1"/>
  <c r="CN19" i="10"/>
  <c r="CN19" i="7" s="1"/>
  <c r="CL19" i="10"/>
  <c r="CL19" i="7" s="1"/>
  <c r="CK19" i="10"/>
  <c r="CK19" i="7" s="1"/>
  <c r="CI19" i="10"/>
  <c r="CI19" i="7" s="1"/>
  <c r="CH19" i="10"/>
  <c r="CH19" i="7" s="1"/>
  <c r="CF19" i="10"/>
  <c r="CF19" i="7" s="1"/>
  <c r="CE19" i="10"/>
  <c r="CE19" i="7" s="1"/>
  <c r="CC19" i="10"/>
  <c r="CC19" i="7" s="1"/>
  <c r="CB19" i="10"/>
  <c r="CB19" i="7" s="1"/>
  <c r="BZ19" i="10"/>
  <c r="BZ19" i="7" s="1"/>
  <c r="BY19" i="10"/>
  <c r="BY19" i="7" s="1"/>
  <c r="BW19" i="10"/>
  <c r="BW19" i="7" s="1"/>
  <c r="BV19" i="10"/>
  <c r="BV19" i="7" s="1"/>
  <c r="BT19" i="10"/>
  <c r="BT19" i="7" s="1"/>
  <c r="BS19" i="10"/>
  <c r="BS19" i="7" s="1"/>
  <c r="BQ19" i="10"/>
  <c r="BQ19" i="7" s="1"/>
  <c r="BP19" i="10"/>
  <c r="BP19" i="7" s="1"/>
  <c r="BN19" i="10"/>
  <c r="BN19" i="7" s="1"/>
  <c r="BM19" i="10"/>
  <c r="BM19" i="7" s="1"/>
  <c r="BK19" i="10"/>
  <c r="BK19" i="7" s="1"/>
  <c r="BJ19" i="10"/>
  <c r="BJ19" i="7" s="1"/>
  <c r="BH19" i="10"/>
  <c r="BH19" i="7" s="1"/>
  <c r="BG19" i="10"/>
  <c r="BG19" i="7" s="1"/>
  <c r="BE19" i="10"/>
  <c r="BE19" i="7" s="1"/>
  <c r="BD19" i="10"/>
  <c r="BD19" i="7" s="1"/>
  <c r="BB19" i="10"/>
  <c r="BB19" i="7" s="1"/>
  <c r="BA19" i="10"/>
  <c r="BA19" i="7" s="1"/>
  <c r="AY19" i="10"/>
  <c r="AY19" i="7" s="1"/>
  <c r="AX19" i="10"/>
  <c r="AX19" i="7" s="1"/>
  <c r="AV19" i="10"/>
  <c r="AV19" i="7" s="1"/>
  <c r="AU19" i="10"/>
  <c r="AU19" i="7" s="1"/>
  <c r="AS19" i="10"/>
  <c r="AS19" i="7" s="1"/>
  <c r="AR19" i="10"/>
  <c r="AR19" i="7" s="1"/>
  <c r="AP19" i="10"/>
  <c r="AP19" i="7" s="1"/>
  <c r="AO19" i="10"/>
  <c r="AO19" i="7" s="1"/>
  <c r="AM19" i="10"/>
  <c r="AM19" i="7" s="1"/>
  <c r="AL19" i="10"/>
  <c r="AL19" i="7" s="1"/>
  <c r="AJ19" i="10"/>
  <c r="AJ19" i="7" s="1"/>
  <c r="AI19" i="10"/>
  <c r="AI19" i="7" s="1"/>
  <c r="AG19" i="10"/>
  <c r="AG19" i="7" s="1"/>
  <c r="AF19" i="10"/>
  <c r="AF19" i="7" s="1"/>
  <c r="AD19" i="10"/>
  <c r="AD19" i="7" s="1"/>
  <c r="AC19" i="10"/>
  <c r="AC19" i="7" s="1"/>
  <c r="AA19" i="10"/>
  <c r="AA19" i="7" s="1"/>
  <c r="Z19" i="10"/>
  <c r="Z19" i="7" s="1"/>
  <c r="X19" i="10"/>
  <c r="X19" i="7" s="1"/>
  <c r="W19" i="10"/>
  <c r="W19" i="7" s="1"/>
  <c r="U19" i="10"/>
  <c r="U19" i="7" s="1"/>
  <c r="T19" i="10"/>
  <c r="T19" i="7" s="1"/>
  <c r="R19" i="10"/>
  <c r="R19" i="7" s="1"/>
  <c r="Q19" i="10"/>
  <c r="Q19" i="7" s="1"/>
  <c r="O19" i="10"/>
  <c r="O19" i="7" s="1"/>
  <c r="N19" i="10"/>
  <c r="N19" i="7" s="1"/>
  <c r="L19" i="10"/>
  <c r="L19" i="7" s="1"/>
  <c r="K19" i="10"/>
  <c r="K19" i="7" s="1"/>
  <c r="I19" i="10"/>
  <c r="I19" i="7" s="1"/>
  <c r="H19" i="10"/>
  <c r="H19" i="7" s="1"/>
  <c r="F19" i="10"/>
  <c r="F19" i="7" s="1"/>
  <c r="E19" i="10"/>
  <c r="E19" i="7" s="1"/>
  <c r="C19" i="10"/>
  <c r="C19" i="7" s="1"/>
  <c r="B19" i="10"/>
  <c r="B19" i="7" s="1"/>
  <c r="A19" i="10"/>
  <c r="A19" i="7" s="1"/>
  <c r="HH18" i="10"/>
  <c r="HG18" i="10"/>
  <c r="HE18" i="10"/>
  <c r="HD18" i="10"/>
  <c r="HB18" i="10"/>
  <c r="HA18" i="10"/>
  <c r="GY18" i="10"/>
  <c r="GX18" i="10"/>
  <c r="GV18" i="10"/>
  <c r="GU18" i="10"/>
  <c r="GS18" i="10"/>
  <c r="GR18" i="10"/>
  <c r="GP18" i="10"/>
  <c r="GO18" i="10"/>
  <c r="GM18" i="10"/>
  <c r="GL18" i="10"/>
  <c r="GJ18" i="10"/>
  <c r="GI18" i="10"/>
  <c r="GG18" i="10"/>
  <c r="GF18" i="10"/>
  <c r="GD18" i="10"/>
  <c r="GC18" i="10"/>
  <c r="GA18" i="10"/>
  <c r="FZ18" i="10"/>
  <c r="FX18" i="10"/>
  <c r="FW18" i="10"/>
  <c r="FU18" i="10"/>
  <c r="FT18" i="10"/>
  <c r="FR18" i="10"/>
  <c r="FQ18" i="10"/>
  <c r="FO18" i="10"/>
  <c r="FN18" i="10"/>
  <c r="FL18" i="10"/>
  <c r="FK18" i="10"/>
  <c r="FI18" i="10"/>
  <c r="FH18" i="10"/>
  <c r="FF18" i="10"/>
  <c r="FF18" i="7" s="1"/>
  <c r="FE18" i="10"/>
  <c r="FE18" i="7" s="1"/>
  <c r="FC18" i="10"/>
  <c r="FC18" i="7" s="1"/>
  <c r="FB18" i="10"/>
  <c r="FB18" i="7" s="1"/>
  <c r="EZ18" i="10"/>
  <c r="EZ18" i="7" s="1"/>
  <c r="EY18" i="10"/>
  <c r="EY18" i="7" s="1"/>
  <c r="EW18" i="10"/>
  <c r="EW18" i="7" s="1"/>
  <c r="EV18" i="10"/>
  <c r="EV18" i="7" s="1"/>
  <c r="ET18" i="10"/>
  <c r="ET18" i="7" s="1"/>
  <c r="ES18" i="10"/>
  <c r="ES18" i="7" s="1"/>
  <c r="EQ18" i="10"/>
  <c r="EQ18" i="7" s="1"/>
  <c r="EP18" i="10"/>
  <c r="EP18" i="7" s="1"/>
  <c r="EN18" i="10"/>
  <c r="EN18" i="7" s="1"/>
  <c r="EM18" i="10"/>
  <c r="EM18" i="7" s="1"/>
  <c r="EK18" i="10"/>
  <c r="EK18" i="7" s="1"/>
  <c r="EJ18" i="10"/>
  <c r="EJ18" i="7" s="1"/>
  <c r="EH18" i="10"/>
  <c r="EH18" i="7" s="1"/>
  <c r="EG18" i="10"/>
  <c r="EG18" i="7" s="1"/>
  <c r="EE18" i="10"/>
  <c r="EE18" i="7" s="1"/>
  <c r="ED18" i="10"/>
  <c r="ED18" i="7" s="1"/>
  <c r="EB18" i="10"/>
  <c r="EB18" i="7" s="1"/>
  <c r="EA18" i="10"/>
  <c r="EA18" i="7" s="1"/>
  <c r="DY18" i="10"/>
  <c r="DY18" i="7" s="1"/>
  <c r="DX18" i="10"/>
  <c r="DX18" i="7" s="1"/>
  <c r="DV18" i="10"/>
  <c r="DV18" i="7" s="1"/>
  <c r="DU18" i="10"/>
  <c r="DU18" i="7" s="1"/>
  <c r="DS18" i="10"/>
  <c r="DS18" i="7" s="1"/>
  <c r="DR18" i="10"/>
  <c r="DR18" i="7" s="1"/>
  <c r="DP18" i="10"/>
  <c r="DP18" i="7" s="1"/>
  <c r="DO18" i="10"/>
  <c r="DO18" i="7" s="1"/>
  <c r="DM18" i="10"/>
  <c r="DM18" i="7" s="1"/>
  <c r="DL18" i="10"/>
  <c r="DL18" i="7" s="1"/>
  <c r="DJ18" i="10"/>
  <c r="DJ18" i="7" s="1"/>
  <c r="DI18" i="10"/>
  <c r="DI18" i="7" s="1"/>
  <c r="DG18" i="10"/>
  <c r="DG18" i="7" s="1"/>
  <c r="DF18" i="10"/>
  <c r="DF18" i="7" s="1"/>
  <c r="DD18" i="10"/>
  <c r="DD18" i="7" s="1"/>
  <c r="DC18" i="10"/>
  <c r="DC18" i="7" s="1"/>
  <c r="DA18" i="10"/>
  <c r="DA18" i="7" s="1"/>
  <c r="CZ18" i="10"/>
  <c r="CZ18" i="7" s="1"/>
  <c r="CX18" i="10"/>
  <c r="CX18" i="7" s="1"/>
  <c r="CW18" i="10"/>
  <c r="CW18" i="7" s="1"/>
  <c r="CU18" i="10"/>
  <c r="CU18" i="7" s="1"/>
  <c r="CT18" i="10"/>
  <c r="CT18" i="7" s="1"/>
  <c r="CR18" i="10"/>
  <c r="CR18" i="7" s="1"/>
  <c r="CQ18" i="10"/>
  <c r="CQ18" i="7" s="1"/>
  <c r="CO18" i="10"/>
  <c r="CO18" i="7" s="1"/>
  <c r="CN18" i="10"/>
  <c r="CN18" i="7" s="1"/>
  <c r="CL18" i="10"/>
  <c r="CL18" i="7" s="1"/>
  <c r="CK18" i="10"/>
  <c r="CK18" i="7" s="1"/>
  <c r="CI18" i="10"/>
  <c r="CI18" i="7" s="1"/>
  <c r="CH18" i="10"/>
  <c r="CH18" i="7" s="1"/>
  <c r="CF18" i="10"/>
  <c r="CF18" i="7" s="1"/>
  <c r="CE18" i="10"/>
  <c r="CE18" i="7" s="1"/>
  <c r="CC18" i="10"/>
  <c r="CC18" i="7" s="1"/>
  <c r="CB18" i="10"/>
  <c r="CB18" i="7" s="1"/>
  <c r="BZ18" i="10"/>
  <c r="BZ18" i="7" s="1"/>
  <c r="BY18" i="10"/>
  <c r="BY18" i="7" s="1"/>
  <c r="BW18" i="10"/>
  <c r="BW18" i="7" s="1"/>
  <c r="BV18" i="10"/>
  <c r="BV18" i="7" s="1"/>
  <c r="BT18" i="10"/>
  <c r="BT18" i="7" s="1"/>
  <c r="BS18" i="10"/>
  <c r="BS18" i="7" s="1"/>
  <c r="BQ18" i="10"/>
  <c r="BQ18" i="7" s="1"/>
  <c r="BP18" i="10"/>
  <c r="BP18" i="7" s="1"/>
  <c r="BN18" i="10"/>
  <c r="BN18" i="7" s="1"/>
  <c r="BM18" i="10"/>
  <c r="BM18" i="7" s="1"/>
  <c r="BK18" i="10"/>
  <c r="BK18" i="7" s="1"/>
  <c r="BJ18" i="10"/>
  <c r="BJ18" i="7" s="1"/>
  <c r="BH18" i="10"/>
  <c r="BH18" i="7" s="1"/>
  <c r="BG18" i="10"/>
  <c r="BG18" i="7" s="1"/>
  <c r="BE18" i="10"/>
  <c r="BE18" i="7" s="1"/>
  <c r="BD18" i="10"/>
  <c r="BD18" i="7" s="1"/>
  <c r="BB18" i="10"/>
  <c r="BB18" i="7" s="1"/>
  <c r="BA18" i="10"/>
  <c r="BA18" i="7" s="1"/>
  <c r="AY18" i="10"/>
  <c r="AY18" i="7" s="1"/>
  <c r="AX18" i="10"/>
  <c r="AX18" i="7" s="1"/>
  <c r="AV18" i="10"/>
  <c r="AV18" i="7" s="1"/>
  <c r="AU18" i="10"/>
  <c r="AU18" i="7" s="1"/>
  <c r="AS18" i="10"/>
  <c r="AS18" i="7" s="1"/>
  <c r="AR18" i="10"/>
  <c r="AR18" i="7" s="1"/>
  <c r="AP18" i="10"/>
  <c r="AP18" i="7" s="1"/>
  <c r="AO18" i="10"/>
  <c r="AO18" i="7" s="1"/>
  <c r="AM18" i="10"/>
  <c r="AM18" i="7" s="1"/>
  <c r="AL18" i="10"/>
  <c r="AL18" i="7" s="1"/>
  <c r="AJ18" i="10"/>
  <c r="AJ18" i="7" s="1"/>
  <c r="AI18" i="10"/>
  <c r="AI18" i="7" s="1"/>
  <c r="AG18" i="10"/>
  <c r="AG18" i="7" s="1"/>
  <c r="AF18" i="10"/>
  <c r="AF18" i="7" s="1"/>
  <c r="AD18" i="10"/>
  <c r="AD18" i="7" s="1"/>
  <c r="AC18" i="10"/>
  <c r="AC18" i="7" s="1"/>
  <c r="AA18" i="10"/>
  <c r="AA18" i="7" s="1"/>
  <c r="Z18" i="10"/>
  <c r="Z18" i="7" s="1"/>
  <c r="X18" i="10"/>
  <c r="X18" i="7" s="1"/>
  <c r="W18" i="10"/>
  <c r="W18" i="7" s="1"/>
  <c r="U18" i="10"/>
  <c r="U18" i="7" s="1"/>
  <c r="T18" i="10"/>
  <c r="T18" i="7" s="1"/>
  <c r="R18" i="10"/>
  <c r="R18" i="7" s="1"/>
  <c r="Q18" i="10"/>
  <c r="Q18" i="7" s="1"/>
  <c r="O18" i="10"/>
  <c r="O18" i="7" s="1"/>
  <c r="N18" i="10"/>
  <c r="N18" i="7" s="1"/>
  <c r="L18" i="10"/>
  <c r="L18" i="7" s="1"/>
  <c r="K18" i="10"/>
  <c r="K18" i="7" s="1"/>
  <c r="I18" i="10"/>
  <c r="I18" i="7" s="1"/>
  <c r="H18" i="10"/>
  <c r="H18" i="7" s="1"/>
  <c r="F18" i="10"/>
  <c r="F18" i="7" s="1"/>
  <c r="E18" i="10"/>
  <c r="E18" i="7" s="1"/>
  <c r="C18" i="10"/>
  <c r="C18" i="7" s="1"/>
  <c r="B18" i="10"/>
  <c r="B18" i="7" s="1"/>
  <c r="A18" i="10"/>
  <c r="A18" i="7" s="1"/>
  <c r="HH17" i="10"/>
  <c r="HG17" i="10"/>
  <c r="HE17" i="10"/>
  <c r="HD17" i="10"/>
  <c r="HB17" i="10"/>
  <c r="HA17" i="10"/>
  <c r="GY17" i="10"/>
  <c r="GX17" i="10"/>
  <c r="GV17" i="10"/>
  <c r="GU17" i="10"/>
  <c r="GS17" i="10"/>
  <c r="GR17" i="10"/>
  <c r="GP17" i="10"/>
  <c r="GO17" i="10"/>
  <c r="GM17" i="10"/>
  <c r="GL17" i="10"/>
  <c r="GJ17" i="10"/>
  <c r="GI17" i="10"/>
  <c r="GG17" i="10"/>
  <c r="GF17" i="10"/>
  <c r="GD17" i="10"/>
  <c r="GC17" i="10"/>
  <c r="GA17" i="10"/>
  <c r="FZ17" i="10"/>
  <c r="FX17" i="10"/>
  <c r="FW17" i="10"/>
  <c r="FU17" i="10"/>
  <c r="FT17" i="10"/>
  <c r="FR17" i="10"/>
  <c r="FQ17" i="10"/>
  <c r="FO17" i="10"/>
  <c r="FN17" i="10"/>
  <c r="FL17" i="10"/>
  <c r="FK17" i="10"/>
  <c r="FI17" i="10"/>
  <c r="FH17" i="10"/>
  <c r="FF17" i="10"/>
  <c r="FF17" i="7" s="1"/>
  <c r="FE17" i="10"/>
  <c r="FE17" i="7" s="1"/>
  <c r="FC17" i="10"/>
  <c r="FC17" i="7" s="1"/>
  <c r="FB17" i="10"/>
  <c r="FB17" i="7" s="1"/>
  <c r="EZ17" i="10"/>
  <c r="EZ17" i="7" s="1"/>
  <c r="EY17" i="10"/>
  <c r="EY17" i="7" s="1"/>
  <c r="EW17" i="10"/>
  <c r="EW17" i="7" s="1"/>
  <c r="EV17" i="10"/>
  <c r="EV17" i="7" s="1"/>
  <c r="ET17" i="10"/>
  <c r="ET17" i="7" s="1"/>
  <c r="ES17" i="10"/>
  <c r="ES17" i="7" s="1"/>
  <c r="EQ17" i="10"/>
  <c r="EQ17" i="7" s="1"/>
  <c r="EP17" i="10"/>
  <c r="EP17" i="7" s="1"/>
  <c r="EN17" i="10"/>
  <c r="EN17" i="7" s="1"/>
  <c r="EM17" i="10"/>
  <c r="EM17" i="7" s="1"/>
  <c r="EK17" i="10"/>
  <c r="EK17" i="7" s="1"/>
  <c r="EJ17" i="10"/>
  <c r="EJ17" i="7" s="1"/>
  <c r="EH17" i="10"/>
  <c r="EH17" i="7" s="1"/>
  <c r="EG17" i="10"/>
  <c r="EG17" i="7" s="1"/>
  <c r="EE17" i="10"/>
  <c r="EE17" i="7" s="1"/>
  <c r="ED17" i="10"/>
  <c r="ED17" i="7" s="1"/>
  <c r="EB17" i="10"/>
  <c r="EB17" i="7" s="1"/>
  <c r="EA17" i="10"/>
  <c r="EA17" i="7" s="1"/>
  <c r="DY17" i="10"/>
  <c r="DY17" i="7" s="1"/>
  <c r="DX17" i="10"/>
  <c r="DX17" i="7" s="1"/>
  <c r="DV17" i="10"/>
  <c r="DV17" i="7" s="1"/>
  <c r="DU17" i="10"/>
  <c r="DU17" i="7" s="1"/>
  <c r="DS17" i="10"/>
  <c r="DS17" i="7" s="1"/>
  <c r="DR17" i="10"/>
  <c r="DR17" i="7" s="1"/>
  <c r="DP17" i="10"/>
  <c r="DP17" i="7" s="1"/>
  <c r="DO17" i="10"/>
  <c r="DO17" i="7" s="1"/>
  <c r="DM17" i="10"/>
  <c r="DM17" i="7" s="1"/>
  <c r="DL17" i="10"/>
  <c r="DL17" i="7" s="1"/>
  <c r="DJ17" i="10"/>
  <c r="DJ17" i="7" s="1"/>
  <c r="DI17" i="10"/>
  <c r="DI17" i="7" s="1"/>
  <c r="DG17" i="10"/>
  <c r="DG17" i="7" s="1"/>
  <c r="DF17" i="10"/>
  <c r="DF17" i="7" s="1"/>
  <c r="DD17" i="10"/>
  <c r="DD17" i="7" s="1"/>
  <c r="DC17" i="10"/>
  <c r="DC17" i="7" s="1"/>
  <c r="DA17" i="10"/>
  <c r="DA17" i="7" s="1"/>
  <c r="CZ17" i="10"/>
  <c r="CZ17" i="7" s="1"/>
  <c r="CX17" i="10"/>
  <c r="CX17" i="7" s="1"/>
  <c r="CW17" i="10"/>
  <c r="CW17" i="7" s="1"/>
  <c r="CU17" i="10"/>
  <c r="CU17" i="7" s="1"/>
  <c r="CT17" i="10"/>
  <c r="CT17" i="7" s="1"/>
  <c r="CR17" i="10"/>
  <c r="CR17" i="7" s="1"/>
  <c r="CQ17" i="10"/>
  <c r="CQ17" i="7" s="1"/>
  <c r="CO17" i="10"/>
  <c r="CO17" i="7" s="1"/>
  <c r="CN17" i="10"/>
  <c r="CN17" i="7" s="1"/>
  <c r="CL17" i="10"/>
  <c r="CL17" i="7" s="1"/>
  <c r="CK17" i="10"/>
  <c r="CK17" i="7" s="1"/>
  <c r="CI17" i="10"/>
  <c r="CI17" i="7" s="1"/>
  <c r="CH17" i="10"/>
  <c r="CH17" i="7" s="1"/>
  <c r="CF17" i="10"/>
  <c r="CF17" i="7" s="1"/>
  <c r="CE17" i="10"/>
  <c r="CE17" i="7" s="1"/>
  <c r="CC17" i="10"/>
  <c r="CC17" i="7" s="1"/>
  <c r="CB17" i="10"/>
  <c r="CB17" i="7" s="1"/>
  <c r="BZ17" i="10"/>
  <c r="BZ17" i="7" s="1"/>
  <c r="BY17" i="10"/>
  <c r="BY17" i="7" s="1"/>
  <c r="BW17" i="10"/>
  <c r="BW17" i="7" s="1"/>
  <c r="BV17" i="10"/>
  <c r="BV17" i="7" s="1"/>
  <c r="BT17" i="10"/>
  <c r="BT17" i="7" s="1"/>
  <c r="BS17" i="10"/>
  <c r="BS17" i="7" s="1"/>
  <c r="BQ17" i="10"/>
  <c r="BQ17" i="7" s="1"/>
  <c r="BP17" i="10"/>
  <c r="BP17" i="7" s="1"/>
  <c r="BN17" i="10"/>
  <c r="BN17" i="7" s="1"/>
  <c r="BM17" i="10"/>
  <c r="BM17" i="7" s="1"/>
  <c r="BK17" i="10"/>
  <c r="BK17" i="7" s="1"/>
  <c r="BJ17" i="10"/>
  <c r="BJ17" i="7" s="1"/>
  <c r="BH17" i="10"/>
  <c r="BH17" i="7" s="1"/>
  <c r="BG17" i="10"/>
  <c r="BG17" i="7" s="1"/>
  <c r="BE17" i="10"/>
  <c r="BE17" i="7" s="1"/>
  <c r="BD17" i="10"/>
  <c r="BD17" i="7" s="1"/>
  <c r="BB17" i="10"/>
  <c r="BB17" i="7" s="1"/>
  <c r="BA17" i="10"/>
  <c r="BA17" i="7" s="1"/>
  <c r="AY17" i="10"/>
  <c r="AY17" i="7" s="1"/>
  <c r="AX17" i="10"/>
  <c r="AX17" i="7" s="1"/>
  <c r="AV17" i="10"/>
  <c r="AV17" i="7" s="1"/>
  <c r="AU17" i="10"/>
  <c r="AU17" i="7" s="1"/>
  <c r="AS17" i="10"/>
  <c r="AS17" i="7" s="1"/>
  <c r="AR17" i="10"/>
  <c r="AR17" i="7" s="1"/>
  <c r="AP17" i="10"/>
  <c r="AP17" i="7" s="1"/>
  <c r="AO17" i="10"/>
  <c r="AO17" i="7" s="1"/>
  <c r="AM17" i="10"/>
  <c r="AM17" i="7" s="1"/>
  <c r="AL17" i="10"/>
  <c r="AL17" i="7" s="1"/>
  <c r="AJ17" i="10"/>
  <c r="AJ17" i="7" s="1"/>
  <c r="AI17" i="10"/>
  <c r="AI17" i="7" s="1"/>
  <c r="AG17" i="10"/>
  <c r="AG17" i="7" s="1"/>
  <c r="AF17" i="10"/>
  <c r="AF17" i="7" s="1"/>
  <c r="AD17" i="10"/>
  <c r="AD17" i="7" s="1"/>
  <c r="AC17" i="10"/>
  <c r="AC17" i="7" s="1"/>
  <c r="AA17" i="10"/>
  <c r="AA17" i="7" s="1"/>
  <c r="Z17" i="10"/>
  <c r="Z17" i="7" s="1"/>
  <c r="X17" i="10"/>
  <c r="X17" i="7" s="1"/>
  <c r="W17" i="10"/>
  <c r="W17" i="7" s="1"/>
  <c r="U17" i="10"/>
  <c r="U17" i="7" s="1"/>
  <c r="T17" i="10"/>
  <c r="T17" i="7" s="1"/>
  <c r="R17" i="10"/>
  <c r="R17" i="7" s="1"/>
  <c r="Q17" i="10"/>
  <c r="Q17" i="7" s="1"/>
  <c r="O17" i="10"/>
  <c r="O17" i="7" s="1"/>
  <c r="N17" i="10"/>
  <c r="N17" i="7" s="1"/>
  <c r="L17" i="10"/>
  <c r="L17" i="7" s="1"/>
  <c r="K17" i="10"/>
  <c r="K17" i="7" s="1"/>
  <c r="I17" i="10"/>
  <c r="I17" i="7" s="1"/>
  <c r="H17" i="10"/>
  <c r="H17" i="7" s="1"/>
  <c r="F17" i="10"/>
  <c r="F17" i="7" s="1"/>
  <c r="E17" i="10"/>
  <c r="E17" i="7" s="1"/>
  <c r="C17" i="10"/>
  <c r="C17" i="7" s="1"/>
  <c r="B17" i="10"/>
  <c r="B17" i="7" s="1"/>
  <c r="A17" i="10"/>
  <c r="A17" i="7" s="1"/>
  <c r="HH16" i="10"/>
  <c r="HG16" i="10"/>
  <c r="HE16" i="10"/>
  <c r="HD16" i="10"/>
  <c r="HB16" i="10"/>
  <c r="HA16" i="10"/>
  <c r="GY16" i="10"/>
  <c r="GX16" i="10"/>
  <c r="GV16" i="10"/>
  <c r="GU16" i="10"/>
  <c r="GS16" i="10"/>
  <c r="GR16" i="10"/>
  <c r="GP16" i="10"/>
  <c r="GO16" i="10"/>
  <c r="GM16" i="10"/>
  <c r="GL16" i="10"/>
  <c r="GJ16" i="10"/>
  <c r="GI16" i="10"/>
  <c r="GG16" i="10"/>
  <c r="GF16" i="10"/>
  <c r="GD16" i="10"/>
  <c r="GC16" i="10"/>
  <c r="GA16" i="10"/>
  <c r="FZ16" i="10"/>
  <c r="FX16" i="10"/>
  <c r="FW16" i="10"/>
  <c r="FU16" i="10"/>
  <c r="FT16" i="10"/>
  <c r="FR16" i="10"/>
  <c r="FQ16" i="10"/>
  <c r="FO16" i="10"/>
  <c r="FN16" i="10"/>
  <c r="FL16" i="10"/>
  <c r="FK16" i="10"/>
  <c r="FI16" i="10"/>
  <c r="FH16" i="10"/>
  <c r="FF16" i="10"/>
  <c r="FF16" i="7" s="1"/>
  <c r="FE16" i="10"/>
  <c r="FE16" i="7" s="1"/>
  <c r="FC16" i="10"/>
  <c r="FC16" i="7" s="1"/>
  <c r="FB16" i="10"/>
  <c r="FB16" i="7" s="1"/>
  <c r="EZ16" i="10"/>
  <c r="EZ16" i="7" s="1"/>
  <c r="EY16" i="10"/>
  <c r="EY16" i="7" s="1"/>
  <c r="EW16" i="10"/>
  <c r="EW16" i="7" s="1"/>
  <c r="EV16" i="10"/>
  <c r="EV16" i="7" s="1"/>
  <c r="ET16" i="10"/>
  <c r="ET16" i="7" s="1"/>
  <c r="ES16" i="10"/>
  <c r="ES16" i="7" s="1"/>
  <c r="EQ16" i="10"/>
  <c r="EQ16" i="7" s="1"/>
  <c r="EP16" i="10"/>
  <c r="EP16" i="7" s="1"/>
  <c r="EN16" i="10"/>
  <c r="EN16" i="7" s="1"/>
  <c r="EM16" i="10"/>
  <c r="EM16" i="7" s="1"/>
  <c r="EK16" i="10"/>
  <c r="EK16" i="7" s="1"/>
  <c r="EJ16" i="10"/>
  <c r="EJ16" i="7" s="1"/>
  <c r="EH16" i="10"/>
  <c r="EH16" i="7" s="1"/>
  <c r="EG16" i="10"/>
  <c r="EG16" i="7" s="1"/>
  <c r="EE16" i="10"/>
  <c r="EE16" i="7" s="1"/>
  <c r="ED16" i="10"/>
  <c r="ED16" i="7" s="1"/>
  <c r="EB16" i="10"/>
  <c r="EB16" i="7" s="1"/>
  <c r="EA16" i="10"/>
  <c r="EA16" i="7" s="1"/>
  <c r="DY16" i="10"/>
  <c r="DY16" i="7" s="1"/>
  <c r="DX16" i="10"/>
  <c r="DX16" i="7" s="1"/>
  <c r="DV16" i="10"/>
  <c r="DV16" i="7" s="1"/>
  <c r="DU16" i="10"/>
  <c r="DU16" i="7" s="1"/>
  <c r="DS16" i="10"/>
  <c r="DS16" i="7" s="1"/>
  <c r="DR16" i="10"/>
  <c r="DR16" i="7" s="1"/>
  <c r="DP16" i="10"/>
  <c r="DP16" i="7" s="1"/>
  <c r="DO16" i="10"/>
  <c r="DO16" i="7" s="1"/>
  <c r="DM16" i="10"/>
  <c r="DM16" i="7" s="1"/>
  <c r="DL16" i="10"/>
  <c r="DL16" i="7" s="1"/>
  <c r="DJ16" i="10"/>
  <c r="DJ16" i="7" s="1"/>
  <c r="DI16" i="10"/>
  <c r="DI16" i="7" s="1"/>
  <c r="DG16" i="10"/>
  <c r="DG16" i="7" s="1"/>
  <c r="DF16" i="10"/>
  <c r="DF16" i="7" s="1"/>
  <c r="DD16" i="10"/>
  <c r="DD16" i="7" s="1"/>
  <c r="DC16" i="10"/>
  <c r="DC16" i="7" s="1"/>
  <c r="DA16" i="10"/>
  <c r="DA16" i="7" s="1"/>
  <c r="CZ16" i="10"/>
  <c r="CZ16" i="7" s="1"/>
  <c r="CX16" i="10"/>
  <c r="CX16" i="7" s="1"/>
  <c r="CW16" i="10"/>
  <c r="CW16" i="7" s="1"/>
  <c r="CU16" i="10"/>
  <c r="CU16" i="7" s="1"/>
  <c r="CT16" i="10"/>
  <c r="CT16" i="7" s="1"/>
  <c r="CR16" i="10"/>
  <c r="CR16" i="7" s="1"/>
  <c r="CQ16" i="10"/>
  <c r="CQ16" i="7" s="1"/>
  <c r="CO16" i="10"/>
  <c r="CO16" i="7" s="1"/>
  <c r="CN16" i="10"/>
  <c r="CN16" i="7" s="1"/>
  <c r="CL16" i="10"/>
  <c r="CL16" i="7" s="1"/>
  <c r="CK16" i="10"/>
  <c r="CK16" i="7" s="1"/>
  <c r="CI16" i="10"/>
  <c r="CI16" i="7" s="1"/>
  <c r="CH16" i="10"/>
  <c r="CH16" i="7" s="1"/>
  <c r="CF16" i="10"/>
  <c r="CF16" i="7" s="1"/>
  <c r="CE16" i="10"/>
  <c r="CE16" i="7" s="1"/>
  <c r="CC16" i="10"/>
  <c r="CC16" i="7" s="1"/>
  <c r="CB16" i="10"/>
  <c r="CB16" i="7" s="1"/>
  <c r="BZ16" i="10"/>
  <c r="BZ16" i="7" s="1"/>
  <c r="BY16" i="10"/>
  <c r="BY16" i="7" s="1"/>
  <c r="BW16" i="10"/>
  <c r="BW16" i="7" s="1"/>
  <c r="BV16" i="10"/>
  <c r="BV16" i="7" s="1"/>
  <c r="BT16" i="10"/>
  <c r="BT16" i="7" s="1"/>
  <c r="BS16" i="10"/>
  <c r="BS16" i="7" s="1"/>
  <c r="BQ16" i="10"/>
  <c r="BQ16" i="7" s="1"/>
  <c r="BP16" i="10"/>
  <c r="BP16" i="7" s="1"/>
  <c r="BN16" i="10"/>
  <c r="BN16" i="7" s="1"/>
  <c r="BM16" i="10"/>
  <c r="BM16" i="7" s="1"/>
  <c r="BK16" i="10"/>
  <c r="BK16" i="7" s="1"/>
  <c r="BJ16" i="10"/>
  <c r="BJ16" i="7" s="1"/>
  <c r="BH16" i="10"/>
  <c r="BH16" i="7" s="1"/>
  <c r="BG16" i="10"/>
  <c r="BG16" i="7" s="1"/>
  <c r="BE16" i="10"/>
  <c r="BE16" i="7" s="1"/>
  <c r="BD16" i="10"/>
  <c r="BD16" i="7" s="1"/>
  <c r="BB16" i="10"/>
  <c r="BB16" i="7" s="1"/>
  <c r="BA16" i="10"/>
  <c r="BA16" i="7" s="1"/>
  <c r="AY16" i="10"/>
  <c r="AY16" i="7" s="1"/>
  <c r="AX16" i="10"/>
  <c r="AX16" i="7" s="1"/>
  <c r="AV16" i="10"/>
  <c r="AV16" i="7" s="1"/>
  <c r="AU16" i="10"/>
  <c r="AU16" i="7" s="1"/>
  <c r="AS16" i="10"/>
  <c r="AS16" i="7" s="1"/>
  <c r="AR16" i="10"/>
  <c r="AR16" i="7" s="1"/>
  <c r="AP16" i="10"/>
  <c r="AP16" i="7" s="1"/>
  <c r="AO16" i="10"/>
  <c r="AO16" i="7" s="1"/>
  <c r="AM16" i="10"/>
  <c r="AM16" i="7" s="1"/>
  <c r="AL16" i="10"/>
  <c r="AL16" i="7" s="1"/>
  <c r="AJ16" i="10"/>
  <c r="AJ16" i="7" s="1"/>
  <c r="AI16" i="10"/>
  <c r="AI16" i="7" s="1"/>
  <c r="AG16" i="10"/>
  <c r="AG16" i="7" s="1"/>
  <c r="AF16" i="10"/>
  <c r="AF16" i="7" s="1"/>
  <c r="AD16" i="10"/>
  <c r="AD16" i="7" s="1"/>
  <c r="AC16" i="10"/>
  <c r="AC16" i="7" s="1"/>
  <c r="AA16" i="10"/>
  <c r="AA16" i="7" s="1"/>
  <c r="Z16" i="10"/>
  <c r="Z16" i="7" s="1"/>
  <c r="X16" i="10"/>
  <c r="X16" i="7" s="1"/>
  <c r="W16" i="10"/>
  <c r="W16" i="7" s="1"/>
  <c r="U16" i="10"/>
  <c r="U16" i="7" s="1"/>
  <c r="T16" i="10"/>
  <c r="T16" i="7" s="1"/>
  <c r="R16" i="10"/>
  <c r="R16" i="7" s="1"/>
  <c r="Q16" i="10"/>
  <c r="Q16" i="7" s="1"/>
  <c r="O16" i="10"/>
  <c r="O16" i="7" s="1"/>
  <c r="N16" i="10"/>
  <c r="N16" i="7" s="1"/>
  <c r="L16" i="10"/>
  <c r="L16" i="7" s="1"/>
  <c r="K16" i="10"/>
  <c r="K16" i="7" s="1"/>
  <c r="I16" i="10"/>
  <c r="I16" i="7" s="1"/>
  <c r="H16" i="10"/>
  <c r="H16" i="7" s="1"/>
  <c r="F16" i="10"/>
  <c r="F16" i="7" s="1"/>
  <c r="E16" i="10"/>
  <c r="E16" i="7" s="1"/>
  <c r="C16" i="10"/>
  <c r="C16" i="7" s="1"/>
  <c r="B16" i="10"/>
  <c r="B16" i="7" s="1"/>
  <c r="A16" i="10"/>
  <c r="HH15" i="10"/>
  <c r="HG15" i="10"/>
  <c r="HE15" i="10"/>
  <c r="HD15" i="10"/>
  <c r="HB15" i="10"/>
  <c r="HA15" i="10"/>
  <c r="GY15" i="10"/>
  <c r="GX15" i="10"/>
  <c r="GV15" i="10"/>
  <c r="GU15" i="10"/>
  <c r="GS15" i="10"/>
  <c r="GR15" i="10"/>
  <c r="GP15" i="10"/>
  <c r="GO15" i="10"/>
  <c r="GM15" i="10"/>
  <c r="GL15" i="10"/>
  <c r="GJ15" i="10"/>
  <c r="GI15" i="10"/>
  <c r="GG15" i="10"/>
  <c r="GF15" i="10"/>
  <c r="GD15" i="10"/>
  <c r="GC15" i="10"/>
  <c r="GA15" i="10"/>
  <c r="FZ15" i="10"/>
  <c r="FX15" i="10"/>
  <c r="FW15" i="10"/>
  <c r="FU15" i="10"/>
  <c r="FT15" i="10"/>
  <c r="FR15" i="10"/>
  <c r="FQ15" i="10"/>
  <c r="FO15" i="10"/>
  <c r="FN15" i="10"/>
  <c r="FL15" i="10"/>
  <c r="FK15" i="10"/>
  <c r="FI15" i="10"/>
  <c r="FH15" i="10"/>
  <c r="FF15" i="10"/>
  <c r="FF15" i="7" s="1"/>
  <c r="FE15" i="10"/>
  <c r="FE15" i="7" s="1"/>
  <c r="FC15" i="10"/>
  <c r="FC15" i="7" s="1"/>
  <c r="FB15" i="10"/>
  <c r="FB15" i="7" s="1"/>
  <c r="EZ15" i="10"/>
  <c r="EZ15" i="7" s="1"/>
  <c r="EY15" i="10"/>
  <c r="EY15" i="7" s="1"/>
  <c r="EW15" i="10"/>
  <c r="EW15" i="7" s="1"/>
  <c r="EV15" i="10"/>
  <c r="EV15" i="7" s="1"/>
  <c r="ET15" i="10"/>
  <c r="ET15" i="7" s="1"/>
  <c r="ES15" i="10"/>
  <c r="ES15" i="7" s="1"/>
  <c r="EQ15" i="10"/>
  <c r="EQ15" i="7" s="1"/>
  <c r="EP15" i="10"/>
  <c r="EP15" i="7" s="1"/>
  <c r="EN15" i="10"/>
  <c r="EN15" i="7" s="1"/>
  <c r="EM15" i="10"/>
  <c r="EM15" i="7" s="1"/>
  <c r="EK15" i="10"/>
  <c r="EK15" i="7" s="1"/>
  <c r="EJ15" i="10"/>
  <c r="EJ15" i="7" s="1"/>
  <c r="EH15" i="10"/>
  <c r="EH15" i="7" s="1"/>
  <c r="EG15" i="10"/>
  <c r="EG15" i="7" s="1"/>
  <c r="EE15" i="10"/>
  <c r="EE15" i="7" s="1"/>
  <c r="ED15" i="10"/>
  <c r="ED15" i="7" s="1"/>
  <c r="EB15" i="10"/>
  <c r="EB15" i="7" s="1"/>
  <c r="EA15" i="10"/>
  <c r="EA15" i="7" s="1"/>
  <c r="DY15" i="10"/>
  <c r="DY15" i="7" s="1"/>
  <c r="DX15" i="10"/>
  <c r="DX15" i="7" s="1"/>
  <c r="DV15" i="10"/>
  <c r="DV15" i="7" s="1"/>
  <c r="DU15" i="10"/>
  <c r="DU15" i="7" s="1"/>
  <c r="DS15" i="10"/>
  <c r="DS15" i="7" s="1"/>
  <c r="DR15" i="10"/>
  <c r="DR15" i="7" s="1"/>
  <c r="DP15" i="10"/>
  <c r="DP15" i="7" s="1"/>
  <c r="DO15" i="10"/>
  <c r="DO15" i="7" s="1"/>
  <c r="DM15" i="10"/>
  <c r="DM15" i="7" s="1"/>
  <c r="DL15" i="10"/>
  <c r="DL15" i="7" s="1"/>
  <c r="DJ15" i="10"/>
  <c r="DJ15" i="7" s="1"/>
  <c r="DI15" i="10"/>
  <c r="DI15" i="7" s="1"/>
  <c r="DG15" i="10"/>
  <c r="DG15" i="7" s="1"/>
  <c r="DF15" i="10"/>
  <c r="DF15" i="7" s="1"/>
  <c r="DD15" i="10"/>
  <c r="DD15" i="7" s="1"/>
  <c r="DC15" i="10"/>
  <c r="DC15" i="7" s="1"/>
  <c r="DA15" i="10"/>
  <c r="DA15" i="7" s="1"/>
  <c r="CZ15" i="10"/>
  <c r="CZ15" i="7" s="1"/>
  <c r="CX15" i="10"/>
  <c r="CX15" i="7" s="1"/>
  <c r="CW15" i="10"/>
  <c r="CW15" i="7" s="1"/>
  <c r="CU15" i="10"/>
  <c r="CU15" i="7" s="1"/>
  <c r="CT15" i="10"/>
  <c r="CT15" i="7" s="1"/>
  <c r="CR15" i="10"/>
  <c r="CR15" i="7" s="1"/>
  <c r="CQ15" i="10"/>
  <c r="CQ15" i="7" s="1"/>
  <c r="CO15" i="10"/>
  <c r="CO15" i="7" s="1"/>
  <c r="CN15" i="10"/>
  <c r="CN15" i="7" s="1"/>
  <c r="CL15" i="10"/>
  <c r="CL15" i="7" s="1"/>
  <c r="CK15" i="10"/>
  <c r="CK15" i="7" s="1"/>
  <c r="CI15" i="10"/>
  <c r="CI15" i="7" s="1"/>
  <c r="CH15" i="10"/>
  <c r="CH15" i="7" s="1"/>
  <c r="CF15" i="10"/>
  <c r="CF15" i="7" s="1"/>
  <c r="CE15" i="10"/>
  <c r="CE15" i="7" s="1"/>
  <c r="CC15" i="10"/>
  <c r="CC15" i="7" s="1"/>
  <c r="CB15" i="10"/>
  <c r="CB15" i="7" s="1"/>
  <c r="BZ15" i="10"/>
  <c r="BZ15" i="7" s="1"/>
  <c r="BY15" i="10"/>
  <c r="BY15" i="7" s="1"/>
  <c r="BW15" i="10"/>
  <c r="BW15" i="7" s="1"/>
  <c r="BV15" i="10"/>
  <c r="BV15" i="7" s="1"/>
  <c r="BT15" i="10"/>
  <c r="BT15" i="7" s="1"/>
  <c r="BS15" i="10"/>
  <c r="BS15" i="7" s="1"/>
  <c r="BQ15" i="10"/>
  <c r="BQ15" i="7" s="1"/>
  <c r="BP15" i="10"/>
  <c r="BP15" i="7" s="1"/>
  <c r="BN15" i="10"/>
  <c r="BN15" i="7" s="1"/>
  <c r="BM15" i="10"/>
  <c r="BM15" i="7" s="1"/>
  <c r="BK15" i="10"/>
  <c r="BK15" i="7" s="1"/>
  <c r="BJ15" i="10"/>
  <c r="BJ15" i="7" s="1"/>
  <c r="BH15" i="10"/>
  <c r="BH15" i="7" s="1"/>
  <c r="BG15" i="10"/>
  <c r="BG15" i="7" s="1"/>
  <c r="BE15" i="10"/>
  <c r="BE15" i="7" s="1"/>
  <c r="BD15" i="10"/>
  <c r="BD15" i="7" s="1"/>
  <c r="BB15" i="10"/>
  <c r="BB15" i="7" s="1"/>
  <c r="BA15" i="10"/>
  <c r="BA15" i="7" s="1"/>
  <c r="AY15" i="10"/>
  <c r="AY15" i="7" s="1"/>
  <c r="AX15" i="10"/>
  <c r="AX15" i="7" s="1"/>
  <c r="AV15" i="10"/>
  <c r="AV15" i="7" s="1"/>
  <c r="AU15" i="10"/>
  <c r="AU15" i="7" s="1"/>
  <c r="AS15" i="10"/>
  <c r="AS15" i="7" s="1"/>
  <c r="AR15" i="10"/>
  <c r="AR15" i="7" s="1"/>
  <c r="AP15" i="10"/>
  <c r="AP15" i="7" s="1"/>
  <c r="AO15" i="10"/>
  <c r="AO15" i="7" s="1"/>
  <c r="AM15" i="10"/>
  <c r="AM15" i="7" s="1"/>
  <c r="AL15" i="10"/>
  <c r="AL15" i="7" s="1"/>
  <c r="AJ15" i="10"/>
  <c r="AJ15" i="7" s="1"/>
  <c r="AI15" i="10"/>
  <c r="AI15" i="7" s="1"/>
  <c r="AG15" i="10"/>
  <c r="AG15" i="7" s="1"/>
  <c r="AF15" i="10"/>
  <c r="AF15" i="7" s="1"/>
  <c r="AD15" i="10"/>
  <c r="AD15" i="7" s="1"/>
  <c r="AC15" i="10"/>
  <c r="AC15" i="7" s="1"/>
  <c r="AA15" i="10"/>
  <c r="AA15" i="7" s="1"/>
  <c r="Z15" i="10"/>
  <c r="Z15" i="7" s="1"/>
  <c r="X15" i="10"/>
  <c r="X15" i="7" s="1"/>
  <c r="W15" i="10"/>
  <c r="W15" i="7" s="1"/>
  <c r="U15" i="10"/>
  <c r="U15" i="7" s="1"/>
  <c r="T15" i="10"/>
  <c r="T15" i="7" s="1"/>
  <c r="R15" i="10"/>
  <c r="R15" i="7" s="1"/>
  <c r="Q15" i="10"/>
  <c r="Q15" i="7" s="1"/>
  <c r="O15" i="10"/>
  <c r="O15" i="7" s="1"/>
  <c r="N15" i="10"/>
  <c r="N15" i="7" s="1"/>
  <c r="L15" i="10"/>
  <c r="L15" i="7" s="1"/>
  <c r="K15" i="10"/>
  <c r="K15" i="7" s="1"/>
  <c r="I15" i="10"/>
  <c r="I15" i="7" s="1"/>
  <c r="H15" i="10"/>
  <c r="H15" i="7" s="1"/>
  <c r="F15" i="10"/>
  <c r="F15" i="7" s="1"/>
  <c r="E15" i="10"/>
  <c r="E15" i="7" s="1"/>
  <c r="C15" i="10"/>
  <c r="C15" i="7" s="1"/>
  <c r="B15" i="10"/>
  <c r="B15" i="7" s="1"/>
  <c r="A15" i="10"/>
  <c r="HH14" i="10"/>
  <c r="HG14" i="10"/>
  <c r="HE14" i="10"/>
  <c r="HD14" i="10"/>
  <c r="HB14" i="10"/>
  <c r="HA14" i="10"/>
  <c r="GY14" i="10"/>
  <c r="GX14" i="10"/>
  <c r="GV14" i="10"/>
  <c r="GU14" i="10"/>
  <c r="GS14" i="10"/>
  <c r="GR14" i="10"/>
  <c r="GP14" i="10"/>
  <c r="GO14" i="10"/>
  <c r="GM14" i="10"/>
  <c r="GL14" i="10"/>
  <c r="GJ14" i="10"/>
  <c r="GI14" i="10"/>
  <c r="GG14" i="10"/>
  <c r="GF14" i="10"/>
  <c r="GD14" i="10"/>
  <c r="GC14" i="10"/>
  <c r="GA14" i="10"/>
  <c r="FZ14" i="10"/>
  <c r="FX14" i="10"/>
  <c r="FW14" i="10"/>
  <c r="FU14" i="10"/>
  <c r="FT14" i="10"/>
  <c r="FR14" i="10"/>
  <c r="FQ14" i="10"/>
  <c r="FO14" i="10"/>
  <c r="FN14" i="10"/>
  <c r="FL14" i="10"/>
  <c r="FK14" i="10"/>
  <c r="FI14" i="10"/>
  <c r="FH14" i="10"/>
  <c r="FF14" i="10"/>
  <c r="FF14" i="7" s="1"/>
  <c r="FE14" i="10"/>
  <c r="FE14" i="7" s="1"/>
  <c r="FC14" i="10"/>
  <c r="FC14" i="7" s="1"/>
  <c r="FB14" i="10"/>
  <c r="FB14" i="7" s="1"/>
  <c r="EZ14" i="10"/>
  <c r="EZ14" i="7" s="1"/>
  <c r="EY14" i="10"/>
  <c r="EY14" i="7" s="1"/>
  <c r="EW14" i="10"/>
  <c r="EW14" i="7" s="1"/>
  <c r="EV14" i="10"/>
  <c r="EV14" i="7" s="1"/>
  <c r="ET14" i="10"/>
  <c r="ET14" i="7" s="1"/>
  <c r="ES14" i="10"/>
  <c r="ES14" i="7" s="1"/>
  <c r="EQ14" i="10"/>
  <c r="EQ14" i="7" s="1"/>
  <c r="EP14" i="10"/>
  <c r="EP14" i="7" s="1"/>
  <c r="EN14" i="10"/>
  <c r="EN14" i="7" s="1"/>
  <c r="EM14" i="10"/>
  <c r="EM14" i="7" s="1"/>
  <c r="EK14" i="10"/>
  <c r="EK14" i="7" s="1"/>
  <c r="EJ14" i="10"/>
  <c r="EJ14" i="7" s="1"/>
  <c r="EH14" i="10"/>
  <c r="EH14" i="7" s="1"/>
  <c r="EG14" i="10"/>
  <c r="EG14" i="7" s="1"/>
  <c r="EE14" i="10"/>
  <c r="EE14" i="7" s="1"/>
  <c r="ED14" i="10"/>
  <c r="ED14" i="7" s="1"/>
  <c r="EB14" i="10"/>
  <c r="EB14" i="7" s="1"/>
  <c r="EA14" i="10"/>
  <c r="EA14" i="7" s="1"/>
  <c r="DY14" i="10"/>
  <c r="DY14" i="7" s="1"/>
  <c r="DX14" i="10"/>
  <c r="DX14" i="7" s="1"/>
  <c r="DV14" i="10"/>
  <c r="DV14" i="7" s="1"/>
  <c r="DU14" i="10"/>
  <c r="DU14" i="7" s="1"/>
  <c r="DS14" i="10"/>
  <c r="DS14" i="7" s="1"/>
  <c r="DR14" i="10"/>
  <c r="DR14" i="7" s="1"/>
  <c r="DP14" i="10"/>
  <c r="DP14" i="7" s="1"/>
  <c r="DO14" i="10"/>
  <c r="DO14" i="7" s="1"/>
  <c r="DM14" i="10"/>
  <c r="DM14" i="7" s="1"/>
  <c r="DL14" i="10"/>
  <c r="DL14" i="7" s="1"/>
  <c r="DJ14" i="10"/>
  <c r="DJ14" i="7" s="1"/>
  <c r="DI14" i="10"/>
  <c r="DI14" i="7" s="1"/>
  <c r="DG14" i="10"/>
  <c r="DG14" i="7" s="1"/>
  <c r="DF14" i="10"/>
  <c r="DF14" i="7" s="1"/>
  <c r="DD14" i="10"/>
  <c r="DD14" i="7" s="1"/>
  <c r="DC14" i="10"/>
  <c r="DC14" i="7" s="1"/>
  <c r="DA14" i="10"/>
  <c r="DA14" i="7" s="1"/>
  <c r="CZ14" i="10"/>
  <c r="CZ14" i="7" s="1"/>
  <c r="CX14" i="10"/>
  <c r="CX14" i="7" s="1"/>
  <c r="CW14" i="10"/>
  <c r="CW14" i="7" s="1"/>
  <c r="CU14" i="10"/>
  <c r="CU14" i="7" s="1"/>
  <c r="CT14" i="10"/>
  <c r="CT14" i="7" s="1"/>
  <c r="CR14" i="10"/>
  <c r="CR14" i="7" s="1"/>
  <c r="CQ14" i="10"/>
  <c r="CQ14" i="7" s="1"/>
  <c r="CO14" i="10"/>
  <c r="CO14" i="7" s="1"/>
  <c r="CN14" i="10"/>
  <c r="CN14" i="7" s="1"/>
  <c r="CL14" i="10"/>
  <c r="CL14" i="7" s="1"/>
  <c r="CK14" i="10"/>
  <c r="CK14" i="7" s="1"/>
  <c r="CI14" i="10"/>
  <c r="CI14" i="7" s="1"/>
  <c r="CH14" i="10"/>
  <c r="CH14" i="7" s="1"/>
  <c r="CF14" i="10"/>
  <c r="CF14" i="7" s="1"/>
  <c r="CE14" i="10"/>
  <c r="CE14" i="7" s="1"/>
  <c r="CC14" i="10"/>
  <c r="CC14" i="7" s="1"/>
  <c r="CB14" i="10"/>
  <c r="CB14" i="7" s="1"/>
  <c r="BZ14" i="10"/>
  <c r="BZ14" i="7" s="1"/>
  <c r="BY14" i="10"/>
  <c r="BY14" i="7" s="1"/>
  <c r="BW14" i="10"/>
  <c r="BW14" i="7" s="1"/>
  <c r="BV14" i="10"/>
  <c r="BV14" i="7" s="1"/>
  <c r="BT14" i="10"/>
  <c r="BT14" i="7" s="1"/>
  <c r="BS14" i="10"/>
  <c r="BS14" i="7" s="1"/>
  <c r="BQ14" i="10"/>
  <c r="BQ14" i="7" s="1"/>
  <c r="BP14" i="10"/>
  <c r="BP14" i="7" s="1"/>
  <c r="BN14" i="10"/>
  <c r="BN14" i="7" s="1"/>
  <c r="BM14" i="10"/>
  <c r="BM14" i="7" s="1"/>
  <c r="BK14" i="10"/>
  <c r="BK14" i="7" s="1"/>
  <c r="BJ14" i="10"/>
  <c r="BJ14" i="7" s="1"/>
  <c r="BH14" i="10"/>
  <c r="BH14" i="7" s="1"/>
  <c r="BG14" i="10"/>
  <c r="BG14" i="7" s="1"/>
  <c r="BE14" i="10"/>
  <c r="BE14" i="7" s="1"/>
  <c r="BD14" i="10"/>
  <c r="BD14" i="7" s="1"/>
  <c r="BB14" i="10"/>
  <c r="BB14" i="7" s="1"/>
  <c r="BA14" i="10"/>
  <c r="BA14" i="7" s="1"/>
  <c r="AY14" i="10"/>
  <c r="AY14" i="7" s="1"/>
  <c r="AX14" i="10"/>
  <c r="AX14" i="7" s="1"/>
  <c r="AV14" i="10"/>
  <c r="AV14" i="7" s="1"/>
  <c r="AU14" i="10"/>
  <c r="AU14" i="7" s="1"/>
  <c r="AS14" i="10"/>
  <c r="AS14" i="7" s="1"/>
  <c r="AR14" i="10"/>
  <c r="AR14" i="7" s="1"/>
  <c r="AP14" i="10"/>
  <c r="AP14" i="7" s="1"/>
  <c r="AO14" i="10"/>
  <c r="AO14" i="7" s="1"/>
  <c r="AM14" i="10"/>
  <c r="AM14" i="7" s="1"/>
  <c r="AL14" i="10"/>
  <c r="AL14" i="7" s="1"/>
  <c r="AJ14" i="10"/>
  <c r="AJ14" i="7" s="1"/>
  <c r="AI14" i="10"/>
  <c r="AI14" i="7" s="1"/>
  <c r="AG14" i="10"/>
  <c r="AG14" i="7" s="1"/>
  <c r="AF14" i="10"/>
  <c r="AF14" i="7" s="1"/>
  <c r="AD14" i="10"/>
  <c r="AD14" i="7" s="1"/>
  <c r="AC14" i="10"/>
  <c r="AC14" i="7" s="1"/>
  <c r="AA14" i="10"/>
  <c r="AA14" i="7" s="1"/>
  <c r="Z14" i="10"/>
  <c r="Z14" i="7" s="1"/>
  <c r="X14" i="10"/>
  <c r="X14" i="7" s="1"/>
  <c r="W14" i="10"/>
  <c r="W14" i="7" s="1"/>
  <c r="U14" i="10"/>
  <c r="U14" i="7" s="1"/>
  <c r="T14" i="10"/>
  <c r="T14" i="7" s="1"/>
  <c r="R14" i="10"/>
  <c r="R14" i="7" s="1"/>
  <c r="Q14" i="10"/>
  <c r="Q14" i="7" s="1"/>
  <c r="O14" i="10"/>
  <c r="O14" i="7" s="1"/>
  <c r="N14" i="10"/>
  <c r="N14" i="7" s="1"/>
  <c r="L14" i="10"/>
  <c r="L14" i="7" s="1"/>
  <c r="K14" i="10"/>
  <c r="K14" i="7" s="1"/>
  <c r="I14" i="10"/>
  <c r="I14" i="7" s="1"/>
  <c r="H14" i="10"/>
  <c r="H14" i="7" s="1"/>
  <c r="F14" i="10"/>
  <c r="F14" i="7" s="1"/>
  <c r="E14" i="10"/>
  <c r="E14" i="7" s="1"/>
  <c r="C14" i="10"/>
  <c r="C14" i="7" s="1"/>
  <c r="B14" i="10"/>
  <c r="B14" i="7" s="1"/>
  <c r="A14" i="10"/>
  <c r="A14" i="7" s="1"/>
  <c r="HH13" i="10"/>
  <c r="HG13" i="10"/>
  <c r="HE13" i="10"/>
  <c r="HD13" i="10"/>
  <c r="HB13" i="10"/>
  <c r="HA13" i="10"/>
  <c r="GY13" i="10"/>
  <c r="GX13" i="10"/>
  <c r="GV13" i="10"/>
  <c r="GU13" i="10"/>
  <c r="GS13" i="10"/>
  <c r="GR13" i="10"/>
  <c r="GP13" i="10"/>
  <c r="GO13" i="10"/>
  <c r="GM13" i="10"/>
  <c r="GL13" i="10"/>
  <c r="GJ13" i="10"/>
  <c r="GI13" i="10"/>
  <c r="GG13" i="10"/>
  <c r="GF13" i="10"/>
  <c r="GD13" i="10"/>
  <c r="GC13" i="10"/>
  <c r="GA13" i="10"/>
  <c r="FZ13" i="10"/>
  <c r="FX13" i="10"/>
  <c r="FW13" i="10"/>
  <c r="FU13" i="10"/>
  <c r="FT13" i="10"/>
  <c r="FR13" i="10"/>
  <c r="FQ13" i="10"/>
  <c r="FO13" i="10"/>
  <c r="FN13" i="10"/>
  <c r="FL13" i="10"/>
  <c r="FK13" i="10"/>
  <c r="FI13" i="10"/>
  <c r="FH13" i="10"/>
  <c r="FF13" i="10"/>
  <c r="FF13" i="7" s="1"/>
  <c r="FE13" i="10"/>
  <c r="FE13" i="7" s="1"/>
  <c r="FC13" i="10"/>
  <c r="FC13" i="7" s="1"/>
  <c r="FB13" i="10"/>
  <c r="FB13" i="7" s="1"/>
  <c r="EZ13" i="10"/>
  <c r="EZ13" i="7" s="1"/>
  <c r="EY13" i="10"/>
  <c r="EY13" i="7" s="1"/>
  <c r="EW13" i="10"/>
  <c r="EW13" i="7" s="1"/>
  <c r="EV13" i="10"/>
  <c r="EV13" i="7" s="1"/>
  <c r="ET13" i="10"/>
  <c r="ET13" i="7" s="1"/>
  <c r="ES13" i="10"/>
  <c r="ES13" i="7" s="1"/>
  <c r="EQ13" i="10"/>
  <c r="EQ13" i="7" s="1"/>
  <c r="EP13" i="10"/>
  <c r="EP13" i="7" s="1"/>
  <c r="EN13" i="10"/>
  <c r="EN13" i="7" s="1"/>
  <c r="EM13" i="10"/>
  <c r="EM13" i="7" s="1"/>
  <c r="EK13" i="10"/>
  <c r="EK13" i="7" s="1"/>
  <c r="EJ13" i="10"/>
  <c r="EJ13" i="7" s="1"/>
  <c r="EH13" i="10"/>
  <c r="EH13" i="7" s="1"/>
  <c r="EG13" i="10"/>
  <c r="EG13" i="7" s="1"/>
  <c r="EE13" i="10"/>
  <c r="EE13" i="7" s="1"/>
  <c r="ED13" i="10"/>
  <c r="ED13" i="7" s="1"/>
  <c r="EB13" i="10"/>
  <c r="EB13" i="7" s="1"/>
  <c r="EA13" i="10"/>
  <c r="EA13" i="7" s="1"/>
  <c r="DY13" i="10"/>
  <c r="DY13" i="7" s="1"/>
  <c r="DX13" i="10"/>
  <c r="DX13" i="7" s="1"/>
  <c r="DV13" i="10"/>
  <c r="DV13" i="7" s="1"/>
  <c r="DU13" i="10"/>
  <c r="DU13" i="7" s="1"/>
  <c r="DS13" i="10"/>
  <c r="DS13" i="7" s="1"/>
  <c r="DR13" i="10"/>
  <c r="DR13" i="7" s="1"/>
  <c r="DP13" i="10"/>
  <c r="DP13" i="7" s="1"/>
  <c r="DO13" i="10"/>
  <c r="DO13" i="7" s="1"/>
  <c r="DM13" i="10"/>
  <c r="DM13" i="7" s="1"/>
  <c r="DL13" i="10"/>
  <c r="DL13" i="7" s="1"/>
  <c r="DJ13" i="10"/>
  <c r="DJ13" i="7" s="1"/>
  <c r="DI13" i="10"/>
  <c r="DI13" i="7" s="1"/>
  <c r="DG13" i="10"/>
  <c r="DG13" i="7" s="1"/>
  <c r="DF13" i="10"/>
  <c r="DF13" i="7" s="1"/>
  <c r="DD13" i="10"/>
  <c r="DD13" i="7" s="1"/>
  <c r="DC13" i="10"/>
  <c r="DC13" i="7" s="1"/>
  <c r="DA13" i="10"/>
  <c r="DA13" i="7" s="1"/>
  <c r="CZ13" i="10"/>
  <c r="CZ13" i="7" s="1"/>
  <c r="CX13" i="10"/>
  <c r="CX13" i="7" s="1"/>
  <c r="CW13" i="10"/>
  <c r="CW13" i="7" s="1"/>
  <c r="CU13" i="10"/>
  <c r="CU13" i="7" s="1"/>
  <c r="CT13" i="10"/>
  <c r="CT13" i="7" s="1"/>
  <c r="CR13" i="10"/>
  <c r="CR13" i="7" s="1"/>
  <c r="CQ13" i="10"/>
  <c r="CQ13" i="7" s="1"/>
  <c r="CO13" i="10"/>
  <c r="CO13" i="7" s="1"/>
  <c r="CN13" i="10"/>
  <c r="CN13" i="7" s="1"/>
  <c r="CL13" i="10"/>
  <c r="CL13" i="7" s="1"/>
  <c r="CK13" i="10"/>
  <c r="CK13" i="7" s="1"/>
  <c r="CI13" i="10"/>
  <c r="CI13" i="7" s="1"/>
  <c r="CH13" i="10"/>
  <c r="CH13" i="7" s="1"/>
  <c r="CF13" i="10"/>
  <c r="CF13" i="7" s="1"/>
  <c r="CE13" i="10"/>
  <c r="CE13" i="7" s="1"/>
  <c r="CC13" i="10"/>
  <c r="CC13" i="7" s="1"/>
  <c r="CB13" i="10"/>
  <c r="CB13" i="7" s="1"/>
  <c r="BZ13" i="10"/>
  <c r="BZ13" i="7" s="1"/>
  <c r="BY13" i="10"/>
  <c r="BY13" i="7" s="1"/>
  <c r="BW13" i="10"/>
  <c r="BW13" i="7" s="1"/>
  <c r="BV13" i="10"/>
  <c r="BV13" i="7" s="1"/>
  <c r="BT13" i="10"/>
  <c r="BT13" i="7" s="1"/>
  <c r="BS13" i="10"/>
  <c r="BS13" i="7" s="1"/>
  <c r="BQ13" i="10"/>
  <c r="BQ13" i="7" s="1"/>
  <c r="BP13" i="10"/>
  <c r="BP13" i="7" s="1"/>
  <c r="BN13" i="10"/>
  <c r="BN13" i="7" s="1"/>
  <c r="BM13" i="10"/>
  <c r="BM13" i="7" s="1"/>
  <c r="BK13" i="10"/>
  <c r="BK13" i="7" s="1"/>
  <c r="BJ13" i="10"/>
  <c r="BJ13" i="7" s="1"/>
  <c r="BH13" i="10"/>
  <c r="BH13" i="7" s="1"/>
  <c r="BG13" i="10"/>
  <c r="BG13" i="7" s="1"/>
  <c r="BE13" i="10"/>
  <c r="BE13" i="7" s="1"/>
  <c r="BD13" i="10"/>
  <c r="BD13" i="7" s="1"/>
  <c r="BB13" i="10"/>
  <c r="BB13" i="7" s="1"/>
  <c r="BA13" i="10"/>
  <c r="BA13" i="7" s="1"/>
  <c r="AY13" i="10"/>
  <c r="AY13" i="7" s="1"/>
  <c r="AX13" i="10"/>
  <c r="AX13" i="7" s="1"/>
  <c r="AV13" i="10"/>
  <c r="AV13" i="7" s="1"/>
  <c r="AU13" i="10"/>
  <c r="AU13" i="7" s="1"/>
  <c r="AS13" i="10"/>
  <c r="AS13" i="7" s="1"/>
  <c r="AR13" i="10"/>
  <c r="AR13" i="7" s="1"/>
  <c r="AP13" i="10"/>
  <c r="AP13" i="7" s="1"/>
  <c r="AO13" i="10"/>
  <c r="AO13" i="7" s="1"/>
  <c r="AM13" i="10"/>
  <c r="AM13" i="7" s="1"/>
  <c r="AL13" i="10"/>
  <c r="AL13" i="7" s="1"/>
  <c r="AJ13" i="10"/>
  <c r="AJ13" i="7" s="1"/>
  <c r="AI13" i="10"/>
  <c r="AI13" i="7" s="1"/>
  <c r="AG13" i="10"/>
  <c r="AG13" i="7" s="1"/>
  <c r="AF13" i="10"/>
  <c r="AF13" i="7" s="1"/>
  <c r="AD13" i="10"/>
  <c r="AD13" i="7" s="1"/>
  <c r="AC13" i="10"/>
  <c r="AC13" i="7" s="1"/>
  <c r="AA13" i="10"/>
  <c r="AA13" i="7" s="1"/>
  <c r="Z13" i="10"/>
  <c r="Z13" i="7" s="1"/>
  <c r="X13" i="10"/>
  <c r="X13" i="7" s="1"/>
  <c r="W13" i="10"/>
  <c r="W13" i="7" s="1"/>
  <c r="U13" i="10"/>
  <c r="U13" i="7" s="1"/>
  <c r="T13" i="10"/>
  <c r="T13" i="7" s="1"/>
  <c r="R13" i="10"/>
  <c r="R13" i="7" s="1"/>
  <c r="Q13" i="10"/>
  <c r="Q13" i="7" s="1"/>
  <c r="O13" i="10"/>
  <c r="O13" i="7" s="1"/>
  <c r="N13" i="10"/>
  <c r="N13" i="7" s="1"/>
  <c r="L13" i="10"/>
  <c r="L13" i="7" s="1"/>
  <c r="K13" i="10"/>
  <c r="K13" i="7" s="1"/>
  <c r="I13" i="10"/>
  <c r="I13" i="7" s="1"/>
  <c r="H13" i="10"/>
  <c r="H13" i="7" s="1"/>
  <c r="F13" i="10"/>
  <c r="F13" i="7" s="1"/>
  <c r="E13" i="10"/>
  <c r="E13" i="7" s="1"/>
  <c r="C13" i="10"/>
  <c r="C13" i="7" s="1"/>
  <c r="B13" i="10"/>
  <c r="B13" i="7" s="1"/>
  <c r="A13" i="10"/>
  <c r="A13" i="7" s="1"/>
  <c r="HH12" i="10"/>
  <c r="HG12" i="10"/>
  <c r="HE12" i="10"/>
  <c r="HD12" i="10"/>
  <c r="HB12" i="10"/>
  <c r="HA12" i="10"/>
  <c r="GY12" i="10"/>
  <c r="GX12" i="10"/>
  <c r="GV12" i="10"/>
  <c r="GU12" i="10"/>
  <c r="GS12" i="10"/>
  <c r="GR12" i="10"/>
  <c r="GP12" i="10"/>
  <c r="GO12" i="10"/>
  <c r="GM12" i="10"/>
  <c r="GL12" i="10"/>
  <c r="GJ12" i="10"/>
  <c r="GI12" i="10"/>
  <c r="GG12" i="10"/>
  <c r="GF12" i="10"/>
  <c r="GD12" i="10"/>
  <c r="GC12" i="10"/>
  <c r="GA12" i="10"/>
  <c r="FZ12" i="10"/>
  <c r="FX12" i="10"/>
  <c r="FW12" i="10"/>
  <c r="FU12" i="10"/>
  <c r="FT12" i="10"/>
  <c r="FR12" i="10"/>
  <c r="FQ12" i="10"/>
  <c r="FO12" i="10"/>
  <c r="FN12" i="10"/>
  <c r="FL12" i="10"/>
  <c r="FK12" i="10"/>
  <c r="FI12" i="10"/>
  <c r="FH12" i="10"/>
  <c r="FF12" i="10"/>
  <c r="FF12" i="7" s="1"/>
  <c r="FE12" i="10"/>
  <c r="FE12" i="7" s="1"/>
  <c r="FC12" i="10"/>
  <c r="FC12" i="7" s="1"/>
  <c r="FB12" i="10"/>
  <c r="FB12" i="7" s="1"/>
  <c r="EZ12" i="10"/>
  <c r="EZ12" i="7" s="1"/>
  <c r="EY12" i="10"/>
  <c r="EY12" i="7" s="1"/>
  <c r="EW12" i="10"/>
  <c r="EW12" i="7" s="1"/>
  <c r="EV12" i="10"/>
  <c r="EV12" i="7" s="1"/>
  <c r="ET12" i="10"/>
  <c r="ET12" i="7" s="1"/>
  <c r="ES12" i="10"/>
  <c r="ES12" i="7" s="1"/>
  <c r="EQ12" i="10"/>
  <c r="EQ12" i="7" s="1"/>
  <c r="EP12" i="10"/>
  <c r="EP12" i="7" s="1"/>
  <c r="EN12" i="10"/>
  <c r="EN12" i="7" s="1"/>
  <c r="EM12" i="10"/>
  <c r="EM12" i="7" s="1"/>
  <c r="EK12" i="10"/>
  <c r="EK12" i="7" s="1"/>
  <c r="EJ12" i="10"/>
  <c r="EJ12" i="7" s="1"/>
  <c r="EH12" i="10"/>
  <c r="EH12" i="7" s="1"/>
  <c r="EG12" i="10"/>
  <c r="EG12" i="7" s="1"/>
  <c r="EE12" i="10"/>
  <c r="EE12" i="7" s="1"/>
  <c r="ED12" i="10"/>
  <c r="ED12" i="7" s="1"/>
  <c r="EB12" i="10"/>
  <c r="EB12" i="7" s="1"/>
  <c r="EA12" i="10"/>
  <c r="EA12" i="7" s="1"/>
  <c r="DY12" i="10"/>
  <c r="DY12" i="7" s="1"/>
  <c r="DX12" i="10"/>
  <c r="DX12" i="7" s="1"/>
  <c r="DV12" i="10"/>
  <c r="DV12" i="7" s="1"/>
  <c r="DU12" i="10"/>
  <c r="DU12" i="7" s="1"/>
  <c r="DS12" i="10"/>
  <c r="DS12" i="7" s="1"/>
  <c r="DR12" i="10"/>
  <c r="DR12" i="7" s="1"/>
  <c r="DP12" i="10"/>
  <c r="DP12" i="7" s="1"/>
  <c r="DO12" i="10"/>
  <c r="DO12" i="7" s="1"/>
  <c r="DM12" i="10"/>
  <c r="DM12" i="7" s="1"/>
  <c r="DL12" i="10"/>
  <c r="DL12" i="7" s="1"/>
  <c r="DJ12" i="10"/>
  <c r="DJ12" i="7" s="1"/>
  <c r="DI12" i="10"/>
  <c r="DI12" i="7" s="1"/>
  <c r="DG12" i="10"/>
  <c r="DG12" i="7" s="1"/>
  <c r="DF12" i="10"/>
  <c r="DF12" i="7" s="1"/>
  <c r="DD12" i="10"/>
  <c r="DD12" i="7" s="1"/>
  <c r="DC12" i="10"/>
  <c r="DC12" i="7" s="1"/>
  <c r="DA12" i="10"/>
  <c r="DA12" i="7" s="1"/>
  <c r="CZ12" i="10"/>
  <c r="CZ12" i="7" s="1"/>
  <c r="CX12" i="10"/>
  <c r="CX12" i="7" s="1"/>
  <c r="CW12" i="10"/>
  <c r="CW12" i="7" s="1"/>
  <c r="CU12" i="10"/>
  <c r="CU12" i="7" s="1"/>
  <c r="CT12" i="10"/>
  <c r="CT12" i="7" s="1"/>
  <c r="CR12" i="10"/>
  <c r="CR12" i="7" s="1"/>
  <c r="CQ12" i="10"/>
  <c r="CQ12" i="7" s="1"/>
  <c r="CO12" i="10"/>
  <c r="CO12" i="7" s="1"/>
  <c r="CN12" i="10"/>
  <c r="CN12" i="7" s="1"/>
  <c r="CL12" i="10"/>
  <c r="CL12" i="7" s="1"/>
  <c r="CK12" i="10"/>
  <c r="CK12" i="7" s="1"/>
  <c r="CI12" i="10"/>
  <c r="CI12" i="7" s="1"/>
  <c r="CH12" i="10"/>
  <c r="CH12" i="7" s="1"/>
  <c r="CF12" i="10"/>
  <c r="CF12" i="7" s="1"/>
  <c r="CE12" i="10"/>
  <c r="CE12" i="7" s="1"/>
  <c r="CC12" i="10"/>
  <c r="CC12" i="7" s="1"/>
  <c r="CB12" i="10"/>
  <c r="CB12" i="7" s="1"/>
  <c r="BZ12" i="10"/>
  <c r="BZ12" i="7" s="1"/>
  <c r="BY12" i="10"/>
  <c r="BY12" i="7" s="1"/>
  <c r="BW12" i="10"/>
  <c r="BW12" i="7" s="1"/>
  <c r="BV12" i="10"/>
  <c r="BV12" i="7" s="1"/>
  <c r="BT12" i="10"/>
  <c r="BT12" i="7" s="1"/>
  <c r="BS12" i="10"/>
  <c r="BS12" i="7" s="1"/>
  <c r="BQ12" i="10"/>
  <c r="BQ12" i="7" s="1"/>
  <c r="BP12" i="10"/>
  <c r="BP12" i="7" s="1"/>
  <c r="BN12" i="10"/>
  <c r="BN12" i="7" s="1"/>
  <c r="BM12" i="10"/>
  <c r="BM12" i="7" s="1"/>
  <c r="BK12" i="10"/>
  <c r="BK12" i="7" s="1"/>
  <c r="BJ12" i="10"/>
  <c r="BJ12" i="7" s="1"/>
  <c r="BH12" i="10"/>
  <c r="BH12" i="7" s="1"/>
  <c r="BG12" i="10"/>
  <c r="BG12" i="7" s="1"/>
  <c r="BE12" i="10"/>
  <c r="BE12" i="7" s="1"/>
  <c r="BD12" i="10"/>
  <c r="BD12" i="7" s="1"/>
  <c r="BB12" i="10"/>
  <c r="BB12" i="7" s="1"/>
  <c r="BA12" i="10"/>
  <c r="BA12" i="7" s="1"/>
  <c r="AY12" i="10"/>
  <c r="AY12" i="7" s="1"/>
  <c r="AX12" i="10"/>
  <c r="AX12" i="7" s="1"/>
  <c r="AV12" i="10"/>
  <c r="AV12" i="7" s="1"/>
  <c r="AU12" i="10"/>
  <c r="AU12" i="7" s="1"/>
  <c r="AS12" i="10"/>
  <c r="AS12" i="7" s="1"/>
  <c r="AR12" i="10"/>
  <c r="AR12" i="7" s="1"/>
  <c r="AP12" i="10"/>
  <c r="AP12" i="7" s="1"/>
  <c r="AO12" i="10"/>
  <c r="AO12" i="7" s="1"/>
  <c r="AM12" i="10"/>
  <c r="AM12" i="7" s="1"/>
  <c r="AL12" i="10"/>
  <c r="AL12" i="7" s="1"/>
  <c r="AJ12" i="10"/>
  <c r="AJ12" i="7" s="1"/>
  <c r="AI12" i="10"/>
  <c r="AI12" i="7" s="1"/>
  <c r="AG12" i="10"/>
  <c r="AG12" i="7" s="1"/>
  <c r="AF12" i="10"/>
  <c r="AF12" i="7" s="1"/>
  <c r="AD12" i="10"/>
  <c r="AD12" i="7" s="1"/>
  <c r="AC12" i="10"/>
  <c r="AC12" i="7" s="1"/>
  <c r="AA12" i="10"/>
  <c r="AA12" i="7" s="1"/>
  <c r="Z12" i="10"/>
  <c r="Z12" i="7" s="1"/>
  <c r="X12" i="10"/>
  <c r="X12" i="7" s="1"/>
  <c r="W12" i="10"/>
  <c r="W12" i="7" s="1"/>
  <c r="U12" i="10"/>
  <c r="U12" i="7" s="1"/>
  <c r="T12" i="10"/>
  <c r="T12" i="7" s="1"/>
  <c r="R12" i="10"/>
  <c r="R12" i="7" s="1"/>
  <c r="Q12" i="10"/>
  <c r="Q12" i="7" s="1"/>
  <c r="O12" i="10"/>
  <c r="O12" i="7" s="1"/>
  <c r="N12" i="10"/>
  <c r="N12" i="7" s="1"/>
  <c r="L12" i="10"/>
  <c r="L12" i="7" s="1"/>
  <c r="K12" i="10"/>
  <c r="K12" i="7" s="1"/>
  <c r="I12" i="10"/>
  <c r="I12" i="7" s="1"/>
  <c r="H12" i="10"/>
  <c r="H12" i="7" s="1"/>
  <c r="F12" i="10"/>
  <c r="F12" i="7" s="1"/>
  <c r="E12" i="10"/>
  <c r="E12" i="7" s="1"/>
  <c r="C12" i="10"/>
  <c r="C12" i="7" s="1"/>
  <c r="B12" i="10"/>
  <c r="B12" i="7" s="1"/>
  <c r="A12" i="10"/>
  <c r="A12" i="7" s="1"/>
  <c r="HH11" i="10"/>
  <c r="HG11" i="10"/>
  <c r="HE11" i="10"/>
  <c r="HD11" i="10"/>
  <c r="HB11" i="10"/>
  <c r="HA11" i="10"/>
  <c r="GY11" i="10"/>
  <c r="GX11" i="10"/>
  <c r="GV11" i="10"/>
  <c r="GU11" i="10"/>
  <c r="GS11" i="10"/>
  <c r="GR11" i="10"/>
  <c r="GP11" i="10"/>
  <c r="GO11" i="10"/>
  <c r="GM11" i="10"/>
  <c r="GL11" i="10"/>
  <c r="GJ11" i="10"/>
  <c r="GI11" i="10"/>
  <c r="GG11" i="10"/>
  <c r="GF11" i="10"/>
  <c r="GD11" i="10"/>
  <c r="GC11" i="10"/>
  <c r="GA11" i="10"/>
  <c r="FZ11" i="10"/>
  <c r="FX11" i="10"/>
  <c r="FW11" i="10"/>
  <c r="FU11" i="10"/>
  <c r="FT11" i="10"/>
  <c r="FR11" i="10"/>
  <c r="FQ11" i="10"/>
  <c r="FO11" i="10"/>
  <c r="FN11" i="10"/>
  <c r="FL11" i="10"/>
  <c r="FK11" i="10"/>
  <c r="FI11" i="10"/>
  <c r="FH11" i="10"/>
  <c r="FF11" i="10"/>
  <c r="FF11" i="7" s="1"/>
  <c r="FE11" i="10"/>
  <c r="FE11" i="7" s="1"/>
  <c r="FC11" i="10"/>
  <c r="FC11" i="7" s="1"/>
  <c r="FB11" i="10"/>
  <c r="FB11" i="7" s="1"/>
  <c r="EZ11" i="10"/>
  <c r="EZ11" i="7" s="1"/>
  <c r="EY11" i="10"/>
  <c r="EY11" i="7" s="1"/>
  <c r="EW11" i="10"/>
  <c r="EW11" i="7" s="1"/>
  <c r="EV11" i="10"/>
  <c r="EV11" i="7" s="1"/>
  <c r="ET11" i="10"/>
  <c r="ET11" i="7" s="1"/>
  <c r="ES11" i="10"/>
  <c r="ES11" i="7" s="1"/>
  <c r="EQ11" i="10"/>
  <c r="EQ11" i="7" s="1"/>
  <c r="EP11" i="10"/>
  <c r="EP11" i="7" s="1"/>
  <c r="EN11" i="10"/>
  <c r="EN11" i="7" s="1"/>
  <c r="EM11" i="10"/>
  <c r="EM11" i="7" s="1"/>
  <c r="EK11" i="10"/>
  <c r="EK11" i="7" s="1"/>
  <c r="EJ11" i="10"/>
  <c r="EJ11" i="7" s="1"/>
  <c r="EH11" i="10"/>
  <c r="EH11" i="7" s="1"/>
  <c r="EG11" i="10"/>
  <c r="EG11" i="7" s="1"/>
  <c r="EE11" i="10"/>
  <c r="EE11" i="7" s="1"/>
  <c r="ED11" i="10"/>
  <c r="ED11" i="7" s="1"/>
  <c r="EB11" i="10"/>
  <c r="EB11" i="7" s="1"/>
  <c r="EA11" i="10"/>
  <c r="EA11" i="7" s="1"/>
  <c r="DY11" i="10"/>
  <c r="DY11" i="7" s="1"/>
  <c r="DX11" i="10"/>
  <c r="DX11" i="7" s="1"/>
  <c r="DV11" i="10"/>
  <c r="DV11" i="7" s="1"/>
  <c r="DU11" i="10"/>
  <c r="DU11" i="7" s="1"/>
  <c r="DS11" i="10"/>
  <c r="DS11" i="7" s="1"/>
  <c r="DR11" i="10"/>
  <c r="DR11" i="7" s="1"/>
  <c r="DP11" i="10"/>
  <c r="DP11" i="7" s="1"/>
  <c r="DO11" i="10"/>
  <c r="DO11" i="7" s="1"/>
  <c r="DM11" i="10"/>
  <c r="DM11" i="7" s="1"/>
  <c r="DL11" i="10"/>
  <c r="DL11" i="7" s="1"/>
  <c r="DJ11" i="10"/>
  <c r="DJ11" i="7" s="1"/>
  <c r="DI11" i="10"/>
  <c r="DI11" i="7" s="1"/>
  <c r="DG11" i="10"/>
  <c r="DG11" i="7" s="1"/>
  <c r="DF11" i="10"/>
  <c r="DF11" i="7" s="1"/>
  <c r="DD11" i="10"/>
  <c r="DD11" i="7" s="1"/>
  <c r="DC11" i="10"/>
  <c r="DC11" i="7" s="1"/>
  <c r="DA11" i="10"/>
  <c r="DA11" i="7" s="1"/>
  <c r="CZ11" i="10"/>
  <c r="CZ11" i="7" s="1"/>
  <c r="CX11" i="10"/>
  <c r="CX11" i="7" s="1"/>
  <c r="CW11" i="10"/>
  <c r="CW11" i="7" s="1"/>
  <c r="CU11" i="10"/>
  <c r="CU11" i="7" s="1"/>
  <c r="CT11" i="10"/>
  <c r="CT11" i="7" s="1"/>
  <c r="CR11" i="10"/>
  <c r="CR11" i="7" s="1"/>
  <c r="CQ11" i="10"/>
  <c r="CQ11" i="7" s="1"/>
  <c r="CO11" i="10"/>
  <c r="CO11" i="7" s="1"/>
  <c r="CN11" i="10"/>
  <c r="CN11" i="7" s="1"/>
  <c r="CL11" i="10"/>
  <c r="CL11" i="7" s="1"/>
  <c r="CK11" i="10"/>
  <c r="CK11" i="7" s="1"/>
  <c r="CI11" i="10"/>
  <c r="CI11" i="7" s="1"/>
  <c r="CH11" i="10"/>
  <c r="CH11" i="7" s="1"/>
  <c r="CF11" i="10"/>
  <c r="CF11" i="7" s="1"/>
  <c r="CE11" i="10"/>
  <c r="CE11" i="7" s="1"/>
  <c r="CC11" i="10"/>
  <c r="CC11" i="7" s="1"/>
  <c r="CB11" i="10"/>
  <c r="CB11" i="7" s="1"/>
  <c r="BZ11" i="10"/>
  <c r="BZ11" i="7" s="1"/>
  <c r="BY11" i="10"/>
  <c r="BY11" i="7" s="1"/>
  <c r="BW11" i="10"/>
  <c r="BW11" i="7" s="1"/>
  <c r="BV11" i="10"/>
  <c r="BV11" i="7" s="1"/>
  <c r="BT11" i="10"/>
  <c r="BT11" i="7" s="1"/>
  <c r="BS11" i="10"/>
  <c r="BS11" i="7" s="1"/>
  <c r="BQ11" i="10"/>
  <c r="BQ11" i="7" s="1"/>
  <c r="BP11" i="10"/>
  <c r="BP11" i="7" s="1"/>
  <c r="BN11" i="10"/>
  <c r="BN11" i="7" s="1"/>
  <c r="BM11" i="10"/>
  <c r="BM11" i="7" s="1"/>
  <c r="BK11" i="10"/>
  <c r="BK11" i="7" s="1"/>
  <c r="BJ11" i="10"/>
  <c r="BJ11" i="7" s="1"/>
  <c r="BH11" i="10"/>
  <c r="BH11" i="7" s="1"/>
  <c r="BG11" i="10"/>
  <c r="BG11" i="7" s="1"/>
  <c r="BE11" i="10"/>
  <c r="BE11" i="7" s="1"/>
  <c r="BD11" i="10"/>
  <c r="BD11" i="7" s="1"/>
  <c r="BB11" i="10"/>
  <c r="BB11" i="7" s="1"/>
  <c r="BA11" i="10"/>
  <c r="BA11" i="7" s="1"/>
  <c r="AY11" i="10"/>
  <c r="AY11" i="7" s="1"/>
  <c r="AX11" i="10"/>
  <c r="AX11" i="7" s="1"/>
  <c r="AV11" i="10"/>
  <c r="AV11" i="7" s="1"/>
  <c r="AU11" i="10"/>
  <c r="AU11" i="7" s="1"/>
  <c r="AS11" i="10"/>
  <c r="AS11" i="7" s="1"/>
  <c r="AR11" i="10"/>
  <c r="AR11" i="7" s="1"/>
  <c r="AP11" i="10"/>
  <c r="AP11" i="7" s="1"/>
  <c r="AO11" i="10"/>
  <c r="AO11" i="7" s="1"/>
  <c r="AM11" i="10"/>
  <c r="AM11" i="7" s="1"/>
  <c r="AL11" i="10"/>
  <c r="AL11" i="7" s="1"/>
  <c r="AJ11" i="10"/>
  <c r="AJ11" i="7" s="1"/>
  <c r="AI11" i="10"/>
  <c r="AI11" i="7" s="1"/>
  <c r="AG11" i="10"/>
  <c r="AG11" i="7" s="1"/>
  <c r="AF11" i="10"/>
  <c r="AF11" i="7" s="1"/>
  <c r="AD11" i="10"/>
  <c r="AD11" i="7" s="1"/>
  <c r="AC11" i="10"/>
  <c r="AC11" i="7" s="1"/>
  <c r="AA11" i="10"/>
  <c r="AA11" i="7" s="1"/>
  <c r="Z11" i="10"/>
  <c r="Z11" i="7" s="1"/>
  <c r="X11" i="10"/>
  <c r="X11" i="7" s="1"/>
  <c r="W11" i="10"/>
  <c r="W11" i="7" s="1"/>
  <c r="U11" i="10"/>
  <c r="U11" i="7" s="1"/>
  <c r="T11" i="10"/>
  <c r="T11" i="7" s="1"/>
  <c r="R11" i="10"/>
  <c r="R11" i="7" s="1"/>
  <c r="Q11" i="10"/>
  <c r="Q11" i="7" s="1"/>
  <c r="O11" i="10"/>
  <c r="O11" i="7" s="1"/>
  <c r="N11" i="10"/>
  <c r="N11" i="7" s="1"/>
  <c r="L11" i="10"/>
  <c r="L11" i="7" s="1"/>
  <c r="K11" i="10"/>
  <c r="K11" i="7" s="1"/>
  <c r="I11" i="10"/>
  <c r="I11" i="7" s="1"/>
  <c r="H11" i="10"/>
  <c r="H11" i="7" s="1"/>
  <c r="F11" i="10"/>
  <c r="F11" i="7" s="1"/>
  <c r="E11" i="10"/>
  <c r="E11" i="7" s="1"/>
  <c r="C11" i="10"/>
  <c r="C11" i="7" s="1"/>
  <c r="B11" i="10"/>
  <c r="B11" i="7" s="1"/>
  <c r="A11" i="10"/>
  <c r="A11" i="7" s="1"/>
  <c r="HH10" i="10"/>
  <c r="HG10" i="10"/>
  <c r="HE10" i="10"/>
  <c r="HD10" i="10"/>
  <c r="HB10" i="10"/>
  <c r="HA10" i="10"/>
  <c r="GY10" i="10"/>
  <c r="GX10" i="10"/>
  <c r="GV10" i="10"/>
  <c r="GU10" i="10"/>
  <c r="GS10" i="10"/>
  <c r="GR10" i="10"/>
  <c r="GP10" i="10"/>
  <c r="GO10" i="10"/>
  <c r="GM10" i="10"/>
  <c r="GL10" i="10"/>
  <c r="GJ10" i="10"/>
  <c r="GI10" i="10"/>
  <c r="GG10" i="10"/>
  <c r="GF10" i="10"/>
  <c r="GD10" i="10"/>
  <c r="GC10" i="10"/>
  <c r="GA10" i="10"/>
  <c r="FZ10" i="10"/>
  <c r="FX10" i="10"/>
  <c r="FW10" i="10"/>
  <c r="FU10" i="10"/>
  <c r="FT10" i="10"/>
  <c r="FR10" i="10"/>
  <c r="FQ10" i="10"/>
  <c r="FO10" i="10"/>
  <c r="FN10" i="10"/>
  <c r="FL10" i="10"/>
  <c r="FK10" i="10"/>
  <c r="FI10" i="10"/>
  <c r="FH10" i="10"/>
  <c r="FF10" i="10"/>
  <c r="FF10" i="7" s="1"/>
  <c r="FE10" i="10"/>
  <c r="FE10" i="7" s="1"/>
  <c r="FC10" i="10"/>
  <c r="FC10" i="7" s="1"/>
  <c r="FB10" i="10"/>
  <c r="FB10" i="7" s="1"/>
  <c r="EZ10" i="10"/>
  <c r="EZ10" i="7" s="1"/>
  <c r="EY10" i="10"/>
  <c r="EY10" i="7" s="1"/>
  <c r="EW10" i="10"/>
  <c r="EW10" i="7" s="1"/>
  <c r="EV10" i="10"/>
  <c r="EV10" i="7" s="1"/>
  <c r="ET10" i="10"/>
  <c r="ET10" i="7" s="1"/>
  <c r="ES10" i="10"/>
  <c r="ES10" i="7" s="1"/>
  <c r="EQ10" i="10"/>
  <c r="EQ10" i="7" s="1"/>
  <c r="EP10" i="10"/>
  <c r="EP10" i="7" s="1"/>
  <c r="EN10" i="10"/>
  <c r="EN10" i="7" s="1"/>
  <c r="EM10" i="10"/>
  <c r="EM10" i="7" s="1"/>
  <c r="EK10" i="10"/>
  <c r="EK10" i="7" s="1"/>
  <c r="EJ10" i="10"/>
  <c r="EJ10" i="7" s="1"/>
  <c r="EH10" i="10"/>
  <c r="EH10" i="7" s="1"/>
  <c r="EG10" i="10"/>
  <c r="EG10" i="7" s="1"/>
  <c r="EE10" i="10"/>
  <c r="EE10" i="7" s="1"/>
  <c r="ED10" i="10"/>
  <c r="ED10" i="7" s="1"/>
  <c r="EB10" i="10"/>
  <c r="EB10" i="7" s="1"/>
  <c r="EA10" i="10"/>
  <c r="EA10" i="7" s="1"/>
  <c r="DY10" i="10"/>
  <c r="DY10" i="7" s="1"/>
  <c r="DX10" i="10"/>
  <c r="DX10" i="7" s="1"/>
  <c r="DV10" i="10"/>
  <c r="DV10" i="7" s="1"/>
  <c r="DU10" i="10"/>
  <c r="DU10" i="7" s="1"/>
  <c r="DS10" i="10"/>
  <c r="DS10" i="7" s="1"/>
  <c r="DR10" i="10"/>
  <c r="DR10" i="7" s="1"/>
  <c r="DP10" i="10"/>
  <c r="DP10" i="7" s="1"/>
  <c r="DO10" i="10"/>
  <c r="DO10" i="7" s="1"/>
  <c r="DM10" i="10"/>
  <c r="DM10" i="7" s="1"/>
  <c r="DL10" i="10"/>
  <c r="DL10" i="7" s="1"/>
  <c r="DJ10" i="10"/>
  <c r="DJ10" i="7" s="1"/>
  <c r="DI10" i="10"/>
  <c r="DI10" i="7" s="1"/>
  <c r="DG10" i="10"/>
  <c r="DG10" i="7" s="1"/>
  <c r="DF10" i="10"/>
  <c r="DF10" i="7" s="1"/>
  <c r="DD10" i="10"/>
  <c r="DD10" i="7" s="1"/>
  <c r="DC10" i="10"/>
  <c r="DC10" i="7" s="1"/>
  <c r="DA10" i="10"/>
  <c r="DA10" i="7" s="1"/>
  <c r="CZ10" i="10"/>
  <c r="CZ10" i="7" s="1"/>
  <c r="CX10" i="10"/>
  <c r="CX10" i="7" s="1"/>
  <c r="CW10" i="10"/>
  <c r="CW10" i="7" s="1"/>
  <c r="CU10" i="10"/>
  <c r="CU10" i="7" s="1"/>
  <c r="CT10" i="10"/>
  <c r="CT10" i="7" s="1"/>
  <c r="CR10" i="10"/>
  <c r="CR10" i="7" s="1"/>
  <c r="CQ10" i="10"/>
  <c r="CQ10" i="7" s="1"/>
  <c r="CO10" i="10"/>
  <c r="CO10" i="7" s="1"/>
  <c r="CN10" i="10"/>
  <c r="CN10" i="7" s="1"/>
  <c r="CL10" i="10"/>
  <c r="CL10" i="7" s="1"/>
  <c r="CK10" i="10"/>
  <c r="CK10" i="7" s="1"/>
  <c r="CI10" i="10"/>
  <c r="CI10" i="7" s="1"/>
  <c r="CH10" i="10"/>
  <c r="CH10" i="7" s="1"/>
  <c r="CF10" i="10"/>
  <c r="CF10" i="7" s="1"/>
  <c r="CE10" i="10"/>
  <c r="CE10" i="7" s="1"/>
  <c r="CC10" i="10"/>
  <c r="CC10" i="7" s="1"/>
  <c r="CB10" i="10"/>
  <c r="CB10" i="7" s="1"/>
  <c r="BZ10" i="10"/>
  <c r="BZ10" i="7" s="1"/>
  <c r="BY10" i="10"/>
  <c r="BY10" i="7" s="1"/>
  <c r="BW10" i="10"/>
  <c r="BW10" i="7" s="1"/>
  <c r="BV10" i="10"/>
  <c r="BV10" i="7" s="1"/>
  <c r="BT10" i="10"/>
  <c r="BT10" i="7" s="1"/>
  <c r="BS10" i="10"/>
  <c r="BS10" i="7" s="1"/>
  <c r="BQ10" i="10"/>
  <c r="BQ10" i="7" s="1"/>
  <c r="BP10" i="10"/>
  <c r="BP10" i="7" s="1"/>
  <c r="BN10" i="10"/>
  <c r="BN10" i="7" s="1"/>
  <c r="BM10" i="10"/>
  <c r="BM10" i="7" s="1"/>
  <c r="BK10" i="10"/>
  <c r="BK10" i="7" s="1"/>
  <c r="BJ10" i="10"/>
  <c r="BJ10" i="7" s="1"/>
  <c r="BH10" i="10"/>
  <c r="BH10" i="7" s="1"/>
  <c r="BG10" i="10"/>
  <c r="BG10" i="7" s="1"/>
  <c r="BE10" i="10"/>
  <c r="BE10" i="7" s="1"/>
  <c r="BD10" i="10"/>
  <c r="BD10" i="7" s="1"/>
  <c r="BB10" i="10"/>
  <c r="BB10" i="7" s="1"/>
  <c r="BA10" i="10"/>
  <c r="BA10" i="7" s="1"/>
  <c r="AY10" i="10"/>
  <c r="AY10" i="7" s="1"/>
  <c r="AX10" i="10"/>
  <c r="AX10" i="7" s="1"/>
  <c r="AV10" i="10"/>
  <c r="AV10" i="7" s="1"/>
  <c r="AU10" i="10"/>
  <c r="AU10" i="7" s="1"/>
  <c r="AS10" i="10"/>
  <c r="AS10" i="7" s="1"/>
  <c r="AR10" i="10"/>
  <c r="AR10" i="7" s="1"/>
  <c r="AP10" i="10"/>
  <c r="AP10" i="7" s="1"/>
  <c r="AO10" i="10"/>
  <c r="AO10" i="7" s="1"/>
  <c r="AM10" i="10"/>
  <c r="AM10" i="7" s="1"/>
  <c r="AL10" i="10"/>
  <c r="AL10" i="7" s="1"/>
  <c r="AJ10" i="10"/>
  <c r="AJ10" i="7" s="1"/>
  <c r="AI10" i="10"/>
  <c r="AI10" i="7" s="1"/>
  <c r="AG10" i="10"/>
  <c r="AG10" i="7" s="1"/>
  <c r="AF10" i="10"/>
  <c r="AF10" i="7" s="1"/>
  <c r="AD10" i="10"/>
  <c r="AD10" i="7" s="1"/>
  <c r="AC10" i="10"/>
  <c r="AC10" i="7" s="1"/>
  <c r="AA10" i="10"/>
  <c r="AA10" i="7" s="1"/>
  <c r="Z10" i="10"/>
  <c r="Z10" i="7" s="1"/>
  <c r="X10" i="10"/>
  <c r="X10" i="7" s="1"/>
  <c r="W10" i="10"/>
  <c r="W10" i="7" s="1"/>
  <c r="U10" i="10"/>
  <c r="U10" i="7" s="1"/>
  <c r="T10" i="10"/>
  <c r="T10" i="7" s="1"/>
  <c r="R10" i="10"/>
  <c r="R10" i="7" s="1"/>
  <c r="Q10" i="10"/>
  <c r="Q10" i="7" s="1"/>
  <c r="O10" i="10"/>
  <c r="O10" i="7" s="1"/>
  <c r="N10" i="10"/>
  <c r="N10" i="7" s="1"/>
  <c r="L10" i="10"/>
  <c r="L10" i="7" s="1"/>
  <c r="K10" i="10"/>
  <c r="K10" i="7" s="1"/>
  <c r="I10" i="10"/>
  <c r="I10" i="7" s="1"/>
  <c r="H10" i="10"/>
  <c r="H10" i="7" s="1"/>
  <c r="F10" i="10"/>
  <c r="F10" i="7" s="1"/>
  <c r="E10" i="10"/>
  <c r="E10" i="7" s="1"/>
  <c r="C10" i="10"/>
  <c r="C10" i="7" s="1"/>
  <c r="B10" i="10"/>
  <c r="B10" i="7" s="1"/>
  <c r="A10" i="10"/>
  <c r="N9" i="1" s="1"/>
  <c r="HH9" i="10"/>
  <c r="HG9" i="10"/>
  <c r="HE9" i="10"/>
  <c r="HD9" i="10"/>
  <c r="HB9" i="10"/>
  <c r="HA9" i="10"/>
  <c r="GY9" i="10"/>
  <c r="GX9" i="10"/>
  <c r="GV9" i="10"/>
  <c r="GU9" i="10"/>
  <c r="GS9" i="10"/>
  <c r="GR9" i="10"/>
  <c r="GP9" i="10"/>
  <c r="GO9" i="10"/>
  <c r="GM9" i="10"/>
  <c r="GL9" i="10"/>
  <c r="GJ9" i="10"/>
  <c r="GI9" i="10"/>
  <c r="GG9" i="10"/>
  <c r="GF9" i="10"/>
  <c r="GD9" i="10"/>
  <c r="GC9" i="10"/>
  <c r="GA9" i="10"/>
  <c r="FZ9" i="10"/>
  <c r="FX9" i="10"/>
  <c r="FW9" i="10"/>
  <c r="FU9" i="10"/>
  <c r="FT9" i="10"/>
  <c r="FR9" i="10"/>
  <c r="FQ9" i="10"/>
  <c r="FO9" i="10"/>
  <c r="FN9" i="10"/>
  <c r="FL9" i="10"/>
  <c r="FK9" i="10"/>
  <c r="FI9" i="10"/>
  <c r="FH9" i="10"/>
  <c r="FF9" i="10"/>
  <c r="FF9" i="7" s="1"/>
  <c r="FE9" i="10"/>
  <c r="FE9" i="7" s="1"/>
  <c r="FC9" i="10"/>
  <c r="FC9" i="7" s="1"/>
  <c r="FB9" i="10"/>
  <c r="FB9" i="7" s="1"/>
  <c r="EZ9" i="10"/>
  <c r="EZ9" i="7" s="1"/>
  <c r="EY9" i="10"/>
  <c r="EY9" i="7" s="1"/>
  <c r="EW9" i="10"/>
  <c r="EW9" i="7" s="1"/>
  <c r="EV9" i="10"/>
  <c r="EV9" i="7" s="1"/>
  <c r="ET9" i="10"/>
  <c r="ET9" i="7" s="1"/>
  <c r="ES9" i="10"/>
  <c r="ES9" i="7" s="1"/>
  <c r="EQ9" i="10"/>
  <c r="EQ9" i="7" s="1"/>
  <c r="EP9" i="10"/>
  <c r="EP9" i="7" s="1"/>
  <c r="EN9" i="10"/>
  <c r="EN9" i="7" s="1"/>
  <c r="EM9" i="10"/>
  <c r="EM9" i="7" s="1"/>
  <c r="EK9" i="10"/>
  <c r="EK9" i="7" s="1"/>
  <c r="EJ9" i="10"/>
  <c r="EJ9" i="7" s="1"/>
  <c r="EH9" i="10"/>
  <c r="EH9" i="7" s="1"/>
  <c r="EG9" i="10"/>
  <c r="EG9" i="7" s="1"/>
  <c r="EE9" i="10"/>
  <c r="EE9" i="7" s="1"/>
  <c r="ED9" i="10"/>
  <c r="ED9" i="7" s="1"/>
  <c r="EB9" i="10"/>
  <c r="EB9" i="7" s="1"/>
  <c r="EA9" i="10"/>
  <c r="EA9" i="7" s="1"/>
  <c r="DY9" i="10"/>
  <c r="DY9" i="7" s="1"/>
  <c r="DX9" i="10"/>
  <c r="DX9" i="7" s="1"/>
  <c r="DV9" i="10"/>
  <c r="DV9" i="7" s="1"/>
  <c r="DU9" i="10"/>
  <c r="DU9" i="7" s="1"/>
  <c r="DS9" i="10"/>
  <c r="DS9" i="7" s="1"/>
  <c r="DR9" i="10"/>
  <c r="DR9" i="7" s="1"/>
  <c r="DP9" i="10"/>
  <c r="DP9" i="7" s="1"/>
  <c r="DO9" i="10"/>
  <c r="DO9" i="7" s="1"/>
  <c r="DM9" i="10"/>
  <c r="DM9" i="7" s="1"/>
  <c r="DL9" i="10"/>
  <c r="DL9" i="7" s="1"/>
  <c r="DJ9" i="10"/>
  <c r="DJ9" i="7" s="1"/>
  <c r="DI9" i="10"/>
  <c r="DI9" i="7" s="1"/>
  <c r="DG9" i="10"/>
  <c r="DG9" i="7" s="1"/>
  <c r="DF9" i="10"/>
  <c r="DF9" i="7" s="1"/>
  <c r="DD9" i="10"/>
  <c r="DD9" i="7" s="1"/>
  <c r="DC9" i="10"/>
  <c r="DC9" i="7" s="1"/>
  <c r="DA9" i="10"/>
  <c r="DA9" i="7" s="1"/>
  <c r="CZ9" i="10"/>
  <c r="CZ9" i="7" s="1"/>
  <c r="CX9" i="10"/>
  <c r="CX9" i="7" s="1"/>
  <c r="CW9" i="10"/>
  <c r="CW9" i="7" s="1"/>
  <c r="CU9" i="10"/>
  <c r="CU9" i="7" s="1"/>
  <c r="CT9" i="10"/>
  <c r="CT9" i="7" s="1"/>
  <c r="CR9" i="10"/>
  <c r="CR9" i="7" s="1"/>
  <c r="CQ9" i="10"/>
  <c r="CQ9" i="7" s="1"/>
  <c r="CO9" i="10"/>
  <c r="CO9" i="7" s="1"/>
  <c r="CN9" i="10"/>
  <c r="CN9" i="7" s="1"/>
  <c r="CL9" i="10"/>
  <c r="CL9" i="7" s="1"/>
  <c r="CK9" i="10"/>
  <c r="CK9" i="7" s="1"/>
  <c r="CI9" i="10"/>
  <c r="CI9" i="7" s="1"/>
  <c r="CH9" i="10"/>
  <c r="CH9" i="7" s="1"/>
  <c r="CF9" i="10"/>
  <c r="CF9" i="7" s="1"/>
  <c r="CE9" i="10"/>
  <c r="CE9" i="7" s="1"/>
  <c r="CC9" i="10"/>
  <c r="CC9" i="7" s="1"/>
  <c r="CB9" i="10"/>
  <c r="CB9" i="7" s="1"/>
  <c r="BZ9" i="10"/>
  <c r="BZ9" i="7" s="1"/>
  <c r="BY9" i="10"/>
  <c r="BY9" i="7" s="1"/>
  <c r="BW9" i="10"/>
  <c r="BW9" i="7" s="1"/>
  <c r="BV9" i="10"/>
  <c r="BV9" i="7" s="1"/>
  <c r="BT9" i="10"/>
  <c r="BT9" i="7" s="1"/>
  <c r="BS9" i="10"/>
  <c r="BS9" i="7" s="1"/>
  <c r="BQ9" i="10"/>
  <c r="BQ9" i="7" s="1"/>
  <c r="BP9" i="10"/>
  <c r="BP9" i="7" s="1"/>
  <c r="BN9" i="10"/>
  <c r="BN9" i="7" s="1"/>
  <c r="BM9" i="10"/>
  <c r="BM9" i="7" s="1"/>
  <c r="BK9" i="10"/>
  <c r="BK9" i="7" s="1"/>
  <c r="BJ9" i="10"/>
  <c r="BJ9" i="7" s="1"/>
  <c r="BH9" i="10"/>
  <c r="BH9" i="7" s="1"/>
  <c r="BG9" i="10"/>
  <c r="BG9" i="7" s="1"/>
  <c r="BE9" i="10"/>
  <c r="BE9" i="7" s="1"/>
  <c r="BD9" i="10"/>
  <c r="BD9" i="7" s="1"/>
  <c r="BB9" i="10"/>
  <c r="BB9" i="7" s="1"/>
  <c r="BA9" i="10"/>
  <c r="BA9" i="7" s="1"/>
  <c r="AY9" i="10"/>
  <c r="AY9" i="7" s="1"/>
  <c r="AX9" i="10"/>
  <c r="AX9" i="7" s="1"/>
  <c r="AV9" i="10"/>
  <c r="AV9" i="7" s="1"/>
  <c r="AU9" i="10"/>
  <c r="AU9" i="7" s="1"/>
  <c r="AS9" i="10"/>
  <c r="AS9" i="7" s="1"/>
  <c r="AR9" i="10"/>
  <c r="AR9" i="7" s="1"/>
  <c r="AP9" i="10"/>
  <c r="AP9" i="7" s="1"/>
  <c r="AO9" i="10"/>
  <c r="AO9" i="7" s="1"/>
  <c r="AM9" i="10"/>
  <c r="AM9" i="7" s="1"/>
  <c r="AL9" i="10"/>
  <c r="AL9" i="7" s="1"/>
  <c r="AJ9" i="10"/>
  <c r="AJ9" i="7" s="1"/>
  <c r="AI9" i="10"/>
  <c r="AI9" i="7" s="1"/>
  <c r="AG9" i="10"/>
  <c r="AG9" i="7" s="1"/>
  <c r="AF9" i="10"/>
  <c r="AF9" i="7" s="1"/>
  <c r="AD9" i="10"/>
  <c r="AD9" i="7" s="1"/>
  <c r="AC9" i="10"/>
  <c r="AC9" i="7" s="1"/>
  <c r="AA9" i="10"/>
  <c r="AA9" i="7" s="1"/>
  <c r="Z9" i="10"/>
  <c r="Z9" i="7" s="1"/>
  <c r="X9" i="10"/>
  <c r="X9" i="7" s="1"/>
  <c r="W9" i="10"/>
  <c r="W9" i="7" s="1"/>
  <c r="U9" i="10"/>
  <c r="U9" i="7" s="1"/>
  <c r="T9" i="10"/>
  <c r="T9" i="7" s="1"/>
  <c r="R9" i="10"/>
  <c r="R9" i="7" s="1"/>
  <c r="Q9" i="10"/>
  <c r="Q9" i="7" s="1"/>
  <c r="O9" i="10"/>
  <c r="O9" i="7" s="1"/>
  <c r="N9" i="10"/>
  <c r="N9" i="7" s="1"/>
  <c r="L9" i="10"/>
  <c r="L9" i="7" s="1"/>
  <c r="K9" i="10"/>
  <c r="K9" i="7" s="1"/>
  <c r="I9" i="10"/>
  <c r="I9" i="7" s="1"/>
  <c r="H9" i="10"/>
  <c r="H9" i="7" s="1"/>
  <c r="F9" i="10"/>
  <c r="F9" i="7" s="1"/>
  <c r="E9" i="10"/>
  <c r="E9" i="7" s="1"/>
  <c r="C9" i="10"/>
  <c r="C9" i="7" s="1"/>
  <c r="B9" i="10"/>
  <c r="B9" i="7" s="1"/>
  <c r="A9" i="10"/>
  <c r="A9" i="7" s="1"/>
  <c r="HH8" i="10"/>
  <c r="HG8" i="10"/>
  <c r="HE8" i="10"/>
  <c r="HD8" i="10"/>
  <c r="HB8" i="10"/>
  <c r="HA8" i="10"/>
  <c r="GY8" i="10"/>
  <c r="GX8" i="10"/>
  <c r="GV8" i="10"/>
  <c r="GU8" i="10"/>
  <c r="GS8" i="10"/>
  <c r="GR8" i="10"/>
  <c r="GP8" i="10"/>
  <c r="GO8" i="10"/>
  <c r="GM8" i="10"/>
  <c r="GL8" i="10"/>
  <c r="GJ8" i="10"/>
  <c r="GI8" i="10"/>
  <c r="GG8" i="10"/>
  <c r="GF8" i="10"/>
  <c r="GD8" i="10"/>
  <c r="GC8" i="10"/>
  <c r="GA8" i="10"/>
  <c r="FZ8" i="10"/>
  <c r="FX8" i="10"/>
  <c r="FW8" i="10"/>
  <c r="FU8" i="10"/>
  <c r="FT8" i="10"/>
  <c r="FR8" i="10"/>
  <c r="FQ8" i="10"/>
  <c r="FO8" i="10"/>
  <c r="FN8" i="10"/>
  <c r="FL8" i="10"/>
  <c r="FK8" i="10"/>
  <c r="FI8" i="10"/>
  <c r="FH8" i="10"/>
  <c r="FF8" i="10"/>
  <c r="FF8" i="7" s="1"/>
  <c r="FE8" i="10"/>
  <c r="FE8" i="7" s="1"/>
  <c r="FC8" i="10"/>
  <c r="FC8" i="7" s="1"/>
  <c r="FB8" i="10"/>
  <c r="FB8" i="7" s="1"/>
  <c r="EZ8" i="10"/>
  <c r="EZ8" i="7" s="1"/>
  <c r="EY8" i="10"/>
  <c r="EY8" i="7" s="1"/>
  <c r="EW8" i="10"/>
  <c r="EW8" i="7" s="1"/>
  <c r="EV8" i="10"/>
  <c r="EV8" i="7" s="1"/>
  <c r="ET8" i="10"/>
  <c r="ET8" i="7" s="1"/>
  <c r="ES8" i="10"/>
  <c r="ES8" i="7" s="1"/>
  <c r="EQ8" i="10"/>
  <c r="EQ8" i="7" s="1"/>
  <c r="EP8" i="10"/>
  <c r="EP8" i="7" s="1"/>
  <c r="EN8" i="10"/>
  <c r="EN8" i="7" s="1"/>
  <c r="EM8" i="10"/>
  <c r="EM8" i="7" s="1"/>
  <c r="EK8" i="10"/>
  <c r="EK8" i="7" s="1"/>
  <c r="EJ8" i="10"/>
  <c r="EJ8" i="7" s="1"/>
  <c r="EH8" i="10"/>
  <c r="EH8" i="7" s="1"/>
  <c r="EG8" i="10"/>
  <c r="EG8" i="7" s="1"/>
  <c r="EE8" i="10"/>
  <c r="EE8" i="7" s="1"/>
  <c r="ED8" i="10"/>
  <c r="ED8" i="7" s="1"/>
  <c r="EB8" i="10"/>
  <c r="EB8" i="7" s="1"/>
  <c r="EA8" i="10"/>
  <c r="EA8" i="7" s="1"/>
  <c r="DY8" i="10"/>
  <c r="DY8" i="7" s="1"/>
  <c r="DX8" i="10"/>
  <c r="DX8" i="7" s="1"/>
  <c r="DV8" i="10"/>
  <c r="DV8" i="7" s="1"/>
  <c r="DU8" i="10"/>
  <c r="DU8" i="7" s="1"/>
  <c r="DS8" i="10"/>
  <c r="DS8" i="7" s="1"/>
  <c r="DR8" i="10"/>
  <c r="DR8" i="7" s="1"/>
  <c r="DP8" i="10"/>
  <c r="DP8" i="7" s="1"/>
  <c r="DO8" i="10"/>
  <c r="DO8" i="7" s="1"/>
  <c r="DM8" i="10"/>
  <c r="DM8" i="7" s="1"/>
  <c r="DL8" i="10"/>
  <c r="DL8" i="7" s="1"/>
  <c r="DJ8" i="10"/>
  <c r="DJ8" i="7" s="1"/>
  <c r="DI8" i="10"/>
  <c r="DI8" i="7" s="1"/>
  <c r="DG8" i="10"/>
  <c r="DG8" i="7" s="1"/>
  <c r="DF8" i="10"/>
  <c r="DF8" i="7" s="1"/>
  <c r="DD8" i="10"/>
  <c r="DD8" i="7" s="1"/>
  <c r="DC8" i="10"/>
  <c r="DC8" i="7" s="1"/>
  <c r="DA8" i="10"/>
  <c r="DA8" i="7" s="1"/>
  <c r="CZ8" i="10"/>
  <c r="CZ8" i="7" s="1"/>
  <c r="CX8" i="10"/>
  <c r="CX8" i="7" s="1"/>
  <c r="CW8" i="10"/>
  <c r="CW8" i="7" s="1"/>
  <c r="CU8" i="10"/>
  <c r="CU8" i="7" s="1"/>
  <c r="CT8" i="10"/>
  <c r="CT8" i="7" s="1"/>
  <c r="CR8" i="10"/>
  <c r="CR8" i="7" s="1"/>
  <c r="CQ8" i="10"/>
  <c r="CQ8" i="7" s="1"/>
  <c r="CO8" i="10"/>
  <c r="CO8" i="7" s="1"/>
  <c r="CN8" i="10"/>
  <c r="CN8" i="7" s="1"/>
  <c r="CL8" i="10"/>
  <c r="CL8" i="7" s="1"/>
  <c r="CK8" i="10"/>
  <c r="CK8" i="7" s="1"/>
  <c r="CI8" i="10"/>
  <c r="CI8" i="7" s="1"/>
  <c r="CH8" i="10"/>
  <c r="CH8" i="7" s="1"/>
  <c r="CF8" i="10"/>
  <c r="CF8" i="7" s="1"/>
  <c r="CE8" i="10"/>
  <c r="CE8" i="7" s="1"/>
  <c r="CC8" i="10"/>
  <c r="CC8" i="7" s="1"/>
  <c r="CB8" i="10"/>
  <c r="CB8" i="7" s="1"/>
  <c r="BZ8" i="10"/>
  <c r="BZ8" i="7" s="1"/>
  <c r="BY8" i="10"/>
  <c r="BY8" i="7" s="1"/>
  <c r="BW8" i="10"/>
  <c r="BW8" i="7" s="1"/>
  <c r="BV8" i="10"/>
  <c r="BV8" i="7" s="1"/>
  <c r="BT8" i="10"/>
  <c r="BT8" i="7" s="1"/>
  <c r="BS8" i="10"/>
  <c r="BS8" i="7" s="1"/>
  <c r="BQ8" i="10"/>
  <c r="BQ8" i="7" s="1"/>
  <c r="BP8" i="10"/>
  <c r="BP8" i="7" s="1"/>
  <c r="BN8" i="10"/>
  <c r="BN8" i="7" s="1"/>
  <c r="BM8" i="10"/>
  <c r="BM8" i="7" s="1"/>
  <c r="BK8" i="10"/>
  <c r="BK8" i="7" s="1"/>
  <c r="BJ8" i="10"/>
  <c r="BJ8" i="7" s="1"/>
  <c r="BH8" i="10"/>
  <c r="BH8" i="7" s="1"/>
  <c r="BG8" i="10"/>
  <c r="BG8" i="7" s="1"/>
  <c r="BE8" i="10"/>
  <c r="BE8" i="7" s="1"/>
  <c r="BD8" i="10"/>
  <c r="BD8" i="7" s="1"/>
  <c r="BB8" i="10"/>
  <c r="BB8" i="7" s="1"/>
  <c r="BA8" i="10"/>
  <c r="BA8" i="7" s="1"/>
  <c r="AY8" i="10"/>
  <c r="AY8" i="7" s="1"/>
  <c r="AX8" i="10"/>
  <c r="AX8" i="7" s="1"/>
  <c r="AV8" i="10"/>
  <c r="AV8" i="7" s="1"/>
  <c r="AU8" i="10"/>
  <c r="AU8" i="7" s="1"/>
  <c r="AS8" i="10"/>
  <c r="AS8" i="7" s="1"/>
  <c r="AR8" i="10"/>
  <c r="AR8" i="7" s="1"/>
  <c r="AP8" i="10"/>
  <c r="AP8" i="7" s="1"/>
  <c r="AO8" i="10"/>
  <c r="AO8" i="7" s="1"/>
  <c r="AM8" i="10"/>
  <c r="AM8" i="7" s="1"/>
  <c r="AL8" i="10"/>
  <c r="AL8" i="7" s="1"/>
  <c r="AJ8" i="10"/>
  <c r="AJ8" i="7" s="1"/>
  <c r="AI8" i="10"/>
  <c r="AI8" i="7" s="1"/>
  <c r="AG8" i="10"/>
  <c r="AG8" i="7" s="1"/>
  <c r="AF8" i="10"/>
  <c r="AF8" i="7" s="1"/>
  <c r="AD8" i="10"/>
  <c r="AD8" i="7" s="1"/>
  <c r="AC8" i="10"/>
  <c r="AC8" i="7" s="1"/>
  <c r="AA8" i="10"/>
  <c r="AA8" i="7" s="1"/>
  <c r="Z8" i="10"/>
  <c r="Z8" i="7" s="1"/>
  <c r="X8" i="10"/>
  <c r="X8" i="7" s="1"/>
  <c r="W8" i="10"/>
  <c r="W8" i="7" s="1"/>
  <c r="U8" i="10"/>
  <c r="U8" i="7" s="1"/>
  <c r="T8" i="10"/>
  <c r="T8" i="7" s="1"/>
  <c r="R8" i="10"/>
  <c r="R8" i="7" s="1"/>
  <c r="Q8" i="10"/>
  <c r="Q8" i="7" s="1"/>
  <c r="O8" i="10"/>
  <c r="O8" i="7" s="1"/>
  <c r="N8" i="10"/>
  <c r="N8" i="7" s="1"/>
  <c r="L8" i="10"/>
  <c r="L8" i="7" s="1"/>
  <c r="K8" i="10"/>
  <c r="K8" i="7" s="1"/>
  <c r="I8" i="10"/>
  <c r="I8" i="7" s="1"/>
  <c r="H8" i="10"/>
  <c r="H8" i="7" s="1"/>
  <c r="F8" i="10"/>
  <c r="F8" i="7" s="1"/>
  <c r="E8" i="10"/>
  <c r="E8" i="7" s="1"/>
  <c r="C8" i="10"/>
  <c r="C8" i="7" s="1"/>
  <c r="B8" i="10"/>
  <c r="B8" i="7" s="1"/>
  <c r="A8" i="10"/>
  <c r="A8" i="7" s="1"/>
  <c r="HH7" i="10"/>
  <c r="HG7" i="10"/>
  <c r="HE7" i="10"/>
  <c r="HD7" i="10"/>
  <c r="HB7" i="10"/>
  <c r="HA7" i="10"/>
  <c r="GY7" i="10"/>
  <c r="GX7" i="10"/>
  <c r="GV7" i="10"/>
  <c r="GU7" i="10"/>
  <c r="GS7" i="10"/>
  <c r="GR7" i="10"/>
  <c r="GP7" i="10"/>
  <c r="GO7" i="10"/>
  <c r="GM7" i="10"/>
  <c r="GL7" i="10"/>
  <c r="GJ7" i="10"/>
  <c r="GI7" i="10"/>
  <c r="GG7" i="10"/>
  <c r="GF7" i="10"/>
  <c r="GD7" i="10"/>
  <c r="GC7" i="10"/>
  <c r="GA7" i="10"/>
  <c r="FZ7" i="10"/>
  <c r="FX7" i="10"/>
  <c r="FW7" i="10"/>
  <c r="FU7" i="10"/>
  <c r="FT7" i="10"/>
  <c r="FR7" i="10"/>
  <c r="FQ7" i="10"/>
  <c r="FO7" i="10"/>
  <c r="FN7" i="10"/>
  <c r="FL7" i="10"/>
  <c r="FK7" i="10"/>
  <c r="FI7" i="10"/>
  <c r="FH7" i="10"/>
  <c r="FF7" i="10"/>
  <c r="FF7" i="7" s="1"/>
  <c r="FE7" i="10"/>
  <c r="FE7" i="7" s="1"/>
  <c r="FC7" i="10"/>
  <c r="FC7" i="7" s="1"/>
  <c r="FB7" i="10"/>
  <c r="FB7" i="7" s="1"/>
  <c r="EZ7" i="10"/>
  <c r="EZ7" i="7" s="1"/>
  <c r="EY7" i="10"/>
  <c r="EY7" i="7" s="1"/>
  <c r="EW7" i="10"/>
  <c r="EW7" i="7" s="1"/>
  <c r="EV7" i="10"/>
  <c r="EV7" i="7" s="1"/>
  <c r="ET7" i="10"/>
  <c r="ET7" i="7" s="1"/>
  <c r="ES7" i="10"/>
  <c r="ES7" i="7" s="1"/>
  <c r="EQ7" i="10"/>
  <c r="EQ7" i="7" s="1"/>
  <c r="EP7" i="10"/>
  <c r="EP7" i="7" s="1"/>
  <c r="EN7" i="10"/>
  <c r="EN7" i="7" s="1"/>
  <c r="EM7" i="10"/>
  <c r="EM7" i="7" s="1"/>
  <c r="EK7" i="10"/>
  <c r="EK7" i="7" s="1"/>
  <c r="EJ7" i="10"/>
  <c r="EJ7" i="7" s="1"/>
  <c r="EH7" i="10"/>
  <c r="EH7" i="7" s="1"/>
  <c r="EG7" i="10"/>
  <c r="EG7" i="7" s="1"/>
  <c r="EE7" i="10"/>
  <c r="EE7" i="7" s="1"/>
  <c r="ED7" i="10"/>
  <c r="ED7" i="7" s="1"/>
  <c r="EB7" i="10"/>
  <c r="EB7" i="7" s="1"/>
  <c r="EA7" i="10"/>
  <c r="EA7" i="7" s="1"/>
  <c r="DY7" i="10"/>
  <c r="DY7" i="7" s="1"/>
  <c r="DX7" i="10"/>
  <c r="DX7" i="7" s="1"/>
  <c r="DV7" i="10"/>
  <c r="DV7" i="7" s="1"/>
  <c r="DU7" i="10"/>
  <c r="DU7" i="7" s="1"/>
  <c r="DS7" i="10"/>
  <c r="DS7" i="7" s="1"/>
  <c r="DR7" i="10"/>
  <c r="DR7" i="7" s="1"/>
  <c r="DP7" i="10"/>
  <c r="DP7" i="7" s="1"/>
  <c r="DO7" i="10"/>
  <c r="DO7" i="7" s="1"/>
  <c r="DM7" i="10"/>
  <c r="DM7" i="7" s="1"/>
  <c r="DL7" i="10"/>
  <c r="DL7" i="7" s="1"/>
  <c r="DJ7" i="10"/>
  <c r="DJ7" i="7" s="1"/>
  <c r="DI7" i="10"/>
  <c r="DI7" i="7" s="1"/>
  <c r="DG7" i="10"/>
  <c r="DG7" i="7" s="1"/>
  <c r="DF7" i="10"/>
  <c r="DF7" i="7" s="1"/>
  <c r="DD7" i="10"/>
  <c r="DD7" i="7" s="1"/>
  <c r="DC7" i="10"/>
  <c r="DC7" i="7" s="1"/>
  <c r="DA7" i="10"/>
  <c r="DA7" i="7" s="1"/>
  <c r="CZ7" i="10"/>
  <c r="CZ7" i="7" s="1"/>
  <c r="CX7" i="10"/>
  <c r="CX7" i="7" s="1"/>
  <c r="CW7" i="10"/>
  <c r="CW7" i="7" s="1"/>
  <c r="CU7" i="10"/>
  <c r="CU7" i="7" s="1"/>
  <c r="CT7" i="10"/>
  <c r="CT7" i="7" s="1"/>
  <c r="CR7" i="10"/>
  <c r="CR7" i="7" s="1"/>
  <c r="CQ7" i="10"/>
  <c r="CQ7" i="7" s="1"/>
  <c r="CO7" i="10"/>
  <c r="CO7" i="7" s="1"/>
  <c r="CN7" i="10"/>
  <c r="CN7" i="7" s="1"/>
  <c r="CL7" i="10"/>
  <c r="CL7" i="7" s="1"/>
  <c r="CK7" i="10"/>
  <c r="CK7" i="7" s="1"/>
  <c r="CI7" i="10"/>
  <c r="CI7" i="7" s="1"/>
  <c r="CH7" i="10"/>
  <c r="CH7" i="7" s="1"/>
  <c r="CF7" i="10"/>
  <c r="CF7" i="7" s="1"/>
  <c r="CE7" i="10"/>
  <c r="CE7" i="7" s="1"/>
  <c r="CC7" i="10"/>
  <c r="CC7" i="7" s="1"/>
  <c r="CB7" i="10"/>
  <c r="CB7" i="7" s="1"/>
  <c r="BZ7" i="10"/>
  <c r="BZ7" i="7" s="1"/>
  <c r="BY7" i="10"/>
  <c r="BY7" i="7" s="1"/>
  <c r="BW7" i="10"/>
  <c r="BW7" i="7" s="1"/>
  <c r="BV7" i="10"/>
  <c r="BV7" i="7" s="1"/>
  <c r="BT7" i="10"/>
  <c r="BT7" i="7" s="1"/>
  <c r="BS7" i="10"/>
  <c r="BS7" i="7" s="1"/>
  <c r="BQ7" i="10"/>
  <c r="BQ7" i="7" s="1"/>
  <c r="BP7" i="10"/>
  <c r="BP7" i="7" s="1"/>
  <c r="BN7" i="10"/>
  <c r="BN7" i="7" s="1"/>
  <c r="BM7" i="10"/>
  <c r="BM7" i="7" s="1"/>
  <c r="BK7" i="10"/>
  <c r="BK7" i="7" s="1"/>
  <c r="BJ7" i="10"/>
  <c r="BJ7" i="7" s="1"/>
  <c r="BH7" i="10"/>
  <c r="BH7" i="7" s="1"/>
  <c r="BG7" i="10"/>
  <c r="BG7" i="7" s="1"/>
  <c r="BE7" i="10"/>
  <c r="BE7" i="7" s="1"/>
  <c r="BD7" i="10"/>
  <c r="BD7" i="7" s="1"/>
  <c r="BB7" i="10"/>
  <c r="BB7" i="7" s="1"/>
  <c r="BA7" i="10"/>
  <c r="BA7" i="7" s="1"/>
  <c r="AY7" i="10"/>
  <c r="AY7" i="7" s="1"/>
  <c r="AX7" i="10"/>
  <c r="AX7" i="7" s="1"/>
  <c r="AV7" i="10"/>
  <c r="AV7" i="7" s="1"/>
  <c r="AU7" i="10"/>
  <c r="AU7" i="7" s="1"/>
  <c r="AS7" i="10"/>
  <c r="AS7" i="7" s="1"/>
  <c r="AR7" i="10"/>
  <c r="AR7" i="7" s="1"/>
  <c r="AP7" i="10"/>
  <c r="AP7" i="7" s="1"/>
  <c r="AO7" i="10"/>
  <c r="AO7" i="7" s="1"/>
  <c r="AM7" i="10"/>
  <c r="AM7" i="7" s="1"/>
  <c r="AL7" i="10"/>
  <c r="AL7" i="7" s="1"/>
  <c r="AJ7" i="10"/>
  <c r="AJ7" i="7" s="1"/>
  <c r="AI7" i="10"/>
  <c r="AI7" i="7" s="1"/>
  <c r="AG7" i="10"/>
  <c r="AG7" i="7" s="1"/>
  <c r="AF7" i="10"/>
  <c r="AF7" i="7" s="1"/>
  <c r="AD7" i="10"/>
  <c r="AD7" i="7" s="1"/>
  <c r="AC7" i="10"/>
  <c r="AC7" i="7" s="1"/>
  <c r="AA7" i="10"/>
  <c r="AA7" i="7" s="1"/>
  <c r="Z7" i="10"/>
  <c r="Z7" i="7" s="1"/>
  <c r="X7" i="10"/>
  <c r="X7" i="7" s="1"/>
  <c r="W7" i="10"/>
  <c r="W7" i="7" s="1"/>
  <c r="U7" i="10"/>
  <c r="U7" i="7" s="1"/>
  <c r="T7" i="10"/>
  <c r="T7" i="7" s="1"/>
  <c r="R7" i="10"/>
  <c r="R7" i="7" s="1"/>
  <c r="Q7" i="10"/>
  <c r="Q7" i="7" s="1"/>
  <c r="O7" i="10"/>
  <c r="O7" i="7" s="1"/>
  <c r="N7" i="10"/>
  <c r="N7" i="7" s="1"/>
  <c r="L7" i="10"/>
  <c r="L7" i="7" s="1"/>
  <c r="K7" i="10"/>
  <c r="K7" i="7" s="1"/>
  <c r="I7" i="10"/>
  <c r="I7" i="7" s="1"/>
  <c r="H7" i="10"/>
  <c r="H7" i="7" s="1"/>
  <c r="F7" i="10"/>
  <c r="F7" i="7" s="1"/>
  <c r="E7" i="10"/>
  <c r="E7" i="7" s="1"/>
  <c r="C7" i="10"/>
  <c r="C7" i="7" s="1"/>
  <c r="B7" i="10"/>
  <c r="B7" i="7" s="1"/>
  <c r="A7" i="10"/>
  <c r="HH6" i="10"/>
  <c r="HG6" i="10"/>
  <c r="HE6" i="10"/>
  <c r="HD6" i="10"/>
  <c r="HB6" i="10"/>
  <c r="HA6" i="10"/>
  <c r="GY6" i="10"/>
  <c r="GX6" i="10"/>
  <c r="GV6" i="10"/>
  <c r="GU6" i="10"/>
  <c r="GS6" i="10"/>
  <c r="GR6" i="10"/>
  <c r="GP6" i="10"/>
  <c r="GO6" i="10"/>
  <c r="GM6" i="10"/>
  <c r="GL6" i="10"/>
  <c r="GJ6" i="10"/>
  <c r="GI6" i="10"/>
  <c r="GG6" i="10"/>
  <c r="GF6" i="10"/>
  <c r="GD6" i="10"/>
  <c r="GC6" i="10"/>
  <c r="GA6" i="10"/>
  <c r="FZ6" i="10"/>
  <c r="FX6" i="10"/>
  <c r="FW6" i="10"/>
  <c r="FU6" i="10"/>
  <c r="FT6" i="10"/>
  <c r="FR6" i="10"/>
  <c r="FQ6" i="10"/>
  <c r="FO6" i="10"/>
  <c r="FN6" i="10"/>
  <c r="FL6" i="10"/>
  <c r="FK6" i="10"/>
  <c r="FI6" i="10"/>
  <c r="FH6" i="10"/>
  <c r="FF6" i="10"/>
  <c r="FF6" i="7" s="1"/>
  <c r="FE6" i="10"/>
  <c r="FE6" i="7" s="1"/>
  <c r="FC6" i="10"/>
  <c r="FC6" i="7" s="1"/>
  <c r="FB6" i="10"/>
  <c r="FB6" i="7" s="1"/>
  <c r="EZ6" i="10"/>
  <c r="EZ6" i="7" s="1"/>
  <c r="EY6" i="10"/>
  <c r="EY6" i="7" s="1"/>
  <c r="EW6" i="10"/>
  <c r="EW6" i="7" s="1"/>
  <c r="EV6" i="10"/>
  <c r="EV6" i="7" s="1"/>
  <c r="ET6" i="10"/>
  <c r="ET6" i="7" s="1"/>
  <c r="ES6" i="10"/>
  <c r="ES6" i="7" s="1"/>
  <c r="EQ6" i="10"/>
  <c r="EQ6" i="7" s="1"/>
  <c r="EP6" i="10"/>
  <c r="EP6" i="7" s="1"/>
  <c r="EN6" i="10"/>
  <c r="EN6" i="7" s="1"/>
  <c r="EM6" i="10"/>
  <c r="EM6" i="7" s="1"/>
  <c r="EK6" i="10"/>
  <c r="EK6" i="7" s="1"/>
  <c r="EJ6" i="10"/>
  <c r="EJ6" i="7" s="1"/>
  <c r="EH6" i="10"/>
  <c r="EH6" i="7" s="1"/>
  <c r="EG6" i="10"/>
  <c r="EG6" i="7" s="1"/>
  <c r="EE6" i="10"/>
  <c r="EE6" i="7" s="1"/>
  <c r="ED6" i="10"/>
  <c r="ED6" i="7" s="1"/>
  <c r="EB6" i="10"/>
  <c r="EB6" i="7" s="1"/>
  <c r="EA6" i="10"/>
  <c r="EA6" i="7" s="1"/>
  <c r="DY6" i="10"/>
  <c r="DY6" i="7" s="1"/>
  <c r="DX6" i="10"/>
  <c r="DX6" i="7" s="1"/>
  <c r="DV6" i="10"/>
  <c r="DV6" i="7" s="1"/>
  <c r="DU6" i="10"/>
  <c r="DU6" i="7" s="1"/>
  <c r="DS6" i="10"/>
  <c r="DS6" i="7" s="1"/>
  <c r="DR6" i="10"/>
  <c r="DR6" i="7" s="1"/>
  <c r="DP6" i="10"/>
  <c r="DP6" i="7" s="1"/>
  <c r="DO6" i="10"/>
  <c r="DO6" i="7" s="1"/>
  <c r="DM6" i="10"/>
  <c r="DM6" i="7" s="1"/>
  <c r="DL6" i="10"/>
  <c r="DL6" i="7" s="1"/>
  <c r="DJ6" i="10"/>
  <c r="DJ6" i="7" s="1"/>
  <c r="DI6" i="10"/>
  <c r="DI6" i="7" s="1"/>
  <c r="DG6" i="10"/>
  <c r="DG6" i="7" s="1"/>
  <c r="DF6" i="10"/>
  <c r="DF6" i="7" s="1"/>
  <c r="DD6" i="10"/>
  <c r="DD6" i="7" s="1"/>
  <c r="DC6" i="10"/>
  <c r="DC6" i="7" s="1"/>
  <c r="DA6" i="10"/>
  <c r="DA6" i="7" s="1"/>
  <c r="CZ6" i="10"/>
  <c r="CZ6" i="7" s="1"/>
  <c r="CX6" i="10"/>
  <c r="CX6" i="7" s="1"/>
  <c r="CW6" i="10"/>
  <c r="CW6" i="7" s="1"/>
  <c r="CU6" i="10"/>
  <c r="CU6" i="7" s="1"/>
  <c r="CT6" i="10"/>
  <c r="CT6" i="7" s="1"/>
  <c r="CR6" i="10"/>
  <c r="CR6" i="7" s="1"/>
  <c r="CQ6" i="10"/>
  <c r="CQ6" i="7" s="1"/>
  <c r="CO6" i="10"/>
  <c r="CO6" i="7" s="1"/>
  <c r="CN6" i="10"/>
  <c r="CN6" i="7" s="1"/>
  <c r="CL6" i="10"/>
  <c r="CL6" i="7" s="1"/>
  <c r="CK6" i="10"/>
  <c r="CK6" i="7" s="1"/>
  <c r="CI6" i="10"/>
  <c r="CI6" i="7" s="1"/>
  <c r="CH6" i="10"/>
  <c r="CH6" i="7" s="1"/>
  <c r="CF6" i="10"/>
  <c r="CF6" i="7" s="1"/>
  <c r="CE6" i="10"/>
  <c r="CE6" i="7" s="1"/>
  <c r="CC6" i="10"/>
  <c r="CC6" i="7" s="1"/>
  <c r="CB6" i="10"/>
  <c r="CB6" i="7" s="1"/>
  <c r="BZ6" i="10"/>
  <c r="BZ6" i="7" s="1"/>
  <c r="BY6" i="10"/>
  <c r="BY6" i="7" s="1"/>
  <c r="BW6" i="10"/>
  <c r="BW6" i="7" s="1"/>
  <c r="BV6" i="10"/>
  <c r="BV6" i="7" s="1"/>
  <c r="BT6" i="10"/>
  <c r="BT6" i="7" s="1"/>
  <c r="BS6" i="10"/>
  <c r="BS6" i="7" s="1"/>
  <c r="BQ6" i="10"/>
  <c r="BQ6" i="7" s="1"/>
  <c r="BP6" i="10"/>
  <c r="BP6" i="7" s="1"/>
  <c r="BN6" i="10"/>
  <c r="BN6" i="7" s="1"/>
  <c r="BM6" i="10"/>
  <c r="BM6" i="7" s="1"/>
  <c r="BK6" i="10"/>
  <c r="BK6" i="7" s="1"/>
  <c r="BJ6" i="10"/>
  <c r="BJ6" i="7" s="1"/>
  <c r="BH6" i="10"/>
  <c r="BH6" i="7" s="1"/>
  <c r="BG6" i="10"/>
  <c r="BG6" i="7" s="1"/>
  <c r="BE6" i="10"/>
  <c r="BE6" i="7" s="1"/>
  <c r="BD6" i="10"/>
  <c r="BD6" i="7" s="1"/>
  <c r="BB6" i="10"/>
  <c r="BB6" i="7" s="1"/>
  <c r="BA6" i="10"/>
  <c r="BA6" i="7" s="1"/>
  <c r="AY6" i="10"/>
  <c r="AY6" i="7" s="1"/>
  <c r="AX6" i="10"/>
  <c r="AX6" i="7" s="1"/>
  <c r="AV6" i="10"/>
  <c r="AV6" i="7" s="1"/>
  <c r="AU6" i="10"/>
  <c r="AU6" i="7" s="1"/>
  <c r="AS6" i="10"/>
  <c r="AS6" i="7" s="1"/>
  <c r="AR6" i="10"/>
  <c r="AR6" i="7" s="1"/>
  <c r="AP6" i="10"/>
  <c r="AP6" i="7" s="1"/>
  <c r="AO6" i="10"/>
  <c r="AO6" i="7" s="1"/>
  <c r="AM6" i="10"/>
  <c r="AM6" i="7" s="1"/>
  <c r="AL6" i="10"/>
  <c r="AL6" i="7" s="1"/>
  <c r="AJ6" i="10"/>
  <c r="AJ6" i="7" s="1"/>
  <c r="AI6" i="10"/>
  <c r="AI6" i="7" s="1"/>
  <c r="AG6" i="10"/>
  <c r="AG6" i="7" s="1"/>
  <c r="AF6" i="10"/>
  <c r="AF6" i="7" s="1"/>
  <c r="AD6" i="10"/>
  <c r="AD6" i="7" s="1"/>
  <c r="AC6" i="10"/>
  <c r="AC6" i="7" s="1"/>
  <c r="AA6" i="10"/>
  <c r="AA6" i="7" s="1"/>
  <c r="Z6" i="10"/>
  <c r="Z6" i="7" s="1"/>
  <c r="X6" i="10"/>
  <c r="X6" i="7" s="1"/>
  <c r="W6" i="10"/>
  <c r="W6" i="7" s="1"/>
  <c r="U6" i="10"/>
  <c r="U6" i="7" s="1"/>
  <c r="T6" i="10"/>
  <c r="T6" i="7" s="1"/>
  <c r="R6" i="10"/>
  <c r="R6" i="7" s="1"/>
  <c r="Q6" i="10"/>
  <c r="Q6" i="7" s="1"/>
  <c r="O6" i="10"/>
  <c r="O6" i="7" s="1"/>
  <c r="N6" i="10"/>
  <c r="N6" i="7" s="1"/>
  <c r="L6" i="10"/>
  <c r="L6" i="7" s="1"/>
  <c r="K6" i="10"/>
  <c r="K6" i="7" s="1"/>
  <c r="I6" i="10"/>
  <c r="I6" i="7" s="1"/>
  <c r="H6" i="10"/>
  <c r="H6" i="7" s="1"/>
  <c r="F6" i="10"/>
  <c r="F6" i="7" s="1"/>
  <c r="E6" i="10"/>
  <c r="E6" i="7" s="1"/>
  <c r="C6" i="10"/>
  <c r="C6" i="7" s="1"/>
  <c r="B6" i="10"/>
  <c r="B6" i="7" s="1"/>
  <c r="A6" i="10"/>
  <c r="A6" i="7" s="1"/>
  <c r="HH5" i="10"/>
  <c r="HG5" i="10"/>
  <c r="HE5" i="10"/>
  <c r="HD5" i="10"/>
  <c r="HB5" i="10"/>
  <c r="HA5" i="10"/>
  <c r="GY5" i="10"/>
  <c r="GX5" i="10"/>
  <c r="GV5" i="10"/>
  <c r="GU5" i="10"/>
  <c r="GS5" i="10"/>
  <c r="GR5" i="10"/>
  <c r="GP5" i="10"/>
  <c r="GO5" i="10"/>
  <c r="GM5" i="10"/>
  <c r="GL5" i="10"/>
  <c r="GJ5" i="10"/>
  <c r="GI5" i="10"/>
  <c r="GG5" i="10"/>
  <c r="GF5" i="10"/>
  <c r="GD5" i="10"/>
  <c r="GC5" i="10"/>
  <c r="GA5" i="10"/>
  <c r="FZ5" i="10"/>
  <c r="FX5" i="10"/>
  <c r="FW5" i="10"/>
  <c r="FU5" i="10"/>
  <c r="FT5" i="10"/>
  <c r="FR5" i="10"/>
  <c r="FQ5" i="10"/>
  <c r="FO5" i="10"/>
  <c r="FN5" i="10"/>
  <c r="FL5" i="10"/>
  <c r="FK5" i="10"/>
  <c r="FI5" i="10"/>
  <c r="FH5" i="10"/>
  <c r="FF5" i="10"/>
  <c r="FF5" i="7" s="1"/>
  <c r="FE5" i="10"/>
  <c r="FE5" i="7" s="1"/>
  <c r="FC5" i="10"/>
  <c r="FC5" i="7" s="1"/>
  <c r="FB5" i="10"/>
  <c r="FB5" i="7" s="1"/>
  <c r="EZ5" i="10"/>
  <c r="EZ5" i="7" s="1"/>
  <c r="EY5" i="10"/>
  <c r="EY5" i="7" s="1"/>
  <c r="EW5" i="10"/>
  <c r="EW5" i="7" s="1"/>
  <c r="EV5" i="10"/>
  <c r="EV5" i="7" s="1"/>
  <c r="ET5" i="10"/>
  <c r="ET5" i="7" s="1"/>
  <c r="ES5" i="10"/>
  <c r="ES5" i="7" s="1"/>
  <c r="EQ5" i="10"/>
  <c r="EQ5" i="7" s="1"/>
  <c r="EP5" i="10"/>
  <c r="EP5" i="7" s="1"/>
  <c r="EN5" i="10"/>
  <c r="EN5" i="7" s="1"/>
  <c r="EM5" i="10"/>
  <c r="EM5" i="7" s="1"/>
  <c r="EK5" i="10"/>
  <c r="EK5" i="7" s="1"/>
  <c r="EJ5" i="10"/>
  <c r="EJ5" i="7" s="1"/>
  <c r="EH5" i="10"/>
  <c r="EH5" i="7" s="1"/>
  <c r="EG5" i="10"/>
  <c r="EG5" i="7" s="1"/>
  <c r="EE5" i="10"/>
  <c r="EE5" i="7" s="1"/>
  <c r="ED5" i="10"/>
  <c r="ED5" i="7" s="1"/>
  <c r="EB5" i="10"/>
  <c r="EB5" i="7" s="1"/>
  <c r="EA5" i="10"/>
  <c r="EA5" i="7" s="1"/>
  <c r="DY5" i="10"/>
  <c r="DY5" i="7" s="1"/>
  <c r="DX5" i="10"/>
  <c r="DX5" i="7" s="1"/>
  <c r="DV5" i="10"/>
  <c r="DV5" i="7" s="1"/>
  <c r="DU5" i="10"/>
  <c r="DU5" i="7" s="1"/>
  <c r="DS5" i="10"/>
  <c r="DS5" i="7" s="1"/>
  <c r="DR5" i="10"/>
  <c r="DR5" i="7" s="1"/>
  <c r="DP5" i="10"/>
  <c r="DP5" i="7" s="1"/>
  <c r="DO5" i="10"/>
  <c r="DO5" i="7" s="1"/>
  <c r="DM5" i="10"/>
  <c r="DM5" i="7" s="1"/>
  <c r="DL5" i="10"/>
  <c r="DL5" i="7" s="1"/>
  <c r="DJ5" i="10"/>
  <c r="DJ5" i="7" s="1"/>
  <c r="DI5" i="10"/>
  <c r="DI5" i="7" s="1"/>
  <c r="DG5" i="10"/>
  <c r="DG5" i="7" s="1"/>
  <c r="DF5" i="10"/>
  <c r="DF5" i="7" s="1"/>
  <c r="DD5" i="10"/>
  <c r="DD5" i="7" s="1"/>
  <c r="DC5" i="10"/>
  <c r="DC5" i="7" s="1"/>
  <c r="DA5" i="10"/>
  <c r="DA5" i="7" s="1"/>
  <c r="CZ5" i="10"/>
  <c r="CZ5" i="7" s="1"/>
  <c r="CX5" i="10"/>
  <c r="CX5" i="7" s="1"/>
  <c r="CW5" i="10"/>
  <c r="CW5" i="7" s="1"/>
  <c r="CU5" i="10"/>
  <c r="CU5" i="7" s="1"/>
  <c r="CT5" i="10"/>
  <c r="CT5" i="7" s="1"/>
  <c r="CR5" i="10"/>
  <c r="CR5" i="7" s="1"/>
  <c r="CQ5" i="10"/>
  <c r="CQ5" i="7" s="1"/>
  <c r="CO5" i="10"/>
  <c r="CO5" i="7" s="1"/>
  <c r="CN5" i="10"/>
  <c r="CN5" i="7" s="1"/>
  <c r="CL5" i="10"/>
  <c r="CL5" i="7" s="1"/>
  <c r="CK5" i="10"/>
  <c r="CK5" i="7" s="1"/>
  <c r="CI5" i="10"/>
  <c r="CI5" i="7" s="1"/>
  <c r="CH5" i="10"/>
  <c r="CH5" i="7" s="1"/>
  <c r="CF5" i="10"/>
  <c r="CF5" i="7" s="1"/>
  <c r="CE5" i="10"/>
  <c r="CE5" i="7" s="1"/>
  <c r="CC5" i="10"/>
  <c r="CC5" i="7" s="1"/>
  <c r="CB5" i="10"/>
  <c r="CB5" i="7" s="1"/>
  <c r="BZ5" i="10"/>
  <c r="BZ5" i="7" s="1"/>
  <c r="BY5" i="10"/>
  <c r="BY5" i="7" s="1"/>
  <c r="BW5" i="10"/>
  <c r="BW5" i="7" s="1"/>
  <c r="BV5" i="10"/>
  <c r="BV5" i="7" s="1"/>
  <c r="BT5" i="10"/>
  <c r="BT5" i="7" s="1"/>
  <c r="BS5" i="10"/>
  <c r="BS5" i="7" s="1"/>
  <c r="BQ5" i="10"/>
  <c r="BQ5" i="7" s="1"/>
  <c r="BP5" i="10"/>
  <c r="BP5" i="7" s="1"/>
  <c r="BN5" i="10"/>
  <c r="BN5" i="7" s="1"/>
  <c r="BM5" i="10"/>
  <c r="BM5" i="7" s="1"/>
  <c r="BK5" i="10"/>
  <c r="BK5" i="7" s="1"/>
  <c r="BJ5" i="10"/>
  <c r="BJ5" i="7" s="1"/>
  <c r="BH5" i="10"/>
  <c r="BH5" i="7" s="1"/>
  <c r="BG5" i="10"/>
  <c r="BG5" i="7" s="1"/>
  <c r="BE5" i="10"/>
  <c r="BE5" i="7" s="1"/>
  <c r="BD5" i="10"/>
  <c r="BD5" i="7" s="1"/>
  <c r="BB5" i="10"/>
  <c r="BB5" i="7" s="1"/>
  <c r="BA5" i="10"/>
  <c r="BA5" i="7" s="1"/>
  <c r="AY5" i="10"/>
  <c r="AY5" i="7" s="1"/>
  <c r="AX5" i="10"/>
  <c r="AX5" i="7" s="1"/>
  <c r="AV5" i="10"/>
  <c r="AV5" i="7" s="1"/>
  <c r="AU5" i="10"/>
  <c r="AU5" i="7" s="1"/>
  <c r="AS5" i="10"/>
  <c r="AS5" i="7" s="1"/>
  <c r="AR5" i="10"/>
  <c r="AR5" i="7" s="1"/>
  <c r="AP5" i="10"/>
  <c r="AP5" i="7" s="1"/>
  <c r="AO5" i="10"/>
  <c r="AO5" i="7" s="1"/>
  <c r="AM5" i="10"/>
  <c r="AM5" i="7" s="1"/>
  <c r="AL5" i="10"/>
  <c r="AL5" i="7" s="1"/>
  <c r="AJ5" i="10"/>
  <c r="AJ5" i="7" s="1"/>
  <c r="AI5" i="10"/>
  <c r="AI5" i="7" s="1"/>
  <c r="AG5" i="10"/>
  <c r="AG5" i="7" s="1"/>
  <c r="AF5" i="10"/>
  <c r="AF5" i="7" s="1"/>
  <c r="AD5" i="10"/>
  <c r="AD5" i="7" s="1"/>
  <c r="AC5" i="10"/>
  <c r="AC5" i="7" s="1"/>
  <c r="AA5" i="10"/>
  <c r="AA5" i="7" s="1"/>
  <c r="Z5" i="10"/>
  <c r="Z5" i="7" s="1"/>
  <c r="X5" i="10"/>
  <c r="X5" i="7" s="1"/>
  <c r="W5" i="10"/>
  <c r="W5" i="7" s="1"/>
  <c r="U5" i="10"/>
  <c r="U5" i="7" s="1"/>
  <c r="T5" i="10"/>
  <c r="T5" i="7" s="1"/>
  <c r="R5" i="10"/>
  <c r="R5" i="7" s="1"/>
  <c r="Q5" i="10"/>
  <c r="Q5" i="7" s="1"/>
  <c r="O5" i="10"/>
  <c r="O5" i="7" s="1"/>
  <c r="N5" i="10"/>
  <c r="N5" i="7" s="1"/>
  <c r="L5" i="10"/>
  <c r="L5" i="7" s="1"/>
  <c r="K5" i="10"/>
  <c r="K5" i="7" s="1"/>
  <c r="I5" i="10"/>
  <c r="I5" i="7" s="1"/>
  <c r="H5" i="10"/>
  <c r="H5" i="7" s="1"/>
  <c r="F5" i="10"/>
  <c r="F5" i="7" s="1"/>
  <c r="E5" i="10"/>
  <c r="E5" i="7" s="1"/>
  <c r="C5" i="10"/>
  <c r="C5" i="7" s="1"/>
  <c r="B5" i="10"/>
  <c r="B5" i="7" s="1"/>
  <c r="A5" i="10"/>
  <c r="A5" i="7" s="1"/>
  <c r="HH4" i="10"/>
  <c r="HG4" i="10"/>
  <c r="HE4" i="10"/>
  <c r="HD4" i="10"/>
  <c r="HB4" i="10"/>
  <c r="HA4" i="10"/>
  <c r="GY4" i="10"/>
  <c r="GX4" i="10"/>
  <c r="GV4" i="10"/>
  <c r="GU4" i="10"/>
  <c r="GS4" i="10"/>
  <c r="GR4" i="10"/>
  <c r="GP4" i="10"/>
  <c r="GO4" i="10"/>
  <c r="GM4" i="10"/>
  <c r="GL4" i="10"/>
  <c r="GJ4" i="10"/>
  <c r="GI4" i="10"/>
  <c r="GG4" i="10"/>
  <c r="GF4" i="10"/>
  <c r="GD4" i="10"/>
  <c r="GC4" i="10"/>
  <c r="GA4" i="10"/>
  <c r="FZ4" i="10"/>
  <c r="FX4" i="10"/>
  <c r="FW4" i="10"/>
  <c r="FU4" i="10"/>
  <c r="FT4" i="10"/>
  <c r="FR4" i="10"/>
  <c r="FQ4" i="10"/>
  <c r="FO4" i="10"/>
  <c r="FN4" i="10"/>
  <c r="FL4" i="10"/>
  <c r="FK4" i="10"/>
  <c r="FI4" i="10"/>
  <c r="FH4" i="10"/>
  <c r="FF4" i="10"/>
  <c r="FF4" i="7" s="1"/>
  <c r="FE4" i="10"/>
  <c r="FE4" i="7" s="1"/>
  <c r="FC4" i="10"/>
  <c r="FC4" i="7" s="1"/>
  <c r="FB4" i="10"/>
  <c r="FB4" i="7" s="1"/>
  <c r="EZ4" i="10"/>
  <c r="EZ4" i="7" s="1"/>
  <c r="EY4" i="10"/>
  <c r="EY4" i="7" s="1"/>
  <c r="EW4" i="10"/>
  <c r="EW4" i="7" s="1"/>
  <c r="EV4" i="10"/>
  <c r="EV4" i="7" s="1"/>
  <c r="ET4" i="10"/>
  <c r="ET4" i="7" s="1"/>
  <c r="ES4" i="10"/>
  <c r="ES4" i="7" s="1"/>
  <c r="EQ4" i="10"/>
  <c r="EQ4" i="7" s="1"/>
  <c r="EP4" i="10"/>
  <c r="EP4" i="7" s="1"/>
  <c r="EN4" i="10"/>
  <c r="EN4" i="7" s="1"/>
  <c r="EM4" i="10"/>
  <c r="EM4" i="7" s="1"/>
  <c r="EK4" i="10"/>
  <c r="EK4" i="7" s="1"/>
  <c r="EJ4" i="10"/>
  <c r="EJ4" i="7" s="1"/>
  <c r="EH4" i="10"/>
  <c r="EH4" i="7" s="1"/>
  <c r="EG4" i="10"/>
  <c r="EG4" i="7" s="1"/>
  <c r="EE4" i="10"/>
  <c r="EE4" i="7" s="1"/>
  <c r="ED4" i="10"/>
  <c r="ED4" i="7" s="1"/>
  <c r="EB4" i="10"/>
  <c r="EB4" i="7" s="1"/>
  <c r="EA4" i="10"/>
  <c r="EA4" i="7" s="1"/>
  <c r="DY4" i="10"/>
  <c r="DY4" i="7" s="1"/>
  <c r="DX4" i="10"/>
  <c r="DX4" i="7" s="1"/>
  <c r="DV4" i="10"/>
  <c r="DV4" i="7" s="1"/>
  <c r="DU4" i="10"/>
  <c r="DU4" i="7" s="1"/>
  <c r="DS4" i="10"/>
  <c r="DS4" i="7" s="1"/>
  <c r="DR4" i="10"/>
  <c r="DR4" i="7" s="1"/>
  <c r="DP4" i="10"/>
  <c r="DP4" i="7" s="1"/>
  <c r="DO4" i="10"/>
  <c r="DO4" i="7" s="1"/>
  <c r="DM4" i="10"/>
  <c r="DM4" i="7" s="1"/>
  <c r="DL4" i="10"/>
  <c r="DL4" i="7" s="1"/>
  <c r="DJ4" i="10"/>
  <c r="DJ4" i="7" s="1"/>
  <c r="DI4" i="10"/>
  <c r="DI4" i="7" s="1"/>
  <c r="DG4" i="10"/>
  <c r="DG4" i="7" s="1"/>
  <c r="DF4" i="10"/>
  <c r="DF4" i="7" s="1"/>
  <c r="DD4" i="10"/>
  <c r="DD4" i="7" s="1"/>
  <c r="DC4" i="10"/>
  <c r="DC4" i="7" s="1"/>
  <c r="DA4" i="10"/>
  <c r="DA4" i="7" s="1"/>
  <c r="CZ4" i="10"/>
  <c r="CZ4" i="7" s="1"/>
  <c r="CX4" i="10"/>
  <c r="CX4" i="7" s="1"/>
  <c r="CW4" i="10"/>
  <c r="CW4" i="7" s="1"/>
  <c r="CU4" i="10"/>
  <c r="CU4" i="7" s="1"/>
  <c r="CT4" i="10"/>
  <c r="CT4" i="7" s="1"/>
  <c r="CR4" i="10"/>
  <c r="CR4" i="7" s="1"/>
  <c r="CQ4" i="10"/>
  <c r="CQ4" i="7" s="1"/>
  <c r="CO4" i="10"/>
  <c r="CO4" i="7" s="1"/>
  <c r="CN4" i="10"/>
  <c r="CN4" i="7" s="1"/>
  <c r="CL4" i="10"/>
  <c r="CL4" i="7" s="1"/>
  <c r="CK4" i="10"/>
  <c r="CK4" i="7" s="1"/>
  <c r="CI4" i="10"/>
  <c r="CI4" i="7" s="1"/>
  <c r="CH4" i="10"/>
  <c r="CH4" i="7" s="1"/>
  <c r="CF4" i="10"/>
  <c r="CF4" i="7" s="1"/>
  <c r="CE4" i="10"/>
  <c r="CE4" i="7" s="1"/>
  <c r="CC4" i="10"/>
  <c r="CC4" i="7" s="1"/>
  <c r="CB4" i="10"/>
  <c r="CB4" i="7" s="1"/>
  <c r="BZ4" i="10"/>
  <c r="BZ4" i="7" s="1"/>
  <c r="BY4" i="10"/>
  <c r="BY4" i="7" s="1"/>
  <c r="BW4" i="10"/>
  <c r="BW4" i="7" s="1"/>
  <c r="BV4" i="10"/>
  <c r="BV4" i="7" s="1"/>
  <c r="BT4" i="10"/>
  <c r="BT4" i="7" s="1"/>
  <c r="BS4" i="10"/>
  <c r="BS4" i="7" s="1"/>
  <c r="BQ4" i="10"/>
  <c r="BQ4" i="7" s="1"/>
  <c r="BP4" i="10"/>
  <c r="BP4" i="7" s="1"/>
  <c r="BN4" i="10"/>
  <c r="BN4" i="7" s="1"/>
  <c r="BM4" i="10"/>
  <c r="BM4" i="7" s="1"/>
  <c r="BK4" i="10"/>
  <c r="BK4" i="7" s="1"/>
  <c r="BJ4" i="10"/>
  <c r="BJ4" i="7" s="1"/>
  <c r="BH4" i="10"/>
  <c r="BH4" i="7" s="1"/>
  <c r="BG4" i="10"/>
  <c r="BG4" i="7" s="1"/>
  <c r="BE4" i="10"/>
  <c r="BE4" i="7" s="1"/>
  <c r="BD4" i="10"/>
  <c r="BD4" i="7" s="1"/>
  <c r="BB4" i="10"/>
  <c r="BB4" i="7" s="1"/>
  <c r="BA4" i="10"/>
  <c r="BA4" i="7" s="1"/>
  <c r="AY4" i="10"/>
  <c r="AY4" i="7" s="1"/>
  <c r="AX4" i="10"/>
  <c r="AX4" i="7" s="1"/>
  <c r="AV4" i="10"/>
  <c r="AV4" i="7" s="1"/>
  <c r="AU4" i="10"/>
  <c r="AU4" i="7" s="1"/>
  <c r="AS4" i="10"/>
  <c r="AS4" i="7" s="1"/>
  <c r="AR4" i="10"/>
  <c r="AR4" i="7" s="1"/>
  <c r="AP4" i="10"/>
  <c r="AP4" i="7" s="1"/>
  <c r="AO4" i="10"/>
  <c r="AO4" i="7" s="1"/>
  <c r="AM4" i="10"/>
  <c r="AM4" i="7" s="1"/>
  <c r="AL4" i="10"/>
  <c r="AL4" i="7" s="1"/>
  <c r="AJ4" i="10"/>
  <c r="AJ4" i="7" s="1"/>
  <c r="AI4" i="10"/>
  <c r="AI4" i="7" s="1"/>
  <c r="AG4" i="10"/>
  <c r="AG4" i="7" s="1"/>
  <c r="AF4" i="10"/>
  <c r="AF4" i="7" s="1"/>
  <c r="AD4" i="10"/>
  <c r="AD4" i="7" s="1"/>
  <c r="AC4" i="10"/>
  <c r="AC4" i="7" s="1"/>
  <c r="AA4" i="10"/>
  <c r="AA4" i="7" s="1"/>
  <c r="Z4" i="10"/>
  <c r="Z4" i="7" s="1"/>
  <c r="X4" i="10"/>
  <c r="X4" i="7" s="1"/>
  <c r="W4" i="10"/>
  <c r="W4" i="7" s="1"/>
  <c r="U4" i="10"/>
  <c r="U4" i="7" s="1"/>
  <c r="T4" i="10"/>
  <c r="T4" i="7" s="1"/>
  <c r="R4" i="10"/>
  <c r="R4" i="7" s="1"/>
  <c r="Q4" i="10"/>
  <c r="Q4" i="7" s="1"/>
  <c r="O4" i="10"/>
  <c r="O4" i="7" s="1"/>
  <c r="N4" i="10"/>
  <c r="N4" i="7" s="1"/>
  <c r="L4" i="10"/>
  <c r="L4" i="7" s="1"/>
  <c r="K4" i="10"/>
  <c r="K4" i="7" s="1"/>
  <c r="I4" i="10"/>
  <c r="I4" i="7" s="1"/>
  <c r="H4" i="10"/>
  <c r="H4" i="7" s="1"/>
  <c r="F4" i="10"/>
  <c r="F4" i="7" s="1"/>
  <c r="E4" i="10"/>
  <c r="E4" i="7" s="1"/>
  <c r="C4" i="10"/>
  <c r="C4" i="7" s="1"/>
  <c r="B4" i="10"/>
  <c r="B4" i="7" s="1"/>
  <c r="A4" i="10"/>
  <c r="A4" i="7" s="1"/>
  <c r="HH3" i="10"/>
  <c r="HG3" i="10"/>
  <c r="HE3" i="10"/>
  <c r="HD3" i="10"/>
  <c r="HB3" i="10"/>
  <c r="HA3" i="10"/>
  <c r="GY3" i="10"/>
  <c r="GX3" i="10"/>
  <c r="GV3" i="10"/>
  <c r="GU3" i="10"/>
  <c r="GS3" i="10"/>
  <c r="GR3" i="10"/>
  <c r="GP3" i="10"/>
  <c r="GO3" i="10"/>
  <c r="GM3" i="10"/>
  <c r="GL3" i="10"/>
  <c r="GJ3" i="10"/>
  <c r="GI3" i="10"/>
  <c r="GG3" i="10"/>
  <c r="GF3" i="10"/>
  <c r="GD3" i="10"/>
  <c r="GC3" i="10"/>
  <c r="GA3" i="10"/>
  <c r="FZ3" i="10"/>
  <c r="FX3" i="10"/>
  <c r="FW3" i="10"/>
  <c r="FU3" i="10"/>
  <c r="FT3" i="10"/>
  <c r="FR3" i="10"/>
  <c r="FQ3" i="10"/>
  <c r="FO3" i="10"/>
  <c r="FN3" i="10"/>
  <c r="FL3" i="10"/>
  <c r="FK3" i="10"/>
  <c r="FI3" i="10"/>
  <c r="FH3" i="10"/>
  <c r="FF3" i="10"/>
  <c r="FF3" i="7" s="1"/>
  <c r="FE3" i="10"/>
  <c r="FE3" i="7" s="1"/>
  <c r="FC3" i="10"/>
  <c r="FC3" i="7" s="1"/>
  <c r="FB3" i="10"/>
  <c r="FB3" i="7" s="1"/>
  <c r="EZ3" i="10"/>
  <c r="EZ3" i="7" s="1"/>
  <c r="EY3" i="10"/>
  <c r="EY3" i="7" s="1"/>
  <c r="EW3" i="10"/>
  <c r="EW3" i="7" s="1"/>
  <c r="EV3" i="10"/>
  <c r="EV3" i="7" s="1"/>
  <c r="ET3" i="10"/>
  <c r="ET3" i="7" s="1"/>
  <c r="ES3" i="10"/>
  <c r="ES3" i="7" s="1"/>
  <c r="EQ3" i="10"/>
  <c r="EQ3" i="7" s="1"/>
  <c r="EP3" i="10"/>
  <c r="EP3" i="7" s="1"/>
  <c r="EN3" i="10"/>
  <c r="EN3" i="7" s="1"/>
  <c r="EM3" i="10"/>
  <c r="EM3" i="7" s="1"/>
  <c r="EK3" i="10"/>
  <c r="EK3" i="7" s="1"/>
  <c r="EJ3" i="10"/>
  <c r="EJ3" i="7" s="1"/>
  <c r="EH3" i="10"/>
  <c r="EH3" i="7" s="1"/>
  <c r="EG3" i="10"/>
  <c r="EG3" i="7" s="1"/>
  <c r="EE3" i="10"/>
  <c r="EE3" i="7" s="1"/>
  <c r="ED3" i="10"/>
  <c r="ED3" i="7" s="1"/>
  <c r="EB3" i="10"/>
  <c r="EB3" i="7" s="1"/>
  <c r="EA3" i="10"/>
  <c r="EA3" i="7" s="1"/>
  <c r="DY3" i="10"/>
  <c r="DY3" i="7" s="1"/>
  <c r="DX3" i="10"/>
  <c r="DX3" i="7" s="1"/>
  <c r="DV3" i="10"/>
  <c r="DV3" i="7" s="1"/>
  <c r="DU3" i="10"/>
  <c r="DU3" i="7" s="1"/>
  <c r="DS3" i="10"/>
  <c r="DS3" i="7" s="1"/>
  <c r="DR3" i="10"/>
  <c r="DR3" i="7" s="1"/>
  <c r="DP3" i="10"/>
  <c r="DP3" i="7" s="1"/>
  <c r="DO3" i="10"/>
  <c r="DO3" i="7" s="1"/>
  <c r="DM3" i="10"/>
  <c r="DM3" i="7" s="1"/>
  <c r="DL3" i="10"/>
  <c r="DL3" i="7" s="1"/>
  <c r="DJ3" i="10"/>
  <c r="DJ3" i="7" s="1"/>
  <c r="DI3" i="10"/>
  <c r="DI3" i="7" s="1"/>
  <c r="DG3" i="10"/>
  <c r="DG3" i="7" s="1"/>
  <c r="DF3" i="10"/>
  <c r="DF3" i="7" s="1"/>
  <c r="DD3" i="10"/>
  <c r="DD3" i="7" s="1"/>
  <c r="DC3" i="10"/>
  <c r="DC3" i="7" s="1"/>
  <c r="DA3" i="10"/>
  <c r="DA3" i="7" s="1"/>
  <c r="CZ3" i="10"/>
  <c r="CZ3" i="7" s="1"/>
  <c r="CX3" i="10"/>
  <c r="CX3" i="7" s="1"/>
  <c r="CW3" i="10"/>
  <c r="CW3" i="7" s="1"/>
  <c r="CU3" i="10"/>
  <c r="CU3" i="7" s="1"/>
  <c r="CT3" i="10"/>
  <c r="CT3" i="7" s="1"/>
  <c r="CR3" i="10"/>
  <c r="CR3" i="7" s="1"/>
  <c r="CQ3" i="10"/>
  <c r="CQ3" i="7" s="1"/>
  <c r="CO3" i="10"/>
  <c r="CO3" i="7" s="1"/>
  <c r="CN3" i="10"/>
  <c r="CN3" i="7" s="1"/>
  <c r="CL3" i="10"/>
  <c r="CL3" i="7" s="1"/>
  <c r="CK3" i="10"/>
  <c r="CK3" i="7" s="1"/>
  <c r="CI3" i="10"/>
  <c r="CI3" i="7" s="1"/>
  <c r="CH3" i="10"/>
  <c r="CH3" i="7" s="1"/>
  <c r="CF3" i="10"/>
  <c r="CF3" i="7" s="1"/>
  <c r="CE3" i="10"/>
  <c r="CE3" i="7" s="1"/>
  <c r="CC3" i="10"/>
  <c r="CC3" i="7" s="1"/>
  <c r="CB3" i="10"/>
  <c r="CB3" i="7" s="1"/>
  <c r="BZ3" i="10"/>
  <c r="BZ3" i="7" s="1"/>
  <c r="BY3" i="10"/>
  <c r="BY3" i="7" s="1"/>
  <c r="BW3" i="10"/>
  <c r="BW3" i="7" s="1"/>
  <c r="BV3" i="10"/>
  <c r="BV3" i="7" s="1"/>
  <c r="BT3" i="10"/>
  <c r="BT3" i="7" s="1"/>
  <c r="BS3" i="10"/>
  <c r="BS3" i="7" s="1"/>
  <c r="BQ3" i="10"/>
  <c r="BQ3" i="7" s="1"/>
  <c r="BP3" i="10"/>
  <c r="BP3" i="7" s="1"/>
  <c r="BN3" i="10"/>
  <c r="BN3" i="7" s="1"/>
  <c r="BM3" i="10"/>
  <c r="BM3" i="7" s="1"/>
  <c r="BK3" i="10"/>
  <c r="BK3" i="7" s="1"/>
  <c r="BJ3" i="10"/>
  <c r="BJ3" i="7" s="1"/>
  <c r="BH3" i="10"/>
  <c r="BH3" i="7" s="1"/>
  <c r="BG3" i="10"/>
  <c r="BG3" i="7" s="1"/>
  <c r="BE3" i="10"/>
  <c r="BE3" i="7" s="1"/>
  <c r="BD3" i="10"/>
  <c r="BD3" i="7" s="1"/>
  <c r="BB3" i="10"/>
  <c r="BB3" i="7" s="1"/>
  <c r="BA3" i="10"/>
  <c r="BA3" i="7" s="1"/>
  <c r="AY3" i="10"/>
  <c r="AY3" i="7" s="1"/>
  <c r="AX3" i="10"/>
  <c r="AX3" i="7" s="1"/>
  <c r="AV3" i="10"/>
  <c r="AV3" i="7" s="1"/>
  <c r="AU3" i="10"/>
  <c r="AU3" i="7" s="1"/>
  <c r="AS3" i="10"/>
  <c r="AS3" i="7" s="1"/>
  <c r="AR3" i="10"/>
  <c r="AR3" i="7" s="1"/>
  <c r="AP3" i="10"/>
  <c r="AP3" i="7" s="1"/>
  <c r="AO3" i="10"/>
  <c r="AO3" i="7" s="1"/>
  <c r="AM3" i="10"/>
  <c r="AM3" i="7" s="1"/>
  <c r="AL3" i="10"/>
  <c r="AL3" i="7" s="1"/>
  <c r="AJ3" i="10"/>
  <c r="AJ3" i="7" s="1"/>
  <c r="AI3" i="10"/>
  <c r="AI3" i="7" s="1"/>
  <c r="AG3" i="10"/>
  <c r="AG3" i="7" s="1"/>
  <c r="AF3" i="10"/>
  <c r="AF3" i="7" s="1"/>
  <c r="AD3" i="10"/>
  <c r="AD3" i="7" s="1"/>
  <c r="AC3" i="10"/>
  <c r="AC3" i="7" s="1"/>
  <c r="AA3" i="10"/>
  <c r="AA3" i="7" s="1"/>
  <c r="Z3" i="10"/>
  <c r="Z3" i="7" s="1"/>
  <c r="X3" i="10"/>
  <c r="X3" i="7" s="1"/>
  <c r="W3" i="10"/>
  <c r="W3" i="7" s="1"/>
  <c r="U3" i="10"/>
  <c r="U3" i="7" s="1"/>
  <c r="T3" i="10"/>
  <c r="T3" i="7" s="1"/>
  <c r="R3" i="10"/>
  <c r="R3" i="7" s="1"/>
  <c r="Q3" i="10"/>
  <c r="Q3" i="7" s="1"/>
  <c r="O3" i="10"/>
  <c r="O3" i="7" s="1"/>
  <c r="N3" i="10"/>
  <c r="N3" i="7" s="1"/>
  <c r="L3" i="10"/>
  <c r="L3" i="7" s="1"/>
  <c r="K3" i="10"/>
  <c r="K3" i="7" s="1"/>
  <c r="I3" i="10"/>
  <c r="I3" i="7" s="1"/>
  <c r="H3" i="10"/>
  <c r="H3" i="7" s="1"/>
  <c r="F3" i="10"/>
  <c r="F3" i="7" s="1"/>
  <c r="E3" i="10"/>
  <c r="E3" i="7" s="1"/>
  <c r="C3" i="10"/>
  <c r="C3" i="7" s="1"/>
  <c r="B3" i="10"/>
  <c r="B3" i="7" s="1"/>
  <c r="A3" i="10"/>
  <c r="A3" i="7" s="1"/>
  <c r="HH2" i="10"/>
  <c r="HG2" i="10"/>
  <c r="HE2" i="10"/>
  <c r="HD2" i="10"/>
  <c r="HB2" i="10"/>
  <c r="HA2" i="10"/>
  <c r="GY2" i="10"/>
  <c r="GX2" i="10"/>
  <c r="GV2" i="10"/>
  <c r="GU2" i="10"/>
  <c r="GS2" i="10"/>
  <c r="GR2" i="10"/>
  <c r="GP2" i="10"/>
  <c r="GP2" i="7" s="1"/>
  <c r="GO2" i="10"/>
  <c r="GO2" i="7" s="1"/>
  <c r="GM2" i="10"/>
  <c r="GM2" i="7" s="1"/>
  <c r="GL2" i="10"/>
  <c r="GL2" i="7" s="1"/>
  <c r="GJ2" i="10"/>
  <c r="GJ2" i="7" s="1"/>
  <c r="GI2" i="10"/>
  <c r="GI2" i="7" s="1"/>
  <c r="GG2" i="10"/>
  <c r="GG2" i="7" s="1"/>
  <c r="GF2" i="10"/>
  <c r="GF2" i="7" s="1"/>
  <c r="GD2" i="10"/>
  <c r="GD2" i="7" s="1"/>
  <c r="GC2" i="10"/>
  <c r="GC2" i="7" s="1"/>
  <c r="GA2" i="10"/>
  <c r="GA2" i="7" s="1"/>
  <c r="FZ2" i="10"/>
  <c r="FZ2" i="7" s="1"/>
  <c r="FX2" i="10"/>
  <c r="FX2" i="7" s="1"/>
  <c r="FW2" i="10"/>
  <c r="FW2" i="7" s="1"/>
  <c r="FU2" i="10"/>
  <c r="FU2" i="7" s="1"/>
  <c r="FT2" i="10"/>
  <c r="FT2" i="7" s="1"/>
  <c r="FR2" i="10"/>
  <c r="FR2" i="7" s="1"/>
  <c r="FQ2" i="10"/>
  <c r="FQ2" i="7" s="1"/>
  <c r="FO2" i="10"/>
  <c r="FO2" i="7" s="1"/>
  <c r="FN2" i="10"/>
  <c r="FN2" i="7" s="1"/>
  <c r="FL2" i="10"/>
  <c r="FL2" i="7" s="1"/>
  <c r="FK2" i="10"/>
  <c r="FK2" i="7" s="1"/>
  <c r="FI2" i="10"/>
  <c r="FI2" i="7" s="1"/>
  <c r="FH2" i="10"/>
  <c r="FH2" i="7" s="1"/>
  <c r="FF2" i="10"/>
  <c r="FF2" i="7" s="1"/>
  <c r="FE2" i="10"/>
  <c r="FE2" i="7" s="1"/>
  <c r="FC2" i="10"/>
  <c r="FC2" i="7" s="1"/>
  <c r="FB2" i="10"/>
  <c r="FB2" i="7" s="1"/>
  <c r="EZ2" i="10"/>
  <c r="EZ2" i="7" s="1"/>
  <c r="DY2" i="10"/>
  <c r="DY2" i="7" s="1"/>
  <c r="DX2" i="10"/>
  <c r="DX2" i="7" s="1"/>
  <c r="DV2" i="10"/>
  <c r="DV2" i="7" s="1"/>
  <c r="DU2" i="10"/>
  <c r="DU2" i="7" s="1"/>
  <c r="DS2" i="10"/>
  <c r="DS2" i="7" s="1"/>
  <c r="DP2" i="10"/>
  <c r="DP2" i="7" s="1"/>
  <c r="DO2" i="10"/>
  <c r="DO2" i="7" s="1"/>
  <c r="DM2" i="10"/>
  <c r="DM2" i="7" s="1"/>
  <c r="DL2" i="10"/>
  <c r="DL2" i="7" s="1"/>
  <c r="DJ2" i="10"/>
  <c r="DJ2" i="7" s="1"/>
  <c r="DI2" i="10"/>
  <c r="DI2" i="7" s="1"/>
  <c r="DG2" i="10"/>
  <c r="DG2" i="7" s="1"/>
  <c r="DF2" i="10"/>
  <c r="DF2" i="7" s="1"/>
  <c r="DD2" i="10"/>
  <c r="DD2" i="7" s="1"/>
  <c r="DC2" i="10"/>
  <c r="DC2" i="7" s="1"/>
  <c r="DA2" i="10"/>
  <c r="DA2" i="7" s="1"/>
  <c r="CZ2" i="10"/>
  <c r="CZ2" i="7" s="1"/>
  <c r="CX2" i="10"/>
  <c r="CX2" i="7" s="1"/>
  <c r="CW2" i="10"/>
  <c r="CW2" i="7" s="1"/>
  <c r="CU2" i="10"/>
  <c r="CU2" i="7" s="1"/>
  <c r="CT2" i="10"/>
  <c r="CT2" i="7" s="1"/>
  <c r="CR2" i="10"/>
  <c r="CR2" i="7" s="1"/>
  <c r="CQ2" i="10"/>
  <c r="CQ2" i="7" s="1"/>
  <c r="CO2" i="10"/>
  <c r="CO2" i="7" s="1"/>
  <c r="CN2" i="10"/>
  <c r="CN2" i="7" s="1"/>
  <c r="CL2" i="10"/>
  <c r="CL2" i="7" s="1"/>
  <c r="CK2" i="10"/>
  <c r="CK2" i="7" s="1"/>
  <c r="CI2" i="10"/>
  <c r="CI2" i="7" s="1"/>
  <c r="CH2" i="10"/>
  <c r="CH2" i="7" s="1"/>
  <c r="CF2" i="10"/>
  <c r="CF2" i="7" s="1"/>
  <c r="CE2" i="10"/>
  <c r="CE2" i="7" s="1"/>
  <c r="CC2" i="10"/>
  <c r="CC2" i="7" s="1"/>
  <c r="CB2" i="10"/>
  <c r="CB2" i="7" s="1"/>
  <c r="BZ2" i="10"/>
  <c r="BZ2" i="7" s="1"/>
  <c r="BY2" i="10"/>
  <c r="BY2" i="7" s="1"/>
  <c r="BW2" i="10"/>
  <c r="BW2" i="7" s="1"/>
  <c r="BV2" i="10"/>
  <c r="BV2" i="7" s="1"/>
  <c r="BT2" i="10"/>
  <c r="BT2" i="7" s="1"/>
  <c r="BS2" i="10"/>
  <c r="BS2" i="7" s="1"/>
  <c r="BQ2" i="10"/>
  <c r="BQ2" i="7" s="1"/>
  <c r="BP2" i="10"/>
  <c r="BP2" i="7" s="1"/>
  <c r="BN2" i="10"/>
  <c r="BN2" i="7" s="1"/>
  <c r="BM2" i="10"/>
  <c r="BM2" i="7" s="1"/>
  <c r="BK2" i="10"/>
  <c r="BK2" i="7" s="1"/>
  <c r="BJ2" i="10"/>
  <c r="BJ2" i="7" s="1"/>
  <c r="BH2" i="10"/>
  <c r="BH2" i="7" s="1"/>
  <c r="BG2" i="10"/>
  <c r="BG2" i="7" s="1"/>
  <c r="BE2" i="10"/>
  <c r="BE2" i="7" s="1"/>
  <c r="BD2" i="10"/>
  <c r="BD2" i="7" s="1"/>
  <c r="BB2" i="10"/>
  <c r="BB2" i="7" s="1"/>
  <c r="BA2" i="10"/>
  <c r="BA2" i="7" s="1"/>
  <c r="AY2" i="10"/>
  <c r="AY2" i="7" s="1"/>
  <c r="AX2" i="10"/>
  <c r="AX2" i="7" s="1"/>
  <c r="AV2" i="10"/>
  <c r="AV2" i="7" s="1"/>
  <c r="AU2" i="10"/>
  <c r="AU2" i="7" s="1"/>
  <c r="AS2" i="10"/>
  <c r="AS2" i="7" s="1"/>
  <c r="AR2" i="10"/>
  <c r="AR2" i="7" s="1"/>
  <c r="AP2" i="10"/>
  <c r="AP2" i="7" s="1"/>
  <c r="AO2" i="10"/>
  <c r="AO2" i="7" s="1"/>
  <c r="AM2" i="10"/>
  <c r="AM2" i="7" s="1"/>
  <c r="AL2" i="10"/>
  <c r="AL2" i="7" s="1"/>
  <c r="AJ2" i="10"/>
  <c r="AJ2" i="7" s="1"/>
  <c r="AI2" i="10"/>
  <c r="AI2" i="7" s="1"/>
  <c r="AG2" i="10"/>
  <c r="AG2" i="7" s="1"/>
  <c r="AF2" i="10"/>
  <c r="AF2" i="7" s="1"/>
  <c r="AD2" i="10"/>
  <c r="AD2" i="7" s="1"/>
  <c r="AC2" i="10"/>
  <c r="AC2" i="7" s="1"/>
  <c r="AA2" i="10"/>
  <c r="AA2" i="7" s="1"/>
  <c r="Z2" i="10"/>
  <c r="Z2" i="7" s="1"/>
  <c r="X2" i="10"/>
  <c r="X2" i="7" s="1"/>
  <c r="W2" i="10"/>
  <c r="W2" i="7" s="1"/>
  <c r="U2" i="10"/>
  <c r="U2" i="7" s="1"/>
  <c r="T2" i="10"/>
  <c r="T2" i="7" s="1"/>
  <c r="R2" i="10"/>
  <c r="R2" i="7" s="1"/>
  <c r="Q2" i="10"/>
  <c r="Q2" i="7" s="1"/>
  <c r="O2" i="10"/>
  <c r="O2" i="7" s="1"/>
  <c r="N2" i="10"/>
  <c r="N2" i="7" s="1"/>
  <c r="L2" i="10"/>
  <c r="L2" i="7" s="1"/>
  <c r="K2" i="10"/>
  <c r="K2" i="7" s="1"/>
  <c r="I2" i="10"/>
  <c r="I2" i="7" s="1"/>
  <c r="H2" i="10"/>
  <c r="H2" i="7" s="1"/>
  <c r="F2" i="10"/>
  <c r="F2" i="7" s="1"/>
  <c r="E2" i="10"/>
  <c r="E2" i="7" s="1"/>
  <c r="C2" i="10"/>
  <c r="C2" i="7" s="1"/>
  <c r="B2" i="10"/>
  <c r="B2" i="7" s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EV2" i="10" l="1"/>
  <c r="EV2" i="7" s="1"/>
  <c r="J53" i="6"/>
  <c r="J51" i="6"/>
  <c r="J50" i="6"/>
  <c r="EY2" i="10"/>
  <c r="EY2" i="7" s="1"/>
  <c r="J52" i="6"/>
  <c r="ET2" i="10"/>
  <c r="ET2" i="7" s="1"/>
  <c r="EQ2" i="10"/>
  <c r="EQ2" i="7" s="1"/>
  <c r="ES2" i="10"/>
  <c r="ES2" i="7" s="1"/>
  <c r="EP2" i="10"/>
  <c r="EP2" i="7" s="1"/>
  <c r="N44" i="1"/>
  <c r="EG2" i="10"/>
  <c r="EG2" i="7" s="1"/>
  <c r="N19" i="1"/>
  <c r="DT31" i="10"/>
  <c r="N12" i="1"/>
  <c r="N20" i="1"/>
  <c r="N26" i="1"/>
  <c r="N34" i="1"/>
  <c r="N42" i="1"/>
  <c r="N3" i="1"/>
  <c r="N10" i="1"/>
  <c r="N36" i="1"/>
  <c r="N2" i="1"/>
  <c r="N43" i="1"/>
  <c r="N27" i="1"/>
  <c r="N35" i="1"/>
  <c r="N11" i="1"/>
  <c r="N45" i="1"/>
  <c r="EH2" i="10"/>
  <c r="EH2" i="7" s="1"/>
  <c r="N29" i="1"/>
  <c r="A38" i="7"/>
  <c r="N37" i="1"/>
  <c r="EK2" i="10"/>
  <c r="EK2" i="7" s="1"/>
  <c r="A16" i="7"/>
  <c r="N15" i="1"/>
  <c r="A24" i="7"/>
  <c r="N23" i="1"/>
  <c r="A40" i="7"/>
  <c r="N39" i="1"/>
  <c r="A48" i="7"/>
  <c r="N47" i="1"/>
  <c r="J47" i="6"/>
  <c r="N28" i="1"/>
  <c r="N48" i="1"/>
  <c r="N16" i="1"/>
  <c r="N21" i="1"/>
  <c r="J48" i="6"/>
  <c r="N7" i="1"/>
  <c r="N31" i="1"/>
  <c r="N40" i="1"/>
  <c r="N8" i="1"/>
  <c r="N32" i="1"/>
  <c r="N24" i="1"/>
  <c r="A26" i="7"/>
  <c r="A42" i="7"/>
  <c r="N33" i="1"/>
  <c r="A10" i="7"/>
  <c r="N6" i="1"/>
  <c r="A7" i="7"/>
  <c r="N38" i="1"/>
  <c r="A39" i="7"/>
  <c r="N46" i="1"/>
  <c r="A47" i="7"/>
  <c r="J46" i="6"/>
  <c r="N17" i="1"/>
  <c r="N22" i="1"/>
  <c r="A23" i="7"/>
  <c r="N30" i="1"/>
  <c r="A31" i="7"/>
  <c r="N4" i="1"/>
  <c r="N14" i="1"/>
  <c r="A15" i="7"/>
  <c r="N13" i="1"/>
  <c r="N5" i="1"/>
  <c r="N18" i="1"/>
  <c r="N49" i="1"/>
  <c r="HK51" i="7"/>
  <c r="A51" i="7"/>
  <c r="J49" i="6"/>
  <c r="EN2" i="10"/>
  <c r="EN2" i="7" s="1"/>
  <c r="EB2" i="10"/>
  <c r="EB2" i="7" s="1"/>
  <c r="FJ13" i="10" l="1"/>
  <c r="FJ13" i="7" s="1"/>
  <c r="FP11" i="10"/>
  <c r="FP11" i="7" s="1"/>
  <c r="BF11" i="10"/>
  <c r="BF11" i="7" s="1"/>
  <c r="GN10" i="10"/>
  <c r="GN10" i="7" s="1"/>
  <c r="D10" i="10"/>
  <c r="D10" i="7" s="1"/>
  <c r="FJ9" i="10"/>
  <c r="FJ9" i="7" s="1"/>
  <c r="DH8" i="10"/>
  <c r="DH8" i="7" s="1"/>
  <c r="CD7" i="10"/>
  <c r="CD7" i="7" s="1"/>
  <c r="AB6" i="10"/>
  <c r="AB6" i="7" s="1"/>
  <c r="GH5" i="10"/>
  <c r="GH5" i="7" s="1"/>
  <c r="GZ4" i="10"/>
  <c r="EF4" i="10"/>
  <c r="EF4" i="7" s="1"/>
  <c r="GT3" i="10"/>
  <c r="GN3" i="10"/>
  <c r="GN3" i="7" s="1"/>
  <c r="FV3" i="10"/>
  <c r="FV3" i="7" s="1"/>
  <c r="FP3" i="10"/>
  <c r="FP3" i="7" s="1"/>
  <c r="ER3" i="10"/>
  <c r="ER3" i="7" s="1"/>
  <c r="DH3" i="10"/>
  <c r="DH3" i="7" s="1"/>
  <c r="CJ3" i="10"/>
  <c r="CJ3" i="7" s="1"/>
  <c r="BL3" i="10"/>
  <c r="BL3" i="7" s="1"/>
  <c r="AN3" i="10"/>
  <c r="AN3" i="7" s="1"/>
  <c r="P3" i="10"/>
  <c r="P3" i="7" s="1"/>
  <c r="HF9" i="10"/>
  <c r="GH9" i="10"/>
  <c r="GH9" i="7" s="1"/>
  <c r="FV7" i="10"/>
  <c r="FV7" i="7" s="1"/>
  <c r="EX7" i="10"/>
  <c r="EX7" i="7" s="1"/>
  <c r="EL17" i="10"/>
  <c r="EL17" i="7" s="1"/>
  <c r="EC3" i="10"/>
  <c r="EC3" i="7" s="1"/>
  <c r="DZ7" i="10"/>
  <c r="DZ7" i="7" s="1"/>
  <c r="DQ3" i="10"/>
  <c r="DQ3" i="7" s="1"/>
  <c r="DN3" i="10"/>
  <c r="DN3" i="7" s="1"/>
  <c r="DE3" i="10"/>
  <c r="DE3" i="7" s="1"/>
  <c r="DB11" i="10"/>
  <c r="DB11" i="7" s="1"/>
  <c r="CS3" i="10"/>
  <c r="CS3" i="7" s="1"/>
  <c r="CP3" i="10"/>
  <c r="CP3" i="7" s="1"/>
  <c r="CP5" i="10"/>
  <c r="CP5" i="7" s="1"/>
  <c r="CM3" i="10"/>
  <c r="CM3" i="7" s="1"/>
  <c r="CG3" i="10"/>
  <c r="CG3" i="7" s="1"/>
  <c r="CD3" i="10"/>
  <c r="CD3" i="7" s="1"/>
  <c r="BU3" i="10"/>
  <c r="BU3" i="7" s="1"/>
  <c r="BR3" i="10"/>
  <c r="BR3" i="7" s="1"/>
  <c r="BR9" i="10"/>
  <c r="BR9" i="7" s="1"/>
  <c r="BI3" i="10"/>
  <c r="BI3" i="7" s="1"/>
  <c r="BF3" i="10"/>
  <c r="BF3" i="7" s="1"/>
  <c r="AW3" i="10"/>
  <c r="AW3" i="7" s="1"/>
  <c r="AT3" i="10"/>
  <c r="AT3" i="7" s="1"/>
  <c r="AT9" i="10"/>
  <c r="AT9" i="7" s="1"/>
  <c r="AQ3" i="10"/>
  <c r="AQ3" i="7" s="1"/>
  <c r="AK3" i="10"/>
  <c r="AK3" i="7" s="1"/>
  <c r="AH3" i="10"/>
  <c r="AH3" i="7" s="1"/>
  <c r="Y3" i="10"/>
  <c r="Y3" i="7" s="1"/>
  <c r="V3" i="10"/>
  <c r="V3" i="7" s="1"/>
  <c r="V9" i="10"/>
  <c r="V9" i="7" s="1"/>
  <c r="S3" i="10"/>
  <c r="S3" i="7" s="1"/>
  <c r="M3" i="10"/>
  <c r="M3" i="7" s="1"/>
  <c r="J3" i="10"/>
  <c r="J3" i="7" s="1"/>
  <c r="D49" i="10" l="1"/>
  <c r="D49" i="7" s="1"/>
  <c r="D45" i="10"/>
  <c r="D45" i="7" s="1"/>
  <c r="D48" i="10"/>
  <c r="D48" i="7" s="1"/>
  <c r="D44" i="10"/>
  <c r="D44" i="7" s="1"/>
  <c r="D51" i="10"/>
  <c r="D51" i="7" s="1"/>
  <c r="D47" i="10"/>
  <c r="D47" i="7" s="1"/>
  <c r="D50" i="10"/>
  <c r="D50" i="7" s="1"/>
  <c r="D40" i="10"/>
  <c r="D40" i="7" s="1"/>
  <c r="D46" i="10"/>
  <c r="D46" i="7" s="1"/>
  <c r="D43" i="10"/>
  <c r="D43" i="7" s="1"/>
  <c r="D39" i="10"/>
  <c r="D39" i="7" s="1"/>
  <c r="D42" i="10"/>
  <c r="D42" i="7" s="1"/>
  <c r="D38" i="10"/>
  <c r="D38" i="7" s="1"/>
  <c r="D33" i="10"/>
  <c r="D33" i="7" s="1"/>
  <c r="D29" i="10"/>
  <c r="D29" i="7" s="1"/>
  <c r="D41" i="10"/>
  <c r="D41" i="7" s="1"/>
  <c r="D37" i="10"/>
  <c r="D37" i="7" s="1"/>
  <c r="D32" i="10"/>
  <c r="D32" i="7" s="1"/>
  <c r="D28" i="10"/>
  <c r="D28" i="7" s="1"/>
  <c r="D35" i="10"/>
  <c r="D35" i="7" s="1"/>
  <c r="D31" i="10"/>
  <c r="D31" i="7" s="1"/>
  <c r="D36" i="10"/>
  <c r="D36" i="7" s="1"/>
  <c r="D34" i="10"/>
  <c r="D34" i="7" s="1"/>
  <c r="D30" i="10"/>
  <c r="D30" i="7" s="1"/>
  <c r="D24" i="10"/>
  <c r="D24" i="7" s="1"/>
  <c r="D20" i="10"/>
  <c r="D20" i="7" s="1"/>
  <c r="D27" i="10"/>
  <c r="D27" i="7" s="1"/>
  <c r="D23" i="10"/>
  <c r="D23" i="7" s="1"/>
  <c r="D26" i="10"/>
  <c r="D26" i="7" s="1"/>
  <c r="D22" i="10"/>
  <c r="D22" i="7" s="1"/>
  <c r="D17" i="10"/>
  <c r="D17" i="7" s="1"/>
  <c r="D13" i="10"/>
  <c r="D13" i="7" s="1"/>
  <c r="D25" i="10"/>
  <c r="D25" i="7" s="1"/>
  <c r="D21" i="10"/>
  <c r="D21" i="7" s="1"/>
  <c r="D16" i="10"/>
  <c r="D16" i="7" s="1"/>
  <c r="D19" i="10"/>
  <c r="D19" i="7" s="1"/>
  <c r="D15" i="10"/>
  <c r="D15" i="7" s="1"/>
  <c r="D9" i="10"/>
  <c r="D9" i="7" s="1"/>
  <c r="D5" i="10"/>
  <c r="D5" i="7" s="1"/>
  <c r="D8" i="10"/>
  <c r="D8" i="7" s="1"/>
  <c r="D4" i="10"/>
  <c r="D4" i="7" s="1"/>
  <c r="D12" i="10"/>
  <c r="D12" i="7" s="1"/>
  <c r="D11" i="10"/>
  <c r="D11" i="7" s="1"/>
  <c r="D7" i="10"/>
  <c r="D7" i="7" s="1"/>
  <c r="D18" i="10"/>
  <c r="D18" i="7" s="1"/>
  <c r="P51" i="10"/>
  <c r="P51" i="7" s="1"/>
  <c r="P47" i="10"/>
  <c r="P47" i="7" s="1"/>
  <c r="P50" i="10"/>
  <c r="P50" i="7" s="1"/>
  <c r="P46" i="10"/>
  <c r="P46" i="7" s="1"/>
  <c r="P49" i="10"/>
  <c r="P49" i="7" s="1"/>
  <c r="P45" i="10"/>
  <c r="P45" i="7" s="1"/>
  <c r="P44" i="10"/>
  <c r="P44" i="7" s="1"/>
  <c r="P42" i="10"/>
  <c r="P42" i="7" s="1"/>
  <c r="P38" i="10"/>
  <c r="P38" i="7" s="1"/>
  <c r="P41" i="10"/>
  <c r="P41" i="7" s="1"/>
  <c r="P37" i="10"/>
  <c r="P37" i="7" s="1"/>
  <c r="P48" i="10"/>
  <c r="P48" i="7" s="1"/>
  <c r="P40" i="10"/>
  <c r="P40" i="7" s="1"/>
  <c r="P36" i="10"/>
  <c r="P36" i="7" s="1"/>
  <c r="P35" i="10"/>
  <c r="P35" i="7" s="1"/>
  <c r="P31" i="10"/>
  <c r="P31" i="7" s="1"/>
  <c r="P34" i="10"/>
  <c r="P34" i="7" s="1"/>
  <c r="P30" i="10"/>
  <c r="P30" i="7" s="1"/>
  <c r="P33" i="10"/>
  <c r="P33" i="7" s="1"/>
  <c r="P29" i="10"/>
  <c r="P29" i="7" s="1"/>
  <c r="P43" i="10"/>
  <c r="P43" i="7" s="1"/>
  <c r="P39" i="10"/>
  <c r="P39" i="7" s="1"/>
  <c r="P32" i="10"/>
  <c r="P32" i="7" s="1"/>
  <c r="P28" i="10"/>
  <c r="P28" i="7" s="1"/>
  <c r="P26" i="10"/>
  <c r="P26" i="7" s="1"/>
  <c r="P22" i="10"/>
  <c r="P22" i="7" s="1"/>
  <c r="P25" i="10"/>
  <c r="P25" i="7" s="1"/>
  <c r="P21" i="10"/>
  <c r="P21" i="7" s="1"/>
  <c r="P24" i="10"/>
  <c r="P24" i="7" s="1"/>
  <c r="P20" i="10"/>
  <c r="P20" i="7" s="1"/>
  <c r="P19" i="10"/>
  <c r="P19" i="7" s="1"/>
  <c r="P15" i="10"/>
  <c r="P15" i="7" s="1"/>
  <c r="P18" i="10"/>
  <c r="P18" i="7" s="1"/>
  <c r="P14" i="10"/>
  <c r="P14" i="7" s="1"/>
  <c r="P27" i="10"/>
  <c r="P27" i="7" s="1"/>
  <c r="P17" i="10"/>
  <c r="P17" i="7" s="1"/>
  <c r="P13" i="10"/>
  <c r="P13" i="7" s="1"/>
  <c r="P23" i="10"/>
  <c r="P23" i="7" s="1"/>
  <c r="P11" i="10"/>
  <c r="P11" i="7" s="1"/>
  <c r="P7" i="10"/>
  <c r="P7" i="7" s="1"/>
  <c r="P16" i="10"/>
  <c r="P16" i="7" s="1"/>
  <c r="P12" i="10"/>
  <c r="P12" i="7" s="1"/>
  <c r="P10" i="10"/>
  <c r="P10" i="7" s="1"/>
  <c r="P6" i="10"/>
  <c r="P6" i="7" s="1"/>
  <c r="P9" i="10"/>
  <c r="P9" i="7" s="1"/>
  <c r="P5" i="10"/>
  <c r="P5" i="7" s="1"/>
  <c r="AB49" i="10"/>
  <c r="AB49" i="7" s="1"/>
  <c r="AB45" i="10"/>
  <c r="AB45" i="7" s="1"/>
  <c r="AB48" i="10"/>
  <c r="AB48" i="7" s="1"/>
  <c r="AB44" i="10"/>
  <c r="AB44" i="7" s="1"/>
  <c r="AB51" i="10"/>
  <c r="AB51" i="7" s="1"/>
  <c r="AB47" i="10"/>
  <c r="AB47" i="7" s="1"/>
  <c r="AB50" i="10"/>
  <c r="AB50" i="7" s="1"/>
  <c r="AB46" i="10"/>
  <c r="AB46" i="7" s="1"/>
  <c r="AB40" i="10"/>
  <c r="AB40" i="7" s="1"/>
  <c r="AB36" i="10"/>
  <c r="AB36" i="7" s="1"/>
  <c r="AB39" i="10"/>
  <c r="AB39" i="7" s="1"/>
  <c r="AB43" i="10"/>
  <c r="AB43" i="7" s="1"/>
  <c r="AB42" i="10"/>
  <c r="AB42" i="7" s="1"/>
  <c r="AB38" i="10"/>
  <c r="AB38" i="7" s="1"/>
  <c r="AB41" i="10"/>
  <c r="AB41" i="7" s="1"/>
  <c r="AB33" i="10"/>
  <c r="AB33" i="7" s="1"/>
  <c r="AB29" i="10"/>
  <c r="AB29" i="7" s="1"/>
  <c r="AB37" i="10"/>
  <c r="AB37" i="7" s="1"/>
  <c r="AB32" i="10"/>
  <c r="AB32" i="7" s="1"/>
  <c r="AB28" i="10"/>
  <c r="AB28" i="7" s="1"/>
  <c r="AB31" i="10"/>
  <c r="AB31" i="7" s="1"/>
  <c r="AB35" i="10"/>
  <c r="AB35" i="7" s="1"/>
  <c r="AB34" i="10"/>
  <c r="AB34" i="7" s="1"/>
  <c r="AB30" i="10"/>
  <c r="AB30" i="7" s="1"/>
  <c r="AB24" i="10"/>
  <c r="AB24" i="7" s="1"/>
  <c r="AB20" i="10"/>
  <c r="AB20" i="7" s="1"/>
  <c r="AB27" i="10"/>
  <c r="AB27" i="7" s="1"/>
  <c r="AB23" i="10"/>
  <c r="AB23" i="7" s="1"/>
  <c r="AB26" i="10"/>
  <c r="AB26" i="7" s="1"/>
  <c r="AB22" i="10"/>
  <c r="AB22" i="7" s="1"/>
  <c r="AB25" i="10"/>
  <c r="AB25" i="7" s="1"/>
  <c r="AB17" i="10"/>
  <c r="AB17" i="7" s="1"/>
  <c r="AB13" i="10"/>
  <c r="AB13" i="7" s="1"/>
  <c r="AB21" i="10"/>
  <c r="AB21" i="7" s="1"/>
  <c r="AB16" i="10"/>
  <c r="AB16" i="7" s="1"/>
  <c r="AB12" i="10"/>
  <c r="AB12" i="7" s="1"/>
  <c r="AB19" i="10"/>
  <c r="AB19" i="7" s="1"/>
  <c r="AB15" i="10"/>
  <c r="AB15" i="7" s="1"/>
  <c r="AB9" i="10"/>
  <c r="AB9" i="7" s="1"/>
  <c r="AB5" i="10"/>
  <c r="AB5" i="7" s="1"/>
  <c r="AB8" i="10"/>
  <c r="AB8" i="7" s="1"/>
  <c r="AB4" i="10"/>
  <c r="AB4" i="7" s="1"/>
  <c r="AB18" i="10"/>
  <c r="AB18" i="7" s="1"/>
  <c r="AB11" i="10"/>
  <c r="AB11" i="7" s="1"/>
  <c r="AB7" i="10"/>
  <c r="AB7" i="7" s="1"/>
  <c r="AB14" i="10"/>
  <c r="AB14" i="7" s="1"/>
  <c r="AN51" i="10"/>
  <c r="AN51" i="7" s="1"/>
  <c r="AN47" i="10"/>
  <c r="AN47" i="7" s="1"/>
  <c r="AN50" i="10"/>
  <c r="AN50" i="7" s="1"/>
  <c r="AN46" i="10"/>
  <c r="AN46" i="7" s="1"/>
  <c r="AN49" i="10"/>
  <c r="AN49" i="7" s="1"/>
  <c r="AN45" i="10"/>
  <c r="AN45" i="7" s="1"/>
  <c r="AN42" i="10"/>
  <c r="AN42" i="7" s="1"/>
  <c r="AN38" i="10"/>
  <c r="AN38" i="7" s="1"/>
  <c r="AN43" i="10"/>
  <c r="AN43" i="7" s="1"/>
  <c r="AN41" i="10"/>
  <c r="AN41" i="7" s="1"/>
  <c r="AN37" i="10"/>
  <c r="AN37" i="7" s="1"/>
  <c r="AN48" i="10"/>
  <c r="AN48" i="7" s="1"/>
  <c r="AN40" i="10"/>
  <c r="AN40" i="7" s="1"/>
  <c r="AN36" i="10"/>
  <c r="AN36" i="7" s="1"/>
  <c r="AN44" i="10"/>
  <c r="AN44" i="7" s="1"/>
  <c r="AN31" i="10"/>
  <c r="AN31" i="7" s="1"/>
  <c r="AN35" i="10"/>
  <c r="AN35" i="7" s="1"/>
  <c r="AN34" i="10"/>
  <c r="AN34" i="7" s="1"/>
  <c r="AN30" i="10"/>
  <c r="AN30" i="7" s="1"/>
  <c r="AN39" i="10"/>
  <c r="AN39" i="7" s="1"/>
  <c r="AN33" i="10"/>
  <c r="AN33" i="7" s="1"/>
  <c r="AN29" i="10"/>
  <c r="AN29" i="7" s="1"/>
  <c r="AN32" i="10"/>
  <c r="AN32" i="7" s="1"/>
  <c r="AN28" i="10"/>
  <c r="AN28" i="7" s="1"/>
  <c r="AN26" i="10"/>
  <c r="AN26" i="7" s="1"/>
  <c r="AN22" i="10"/>
  <c r="AN22" i="7" s="1"/>
  <c r="AN25" i="10"/>
  <c r="AN25" i="7" s="1"/>
  <c r="AN21" i="10"/>
  <c r="AN21" i="7" s="1"/>
  <c r="AN24" i="10"/>
  <c r="AN24" i="7" s="1"/>
  <c r="AN20" i="10"/>
  <c r="AN20" i="7" s="1"/>
  <c r="AN19" i="10"/>
  <c r="AN19" i="7" s="1"/>
  <c r="AN15" i="10"/>
  <c r="AN15" i="7" s="1"/>
  <c r="AN18" i="10"/>
  <c r="AN18" i="7" s="1"/>
  <c r="AN14" i="10"/>
  <c r="AN14" i="7" s="1"/>
  <c r="AN27" i="10"/>
  <c r="AN27" i="7" s="1"/>
  <c r="AN23" i="10"/>
  <c r="AN23" i="7" s="1"/>
  <c r="AN17" i="10"/>
  <c r="AN17" i="7" s="1"/>
  <c r="AN13" i="10"/>
  <c r="AN13" i="7" s="1"/>
  <c r="AN16" i="10"/>
  <c r="AN16" i="7" s="1"/>
  <c r="AN11" i="10"/>
  <c r="AN11" i="7" s="1"/>
  <c r="AN7" i="10"/>
  <c r="AN7" i="7" s="1"/>
  <c r="AN12" i="10"/>
  <c r="AN12" i="7" s="1"/>
  <c r="AN10" i="10"/>
  <c r="AN10" i="7" s="1"/>
  <c r="AN6" i="10"/>
  <c r="AN6" i="7" s="1"/>
  <c r="AN9" i="10"/>
  <c r="AN9" i="7" s="1"/>
  <c r="AN5" i="10"/>
  <c r="AN5" i="7" s="1"/>
  <c r="AZ49" i="10"/>
  <c r="AZ49" i="7" s="1"/>
  <c r="AZ45" i="10"/>
  <c r="AZ45" i="7" s="1"/>
  <c r="AZ48" i="10"/>
  <c r="AZ48" i="7" s="1"/>
  <c r="AZ44" i="10"/>
  <c r="AZ44" i="7" s="1"/>
  <c r="AZ51" i="10"/>
  <c r="AZ51" i="7" s="1"/>
  <c r="AZ47" i="10"/>
  <c r="AZ47" i="7" s="1"/>
  <c r="AZ46" i="10"/>
  <c r="AZ46" i="7" s="1"/>
  <c r="AZ40" i="10"/>
  <c r="AZ40" i="7" s="1"/>
  <c r="AZ36" i="10"/>
  <c r="AZ36" i="7" s="1"/>
  <c r="AZ39" i="10"/>
  <c r="AZ39" i="7" s="1"/>
  <c r="AZ42" i="10"/>
  <c r="AZ42" i="7" s="1"/>
  <c r="AZ38" i="10"/>
  <c r="AZ38" i="7" s="1"/>
  <c r="AZ50" i="10"/>
  <c r="AZ50" i="7" s="1"/>
  <c r="AZ37" i="10"/>
  <c r="AZ37" i="7" s="1"/>
  <c r="AZ33" i="10"/>
  <c r="AZ33" i="7" s="1"/>
  <c r="AZ29" i="10"/>
  <c r="AZ29" i="7" s="1"/>
  <c r="AZ43" i="10"/>
  <c r="AZ43" i="7" s="1"/>
  <c r="AZ32" i="10"/>
  <c r="AZ32" i="7" s="1"/>
  <c r="AZ28" i="10"/>
  <c r="AZ28" i="7" s="1"/>
  <c r="AZ31" i="10"/>
  <c r="AZ31" i="7" s="1"/>
  <c r="AZ34" i="10"/>
  <c r="AZ34" i="7" s="1"/>
  <c r="AZ30" i="10"/>
  <c r="AZ30" i="7" s="1"/>
  <c r="AZ24" i="10"/>
  <c r="AZ24" i="7" s="1"/>
  <c r="AZ20" i="10"/>
  <c r="AZ20" i="7" s="1"/>
  <c r="AZ27" i="10"/>
  <c r="AZ27" i="7" s="1"/>
  <c r="AZ23" i="10"/>
  <c r="AZ23" i="7" s="1"/>
  <c r="AZ35" i="10"/>
  <c r="AZ35" i="7" s="1"/>
  <c r="AZ41" i="10"/>
  <c r="AZ41" i="7" s="1"/>
  <c r="AZ26" i="10"/>
  <c r="AZ26" i="7" s="1"/>
  <c r="AZ22" i="10"/>
  <c r="AZ22" i="7" s="1"/>
  <c r="AZ25" i="10"/>
  <c r="AZ25" i="7" s="1"/>
  <c r="AZ21" i="10"/>
  <c r="AZ21" i="7" s="1"/>
  <c r="AZ17" i="10"/>
  <c r="AZ17" i="7" s="1"/>
  <c r="AZ13" i="10"/>
  <c r="AZ13" i="7" s="1"/>
  <c r="AZ16" i="10"/>
  <c r="AZ16" i="7" s="1"/>
  <c r="AZ12" i="10"/>
  <c r="AZ12" i="7" s="1"/>
  <c r="AZ19" i="10"/>
  <c r="AZ19" i="7" s="1"/>
  <c r="AZ15" i="10"/>
  <c r="AZ15" i="7" s="1"/>
  <c r="AZ9" i="10"/>
  <c r="AZ9" i="7" s="1"/>
  <c r="AZ5" i="10"/>
  <c r="AZ5" i="7" s="1"/>
  <c r="AZ8" i="10"/>
  <c r="AZ8" i="7" s="1"/>
  <c r="AZ4" i="10"/>
  <c r="AZ4" i="7" s="1"/>
  <c r="AZ18" i="10"/>
  <c r="AZ18" i="7" s="1"/>
  <c r="AZ14" i="10"/>
  <c r="AZ14" i="7" s="1"/>
  <c r="AZ11" i="10"/>
  <c r="AZ11" i="7" s="1"/>
  <c r="AZ7" i="10"/>
  <c r="AZ7" i="7" s="1"/>
  <c r="BL51" i="10"/>
  <c r="BL51" i="7" s="1"/>
  <c r="BL47" i="10"/>
  <c r="BL47" i="7" s="1"/>
  <c r="BL50" i="10"/>
  <c r="BL50" i="7" s="1"/>
  <c r="BL46" i="10"/>
  <c r="BL46" i="7" s="1"/>
  <c r="BL49" i="10"/>
  <c r="BL49" i="7" s="1"/>
  <c r="BL45" i="10"/>
  <c r="BL45" i="7" s="1"/>
  <c r="BL42" i="10"/>
  <c r="BL42" i="7" s="1"/>
  <c r="BL38" i="10"/>
  <c r="BL38" i="7" s="1"/>
  <c r="BL48" i="10"/>
  <c r="BL48" i="7" s="1"/>
  <c r="BL41" i="10"/>
  <c r="BL41" i="7" s="1"/>
  <c r="BL37" i="10"/>
  <c r="BL37" i="7" s="1"/>
  <c r="BL44" i="10"/>
  <c r="BL44" i="7" s="1"/>
  <c r="BL43" i="10"/>
  <c r="BL43" i="7" s="1"/>
  <c r="BL40" i="10"/>
  <c r="BL40" i="7" s="1"/>
  <c r="BL36" i="10"/>
  <c r="BL36" i="7" s="1"/>
  <c r="BL31" i="10"/>
  <c r="BL31" i="7" s="1"/>
  <c r="BL34" i="10"/>
  <c r="BL34" i="7" s="1"/>
  <c r="BL30" i="10"/>
  <c r="BL30" i="7" s="1"/>
  <c r="BL39" i="10"/>
  <c r="BL39" i="7" s="1"/>
  <c r="BL35" i="10"/>
  <c r="BL35" i="7" s="1"/>
  <c r="BL33" i="10"/>
  <c r="BL33" i="7" s="1"/>
  <c r="BL29" i="10"/>
  <c r="BL29" i="7" s="1"/>
  <c r="BL32" i="10"/>
  <c r="BL32" i="7" s="1"/>
  <c r="BL28" i="10"/>
  <c r="BL28" i="7" s="1"/>
  <c r="BL26" i="10"/>
  <c r="BL26" i="7" s="1"/>
  <c r="BL22" i="10"/>
  <c r="BL22" i="7" s="1"/>
  <c r="BL25" i="10"/>
  <c r="BL25" i="7" s="1"/>
  <c r="BL21" i="10"/>
  <c r="BL21" i="7" s="1"/>
  <c r="BL24" i="10"/>
  <c r="BL24" i="7" s="1"/>
  <c r="BL20" i="10"/>
  <c r="BL20" i="7" s="1"/>
  <c r="BL19" i="10"/>
  <c r="BL19" i="7" s="1"/>
  <c r="BL15" i="10"/>
  <c r="BL15" i="7" s="1"/>
  <c r="BL27" i="10"/>
  <c r="BL27" i="7" s="1"/>
  <c r="BL18" i="10"/>
  <c r="BL18" i="7" s="1"/>
  <c r="BL14" i="10"/>
  <c r="BL14" i="7" s="1"/>
  <c r="BL23" i="10"/>
  <c r="BL23" i="7" s="1"/>
  <c r="BL17" i="10"/>
  <c r="BL17" i="7" s="1"/>
  <c r="BL13" i="10"/>
  <c r="BL13" i="7" s="1"/>
  <c r="BL16" i="10"/>
  <c r="BL16" i="7" s="1"/>
  <c r="BL12" i="10"/>
  <c r="BL12" i="7" s="1"/>
  <c r="BL11" i="10"/>
  <c r="BL11" i="7" s="1"/>
  <c r="BL7" i="10"/>
  <c r="BL7" i="7" s="1"/>
  <c r="BL10" i="10"/>
  <c r="BL10" i="7" s="1"/>
  <c r="BL6" i="10"/>
  <c r="BL6" i="7" s="1"/>
  <c r="BL9" i="10"/>
  <c r="BL9" i="7" s="1"/>
  <c r="BL5" i="10"/>
  <c r="BL5" i="7" s="1"/>
  <c r="BX49" i="10"/>
  <c r="BX49" i="7" s="1"/>
  <c r="BX45" i="10"/>
  <c r="BX45" i="7" s="1"/>
  <c r="BX48" i="10"/>
  <c r="BX48" i="7" s="1"/>
  <c r="BX44" i="10"/>
  <c r="BX44" i="7" s="1"/>
  <c r="BX51" i="10"/>
  <c r="BX51" i="7" s="1"/>
  <c r="BX47" i="10"/>
  <c r="BX47" i="7" s="1"/>
  <c r="BX43" i="10"/>
  <c r="BX43" i="7" s="1"/>
  <c r="BX40" i="10"/>
  <c r="BX40" i="7" s="1"/>
  <c r="BX36" i="10"/>
  <c r="BX36" i="7" s="1"/>
  <c r="BX39" i="10"/>
  <c r="BX39" i="7" s="1"/>
  <c r="BX42" i="10"/>
  <c r="BX42" i="7" s="1"/>
  <c r="BX38" i="10"/>
  <c r="BX38" i="7" s="1"/>
  <c r="BX50" i="10"/>
  <c r="BX50" i="7" s="1"/>
  <c r="BX33" i="10"/>
  <c r="BX33" i="7" s="1"/>
  <c r="BX29" i="10"/>
  <c r="BX29" i="7" s="1"/>
  <c r="BX46" i="10"/>
  <c r="BX46" i="7" s="1"/>
  <c r="BX35" i="10"/>
  <c r="BX35" i="7" s="1"/>
  <c r="BX32" i="10"/>
  <c r="BX32" i="7" s="1"/>
  <c r="BX28" i="10"/>
  <c r="BX28" i="7" s="1"/>
  <c r="BX31" i="10"/>
  <c r="BX31" i="7" s="1"/>
  <c r="BX41" i="10"/>
  <c r="BX41" i="7" s="1"/>
  <c r="BX34" i="10"/>
  <c r="BX34" i="7" s="1"/>
  <c r="BX30" i="10"/>
  <c r="BX30" i="7" s="1"/>
  <c r="BX24" i="10"/>
  <c r="BX24" i="7" s="1"/>
  <c r="BX20" i="10"/>
  <c r="BX20" i="7" s="1"/>
  <c r="BX27" i="10"/>
  <c r="BX27" i="7" s="1"/>
  <c r="BX23" i="10"/>
  <c r="BX23" i="7" s="1"/>
  <c r="BX26" i="10"/>
  <c r="BX26" i="7" s="1"/>
  <c r="BX22" i="10"/>
  <c r="BX22" i="7" s="1"/>
  <c r="BX37" i="10"/>
  <c r="BX37" i="7" s="1"/>
  <c r="BX21" i="10"/>
  <c r="BX21" i="7" s="1"/>
  <c r="BX17" i="10"/>
  <c r="BX17" i="7" s="1"/>
  <c r="BX13" i="10"/>
  <c r="BX13" i="7" s="1"/>
  <c r="BX16" i="10"/>
  <c r="BX16" i="7" s="1"/>
  <c r="BX12" i="10"/>
  <c r="BX12" i="7" s="1"/>
  <c r="BX19" i="10"/>
  <c r="BX19" i="7" s="1"/>
  <c r="BX15" i="10"/>
  <c r="BX15" i="7" s="1"/>
  <c r="BX9" i="10"/>
  <c r="BX9" i="7" s="1"/>
  <c r="BX5" i="10"/>
  <c r="BX5" i="7" s="1"/>
  <c r="BX25" i="10"/>
  <c r="BX25" i="7" s="1"/>
  <c r="BX18" i="10"/>
  <c r="BX18" i="7" s="1"/>
  <c r="BX8" i="10"/>
  <c r="BX8" i="7" s="1"/>
  <c r="BX4" i="10"/>
  <c r="BX4" i="7" s="1"/>
  <c r="BX14" i="10"/>
  <c r="BX14" i="7" s="1"/>
  <c r="BX11" i="10"/>
  <c r="BX11" i="7" s="1"/>
  <c r="BX7" i="10"/>
  <c r="BX7" i="7" s="1"/>
  <c r="CJ51" i="10"/>
  <c r="CJ51" i="7" s="1"/>
  <c r="CJ47" i="10"/>
  <c r="CJ47" i="7" s="1"/>
  <c r="CJ50" i="10"/>
  <c r="CJ50" i="7" s="1"/>
  <c r="CJ46" i="10"/>
  <c r="CJ46" i="7" s="1"/>
  <c r="CJ49" i="10"/>
  <c r="CJ49" i="7" s="1"/>
  <c r="CJ45" i="10"/>
  <c r="CJ45" i="7" s="1"/>
  <c r="CJ42" i="10"/>
  <c r="CJ42" i="7" s="1"/>
  <c r="CJ38" i="10"/>
  <c r="CJ38" i="7" s="1"/>
  <c r="CJ48" i="10"/>
  <c r="CJ48" i="7" s="1"/>
  <c r="CJ43" i="10"/>
  <c r="CJ43" i="7" s="1"/>
  <c r="CJ44" i="10"/>
  <c r="CJ44" i="7" s="1"/>
  <c r="CJ41" i="10"/>
  <c r="CJ41" i="7" s="1"/>
  <c r="CJ37" i="10"/>
  <c r="CJ37" i="7" s="1"/>
  <c r="CJ40" i="10"/>
  <c r="CJ40" i="7" s="1"/>
  <c r="CJ36" i="10"/>
  <c r="CJ36" i="7" s="1"/>
  <c r="CJ31" i="10"/>
  <c r="CJ31" i="7" s="1"/>
  <c r="CJ39" i="10"/>
  <c r="CJ39" i="7" s="1"/>
  <c r="CJ34" i="10"/>
  <c r="CJ34" i="7" s="1"/>
  <c r="CJ30" i="10"/>
  <c r="CJ30" i="7" s="1"/>
  <c r="CJ33" i="10"/>
  <c r="CJ33" i="7" s="1"/>
  <c r="CJ29" i="10"/>
  <c r="CJ29" i="7" s="1"/>
  <c r="CJ35" i="10"/>
  <c r="CJ35" i="7" s="1"/>
  <c r="CJ32" i="10"/>
  <c r="CJ32" i="7" s="1"/>
  <c r="CJ28" i="10"/>
  <c r="CJ28" i="7" s="1"/>
  <c r="CJ26" i="10"/>
  <c r="CJ26" i="7" s="1"/>
  <c r="CJ22" i="10"/>
  <c r="CJ22" i="7" s="1"/>
  <c r="CJ25" i="10"/>
  <c r="CJ25" i="7" s="1"/>
  <c r="CJ21" i="10"/>
  <c r="CJ21" i="7" s="1"/>
  <c r="CJ24" i="10"/>
  <c r="CJ24" i="7" s="1"/>
  <c r="CJ20" i="10"/>
  <c r="CJ20" i="7" s="1"/>
  <c r="CJ19" i="10"/>
  <c r="CJ19" i="7" s="1"/>
  <c r="CJ15" i="10"/>
  <c r="CJ15" i="7" s="1"/>
  <c r="CJ27" i="10"/>
  <c r="CJ27" i="7" s="1"/>
  <c r="CJ23" i="10"/>
  <c r="CJ23" i="7" s="1"/>
  <c r="CJ18" i="10"/>
  <c r="CJ18" i="7" s="1"/>
  <c r="CJ14" i="10"/>
  <c r="CJ14" i="7" s="1"/>
  <c r="CJ17" i="10"/>
  <c r="CJ17" i="7" s="1"/>
  <c r="CJ13" i="10"/>
  <c r="CJ13" i="7" s="1"/>
  <c r="CJ12" i="10"/>
  <c r="CJ12" i="7" s="1"/>
  <c r="CJ11" i="10"/>
  <c r="CJ11" i="7" s="1"/>
  <c r="CJ7" i="10"/>
  <c r="CJ7" i="7" s="1"/>
  <c r="CJ10" i="10"/>
  <c r="CJ10" i="7" s="1"/>
  <c r="CJ6" i="10"/>
  <c r="CJ6" i="7" s="1"/>
  <c r="CJ9" i="10"/>
  <c r="CJ9" i="7" s="1"/>
  <c r="CJ5" i="10"/>
  <c r="CJ5" i="7" s="1"/>
  <c r="CV49" i="10"/>
  <c r="CV49" i="7" s="1"/>
  <c r="CV45" i="10"/>
  <c r="CV45" i="7" s="1"/>
  <c r="CV48" i="10"/>
  <c r="CV48" i="7" s="1"/>
  <c r="CV44" i="10"/>
  <c r="CV44" i="7" s="1"/>
  <c r="CV51" i="10"/>
  <c r="CV51" i="7" s="1"/>
  <c r="CV47" i="10"/>
  <c r="CV47" i="7" s="1"/>
  <c r="CV43" i="10"/>
  <c r="CV43" i="7" s="1"/>
  <c r="CV40" i="10"/>
  <c r="CV40" i="7" s="1"/>
  <c r="CV36" i="10"/>
  <c r="CV36" i="7" s="1"/>
  <c r="CV39" i="10"/>
  <c r="CV39" i="7" s="1"/>
  <c r="CV50" i="10"/>
  <c r="CV50" i="7" s="1"/>
  <c r="CV42" i="10"/>
  <c r="CV42" i="7" s="1"/>
  <c r="CV38" i="10"/>
  <c r="CV38" i="7" s="1"/>
  <c r="CV46" i="10"/>
  <c r="CV46" i="7" s="1"/>
  <c r="CV33" i="10"/>
  <c r="CV33" i="7" s="1"/>
  <c r="CV29" i="10"/>
  <c r="CV29" i="7" s="1"/>
  <c r="CV32" i="10"/>
  <c r="CV32" i="7" s="1"/>
  <c r="CV28" i="10"/>
  <c r="CV28" i="7" s="1"/>
  <c r="CV35" i="10"/>
  <c r="CV35" i="7" s="1"/>
  <c r="CV31" i="10"/>
  <c r="CV31" i="7" s="1"/>
  <c r="CV41" i="10"/>
  <c r="CV41" i="7" s="1"/>
  <c r="CV37" i="10"/>
  <c r="CV37" i="7" s="1"/>
  <c r="CV34" i="10"/>
  <c r="CV34" i="7" s="1"/>
  <c r="CV30" i="10"/>
  <c r="CV30" i="7" s="1"/>
  <c r="CV24" i="10"/>
  <c r="CV24" i="7" s="1"/>
  <c r="CV20" i="10"/>
  <c r="CV20" i="7" s="1"/>
  <c r="CV27" i="10"/>
  <c r="CV27" i="7" s="1"/>
  <c r="CV23" i="10"/>
  <c r="CV23" i="7" s="1"/>
  <c r="CV26" i="10"/>
  <c r="CV26" i="7" s="1"/>
  <c r="CV22" i="10"/>
  <c r="CV22" i="7" s="1"/>
  <c r="CV17" i="10"/>
  <c r="CV17" i="7" s="1"/>
  <c r="CV13" i="10"/>
  <c r="CV13" i="7" s="1"/>
  <c r="CV16" i="10"/>
  <c r="CV16" i="7" s="1"/>
  <c r="CV12" i="10"/>
  <c r="CV12" i="7" s="1"/>
  <c r="CV19" i="10"/>
  <c r="CV19" i="7" s="1"/>
  <c r="CV15" i="10"/>
  <c r="CV15" i="7" s="1"/>
  <c r="CV25" i="10"/>
  <c r="CV25" i="7" s="1"/>
  <c r="CV9" i="10"/>
  <c r="CV9" i="7" s="1"/>
  <c r="CV5" i="10"/>
  <c r="CV5" i="7" s="1"/>
  <c r="CV21" i="10"/>
  <c r="CV21" i="7" s="1"/>
  <c r="CV18" i="10"/>
  <c r="CV18" i="7" s="1"/>
  <c r="CV14" i="10"/>
  <c r="CV14" i="7" s="1"/>
  <c r="CV8" i="10"/>
  <c r="CV8" i="7" s="1"/>
  <c r="CV4" i="10"/>
  <c r="CV4" i="7" s="1"/>
  <c r="CV11" i="10"/>
  <c r="CV11" i="7" s="1"/>
  <c r="CV7" i="10"/>
  <c r="CV7" i="7" s="1"/>
  <c r="DH51" i="10"/>
  <c r="DH51" i="7" s="1"/>
  <c r="DH47" i="10"/>
  <c r="DH47" i="7" s="1"/>
  <c r="DH50" i="10"/>
  <c r="DH50" i="7" s="1"/>
  <c r="DH46" i="10"/>
  <c r="DH46" i="7" s="1"/>
  <c r="DH49" i="10"/>
  <c r="DH49" i="7" s="1"/>
  <c r="DH45" i="10"/>
  <c r="DH45" i="7" s="1"/>
  <c r="DH48" i="10"/>
  <c r="DH48" i="7" s="1"/>
  <c r="DH42" i="10"/>
  <c r="DH42" i="7" s="1"/>
  <c r="DH38" i="10"/>
  <c r="DH38" i="7" s="1"/>
  <c r="DH44" i="10"/>
  <c r="DH44" i="7" s="1"/>
  <c r="DH41" i="10"/>
  <c r="DH41" i="7" s="1"/>
  <c r="DH37" i="10"/>
  <c r="DH37" i="7" s="1"/>
  <c r="DH40" i="10"/>
  <c r="DH40" i="7" s="1"/>
  <c r="DH36" i="10"/>
  <c r="DH36" i="7" s="1"/>
  <c r="DH43" i="10"/>
  <c r="DH43" i="7" s="1"/>
  <c r="DH31" i="10"/>
  <c r="DH31" i="7" s="1"/>
  <c r="DH39" i="10"/>
  <c r="DH39" i="7" s="1"/>
  <c r="DH35" i="10"/>
  <c r="DH35" i="7" s="1"/>
  <c r="DH34" i="10"/>
  <c r="DH34" i="7" s="1"/>
  <c r="DH30" i="10"/>
  <c r="DH30" i="7" s="1"/>
  <c r="DH33" i="10"/>
  <c r="DH33" i="7" s="1"/>
  <c r="DH29" i="10"/>
  <c r="DH29" i="7" s="1"/>
  <c r="DH32" i="10"/>
  <c r="DH32" i="7" s="1"/>
  <c r="DH28" i="10"/>
  <c r="DH28" i="7" s="1"/>
  <c r="DH26" i="10"/>
  <c r="DH26" i="7" s="1"/>
  <c r="DH22" i="10"/>
  <c r="DH22" i="7" s="1"/>
  <c r="DH25" i="10"/>
  <c r="DH25" i="7" s="1"/>
  <c r="DH21" i="10"/>
  <c r="DH21" i="7" s="1"/>
  <c r="DH24" i="10"/>
  <c r="DH24" i="7" s="1"/>
  <c r="DH20" i="10"/>
  <c r="DH20" i="7" s="1"/>
  <c r="DH27" i="10"/>
  <c r="DH27" i="7" s="1"/>
  <c r="DH19" i="10"/>
  <c r="DH19" i="7" s="1"/>
  <c r="DH15" i="10"/>
  <c r="DH15" i="7" s="1"/>
  <c r="DH23" i="10"/>
  <c r="DH23" i="7" s="1"/>
  <c r="DH18" i="10"/>
  <c r="DH18" i="7" s="1"/>
  <c r="DH14" i="10"/>
  <c r="DH14" i="7" s="1"/>
  <c r="DH17" i="10"/>
  <c r="DH17" i="7" s="1"/>
  <c r="DH13" i="10"/>
  <c r="DH13" i="7" s="1"/>
  <c r="DH11" i="10"/>
  <c r="DH11" i="7" s="1"/>
  <c r="DH7" i="10"/>
  <c r="DH7" i="7" s="1"/>
  <c r="DH10" i="10"/>
  <c r="DH10" i="7" s="1"/>
  <c r="DH6" i="10"/>
  <c r="DH6" i="7" s="1"/>
  <c r="DH9" i="10"/>
  <c r="DH9" i="7" s="1"/>
  <c r="DH5" i="10"/>
  <c r="DH5" i="7" s="1"/>
  <c r="DH16" i="10"/>
  <c r="DH16" i="7" s="1"/>
  <c r="DT49" i="10"/>
  <c r="DT49" i="7" s="1"/>
  <c r="DT45" i="10"/>
  <c r="DT45" i="7" s="1"/>
  <c r="DT48" i="10"/>
  <c r="DT48" i="7" s="1"/>
  <c r="DT44" i="10"/>
  <c r="DT44" i="7" s="1"/>
  <c r="DT51" i="10"/>
  <c r="DT51" i="7" s="1"/>
  <c r="DT47" i="10"/>
  <c r="DT47" i="7" s="1"/>
  <c r="DT43" i="10"/>
  <c r="DT43" i="7" s="1"/>
  <c r="DT40" i="10"/>
  <c r="DT40" i="7" s="1"/>
  <c r="DT36" i="10"/>
  <c r="DT36" i="7" s="1"/>
  <c r="DT39" i="10"/>
  <c r="DT39" i="7" s="1"/>
  <c r="DT50" i="10"/>
  <c r="DT50" i="7" s="1"/>
  <c r="DT46" i="10"/>
  <c r="DT46" i="7" s="1"/>
  <c r="DT42" i="10"/>
  <c r="DT42" i="7" s="1"/>
  <c r="DT38" i="10"/>
  <c r="DT38" i="7" s="1"/>
  <c r="DT33" i="10"/>
  <c r="DT33" i="7" s="1"/>
  <c r="DT29" i="10"/>
  <c r="DT29" i="7" s="1"/>
  <c r="DT32" i="10"/>
  <c r="DT32" i="7" s="1"/>
  <c r="DT28" i="10"/>
  <c r="DT28" i="7" s="1"/>
  <c r="DT41" i="10"/>
  <c r="DT41" i="7" s="1"/>
  <c r="DT31" i="7"/>
  <c r="DT37" i="10"/>
  <c r="DT37" i="7" s="1"/>
  <c r="DT34" i="10"/>
  <c r="DT34" i="7" s="1"/>
  <c r="DT30" i="10"/>
  <c r="DT30" i="7" s="1"/>
  <c r="DT24" i="10"/>
  <c r="DT24" i="7" s="1"/>
  <c r="DT20" i="10"/>
  <c r="DT20" i="7" s="1"/>
  <c r="DT35" i="10"/>
  <c r="DT35" i="7" s="1"/>
  <c r="DT27" i="10"/>
  <c r="DT27" i="7" s="1"/>
  <c r="DT23" i="10"/>
  <c r="DT23" i="7" s="1"/>
  <c r="DT26" i="10"/>
  <c r="DT26" i="7" s="1"/>
  <c r="DT22" i="10"/>
  <c r="DT22" i="7" s="1"/>
  <c r="DT17" i="10"/>
  <c r="DT17" i="7" s="1"/>
  <c r="DT13" i="10"/>
  <c r="DT13" i="7" s="1"/>
  <c r="DT16" i="10"/>
  <c r="DT16" i="7" s="1"/>
  <c r="DT12" i="10"/>
  <c r="DT12" i="7" s="1"/>
  <c r="DT25" i="10"/>
  <c r="DT25" i="7" s="1"/>
  <c r="DT19" i="10"/>
  <c r="DT19" i="7" s="1"/>
  <c r="DT15" i="10"/>
  <c r="DT15" i="7" s="1"/>
  <c r="DT21" i="10"/>
  <c r="DT21" i="7" s="1"/>
  <c r="DT18" i="10"/>
  <c r="DT18" i="7" s="1"/>
  <c r="DT9" i="10"/>
  <c r="DT9" i="7" s="1"/>
  <c r="DT5" i="10"/>
  <c r="DT5" i="7" s="1"/>
  <c r="DT14" i="10"/>
  <c r="DT14" i="7" s="1"/>
  <c r="DT8" i="10"/>
  <c r="DT8" i="7" s="1"/>
  <c r="DT4" i="10"/>
  <c r="DT4" i="7" s="1"/>
  <c r="DT7" i="10"/>
  <c r="DT7" i="7" s="1"/>
  <c r="EF51" i="10"/>
  <c r="EF51" i="7" s="1"/>
  <c r="EF47" i="10"/>
  <c r="EF47" i="7" s="1"/>
  <c r="EF50" i="10"/>
  <c r="EF50" i="7" s="1"/>
  <c r="EF46" i="10"/>
  <c r="EF46" i="7" s="1"/>
  <c r="EF49" i="10"/>
  <c r="EF49" i="7" s="1"/>
  <c r="EF45" i="10"/>
  <c r="EF45" i="7" s="1"/>
  <c r="EF48" i="10"/>
  <c r="EF48" i="7" s="1"/>
  <c r="EF44" i="10"/>
  <c r="EF44" i="7" s="1"/>
  <c r="EF42" i="10"/>
  <c r="EF42" i="7" s="1"/>
  <c r="EF38" i="10"/>
  <c r="EF38" i="7" s="1"/>
  <c r="EF41" i="10"/>
  <c r="EF41" i="7" s="1"/>
  <c r="EF37" i="10"/>
  <c r="EF37" i="7" s="1"/>
  <c r="EF43" i="10"/>
  <c r="EF43" i="7" s="1"/>
  <c r="EF40" i="10"/>
  <c r="EF40" i="7" s="1"/>
  <c r="EF36" i="10"/>
  <c r="EF36" i="7" s="1"/>
  <c r="EF39" i="10"/>
  <c r="EF39" i="7" s="1"/>
  <c r="EF31" i="10"/>
  <c r="EF31" i="7" s="1"/>
  <c r="EF34" i="10"/>
  <c r="EF34" i="7" s="1"/>
  <c r="EF30" i="10"/>
  <c r="EF30" i="7" s="1"/>
  <c r="EF33" i="10"/>
  <c r="EF33" i="7" s="1"/>
  <c r="EF29" i="10"/>
  <c r="EF29" i="7" s="1"/>
  <c r="EF35" i="10"/>
  <c r="EF35" i="7" s="1"/>
  <c r="EF32" i="10"/>
  <c r="EF32" i="7" s="1"/>
  <c r="EF28" i="10"/>
  <c r="EF28" i="7" s="1"/>
  <c r="EF26" i="10"/>
  <c r="EF26" i="7" s="1"/>
  <c r="EF22" i="10"/>
  <c r="EF22" i="7" s="1"/>
  <c r="EF25" i="10"/>
  <c r="EF25" i="7" s="1"/>
  <c r="EF21" i="10"/>
  <c r="EF21" i="7" s="1"/>
  <c r="EF24" i="10"/>
  <c r="EF24" i="7" s="1"/>
  <c r="EF20" i="10"/>
  <c r="EF20" i="7" s="1"/>
  <c r="EF27" i="10"/>
  <c r="EF27" i="7" s="1"/>
  <c r="EF23" i="10"/>
  <c r="EF23" i="7" s="1"/>
  <c r="EF19" i="10"/>
  <c r="EF19" i="7" s="1"/>
  <c r="EF15" i="10"/>
  <c r="EF15" i="7" s="1"/>
  <c r="EF18" i="10"/>
  <c r="EF18" i="7" s="1"/>
  <c r="EF14" i="10"/>
  <c r="EF14" i="7" s="1"/>
  <c r="EF17" i="10"/>
  <c r="EF17" i="7" s="1"/>
  <c r="EF13" i="10"/>
  <c r="EF13" i="7" s="1"/>
  <c r="EF7" i="10"/>
  <c r="EF7" i="7" s="1"/>
  <c r="EF10" i="10"/>
  <c r="EF10" i="7" s="1"/>
  <c r="EF6" i="10"/>
  <c r="EF6" i="7" s="1"/>
  <c r="EF16" i="10"/>
  <c r="EF16" i="7" s="1"/>
  <c r="EF11" i="10"/>
  <c r="EF11" i="7" s="1"/>
  <c r="EF9" i="10"/>
  <c r="EF9" i="7" s="1"/>
  <c r="EF5" i="10"/>
  <c r="EF5" i="7" s="1"/>
  <c r="EF12" i="10"/>
  <c r="EF12" i="7" s="1"/>
  <c r="ER49" i="10"/>
  <c r="ER49" i="7" s="1"/>
  <c r="ER45" i="10"/>
  <c r="ER45" i="7" s="1"/>
  <c r="ER48" i="10"/>
  <c r="ER48" i="7" s="1"/>
  <c r="ER44" i="10"/>
  <c r="ER44" i="7" s="1"/>
  <c r="ER51" i="10"/>
  <c r="ER51" i="7" s="1"/>
  <c r="ER47" i="10"/>
  <c r="ER47" i="7" s="1"/>
  <c r="ER43" i="10"/>
  <c r="ER43" i="7" s="1"/>
  <c r="ER40" i="10"/>
  <c r="ER40" i="7" s="1"/>
  <c r="ER36" i="10"/>
  <c r="ER36" i="7" s="1"/>
  <c r="ER50" i="10"/>
  <c r="ER50" i="7" s="1"/>
  <c r="ER39" i="10"/>
  <c r="ER39" i="7" s="1"/>
  <c r="ER46" i="10"/>
  <c r="ER46" i="7" s="1"/>
  <c r="ER38" i="10"/>
  <c r="ER38" i="7" s="1"/>
  <c r="ER42" i="10"/>
  <c r="ER42" i="7" s="1"/>
  <c r="ER33" i="10"/>
  <c r="ER33" i="7" s="1"/>
  <c r="ER29" i="10"/>
  <c r="ER29" i="7" s="1"/>
  <c r="ER32" i="10"/>
  <c r="ER32" i="7" s="1"/>
  <c r="ER28" i="10"/>
  <c r="ER28" i="7" s="1"/>
  <c r="ER41" i="10"/>
  <c r="ER41" i="7" s="1"/>
  <c r="ER35" i="10"/>
  <c r="ER35" i="7" s="1"/>
  <c r="ER37" i="10"/>
  <c r="ER37" i="7" s="1"/>
  <c r="ER31" i="10"/>
  <c r="ER31" i="7" s="1"/>
  <c r="ER34" i="10"/>
  <c r="ER34" i="7" s="1"/>
  <c r="ER30" i="10"/>
  <c r="ER30" i="7" s="1"/>
  <c r="ER24" i="10"/>
  <c r="ER24" i="7" s="1"/>
  <c r="ER20" i="10"/>
  <c r="ER20" i="7" s="1"/>
  <c r="ER27" i="10"/>
  <c r="ER27" i="7" s="1"/>
  <c r="ER23" i="10"/>
  <c r="ER23" i="7" s="1"/>
  <c r="ER19" i="10"/>
  <c r="ER19" i="7" s="1"/>
  <c r="ER26" i="10"/>
  <c r="ER26" i="7" s="1"/>
  <c r="ER22" i="10"/>
  <c r="ER22" i="7" s="1"/>
  <c r="ER17" i="10"/>
  <c r="ER17" i="7" s="1"/>
  <c r="ER13" i="10"/>
  <c r="ER13" i="7" s="1"/>
  <c r="ER16" i="10"/>
  <c r="ER16" i="7" s="1"/>
  <c r="ER12" i="10"/>
  <c r="ER12" i="7" s="1"/>
  <c r="ER25" i="10"/>
  <c r="ER25" i="7" s="1"/>
  <c r="ER21" i="10"/>
  <c r="ER21" i="7" s="1"/>
  <c r="ER15" i="10"/>
  <c r="ER15" i="7" s="1"/>
  <c r="ER18" i="10"/>
  <c r="ER18" i="7" s="1"/>
  <c r="ER14" i="10"/>
  <c r="ER14" i="7" s="1"/>
  <c r="ER9" i="10"/>
  <c r="ER9" i="7" s="1"/>
  <c r="ER5" i="10"/>
  <c r="ER5" i="7" s="1"/>
  <c r="ER11" i="10"/>
  <c r="ER11" i="7" s="1"/>
  <c r="ER8" i="10"/>
  <c r="ER8" i="7" s="1"/>
  <c r="ER4" i="10"/>
  <c r="ER4" i="7" s="1"/>
  <c r="ER7" i="10"/>
  <c r="ER7" i="7" s="1"/>
  <c r="FD51" i="10"/>
  <c r="FD51" i="7" s="1"/>
  <c r="FD47" i="10"/>
  <c r="FD47" i="7" s="1"/>
  <c r="FD50" i="10"/>
  <c r="FD50" i="7" s="1"/>
  <c r="FD46" i="10"/>
  <c r="FD46" i="7" s="1"/>
  <c r="FD49" i="10"/>
  <c r="FD49" i="7" s="1"/>
  <c r="FD45" i="10"/>
  <c r="FD45" i="7" s="1"/>
  <c r="FD44" i="10"/>
  <c r="FD44" i="7" s="1"/>
  <c r="FD43" i="10"/>
  <c r="FD43" i="7" s="1"/>
  <c r="FD38" i="10"/>
  <c r="FD38" i="7" s="1"/>
  <c r="FD42" i="10"/>
  <c r="FD42" i="7" s="1"/>
  <c r="FD41" i="10"/>
  <c r="FD41" i="7" s="1"/>
  <c r="FD37" i="10"/>
  <c r="FD37" i="7" s="1"/>
  <c r="FD40" i="10"/>
  <c r="FD40" i="7" s="1"/>
  <c r="FD36" i="10"/>
  <c r="FD36" i="7" s="1"/>
  <c r="FD31" i="10"/>
  <c r="FD31" i="7" s="1"/>
  <c r="FD27" i="10"/>
  <c r="FD27" i="7" s="1"/>
  <c r="FD35" i="10"/>
  <c r="FD35" i="7" s="1"/>
  <c r="FD34" i="10"/>
  <c r="FD34" i="7" s="1"/>
  <c r="FD30" i="10"/>
  <c r="FD30" i="7" s="1"/>
  <c r="FD33" i="10"/>
  <c r="FD33" i="7" s="1"/>
  <c r="FD29" i="10"/>
  <c r="FD29" i="7" s="1"/>
  <c r="FD48" i="10"/>
  <c r="FD48" i="7" s="1"/>
  <c r="FD32" i="10"/>
  <c r="FD32" i="7" s="1"/>
  <c r="FD28" i="10"/>
  <c r="FD28" i="7" s="1"/>
  <c r="FD26" i="10"/>
  <c r="FD26" i="7" s="1"/>
  <c r="FD22" i="10"/>
  <c r="FD22" i="7" s="1"/>
  <c r="FD39" i="10"/>
  <c r="FD39" i="7" s="1"/>
  <c r="FD25" i="10"/>
  <c r="FD25" i="7" s="1"/>
  <c r="FD21" i="10"/>
  <c r="FD21" i="7" s="1"/>
  <c r="FD24" i="10"/>
  <c r="FD24" i="7" s="1"/>
  <c r="FD20" i="10"/>
  <c r="FD20" i="7" s="1"/>
  <c r="FD23" i="10"/>
  <c r="FD23" i="7" s="1"/>
  <c r="FD15" i="10"/>
  <c r="FD15" i="7" s="1"/>
  <c r="FD19" i="10"/>
  <c r="FD19" i="7" s="1"/>
  <c r="FD18" i="10"/>
  <c r="FD18" i="7" s="1"/>
  <c r="FD14" i="10"/>
  <c r="FD14" i="7" s="1"/>
  <c r="FD17" i="10"/>
  <c r="FD17" i="7" s="1"/>
  <c r="FD13" i="10"/>
  <c r="FD13" i="7" s="1"/>
  <c r="FD11" i="10"/>
  <c r="FD11" i="7" s="1"/>
  <c r="FD7" i="10"/>
  <c r="FD7" i="7" s="1"/>
  <c r="FD10" i="10"/>
  <c r="FD10" i="7" s="1"/>
  <c r="FD6" i="10"/>
  <c r="FD6" i="7" s="1"/>
  <c r="FD16" i="10"/>
  <c r="FD16" i="7" s="1"/>
  <c r="FD12" i="10"/>
  <c r="FD12" i="7" s="1"/>
  <c r="FD9" i="10"/>
  <c r="FD9" i="7" s="1"/>
  <c r="FD5" i="10"/>
  <c r="FD5" i="7" s="1"/>
  <c r="FP49" i="10"/>
  <c r="FP49" i="7" s="1"/>
  <c r="FP45" i="10"/>
  <c r="FP45" i="7" s="1"/>
  <c r="FP48" i="10"/>
  <c r="FP48" i="7" s="1"/>
  <c r="FP44" i="10"/>
  <c r="FP44" i="7" s="1"/>
  <c r="FP51" i="10"/>
  <c r="FP51" i="7" s="1"/>
  <c r="FP47" i="10"/>
  <c r="FP47" i="7" s="1"/>
  <c r="FP43" i="10"/>
  <c r="FP43" i="7" s="1"/>
  <c r="FP42" i="10"/>
  <c r="FP42" i="7" s="1"/>
  <c r="FP40" i="10"/>
  <c r="FP40" i="7" s="1"/>
  <c r="FP36" i="10"/>
  <c r="FP36" i="7" s="1"/>
  <c r="FP50" i="10"/>
  <c r="FP50" i="7" s="1"/>
  <c r="FP46" i="10"/>
  <c r="FP46" i="7" s="1"/>
  <c r="FP39" i="10"/>
  <c r="FP39" i="7" s="1"/>
  <c r="FP38" i="10"/>
  <c r="FP38" i="7" s="1"/>
  <c r="FP33" i="10"/>
  <c r="FP33" i="7" s="1"/>
  <c r="FP29" i="10"/>
  <c r="FP29" i="7" s="1"/>
  <c r="FP41" i="10"/>
  <c r="FP41" i="7" s="1"/>
  <c r="FP32" i="10"/>
  <c r="FP32" i="7" s="1"/>
  <c r="FP28" i="10"/>
  <c r="FP28" i="7" s="1"/>
  <c r="FP37" i="10"/>
  <c r="FP37" i="7" s="1"/>
  <c r="FP31" i="10"/>
  <c r="FP31" i="7" s="1"/>
  <c r="FP27" i="10"/>
  <c r="FP27" i="7" s="1"/>
  <c r="FP34" i="10"/>
  <c r="FP34" i="7" s="1"/>
  <c r="FP30" i="10"/>
  <c r="FP30" i="7" s="1"/>
  <c r="FP24" i="10"/>
  <c r="FP24" i="7" s="1"/>
  <c r="FP20" i="10"/>
  <c r="FP20" i="7" s="1"/>
  <c r="FP35" i="10"/>
  <c r="FP35" i="7" s="1"/>
  <c r="FP23" i="10"/>
  <c r="FP23" i="7" s="1"/>
  <c r="FP19" i="10"/>
  <c r="FP19" i="7" s="1"/>
  <c r="FP26" i="10"/>
  <c r="FP26" i="7" s="1"/>
  <c r="FP22" i="10"/>
  <c r="FP22" i="7" s="1"/>
  <c r="FP17" i="10"/>
  <c r="FP17" i="7" s="1"/>
  <c r="FP13" i="10"/>
  <c r="FP13" i="7" s="1"/>
  <c r="FP25" i="10"/>
  <c r="FP25" i="7" s="1"/>
  <c r="FP16" i="10"/>
  <c r="FP16" i="7" s="1"/>
  <c r="FP12" i="10"/>
  <c r="FP12" i="7" s="1"/>
  <c r="FP21" i="10"/>
  <c r="FP21" i="7" s="1"/>
  <c r="FP15" i="10"/>
  <c r="FP15" i="7" s="1"/>
  <c r="FP14" i="10"/>
  <c r="FP14" i="7" s="1"/>
  <c r="FP9" i="10"/>
  <c r="FP9" i="7" s="1"/>
  <c r="FP5" i="10"/>
  <c r="FP5" i="7" s="1"/>
  <c r="FP8" i="10"/>
  <c r="FP8" i="7" s="1"/>
  <c r="FP4" i="10"/>
  <c r="FP4" i="7" s="1"/>
  <c r="FP7" i="10"/>
  <c r="FP7" i="7" s="1"/>
  <c r="GB51" i="10"/>
  <c r="GB51" i="7" s="1"/>
  <c r="GB47" i="10"/>
  <c r="GB47" i="7" s="1"/>
  <c r="GB50" i="10"/>
  <c r="GB50" i="7" s="1"/>
  <c r="GB46" i="10"/>
  <c r="GB46" i="7" s="1"/>
  <c r="GB49" i="10"/>
  <c r="GB49" i="7" s="1"/>
  <c r="GB45" i="10"/>
  <c r="GB45" i="7" s="1"/>
  <c r="GB38" i="10"/>
  <c r="GB38" i="7" s="1"/>
  <c r="GB41" i="10"/>
  <c r="GB41" i="7" s="1"/>
  <c r="GB37" i="10"/>
  <c r="GB37" i="7" s="1"/>
  <c r="GB42" i="10"/>
  <c r="GB42" i="7" s="1"/>
  <c r="GB40" i="10"/>
  <c r="GB40" i="7" s="1"/>
  <c r="GB36" i="10"/>
  <c r="GB36" i="7" s="1"/>
  <c r="GB48" i="10"/>
  <c r="GB48" i="7" s="1"/>
  <c r="GB43" i="10"/>
  <c r="GB43" i="7" s="1"/>
  <c r="GB31" i="10"/>
  <c r="GB31" i="7" s="1"/>
  <c r="GB27" i="10"/>
  <c r="GB27" i="7" s="1"/>
  <c r="GB34" i="10"/>
  <c r="GB34" i="7" s="1"/>
  <c r="GB30" i="10"/>
  <c r="GB30" i="7" s="1"/>
  <c r="GB33" i="10"/>
  <c r="GB33" i="7" s="1"/>
  <c r="GB29" i="10"/>
  <c r="GB29" i="7" s="1"/>
  <c r="GB44" i="10"/>
  <c r="GB44" i="7" s="1"/>
  <c r="GB35" i="10"/>
  <c r="GB35" i="7" s="1"/>
  <c r="GB39" i="10"/>
  <c r="GB39" i="7" s="1"/>
  <c r="GB32" i="10"/>
  <c r="GB32" i="7" s="1"/>
  <c r="GB28" i="10"/>
  <c r="GB28" i="7" s="1"/>
  <c r="GB26" i="10"/>
  <c r="GB26" i="7" s="1"/>
  <c r="GB22" i="10"/>
  <c r="GB22" i="7" s="1"/>
  <c r="GB25" i="10"/>
  <c r="GB25" i="7" s="1"/>
  <c r="GB21" i="10"/>
  <c r="GB21" i="7" s="1"/>
  <c r="GB24" i="10"/>
  <c r="GB24" i="7" s="1"/>
  <c r="GB20" i="10"/>
  <c r="GB20" i="7" s="1"/>
  <c r="GB19" i="10"/>
  <c r="GB19" i="7" s="1"/>
  <c r="GB15" i="10"/>
  <c r="GB15" i="7" s="1"/>
  <c r="GB18" i="10"/>
  <c r="GB18" i="7" s="1"/>
  <c r="GB14" i="10"/>
  <c r="GB14" i="7" s="1"/>
  <c r="GB17" i="10"/>
  <c r="GB17" i="7" s="1"/>
  <c r="GB13" i="10"/>
  <c r="GB13" i="7" s="1"/>
  <c r="GB7" i="10"/>
  <c r="GB7" i="7" s="1"/>
  <c r="GB16" i="10"/>
  <c r="GB16" i="7" s="1"/>
  <c r="GB10" i="10"/>
  <c r="GB10" i="7" s="1"/>
  <c r="GB6" i="10"/>
  <c r="GB6" i="7" s="1"/>
  <c r="GB12" i="10"/>
  <c r="GB12" i="7" s="1"/>
  <c r="GB11" i="10"/>
  <c r="GB11" i="7" s="1"/>
  <c r="GB9" i="10"/>
  <c r="GB9" i="7" s="1"/>
  <c r="GB5" i="10"/>
  <c r="GB5" i="7" s="1"/>
  <c r="GB23" i="10"/>
  <c r="GB23" i="7" s="1"/>
  <c r="GN49" i="10"/>
  <c r="GN49" i="7" s="1"/>
  <c r="GN45" i="10"/>
  <c r="GN45" i="7" s="1"/>
  <c r="GN48" i="10"/>
  <c r="GN48" i="7" s="1"/>
  <c r="GN44" i="10"/>
  <c r="GN44" i="7" s="1"/>
  <c r="GN51" i="10"/>
  <c r="GN51" i="7" s="1"/>
  <c r="GN47" i="10"/>
  <c r="GN47" i="7" s="1"/>
  <c r="GN43" i="10"/>
  <c r="GN43" i="7" s="1"/>
  <c r="GN50" i="10"/>
  <c r="GN50" i="7" s="1"/>
  <c r="GN40" i="10"/>
  <c r="GN40" i="7" s="1"/>
  <c r="GN36" i="10"/>
  <c r="GN36" i="7" s="1"/>
  <c r="GN46" i="10"/>
  <c r="GN46" i="7" s="1"/>
  <c r="GN42" i="10"/>
  <c r="GN42" i="7" s="1"/>
  <c r="GN39" i="10"/>
  <c r="GN39" i="7" s="1"/>
  <c r="GN38" i="10"/>
  <c r="GN38" i="7" s="1"/>
  <c r="GN33" i="10"/>
  <c r="GN33" i="7" s="1"/>
  <c r="GN29" i="10"/>
  <c r="GN29" i="7" s="1"/>
  <c r="GN41" i="10"/>
  <c r="GN41" i="7" s="1"/>
  <c r="GN37" i="10"/>
  <c r="GN37" i="7" s="1"/>
  <c r="GN32" i="10"/>
  <c r="GN32" i="7" s="1"/>
  <c r="GN28" i="10"/>
  <c r="GN28" i="7" s="1"/>
  <c r="GN35" i="10"/>
  <c r="GN35" i="7" s="1"/>
  <c r="GN31" i="10"/>
  <c r="GN31" i="7" s="1"/>
  <c r="GN27" i="10"/>
  <c r="GN27" i="7" s="1"/>
  <c r="GN34" i="10"/>
  <c r="GN34" i="7" s="1"/>
  <c r="GN30" i="10"/>
  <c r="GN30" i="7" s="1"/>
  <c r="GN24" i="10"/>
  <c r="GN24" i="7" s="1"/>
  <c r="GN20" i="10"/>
  <c r="GN20" i="7" s="1"/>
  <c r="GN23" i="10"/>
  <c r="GN23" i="7" s="1"/>
  <c r="GN19" i="10"/>
  <c r="GN19" i="7" s="1"/>
  <c r="GN26" i="10"/>
  <c r="GN26" i="7" s="1"/>
  <c r="GN22" i="10"/>
  <c r="GN22" i="7" s="1"/>
  <c r="GN17" i="10"/>
  <c r="GN17" i="7" s="1"/>
  <c r="GN13" i="10"/>
  <c r="GN13" i="7" s="1"/>
  <c r="GN25" i="10"/>
  <c r="GN25" i="7" s="1"/>
  <c r="GN21" i="10"/>
  <c r="GN21" i="7" s="1"/>
  <c r="GN16" i="10"/>
  <c r="GN16" i="7" s="1"/>
  <c r="GN12" i="10"/>
  <c r="GN12" i="7" s="1"/>
  <c r="GN15" i="10"/>
  <c r="GN15" i="7" s="1"/>
  <c r="GN9" i="10"/>
  <c r="GN9" i="7" s="1"/>
  <c r="GN5" i="10"/>
  <c r="GN5" i="7" s="1"/>
  <c r="GN11" i="10"/>
  <c r="GN11" i="7" s="1"/>
  <c r="GN8" i="10"/>
  <c r="GN8" i="7" s="1"/>
  <c r="GN4" i="10"/>
  <c r="GN4" i="7" s="1"/>
  <c r="GN7" i="10"/>
  <c r="GN7" i="7" s="1"/>
  <c r="GN18" i="10"/>
  <c r="GN18" i="7" s="1"/>
  <c r="GZ51" i="10"/>
  <c r="GZ47" i="10"/>
  <c r="GZ50" i="10"/>
  <c r="GZ46" i="10"/>
  <c r="GZ49" i="10"/>
  <c r="GZ45" i="10"/>
  <c r="GZ38" i="10"/>
  <c r="GZ43" i="10"/>
  <c r="GZ41" i="10"/>
  <c r="GZ37" i="10"/>
  <c r="GZ48" i="10"/>
  <c r="GZ40" i="10"/>
  <c r="GZ36" i="10"/>
  <c r="GZ44" i="10"/>
  <c r="GZ31" i="10"/>
  <c r="GZ27" i="10"/>
  <c r="GZ35" i="10"/>
  <c r="GZ34" i="10"/>
  <c r="GZ30" i="10"/>
  <c r="GZ33" i="10"/>
  <c r="GZ29" i="10"/>
  <c r="GZ39" i="10"/>
  <c r="GZ32" i="10"/>
  <c r="GZ28" i="10"/>
  <c r="GZ26" i="10"/>
  <c r="GZ22" i="10"/>
  <c r="GZ42" i="10"/>
  <c r="GZ25" i="10"/>
  <c r="GZ21" i="10"/>
  <c r="GZ24" i="10"/>
  <c r="GZ20" i="10"/>
  <c r="GZ15" i="10"/>
  <c r="GZ18" i="10"/>
  <c r="GZ14" i="10"/>
  <c r="GZ17" i="10"/>
  <c r="GZ13" i="10"/>
  <c r="GZ23" i="10"/>
  <c r="GZ11" i="10"/>
  <c r="GZ7" i="10"/>
  <c r="GZ3" i="10"/>
  <c r="GZ16" i="10"/>
  <c r="GZ12" i="10"/>
  <c r="GZ10" i="10"/>
  <c r="GZ6" i="10"/>
  <c r="GZ9" i="10"/>
  <c r="GZ5" i="10"/>
  <c r="GZ19" i="10"/>
  <c r="DZ3" i="10"/>
  <c r="DZ3" i="7" s="1"/>
  <c r="FD4" i="10"/>
  <c r="FD4" i="7" s="1"/>
  <c r="V5" i="10"/>
  <c r="V5" i="7" s="1"/>
  <c r="HF5" i="10"/>
  <c r="AZ6" i="10"/>
  <c r="AZ6" i="7" s="1"/>
  <c r="DB7" i="10"/>
  <c r="DB7" i="7" s="1"/>
  <c r="EF8" i="10"/>
  <c r="EF8" i="7" s="1"/>
  <c r="AB10" i="10"/>
  <c r="AB10" i="7" s="1"/>
  <c r="CD11" i="10"/>
  <c r="CD11" i="7" s="1"/>
  <c r="DB3" i="10"/>
  <c r="DB3" i="7" s="1"/>
  <c r="FD3" i="10"/>
  <c r="FD3" i="7" s="1"/>
  <c r="GB4" i="10"/>
  <c r="GB4" i="7" s="1"/>
  <c r="AT5" i="10"/>
  <c r="AT5" i="7" s="1"/>
  <c r="BX6" i="10"/>
  <c r="BX6" i="7" s="1"/>
  <c r="FD8" i="10"/>
  <c r="FD8" i="7" s="1"/>
  <c r="AZ10" i="10"/>
  <c r="AZ10" i="7" s="1"/>
  <c r="DH12" i="10"/>
  <c r="DH12" i="7" s="1"/>
  <c r="AE48" i="10"/>
  <c r="AE48" i="7" s="1"/>
  <c r="AE44" i="10"/>
  <c r="AE44" i="7" s="1"/>
  <c r="AE51" i="10"/>
  <c r="AE51" i="7" s="1"/>
  <c r="AE47" i="10"/>
  <c r="AE47" i="7" s="1"/>
  <c r="AE43" i="10"/>
  <c r="AE43" i="7" s="1"/>
  <c r="AE50" i="10"/>
  <c r="AE50" i="7" s="1"/>
  <c r="AE46" i="10"/>
  <c r="AE46" i="7" s="1"/>
  <c r="AE49" i="10"/>
  <c r="AE49" i="7" s="1"/>
  <c r="AE45" i="10"/>
  <c r="AE45" i="7" s="1"/>
  <c r="AE39" i="10"/>
  <c r="AE39" i="7" s="1"/>
  <c r="AE42" i="10"/>
  <c r="AE42" i="7" s="1"/>
  <c r="AE38" i="10"/>
  <c r="AE38" i="7" s="1"/>
  <c r="AE41" i="10"/>
  <c r="AE41" i="7" s="1"/>
  <c r="AE37" i="10"/>
  <c r="AE37" i="7" s="1"/>
  <c r="AE40" i="10"/>
  <c r="AE40" i="7" s="1"/>
  <c r="AE36" i="10"/>
  <c r="AE36" i="7" s="1"/>
  <c r="AE31" i="10"/>
  <c r="AE31" i="7" s="1"/>
  <c r="AE35" i="10"/>
  <c r="AE35" i="7" s="1"/>
  <c r="AE34" i="10"/>
  <c r="AE34" i="7" s="1"/>
  <c r="AE30" i="10"/>
  <c r="AE30" i="7" s="1"/>
  <c r="AE33" i="10"/>
  <c r="AE33" i="7" s="1"/>
  <c r="AE29" i="10"/>
  <c r="AE29" i="7" s="1"/>
  <c r="AE32" i="10"/>
  <c r="AE32" i="7" s="1"/>
  <c r="AE28" i="10"/>
  <c r="AE28" i="7" s="1"/>
  <c r="AE27" i="10"/>
  <c r="AE27" i="7" s="1"/>
  <c r="AE23" i="10"/>
  <c r="AE23" i="7" s="1"/>
  <c r="AE26" i="10"/>
  <c r="AE26" i="7" s="1"/>
  <c r="AE22" i="10"/>
  <c r="AE22" i="7" s="1"/>
  <c r="AE25" i="10"/>
  <c r="AE25" i="7" s="1"/>
  <c r="AE21" i="10"/>
  <c r="AE21" i="7" s="1"/>
  <c r="AE24" i="10"/>
  <c r="AE24" i="7" s="1"/>
  <c r="AE20" i="10"/>
  <c r="AE20" i="7" s="1"/>
  <c r="AE16" i="10"/>
  <c r="AE16" i="7" s="1"/>
  <c r="AE12" i="10"/>
  <c r="AE12" i="7" s="1"/>
  <c r="AE19" i="10"/>
  <c r="AE19" i="7" s="1"/>
  <c r="AE15" i="10"/>
  <c r="AE15" i="7" s="1"/>
  <c r="AE18" i="10"/>
  <c r="AE18" i="7" s="1"/>
  <c r="AE14" i="10"/>
  <c r="AE14" i="7" s="1"/>
  <c r="AE17" i="10"/>
  <c r="AE17" i="7" s="1"/>
  <c r="AE13" i="10"/>
  <c r="AE13" i="7" s="1"/>
  <c r="AE8" i="10"/>
  <c r="AE8" i="7" s="1"/>
  <c r="AE4" i="10"/>
  <c r="AE4" i="7" s="1"/>
  <c r="AE11" i="10"/>
  <c r="AE11" i="7" s="1"/>
  <c r="AE7" i="10"/>
  <c r="AE7" i="7" s="1"/>
  <c r="AE10" i="10"/>
  <c r="AE10" i="7" s="1"/>
  <c r="AE6" i="10"/>
  <c r="AE6" i="7" s="1"/>
  <c r="AE9" i="10"/>
  <c r="AE9" i="7" s="1"/>
  <c r="AE5" i="10"/>
  <c r="AE5" i="7" s="1"/>
  <c r="BO50" i="10"/>
  <c r="BO50" i="7" s="1"/>
  <c r="BO46" i="10"/>
  <c r="BO46" i="7" s="1"/>
  <c r="BO49" i="10"/>
  <c r="BO49" i="7" s="1"/>
  <c r="BO45" i="10"/>
  <c r="BO45" i="7" s="1"/>
  <c r="BO48" i="10"/>
  <c r="BO48" i="7" s="1"/>
  <c r="BO44" i="10"/>
  <c r="BO44" i="7" s="1"/>
  <c r="BO51" i="10"/>
  <c r="BO51" i="7" s="1"/>
  <c r="BO47" i="10"/>
  <c r="BO47" i="7" s="1"/>
  <c r="BO43" i="10"/>
  <c r="BO43" i="7" s="1"/>
  <c r="BO41" i="10"/>
  <c r="BO41" i="7" s="1"/>
  <c r="BO37" i="10"/>
  <c r="BO37" i="7" s="1"/>
  <c r="BO40" i="10"/>
  <c r="BO40" i="7" s="1"/>
  <c r="BO36" i="10"/>
  <c r="BO36" i="7" s="1"/>
  <c r="BO39" i="10"/>
  <c r="BO39" i="7" s="1"/>
  <c r="BO35" i="10"/>
  <c r="BO35" i="7" s="1"/>
  <c r="BO42" i="10"/>
  <c r="BO42" i="7" s="1"/>
  <c r="BO38" i="10"/>
  <c r="BO38" i="7" s="1"/>
  <c r="BO33" i="10"/>
  <c r="BO33" i="7" s="1"/>
  <c r="BO29" i="10"/>
  <c r="BO29" i="7" s="1"/>
  <c r="BO32" i="10"/>
  <c r="BO32" i="7" s="1"/>
  <c r="BO28" i="10"/>
  <c r="BO28" i="7" s="1"/>
  <c r="BO31" i="10"/>
  <c r="BO31" i="7" s="1"/>
  <c r="BO25" i="10"/>
  <c r="BO25" i="7" s="1"/>
  <c r="BO21" i="10"/>
  <c r="BO21" i="7" s="1"/>
  <c r="BO24" i="10"/>
  <c r="BO24" i="7" s="1"/>
  <c r="BO20" i="10"/>
  <c r="BO20" i="7" s="1"/>
  <c r="BO34" i="10"/>
  <c r="BO34" i="7" s="1"/>
  <c r="BO30" i="10"/>
  <c r="BO30" i="7" s="1"/>
  <c r="BO27" i="10"/>
  <c r="BO27" i="7" s="1"/>
  <c r="BO23" i="10"/>
  <c r="BO23" i="7" s="1"/>
  <c r="BO26" i="10"/>
  <c r="BO26" i="7" s="1"/>
  <c r="BO22" i="10"/>
  <c r="BO22" i="7" s="1"/>
  <c r="BO18" i="10"/>
  <c r="BO18" i="7" s="1"/>
  <c r="BO14" i="10"/>
  <c r="BO14" i="7" s="1"/>
  <c r="BO17" i="10"/>
  <c r="BO17" i="7" s="1"/>
  <c r="BO13" i="10"/>
  <c r="BO13" i="7" s="1"/>
  <c r="BO16" i="10"/>
  <c r="BO16" i="7" s="1"/>
  <c r="BO12" i="10"/>
  <c r="BO12" i="7" s="1"/>
  <c r="BO19" i="10"/>
  <c r="BO19" i="7" s="1"/>
  <c r="BO15" i="10"/>
  <c r="BO15" i="7" s="1"/>
  <c r="BO10" i="10"/>
  <c r="BO10" i="7" s="1"/>
  <c r="BO6" i="10"/>
  <c r="BO6" i="7" s="1"/>
  <c r="BO9" i="10"/>
  <c r="BO9" i="7" s="1"/>
  <c r="BO5" i="10"/>
  <c r="BO5" i="7" s="1"/>
  <c r="BO8" i="10"/>
  <c r="BO8" i="7" s="1"/>
  <c r="BO4" i="10"/>
  <c r="BO4" i="7" s="1"/>
  <c r="BO11" i="10"/>
  <c r="BO11" i="7" s="1"/>
  <c r="BO7" i="10"/>
  <c r="BO7" i="7" s="1"/>
  <c r="DK50" i="10"/>
  <c r="DK50" i="7" s="1"/>
  <c r="DK46" i="10"/>
  <c r="DK46" i="7" s="1"/>
  <c r="DK49" i="10"/>
  <c r="DK49" i="7" s="1"/>
  <c r="DK45" i="10"/>
  <c r="DK45" i="7" s="1"/>
  <c r="DK48" i="10"/>
  <c r="DK48" i="7" s="1"/>
  <c r="DK44" i="10"/>
  <c r="DK44" i="7" s="1"/>
  <c r="DK51" i="10"/>
  <c r="DK51" i="7" s="1"/>
  <c r="DK47" i="10"/>
  <c r="DK47" i="7" s="1"/>
  <c r="DK43" i="10"/>
  <c r="DK43" i="7" s="1"/>
  <c r="DK41" i="10"/>
  <c r="DK41" i="7" s="1"/>
  <c r="DK37" i="10"/>
  <c r="DK37" i="7" s="1"/>
  <c r="DK40" i="10"/>
  <c r="DK40" i="7" s="1"/>
  <c r="DK36" i="10"/>
  <c r="DK36" i="7" s="1"/>
  <c r="DK39" i="10"/>
  <c r="DK39" i="7" s="1"/>
  <c r="DK35" i="10"/>
  <c r="DK35" i="7" s="1"/>
  <c r="DK42" i="10"/>
  <c r="DK42" i="7" s="1"/>
  <c r="DK38" i="10"/>
  <c r="DK38" i="7" s="1"/>
  <c r="DK33" i="10"/>
  <c r="DK33" i="7" s="1"/>
  <c r="DK29" i="10"/>
  <c r="DK29" i="7" s="1"/>
  <c r="DK32" i="10"/>
  <c r="DK32" i="7" s="1"/>
  <c r="DK28" i="10"/>
  <c r="DK28" i="7" s="1"/>
  <c r="DK31" i="10"/>
  <c r="DK31" i="7" s="1"/>
  <c r="DK25" i="10"/>
  <c r="DK25" i="7" s="1"/>
  <c r="DK21" i="10"/>
  <c r="DK21" i="7" s="1"/>
  <c r="DK34" i="10"/>
  <c r="DK34" i="7" s="1"/>
  <c r="DK30" i="10"/>
  <c r="DK30" i="7" s="1"/>
  <c r="DK24" i="10"/>
  <c r="DK24" i="7" s="1"/>
  <c r="DK20" i="10"/>
  <c r="DK20" i="7" s="1"/>
  <c r="DK27" i="10"/>
  <c r="DK27" i="7" s="1"/>
  <c r="DK23" i="10"/>
  <c r="DK23" i="7" s="1"/>
  <c r="DK26" i="10"/>
  <c r="DK26" i="7" s="1"/>
  <c r="DK22" i="10"/>
  <c r="DK22" i="7" s="1"/>
  <c r="DK18" i="10"/>
  <c r="DK18" i="7" s="1"/>
  <c r="DK14" i="10"/>
  <c r="DK14" i="7" s="1"/>
  <c r="DK17" i="10"/>
  <c r="DK17" i="7" s="1"/>
  <c r="DK13" i="10"/>
  <c r="DK13" i="7" s="1"/>
  <c r="DK16" i="10"/>
  <c r="DK16" i="7" s="1"/>
  <c r="DK12" i="10"/>
  <c r="DK12" i="7" s="1"/>
  <c r="DK19" i="10"/>
  <c r="DK19" i="7" s="1"/>
  <c r="DK15" i="10"/>
  <c r="DK15" i="7" s="1"/>
  <c r="DK11" i="10"/>
  <c r="DK11" i="7" s="1"/>
  <c r="DK10" i="10"/>
  <c r="DK10" i="7" s="1"/>
  <c r="DK6" i="10"/>
  <c r="DK6" i="7" s="1"/>
  <c r="DK9" i="10"/>
  <c r="DK9" i="7" s="1"/>
  <c r="DK5" i="10"/>
  <c r="DK5" i="7" s="1"/>
  <c r="DK8" i="10"/>
  <c r="DK8" i="7" s="1"/>
  <c r="DK4" i="10"/>
  <c r="DK4" i="7" s="1"/>
  <c r="DK7" i="10"/>
  <c r="DK7" i="7" s="1"/>
  <c r="EU48" i="10"/>
  <c r="EU48" i="7" s="1"/>
  <c r="EU44" i="10"/>
  <c r="EU44" i="7" s="1"/>
  <c r="EU51" i="10"/>
  <c r="EU51" i="7" s="1"/>
  <c r="EU47" i="10"/>
  <c r="EU47" i="7" s="1"/>
  <c r="EU43" i="10"/>
  <c r="EU43" i="7" s="1"/>
  <c r="EU50" i="10"/>
  <c r="EU50" i="7" s="1"/>
  <c r="EU46" i="10"/>
  <c r="EU46" i="7" s="1"/>
  <c r="EU49" i="10"/>
  <c r="EU49" i="7" s="1"/>
  <c r="EU45" i="10"/>
  <c r="EU45" i="7" s="1"/>
  <c r="EU39" i="10"/>
  <c r="EU39" i="7" s="1"/>
  <c r="EU35" i="10"/>
  <c r="EU35" i="7" s="1"/>
  <c r="EU38" i="10"/>
  <c r="EU38" i="7" s="1"/>
  <c r="EU42" i="10"/>
  <c r="EU42" i="7" s="1"/>
  <c r="EU41" i="10"/>
  <c r="EU41" i="7" s="1"/>
  <c r="EU37" i="10"/>
  <c r="EU37" i="7" s="1"/>
  <c r="EU40" i="10"/>
  <c r="EU40" i="7" s="1"/>
  <c r="EU36" i="10"/>
  <c r="EU36" i="7" s="1"/>
  <c r="EU31" i="10"/>
  <c r="EU31" i="7" s="1"/>
  <c r="EU27" i="10"/>
  <c r="EU27" i="7" s="1"/>
  <c r="EU34" i="10"/>
  <c r="EU34" i="7" s="1"/>
  <c r="EU30" i="10"/>
  <c r="EU30" i="7" s="1"/>
  <c r="EU33" i="10"/>
  <c r="EU33" i="7" s="1"/>
  <c r="EU29" i="10"/>
  <c r="EU29" i="7" s="1"/>
  <c r="EU23" i="10"/>
  <c r="EU23" i="7" s="1"/>
  <c r="EU26" i="10"/>
  <c r="EU26" i="7" s="1"/>
  <c r="EU22" i="10"/>
  <c r="EU22" i="7" s="1"/>
  <c r="EU32" i="10"/>
  <c r="EU32" i="7" s="1"/>
  <c r="EU28" i="10"/>
  <c r="EU28" i="7" s="1"/>
  <c r="EU25" i="10"/>
  <c r="EU25" i="7" s="1"/>
  <c r="EU21" i="10"/>
  <c r="EU21" i="7" s="1"/>
  <c r="EU24" i="10"/>
  <c r="EU24" i="7" s="1"/>
  <c r="EU20" i="10"/>
  <c r="EU20" i="7" s="1"/>
  <c r="EU16" i="10"/>
  <c r="EU16" i="7" s="1"/>
  <c r="EU12" i="10"/>
  <c r="EU12" i="7" s="1"/>
  <c r="EU15" i="10"/>
  <c r="EU15" i="7" s="1"/>
  <c r="EU11" i="10"/>
  <c r="EU11" i="7" s="1"/>
  <c r="EU19" i="10"/>
  <c r="EU19" i="7" s="1"/>
  <c r="EU18" i="10"/>
  <c r="EU18" i="7" s="1"/>
  <c r="EU14" i="10"/>
  <c r="EU14" i="7" s="1"/>
  <c r="EU17" i="10"/>
  <c r="EU17" i="7" s="1"/>
  <c r="EU13" i="10"/>
  <c r="EU13" i="7" s="1"/>
  <c r="EU8" i="10"/>
  <c r="EU8" i="7" s="1"/>
  <c r="EU4" i="10"/>
  <c r="EU4" i="7" s="1"/>
  <c r="EU7" i="10"/>
  <c r="EU7" i="7" s="1"/>
  <c r="EU3" i="10"/>
  <c r="EU3" i="7" s="1"/>
  <c r="EU10" i="10"/>
  <c r="EU10" i="7" s="1"/>
  <c r="EU6" i="10"/>
  <c r="EU6" i="7" s="1"/>
  <c r="EU9" i="10"/>
  <c r="EU9" i="7" s="1"/>
  <c r="EU5" i="10"/>
  <c r="EU5" i="7" s="1"/>
  <c r="FG50" i="10"/>
  <c r="FG50" i="7" s="1"/>
  <c r="FG46" i="10"/>
  <c r="FG46" i="7" s="1"/>
  <c r="FG49" i="10"/>
  <c r="FG49" i="7" s="1"/>
  <c r="FG45" i="10"/>
  <c r="FG45" i="7" s="1"/>
  <c r="FG48" i="10"/>
  <c r="FG48" i="7" s="1"/>
  <c r="FG44" i="10"/>
  <c r="FG44" i="7" s="1"/>
  <c r="FG51" i="10"/>
  <c r="FG51" i="7" s="1"/>
  <c r="FG47" i="10"/>
  <c r="FG47" i="7" s="1"/>
  <c r="FG43" i="10"/>
  <c r="FG43" i="7" s="1"/>
  <c r="FG42" i="10"/>
  <c r="FG42" i="7" s="1"/>
  <c r="FG41" i="10"/>
  <c r="FG41" i="7" s="1"/>
  <c r="FG37" i="10"/>
  <c r="FG37" i="7" s="1"/>
  <c r="FG40" i="10"/>
  <c r="FG40" i="7" s="1"/>
  <c r="FG36" i="10"/>
  <c r="FG36" i="7" s="1"/>
  <c r="FG39" i="10"/>
  <c r="FG39" i="7" s="1"/>
  <c r="FG35" i="10"/>
  <c r="FG35" i="7" s="1"/>
  <c r="FG38" i="10"/>
  <c r="FG38" i="7" s="1"/>
  <c r="FG33" i="10"/>
  <c r="FG33" i="7" s="1"/>
  <c r="FG29" i="10"/>
  <c r="FG29" i="7" s="1"/>
  <c r="FG32" i="10"/>
  <c r="FG32" i="7" s="1"/>
  <c r="FG28" i="10"/>
  <c r="FG28" i="7" s="1"/>
  <c r="FG31" i="10"/>
  <c r="FG31" i="7" s="1"/>
  <c r="FG27" i="10"/>
  <c r="FG27" i="7" s="1"/>
  <c r="FG25" i="10"/>
  <c r="FG25" i="7" s="1"/>
  <c r="FG21" i="10"/>
  <c r="FG21" i="7" s="1"/>
  <c r="FG24" i="10"/>
  <c r="FG24" i="7" s="1"/>
  <c r="FG20" i="10"/>
  <c r="FG20" i="7" s="1"/>
  <c r="FG23" i="10"/>
  <c r="FG23" i="7" s="1"/>
  <c r="FG19" i="10"/>
  <c r="FG19" i="7" s="1"/>
  <c r="FG26" i="10"/>
  <c r="FG26" i="7" s="1"/>
  <c r="FG22" i="10"/>
  <c r="FG22" i="7" s="1"/>
  <c r="FG18" i="10"/>
  <c r="FG18" i="7" s="1"/>
  <c r="FG14" i="10"/>
  <c r="FG14" i="7" s="1"/>
  <c r="FG17" i="10"/>
  <c r="FG17" i="7" s="1"/>
  <c r="FG13" i="10"/>
  <c r="FG13" i="7" s="1"/>
  <c r="FG16" i="10"/>
  <c r="FG16" i="7" s="1"/>
  <c r="FG12" i="10"/>
  <c r="FG12" i="7" s="1"/>
  <c r="FG34" i="10"/>
  <c r="FG34" i="7" s="1"/>
  <c r="FG15" i="10"/>
  <c r="FG15" i="7" s="1"/>
  <c r="FG11" i="10"/>
  <c r="FG11" i="7" s="1"/>
  <c r="FG10" i="10"/>
  <c r="FG10" i="7" s="1"/>
  <c r="FG6" i="10"/>
  <c r="FG6" i="7" s="1"/>
  <c r="FG30" i="10"/>
  <c r="FG30" i="7" s="1"/>
  <c r="FG9" i="10"/>
  <c r="FG9" i="7" s="1"/>
  <c r="FG5" i="10"/>
  <c r="FG5" i="7" s="1"/>
  <c r="FG8" i="10"/>
  <c r="FG8" i="7" s="1"/>
  <c r="FG4" i="10"/>
  <c r="FG4" i="7" s="1"/>
  <c r="FG7" i="10"/>
  <c r="FG7" i="7" s="1"/>
  <c r="FG3" i="10"/>
  <c r="FG3" i="7" s="1"/>
  <c r="FS48" i="10"/>
  <c r="FS48" i="7" s="1"/>
  <c r="FS44" i="10"/>
  <c r="FS44" i="7" s="1"/>
  <c r="FS51" i="10"/>
  <c r="FS51" i="7" s="1"/>
  <c r="FS47" i="10"/>
  <c r="FS47" i="7" s="1"/>
  <c r="FS43" i="10"/>
  <c r="FS43" i="7" s="1"/>
  <c r="FS50" i="10"/>
  <c r="FS50" i="7" s="1"/>
  <c r="FS46" i="10"/>
  <c r="FS46" i="7" s="1"/>
  <c r="FS49" i="10"/>
  <c r="FS49" i="7" s="1"/>
  <c r="FS45" i="10"/>
  <c r="FS45" i="7" s="1"/>
  <c r="FS39" i="10"/>
  <c r="FS39" i="7" s="1"/>
  <c r="FS35" i="10"/>
  <c r="FS35" i="7" s="1"/>
  <c r="FS38" i="10"/>
  <c r="FS38" i="7" s="1"/>
  <c r="FS41" i="10"/>
  <c r="FS41" i="7" s="1"/>
  <c r="FS37" i="10"/>
  <c r="FS37" i="7" s="1"/>
  <c r="FS42" i="10"/>
  <c r="FS42" i="7" s="1"/>
  <c r="FS40" i="10"/>
  <c r="FS40" i="7" s="1"/>
  <c r="FS36" i="10"/>
  <c r="FS36" i="7" s="1"/>
  <c r="FS31" i="10"/>
  <c r="FS31" i="7" s="1"/>
  <c r="FS27" i="10"/>
  <c r="FS27" i="7" s="1"/>
  <c r="FS34" i="10"/>
  <c r="FS34" i="7" s="1"/>
  <c r="FS30" i="10"/>
  <c r="FS30" i="7" s="1"/>
  <c r="FS33" i="10"/>
  <c r="FS33" i="7" s="1"/>
  <c r="FS29" i="10"/>
  <c r="FS29" i="7" s="1"/>
  <c r="FS23" i="10"/>
  <c r="FS23" i="7" s="1"/>
  <c r="FS19" i="10"/>
  <c r="FS19" i="7" s="1"/>
  <c r="FS32" i="10"/>
  <c r="FS32" i="7" s="1"/>
  <c r="FS28" i="10"/>
  <c r="FS28" i="7" s="1"/>
  <c r="FS26" i="10"/>
  <c r="FS26" i="7" s="1"/>
  <c r="FS22" i="10"/>
  <c r="FS22" i="7" s="1"/>
  <c r="FS25" i="10"/>
  <c r="FS25" i="7" s="1"/>
  <c r="FS21" i="10"/>
  <c r="FS21" i="7" s="1"/>
  <c r="FS24" i="10"/>
  <c r="FS24" i="7" s="1"/>
  <c r="FS20" i="10"/>
  <c r="FS20" i="7" s="1"/>
  <c r="FS16" i="10"/>
  <c r="FS16" i="7" s="1"/>
  <c r="FS12" i="10"/>
  <c r="FS12" i="7" s="1"/>
  <c r="FS15" i="10"/>
  <c r="FS15" i="7" s="1"/>
  <c r="FS11" i="10"/>
  <c r="FS11" i="7" s="1"/>
  <c r="FS18" i="10"/>
  <c r="FS18" i="7" s="1"/>
  <c r="FS14" i="10"/>
  <c r="FS14" i="7" s="1"/>
  <c r="FS17" i="10"/>
  <c r="FS17" i="7" s="1"/>
  <c r="FS13" i="10"/>
  <c r="FS13" i="7" s="1"/>
  <c r="FS8" i="10"/>
  <c r="FS8" i="7" s="1"/>
  <c r="FS4" i="10"/>
  <c r="FS4" i="7" s="1"/>
  <c r="FS7" i="10"/>
  <c r="FS7" i="7" s="1"/>
  <c r="FS3" i="10"/>
  <c r="FS3" i="7" s="1"/>
  <c r="FS10" i="10"/>
  <c r="FS10" i="7" s="1"/>
  <c r="FS6" i="10"/>
  <c r="FS6" i="7" s="1"/>
  <c r="FS9" i="10"/>
  <c r="FS9" i="7" s="1"/>
  <c r="FS5" i="10"/>
  <c r="FS5" i="7" s="1"/>
  <c r="GE50" i="10"/>
  <c r="GE50" i="7" s="1"/>
  <c r="GE46" i="10"/>
  <c r="GE46" i="7" s="1"/>
  <c r="GE49" i="10"/>
  <c r="GE49" i="7" s="1"/>
  <c r="GE45" i="10"/>
  <c r="GE45" i="7" s="1"/>
  <c r="GE48" i="10"/>
  <c r="GE48" i="7" s="1"/>
  <c r="GE44" i="10"/>
  <c r="GE44" i="7" s="1"/>
  <c r="GE51" i="10"/>
  <c r="GE51" i="7" s="1"/>
  <c r="GE47" i="10"/>
  <c r="GE47" i="7" s="1"/>
  <c r="GE43" i="10"/>
  <c r="GE43" i="7" s="1"/>
  <c r="GE41" i="10"/>
  <c r="GE41" i="7" s="1"/>
  <c r="GE37" i="10"/>
  <c r="GE37" i="7" s="1"/>
  <c r="GE42" i="10"/>
  <c r="GE42" i="7" s="1"/>
  <c r="GE40" i="10"/>
  <c r="GE40" i="7" s="1"/>
  <c r="GE36" i="10"/>
  <c r="GE36" i="7" s="1"/>
  <c r="GE39" i="10"/>
  <c r="GE39" i="7" s="1"/>
  <c r="GE35" i="10"/>
  <c r="GE35" i="7" s="1"/>
  <c r="GE38" i="10"/>
  <c r="GE38" i="7" s="1"/>
  <c r="GE33" i="10"/>
  <c r="GE33" i="7" s="1"/>
  <c r="GE29" i="10"/>
  <c r="GE29" i="7" s="1"/>
  <c r="GE32" i="10"/>
  <c r="GE32" i="7" s="1"/>
  <c r="GE28" i="10"/>
  <c r="GE28" i="7" s="1"/>
  <c r="GE31" i="10"/>
  <c r="GE31" i="7" s="1"/>
  <c r="GE27" i="10"/>
  <c r="GE27" i="7" s="1"/>
  <c r="GE25" i="10"/>
  <c r="GE25" i="7" s="1"/>
  <c r="GE21" i="10"/>
  <c r="GE21" i="7" s="1"/>
  <c r="GE24" i="10"/>
  <c r="GE24" i="7" s="1"/>
  <c r="GE20" i="10"/>
  <c r="GE20" i="7" s="1"/>
  <c r="GE23" i="10"/>
  <c r="GE23" i="7" s="1"/>
  <c r="GE19" i="10"/>
  <c r="GE19" i="7" s="1"/>
  <c r="GE34" i="10"/>
  <c r="GE34" i="7" s="1"/>
  <c r="GE30" i="10"/>
  <c r="GE30" i="7" s="1"/>
  <c r="GE26" i="10"/>
  <c r="GE26" i="7" s="1"/>
  <c r="GE22" i="10"/>
  <c r="GE22" i="7" s="1"/>
  <c r="GE18" i="10"/>
  <c r="GE18" i="7" s="1"/>
  <c r="GE14" i="10"/>
  <c r="GE14" i="7" s="1"/>
  <c r="GE17" i="10"/>
  <c r="GE17" i="7" s="1"/>
  <c r="GE13" i="10"/>
  <c r="GE13" i="7" s="1"/>
  <c r="GE16" i="10"/>
  <c r="GE16" i="7" s="1"/>
  <c r="GE12" i="10"/>
  <c r="GE12" i="7" s="1"/>
  <c r="GE15" i="10"/>
  <c r="GE15" i="7" s="1"/>
  <c r="GE11" i="10"/>
  <c r="GE11" i="7" s="1"/>
  <c r="GE10" i="10"/>
  <c r="GE10" i="7" s="1"/>
  <c r="GE6" i="10"/>
  <c r="GE6" i="7" s="1"/>
  <c r="GE9" i="10"/>
  <c r="GE9" i="7" s="1"/>
  <c r="GE5" i="10"/>
  <c r="GE5" i="7" s="1"/>
  <c r="GE8" i="10"/>
  <c r="GE8" i="7" s="1"/>
  <c r="GE4" i="10"/>
  <c r="GE4" i="7" s="1"/>
  <c r="GE7" i="10"/>
  <c r="GE7" i="7" s="1"/>
  <c r="GE3" i="10"/>
  <c r="GE3" i="7" s="1"/>
  <c r="GQ48" i="10"/>
  <c r="GQ48" i="7" s="1"/>
  <c r="GQ44" i="10"/>
  <c r="GQ44" i="7" s="1"/>
  <c r="GQ51" i="10"/>
  <c r="GQ51" i="7" s="1"/>
  <c r="GQ47" i="10"/>
  <c r="GQ47" i="7" s="1"/>
  <c r="GQ43" i="10"/>
  <c r="GQ43" i="7" s="1"/>
  <c r="GQ50" i="10"/>
  <c r="GQ50" i="7" s="1"/>
  <c r="GQ46" i="10"/>
  <c r="GQ46" i="7" s="1"/>
  <c r="GQ49" i="10"/>
  <c r="GQ49" i="7" s="1"/>
  <c r="GQ45" i="10"/>
  <c r="GQ45" i="7" s="1"/>
  <c r="GQ39" i="10"/>
  <c r="GQ39" i="7" s="1"/>
  <c r="GQ35" i="10"/>
  <c r="GQ35" i="7" s="1"/>
  <c r="GQ38" i="10"/>
  <c r="GQ38" i="7" s="1"/>
  <c r="GQ41" i="10"/>
  <c r="GQ41" i="7" s="1"/>
  <c r="GQ37" i="10"/>
  <c r="GQ37" i="7" s="1"/>
  <c r="GQ40" i="10"/>
  <c r="GQ40" i="7" s="1"/>
  <c r="GQ36" i="10"/>
  <c r="GQ36" i="7" s="1"/>
  <c r="GQ31" i="10"/>
  <c r="GQ31" i="7" s="1"/>
  <c r="GQ27" i="10"/>
  <c r="GQ27" i="7" s="1"/>
  <c r="GQ34" i="10"/>
  <c r="GQ34" i="7" s="1"/>
  <c r="GQ30" i="10"/>
  <c r="GQ30" i="7" s="1"/>
  <c r="GQ33" i="10"/>
  <c r="GQ33" i="7" s="1"/>
  <c r="GQ29" i="10"/>
  <c r="GQ29" i="7" s="1"/>
  <c r="GQ42" i="10"/>
  <c r="GQ42" i="7" s="1"/>
  <c r="GQ23" i="10"/>
  <c r="GQ23" i="7" s="1"/>
  <c r="GQ19" i="10"/>
  <c r="GQ19" i="7" s="1"/>
  <c r="GQ32" i="10"/>
  <c r="GQ32" i="7" s="1"/>
  <c r="GQ28" i="10"/>
  <c r="GQ28" i="7" s="1"/>
  <c r="GQ26" i="10"/>
  <c r="GQ26" i="7" s="1"/>
  <c r="GQ22" i="10"/>
  <c r="GQ22" i="7" s="1"/>
  <c r="GQ25" i="10"/>
  <c r="GQ25" i="7" s="1"/>
  <c r="GQ21" i="10"/>
  <c r="GQ21" i="7" s="1"/>
  <c r="GQ24" i="10"/>
  <c r="GQ24" i="7" s="1"/>
  <c r="GQ20" i="10"/>
  <c r="GQ20" i="7" s="1"/>
  <c r="GQ16" i="10"/>
  <c r="GQ16" i="7" s="1"/>
  <c r="GQ12" i="10"/>
  <c r="GQ12" i="7" s="1"/>
  <c r="GQ15" i="10"/>
  <c r="GQ15" i="7" s="1"/>
  <c r="GQ11" i="10"/>
  <c r="GQ11" i="7" s="1"/>
  <c r="GQ18" i="10"/>
  <c r="GQ18" i="7" s="1"/>
  <c r="GQ14" i="10"/>
  <c r="GQ14" i="7" s="1"/>
  <c r="GQ17" i="10"/>
  <c r="GQ17" i="7" s="1"/>
  <c r="GQ13" i="10"/>
  <c r="GQ13" i="7" s="1"/>
  <c r="GQ8" i="10"/>
  <c r="GQ8" i="7" s="1"/>
  <c r="GQ4" i="10"/>
  <c r="GQ4" i="7" s="1"/>
  <c r="GQ7" i="10"/>
  <c r="GQ7" i="7" s="1"/>
  <c r="GQ3" i="10"/>
  <c r="GQ3" i="7" s="1"/>
  <c r="GQ10" i="10"/>
  <c r="GQ10" i="7" s="1"/>
  <c r="GQ6" i="10"/>
  <c r="GQ6" i="7" s="1"/>
  <c r="GQ9" i="10"/>
  <c r="GQ9" i="7" s="1"/>
  <c r="GQ5" i="10"/>
  <c r="GQ5" i="7" s="1"/>
  <c r="HC50" i="10"/>
  <c r="HC46" i="10"/>
  <c r="HC49" i="10"/>
  <c r="HC45" i="10"/>
  <c r="HC48" i="10"/>
  <c r="HC44" i="10"/>
  <c r="HC51" i="10"/>
  <c r="HC47" i="10"/>
  <c r="HC43" i="10"/>
  <c r="HC41" i="10"/>
  <c r="HC37" i="10"/>
  <c r="HC40" i="10"/>
  <c r="HC36" i="10"/>
  <c r="HC42" i="10"/>
  <c r="HC39" i="10"/>
  <c r="HC35" i="10"/>
  <c r="HC38" i="10"/>
  <c r="HC33" i="10"/>
  <c r="HC29" i="10"/>
  <c r="HC32" i="10"/>
  <c r="HC28" i="10"/>
  <c r="HC31" i="10"/>
  <c r="HC27" i="10"/>
  <c r="HC25" i="10"/>
  <c r="HC21" i="10"/>
  <c r="HC24" i="10"/>
  <c r="HC20" i="10"/>
  <c r="HC23" i="10"/>
  <c r="HC19" i="10"/>
  <c r="HC34" i="10"/>
  <c r="HC30" i="10"/>
  <c r="HC26" i="10"/>
  <c r="HC22" i="10"/>
  <c r="HC18" i="10"/>
  <c r="HC14" i="10"/>
  <c r="HC17" i="10"/>
  <c r="HC13" i="10"/>
  <c r="HC16" i="10"/>
  <c r="HC12" i="10"/>
  <c r="HC15" i="10"/>
  <c r="HC11" i="10"/>
  <c r="HC10" i="10"/>
  <c r="HC6" i="10"/>
  <c r="HC9" i="10"/>
  <c r="HC5" i="10"/>
  <c r="HC8" i="10"/>
  <c r="HC4" i="10"/>
  <c r="HC7" i="10"/>
  <c r="HC3" i="10"/>
  <c r="BO3" i="10"/>
  <c r="BO3" i="7" s="1"/>
  <c r="DK3" i="10"/>
  <c r="DK3" i="7" s="1"/>
  <c r="P4" i="10"/>
  <c r="P4" i="7" s="1"/>
  <c r="BR5" i="10"/>
  <c r="BR5" i="7" s="1"/>
  <c r="CV6" i="10"/>
  <c r="CV6" i="7" s="1"/>
  <c r="GB8" i="10"/>
  <c r="GB8" i="7" s="1"/>
  <c r="BX10" i="10"/>
  <c r="BX10" i="7" s="1"/>
  <c r="CJ16" i="10"/>
  <c r="CJ16" i="7" s="1"/>
  <c r="G48" i="10"/>
  <c r="G48" i="7" s="1"/>
  <c r="G44" i="10"/>
  <c r="G44" i="7" s="1"/>
  <c r="G51" i="10"/>
  <c r="G51" i="7" s="1"/>
  <c r="G47" i="10"/>
  <c r="G47" i="7" s="1"/>
  <c r="G43" i="10"/>
  <c r="G43" i="7" s="1"/>
  <c r="G50" i="10"/>
  <c r="G50" i="7" s="1"/>
  <c r="G46" i="10"/>
  <c r="G46" i="7" s="1"/>
  <c r="G49" i="10"/>
  <c r="G49" i="7" s="1"/>
  <c r="G45" i="10"/>
  <c r="G45" i="7" s="1"/>
  <c r="G39" i="10"/>
  <c r="G39" i="7" s="1"/>
  <c r="G42" i="10"/>
  <c r="G42" i="7" s="1"/>
  <c r="G38" i="10"/>
  <c r="G38" i="7" s="1"/>
  <c r="G41" i="10"/>
  <c r="G41" i="7" s="1"/>
  <c r="G37" i="10"/>
  <c r="G37" i="7" s="1"/>
  <c r="G40" i="10"/>
  <c r="G40" i="7" s="1"/>
  <c r="G36" i="10"/>
  <c r="G36" i="7" s="1"/>
  <c r="G35" i="10"/>
  <c r="G35" i="7" s="1"/>
  <c r="G31" i="10"/>
  <c r="G31" i="7" s="1"/>
  <c r="G34" i="10"/>
  <c r="G34" i="7" s="1"/>
  <c r="G30" i="10"/>
  <c r="G30" i="7" s="1"/>
  <c r="G33" i="10"/>
  <c r="G33" i="7" s="1"/>
  <c r="G29" i="10"/>
  <c r="G29" i="7" s="1"/>
  <c r="G27" i="10"/>
  <c r="G27" i="7" s="1"/>
  <c r="G23" i="10"/>
  <c r="G23" i="7" s="1"/>
  <c r="G32" i="10"/>
  <c r="G32" i="7" s="1"/>
  <c r="G28" i="10"/>
  <c r="G28" i="7" s="1"/>
  <c r="G26" i="10"/>
  <c r="G26" i="7" s="1"/>
  <c r="G22" i="10"/>
  <c r="G22" i="7" s="1"/>
  <c r="G25" i="10"/>
  <c r="G25" i="7" s="1"/>
  <c r="G21" i="10"/>
  <c r="G21" i="7" s="1"/>
  <c r="G24" i="10"/>
  <c r="G24" i="7" s="1"/>
  <c r="G20" i="10"/>
  <c r="G20" i="7" s="1"/>
  <c r="G16" i="10"/>
  <c r="G16" i="7" s="1"/>
  <c r="G12" i="10"/>
  <c r="G12" i="7" s="1"/>
  <c r="G19" i="10"/>
  <c r="G19" i="7" s="1"/>
  <c r="G15" i="10"/>
  <c r="G15" i="7" s="1"/>
  <c r="G18" i="10"/>
  <c r="G18" i="7" s="1"/>
  <c r="G14" i="10"/>
  <c r="G14" i="7" s="1"/>
  <c r="G17" i="10"/>
  <c r="G17" i="7" s="1"/>
  <c r="G13" i="10"/>
  <c r="G13" i="7" s="1"/>
  <c r="G8" i="10"/>
  <c r="G8" i="7" s="1"/>
  <c r="G4" i="10"/>
  <c r="G4" i="7" s="1"/>
  <c r="G11" i="10"/>
  <c r="G11" i="7" s="1"/>
  <c r="G7" i="10"/>
  <c r="G7" i="7" s="1"/>
  <c r="G10" i="10"/>
  <c r="G10" i="7" s="1"/>
  <c r="G6" i="10"/>
  <c r="G6" i="7" s="1"/>
  <c r="G9" i="10"/>
  <c r="G9" i="7" s="1"/>
  <c r="G5" i="10"/>
  <c r="G5" i="7" s="1"/>
  <c r="AQ50" i="10"/>
  <c r="AQ50" i="7" s="1"/>
  <c r="AQ46" i="10"/>
  <c r="AQ46" i="7" s="1"/>
  <c r="AQ49" i="10"/>
  <c r="AQ49" i="7" s="1"/>
  <c r="AQ45" i="10"/>
  <c r="AQ45" i="7" s="1"/>
  <c r="AQ48" i="10"/>
  <c r="AQ48" i="7" s="1"/>
  <c r="AQ44" i="10"/>
  <c r="AQ44" i="7" s="1"/>
  <c r="AQ51" i="10"/>
  <c r="AQ51" i="7" s="1"/>
  <c r="AQ47" i="10"/>
  <c r="AQ47" i="7" s="1"/>
  <c r="AQ43" i="10"/>
  <c r="AQ43" i="7" s="1"/>
  <c r="AQ41" i="10"/>
  <c r="AQ41" i="7" s="1"/>
  <c r="AQ37" i="10"/>
  <c r="AQ37" i="7" s="1"/>
  <c r="AQ40" i="10"/>
  <c r="AQ40" i="7" s="1"/>
  <c r="AQ36" i="10"/>
  <c r="AQ36" i="7" s="1"/>
  <c r="AQ39" i="10"/>
  <c r="AQ39" i="7" s="1"/>
  <c r="AQ35" i="10"/>
  <c r="AQ35" i="7" s="1"/>
  <c r="AQ42" i="10"/>
  <c r="AQ42" i="7" s="1"/>
  <c r="AQ38" i="10"/>
  <c r="AQ38" i="7" s="1"/>
  <c r="AQ33" i="10"/>
  <c r="AQ33" i="7" s="1"/>
  <c r="AQ29" i="10"/>
  <c r="AQ29" i="7" s="1"/>
  <c r="AQ32" i="10"/>
  <c r="AQ32" i="7" s="1"/>
  <c r="AQ28" i="10"/>
  <c r="AQ28" i="7" s="1"/>
  <c r="AQ31" i="10"/>
  <c r="AQ31" i="7" s="1"/>
  <c r="AQ25" i="10"/>
  <c r="AQ25" i="7" s="1"/>
  <c r="AQ21" i="10"/>
  <c r="AQ21" i="7" s="1"/>
  <c r="AQ24" i="10"/>
  <c r="AQ24" i="7" s="1"/>
  <c r="AQ20" i="10"/>
  <c r="AQ20" i="7" s="1"/>
  <c r="AQ34" i="10"/>
  <c r="AQ34" i="7" s="1"/>
  <c r="AQ30" i="10"/>
  <c r="AQ30" i="7" s="1"/>
  <c r="AQ27" i="10"/>
  <c r="AQ27" i="7" s="1"/>
  <c r="AQ23" i="10"/>
  <c r="AQ23" i="7" s="1"/>
  <c r="AQ26" i="10"/>
  <c r="AQ26" i="7" s="1"/>
  <c r="AQ22" i="10"/>
  <c r="AQ22" i="7" s="1"/>
  <c r="AQ18" i="10"/>
  <c r="AQ18" i="7" s="1"/>
  <c r="AQ14" i="10"/>
  <c r="AQ14" i="7" s="1"/>
  <c r="AQ17" i="10"/>
  <c r="AQ17" i="7" s="1"/>
  <c r="AQ13" i="10"/>
  <c r="AQ13" i="7" s="1"/>
  <c r="AQ16" i="10"/>
  <c r="AQ16" i="7" s="1"/>
  <c r="AQ12" i="10"/>
  <c r="AQ12" i="7" s="1"/>
  <c r="AQ19" i="10"/>
  <c r="AQ19" i="7" s="1"/>
  <c r="AQ15" i="10"/>
  <c r="AQ15" i="7" s="1"/>
  <c r="AQ10" i="10"/>
  <c r="AQ10" i="7" s="1"/>
  <c r="AQ6" i="10"/>
  <c r="AQ6" i="7" s="1"/>
  <c r="AQ9" i="10"/>
  <c r="AQ9" i="7" s="1"/>
  <c r="AQ5" i="10"/>
  <c r="AQ5" i="7" s="1"/>
  <c r="AQ8" i="10"/>
  <c r="AQ8" i="7" s="1"/>
  <c r="AQ4" i="10"/>
  <c r="AQ4" i="7" s="1"/>
  <c r="AQ11" i="10"/>
  <c r="AQ11" i="7" s="1"/>
  <c r="AQ7" i="10"/>
  <c r="AQ7" i="7" s="1"/>
  <c r="CA48" i="10"/>
  <c r="CA48" i="7" s="1"/>
  <c r="CA44" i="10"/>
  <c r="CA44" i="7" s="1"/>
  <c r="CA51" i="10"/>
  <c r="CA51" i="7" s="1"/>
  <c r="CA47" i="10"/>
  <c r="CA47" i="7" s="1"/>
  <c r="CA43" i="10"/>
  <c r="CA43" i="7" s="1"/>
  <c r="CA50" i="10"/>
  <c r="CA50" i="7" s="1"/>
  <c r="CA46" i="10"/>
  <c r="CA46" i="7" s="1"/>
  <c r="CA49" i="10"/>
  <c r="CA49" i="7" s="1"/>
  <c r="CA45" i="10"/>
  <c r="CA45" i="7" s="1"/>
  <c r="CA39" i="10"/>
  <c r="CA39" i="7" s="1"/>
  <c r="CA42" i="10"/>
  <c r="CA42" i="7" s="1"/>
  <c r="CA38" i="10"/>
  <c r="CA38" i="7" s="1"/>
  <c r="CA41" i="10"/>
  <c r="CA41" i="7" s="1"/>
  <c r="CA37" i="10"/>
  <c r="CA37" i="7" s="1"/>
  <c r="CA40" i="10"/>
  <c r="CA40" i="7" s="1"/>
  <c r="CA36" i="10"/>
  <c r="CA36" i="7" s="1"/>
  <c r="CA31" i="10"/>
  <c r="CA31" i="7" s="1"/>
  <c r="CA34" i="10"/>
  <c r="CA34" i="7" s="1"/>
  <c r="CA30" i="10"/>
  <c r="CA30" i="7" s="1"/>
  <c r="CA33" i="10"/>
  <c r="CA33" i="7" s="1"/>
  <c r="CA29" i="10"/>
  <c r="CA29" i="7" s="1"/>
  <c r="CA35" i="10"/>
  <c r="CA35" i="7" s="1"/>
  <c r="CA27" i="10"/>
  <c r="CA27" i="7" s="1"/>
  <c r="CA23" i="10"/>
  <c r="CA23" i="7" s="1"/>
  <c r="CA26" i="10"/>
  <c r="CA26" i="7" s="1"/>
  <c r="CA22" i="10"/>
  <c r="CA22" i="7" s="1"/>
  <c r="CA25" i="10"/>
  <c r="CA25" i="7" s="1"/>
  <c r="CA21" i="10"/>
  <c r="CA21" i="7" s="1"/>
  <c r="CA32" i="10"/>
  <c r="CA32" i="7" s="1"/>
  <c r="CA28" i="10"/>
  <c r="CA28" i="7" s="1"/>
  <c r="CA24" i="10"/>
  <c r="CA24" i="7" s="1"/>
  <c r="CA20" i="10"/>
  <c r="CA20" i="7" s="1"/>
  <c r="CA16" i="10"/>
  <c r="CA16" i="7" s="1"/>
  <c r="CA12" i="10"/>
  <c r="CA12" i="7" s="1"/>
  <c r="CA19" i="10"/>
  <c r="CA19" i="7" s="1"/>
  <c r="CA15" i="10"/>
  <c r="CA15" i="7" s="1"/>
  <c r="CA18" i="10"/>
  <c r="CA18" i="7" s="1"/>
  <c r="CA14" i="10"/>
  <c r="CA14" i="7" s="1"/>
  <c r="CA17" i="10"/>
  <c r="CA17" i="7" s="1"/>
  <c r="CA13" i="10"/>
  <c r="CA13" i="7" s="1"/>
  <c r="CA8" i="10"/>
  <c r="CA8" i="7" s="1"/>
  <c r="CA4" i="10"/>
  <c r="CA4" i="7" s="1"/>
  <c r="CA11" i="10"/>
  <c r="CA11" i="7" s="1"/>
  <c r="CA7" i="10"/>
  <c r="CA7" i="7" s="1"/>
  <c r="CA10" i="10"/>
  <c r="CA10" i="7" s="1"/>
  <c r="CA6" i="10"/>
  <c r="CA6" i="7" s="1"/>
  <c r="CA9" i="10"/>
  <c r="CA9" i="7" s="1"/>
  <c r="CA5" i="10"/>
  <c r="CA5" i="7" s="1"/>
  <c r="CY48" i="10"/>
  <c r="CY48" i="7" s="1"/>
  <c r="CY44" i="10"/>
  <c r="CY44" i="7" s="1"/>
  <c r="CY51" i="10"/>
  <c r="CY51" i="7" s="1"/>
  <c r="CY47" i="10"/>
  <c r="CY47" i="7" s="1"/>
  <c r="CY43" i="10"/>
  <c r="CY43" i="7" s="1"/>
  <c r="CY50" i="10"/>
  <c r="CY50" i="7" s="1"/>
  <c r="CY46" i="10"/>
  <c r="CY46" i="7" s="1"/>
  <c r="CY49" i="10"/>
  <c r="CY49" i="7" s="1"/>
  <c r="CY45" i="10"/>
  <c r="CY45" i="7" s="1"/>
  <c r="CY39" i="10"/>
  <c r="CY39" i="7" s="1"/>
  <c r="CY35" i="10"/>
  <c r="CY35" i="7" s="1"/>
  <c r="CY42" i="10"/>
  <c r="CY42" i="7" s="1"/>
  <c r="CY38" i="10"/>
  <c r="CY38" i="7" s="1"/>
  <c r="CY41" i="10"/>
  <c r="CY41" i="7" s="1"/>
  <c r="CY37" i="10"/>
  <c r="CY37" i="7" s="1"/>
  <c r="CY40" i="10"/>
  <c r="CY40" i="7" s="1"/>
  <c r="CY36" i="10"/>
  <c r="CY36" i="7" s="1"/>
  <c r="CY31" i="10"/>
  <c r="CY31" i="7" s="1"/>
  <c r="CY34" i="10"/>
  <c r="CY34" i="7" s="1"/>
  <c r="CY30" i="10"/>
  <c r="CY30" i="7" s="1"/>
  <c r="CY33" i="10"/>
  <c r="CY33" i="7" s="1"/>
  <c r="CY29" i="10"/>
  <c r="CY29" i="7" s="1"/>
  <c r="CY27" i="10"/>
  <c r="CY27" i="7" s="1"/>
  <c r="CY23" i="10"/>
  <c r="CY23" i="7" s="1"/>
  <c r="CY26" i="10"/>
  <c r="CY26" i="7" s="1"/>
  <c r="CY22" i="10"/>
  <c r="CY22" i="7" s="1"/>
  <c r="CY25" i="10"/>
  <c r="CY25" i="7" s="1"/>
  <c r="CY21" i="10"/>
  <c r="CY21" i="7" s="1"/>
  <c r="CY32" i="10"/>
  <c r="CY32" i="7" s="1"/>
  <c r="CY28" i="10"/>
  <c r="CY28" i="7" s="1"/>
  <c r="CY24" i="10"/>
  <c r="CY24" i="7" s="1"/>
  <c r="CY20" i="10"/>
  <c r="CY20" i="7" s="1"/>
  <c r="CY16" i="10"/>
  <c r="CY16" i="7" s="1"/>
  <c r="CY12" i="10"/>
  <c r="CY12" i="7" s="1"/>
  <c r="CY19" i="10"/>
  <c r="CY19" i="7" s="1"/>
  <c r="CY15" i="10"/>
  <c r="CY15" i="7" s="1"/>
  <c r="CY18" i="10"/>
  <c r="CY18" i="7" s="1"/>
  <c r="CY14" i="10"/>
  <c r="CY14" i="7" s="1"/>
  <c r="CY17" i="10"/>
  <c r="CY17" i="7" s="1"/>
  <c r="CY13" i="10"/>
  <c r="CY13" i="7" s="1"/>
  <c r="CY8" i="10"/>
  <c r="CY8" i="7" s="1"/>
  <c r="CY4" i="10"/>
  <c r="CY4" i="7" s="1"/>
  <c r="CY11" i="10"/>
  <c r="CY11" i="7" s="1"/>
  <c r="CY7" i="10"/>
  <c r="CY7" i="7" s="1"/>
  <c r="CY10" i="10"/>
  <c r="CY10" i="7" s="1"/>
  <c r="CY6" i="10"/>
  <c r="CY6" i="7" s="1"/>
  <c r="CY9" i="10"/>
  <c r="CY9" i="7" s="1"/>
  <c r="CY5" i="10"/>
  <c r="CY5" i="7" s="1"/>
  <c r="EI50" i="10"/>
  <c r="EI50" i="7" s="1"/>
  <c r="EI46" i="10"/>
  <c r="EI46" i="7" s="1"/>
  <c r="EI49" i="10"/>
  <c r="EI49" i="7" s="1"/>
  <c r="EI45" i="10"/>
  <c r="EI45" i="7" s="1"/>
  <c r="EI48" i="10"/>
  <c r="EI48" i="7" s="1"/>
  <c r="EI44" i="10"/>
  <c r="EI44" i="7" s="1"/>
  <c r="EI51" i="10"/>
  <c r="EI51" i="7" s="1"/>
  <c r="EI47" i="10"/>
  <c r="EI47" i="7" s="1"/>
  <c r="EI43" i="10"/>
  <c r="EI43" i="7" s="1"/>
  <c r="EI41" i="10"/>
  <c r="EI41" i="7" s="1"/>
  <c r="EI37" i="10"/>
  <c r="EI37" i="7" s="1"/>
  <c r="EI40" i="10"/>
  <c r="EI40" i="7" s="1"/>
  <c r="EI36" i="10"/>
  <c r="EI36" i="7" s="1"/>
  <c r="EI39" i="10"/>
  <c r="EI39" i="7" s="1"/>
  <c r="EI35" i="10"/>
  <c r="EI35" i="7" s="1"/>
  <c r="EI42" i="10"/>
  <c r="EI42" i="7" s="1"/>
  <c r="EI38" i="10"/>
  <c r="EI38" i="7" s="1"/>
  <c r="EI33" i="10"/>
  <c r="EI33" i="7" s="1"/>
  <c r="EI29" i="10"/>
  <c r="EI29" i="7" s="1"/>
  <c r="EI32" i="10"/>
  <c r="EI32" i="7" s="1"/>
  <c r="EI28" i="10"/>
  <c r="EI28" i="7" s="1"/>
  <c r="EI31" i="10"/>
  <c r="EI31" i="7" s="1"/>
  <c r="EI34" i="10"/>
  <c r="EI34" i="7" s="1"/>
  <c r="EI30" i="10"/>
  <c r="EI30" i="7" s="1"/>
  <c r="EI25" i="10"/>
  <c r="EI25" i="7" s="1"/>
  <c r="EI21" i="10"/>
  <c r="EI21" i="7" s="1"/>
  <c r="EI24" i="10"/>
  <c r="EI24" i="7" s="1"/>
  <c r="EI20" i="10"/>
  <c r="EI20" i="7" s="1"/>
  <c r="EI27" i="10"/>
  <c r="EI27" i="7" s="1"/>
  <c r="EI23" i="10"/>
  <c r="EI23" i="7" s="1"/>
  <c r="EI26" i="10"/>
  <c r="EI26" i="7" s="1"/>
  <c r="EI22" i="10"/>
  <c r="EI22" i="7" s="1"/>
  <c r="EI18" i="10"/>
  <c r="EI18" i="7" s="1"/>
  <c r="EI14" i="10"/>
  <c r="EI14" i="7" s="1"/>
  <c r="EI17" i="10"/>
  <c r="EI17" i="7" s="1"/>
  <c r="EI13" i="10"/>
  <c r="EI13" i="7" s="1"/>
  <c r="EI16" i="10"/>
  <c r="EI16" i="7" s="1"/>
  <c r="EI12" i="10"/>
  <c r="EI12" i="7" s="1"/>
  <c r="EI19" i="10"/>
  <c r="EI19" i="7" s="1"/>
  <c r="EI15" i="10"/>
  <c r="EI15" i="7" s="1"/>
  <c r="EI11" i="10"/>
  <c r="EI11" i="7" s="1"/>
  <c r="EI10" i="10"/>
  <c r="EI10" i="7" s="1"/>
  <c r="EI6" i="10"/>
  <c r="EI6" i="7" s="1"/>
  <c r="EI9" i="10"/>
  <c r="EI9" i="7" s="1"/>
  <c r="EI5" i="10"/>
  <c r="EI5" i="7" s="1"/>
  <c r="EI8" i="10"/>
  <c r="EI8" i="7" s="1"/>
  <c r="EI4" i="10"/>
  <c r="EI4" i="7" s="1"/>
  <c r="EI7" i="10"/>
  <c r="EI7" i="7" s="1"/>
  <c r="EI3" i="10"/>
  <c r="EI3" i="7" s="1"/>
  <c r="D3" i="10"/>
  <c r="D3" i="7" s="1"/>
  <c r="AB3" i="10"/>
  <c r="AB3" i="7" s="1"/>
  <c r="AZ3" i="10"/>
  <c r="AZ3" i="7" s="1"/>
  <c r="BX3" i="10"/>
  <c r="BX3" i="7" s="1"/>
  <c r="CV3" i="10"/>
  <c r="CV3" i="7" s="1"/>
  <c r="DT3" i="10"/>
  <c r="DT3" i="7" s="1"/>
  <c r="AN4" i="10"/>
  <c r="AN4" i="7" s="1"/>
  <c r="DT6" i="10"/>
  <c r="DT6" i="7" s="1"/>
  <c r="P8" i="10"/>
  <c r="P8" i="7" s="1"/>
  <c r="GZ8" i="10"/>
  <c r="CV10" i="10"/>
  <c r="CV10" i="7" s="1"/>
  <c r="S50" i="10"/>
  <c r="S50" i="7" s="1"/>
  <c r="S46" i="10"/>
  <c r="S46" i="7" s="1"/>
  <c r="S49" i="10"/>
  <c r="S49" i="7" s="1"/>
  <c r="S45" i="10"/>
  <c r="S45" i="7" s="1"/>
  <c r="S48" i="10"/>
  <c r="S48" i="7" s="1"/>
  <c r="S44" i="10"/>
  <c r="S44" i="7" s="1"/>
  <c r="S51" i="10"/>
  <c r="S51" i="7" s="1"/>
  <c r="S47" i="10"/>
  <c r="S47" i="7" s="1"/>
  <c r="S43" i="10"/>
  <c r="S43" i="7" s="1"/>
  <c r="S41" i="10"/>
  <c r="S41" i="7" s="1"/>
  <c r="S37" i="10"/>
  <c r="S37" i="7" s="1"/>
  <c r="S40" i="10"/>
  <c r="S40" i="7" s="1"/>
  <c r="S36" i="10"/>
  <c r="S36" i="7" s="1"/>
  <c r="S39" i="10"/>
  <c r="S39" i="7" s="1"/>
  <c r="S42" i="10"/>
  <c r="S42" i="7" s="1"/>
  <c r="S38" i="10"/>
  <c r="S38" i="7" s="1"/>
  <c r="S33" i="10"/>
  <c r="S33" i="7" s="1"/>
  <c r="S29" i="10"/>
  <c r="S29" i="7" s="1"/>
  <c r="S32" i="10"/>
  <c r="S32" i="7" s="1"/>
  <c r="S28" i="10"/>
  <c r="S28" i="7" s="1"/>
  <c r="S35" i="10"/>
  <c r="S35" i="7" s="1"/>
  <c r="S31" i="10"/>
  <c r="S31" i="7" s="1"/>
  <c r="S25" i="10"/>
  <c r="S25" i="7" s="1"/>
  <c r="S21" i="10"/>
  <c r="S21" i="7" s="1"/>
  <c r="S24" i="10"/>
  <c r="S24" i="7" s="1"/>
  <c r="S20" i="10"/>
  <c r="S20" i="7" s="1"/>
  <c r="S27" i="10"/>
  <c r="S27" i="7" s="1"/>
  <c r="S23" i="10"/>
  <c r="S23" i="7" s="1"/>
  <c r="S34" i="10"/>
  <c r="S34" i="7" s="1"/>
  <c r="S30" i="10"/>
  <c r="S30" i="7" s="1"/>
  <c r="S26" i="10"/>
  <c r="S26" i="7" s="1"/>
  <c r="S22" i="10"/>
  <c r="S22" i="7" s="1"/>
  <c r="S18" i="10"/>
  <c r="S18" i="7" s="1"/>
  <c r="S14" i="10"/>
  <c r="S14" i="7" s="1"/>
  <c r="S17" i="10"/>
  <c r="S17" i="7" s="1"/>
  <c r="S13" i="10"/>
  <c r="S13" i="7" s="1"/>
  <c r="S16" i="10"/>
  <c r="S16" i="7" s="1"/>
  <c r="S12" i="10"/>
  <c r="S12" i="7" s="1"/>
  <c r="S19" i="10"/>
  <c r="S19" i="7" s="1"/>
  <c r="S15" i="10"/>
  <c r="S15" i="7" s="1"/>
  <c r="S10" i="10"/>
  <c r="S10" i="7" s="1"/>
  <c r="S6" i="10"/>
  <c r="S6" i="7" s="1"/>
  <c r="S9" i="10"/>
  <c r="S9" i="7" s="1"/>
  <c r="S5" i="10"/>
  <c r="S5" i="7" s="1"/>
  <c r="S8" i="10"/>
  <c r="S8" i="7" s="1"/>
  <c r="S4" i="10"/>
  <c r="S4" i="7" s="1"/>
  <c r="S11" i="10"/>
  <c r="S11" i="7" s="1"/>
  <c r="S7" i="10"/>
  <c r="S7" i="7" s="1"/>
  <c r="BC48" i="10"/>
  <c r="BC48" i="7" s="1"/>
  <c r="BC44" i="10"/>
  <c r="BC44" i="7" s="1"/>
  <c r="BC51" i="10"/>
  <c r="BC51" i="7" s="1"/>
  <c r="BC47" i="10"/>
  <c r="BC47" i="7" s="1"/>
  <c r="BC43" i="10"/>
  <c r="BC43" i="7" s="1"/>
  <c r="BC50" i="10"/>
  <c r="BC50" i="7" s="1"/>
  <c r="BC46" i="10"/>
  <c r="BC46" i="7" s="1"/>
  <c r="BC49" i="10"/>
  <c r="BC49" i="7" s="1"/>
  <c r="BC45" i="10"/>
  <c r="BC45" i="7" s="1"/>
  <c r="BC39" i="10"/>
  <c r="BC39" i="7" s="1"/>
  <c r="BC42" i="10"/>
  <c r="BC42" i="7" s="1"/>
  <c r="BC38" i="10"/>
  <c r="BC38" i="7" s="1"/>
  <c r="BC41" i="10"/>
  <c r="BC41" i="7" s="1"/>
  <c r="BC37" i="10"/>
  <c r="BC37" i="7" s="1"/>
  <c r="BC40" i="10"/>
  <c r="BC40" i="7" s="1"/>
  <c r="BC36" i="10"/>
  <c r="BC36" i="7" s="1"/>
  <c r="BC31" i="10"/>
  <c r="BC31" i="7" s="1"/>
  <c r="BC34" i="10"/>
  <c r="BC34" i="7" s="1"/>
  <c r="BC30" i="10"/>
  <c r="BC30" i="7" s="1"/>
  <c r="BC35" i="10"/>
  <c r="BC35" i="7" s="1"/>
  <c r="BC33" i="10"/>
  <c r="BC33" i="7" s="1"/>
  <c r="BC29" i="10"/>
  <c r="BC29" i="7" s="1"/>
  <c r="BC27" i="10"/>
  <c r="BC27" i="7" s="1"/>
  <c r="BC23" i="10"/>
  <c r="BC23" i="7" s="1"/>
  <c r="BC26" i="10"/>
  <c r="BC26" i="7" s="1"/>
  <c r="BC22" i="10"/>
  <c r="BC22" i="7" s="1"/>
  <c r="BC25" i="10"/>
  <c r="BC25" i="7" s="1"/>
  <c r="BC21" i="10"/>
  <c r="BC21" i="7" s="1"/>
  <c r="BC24" i="10"/>
  <c r="BC24" i="7" s="1"/>
  <c r="BC20" i="10"/>
  <c r="BC20" i="7" s="1"/>
  <c r="BC16" i="10"/>
  <c r="BC16" i="7" s="1"/>
  <c r="BC12" i="10"/>
  <c r="BC12" i="7" s="1"/>
  <c r="BC32" i="10"/>
  <c r="BC32" i="7" s="1"/>
  <c r="BC19" i="10"/>
  <c r="BC19" i="7" s="1"/>
  <c r="BC15" i="10"/>
  <c r="BC15" i="7" s="1"/>
  <c r="BC28" i="10"/>
  <c r="BC28" i="7" s="1"/>
  <c r="BC18" i="10"/>
  <c r="BC18" i="7" s="1"/>
  <c r="BC14" i="10"/>
  <c r="BC14" i="7" s="1"/>
  <c r="BC17" i="10"/>
  <c r="BC17" i="7" s="1"/>
  <c r="BC13" i="10"/>
  <c r="BC13" i="7" s="1"/>
  <c r="BC8" i="10"/>
  <c r="BC8" i="7" s="1"/>
  <c r="BC4" i="10"/>
  <c r="BC4" i="7" s="1"/>
  <c r="BC11" i="10"/>
  <c r="BC11" i="7" s="1"/>
  <c r="BC7" i="10"/>
  <c r="BC7" i="7" s="1"/>
  <c r="BC10" i="10"/>
  <c r="BC10" i="7" s="1"/>
  <c r="BC6" i="10"/>
  <c r="BC6" i="7" s="1"/>
  <c r="BC9" i="10"/>
  <c r="BC9" i="7" s="1"/>
  <c r="BC5" i="10"/>
  <c r="BC5" i="7" s="1"/>
  <c r="CM50" i="10"/>
  <c r="CM50" i="7" s="1"/>
  <c r="CM46" i="10"/>
  <c r="CM46" i="7" s="1"/>
  <c r="CM49" i="10"/>
  <c r="CM49" i="7" s="1"/>
  <c r="CM45" i="10"/>
  <c r="CM45" i="7" s="1"/>
  <c r="CM48" i="10"/>
  <c r="CM48" i="7" s="1"/>
  <c r="CM44" i="10"/>
  <c r="CM44" i="7" s="1"/>
  <c r="CM51" i="10"/>
  <c r="CM51" i="7" s="1"/>
  <c r="CM47" i="10"/>
  <c r="CM47" i="7" s="1"/>
  <c r="CM43" i="10"/>
  <c r="CM43" i="7" s="1"/>
  <c r="CM41" i="10"/>
  <c r="CM41" i="7" s="1"/>
  <c r="CM37" i="10"/>
  <c r="CM37" i="7" s="1"/>
  <c r="CM40" i="10"/>
  <c r="CM40" i="7" s="1"/>
  <c r="CM36" i="10"/>
  <c r="CM36" i="7" s="1"/>
  <c r="CM39" i="10"/>
  <c r="CM39" i="7" s="1"/>
  <c r="CM35" i="10"/>
  <c r="CM35" i="7" s="1"/>
  <c r="CM42" i="10"/>
  <c r="CM42" i="7" s="1"/>
  <c r="CM38" i="10"/>
  <c r="CM38" i="7" s="1"/>
  <c r="CM33" i="10"/>
  <c r="CM33" i="7" s="1"/>
  <c r="CM29" i="10"/>
  <c r="CM29" i="7" s="1"/>
  <c r="CM32" i="10"/>
  <c r="CM32" i="7" s="1"/>
  <c r="CM28" i="10"/>
  <c r="CM28" i="7" s="1"/>
  <c r="CM31" i="10"/>
  <c r="CM31" i="7" s="1"/>
  <c r="CM25" i="10"/>
  <c r="CM25" i="7" s="1"/>
  <c r="CM21" i="10"/>
  <c r="CM21" i="7" s="1"/>
  <c r="CM34" i="10"/>
  <c r="CM34" i="7" s="1"/>
  <c r="CM30" i="10"/>
  <c r="CM30" i="7" s="1"/>
  <c r="CM24" i="10"/>
  <c r="CM24" i="7" s="1"/>
  <c r="CM20" i="10"/>
  <c r="CM20" i="7" s="1"/>
  <c r="CM27" i="10"/>
  <c r="CM27" i="7" s="1"/>
  <c r="CM23" i="10"/>
  <c r="CM23" i="7" s="1"/>
  <c r="CM26" i="10"/>
  <c r="CM26" i="7" s="1"/>
  <c r="CM22" i="10"/>
  <c r="CM22" i="7" s="1"/>
  <c r="CM18" i="10"/>
  <c r="CM18" i="7" s="1"/>
  <c r="CM14" i="10"/>
  <c r="CM14" i="7" s="1"/>
  <c r="CM17" i="10"/>
  <c r="CM17" i="7" s="1"/>
  <c r="CM13" i="10"/>
  <c r="CM13" i="7" s="1"/>
  <c r="CM16" i="10"/>
  <c r="CM16" i="7" s="1"/>
  <c r="CM12" i="10"/>
  <c r="CM12" i="7" s="1"/>
  <c r="CM19" i="10"/>
  <c r="CM19" i="7" s="1"/>
  <c r="CM15" i="10"/>
  <c r="CM15" i="7" s="1"/>
  <c r="CM10" i="10"/>
  <c r="CM10" i="7" s="1"/>
  <c r="CM6" i="10"/>
  <c r="CM6" i="7" s="1"/>
  <c r="CM9" i="10"/>
  <c r="CM9" i="7" s="1"/>
  <c r="CM5" i="10"/>
  <c r="CM5" i="7" s="1"/>
  <c r="CM8" i="10"/>
  <c r="CM8" i="7" s="1"/>
  <c r="CM4" i="10"/>
  <c r="CM4" i="7" s="1"/>
  <c r="CM11" i="10"/>
  <c r="CM11" i="7" s="1"/>
  <c r="CM7" i="10"/>
  <c r="CM7" i="7" s="1"/>
  <c r="DW48" i="10"/>
  <c r="DW48" i="7" s="1"/>
  <c r="DW44" i="10"/>
  <c r="DW44" i="7" s="1"/>
  <c r="DW51" i="10"/>
  <c r="DW51" i="7" s="1"/>
  <c r="DW47" i="10"/>
  <c r="DW47" i="7" s="1"/>
  <c r="DW43" i="10"/>
  <c r="DW43" i="7" s="1"/>
  <c r="DW50" i="10"/>
  <c r="DW50" i="7" s="1"/>
  <c r="DW46" i="10"/>
  <c r="DW46" i="7" s="1"/>
  <c r="DW49" i="10"/>
  <c r="DW49" i="7" s="1"/>
  <c r="DW45" i="10"/>
  <c r="DW45" i="7" s="1"/>
  <c r="DW39" i="10"/>
  <c r="DW39" i="7" s="1"/>
  <c r="DW35" i="10"/>
  <c r="DW35" i="7" s="1"/>
  <c r="DW42" i="10"/>
  <c r="DW42" i="7" s="1"/>
  <c r="DW38" i="10"/>
  <c r="DW38" i="7" s="1"/>
  <c r="DW41" i="10"/>
  <c r="DW41" i="7" s="1"/>
  <c r="DW37" i="10"/>
  <c r="DW37" i="7" s="1"/>
  <c r="DW40" i="10"/>
  <c r="DW40" i="7" s="1"/>
  <c r="DW36" i="10"/>
  <c r="DW36" i="7" s="1"/>
  <c r="DW31" i="10"/>
  <c r="DW31" i="7" s="1"/>
  <c r="DW34" i="10"/>
  <c r="DW34" i="7" s="1"/>
  <c r="DW30" i="10"/>
  <c r="DW30" i="7" s="1"/>
  <c r="DW33" i="10"/>
  <c r="DW33" i="7" s="1"/>
  <c r="DW29" i="10"/>
  <c r="DW29" i="7" s="1"/>
  <c r="DW27" i="10"/>
  <c r="DW27" i="7" s="1"/>
  <c r="DW23" i="10"/>
  <c r="DW23" i="7" s="1"/>
  <c r="DW26" i="10"/>
  <c r="DW26" i="7" s="1"/>
  <c r="DW22" i="10"/>
  <c r="DW22" i="7" s="1"/>
  <c r="DW32" i="10"/>
  <c r="DW32" i="7" s="1"/>
  <c r="DW28" i="10"/>
  <c r="DW28" i="7" s="1"/>
  <c r="DW25" i="10"/>
  <c r="DW25" i="7" s="1"/>
  <c r="DW21" i="10"/>
  <c r="DW21" i="7" s="1"/>
  <c r="DW24" i="10"/>
  <c r="DW24" i="7" s="1"/>
  <c r="DW20" i="10"/>
  <c r="DW20" i="7" s="1"/>
  <c r="DW16" i="10"/>
  <c r="DW16" i="7" s="1"/>
  <c r="DW12" i="10"/>
  <c r="DW12" i="7" s="1"/>
  <c r="DW19" i="10"/>
  <c r="DW19" i="7" s="1"/>
  <c r="DW15" i="10"/>
  <c r="DW15" i="7" s="1"/>
  <c r="DW11" i="10"/>
  <c r="DW11" i="7" s="1"/>
  <c r="DW18" i="10"/>
  <c r="DW18" i="7" s="1"/>
  <c r="DW14" i="10"/>
  <c r="DW14" i="7" s="1"/>
  <c r="DW17" i="10"/>
  <c r="DW17" i="7" s="1"/>
  <c r="DW13" i="10"/>
  <c r="DW13" i="7" s="1"/>
  <c r="DW8" i="10"/>
  <c r="DW8" i="7" s="1"/>
  <c r="DW4" i="10"/>
  <c r="DW4" i="7" s="1"/>
  <c r="DW7" i="10"/>
  <c r="DW7" i="7" s="1"/>
  <c r="DW3" i="10"/>
  <c r="DW3" i="7" s="1"/>
  <c r="DW10" i="10"/>
  <c r="DW10" i="7" s="1"/>
  <c r="DW6" i="10"/>
  <c r="DW6" i="7" s="1"/>
  <c r="DW9" i="10"/>
  <c r="DW9" i="7" s="1"/>
  <c r="DW5" i="10"/>
  <c r="DW5" i="7" s="1"/>
  <c r="J50" i="10"/>
  <c r="J50" i="7" s="1"/>
  <c r="J46" i="10"/>
  <c r="J46" i="7" s="1"/>
  <c r="J49" i="10"/>
  <c r="J49" i="7" s="1"/>
  <c r="J45" i="10"/>
  <c r="J45" i="7" s="1"/>
  <c r="J48" i="10"/>
  <c r="J48" i="7" s="1"/>
  <c r="J44" i="10"/>
  <c r="J44" i="7" s="1"/>
  <c r="J41" i="10"/>
  <c r="J41" i="7" s="1"/>
  <c r="J37" i="10"/>
  <c r="J37" i="7" s="1"/>
  <c r="J51" i="10"/>
  <c r="J51" i="7" s="1"/>
  <c r="J40" i="10"/>
  <c r="J40" i="7" s="1"/>
  <c r="J47" i="10"/>
  <c r="J47" i="7" s="1"/>
  <c r="J43" i="10"/>
  <c r="J43" i="7" s="1"/>
  <c r="J39" i="10"/>
  <c r="J39" i="7" s="1"/>
  <c r="J34" i="10"/>
  <c r="J34" i="7" s="1"/>
  <c r="J30" i="10"/>
  <c r="J30" i="7" s="1"/>
  <c r="J36" i="10"/>
  <c r="J36" i="7" s="1"/>
  <c r="J33" i="10"/>
  <c r="J33" i="7" s="1"/>
  <c r="J29" i="10"/>
  <c r="J29" i="7" s="1"/>
  <c r="J42" i="10"/>
  <c r="J42" i="7" s="1"/>
  <c r="J38" i="10"/>
  <c r="J38" i="7" s="1"/>
  <c r="J32" i="10"/>
  <c r="J32" i="7" s="1"/>
  <c r="J28" i="10"/>
  <c r="J28" i="7" s="1"/>
  <c r="J35" i="10"/>
  <c r="J35" i="7" s="1"/>
  <c r="J31" i="10"/>
  <c r="J31" i="7" s="1"/>
  <c r="J25" i="10"/>
  <c r="J25" i="7" s="1"/>
  <c r="J21" i="10"/>
  <c r="J21" i="7" s="1"/>
  <c r="J24" i="10"/>
  <c r="J24" i="7" s="1"/>
  <c r="J20" i="10"/>
  <c r="J20" i="7" s="1"/>
  <c r="J27" i="10"/>
  <c r="J27" i="7" s="1"/>
  <c r="J23" i="10"/>
  <c r="J23" i="7" s="1"/>
  <c r="J18" i="10"/>
  <c r="J18" i="7" s="1"/>
  <c r="J14" i="10"/>
  <c r="J14" i="7" s="1"/>
  <c r="J17" i="10"/>
  <c r="J17" i="7" s="1"/>
  <c r="J13" i="10"/>
  <c r="J13" i="7" s="1"/>
  <c r="J26" i="10"/>
  <c r="J26" i="7" s="1"/>
  <c r="J22" i="10"/>
  <c r="J22" i="7" s="1"/>
  <c r="J16" i="10"/>
  <c r="J16" i="7" s="1"/>
  <c r="J19" i="10"/>
  <c r="J19" i="7" s="1"/>
  <c r="J12" i="10"/>
  <c r="J12" i="7" s="1"/>
  <c r="J15" i="10"/>
  <c r="J15" i="7" s="1"/>
  <c r="J10" i="10"/>
  <c r="J10" i="7" s="1"/>
  <c r="J6" i="10"/>
  <c r="J6" i="7" s="1"/>
  <c r="J9" i="10"/>
  <c r="J9" i="7" s="1"/>
  <c r="J5" i="10"/>
  <c r="J5" i="7" s="1"/>
  <c r="J8" i="10"/>
  <c r="J8" i="7" s="1"/>
  <c r="V48" i="10"/>
  <c r="V48" i="7" s="1"/>
  <c r="V51" i="10"/>
  <c r="V51" i="7" s="1"/>
  <c r="V47" i="10"/>
  <c r="V47" i="7" s="1"/>
  <c r="V50" i="10"/>
  <c r="V50" i="7" s="1"/>
  <c r="V46" i="10"/>
  <c r="V46" i="7" s="1"/>
  <c r="V45" i="10"/>
  <c r="V45" i="7" s="1"/>
  <c r="V39" i="10"/>
  <c r="V39" i="7" s="1"/>
  <c r="V43" i="10"/>
  <c r="V43" i="7" s="1"/>
  <c r="V44" i="10"/>
  <c r="V44" i="7" s="1"/>
  <c r="V42" i="10"/>
  <c r="V42" i="7" s="1"/>
  <c r="V38" i="10"/>
  <c r="V38" i="7" s="1"/>
  <c r="V41" i="10"/>
  <c r="V41" i="7" s="1"/>
  <c r="V37" i="10"/>
  <c r="V37" i="7" s="1"/>
  <c r="V36" i="10"/>
  <c r="V36" i="7" s="1"/>
  <c r="V32" i="10"/>
  <c r="V32" i="7" s="1"/>
  <c r="V28" i="10"/>
  <c r="V28" i="7" s="1"/>
  <c r="V35" i="10"/>
  <c r="V35" i="7" s="1"/>
  <c r="V31" i="10"/>
  <c r="V31" i="7" s="1"/>
  <c r="V34" i="10"/>
  <c r="V34" i="7" s="1"/>
  <c r="V30" i="10"/>
  <c r="V30" i="7" s="1"/>
  <c r="V33" i="10"/>
  <c r="V33" i="7" s="1"/>
  <c r="V29" i="10"/>
  <c r="V29" i="7" s="1"/>
  <c r="V27" i="10"/>
  <c r="V27" i="7" s="1"/>
  <c r="V23" i="10"/>
  <c r="V23" i="7" s="1"/>
  <c r="V26" i="10"/>
  <c r="V26" i="7" s="1"/>
  <c r="V22" i="10"/>
  <c r="V22" i="7" s="1"/>
  <c r="V49" i="10"/>
  <c r="V49" i="7" s="1"/>
  <c r="V40" i="10"/>
  <c r="V40" i="7" s="1"/>
  <c r="V25" i="10"/>
  <c r="V25" i="7" s="1"/>
  <c r="V21" i="10"/>
  <c r="V21" i="7" s="1"/>
  <c r="V24" i="10"/>
  <c r="V24" i="7" s="1"/>
  <c r="V20" i="10"/>
  <c r="V20" i="7" s="1"/>
  <c r="V16" i="10"/>
  <c r="V16" i="7" s="1"/>
  <c r="V12" i="10"/>
  <c r="V12" i="7" s="1"/>
  <c r="V19" i="10"/>
  <c r="V19" i="7" s="1"/>
  <c r="V15" i="10"/>
  <c r="V15" i="7" s="1"/>
  <c r="V18" i="10"/>
  <c r="V18" i="7" s="1"/>
  <c r="V14" i="10"/>
  <c r="V14" i="7" s="1"/>
  <c r="V8" i="10"/>
  <c r="V8" i="7" s="1"/>
  <c r="V4" i="10"/>
  <c r="V4" i="7" s="1"/>
  <c r="V11" i="10"/>
  <c r="V11" i="7" s="1"/>
  <c r="V7" i="10"/>
  <c r="V7" i="7" s="1"/>
  <c r="V17" i="10"/>
  <c r="V17" i="7" s="1"/>
  <c r="V13" i="10"/>
  <c r="V13" i="7" s="1"/>
  <c r="V10" i="10"/>
  <c r="V10" i="7" s="1"/>
  <c r="V6" i="10"/>
  <c r="V6" i="7" s="1"/>
  <c r="AH50" i="10"/>
  <c r="AH50" i="7" s="1"/>
  <c r="AH46" i="10"/>
  <c r="AH46" i="7" s="1"/>
  <c r="AH49" i="10"/>
  <c r="AH49" i="7" s="1"/>
  <c r="AH45" i="10"/>
  <c r="AH45" i="7" s="1"/>
  <c r="AH48" i="10"/>
  <c r="AH48" i="7" s="1"/>
  <c r="AH44" i="10"/>
  <c r="AH44" i="7" s="1"/>
  <c r="AH41" i="10"/>
  <c r="AH41" i="7" s="1"/>
  <c r="AH37" i="10"/>
  <c r="AH37" i="7" s="1"/>
  <c r="AH51" i="10"/>
  <c r="AH51" i="7" s="1"/>
  <c r="AH47" i="10"/>
  <c r="AH47" i="7" s="1"/>
  <c r="AH40" i="10"/>
  <c r="AH40" i="7" s="1"/>
  <c r="AH36" i="10"/>
  <c r="AH36" i="7" s="1"/>
  <c r="AH39" i="10"/>
  <c r="AH39" i="7" s="1"/>
  <c r="AH34" i="10"/>
  <c r="AH34" i="7" s="1"/>
  <c r="AH30" i="10"/>
  <c r="AH30" i="7" s="1"/>
  <c r="AH42" i="10"/>
  <c r="AH42" i="7" s="1"/>
  <c r="AH33" i="10"/>
  <c r="AH33" i="7" s="1"/>
  <c r="AH29" i="10"/>
  <c r="AH29" i="7" s="1"/>
  <c r="AH38" i="10"/>
  <c r="AH38" i="7" s="1"/>
  <c r="AH32" i="10"/>
  <c r="AH32" i="7" s="1"/>
  <c r="AH28" i="10"/>
  <c r="AH28" i="7" s="1"/>
  <c r="AH31" i="10"/>
  <c r="AH31" i="7" s="1"/>
  <c r="AH35" i="10"/>
  <c r="AH35" i="7" s="1"/>
  <c r="AH25" i="10"/>
  <c r="AH25" i="7" s="1"/>
  <c r="AH21" i="10"/>
  <c r="AH21" i="7" s="1"/>
  <c r="AH24" i="10"/>
  <c r="AH24" i="7" s="1"/>
  <c r="AH20" i="10"/>
  <c r="AH20" i="7" s="1"/>
  <c r="AH43" i="10"/>
  <c r="AH43" i="7" s="1"/>
  <c r="AH27" i="10"/>
  <c r="AH27" i="7" s="1"/>
  <c r="AH23" i="10"/>
  <c r="AH23" i="7" s="1"/>
  <c r="AH18" i="10"/>
  <c r="AH18" i="7" s="1"/>
  <c r="AH14" i="10"/>
  <c r="AH14" i="7" s="1"/>
  <c r="AH26" i="10"/>
  <c r="AH26" i="7" s="1"/>
  <c r="AH17" i="10"/>
  <c r="AH17" i="7" s="1"/>
  <c r="AH13" i="10"/>
  <c r="AH13" i="7" s="1"/>
  <c r="AH22" i="10"/>
  <c r="AH22" i="7" s="1"/>
  <c r="AH16" i="10"/>
  <c r="AH16" i="7" s="1"/>
  <c r="AH12" i="10"/>
  <c r="AH12" i="7" s="1"/>
  <c r="AH15" i="10"/>
  <c r="AH15" i="7" s="1"/>
  <c r="AH10" i="10"/>
  <c r="AH10" i="7" s="1"/>
  <c r="AH6" i="10"/>
  <c r="AH6" i="7" s="1"/>
  <c r="AH9" i="10"/>
  <c r="AH9" i="7" s="1"/>
  <c r="AH5" i="10"/>
  <c r="AH5" i="7" s="1"/>
  <c r="AH8" i="10"/>
  <c r="AH8" i="7" s="1"/>
  <c r="AH4" i="10"/>
  <c r="AH4" i="7" s="1"/>
  <c r="AT48" i="10"/>
  <c r="AT48" i="7" s="1"/>
  <c r="AT51" i="10"/>
  <c r="AT51" i="7" s="1"/>
  <c r="AT47" i="10"/>
  <c r="AT47" i="7" s="1"/>
  <c r="AT50" i="10"/>
  <c r="AT50" i="7" s="1"/>
  <c r="AT46" i="10"/>
  <c r="AT46" i="7" s="1"/>
  <c r="AT44" i="10"/>
  <c r="AT44" i="7" s="1"/>
  <c r="AT39" i="10"/>
  <c r="AT39" i="7" s="1"/>
  <c r="AT42" i="10"/>
  <c r="AT42" i="7" s="1"/>
  <c r="AT38" i="10"/>
  <c r="AT38" i="7" s="1"/>
  <c r="AT43" i="10"/>
  <c r="AT43" i="7" s="1"/>
  <c r="AT41" i="10"/>
  <c r="AT41" i="7" s="1"/>
  <c r="AT37" i="10"/>
  <c r="AT37" i="7" s="1"/>
  <c r="AT49" i="10"/>
  <c r="AT49" i="7" s="1"/>
  <c r="AT32" i="10"/>
  <c r="AT32" i="7" s="1"/>
  <c r="AT28" i="10"/>
  <c r="AT28" i="7" s="1"/>
  <c r="AT31" i="10"/>
  <c r="AT31" i="7" s="1"/>
  <c r="AT35" i="10"/>
  <c r="AT35" i="7" s="1"/>
  <c r="AT34" i="10"/>
  <c r="AT34" i="7" s="1"/>
  <c r="AT30" i="10"/>
  <c r="AT30" i="7" s="1"/>
  <c r="AT40" i="10"/>
  <c r="AT40" i="7" s="1"/>
  <c r="AT33" i="10"/>
  <c r="AT33" i="7" s="1"/>
  <c r="AT29" i="10"/>
  <c r="AT29" i="7" s="1"/>
  <c r="AT45" i="10"/>
  <c r="AT45" i="7" s="1"/>
  <c r="AT27" i="10"/>
  <c r="AT27" i="7" s="1"/>
  <c r="AT23" i="10"/>
  <c r="AT23" i="7" s="1"/>
  <c r="AT26" i="10"/>
  <c r="AT26" i="7" s="1"/>
  <c r="AT22" i="10"/>
  <c r="AT22" i="7" s="1"/>
  <c r="AT36" i="10"/>
  <c r="AT36" i="7" s="1"/>
  <c r="AT25" i="10"/>
  <c r="AT25" i="7" s="1"/>
  <c r="AT21" i="10"/>
  <c r="AT21" i="7" s="1"/>
  <c r="AT20" i="10"/>
  <c r="AT20" i="7" s="1"/>
  <c r="AT16" i="10"/>
  <c r="AT16" i="7" s="1"/>
  <c r="AT12" i="10"/>
  <c r="AT12" i="7" s="1"/>
  <c r="AT19" i="10"/>
  <c r="AT19" i="7" s="1"/>
  <c r="AT15" i="10"/>
  <c r="AT15" i="7" s="1"/>
  <c r="AT18" i="10"/>
  <c r="AT18" i="7" s="1"/>
  <c r="AT14" i="10"/>
  <c r="AT14" i="7" s="1"/>
  <c r="AT24" i="10"/>
  <c r="AT24" i="7" s="1"/>
  <c r="AT8" i="10"/>
  <c r="AT8" i="7" s="1"/>
  <c r="AT4" i="10"/>
  <c r="AT4" i="7" s="1"/>
  <c r="AT17" i="10"/>
  <c r="AT17" i="7" s="1"/>
  <c r="AT11" i="10"/>
  <c r="AT11" i="7" s="1"/>
  <c r="AT7" i="10"/>
  <c r="AT7" i="7" s="1"/>
  <c r="AT13" i="10"/>
  <c r="AT13" i="7" s="1"/>
  <c r="AT10" i="10"/>
  <c r="AT10" i="7" s="1"/>
  <c r="AT6" i="10"/>
  <c r="AT6" i="7" s="1"/>
  <c r="BF50" i="10"/>
  <c r="BF50" i="7" s="1"/>
  <c r="BF46" i="10"/>
  <c r="BF46" i="7" s="1"/>
  <c r="BF49" i="10"/>
  <c r="BF49" i="7" s="1"/>
  <c r="BF45" i="10"/>
  <c r="BF45" i="7" s="1"/>
  <c r="BF48" i="10"/>
  <c r="BF48" i="7" s="1"/>
  <c r="BF44" i="10"/>
  <c r="BF44" i="7" s="1"/>
  <c r="BF51" i="10"/>
  <c r="BF51" i="7" s="1"/>
  <c r="BF41" i="10"/>
  <c r="BF41" i="7" s="1"/>
  <c r="BF37" i="10"/>
  <c r="BF37" i="7" s="1"/>
  <c r="BF47" i="10"/>
  <c r="BF47" i="7" s="1"/>
  <c r="BF43" i="10"/>
  <c r="BF43" i="7" s="1"/>
  <c r="BF40" i="10"/>
  <c r="BF40" i="7" s="1"/>
  <c r="BF36" i="10"/>
  <c r="BF36" i="7" s="1"/>
  <c r="BF39" i="10"/>
  <c r="BF39" i="7" s="1"/>
  <c r="BF34" i="10"/>
  <c r="BF34" i="7" s="1"/>
  <c r="BF30" i="10"/>
  <c r="BF30" i="7" s="1"/>
  <c r="BF42" i="10"/>
  <c r="BF42" i="7" s="1"/>
  <c r="BF35" i="10"/>
  <c r="BF35" i="7" s="1"/>
  <c r="BF38" i="10"/>
  <c r="BF38" i="7" s="1"/>
  <c r="BF33" i="10"/>
  <c r="BF33" i="7" s="1"/>
  <c r="BF29" i="10"/>
  <c r="BF29" i="7" s="1"/>
  <c r="BF32" i="10"/>
  <c r="BF32" i="7" s="1"/>
  <c r="BF28" i="10"/>
  <c r="BF28" i="7" s="1"/>
  <c r="BF31" i="10"/>
  <c r="BF31" i="7" s="1"/>
  <c r="BF25" i="10"/>
  <c r="BF25" i="7" s="1"/>
  <c r="BF21" i="10"/>
  <c r="BF21" i="7" s="1"/>
  <c r="BF24" i="10"/>
  <c r="BF24" i="7" s="1"/>
  <c r="BF20" i="10"/>
  <c r="BF20" i="7" s="1"/>
  <c r="BF27" i="10"/>
  <c r="BF27" i="7" s="1"/>
  <c r="BF23" i="10"/>
  <c r="BF23" i="7" s="1"/>
  <c r="BF18" i="10"/>
  <c r="BF18" i="7" s="1"/>
  <c r="BF14" i="10"/>
  <c r="BF14" i="7" s="1"/>
  <c r="BF26" i="10"/>
  <c r="BF26" i="7" s="1"/>
  <c r="BF22" i="10"/>
  <c r="BF22" i="7" s="1"/>
  <c r="BF17" i="10"/>
  <c r="BF17" i="7" s="1"/>
  <c r="BF13" i="10"/>
  <c r="BF13" i="7" s="1"/>
  <c r="BF16" i="10"/>
  <c r="BF16" i="7" s="1"/>
  <c r="BF12" i="10"/>
  <c r="BF12" i="7" s="1"/>
  <c r="BF10" i="10"/>
  <c r="BF10" i="7" s="1"/>
  <c r="BF6" i="10"/>
  <c r="BF6" i="7" s="1"/>
  <c r="BF9" i="10"/>
  <c r="BF9" i="7" s="1"/>
  <c r="BF5" i="10"/>
  <c r="BF5" i="7" s="1"/>
  <c r="BF8" i="10"/>
  <c r="BF8" i="7" s="1"/>
  <c r="BF4" i="10"/>
  <c r="BF4" i="7" s="1"/>
  <c r="BF19" i="10"/>
  <c r="BF19" i="7" s="1"/>
  <c r="BR48" i="10"/>
  <c r="BR48" i="7" s="1"/>
  <c r="BR44" i="10"/>
  <c r="BR44" i="7" s="1"/>
  <c r="BR51" i="10"/>
  <c r="BR51" i="7" s="1"/>
  <c r="BR47" i="10"/>
  <c r="BR47" i="7" s="1"/>
  <c r="BR43" i="10"/>
  <c r="BR43" i="7" s="1"/>
  <c r="BR50" i="10"/>
  <c r="BR50" i="7" s="1"/>
  <c r="BR46" i="10"/>
  <c r="BR46" i="7" s="1"/>
  <c r="BR39" i="10"/>
  <c r="BR39" i="7" s="1"/>
  <c r="BR42" i="10"/>
  <c r="BR42" i="7" s="1"/>
  <c r="BR38" i="10"/>
  <c r="BR38" i="7" s="1"/>
  <c r="BR49" i="10"/>
  <c r="BR49" i="7" s="1"/>
  <c r="BR41" i="10"/>
  <c r="BR41" i="7" s="1"/>
  <c r="BR37" i="10"/>
  <c r="BR37" i="7" s="1"/>
  <c r="BR45" i="10"/>
  <c r="BR45" i="7" s="1"/>
  <c r="BR32" i="10"/>
  <c r="BR32" i="7" s="1"/>
  <c r="BR28" i="10"/>
  <c r="BR28" i="7" s="1"/>
  <c r="BR31" i="10"/>
  <c r="BR31" i="7" s="1"/>
  <c r="BR34" i="10"/>
  <c r="BR34" i="7" s="1"/>
  <c r="BR30" i="10"/>
  <c r="BR30" i="7" s="1"/>
  <c r="BR40" i="10"/>
  <c r="BR40" i="7" s="1"/>
  <c r="BR36" i="10"/>
  <c r="BR36" i="7" s="1"/>
  <c r="BR35" i="10"/>
  <c r="BR35" i="7" s="1"/>
  <c r="BR33" i="10"/>
  <c r="BR33" i="7" s="1"/>
  <c r="BR29" i="10"/>
  <c r="BR29" i="7" s="1"/>
  <c r="BR27" i="10"/>
  <c r="BR27" i="7" s="1"/>
  <c r="BR23" i="10"/>
  <c r="BR23" i="7" s="1"/>
  <c r="BR26" i="10"/>
  <c r="BR26" i="7" s="1"/>
  <c r="BR22" i="10"/>
  <c r="BR22" i="7" s="1"/>
  <c r="BR25" i="10"/>
  <c r="BR25" i="7" s="1"/>
  <c r="BR21" i="10"/>
  <c r="BR21" i="7" s="1"/>
  <c r="BR16" i="10"/>
  <c r="BR16" i="7" s="1"/>
  <c r="BR12" i="10"/>
  <c r="BR12" i="7" s="1"/>
  <c r="BR19" i="10"/>
  <c r="BR19" i="7" s="1"/>
  <c r="BR15" i="10"/>
  <c r="BR15" i="7" s="1"/>
  <c r="BR18" i="10"/>
  <c r="BR18" i="7" s="1"/>
  <c r="BR14" i="10"/>
  <c r="BR14" i="7" s="1"/>
  <c r="BR24" i="10"/>
  <c r="BR24" i="7" s="1"/>
  <c r="BR20" i="10"/>
  <c r="BR20" i="7" s="1"/>
  <c r="BR8" i="10"/>
  <c r="BR8" i="7" s="1"/>
  <c r="BR4" i="10"/>
  <c r="BR4" i="7" s="1"/>
  <c r="BR17" i="10"/>
  <c r="BR17" i="7" s="1"/>
  <c r="BR13" i="10"/>
  <c r="BR13" i="7" s="1"/>
  <c r="BR11" i="10"/>
  <c r="BR11" i="7" s="1"/>
  <c r="BR7" i="10"/>
  <c r="BR7" i="7" s="1"/>
  <c r="BR10" i="10"/>
  <c r="BR10" i="7" s="1"/>
  <c r="BR6" i="10"/>
  <c r="BR6" i="7" s="1"/>
  <c r="CD50" i="10"/>
  <c r="CD50" i="7" s="1"/>
  <c r="CD46" i="10"/>
  <c r="CD46" i="7" s="1"/>
  <c r="CD49" i="10"/>
  <c r="CD49" i="7" s="1"/>
  <c r="CD45" i="10"/>
  <c r="CD45" i="7" s="1"/>
  <c r="CD48" i="10"/>
  <c r="CD48" i="7" s="1"/>
  <c r="CD44" i="10"/>
  <c r="CD44" i="7" s="1"/>
  <c r="CD51" i="10"/>
  <c r="CD51" i="7" s="1"/>
  <c r="CD47" i="10"/>
  <c r="CD47" i="7" s="1"/>
  <c r="CD41" i="10"/>
  <c r="CD41" i="7" s="1"/>
  <c r="CD37" i="10"/>
  <c r="CD37" i="7" s="1"/>
  <c r="CD40" i="10"/>
  <c r="CD40" i="7" s="1"/>
  <c r="CD36" i="10"/>
  <c r="CD36" i="7" s="1"/>
  <c r="CD39" i="10"/>
  <c r="CD39" i="7" s="1"/>
  <c r="CD42" i="10"/>
  <c r="CD42" i="7" s="1"/>
  <c r="CD34" i="10"/>
  <c r="CD34" i="7" s="1"/>
  <c r="CD30" i="10"/>
  <c r="CD30" i="7" s="1"/>
  <c r="CD38" i="10"/>
  <c r="CD38" i="7" s="1"/>
  <c r="CD33" i="10"/>
  <c r="CD33" i="7" s="1"/>
  <c r="CD29" i="10"/>
  <c r="CD29" i="7" s="1"/>
  <c r="CD35" i="10"/>
  <c r="CD35" i="7" s="1"/>
  <c r="CD32" i="10"/>
  <c r="CD32" i="7" s="1"/>
  <c r="CD28" i="10"/>
  <c r="CD28" i="7" s="1"/>
  <c r="CD43" i="10"/>
  <c r="CD43" i="7" s="1"/>
  <c r="CD31" i="10"/>
  <c r="CD31" i="7" s="1"/>
  <c r="CD25" i="10"/>
  <c r="CD25" i="7" s="1"/>
  <c r="CD21" i="10"/>
  <c r="CD21" i="7" s="1"/>
  <c r="CD24" i="10"/>
  <c r="CD24" i="7" s="1"/>
  <c r="CD20" i="10"/>
  <c r="CD20" i="7" s="1"/>
  <c r="CD27" i="10"/>
  <c r="CD27" i="7" s="1"/>
  <c r="CD23" i="10"/>
  <c r="CD23" i="7" s="1"/>
  <c r="CD26" i="10"/>
  <c r="CD26" i="7" s="1"/>
  <c r="CD18" i="10"/>
  <c r="CD18" i="7" s="1"/>
  <c r="CD14" i="10"/>
  <c r="CD14" i="7" s="1"/>
  <c r="CD22" i="10"/>
  <c r="CD22" i="7" s="1"/>
  <c r="CD17" i="10"/>
  <c r="CD17" i="7" s="1"/>
  <c r="CD13" i="10"/>
  <c r="CD13" i="7" s="1"/>
  <c r="CD16" i="10"/>
  <c r="CD16" i="7" s="1"/>
  <c r="CD12" i="10"/>
  <c r="CD12" i="7" s="1"/>
  <c r="CD10" i="10"/>
  <c r="CD10" i="7" s="1"/>
  <c r="CD6" i="10"/>
  <c r="CD6" i="7" s="1"/>
  <c r="CD9" i="10"/>
  <c r="CD9" i="7" s="1"/>
  <c r="CD5" i="10"/>
  <c r="CD5" i="7" s="1"/>
  <c r="CD19" i="10"/>
  <c r="CD19" i="7" s="1"/>
  <c r="CD8" i="10"/>
  <c r="CD8" i="7" s="1"/>
  <c r="CD4" i="10"/>
  <c r="CD4" i="7" s="1"/>
  <c r="CD15" i="10"/>
  <c r="CD15" i="7" s="1"/>
  <c r="CP48" i="10"/>
  <c r="CP48" i="7" s="1"/>
  <c r="CP44" i="10"/>
  <c r="CP44" i="7" s="1"/>
  <c r="CP51" i="10"/>
  <c r="CP51" i="7" s="1"/>
  <c r="CP47" i="10"/>
  <c r="CP47" i="7" s="1"/>
  <c r="CP43" i="10"/>
  <c r="CP43" i="7" s="1"/>
  <c r="CP50" i="10"/>
  <c r="CP50" i="7" s="1"/>
  <c r="CP46" i="10"/>
  <c r="CP46" i="7" s="1"/>
  <c r="CP39" i="10"/>
  <c r="CP39" i="7" s="1"/>
  <c r="CP42" i="10"/>
  <c r="CP42" i="7" s="1"/>
  <c r="CP38" i="10"/>
  <c r="CP38" i="7" s="1"/>
  <c r="CP49" i="10"/>
  <c r="CP49" i="7" s="1"/>
  <c r="CP45" i="10"/>
  <c r="CP45" i="7" s="1"/>
  <c r="CP41" i="10"/>
  <c r="CP41" i="7" s="1"/>
  <c r="CP37" i="10"/>
  <c r="CP37" i="7" s="1"/>
  <c r="CP35" i="10"/>
  <c r="CP35" i="7" s="1"/>
  <c r="CP32" i="10"/>
  <c r="CP32" i="7" s="1"/>
  <c r="CP28" i="10"/>
  <c r="CP28" i="7" s="1"/>
  <c r="CP31" i="10"/>
  <c r="CP31" i="7" s="1"/>
  <c r="CP40" i="10"/>
  <c r="CP40" i="7" s="1"/>
  <c r="CP34" i="10"/>
  <c r="CP34" i="7" s="1"/>
  <c r="CP30" i="10"/>
  <c r="CP30" i="7" s="1"/>
  <c r="CP36" i="10"/>
  <c r="CP36" i="7" s="1"/>
  <c r="CP33" i="10"/>
  <c r="CP33" i="7" s="1"/>
  <c r="CP29" i="10"/>
  <c r="CP29" i="7" s="1"/>
  <c r="CP27" i="10"/>
  <c r="CP27" i="7" s="1"/>
  <c r="CP23" i="10"/>
  <c r="CP23" i="7" s="1"/>
  <c r="CP26" i="10"/>
  <c r="CP26" i="7" s="1"/>
  <c r="CP22" i="10"/>
  <c r="CP22" i="7" s="1"/>
  <c r="CP25" i="10"/>
  <c r="CP25" i="7" s="1"/>
  <c r="CP21" i="10"/>
  <c r="CP21" i="7" s="1"/>
  <c r="CP16" i="10"/>
  <c r="CP16" i="7" s="1"/>
  <c r="CP12" i="10"/>
  <c r="CP12" i="7" s="1"/>
  <c r="CP19" i="10"/>
  <c r="CP19" i="7" s="1"/>
  <c r="CP15" i="10"/>
  <c r="CP15" i="7" s="1"/>
  <c r="CP24" i="10"/>
  <c r="CP24" i="7" s="1"/>
  <c r="CP18" i="10"/>
  <c r="CP18" i="7" s="1"/>
  <c r="CP14" i="10"/>
  <c r="CP14" i="7" s="1"/>
  <c r="CP20" i="10"/>
  <c r="CP20" i="7" s="1"/>
  <c r="CP17" i="10"/>
  <c r="CP17" i="7" s="1"/>
  <c r="CP8" i="10"/>
  <c r="CP8" i="7" s="1"/>
  <c r="CP4" i="10"/>
  <c r="CP4" i="7" s="1"/>
  <c r="CP13" i="10"/>
  <c r="CP13" i="7" s="1"/>
  <c r="CP11" i="10"/>
  <c r="CP11" i="7" s="1"/>
  <c r="CP7" i="10"/>
  <c r="CP7" i="7" s="1"/>
  <c r="CP10" i="10"/>
  <c r="CP10" i="7" s="1"/>
  <c r="CP6" i="10"/>
  <c r="CP6" i="7" s="1"/>
  <c r="DB50" i="10"/>
  <c r="DB50" i="7" s="1"/>
  <c r="DB46" i="10"/>
  <c r="DB46" i="7" s="1"/>
  <c r="DB49" i="10"/>
  <c r="DB49" i="7" s="1"/>
  <c r="DB45" i="10"/>
  <c r="DB45" i="7" s="1"/>
  <c r="DB48" i="10"/>
  <c r="DB48" i="7" s="1"/>
  <c r="DB44" i="10"/>
  <c r="DB44" i="7" s="1"/>
  <c r="DB47" i="10"/>
  <c r="DB47" i="7" s="1"/>
  <c r="DB41" i="10"/>
  <c r="DB41" i="7" s="1"/>
  <c r="DB37" i="10"/>
  <c r="DB37" i="7" s="1"/>
  <c r="DB40" i="10"/>
  <c r="DB40" i="7" s="1"/>
  <c r="DB36" i="10"/>
  <c r="DB36" i="7" s="1"/>
  <c r="DB43" i="10"/>
  <c r="DB43" i="7" s="1"/>
  <c r="DB39" i="10"/>
  <c r="DB39" i="7" s="1"/>
  <c r="DB38" i="10"/>
  <c r="DB38" i="7" s="1"/>
  <c r="DB34" i="10"/>
  <c r="DB34" i="7" s="1"/>
  <c r="DB30" i="10"/>
  <c r="DB30" i="7" s="1"/>
  <c r="DB51" i="10"/>
  <c r="DB51" i="7" s="1"/>
  <c r="DB33" i="10"/>
  <c r="DB33" i="7" s="1"/>
  <c r="DB29" i="10"/>
  <c r="DB29" i="7" s="1"/>
  <c r="DB32" i="10"/>
  <c r="DB32" i="7" s="1"/>
  <c r="DB28" i="10"/>
  <c r="DB28" i="7" s="1"/>
  <c r="DB35" i="10"/>
  <c r="DB35" i="7" s="1"/>
  <c r="DB31" i="10"/>
  <c r="DB31" i="7" s="1"/>
  <c r="DB25" i="10"/>
  <c r="DB25" i="7" s="1"/>
  <c r="DB21" i="10"/>
  <c r="DB21" i="7" s="1"/>
  <c r="DB24" i="10"/>
  <c r="DB24" i="7" s="1"/>
  <c r="DB20" i="10"/>
  <c r="DB20" i="7" s="1"/>
  <c r="DB27" i="10"/>
  <c r="DB27" i="7" s="1"/>
  <c r="DB23" i="10"/>
  <c r="DB23" i="7" s="1"/>
  <c r="DB26" i="10"/>
  <c r="DB26" i="7" s="1"/>
  <c r="DB22" i="10"/>
  <c r="DB22" i="7" s="1"/>
  <c r="DB18" i="10"/>
  <c r="DB18" i="7" s="1"/>
  <c r="DB14" i="10"/>
  <c r="DB14" i="7" s="1"/>
  <c r="DB42" i="10"/>
  <c r="DB42" i="7" s="1"/>
  <c r="DB17" i="10"/>
  <c r="DB17" i="7" s="1"/>
  <c r="DB13" i="10"/>
  <c r="DB13" i="7" s="1"/>
  <c r="DB16" i="10"/>
  <c r="DB16" i="7" s="1"/>
  <c r="DB12" i="10"/>
  <c r="DB12" i="7" s="1"/>
  <c r="DB10" i="10"/>
  <c r="DB10" i="7" s="1"/>
  <c r="DB6" i="10"/>
  <c r="DB6" i="7" s="1"/>
  <c r="DB9" i="10"/>
  <c r="DB9" i="7" s="1"/>
  <c r="DB5" i="10"/>
  <c r="DB5" i="7" s="1"/>
  <c r="DB19" i="10"/>
  <c r="DB19" i="7" s="1"/>
  <c r="DB15" i="10"/>
  <c r="DB15" i="7" s="1"/>
  <c r="DB8" i="10"/>
  <c r="DB8" i="7" s="1"/>
  <c r="DB4" i="10"/>
  <c r="DB4" i="7" s="1"/>
  <c r="DN48" i="10"/>
  <c r="DN48" i="7" s="1"/>
  <c r="DN44" i="10"/>
  <c r="DN44" i="7" s="1"/>
  <c r="DN51" i="10"/>
  <c r="DN51" i="7" s="1"/>
  <c r="DN47" i="10"/>
  <c r="DN47" i="7" s="1"/>
  <c r="DN43" i="10"/>
  <c r="DN43" i="7" s="1"/>
  <c r="DN50" i="10"/>
  <c r="DN50" i="7" s="1"/>
  <c r="DN46" i="10"/>
  <c r="DN46" i="7" s="1"/>
  <c r="DN39" i="10"/>
  <c r="DN39" i="7" s="1"/>
  <c r="DN49" i="10"/>
  <c r="DN49" i="7" s="1"/>
  <c r="DN42" i="10"/>
  <c r="DN42" i="7" s="1"/>
  <c r="DN38" i="10"/>
  <c r="DN38" i="7" s="1"/>
  <c r="DN45" i="10"/>
  <c r="DN45" i="7" s="1"/>
  <c r="DN41" i="10"/>
  <c r="DN41" i="7" s="1"/>
  <c r="DN37" i="10"/>
  <c r="DN37" i="7" s="1"/>
  <c r="DN32" i="10"/>
  <c r="DN32" i="7" s="1"/>
  <c r="DN28" i="10"/>
  <c r="DN28" i="7" s="1"/>
  <c r="DN31" i="10"/>
  <c r="DN31" i="7" s="1"/>
  <c r="DN40" i="10"/>
  <c r="DN40" i="7" s="1"/>
  <c r="DN36" i="10"/>
  <c r="DN36" i="7" s="1"/>
  <c r="DN35" i="10"/>
  <c r="DN35" i="7" s="1"/>
  <c r="DN34" i="10"/>
  <c r="DN34" i="7" s="1"/>
  <c r="DN30" i="10"/>
  <c r="DN30" i="7" s="1"/>
  <c r="DN33" i="10"/>
  <c r="DN33" i="7" s="1"/>
  <c r="DN29" i="10"/>
  <c r="DN29" i="7" s="1"/>
  <c r="DN27" i="10"/>
  <c r="DN27" i="7" s="1"/>
  <c r="DN23" i="10"/>
  <c r="DN23" i="7" s="1"/>
  <c r="DN26" i="10"/>
  <c r="DN26" i="7" s="1"/>
  <c r="DN22" i="10"/>
  <c r="DN22" i="7" s="1"/>
  <c r="DN25" i="10"/>
  <c r="DN25" i="7" s="1"/>
  <c r="DN21" i="10"/>
  <c r="DN21" i="7" s="1"/>
  <c r="DN16" i="10"/>
  <c r="DN16" i="7" s="1"/>
  <c r="DN12" i="10"/>
  <c r="DN12" i="7" s="1"/>
  <c r="DN19" i="10"/>
  <c r="DN19" i="7" s="1"/>
  <c r="DN15" i="10"/>
  <c r="DN15" i="7" s="1"/>
  <c r="DN24" i="10"/>
  <c r="DN24" i="7" s="1"/>
  <c r="DN20" i="10"/>
  <c r="DN20" i="7" s="1"/>
  <c r="DN18" i="10"/>
  <c r="DN18" i="7" s="1"/>
  <c r="DN14" i="10"/>
  <c r="DN14" i="7" s="1"/>
  <c r="DN17" i="10"/>
  <c r="DN17" i="7" s="1"/>
  <c r="DN13" i="10"/>
  <c r="DN13" i="7" s="1"/>
  <c r="DN8" i="10"/>
  <c r="DN8" i="7" s="1"/>
  <c r="DN4" i="10"/>
  <c r="DN4" i="7" s="1"/>
  <c r="DN7" i="10"/>
  <c r="DN7" i="7" s="1"/>
  <c r="DN11" i="10"/>
  <c r="DN11" i="7" s="1"/>
  <c r="DN10" i="10"/>
  <c r="DN10" i="7" s="1"/>
  <c r="DN6" i="10"/>
  <c r="DN6" i="7" s="1"/>
  <c r="DZ50" i="10"/>
  <c r="DZ50" i="7" s="1"/>
  <c r="DZ46" i="10"/>
  <c r="DZ46" i="7" s="1"/>
  <c r="DZ49" i="10"/>
  <c r="DZ49" i="7" s="1"/>
  <c r="DZ45" i="10"/>
  <c r="DZ45" i="7" s="1"/>
  <c r="DZ48" i="10"/>
  <c r="DZ48" i="7" s="1"/>
  <c r="DZ44" i="10"/>
  <c r="DZ44" i="7" s="1"/>
  <c r="DZ43" i="10"/>
  <c r="DZ43" i="7" s="1"/>
  <c r="DZ41" i="10"/>
  <c r="DZ41" i="7" s="1"/>
  <c r="DZ37" i="10"/>
  <c r="DZ37" i="7" s="1"/>
  <c r="DZ40" i="10"/>
  <c r="DZ40" i="7" s="1"/>
  <c r="DZ36" i="10"/>
  <c r="DZ36" i="7" s="1"/>
  <c r="DZ39" i="10"/>
  <c r="DZ39" i="7" s="1"/>
  <c r="DZ51" i="10"/>
  <c r="DZ51" i="7" s="1"/>
  <c r="DZ34" i="10"/>
  <c r="DZ34" i="7" s="1"/>
  <c r="DZ30" i="10"/>
  <c r="DZ30" i="7" s="1"/>
  <c r="DZ35" i="10"/>
  <c r="DZ35" i="7" s="1"/>
  <c r="DZ33" i="10"/>
  <c r="DZ33" i="7" s="1"/>
  <c r="DZ29" i="10"/>
  <c r="DZ29" i="7" s="1"/>
  <c r="DZ47" i="10"/>
  <c r="DZ47" i="7" s="1"/>
  <c r="DZ32" i="10"/>
  <c r="DZ32" i="7" s="1"/>
  <c r="DZ28" i="10"/>
  <c r="DZ28" i="7" s="1"/>
  <c r="DZ42" i="10"/>
  <c r="DZ42" i="7" s="1"/>
  <c r="DZ31" i="10"/>
  <c r="DZ31" i="7" s="1"/>
  <c r="DZ38" i="10"/>
  <c r="DZ38" i="7" s="1"/>
  <c r="DZ25" i="10"/>
  <c r="DZ25" i="7" s="1"/>
  <c r="DZ21" i="10"/>
  <c r="DZ21" i="7" s="1"/>
  <c r="DZ24" i="10"/>
  <c r="DZ24" i="7" s="1"/>
  <c r="DZ20" i="10"/>
  <c r="DZ20" i="7" s="1"/>
  <c r="DZ27" i="10"/>
  <c r="DZ27" i="7" s="1"/>
  <c r="DZ23" i="10"/>
  <c r="DZ23" i="7" s="1"/>
  <c r="DZ22" i="10"/>
  <c r="DZ22" i="7" s="1"/>
  <c r="DZ18" i="10"/>
  <c r="DZ18" i="7" s="1"/>
  <c r="DZ14" i="10"/>
  <c r="DZ14" i="7" s="1"/>
  <c r="DZ17" i="10"/>
  <c r="DZ17" i="7" s="1"/>
  <c r="DZ13" i="10"/>
  <c r="DZ13" i="7" s="1"/>
  <c r="DZ16" i="10"/>
  <c r="DZ16" i="7" s="1"/>
  <c r="DZ12" i="10"/>
  <c r="DZ12" i="7" s="1"/>
  <c r="DZ10" i="10"/>
  <c r="DZ10" i="7" s="1"/>
  <c r="DZ6" i="10"/>
  <c r="DZ6" i="7" s="1"/>
  <c r="DZ11" i="10"/>
  <c r="DZ11" i="7" s="1"/>
  <c r="DZ19" i="10"/>
  <c r="DZ19" i="7" s="1"/>
  <c r="DZ9" i="10"/>
  <c r="DZ9" i="7" s="1"/>
  <c r="DZ5" i="10"/>
  <c r="DZ5" i="7" s="1"/>
  <c r="DZ26" i="10"/>
  <c r="DZ26" i="7" s="1"/>
  <c r="DZ15" i="10"/>
  <c r="DZ15" i="7" s="1"/>
  <c r="DZ8" i="10"/>
  <c r="DZ8" i="7" s="1"/>
  <c r="DZ4" i="10"/>
  <c r="DZ4" i="7" s="1"/>
  <c r="EL48" i="10"/>
  <c r="EL48" i="7" s="1"/>
  <c r="EL44" i="10"/>
  <c r="EL44" i="7" s="1"/>
  <c r="EL51" i="10"/>
  <c r="EL51" i="7" s="1"/>
  <c r="EL47" i="10"/>
  <c r="EL47" i="7" s="1"/>
  <c r="EL43" i="10"/>
  <c r="EL43" i="7" s="1"/>
  <c r="EL50" i="10"/>
  <c r="EL50" i="7" s="1"/>
  <c r="EL46" i="10"/>
  <c r="EL46" i="7" s="1"/>
  <c r="EL39" i="10"/>
  <c r="EL39" i="7" s="1"/>
  <c r="EL49" i="10"/>
  <c r="EL49" i="7" s="1"/>
  <c r="EL45" i="10"/>
  <c r="EL45" i="7" s="1"/>
  <c r="EL42" i="10"/>
  <c r="EL42" i="7" s="1"/>
  <c r="EL38" i="10"/>
  <c r="EL38" i="7" s="1"/>
  <c r="EL41" i="10"/>
  <c r="EL41" i="7" s="1"/>
  <c r="EL37" i="10"/>
  <c r="EL37" i="7" s="1"/>
  <c r="EL35" i="10"/>
  <c r="EL35" i="7" s="1"/>
  <c r="EL32" i="10"/>
  <c r="EL32" i="7" s="1"/>
  <c r="EL28" i="10"/>
  <c r="EL28" i="7" s="1"/>
  <c r="EL40" i="10"/>
  <c r="EL40" i="7" s="1"/>
  <c r="EL31" i="10"/>
  <c r="EL31" i="7" s="1"/>
  <c r="EL36" i="10"/>
  <c r="EL36" i="7" s="1"/>
  <c r="EL34" i="10"/>
  <c r="EL34" i="7" s="1"/>
  <c r="EL30" i="10"/>
  <c r="EL30" i="7" s="1"/>
  <c r="EL33" i="10"/>
  <c r="EL33" i="7" s="1"/>
  <c r="EL29" i="10"/>
  <c r="EL29" i="7" s="1"/>
  <c r="EL27" i="10"/>
  <c r="EL27" i="7" s="1"/>
  <c r="EL23" i="10"/>
  <c r="EL23" i="7" s="1"/>
  <c r="EL26" i="10"/>
  <c r="EL26" i="7" s="1"/>
  <c r="EL22" i="10"/>
  <c r="EL22" i="7" s="1"/>
  <c r="EL25" i="10"/>
  <c r="EL25" i="7" s="1"/>
  <c r="EL21" i="10"/>
  <c r="EL21" i="7" s="1"/>
  <c r="EL16" i="10"/>
  <c r="EL16" i="7" s="1"/>
  <c r="EL12" i="10"/>
  <c r="EL12" i="7" s="1"/>
  <c r="EL24" i="10"/>
  <c r="EL24" i="7" s="1"/>
  <c r="EL19" i="10"/>
  <c r="EL19" i="7" s="1"/>
  <c r="EL15" i="10"/>
  <c r="EL15" i="7" s="1"/>
  <c r="EL20" i="10"/>
  <c r="EL20" i="7" s="1"/>
  <c r="EL18" i="10"/>
  <c r="EL18" i="7" s="1"/>
  <c r="EL14" i="10"/>
  <c r="EL14" i="7" s="1"/>
  <c r="EL13" i="10"/>
  <c r="EL13" i="7" s="1"/>
  <c r="EL11" i="10"/>
  <c r="EL11" i="7" s="1"/>
  <c r="EL8" i="10"/>
  <c r="EL8" i="7" s="1"/>
  <c r="EL4" i="10"/>
  <c r="EL4" i="7" s="1"/>
  <c r="EL7" i="10"/>
  <c r="EL7" i="7" s="1"/>
  <c r="EL3" i="10"/>
  <c r="EL3" i="7" s="1"/>
  <c r="EL10" i="10"/>
  <c r="EL10" i="7" s="1"/>
  <c r="EL6" i="10"/>
  <c r="EL6" i="7" s="1"/>
  <c r="EX50" i="10"/>
  <c r="EX50" i="7" s="1"/>
  <c r="EX46" i="10"/>
  <c r="EX46" i="7" s="1"/>
  <c r="EX49" i="10"/>
  <c r="EX49" i="7" s="1"/>
  <c r="EX45" i="10"/>
  <c r="EX45" i="7" s="1"/>
  <c r="EX48" i="10"/>
  <c r="EX48" i="7" s="1"/>
  <c r="EX44" i="10"/>
  <c r="EX44" i="7" s="1"/>
  <c r="EX42" i="10"/>
  <c r="EX42" i="7" s="1"/>
  <c r="EX41" i="10"/>
  <c r="EX41" i="7" s="1"/>
  <c r="EX37" i="10"/>
  <c r="EX37" i="7" s="1"/>
  <c r="EX40" i="10"/>
  <c r="EX40" i="7" s="1"/>
  <c r="EX36" i="10"/>
  <c r="EX36" i="7" s="1"/>
  <c r="EX51" i="10"/>
  <c r="EX51" i="7" s="1"/>
  <c r="EX39" i="10"/>
  <c r="EX39" i="7" s="1"/>
  <c r="EX47" i="10"/>
  <c r="EX47" i="7" s="1"/>
  <c r="EX43" i="10"/>
  <c r="EX43" i="7" s="1"/>
  <c r="EX34" i="10"/>
  <c r="EX34" i="7" s="1"/>
  <c r="EX30" i="10"/>
  <c r="EX30" i="7" s="1"/>
  <c r="EX33" i="10"/>
  <c r="EX33" i="7" s="1"/>
  <c r="EX29" i="10"/>
  <c r="EX29" i="7" s="1"/>
  <c r="EX32" i="10"/>
  <c r="EX32" i="7" s="1"/>
  <c r="EX28" i="10"/>
  <c r="EX28" i="7" s="1"/>
  <c r="EX38" i="10"/>
  <c r="EX38" i="7" s="1"/>
  <c r="EX35" i="10"/>
  <c r="EX35" i="7" s="1"/>
  <c r="EX31" i="10"/>
  <c r="EX31" i="7" s="1"/>
  <c r="EX25" i="10"/>
  <c r="EX25" i="7" s="1"/>
  <c r="EX21" i="10"/>
  <c r="EX21" i="7" s="1"/>
  <c r="EX24" i="10"/>
  <c r="EX24" i="7" s="1"/>
  <c r="EX20" i="10"/>
  <c r="EX20" i="7" s="1"/>
  <c r="EX23" i="10"/>
  <c r="EX23" i="7" s="1"/>
  <c r="EX27" i="10"/>
  <c r="EX27" i="7" s="1"/>
  <c r="EX19" i="10"/>
  <c r="EX19" i="7" s="1"/>
  <c r="EX18" i="10"/>
  <c r="EX18" i="7" s="1"/>
  <c r="EX14" i="10"/>
  <c r="EX14" i="7" s="1"/>
  <c r="EX17" i="10"/>
  <c r="EX17" i="7" s="1"/>
  <c r="EX13" i="10"/>
  <c r="EX13" i="7" s="1"/>
  <c r="EX16" i="10"/>
  <c r="EX16" i="7" s="1"/>
  <c r="EX12" i="10"/>
  <c r="EX12" i="7" s="1"/>
  <c r="EX26" i="10"/>
  <c r="EX26" i="7" s="1"/>
  <c r="EX10" i="10"/>
  <c r="EX10" i="7" s="1"/>
  <c r="EX6" i="10"/>
  <c r="EX6" i="7" s="1"/>
  <c r="EX15" i="10"/>
  <c r="EX15" i="7" s="1"/>
  <c r="EX9" i="10"/>
  <c r="EX9" i="7" s="1"/>
  <c r="EX5" i="10"/>
  <c r="EX5" i="7" s="1"/>
  <c r="EX22" i="10"/>
  <c r="EX22" i="7" s="1"/>
  <c r="EX8" i="10"/>
  <c r="EX8" i="7" s="1"/>
  <c r="EX4" i="10"/>
  <c r="EX4" i="7" s="1"/>
  <c r="EX11" i="10"/>
  <c r="EX11" i="7" s="1"/>
  <c r="FJ48" i="10"/>
  <c r="FJ48" i="7" s="1"/>
  <c r="FJ44" i="10"/>
  <c r="FJ44" i="7" s="1"/>
  <c r="FJ51" i="10"/>
  <c r="FJ51" i="7" s="1"/>
  <c r="FJ47" i="10"/>
  <c r="FJ47" i="7" s="1"/>
  <c r="FJ43" i="10"/>
  <c r="FJ43" i="7" s="1"/>
  <c r="FJ50" i="10"/>
  <c r="FJ50" i="7" s="1"/>
  <c r="FJ46" i="10"/>
  <c r="FJ46" i="7" s="1"/>
  <c r="FJ49" i="10"/>
  <c r="FJ49" i="7" s="1"/>
  <c r="FJ39" i="10"/>
  <c r="FJ39" i="7" s="1"/>
  <c r="FJ45" i="10"/>
  <c r="FJ45" i="7" s="1"/>
  <c r="FJ38" i="10"/>
  <c r="FJ38" i="7" s="1"/>
  <c r="FJ42" i="10"/>
  <c r="FJ42" i="7" s="1"/>
  <c r="FJ41" i="10"/>
  <c r="FJ41" i="7" s="1"/>
  <c r="FJ37" i="10"/>
  <c r="FJ37" i="7" s="1"/>
  <c r="FJ32" i="10"/>
  <c r="FJ32" i="7" s="1"/>
  <c r="FJ28" i="10"/>
  <c r="FJ28" i="7" s="1"/>
  <c r="FJ40" i="10"/>
  <c r="FJ40" i="7" s="1"/>
  <c r="FJ36" i="10"/>
  <c r="FJ36" i="7" s="1"/>
  <c r="FJ31" i="10"/>
  <c r="FJ31" i="7" s="1"/>
  <c r="FJ27" i="10"/>
  <c r="FJ27" i="7" s="1"/>
  <c r="FJ35" i="10"/>
  <c r="FJ35" i="7" s="1"/>
  <c r="FJ34" i="10"/>
  <c r="FJ34" i="7" s="1"/>
  <c r="FJ30" i="10"/>
  <c r="FJ30" i="7" s="1"/>
  <c r="FJ33" i="10"/>
  <c r="FJ33" i="7" s="1"/>
  <c r="FJ29" i="10"/>
  <c r="FJ29" i="7" s="1"/>
  <c r="FJ23" i="10"/>
  <c r="FJ23" i="7" s="1"/>
  <c r="FJ19" i="10"/>
  <c r="FJ19" i="7" s="1"/>
  <c r="FJ26" i="10"/>
  <c r="FJ26" i="7" s="1"/>
  <c r="FJ22" i="10"/>
  <c r="FJ22" i="7" s="1"/>
  <c r="FJ25" i="10"/>
  <c r="FJ25" i="7" s="1"/>
  <c r="FJ21" i="10"/>
  <c r="FJ21" i="7" s="1"/>
  <c r="FJ16" i="10"/>
  <c r="FJ16" i="7" s="1"/>
  <c r="FJ12" i="10"/>
  <c r="FJ12" i="7" s="1"/>
  <c r="FJ24" i="10"/>
  <c r="FJ24" i="7" s="1"/>
  <c r="FJ20" i="10"/>
  <c r="FJ20" i="7" s="1"/>
  <c r="FJ15" i="10"/>
  <c r="FJ15" i="7" s="1"/>
  <c r="FJ18" i="10"/>
  <c r="FJ18" i="7" s="1"/>
  <c r="FJ14" i="10"/>
  <c r="FJ14" i="7" s="1"/>
  <c r="FJ8" i="10"/>
  <c r="FJ8" i="7" s="1"/>
  <c r="FJ4" i="10"/>
  <c r="FJ4" i="7" s="1"/>
  <c r="FJ7" i="10"/>
  <c r="FJ7" i="7" s="1"/>
  <c r="FJ3" i="10"/>
  <c r="FJ3" i="7" s="1"/>
  <c r="FJ11" i="10"/>
  <c r="FJ11" i="7" s="1"/>
  <c r="FJ10" i="10"/>
  <c r="FJ10" i="7" s="1"/>
  <c r="FJ6" i="10"/>
  <c r="FJ6" i="7" s="1"/>
  <c r="FJ17" i="10"/>
  <c r="FJ17" i="7" s="1"/>
  <c r="FV50" i="10"/>
  <c r="FV50" i="7" s="1"/>
  <c r="FV46" i="10"/>
  <c r="FV46" i="7" s="1"/>
  <c r="FV49" i="10"/>
  <c r="FV49" i="7" s="1"/>
  <c r="FV45" i="10"/>
  <c r="FV45" i="7" s="1"/>
  <c r="FV48" i="10"/>
  <c r="FV48" i="7" s="1"/>
  <c r="FV44" i="10"/>
  <c r="FV44" i="7" s="1"/>
  <c r="FV41" i="10"/>
  <c r="FV41" i="7" s="1"/>
  <c r="FV37" i="10"/>
  <c r="FV37" i="7" s="1"/>
  <c r="FV42" i="10"/>
  <c r="FV42" i="7" s="1"/>
  <c r="FV43" i="10"/>
  <c r="FV43" i="7" s="1"/>
  <c r="FV40" i="10"/>
  <c r="FV40" i="7" s="1"/>
  <c r="FV36" i="10"/>
  <c r="FV36" i="7" s="1"/>
  <c r="FV51" i="10"/>
  <c r="FV51" i="7" s="1"/>
  <c r="FV47" i="10"/>
  <c r="FV47" i="7" s="1"/>
  <c r="FV39" i="10"/>
  <c r="FV39" i="7" s="1"/>
  <c r="FV34" i="10"/>
  <c r="FV34" i="7" s="1"/>
  <c r="FV30" i="10"/>
  <c r="FV30" i="7" s="1"/>
  <c r="FV35" i="10"/>
  <c r="FV35" i="7" s="1"/>
  <c r="FV33" i="10"/>
  <c r="FV33" i="7" s="1"/>
  <c r="FV29" i="10"/>
  <c r="FV29" i="7" s="1"/>
  <c r="FV32" i="10"/>
  <c r="FV32" i="7" s="1"/>
  <c r="FV28" i="10"/>
  <c r="FV28" i="7" s="1"/>
  <c r="FV38" i="10"/>
  <c r="FV38" i="7" s="1"/>
  <c r="FV31" i="10"/>
  <c r="FV31" i="7" s="1"/>
  <c r="FV25" i="10"/>
  <c r="FV25" i="7" s="1"/>
  <c r="FV21" i="10"/>
  <c r="FV21" i="7" s="1"/>
  <c r="FV24" i="10"/>
  <c r="FV24" i="7" s="1"/>
  <c r="FV20" i="10"/>
  <c r="FV20" i="7" s="1"/>
  <c r="FV27" i="10"/>
  <c r="FV27" i="7" s="1"/>
  <c r="FV23" i="10"/>
  <c r="FV23" i="7" s="1"/>
  <c r="FV18" i="10"/>
  <c r="FV18" i="7" s="1"/>
  <c r="FV14" i="10"/>
  <c r="FV14" i="7" s="1"/>
  <c r="FV17" i="10"/>
  <c r="FV17" i="7" s="1"/>
  <c r="FV13" i="10"/>
  <c r="FV13" i="7" s="1"/>
  <c r="FV26" i="10"/>
  <c r="FV26" i="7" s="1"/>
  <c r="FV16" i="10"/>
  <c r="FV16" i="7" s="1"/>
  <c r="FV12" i="10"/>
  <c r="FV12" i="7" s="1"/>
  <c r="FV22" i="10"/>
  <c r="FV22" i="7" s="1"/>
  <c r="FV19" i="10"/>
  <c r="FV19" i="7" s="1"/>
  <c r="FV10" i="10"/>
  <c r="FV10" i="7" s="1"/>
  <c r="FV6" i="10"/>
  <c r="FV6" i="7" s="1"/>
  <c r="FV15" i="10"/>
  <c r="FV15" i="7" s="1"/>
  <c r="FV11" i="10"/>
  <c r="FV11" i="7" s="1"/>
  <c r="FV9" i="10"/>
  <c r="FV9" i="7" s="1"/>
  <c r="FV5" i="10"/>
  <c r="FV5" i="7" s="1"/>
  <c r="FV8" i="10"/>
  <c r="FV8" i="7" s="1"/>
  <c r="FV4" i="10"/>
  <c r="FV4" i="7" s="1"/>
  <c r="GH48" i="10"/>
  <c r="GH48" i="7" s="1"/>
  <c r="GH44" i="10"/>
  <c r="GH44" i="7" s="1"/>
  <c r="GH51" i="10"/>
  <c r="GH51" i="7" s="1"/>
  <c r="GH47" i="10"/>
  <c r="GH47" i="7" s="1"/>
  <c r="GH43" i="10"/>
  <c r="GH43" i="7" s="1"/>
  <c r="GH50" i="10"/>
  <c r="GH50" i="7" s="1"/>
  <c r="GH46" i="10"/>
  <c r="GH46" i="7" s="1"/>
  <c r="GH49" i="10"/>
  <c r="GH49" i="7" s="1"/>
  <c r="GH45" i="10"/>
  <c r="GH45" i="7" s="1"/>
  <c r="GH39" i="10"/>
  <c r="GH39" i="7" s="1"/>
  <c r="GH38" i="10"/>
  <c r="GH38" i="7" s="1"/>
  <c r="GH41" i="10"/>
  <c r="GH41" i="7" s="1"/>
  <c r="GH37" i="10"/>
  <c r="GH37" i="7" s="1"/>
  <c r="GH40" i="10"/>
  <c r="GH40" i="7" s="1"/>
  <c r="GH35" i="10"/>
  <c r="GH35" i="7" s="1"/>
  <c r="GH32" i="10"/>
  <c r="GH32" i="7" s="1"/>
  <c r="GH28" i="10"/>
  <c r="GH28" i="7" s="1"/>
  <c r="GH36" i="10"/>
  <c r="GH36" i="7" s="1"/>
  <c r="GH31" i="10"/>
  <c r="GH31" i="7" s="1"/>
  <c r="GH27" i="10"/>
  <c r="GH27" i="7" s="1"/>
  <c r="GH34" i="10"/>
  <c r="GH34" i="7" s="1"/>
  <c r="GH30" i="10"/>
  <c r="GH30" i="7" s="1"/>
  <c r="GH42" i="10"/>
  <c r="GH42" i="7" s="1"/>
  <c r="GH33" i="10"/>
  <c r="GH33" i="7" s="1"/>
  <c r="GH29" i="10"/>
  <c r="GH29" i="7" s="1"/>
  <c r="GH23" i="10"/>
  <c r="GH23" i="7" s="1"/>
  <c r="GH19" i="10"/>
  <c r="GH19" i="7" s="1"/>
  <c r="GH26" i="10"/>
  <c r="GH26" i="7" s="1"/>
  <c r="GH22" i="10"/>
  <c r="GH22" i="7" s="1"/>
  <c r="GH25" i="10"/>
  <c r="GH25" i="7" s="1"/>
  <c r="GH21" i="10"/>
  <c r="GH21" i="7" s="1"/>
  <c r="GH24" i="10"/>
  <c r="GH24" i="7" s="1"/>
  <c r="GH16" i="10"/>
  <c r="GH16" i="7" s="1"/>
  <c r="GH12" i="10"/>
  <c r="GH12" i="7" s="1"/>
  <c r="GH20" i="10"/>
  <c r="GH20" i="7" s="1"/>
  <c r="GH15" i="10"/>
  <c r="GH15" i="7" s="1"/>
  <c r="GH18" i="10"/>
  <c r="GH18" i="7" s="1"/>
  <c r="GH14" i="10"/>
  <c r="GH14" i="7" s="1"/>
  <c r="GH11" i="10"/>
  <c r="GH11" i="7" s="1"/>
  <c r="GH8" i="10"/>
  <c r="GH8" i="7" s="1"/>
  <c r="GH4" i="10"/>
  <c r="GH4" i="7" s="1"/>
  <c r="GH7" i="10"/>
  <c r="GH7" i="7" s="1"/>
  <c r="GH3" i="10"/>
  <c r="GH3" i="7" s="1"/>
  <c r="GH17" i="10"/>
  <c r="GH17" i="7" s="1"/>
  <c r="GH10" i="10"/>
  <c r="GH10" i="7" s="1"/>
  <c r="GH6" i="10"/>
  <c r="GH6" i="7" s="1"/>
  <c r="GH13" i="10"/>
  <c r="GH13" i="7" s="1"/>
  <c r="GT50" i="10"/>
  <c r="GT46" i="10"/>
  <c r="GT49" i="10"/>
  <c r="GT45" i="10"/>
  <c r="GT48" i="10"/>
  <c r="GT44" i="10"/>
  <c r="GT43" i="10"/>
  <c r="GT41" i="10"/>
  <c r="GT37" i="10"/>
  <c r="GT51" i="10"/>
  <c r="GT40" i="10"/>
  <c r="GT36" i="10"/>
  <c r="GT47" i="10"/>
  <c r="GT42" i="10"/>
  <c r="GT39" i="10"/>
  <c r="GT34" i="10"/>
  <c r="GT30" i="10"/>
  <c r="GT33" i="10"/>
  <c r="GT29" i="10"/>
  <c r="GT38" i="10"/>
  <c r="GT32" i="10"/>
  <c r="GT28" i="10"/>
  <c r="GT35" i="10"/>
  <c r="GT31" i="10"/>
  <c r="GT25" i="10"/>
  <c r="GT21" i="10"/>
  <c r="GT27" i="10"/>
  <c r="GT24" i="10"/>
  <c r="GT20" i="10"/>
  <c r="GT23" i="10"/>
  <c r="GT18" i="10"/>
  <c r="GT14" i="10"/>
  <c r="GT17" i="10"/>
  <c r="GT13" i="10"/>
  <c r="GT26" i="10"/>
  <c r="GT19" i="10"/>
  <c r="GT22" i="10"/>
  <c r="GT16" i="10"/>
  <c r="GT12" i="10"/>
  <c r="GT15" i="10"/>
  <c r="GT10" i="10"/>
  <c r="GT6" i="10"/>
  <c r="GT9" i="10"/>
  <c r="GT5" i="10"/>
  <c r="GT8" i="10"/>
  <c r="GT4" i="10"/>
  <c r="GT11" i="10"/>
  <c r="HF48" i="10"/>
  <c r="HF44" i="10"/>
  <c r="HF51" i="10"/>
  <c r="HF47" i="10"/>
  <c r="HF43" i="10"/>
  <c r="HF50" i="10"/>
  <c r="HF46" i="10"/>
  <c r="HF45" i="10"/>
  <c r="HF42" i="10"/>
  <c r="HF39" i="10"/>
  <c r="HF38" i="10"/>
  <c r="HF41" i="10"/>
  <c r="HF37" i="10"/>
  <c r="HF36" i="10"/>
  <c r="HF32" i="10"/>
  <c r="HF28" i="10"/>
  <c r="HF31" i="10"/>
  <c r="HF27" i="10"/>
  <c r="HF35" i="10"/>
  <c r="HF34" i="10"/>
  <c r="HF30" i="10"/>
  <c r="HF49" i="10"/>
  <c r="HF33" i="10"/>
  <c r="HF29" i="10"/>
  <c r="HF23" i="10"/>
  <c r="HF19" i="10"/>
  <c r="HF40" i="10"/>
  <c r="HF26" i="10"/>
  <c r="HF22" i="10"/>
  <c r="HF25" i="10"/>
  <c r="HF21" i="10"/>
  <c r="HF24" i="10"/>
  <c r="HF20" i="10"/>
  <c r="HF16" i="10"/>
  <c r="HF12" i="10"/>
  <c r="HF15" i="10"/>
  <c r="HF18" i="10"/>
  <c r="HF14" i="10"/>
  <c r="HF8" i="10"/>
  <c r="HF4" i="10"/>
  <c r="HF7" i="10"/>
  <c r="HF3" i="10"/>
  <c r="HF17" i="10"/>
  <c r="HF11" i="10"/>
  <c r="HF13" i="10"/>
  <c r="HF10" i="10"/>
  <c r="HF6" i="10"/>
  <c r="EX3" i="10"/>
  <c r="EX3" i="7" s="1"/>
  <c r="GB3" i="10"/>
  <c r="GB3" i="7" s="1"/>
  <c r="BL4" i="10"/>
  <c r="BL4" i="7" s="1"/>
  <c r="DN5" i="10"/>
  <c r="DN5" i="7" s="1"/>
  <c r="ER6" i="10"/>
  <c r="ER6" i="7" s="1"/>
  <c r="J7" i="10"/>
  <c r="J7" i="7" s="1"/>
  <c r="GT7" i="10"/>
  <c r="AN8" i="10"/>
  <c r="AN8" i="7" s="1"/>
  <c r="CP9" i="10"/>
  <c r="CP9" i="7" s="1"/>
  <c r="DT10" i="10"/>
  <c r="DT10" i="7" s="1"/>
  <c r="BF15" i="10"/>
  <c r="BF15" i="7" s="1"/>
  <c r="AH19" i="10"/>
  <c r="AH19" i="7" s="1"/>
  <c r="J4" i="10"/>
  <c r="J4" i="7" s="1"/>
  <c r="CJ4" i="10"/>
  <c r="CJ4" i="7" s="1"/>
  <c r="EL5" i="10"/>
  <c r="EL5" i="7" s="1"/>
  <c r="FP6" i="10"/>
  <c r="FP6" i="7" s="1"/>
  <c r="AH7" i="10"/>
  <c r="AH7" i="7" s="1"/>
  <c r="BL8" i="10"/>
  <c r="BL8" i="7" s="1"/>
  <c r="DN9" i="10"/>
  <c r="DN9" i="7" s="1"/>
  <c r="ER10" i="10"/>
  <c r="ER10" i="7" s="1"/>
  <c r="J11" i="10"/>
  <c r="J11" i="7" s="1"/>
  <c r="D14" i="10"/>
  <c r="D14" i="7" s="1"/>
  <c r="M49" i="10"/>
  <c r="M49" i="7" s="1"/>
  <c r="M45" i="10"/>
  <c r="M45" i="7" s="1"/>
  <c r="M48" i="10"/>
  <c r="M48" i="7" s="1"/>
  <c r="M44" i="10"/>
  <c r="M44" i="7" s="1"/>
  <c r="M51" i="10"/>
  <c r="M51" i="7" s="1"/>
  <c r="M47" i="10"/>
  <c r="M47" i="7" s="1"/>
  <c r="M50" i="10"/>
  <c r="M50" i="7" s="1"/>
  <c r="M46" i="10"/>
  <c r="M46" i="7" s="1"/>
  <c r="M40" i="10"/>
  <c r="M40" i="7" s="1"/>
  <c r="M36" i="10"/>
  <c r="M36" i="7" s="1"/>
  <c r="M43" i="10"/>
  <c r="M43" i="7" s="1"/>
  <c r="M39" i="10"/>
  <c r="M39" i="7" s="1"/>
  <c r="M42" i="10"/>
  <c r="M42" i="7" s="1"/>
  <c r="M38" i="10"/>
  <c r="M38" i="7" s="1"/>
  <c r="M41" i="10"/>
  <c r="M41" i="7" s="1"/>
  <c r="M37" i="10"/>
  <c r="M37" i="7" s="1"/>
  <c r="M32" i="10"/>
  <c r="M32" i="7" s="1"/>
  <c r="M28" i="10"/>
  <c r="M28" i="7" s="1"/>
  <c r="M35" i="10"/>
  <c r="M35" i="7" s="1"/>
  <c r="M31" i="10"/>
  <c r="M31" i="7" s="1"/>
  <c r="M34" i="10"/>
  <c r="M34" i="7" s="1"/>
  <c r="M30" i="10"/>
  <c r="M30" i="7" s="1"/>
  <c r="M24" i="10"/>
  <c r="M24" i="7" s="1"/>
  <c r="M20" i="10"/>
  <c r="M20" i="7" s="1"/>
  <c r="M27" i="10"/>
  <c r="M27" i="7" s="1"/>
  <c r="M23" i="10"/>
  <c r="M23" i="7" s="1"/>
  <c r="M33" i="10"/>
  <c r="M33" i="7" s="1"/>
  <c r="M29" i="10"/>
  <c r="M29" i="7" s="1"/>
  <c r="M26" i="10"/>
  <c r="M26" i="7" s="1"/>
  <c r="M22" i="10"/>
  <c r="M22" i="7" s="1"/>
  <c r="M25" i="10"/>
  <c r="M25" i="7" s="1"/>
  <c r="M21" i="10"/>
  <c r="M21" i="7" s="1"/>
  <c r="M17" i="10"/>
  <c r="M17" i="7" s="1"/>
  <c r="M13" i="10"/>
  <c r="M13" i="7" s="1"/>
  <c r="M16" i="10"/>
  <c r="M16" i="7" s="1"/>
  <c r="M12" i="10"/>
  <c r="M12" i="7" s="1"/>
  <c r="M19" i="10"/>
  <c r="M19" i="7" s="1"/>
  <c r="M15" i="10"/>
  <c r="M15" i="7" s="1"/>
  <c r="M18" i="10"/>
  <c r="M18" i="7" s="1"/>
  <c r="M14" i="10"/>
  <c r="M14" i="7" s="1"/>
  <c r="M9" i="10"/>
  <c r="M9" i="7" s="1"/>
  <c r="M5" i="10"/>
  <c r="M5" i="7" s="1"/>
  <c r="M8" i="10"/>
  <c r="M8" i="7" s="1"/>
  <c r="M4" i="10"/>
  <c r="M4" i="7" s="1"/>
  <c r="M11" i="10"/>
  <c r="M11" i="7" s="1"/>
  <c r="M7" i="10"/>
  <c r="M7" i="7" s="1"/>
  <c r="M10" i="10"/>
  <c r="M10" i="7" s="1"/>
  <c r="M6" i="10"/>
  <c r="M6" i="7" s="1"/>
  <c r="Y51" i="10"/>
  <c r="Y51" i="7" s="1"/>
  <c r="Y47" i="10"/>
  <c r="Y47" i="7" s="1"/>
  <c r="Y50" i="10"/>
  <c r="Y50" i="7" s="1"/>
  <c r="Y46" i="10"/>
  <c r="Y46" i="7" s="1"/>
  <c r="Y49" i="10"/>
  <c r="Y49" i="7" s="1"/>
  <c r="Y45" i="10"/>
  <c r="Y45" i="7" s="1"/>
  <c r="Y48" i="10"/>
  <c r="Y48" i="7" s="1"/>
  <c r="Y44" i="10"/>
  <c r="Y44" i="7" s="1"/>
  <c r="Y42" i="10"/>
  <c r="Y42" i="7" s="1"/>
  <c r="Y38" i="10"/>
  <c r="Y38" i="7" s="1"/>
  <c r="Y41" i="10"/>
  <c r="Y41" i="7" s="1"/>
  <c r="Y37" i="10"/>
  <c r="Y37" i="7" s="1"/>
  <c r="Y40" i="10"/>
  <c r="Y40" i="7" s="1"/>
  <c r="Y36" i="10"/>
  <c r="Y36" i="7" s="1"/>
  <c r="Y39" i="10"/>
  <c r="Y39" i="7" s="1"/>
  <c r="Y35" i="10"/>
  <c r="Y35" i="7" s="1"/>
  <c r="Y34" i="10"/>
  <c r="Y34" i="7" s="1"/>
  <c r="Y30" i="10"/>
  <c r="Y30" i="7" s="1"/>
  <c r="Y33" i="10"/>
  <c r="Y33" i="7" s="1"/>
  <c r="Y29" i="10"/>
  <c r="Y29" i="7" s="1"/>
  <c r="Y32" i="10"/>
  <c r="Y32" i="7" s="1"/>
  <c r="Y28" i="10"/>
  <c r="Y28" i="7" s="1"/>
  <c r="Y43" i="10"/>
  <c r="Y43" i="7" s="1"/>
  <c r="Y26" i="10"/>
  <c r="Y26" i="7" s="1"/>
  <c r="Y22" i="10"/>
  <c r="Y22" i="7" s="1"/>
  <c r="Y25" i="10"/>
  <c r="Y25" i="7" s="1"/>
  <c r="Y21" i="10"/>
  <c r="Y21" i="7" s="1"/>
  <c r="Y24" i="10"/>
  <c r="Y24" i="7" s="1"/>
  <c r="Y20" i="10"/>
  <c r="Y20" i="7" s="1"/>
  <c r="Y27" i="10"/>
  <c r="Y27" i="7" s="1"/>
  <c r="Y23" i="10"/>
  <c r="Y23" i="7" s="1"/>
  <c r="Y19" i="10"/>
  <c r="Y19" i="7" s="1"/>
  <c r="Y15" i="10"/>
  <c r="Y15" i="7" s="1"/>
  <c r="Y31" i="10"/>
  <c r="Y31" i="7" s="1"/>
  <c r="Y18" i="10"/>
  <c r="Y18" i="7" s="1"/>
  <c r="Y14" i="10"/>
  <c r="Y14" i="7" s="1"/>
  <c r="Y17" i="10"/>
  <c r="Y17" i="7" s="1"/>
  <c r="Y13" i="10"/>
  <c r="Y13" i="7" s="1"/>
  <c r="Y16" i="10"/>
  <c r="Y16" i="7" s="1"/>
  <c r="Y12" i="10"/>
  <c r="Y12" i="7" s="1"/>
  <c r="Y11" i="10"/>
  <c r="Y11" i="7" s="1"/>
  <c r="Y7" i="10"/>
  <c r="Y7" i="7" s="1"/>
  <c r="Y10" i="10"/>
  <c r="Y10" i="7" s="1"/>
  <c r="Y6" i="10"/>
  <c r="Y6" i="7" s="1"/>
  <c r="Y9" i="10"/>
  <c r="Y9" i="7" s="1"/>
  <c r="Y5" i="10"/>
  <c r="Y5" i="7" s="1"/>
  <c r="Y8" i="10"/>
  <c r="Y8" i="7" s="1"/>
  <c r="Y4" i="10"/>
  <c r="Y4" i="7" s="1"/>
  <c r="AK49" i="10"/>
  <c r="AK49" i="7" s="1"/>
  <c r="AK45" i="10"/>
  <c r="AK45" i="7" s="1"/>
  <c r="AK48" i="10"/>
  <c r="AK48" i="7" s="1"/>
  <c r="AK44" i="10"/>
  <c r="AK44" i="7" s="1"/>
  <c r="AK51" i="10"/>
  <c r="AK51" i="7" s="1"/>
  <c r="AK47" i="10"/>
  <c r="AK47" i="7" s="1"/>
  <c r="AK43" i="10"/>
  <c r="AK43" i="7" s="1"/>
  <c r="AK50" i="10"/>
  <c r="AK50" i="7" s="1"/>
  <c r="AK46" i="10"/>
  <c r="AK46" i="7" s="1"/>
  <c r="AK40" i="10"/>
  <c r="AK40" i="7" s="1"/>
  <c r="AK36" i="10"/>
  <c r="AK36" i="7" s="1"/>
  <c r="AK39" i="10"/>
  <c r="AK39" i="7" s="1"/>
  <c r="AK42" i="10"/>
  <c r="AK42" i="7" s="1"/>
  <c r="AK38" i="10"/>
  <c r="AK38" i="7" s="1"/>
  <c r="AK41" i="10"/>
  <c r="AK41" i="7" s="1"/>
  <c r="AK37" i="10"/>
  <c r="AK37" i="7" s="1"/>
  <c r="AK32" i="10"/>
  <c r="AK32" i="7" s="1"/>
  <c r="AK28" i="10"/>
  <c r="AK28" i="7" s="1"/>
  <c r="AK31" i="10"/>
  <c r="AK31" i="7" s="1"/>
  <c r="AK35" i="10"/>
  <c r="AK35" i="7" s="1"/>
  <c r="AK34" i="10"/>
  <c r="AK34" i="7" s="1"/>
  <c r="AK30" i="10"/>
  <c r="AK30" i="7" s="1"/>
  <c r="AK24" i="10"/>
  <c r="AK24" i="7" s="1"/>
  <c r="AK20" i="10"/>
  <c r="AK20" i="7" s="1"/>
  <c r="AK33" i="10"/>
  <c r="AK33" i="7" s="1"/>
  <c r="AK29" i="10"/>
  <c r="AK29" i="7" s="1"/>
  <c r="AK27" i="10"/>
  <c r="AK27" i="7" s="1"/>
  <c r="AK23" i="10"/>
  <c r="AK23" i="7" s="1"/>
  <c r="AK26" i="10"/>
  <c r="AK26" i="7" s="1"/>
  <c r="AK22" i="10"/>
  <c r="AK22" i="7" s="1"/>
  <c r="AK25" i="10"/>
  <c r="AK25" i="7" s="1"/>
  <c r="AK21" i="10"/>
  <c r="AK21" i="7" s="1"/>
  <c r="AK17" i="10"/>
  <c r="AK17" i="7" s="1"/>
  <c r="AK13" i="10"/>
  <c r="AK13" i="7" s="1"/>
  <c r="AK16" i="10"/>
  <c r="AK16" i="7" s="1"/>
  <c r="AK12" i="10"/>
  <c r="AK12" i="7" s="1"/>
  <c r="AK19" i="10"/>
  <c r="AK19" i="7" s="1"/>
  <c r="AK15" i="10"/>
  <c r="AK15" i="7" s="1"/>
  <c r="AK18" i="10"/>
  <c r="AK18" i="7" s="1"/>
  <c r="AK14" i="10"/>
  <c r="AK14" i="7" s="1"/>
  <c r="AK9" i="10"/>
  <c r="AK9" i="7" s="1"/>
  <c r="AK5" i="10"/>
  <c r="AK5" i="7" s="1"/>
  <c r="AK8" i="10"/>
  <c r="AK8" i="7" s="1"/>
  <c r="AK4" i="10"/>
  <c r="AK4" i="7" s="1"/>
  <c r="AK11" i="10"/>
  <c r="AK11" i="7" s="1"/>
  <c r="AK7" i="10"/>
  <c r="AK7" i="7" s="1"/>
  <c r="AK10" i="10"/>
  <c r="AK10" i="7" s="1"/>
  <c r="AK6" i="10"/>
  <c r="AK6" i="7" s="1"/>
  <c r="AW51" i="10"/>
  <c r="AW51" i="7" s="1"/>
  <c r="AW47" i="10"/>
  <c r="AW47" i="7" s="1"/>
  <c r="AW50" i="10"/>
  <c r="AW50" i="7" s="1"/>
  <c r="AW46" i="10"/>
  <c r="AW46" i="7" s="1"/>
  <c r="AW49" i="10"/>
  <c r="AW49" i="7" s="1"/>
  <c r="AW45" i="10"/>
  <c r="AW45" i="7" s="1"/>
  <c r="AW48" i="10"/>
  <c r="AW48" i="7" s="1"/>
  <c r="AW44" i="10"/>
  <c r="AW44" i="7" s="1"/>
  <c r="AW42" i="10"/>
  <c r="AW42" i="7" s="1"/>
  <c r="AW38" i="10"/>
  <c r="AW38" i="7" s="1"/>
  <c r="AW43" i="10"/>
  <c r="AW43" i="7" s="1"/>
  <c r="AW41" i="10"/>
  <c r="AW41" i="7" s="1"/>
  <c r="AW37" i="10"/>
  <c r="AW37" i="7" s="1"/>
  <c r="AW40" i="10"/>
  <c r="AW40" i="7" s="1"/>
  <c r="AW36" i="10"/>
  <c r="AW36" i="7" s="1"/>
  <c r="AW39" i="10"/>
  <c r="AW39" i="7" s="1"/>
  <c r="AW35" i="10"/>
  <c r="AW35" i="7" s="1"/>
  <c r="AW34" i="10"/>
  <c r="AW34" i="7" s="1"/>
  <c r="AW30" i="10"/>
  <c r="AW30" i="7" s="1"/>
  <c r="AW33" i="10"/>
  <c r="AW33" i="7" s="1"/>
  <c r="AW29" i="10"/>
  <c r="AW29" i="7" s="1"/>
  <c r="AW32" i="10"/>
  <c r="AW32" i="7" s="1"/>
  <c r="AW28" i="10"/>
  <c r="AW28" i="7" s="1"/>
  <c r="AW26" i="10"/>
  <c r="AW26" i="7" s="1"/>
  <c r="AW22" i="10"/>
  <c r="AW22" i="7" s="1"/>
  <c r="AW25" i="10"/>
  <c r="AW25" i="7" s="1"/>
  <c r="AW21" i="10"/>
  <c r="AW21" i="7" s="1"/>
  <c r="AW24" i="10"/>
  <c r="AW24" i="7" s="1"/>
  <c r="AW20" i="10"/>
  <c r="AW20" i="7" s="1"/>
  <c r="AW31" i="10"/>
  <c r="AW31" i="7" s="1"/>
  <c r="AW27" i="10"/>
  <c r="AW27" i="7" s="1"/>
  <c r="AW23" i="10"/>
  <c r="AW23" i="7" s="1"/>
  <c r="AW19" i="10"/>
  <c r="AW19" i="7" s="1"/>
  <c r="AW15" i="10"/>
  <c r="AW15" i="7" s="1"/>
  <c r="AW18" i="10"/>
  <c r="AW18" i="7" s="1"/>
  <c r="AW14" i="10"/>
  <c r="AW14" i="7" s="1"/>
  <c r="AW17" i="10"/>
  <c r="AW17" i="7" s="1"/>
  <c r="AW13" i="10"/>
  <c r="AW13" i="7" s="1"/>
  <c r="AW16" i="10"/>
  <c r="AW16" i="7" s="1"/>
  <c r="AW12" i="10"/>
  <c r="AW12" i="7" s="1"/>
  <c r="AW11" i="10"/>
  <c r="AW11" i="7" s="1"/>
  <c r="AW7" i="10"/>
  <c r="AW7" i="7" s="1"/>
  <c r="AW10" i="10"/>
  <c r="AW10" i="7" s="1"/>
  <c r="AW6" i="10"/>
  <c r="AW6" i="7" s="1"/>
  <c r="AW9" i="10"/>
  <c r="AW9" i="7" s="1"/>
  <c r="AW5" i="10"/>
  <c r="AW5" i="7" s="1"/>
  <c r="AW8" i="10"/>
  <c r="AW8" i="7" s="1"/>
  <c r="AW4" i="10"/>
  <c r="AW4" i="7" s="1"/>
  <c r="BI49" i="10"/>
  <c r="BI49" i="7" s="1"/>
  <c r="BI45" i="10"/>
  <c r="BI45" i="7" s="1"/>
  <c r="BI48" i="10"/>
  <c r="BI48" i="7" s="1"/>
  <c r="BI44" i="10"/>
  <c r="BI44" i="7" s="1"/>
  <c r="BI51" i="10"/>
  <c r="BI51" i="7" s="1"/>
  <c r="BI47" i="10"/>
  <c r="BI47" i="7" s="1"/>
  <c r="BI43" i="10"/>
  <c r="BI43" i="7" s="1"/>
  <c r="BI50" i="10"/>
  <c r="BI50" i="7" s="1"/>
  <c r="BI46" i="10"/>
  <c r="BI46" i="7" s="1"/>
  <c r="BI40" i="10"/>
  <c r="BI40" i="7" s="1"/>
  <c r="BI36" i="10"/>
  <c r="BI36" i="7" s="1"/>
  <c r="BI39" i="10"/>
  <c r="BI39" i="7" s="1"/>
  <c r="BI42" i="10"/>
  <c r="BI42" i="7" s="1"/>
  <c r="BI38" i="10"/>
  <c r="BI38" i="7" s="1"/>
  <c r="BI41" i="10"/>
  <c r="BI41" i="7" s="1"/>
  <c r="BI37" i="10"/>
  <c r="BI37" i="7" s="1"/>
  <c r="BI32" i="10"/>
  <c r="BI32" i="7" s="1"/>
  <c r="BI28" i="10"/>
  <c r="BI28" i="7" s="1"/>
  <c r="BI31" i="10"/>
  <c r="BI31" i="7" s="1"/>
  <c r="BI34" i="10"/>
  <c r="BI34" i="7" s="1"/>
  <c r="BI30" i="10"/>
  <c r="BI30" i="7" s="1"/>
  <c r="BI35" i="10"/>
  <c r="BI35" i="7" s="1"/>
  <c r="BI24" i="10"/>
  <c r="BI24" i="7" s="1"/>
  <c r="BI20" i="10"/>
  <c r="BI20" i="7" s="1"/>
  <c r="BI33" i="10"/>
  <c r="BI33" i="7" s="1"/>
  <c r="BI29" i="10"/>
  <c r="BI29" i="7" s="1"/>
  <c r="BI27" i="10"/>
  <c r="BI27" i="7" s="1"/>
  <c r="BI23" i="10"/>
  <c r="BI23" i="7" s="1"/>
  <c r="BI26" i="10"/>
  <c r="BI26" i="7" s="1"/>
  <c r="BI22" i="10"/>
  <c r="BI22" i="7" s="1"/>
  <c r="BI25" i="10"/>
  <c r="BI25" i="7" s="1"/>
  <c r="BI21" i="10"/>
  <c r="BI21" i="7" s="1"/>
  <c r="BI17" i="10"/>
  <c r="BI17" i="7" s="1"/>
  <c r="BI13" i="10"/>
  <c r="BI13" i="7" s="1"/>
  <c r="BI16" i="10"/>
  <c r="BI16" i="7" s="1"/>
  <c r="BI12" i="10"/>
  <c r="BI12" i="7" s="1"/>
  <c r="BI19" i="10"/>
  <c r="BI19" i="7" s="1"/>
  <c r="BI15" i="10"/>
  <c r="BI15" i="7" s="1"/>
  <c r="BI18" i="10"/>
  <c r="BI18" i="7" s="1"/>
  <c r="BI14" i="10"/>
  <c r="BI14" i="7" s="1"/>
  <c r="BI9" i="10"/>
  <c r="BI9" i="7" s="1"/>
  <c r="BI5" i="10"/>
  <c r="BI5" i="7" s="1"/>
  <c r="BI8" i="10"/>
  <c r="BI8" i="7" s="1"/>
  <c r="BI4" i="10"/>
  <c r="BI4" i="7" s="1"/>
  <c r="BI11" i="10"/>
  <c r="BI11" i="7" s="1"/>
  <c r="BI7" i="10"/>
  <c r="BI7" i="7" s="1"/>
  <c r="BI10" i="10"/>
  <c r="BI10" i="7" s="1"/>
  <c r="BI6" i="10"/>
  <c r="BI6" i="7" s="1"/>
  <c r="BU51" i="10"/>
  <c r="BU51" i="7" s="1"/>
  <c r="BU47" i="10"/>
  <c r="BU47" i="7" s="1"/>
  <c r="BU50" i="10"/>
  <c r="BU50" i="7" s="1"/>
  <c r="BU46" i="10"/>
  <c r="BU46" i="7" s="1"/>
  <c r="BU49" i="10"/>
  <c r="BU49" i="7" s="1"/>
  <c r="BU45" i="10"/>
  <c r="BU45" i="7" s="1"/>
  <c r="BU48" i="10"/>
  <c r="BU48" i="7" s="1"/>
  <c r="BU44" i="10"/>
  <c r="BU44" i="7" s="1"/>
  <c r="BU42" i="10"/>
  <c r="BU42" i="7" s="1"/>
  <c r="BU38" i="10"/>
  <c r="BU38" i="7" s="1"/>
  <c r="BU41" i="10"/>
  <c r="BU41" i="7" s="1"/>
  <c r="BU37" i="10"/>
  <c r="BU37" i="7" s="1"/>
  <c r="BU40" i="10"/>
  <c r="BU40" i="7" s="1"/>
  <c r="BU36" i="10"/>
  <c r="BU36" i="7" s="1"/>
  <c r="BU43" i="10"/>
  <c r="BU43" i="7" s="1"/>
  <c r="BU39" i="10"/>
  <c r="BU39" i="7" s="1"/>
  <c r="BU35" i="10"/>
  <c r="BU35" i="7" s="1"/>
  <c r="BU34" i="10"/>
  <c r="BU34" i="7" s="1"/>
  <c r="BU30" i="10"/>
  <c r="BU30" i="7" s="1"/>
  <c r="BU33" i="10"/>
  <c r="BU33" i="7" s="1"/>
  <c r="BU29" i="10"/>
  <c r="BU29" i="7" s="1"/>
  <c r="BU32" i="10"/>
  <c r="BU32" i="7" s="1"/>
  <c r="BU28" i="10"/>
  <c r="BU28" i="7" s="1"/>
  <c r="BU26" i="10"/>
  <c r="BU26" i="7" s="1"/>
  <c r="BU22" i="10"/>
  <c r="BU22" i="7" s="1"/>
  <c r="BU25" i="10"/>
  <c r="BU25" i="7" s="1"/>
  <c r="BU21" i="10"/>
  <c r="BU21" i="7" s="1"/>
  <c r="BU24" i="10"/>
  <c r="BU24" i="7" s="1"/>
  <c r="BU20" i="10"/>
  <c r="BU20" i="7" s="1"/>
  <c r="BU31" i="10"/>
  <c r="BU31" i="7" s="1"/>
  <c r="BU27" i="10"/>
  <c r="BU27" i="7" s="1"/>
  <c r="BU23" i="10"/>
  <c r="BU23" i="7" s="1"/>
  <c r="BU19" i="10"/>
  <c r="BU19" i="7" s="1"/>
  <c r="BU15" i="10"/>
  <c r="BU15" i="7" s="1"/>
  <c r="BU18" i="10"/>
  <c r="BU18" i="7" s="1"/>
  <c r="BU14" i="10"/>
  <c r="BU14" i="7" s="1"/>
  <c r="BU17" i="10"/>
  <c r="BU17" i="7" s="1"/>
  <c r="BU13" i="10"/>
  <c r="BU13" i="7" s="1"/>
  <c r="BU16" i="10"/>
  <c r="BU16" i="7" s="1"/>
  <c r="BU12" i="10"/>
  <c r="BU12" i="7" s="1"/>
  <c r="BU11" i="10"/>
  <c r="BU11" i="7" s="1"/>
  <c r="BU7" i="10"/>
  <c r="BU7" i="7" s="1"/>
  <c r="BU10" i="10"/>
  <c r="BU10" i="7" s="1"/>
  <c r="BU6" i="10"/>
  <c r="BU6" i="7" s="1"/>
  <c r="BU9" i="10"/>
  <c r="BU9" i="7" s="1"/>
  <c r="BU5" i="10"/>
  <c r="BU5" i="7" s="1"/>
  <c r="BU8" i="10"/>
  <c r="BU8" i="7" s="1"/>
  <c r="BU4" i="10"/>
  <c r="BU4" i="7" s="1"/>
  <c r="CG49" i="10"/>
  <c r="CG49" i="7" s="1"/>
  <c r="CG45" i="10"/>
  <c r="CG45" i="7" s="1"/>
  <c r="CG48" i="10"/>
  <c r="CG48" i="7" s="1"/>
  <c r="CG44" i="10"/>
  <c r="CG44" i="7" s="1"/>
  <c r="CG51" i="10"/>
  <c r="CG51" i="7" s="1"/>
  <c r="CG47" i="10"/>
  <c r="CG47" i="7" s="1"/>
  <c r="CG43" i="10"/>
  <c r="CG43" i="7" s="1"/>
  <c r="CG50" i="10"/>
  <c r="CG50" i="7" s="1"/>
  <c r="CG46" i="10"/>
  <c r="CG46" i="7" s="1"/>
  <c r="CG40" i="10"/>
  <c r="CG40" i="7" s="1"/>
  <c r="CG36" i="10"/>
  <c r="CG36" i="7" s="1"/>
  <c r="CG39" i="10"/>
  <c r="CG39" i="7" s="1"/>
  <c r="CG42" i="10"/>
  <c r="CG42" i="7" s="1"/>
  <c r="CG38" i="10"/>
  <c r="CG38" i="7" s="1"/>
  <c r="CG41" i="10"/>
  <c r="CG41" i="7" s="1"/>
  <c r="CG37" i="10"/>
  <c r="CG37" i="7" s="1"/>
  <c r="CG35" i="10"/>
  <c r="CG35" i="7" s="1"/>
  <c r="CG32" i="10"/>
  <c r="CG32" i="7" s="1"/>
  <c r="CG28" i="10"/>
  <c r="CG28" i="7" s="1"/>
  <c r="CG31" i="10"/>
  <c r="CG31" i="7" s="1"/>
  <c r="CG34" i="10"/>
  <c r="CG34" i="7" s="1"/>
  <c r="CG30" i="10"/>
  <c r="CG30" i="7" s="1"/>
  <c r="CG33" i="10"/>
  <c r="CG33" i="7" s="1"/>
  <c r="CG29" i="10"/>
  <c r="CG29" i="7" s="1"/>
  <c r="CG24" i="10"/>
  <c r="CG24" i="7" s="1"/>
  <c r="CG20" i="10"/>
  <c r="CG20" i="7" s="1"/>
  <c r="CG27" i="10"/>
  <c r="CG27" i="7" s="1"/>
  <c r="CG23" i="10"/>
  <c r="CG23" i="7" s="1"/>
  <c r="CG26" i="10"/>
  <c r="CG26" i="7" s="1"/>
  <c r="CG22" i="10"/>
  <c r="CG22" i="7" s="1"/>
  <c r="CG25" i="10"/>
  <c r="CG25" i="7" s="1"/>
  <c r="CG21" i="10"/>
  <c r="CG21" i="7" s="1"/>
  <c r="CG17" i="10"/>
  <c r="CG17" i="7" s="1"/>
  <c r="CG13" i="10"/>
  <c r="CG13" i="7" s="1"/>
  <c r="CG16" i="10"/>
  <c r="CG16" i="7" s="1"/>
  <c r="CG12" i="10"/>
  <c r="CG12" i="7" s="1"/>
  <c r="CG19" i="10"/>
  <c r="CG19" i="7" s="1"/>
  <c r="CG15" i="10"/>
  <c r="CG15" i="7" s="1"/>
  <c r="CG18" i="10"/>
  <c r="CG18" i="7" s="1"/>
  <c r="CG14" i="10"/>
  <c r="CG14" i="7" s="1"/>
  <c r="CG9" i="10"/>
  <c r="CG9" i="7" s="1"/>
  <c r="CG5" i="10"/>
  <c r="CG5" i="7" s="1"/>
  <c r="CG8" i="10"/>
  <c r="CG8" i="7" s="1"/>
  <c r="CG4" i="10"/>
  <c r="CG4" i="7" s="1"/>
  <c r="CG11" i="10"/>
  <c r="CG11" i="7" s="1"/>
  <c r="CG7" i="10"/>
  <c r="CG7" i="7" s="1"/>
  <c r="CG10" i="10"/>
  <c r="CG10" i="7" s="1"/>
  <c r="CG6" i="10"/>
  <c r="CG6" i="7" s="1"/>
  <c r="CS51" i="10"/>
  <c r="CS51" i="7" s="1"/>
  <c r="CS47" i="10"/>
  <c r="CS47" i="7" s="1"/>
  <c r="CS50" i="10"/>
  <c r="CS50" i="7" s="1"/>
  <c r="CS46" i="10"/>
  <c r="CS46" i="7" s="1"/>
  <c r="CS49" i="10"/>
  <c r="CS49" i="7" s="1"/>
  <c r="CS45" i="10"/>
  <c r="CS45" i="7" s="1"/>
  <c r="CS48" i="10"/>
  <c r="CS48" i="7" s="1"/>
  <c r="CS44" i="10"/>
  <c r="CS44" i="7" s="1"/>
  <c r="CS42" i="10"/>
  <c r="CS42" i="7" s="1"/>
  <c r="CS38" i="10"/>
  <c r="CS38" i="7" s="1"/>
  <c r="CS41" i="10"/>
  <c r="CS41" i="7" s="1"/>
  <c r="CS37" i="10"/>
  <c r="CS37" i="7" s="1"/>
  <c r="CS43" i="10"/>
  <c r="CS43" i="7" s="1"/>
  <c r="CS40" i="10"/>
  <c r="CS40" i="7" s="1"/>
  <c r="CS36" i="10"/>
  <c r="CS36" i="7" s="1"/>
  <c r="CS39" i="10"/>
  <c r="CS39" i="7" s="1"/>
  <c r="CS35" i="10"/>
  <c r="CS35" i="7" s="1"/>
  <c r="CS34" i="10"/>
  <c r="CS34" i="7" s="1"/>
  <c r="CS30" i="10"/>
  <c r="CS30" i="7" s="1"/>
  <c r="CS33" i="10"/>
  <c r="CS33" i="7" s="1"/>
  <c r="CS29" i="10"/>
  <c r="CS29" i="7" s="1"/>
  <c r="CS32" i="10"/>
  <c r="CS32" i="7" s="1"/>
  <c r="CS28" i="10"/>
  <c r="CS28" i="7" s="1"/>
  <c r="CS26" i="10"/>
  <c r="CS26" i="7" s="1"/>
  <c r="CS22" i="10"/>
  <c r="CS22" i="7" s="1"/>
  <c r="CS25" i="10"/>
  <c r="CS25" i="7" s="1"/>
  <c r="CS21" i="10"/>
  <c r="CS21" i="7" s="1"/>
  <c r="CS31" i="10"/>
  <c r="CS31" i="7" s="1"/>
  <c r="CS24" i="10"/>
  <c r="CS24" i="7" s="1"/>
  <c r="CS20" i="10"/>
  <c r="CS20" i="7" s="1"/>
  <c r="CS27" i="10"/>
  <c r="CS27" i="7" s="1"/>
  <c r="CS23" i="10"/>
  <c r="CS23" i="7" s="1"/>
  <c r="CS19" i="10"/>
  <c r="CS19" i="7" s="1"/>
  <c r="CS15" i="10"/>
  <c r="CS15" i="7" s="1"/>
  <c r="CS18" i="10"/>
  <c r="CS18" i="7" s="1"/>
  <c r="CS14" i="10"/>
  <c r="CS14" i="7" s="1"/>
  <c r="CS17" i="10"/>
  <c r="CS17" i="7" s="1"/>
  <c r="CS13" i="10"/>
  <c r="CS13" i="7" s="1"/>
  <c r="CS16" i="10"/>
  <c r="CS16" i="7" s="1"/>
  <c r="CS12" i="10"/>
  <c r="CS12" i="7" s="1"/>
  <c r="CS11" i="10"/>
  <c r="CS11" i="7" s="1"/>
  <c r="CS7" i="10"/>
  <c r="CS7" i="7" s="1"/>
  <c r="CS10" i="10"/>
  <c r="CS10" i="7" s="1"/>
  <c r="CS6" i="10"/>
  <c r="CS6" i="7" s="1"/>
  <c r="CS9" i="10"/>
  <c r="CS9" i="7" s="1"/>
  <c r="CS5" i="10"/>
  <c r="CS5" i="7" s="1"/>
  <c r="CS8" i="10"/>
  <c r="CS8" i="7" s="1"/>
  <c r="CS4" i="10"/>
  <c r="CS4" i="7" s="1"/>
  <c r="DE49" i="10"/>
  <c r="DE49" i="7" s="1"/>
  <c r="DE45" i="10"/>
  <c r="DE45" i="7" s="1"/>
  <c r="DE48" i="10"/>
  <c r="DE48" i="7" s="1"/>
  <c r="DE44" i="10"/>
  <c r="DE44" i="7" s="1"/>
  <c r="DE51" i="10"/>
  <c r="DE51" i="7" s="1"/>
  <c r="DE47" i="10"/>
  <c r="DE47" i="7" s="1"/>
  <c r="DE43" i="10"/>
  <c r="DE43" i="7" s="1"/>
  <c r="DE50" i="10"/>
  <c r="DE50" i="7" s="1"/>
  <c r="DE46" i="10"/>
  <c r="DE46" i="7" s="1"/>
  <c r="DE40" i="10"/>
  <c r="DE40" i="7" s="1"/>
  <c r="DE36" i="10"/>
  <c r="DE36" i="7" s="1"/>
  <c r="DE39" i="10"/>
  <c r="DE39" i="7" s="1"/>
  <c r="DE35" i="10"/>
  <c r="DE35" i="7" s="1"/>
  <c r="DE42" i="10"/>
  <c r="DE42" i="7" s="1"/>
  <c r="DE38" i="10"/>
  <c r="DE38" i="7" s="1"/>
  <c r="DE41" i="10"/>
  <c r="DE41" i="7" s="1"/>
  <c r="DE37" i="10"/>
  <c r="DE37" i="7" s="1"/>
  <c r="DE32" i="10"/>
  <c r="DE32" i="7" s="1"/>
  <c r="DE28" i="10"/>
  <c r="DE28" i="7" s="1"/>
  <c r="DE31" i="10"/>
  <c r="DE31" i="7" s="1"/>
  <c r="DE34" i="10"/>
  <c r="DE34" i="7" s="1"/>
  <c r="DE30" i="10"/>
  <c r="DE30" i="7" s="1"/>
  <c r="DE24" i="10"/>
  <c r="DE24" i="7" s="1"/>
  <c r="DE20" i="10"/>
  <c r="DE20" i="7" s="1"/>
  <c r="DE27" i="10"/>
  <c r="DE27" i="7" s="1"/>
  <c r="DE23" i="10"/>
  <c r="DE23" i="7" s="1"/>
  <c r="DE26" i="10"/>
  <c r="DE26" i="7" s="1"/>
  <c r="DE22" i="10"/>
  <c r="DE22" i="7" s="1"/>
  <c r="DE25" i="10"/>
  <c r="DE25" i="7" s="1"/>
  <c r="DE21" i="10"/>
  <c r="DE21" i="7" s="1"/>
  <c r="DE17" i="10"/>
  <c r="DE17" i="7" s="1"/>
  <c r="DE13" i="10"/>
  <c r="DE13" i="7" s="1"/>
  <c r="DE16" i="10"/>
  <c r="DE16" i="7" s="1"/>
  <c r="DE12" i="10"/>
  <c r="DE12" i="7" s="1"/>
  <c r="DE33" i="10"/>
  <c r="DE33" i="7" s="1"/>
  <c r="DE19" i="10"/>
  <c r="DE19" i="7" s="1"/>
  <c r="DE15" i="10"/>
  <c r="DE15" i="7" s="1"/>
  <c r="DE29" i="10"/>
  <c r="DE29" i="7" s="1"/>
  <c r="DE18" i="10"/>
  <c r="DE18" i="7" s="1"/>
  <c r="DE14" i="10"/>
  <c r="DE14" i="7" s="1"/>
  <c r="DE9" i="10"/>
  <c r="DE9" i="7" s="1"/>
  <c r="DE5" i="10"/>
  <c r="DE5" i="7" s="1"/>
  <c r="DE8" i="10"/>
  <c r="DE8" i="7" s="1"/>
  <c r="DE4" i="10"/>
  <c r="DE4" i="7" s="1"/>
  <c r="DE11" i="10"/>
  <c r="DE11" i="7" s="1"/>
  <c r="DE7" i="10"/>
  <c r="DE7" i="7" s="1"/>
  <c r="DE10" i="10"/>
  <c r="DE10" i="7" s="1"/>
  <c r="DE6" i="10"/>
  <c r="DE6" i="7" s="1"/>
  <c r="DQ51" i="10"/>
  <c r="DQ51" i="7" s="1"/>
  <c r="DQ47" i="10"/>
  <c r="DQ47" i="7" s="1"/>
  <c r="DQ50" i="10"/>
  <c r="DQ50" i="7" s="1"/>
  <c r="DQ46" i="10"/>
  <c r="DQ46" i="7" s="1"/>
  <c r="DQ49" i="10"/>
  <c r="DQ49" i="7" s="1"/>
  <c r="DQ45" i="10"/>
  <c r="DQ45" i="7" s="1"/>
  <c r="DQ48" i="10"/>
  <c r="DQ48" i="7" s="1"/>
  <c r="DQ44" i="10"/>
  <c r="DQ44" i="7" s="1"/>
  <c r="DQ43" i="10"/>
  <c r="DQ43" i="7" s="1"/>
  <c r="DQ42" i="10"/>
  <c r="DQ42" i="7" s="1"/>
  <c r="DQ38" i="10"/>
  <c r="DQ38" i="7" s="1"/>
  <c r="DQ41" i="10"/>
  <c r="DQ41" i="7" s="1"/>
  <c r="DQ37" i="10"/>
  <c r="DQ37" i="7" s="1"/>
  <c r="DQ40" i="10"/>
  <c r="DQ40" i="7" s="1"/>
  <c r="DQ36" i="10"/>
  <c r="DQ36" i="7" s="1"/>
  <c r="DQ39" i="10"/>
  <c r="DQ39" i="7" s="1"/>
  <c r="DQ35" i="10"/>
  <c r="DQ35" i="7" s="1"/>
  <c r="DQ34" i="10"/>
  <c r="DQ34" i="7" s="1"/>
  <c r="DQ30" i="10"/>
  <c r="DQ30" i="7" s="1"/>
  <c r="DQ33" i="10"/>
  <c r="DQ33" i="7" s="1"/>
  <c r="DQ29" i="10"/>
  <c r="DQ29" i="7" s="1"/>
  <c r="DQ32" i="10"/>
  <c r="DQ32" i="7" s="1"/>
  <c r="DQ28" i="10"/>
  <c r="DQ28" i="7" s="1"/>
  <c r="DQ26" i="10"/>
  <c r="DQ26" i="7" s="1"/>
  <c r="DQ22" i="10"/>
  <c r="DQ22" i="7" s="1"/>
  <c r="DQ25" i="10"/>
  <c r="DQ25" i="7" s="1"/>
  <c r="DQ21" i="10"/>
  <c r="DQ21" i="7" s="1"/>
  <c r="DQ31" i="10"/>
  <c r="DQ31" i="7" s="1"/>
  <c r="DQ24" i="10"/>
  <c r="DQ24" i="7" s="1"/>
  <c r="DQ20" i="10"/>
  <c r="DQ20" i="7" s="1"/>
  <c r="DQ27" i="10"/>
  <c r="DQ27" i="7" s="1"/>
  <c r="DQ23" i="10"/>
  <c r="DQ23" i="7" s="1"/>
  <c r="DQ19" i="10"/>
  <c r="DQ19" i="7" s="1"/>
  <c r="DQ15" i="10"/>
  <c r="DQ15" i="7" s="1"/>
  <c r="DQ11" i="10"/>
  <c r="DQ11" i="7" s="1"/>
  <c r="DQ18" i="10"/>
  <c r="DQ18" i="7" s="1"/>
  <c r="DQ14" i="10"/>
  <c r="DQ14" i="7" s="1"/>
  <c r="DQ17" i="10"/>
  <c r="DQ17" i="7" s="1"/>
  <c r="DQ13" i="10"/>
  <c r="DQ13" i="7" s="1"/>
  <c r="DQ16" i="10"/>
  <c r="DQ16" i="7" s="1"/>
  <c r="DQ12" i="10"/>
  <c r="DQ12" i="7" s="1"/>
  <c r="DQ7" i="10"/>
  <c r="DQ7" i="7" s="1"/>
  <c r="DQ10" i="10"/>
  <c r="DQ10" i="7" s="1"/>
  <c r="DQ6" i="10"/>
  <c r="DQ6" i="7" s="1"/>
  <c r="DQ9" i="10"/>
  <c r="DQ9" i="7" s="1"/>
  <c r="DQ5" i="10"/>
  <c r="DQ5" i="7" s="1"/>
  <c r="DQ8" i="10"/>
  <c r="DQ8" i="7" s="1"/>
  <c r="DQ4" i="10"/>
  <c r="DQ4" i="7" s="1"/>
  <c r="EC49" i="10"/>
  <c r="EC49" i="7" s="1"/>
  <c r="EC45" i="10"/>
  <c r="EC45" i="7" s="1"/>
  <c r="EC48" i="10"/>
  <c r="EC48" i="7" s="1"/>
  <c r="EC44" i="10"/>
  <c r="EC44" i="7" s="1"/>
  <c r="EC51" i="10"/>
  <c r="EC51" i="7" s="1"/>
  <c r="EC47" i="10"/>
  <c r="EC47" i="7" s="1"/>
  <c r="EC43" i="10"/>
  <c r="EC43" i="7" s="1"/>
  <c r="EC50" i="10"/>
  <c r="EC50" i="7" s="1"/>
  <c r="EC46" i="10"/>
  <c r="EC46" i="7" s="1"/>
  <c r="EC40" i="10"/>
  <c r="EC40" i="7" s="1"/>
  <c r="EC36" i="10"/>
  <c r="EC36" i="7" s="1"/>
  <c r="EC39" i="10"/>
  <c r="EC39" i="7" s="1"/>
  <c r="EC35" i="10"/>
  <c r="EC35" i="7" s="1"/>
  <c r="EC42" i="10"/>
  <c r="EC42" i="7" s="1"/>
  <c r="EC38" i="10"/>
  <c r="EC38" i="7" s="1"/>
  <c r="EC41" i="10"/>
  <c r="EC41" i="7" s="1"/>
  <c r="EC37" i="10"/>
  <c r="EC37" i="7" s="1"/>
  <c r="EC32" i="10"/>
  <c r="EC32" i="7" s="1"/>
  <c r="EC28" i="10"/>
  <c r="EC28" i="7" s="1"/>
  <c r="EC31" i="10"/>
  <c r="EC31" i="7" s="1"/>
  <c r="EC34" i="10"/>
  <c r="EC34" i="7" s="1"/>
  <c r="EC30" i="10"/>
  <c r="EC30" i="7" s="1"/>
  <c r="EC24" i="10"/>
  <c r="EC24" i="7" s="1"/>
  <c r="EC20" i="10"/>
  <c r="EC20" i="7" s="1"/>
  <c r="EC27" i="10"/>
  <c r="EC27" i="7" s="1"/>
  <c r="EC23" i="10"/>
  <c r="EC23" i="7" s="1"/>
  <c r="EC26" i="10"/>
  <c r="EC26" i="7" s="1"/>
  <c r="EC22" i="10"/>
  <c r="EC22" i="7" s="1"/>
  <c r="EC33" i="10"/>
  <c r="EC33" i="7" s="1"/>
  <c r="EC29" i="10"/>
  <c r="EC29" i="7" s="1"/>
  <c r="EC25" i="10"/>
  <c r="EC25" i="7" s="1"/>
  <c r="EC21" i="10"/>
  <c r="EC21" i="7" s="1"/>
  <c r="EC17" i="10"/>
  <c r="EC17" i="7" s="1"/>
  <c r="EC13" i="10"/>
  <c r="EC13" i="7" s="1"/>
  <c r="EC16" i="10"/>
  <c r="EC16" i="7" s="1"/>
  <c r="EC12" i="10"/>
  <c r="EC12" i="7" s="1"/>
  <c r="EC19" i="10"/>
  <c r="EC19" i="7" s="1"/>
  <c r="EC15" i="10"/>
  <c r="EC15" i="7" s="1"/>
  <c r="EC11" i="10"/>
  <c r="EC11" i="7" s="1"/>
  <c r="EC18" i="10"/>
  <c r="EC18" i="7" s="1"/>
  <c r="EC14" i="10"/>
  <c r="EC14" i="7" s="1"/>
  <c r="EC9" i="10"/>
  <c r="EC9" i="7" s="1"/>
  <c r="EC5" i="10"/>
  <c r="EC5" i="7" s="1"/>
  <c r="EC8" i="10"/>
  <c r="EC8" i="7" s="1"/>
  <c r="EC4" i="10"/>
  <c r="EC4" i="7" s="1"/>
  <c r="EC7" i="10"/>
  <c r="EC7" i="7" s="1"/>
  <c r="EC10" i="10"/>
  <c r="EC10" i="7" s="1"/>
  <c r="EC6" i="10"/>
  <c r="EC6" i="7" s="1"/>
  <c r="EO51" i="10"/>
  <c r="EO51" i="7" s="1"/>
  <c r="EO47" i="10"/>
  <c r="EO47" i="7" s="1"/>
  <c r="EO50" i="10"/>
  <c r="EO50" i="7" s="1"/>
  <c r="EO46" i="10"/>
  <c r="EO46" i="7" s="1"/>
  <c r="EO42" i="10"/>
  <c r="EO42" i="7" s="1"/>
  <c r="EO49" i="10"/>
  <c r="EO49" i="7" s="1"/>
  <c r="EO45" i="10"/>
  <c r="EO45" i="7" s="1"/>
  <c r="EO48" i="10"/>
  <c r="EO48" i="7" s="1"/>
  <c r="EO44" i="10"/>
  <c r="EO44" i="7" s="1"/>
  <c r="EO38" i="10"/>
  <c r="EO38" i="7" s="1"/>
  <c r="EO41" i="10"/>
  <c r="EO41" i="7" s="1"/>
  <c r="EO37" i="10"/>
  <c r="EO37" i="7" s="1"/>
  <c r="EO40" i="10"/>
  <c r="EO40" i="7" s="1"/>
  <c r="EO36" i="10"/>
  <c r="EO36" i="7" s="1"/>
  <c r="EO43" i="10"/>
  <c r="EO43" i="7" s="1"/>
  <c r="EO39" i="10"/>
  <c r="EO39" i="7" s="1"/>
  <c r="EO35" i="10"/>
  <c r="EO35" i="7" s="1"/>
  <c r="EO34" i="10"/>
  <c r="EO34" i="7" s="1"/>
  <c r="EO30" i="10"/>
  <c r="EO30" i="7" s="1"/>
  <c r="EO33" i="10"/>
  <c r="EO33" i="7" s="1"/>
  <c r="EO29" i="10"/>
  <c r="EO29" i="7" s="1"/>
  <c r="EO32" i="10"/>
  <c r="EO32" i="7" s="1"/>
  <c r="EO28" i="10"/>
  <c r="EO28" i="7" s="1"/>
  <c r="EO26" i="10"/>
  <c r="EO26" i="7" s="1"/>
  <c r="EO22" i="10"/>
  <c r="EO22" i="7" s="1"/>
  <c r="EO31" i="10"/>
  <c r="EO31" i="7" s="1"/>
  <c r="EO25" i="10"/>
  <c r="EO25" i="7" s="1"/>
  <c r="EO21" i="10"/>
  <c r="EO21" i="7" s="1"/>
  <c r="EO24" i="10"/>
  <c r="EO24" i="7" s="1"/>
  <c r="EO20" i="10"/>
  <c r="EO20" i="7" s="1"/>
  <c r="EO27" i="10"/>
  <c r="EO27" i="7" s="1"/>
  <c r="EO23" i="10"/>
  <c r="EO23" i="7" s="1"/>
  <c r="EO19" i="10"/>
  <c r="EO19" i="7" s="1"/>
  <c r="EO15" i="10"/>
  <c r="EO15" i="7" s="1"/>
  <c r="EO11" i="10"/>
  <c r="EO11" i="7" s="1"/>
  <c r="EO18" i="10"/>
  <c r="EO18" i="7" s="1"/>
  <c r="EO14" i="10"/>
  <c r="EO14" i="7" s="1"/>
  <c r="EO17" i="10"/>
  <c r="EO17" i="7" s="1"/>
  <c r="EO13" i="10"/>
  <c r="EO13" i="7" s="1"/>
  <c r="EO16" i="10"/>
  <c r="EO16" i="7" s="1"/>
  <c r="EO12" i="10"/>
  <c r="EO12" i="7" s="1"/>
  <c r="EO7" i="10"/>
  <c r="EO7" i="7" s="1"/>
  <c r="EO3" i="10"/>
  <c r="EO3" i="7" s="1"/>
  <c r="EO10" i="10"/>
  <c r="EO10" i="7" s="1"/>
  <c r="EO6" i="10"/>
  <c r="EO6" i="7" s="1"/>
  <c r="EO9" i="10"/>
  <c r="EO9" i="7" s="1"/>
  <c r="EO5" i="10"/>
  <c r="EO5" i="7" s="1"/>
  <c r="EO8" i="10"/>
  <c r="EO8" i="7" s="1"/>
  <c r="EO4" i="10"/>
  <c r="EO4" i="7" s="1"/>
  <c r="FA49" i="10"/>
  <c r="FA49" i="7" s="1"/>
  <c r="FA45" i="10"/>
  <c r="FA45" i="7" s="1"/>
  <c r="FA48" i="10"/>
  <c r="FA48" i="7" s="1"/>
  <c r="FA44" i="10"/>
  <c r="FA44" i="7" s="1"/>
  <c r="FA51" i="10"/>
  <c r="FA51" i="7" s="1"/>
  <c r="FA47" i="10"/>
  <c r="FA47" i="7" s="1"/>
  <c r="FA43" i="10"/>
  <c r="FA43" i="7" s="1"/>
  <c r="FA50" i="10"/>
  <c r="FA50" i="7" s="1"/>
  <c r="FA46" i="10"/>
  <c r="FA46" i="7" s="1"/>
  <c r="FA42" i="10"/>
  <c r="FA42" i="7" s="1"/>
  <c r="FA40" i="10"/>
  <c r="FA40" i="7" s="1"/>
  <c r="FA36" i="10"/>
  <c r="FA36" i="7" s="1"/>
  <c r="FA39" i="10"/>
  <c r="FA39" i="7" s="1"/>
  <c r="FA35" i="10"/>
  <c r="FA35" i="7" s="1"/>
  <c r="FA38" i="10"/>
  <c r="FA38" i="7" s="1"/>
  <c r="FA41" i="10"/>
  <c r="FA41" i="7" s="1"/>
  <c r="FA37" i="10"/>
  <c r="FA37" i="7" s="1"/>
  <c r="FA32" i="10"/>
  <c r="FA32" i="7" s="1"/>
  <c r="FA28" i="10"/>
  <c r="FA28" i="7" s="1"/>
  <c r="FA31" i="10"/>
  <c r="FA31" i="7" s="1"/>
  <c r="FA27" i="10"/>
  <c r="FA27" i="7" s="1"/>
  <c r="FA34" i="10"/>
  <c r="FA34" i="7" s="1"/>
  <c r="FA30" i="10"/>
  <c r="FA30" i="7" s="1"/>
  <c r="FA24" i="10"/>
  <c r="FA24" i="7" s="1"/>
  <c r="FA20" i="10"/>
  <c r="FA20" i="7" s="1"/>
  <c r="FA23" i="10"/>
  <c r="FA23" i="7" s="1"/>
  <c r="FA19" i="10"/>
  <c r="FA19" i="7" s="1"/>
  <c r="FA26" i="10"/>
  <c r="FA26" i="7" s="1"/>
  <c r="FA22" i="10"/>
  <c r="FA22" i="7" s="1"/>
  <c r="FA33" i="10"/>
  <c r="FA33" i="7" s="1"/>
  <c r="FA29" i="10"/>
  <c r="FA29" i="7" s="1"/>
  <c r="FA25" i="10"/>
  <c r="FA25" i="7" s="1"/>
  <c r="FA21" i="10"/>
  <c r="FA21" i="7" s="1"/>
  <c r="FA17" i="10"/>
  <c r="FA17" i="7" s="1"/>
  <c r="FA13" i="10"/>
  <c r="FA13" i="7" s="1"/>
  <c r="FA16" i="10"/>
  <c r="FA16" i="7" s="1"/>
  <c r="FA12" i="10"/>
  <c r="FA12" i="7" s="1"/>
  <c r="FA15" i="10"/>
  <c r="FA15" i="7" s="1"/>
  <c r="FA11" i="10"/>
  <c r="FA11" i="7" s="1"/>
  <c r="FA18" i="10"/>
  <c r="FA18" i="7" s="1"/>
  <c r="FA14" i="10"/>
  <c r="FA14" i="7" s="1"/>
  <c r="FA9" i="10"/>
  <c r="FA9" i="7" s="1"/>
  <c r="FA5" i="10"/>
  <c r="FA5" i="7" s="1"/>
  <c r="FA8" i="10"/>
  <c r="FA8" i="7" s="1"/>
  <c r="FA4" i="10"/>
  <c r="FA4" i="7" s="1"/>
  <c r="FA7" i="10"/>
  <c r="FA7" i="7" s="1"/>
  <c r="FA3" i="10"/>
  <c r="FA3" i="7" s="1"/>
  <c r="FA10" i="10"/>
  <c r="FA10" i="7" s="1"/>
  <c r="FA6" i="10"/>
  <c r="FA6" i="7" s="1"/>
  <c r="FM51" i="10"/>
  <c r="FM51" i="7" s="1"/>
  <c r="FM47" i="10"/>
  <c r="FM47" i="7" s="1"/>
  <c r="FM50" i="10"/>
  <c r="FM50" i="7" s="1"/>
  <c r="FM46" i="10"/>
  <c r="FM46" i="7" s="1"/>
  <c r="FM42" i="10"/>
  <c r="FM42" i="7" s="1"/>
  <c r="FM49" i="10"/>
  <c r="FM49" i="7" s="1"/>
  <c r="FM45" i="10"/>
  <c r="FM45" i="7" s="1"/>
  <c r="FM48" i="10"/>
  <c r="FM48" i="7" s="1"/>
  <c r="FM44" i="10"/>
  <c r="FM44" i="7" s="1"/>
  <c r="FM38" i="10"/>
  <c r="FM38" i="7" s="1"/>
  <c r="FM43" i="10"/>
  <c r="FM43" i="7" s="1"/>
  <c r="FM41" i="10"/>
  <c r="FM41" i="7" s="1"/>
  <c r="FM37" i="10"/>
  <c r="FM37" i="7" s="1"/>
  <c r="FM40" i="10"/>
  <c r="FM40" i="7" s="1"/>
  <c r="FM36" i="10"/>
  <c r="FM36" i="7" s="1"/>
  <c r="FM39" i="10"/>
  <c r="FM39" i="7" s="1"/>
  <c r="FM35" i="10"/>
  <c r="FM35" i="7" s="1"/>
  <c r="FM34" i="10"/>
  <c r="FM34" i="7" s="1"/>
  <c r="FM30" i="10"/>
  <c r="FM30" i="7" s="1"/>
  <c r="FM33" i="10"/>
  <c r="FM33" i="7" s="1"/>
  <c r="FM29" i="10"/>
  <c r="FM29" i="7" s="1"/>
  <c r="FM32" i="10"/>
  <c r="FM32" i="7" s="1"/>
  <c r="FM28" i="10"/>
  <c r="FM28" i="7" s="1"/>
  <c r="FM26" i="10"/>
  <c r="FM26" i="7" s="1"/>
  <c r="FM22" i="10"/>
  <c r="FM22" i="7" s="1"/>
  <c r="FM31" i="10"/>
  <c r="FM31" i="7" s="1"/>
  <c r="FM25" i="10"/>
  <c r="FM25" i="7" s="1"/>
  <c r="FM21" i="10"/>
  <c r="FM21" i="7" s="1"/>
  <c r="FM27" i="10"/>
  <c r="FM27" i="7" s="1"/>
  <c r="FM24" i="10"/>
  <c r="FM24" i="7" s="1"/>
  <c r="FM20" i="10"/>
  <c r="FM20" i="7" s="1"/>
  <c r="FM23" i="10"/>
  <c r="FM23" i="7" s="1"/>
  <c r="FM19" i="10"/>
  <c r="FM19" i="7" s="1"/>
  <c r="FM15" i="10"/>
  <c r="FM15" i="7" s="1"/>
  <c r="FM11" i="10"/>
  <c r="FM11" i="7" s="1"/>
  <c r="FM18" i="10"/>
  <c r="FM18" i="7" s="1"/>
  <c r="FM14" i="10"/>
  <c r="FM14" i="7" s="1"/>
  <c r="FM17" i="10"/>
  <c r="FM17" i="7" s="1"/>
  <c r="FM13" i="10"/>
  <c r="FM13" i="7" s="1"/>
  <c r="FM16" i="10"/>
  <c r="FM16" i="7" s="1"/>
  <c r="FM12" i="10"/>
  <c r="FM12" i="7" s="1"/>
  <c r="FM7" i="10"/>
  <c r="FM7" i="7" s="1"/>
  <c r="FM3" i="10"/>
  <c r="FM3" i="7" s="1"/>
  <c r="FM10" i="10"/>
  <c r="FM10" i="7" s="1"/>
  <c r="FM6" i="10"/>
  <c r="FM6" i="7" s="1"/>
  <c r="FM9" i="10"/>
  <c r="FM9" i="7" s="1"/>
  <c r="FM5" i="10"/>
  <c r="FM5" i="7" s="1"/>
  <c r="FM8" i="10"/>
  <c r="FM8" i="7" s="1"/>
  <c r="FM4" i="10"/>
  <c r="FM4" i="7" s="1"/>
  <c r="FY49" i="10"/>
  <c r="FY49" i="7" s="1"/>
  <c r="FY45" i="10"/>
  <c r="FY45" i="7" s="1"/>
  <c r="FY48" i="10"/>
  <c r="FY48" i="7" s="1"/>
  <c r="FY44" i="10"/>
  <c r="FY44" i="7" s="1"/>
  <c r="FY51" i="10"/>
  <c r="FY51" i="7" s="1"/>
  <c r="FY47" i="10"/>
  <c r="FY47" i="7" s="1"/>
  <c r="FY43" i="10"/>
  <c r="FY43" i="7" s="1"/>
  <c r="FY50" i="10"/>
  <c r="FY50" i="7" s="1"/>
  <c r="FY46" i="10"/>
  <c r="FY46" i="7" s="1"/>
  <c r="FY42" i="10"/>
  <c r="FY42" i="7" s="1"/>
  <c r="FY40" i="10"/>
  <c r="FY40" i="7" s="1"/>
  <c r="FY36" i="10"/>
  <c r="FY36" i="7" s="1"/>
  <c r="FY39" i="10"/>
  <c r="FY39" i="7" s="1"/>
  <c r="FY35" i="10"/>
  <c r="FY35" i="7" s="1"/>
  <c r="FY38" i="10"/>
  <c r="FY38" i="7" s="1"/>
  <c r="FY41" i="10"/>
  <c r="FY41" i="7" s="1"/>
  <c r="FY37" i="10"/>
  <c r="FY37" i="7" s="1"/>
  <c r="FY32" i="10"/>
  <c r="FY32" i="7" s="1"/>
  <c r="FY28" i="10"/>
  <c r="FY28" i="7" s="1"/>
  <c r="FY31" i="10"/>
  <c r="FY31" i="7" s="1"/>
  <c r="FY27" i="10"/>
  <c r="FY27" i="7" s="1"/>
  <c r="FY34" i="10"/>
  <c r="FY34" i="7" s="1"/>
  <c r="FY30" i="10"/>
  <c r="FY30" i="7" s="1"/>
  <c r="FY24" i="10"/>
  <c r="FY24" i="7" s="1"/>
  <c r="FY20" i="10"/>
  <c r="FY20" i="7" s="1"/>
  <c r="FY23" i="10"/>
  <c r="FY23" i="7" s="1"/>
  <c r="FY19" i="10"/>
  <c r="FY19" i="7" s="1"/>
  <c r="FY33" i="10"/>
  <c r="FY33" i="7" s="1"/>
  <c r="FY29" i="10"/>
  <c r="FY29" i="7" s="1"/>
  <c r="FY26" i="10"/>
  <c r="FY26" i="7" s="1"/>
  <c r="FY22" i="10"/>
  <c r="FY22" i="7" s="1"/>
  <c r="FY25" i="10"/>
  <c r="FY25" i="7" s="1"/>
  <c r="FY21" i="10"/>
  <c r="FY21" i="7" s="1"/>
  <c r="FY17" i="10"/>
  <c r="FY17" i="7" s="1"/>
  <c r="FY13" i="10"/>
  <c r="FY13" i="7" s="1"/>
  <c r="FY16" i="10"/>
  <c r="FY16" i="7" s="1"/>
  <c r="FY12" i="10"/>
  <c r="FY12" i="7" s="1"/>
  <c r="FY15" i="10"/>
  <c r="FY15" i="7" s="1"/>
  <c r="FY11" i="10"/>
  <c r="FY11" i="7" s="1"/>
  <c r="FY18" i="10"/>
  <c r="FY18" i="7" s="1"/>
  <c r="FY14" i="10"/>
  <c r="FY14" i="7" s="1"/>
  <c r="FY9" i="10"/>
  <c r="FY9" i="7" s="1"/>
  <c r="FY5" i="10"/>
  <c r="FY5" i="7" s="1"/>
  <c r="FY8" i="10"/>
  <c r="FY8" i="7" s="1"/>
  <c r="FY4" i="10"/>
  <c r="FY4" i="7" s="1"/>
  <c r="FY7" i="10"/>
  <c r="FY7" i="7" s="1"/>
  <c r="FY3" i="10"/>
  <c r="FY3" i="7" s="1"/>
  <c r="FY10" i="10"/>
  <c r="FY10" i="7" s="1"/>
  <c r="FY6" i="10"/>
  <c r="FY6" i="7" s="1"/>
  <c r="GK51" i="10"/>
  <c r="GK51" i="7" s="1"/>
  <c r="GK47" i="10"/>
  <c r="GK47" i="7" s="1"/>
  <c r="GK50" i="10"/>
  <c r="GK50" i="7" s="1"/>
  <c r="GK46" i="10"/>
  <c r="GK46" i="7" s="1"/>
  <c r="GK42" i="10"/>
  <c r="GK42" i="7" s="1"/>
  <c r="GK49" i="10"/>
  <c r="GK49" i="7" s="1"/>
  <c r="GK45" i="10"/>
  <c r="GK45" i="7" s="1"/>
  <c r="GK48" i="10"/>
  <c r="GK48" i="7" s="1"/>
  <c r="GK44" i="10"/>
  <c r="GK44" i="7" s="1"/>
  <c r="GK38" i="10"/>
  <c r="GK38" i="7" s="1"/>
  <c r="GK41" i="10"/>
  <c r="GK41" i="7" s="1"/>
  <c r="GK37" i="10"/>
  <c r="GK37" i="7" s="1"/>
  <c r="GK40" i="10"/>
  <c r="GK40" i="7" s="1"/>
  <c r="GK36" i="10"/>
  <c r="GK36" i="7" s="1"/>
  <c r="GK39" i="10"/>
  <c r="GK39" i="7" s="1"/>
  <c r="GK35" i="10"/>
  <c r="GK35" i="7" s="1"/>
  <c r="GK43" i="10"/>
  <c r="GK43" i="7" s="1"/>
  <c r="GK34" i="10"/>
  <c r="GK34" i="7" s="1"/>
  <c r="GK30" i="10"/>
  <c r="GK30" i="7" s="1"/>
  <c r="GK33" i="10"/>
  <c r="GK33" i="7" s="1"/>
  <c r="GK29" i="10"/>
  <c r="GK29" i="7" s="1"/>
  <c r="GK32" i="10"/>
  <c r="GK32" i="7" s="1"/>
  <c r="GK28" i="10"/>
  <c r="GK28" i="7" s="1"/>
  <c r="GK31" i="10"/>
  <c r="GK31" i="7" s="1"/>
  <c r="GK26" i="10"/>
  <c r="GK26" i="7" s="1"/>
  <c r="GK22" i="10"/>
  <c r="GK22" i="7" s="1"/>
  <c r="GK27" i="10"/>
  <c r="GK27" i="7" s="1"/>
  <c r="GK25" i="10"/>
  <c r="GK25" i="7" s="1"/>
  <c r="GK21" i="10"/>
  <c r="GK21" i="7" s="1"/>
  <c r="GK24" i="10"/>
  <c r="GK24" i="7" s="1"/>
  <c r="GK20" i="10"/>
  <c r="GK20" i="7" s="1"/>
  <c r="GK23" i="10"/>
  <c r="GK23" i="7" s="1"/>
  <c r="GK19" i="10"/>
  <c r="GK19" i="7" s="1"/>
  <c r="GK15" i="10"/>
  <c r="GK15" i="7" s="1"/>
  <c r="GK11" i="10"/>
  <c r="GK11" i="7" s="1"/>
  <c r="GK18" i="10"/>
  <c r="GK18" i="7" s="1"/>
  <c r="GK14" i="10"/>
  <c r="GK14" i="7" s="1"/>
  <c r="GK17" i="10"/>
  <c r="GK17" i="7" s="1"/>
  <c r="GK13" i="10"/>
  <c r="GK13" i="7" s="1"/>
  <c r="GK16" i="10"/>
  <c r="GK16" i="7" s="1"/>
  <c r="GK12" i="10"/>
  <c r="GK12" i="7" s="1"/>
  <c r="GK7" i="10"/>
  <c r="GK7" i="7" s="1"/>
  <c r="GK3" i="10"/>
  <c r="GK3" i="7" s="1"/>
  <c r="GK10" i="10"/>
  <c r="GK10" i="7" s="1"/>
  <c r="GK6" i="10"/>
  <c r="GK6" i="7" s="1"/>
  <c r="GK9" i="10"/>
  <c r="GK9" i="7" s="1"/>
  <c r="GK5" i="10"/>
  <c r="GK5" i="7" s="1"/>
  <c r="GK8" i="10"/>
  <c r="GK8" i="7" s="1"/>
  <c r="GK4" i="10"/>
  <c r="GK4" i="7" s="1"/>
  <c r="GW49" i="10"/>
  <c r="GW45" i="10"/>
  <c r="GW48" i="10"/>
  <c r="GW44" i="10"/>
  <c r="GW51" i="10"/>
  <c r="GW47" i="10"/>
  <c r="GW43" i="10"/>
  <c r="GW50" i="10"/>
  <c r="GW46" i="10"/>
  <c r="GW42" i="10"/>
  <c r="GW40" i="10"/>
  <c r="GW36" i="10"/>
  <c r="GW39" i="10"/>
  <c r="GW35" i="10"/>
  <c r="GW38" i="10"/>
  <c r="GW41" i="10"/>
  <c r="GW37" i="10"/>
  <c r="GW32" i="10"/>
  <c r="GW28" i="10"/>
  <c r="GW31" i="10"/>
  <c r="GW27" i="10"/>
  <c r="GW34" i="10"/>
  <c r="GW30" i="10"/>
  <c r="GW24" i="10"/>
  <c r="GW20" i="10"/>
  <c r="GW23" i="10"/>
  <c r="GW19" i="10"/>
  <c r="GW33" i="10"/>
  <c r="GW29" i="10"/>
  <c r="GW26" i="10"/>
  <c r="GW22" i="10"/>
  <c r="GW25" i="10"/>
  <c r="GW21" i="10"/>
  <c r="GW17" i="10"/>
  <c r="GW13" i="10"/>
  <c r="GW16" i="10"/>
  <c r="GW12" i="10"/>
  <c r="GW15" i="10"/>
  <c r="GW11" i="10"/>
  <c r="GW18" i="10"/>
  <c r="GW14" i="10"/>
  <c r="GW9" i="10"/>
  <c r="GW5" i="10"/>
  <c r="GW8" i="10"/>
  <c r="GW4" i="10"/>
  <c r="GW7" i="10"/>
  <c r="GW3" i="10"/>
  <c r="GW10" i="10"/>
  <c r="GW6" i="10"/>
  <c r="HI51" i="10"/>
  <c r="HI47" i="10"/>
  <c r="HI43" i="10"/>
  <c r="HI50" i="10"/>
  <c r="HI46" i="10"/>
  <c r="HI42" i="10"/>
  <c r="HI49" i="10"/>
  <c r="HI45" i="10"/>
  <c r="HI48" i="10"/>
  <c r="HI44" i="10"/>
  <c r="HI38" i="10"/>
  <c r="HI41" i="10"/>
  <c r="HI37" i="10"/>
  <c r="HI40" i="10"/>
  <c r="HI36" i="10"/>
  <c r="HI39" i="10"/>
  <c r="HI35" i="10"/>
  <c r="HI34" i="10"/>
  <c r="HI30" i="10"/>
  <c r="HI33" i="10"/>
  <c r="HI29" i="10"/>
  <c r="HI32" i="10"/>
  <c r="HI28" i="10"/>
  <c r="HI26" i="10"/>
  <c r="HI22" i="10"/>
  <c r="HI25" i="10"/>
  <c r="HI21" i="10"/>
  <c r="HI24" i="10"/>
  <c r="HI20" i="10"/>
  <c r="HI23" i="10"/>
  <c r="HI19" i="10"/>
  <c r="HI31" i="10"/>
  <c r="HI15" i="10"/>
  <c r="HI11" i="10"/>
  <c r="HI27" i="10"/>
  <c r="HI18" i="10"/>
  <c r="HI14" i="10"/>
  <c r="HI17" i="10"/>
  <c r="HI13" i="10"/>
  <c r="HI16" i="10"/>
  <c r="HI12" i="10"/>
  <c r="HI7" i="10"/>
  <c r="HI3" i="10"/>
  <c r="HI10" i="10"/>
  <c r="HI6" i="10"/>
  <c r="HI9" i="10"/>
  <c r="HI5" i="10"/>
  <c r="HI8" i="10"/>
  <c r="HI4" i="10"/>
  <c r="G3" i="10"/>
  <c r="G3" i="7" s="1"/>
  <c r="AE3" i="10"/>
  <c r="AE3" i="7" s="1"/>
  <c r="BC3" i="10"/>
  <c r="BC3" i="7" s="1"/>
  <c r="CA3" i="10"/>
  <c r="CA3" i="7" s="1"/>
  <c r="CY3" i="10"/>
  <c r="CY3" i="7" s="1"/>
  <c r="EF3" i="10"/>
  <c r="EF3" i="7" s="1"/>
  <c r="DH4" i="10"/>
  <c r="DH4" i="7" s="1"/>
  <c r="FJ5" i="10"/>
  <c r="FJ5" i="7" s="1"/>
  <c r="D6" i="10"/>
  <c r="D6" i="7" s="1"/>
  <c r="GN6" i="10"/>
  <c r="GN6" i="7" s="1"/>
  <c r="BF7" i="10"/>
  <c r="BF7" i="7" s="1"/>
  <c r="CJ8" i="10"/>
  <c r="CJ8" i="7" s="1"/>
  <c r="EL9" i="10"/>
  <c r="EL9" i="7" s="1"/>
  <c r="FP10" i="10"/>
  <c r="FP10" i="7" s="1"/>
  <c r="AH11" i="10"/>
  <c r="AH11" i="7" s="1"/>
  <c r="DT11" i="10"/>
  <c r="DT11" i="7" s="1"/>
  <c r="GN14" i="10"/>
  <c r="GN14" i="7" s="1"/>
  <c r="FP18" i="10"/>
  <c r="FP18" i="7" s="1"/>
  <c r="HJ6" i="10" l="1"/>
  <c r="HJ10" i="10"/>
  <c r="HJ8" i="10"/>
  <c r="HJ13" i="10"/>
  <c r="HJ30" i="10"/>
  <c r="HJ41" i="10"/>
  <c r="HJ40" i="10"/>
  <c r="HJ14" i="10"/>
  <c r="HJ3" i="10"/>
  <c r="HJ5" i="10"/>
  <c r="HJ17" i="10"/>
  <c r="HJ34" i="10"/>
  <c r="HJ29" i="10"/>
  <c r="HJ50" i="10"/>
  <c r="HJ9" i="10"/>
  <c r="HJ22" i="10"/>
  <c r="HJ36" i="10"/>
  <c r="HJ33" i="10"/>
  <c r="HJ47" i="10"/>
  <c r="HJ18" i="10"/>
  <c r="HJ15" i="10"/>
  <c r="HJ26" i="10"/>
  <c r="HJ31" i="10"/>
  <c r="HJ38" i="10"/>
  <c r="HJ51" i="10"/>
  <c r="HJ7" i="10"/>
  <c r="HJ19" i="10"/>
  <c r="HJ23" i="10"/>
  <c r="HJ35" i="10"/>
  <c r="HJ42" i="10"/>
  <c r="HJ44" i="10"/>
  <c r="HJ11" i="10"/>
  <c r="HJ16" i="10"/>
  <c r="HJ27" i="10"/>
  <c r="HJ28" i="10"/>
  <c r="HJ39" i="10"/>
  <c r="HJ48" i="10"/>
  <c r="HJ12" i="10"/>
  <c r="HJ21" i="10"/>
  <c r="HJ20" i="10"/>
  <c r="HJ32" i="10"/>
  <c r="HJ43" i="10"/>
  <c r="HJ45" i="10"/>
  <c r="HJ4" i="10"/>
  <c r="HJ25" i="10"/>
  <c r="HJ24" i="10"/>
  <c r="HJ37" i="10"/>
  <c r="HJ46" i="10"/>
  <c r="HJ49" i="10"/>
  <c r="P37" i="1" l="1"/>
  <c r="Q37" i="1" s="1"/>
  <c r="HJ38" i="7"/>
  <c r="P20" i="1"/>
  <c r="Q20" i="1" s="1"/>
  <c r="HJ21" i="7"/>
  <c r="P30" i="1"/>
  <c r="Q30" i="1" s="1"/>
  <c r="HJ31" i="7"/>
  <c r="P39" i="1"/>
  <c r="Q39" i="1" s="1"/>
  <c r="HJ40" i="7"/>
  <c r="P23" i="1"/>
  <c r="Q23" i="1" s="1"/>
  <c r="HJ24" i="7"/>
  <c r="P11" i="1"/>
  <c r="Q11" i="1" s="1"/>
  <c r="HJ12" i="7"/>
  <c r="P41" i="1"/>
  <c r="Q41" i="1" s="1"/>
  <c r="HJ42" i="7"/>
  <c r="P25" i="1"/>
  <c r="Q25" i="1" s="1"/>
  <c r="HJ26" i="7"/>
  <c r="P49" i="1"/>
  <c r="Q49" i="1" s="1"/>
  <c r="HJ50" i="7"/>
  <c r="P40" i="1"/>
  <c r="Q40" i="1" s="1"/>
  <c r="HJ41" i="7"/>
  <c r="P10" i="1"/>
  <c r="Q10" i="1" s="1"/>
  <c r="HJ11" i="7"/>
  <c r="P36" i="1"/>
  <c r="Q36" i="1" s="1"/>
  <c r="HJ37" i="7"/>
  <c r="P43" i="1"/>
  <c r="Q43" i="1" s="1"/>
  <c r="HJ44" i="7"/>
  <c r="P8" i="1"/>
  <c r="Q8" i="1" s="1"/>
  <c r="HJ9" i="7"/>
  <c r="P24" i="1"/>
  <c r="Q24" i="1" s="1"/>
  <c r="HJ25" i="7"/>
  <c r="P47" i="1"/>
  <c r="Q47" i="1" s="1"/>
  <c r="HJ48" i="7"/>
  <c r="P34" i="1"/>
  <c r="Q34" i="1" s="1"/>
  <c r="HJ35" i="7"/>
  <c r="P14" i="1"/>
  <c r="Q14" i="1" s="1"/>
  <c r="HJ15" i="7"/>
  <c r="P28" i="1"/>
  <c r="Q28" i="1" s="1"/>
  <c r="HJ29" i="7"/>
  <c r="P29" i="1"/>
  <c r="Q29" i="1" s="1"/>
  <c r="HJ30" i="7"/>
  <c r="P45" i="1"/>
  <c r="Q45" i="1" s="1"/>
  <c r="HJ46" i="7"/>
  <c r="P13" i="1"/>
  <c r="Q13" i="1" s="1"/>
  <c r="HJ14" i="7"/>
  <c r="P38" i="1"/>
  <c r="Q38" i="1" s="1"/>
  <c r="HJ39" i="7"/>
  <c r="P12" i="1"/>
  <c r="Q12" i="1" s="1"/>
  <c r="HJ13" i="7"/>
  <c r="P44" i="1"/>
  <c r="Q44" i="1" s="1"/>
  <c r="HJ45" i="7"/>
  <c r="P27" i="1"/>
  <c r="Q27" i="1" s="1"/>
  <c r="HJ28" i="7"/>
  <c r="P18" i="1"/>
  <c r="Q18" i="1" s="1"/>
  <c r="HJ19" i="7"/>
  <c r="P46" i="1"/>
  <c r="Q46" i="1" s="1"/>
  <c r="HJ47" i="7"/>
  <c r="P16" i="1"/>
  <c r="Q16" i="1" s="1"/>
  <c r="HJ17" i="7"/>
  <c r="P7" i="1"/>
  <c r="Q7" i="1" s="1"/>
  <c r="HJ8" i="7"/>
  <c r="P19" i="1"/>
  <c r="Q19" i="1" s="1"/>
  <c r="HJ20" i="7"/>
  <c r="P33" i="1"/>
  <c r="Q33" i="1" s="1"/>
  <c r="HJ34" i="7"/>
  <c r="P42" i="1"/>
  <c r="Q42" i="1" s="1"/>
  <c r="HJ43" i="7"/>
  <c r="P26" i="1"/>
  <c r="Q26" i="1" s="1"/>
  <c r="HJ27" i="7"/>
  <c r="P6" i="1"/>
  <c r="Q6" i="1" s="1"/>
  <c r="HJ7" i="7"/>
  <c r="P32" i="1"/>
  <c r="Q32" i="1" s="1"/>
  <c r="HJ33" i="7"/>
  <c r="P4" i="1"/>
  <c r="Q4" i="1" s="1"/>
  <c r="HJ5" i="7"/>
  <c r="P9" i="1"/>
  <c r="Q9" i="1" s="1"/>
  <c r="HJ10" i="7"/>
  <c r="P21" i="1"/>
  <c r="Q21" i="1" s="1"/>
  <c r="HJ22" i="7"/>
  <c r="P3" i="1"/>
  <c r="Q3" i="1" s="1"/>
  <c r="HJ4" i="7"/>
  <c r="P22" i="1"/>
  <c r="Q22" i="1" s="1"/>
  <c r="HJ23" i="7"/>
  <c r="P17" i="1"/>
  <c r="Q17" i="1" s="1"/>
  <c r="HJ18" i="7"/>
  <c r="P48" i="1"/>
  <c r="Q48" i="1" s="1"/>
  <c r="HJ49" i="7"/>
  <c r="P31" i="1"/>
  <c r="Q31" i="1" s="1"/>
  <c r="HJ32" i="7"/>
  <c r="P15" i="1"/>
  <c r="Q15" i="1" s="1"/>
  <c r="HJ16" i="7"/>
  <c r="P50" i="1"/>
  <c r="Q50" i="1" s="1"/>
  <c r="HJ51" i="7"/>
  <c r="P35" i="1"/>
  <c r="Q35" i="1" s="1"/>
  <c r="HJ36" i="7"/>
  <c r="P2" i="1"/>
  <c r="Q2" i="1" s="1"/>
  <c r="HJ3" i="7"/>
  <c r="P5" i="1"/>
  <c r="Q5" i="1" s="1"/>
  <c r="HJ6" i="7"/>
  <c r="R35" i="1" l="1"/>
  <c r="R22" i="1"/>
  <c r="R19" i="1"/>
  <c r="R48" i="1"/>
  <c r="R32" i="1"/>
  <c r="R50" i="1"/>
  <c r="R26" i="1"/>
  <c r="R6" i="1"/>
  <c r="R14" i="1"/>
  <c r="R37" i="1"/>
  <c r="R33" i="1"/>
  <c r="R20" i="1"/>
  <c r="R21" i="1"/>
  <c r="R8" i="1"/>
  <c r="R18" i="1"/>
  <c r="R38" i="1"/>
  <c r="R28" i="1"/>
  <c r="R24" i="1"/>
  <c r="R10" i="1"/>
  <c r="R5" i="1"/>
  <c r="R44" i="1"/>
  <c r="R45" i="1"/>
  <c r="R47" i="1"/>
  <c r="R41" i="1"/>
  <c r="R42" i="1"/>
  <c r="R7" i="1"/>
  <c r="R4" i="1"/>
  <c r="R39" i="1"/>
  <c r="R2" i="1"/>
  <c r="R15" i="1"/>
  <c r="R23" i="1"/>
  <c r="R30" i="1"/>
  <c r="R17" i="1"/>
  <c r="R25" i="1"/>
  <c r="R46" i="1"/>
  <c r="R31" i="1"/>
  <c r="R27" i="1"/>
  <c r="R40" i="1"/>
  <c r="R29" i="1"/>
  <c r="R12" i="1"/>
  <c r="R3" i="1"/>
  <c r="R13" i="1"/>
  <c r="R9" i="1"/>
  <c r="R11" i="1"/>
  <c r="R43" i="1"/>
  <c r="R34" i="1"/>
  <c r="R16" i="1"/>
  <c r="R36" i="1"/>
  <c r="R49" i="1"/>
  <c r="AV3" i="3" l="1"/>
  <c r="BC3" i="3"/>
  <c r="T3" i="3"/>
  <c r="BX3" i="3"/>
  <c r="AO3" i="3" l="1"/>
  <c r="F3" i="3"/>
  <c r="AH3" i="3"/>
  <c r="BQ3" i="3"/>
  <c r="M3" i="3"/>
  <c r="BJ3" i="3"/>
  <c r="CE3" i="3"/>
  <c r="AR3" i="3"/>
  <c r="AA3" i="3"/>
  <c r="AF3" i="3"/>
  <c r="B9" i="3"/>
  <c r="AY6" i="3"/>
  <c r="AF8" i="3"/>
  <c r="BX4" i="3"/>
  <c r="BF6" i="3"/>
  <c r="AM8" i="3"/>
  <c r="AT4" i="3"/>
  <c r="BA7" i="3"/>
  <c r="R9" i="3"/>
  <c r="BQ6" i="3"/>
  <c r="AY8" i="3"/>
  <c r="K5" i="3"/>
  <c r="BX6" i="3"/>
  <c r="BF8" i="3"/>
  <c r="BM4" i="3"/>
  <c r="AT6" i="3"/>
  <c r="AA8" i="3"/>
  <c r="F5" i="3"/>
  <c r="BT6" i="3"/>
  <c r="BA8" i="3"/>
  <c r="AF5" i="3"/>
  <c r="M7" i="3"/>
  <c r="BV8" i="3"/>
  <c r="T5" i="3"/>
  <c r="B7" i="3"/>
  <c r="BO8" i="3"/>
  <c r="R6" i="3"/>
  <c r="CE7" i="3"/>
  <c r="CE9" i="3"/>
  <c r="CA10" i="3"/>
  <c r="BH12" i="3"/>
  <c r="AO14" i="3"/>
  <c r="K10" i="3"/>
  <c r="BX11" i="3"/>
  <c r="BF13" i="3"/>
  <c r="W15" i="3"/>
  <c r="AT11" i="3"/>
  <c r="AA13" i="3"/>
  <c r="I15" i="3"/>
  <c r="F10" i="3"/>
  <c r="BT11" i="3"/>
  <c r="BA13" i="3"/>
  <c r="M10" i="3"/>
  <c r="CA11" i="3"/>
  <c r="BH13" i="3"/>
  <c r="Y15" i="3"/>
  <c r="BX10" i="3"/>
  <c r="BF12" i="3"/>
  <c r="AM14" i="3"/>
  <c r="I10" i="3"/>
  <c r="BV11" i="3"/>
  <c r="BC13" i="3"/>
  <c r="AR15" i="3"/>
  <c r="BA10" i="3"/>
  <c r="AH12" i="3"/>
  <c r="P14" i="3"/>
  <c r="D16" i="3"/>
  <c r="BQ17" i="3"/>
  <c r="AY19" i="3"/>
  <c r="AF21" i="3"/>
  <c r="BO16" i="3"/>
  <c r="AV18" i="3"/>
  <c r="AD20" i="3"/>
  <c r="T22" i="3"/>
  <c r="BV16" i="3"/>
  <c r="BC18" i="3"/>
  <c r="AK20" i="3"/>
  <c r="BT15" i="3"/>
  <c r="BA17" i="3"/>
  <c r="AH19" i="3"/>
  <c r="P21" i="3"/>
  <c r="W17" i="3"/>
  <c r="D19" i="3"/>
  <c r="BQ20" i="3"/>
  <c r="AV15" i="3"/>
  <c r="AD17" i="3"/>
  <c r="K19" i="3"/>
  <c r="BX20" i="3"/>
  <c r="R17" i="3"/>
  <c r="CE18" i="3"/>
  <c r="BM20" i="3"/>
  <c r="P16" i="3"/>
  <c r="CC17" i="3"/>
  <c r="BJ19" i="3"/>
  <c r="AR21" i="3"/>
  <c r="AH23" i="3"/>
  <c r="P25" i="3"/>
  <c r="CC26" i="3"/>
  <c r="AK29" i="3"/>
  <c r="BH23" i="3"/>
  <c r="AO25" i="3"/>
  <c r="W27" i="3"/>
  <c r="BF22" i="3"/>
  <c r="AM24" i="3"/>
  <c r="T26" i="3"/>
  <c r="B28" i="3"/>
  <c r="AA22" i="3"/>
  <c r="I24" i="3"/>
  <c r="BV25" i="3"/>
  <c r="BC27" i="3"/>
  <c r="BT22" i="3"/>
  <c r="BA24" i="3"/>
  <c r="AH26" i="3"/>
  <c r="P28" i="3"/>
  <c r="BQ23" i="3"/>
  <c r="AY25" i="3"/>
  <c r="AF27" i="3"/>
  <c r="BO22" i="3"/>
  <c r="AV24" i="3"/>
  <c r="AD26" i="3"/>
  <c r="K28" i="3"/>
  <c r="BV22" i="3"/>
  <c r="BC24" i="3"/>
  <c r="AK26" i="3"/>
  <c r="R28" i="3"/>
  <c r="R31" i="3"/>
  <c r="K33" i="3"/>
  <c r="BT30" i="3"/>
  <c r="BA32" i="3"/>
  <c r="M29" i="3"/>
  <c r="CA30" i="3"/>
  <c r="BH32" i="3"/>
  <c r="K30" i="3"/>
  <c r="BX31" i="3"/>
  <c r="BC28" i="3"/>
  <c r="AK30" i="3"/>
  <c r="R32" i="3"/>
  <c r="F30" i="3"/>
  <c r="BT31" i="3"/>
  <c r="BQ28" i="3"/>
  <c r="AY30" i="3"/>
  <c r="AF32" i="3"/>
  <c r="AD29" i="3"/>
  <c r="K31" i="3"/>
  <c r="BC33" i="3"/>
  <c r="AK35" i="3"/>
  <c r="BJ33" i="3"/>
  <c r="AR35" i="3"/>
  <c r="BQ33" i="3"/>
  <c r="AY35" i="3"/>
  <c r="BX33" i="3"/>
  <c r="BF35" i="3"/>
  <c r="BM33" i="3"/>
  <c r="AT35" i="3"/>
  <c r="BA33" i="3"/>
  <c r="AH35" i="3"/>
  <c r="M34" i="3"/>
  <c r="CC35" i="3"/>
  <c r="T34" i="3"/>
  <c r="BV35" i="3"/>
  <c r="BQ37" i="3"/>
  <c r="BQ41" i="3"/>
  <c r="AD38" i="3"/>
  <c r="AH41" i="3"/>
  <c r="AT37" i="3"/>
  <c r="T45" i="3"/>
  <c r="AH37" i="3"/>
  <c r="K39" i="3"/>
  <c r="AF38" i="3"/>
  <c r="AY40" i="3"/>
  <c r="B38" i="3"/>
  <c r="D41" i="3"/>
  <c r="BM38" i="3"/>
  <c r="P41" i="3"/>
  <c r="CC37" i="3"/>
  <c r="CC40" i="3"/>
  <c r="BO40" i="3"/>
  <c r="AA39" i="3"/>
  <c r="I41" i="3"/>
  <c r="R42" i="3"/>
  <c r="BF40" i="3"/>
  <c r="CC42" i="3"/>
  <c r="CE40" i="3"/>
  <c r="AR44" i="3"/>
  <c r="BA40" i="3"/>
  <c r="AF39" i="3"/>
  <c r="M41" i="3"/>
  <c r="BQ42" i="3"/>
  <c r="AY44" i="3"/>
  <c r="AD43" i="3"/>
  <c r="CC44" i="3"/>
  <c r="BM42" i="3"/>
  <c r="AT44" i="3"/>
  <c r="CC43" i="3"/>
  <c r="W42" i="3"/>
  <c r="D44" i="3"/>
  <c r="AD42" i="3"/>
  <c r="K44" i="3"/>
  <c r="AT43" i="3"/>
  <c r="D45" i="3"/>
  <c r="AD47" i="3"/>
  <c r="CA45" i="3"/>
  <c r="BV47" i="3"/>
  <c r="CE47" i="3"/>
  <c r="AK45" i="3"/>
  <c r="BC47" i="3"/>
  <c r="M47" i="3"/>
  <c r="M45" i="3"/>
  <c r="CA46" i="3"/>
  <c r="BO46" i="3"/>
  <c r="AA45" i="3"/>
  <c r="I47" i="3"/>
  <c r="CE50" i="3"/>
  <c r="BJ48" i="3"/>
  <c r="AY48" i="3"/>
  <c r="AA52" i="3"/>
  <c r="AD49" i="3"/>
  <c r="CE48" i="3"/>
  <c r="I51" i="3"/>
  <c r="AH48" i="3"/>
  <c r="M49" i="3"/>
  <c r="BF47" i="3"/>
  <c r="AM49" i="3"/>
  <c r="BA50" i="3"/>
  <c r="AH52" i="3"/>
  <c r="M51" i="3"/>
  <c r="CA52" i="3"/>
  <c r="T51" i="3"/>
  <c r="BM51" i="3"/>
  <c r="BJ50" i="3"/>
  <c r="AR52" i="3"/>
  <c r="AF52" i="3"/>
  <c r="K51" i="3"/>
  <c r="BX52" i="3"/>
  <c r="BT7" i="3"/>
  <c r="BM9" i="3"/>
  <c r="D7" i="3"/>
  <c r="CA8" i="3"/>
  <c r="AD5" i="3"/>
  <c r="K7" i="3"/>
  <c r="BT8" i="3"/>
  <c r="CE4" i="3"/>
  <c r="BM6" i="3"/>
  <c r="AT8" i="3"/>
  <c r="Y5" i="3"/>
  <c r="F7" i="3"/>
  <c r="M9" i="3"/>
  <c r="AY5" i="3"/>
  <c r="AF7" i="3"/>
  <c r="F9" i="3"/>
  <c r="AM5" i="3"/>
  <c r="T7" i="3"/>
  <c r="CE8" i="3"/>
  <c r="AK6" i="3"/>
  <c r="R8" i="3"/>
  <c r="AF9" i="3"/>
  <c r="M11" i="3"/>
  <c r="CA12" i="3"/>
  <c r="BH14" i="3"/>
  <c r="AD10" i="3"/>
  <c r="K12" i="3"/>
  <c r="BX13" i="3"/>
  <c r="AY15" i="3"/>
  <c r="BM11" i="3"/>
  <c r="AT13" i="3"/>
  <c r="AF15" i="3"/>
  <c r="Y10" i="3"/>
  <c r="F12" i="3"/>
  <c r="BT13" i="3"/>
  <c r="AF10" i="3"/>
  <c r="M12" i="3"/>
  <c r="CA13" i="3"/>
  <c r="BC15" i="3"/>
  <c r="K11" i="3"/>
  <c r="BX12" i="3"/>
  <c r="BF14" i="3"/>
  <c r="AA10" i="3"/>
  <c r="I12" i="3"/>
  <c r="BV13" i="3"/>
  <c r="CA15" i="3"/>
  <c r="BT10" i="3"/>
  <c r="BA12" i="3"/>
  <c r="AH14" i="3"/>
  <c r="W16" i="3"/>
  <c r="D18" i="3"/>
  <c r="BQ19" i="3"/>
  <c r="AY21" i="3"/>
  <c r="B17" i="3"/>
  <c r="BO18" i="3"/>
  <c r="AV20" i="3"/>
  <c r="AA15" i="3"/>
  <c r="I17" i="3"/>
  <c r="BV18" i="3"/>
  <c r="BC20" i="3"/>
  <c r="F16" i="3"/>
  <c r="BT17" i="3"/>
  <c r="BA19" i="3"/>
  <c r="AH21" i="3"/>
  <c r="AO17" i="3"/>
  <c r="W19" i="3"/>
  <c r="D21" i="3"/>
  <c r="BO15" i="3"/>
  <c r="AV17" i="3"/>
  <c r="AD19" i="3"/>
  <c r="K21" i="3"/>
  <c r="AK17" i="3"/>
  <c r="R19" i="3"/>
  <c r="CE20" i="3"/>
  <c r="AH16" i="3"/>
  <c r="P18" i="3"/>
  <c r="CC19" i="3"/>
  <c r="BJ21" i="3"/>
  <c r="BA23" i="3"/>
  <c r="AH25" i="3"/>
  <c r="P27" i="3"/>
  <c r="M22" i="3"/>
  <c r="CA23" i="3"/>
  <c r="BH25" i="3"/>
  <c r="AO27" i="3"/>
  <c r="BX22" i="3"/>
  <c r="BF24" i="3"/>
  <c r="AM26" i="3"/>
  <c r="AD28" i="3"/>
  <c r="AT22" i="3"/>
  <c r="AA24" i="3"/>
  <c r="I26" i="3"/>
  <c r="BV27" i="3"/>
  <c r="F23" i="3"/>
  <c r="BT24" i="3"/>
  <c r="BA26" i="3"/>
  <c r="BJ28" i="3"/>
  <c r="D24" i="3"/>
  <c r="BQ25" i="3"/>
  <c r="AY27" i="3"/>
  <c r="B23" i="3"/>
  <c r="BO24" i="3"/>
  <c r="AV26" i="3"/>
  <c r="Y28" i="3"/>
  <c r="I23" i="3"/>
  <c r="BV24" i="3"/>
  <c r="BC26" i="3"/>
  <c r="AR28" i="3"/>
  <c r="AK31" i="3"/>
  <c r="Y29" i="3"/>
  <c r="F31" i="3"/>
  <c r="BO32" i="3"/>
  <c r="AF29" i="3"/>
  <c r="M31" i="3"/>
  <c r="BX32" i="3"/>
  <c r="AD30" i="3"/>
  <c r="K32" i="3"/>
  <c r="BV28" i="3"/>
  <c r="BC30" i="3"/>
  <c r="AK32" i="3"/>
  <c r="Y30" i="3"/>
  <c r="F32" i="3"/>
  <c r="D29" i="3"/>
  <c r="BQ30" i="3"/>
  <c r="AY32" i="3"/>
  <c r="AV29" i="3"/>
  <c r="AD31" i="3"/>
  <c r="BV33" i="3"/>
  <c r="BC35" i="3"/>
  <c r="CC33" i="3"/>
  <c r="BJ35" i="3"/>
  <c r="D34" i="3"/>
  <c r="BQ35" i="3"/>
  <c r="K34" i="3"/>
  <c r="CA35" i="3"/>
  <c r="CE33" i="3"/>
  <c r="BM35" i="3"/>
  <c r="BT33" i="3"/>
  <c r="BA35" i="3"/>
  <c r="AF34" i="3"/>
  <c r="I36" i="3"/>
  <c r="AM34" i="3"/>
  <c r="T36" i="3"/>
  <c r="D38" i="3"/>
  <c r="BO36" i="3"/>
  <c r="AV38" i="3"/>
  <c r="CE35" i="3"/>
  <c r="BM37" i="3"/>
  <c r="BT35" i="3"/>
  <c r="BA37" i="3"/>
  <c r="T39" i="3"/>
  <c r="AY38" i="3"/>
  <c r="W41" i="3"/>
  <c r="T38" i="3"/>
  <c r="BJ41" i="3"/>
  <c r="CE38" i="3"/>
  <c r="AO41" i="3"/>
  <c r="P38" i="3"/>
  <c r="BA41" i="3"/>
  <c r="B41" i="3"/>
  <c r="AT39" i="3"/>
  <c r="AA41" i="3"/>
  <c r="AF42" i="3"/>
  <c r="BX40" i="3"/>
  <c r="BA43" i="3"/>
  <c r="R41" i="3"/>
  <c r="F39" i="3"/>
  <c r="BT40" i="3"/>
  <c r="AY39" i="3"/>
  <c r="AF41" i="3"/>
  <c r="D43" i="3"/>
  <c r="BF44" i="3"/>
  <c r="AV43" i="3"/>
  <c r="Y45" i="3"/>
  <c r="CE42" i="3"/>
  <c r="AD45" i="3"/>
  <c r="P44" i="3"/>
  <c r="AO42" i="3"/>
  <c r="W44" i="3"/>
  <c r="AV42" i="3"/>
  <c r="AD44" i="3"/>
  <c r="BM43" i="3"/>
  <c r="AM45" i="3"/>
  <c r="D48" i="3"/>
  <c r="M46" i="3"/>
  <c r="AM46" i="3"/>
  <c r="AK48" i="3"/>
  <c r="BC45" i="3"/>
  <c r="BJ45" i="3"/>
  <c r="AT47" i="3"/>
  <c r="AF45" i="3"/>
  <c r="AK47" i="3"/>
  <c r="B47" i="3"/>
  <c r="AT45" i="3"/>
  <c r="AA47" i="3"/>
  <c r="P47" i="3"/>
  <c r="CC48" i="3"/>
  <c r="BQ48" i="3"/>
  <c r="BO47" i="3"/>
  <c r="AY49" i="3"/>
  <c r="R49" i="3"/>
  <c r="AK51" i="3"/>
  <c r="BA48" i="3"/>
  <c r="AF49" i="3"/>
  <c r="BX47" i="3"/>
  <c r="BJ49" i="3"/>
  <c r="BT50" i="3"/>
  <c r="BA52" i="3"/>
  <c r="AF51" i="3"/>
  <c r="BF49" i="3"/>
  <c r="AM51" i="3"/>
  <c r="CE51" i="3"/>
  <c r="CC50" i="3"/>
  <c r="BJ52" i="3"/>
  <c r="AY52" i="3"/>
  <c r="AD51" i="3"/>
  <c r="AT52" i="3"/>
  <c r="F8" i="3"/>
  <c r="AO5" i="3"/>
  <c r="W7" i="3"/>
  <c r="K9" i="3"/>
  <c r="AV5" i="3"/>
  <c r="AD7" i="3"/>
  <c r="D9" i="3"/>
  <c r="R5" i="3"/>
  <c r="CE6" i="3"/>
  <c r="BM8" i="3"/>
  <c r="AR5" i="3"/>
  <c r="Y7" i="3"/>
  <c r="W9" i="3"/>
  <c r="BQ5" i="3"/>
  <c r="AY7" i="3"/>
  <c r="AO9" i="3"/>
  <c r="BF5" i="3"/>
  <c r="AM7" i="3"/>
  <c r="BV4" i="3"/>
  <c r="BC6" i="3"/>
  <c r="AK8" i="3"/>
  <c r="AY9" i="3"/>
  <c r="AF11" i="3"/>
  <c r="M13" i="3"/>
  <c r="CA14" i="3"/>
  <c r="AV10" i="3"/>
  <c r="AD12" i="3"/>
  <c r="K14" i="3"/>
  <c r="AA16" i="3"/>
  <c r="CE11" i="3"/>
  <c r="BM13" i="3"/>
  <c r="AK15" i="3"/>
  <c r="AR10" i="3"/>
  <c r="Y12" i="3"/>
  <c r="F14" i="3"/>
  <c r="AY10" i="3"/>
  <c r="AF12" i="3"/>
  <c r="M14" i="3"/>
  <c r="BF15" i="3"/>
  <c r="AD11" i="3"/>
  <c r="K13" i="3"/>
  <c r="BX14" i="3"/>
  <c r="AT10" i="3"/>
  <c r="AA12" i="3"/>
  <c r="I14" i="3"/>
  <c r="M16" i="3"/>
  <c r="F11" i="3"/>
  <c r="BT12" i="3"/>
  <c r="BA14" i="3"/>
  <c r="AO16" i="3"/>
  <c r="W18" i="3"/>
  <c r="D20" i="3"/>
  <c r="BT21" i="3"/>
  <c r="T17" i="3"/>
  <c r="B19" i="3"/>
  <c r="BO20" i="3"/>
  <c r="AT15" i="3"/>
  <c r="AA17" i="3"/>
  <c r="I19" i="3"/>
  <c r="BV20" i="3"/>
  <c r="Y16" i="3"/>
  <c r="F18" i="3"/>
  <c r="BT19" i="3"/>
  <c r="BA21" i="3"/>
  <c r="BH17" i="3"/>
  <c r="AO19" i="3"/>
  <c r="W21" i="3"/>
  <c r="B16" i="3"/>
  <c r="BO17" i="3"/>
  <c r="AV19" i="3"/>
  <c r="AD21" i="3"/>
  <c r="BC17" i="3"/>
  <c r="AK19" i="3"/>
  <c r="R21" i="3"/>
  <c r="BA16" i="3"/>
  <c r="AH18" i="3"/>
  <c r="P20" i="3"/>
  <c r="CA21" i="3"/>
  <c r="BT23" i="3"/>
  <c r="BA25" i="3"/>
  <c r="AH27" i="3"/>
  <c r="AF22" i="3"/>
  <c r="M24" i="3"/>
  <c r="CA25" i="3"/>
  <c r="BH27" i="3"/>
  <c r="K23" i="3"/>
  <c r="BX24" i="3"/>
  <c r="BF26" i="3"/>
  <c r="AV28" i="3"/>
  <c r="BM22" i="3"/>
  <c r="AT24" i="3"/>
  <c r="AA26" i="3"/>
  <c r="I28" i="3"/>
  <c r="Y23" i="3"/>
  <c r="F25" i="3"/>
  <c r="BT26" i="3"/>
  <c r="AO22" i="3"/>
  <c r="W24" i="3"/>
  <c r="D26" i="3"/>
  <c r="BQ27" i="3"/>
  <c r="T23" i="3"/>
  <c r="B25" i="3"/>
  <c r="BO26" i="3"/>
  <c r="AH28" i="3"/>
  <c r="AA23" i="3"/>
  <c r="I25" i="3"/>
  <c r="BV26" i="3"/>
  <c r="BV29" i="3"/>
  <c r="BC31" i="3"/>
  <c r="AR29" i="3"/>
  <c r="Y31" i="3"/>
  <c r="CE32" i="3"/>
  <c r="AY29" i="3"/>
  <c r="AF31" i="3"/>
  <c r="BO28" i="3"/>
  <c r="AV30" i="3"/>
  <c r="AD32" i="3"/>
  <c r="I29" i="3"/>
  <c r="BV30" i="3"/>
  <c r="BC32" i="3"/>
  <c r="AR30" i="3"/>
  <c r="Y32" i="3"/>
  <c r="W29" i="3"/>
  <c r="D31" i="3"/>
  <c r="BM32" i="3"/>
  <c r="BO29" i="3"/>
  <c r="AV31" i="3"/>
  <c r="I34" i="3"/>
  <c r="W36" i="3"/>
  <c r="P34" i="3"/>
  <c r="B36" i="3"/>
  <c r="W34" i="3"/>
  <c r="BX35" i="3"/>
  <c r="AD34" i="3"/>
  <c r="P36" i="3"/>
  <c r="R34" i="3"/>
  <c r="D36" i="3"/>
  <c r="F34" i="3"/>
  <c r="AD36" i="3"/>
  <c r="AY34" i="3"/>
  <c r="AF36" i="3"/>
  <c r="BF34" i="3"/>
  <c r="BH36" i="3"/>
  <c r="W38" i="3"/>
  <c r="B37" i="3"/>
  <c r="BO38" i="3"/>
  <c r="R36" i="3"/>
  <c r="CE37" i="3"/>
  <c r="F36" i="3"/>
  <c r="BT37" i="3"/>
  <c r="D37" i="3"/>
  <c r="BQ38" i="3"/>
  <c r="BF36" i="3"/>
  <c r="AM38" i="3"/>
  <c r="AK37" i="3"/>
  <c r="P39" i="3"/>
  <c r="BA36" i="3"/>
  <c r="AH38" i="3"/>
  <c r="AM39" i="3"/>
  <c r="T41" i="3"/>
  <c r="BM39" i="3"/>
  <c r="AT41" i="3"/>
  <c r="AH43" i="3"/>
  <c r="K41" i="3"/>
  <c r="Y44" i="3"/>
  <c r="AK41" i="3"/>
  <c r="Y39" i="3"/>
  <c r="F41" i="3"/>
  <c r="BQ39" i="3"/>
  <c r="AY41" i="3"/>
  <c r="W43" i="3"/>
  <c r="F45" i="3"/>
  <c r="BO43" i="3"/>
  <c r="T46" i="3"/>
  <c r="R43" i="3"/>
  <c r="BA42" i="3"/>
  <c r="AH44" i="3"/>
  <c r="BH42" i="3"/>
  <c r="AO44" i="3"/>
  <c r="BO42" i="3"/>
  <c r="AV44" i="3"/>
  <c r="CE43" i="3"/>
  <c r="AV45" i="3"/>
  <c r="BH48" i="3"/>
  <c r="AF46" i="3"/>
  <c r="BF46" i="3"/>
  <c r="AT48" i="3"/>
  <c r="BV45" i="3"/>
  <c r="CC45" i="3"/>
  <c r="W48" i="3"/>
  <c r="AY45" i="3"/>
  <c r="BH47" i="3"/>
  <c r="AV47" i="3"/>
  <c r="BM45" i="3"/>
  <c r="AM47" i="3"/>
  <c r="AH47" i="3"/>
  <c r="P49" i="3"/>
  <c r="D49" i="3"/>
  <c r="B48" i="3"/>
  <c r="BO49" i="3"/>
  <c r="AK49" i="3"/>
  <c r="I52" i="3"/>
  <c r="BT48" i="3"/>
  <c r="AT49" i="3"/>
  <c r="K48" i="3"/>
  <c r="CA49" i="3"/>
  <c r="F51" i="3"/>
  <c r="BT52" i="3"/>
  <c r="AY51" i="3"/>
  <c r="BX49" i="3"/>
  <c r="BF51" i="3"/>
  <c r="R52" i="3"/>
  <c r="P51" i="3"/>
  <c r="CC52" i="3"/>
  <c r="BQ52" i="3"/>
  <c r="AV51" i="3"/>
  <c r="BM52" i="3"/>
  <c r="Y8" i="3"/>
  <c r="BH5" i="3"/>
  <c r="AO7" i="3"/>
  <c r="AK9" i="3"/>
  <c r="BO5" i="3"/>
  <c r="AV7" i="3"/>
  <c r="AA9" i="3"/>
  <c r="AK5" i="3"/>
  <c r="R7" i="3"/>
  <c r="T9" i="3"/>
  <c r="BJ5" i="3"/>
  <c r="AR7" i="3"/>
  <c r="AD9" i="3"/>
  <c r="D6" i="3"/>
  <c r="BQ7" i="3"/>
  <c r="K4" i="3"/>
  <c r="BX5" i="3"/>
  <c r="BF7" i="3"/>
  <c r="I5" i="3"/>
  <c r="BV6" i="3"/>
  <c r="BC8" i="3"/>
  <c r="BQ9" i="3"/>
  <c r="AY11" i="3"/>
  <c r="AF13" i="3"/>
  <c r="M15" i="3"/>
  <c r="BO10" i="3"/>
  <c r="AV12" i="3"/>
  <c r="AD14" i="3"/>
  <c r="AK10" i="3"/>
  <c r="R12" i="3"/>
  <c r="CE13" i="3"/>
  <c r="CC8" i="3"/>
  <c r="BJ10" i="3"/>
  <c r="AR12" i="3"/>
  <c r="Y14" i="3"/>
  <c r="BQ10" i="3"/>
  <c r="AY12" i="3"/>
  <c r="AF14" i="3"/>
  <c r="I16" i="3"/>
  <c r="AV11" i="3"/>
  <c r="AD13" i="3"/>
  <c r="K15" i="3"/>
  <c r="BM10" i="3"/>
  <c r="AT12" i="3"/>
  <c r="AA14" i="3"/>
  <c r="AR9" i="3"/>
  <c r="Y11" i="3"/>
  <c r="F13" i="3"/>
  <c r="BT14" i="3"/>
  <c r="BH16" i="3"/>
  <c r="AO18" i="3"/>
  <c r="W20" i="3"/>
  <c r="F22" i="3"/>
  <c r="AM17" i="3"/>
  <c r="T19" i="3"/>
  <c r="B21" i="3"/>
  <c r="BM15" i="3"/>
  <c r="AT17" i="3"/>
  <c r="AA19" i="3"/>
  <c r="I21" i="3"/>
  <c r="AR16" i="3"/>
  <c r="Y18" i="3"/>
  <c r="F20" i="3"/>
  <c r="BV21" i="3"/>
  <c r="CA17" i="3"/>
  <c r="BH19" i="3"/>
  <c r="AO21" i="3"/>
  <c r="T16" i="3"/>
  <c r="B18" i="3"/>
  <c r="BO19" i="3"/>
  <c r="AV21" i="3"/>
  <c r="BV17" i="3"/>
  <c r="BC19" i="3"/>
  <c r="AK21" i="3"/>
  <c r="BT16" i="3"/>
  <c r="BA18" i="3"/>
  <c r="AH20" i="3"/>
  <c r="Y22" i="3"/>
  <c r="F24" i="3"/>
  <c r="BT25" i="3"/>
  <c r="BA27" i="3"/>
  <c r="AY22" i="3"/>
  <c r="AF24" i="3"/>
  <c r="M26" i="3"/>
  <c r="CA27" i="3"/>
  <c r="AD23" i="3"/>
  <c r="K25" i="3"/>
  <c r="BX26" i="3"/>
  <c r="BA28" i="3"/>
  <c r="CE22" i="3"/>
  <c r="BM24" i="3"/>
  <c r="AT26" i="3"/>
  <c r="W28" i="3"/>
  <c r="AR23" i="3"/>
  <c r="Y25" i="3"/>
  <c r="F27" i="3"/>
  <c r="BH22" i="3"/>
  <c r="AO24" i="3"/>
  <c r="W26" i="3"/>
  <c r="D28" i="3"/>
  <c r="AM23" i="3"/>
  <c r="T25" i="3"/>
  <c r="B27" i="3"/>
  <c r="BC29" i="3"/>
  <c r="AT23" i="3"/>
  <c r="AA25" i="3"/>
  <c r="I27" i="3"/>
  <c r="I30" i="3"/>
  <c r="BV31" i="3"/>
  <c r="BJ29" i="3"/>
  <c r="AR31" i="3"/>
  <c r="R33" i="3"/>
  <c r="BQ29" i="3"/>
  <c r="AY31" i="3"/>
  <c r="B29" i="3"/>
  <c r="BO30" i="3"/>
  <c r="AV32" i="3"/>
  <c r="AA29" i="3"/>
  <c r="I31" i="3"/>
  <c r="CA32" i="3"/>
  <c r="BJ30" i="3"/>
  <c r="AR32" i="3"/>
  <c r="AO29" i="3"/>
  <c r="W31" i="3"/>
  <c r="T28" i="3"/>
  <c r="B30" i="3"/>
  <c r="BO31" i="3"/>
  <c r="AA34" i="3"/>
  <c r="AT36" i="3"/>
  <c r="AH34" i="3"/>
  <c r="K36" i="3"/>
  <c r="AO34" i="3"/>
  <c r="M36" i="3"/>
  <c r="AV34" i="3"/>
  <c r="AM36" i="3"/>
  <c r="AK34" i="3"/>
  <c r="AA36" i="3"/>
  <c r="Y34" i="3"/>
  <c r="CE36" i="3"/>
  <c r="BQ34" i="3"/>
  <c r="AO36" i="3"/>
  <c r="BX34" i="3"/>
  <c r="R37" i="3"/>
  <c r="AO38" i="3"/>
  <c r="T37" i="3"/>
  <c r="B39" i="3"/>
  <c r="AK36" i="3"/>
  <c r="R38" i="3"/>
  <c r="Y36" i="3"/>
  <c r="F38" i="3"/>
  <c r="W37" i="3"/>
  <c r="D39" i="3"/>
  <c r="BX36" i="3"/>
  <c r="BF38" i="3"/>
  <c r="BC37" i="3"/>
  <c r="AO39" i="3"/>
  <c r="BT36" i="3"/>
  <c r="BA38" i="3"/>
  <c r="BF39" i="3"/>
  <c r="AM41" i="3"/>
  <c r="CE39" i="3"/>
  <c r="BH41" i="3"/>
  <c r="F44" i="3"/>
  <c r="AD41" i="3"/>
  <c r="BV39" i="3"/>
  <c r="BM41" i="3"/>
  <c r="AR39" i="3"/>
  <c r="Y41" i="3"/>
  <c r="D40" i="3"/>
  <c r="CE41" i="3"/>
  <c r="AO43" i="3"/>
  <c r="BO45" i="3"/>
  <c r="B44" i="3"/>
  <c r="BC41" i="3"/>
  <c r="AK43" i="3"/>
  <c r="BT42" i="3"/>
  <c r="BA44" i="3"/>
  <c r="CA42" i="3"/>
  <c r="BJ44" i="3"/>
  <c r="B43" i="3"/>
  <c r="AH45" i="3"/>
  <c r="R44" i="3"/>
  <c r="B46" i="3"/>
  <c r="CA48" i="3"/>
  <c r="AY46" i="3"/>
  <c r="BX46" i="3"/>
  <c r="BC48" i="3"/>
  <c r="I46" i="3"/>
  <c r="P46" i="3"/>
  <c r="AO48" i="3"/>
  <c r="BQ45" i="3"/>
  <c r="BF45" i="3"/>
  <c r="AY47" i="3"/>
  <c r="CE45" i="3"/>
  <c r="R48" i="3"/>
  <c r="BA47" i="3"/>
  <c r="AH49" i="3"/>
  <c r="W49" i="3"/>
  <c r="T48" i="3"/>
  <c r="BV49" i="3"/>
  <c r="AR49" i="3"/>
  <c r="Y47" i="3"/>
  <c r="F49" i="3"/>
  <c r="BQ49" i="3"/>
  <c r="AD48" i="3"/>
  <c r="M50" i="3"/>
  <c r="Y51" i="3"/>
  <c r="D50" i="3"/>
  <c r="BQ51" i="3"/>
  <c r="K50" i="3"/>
  <c r="BX51" i="3"/>
  <c r="AK52" i="3"/>
  <c r="AH51" i="3"/>
  <c r="W51" i="3"/>
  <c r="B50" i="3"/>
  <c r="BO51" i="3"/>
  <c r="CE52" i="3"/>
  <c r="AR8" i="3"/>
  <c r="CA5" i="3"/>
  <c r="BH7" i="3"/>
  <c r="AV9" i="3"/>
  <c r="B6" i="3"/>
  <c r="BO7" i="3"/>
  <c r="BH9" i="3"/>
  <c r="BC5" i="3"/>
  <c r="AK7" i="3"/>
  <c r="AM9" i="3"/>
  <c r="CC5" i="3"/>
  <c r="BJ7" i="3"/>
  <c r="AO4" i="3"/>
  <c r="W6" i="3"/>
  <c r="D8" i="3"/>
  <c r="AD4" i="3"/>
  <c r="K6" i="3"/>
  <c r="BX7" i="3"/>
  <c r="AA5" i="3"/>
  <c r="I7" i="3"/>
  <c r="BX8" i="3"/>
  <c r="D10" i="3"/>
  <c r="BQ11" i="3"/>
  <c r="AY13" i="3"/>
  <c r="BV15" i="3"/>
  <c r="B11" i="3"/>
  <c r="BO12" i="3"/>
  <c r="AV14" i="3"/>
  <c r="BC10" i="3"/>
  <c r="AK12" i="3"/>
  <c r="R14" i="3"/>
  <c r="P9" i="3"/>
  <c r="CC10" i="3"/>
  <c r="BJ12" i="3"/>
  <c r="AR14" i="3"/>
  <c r="D11" i="3"/>
  <c r="BQ12" i="3"/>
  <c r="AY14" i="3"/>
  <c r="B10" i="3"/>
  <c r="BO11" i="3"/>
  <c r="AV13" i="3"/>
  <c r="AM15" i="3"/>
  <c r="CE10" i="3"/>
  <c r="BM12" i="3"/>
  <c r="AT14" i="3"/>
  <c r="BJ9" i="3"/>
  <c r="AR11" i="3"/>
  <c r="Y13" i="3"/>
  <c r="F15" i="3"/>
  <c r="CA16" i="3"/>
  <c r="BH18" i="3"/>
  <c r="AO20" i="3"/>
  <c r="BX15" i="3"/>
  <c r="BF17" i="3"/>
  <c r="AM19" i="3"/>
  <c r="T21" i="3"/>
  <c r="CE15" i="3"/>
  <c r="BM17" i="3"/>
  <c r="AT19" i="3"/>
  <c r="AA21" i="3"/>
  <c r="BJ16" i="3"/>
  <c r="AR18" i="3"/>
  <c r="Y20" i="3"/>
  <c r="AF16" i="3"/>
  <c r="M18" i="3"/>
  <c r="CA19" i="3"/>
  <c r="BH21" i="3"/>
  <c r="AM16" i="3"/>
  <c r="T18" i="3"/>
  <c r="B20" i="3"/>
  <c r="BX21" i="3"/>
  <c r="I18" i="3"/>
  <c r="BV19" i="3"/>
  <c r="BC21" i="3"/>
  <c r="F17" i="3"/>
  <c r="BT18" i="3"/>
  <c r="BA20" i="3"/>
  <c r="AR22" i="3"/>
  <c r="Y24" i="3"/>
  <c r="F26" i="3"/>
  <c r="BT27" i="3"/>
  <c r="BQ22" i="3"/>
  <c r="AY24" i="3"/>
  <c r="AF26" i="3"/>
  <c r="M28" i="3"/>
  <c r="AV23" i="3"/>
  <c r="AD25" i="3"/>
  <c r="K27" i="3"/>
  <c r="BM28" i="3"/>
  <c r="R23" i="3"/>
  <c r="CE24" i="3"/>
  <c r="BM26" i="3"/>
  <c r="CC21" i="3"/>
  <c r="BJ23" i="3"/>
  <c r="AR25" i="3"/>
  <c r="Y27" i="3"/>
  <c r="CA22" i="3"/>
  <c r="BH24" i="3"/>
  <c r="AO26" i="3"/>
  <c r="R29" i="3"/>
  <c r="BF23" i="3"/>
  <c r="AM25" i="3"/>
  <c r="T27" i="3"/>
  <c r="CE21" i="3"/>
  <c r="BM23" i="3"/>
  <c r="AT25" i="3"/>
  <c r="AA27" i="3"/>
  <c r="AA30" i="3"/>
  <c r="I32" i="3"/>
  <c r="CC29" i="3"/>
  <c r="BJ31" i="3"/>
  <c r="AK33" i="3"/>
  <c r="D30" i="3"/>
  <c r="BQ31" i="3"/>
  <c r="T29" i="3"/>
  <c r="B31" i="3"/>
  <c r="BQ32" i="3"/>
  <c r="AT29" i="3"/>
  <c r="AA31" i="3"/>
  <c r="P29" i="3"/>
  <c r="CC30" i="3"/>
  <c r="BT32" i="3"/>
  <c r="BH29" i="3"/>
  <c r="AO31" i="3"/>
  <c r="AM28" i="3"/>
  <c r="T30" i="3"/>
  <c r="B32" i="3"/>
  <c r="AT34" i="3"/>
  <c r="BQ36" i="3"/>
  <c r="BA34" i="3"/>
  <c r="AH36" i="3"/>
  <c r="BH34" i="3"/>
  <c r="AY36" i="3"/>
  <c r="BO34" i="3"/>
  <c r="AV36" i="3"/>
  <c r="BC34" i="3"/>
  <c r="BJ32" i="3"/>
  <c r="AR34" i="3"/>
  <c r="W33" i="3"/>
  <c r="D35" i="3"/>
  <c r="BM36" i="3"/>
  <c r="K35" i="3"/>
  <c r="CA36" i="3"/>
  <c r="BH38" i="3"/>
  <c r="AM37" i="3"/>
  <c r="R39" i="3"/>
  <c r="BC36" i="3"/>
  <c r="AK38" i="3"/>
  <c r="AR36" i="3"/>
  <c r="Y38" i="3"/>
  <c r="AO37" i="3"/>
  <c r="W39" i="3"/>
  <c r="K37" i="3"/>
  <c r="BX38" i="3"/>
  <c r="BV37" i="3"/>
  <c r="BT39" i="3"/>
  <c r="F37" i="3"/>
  <c r="BT38" i="3"/>
  <c r="BX39" i="3"/>
  <c r="BO41" i="3"/>
  <c r="R40" i="3"/>
  <c r="BX41" i="3"/>
  <c r="BO39" i="3"/>
  <c r="AV41" i="3"/>
  <c r="I40" i="3"/>
  <c r="CC41" i="3"/>
  <c r="BJ39" i="3"/>
  <c r="AR41" i="3"/>
  <c r="W40" i="3"/>
  <c r="AY42" i="3"/>
  <c r="BH43" i="3"/>
  <c r="AM42" i="3"/>
  <c r="T44" i="3"/>
  <c r="BV41" i="3"/>
  <c r="BC43" i="3"/>
  <c r="F43" i="3"/>
  <c r="BV44" i="3"/>
  <c r="M43" i="3"/>
  <c r="AR45" i="3"/>
  <c r="T43" i="3"/>
  <c r="Y46" i="3"/>
  <c r="AK44" i="3"/>
  <c r="AR46" i="3"/>
  <c r="AA49" i="3"/>
  <c r="BQ46" i="3"/>
  <c r="K47" i="3"/>
  <c r="I49" i="3"/>
  <c r="AA46" i="3"/>
  <c r="AH46" i="3"/>
  <c r="BV48" i="3"/>
  <c r="D46" i="3"/>
  <c r="BX45" i="3"/>
  <c r="BM47" i="3"/>
  <c r="R46" i="3"/>
  <c r="BT49" i="3"/>
  <c r="BT47" i="3"/>
  <c r="AV49" i="3"/>
  <c r="AO49" i="3"/>
  <c r="AM48" i="3"/>
  <c r="CE49" i="3"/>
  <c r="BH49" i="3"/>
  <c r="AR47" i="3"/>
  <c r="Y49" i="3"/>
  <c r="F50" i="3"/>
  <c r="AV48" i="3"/>
  <c r="BC51" i="3"/>
  <c r="AR51" i="3"/>
  <c r="W50" i="3"/>
  <c r="D52" i="3"/>
  <c r="AD50" i="3"/>
  <c r="K52" i="3"/>
  <c r="BC52" i="3"/>
  <c r="BA51" i="3"/>
  <c r="AO51" i="3"/>
  <c r="T50" i="3"/>
  <c r="B52" i="3"/>
  <c r="BJ8" i="3"/>
  <c r="M6" i="3"/>
  <c r="CA7" i="3"/>
  <c r="R10" i="3"/>
  <c r="T6" i="3"/>
  <c r="B8" i="3"/>
  <c r="BO9" i="3"/>
  <c r="BV5" i="3"/>
  <c r="BC7" i="3"/>
  <c r="AH4" i="3"/>
  <c r="P6" i="3"/>
  <c r="CC7" i="3"/>
  <c r="BH4" i="3"/>
  <c r="AO6" i="3"/>
  <c r="W8" i="3"/>
  <c r="AV4" i="3"/>
  <c r="AD6" i="3"/>
  <c r="K8" i="3"/>
  <c r="AT5" i="3"/>
  <c r="AA7" i="3"/>
  <c r="I9" i="3"/>
  <c r="W10" i="3"/>
  <c r="D12" i="3"/>
  <c r="BQ13" i="3"/>
  <c r="CC15" i="3"/>
  <c r="T11" i="3"/>
  <c r="B13" i="3"/>
  <c r="BO14" i="3"/>
  <c r="BV10" i="3"/>
  <c r="BC12" i="3"/>
  <c r="AK14" i="3"/>
  <c r="AH9" i="3"/>
  <c r="P11" i="3"/>
  <c r="CC12" i="3"/>
  <c r="BJ14" i="3"/>
  <c r="W11" i="3"/>
  <c r="D13" i="3"/>
  <c r="BQ14" i="3"/>
  <c r="T10" i="3"/>
  <c r="B12" i="3"/>
  <c r="BO13" i="3"/>
  <c r="BH15" i="3"/>
  <c r="R11" i="3"/>
  <c r="CE12" i="3"/>
  <c r="BM14" i="3"/>
  <c r="CC9" i="3"/>
  <c r="BJ11" i="3"/>
  <c r="AR13" i="3"/>
  <c r="T15" i="3"/>
  <c r="M17" i="3"/>
  <c r="CA18" i="3"/>
  <c r="BH20" i="3"/>
  <c r="K16" i="3"/>
  <c r="BX17" i="3"/>
  <c r="BF19" i="3"/>
  <c r="AM21" i="3"/>
  <c r="R16" i="3"/>
  <c r="CE17" i="3"/>
  <c r="BM19" i="3"/>
  <c r="AT21" i="3"/>
  <c r="CC16" i="3"/>
  <c r="BJ18" i="3"/>
  <c r="AR20" i="3"/>
  <c r="AY16" i="3"/>
  <c r="AF18" i="3"/>
  <c r="M20" i="3"/>
  <c r="BO21" i="3"/>
  <c r="BF16" i="3"/>
  <c r="AM18" i="3"/>
  <c r="T20" i="3"/>
  <c r="AT16" i="3"/>
  <c r="AA18" i="3"/>
  <c r="I20" i="3"/>
  <c r="BQ21" i="3"/>
  <c r="Y17" i="3"/>
  <c r="F19" i="3"/>
  <c r="BT20" i="3"/>
  <c r="BJ22" i="3"/>
  <c r="AR24" i="3"/>
  <c r="Y26" i="3"/>
  <c r="F28" i="3"/>
  <c r="D23" i="3"/>
  <c r="BQ24" i="3"/>
  <c r="AY26" i="3"/>
  <c r="CC28" i="3"/>
  <c r="BO23" i="3"/>
  <c r="AV25" i="3"/>
  <c r="AD27" i="3"/>
  <c r="BT28" i="3"/>
  <c r="AK23" i="3"/>
  <c r="R25" i="3"/>
  <c r="CE26" i="3"/>
  <c r="P22" i="3"/>
  <c r="CC23" i="3"/>
  <c r="BJ25" i="3"/>
  <c r="AR27" i="3"/>
  <c r="M23" i="3"/>
  <c r="CA24" i="3"/>
  <c r="BH26" i="3"/>
  <c r="K22" i="3"/>
  <c r="BX23" i="3"/>
  <c r="BF25" i="3"/>
  <c r="AM27" i="3"/>
  <c r="R22" i="3"/>
  <c r="CE23" i="3"/>
  <c r="BM25" i="3"/>
  <c r="AT27" i="3"/>
  <c r="AT30" i="3"/>
  <c r="AA32" i="3"/>
  <c r="P30" i="3"/>
  <c r="CC31" i="3"/>
  <c r="AO28" i="3"/>
  <c r="W30" i="3"/>
  <c r="D32" i="3"/>
  <c r="AM29" i="3"/>
  <c r="T31" i="3"/>
  <c r="B33" i="3"/>
  <c r="BM29" i="3"/>
  <c r="AT31" i="3"/>
  <c r="AH29" i="3"/>
  <c r="P31" i="3"/>
  <c r="D33" i="3"/>
  <c r="CA29" i="3"/>
  <c r="BH31" i="3"/>
  <c r="BF28" i="3"/>
  <c r="AM30" i="3"/>
  <c r="T32" i="3"/>
  <c r="BM34" i="3"/>
  <c r="F33" i="3"/>
  <c r="BT34" i="3"/>
  <c r="M33" i="3"/>
  <c r="CA34" i="3"/>
  <c r="T33" i="3"/>
  <c r="B35" i="3"/>
  <c r="I33" i="3"/>
  <c r="BV34" i="3"/>
  <c r="CC32" i="3"/>
  <c r="BJ34" i="3"/>
  <c r="AO33" i="3"/>
  <c r="W35" i="3"/>
  <c r="AV33" i="3"/>
  <c r="AD35" i="3"/>
  <c r="M37" i="3"/>
  <c r="CA38" i="3"/>
  <c r="BF37" i="3"/>
  <c r="AD39" i="3"/>
  <c r="BV36" i="3"/>
  <c r="BC38" i="3"/>
  <c r="BJ36" i="3"/>
  <c r="AR38" i="3"/>
  <c r="BH37" i="3"/>
  <c r="AH39" i="3"/>
  <c r="AD37" i="3"/>
  <c r="M39" i="3"/>
  <c r="I38" i="3"/>
  <c r="M40" i="3"/>
  <c r="Y37" i="3"/>
  <c r="AV39" i="3"/>
  <c r="K40" i="3"/>
  <c r="B42" i="3"/>
  <c r="AK40" i="3"/>
  <c r="M42" i="3"/>
  <c r="B40" i="3"/>
  <c r="BT41" i="3"/>
  <c r="AA40" i="3"/>
  <c r="AH42" i="3"/>
  <c r="CC39" i="3"/>
  <c r="BF41" i="3"/>
  <c r="AO40" i="3"/>
  <c r="BJ42" i="3"/>
  <c r="CA43" i="3"/>
  <c r="BF42" i="3"/>
  <c r="AM44" i="3"/>
  <c r="I42" i="3"/>
  <c r="BV43" i="3"/>
  <c r="Y43" i="3"/>
  <c r="B45" i="3"/>
  <c r="AF43" i="3"/>
  <c r="BA45" i="3"/>
  <c r="AM43" i="3"/>
  <c r="BV42" i="3"/>
  <c r="BC44" i="3"/>
  <c r="BJ46" i="3"/>
  <c r="BM49" i="3"/>
  <c r="D47" i="3"/>
  <c r="T47" i="3"/>
  <c r="BM44" i="3"/>
  <c r="AT46" i="3"/>
  <c r="BA46" i="3"/>
  <c r="BC49" i="3"/>
  <c r="W46" i="3"/>
  <c r="K46" i="3"/>
  <c r="I48" i="3"/>
  <c r="AK46" i="3"/>
  <c r="AA50" i="3"/>
  <c r="F48" i="3"/>
  <c r="CA47" i="3"/>
  <c r="AY50" i="3"/>
  <c r="BF48" i="3"/>
  <c r="AA51" i="3"/>
  <c r="I50" i="3"/>
  <c r="BJ47" i="3"/>
  <c r="BA49" i="3"/>
  <c r="R50" i="3"/>
  <c r="BO48" i="3"/>
  <c r="CC49" i="3"/>
  <c r="BJ51" i="3"/>
  <c r="AO50" i="3"/>
  <c r="W52" i="3"/>
  <c r="AV50" i="3"/>
  <c r="AD52" i="3"/>
  <c r="BV52" i="3"/>
  <c r="BT51" i="3"/>
  <c r="BH51" i="3"/>
  <c r="AM50" i="3"/>
  <c r="T52" i="3"/>
  <c r="BQ8" i="3"/>
  <c r="AF6" i="3"/>
  <c r="M8" i="3"/>
  <c r="BF4" i="3"/>
  <c r="AM6" i="3"/>
  <c r="T8" i="3"/>
  <c r="AA4" i="3"/>
  <c r="I6" i="3"/>
  <c r="BV7" i="3"/>
  <c r="BA4" i="3"/>
  <c r="AH6" i="3"/>
  <c r="P8" i="3"/>
  <c r="CA4" i="3"/>
  <c r="BH6" i="3"/>
  <c r="AO8" i="3"/>
  <c r="BO4" i="3"/>
  <c r="AV6" i="3"/>
  <c r="AD8" i="3"/>
  <c r="BM5" i="3"/>
  <c r="AT7" i="3"/>
  <c r="Y9" i="3"/>
  <c r="AO10" i="3"/>
  <c r="W12" i="3"/>
  <c r="D14" i="3"/>
  <c r="BF9" i="3"/>
  <c r="AM11" i="3"/>
  <c r="T13" i="3"/>
  <c r="B15" i="3"/>
  <c r="I11" i="3"/>
  <c r="BV12" i="3"/>
  <c r="BC14" i="3"/>
  <c r="BA9" i="3"/>
  <c r="AH11" i="3"/>
  <c r="P13" i="3"/>
  <c r="CC14" i="3"/>
  <c r="AO11" i="3"/>
  <c r="W13" i="3"/>
  <c r="D15" i="3"/>
  <c r="AM10" i="3"/>
  <c r="T12" i="3"/>
  <c r="B14" i="3"/>
  <c r="BC9" i="3"/>
  <c r="AK11" i="3"/>
  <c r="R13" i="3"/>
  <c r="CE14" i="3"/>
  <c r="P10" i="3"/>
  <c r="CC11" i="3"/>
  <c r="BJ13" i="3"/>
  <c r="BJ15" i="3"/>
  <c r="AF17" i="3"/>
  <c r="M19" i="3"/>
  <c r="CA20" i="3"/>
  <c r="AD16" i="3"/>
  <c r="K18" i="3"/>
  <c r="BX19" i="3"/>
  <c r="BF21" i="3"/>
  <c r="AK16" i="3"/>
  <c r="R18" i="3"/>
  <c r="CE19" i="3"/>
  <c r="AH15" i="3"/>
  <c r="P17" i="3"/>
  <c r="CC18" i="3"/>
  <c r="BJ20" i="3"/>
  <c r="BQ16" i="3"/>
  <c r="AY18" i="3"/>
  <c r="AF20" i="3"/>
  <c r="B22" i="3"/>
  <c r="BX16" i="3"/>
  <c r="BF18" i="3"/>
  <c r="AM20" i="3"/>
  <c r="BM16" i="3"/>
  <c r="AT18" i="3"/>
  <c r="AA20" i="3"/>
  <c r="D22" i="3"/>
  <c r="AR17" i="3"/>
  <c r="Y19" i="3"/>
  <c r="F21" i="3"/>
  <c r="CC22" i="3"/>
  <c r="BJ24" i="3"/>
  <c r="AR26" i="3"/>
  <c r="AA28" i="3"/>
  <c r="W23" i="3"/>
  <c r="D25" i="3"/>
  <c r="BQ26" i="3"/>
  <c r="F29" i="3"/>
  <c r="B24" i="3"/>
  <c r="BO25" i="3"/>
  <c r="AV27" i="3"/>
  <c r="CE28" i="3"/>
  <c r="BC23" i="3"/>
  <c r="AK25" i="3"/>
  <c r="R27" i="3"/>
  <c r="AH22" i="3"/>
  <c r="P24" i="3"/>
  <c r="CC25" i="3"/>
  <c r="BJ27" i="3"/>
  <c r="AF23" i="3"/>
  <c r="M25" i="3"/>
  <c r="CA26" i="3"/>
  <c r="AD22" i="3"/>
  <c r="K24" i="3"/>
  <c r="BX25" i="3"/>
  <c r="BF27" i="3"/>
  <c r="AK22" i="3"/>
  <c r="R24" i="3"/>
  <c r="CE25" i="3"/>
  <c r="BM27" i="3"/>
  <c r="BM30" i="3"/>
  <c r="AT32" i="3"/>
  <c r="AH30" i="3"/>
  <c r="P32" i="3"/>
  <c r="BH28" i="3"/>
  <c r="AO30" i="3"/>
  <c r="W32" i="3"/>
  <c r="BF29" i="3"/>
  <c r="AM31" i="3"/>
  <c r="AD33" i="3"/>
  <c r="CE29" i="3"/>
  <c r="BM31" i="3"/>
  <c r="BA29" i="3"/>
  <c r="AH31" i="3"/>
  <c r="AF28" i="3"/>
  <c r="M30" i="3"/>
  <c r="CA31" i="3"/>
  <c r="BX28" i="3"/>
  <c r="BF30" i="3"/>
  <c r="AM32" i="3"/>
  <c r="CE34" i="3"/>
  <c r="Y33" i="3"/>
  <c r="F35" i="3"/>
  <c r="AF33" i="3"/>
  <c r="M35" i="3"/>
  <c r="AM33" i="3"/>
  <c r="T35" i="3"/>
  <c r="AA33" i="3"/>
  <c r="I35" i="3"/>
  <c r="P33" i="3"/>
  <c r="CC34" i="3"/>
  <c r="BH33" i="3"/>
  <c r="AO35" i="3"/>
  <c r="BO33" i="3"/>
  <c r="AV35" i="3"/>
  <c r="AF37" i="3"/>
  <c r="I39" i="3"/>
  <c r="BX37" i="3"/>
  <c r="F40" i="3"/>
  <c r="I37" i="3"/>
  <c r="BV38" i="3"/>
  <c r="CC36" i="3"/>
  <c r="BJ38" i="3"/>
  <c r="CA37" i="3"/>
  <c r="AK39" i="3"/>
  <c r="AV37" i="3"/>
  <c r="BA39" i="3"/>
  <c r="AA38" i="3"/>
  <c r="AR40" i="3"/>
  <c r="AR37" i="3"/>
  <c r="BH39" i="3"/>
  <c r="AD40" i="3"/>
  <c r="Y42" i="3"/>
  <c r="BC40" i="3"/>
  <c r="P42" i="3"/>
  <c r="T40" i="3"/>
  <c r="F42" i="3"/>
  <c r="AT40" i="3"/>
  <c r="P43" i="3"/>
  <c r="P40" i="3"/>
  <c r="T42" i="3"/>
  <c r="BH40" i="3"/>
  <c r="W45" i="3"/>
  <c r="M44" i="3"/>
  <c r="BX42" i="3"/>
  <c r="BQ44" i="3"/>
  <c r="AA42" i="3"/>
  <c r="I44" i="3"/>
  <c r="AR43" i="3"/>
  <c r="K45" i="3"/>
  <c r="AY43" i="3"/>
  <c r="BT45" i="3"/>
  <c r="BF43" i="3"/>
  <c r="I43" i="3"/>
  <c r="BO44" i="3"/>
  <c r="CC46" i="3"/>
  <c r="AO45" i="3"/>
  <c r="AO47" i="3"/>
  <c r="W47" i="3"/>
  <c r="CE44" i="3"/>
  <c r="BM46" i="3"/>
  <c r="BT46" i="3"/>
  <c r="BH44" i="3"/>
  <c r="AO46" i="3"/>
  <c r="AD46" i="3"/>
  <c r="AA48" i="3"/>
  <c r="BC46" i="3"/>
  <c r="BM50" i="3"/>
  <c r="Y48" i="3"/>
  <c r="M48" i="3"/>
  <c r="BQ50" i="3"/>
  <c r="BX48" i="3"/>
  <c r="BV51" i="3"/>
  <c r="AK50" i="3"/>
  <c r="CC47" i="3"/>
  <c r="AT50" i="3"/>
  <c r="AF50" i="3"/>
  <c r="B49" i="3"/>
  <c r="P50" i="3"/>
  <c r="CC51" i="3"/>
  <c r="BH50" i="3"/>
  <c r="AO52" i="3"/>
  <c r="BO50" i="3"/>
  <c r="AV52" i="3"/>
  <c r="Y50" i="3"/>
  <c r="F52" i="3"/>
  <c r="CA51" i="3"/>
  <c r="BF50" i="3"/>
  <c r="AM52" i="3"/>
  <c r="AA6" i="3"/>
  <c r="I8" i="3"/>
  <c r="BT4" i="3"/>
  <c r="BA6" i="3"/>
  <c r="AH8" i="3"/>
  <c r="M5" i="3"/>
  <c r="CA6" i="3"/>
  <c r="BH8" i="3"/>
  <c r="B5" i="3"/>
  <c r="BO6" i="3"/>
  <c r="AV8" i="3"/>
  <c r="CE5" i="3"/>
  <c r="BM7" i="3"/>
  <c r="AT9" i="3"/>
  <c r="BH10" i="3"/>
  <c r="AO12" i="3"/>
  <c r="W14" i="3"/>
  <c r="BX9" i="3"/>
  <c r="BF11" i="3"/>
  <c r="AM13" i="3"/>
  <c r="P15" i="3"/>
  <c r="AA11" i="3"/>
  <c r="I13" i="3"/>
  <c r="BV14" i="3"/>
  <c r="BT9" i="3"/>
  <c r="BA11" i="3"/>
  <c r="AH13" i="3"/>
  <c r="CA9" i="3"/>
  <c r="BH11" i="3"/>
  <c r="AO13" i="3"/>
  <c r="R15" i="3"/>
  <c r="BF10" i="3"/>
  <c r="AM12" i="3"/>
  <c r="T14" i="3"/>
  <c r="BV9" i="3"/>
  <c r="BC11" i="3"/>
  <c r="AK13" i="3"/>
  <c r="AO15" i="3"/>
  <c r="AH10" i="3"/>
  <c r="P12" i="3"/>
  <c r="CC13" i="3"/>
  <c r="BQ15" i="3"/>
  <c r="AY17" i="3"/>
  <c r="AF19" i="3"/>
  <c r="M21" i="3"/>
  <c r="AV16" i="3"/>
  <c r="AD18" i="3"/>
  <c r="K20" i="3"/>
  <c r="BM21" i="3"/>
  <c r="BC16" i="3"/>
  <c r="AK18" i="3"/>
  <c r="R20" i="3"/>
  <c r="BA15" i="3"/>
  <c r="AH17" i="3"/>
  <c r="P19" i="3"/>
  <c r="CC20" i="3"/>
  <c r="D17" i="3"/>
  <c r="BQ18" i="3"/>
  <c r="AY20" i="3"/>
  <c r="AD15" i="3"/>
  <c r="K17" i="3"/>
  <c r="BX18" i="3"/>
  <c r="BF20" i="3"/>
  <c r="CE16" i="3"/>
  <c r="BM18" i="3"/>
  <c r="AT20" i="3"/>
  <c r="W22" i="3"/>
  <c r="BJ17" i="3"/>
  <c r="AR19" i="3"/>
  <c r="Y21" i="3"/>
  <c r="P23" i="3"/>
  <c r="CC24" i="3"/>
  <c r="BJ26" i="3"/>
  <c r="AT28" i="3"/>
  <c r="AO23" i="3"/>
  <c r="W25" i="3"/>
  <c r="D27" i="3"/>
  <c r="AM22" i="3"/>
  <c r="T24" i="3"/>
  <c r="B26" i="3"/>
  <c r="BO27" i="3"/>
  <c r="I22" i="3"/>
  <c r="BV23" i="3"/>
  <c r="BC25" i="3"/>
  <c r="AK27" i="3"/>
  <c r="BA22" i="3"/>
  <c r="AH24" i="3"/>
  <c r="P26" i="3"/>
  <c r="CC27" i="3"/>
  <c r="AY23" i="3"/>
  <c r="AF25" i="3"/>
  <c r="M27" i="3"/>
  <c r="AV22" i="3"/>
  <c r="AD24" i="3"/>
  <c r="K26" i="3"/>
  <c r="BX27" i="3"/>
  <c r="BC22" i="3"/>
  <c r="AK24" i="3"/>
  <c r="R26" i="3"/>
  <c r="CE27" i="3"/>
  <c r="CE30" i="3"/>
  <c r="BV32" i="3"/>
  <c r="BA30" i="3"/>
  <c r="AH32" i="3"/>
  <c r="CA28" i="3"/>
  <c r="BH30" i="3"/>
  <c r="AO32" i="3"/>
  <c r="BX29" i="3"/>
  <c r="BF31" i="3"/>
  <c r="AK28" i="3"/>
  <c r="R30" i="3"/>
  <c r="CE31" i="3"/>
  <c r="BT29" i="3"/>
  <c r="BA31" i="3"/>
  <c r="AY28" i="3"/>
  <c r="AF30" i="3"/>
  <c r="M32" i="3"/>
  <c r="K29" i="3"/>
  <c r="BX30" i="3"/>
  <c r="BF32" i="3"/>
  <c r="R35" i="3"/>
  <c r="AR33" i="3"/>
  <c r="Y35" i="3"/>
  <c r="AY33" i="3"/>
  <c r="AF35" i="3"/>
  <c r="BF33" i="3"/>
  <c r="AM35" i="3"/>
  <c r="AT33" i="3"/>
  <c r="AA35" i="3"/>
  <c r="AH33" i="3"/>
  <c r="P35" i="3"/>
  <c r="CA33" i="3"/>
  <c r="BH35" i="3"/>
  <c r="B34" i="3"/>
  <c r="BO35" i="3"/>
  <c r="AY37" i="3"/>
  <c r="BC39" i="3"/>
  <c r="K38" i="3"/>
  <c r="BJ40" i="3"/>
  <c r="AA37" i="3"/>
  <c r="D42" i="3"/>
  <c r="P37" i="3"/>
  <c r="CC38" i="3"/>
  <c r="M38" i="3"/>
  <c r="CA39" i="3"/>
  <c r="BO37" i="3"/>
  <c r="AF40" i="3"/>
  <c r="AT38" i="3"/>
  <c r="BQ40" i="3"/>
  <c r="BJ37" i="3"/>
  <c r="Y40" i="3"/>
  <c r="AV40" i="3"/>
  <c r="BC42" i="3"/>
  <c r="BV40" i="3"/>
  <c r="CA41" i="3"/>
  <c r="AM40" i="3"/>
  <c r="AK42" i="3"/>
  <c r="BM40" i="3"/>
  <c r="BT43" i="3"/>
  <c r="AH40" i="3"/>
  <c r="AR42" i="3"/>
  <c r="CA40" i="3"/>
  <c r="F46" i="3"/>
  <c r="AF44" i="3"/>
  <c r="K43" i="3"/>
  <c r="BT44" i="3"/>
  <c r="AT42" i="3"/>
  <c r="AA44" i="3"/>
  <c r="BJ43" i="3"/>
  <c r="P45" i="3"/>
  <c r="BQ43" i="3"/>
  <c r="K42" i="3"/>
  <c r="BX43" i="3"/>
  <c r="AA43" i="3"/>
  <c r="BX44" i="3"/>
  <c r="R47" i="3"/>
  <c r="BH45" i="3"/>
  <c r="BQ47" i="3"/>
  <c r="AF47" i="3"/>
  <c r="R45" i="3"/>
  <c r="CE46" i="3"/>
  <c r="F47" i="3"/>
  <c r="CA44" i="3"/>
  <c r="BH46" i="3"/>
  <c r="AV46" i="3"/>
  <c r="I45" i="3"/>
  <c r="BV46" i="3"/>
  <c r="BV50" i="3"/>
  <c r="AR48" i="3"/>
  <c r="AF48" i="3"/>
  <c r="AT51" i="3"/>
  <c r="K49" i="3"/>
  <c r="BM48" i="3"/>
  <c r="BC50" i="3"/>
  <c r="P48" i="3"/>
  <c r="R51" i="3"/>
  <c r="D51" i="3"/>
  <c r="T49" i="3"/>
  <c r="AH50" i="3"/>
  <c r="P52" i="3"/>
  <c r="CA50" i="3"/>
  <c r="BH52" i="3"/>
  <c r="B51" i="3"/>
  <c r="BO52" i="3"/>
  <c r="AR50" i="3"/>
  <c r="Y52" i="3"/>
  <c r="M52" i="3"/>
  <c r="BX50" i="3"/>
  <c r="BF52" i="3"/>
  <c r="D4" i="3"/>
  <c r="AY4" i="3"/>
  <c r="BA5" i="3"/>
  <c r="Y4" i="3"/>
  <c r="AF4" i="3"/>
  <c r="AH5" i="3"/>
  <c r="CC4" i="3"/>
  <c r="T4" i="3"/>
  <c r="P5" i="3"/>
  <c r="B4" i="3"/>
  <c r="M4" i="3"/>
  <c r="BQ4" i="3"/>
  <c r="AK4" i="3"/>
  <c r="R4" i="3"/>
  <c r="BJ4" i="3"/>
  <c r="F4" i="3"/>
  <c r="AR4" i="3"/>
  <c r="D5" i="3"/>
  <c r="F6" i="3"/>
  <c r="BJ6" i="3"/>
  <c r="Y6" i="3"/>
  <c r="CC6" i="3"/>
  <c r="BT5" i="3"/>
  <c r="AR6" i="3"/>
  <c r="P7" i="3"/>
  <c r="AH7" i="3"/>
  <c r="W5" i="3"/>
  <c r="AM4" i="3"/>
  <c r="I4" i="3"/>
  <c r="P4" i="3"/>
  <c r="W4" i="3"/>
  <c r="BC4" i="3"/>
  <c r="CA3" i="3"/>
  <c r="W3" i="3"/>
  <c r="BA3" i="3"/>
  <c r="BF3" i="3"/>
  <c r="B3" i="3"/>
  <c r="Y3" i="3"/>
  <c r="AK3" i="3"/>
  <c r="CC3" i="3"/>
  <c r="K3" i="3"/>
  <c r="BT3" i="3"/>
  <c r="P3" i="3"/>
  <c r="BV3" i="3"/>
  <c r="D3" i="3"/>
  <c r="AY3" i="3"/>
  <c r="AM3" i="3"/>
  <c r="AT3" i="3"/>
  <c r="AD3" i="3"/>
  <c r="BO3" i="3"/>
  <c r="R3" i="3"/>
  <c r="BM3" i="3"/>
  <c r="I3" i="3"/>
  <c r="BH3" i="3"/>
  <c r="G30" i="3" l="1"/>
  <c r="G19" i="3"/>
  <c r="G17" i="3"/>
  <c r="G11" i="3"/>
  <c r="C20" i="3"/>
  <c r="G42" i="3"/>
  <c r="G32" i="3"/>
  <c r="G9" i="3"/>
  <c r="G39" i="3"/>
  <c r="C13" i="3"/>
  <c r="G23" i="3"/>
  <c r="G33" i="3"/>
  <c r="G36" i="3"/>
  <c r="G16" i="3"/>
  <c r="G51" i="3"/>
  <c r="G46" i="3"/>
  <c r="G14" i="3"/>
  <c r="G18" i="3"/>
  <c r="G12" i="3"/>
  <c r="E9" i="3"/>
  <c r="G28" i="3"/>
  <c r="G22" i="3"/>
  <c r="G48" i="3"/>
  <c r="C12" i="3"/>
  <c r="G29" i="3"/>
  <c r="G41" i="3"/>
  <c r="G34" i="3"/>
  <c r="G40" i="3"/>
  <c r="E27" i="3"/>
  <c r="N48" i="3"/>
  <c r="L37" i="3"/>
  <c r="N7" i="3"/>
  <c r="N51" i="3"/>
  <c r="N27" i="3"/>
  <c r="L15" i="3"/>
  <c r="N49" i="3"/>
  <c r="N36" i="3"/>
  <c r="N20" i="3"/>
  <c r="N47" i="3"/>
  <c r="N4" i="3"/>
  <c r="N22" i="3"/>
  <c r="N30" i="3"/>
  <c r="L21" i="3"/>
  <c r="L51" i="3"/>
  <c r="N24" i="3"/>
  <c r="L30" i="3"/>
  <c r="N18" i="3"/>
  <c r="N34" i="3"/>
  <c r="N10" i="3"/>
  <c r="N46" i="3"/>
  <c r="N6" i="3"/>
  <c r="N21" i="3"/>
  <c r="N29" i="3"/>
  <c r="N32" i="3"/>
  <c r="N12" i="3"/>
  <c r="N43" i="3"/>
  <c r="N33" i="3"/>
  <c r="N9" i="3"/>
  <c r="J8" i="3"/>
  <c r="N13" i="3"/>
  <c r="N52" i="3"/>
  <c r="N39" i="3"/>
  <c r="N16" i="3"/>
  <c r="N45" i="3"/>
  <c r="N8" i="3"/>
  <c r="N37" i="3"/>
  <c r="N23" i="3"/>
  <c r="N38" i="3"/>
  <c r="N14" i="3"/>
  <c r="N28" i="3"/>
  <c r="J12" i="3"/>
  <c r="L12" i="3"/>
  <c r="N41" i="3"/>
  <c r="N26" i="3"/>
  <c r="N5" i="3"/>
  <c r="N35" i="3"/>
  <c r="N50" i="3"/>
  <c r="N11" i="3"/>
  <c r="L45" i="3"/>
  <c r="N40" i="3"/>
  <c r="L42" i="3"/>
  <c r="J40" i="3"/>
  <c r="N15" i="3"/>
  <c r="N44" i="3"/>
  <c r="N25" i="3"/>
  <c r="N42" i="3"/>
  <c r="N17" i="3"/>
  <c r="N31" i="3"/>
  <c r="N19" i="3"/>
  <c r="L5" i="3"/>
  <c r="G27" i="3"/>
  <c r="G38" i="3"/>
  <c r="G20" i="3"/>
  <c r="G25" i="3"/>
  <c r="G52" i="3"/>
  <c r="G31" i="3"/>
  <c r="E7" i="3"/>
  <c r="G47" i="3"/>
  <c r="G49" i="3"/>
  <c r="G7" i="3"/>
  <c r="G43" i="3"/>
  <c r="G44" i="3"/>
  <c r="G10" i="3"/>
  <c r="G21" i="3"/>
  <c r="G8" i="3"/>
  <c r="G4" i="3"/>
  <c r="G15" i="3"/>
  <c r="G6" i="3"/>
  <c r="G24" i="3"/>
  <c r="G45" i="3"/>
  <c r="E48" i="3"/>
  <c r="E6" i="3"/>
  <c r="L24" i="3"/>
  <c r="L28" i="3"/>
  <c r="J31" i="3"/>
  <c r="J30" i="3"/>
  <c r="J6" i="3"/>
  <c r="J46" i="3"/>
  <c r="J49" i="3"/>
  <c r="J11" i="3"/>
  <c r="L43" i="3"/>
  <c r="L23" i="3"/>
  <c r="L27" i="3"/>
  <c r="L44" i="3"/>
  <c r="J47" i="3"/>
  <c r="J48" i="3"/>
  <c r="J32" i="3"/>
  <c r="L16" i="3"/>
  <c r="J38" i="3"/>
  <c r="J41" i="3"/>
  <c r="L14" i="3"/>
  <c r="J33" i="3"/>
  <c r="L34" i="3"/>
  <c r="L19" i="3"/>
  <c r="L40" i="3"/>
  <c r="L39" i="3"/>
  <c r="L18" i="3"/>
  <c r="L35" i="3"/>
  <c r="J20" i="3"/>
  <c r="J4" i="3"/>
  <c r="J52" i="3"/>
  <c r="L22" i="3"/>
  <c r="J25" i="3"/>
  <c r="L10" i="3"/>
  <c r="L50" i="3"/>
  <c r="L7" i="3"/>
  <c r="J36" i="3"/>
  <c r="L9" i="3"/>
  <c r="J13" i="3"/>
  <c r="J26" i="3"/>
  <c r="J51" i="3"/>
  <c r="J17" i="3"/>
  <c r="J29" i="3"/>
  <c r="G13" i="3"/>
  <c r="G5" i="3"/>
  <c r="C26" i="3"/>
  <c r="G50" i="3"/>
  <c r="G37" i="3"/>
  <c r="G26" i="3"/>
  <c r="E10" i="3"/>
  <c r="E8" i="3"/>
  <c r="E43" i="3"/>
  <c r="G35" i="3"/>
  <c r="E11" i="3"/>
  <c r="Q47" i="3"/>
  <c r="U26" i="3"/>
  <c r="U27" i="3"/>
  <c r="U25" i="3"/>
  <c r="U47" i="3"/>
  <c r="Q29" i="3"/>
  <c r="S33" i="3"/>
  <c r="U32" i="3"/>
  <c r="U29" i="3"/>
  <c r="U34" i="3"/>
  <c r="U22" i="3"/>
  <c r="U50" i="3"/>
  <c r="U6" i="3"/>
  <c r="U11" i="3"/>
  <c r="Q14" i="3"/>
  <c r="S30" i="3"/>
  <c r="U33" i="3"/>
  <c r="U44" i="3"/>
  <c r="S37" i="3"/>
  <c r="U43" i="3"/>
  <c r="U46" i="3"/>
  <c r="U51" i="3"/>
  <c r="U8" i="3"/>
  <c r="U35" i="3"/>
  <c r="U13" i="3"/>
  <c r="U28" i="3"/>
  <c r="S12" i="3"/>
  <c r="Q21" i="3"/>
  <c r="S39" i="3"/>
  <c r="U21" i="3"/>
  <c r="U38" i="3"/>
  <c r="S44" i="3"/>
  <c r="U40" i="3"/>
  <c r="U14" i="3"/>
  <c r="U17" i="3"/>
  <c r="U30" i="3"/>
  <c r="U19" i="3"/>
  <c r="U37" i="3"/>
  <c r="U36" i="3"/>
  <c r="U31" i="3"/>
  <c r="U9" i="3"/>
  <c r="U16" i="3"/>
  <c r="Q51" i="3"/>
  <c r="Q38" i="3"/>
  <c r="U39" i="3"/>
  <c r="U23" i="3"/>
  <c r="Q25" i="3"/>
  <c r="Q32" i="3"/>
  <c r="U12" i="3"/>
  <c r="U7" i="3"/>
  <c r="Q26" i="3"/>
  <c r="Q11" i="3"/>
  <c r="Q36" i="3"/>
  <c r="U4" i="3"/>
  <c r="S20" i="3"/>
  <c r="S45" i="3"/>
  <c r="U5" i="3"/>
  <c r="S52" i="3"/>
  <c r="S24" i="3"/>
  <c r="Q34" i="3"/>
  <c r="S19" i="3"/>
  <c r="Q17" i="3"/>
  <c r="U20" i="3"/>
  <c r="U45" i="3"/>
  <c r="S18" i="3"/>
  <c r="U52" i="3"/>
  <c r="U24" i="3"/>
  <c r="S50" i="3"/>
  <c r="Q15" i="3"/>
  <c r="S31" i="3"/>
  <c r="S41" i="3"/>
  <c r="Q10" i="3"/>
  <c r="U18" i="3"/>
  <c r="S42" i="3"/>
  <c r="S22" i="3"/>
  <c r="Q9" i="3"/>
  <c r="S48" i="3"/>
  <c r="Q46" i="3"/>
  <c r="S23" i="3"/>
  <c r="U41" i="3"/>
  <c r="U42" i="3"/>
  <c r="U48" i="3"/>
  <c r="U15" i="3"/>
  <c r="U10" i="3"/>
  <c r="Q35" i="3"/>
  <c r="Q13" i="3"/>
  <c r="Q16" i="3"/>
  <c r="Q43" i="3"/>
  <c r="Q28" i="3"/>
  <c r="S49" i="3"/>
  <c r="Q27" i="3"/>
  <c r="Q8" i="3"/>
  <c r="S40" i="3"/>
  <c r="U49" i="3"/>
  <c r="X46" i="3"/>
  <c r="Z39" i="3"/>
  <c r="AB27" i="3"/>
  <c r="AB16" i="3"/>
  <c r="AB19" i="3"/>
  <c r="X40" i="3"/>
  <c r="AB23" i="3"/>
  <c r="AB39" i="3"/>
  <c r="AB11" i="3"/>
  <c r="X38" i="3"/>
  <c r="AB44" i="3"/>
  <c r="AB5" i="3"/>
  <c r="AB12" i="3"/>
  <c r="X20" i="3"/>
  <c r="X18" i="3"/>
  <c r="AB40" i="3"/>
  <c r="AB31" i="3"/>
  <c r="AB6" i="3"/>
  <c r="Z37" i="3"/>
  <c r="Z13" i="3"/>
  <c r="X32" i="3"/>
  <c r="X11" i="3"/>
  <c r="X44" i="3"/>
  <c r="AB17" i="3"/>
  <c r="AB52" i="3"/>
  <c r="AB24" i="3"/>
  <c r="AB43" i="3"/>
  <c r="X26" i="3"/>
  <c r="AB35" i="3"/>
  <c r="Z31" i="3"/>
  <c r="X34" i="3"/>
  <c r="AB18" i="3"/>
  <c r="X6" i="3"/>
  <c r="AB37" i="3"/>
  <c r="AB13" i="3"/>
  <c r="AB9" i="3"/>
  <c r="AB38" i="3"/>
  <c r="Z36" i="3"/>
  <c r="X17" i="3"/>
  <c r="AB20" i="3"/>
  <c r="X52" i="3"/>
  <c r="AB48" i="3"/>
  <c r="X47" i="3"/>
  <c r="AB32" i="3"/>
  <c r="AB15" i="3"/>
  <c r="AB36" i="3"/>
  <c r="Z42" i="3"/>
  <c r="AB22" i="3"/>
  <c r="Z33" i="3"/>
  <c r="Z5" i="3"/>
  <c r="AB28" i="3"/>
  <c r="AB34" i="3"/>
  <c r="AB8" i="3"/>
  <c r="AB41" i="3"/>
  <c r="AB25" i="3"/>
  <c r="X4" i="3"/>
  <c r="Z9" i="3"/>
  <c r="X51" i="3"/>
  <c r="Z14" i="3"/>
  <c r="AB42" i="3"/>
  <c r="Z22" i="3"/>
  <c r="AB33" i="3"/>
  <c r="Z10" i="3"/>
  <c r="Z16" i="3"/>
  <c r="AB46" i="3"/>
  <c r="AB29" i="3"/>
  <c r="Z4" i="3"/>
  <c r="AB47" i="3"/>
  <c r="AB21" i="3"/>
  <c r="AB45" i="3"/>
  <c r="AB30" i="3"/>
  <c r="Z7" i="3"/>
  <c r="AB14" i="3"/>
  <c r="AB10" i="3"/>
  <c r="Z44" i="3"/>
  <c r="X43" i="3"/>
  <c r="Z49" i="3"/>
  <c r="AB49" i="3"/>
  <c r="Z41" i="3"/>
  <c r="X23" i="3"/>
  <c r="AB4" i="3"/>
  <c r="X21" i="3"/>
  <c r="X45" i="3"/>
  <c r="Z19" i="3"/>
  <c r="AB7" i="3"/>
  <c r="AB51" i="3"/>
  <c r="AB26" i="3"/>
  <c r="X12" i="3"/>
  <c r="AB50" i="3"/>
  <c r="Q52" i="3"/>
  <c r="S25" i="3"/>
  <c r="S21" i="3"/>
  <c r="S5" i="3"/>
  <c r="S46" i="3"/>
  <c r="Q4" i="3"/>
  <c r="S6" i="3"/>
  <c r="S7" i="3"/>
  <c r="AG16" i="3"/>
  <c r="AG13" i="3"/>
  <c r="AG39" i="3"/>
  <c r="AI46" i="3"/>
  <c r="AI23" i="3"/>
  <c r="AI28" i="3"/>
  <c r="AI39" i="3"/>
  <c r="AI33" i="3"/>
  <c r="AI16" i="3"/>
  <c r="AG4" i="3"/>
  <c r="AG32" i="3"/>
  <c r="AI40" i="3"/>
  <c r="AI37" i="3"/>
  <c r="AI44" i="3"/>
  <c r="AI21" i="3"/>
  <c r="AI42" i="3"/>
  <c r="AI19" i="3"/>
  <c r="AI22" i="3"/>
  <c r="AG46" i="3"/>
  <c r="AI9" i="3"/>
  <c r="AI36" i="3"/>
  <c r="AE12" i="3"/>
  <c r="AG45" i="3"/>
  <c r="AG15" i="3"/>
  <c r="AI48" i="3"/>
  <c r="AI31" i="3"/>
  <c r="AI24" i="3"/>
  <c r="AG34" i="3"/>
  <c r="AG38" i="3"/>
  <c r="AI52" i="3"/>
  <c r="AI45" i="3"/>
  <c r="AI8" i="3"/>
  <c r="AI18" i="3"/>
  <c r="AG23" i="3"/>
  <c r="AI38" i="3"/>
  <c r="AI11" i="3"/>
  <c r="AI51" i="3"/>
  <c r="AI35" i="3"/>
  <c r="AI12" i="3"/>
  <c r="AI34" i="3"/>
  <c r="AI15" i="3"/>
  <c r="AI50" i="3"/>
  <c r="AI6" i="3"/>
  <c r="AI30" i="3"/>
  <c r="AI14" i="3"/>
  <c r="AI27" i="3"/>
  <c r="AI49" i="3"/>
  <c r="AI29" i="3"/>
  <c r="AG6" i="3"/>
  <c r="AI47" i="3"/>
  <c r="AI4" i="3"/>
  <c r="AI13" i="3"/>
  <c r="AI41" i="3"/>
  <c r="AI32" i="3"/>
  <c r="AG7" i="3"/>
  <c r="AG42" i="3"/>
  <c r="AI26" i="3"/>
  <c r="AG17" i="3"/>
  <c r="AI10" i="3"/>
  <c r="AI7" i="3"/>
  <c r="AI5" i="3"/>
  <c r="AI43" i="3"/>
  <c r="AI17" i="3"/>
  <c r="AI20" i="3"/>
  <c r="AI25" i="3"/>
  <c r="AP50" i="3"/>
  <c r="AL51" i="3"/>
  <c r="AP10" i="3"/>
  <c r="AN49" i="3"/>
  <c r="AL46" i="3"/>
  <c r="AN8" i="3"/>
  <c r="AP28" i="3"/>
  <c r="AL13" i="3"/>
  <c r="AP45" i="3"/>
  <c r="AP31" i="3"/>
  <c r="AP43" i="3"/>
  <c r="AP24" i="3"/>
  <c r="AP51" i="3"/>
  <c r="AN22" i="3"/>
  <c r="AN27" i="3"/>
  <c r="AP25" i="3"/>
  <c r="AP8" i="3"/>
  <c r="AP38" i="3"/>
  <c r="AL45" i="3"/>
  <c r="AP52" i="3"/>
  <c r="AL26" i="3"/>
  <c r="AP14" i="3"/>
  <c r="AL43" i="3"/>
  <c r="AP41" i="3"/>
  <c r="AP22" i="3"/>
  <c r="AN40" i="3"/>
  <c r="AL18" i="3"/>
  <c r="AP46" i="3"/>
  <c r="AL48" i="3"/>
  <c r="AP23" i="3"/>
  <c r="AP6" i="3"/>
  <c r="AP13" i="3"/>
  <c r="AN21" i="3"/>
  <c r="AL52" i="3"/>
  <c r="AN41" i="3"/>
  <c r="AL20" i="3"/>
  <c r="AP40" i="3"/>
  <c r="AN25" i="3"/>
  <c r="AP48" i="3"/>
  <c r="AP7" i="3"/>
  <c r="AL36" i="3"/>
  <c r="AP21" i="3"/>
  <c r="AL44" i="3"/>
  <c r="AP26" i="3"/>
  <c r="AN34" i="3"/>
  <c r="AP17" i="3"/>
  <c r="AP18" i="3"/>
  <c r="AP42" i="3"/>
  <c r="AN23" i="3"/>
  <c r="AL47" i="3"/>
  <c r="AP33" i="3"/>
  <c r="AL11" i="3"/>
  <c r="AP4" i="3"/>
  <c r="AP34" i="3"/>
  <c r="AL35" i="3"/>
  <c r="AP20" i="3"/>
  <c r="AP32" i="3"/>
  <c r="AN9" i="3"/>
  <c r="AN42" i="3"/>
  <c r="AL16" i="3"/>
  <c r="AN37" i="3"/>
  <c r="AL29" i="3"/>
  <c r="AP36" i="3"/>
  <c r="AP44" i="3"/>
  <c r="AN19" i="3"/>
  <c r="AL50" i="3"/>
  <c r="AN12" i="3"/>
  <c r="AL10" i="3"/>
  <c r="AP49" i="3"/>
  <c r="AL32" i="3"/>
  <c r="AN30" i="3"/>
  <c r="AP16" i="3"/>
  <c r="AP37" i="3"/>
  <c r="AN15" i="3"/>
  <c r="AP47" i="3"/>
  <c r="AP11" i="3"/>
  <c r="AP39" i="3"/>
  <c r="AP19" i="3"/>
  <c r="AL24" i="3"/>
  <c r="AP12" i="3"/>
  <c r="AP35" i="3"/>
  <c r="AP27" i="3"/>
  <c r="AP9" i="3"/>
  <c r="AP30" i="3"/>
  <c r="AN28" i="3"/>
  <c r="AP15" i="3"/>
  <c r="AL38" i="3"/>
  <c r="AP29" i="3"/>
  <c r="AN31" i="3"/>
  <c r="AP5" i="3"/>
  <c r="AN39" i="3"/>
  <c r="AL14" i="3"/>
  <c r="AL21" i="3"/>
  <c r="AN5" i="3"/>
  <c r="AN6" i="3"/>
  <c r="AL7" i="3"/>
  <c r="AN26" i="3"/>
  <c r="AN4" i="3"/>
  <c r="AL15" i="3"/>
  <c r="AN33" i="3"/>
  <c r="AL12" i="3"/>
  <c r="AN17" i="3"/>
  <c r="BB31" i="3"/>
  <c r="BD18" i="3"/>
  <c r="BD44" i="3"/>
  <c r="BB16" i="3"/>
  <c r="BD39" i="3"/>
  <c r="BD19" i="3"/>
  <c r="BB32" i="3"/>
  <c r="BD28" i="3"/>
  <c r="BD6" i="3"/>
  <c r="BD8" i="3"/>
  <c r="BD31" i="3"/>
  <c r="BB6" i="3"/>
  <c r="BD16" i="3"/>
  <c r="BB21" i="3"/>
  <c r="BB33" i="3"/>
  <c r="BD32" i="3"/>
  <c r="BD7" i="3"/>
  <c r="BD15" i="3"/>
  <c r="BD47" i="3"/>
  <c r="BB28" i="3"/>
  <c r="BB36" i="3"/>
  <c r="BD33" i="3"/>
  <c r="BD46" i="3"/>
  <c r="BD20" i="3"/>
  <c r="BB52" i="3"/>
  <c r="BD36" i="3"/>
  <c r="BD10" i="3"/>
  <c r="BB34" i="3"/>
  <c r="BB35" i="3"/>
  <c r="BB49" i="3"/>
  <c r="BB23" i="3"/>
  <c r="BD9" i="3"/>
  <c r="BD48" i="3"/>
  <c r="BD45" i="3"/>
  <c r="BD30" i="3"/>
  <c r="BD5" i="3"/>
  <c r="BB47" i="3"/>
  <c r="BB22" i="3"/>
  <c r="BB4" i="3"/>
  <c r="BB9" i="3"/>
  <c r="BB30" i="3"/>
  <c r="BD52" i="3"/>
  <c r="BD34" i="3"/>
  <c r="BD35" i="3"/>
  <c r="BB11" i="3"/>
  <c r="BD49" i="3"/>
  <c r="BD23" i="3"/>
  <c r="BD40" i="3"/>
  <c r="BD26" i="3"/>
  <c r="BB45" i="3"/>
  <c r="BD22" i="3"/>
  <c r="BD4" i="3"/>
  <c r="BB46" i="3"/>
  <c r="BB37" i="3"/>
  <c r="BB12" i="3"/>
  <c r="BB29" i="3"/>
  <c r="BB51" i="3"/>
  <c r="BB27" i="3"/>
  <c r="BD13" i="3"/>
  <c r="BB50" i="3"/>
  <c r="BD11" i="3"/>
  <c r="BB41" i="3"/>
  <c r="BB24" i="3"/>
  <c r="BB42" i="3"/>
  <c r="BB14" i="3"/>
  <c r="BB48" i="3"/>
  <c r="BB5" i="3"/>
  <c r="BD37" i="3"/>
  <c r="BD12" i="3"/>
  <c r="BB43" i="3"/>
  <c r="BD29" i="3"/>
  <c r="BD51" i="3"/>
  <c r="BD27" i="3"/>
  <c r="BD50" i="3"/>
  <c r="BD25" i="3"/>
  <c r="BD41" i="3"/>
  <c r="BB40" i="3"/>
  <c r="BB17" i="3"/>
  <c r="BD24" i="3"/>
  <c r="BD42" i="3"/>
  <c r="BD14" i="3"/>
  <c r="BB20" i="3"/>
  <c r="BB10" i="3"/>
  <c r="BD21" i="3"/>
  <c r="BD43" i="3"/>
  <c r="BB18" i="3"/>
  <c r="BB44" i="3"/>
  <c r="BB39" i="3"/>
  <c r="BD17" i="3"/>
  <c r="BD38" i="3"/>
  <c r="BB15" i="3"/>
  <c r="AZ27" i="3"/>
  <c r="AZ45" i="3"/>
  <c r="AZ29" i="3"/>
  <c r="AZ39" i="3"/>
  <c r="AZ21" i="3"/>
  <c r="AZ12" i="3"/>
  <c r="AZ17" i="3"/>
  <c r="AZ20" i="3"/>
  <c r="AZ47" i="3"/>
  <c r="AZ44" i="3"/>
  <c r="AZ43" i="3"/>
  <c r="AZ33" i="3"/>
  <c r="AZ31" i="3"/>
  <c r="AZ40" i="3"/>
  <c r="AZ42" i="3"/>
  <c r="AZ37" i="3"/>
  <c r="AZ18" i="3"/>
  <c r="AZ6" i="3"/>
  <c r="AZ9" i="3"/>
  <c r="AZ14" i="3"/>
  <c r="AZ23" i="3"/>
  <c r="AZ5" i="3"/>
  <c r="AZ36" i="3"/>
  <c r="AZ10" i="3"/>
  <c r="AZ28" i="3"/>
  <c r="AZ22" i="3"/>
  <c r="AZ52" i="3"/>
  <c r="AZ24" i="3"/>
  <c r="AZ4" i="3"/>
  <c r="AZ46" i="3"/>
  <c r="AZ8" i="3"/>
  <c r="AZ35" i="3"/>
  <c r="AZ32" i="3"/>
  <c r="AZ26" i="3"/>
  <c r="AZ50" i="3"/>
  <c r="AZ16" i="3"/>
  <c r="AZ30" i="3"/>
  <c r="AZ15" i="3"/>
  <c r="BB25" i="3"/>
  <c r="AZ41" i="3"/>
  <c r="AZ49" i="3"/>
  <c r="AZ51" i="3"/>
  <c r="AZ11" i="3"/>
  <c r="AZ48" i="3"/>
  <c r="AZ7" i="3"/>
  <c r="AZ38" i="3"/>
  <c r="AZ34" i="3"/>
  <c r="AZ13" i="3"/>
  <c r="AW29" i="3"/>
  <c r="AW27" i="3"/>
  <c r="AW50" i="3"/>
  <c r="AU14" i="3"/>
  <c r="AW10" i="3"/>
  <c r="AW30" i="3"/>
  <c r="AW31" i="3"/>
  <c r="AW43" i="3"/>
  <c r="AW6" i="3"/>
  <c r="AW25" i="3"/>
  <c r="AW41" i="3"/>
  <c r="AW18" i="3"/>
  <c r="AW33" i="3"/>
  <c r="AW26" i="3"/>
  <c r="AW48" i="3"/>
  <c r="AW5" i="3"/>
  <c r="AW8" i="3"/>
  <c r="AU19" i="3"/>
  <c r="AW45" i="3"/>
  <c r="AS17" i="3"/>
  <c r="AW4" i="3"/>
  <c r="AW47" i="3"/>
  <c r="AU10" i="3"/>
  <c r="AW46" i="3"/>
  <c r="AW19" i="3"/>
  <c r="AW20" i="3"/>
  <c r="AU18" i="3"/>
  <c r="AW28" i="3"/>
  <c r="AW37" i="3"/>
  <c r="AW21" i="3"/>
  <c r="AW17" i="3"/>
  <c r="AW44" i="3"/>
  <c r="AW12" i="3"/>
  <c r="AU39" i="3"/>
  <c r="AW22" i="3"/>
  <c r="AW38" i="3"/>
  <c r="AW24" i="3"/>
  <c r="AW36" i="3"/>
  <c r="AW42" i="3"/>
  <c r="AW9" i="3"/>
  <c r="AS15" i="3"/>
  <c r="AW35" i="3"/>
  <c r="AW39" i="3"/>
  <c r="AW16" i="3"/>
  <c r="AW32" i="3"/>
  <c r="AS13" i="3"/>
  <c r="AU11" i="3"/>
  <c r="AU9" i="3"/>
  <c r="AW40" i="3"/>
  <c r="AW15" i="3"/>
  <c r="AW34" i="3"/>
  <c r="AW14" i="3"/>
  <c r="AU12" i="3"/>
  <c r="AW7" i="3"/>
  <c r="AU13" i="3"/>
  <c r="AW11" i="3"/>
  <c r="AW52" i="3"/>
  <c r="AW51" i="3"/>
  <c r="AW23" i="3"/>
  <c r="AU16" i="3"/>
  <c r="AW49" i="3"/>
  <c r="AS26" i="3"/>
  <c r="AW13" i="3"/>
  <c r="AS8" i="3"/>
  <c r="BB19" i="3"/>
  <c r="AU49" i="3"/>
  <c r="AU23" i="3"/>
  <c r="AU36" i="3"/>
  <c r="AU22" i="3"/>
  <c r="AU25" i="3"/>
  <c r="AU51" i="3"/>
  <c r="AU7" i="3"/>
  <c r="AU47" i="3"/>
  <c r="AU46" i="3"/>
  <c r="AU6" i="3"/>
  <c r="AU31" i="3"/>
  <c r="AU52" i="3"/>
  <c r="AU20" i="3"/>
  <c r="AU32" i="3"/>
  <c r="AU44" i="3"/>
  <c r="AU21" i="3"/>
  <c r="AU4" i="3"/>
  <c r="AU43" i="3"/>
  <c r="AU30" i="3"/>
  <c r="AU34" i="3"/>
  <c r="AU35" i="3"/>
  <c r="AU37" i="3"/>
  <c r="AU45" i="3"/>
  <c r="AU50" i="3"/>
  <c r="AU40" i="3"/>
  <c r="AU42" i="3"/>
  <c r="AU28" i="3"/>
  <c r="AU5" i="3"/>
  <c r="AU27" i="3"/>
  <c r="AU38" i="3"/>
  <c r="AU24" i="3"/>
  <c r="AU33" i="3"/>
  <c r="AU29" i="3"/>
  <c r="AU41" i="3"/>
  <c r="AU48" i="3"/>
  <c r="AU26" i="3"/>
  <c r="AS14" i="3"/>
  <c r="AS31" i="3"/>
  <c r="AS11" i="3"/>
  <c r="AS41" i="3"/>
  <c r="AS21" i="3"/>
  <c r="AS52" i="3"/>
  <c r="AU15" i="3"/>
  <c r="AS34" i="3"/>
  <c r="AS32" i="3"/>
  <c r="AS38" i="3"/>
  <c r="AS28" i="3"/>
  <c r="AS25" i="3"/>
  <c r="AS30" i="3"/>
  <c r="AS6" i="3"/>
  <c r="AS16" i="3"/>
  <c r="AS12" i="3"/>
  <c r="AS20" i="3"/>
  <c r="AS44" i="3"/>
  <c r="AS37" i="3"/>
  <c r="AS39" i="3"/>
  <c r="AS51" i="3"/>
  <c r="AS40" i="3"/>
  <c r="AS5" i="3"/>
  <c r="AS43" i="3"/>
  <c r="AS10" i="3"/>
  <c r="AS29" i="3"/>
  <c r="AS9" i="3"/>
  <c r="AS36" i="3"/>
  <c r="AS24" i="3"/>
  <c r="AS47" i="3"/>
  <c r="AS46" i="3"/>
  <c r="AS42" i="3"/>
  <c r="AS35" i="3"/>
  <c r="AS48" i="3"/>
  <c r="AS50" i="3"/>
  <c r="AS49" i="3"/>
  <c r="AU17" i="3"/>
  <c r="AS7" i="3"/>
  <c r="AS45" i="3"/>
  <c r="AS22" i="3"/>
  <c r="AS27" i="3"/>
  <c r="AS23" i="3"/>
  <c r="AS33" i="3"/>
  <c r="AS18" i="3"/>
  <c r="AS19" i="3"/>
  <c r="AS4" i="3"/>
  <c r="AU8" i="3"/>
  <c r="BK31" i="3"/>
  <c r="BI27" i="3"/>
  <c r="BI6" i="3"/>
  <c r="BK6" i="3"/>
  <c r="BK48" i="3"/>
  <c r="BI12" i="3"/>
  <c r="BG10" i="3"/>
  <c r="BK11" i="3"/>
  <c r="BK28" i="3"/>
  <c r="BK10" i="3"/>
  <c r="BK37" i="3"/>
  <c r="BK49" i="3"/>
  <c r="BI5" i="3"/>
  <c r="BK50" i="3"/>
  <c r="BG12" i="3"/>
  <c r="BI23" i="3"/>
  <c r="BI45" i="3"/>
  <c r="BK5" i="3"/>
  <c r="BK34" i="3"/>
  <c r="BK40" i="3"/>
  <c r="BI16" i="3"/>
  <c r="BK8" i="3"/>
  <c r="BK45" i="3"/>
  <c r="BG11" i="3"/>
  <c r="BG14" i="3"/>
  <c r="BK32" i="3"/>
  <c r="BK42" i="3"/>
  <c r="BK46" i="3"/>
  <c r="BI22" i="3"/>
  <c r="BG39" i="3"/>
  <c r="BI33" i="3"/>
  <c r="BK52" i="3"/>
  <c r="BI32" i="3"/>
  <c r="BI46" i="3"/>
  <c r="BK25" i="3"/>
  <c r="BK20" i="3"/>
  <c r="BI36" i="3"/>
  <c r="BK24" i="3"/>
  <c r="BK12" i="3"/>
  <c r="BI50" i="3"/>
  <c r="BI31" i="3"/>
  <c r="BI20" i="3"/>
  <c r="BK17" i="3"/>
  <c r="BK38" i="3"/>
  <c r="BK30" i="3"/>
  <c r="BI52" i="3"/>
  <c r="BK29" i="3"/>
  <c r="BK13" i="3"/>
  <c r="BK51" i="3"/>
  <c r="BI35" i="3"/>
  <c r="BI49" i="3"/>
  <c r="BK9" i="3"/>
  <c r="BI40" i="3"/>
  <c r="BK26" i="3"/>
  <c r="BK39" i="3"/>
  <c r="BK14" i="3"/>
  <c r="BK19" i="3"/>
  <c r="BI42" i="3"/>
  <c r="BI47" i="3"/>
  <c r="BI38" i="3"/>
  <c r="BI29" i="3"/>
  <c r="BI4" i="3"/>
  <c r="BK27" i="3"/>
  <c r="BI51" i="3"/>
  <c r="BI25" i="3"/>
  <c r="BI41" i="3"/>
  <c r="BK23" i="3"/>
  <c r="BI17" i="3"/>
  <c r="BI28" i="3"/>
  <c r="BI48" i="3"/>
  <c r="BI44" i="3"/>
  <c r="BI18" i="3"/>
  <c r="BK4" i="3"/>
  <c r="BI43" i="3"/>
  <c r="BI7" i="3"/>
  <c r="BK36" i="3"/>
  <c r="BK44" i="3"/>
  <c r="BK18" i="3"/>
  <c r="BK43" i="3"/>
  <c r="BK16" i="3"/>
  <c r="BK41" i="3"/>
  <c r="BI30" i="3"/>
  <c r="BK33" i="3"/>
  <c r="BK22" i="3"/>
  <c r="BI21" i="3"/>
  <c r="BI24" i="3"/>
  <c r="BI37" i="3"/>
  <c r="BK15" i="3"/>
  <c r="BI34" i="3"/>
  <c r="BK35" i="3"/>
  <c r="BK21" i="3"/>
  <c r="BI9" i="3"/>
  <c r="BK47" i="3"/>
  <c r="BG26" i="3"/>
  <c r="BK7" i="3"/>
  <c r="BI15" i="3"/>
  <c r="BG19" i="3"/>
  <c r="BG8" i="3"/>
  <c r="BI13" i="3"/>
  <c r="BR13" i="3"/>
  <c r="BR9" i="3"/>
  <c r="BR11" i="3"/>
  <c r="BR8" i="3"/>
  <c r="BR18" i="3"/>
  <c r="BR12" i="3"/>
  <c r="BR19" i="3"/>
  <c r="BR10" i="3"/>
  <c r="BP31" i="3"/>
  <c r="BR21" i="3"/>
  <c r="BR44" i="3"/>
  <c r="BP35" i="3"/>
  <c r="BR25" i="3"/>
  <c r="BP42" i="3"/>
  <c r="BR23" i="3"/>
  <c r="BR40" i="3"/>
  <c r="BP28" i="3"/>
  <c r="BR46" i="3"/>
  <c r="BP44" i="3"/>
  <c r="BR47" i="3"/>
  <c r="BR15" i="3"/>
  <c r="BR31" i="3"/>
  <c r="BP20" i="3"/>
  <c r="BR35" i="3"/>
  <c r="BP43" i="3"/>
  <c r="BR42" i="3"/>
  <c r="BP40" i="3"/>
  <c r="BP50" i="3"/>
  <c r="BR32" i="3"/>
  <c r="BP5" i="3"/>
  <c r="BR22" i="3"/>
  <c r="BP21" i="3"/>
  <c r="BR49" i="3"/>
  <c r="BP32" i="3"/>
  <c r="BR20" i="3"/>
  <c r="BR43" i="3"/>
  <c r="BR26" i="3"/>
  <c r="BR5" i="3"/>
  <c r="BP46" i="3"/>
  <c r="BR30" i="3"/>
  <c r="BP25" i="3"/>
  <c r="BR48" i="3"/>
  <c r="BR29" i="3"/>
  <c r="BP45" i="3"/>
  <c r="BR24" i="3"/>
  <c r="BP37" i="3"/>
  <c r="BP52" i="3"/>
  <c r="BP33" i="3"/>
  <c r="BR16" i="3"/>
  <c r="BR17" i="3"/>
  <c r="BR50" i="3"/>
  <c r="BP22" i="3"/>
  <c r="BR39" i="3"/>
  <c r="BP23" i="3"/>
  <c r="BR6" i="3"/>
  <c r="BR45" i="3"/>
  <c r="BR37" i="3"/>
  <c r="BR52" i="3"/>
  <c r="BP27" i="3"/>
  <c r="BR33" i="3"/>
  <c r="BP36" i="3"/>
  <c r="BP34" i="3"/>
  <c r="BR41" i="3"/>
  <c r="BP26" i="3"/>
  <c r="BP38" i="3"/>
  <c r="BP24" i="3"/>
  <c r="BR27" i="3"/>
  <c r="BP51" i="3"/>
  <c r="BR36" i="3"/>
  <c r="BR34" i="3"/>
  <c r="BP7" i="3"/>
  <c r="BR38" i="3"/>
  <c r="BP30" i="3"/>
  <c r="BR4" i="3"/>
  <c r="BP47" i="3"/>
  <c r="BR51" i="3"/>
  <c r="BP49" i="3"/>
  <c r="BP48" i="3"/>
  <c r="BR28" i="3"/>
  <c r="BR7" i="3"/>
  <c r="BP41" i="3"/>
  <c r="BP29" i="3"/>
  <c r="BR14" i="3"/>
  <c r="BP16" i="3"/>
  <c r="BP39" i="3"/>
  <c r="BP10" i="3"/>
  <c r="BP12" i="3"/>
  <c r="BP9" i="3"/>
  <c r="BP14" i="3"/>
  <c r="BP18" i="3"/>
  <c r="BP11" i="3"/>
  <c r="BP6" i="3"/>
  <c r="BN26" i="3"/>
  <c r="BP13" i="3"/>
  <c r="BP8" i="3"/>
  <c r="BP17" i="3"/>
  <c r="BP19" i="3"/>
  <c r="BP4" i="3"/>
  <c r="CF52" i="3"/>
  <c r="BY35" i="3"/>
  <c r="BY29" i="3"/>
  <c r="BY11" i="3"/>
  <c r="CF41" i="3"/>
  <c r="BY4" i="3"/>
  <c r="CF11" i="3"/>
  <c r="BW9" i="3"/>
  <c r="CD15" i="3"/>
  <c r="BY32" i="3"/>
  <c r="BU26" i="3"/>
  <c r="BU18" i="3"/>
  <c r="BY8" i="3"/>
  <c r="CF20" i="3"/>
  <c r="BY27" i="3"/>
  <c r="BY5" i="3"/>
  <c r="CF14" i="3"/>
  <c r="BW19" i="3"/>
  <c r="BY20" i="3"/>
  <c r="BW4" i="3"/>
  <c r="CF51" i="3"/>
  <c r="CD16" i="3"/>
  <c r="CF10" i="3"/>
  <c r="BY52" i="3"/>
  <c r="CF17" i="3"/>
  <c r="CF26" i="3"/>
  <c r="BY14" i="3"/>
  <c r="BW11" i="3"/>
  <c r="BY24" i="3"/>
  <c r="BY28" i="3"/>
  <c r="BW15" i="3"/>
  <c r="CF44" i="3"/>
  <c r="CB12" i="3"/>
  <c r="CF27" i="3"/>
  <c r="CF23" i="3"/>
  <c r="CF35" i="3"/>
  <c r="BY34" i="3"/>
  <c r="BY41" i="3"/>
  <c r="BY26" i="3"/>
  <c r="CF16" i="3"/>
  <c r="BY45" i="3"/>
  <c r="CD19" i="3"/>
  <c r="CF45" i="3"/>
  <c r="CF32" i="3"/>
  <c r="CF40" i="3"/>
  <c r="CF7" i="3"/>
  <c r="CF47" i="3"/>
  <c r="BY39" i="3"/>
  <c r="CD10" i="3"/>
  <c r="BY9" i="3"/>
  <c r="CF34" i="3"/>
  <c r="BW14" i="3"/>
  <c r="CF38" i="3"/>
  <c r="BY21" i="3"/>
  <c r="CF8" i="3"/>
  <c r="CF19" i="3"/>
  <c r="BY43" i="3"/>
  <c r="CD18" i="3"/>
  <c r="BY18" i="3"/>
  <c r="BY38" i="3"/>
  <c r="BU13" i="3"/>
  <c r="BY30" i="3"/>
  <c r="CF42" i="3"/>
  <c r="BY7" i="3"/>
  <c r="CF9" i="3"/>
  <c r="CD13" i="3"/>
  <c r="BY49" i="3"/>
  <c r="BY48" i="3"/>
  <c r="CF43" i="3"/>
  <c r="CF36" i="3"/>
  <c r="CF30" i="3"/>
  <c r="BY46" i="3"/>
  <c r="CF5" i="3"/>
  <c r="BY23" i="3"/>
  <c r="BY16" i="3"/>
  <c r="CF37" i="3"/>
  <c r="CD17" i="3"/>
  <c r="BY31" i="3"/>
  <c r="CF39" i="3"/>
  <c r="BY50" i="3"/>
  <c r="BY6" i="3"/>
  <c r="BY51" i="3"/>
  <c r="BY22" i="3"/>
  <c r="BY37" i="3"/>
  <c r="CF31" i="3"/>
  <c r="BY19" i="3"/>
  <c r="BW8" i="3"/>
  <c r="BY40" i="3"/>
  <c r="BU7" i="3"/>
  <c r="CF15" i="3"/>
  <c r="CD9" i="3"/>
  <c r="CF50" i="3"/>
  <c r="BW6" i="3"/>
  <c r="CF25" i="3"/>
  <c r="CF28" i="3"/>
  <c r="CF49" i="3"/>
  <c r="BY10" i="3"/>
  <c r="CF13" i="3"/>
  <c r="CF6" i="3"/>
  <c r="BY36" i="3"/>
  <c r="CF33" i="3"/>
  <c r="BW12" i="3"/>
  <c r="BY44" i="3"/>
  <c r="CF46" i="3"/>
  <c r="CF12" i="3"/>
  <c r="BW17" i="3"/>
  <c r="BY33" i="3"/>
  <c r="CF24" i="3"/>
  <c r="BY47" i="3"/>
  <c r="BW10" i="3"/>
  <c r="CD8" i="3"/>
  <c r="CF22" i="3"/>
  <c r="CB11" i="3"/>
  <c r="BU5" i="3"/>
  <c r="BY25" i="3"/>
  <c r="CD14" i="3"/>
  <c r="BW16" i="3"/>
  <c r="BY42" i="3"/>
  <c r="CD26" i="3"/>
  <c r="BY13" i="3"/>
  <c r="CF29" i="3"/>
  <c r="CF4" i="3"/>
  <c r="CF18" i="3"/>
  <c r="BY12" i="3"/>
  <c r="BY15" i="3"/>
  <c r="CF48" i="3"/>
  <c r="BY17" i="3"/>
  <c r="CF21" i="3"/>
  <c r="BP15" i="3"/>
  <c r="BW37" i="3"/>
  <c r="BW42" i="3"/>
  <c r="BW50" i="3"/>
  <c r="BW22" i="3"/>
  <c r="BW39" i="3"/>
  <c r="BW32" i="3"/>
  <c r="BW43" i="3"/>
  <c r="BW24" i="3"/>
  <c r="BW49" i="3"/>
  <c r="BW23" i="3"/>
  <c r="BW46" i="3"/>
  <c r="BW21" i="3"/>
  <c r="BW28" i="3"/>
  <c r="BW35" i="3"/>
  <c r="BW52" i="3"/>
  <c r="BW38" i="3"/>
  <c r="BW27" i="3"/>
  <c r="BW25" i="3"/>
  <c r="BW48" i="3"/>
  <c r="BW51" i="3"/>
  <c r="BW34" i="3"/>
  <c r="BW20" i="3"/>
  <c r="BW44" i="3"/>
  <c r="BW47" i="3"/>
  <c r="BW45" i="3"/>
  <c r="BW41" i="3"/>
  <c r="BW33" i="3"/>
  <c r="BW36" i="3"/>
  <c r="BW40" i="3"/>
  <c r="BW31" i="3"/>
  <c r="BW30" i="3"/>
  <c r="BW29" i="3"/>
  <c r="CD21" i="3"/>
  <c r="CD36" i="3"/>
  <c r="CD39" i="3"/>
  <c r="CD25" i="3"/>
  <c r="CD48" i="3"/>
  <c r="CD5" i="3"/>
  <c r="CD40" i="3"/>
  <c r="CD22" i="3"/>
  <c r="CD49" i="3"/>
  <c r="CD24" i="3"/>
  <c r="CD4" i="3"/>
  <c r="CD7" i="3"/>
  <c r="CD50" i="3"/>
  <c r="CD29" i="3"/>
  <c r="CD44" i="3"/>
  <c r="CD6" i="3"/>
  <c r="CD42" i="3"/>
  <c r="CD41" i="3"/>
  <c r="CB26" i="3"/>
  <c r="CD20" i="3"/>
  <c r="CD31" i="3"/>
  <c r="CD51" i="3"/>
  <c r="CD23" i="3"/>
  <c r="CD27" i="3"/>
  <c r="CD33" i="3"/>
  <c r="CD43" i="3"/>
  <c r="CD28" i="3"/>
  <c r="CD46" i="3"/>
  <c r="CD34" i="3"/>
  <c r="CD30" i="3"/>
  <c r="CD45" i="3"/>
  <c r="CD38" i="3"/>
  <c r="CD35" i="3"/>
  <c r="CD52" i="3"/>
  <c r="CD47" i="3"/>
  <c r="CD32" i="3"/>
  <c r="CB17" i="3"/>
  <c r="CD37" i="3"/>
  <c r="BU6" i="3"/>
  <c r="BU25" i="3"/>
  <c r="BU14" i="3"/>
  <c r="BU9" i="3"/>
  <c r="CD12" i="3"/>
  <c r="CB15" i="3"/>
  <c r="CB29" i="3"/>
  <c r="CB14" i="3"/>
  <c r="CB31" i="3"/>
  <c r="CB25" i="3"/>
  <c r="BN25" i="3"/>
  <c r="BN33" i="3"/>
  <c r="BN7" i="3"/>
  <c r="BN52" i="3"/>
  <c r="BN9" i="3"/>
  <c r="BG33" i="3"/>
  <c r="BG20" i="3"/>
  <c r="BG43" i="3"/>
  <c r="BG17" i="3"/>
  <c r="BG35" i="3"/>
  <c r="BI19" i="3"/>
  <c r="BI10" i="3"/>
  <c r="BB13" i="3"/>
  <c r="AL31" i="3"/>
  <c r="AL39" i="3"/>
  <c r="AN29" i="3"/>
  <c r="AN36" i="3"/>
  <c r="AE40" i="3"/>
  <c r="AE51" i="3"/>
  <c r="AE52" i="3"/>
  <c r="AE48" i="3"/>
  <c r="AE39" i="3"/>
  <c r="AG21" i="3"/>
  <c r="AG43" i="3"/>
  <c r="AG11" i="3"/>
  <c r="X27" i="3"/>
  <c r="X7" i="3"/>
  <c r="X10" i="3"/>
  <c r="Z27" i="3"/>
  <c r="Z26" i="3"/>
  <c r="Z29" i="3"/>
  <c r="Z38" i="3"/>
  <c r="Q42" i="3"/>
  <c r="Q18" i="3"/>
  <c r="L38" i="3"/>
  <c r="L8" i="3"/>
  <c r="L26" i="3"/>
  <c r="L33" i="3"/>
  <c r="J19" i="3"/>
  <c r="J15" i="3"/>
  <c r="J10" i="3"/>
  <c r="E37" i="3"/>
  <c r="E46" i="3"/>
  <c r="E15" i="3"/>
  <c r="E33" i="3"/>
  <c r="E4" i="3"/>
  <c r="C6" i="3"/>
  <c r="C17" i="3"/>
  <c r="C41" i="3"/>
  <c r="C49" i="3"/>
  <c r="C40" i="3"/>
  <c r="C21" i="3"/>
  <c r="BU19" i="3"/>
  <c r="BU27" i="3"/>
  <c r="BU47" i="3"/>
  <c r="BU52" i="3"/>
  <c r="CD11" i="3"/>
  <c r="CB36" i="3"/>
  <c r="CB6" i="3"/>
  <c r="CB18" i="3"/>
  <c r="CB5" i="3"/>
  <c r="CB20" i="3"/>
  <c r="CB24" i="3"/>
  <c r="CB10" i="3"/>
  <c r="BN18" i="3"/>
  <c r="BN47" i="3"/>
  <c r="BN11" i="3"/>
  <c r="BN37" i="3"/>
  <c r="BN6" i="3"/>
  <c r="BG13" i="3"/>
  <c r="BG24" i="3"/>
  <c r="BG44" i="3"/>
  <c r="BG25" i="3"/>
  <c r="BG15" i="3"/>
  <c r="BI14" i="3"/>
  <c r="AL9" i="3"/>
  <c r="AL23" i="3"/>
  <c r="AL5" i="3"/>
  <c r="AN16" i="3"/>
  <c r="AN45" i="3"/>
  <c r="AE31" i="3"/>
  <c r="AE11" i="3"/>
  <c r="AE5" i="3"/>
  <c r="AE33" i="3"/>
  <c r="AE18" i="3"/>
  <c r="AG5" i="3"/>
  <c r="AG26" i="3"/>
  <c r="X49" i="3"/>
  <c r="X14" i="3"/>
  <c r="Z51" i="3"/>
  <c r="Z34" i="3"/>
  <c r="Z18" i="3"/>
  <c r="Z43" i="3"/>
  <c r="S17" i="3"/>
  <c r="S38" i="3"/>
  <c r="Q33" i="3"/>
  <c r="Q30" i="3"/>
  <c r="Q24" i="3"/>
  <c r="Q44" i="3"/>
  <c r="L41" i="3"/>
  <c r="L32" i="3"/>
  <c r="J39" i="3"/>
  <c r="J50" i="3"/>
  <c r="E26" i="3"/>
  <c r="E36" i="3"/>
  <c r="E52" i="3"/>
  <c r="E17" i="3"/>
  <c r="E49" i="3"/>
  <c r="C24" i="3"/>
  <c r="C35" i="3"/>
  <c r="C16" i="3"/>
  <c r="C42" i="3"/>
  <c r="C43" i="3"/>
  <c r="BU16" i="3"/>
  <c r="BU22" i="3"/>
  <c r="BU31" i="3"/>
  <c r="BU41" i="3"/>
  <c r="CB23" i="3"/>
  <c r="CB27" i="3"/>
  <c r="CB40" i="3"/>
  <c r="CB7" i="3"/>
  <c r="CB33" i="3"/>
  <c r="CB43" i="3"/>
  <c r="CB16" i="3"/>
  <c r="CB50" i="3"/>
  <c r="CB44" i="3"/>
  <c r="BN21" i="3"/>
  <c r="BN30" i="3"/>
  <c r="BN13" i="3"/>
  <c r="BN38" i="3"/>
  <c r="BN31" i="3"/>
  <c r="BN46" i="3"/>
  <c r="BN29" i="3"/>
  <c r="BN4" i="3"/>
  <c r="BG48" i="3"/>
  <c r="BG51" i="3"/>
  <c r="BG6" i="3"/>
  <c r="BG52" i="3"/>
  <c r="BI8" i="3"/>
  <c r="BI39" i="3"/>
  <c r="BB26" i="3"/>
  <c r="AL34" i="3"/>
  <c r="AL42" i="3"/>
  <c r="AL33" i="3"/>
  <c r="AL6" i="3"/>
  <c r="AN10" i="3"/>
  <c r="AN32" i="3"/>
  <c r="AE42" i="3"/>
  <c r="AE9" i="3"/>
  <c r="AE43" i="3"/>
  <c r="AE36" i="3"/>
  <c r="AE19" i="3"/>
  <c r="AE8" i="3"/>
  <c r="AG30" i="3"/>
  <c r="AG47" i="3"/>
  <c r="X31" i="3"/>
  <c r="X30" i="3"/>
  <c r="Z23" i="3"/>
  <c r="Z15" i="3"/>
  <c r="Z12" i="3"/>
  <c r="Z24" i="3"/>
  <c r="S27" i="3"/>
  <c r="S29" i="3"/>
  <c r="S34" i="3"/>
  <c r="Q7" i="3"/>
  <c r="Q23" i="3"/>
  <c r="Q5" i="3"/>
  <c r="L13" i="3"/>
  <c r="L11" i="3"/>
  <c r="L29" i="3"/>
  <c r="J35" i="3"/>
  <c r="E21" i="3"/>
  <c r="E5" i="3"/>
  <c r="E51" i="3"/>
  <c r="E24" i="3"/>
  <c r="E32" i="3"/>
  <c r="C23" i="3"/>
  <c r="C25" i="3"/>
  <c r="C15" i="3"/>
  <c r="C7" i="3"/>
  <c r="C11" i="3"/>
  <c r="C28" i="3"/>
  <c r="BW13" i="3"/>
  <c r="BU39" i="3"/>
  <c r="BU24" i="3"/>
  <c r="BU44" i="3"/>
  <c r="BU11" i="3"/>
  <c r="BU15" i="3"/>
  <c r="BU46" i="3"/>
  <c r="CB34" i="3"/>
  <c r="CB22" i="3"/>
  <c r="CB9" i="3"/>
  <c r="CB42" i="3"/>
  <c r="CB41" i="3"/>
  <c r="CB35" i="3"/>
  <c r="BN39" i="3"/>
  <c r="BN8" i="3"/>
  <c r="BN34" i="3"/>
  <c r="BN22" i="3"/>
  <c r="BN45" i="3"/>
  <c r="BN17" i="3"/>
  <c r="BN28" i="3"/>
  <c r="BN5" i="3"/>
  <c r="BG7" i="3"/>
  <c r="BG22" i="3"/>
  <c r="BG4" i="3"/>
  <c r="BG31" i="3"/>
  <c r="BI26" i="3"/>
  <c r="BB38" i="3"/>
  <c r="BB8" i="3"/>
  <c r="AL19" i="3"/>
  <c r="AL25" i="3"/>
  <c r="AL30" i="3"/>
  <c r="AN51" i="3"/>
  <c r="AN11" i="3"/>
  <c r="AN20" i="3"/>
  <c r="AN14" i="3"/>
  <c r="AE47" i="3"/>
  <c r="AE32" i="3"/>
  <c r="AE37" i="3"/>
  <c r="AE14" i="3"/>
  <c r="AE35" i="3"/>
  <c r="AE45" i="3"/>
  <c r="AG51" i="3"/>
  <c r="AG41" i="3"/>
  <c r="AG29" i="3"/>
  <c r="AG28" i="3"/>
  <c r="X9" i="3"/>
  <c r="X15" i="3"/>
  <c r="Z32" i="3"/>
  <c r="Z45" i="3"/>
  <c r="Z52" i="3"/>
  <c r="S28" i="3"/>
  <c r="S36" i="3"/>
  <c r="Q12" i="3"/>
  <c r="Q31" i="3"/>
  <c r="Q39" i="3"/>
  <c r="Q19" i="3"/>
  <c r="L31" i="3"/>
  <c r="L4" i="3"/>
  <c r="J5" i="3"/>
  <c r="J43" i="3"/>
  <c r="J27" i="3"/>
  <c r="E18" i="3"/>
  <c r="E25" i="3"/>
  <c r="E45" i="3"/>
  <c r="E44" i="3"/>
  <c r="E40" i="3"/>
  <c r="C51" i="3"/>
  <c r="C50" i="3"/>
  <c r="C14" i="3"/>
  <c r="C32" i="3"/>
  <c r="C22" i="3"/>
  <c r="BW26" i="3"/>
  <c r="BU20" i="3"/>
  <c r="BU12" i="3"/>
  <c r="BU28" i="3"/>
  <c r="BU33" i="3"/>
  <c r="BU49" i="3"/>
  <c r="BU17" i="3"/>
  <c r="BU42" i="3"/>
  <c r="CB52" i="3"/>
  <c r="CB51" i="3"/>
  <c r="CB30" i="3"/>
  <c r="CB45" i="3"/>
  <c r="CB8" i="3"/>
  <c r="CB28" i="3"/>
  <c r="BN15" i="3"/>
  <c r="BN24" i="3"/>
  <c r="BN36" i="3"/>
  <c r="BN50" i="3"/>
  <c r="BN19" i="3"/>
  <c r="BN32" i="3"/>
  <c r="BG34" i="3"/>
  <c r="BG21" i="3"/>
  <c r="BG30" i="3"/>
  <c r="BG29" i="3"/>
  <c r="BG32" i="3"/>
  <c r="BG38" i="3"/>
  <c r="BG18" i="3"/>
  <c r="BB7" i="3"/>
  <c r="AL37" i="3"/>
  <c r="AL17" i="3"/>
  <c r="AL27" i="3"/>
  <c r="AN50" i="3"/>
  <c r="AN7" i="3"/>
  <c r="AN52" i="3"/>
  <c r="AE41" i="3"/>
  <c r="AE13" i="3"/>
  <c r="AE23" i="3"/>
  <c r="AE49" i="3"/>
  <c r="AE21" i="3"/>
  <c r="AE17" i="3"/>
  <c r="AG9" i="3"/>
  <c r="AG24" i="3"/>
  <c r="AG27" i="3"/>
  <c r="AG37" i="3"/>
  <c r="AG18" i="3"/>
  <c r="AG40" i="3"/>
  <c r="X28" i="3"/>
  <c r="X13" i="3"/>
  <c r="X33" i="3"/>
  <c r="X48" i="3"/>
  <c r="Z48" i="3"/>
  <c r="Z17" i="3"/>
  <c r="S43" i="3"/>
  <c r="Q37" i="3"/>
  <c r="Q49" i="3"/>
  <c r="Q40" i="3"/>
  <c r="L17" i="3"/>
  <c r="J7" i="3"/>
  <c r="J34" i="3"/>
  <c r="J9" i="3"/>
  <c r="E19" i="3"/>
  <c r="E14" i="3"/>
  <c r="E12" i="3"/>
  <c r="E42" i="3"/>
  <c r="E30" i="3"/>
  <c r="C27" i="3"/>
  <c r="C52" i="3"/>
  <c r="C9" i="3"/>
  <c r="C44" i="3"/>
  <c r="C37" i="3"/>
  <c r="BW7" i="3"/>
  <c r="BU23" i="3"/>
  <c r="BU37" i="3"/>
  <c r="BU51" i="3"/>
  <c r="BU50" i="3"/>
  <c r="BU21" i="3"/>
  <c r="BU10" i="3"/>
  <c r="BU40" i="3"/>
  <c r="BU30" i="3"/>
  <c r="CB19" i="3"/>
  <c r="CB32" i="3"/>
  <c r="CB37" i="3"/>
  <c r="CB46" i="3"/>
  <c r="CB21" i="3"/>
  <c r="BN41" i="3"/>
  <c r="BN27" i="3"/>
  <c r="BN40" i="3"/>
  <c r="BN51" i="3"/>
  <c r="BN16" i="3"/>
  <c r="BN43" i="3"/>
  <c r="BG42" i="3"/>
  <c r="BG41" i="3"/>
  <c r="BG45" i="3"/>
  <c r="BG16" i="3"/>
  <c r="BG23" i="3"/>
  <c r="BG47" i="3"/>
  <c r="AL8" i="3"/>
  <c r="AL41" i="3"/>
  <c r="AL22" i="3"/>
  <c r="AN47" i="3"/>
  <c r="AN18" i="3"/>
  <c r="AN13" i="3"/>
  <c r="AN38" i="3"/>
  <c r="AE22" i="3"/>
  <c r="AE10" i="3"/>
  <c r="AE4" i="3"/>
  <c r="AE38" i="3"/>
  <c r="AE20" i="3"/>
  <c r="AG22" i="3"/>
  <c r="AG25" i="3"/>
  <c r="AG52" i="3"/>
  <c r="AG48" i="3"/>
  <c r="AG33" i="3"/>
  <c r="AG8" i="3"/>
  <c r="AG31" i="3"/>
  <c r="X39" i="3"/>
  <c r="X22" i="3"/>
  <c r="X29" i="3"/>
  <c r="X24" i="3"/>
  <c r="Z28" i="3"/>
  <c r="Z30" i="3"/>
  <c r="Z6" i="3"/>
  <c r="S16" i="3"/>
  <c r="S8" i="3"/>
  <c r="S9" i="3"/>
  <c r="Q50" i="3"/>
  <c r="Q45" i="3"/>
  <c r="L36" i="3"/>
  <c r="L25" i="3"/>
  <c r="J21" i="3"/>
  <c r="J16" i="3"/>
  <c r="J42" i="3"/>
  <c r="J28" i="3"/>
  <c r="E29" i="3"/>
  <c r="E22" i="3"/>
  <c r="E16" i="3"/>
  <c r="E35" i="3"/>
  <c r="E41" i="3"/>
  <c r="C10" i="3"/>
  <c r="C29" i="3"/>
  <c r="C36" i="3"/>
  <c r="C33" i="3"/>
  <c r="C19" i="3"/>
  <c r="BW18" i="3"/>
  <c r="BU36" i="3"/>
  <c r="BU48" i="3"/>
  <c r="BU8" i="3"/>
  <c r="BU43" i="3"/>
  <c r="BU29" i="3"/>
  <c r="BU35" i="3"/>
  <c r="BU34" i="3"/>
  <c r="CB48" i="3"/>
  <c r="CB39" i="3"/>
  <c r="CB49" i="3"/>
  <c r="CB38" i="3"/>
  <c r="BN48" i="3"/>
  <c r="BN12" i="3"/>
  <c r="BN42" i="3"/>
  <c r="BN10" i="3"/>
  <c r="BN20" i="3"/>
  <c r="BG37" i="3"/>
  <c r="BG5" i="3"/>
  <c r="BG46" i="3"/>
  <c r="BG27" i="3"/>
  <c r="BG9" i="3"/>
  <c r="AZ25" i="3"/>
  <c r="AL49" i="3"/>
  <c r="AL28" i="3"/>
  <c r="AN43" i="3"/>
  <c r="AN48" i="3"/>
  <c r="AN24" i="3"/>
  <c r="AE50" i="3"/>
  <c r="AE34" i="3"/>
  <c r="AE6" i="3"/>
  <c r="AE29" i="3"/>
  <c r="AE25" i="3"/>
  <c r="AE28" i="3"/>
  <c r="AE30" i="3"/>
  <c r="AG50" i="3"/>
  <c r="AG49" i="3"/>
  <c r="AG14" i="3"/>
  <c r="AG12" i="3"/>
  <c r="AG10" i="3"/>
  <c r="AG36" i="3"/>
  <c r="X16" i="3"/>
  <c r="X35" i="3"/>
  <c r="X50" i="3"/>
  <c r="X42" i="3"/>
  <c r="X19" i="3"/>
  <c r="Z35" i="3"/>
  <c r="Z21" i="3"/>
  <c r="Z25" i="3"/>
  <c r="Z11" i="3"/>
  <c r="S13" i="3"/>
  <c r="S10" i="3"/>
  <c r="S15" i="3"/>
  <c r="S11" i="3"/>
  <c r="Q48" i="3"/>
  <c r="Q20" i="3"/>
  <c r="L6" i="3"/>
  <c r="L46" i="3"/>
  <c r="J44" i="3"/>
  <c r="J22" i="3"/>
  <c r="J18" i="3"/>
  <c r="J23" i="3"/>
  <c r="E28" i="3"/>
  <c r="E31" i="3"/>
  <c r="E38" i="3"/>
  <c r="E23" i="3"/>
  <c r="E47" i="3"/>
  <c r="C46" i="3"/>
  <c r="C8" i="3"/>
  <c r="C5" i="3"/>
  <c r="C38" i="3"/>
  <c r="C45" i="3"/>
  <c r="C39" i="3"/>
  <c r="BW5" i="3"/>
  <c r="BU38" i="3"/>
  <c r="BU32" i="3"/>
  <c r="BU4" i="3"/>
  <c r="BU45" i="3"/>
  <c r="CB13" i="3"/>
  <c r="CB47" i="3"/>
  <c r="CB4" i="3"/>
  <c r="BN23" i="3"/>
  <c r="BN49" i="3"/>
  <c r="BN14" i="3"/>
  <c r="BN35" i="3"/>
  <c r="BN44" i="3"/>
  <c r="BG36" i="3"/>
  <c r="BG40" i="3"/>
  <c r="BG28" i="3"/>
  <c r="BG50" i="3"/>
  <c r="BG49" i="3"/>
  <c r="BI11" i="3"/>
  <c r="AZ19" i="3"/>
  <c r="AL40" i="3"/>
  <c r="AN44" i="3"/>
  <c r="AN46" i="3"/>
  <c r="AE46" i="3"/>
  <c r="AE44" i="3"/>
  <c r="AE26" i="3"/>
  <c r="AE24" i="3"/>
  <c r="AE27" i="3"/>
  <c r="AE7" i="3"/>
  <c r="AE16" i="3"/>
  <c r="AG19" i="3"/>
  <c r="AG20" i="3"/>
  <c r="AG35" i="3"/>
  <c r="X8" i="3"/>
  <c r="X41" i="3"/>
  <c r="X36" i="3"/>
  <c r="X25" i="3"/>
  <c r="X37" i="3"/>
  <c r="Z46" i="3"/>
  <c r="Z50" i="3"/>
  <c r="Z47" i="3"/>
  <c r="Z8" i="3"/>
  <c r="Z20" i="3"/>
  <c r="S26" i="3"/>
  <c r="S14" i="3"/>
  <c r="S35" i="3"/>
  <c r="S32" i="3"/>
  <c r="Q22" i="3"/>
  <c r="Q41" i="3"/>
  <c r="Q6" i="3"/>
  <c r="L48" i="3"/>
  <c r="L52" i="3"/>
  <c r="L47" i="3"/>
  <c r="J14" i="3"/>
  <c r="J24" i="3"/>
  <c r="J37" i="3"/>
  <c r="J45" i="3"/>
  <c r="E39" i="3"/>
  <c r="E50" i="3"/>
  <c r="E34" i="3"/>
  <c r="E13" i="3"/>
  <c r="E20" i="3"/>
  <c r="C4" i="3"/>
  <c r="C47" i="3"/>
  <c r="C31" i="3"/>
  <c r="C48" i="3"/>
  <c r="C30" i="3"/>
  <c r="C18" i="3"/>
  <c r="Z40" i="3"/>
  <c r="S51" i="3"/>
  <c r="L20" i="3"/>
  <c r="S47" i="3"/>
  <c r="AG44" i="3"/>
  <c r="L49" i="3"/>
  <c r="AE15" i="3"/>
  <c r="S4" i="3"/>
  <c r="AN35" i="3"/>
  <c r="AL4" i="3"/>
  <c r="C34" i="3"/>
  <c r="X5" i="3"/>
  <c r="O12" i="3" l="1"/>
  <c r="O51" i="3"/>
  <c r="H12" i="3"/>
  <c r="H9" i="3"/>
  <c r="O8" i="3"/>
  <c r="O40" i="3"/>
  <c r="O42" i="3"/>
  <c r="H27" i="3"/>
  <c r="O37" i="3"/>
  <c r="H20" i="3"/>
  <c r="H7" i="3"/>
  <c r="O23" i="3"/>
  <c r="O32" i="3"/>
  <c r="H48" i="3"/>
  <c r="O6" i="3"/>
  <c r="O21" i="3"/>
  <c r="O41" i="3"/>
  <c r="O39" i="3"/>
  <c r="O10" i="3"/>
  <c r="H6" i="3"/>
  <c r="O33" i="3"/>
  <c r="O43" i="3"/>
  <c r="H8" i="3"/>
  <c r="O14" i="3"/>
  <c r="O30" i="3"/>
  <c r="O29" i="3"/>
  <c r="O4" i="3"/>
  <c r="O45" i="3"/>
  <c r="O34" i="3"/>
  <c r="O19" i="3"/>
  <c r="O50" i="3"/>
  <c r="O28" i="3"/>
  <c r="O49" i="3"/>
  <c r="O47" i="3"/>
  <c r="O5" i="3"/>
  <c r="O26" i="3"/>
  <c r="O36" i="3"/>
  <c r="O24" i="3"/>
  <c r="V43" i="3"/>
  <c r="V26" i="3"/>
  <c r="O18" i="3"/>
  <c r="O27" i="3"/>
  <c r="V16" i="3"/>
  <c r="V13" i="3"/>
  <c r="V21" i="3"/>
  <c r="V29" i="3"/>
  <c r="V35" i="3"/>
  <c r="V9" i="3"/>
  <c r="V32" i="3"/>
  <c r="V8" i="3"/>
  <c r="V46" i="3"/>
  <c r="V25" i="3"/>
  <c r="H26" i="3"/>
  <c r="V27" i="3"/>
  <c r="V17" i="3"/>
  <c r="V38" i="3"/>
  <c r="V15" i="3"/>
  <c r="V51" i="3"/>
  <c r="H13" i="3"/>
  <c r="V33" i="3"/>
  <c r="V40" i="3"/>
  <c r="V48" i="3"/>
  <c r="V18" i="3"/>
  <c r="V23" i="3"/>
  <c r="V22" i="3"/>
  <c r="V44" i="3"/>
  <c r="V31" i="3"/>
  <c r="AC45" i="3"/>
  <c r="AC6" i="3"/>
  <c r="V41" i="3"/>
  <c r="V39" i="3"/>
  <c r="V14" i="3"/>
  <c r="AC21" i="3"/>
  <c r="AC43" i="3"/>
  <c r="AC17" i="3"/>
  <c r="AC12" i="3"/>
  <c r="AC23" i="3"/>
  <c r="V12" i="3"/>
  <c r="V42" i="3"/>
  <c r="AC52" i="3"/>
  <c r="AC44" i="3"/>
  <c r="AC41" i="3"/>
  <c r="AC47" i="3"/>
  <c r="AC31" i="3"/>
  <c r="V28" i="3"/>
  <c r="V50" i="3"/>
  <c r="V34" i="3"/>
  <c r="V11" i="3"/>
  <c r="V30" i="3"/>
  <c r="AC5" i="3"/>
  <c r="AC19" i="3"/>
  <c r="AC16" i="3"/>
  <c r="AC22" i="3"/>
  <c r="AC11" i="3"/>
  <c r="AC32" i="3"/>
  <c r="O38" i="3"/>
  <c r="V19" i="3"/>
  <c r="O17" i="3"/>
  <c r="AC9" i="3"/>
  <c r="AC7" i="3"/>
  <c r="O13" i="3"/>
  <c r="O46" i="3"/>
  <c r="AC14" i="3"/>
  <c r="AC13" i="3"/>
  <c r="V10" i="3"/>
  <c r="AC51" i="3"/>
  <c r="AC34" i="3"/>
  <c r="AC36" i="3"/>
  <c r="V52" i="3"/>
  <c r="O22" i="3"/>
  <c r="O48" i="3"/>
  <c r="AC46" i="3"/>
  <c r="V49" i="3"/>
  <c r="V36" i="3"/>
  <c r="H10" i="3"/>
  <c r="O31" i="3"/>
  <c r="O9" i="3"/>
  <c r="AC26" i="3"/>
  <c r="AC37" i="3"/>
  <c r="AC38" i="3"/>
  <c r="AC4" i="3"/>
  <c r="V4" i="3"/>
  <c r="H11" i="3"/>
  <c r="V37" i="3"/>
  <c r="O16" i="3"/>
  <c r="O35" i="3"/>
  <c r="O7" i="3"/>
  <c r="O20" i="3"/>
  <c r="V20" i="3"/>
  <c r="O11" i="3"/>
  <c r="AC18" i="3"/>
  <c r="AC20" i="3"/>
  <c r="AC49" i="3"/>
  <c r="AJ39" i="3"/>
  <c r="AC40" i="3"/>
  <c r="AJ17" i="3"/>
  <c r="AJ23" i="3"/>
  <c r="AQ14" i="3"/>
  <c r="AQ10" i="3"/>
  <c r="AQ43" i="3"/>
  <c r="AQ51" i="3"/>
  <c r="AQ50" i="3"/>
  <c r="AQ13" i="3"/>
  <c r="AJ6" i="3"/>
  <c r="AQ45" i="3"/>
  <c r="AJ42" i="3"/>
  <c r="AQ32" i="3"/>
  <c r="AQ38" i="3"/>
  <c r="AQ24" i="3"/>
  <c r="AQ52" i="3"/>
  <c r="AJ12" i="3"/>
  <c r="AQ31" i="3"/>
  <c r="AQ40" i="3"/>
  <c r="AQ23" i="3"/>
  <c r="AQ25" i="3"/>
  <c r="AQ49" i="3"/>
  <c r="AJ15" i="3"/>
  <c r="AQ39" i="3"/>
  <c r="AQ7" i="3"/>
  <c r="AQ28" i="3"/>
  <c r="AQ46" i="3"/>
  <c r="AQ22" i="3"/>
  <c r="AJ46" i="3"/>
  <c r="AJ16" i="3"/>
  <c r="V5" i="3"/>
  <c r="AQ35" i="3"/>
  <c r="AQ5" i="3"/>
  <c r="AQ18" i="3"/>
  <c r="AQ8" i="3"/>
  <c r="AQ44" i="3"/>
  <c r="AQ26" i="3"/>
  <c r="AQ21" i="3"/>
  <c r="AQ48" i="3"/>
  <c r="AJ7" i="3"/>
  <c r="AQ42" i="3"/>
  <c r="AQ41" i="3"/>
  <c r="AJ34" i="3"/>
  <c r="AQ15" i="3"/>
  <c r="AQ4" i="3"/>
  <c r="AQ11" i="3"/>
  <c r="AQ36" i="3"/>
  <c r="AQ47" i="3"/>
  <c r="AQ9" i="3"/>
  <c r="AQ6" i="3"/>
  <c r="V47" i="3"/>
  <c r="AJ13" i="3"/>
  <c r="V7" i="3"/>
  <c r="AJ4" i="3"/>
  <c r="AJ38" i="3"/>
  <c r="AQ30" i="3"/>
  <c r="BE48" i="3"/>
  <c r="BE41" i="3"/>
  <c r="BE15" i="3"/>
  <c r="BE10" i="3"/>
  <c r="BE30" i="3"/>
  <c r="BE32" i="3"/>
  <c r="BE39" i="3"/>
  <c r="BE20" i="3"/>
  <c r="BE40" i="3"/>
  <c r="BE12" i="3"/>
  <c r="BE27" i="3"/>
  <c r="BE9" i="3"/>
  <c r="BE8" i="3"/>
  <c r="AQ19" i="3"/>
  <c r="AQ27" i="3"/>
  <c r="AQ33" i="3"/>
  <c r="V6" i="3"/>
  <c r="BE14" i="3"/>
  <c r="BE33" i="3"/>
  <c r="BE28" i="3"/>
  <c r="BE42" i="3"/>
  <c r="AX8" i="3"/>
  <c r="BE50" i="3"/>
  <c r="AX26" i="3"/>
  <c r="BE5" i="3"/>
  <c r="BE34" i="3"/>
  <c r="AQ12" i="3"/>
  <c r="BE44" i="3"/>
  <c r="BE11" i="3"/>
  <c r="AQ29" i="3"/>
  <c r="BE35" i="3"/>
  <c r="BE21" i="3"/>
  <c r="BE18" i="3"/>
  <c r="BE25" i="3"/>
  <c r="BE29" i="3"/>
  <c r="BE49" i="3"/>
  <c r="AX18" i="3"/>
  <c r="BE13" i="3"/>
  <c r="AX20" i="3"/>
  <c r="BE51" i="3"/>
  <c r="BE6" i="3"/>
  <c r="BE4" i="3"/>
  <c r="BE45" i="3"/>
  <c r="BE16" i="3"/>
  <c r="BE22" i="3"/>
  <c r="BE37" i="3"/>
  <c r="BE43" i="3"/>
  <c r="BE52" i="3"/>
  <c r="AX16" i="3"/>
  <c r="AQ17" i="3"/>
  <c r="AX15" i="3"/>
  <c r="AX44" i="3"/>
  <c r="AX14" i="3"/>
  <c r="V24" i="3"/>
  <c r="AX19" i="3"/>
  <c r="AX13" i="3"/>
  <c r="BE46" i="3"/>
  <c r="BE23" i="3"/>
  <c r="AX34" i="3"/>
  <c r="AX27" i="3"/>
  <c r="AX17" i="3"/>
  <c r="BE47" i="3"/>
  <c r="AX36" i="3"/>
  <c r="BE24" i="3"/>
  <c r="AX12" i="3"/>
  <c r="AX38" i="3"/>
  <c r="BE31" i="3"/>
  <c r="AX31" i="3"/>
  <c r="BE17" i="3"/>
  <c r="AX9" i="3"/>
  <c r="AX7" i="3"/>
  <c r="AX11" i="3"/>
  <c r="AX32" i="3"/>
  <c r="AX5" i="3"/>
  <c r="AX42" i="3"/>
  <c r="AX37" i="3"/>
  <c r="AX50" i="3"/>
  <c r="AX28" i="3"/>
  <c r="AX52" i="3"/>
  <c r="AX33" i="3"/>
  <c r="AX49" i="3"/>
  <c r="AX47" i="3"/>
  <c r="AX30" i="3"/>
  <c r="AX51" i="3"/>
  <c r="AX40" i="3"/>
  <c r="AX10" i="3"/>
  <c r="BE38" i="3"/>
  <c r="AX22" i="3"/>
  <c r="AX48" i="3"/>
  <c r="AX29" i="3"/>
  <c r="BE7" i="3"/>
  <c r="BE36" i="3"/>
  <c r="AX35" i="3"/>
  <c r="BL11" i="3"/>
  <c r="BL26" i="3"/>
  <c r="BL12" i="3"/>
  <c r="BL48" i="3"/>
  <c r="BL14" i="3"/>
  <c r="BL27" i="3"/>
  <c r="BL17" i="3"/>
  <c r="BL50" i="3"/>
  <c r="AX41" i="3"/>
  <c r="AX4" i="3"/>
  <c r="BL49" i="3"/>
  <c r="BL10" i="3"/>
  <c r="AX6" i="3"/>
  <c r="AX23" i="3"/>
  <c r="BE19" i="3"/>
  <c r="BL7" i="3"/>
  <c r="BL37" i="3"/>
  <c r="BL43" i="3"/>
  <c r="BL20" i="3"/>
  <c r="BL46" i="3"/>
  <c r="AX21" i="3"/>
  <c r="AX45" i="3"/>
  <c r="BL6" i="3"/>
  <c r="AX24" i="3"/>
  <c r="AX39" i="3"/>
  <c r="AX46" i="3"/>
  <c r="AX25" i="3"/>
  <c r="BL32" i="3"/>
  <c r="BL44" i="3"/>
  <c r="BE26" i="3"/>
  <c r="BL35" i="3"/>
  <c r="BL30" i="3"/>
  <c r="BL41" i="3"/>
  <c r="BL42" i="3"/>
  <c r="BL19" i="3"/>
  <c r="BL34" i="3"/>
  <c r="BL4" i="3"/>
  <c r="BL25" i="3"/>
  <c r="BL15" i="3"/>
  <c r="BL18" i="3"/>
  <c r="BS41" i="3"/>
  <c r="BS30" i="3"/>
  <c r="BS24" i="3"/>
  <c r="BS32" i="3"/>
  <c r="BS21" i="3"/>
  <c r="BS50" i="3"/>
  <c r="BS26" i="3"/>
  <c r="BL40" i="3"/>
  <c r="AX43" i="3"/>
  <c r="BS47" i="3"/>
  <c r="BS22" i="3"/>
  <c r="BL45" i="3"/>
  <c r="BL5" i="3"/>
  <c r="BS29" i="3"/>
  <c r="BS27" i="3"/>
  <c r="BS46" i="3"/>
  <c r="BL23" i="3"/>
  <c r="BS31" i="3"/>
  <c r="BS40" i="3"/>
  <c r="BL33" i="3"/>
  <c r="BL16" i="3"/>
  <c r="BS45" i="3"/>
  <c r="BS20" i="3"/>
  <c r="BS25" i="3"/>
  <c r="BS44" i="3"/>
  <c r="BL51" i="3"/>
  <c r="BS8" i="3"/>
  <c r="BL31" i="3"/>
  <c r="BL9" i="3"/>
  <c r="BS37" i="3"/>
  <c r="BL52" i="3"/>
  <c r="BS12" i="3"/>
  <c r="BS23" i="3"/>
  <c r="BL24" i="3"/>
  <c r="BS14" i="3"/>
  <c r="BS16" i="3"/>
  <c r="BS35" i="3"/>
  <c r="BL38" i="3"/>
  <c r="BL8" i="3"/>
  <c r="BS6" i="3"/>
  <c r="BS43" i="3"/>
  <c r="BL29" i="3"/>
  <c r="BL21" i="3"/>
  <c r="BZ7" i="3"/>
  <c r="BS52" i="3"/>
  <c r="BZ5" i="3"/>
  <c r="BS51" i="3"/>
  <c r="BS36" i="3"/>
  <c r="CG11" i="3"/>
  <c r="CG10" i="3"/>
  <c r="BZ16" i="3"/>
  <c r="CG9" i="3"/>
  <c r="BZ8" i="3"/>
  <c r="BZ4" i="3"/>
  <c r="BL28" i="3"/>
  <c r="CG14" i="3"/>
  <c r="BZ14" i="3"/>
  <c r="BZ26" i="3"/>
  <c r="BZ6" i="3"/>
  <c r="CG17" i="3"/>
  <c r="CG8" i="3"/>
  <c r="CG26" i="3"/>
  <c r="BZ10" i="3"/>
  <c r="BZ11" i="3"/>
  <c r="BS4" i="3"/>
  <c r="BZ18" i="3"/>
  <c r="BS11" i="3"/>
  <c r="BS7" i="3"/>
  <c r="BS34" i="3"/>
  <c r="CG13" i="3"/>
  <c r="BS42" i="3"/>
  <c r="BS13" i="3"/>
  <c r="CG18" i="3"/>
  <c r="CG52" i="3"/>
  <c r="BZ32" i="3"/>
  <c r="BS39" i="3"/>
  <c r="BS18" i="3"/>
  <c r="CG5" i="3"/>
  <c r="BS49" i="3"/>
  <c r="BZ36" i="3"/>
  <c r="BZ40" i="3"/>
  <c r="CG40" i="3"/>
  <c r="BZ42" i="3"/>
  <c r="CG30" i="3"/>
  <c r="BZ27" i="3"/>
  <c r="CG29" i="3"/>
  <c r="BZ24" i="3"/>
  <c r="BZ21" i="3"/>
  <c r="BZ15" i="3"/>
  <c r="BS28" i="3"/>
  <c r="BL47" i="3"/>
  <c r="BS10" i="3"/>
  <c r="CG4" i="3"/>
  <c r="BZ44" i="3"/>
  <c r="CG51" i="3"/>
  <c r="BS33" i="3"/>
  <c r="BZ35" i="3"/>
  <c r="CG22" i="3"/>
  <c r="CG28" i="3"/>
  <c r="CG45" i="3"/>
  <c r="BS17" i="3"/>
  <c r="CG16" i="3"/>
  <c r="BS9" i="3"/>
  <c r="BS48" i="3"/>
  <c r="CG25" i="3"/>
  <c r="BZ17" i="3"/>
  <c r="BZ47" i="3"/>
  <c r="BZ49" i="3"/>
  <c r="BZ9" i="3"/>
  <c r="BZ28" i="3"/>
  <c r="BZ22" i="3"/>
  <c r="BZ25" i="3"/>
  <c r="CG32" i="3"/>
  <c r="CG12" i="3"/>
  <c r="CG44" i="3"/>
  <c r="CG49" i="3"/>
  <c r="CG23" i="3"/>
  <c r="BZ23" i="3"/>
  <c r="CG38" i="3"/>
  <c r="CG6" i="3"/>
  <c r="BZ39" i="3"/>
  <c r="BZ45" i="3"/>
  <c r="BZ51" i="3"/>
  <c r="BZ52" i="3"/>
  <c r="BZ13" i="3"/>
  <c r="BZ19" i="3"/>
  <c r="CG43" i="3"/>
  <c r="BZ46" i="3"/>
  <c r="BZ43" i="3"/>
  <c r="AQ16" i="3"/>
  <c r="CG48" i="3"/>
  <c r="CG24" i="3"/>
  <c r="BS19" i="3"/>
  <c r="CG21" i="3"/>
  <c r="BZ12" i="3"/>
  <c r="CG41" i="3"/>
  <c r="CG37" i="3"/>
  <c r="CG15" i="3"/>
  <c r="CG47" i="3"/>
  <c r="CG33" i="3"/>
  <c r="CG31" i="3"/>
  <c r="BZ50" i="3"/>
  <c r="BZ31" i="3"/>
  <c r="BZ37" i="3"/>
  <c r="BZ38" i="3"/>
  <c r="AJ11" i="3"/>
  <c r="AC15" i="3"/>
  <c r="V45" i="3"/>
  <c r="H32" i="3"/>
  <c r="H19" i="3"/>
  <c r="BS15" i="3"/>
  <c r="AC24" i="3"/>
  <c r="BZ30" i="3"/>
  <c r="AJ8" i="3"/>
  <c r="H21" i="3"/>
  <c r="H34" i="3"/>
  <c r="BZ34" i="3"/>
  <c r="O52" i="3"/>
  <c r="H51" i="3"/>
  <c r="H28" i="3"/>
  <c r="CG34" i="3"/>
  <c r="AC35" i="3"/>
  <c r="CG35" i="3"/>
  <c r="BZ20" i="3"/>
  <c r="BL22" i="3"/>
  <c r="AJ27" i="3"/>
  <c r="AJ35" i="3"/>
  <c r="AJ52" i="3"/>
  <c r="AJ9" i="3"/>
  <c r="H22" i="3"/>
  <c r="BS38" i="3"/>
  <c r="H15" i="3"/>
  <c r="AJ29" i="3"/>
  <c r="AC27" i="3"/>
  <c r="CG27" i="3"/>
  <c r="AJ47" i="3"/>
  <c r="AC28" i="3"/>
  <c r="H33" i="3"/>
  <c r="AJ32" i="3"/>
  <c r="CG46" i="3"/>
  <c r="AJ31" i="3"/>
  <c r="AJ20" i="3"/>
  <c r="AJ28" i="3"/>
  <c r="BZ33" i="3"/>
  <c r="CG20" i="3"/>
  <c r="AC30" i="3"/>
  <c r="AJ36" i="3"/>
  <c r="H37" i="3"/>
  <c r="H49" i="3"/>
  <c r="H52" i="3"/>
  <c r="BZ29" i="3"/>
  <c r="CG50" i="3"/>
  <c r="CG7" i="3"/>
  <c r="AJ37" i="3"/>
  <c r="AQ37" i="3"/>
  <c r="AJ30" i="3"/>
  <c r="AJ22" i="3"/>
  <c r="AC50" i="3"/>
  <c r="H4" i="3"/>
  <c r="H38" i="3"/>
  <c r="H36" i="3"/>
  <c r="AJ10" i="3"/>
  <c r="AJ19" i="3"/>
  <c r="H45" i="3"/>
  <c r="H40" i="3"/>
  <c r="BZ41" i="3"/>
  <c r="AJ24" i="3"/>
  <c r="H35" i="3"/>
  <c r="CG39" i="3"/>
  <c r="AJ50" i="3"/>
  <c r="AC39" i="3"/>
  <c r="H5" i="3"/>
  <c r="H44" i="3"/>
  <c r="H18" i="3"/>
  <c r="BL13" i="3"/>
  <c r="AJ25" i="3"/>
  <c r="AJ18" i="3"/>
  <c r="AJ48" i="3"/>
  <c r="AJ21" i="3"/>
  <c r="AC29" i="3"/>
  <c r="AC10" i="3"/>
  <c r="AC25" i="3"/>
  <c r="H24" i="3"/>
  <c r="H25" i="3"/>
  <c r="O25" i="3"/>
  <c r="H14" i="3"/>
  <c r="AJ14" i="3"/>
  <c r="H29" i="3"/>
  <c r="CG42" i="3"/>
  <c r="CG19" i="3"/>
  <c r="AJ26" i="3"/>
  <c r="AJ33" i="3"/>
  <c r="AC48" i="3"/>
  <c r="H23" i="3"/>
  <c r="H30" i="3"/>
  <c r="AJ41" i="3"/>
  <c r="CG36" i="3"/>
  <c r="BL39" i="3"/>
  <c r="AJ44" i="3"/>
  <c r="AC33" i="3"/>
  <c r="H50" i="3"/>
  <c r="H43" i="3"/>
  <c r="H31" i="3"/>
  <c r="O44" i="3"/>
  <c r="H46" i="3"/>
  <c r="H17" i="3"/>
  <c r="AJ45" i="3"/>
  <c r="AC8" i="3"/>
  <c r="O15" i="3"/>
  <c r="BS5" i="3"/>
  <c r="AQ20" i="3"/>
  <c r="AJ49" i="3"/>
  <c r="AJ40" i="3"/>
  <c r="H47" i="3"/>
  <c r="AJ51" i="3"/>
  <c r="BL36" i="3"/>
  <c r="AJ43" i="3"/>
  <c r="AC42" i="3"/>
  <c r="H41" i="3"/>
  <c r="H16" i="3"/>
  <c r="H39" i="3"/>
  <c r="BZ48" i="3"/>
  <c r="H42" i="3"/>
  <c r="AQ34" i="3"/>
  <c r="AJ5" i="3"/>
  <c r="CH39" i="3" l="1"/>
  <c r="CH16" i="3"/>
  <c r="CH29" i="3"/>
  <c r="CH25" i="3"/>
  <c r="CH5" i="3"/>
  <c r="CH35" i="3"/>
  <c r="CH45" i="3"/>
  <c r="CH38" i="3"/>
  <c r="CH37" i="3"/>
  <c r="CH15" i="3"/>
  <c r="CH28" i="3"/>
  <c r="CH31" i="3"/>
  <c r="CH4" i="3"/>
  <c r="CH17" i="3"/>
  <c r="CH23" i="3"/>
  <c r="CH14" i="3"/>
  <c r="CH46" i="3"/>
  <c r="CH50" i="3"/>
  <c r="CH44" i="3"/>
  <c r="CH40" i="3"/>
  <c r="CH36" i="3"/>
  <c r="CH49" i="3"/>
  <c r="CH32" i="3"/>
  <c r="CH6" i="3"/>
  <c r="CH27" i="3"/>
  <c r="CH9" i="3"/>
  <c r="CH34" i="3"/>
  <c r="CH11" i="3"/>
  <c r="CH10" i="3"/>
  <c r="CH13" i="3"/>
  <c r="CH8" i="3"/>
  <c r="CH7" i="3"/>
  <c r="CH12" i="3"/>
  <c r="CH42" i="3"/>
  <c r="CH41" i="3"/>
  <c r="CH30" i="3"/>
  <c r="CH24" i="3"/>
  <c r="CH51" i="3"/>
  <c r="CH21" i="3"/>
  <c r="CH48" i="3"/>
  <c r="CH20" i="3"/>
  <c r="CH47" i="3"/>
  <c r="CH43" i="3"/>
  <c r="CH18" i="3"/>
  <c r="CH52" i="3"/>
  <c r="CH33" i="3"/>
  <c r="CH22" i="3"/>
  <c r="CH19" i="3"/>
  <c r="CH26" i="3"/>
  <c r="D3" i="1" l="1"/>
  <c r="C38" i="1"/>
  <c r="E20" i="1"/>
  <c r="A10" i="1"/>
  <c r="E40" i="1"/>
  <c r="A3" i="1"/>
  <c r="D11" i="1"/>
  <c r="C50" i="1"/>
  <c r="A9" i="1"/>
  <c r="A12" i="1"/>
  <c r="C40" i="1"/>
  <c r="D28" i="1"/>
  <c r="C7" i="1"/>
  <c r="A19" i="1"/>
  <c r="A31" i="1"/>
  <c r="C48" i="1"/>
  <c r="A46" i="1"/>
  <c r="A2" i="1"/>
  <c r="D19" i="1"/>
  <c r="C18" i="1"/>
  <c r="D50" i="1"/>
  <c r="D26" i="1"/>
  <c r="A40" i="1"/>
  <c r="C26" i="1"/>
  <c r="C31" i="1"/>
  <c r="C5" i="1"/>
  <c r="E11" i="1"/>
  <c r="C39" i="1"/>
  <c r="D47" i="1"/>
  <c r="E46" i="1"/>
  <c r="E42" i="1"/>
  <c r="D2" i="1"/>
  <c r="A32" i="1"/>
  <c r="E5" i="1"/>
  <c r="D23" i="1"/>
  <c r="E2" i="1"/>
  <c r="A16" i="1"/>
  <c r="D21" i="1"/>
  <c r="D13" i="1"/>
  <c r="E25" i="1"/>
  <c r="A39" i="1"/>
  <c r="C45" i="1"/>
  <c r="A25" i="1"/>
  <c r="E45" i="1"/>
  <c r="D9" i="1"/>
  <c r="E16" i="1"/>
  <c r="A43" i="1"/>
  <c r="D42" i="1"/>
  <c r="E35" i="1"/>
  <c r="C24" i="1"/>
  <c r="A20" i="1"/>
  <c r="A28" i="1"/>
  <c r="E26" i="1"/>
  <c r="C28" i="1"/>
  <c r="A8" i="1"/>
  <c r="E19" i="1"/>
  <c r="A35" i="1"/>
  <c r="A29" i="1"/>
  <c r="A15" i="1"/>
  <c r="E36" i="1"/>
  <c r="D43" i="1"/>
  <c r="C33" i="1"/>
  <c r="C10" i="1"/>
  <c r="D25" i="1"/>
  <c r="D17" i="1"/>
  <c r="E33" i="1"/>
  <c r="E50" i="1"/>
  <c r="C36" i="1"/>
  <c r="C13" i="1"/>
  <c r="E47" i="1"/>
  <c r="E37" i="1"/>
  <c r="D38" i="1"/>
  <c r="E17" i="1"/>
  <c r="A49" i="1"/>
  <c r="E24" i="1"/>
  <c r="A17" i="1"/>
  <c r="D18" i="1"/>
  <c r="A11" i="1"/>
  <c r="C2" i="1"/>
  <c r="A50" i="1"/>
  <c r="D31" i="1"/>
  <c r="D30" i="1"/>
  <c r="A38" i="1"/>
  <c r="D15" i="1"/>
  <c r="A42" i="1"/>
  <c r="D32" i="1"/>
  <c r="E49" i="1"/>
  <c r="C20" i="1"/>
  <c r="E38" i="1"/>
  <c r="C46" i="1"/>
  <c r="D49" i="1"/>
  <c r="D34" i="1"/>
  <c r="D41" i="1"/>
  <c r="D33" i="1"/>
  <c r="C32" i="1"/>
  <c r="A34" i="1"/>
  <c r="A41" i="1"/>
  <c r="C35" i="1"/>
  <c r="D29" i="1"/>
  <c r="D37" i="1"/>
  <c r="A27" i="1"/>
  <c r="C27" i="1"/>
  <c r="C21" i="1"/>
  <c r="C16" i="1"/>
  <c r="E13" i="1"/>
  <c r="E14" i="1"/>
  <c r="D14" i="1"/>
  <c r="C22" i="1"/>
  <c r="E27" i="1"/>
  <c r="E3" i="1"/>
  <c r="E9" i="1"/>
  <c r="D7" i="1"/>
  <c r="E21" i="1"/>
  <c r="C43" i="1"/>
  <c r="A13" i="1"/>
  <c r="C11" i="1"/>
  <c r="D48" i="1"/>
  <c r="A30" i="1"/>
  <c r="E22" i="1"/>
  <c r="D27" i="1"/>
  <c r="D8" i="1"/>
  <c r="C29" i="1"/>
  <c r="E30" i="1"/>
  <c r="E31" i="1"/>
  <c r="A23" i="1"/>
  <c r="C8" i="1"/>
  <c r="D20" i="1"/>
  <c r="E41" i="1"/>
  <c r="E15" i="1"/>
  <c r="E34" i="1"/>
  <c r="E12" i="1"/>
  <c r="C9" i="1"/>
  <c r="E18" i="1"/>
  <c r="D45" i="1"/>
  <c r="D39" i="1"/>
  <c r="A24" i="1"/>
  <c r="C19" i="1"/>
  <c r="A33" i="1"/>
  <c r="C6" i="1"/>
  <c r="D6" i="1"/>
  <c r="C41" i="1"/>
  <c r="E4" i="1"/>
  <c r="D46" i="1"/>
  <c r="E10" i="1"/>
  <c r="A48" i="1"/>
  <c r="A45" i="1"/>
  <c r="D35" i="1"/>
  <c r="E28" i="1"/>
  <c r="E29" i="1"/>
  <c r="A26" i="1"/>
  <c r="C49" i="1"/>
  <c r="D16" i="1"/>
  <c r="C23" i="1"/>
  <c r="C12" i="1"/>
  <c r="C17" i="1"/>
  <c r="A5" i="1"/>
  <c r="D44" i="1"/>
  <c r="D22" i="1"/>
  <c r="C25" i="1"/>
  <c r="D4" i="1"/>
  <c r="E44" i="1"/>
  <c r="D10" i="1"/>
  <c r="E48" i="1"/>
  <c r="C47" i="1"/>
  <c r="A18" i="1"/>
  <c r="E32" i="1"/>
  <c r="C42" i="1"/>
  <c r="A4" i="1"/>
  <c r="A22" i="1"/>
  <c r="C44" i="1"/>
  <c r="A37" i="1"/>
  <c r="A44" i="1"/>
  <c r="C3" i="1"/>
  <c r="C15" i="1"/>
  <c r="D24" i="1"/>
  <c r="A36" i="1"/>
  <c r="A21" i="1"/>
  <c r="E8" i="1"/>
  <c r="C14" i="1"/>
  <c r="D12" i="1"/>
  <c r="C34" i="1"/>
  <c r="C30" i="1"/>
  <c r="E7" i="1"/>
  <c r="D5" i="1"/>
  <c r="E43" i="1"/>
  <c r="E39" i="1"/>
  <c r="A14" i="1"/>
  <c r="A6" i="1"/>
  <c r="A7" i="1"/>
  <c r="C37" i="1"/>
  <c r="A47" i="1"/>
  <c r="D36" i="1"/>
  <c r="D40" i="1"/>
  <c r="E6" i="1"/>
  <c r="C4" i="1"/>
  <c r="E23" i="1"/>
  <c r="F42" i="1" l="1"/>
  <c r="F28" i="1"/>
  <c r="F3" i="1"/>
  <c r="F19" i="1"/>
  <c r="F20" i="1"/>
  <c r="F36" i="1"/>
  <c r="F35" i="1"/>
  <c r="F40" i="1"/>
  <c r="F45" i="1"/>
  <c r="F9" i="1"/>
  <c r="F50" i="1"/>
  <c r="F22" i="1"/>
  <c r="F7" i="1"/>
  <c r="F13" i="1"/>
  <c r="F31" i="1"/>
  <c r="F37" i="1"/>
  <c r="F11" i="1"/>
  <c r="F39" i="1"/>
  <c r="F8" i="1"/>
  <c r="F10" i="1"/>
  <c r="F21" i="1"/>
  <c r="F4" i="1"/>
  <c r="F26" i="1"/>
  <c r="F49" i="1"/>
  <c r="F33" i="1"/>
  <c r="F14" i="1"/>
  <c r="F29" i="1"/>
  <c r="F24" i="1"/>
  <c r="F23" i="1"/>
  <c r="F30" i="1"/>
  <c r="F5" i="1"/>
  <c r="F17" i="1"/>
  <c r="F38" i="1"/>
  <c r="F25" i="1"/>
  <c r="F2" i="1"/>
  <c r="F32" i="1"/>
  <c r="F16" i="1"/>
  <c r="F46" i="1"/>
  <c r="F44" i="1"/>
  <c r="F48" i="1"/>
  <c r="F27" i="1"/>
  <c r="F41" i="1"/>
  <c r="F18" i="1"/>
  <c r="F43" i="1"/>
  <c r="F47" i="1"/>
  <c r="F12" i="1"/>
  <c r="F6" i="1"/>
  <c r="F34" i="1"/>
  <c r="F15" i="1"/>
  <c r="B3" i="1" l="1"/>
  <c r="B4" i="1" l="1"/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50" i="1" l="1"/>
  <c r="B49" i="1"/>
</calcChain>
</file>

<file path=xl/sharedStrings.xml><?xml version="1.0" encoding="utf-8"?>
<sst xmlns="http://schemas.openxmlformats.org/spreadsheetml/2006/main" count="7124" uniqueCount="376">
  <si>
    <t>Número</t>
  </si>
  <si>
    <t>Posición</t>
  </si>
  <si>
    <t>Nombre</t>
  </si>
  <si>
    <t>_Nombre</t>
  </si>
  <si>
    <t>_Numero</t>
  </si>
  <si>
    <t>_Puntaje</t>
  </si>
  <si>
    <t>_Key</t>
  </si>
  <si>
    <t>_Rank</t>
  </si>
  <si>
    <t>Medica</t>
  </si>
  <si>
    <t>Alberto</t>
  </si>
  <si>
    <t>Luis Peña</t>
  </si>
  <si>
    <t>Alexander</t>
  </si>
  <si>
    <t>Osvaldo</t>
  </si>
  <si>
    <t>Alfredo 1</t>
  </si>
  <si>
    <t>Jose C 2</t>
  </si>
  <si>
    <t>Alfredo 2</t>
  </si>
  <si>
    <t>Peter</t>
  </si>
  <si>
    <t>Aneth</t>
  </si>
  <si>
    <t>Marilyn</t>
  </si>
  <si>
    <t>Finalizado</t>
  </si>
  <si>
    <t>Antonio</t>
  </si>
  <si>
    <t>Carlos</t>
  </si>
  <si>
    <t>Isabel 2</t>
  </si>
  <si>
    <t>Argentina</t>
  </si>
  <si>
    <t>Austria</t>
  </si>
  <si>
    <t>Castillo L.</t>
  </si>
  <si>
    <t>Kattia 2</t>
  </si>
  <si>
    <t>Christofer</t>
  </si>
  <si>
    <t>Milagros</t>
  </si>
  <si>
    <t>Cynthia</t>
  </si>
  <si>
    <t>Edward</t>
  </si>
  <si>
    <t>Espinosa L.</t>
  </si>
  <si>
    <t>Jose C Ahiza</t>
  </si>
  <si>
    <t>Freddy</t>
  </si>
  <si>
    <t>Jose C Judith</t>
  </si>
  <si>
    <t>Francia</t>
  </si>
  <si>
    <t>Irak</t>
  </si>
  <si>
    <t>Isabel 1</t>
  </si>
  <si>
    <t>Mily CF 1</t>
  </si>
  <si>
    <t>Mily Frida</t>
  </si>
  <si>
    <t>Javier</t>
  </si>
  <si>
    <t>Quinnie</t>
  </si>
  <si>
    <t>Jose C 1</t>
  </si>
  <si>
    <t>Mily Zeynneth</t>
  </si>
  <si>
    <t>Noruega</t>
  </si>
  <si>
    <t>Senegal</t>
  </si>
  <si>
    <t>Jose C Ana</t>
  </si>
  <si>
    <t>Kevin</t>
  </si>
  <si>
    <t>José de León</t>
  </si>
  <si>
    <t>Mily Oliver</t>
  </si>
  <si>
    <t>Jovanna</t>
  </si>
  <si>
    <t>Nefreteri</t>
  </si>
  <si>
    <t>Karina</t>
  </si>
  <si>
    <t>Silvia</t>
  </si>
  <si>
    <t>Kattia 1</t>
  </si>
  <si>
    <t>Saul</t>
  </si>
  <si>
    <t>Jordania</t>
  </si>
  <si>
    <t>Argelia</t>
  </si>
  <si>
    <t>Lizka</t>
  </si>
  <si>
    <t>Walder</t>
  </si>
  <si>
    <t>Marco R.</t>
  </si>
  <si>
    <t>Waldo</t>
  </si>
  <si>
    <t>Maricela</t>
  </si>
  <si>
    <t>Mily CF 2</t>
  </si>
  <si>
    <t>Radames</t>
  </si>
  <si>
    <t>Ninoshka</t>
  </si>
  <si>
    <t>España</t>
  </si>
  <si>
    <t>Arabia Saudita</t>
  </si>
  <si>
    <t>Bélgica</t>
  </si>
  <si>
    <t>Irán</t>
  </si>
  <si>
    <t>Uruguay</t>
  </si>
  <si>
    <t>Cabo Verde</t>
  </si>
  <si>
    <t>Nueva Zelanda</t>
  </si>
  <si>
    <t>Egipto</t>
  </si>
  <si>
    <t>Grupos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</si>
  <si>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</si>
  <si>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</si>
  <si>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</si>
  <si>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</si>
  <si>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</si>
  <si>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</si>
  <si>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</si>
  <si>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</si>
  <si>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</si>
  <si>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</si>
  <si>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</si>
  <si>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</si>
  <si>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1°</t>
  </si>
  <si>
    <t>P</t>
  </si>
  <si>
    <t>2°</t>
  </si>
  <si>
    <t>3°</t>
  </si>
  <si>
    <t>T</t>
  </si>
  <si>
    <t>Total</t>
  </si>
  <si>
    <t>Equipos</t>
  </si>
  <si>
    <t>México</t>
  </si>
  <si>
    <t>Corea República</t>
  </si>
  <si>
    <t>Canadá</t>
  </si>
  <si>
    <t>Suiza</t>
  </si>
  <si>
    <t>Brasil</t>
  </si>
  <si>
    <t>Marruecos</t>
  </si>
  <si>
    <t>Estados Unidos</t>
  </si>
  <si>
    <t>Australia</t>
  </si>
  <si>
    <t>Alemania</t>
  </si>
  <si>
    <t>Costa de Marfil</t>
  </si>
  <si>
    <t>Países Bajos</t>
  </si>
  <si>
    <t>Japón</t>
  </si>
  <si>
    <t>Colombia</t>
  </si>
  <si>
    <t>Portugal</t>
  </si>
  <si>
    <t>Inglaterra</t>
  </si>
  <si>
    <t>Ghana</t>
  </si>
  <si>
    <t>Sudáfrica</t>
  </si>
  <si>
    <t>Bosnia y Herzegovina</t>
  </si>
  <si>
    <t>Escocia</t>
  </si>
  <si>
    <t>Paraguay</t>
  </si>
  <si>
    <t>Türkiye</t>
  </si>
  <si>
    <t>Ecuador</t>
  </si>
  <si>
    <t>Suecia</t>
  </si>
  <si>
    <t>RD Congo</t>
  </si>
  <si>
    <t>Croacia</t>
  </si>
  <si>
    <t>Chequia</t>
  </si>
  <si>
    <t>Panamá</t>
  </si>
  <si>
    <t>Qatar</t>
  </si>
  <si>
    <t>Curazao</t>
  </si>
  <si>
    <t>Uzbekistán</t>
  </si>
  <si>
    <t>Túnez</t>
  </si>
  <si>
    <t>Haití</t>
  </si>
  <si>
    <t>#</t>
  </si>
  <si>
    <t>Participante</t>
  </si>
  <si>
    <t>Grupo</t>
  </si>
  <si>
    <t>Pred 1º</t>
  </si>
  <si>
    <t>Equipo 1º</t>
  </si>
  <si>
    <t>Pred 2º</t>
  </si>
  <si>
    <t>Equipo 2º</t>
  </si>
  <si>
    <t>Pred 3º</t>
  </si>
  <si>
    <t>Equipo 3º</t>
  </si>
  <si>
    <t>Activo</t>
  </si>
  <si>
    <t>Pts 1º</t>
  </si>
  <si>
    <t>Pts 2º</t>
  </si>
  <si>
    <t>Pts 3º</t>
  </si>
  <si>
    <t>Total grupo</t>
  </si>
  <si>
    <t>MEX</t>
  </si>
  <si>
    <t>KOR</t>
  </si>
  <si>
    <t>RSA</t>
  </si>
  <si>
    <t>SUI</t>
  </si>
  <si>
    <t>CAN</t>
  </si>
  <si>
    <t>BIH</t>
  </si>
  <si>
    <t>MAR</t>
  </si>
  <si>
    <t>BRA</t>
  </si>
  <si>
    <t>SCO</t>
  </si>
  <si>
    <t>PAR</t>
  </si>
  <si>
    <t>TUR</t>
  </si>
  <si>
    <t>USA</t>
  </si>
  <si>
    <t>GER</t>
  </si>
  <si>
    <t>ECU</t>
  </si>
  <si>
    <t>CIV</t>
  </si>
  <si>
    <t>NED</t>
  </si>
  <si>
    <t>JPN</t>
  </si>
  <si>
    <t>SWE</t>
  </si>
  <si>
    <t>BEL</t>
  </si>
  <si>
    <t>EGY</t>
  </si>
  <si>
    <t>IRN</t>
  </si>
  <si>
    <t>ESP</t>
  </si>
  <si>
    <t>URU</t>
  </si>
  <si>
    <t>KSA</t>
  </si>
  <si>
    <t>FRA</t>
  </si>
  <si>
    <t>NOR</t>
  </si>
  <si>
    <t>SEN</t>
  </si>
  <si>
    <t>ARG</t>
  </si>
  <si>
    <t>AUT</t>
  </si>
  <si>
    <t>ALG</t>
  </si>
  <si>
    <t>POR</t>
  </si>
  <si>
    <t>COL</t>
  </si>
  <si>
    <t>COD</t>
  </si>
  <si>
    <t>ENG</t>
  </si>
  <si>
    <t>CRO</t>
  </si>
  <si>
    <t>GHA</t>
  </si>
  <si>
    <t>CZE</t>
  </si>
  <si>
    <t>PAN</t>
  </si>
  <si>
    <t>QAT</t>
  </si>
  <si>
    <t>CUW</t>
  </si>
  <si>
    <t>UZB</t>
  </si>
  <si>
    <t>AUS</t>
  </si>
  <si>
    <t>NZL</t>
  </si>
  <si>
    <t>TUN</t>
  </si>
  <si>
    <t>CPV</t>
  </si>
  <si>
    <t>IRQ</t>
  </si>
  <si>
    <t>JOR</t>
  </si>
  <si>
    <t>HAI</t>
  </si>
  <si>
    <t>Corea</t>
  </si>
  <si>
    <t>Bosnia</t>
  </si>
  <si>
    <t>N°</t>
  </si>
  <si>
    <t>Fecha</t>
  </si>
  <si>
    <t>Hora ET</t>
  </si>
  <si>
    <t>Fase</t>
  </si>
  <si>
    <t>Local</t>
  </si>
  <si>
    <t>Visitante</t>
  </si>
  <si>
    <t>Goles Local</t>
  </si>
  <si>
    <t>Goles Visitante</t>
  </si>
  <si>
    <t>Ganador/Clasifica</t>
  </si>
  <si>
    <t>Sede</t>
  </si>
  <si>
    <t>Local código</t>
  </si>
  <si>
    <t>Visitante código</t>
  </si>
  <si>
    <t>Local posición</t>
  </si>
  <si>
    <t>Visitante posición</t>
  </si>
  <si>
    <t>Fuente/Nota</t>
  </si>
  <si>
    <t>Nota</t>
  </si>
  <si>
    <t>Mexico City</t>
  </si>
  <si>
    <t>A1</t>
  </si>
  <si>
    <t>A2</t>
  </si>
  <si>
    <t>FIFA/CBS</t>
  </si>
  <si>
    <t>Eliminatorias: si una posición aún no está definida, F/G muestran la llave (1A, 2B, 3A/B/C..., W74, L101). Un grupo solo clasifica cuando sus 4 equipos tienen al menos 1 partido con marcador.</t>
  </si>
  <si>
    <t>Guadalajara</t>
  </si>
  <si>
    <t>A3</t>
  </si>
  <si>
    <t>A4</t>
  </si>
  <si>
    <t>Empate</t>
  </si>
  <si>
    <t>Toronto</t>
  </si>
  <si>
    <t>B1</t>
  </si>
  <si>
    <t>B2</t>
  </si>
  <si>
    <t>Los Angeles</t>
  </si>
  <si>
    <t>D1</t>
  </si>
  <si>
    <t>D2</t>
  </si>
  <si>
    <t>Boston</t>
  </si>
  <si>
    <t>C3</t>
  </si>
  <si>
    <t>C4</t>
  </si>
  <si>
    <t>Vancouver</t>
  </si>
  <si>
    <t>D3</t>
  </si>
  <si>
    <t>D4</t>
  </si>
  <si>
    <t>New York New Jersey</t>
  </si>
  <si>
    <t>C1</t>
  </si>
  <si>
    <t>C2</t>
  </si>
  <si>
    <t>San Francisco Bay Area</t>
  </si>
  <si>
    <t>B3</t>
  </si>
  <si>
    <t>B4</t>
  </si>
  <si>
    <t>Philadelphia</t>
  </si>
  <si>
    <t>E3</t>
  </si>
  <si>
    <t>E4</t>
  </si>
  <si>
    <t>Houston</t>
  </si>
  <si>
    <t>E1</t>
  </si>
  <si>
    <t>E2</t>
  </si>
  <si>
    <t>Dallas</t>
  </si>
  <si>
    <t>F1</t>
  </si>
  <si>
    <t>F2</t>
  </si>
  <si>
    <t>Monterrey</t>
  </si>
  <si>
    <t>F3</t>
  </si>
  <si>
    <t>F4</t>
  </si>
  <si>
    <t>Miami</t>
  </si>
  <si>
    <t>H3</t>
  </si>
  <si>
    <t>H4</t>
  </si>
  <si>
    <t>Atlanta</t>
  </si>
  <si>
    <t>H1</t>
  </si>
  <si>
    <t>H2</t>
  </si>
  <si>
    <t>G3</t>
  </si>
  <si>
    <t>G4</t>
  </si>
  <si>
    <t>Seattle</t>
  </si>
  <si>
    <t>G1</t>
  </si>
  <si>
    <t>G2</t>
  </si>
  <si>
    <t>I1</t>
  </si>
  <si>
    <t>I2</t>
  </si>
  <si>
    <t>I3</t>
  </si>
  <si>
    <t>I4</t>
  </si>
  <si>
    <t>Kansas City</t>
  </si>
  <si>
    <t>J1</t>
  </si>
  <si>
    <t>J2</t>
  </si>
  <si>
    <t>J3</t>
  </si>
  <si>
    <t>J4</t>
  </si>
  <si>
    <t>L3</t>
  </si>
  <si>
    <t>L4</t>
  </si>
  <si>
    <t>L1</t>
  </si>
  <si>
    <t>L2</t>
  </si>
  <si>
    <t>K1</t>
  </si>
  <si>
    <t>K2</t>
  </si>
  <si>
    <t>K3</t>
  </si>
  <si>
    <t>K4</t>
  </si>
  <si>
    <t>Ronda de 32</t>
  </si>
  <si>
    <t>2A</t>
  </si>
  <si>
    <t>2B</t>
  </si>
  <si>
    <t>3A/B/C/D/F</t>
  </si>
  <si>
    <t>1E</t>
  </si>
  <si>
    <t>1F</t>
  </si>
  <si>
    <t>2C</t>
  </si>
  <si>
    <t>1C</t>
  </si>
  <si>
    <t>2F</t>
  </si>
  <si>
    <t>3C/D/F/G/H</t>
  </si>
  <si>
    <t>1I</t>
  </si>
  <si>
    <t>2E</t>
  </si>
  <si>
    <t>2I</t>
  </si>
  <si>
    <t>3C/E/F/H/I</t>
  </si>
  <si>
    <t>1A</t>
  </si>
  <si>
    <t>3E/H/I/J/K</t>
  </si>
  <si>
    <t>1L</t>
  </si>
  <si>
    <t>3B/E/F/I/J</t>
  </si>
  <si>
    <t>1D</t>
  </si>
  <si>
    <t>3A/E/H/I/J</t>
  </si>
  <si>
    <t>1G</t>
  </si>
  <si>
    <t>2K</t>
  </si>
  <si>
    <t>2L</t>
  </si>
  <si>
    <t>1H</t>
  </si>
  <si>
    <t>2J</t>
  </si>
  <si>
    <t>3E/F/G/I/J</t>
  </si>
  <si>
    <t>1B</t>
  </si>
  <si>
    <t>1J</t>
  </si>
  <si>
    <t>2H</t>
  </si>
  <si>
    <t>3D/E/I/J/L</t>
  </si>
  <si>
    <t>1K</t>
  </si>
  <si>
    <t>2D</t>
  </si>
  <si>
    <t>2G</t>
  </si>
  <si>
    <t>Octavos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</si>
  <si>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</si>
  <si>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</si>
  <si>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</si>
  <si>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</si>
  <si>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</si>
  <si>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</si>
  <si>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</si>
  <si>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</si>
  <si>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</si>
  <si>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</si>
  <si>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</si>
  <si>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</si>
  <si>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</si>
  <si>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</si>
  <si>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</si>
  <si>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</si>
  <si>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Cuartos</t>
  </si>
  <si>
    <t>W89</t>
  </si>
  <si>
    <t>W90</t>
  </si>
  <si>
    <t>W93</t>
  </si>
  <si>
    <t>W94</t>
  </si>
  <si>
    <t>W91</t>
  </si>
  <si>
    <t>W92</t>
  </si>
  <si>
    <t>W95</t>
  </si>
  <si>
    <t>W96</t>
  </si>
  <si>
    <t>Semifinal</t>
  </si>
  <si>
    <t>W97</t>
  </si>
  <si>
    <t>W98</t>
  </si>
  <si>
    <t>W99</t>
  </si>
  <si>
    <t>W100</t>
  </si>
  <si>
    <t>Tercer lugar</t>
  </si>
  <si>
    <t>L101</t>
  </si>
  <si>
    <t>L102</t>
  </si>
  <si>
    <t>Final</t>
  </si>
  <si>
    <t>W101</t>
  </si>
  <si>
    <t>W102</t>
  </si>
  <si>
    <t>Pts</t>
  </si>
  <si>
    <t>—</t>
  </si>
  <si>
    <t>Código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</si>
  <si>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</si>
  <si>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</si>
  <si>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</si>
  <si>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</si>
  <si>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</si>
  <si>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</si>
  <si>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</si>
  <si>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</si>
  <si>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</si>
  <si>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Desempate manual</t>
  </si>
  <si>
    <t>Posición calculada</t>
  </si>
  <si>
    <t>Clasifica</t>
  </si>
  <si>
    <t>LlavePos</t>
  </si>
  <si>
    <t>Equipo_lookup</t>
  </si>
  <si>
    <t>Código_lookup</t>
  </si>
  <si>
    <t>Directo</t>
  </si>
  <si>
    <t>Posible mejor 3°</t>
  </si>
  <si>
    <t>Pos</t>
  </si>
  <si>
    <t>_Codigo</t>
  </si>
  <si>
    <t>_Grupo</t>
  </si>
  <si>
    <t>_PTS</t>
  </si>
  <si>
    <t>_DG</t>
  </si>
  <si>
    <t>_GF</t>
  </si>
  <si>
    <t>TOTAL</t>
  </si>
  <si>
    <t>Marcador real</t>
  </si>
  <si>
    <t>Ranking tercero</t>
  </si>
  <si>
    <t>Clasifica entre mejores 8</t>
  </si>
  <si>
    <t>Marcadores</t>
  </si>
  <si>
    <t>Posiciones</t>
  </si>
  <si>
    <t>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</si>
</sst>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"/>
  </numFmts>
  <fonts count="44" x14ac:knownFonts="1">
    <font>
      <sz val="1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mbria"/>
      <family val="1"/>
    </font>
    <font>
      <b/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4"/>
      <color rgb="FFFFFFFF"/>
      <name val="Calibri"/>
      <family val="2"/>
      <charset val="1"/>
      <scheme val="minor"/>
    </font>
    <font>
      <b/>
      <sz val="14"/>
      <color rgb="FFC00000"/>
      <name val="Calibri"/>
      <family val="2"/>
      <charset val="1"/>
      <scheme val="minor"/>
    </font>
    <font>
      <b/>
      <sz val="14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i/>
      <sz val="9"/>
      <color rgb="FF808080"/>
      <name val="Cambria"/>
      <family val="1"/>
    </font>
    <font>
      <b/>
      <sz val="11"/>
      <name val="Cambria"/>
      <family val="1"/>
    </font>
    <font>
      <sz val="9"/>
      <color rgb="FF808080"/>
      <name val="Cambria"/>
      <family val="1"/>
    </font>
    <font>
      <b/>
      <sz val="10"/>
      <color rgb="FFFFFFFF"/>
      <name val="Cambria"/>
      <family val="1"/>
    </font>
    <font>
      <b/>
      <sz val="10"/>
      <color rgb="FF000000"/>
      <name val="Cambria"/>
      <family val="1"/>
    </font>
    <font>
      <b/>
      <i/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mbria"/>
      <family val="1"/>
    </font>
    <font>
      <i/>
      <sz val="9"/>
      <color theme="0"/>
      <name val="Cambria"/>
      <family val="1"/>
    </font>
    <font>
      <sz val="9"/>
      <color theme="0"/>
      <name val="Cambria"/>
      <family val="1"/>
    </font>
    <font>
      <b/>
      <sz val="14"/>
      <color theme="0"/>
      <name val="Calibri"/>
      <family val="2"/>
    </font>
    <font>
      <b/>
      <sz val="14"/>
      <color rgb="FFC00000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rgb="FF003366"/>
      </patternFill>
    </fill>
    <fill>
      <patternFill patternType="solid">
        <fgColor rgb="FFDAF2D0"/>
        <bgColor rgb="FFE2EFDA"/>
      </patternFill>
    </fill>
    <fill>
      <patternFill patternType="solid">
        <fgColor rgb="FF275316"/>
        <bgColor rgb="FF275316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1F4E78"/>
        <bgColor rgb="FF1F4E78"/>
      </patternFill>
    </fill>
    <fill>
      <patternFill patternType="solid">
        <fgColor rgb="FFCAEDFB"/>
        <bgColor rgb="FF000000"/>
      </patternFill>
    </fill>
    <fill>
      <patternFill patternType="solid">
        <fgColor rgb="FFA02B93"/>
        <bgColor rgb="FF993366"/>
      </patternFill>
    </fill>
    <fill>
      <patternFill patternType="solid">
        <fgColor rgb="FFD0D0D0"/>
        <bgColor rgb="FF000000"/>
      </patternFill>
    </fill>
    <fill>
      <patternFill patternType="solid">
        <fgColor rgb="FF275317"/>
        <bgColor rgb="FF333333"/>
      </patternFill>
    </fill>
    <fill>
      <patternFill patternType="solid">
        <fgColor rgb="FFFBE2D5"/>
        <bgColor rgb="FFE2EFDA"/>
      </patternFill>
    </fill>
    <fill>
      <patternFill patternType="solid">
        <fgColor rgb="FFA6C9EC"/>
        <bgColor rgb="FFE2EFDA"/>
      </patternFill>
    </fill>
    <fill>
      <patternFill patternType="solid">
        <fgColor rgb="FFC6E0B4"/>
        <bgColor rgb="FFD9F2D0"/>
      </patternFill>
    </fill>
    <fill>
      <patternFill patternType="solid">
        <fgColor rgb="FFE2EFDA"/>
        <bgColor rgb="FFD9F2D0"/>
      </patternFill>
    </fill>
    <fill>
      <patternFill patternType="solid">
        <fgColor rgb="FF548235"/>
        <bgColor rgb="FF548235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F2D0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22"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20" fontId="19" fillId="0" borderId="0" xfId="0" applyNumberFormat="1" applyFont="1"/>
    <xf numFmtId="0" fontId="19" fillId="0" borderId="15" xfId="0" applyFont="1" applyBorder="1" applyAlignment="1">
      <alignment horizontal="center"/>
    </xf>
    <xf numFmtId="0" fontId="20" fillId="0" borderId="0" xfId="43" applyFill="1"/>
    <xf numFmtId="0" fontId="20" fillId="0" borderId="0" xfId="43" applyFont="1" applyFill="1"/>
    <xf numFmtId="0" fontId="21" fillId="38" borderId="0" xfId="43" applyFont="1" applyFill="1" applyAlignment="1">
      <alignment horizontal="center" vertical="center"/>
    </xf>
    <xf numFmtId="0" fontId="20" fillId="0" borderId="0" xfId="43" applyFill="1" applyAlignment="1">
      <alignment horizontal="center" vertical="center"/>
    </xf>
    <xf numFmtId="0" fontId="22" fillId="34" borderId="24" xfId="0" applyFont="1" applyFill="1" applyBorder="1" applyAlignment="1">
      <alignment horizontal="center"/>
    </xf>
    <xf numFmtId="0" fontId="22" fillId="34" borderId="25" xfId="0" applyFont="1" applyFill="1" applyBorder="1" applyAlignment="1">
      <alignment horizontal="left"/>
    </xf>
    <xf numFmtId="0" fontId="22" fillId="34" borderId="25" xfId="0" applyFont="1" applyFill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39" borderId="24" xfId="0" applyFont="1" applyFill="1" applyBorder="1" applyAlignment="1">
      <alignment horizontal="center"/>
    </xf>
    <xf numFmtId="0" fontId="19" fillId="39" borderId="24" xfId="0" applyFont="1" applyFill="1" applyBorder="1" applyAlignment="1">
      <alignment horizontal="left"/>
    </xf>
    <xf numFmtId="0" fontId="19" fillId="0" borderId="27" xfId="0" applyFont="1" applyBorder="1" applyAlignment="1">
      <alignment horizontal="center"/>
    </xf>
    <xf numFmtId="14" fontId="19" fillId="0" borderId="0" xfId="0" applyNumberFormat="1" applyFont="1"/>
    <xf numFmtId="0" fontId="19" fillId="0" borderId="0" xfId="0" applyFont="1" applyAlignment="1">
      <alignment horizontal="center" vertical="center"/>
    </xf>
    <xf numFmtId="0" fontId="24" fillId="33" borderId="0" xfId="0" applyFont="1" applyFill="1" applyAlignment="1">
      <alignment horizontal="center" vertical="center" wrapText="1"/>
    </xf>
    <xf numFmtId="14" fontId="24" fillId="33" borderId="0" xfId="0" applyNumberFormat="1" applyFont="1" applyFill="1" applyAlignment="1">
      <alignment horizontal="center" vertical="center" wrapText="1"/>
    </xf>
    <xf numFmtId="2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40" borderId="10" xfId="0" applyFont="1" applyFill="1" applyBorder="1"/>
    <xf numFmtId="0" fontId="27" fillId="41" borderId="11" xfId="0" applyFont="1" applyFill="1" applyBorder="1" applyAlignment="1">
      <alignment horizontal="center"/>
    </xf>
    <xf numFmtId="0" fontId="26" fillId="42" borderId="12" xfId="0" applyFont="1" applyFill="1" applyBorder="1" applyAlignment="1">
      <alignment horizontal="center"/>
    </xf>
    <xf numFmtId="0" fontId="28" fillId="0" borderId="0" xfId="0" applyFont="1"/>
    <xf numFmtId="0" fontId="28" fillId="43" borderId="28" xfId="0" applyFont="1" applyFill="1" applyBorder="1" applyAlignment="1">
      <alignment horizontal="center"/>
    </xf>
    <xf numFmtId="0" fontId="28" fillId="44" borderId="16" xfId="0" applyFont="1" applyFill="1" applyBorder="1" applyAlignment="1">
      <alignment horizontal="center"/>
    </xf>
    <xf numFmtId="0" fontId="23" fillId="0" borderId="0" xfId="0" applyFont="1"/>
    <xf numFmtId="0" fontId="29" fillId="0" borderId="10" xfId="0" applyFont="1" applyBorder="1" applyAlignment="1">
      <alignment horizontal="left"/>
    </xf>
    <xf numFmtId="0" fontId="21" fillId="33" borderId="30" xfId="0" applyFont="1" applyFill="1" applyBorder="1" applyAlignment="1">
      <alignment horizontal="center" vertical="center"/>
    </xf>
    <xf numFmtId="0" fontId="21" fillId="33" borderId="3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9" fillId="45" borderId="32" xfId="0" applyFont="1" applyFill="1" applyBorder="1" applyAlignment="1">
      <alignment horizontal="center" vertical="center"/>
    </xf>
    <xf numFmtId="0" fontId="19" fillId="45" borderId="33" xfId="0" applyFont="1" applyFill="1" applyBorder="1" applyAlignment="1">
      <alignment horizontal="center" vertical="center"/>
    </xf>
    <xf numFmtId="0" fontId="31" fillId="45" borderId="33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9" fillId="46" borderId="32" xfId="0" applyFont="1" applyFill="1" applyBorder="1" applyAlignment="1">
      <alignment horizontal="center" vertical="center"/>
    </xf>
    <xf numFmtId="0" fontId="19" fillId="46" borderId="33" xfId="0" applyFont="1" applyFill="1" applyBorder="1" applyAlignment="1">
      <alignment horizontal="center" vertical="center"/>
    </xf>
    <xf numFmtId="0" fontId="31" fillId="46" borderId="33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19" fillId="0" borderId="0" xfId="42" applyFill="1"/>
    <xf numFmtId="0" fontId="19" fillId="0" borderId="0" xfId="42" applyFont="1" applyFill="1"/>
    <xf numFmtId="0" fontId="24" fillId="33" borderId="0" xfId="42" applyFont="1" applyFill="1" applyAlignment="1">
      <alignment horizontal="center" vertical="center" wrapText="1"/>
    </xf>
    <xf numFmtId="0" fontId="33" fillId="38" borderId="0" xfId="0" applyFont="1" applyFill="1" applyBorder="1" applyAlignment="1">
      <alignment horizontal="center" vertical="center"/>
    </xf>
    <xf numFmtId="0" fontId="33" fillId="47" borderId="0" xfId="0" applyFont="1" applyFill="1" applyBorder="1" applyAlignment="1">
      <alignment horizontal="center" vertical="center"/>
    </xf>
    <xf numFmtId="0" fontId="0" fillId="0" borderId="0" xfId="0" applyFont="1" applyAlignment="1"/>
    <xf numFmtId="0" fontId="35" fillId="48" borderId="0" xfId="0" applyFont="1" applyFill="1" applyBorder="1" applyAlignment="1"/>
    <xf numFmtId="0" fontId="34" fillId="48" borderId="0" xfId="0" applyFont="1" applyFill="1" applyBorder="1" applyAlignment="1">
      <alignment horizontal="center" vertical="center"/>
    </xf>
    <xf numFmtId="0" fontId="36" fillId="0" borderId="0" xfId="0" applyFont="1" applyAlignment="1"/>
    <xf numFmtId="0" fontId="37" fillId="0" borderId="0" xfId="0" applyFont="1" applyAlignment="1"/>
    <xf numFmtId="0" fontId="36" fillId="0" borderId="0" xfId="0" applyFont="1" applyAlignment="1">
      <alignment horizontal="center" vertical="center"/>
    </xf>
    <xf numFmtId="0" fontId="37" fillId="49" borderId="0" xfId="0" applyFont="1" applyFill="1" applyBorder="1" applyAlignment="1">
      <alignment horizontal="center" vertical="center"/>
    </xf>
    <xf numFmtId="0" fontId="0" fillId="0" borderId="0" xfId="0"/>
    <xf numFmtId="164" fontId="0" fillId="50" borderId="0" xfId="0" applyNumberFormat="1" applyFill="1" applyAlignme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8" fillId="0" borderId="0" xfId="0" applyFont="1"/>
    <xf numFmtId="0" fontId="38" fillId="0" borderId="0" xfId="0" applyFont="1"/>
    <xf numFmtId="0" fontId="39" fillId="0" borderId="0" xfId="0" applyFont="1" applyAlignment="1">
      <alignment horizontal="center"/>
    </xf>
    <xf numFmtId="0" fontId="0" fillId="0" borderId="0" xfId="0" applyFill="1" applyBorder="1" applyAlignment="1"/>
    <xf numFmtId="14" fontId="1" fillId="0" borderId="0" xfId="0" applyNumberFormat="1" applyFont="1"/>
    <xf numFmtId="0" fontId="27" fillId="51" borderId="11" xfId="0" applyFont="1" applyFill="1" applyBorder="1" applyAlignment="1">
      <alignment horizontal="center"/>
    </xf>
    <xf numFmtId="0" fontId="37" fillId="0" borderId="0" xfId="0" applyFont="1" applyFill="1" applyAlignment="1"/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9" fillId="0" borderId="10" xfId="0" applyFont="1" applyFill="1" applyBorder="1" applyAlignment="1">
      <alignment horizontal="left"/>
    </xf>
    <xf numFmtId="0" fontId="27" fillId="0" borderId="11" xfId="0" applyFont="1" applyFill="1" applyBorder="1" applyAlignment="1">
      <alignment horizontal="center"/>
    </xf>
    <xf numFmtId="0" fontId="25" fillId="0" borderId="0" xfId="0" applyFont="1" applyFill="1"/>
    <xf numFmtId="0" fontId="27" fillId="53" borderId="11" xfId="0" applyFont="1" applyFill="1" applyBorder="1" applyAlignment="1">
      <alignment horizontal="center"/>
    </xf>
    <xf numFmtId="0" fontId="27" fillId="52" borderId="11" xfId="0" applyFont="1" applyFill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22" fillId="0" borderId="37" xfId="0" applyFont="1" applyBorder="1" applyAlignment="1">
      <alignment horizontal="center"/>
    </xf>
    <xf numFmtId="0" fontId="40" fillId="54" borderId="17" xfId="44" applyFont="1" applyFill="1" applyBorder="1" applyAlignment="1">
      <alignment wrapText="1"/>
    </xf>
    <xf numFmtId="0" fontId="20" fillId="0" borderId="0" xfId="44" applyFont="1" applyAlignment="1">
      <alignment wrapText="1"/>
    </xf>
    <xf numFmtId="0" fontId="20" fillId="0" borderId="0" xfId="44" applyFont="1" applyAlignment="1"/>
    <xf numFmtId="0" fontId="40" fillId="54" borderId="38" xfId="44" applyFont="1" applyFill="1" applyBorder="1" applyAlignment="1">
      <alignment wrapText="1"/>
    </xf>
    <xf numFmtId="0" fontId="41" fillId="0" borderId="19" xfId="44" applyFont="1" applyFill="1" applyBorder="1" applyAlignment="1">
      <alignment horizontal="center" wrapText="1"/>
    </xf>
    <xf numFmtId="0" fontId="41" fillId="0" borderId="20" xfId="44" applyFont="1" applyFill="1" applyBorder="1" applyAlignment="1">
      <alignment horizontal="center" wrapText="1"/>
    </xf>
    <xf numFmtId="0" fontId="41" fillId="0" borderId="21" xfId="44" applyFont="1" applyFill="1" applyBorder="1" applyAlignment="1">
      <alignment horizontal="center" wrapText="1"/>
    </xf>
    <xf numFmtId="0" fontId="41" fillId="0" borderId="22" xfId="44" applyFont="1" applyFill="1" applyBorder="1" applyAlignment="1">
      <alignment horizontal="center" wrapText="1"/>
    </xf>
    <xf numFmtId="0" fontId="40" fillId="35" borderId="23" xfId="44" applyFont="1" applyFill="1" applyBorder="1" applyAlignment="1">
      <alignment horizontal="center" wrapText="1"/>
    </xf>
    <xf numFmtId="0" fontId="42" fillId="36" borderId="10" xfId="44" applyFont="1" applyFill="1" applyBorder="1" applyAlignment="1">
      <alignment horizontal="center" wrapText="1"/>
    </xf>
    <xf numFmtId="0" fontId="42" fillId="0" borderId="29" xfId="44" applyFont="1" applyFill="1" applyBorder="1" applyAlignment="1">
      <alignment horizontal="center" wrapText="1"/>
    </xf>
    <xf numFmtId="0" fontId="42" fillId="37" borderId="34" xfId="44" applyFont="1" applyFill="1" applyBorder="1" applyAlignment="1">
      <alignment horizontal="center" wrapText="1"/>
    </xf>
    <xf numFmtId="0" fontId="43" fillId="0" borderId="35" xfId="44" applyFont="1" applyBorder="1" applyAlignment="1">
      <alignment horizontal="left" wrapText="1"/>
    </xf>
    <xf numFmtId="0" fontId="42" fillId="0" borderId="24" xfId="44" applyFont="1" applyFill="1" applyBorder="1" applyAlignment="1">
      <alignment horizontal="center" wrapText="1"/>
    </xf>
    <xf numFmtId="0" fontId="42" fillId="37" borderId="36" xfId="44" applyFont="1" applyFill="1" applyBorder="1" applyAlignment="1">
      <alignment horizontal="center" wrapText="1"/>
    </xf>
    <xf numFmtId="0" fontId="43" fillId="55" borderId="35" xfId="44" applyFont="1" applyFill="1" applyBorder="1" applyAlignment="1">
      <alignment horizontal="left" wrapText="1"/>
    </xf>
    <xf numFmtId="0" fontId="42" fillId="55" borderId="24" xfId="44" applyFont="1" applyFill="1" applyBorder="1" applyAlignment="1">
      <alignment horizontal="center" wrapText="1"/>
    </xf>
    <xf numFmtId="0" fontId="42" fillId="56" borderId="36" xfId="44" applyFont="1" applyFill="1" applyBorder="1" applyAlignment="1">
      <alignment horizontal="center" wrapText="1"/>
    </xf>
    <xf numFmtId="0" fontId="20" fillId="55" borderId="0" xfId="44" applyFont="1" applyFill="1" applyAlignment="1"/>
    <xf numFmtId="0" fontId="43" fillId="0" borderId="39" xfId="44" applyFont="1" applyBorder="1" applyAlignment="1">
      <alignment horizontal="left" wrapText="1"/>
    </xf>
    <xf numFmtId="0" fontId="42" fillId="0" borderId="40" xfId="44" applyFont="1" applyFill="1" applyBorder="1" applyAlignment="1">
      <alignment horizontal="center" wrapText="1"/>
    </xf>
    <xf numFmtId="0" fontId="42" fillId="37" borderId="41" xfId="44" applyFont="1" applyFill="1" applyBorder="1" applyAlignment="1">
      <alignment horizontal="center" wrapText="1"/>
    </xf>
    <xf numFmtId="0" fontId="20" fillId="57" borderId="18" xfId="44" applyFont="1" applyFill="1" applyBorder="1" applyAlignment="1">
      <alignment horizontal="center" wrapText="1"/>
    </xf>
    <xf numFmtId="0" fontId="20" fillId="57" borderId="0" xfId="44" applyFont="1" applyFill="1" applyAlignment="1">
      <alignment wrapText="1"/>
    </xf>
    <xf numFmtId="0" fontId="36" fillId="0" borderId="43" xfId="0" applyFont="1" applyBorder="1" applyAlignment="1">
      <alignment horizontal="center"/>
    </xf>
    <xf numFmtId="0" fontId="0" fillId="0" borderId="42" xfId="0" applyFill="1" applyBorder="1" applyAlignment="1"/>
    <xf numFmtId="0" fontId="36" fillId="0" borderId="44" xfId="0" applyFont="1" applyBorder="1" applyAlignment="1">
      <alignment horizontal="center"/>
    </xf>
    <xf numFmtId="0" fontId="21" fillId="33" borderId="45" xfId="0" applyFont="1" applyFill="1" applyBorder="1" applyAlignment="1">
      <alignment horizontal="center"/>
    </xf>
    <xf numFmtId="0" fontId="21" fillId="33" borderId="46" xfId="0" applyFont="1" applyFill="1" applyBorder="1" applyAlignment="1">
      <alignment horizontal="center"/>
    </xf>
    <xf numFmtId="0" fontId="21" fillId="33" borderId="47" xfId="0" applyFont="1" applyFill="1" applyBorder="1" applyAlignment="1">
      <alignment horizontal="center"/>
    </xf>
    <xf numFmtId="0" fontId="21" fillId="33" borderId="42" xfId="0" applyFont="1" applyFill="1" applyBorder="1" applyAlignment="1">
      <alignment horizontal="center"/>
    </xf>
    <xf numFmtId="0" fontId="22" fillId="0" borderId="37" xfId="0" applyFont="1" applyBorder="1" applyAlignment="1"/>
    <xf numFmtId="0" fontId="41" fillId="53" borderId="19" xfId="44" applyFont="1" applyFill="1" applyBorder="1" applyAlignment="1">
      <alignment horizontal="center" wrapText="1"/>
    </xf>
    <xf numFmtId="0" fontId="41" fillId="53" borderId="42" xfId="44" applyFont="1" applyFill="1" applyBorder="1" applyAlignment="1">
      <alignment horizontal="center" wrapText="1"/>
    </xf>
    <xf numFmtId="0" fontId="41" fillId="53" borderId="20" xfId="44" applyFont="1" applyFill="1" applyBorder="1" applyAlignment="1">
      <alignment horizontal="center" wrapText="1"/>
    </xf>
    <xf numFmtId="0" fontId="41" fillId="53" borderId="21" xfId="44" applyFont="1" applyFill="1" applyBorder="1" applyAlignment="1">
      <alignment horizontal="center" wrapText="1"/>
    </xf>
    <xf numFmtId="0" fontId="42" fillId="53" borderId="29" xfId="44" applyFont="1" applyFill="1" applyBorder="1" applyAlignment="1">
      <alignment horizontal="center" wrapText="1"/>
    </xf>
    <xf numFmtId="0" fontId="42" fillId="53" borderId="24" xfId="44" applyFont="1" applyFill="1" applyBorder="1" applyAlignment="1">
      <alignment horizontal="center" wrapText="1"/>
    </xf>
    <xf numFmtId="0" fontId="42" fillId="53" borderId="40" xfId="44" applyFont="1" applyFill="1" applyBorder="1" applyAlignment="1">
      <alignment horizontal="center" wrapText="1"/>
    </xf>
    <xf numFmtId="0" fontId="41" fillId="53" borderId="22" xfId="44" applyFont="1" applyFill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/>
    <cellStyle name="Normal 4" xfId="43"/>
    <cellStyle name="Normal 5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at/inde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Equipos_Grupos"/>
      <sheetName val="ClaGrupo"/>
      <sheetName val="Puntajes"/>
      <sheetName val="Participantes"/>
      <sheetName val="Partidos"/>
      <sheetName val="VGrupo"/>
      <sheetName val="Clasificacion"/>
      <sheetName val="Posiciones"/>
      <sheetName val="Mejores_Terceros"/>
      <sheetName val="Llaves"/>
      <sheetName val="Fuentes"/>
      <sheetName val="Asignacion_3ros"/>
      <sheetName val="Tabla_3ros"/>
      <sheetName val="Grupo"/>
      <sheetName val="_PT"/>
      <sheetName val="_PA"/>
      <sheetName val="Clasif_Pron"/>
    </sheetNames>
    <sheetDataSet>
      <sheetData sheetId="0"/>
      <sheetData sheetId="1"/>
      <sheetData sheetId="2"/>
      <sheetData sheetId="3">
        <row r="2">
          <cell r="A2">
            <v>30</v>
          </cell>
          <cell r="B2">
            <v>1</v>
          </cell>
          <cell r="C2" t="str">
            <v>Luis Peña</v>
          </cell>
          <cell r="D2">
            <v>63</v>
          </cell>
          <cell r="E2">
            <v>155</v>
          </cell>
          <cell r="F2">
            <v>218</v>
          </cell>
        </row>
        <row r="3">
          <cell r="A3">
            <v>34</v>
          </cell>
          <cell r="B3">
            <v>2</v>
          </cell>
          <cell r="C3" t="str">
            <v>Medica</v>
          </cell>
          <cell r="D3">
            <v>59</v>
          </cell>
          <cell r="E3">
            <v>155</v>
          </cell>
          <cell r="F3">
            <v>214</v>
          </cell>
        </row>
        <row r="4">
          <cell r="A4">
            <v>31</v>
          </cell>
          <cell r="B4">
            <v>3</v>
          </cell>
          <cell r="C4" t="str">
            <v>Marco R.</v>
          </cell>
          <cell r="D4">
            <v>53</v>
          </cell>
          <cell r="E4">
            <v>158</v>
          </cell>
          <cell r="F4">
            <v>211</v>
          </cell>
        </row>
        <row r="5">
          <cell r="A5">
            <v>3</v>
          </cell>
          <cell r="B5">
            <v>4</v>
          </cell>
          <cell r="C5" t="str">
            <v>Alfredo 1</v>
          </cell>
          <cell r="D5">
            <v>52</v>
          </cell>
          <cell r="E5">
            <v>157</v>
          </cell>
          <cell r="F5">
            <v>209</v>
          </cell>
        </row>
        <row r="6">
          <cell r="A6">
            <v>44</v>
          </cell>
          <cell r="B6">
            <v>5</v>
          </cell>
          <cell r="C6" t="str">
            <v>Quinnie</v>
          </cell>
          <cell r="D6">
            <v>57</v>
          </cell>
          <cell r="E6">
            <v>151</v>
          </cell>
          <cell r="F6">
            <v>208</v>
          </cell>
        </row>
        <row r="7">
          <cell r="A7">
            <v>38</v>
          </cell>
          <cell r="B7">
            <v>6</v>
          </cell>
          <cell r="C7" t="str">
            <v>Mily Oliver</v>
          </cell>
          <cell r="D7">
            <v>47</v>
          </cell>
          <cell r="E7">
            <v>158</v>
          </cell>
          <cell r="F7">
            <v>205</v>
          </cell>
        </row>
        <row r="8">
          <cell r="A8">
            <v>2</v>
          </cell>
          <cell r="B8">
            <v>7</v>
          </cell>
          <cell r="C8" t="str">
            <v>Alexander</v>
          </cell>
          <cell r="D8">
            <v>55</v>
          </cell>
          <cell r="E8">
            <v>149</v>
          </cell>
          <cell r="F8">
            <v>204</v>
          </cell>
        </row>
        <row r="9">
          <cell r="A9">
            <v>16</v>
          </cell>
          <cell r="B9">
            <v>7</v>
          </cell>
          <cell r="C9" t="str">
            <v>Isabel 2</v>
          </cell>
          <cell r="D9">
            <v>53</v>
          </cell>
          <cell r="E9">
            <v>151</v>
          </cell>
          <cell r="F9">
            <v>204</v>
          </cell>
        </row>
        <row r="10">
          <cell r="A10">
            <v>27</v>
          </cell>
          <cell r="B10">
            <v>8</v>
          </cell>
          <cell r="C10" t="str">
            <v>Kattia 2</v>
          </cell>
          <cell r="D10">
            <v>58</v>
          </cell>
          <cell r="E10">
            <v>145</v>
          </cell>
          <cell r="F10">
            <v>203</v>
          </cell>
        </row>
        <row r="11">
          <cell r="A11">
            <v>46</v>
          </cell>
          <cell r="B11">
            <v>8</v>
          </cell>
          <cell r="C11" t="str">
            <v>Saul</v>
          </cell>
          <cell r="D11">
            <v>46</v>
          </cell>
          <cell r="E11">
            <v>157</v>
          </cell>
          <cell r="F11">
            <v>203</v>
          </cell>
        </row>
        <row r="12">
          <cell r="A12">
            <v>20</v>
          </cell>
          <cell r="B12">
            <v>9</v>
          </cell>
          <cell r="C12" t="str">
            <v>Jose C Ahiza</v>
          </cell>
          <cell r="D12">
            <v>55</v>
          </cell>
          <cell r="E12">
            <v>144</v>
          </cell>
          <cell r="F12">
            <v>199</v>
          </cell>
        </row>
        <row r="13">
          <cell r="A13">
            <v>35</v>
          </cell>
          <cell r="B13">
            <v>9</v>
          </cell>
          <cell r="C13" t="str">
            <v>Milagros</v>
          </cell>
          <cell r="D13">
            <v>55</v>
          </cell>
          <cell r="E13">
            <v>144</v>
          </cell>
          <cell r="F13">
            <v>199</v>
          </cell>
        </row>
        <row r="14">
          <cell r="A14">
            <v>45</v>
          </cell>
          <cell r="B14">
            <v>9</v>
          </cell>
          <cell r="C14" t="str">
            <v>Radames</v>
          </cell>
          <cell r="D14">
            <v>44</v>
          </cell>
          <cell r="E14">
            <v>155</v>
          </cell>
          <cell r="F14">
            <v>199</v>
          </cell>
        </row>
        <row r="15">
          <cell r="A15">
            <v>4</v>
          </cell>
          <cell r="B15">
            <v>10</v>
          </cell>
          <cell r="C15" t="str">
            <v>Alfredo 2</v>
          </cell>
          <cell r="D15">
            <v>50</v>
          </cell>
          <cell r="E15">
            <v>148</v>
          </cell>
          <cell r="F15">
            <v>198</v>
          </cell>
        </row>
        <row r="16">
          <cell r="A16">
            <v>1</v>
          </cell>
          <cell r="B16">
            <v>11</v>
          </cell>
          <cell r="C16" t="str">
            <v>Alberto</v>
          </cell>
          <cell r="D16">
            <v>48</v>
          </cell>
          <cell r="E16">
            <v>149</v>
          </cell>
          <cell r="F16">
            <v>197</v>
          </cell>
        </row>
        <row r="17">
          <cell r="A17">
            <v>49</v>
          </cell>
          <cell r="B17">
            <v>12</v>
          </cell>
          <cell r="C17" t="str">
            <v>Waldo</v>
          </cell>
          <cell r="D17">
            <v>43</v>
          </cell>
          <cell r="E17">
            <v>153</v>
          </cell>
          <cell r="F17">
            <v>196</v>
          </cell>
        </row>
        <row r="18">
          <cell r="A18">
            <v>18</v>
          </cell>
          <cell r="B18">
            <v>13</v>
          </cell>
          <cell r="C18" t="str">
            <v>Jose C 1</v>
          </cell>
          <cell r="D18">
            <v>46</v>
          </cell>
          <cell r="E18">
            <v>149</v>
          </cell>
          <cell r="F18">
            <v>195</v>
          </cell>
        </row>
        <row r="19">
          <cell r="A19">
            <v>26</v>
          </cell>
          <cell r="B19">
            <v>14</v>
          </cell>
          <cell r="C19" t="str">
            <v>Kattia 1</v>
          </cell>
          <cell r="D19">
            <v>49</v>
          </cell>
          <cell r="E19">
            <v>145</v>
          </cell>
          <cell r="F19">
            <v>194</v>
          </cell>
        </row>
        <row r="20">
          <cell r="A20">
            <v>39</v>
          </cell>
          <cell r="B20">
            <v>15</v>
          </cell>
          <cell r="C20" t="str">
            <v>Mily Zeynneth</v>
          </cell>
          <cell r="D20">
            <v>50</v>
          </cell>
          <cell r="E20">
            <v>143</v>
          </cell>
          <cell r="F20">
            <v>193</v>
          </cell>
        </row>
        <row r="21">
          <cell r="A21">
            <v>8</v>
          </cell>
          <cell r="B21">
            <v>16</v>
          </cell>
          <cell r="C21" t="str">
            <v>Castillo L.</v>
          </cell>
          <cell r="D21">
            <v>50</v>
          </cell>
          <cell r="E21">
            <v>140</v>
          </cell>
          <cell r="F21">
            <v>190</v>
          </cell>
        </row>
        <row r="22">
          <cell r="A22">
            <v>37</v>
          </cell>
          <cell r="B22">
            <v>17</v>
          </cell>
          <cell r="C22" t="str">
            <v>Mily CF 2</v>
          </cell>
          <cell r="D22">
            <v>41</v>
          </cell>
          <cell r="E22">
            <v>147</v>
          </cell>
          <cell r="F22">
            <v>188</v>
          </cell>
        </row>
        <row r="23">
          <cell r="A23">
            <v>47</v>
          </cell>
          <cell r="B23">
            <v>17</v>
          </cell>
          <cell r="C23" t="str">
            <v>Silvia</v>
          </cell>
          <cell r="D23">
            <v>49</v>
          </cell>
          <cell r="E23">
            <v>139</v>
          </cell>
          <cell r="F23">
            <v>188</v>
          </cell>
        </row>
        <row r="24">
          <cell r="A24">
            <v>19</v>
          </cell>
          <cell r="B24">
            <v>18</v>
          </cell>
          <cell r="C24" t="str">
            <v>Jose C 2</v>
          </cell>
          <cell r="D24">
            <v>52</v>
          </cell>
          <cell r="E24">
            <v>135</v>
          </cell>
          <cell r="F24">
            <v>187</v>
          </cell>
        </row>
        <row r="25">
          <cell r="A25">
            <v>24</v>
          </cell>
          <cell r="B25">
            <v>18</v>
          </cell>
          <cell r="C25" t="str">
            <v>Jovanna</v>
          </cell>
          <cell r="D25">
            <v>44</v>
          </cell>
          <cell r="E25">
            <v>143</v>
          </cell>
          <cell r="F25">
            <v>187</v>
          </cell>
        </row>
        <row r="26">
          <cell r="A26">
            <v>7</v>
          </cell>
          <cell r="B26">
            <v>19</v>
          </cell>
          <cell r="C26" t="str">
            <v>Carlos</v>
          </cell>
          <cell r="D26">
            <v>46</v>
          </cell>
          <cell r="E26">
            <v>140</v>
          </cell>
          <cell r="F26">
            <v>186</v>
          </cell>
        </row>
        <row r="27">
          <cell r="A27">
            <v>11</v>
          </cell>
          <cell r="B27">
            <v>20</v>
          </cell>
          <cell r="C27" t="str">
            <v>Edward</v>
          </cell>
          <cell r="D27">
            <v>57</v>
          </cell>
          <cell r="E27">
            <v>128</v>
          </cell>
          <cell r="F27">
            <v>185</v>
          </cell>
        </row>
        <row r="28">
          <cell r="A28">
            <v>43</v>
          </cell>
          <cell r="B28">
            <v>20</v>
          </cell>
          <cell r="C28" t="str">
            <v>Peter</v>
          </cell>
          <cell r="D28">
            <v>52</v>
          </cell>
          <cell r="E28">
            <v>133</v>
          </cell>
          <cell r="F28">
            <v>185</v>
          </cell>
        </row>
        <row r="29">
          <cell r="A29">
            <v>10</v>
          </cell>
          <cell r="B29">
            <v>21</v>
          </cell>
          <cell r="C29" t="str">
            <v>Cynthia</v>
          </cell>
          <cell r="D29">
            <v>48</v>
          </cell>
          <cell r="E29">
            <v>135</v>
          </cell>
          <cell r="F29">
            <v>183</v>
          </cell>
        </row>
        <row r="30">
          <cell r="A30">
            <v>22</v>
          </cell>
          <cell r="B30">
            <v>21</v>
          </cell>
          <cell r="C30" t="str">
            <v>Jose C Judith</v>
          </cell>
          <cell r="D30">
            <v>53</v>
          </cell>
          <cell r="E30">
            <v>130</v>
          </cell>
          <cell r="F30">
            <v>183</v>
          </cell>
        </row>
        <row r="31">
          <cell r="A31">
            <v>28</v>
          </cell>
          <cell r="B31">
            <v>22</v>
          </cell>
          <cell r="C31" t="str">
            <v>Kevin</v>
          </cell>
          <cell r="D31">
            <v>50</v>
          </cell>
          <cell r="E31">
            <v>132</v>
          </cell>
          <cell r="F31">
            <v>182</v>
          </cell>
        </row>
        <row r="32">
          <cell r="A32">
            <v>41</v>
          </cell>
          <cell r="B32">
            <v>23</v>
          </cell>
          <cell r="C32" t="str">
            <v>Ninoshka</v>
          </cell>
          <cell r="D32">
            <v>42</v>
          </cell>
          <cell r="E32">
            <v>139</v>
          </cell>
          <cell r="F32">
            <v>181</v>
          </cell>
        </row>
        <row r="33">
          <cell r="A33">
            <v>42</v>
          </cell>
          <cell r="B33">
            <v>23</v>
          </cell>
          <cell r="C33" t="str">
            <v>Osvaldo</v>
          </cell>
          <cell r="D33">
            <v>51</v>
          </cell>
          <cell r="E33">
            <v>130</v>
          </cell>
          <cell r="F33">
            <v>181</v>
          </cell>
        </row>
        <row r="34">
          <cell r="A34">
            <v>5</v>
          </cell>
          <cell r="B34">
            <v>24</v>
          </cell>
          <cell r="C34" t="str">
            <v>Aneth</v>
          </cell>
          <cell r="D34">
            <v>52</v>
          </cell>
          <cell r="E34">
            <v>127</v>
          </cell>
          <cell r="F34">
            <v>179</v>
          </cell>
        </row>
        <row r="35">
          <cell r="A35">
            <v>25</v>
          </cell>
          <cell r="B35">
            <v>24</v>
          </cell>
          <cell r="C35" t="str">
            <v>Karina</v>
          </cell>
          <cell r="D35">
            <v>47</v>
          </cell>
          <cell r="E35">
            <v>132</v>
          </cell>
          <cell r="F35">
            <v>179</v>
          </cell>
        </row>
        <row r="36">
          <cell r="A36">
            <v>14</v>
          </cell>
          <cell r="B36">
            <v>25</v>
          </cell>
          <cell r="C36" t="str">
            <v>Mily Frida</v>
          </cell>
          <cell r="D36">
            <v>52</v>
          </cell>
          <cell r="E36">
            <v>126</v>
          </cell>
          <cell r="F36">
            <v>178</v>
          </cell>
        </row>
        <row r="37">
          <cell r="A37">
            <v>23</v>
          </cell>
          <cell r="B37">
            <v>26</v>
          </cell>
          <cell r="C37" t="str">
            <v>José de León</v>
          </cell>
          <cell r="D37">
            <v>45</v>
          </cell>
          <cell r="E37">
            <v>132</v>
          </cell>
          <cell r="F37">
            <v>177</v>
          </cell>
        </row>
        <row r="38">
          <cell r="A38">
            <v>48</v>
          </cell>
          <cell r="B38">
            <v>26</v>
          </cell>
          <cell r="C38" t="str">
            <v>Walder</v>
          </cell>
          <cell r="D38">
            <v>45</v>
          </cell>
          <cell r="E38">
            <v>132</v>
          </cell>
          <cell r="F38">
            <v>177</v>
          </cell>
        </row>
        <row r="39">
          <cell r="A39">
            <v>12</v>
          </cell>
          <cell r="B39">
            <v>27</v>
          </cell>
          <cell r="C39" t="str">
            <v>Espinosa L.</v>
          </cell>
          <cell r="D39">
            <v>36</v>
          </cell>
          <cell r="E39">
            <v>140</v>
          </cell>
          <cell r="F39">
            <v>176</v>
          </cell>
        </row>
        <row r="40">
          <cell r="A40">
            <v>21</v>
          </cell>
          <cell r="B40">
            <v>27</v>
          </cell>
          <cell r="C40" t="str">
            <v>Jose C Ana</v>
          </cell>
          <cell r="D40">
            <v>47</v>
          </cell>
          <cell r="E40">
            <v>129</v>
          </cell>
          <cell r="F40">
            <v>176</v>
          </cell>
        </row>
        <row r="41">
          <cell r="A41">
            <v>32</v>
          </cell>
          <cell r="B41">
            <v>28</v>
          </cell>
          <cell r="C41" t="str">
            <v>Maricela</v>
          </cell>
          <cell r="D41">
            <v>39</v>
          </cell>
          <cell r="E41">
            <v>136</v>
          </cell>
          <cell r="F41">
            <v>175</v>
          </cell>
        </row>
        <row r="42">
          <cell r="A42">
            <v>6</v>
          </cell>
          <cell r="B42">
            <v>29</v>
          </cell>
          <cell r="C42" t="str">
            <v>Antonio</v>
          </cell>
          <cell r="D42">
            <v>39</v>
          </cell>
          <cell r="E42">
            <v>135</v>
          </cell>
          <cell r="F42">
            <v>174</v>
          </cell>
        </row>
        <row r="43">
          <cell r="A43">
            <v>15</v>
          </cell>
          <cell r="B43">
            <v>29</v>
          </cell>
          <cell r="C43" t="str">
            <v>Isabel 1</v>
          </cell>
          <cell r="D43">
            <v>43</v>
          </cell>
          <cell r="E43">
            <v>131</v>
          </cell>
          <cell r="F43">
            <v>174</v>
          </cell>
        </row>
        <row r="44">
          <cell r="A44">
            <v>29</v>
          </cell>
          <cell r="B44">
            <v>29</v>
          </cell>
          <cell r="C44" t="str">
            <v>Lizka</v>
          </cell>
          <cell r="D44">
            <v>35</v>
          </cell>
          <cell r="E44">
            <v>139</v>
          </cell>
          <cell r="F44">
            <v>174</v>
          </cell>
        </row>
        <row r="45">
          <cell r="A45">
            <v>13</v>
          </cell>
          <cell r="B45">
            <v>30</v>
          </cell>
          <cell r="C45" t="str">
            <v>Freddy</v>
          </cell>
          <cell r="D45">
            <v>42</v>
          </cell>
          <cell r="E45">
            <v>131</v>
          </cell>
          <cell r="F45">
            <v>173</v>
          </cell>
        </row>
        <row r="46">
          <cell r="A46">
            <v>33</v>
          </cell>
          <cell r="B46">
            <v>31</v>
          </cell>
          <cell r="C46" t="str">
            <v>Marilyn</v>
          </cell>
          <cell r="D46">
            <v>49</v>
          </cell>
          <cell r="E46">
            <v>121</v>
          </cell>
          <cell r="F46">
            <v>170</v>
          </cell>
        </row>
        <row r="47">
          <cell r="A47">
            <v>36</v>
          </cell>
          <cell r="B47">
            <v>32</v>
          </cell>
          <cell r="C47" t="str">
            <v>Mily CF 1</v>
          </cell>
          <cell r="D47">
            <v>50</v>
          </cell>
          <cell r="E47">
            <v>119</v>
          </cell>
          <cell r="F47">
            <v>169</v>
          </cell>
        </row>
        <row r="48">
          <cell r="A48">
            <v>17</v>
          </cell>
          <cell r="B48">
            <v>33</v>
          </cell>
          <cell r="C48" t="str">
            <v>Javier</v>
          </cell>
          <cell r="D48">
            <v>48</v>
          </cell>
          <cell r="E48">
            <v>118</v>
          </cell>
          <cell r="F48">
            <v>166</v>
          </cell>
        </row>
        <row r="49">
          <cell r="A49">
            <v>40</v>
          </cell>
          <cell r="B49">
            <v>33</v>
          </cell>
          <cell r="C49" t="str">
            <v>Nefreteri</v>
          </cell>
          <cell r="D49">
            <v>41</v>
          </cell>
          <cell r="E49">
            <v>125</v>
          </cell>
          <cell r="F49">
            <v>166</v>
          </cell>
        </row>
        <row r="50">
          <cell r="A50">
            <v>9</v>
          </cell>
          <cell r="B50">
            <v>34</v>
          </cell>
          <cell r="C50" t="str">
            <v>Christofer</v>
          </cell>
          <cell r="D50">
            <v>32</v>
          </cell>
          <cell r="E50">
            <v>112</v>
          </cell>
          <cell r="F50">
            <v>144</v>
          </cell>
        </row>
      </sheetData>
      <sheetData sheetId="4">
        <row r="2">
          <cell r="B2" t="str">
            <v>Alberto</v>
          </cell>
        </row>
        <row r="3">
          <cell r="B3" t="str">
            <v>Alexander</v>
          </cell>
        </row>
        <row r="4">
          <cell r="B4" t="str">
            <v>Alfredo 1</v>
          </cell>
        </row>
        <row r="5">
          <cell r="B5" t="str">
            <v>Alfredo 2</v>
          </cell>
        </row>
        <row r="6">
          <cell r="B6" t="str">
            <v>Aneth</v>
          </cell>
        </row>
        <row r="7">
          <cell r="B7" t="str">
            <v>Antonio</v>
          </cell>
        </row>
        <row r="8">
          <cell r="B8" t="str">
            <v>Carlos</v>
          </cell>
        </row>
        <row r="9">
          <cell r="B9" t="str">
            <v>Castillo L.</v>
          </cell>
        </row>
        <row r="10">
          <cell r="B10" t="str">
            <v>Christofer</v>
          </cell>
        </row>
        <row r="11">
          <cell r="B11" t="str">
            <v>Cynthia</v>
          </cell>
        </row>
        <row r="12">
          <cell r="B12" t="str">
            <v>Edward</v>
          </cell>
        </row>
        <row r="13">
          <cell r="B13" t="str">
            <v>Espinosa L.</v>
          </cell>
        </row>
        <row r="14">
          <cell r="B14" t="str">
            <v>Freddy</v>
          </cell>
        </row>
        <row r="15">
          <cell r="B15" t="str">
            <v>Isabel 1</v>
          </cell>
        </row>
        <row r="16">
          <cell r="B16" t="str">
            <v>Isabel 2</v>
          </cell>
        </row>
        <row r="17">
          <cell r="B17" t="str">
            <v>Javier</v>
          </cell>
        </row>
        <row r="18">
          <cell r="B18" t="str">
            <v>Jose C 1</v>
          </cell>
        </row>
        <row r="19">
          <cell r="B19" t="str">
            <v>Jose C 2</v>
          </cell>
        </row>
        <row r="20">
          <cell r="B20" t="str">
            <v>Jose C Ahiza</v>
          </cell>
        </row>
        <row r="21">
          <cell r="B21" t="str">
            <v>Jose C Ana</v>
          </cell>
        </row>
        <row r="22">
          <cell r="B22" t="str">
            <v>Jose C Judith</v>
          </cell>
        </row>
        <row r="23">
          <cell r="B23" t="str">
            <v>José de León</v>
          </cell>
        </row>
        <row r="24">
          <cell r="B24" t="str">
            <v>Jovanna</v>
          </cell>
        </row>
        <row r="25">
          <cell r="B25" t="str">
            <v>Karina</v>
          </cell>
        </row>
        <row r="26">
          <cell r="B26" t="str">
            <v>Kattia 1</v>
          </cell>
        </row>
        <row r="27">
          <cell r="B27" t="str">
            <v>Kattia 2</v>
          </cell>
        </row>
        <row r="28">
          <cell r="B28" t="str">
            <v>Kevin</v>
          </cell>
        </row>
        <row r="29">
          <cell r="B29" t="str">
            <v>Lizka</v>
          </cell>
        </row>
        <row r="30">
          <cell r="B30" t="str">
            <v>Luis Peña</v>
          </cell>
        </row>
        <row r="31">
          <cell r="B31" t="str">
            <v>Marco R.</v>
          </cell>
        </row>
        <row r="32">
          <cell r="B32" t="str">
            <v>Maricela</v>
          </cell>
        </row>
        <row r="33">
          <cell r="B33" t="str">
            <v>Marilyn</v>
          </cell>
        </row>
        <row r="34">
          <cell r="B34" t="str">
            <v>Medica</v>
          </cell>
        </row>
        <row r="35">
          <cell r="B35" t="str">
            <v>Milagros</v>
          </cell>
        </row>
        <row r="36">
          <cell r="B36" t="str">
            <v>Mily CF 1</v>
          </cell>
        </row>
        <row r="37">
          <cell r="B37" t="str">
            <v>Mily CF 2</v>
          </cell>
        </row>
        <row r="38">
          <cell r="B38" t="str">
            <v>Mily Frida</v>
          </cell>
        </row>
        <row r="39">
          <cell r="B39" t="str">
            <v>Mily Oliver</v>
          </cell>
        </row>
        <row r="40">
          <cell r="B40" t="str">
            <v>Mily Zeynneth</v>
          </cell>
        </row>
        <row r="41">
          <cell r="B41" t="str">
            <v>Nefreteri</v>
          </cell>
        </row>
        <row r="42">
          <cell r="B42" t="str">
            <v>Ninoshka</v>
          </cell>
        </row>
        <row r="43">
          <cell r="B43" t="str">
            <v>Osvaldo</v>
          </cell>
        </row>
        <row r="44">
          <cell r="B44" t="str">
            <v>Peter</v>
          </cell>
        </row>
        <row r="45">
          <cell r="B45" t="str">
            <v>Quinnie</v>
          </cell>
        </row>
        <row r="46">
          <cell r="B46" t="str">
            <v>Radames</v>
          </cell>
        </row>
        <row r="47">
          <cell r="B47" t="str">
            <v>Saul</v>
          </cell>
        </row>
        <row r="48">
          <cell r="B48" t="str">
            <v>Silvia</v>
          </cell>
        </row>
        <row r="49">
          <cell r="B49" t="str">
            <v>Walder</v>
          </cell>
        </row>
        <row r="50">
          <cell r="B50" t="str">
            <v>Waldo</v>
          </cell>
        </row>
      </sheetData>
      <sheetData sheetId="5">
        <row r="42">
          <cell r="H42">
            <v>3</v>
          </cell>
        </row>
        <row r="62">
          <cell r="H62">
            <v>1</v>
          </cell>
          <cell r="I62">
            <v>4</v>
          </cell>
        </row>
        <row r="63">
          <cell r="H63">
            <v>5</v>
          </cell>
          <cell r="I63">
            <v>0</v>
          </cell>
        </row>
        <row r="64">
          <cell r="H64">
            <v>1</v>
          </cell>
          <cell r="I64">
            <v>1</v>
          </cell>
        </row>
        <row r="65">
          <cell r="H65">
            <v>1</v>
          </cell>
          <cell r="I65">
            <v>5</v>
          </cell>
        </row>
        <row r="66">
          <cell r="H66">
            <v>0</v>
          </cell>
          <cell r="I66">
            <v>0</v>
          </cell>
        </row>
        <row r="67">
          <cell r="H67">
            <v>0</v>
          </cell>
          <cell r="I67">
            <v>1</v>
          </cell>
        </row>
        <row r="68">
          <cell r="H68" t="str">
            <v/>
          </cell>
          <cell r="I68" t="str">
            <v/>
          </cell>
        </row>
        <row r="69">
          <cell r="H69" t="str">
            <v/>
          </cell>
          <cell r="I69" t="str">
            <v/>
          </cell>
        </row>
        <row r="70">
          <cell r="H70" t="str">
            <v/>
          </cell>
          <cell r="I70" t="str">
            <v/>
          </cell>
        </row>
        <row r="71">
          <cell r="H71" t="str">
            <v/>
          </cell>
          <cell r="I71" t="str">
            <v/>
          </cell>
        </row>
        <row r="72">
          <cell r="H72" t="str">
            <v/>
          </cell>
          <cell r="I72" t="str">
            <v/>
          </cell>
        </row>
        <row r="73">
          <cell r="H73" t="str">
            <v/>
          </cell>
          <cell r="I73" t="str">
            <v/>
          </cell>
        </row>
      </sheetData>
      <sheetData sheetId="6"/>
      <sheetData sheetId="7"/>
      <sheetData sheetId="8">
        <row r="2">
          <cell r="D2" t="str">
            <v>México</v>
          </cell>
        </row>
        <row r="3">
          <cell r="D3" t="str">
            <v>Sudáfrica</v>
          </cell>
        </row>
        <row r="4">
          <cell r="D4" t="str">
            <v>Corea República</v>
          </cell>
        </row>
        <row r="6">
          <cell r="D6" t="str">
            <v>Suiza</v>
          </cell>
        </row>
        <row r="7">
          <cell r="D7" t="str">
            <v>Canadá</v>
          </cell>
        </row>
        <row r="8">
          <cell r="D8" t="str">
            <v>Bosnia y Herzegovina</v>
          </cell>
        </row>
        <row r="10">
          <cell r="D10" t="str">
            <v>Brasil</v>
          </cell>
        </row>
        <row r="11">
          <cell r="D11" t="str">
            <v>Marruecos</v>
          </cell>
        </row>
        <row r="12">
          <cell r="D12" t="str">
            <v>Escocia</v>
          </cell>
        </row>
        <row r="14">
          <cell r="D14" t="str">
            <v>Estados Unidos</v>
          </cell>
        </row>
        <row r="15">
          <cell r="D15" t="str">
            <v>Australia</v>
          </cell>
        </row>
        <row r="16">
          <cell r="D16" t="str">
            <v>Paraguay</v>
          </cell>
        </row>
        <row r="18">
          <cell r="D18" t="str">
            <v>Alemania</v>
          </cell>
        </row>
        <row r="19">
          <cell r="D19" t="str">
            <v>Costa de Marfil</v>
          </cell>
        </row>
        <row r="20">
          <cell r="D20" t="str">
            <v>Ecuador</v>
          </cell>
        </row>
        <row r="22">
          <cell r="D22" t="str">
            <v>Países Bajos</v>
          </cell>
        </row>
        <row r="23">
          <cell r="D23" t="str">
            <v>Japón</v>
          </cell>
        </row>
        <row r="24">
          <cell r="D24" t="str">
            <v>Suecia</v>
          </cell>
        </row>
        <row r="26">
          <cell r="D26" t="str">
            <v>Bélgica</v>
          </cell>
        </row>
        <row r="27">
          <cell r="D27" t="str">
            <v>Egipto</v>
          </cell>
        </row>
        <row r="28">
          <cell r="D28" t="str">
            <v>Irán</v>
          </cell>
        </row>
        <row r="30">
          <cell r="D30" t="str">
            <v>España</v>
          </cell>
        </row>
        <row r="31">
          <cell r="D31" t="str">
            <v>Cabo Verde</v>
          </cell>
        </row>
        <row r="32">
          <cell r="D32" t="str">
            <v>Uruguay</v>
          </cell>
        </row>
        <row r="34">
          <cell r="D34" t="str">
            <v>Francia</v>
          </cell>
        </row>
        <row r="35">
          <cell r="D35" t="str">
            <v>Noruega</v>
          </cell>
        </row>
        <row r="36">
          <cell r="D36" t="str">
            <v>Senegal</v>
          </cell>
        </row>
        <row r="38">
          <cell r="D38" t="str">
            <v>Argentina</v>
          </cell>
        </row>
        <row r="39">
          <cell r="D39" t="str">
            <v>Austria</v>
          </cell>
        </row>
        <row r="40">
          <cell r="D40" t="str">
            <v>Argelia</v>
          </cell>
        </row>
        <row r="42">
          <cell r="D42" t="str">
            <v>Colombia</v>
          </cell>
        </row>
        <row r="43">
          <cell r="D43" t="str">
            <v>Portugal</v>
          </cell>
        </row>
        <row r="44">
          <cell r="D44" t="str">
            <v>RD Congo</v>
          </cell>
        </row>
        <row r="46">
          <cell r="D46" t="str">
            <v>Inglaterra</v>
          </cell>
        </row>
        <row r="47">
          <cell r="D47" t="str">
            <v>Ghana</v>
          </cell>
        </row>
        <row r="48">
          <cell r="D48" t="str">
            <v>Croacia</v>
          </cell>
        </row>
      </sheetData>
      <sheetData sheetId="9">
        <row r="2">
          <cell r="C2" t="str">
            <v>Corea República</v>
          </cell>
          <cell r="I2" t="str">
            <v>Sí</v>
          </cell>
        </row>
        <row r="3">
          <cell r="C3" t="str">
            <v>Bosnia y Herzegovina</v>
          </cell>
          <cell r="I3" t="str">
            <v>Sí</v>
          </cell>
        </row>
        <row r="4">
          <cell r="C4" t="str">
            <v>Escocia</v>
          </cell>
          <cell r="I4" t="str">
            <v>No</v>
          </cell>
        </row>
        <row r="5">
          <cell r="C5" t="str">
            <v>Paraguay</v>
          </cell>
          <cell r="I5" t="str">
            <v>Sí</v>
          </cell>
        </row>
        <row r="6">
          <cell r="C6" t="str">
            <v>Ecuador</v>
          </cell>
          <cell r="I6" t="str">
            <v>Sí</v>
          </cell>
        </row>
        <row r="7">
          <cell r="C7" t="str">
            <v>Suecia</v>
          </cell>
          <cell r="I7" t="str">
            <v>Sí</v>
          </cell>
        </row>
        <row r="8">
          <cell r="C8" t="str">
            <v>Irán</v>
          </cell>
          <cell r="I8" t="str">
            <v>Sí</v>
          </cell>
        </row>
        <row r="9">
          <cell r="C9" t="str">
            <v>Uruguay</v>
          </cell>
          <cell r="I9" t="str">
            <v>No</v>
          </cell>
        </row>
        <row r="10">
          <cell r="C10" t="str">
            <v>Senegal</v>
          </cell>
          <cell r="I10" t="str">
            <v>Sí</v>
          </cell>
        </row>
        <row r="11">
          <cell r="C11" t="str">
            <v>Argelia</v>
          </cell>
          <cell r="I11" t="str">
            <v>No</v>
          </cell>
        </row>
        <row r="12">
          <cell r="C12" t="str">
            <v>RD Congo</v>
          </cell>
          <cell r="I12" t="str">
            <v>No</v>
          </cell>
        </row>
        <row r="13">
          <cell r="C13" t="str">
            <v>Croacia</v>
          </cell>
          <cell r="I13" t="str">
            <v>Sí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E1" t="str">
            <v>Equipo 1º</v>
          </cell>
          <cell r="G1" t="str">
            <v>Equipo 2º</v>
          </cell>
          <cell r="I1" t="str">
            <v>Equipo 3º</v>
          </cell>
          <cell r="K1" t="str">
            <v>Pts 1º</v>
          </cell>
          <cell r="L1" t="str">
            <v>Pts 2º</v>
          </cell>
          <cell r="M1" t="str">
            <v>Pts 3º</v>
          </cell>
          <cell r="N1" t="str">
            <v>Total grupo</v>
          </cell>
        </row>
        <row r="2">
          <cell r="E2" t="str">
            <v>México</v>
          </cell>
          <cell r="G2" t="str">
            <v>Corea República</v>
          </cell>
          <cell r="I2" t="str">
            <v>Sudáfrica</v>
          </cell>
          <cell r="K2">
            <v>7</v>
          </cell>
          <cell r="L2">
            <v>3</v>
          </cell>
          <cell r="M2">
            <v>3</v>
          </cell>
          <cell r="N2">
            <v>13</v>
          </cell>
        </row>
        <row r="3">
          <cell r="E3" t="str">
            <v>Suiza</v>
          </cell>
          <cell r="G3" t="str">
            <v>Canadá</v>
          </cell>
          <cell r="I3" t="str">
            <v>Bosnia y Herzegovina</v>
          </cell>
          <cell r="K3">
            <v>7</v>
          </cell>
          <cell r="L3">
            <v>6</v>
          </cell>
          <cell r="M3">
            <v>5</v>
          </cell>
          <cell r="N3">
            <v>18</v>
          </cell>
        </row>
        <row r="4">
          <cell r="E4" t="str">
            <v>Marruecos</v>
          </cell>
          <cell r="G4" t="str">
            <v>Brasil</v>
          </cell>
          <cell r="I4" t="str">
            <v>Escocia</v>
          </cell>
          <cell r="K4">
            <v>3</v>
          </cell>
          <cell r="L4">
            <v>3</v>
          </cell>
          <cell r="M4">
            <v>0</v>
          </cell>
          <cell r="N4">
            <v>6</v>
          </cell>
        </row>
        <row r="5">
          <cell r="E5" t="str">
            <v>Paraguay</v>
          </cell>
          <cell r="G5" t="str">
            <v>Türkiye</v>
          </cell>
          <cell r="I5" t="str">
            <v>Estados Unidos</v>
          </cell>
          <cell r="K5">
            <v>3</v>
          </cell>
          <cell r="L5">
            <v>0</v>
          </cell>
          <cell r="M5">
            <v>3</v>
          </cell>
          <cell r="N5">
            <v>6</v>
          </cell>
        </row>
        <row r="6">
          <cell r="E6" t="str">
            <v>Alemania</v>
          </cell>
          <cell r="G6" t="str">
            <v>Ecuador</v>
          </cell>
          <cell r="I6" t="str">
            <v>Costa de Marfil</v>
          </cell>
          <cell r="K6">
            <v>7</v>
          </cell>
          <cell r="L6">
            <v>3</v>
          </cell>
          <cell r="M6">
            <v>3</v>
          </cell>
          <cell r="N6">
            <v>13</v>
          </cell>
        </row>
        <row r="7">
          <cell r="E7" t="str">
            <v>Países Bajos</v>
          </cell>
          <cell r="G7" t="str">
            <v>Japón</v>
          </cell>
          <cell r="I7" t="str">
            <v>Suecia</v>
          </cell>
          <cell r="K7">
            <v>7</v>
          </cell>
          <cell r="L7">
            <v>6</v>
          </cell>
          <cell r="M7">
            <v>5</v>
          </cell>
          <cell r="N7">
            <v>18</v>
          </cell>
        </row>
        <row r="8">
          <cell r="E8" t="str">
            <v>Bélgica</v>
          </cell>
          <cell r="G8" t="str">
            <v>Egipto</v>
          </cell>
          <cell r="I8" t="str">
            <v>Irán</v>
          </cell>
          <cell r="K8">
            <v>7</v>
          </cell>
          <cell r="L8">
            <v>6</v>
          </cell>
          <cell r="M8">
            <v>5</v>
          </cell>
          <cell r="N8">
            <v>18</v>
          </cell>
        </row>
        <row r="9">
          <cell r="E9" t="str">
            <v>España</v>
          </cell>
          <cell r="G9" t="str">
            <v>Uruguay</v>
          </cell>
          <cell r="I9" t="str">
            <v>Arabia Saudita</v>
          </cell>
          <cell r="K9">
            <v>7</v>
          </cell>
          <cell r="L9">
            <v>0</v>
          </cell>
          <cell r="M9">
            <v>0</v>
          </cell>
          <cell r="N9">
            <v>7</v>
          </cell>
        </row>
        <row r="10">
          <cell r="E10" t="str">
            <v>Francia</v>
          </cell>
          <cell r="G10" t="str">
            <v>Noruega</v>
          </cell>
          <cell r="I10" t="str">
            <v>Senegal</v>
          </cell>
          <cell r="K10">
            <v>7</v>
          </cell>
          <cell r="L10">
            <v>6</v>
          </cell>
          <cell r="M10">
            <v>5</v>
          </cell>
          <cell r="N10">
            <v>18</v>
          </cell>
        </row>
        <row r="11">
          <cell r="E11" t="str">
            <v>Argentina</v>
          </cell>
          <cell r="G11" t="str">
            <v>Austria</v>
          </cell>
          <cell r="I11" t="str">
            <v>Argelia</v>
          </cell>
          <cell r="K11">
            <v>7</v>
          </cell>
          <cell r="L11">
            <v>6</v>
          </cell>
          <cell r="M11">
            <v>0</v>
          </cell>
          <cell r="N11">
            <v>13</v>
          </cell>
        </row>
        <row r="12">
          <cell r="E12" t="str">
            <v>Portugal</v>
          </cell>
          <cell r="G12" t="str">
            <v>Colombia</v>
          </cell>
          <cell r="I12" t="str">
            <v>RD Congo</v>
          </cell>
          <cell r="K12">
            <v>3</v>
          </cell>
          <cell r="L12">
            <v>3</v>
          </cell>
          <cell r="M12">
            <v>0</v>
          </cell>
          <cell r="N12">
            <v>6</v>
          </cell>
        </row>
        <row r="13">
          <cell r="E13" t="str">
            <v>Inglaterra</v>
          </cell>
          <cell r="G13" t="str">
            <v>Croacia</v>
          </cell>
          <cell r="I13" t="str">
            <v>Ghana</v>
          </cell>
          <cell r="K13">
            <v>7</v>
          </cell>
          <cell r="L13">
            <v>3</v>
          </cell>
          <cell r="M13">
            <v>3</v>
          </cell>
          <cell r="N13">
            <v>13</v>
          </cell>
        </row>
        <row r="14">
          <cell r="E14" t="str">
            <v>México</v>
          </cell>
          <cell r="G14" t="str">
            <v>Corea República</v>
          </cell>
          <cell r="I14" t="str">
            <v>Chequia</v>
          </cell>
          <cell r="K14">
            <v>7</v>
          </cell>
          <cell r="L14">
            <v>3</v>
          </cell>
          <cell r="M14">
            <v>0</v>
          </cell>
          <cell r="N14">
            <v>10</v>
          </cell>
        </row>
        <row r="15">
          <cell r="E15" t="str">
            <v>Canadá</v>
          </cell>
          <cell r="G15" t="str">
            <v>Bosnia y Herzegovina</v>
          </cell>
          <cell r="I15" t="str">
            <v>Suiza</v>
          </cell>
          <cell r="K15">
            <v>3</v>
          </cell>
          <cell r="L15">
            <v>3</v>
          </cell>
          <cell r="M15">
            <v>3</v>
          </cell>
          <cell r="N15">
            <v>9</v>
          </cell>
        </row>
        <row r="16">
          <cell r="E16" t="str">
            <v>Brasil</v>
          </cell>
          <cell r="G16" t="str">
            <v>Marruecos</v>
          </cell>
          <cell r="I16" t="str">
            <v>Escocia</v>
          </cell>
          <cell r="K16">
            <v>7</v>
          </cell>
          <cell r="L16">
            <v>6</v>
          </cell>
          <cell r="M16">
            <v>0</v>
          </cell>
          <cell r="N16">
            <v>13</v>
          </cell>
        </row>
        <row r="17">
          <cell r="E17" t="str">
            <v>Estados Unidos</v>
          </cell>
          <cell r="G17" t="str">
            <v>Paraguay</v>
          </cell>
          <cell r="I17" t="str">
            <v>Türkiye</v>
          </cell>
          <cell r="K17">
            <v>7</v>
          </cell>
          <cell r="L17">
            <v>3</v>
          </cell>
          <cell r="M17">
            <v>0</v>
          </cell>
          <cell r="N17">
            <v>10</v>
          </cell>
        </row>
        <row r="18">
          <cell r="E18" t="str">
            <v>Alemania</v>
          </cell>
          <cell r="G18" t="str">
            <v>Costa de Marfil</v>
          </cell>
          <cell r="I18" t="str">
            <v>Ecuador</v>
          </cell>
          <cell r="K18">
            <v>7</v>
          </cell>
          <cell r="L18">
            <v>6</v>
          </cell>
          <cell r="M18">
            <v>5</v>
          </cell>
          <cell r="N18">
            <v>18</v>
          </cell>
        </row>
        <row r="19">
          <cell r="E19" t="str">
            <v>Países Bajos</v>
          </cell>
          <cell r="G19" t="str">
            <v>Japón</v>
          </cell>
          <cell r="I19" t="str">
            <v>Suecia</v>
          </cell>
          <cell r="K19">
            <v>7</v>
          </cell>
          <cell r="L19">
            <v>6</v>
          </cell>
          <cell r="M19">
            <v>5</v>
          </cell>
          <cell r="N19">
            <v>18</v>
          </cell>
        </row>
        <row r="20">
          <cell r="E20" t="str">
            <v>Bélgica</v>
          </cell>
          <cell r="G20" t="str">
            <v>Egipto</v>
          </cell>
          <cell r="I20" t="str">
            <v>Irán</v>
          </cell>
          <cell r="K20">
            <v>7</v>
          </cell>
          <cell r="L20">
            <v>6</v>
          </cell>
          <cell r="M20">
            <v>5</v>
          </cell>
          <cell r="N20">
            <v>18</v>
          </cell>
        </row>
        <row r="21">
          <cell r="E21" t="str">
            <v>España</v>
          </cell>
          <cell r="G21" t="str">
            <v>Uruguay</v>
          </cell>
          <cell r="I21" t="str">
            <v>Arabia Saudita</v>
          </cell>
          <cell r="K21">
            <v>7</v>
          </cell>
          <cell r="L21">
            <v>0</v>
          </cell>
          <cell r="M21">
            <v>0</v>
          </cell>
          <cell r="N21">
            <v>7</v>
          </cell>
        </row>
        <row r="22">
          <cell r="E22" t="str">
            <v>Francia</v>
          </cell>
          <cell r="G22" t="str">
            <v>Senegal</v>
          </cell>
          <cell r="I22" t="str">
            <v>Noruega</v>
          </cell>
          <cell r="K22">
            <v>7</v>
          </cell>
          <cell r="L22">
            <v>3</v>
          </cell>
          <cell r="M22">
            <v>3</v>
          </cell>
          <cell r="N22">
            <v>13</v>
          </cell>
        </row>
        <row r="23">
          <cell r="E23" t="str">
            <v>Argentina</v>
          </cell>
          <cell r="G23" t="str">
            <v>Argelia</v>
          </cell>
          <cell r="I23" t="str">
            <v>Austria</v>
          </cell>
          <cell r="K23">
            <v>7</v>
          </cell>
          <cell r="L23">
            <v>0</v>
          </cell>
          <cell r="M23">
            <v>3</v>
          </cell>
          <cell r="N23">
            <v>10</v>
          </cell>
        </row>
        <row r="24">
          <cell r="E24" t="str">
            <v>Colombia</v>
          </cell>
          <cell r="G24" t="str">
            <v>Portugal</v>
          </cell>
          <cell r="I24" t="str">
            <v>RD Congo</v>
          </cell>
          <cell r="K24">
            <v>7</v>
          </cell>
          <cell r="L24">
            <v>6</v>
          </cell>
          <cell r="M24">
            <v>0</v>
          </cell>
          <cell r="N24">
            <v>13</v>
          </cell>
        </row>
        <row r="25">
          <cell r="E25" t="str">
            <v>Inglaterra</v>
          </cell>
          <cell r="G25" t="str">
            <v>Croacia</v>
          </cell>
          <cell r="I25" t="str">
            <v>Panamá</v>
          </cell>
          <cell r="K25">
            <v>7</v>
          </cell>
          <cell r="L25">
            <v>3</v>
          </cell>
          <cell r="M25">
            <v>0</v>
          </cell>
          <cell r="N25">
            <v>10</v>
          </cell>
        </row>
        <row r="26">
          <cell r="E26" t="str">
            <v>México</v>
          </cell>
          <cell r="G26" t="str">
            <v>Chequia</v>
          </cell>
          <cell r="I26" t="str">
            <v>Corea República</v>
          </cell>
          <cell r="K26">
            <v>7</v>
          </cell>
          <cell r="L26">
            <v>0</v>
          </cell>
          <cell r="M26">
            <v>5</v>
          </cell>
          <cell r="N26">
            <v>12</v>
          </cell>
        </row>
        <row r="27">
          <cell r="E27" t="str">
            <v>Suiza</v>
          </cell>
          <cell r="G27" t="str">
            <v>Canadá</v>
          </cell>
          <cell r="I27" t="str">
            <v>Bosnia y Herzegovina</v>
          </cell>
          <cell r="K27">
            <v>7</v>
          </cell>
          <cell r="L27">
            <v>6</v>
          </cell>
          <cell r="M27">
            <v>5</v>
          </cell>
          <cell r="N27">
            <v>18</v>
          </cell>
        </row>
        <row r="28">
          <cell r="E28" t="str">
            <v>Brasil</v>
          </cell>
          <cell r="G28" t="str">
            <v>Marruecos</v>
          </cell>
          <cell r="I28" t="str">
            <v>Escocia</v>
          </cell>
          <cell r="K28">
            <v>7</v>
          </cell>
          <cell r="L28">
            <v>6</v>
          </cell>
          <cell r="M28">
            <v>0</v>
          </cell>
          <cell r="N28">
            <v>13</v>
          </cell>
        </row>
        <row r="29">
          <cell r="E29" t="str">
            <v>Türkiye</v>
          </cell>
          <cell r="G29" t="str">
            <v>Estados Unidos</v>
          </cell>
          <cell r="I29" t="str">
            <v>Paraguay</v>
          </cell>
          <cell r="K29">
            <v>0</v>
          </cell>
          <cell r="L29">
            <v>3</v>
          </cell>
          <cell r="M29">
            <v>5</v>
          </cell>
          <cell r="N29">
            <v>8</v>
          </cell>
        </row>
        <row r="30">
          <cell r="E30" t="str">
            <v>Alemania</v>
          </cell>
          <cell r="G30" t="str">
            <v>Ecuador</v>
          </cell>
          <cell r="I30" t="str">
            <v>Costa de Marfil</v>
          </cell>
          <cell r="K30">
            <v>7</v>
          </cell>
          <cell r="L30">
            <v>3</v>
          </cell>
          <cell r="M30">
            <v>3</v>
          </cell>
          <cell r="N30">
            <v>13</v>
          </cell>
        </row>
        <row r="31">
          <cell r="E31" t="str">
            <v>Países Bajos</v>
          </cell>
          <cell r="G31" t="str">
            <v>Japón</v>
          </cell>
          <cell r="I31" t="str">
            <v>Suecia</v>
          </cell>
          <cell r="K31">
            <v>7</v>
          </cell>
          <cell r="L31">
            <v>6</v>
          </cell>
          <cell r="M31">
            <v>5</v>
          </cell>
          <cell r="N31">
            <v>18</v>
          </cell>
        </row>
        <row r="32">
          <cell r="E32" t="str">
            <v>Bélgica</v>
          </cell>
          <cell r="G32" t="str">
            <v>Egipto</v>
          </cell>
          <cell r="I32" t="str">
            <v>Irán</v>
          </cell>
          <cell r="K32">
            <v>7</v>
          </cell>
          <cell r="L32">
            <v>6</v>
          </cell>
          <cell r="M32">
            <v>5</v>
          </cell>
          <cell r="N32">
            <v>18</v>
          </cell>
        </row>
        <row r="33">
          <cell r="E33" t="str">
            <v>España</v>
          </cell>
          <cell r="G33" t="str">
            <v>Uruguay</v>
          </cell>
          <cell r="I33" t="str">
            <v>Arabia Saudita</v>
          </cell>
          <cell r="K33">
            <v>7</v>
          </cell>
          <cell r="L33">
            <v>0</v>
          </cell>
          <cell r="M33">
            <v>0</v>
          </cell>
          <cell r="N33">
            <v>7</v>
          </cell>
        </row>
        <row r="34">
          <cell r="E34" t="str">
            <v>Francia</v>
          </cell>
          <cell r="G34" t="str">
            <v>Noruega</v>
          </cell>
          <cell r="I34" t="str">
            <v>Senegal</v>
          </cell>
          <cell r="K34">
            <v>7</v>
          </cell>
          <cell r="L34">
            <v>6</v>
          </cell>
          <cell r="M34">
            <v>5</v>
          </cell>
          <cell r="N34">
            <v>18</v>
          </cell>
        </row>
        <row r="35">
          <cell r="E35" t="str">
            <v>Argentina</v>
          </cell>
          <cell r="G35" t="str">
            <v>Austria</v>
          </cell>
          <cell r="I35" t="str">
            <v>Argelia</v>
          </cell>
          <cell r="K35">
            <v>7</v>
          </cell>
          <cell r="L35">
            <v>6</v>
          </cell>
          <cell r="M35">
            <v>0</v>
          </cell>
          <cell r="N35">
            <v>13</v>
          </cell>
        </row>
        <row r="36">
          <cell r="E36" t="str">
            <v>Portugal</v>
          </cell>
          <cell r="G36" t="str">
            <v>Colombia</v>
          </cell>
          <cell r="I36" t="str">
            <v>RD Congo</v>
          </cell>
          <cell r="K36">
            <v>3</v>
          </cell>
          <cell r="L36">
            <v>3</v>
          </cell>
          <cell r="M36">
            <v>0</v>
          </cell>
          <cell r="N36">
            <v>6</v>
          </cell>
        </row>
        <row r="37">
          <cell r="E37" t="str">
            <v>Inglaterra</v>
          </cell>
          <cell r="G37" t="str">
            <v>Croacia</v>
          </cell>
          <cell r="I37" t="str">
            <v>Ghana</v>
          </cell>
          <cell r="K37">
            <v>7</v>
          </cell>
          <cell r="L37">
            <v>3</v>
          </cell>
          <cell r="M37">
            <v>3</v>
          </cell>
          <cell r="N37">
            <v>13</v>
          </cell>
        </row>
        <row r="38">
          <cell r="E38" t="str">
            <v>México</v>
          </cell>
          <cell r="G38" t="str">
            <v>Chequia</v>
          </cell>
          <cell r="I38" t="str">
            <v>Corea República</v>
          </cell>
          <cell r="K38">
            <v>7</v>
          </cell>
          <cell r="L38">
            <v>0</v>
          </cell>
          <cell r="M38">
            <v>5</v>
          </cell>
          <cell r="N38">
            <v>12</v>
          </cell>
        </row>
        <row r="39">
          <cell r="E39" t="str">
            <v>Canadá</v>
          </cell>
          <cell r="G39" t="str">
            <v>Suiza</v>
          </cell>
          <cell r="I39" t="str">
            <v>Bosnia y Herzegovina</v>
          </cell>
          <cell r="K39">
            <v>3</v>
          </cell>
          <cell r="L39">
            <v>3</v>
          </cell>
          <cell r="M39">
            <v>5</v>
          </cell>
          <cell r="N39">
            <v>11</v>
          </cell>
        </row>
        <row r="40">
          <cell r="E40" t="str">
            <v>Brasil</v>
          </cell>
          <cell r="G40" t="str">
            <v>Marruecos</v>
          </cell>
          <cell r="I40" t="str">
            <v>Escocia</v>
          </cell>
          <cell r="K40">
            <v>7</v>
          </cell>
          <cell r="L40">
            <v>6</v>
          </cell>
          <cell r="M40">
            <v>0</v>
          </cell>
          <cell r="N40">
            <v>13</v>
          </cell>
        </row>
        <row r="41">
          <cell r="E41" t="str">
            <v>Estados Unidos</v>
          </cell>
          <cell r="G41" t="str">
            <v>Türkiye</v>
          </cell>
          <cell r="I41" t="str">
            <v>Paraguay</v>
          </cell>
          <cell r="K41">
            <v>7</v>
          </cell>
          <cell r="L41">
            <v>0</v>
          </cell>
          <cell r="M41">
            <v>5</v>
          </cell>
          <cell r="N41">
            <v>12</v>
          </cell>
        </row>
        <row r="42">
          <cell r="E42" t="str">
            <v>Alemania</v>
          </cell>
          <cell r="G42" t="str">
            <v>Ecuador</v>
          </cell>
          <cell r="I42" t="str">
            <v>Costa de Marfil</v>
          </cell>
          <cell r="K42">
            <v>7</v>
          </cell>
          <cell r="L42">
            <v>3</v>
          </cell>
          <cell r="M42">
            <v>3</v>
          </cell>
          <cell r="N42">
            <v>13</v>
          </cell>
        </row>
        <row r="43">
          <cell r="E43" t="str">
            <v>Japón</v>
          </cell>
          <cell r="G43" t="str">
            <v>Países Bajos</v>
          </cell>
          <cell r="I43" t="str">
            <v>Suecia</v>
          </cell>
          <cell r="K43">
            <v>3</v>
          </cell>
          <cell r="L43">
            <v>3</v>
          </cell>
          <cell r="M43">
            <v>5</v>
          </cell>
          <cell r="N43">
            <v>11</v>
          </cell>
        </row>
        <row r="44">
          <cell r="E44" t="str">
            <v>Bélgica</v>
          </cell>
          <cell r="G44" t="str">
            <v>Egipto</v>
          </cell>
          <cell r="I44" t="str">
            <v>Irán</v>
          </cell>
          <cell r="K44">
            <v>7</v>
          </cell>
          <cell r="L44">
            <v>6</v>
          </cell>
          <cell r="M44">
            <v>5</v>
          </cell>
          <cell r="N44">
            <v>18</v>
          </cell>
        </row>
        <row r="45">
          <cell r="E45" t="str">
            <v>España</v>
          </cell>
          <cell r="G45" t="str">
            <v>Arabia Saudita</v>
          </cell>
          <cell r="I45" t="str">
            <v>Uruguay</v>
          </cell>
          <cell r="K45">
            <v>7</v>
          </cell>
          <cell r="L45">
            <v>0</v>
          </cell>
          <cell r="M45">
            <v>0</v>
          </cell>
          <cell r="N45">
            <v>7</v>
          </cell>
        </row>
        <row r="46">
          <cell r="E46" t="str">
            <v>Francia</v>
          </cell>
          <cell r="G46" t="str">
            <v>Noruega</v>
          </cell>
          <cell r="I46" t="str">
            <v>Senegal</v>
          </cell>
          <cell r="K46">
            <v>7</v>
          </cell>
          <cell r="L46">
            <v>6</v>
          </cell>
          <cell r="M46">
            <v>5</v>
          </cell>
          <cell r="N46">
            <v>18</v>
          </cell>
        </row>
        <row r="47">
          <cell r="E47" t="str">
            <v>Argentina</v>
          </cell>
          <cell r="G47" t="str">
            <v>Argelia</v>
          </cell>
          <cell r="I47" t="str">
            <v>Austria</v>
          </cell>
          <cell r="K47">
            <v>7</v>
          </cell>
          <cell r="L47">
            <v>0</v>
          </cell>
          <cell r="M47">
            <v>3</v>
          </cell>
          <cell r="N47">
            <v>10</v>
          </cell>
        </row>
        <row r="48">
          <cell r="E48" t="str">
            <v>Colombia</v>
          </cell>
          <cell r="G48" t="str">
            <v>Portugal</v>
          </cell>
          <cell r="I48" t="str">
            <v>RD Congo</v>
          </cell>
          <cell r="K48">
            <v>7</v>
          </cell>
          <cell r="L48">
            <v>6</v>
          </cell>
          <cell r="M48">
            <v>0</v>
          </cell>
          <cell r="N48">
            <v>13</v>
          </cell>
        </row>
        <row r="49">
          <cell r="E49" t="str">
            <v>Inglaterra</v>
          </cell>
          <cell r="G49" t="str">
            <v>Croacia</v>
          </cell>
          <cell r="I49" t="str">
            <v>Panamá</v>
          </cell>
          <cell r="K49">
            <v>7</v>
          </cell>
          <cell r="L49">
            <v>3</v>
          </cell>
          <cell r="M49">
            <v>0</v>
          </cell>
          <cell r="N49">
            <v>10</v>
          </cell>
        </row>
        <row r="50">
          <cell r="E50" t="str">
            <v>México</v>
          </cell>
          <cell r="G50" t="str">
            <v>Chequia</v>
          </cell>
          <cell r="I50" t="str">
            <v>Sudáfrica</v>
          </cell>
          <cell r="K50">
            <v>7</v>
          </cell>
          <cell r="L50">
            <v>0</v>
          </cell>
          <cell r="M50">
            <v>3</v>
          </cell>
          <cell r="N50">
            <v>10</v>
          </cell>
        </row>
        <row r="51">
          <cell r="E51" t="str">
            <v>Canadá</v>
          </cell>
          <cell r="G51" t="str">
            <v>Qatar</v>
          </cell>
          <cell r="I51" t="str">
            <v>Suiza</v>
          </cell>
          <cell r="K51">
            <v>3</v>
          </cell>
          <cell r="L51">
            <v>0</v>
          </cell>
          <cell r="M51">
            <v>3</v>
          </cell>
          <cell r="N51">
            <v>6</v>
          </cell>
        </row>
        <row r="52">
          <cell r="E52" t="str">
            <v>Brasil</v>
          </cell>
          <cell r="G52" t="str">
            <v>Marruecos</v>
          </cell>
          <cell r="I52" t="str">
            <v>Escocia</v>
          </cell>
          <cell r="K52">
            <v>7</v>
          </cell>
          <cell r="L52">
            <v>6</v>
          </cell>
          <cell r="M52">
            <v>0</v>
          </cell>
          <cell r="N52">
            <v>13</v>
          </cell>
        </row>
        <row r="53">
          <cell r="E53" t="str">
            <v>Estados Unidos</v>
          </cell>
          <cell r="G53" t="str">
            <v>Türkiye</v>
          </cell>
          <cell r="I53" t="str">
            <v>Paraguay</v>
          </cell>
          <cell r="K53">
            <v>7</v>
          </cell>
          <cell r="L53">
            <v>0</v>
          </cell>
          <cell r="M53">
            <v>5</v>
          </cell>
          <cell r="N53">
            <v>12</v>
          </cell>
        </row>
        <row r="54">
          <cell r="E54" t="str">
            <v>Ecuador</v>
          </cell>
          <cell r="G54" t="str">
            <v>Alemania</v>
          </cell>
          <cell r="I54" t="str">
            <v>Curazao</v>
          </cell>
          <cell r="K54">
            <v>3</v>
          </cell>
          <cell r="L54">
            <v>3</v>
          </cell>
          <cell r="M54">
            <v>0</v>
          </cell>
          <cell r="N54">
            <v>6</v>
          </cell>
        </row>
        <row r="55">
          <cell r="E55" t="str">
            <v>Países Bajos</v>
          </cell>
          <cell r="G55" t="str">
            <v>Japón</v>
          </cell>
          <cell r="I55" t="str">
            <v>Suecia</v>
          </cell>
          <cell r="K55">
            <v>7</v>
          </cell>
          <cell r="L55">
            <v>6</v>
          </cell>
          <cell r="M55">
            <v>5</v>
          </cell>
          <cell r="N55">
            <v>18</v>
          </cell>
        </row>
        <row r="56">
          <cell r="E56" t="str">
            <v>Bélgica</v>
          </cell>
          <cell r="G56" t="str">
            <v>Irán</v>
          </cell>
          <cell r="I56" t="str">
            <v>Egipto</v>
          </cell>
          <cell r="K56">
            <v>7</v>
          </cell>
          <cell r="L56">
            <v>3</v>
          </cell>
          <cell r="M56">
            <v>3</v>
          </cell>
          <cell r="N56">
            <v>13</v>
          </cell>
        </row>
        <row r="57">
          <cell r="E57" t="str">
            <v>España</v>
          </cell>
          <cell r="G57" t="str">
            <v>Uruguay</v>
          </cell>
          <cell r="I57" t="str">
            <v>Arabia Saudita</v>
          </cell>
          <cell r="K57">
            <v>7</v>
          </cell>
          <cell r="L57">
            <v>0</v>
          </cell>
          <cell r="M57">
            <v>0</v>
          </cell>
          <cell r="N57">
            <v>7</v>
          </cell>
        </row>
        <row r="58">
          <cell r="E58" t="str">
            <v>Francia</v>
          </cell>
          <cell r="G58" t="str">
            <v>Senegal</v>
          </cell>
          <cell r="I58" t="str">
            <v>Noruega</v>
          </cell>
          <cell r="K58">
            <v>7</v>
          </cell>
          <cell r="L58">
            <v>3</v>
          </cell>
          <cell r="M58">
            <v>3</v>
          </cell>
          <cell r="N58">
            <v>13</v>
          </cell>
        </row>
        <row r="59">
          <cell r="E59" t="str">
            <v>Argentina</v>
          </cell>
          <cell r="G59" t="str">
            <v>Austria</v>
          </cell>
          <cell r="I59" t="str">
            <v>Argelia</v>
          </cell>
          <cell r="K59">
            <v>7</v>
          </cell>
          <cell r="L59">
            <v>6</v>
          </cell>
          <cell r="M59">
            <v>0</v>
          </cell>
          <cell r="N59">
            <v>13</v>
          </cell>
        </row>
        <row r="60">
          <cell r="E60" t="str">
            <v>Portugal</v>
          </cell>
          <cell r="G60" t="str">
            <v>Colombia</v>
          </cell>
          <cell r="I60" t="str">
            <v>Uzbekistán</v>
          </cell>
          <cell r="K60">
            <v>3</v>
          </cell>
          <cell r="L60">
            <v>3</v>
          </cell>
          <cell r="M60">
            <v>0</v>
          </cell>
          <cell r="N60">
            <v>6</v>
          </cell>
        </row>
        <row r="61">
          <cell r="E61" t="str">
            <v>Inglaterra</v>
          </cell>
          <cell r="G61" t="str">
            <v>Croacia</v>
          </cell>
          <cell r="I61" t="str">
            <v>Panamá</v>
          </cell>
          <cell r="K61">
            <v>7</v>
          </cell>
          <cell r="L61">
            <v>3</v>
          </cell>
          <cell r="M61">
            <v>0</v>
          </cell>
          <cell r="N61">
            <v>10</v>
          </cell>
        </row>
        <row r="62">
          <cell r="E62" t="str">
            <v>México</v>
          </cell>
          <cell r="G62" t="str">
            <v>Corea República</v>
          </cell>
          <cell r="I62" t="str">
            <v>Sudáfrica</v>
          </cell>
          <cell r="K62">
            <v>7</v>
          </cell>
          <cell r="L62">
            <v>3</v>
          </cell>
          <cell r="M62">
            <v>3</v>
          </cell>
          <cell r="N62">
            <v>13</v>
          </cell>
        </row>
        <row r="63">
          <cell r="E63" t="str">
            <v>Canadá</v>
          </cell>
          <cell r="G63" t="str">
            <v>Suiza</v>
          </cell>
          <cell r="I63" t="str">
            <v>Bosnia y Herzegovina</v>
          </cell>
          <cell r="K63">
            <v>3</v>
          </cell>
          <cell r="L63">
            <v>3</v>
          </cell>
          <cell r="M63">
            <v>5</v>
          </cell>
          <cell r="N63">
            <v>11</v>
          </cell>
        </row>
        <row r="64">
          <cell r="E64" t="str">
            <v>Marruecos</v>
          </cell>
          <cell r="G64" t="str">
            <v>Brasil</v>
          </cell>
          <cell r="I64" t="str">
            <v>Escocia</v>
          </cell>
          <cell r="K64">
            <v>3</v>
          </cell>
          <cell r="L64">
            <v>3</v>
          </cell>
          <cell r="M64">
            <v>0</v>
          </cell>
          <cell r="N64">
            <v>6</v>
          </cell>
        </row>
        <row r="65">
          <cell r="E65" t="str">
            <v>Estados Unidos</v>
          </cell>
          <cell r="G65" t="str">
            <v>Türkiye</v>
          </cell>
          <cell r="I65" t="str">
            <v>Australia</v>
          </cell>
          <cell r="K65">
            <v>7</v>
          </cell>
          <cell r="L65">
            <v>0</v>
          </cell>
          <cell r="M65">
            <v>3</v>
          </cell>
          <cell r="N65">
            <v>10</v>
          </cell>
        </row>
        <row r="66">
          <cell r="E66" t="str">
            <v>Alemania</v>
          </cell>
          <cell r="G66" t="str">
            <v>Ecuador</v>
          </cell>
          <cell r="I66" t="str">
            <v>Costa de Marfil</v>
          </cell>
          <cell r="K66">
            <v>7</v>
          </cell>
          <cell r="L66">
            <v>3</v>
          </cell>
          <cell r="M66">
            <v>3</v>
          </cell>
          <cell r="N66">
            <v>13</v>
          </cell>
        </row>
        <row r="67">
          <cell r="E67" t="str">
            <v>Países Bajos</v>
          </cell>
          <cell r="G67" t="str">
            <v>Japón</v>
          </cell>
          <cell r="I67" t="str">
            <v>Suecia</v>
          </cell>
          <cell r="K67">
            <v>7</v>
          </cell>
          <cell r="L67">
            <v>6</v>
          </cell>
          <cell r="M67">
            <v>5</v>
          </cell>
          <cell r="N67">
            <v>18</v>
          </cell>
        </row>
        <row r="68">
          <cell r="E68" t="str">
            <v>Bélgica</v>
          </cell>
          <cell r="G68" t="str">
            <v>Nueva Zelanda</v>
          </cell>
          <cell r="I68" t="str">
            <v>Egipto</v>
          </cell>
          <cell r="K68">
            <v>7</v>
          </cell>
          <cell r="L68">
            <v>0</v>
          </cell>
          <cell r="M68">
            <v>3</v>
          </cell>
          <cell r="N68">
            <v>10</v>
          </cell>
        </row>
        <row r="69">
          <cell r="E69" t="str">
            <v>España</v>
          </cell>
          <cell r="G69" t="str">
            <v>Uruguay</v>
          </cell>
          <cell r="I69" t="str">
            <v>Arabia Saudita</v>
          </cell>
          <cell r="K69">
            <v>7</v>
          </cell>
          <cell r="L69">
            <v>0</v>
          </cell>
          <cell r="M69">
            <v>0</v>
          </cell>
          <cell r="N69">
            <v>7</v>
          </cell>
        </row>
        <row r="70">
          <cell r="E70" t="str">
            <v>Francia</v>
          </cell>
          <cell r="G70" t="str">
            <v>Noruega</v>
          </cell>
          <cell r="I70" t="str">
            <v>Senegal</v>
          </cell>
          <cell r="K70">
            <v>7</v>
          </cell>
          <cell r="L70">
            <v>6</v>
          </cell>
          <cell r="M70">
            <v>5</v>
          </cell>
          <cell r="N70">
            <v>18</v>
          </cell>
        </row>
        <row r="71">
          <cell r="E71" t="str">
            <v>Argentina</v>
          </cell>
          <cell r="G71" t="str">
            <v>Austria</v>
          </cell>
          <cell r="I71" t="str">
            <v>Argelia</v>
          </cell>
          <cell r="K71">
            <v>7</v>
          </cell>
          <cell r="L71">
            <v>6</v>
          </cell>
          <cell r="M71">
            <v>0</v>
          </cell>
          <cell r="N71">
            <v>13</v>
          </cell>
        </row>
        <row r="72">
          <cell r="E72" t="str">
            <v>Portugal</v>
          </cell>
          <cell r="G72" t="str">
            <v>Colombia</v>
          </cell>
          <cell r="I72" t="str">
            <v>RD Congo</v>
          </cell>
          <cell r="K72">
            <v>3</v>
          </cell>
          <cell r="L72">
            <v>3</v>
          </cell>
          <cell r="M72">
            <v>0</v>
          </cell>
          <cell r="N72">
            <v>6</v>
          </cell>
        </row>
        <row r="73">
          <cell r="E73" t="str">
            <v>Inglaterra</v>
          </cell>
          <cell r="G73" t="str">
            <v>Croacia</v>
          </cell>
          <cell r="I73" t="str">
            <v>Panamá</v>
          </cell>
          <cell r="K73">
            <v>7</v>
          </cell>
          <cell r="L73">
            <v>3</v>
          </cell>
          <cell r="M73">
            <v>0</v>
          </cell>
          <cell r="N73">
            <v>10</v>
          </cell>
        </row>
        <row r="74">
          <cell r="E74" t="str">
            <v>México</v>
          </cell>
          <cell r="G74" t="str">
            <v>Corea República</v>
          </cell>
          <cell r="I74" t="str">
            <v>Chequia</v>
          </cell>
          <cell r="K74">
            <v>7</v>
          </cell>
          <cell r="L74">
            <v>3</v>
          </cell>
          <cell r="M74">
            <v>0</v>
          </cell>
          <cell r="N74">
            <v>10</v>
          </cell>
        </row>
        <row r="75">
          <cell r="E75" t="str">
            <v>Canadá</v>
          </cell>
          <cell r="G75" t="str">
            <v>Bosnia y Herzegovina</v>
          </cell>
          <cell r="I75" t="str">
            <v>Suiza</v>
          </cell>
          <cell r="K75">
            <v>3</v>
          </cell>
          <cell r="L75">
            <v>3</v>
          </cell>
          <cell r="M75">
            <v>3</v>
          </cell>
          <cell r="N75">
            <v>9</v>
          </cell>
        </row>
        <row r="76">
          <cell r="E76" t="str">
            <v>Brasil</v>
          </cell>
          <cell r="G76" t="str">
            <v>Marruecos</v>
          </cell>
          <cell r="I76" t="str">
            <v>Escocia</v>
          </cell>
          <cell r="K76">
            <v>7</v>
          </cell>
          <cell r="L76">
            <v>6</v>
          </cell>
          <cell r="M76">
            <v>0</v>
          </cell>
          <cell r="N76">
            <v>13</v>
          </cell>
        </row>
        <row r="77">
          <cell r="E77" t="str">
            <v>Estados Unidos</v>
          </cell>
          <cell r="G77" t="str">
            <v>Türkiye</v>
          </cell>
          <cell r="I77" t="str">
            <v>Australia</v>
          </cell>
          <cell r="K77">
            <v>7</v>
          </cell>
          <cell r="L77">
            <v>0</v>
          </cell>
          <cell r="M77">
            <v>3</v>
          </cell>
          <cell r="N77">
            <v>10</v>
          </cell>
        </row>
        <row r="78">
          <cell r="E78" t="str">
            <v>Alemania</v>
          </cell>
          <cell r="G78" t="str">
            <v>Costa de Marfil</v>
          </cell>
          <cell r="I78" t="str">
            <v>Ecuador</v>
          </cell>
          <cell r="K78">
            <v>7</v>
          </cell>
          <cell r="L78">
            <v>6</v>
          </cell>
          <cell r="M78">
            <v>5</v>
          </cell>
          <cell r="N78">
            <v>18</v>
          </cell>
        </row>
        <row r="79">
          <cell r="E79" t="str">
            <v>Países Bajos</v>
          </cell>
          <cell r="G79" t="str">
            <v>Japón</v>
          </cell>
          <cell r="I79" t="str">
            <v>Suecia</v>
          </cell>
          <cell r="K79">
            <v>7</v>
          </cell>
          <cell r="L79">
            <v>6</v>
          </cell>
          <cell r="M79">
            <v>5</v>
          </cell>
          <cell r="N79">
            <v>18</v>
          </cell>
        </row>
        <row r="80">
          <cell r="E80" t="str">
            <v>Bélgica</v>
          </cell>
          <cell r="G80" t="str">
            <v>Irán</v>
          </cell>
          <cell r="I80" t="str">
            <v>Egipto</v>
          </cell>
          <cell r="K80">
            <v>7</v>
          </cell>
          <cell r="L80">
            <v>3</v>
          </cell>
          <cell r="M80">
            <v>3</v>
          </cell>
          <cell r="N80">
            <v>13</v>
          </cell>
        </row>
        <row r="81">
          <cell r="E81" t="str">
            <v>España</v>
          </cell>
          <cell r="G81" t="str">
            <v>Uruguay</v>
          </cell>
          <cell r="I81" t="str">
            <v>Arabia Saudita</v>
          </cell>
          <cell r="K81">
            <v>7</v>
          </cell>
          <cell r="L81">
            <v>0</v>
          </cell>
          <cell r="M81">
            <v>0</v>
          </cell>
          <cell r="N81">
            <v>7</v>
          </cell>
        </row>
        <row r="82">
          <cell r="E82" t="str">
            <v>Francia</v>
          </cell>
          <cell r="G82" t="str">
            <v>Senegal</v>
          </cell>
          <cell r="I82" t="str">
            <v>Noruega</v>
          </cell>
          <cell r="K82">
            <v>7</v>
          </cell>
          <cell r="L82">
            <v>3</v>
          </cell>
          <cell r="M82">
            <v>3</v>
          </cell>
          <cell r="N82">
            <v>13</v>
          </cell>
        </row>
        <row r="83">
          <cell r="E83" t="str">
            <v>Argentina</v>
          </cell>
          <cell r="G83" t="str">
            <v>Austria</v>
          </cell>
          <cell r="I83" t="str">
            <v>Argelia</v>
          </cell>
          <cell r="K83">
            <v>7</v>
          </cell>
          <cell r="L83">
            <v>6</v>
          </cell>
          <cell r="M83">
            <v>0</v>
          </cell>
          <cell r="N83">
            <v>13</v>
          </cell>
        </row>
        <row r="84">
          <cell r="E84" t="str">
            <v>Portugal</v>
          </cell>
          <cell r="G84" t="str">
            <v>Colombia</v>
          </cell>
          <cell r="I84" t="str">
            <v>RD Congo</v>
          </cell>
          <cell r="K84">
            <v>3</v>
          </cell>
          <cell r="L84">
            <v>3</v>
          </cell>
          <cell r="M84">
            <v>0</v>
          </cell>
          <cell r="N84">
            <v>6</v>
          </cell>
        </row>
        <row r="85">
          <cell r="E85" t="str">
            <v>Inglaterra</v>
          </cell>
          <cell r="G85" t="str">
            <v>Croacia</v>
          </cell>
          <cell r="I85" t="str">
            <v>Panamá</v>
          </cell>
          <cell r="K85">
            <v>7</v>
          </cell>
          <cell r="L85">
            <v>3</v>
          </cell>
          <cell r="M85">
            <v>0</v>
          </cell>
          <cell r="N85">
            <v>10</v>
          </cell>
        </row>
        <row r="86">
          <cell r="E86" t="str">
            <v>Corea República</v>
          </cell>
          <cell r="G86" t="str">
            <v>Chequia</v>
          </cell>
          <cell r="I86" t="str">
            <v>México</v>
          </cell>
          <cell r="K86">
            <v>3</v>
          </cell>
          <cell r="L86">
            <v>0</v>
          </cell>
          <cell r="M86">
            <v>3</v>
          </cell>
          <cell r="N86">
            <v>6</v>
          </cell>
        </row>
        <row r="87">
          <cell r="E87" t="str">
            <v>Suiza</v>
          </cell>
          <cell r="G87" t="str">
            <v>Canadá</v>
          </cell>
          <cell r="I87" t="str">
            <v>Qatar</v>
          </cell>
          <cell r="K87">
            <v>7</v>
          </cell>
          <cell r="L87">
            <v>6</v>
          </cell>
          <cell r="M87">
            <v>0</v>
          </cell>
          <cell r="N87">
            <v>13</v>
          </cell>
        </row>
        <row r="88">
          <cell r="E88" t="str">
            <v>Brasil</v>
          </cell>
          <cell r="G88" t="str">
            <v>Marruecos</v>
          </cell>
          <cell r="I88" t="str">
            <v>Escocia</v>
          </cell>
          <cell r="K88">
            <v>7</v>
          </cell>
          <cell r="L88">
            <v>6</v>
          </cell>
          <cell r="M88">
            <v>0</v>
          </cell>
          <cell r="N88">
            <v>13</v>
          </cell>
        </row>
        <row r="89">
          <cell r="E89" t="str">
            <v>Estados Unidos</v>
          </cell>
          <cell r="G89" t="str">
            <v>Türkiye</v>
          </cell>
          <cell r="I89" t="str">
            <v>Paraguay</v>
          </cell>
          <cell r="K89">
            <v>7</v>
          </cell>
          <cell r="L89">
            <v>0</v>
          </cell>
          <cell r="M89">
            <v>5</v>
          </cell>
          <cell r="N89">
            <v>12</v>
          </cell>
        </row>
        <row r="90">
          <cell r="E90" t="str">
            <v>Alemania</v>
          </cell>
          <cell r="G90" t="str">
            <v>Ecuador</v>
          </cell>
          <cell r="I90" t="str">
            <v>Costa de Marfil</v>
          </cell>
          <cell r="K90">
            <v>7</v>
          </cell>
          <cell r="L90">
            <v>3</v>
          </cell>
          <cell r="M90">
            <v>3</v>
          </cell>
          <cell r="N90">
            <v>13</v>
          </cell>
        </row>
        <row r="91">
          <cell r="E91" t="str">
            <v>Países Bajos</v>
          </cell>
          <cell r="G91" t="str">
            <v>Japón</v>
          </cell>
          <cell r="I91" t="str">
            <v>Túnez</v>
          </cell>
          <cell r="K91">
            <v>7</v>
          </cell>
          <cell r="L91">
            <v>6</v>
          </cell>
          <cell r="M91">
            <v>0</v>
          </cell>
          <cell r="N91">
            <v>13</v>
          </cell>
        </row>
        <row r="92">
          <cell r="E92" t="str">
            <v>Bélgica</v>
          </cell>
          <cell r="G92" t="str">
            <v>Egipto</v>
          </cell>
          <cell r="I92" t="str">
            <v>Irán</v>
          </cell>
          <cell r="K92">
            <v>7</v>
          </cell>
          <cell r="L92">
            <v>6</v>
          </cell>
          <cell r="M92">
            <v>5</v>
          </cell>
          <cell r="N92">
            <v>18</v>
          </cell>
        </row>
        <row r="93">
          <cell r="E93" t="str">
            <v>España</v>
          </cell>
          <cell r="G93" t="str">
            <v>Uruguay</v>
          </cell>
          <cell r="I93" t="str">
            <v>Arabia Saudita</v>
          </cell>
          <cell r="K93">
            <v>7</v>
          </cell>
          <cell r="L93">
            <v>0</v>
          </cell>
          <cell r="M93">
            <v>0</v>
          </cell>
          <cell r="N93">
            <v>7</v>
          </cell>
        </row>
        <row r="94">
          <cell r="E94" t="str">
            <v>Francia</v>
          </cell>
          <cell r="G94" t="str">
            <v>Senegal</v>
          </cell>
          <cell r="I94" t="str">
            <v>Noruega</v>
          </cell>
          <cell r="K94">
            <v>7</v>
          </cell>
          <cell r="L94">
            <v>3</v>
          </cell>
          <cell r="M94">
            <v>3</v>
          </cell>
          <cell r="N94">
            <v>13</v>
          </cell>
        </row>
        <row r="95">
          <cell r="E95" t="str">
            <v>Argentina</v>
          </cell>
          <cell r="G95" t="str">
            <v>Austria</v>
          </cell>
          <cell r="I95" t="str">
            <v>Argelia</v>
          </cell>
          <cell r="K95">
            <v>7</v>
          </cell>
          <cell r="L95">
            <v>6</v>
          </cell>
          <cell r="M95">
            <v>0</v>
          </cell>
          <cell r="N95">
            <v>13</v>
          </cell>
        </row>
        <row r="96">
          <cell r="E96" t="str">
            <v>Portugal</v>
          </cell>
          <cell r="G96" t="str">
            <v>Colombia</v>
          </cell>
          <cell r="I96" t="str">
            <v>Uzbekistán</v>
          </cell>
          <cell r="K96">
            <v>3</v>
          </cell>
          <cell r="L96">
            <v>3</v>
          </cell>
          <cell r="M96">
            <v>0</v>
          </cell>
          <cell r="N96">
            <v>6</v>
          </cell>
        </row>
        <row r="97">
          <cell r="E97" t="str">
            <v>Inglaterra</v>
          </cell>
          <cell r="G97" t="str">
            <v>Croacia</v>
          </cell>
          <cell r="I97" t="str">
            <v>Ghana</v>
          </cell>
          <cell r="K97">
            <v>7</v>
          </cell>
          <cell r="L97">
            <v>3</v>
          </cell>
          <cell r="M97">
            <v>3</v>
          </cell>
          <cell r="N97">
            <v>13</v>
          </cell>
        </row>
        <row r="98">
          <cell r="E98" t="str">
            <v>Chequia</v>
          </cell>
          <cell r="G98" t="str">
            <v>Sudáfrica</v>
          </cell>
          <cell r="I98" t="str">
            <v>Corea República</v>
          </cell>
          <cell r="K98">
            <v>0</v>
          </cell>
          <cell r="L98">
            <v>6</v>
          </cell>
          <cell r="M98">
            <v>5</v>
          </cell>
          <cell r="N98">
            <v>11</v>
          </cell>
        </row>
        <row r="99">
          <cell r="E99" t="str">
            <v>Bosnia y Herzegovina</v>
          </cell>
          <cell r="G99" t="str">
            <v>Qatar</v>
          </cell>
          <cell r="I99" t="str">
            <v>Suiza</v>
          </cell>
          <cell r="K99">
            <v>3</v>
          </cell>
          <cell r="L99">
            <v>0</v>
          </cell>
          <cell r="M99">
            <v>3</v>
          </cell>
          <cell r="N99">
            <v>6</v>
          </cell>
        </row>
        <row r="100">
          <cell r="E100" t="str">
            <v>Brasil</v>
          </cell>
          <cell r="G100" t="str">
            <v>Marruecos</v>
          </cell>
          <cell r="I100" t="str">
            <v>Escocia</v>
          </cell>
          <cell r="K100">
            <v>7</v>
          </cell>
          <cell r="L100">
            <v>6</v>
          </cell>
          <cell r="M100">
            <v>0</v>
          </cell>
          <cell r="N100">
            <v>13</v>
          </cell>
        </row>
        <row r="101">
          <cell r="E101" t="str">
            <v>Paraguay</v>
          </cell>
          <cell r="G101" t="str">
            <v>Australia</v>
          </cell>
          <cell r="I101" t="str">
            <v>Türkiye</v>
          </cell>
          <cell r="K101">
            <v>3</v>
          </cell>
          <cell r="L101">
            <v>6</v>
          </cell>
          <cell r="M101">
            <v>0</v>
          </cell>
          <cell r="N101">
            <v>9</v>
          </cell>
        </row>
        <row r="102">
          <cell r="E102" t="str">
            <v>Ecuador</v>
          </cell>
          <cell r="G102" t="str">
            <v>Curazao</v>
          </cell>
          <cell r="I102" t="str">
            <v>Alemania</v>
          </cell>
          <cell r="K102">
            <v>3</v>
          </cell>
          <cell r="L102">
            <v>0</v>
          </cell>
          <cell r="M102">
            <v>3</v>
          </cell>
          <cell r="N102">
            <v>6</v>
          </cell>
        </row>
        <row r="103">
          <cell r="E103" t="str">
            <v>Suecia</v>
          </cell>
          <cell r="G103" t="str">
            <v>Japón</v>
          </cell>
          <cell r="I103" t="str">
            <v>Países Bajos</v>
          </cell>
          <cell r="K103">
            <v>3</v>
          </cell>
          <cell r="L103">
            <v>6</v>
          </cell>
          <cell r="M103">
            <v>3</v>
          </cell>
          <cell r="N103">
            <v>12</v>
          </cell>
        </row>
        <row r="104">
          <cell r="E104" t="str">
            <v>Nueva Zelanda</v>
          </cell>
          <cell r="G104" t="str">
            <v>Bélgica</v>
          </cell>
          <cell r="I104" t="str">
            <v>Irán</v>
          </cell>
          <cell r="K104">
            <v>0</v>
          </cell>
          <cell r="L104">
            <v>3</v>
          </cell>
          <cell r="M104">
            <v>5</v>
          </cell>
          <cell r="N104">
            <v>8</v>
          </cell>
        </row>
        <row r="105">
          <cell r="E105" t="str">
            <v>España</v>
          </cell>
          <cell r="G105" t="str">
            <v>Uruguay</v>
          </cell>
          <cell r="I105" t="str">
            <v>Cabo Verde</v>
          </cell>
          <cell r="K105">
            <v>7</v>
          </cell>
          <cell r="L105">
            <v>0</v>
          </cell>
          <cell r="M105">
            <v>3</v>
          </cell>
          <cell r="N105">
            <v>10</v>
          </cell>
        </row>
        <row r="106">
          <cell r="E106" t="str">
            <v>Senegal</v>
          </cell>
          <cell r="G106" t="str">
            <v>Noruega</v>
          </cell>
          <cell r="I106" t="str">
            <v>Irak</v>
          </cell>
          <cell r="K106">
            <v>3</v>
          </cell>
          <cell r="L106">
            <v>6</v>
          </cell>
          <cell r="M106">
            <v>0</v>
          </cell>
          <cell r="N106">
            <v>9</v>
          </cell>
        </row>
        <row r="107">
          <cell r="E107" t="str">
            <v>Argentina</v>
          </cell>
          <cell r="G107" t="str">
            <v>Jordania</v>
          </cell>
          <cell r="I107" t="str">
            <v>Austria</v>
          </cell>
          <cell r="K107">
            <v>7</v>
          </cell>
          <cell r="L107">
            <v>0</v>
          </cell>
          <cell r="M107">
            <v>3</v>
          </cell>
          <cell r="N107">
            <v>10</v>
          </cell>
        </row>
        <row r="108">
          <cell r="E108" t="str">
            <v>Portugal</v>
          </cell>
          <cell r="G108" t="str">
            <v>Colombia</v>
          </cell>
          <cell r="I108" t="str">
            <v>Uzbekistán</v>
          </cell>
          <cell r="K108">
            <v>3</v>
          </cell>
          <cell r="L108">
            <v>3</v>
          </cell>
          <cell r="M108">
            <v>0</v>
          </cell>
          <cell r="N108">
            <v>6</v>
          </cell>
        </row>
        <row r="109">
          <cell r="E109" t="str">
            <v>Inglaterra</v>
          </cell>
          <cell r="G109" t="str">
            <v>Panamá</v>
          </cell>
          <cell r="I109" t="str">
            <v>Croacia</v>
          </cell>
          <cell r="K109">
            <v>7</v>
          </cell>
          <cell r="L109">
            <v>0</v>
          </cell>
          <cell r="M109">
            <v>5</v>
          </cell>
          <cell r="N109">
            <v>12</v>
          </cell>
        </row>
        <row r="110">
          <cell r="E110" t="str">
            <v>Sudáfrica</v>
          </cell>
          <cell r="G110" t="str">
            <v>México</v>
          </cell>
          <cell r="I110" t="str">
            <v>Corea República</v>
          </cell>
          <cell r="K110">
            <v>3</v>
          </cell>
          <cell r="L110">
            <v>3</v>
          </cell>
          <cell r="M110">
            <v>5</v>
          </cell>
          <cell r="N110">
            <v>11</v>
          </cell>
        </row>
        <row r="111">
          <cell r="E111" t="str">
            <v>Canadá</v>
          </cell>
          <cell r="G111" t="str">
            <v>Suiza</v>
          </cell>
          <cell r="I111" t="str">
            <v>Qatar</v>
          </cell>
          <cell r="K111">
            <v>3</v>
          </cell>
          <cell r="L111">
            <v>3</v>
          </cell>
          <cell r="M111">
            <v>0</v>
          </cell>
          <cell r="N111">
            <v>6</v>
          </cell>
        </row>
        <row r="112">
          <cell r="E112" t="str">
            <v>Brasil</v>
          </cell>
          <cell r="G112" t="str">
            <v>Marruecos</v>
          </cell>
          <cell r="I112" t="str">
            <v>Escocia</v>
          </cell>
          <cell r="K112">
            <v>7</v>
          </cell>
          <cell r="L112">
            <v>6</v>
          </cell>
          <cell r="M112">
            <v>0</v>
          </cell>
          <cell r="N112">
            <v>13</v>
          </cell>
        </row>
        <row r="113">
          <cell r="E113" t="str">
            <v>Estados Unidos</v>
          </cell>
          <cell r="G113" t="str">
            <v>Australia</v>
          </cell>
          <cell r="I113" t="str">
            <v>Türkiye</v>
          </cell>
          <cell r="K113">
            <v>7</v>
          </cell>
          <cell r="L113">
            <v>6</v>
          </cell>
          <cell r="M113">
            <v>0</v>
          </cell>
          <cell r="N113">
            <v>13</v>
          </cell>
        </row>
        <row r="114">
          <cell r="E114" t="str">
            <v>Alemania</v>
          </cell>
          <cell r="G114" t="str">
            <v>Ecuador</v>
          </cell>
          <cell r="I114" t="str">
            <v>Costa de Marfil</v>
          </cell>
          <cell r="K114">
            <v>7</v>
          </cell>
          <cell r="L114">
            <v>3</v>
          </cell>
          <cell r="M114">
            <v>3</v>
          </cell>
          <cell r="N114">
            <v>13</v>
          </cell>
        </row>
        <row r="115">
          <cell r="E115" t="str">
            <v>Países Bajos</v>
          </cell>
          <cell r="G115" t="str">
            <v>Suecia</v>
          </cell>
          <cell r="I115" t="str">
            <v>Japón</v>
          </cell>
          <cell r="K115">
            <v>7</v>
          </cell>
          <cell r="L115">
            <v>3</v>
          </cell>
          <cell r="M115">
            <v>3</v>
          </cell>
          <cell r="N115">
            <v>13</v>
          </cell>
        </row>
        <row r="116">
          <cell r="E116" t="str">
            <v>Bélgica</v>
          </cell>
          <cell r="G116" t="str">
            <v>Egipto</v>
          </cell>
          <cell r="I116" t="str">
            <v>Irán</v>
          </cell>
          <cell r="K116">
            <v>7</v>
          </cell>
          <cell r="L116">
            <v>6</v>
          </cell>
          <cell r="M116">
            <v>5</v>
          </cell>
          <cell r="N116">
            <v>18</v>
          </cell>
        </row>
        <row r="117">
          <cell r="E117" t="str">
            <v>Arabia Saudita</v>
          </cell>
          <cell r="G117" t="str">
            <v>España</v>
          </cell>
          <cell r="I117" t="str">
            <v>Uruguay</v>
          </cell>
          <cell r="K117">
            <v>0</v>
          </cell>
          <cell r="L117">
            <v>3</v>
          </cell>
          <cell r="M117">
            <v>0</v>
          </cell>
          <cell r="N117">
            <v>3</v>
          </cell>
        </row>
        <row r="118">
          <cell r="E118" t="str">
            <v>Francia</v>
          </cell>
          <cell r="G118" t="str">
            <v>Senegal</v>
          </cell>
          <cell r="I118" t="str">
            <v>Irak</v>
          </cell>
          <cell r="K118">
            <v>7</v>
          </cell>
          <cell r="L118">
            <v>3</v>
          </cell>
          <cell r="M118">
            <v>0</v>
          </cell>
          <cell r="N118">
            <v>10</v>
          </cell>
        </row>
        <row r="119">
          <cell r="E119" t="str">
            <v>Argentina</v>
          </cell>
          <cell r="G119" t="str">
            <v>Argelia</v>
          </cell>
          <cell r="I119" t="str">
            <v>Austria</v>
          </cell>
          <cell r="K119">
            <v>7</v>
          </cell>
          <cell r="L119">
            <v>0</v>
          </cell>
          <cell r="M119">
            <v>3</v>
          </cell>
          <cell r="N119">
            <v>10</v>
          </cell>
        </row>
        <row r="120">
          <cell r="E120" t="str">
            <v>Colombia</v>
          </cell>
          <cell r="G120" t="str">
            <v>Portugal</v>
          </cell>
          <cell r="I120" t="str">
            <v>RD Congo</v>
          </cell>
          <cell r="K120">
            <v>7</v>
          </cell>
          <cell r="L120">
            <v>6</v>
          </cell>
          <cell r="M120">
            <v>0</v>
          </cell>
          <cell r="N120">
            <v>13</v>
          </cell>
        </row>
        <row r="121">
          <cell r="E121" t="str">
            <v>Inglaterra</v>
          </cell>
          <cell r="G121" t="str">
            <v>Panamá</v>
          </cell>
          <cell r="I121" t="str">
            <v>Croacia</v>
          </cell>
          <cell r="K121">
            <v>7</v>
          </cell>
          <cell r="L121">
            <v>0</v>
          </cell>
          <cell r="M121">
            <v>5</v>
          </cell>
          <cell r="N121">
            <v>12</v>
          </cell>
        </row>
        <row r="122">
          <cell r="E122" t="str">
            <v>México</v>
          </cell>
          <cell r="G122" t="str">
            <v>Corea República</v>
          </cell>
          <cell r="I122" t="str">
            <v>Chequia</v>
          </cell>
          <cell r="K122">
            <v>7</v>
          </cell>
          <cell r="L122">
            <v>3</v>
          </cell>
          <cell r="M122">
            <v>0</v>
          </cell>
          <cell r="N122">
            <v>10</v>
          </cell>
        </row>
        <row r="123">
          <cell r="E123" t="str">
            <v>Canadá</v>
          </cell>
          <cell r="G123" t="str">
            <v>Suiza</v>
          </cell>
          <cell r="I123" t="str">
            <v>Bosnia y Herzegovina</v>
          </cell>
          <cell r="K123">
            <v>3</v>
          </cell>
          <cell r="L123">
            <v>3</v>
          </cell>
          <cell r="M123">
            <v>5</v>
          </cell>
          <cell r="N123">
            <v>11</v>
          </cell>
        </row>
        <row r="124">
          <cell r="E124" t="str">
            <v>Brasil</v>
          </cell>
          <cell r="G124" t="str">
            <v>Marruecos</v>
          </cell>
          <cell r="I124" t="str">
            <v>Escocia</v>
          </cell>
          <cell r="K124">
            <v>7</v>
          </cell>
          <cell r="L124">
            <v>6</v>
          </cell>
          <cell r="M124">
            <v>0</v>
          </cell>
          <cell r="N124">
            <v>13</v>
          </cell>
        </row>
        <row r="125">
          <cell r="E125" t="str">
            <v>Türkiye</v>
          </cell>
          <cell r="G125" t="str">
            <v>Estados Unidos</v>
          </cell>
          <cell r="I125" t="str">
            <v>Paraguay</v>
          </cell>
          <cell r="K125">
            <v>0</v>
          </cell>
          <cell r="L125">
            <v>3</v>
          </cell>
          <cell r="M125">
            <v>5</v>
          </cell>
          <cell r="N125">
            <v>8</v>
          </cell>
        </row>
        <row r="126">
          <cell r="E126" t="str">
            <v>Alemania</v>
          </cell>
          <cell r="G126" t="str">
            <v>Ecuador</v>
          </cell>
          <cell r="I126" t="str">
            <v>Costa de Marfil</v>
          </cell>
          <cell r="K126">
            <v>7</v>
          </cell>
          <cell r="L126">
            <v>3</v>
          </cell>
          <cell r="M126">
            <v>3</v>
          </cell>
          <cell r="N126">
            <v>13</v>
          </cell>
        </row>
        <row r="127">
          <cell r="E127" t="str">
            <v>Países Bajos</v>
          </cell>
          <cell r="G127" t="str">
            <v>Suecia</v>
          </cell>
          <cell r="I127" t="str">
            <v>Japón</v>
          </cell>
          <cell r="K127">
            <v>7</v>
          </cell>
          <cell r="L127">
            <v>3</v>
          </cell>
          <cell r="M127">
            <v>3</v>
          </cell>
          <cell r="N127">
            <v>13</v>
          </cell>
        </row>
        <row r="128">
          <cell r="E128" t="str">
            <v>Bélgica</v>
          </cell>
          <cell r="G128" t="str">
            <v>Irán</v>
          </cell>
          <cell r="I128" t="str">
            <v>Egipto</v>
          </cell>
          <cell r="K128">
            <v>7</v>
          </cell>
          <cell r="L128">
            <v>3</v>
          </cell>
          <cell r="M128">
            <v>3</v>
          </cell>
          <cell r="N128">
            <v>13</v>
          </cell>
        </row>
        <row r="129">
          <cell r="E129" t="str">
            <v>España</v>
          </cell>
          <cell r="G129" t="str">
            <v>Uruguay</v>
          </cell>
          <cell r="I129" t="str">
            <v>Arabia Saudita</v>
          </cell>
          <cell r="K129">
            <v>7</v>
          </cell>
          <cell r="L129">
            <v>0</v>
          </cell>
          <cell r="M129">
            <v>0</v>
          </cell>
          <cell r="N129">
            <v>7</v>
          </cell>
        </row>
        <row r="130">
          <cell r="E130" t="str">
            <v>Noruega</v>
          </cell>
          <cell r="G130" t="str">
            <v>Francia</v>
          </cell>
          <cell r="I130" t="str">
            <v>Senegal</v>
          </cell>
          <cell r="K130">
            <v>3</v>
          </cell>
          <cell r="L130">
            <v>3</v>
          </cell>
          <cell r="M130">
            <v>5</v>
          </cell>
          <cell r="N130">
            <v>11</v>
          </cell>
        </row>
        <row r="131">
          <cell r="E131" t="str">
            <v>Argentina</v>
          </cell>
          <cell r="G131" t="str">
            <v>Austria</v>
          </cell>
          <cell r="I131" t="str">
            <v>Argelia</v>
          </cell>
          <cell r="K131">
            <v>7</v>
          </cell>
          <cell r="L131">
            <v>6</v>
          </cell>
          <cell r="M131">
            <v>0</v>
          </cell>
          <cell r="N131">
            <v>13</v>
          </cell>
        </row>
        <row r="132">
          <cell r="E132" t="str">
            <v>Portugal</v>
          </cell>
          <cell r="G132" t="str">
            <v>Colombia</v>
          </cell>
          <cell r="I132" t="str">
            <v>RD Congo</v>
          </cell>
          <cell r="K132">
            <v>3</v>
          </cell>
          <cell r="L132">
            <v>3</v>
          </cell>
          <cell r="M132">
            <v>0</v>
          </cell>
          <cell r="N132">
            <v>6</v>
          </cell>
        </row>
        <row r="133">
          <cell r="E133" t="str">
            <v>Inglaterra</v>
          </cell>
          <cell r="G133" t="str">
            <v>Croacia</v>
          </cell>
          <cell r="I133" t="str">
            <v>Panamá</v>
          </cell>
          <cell r="K133">
            <v>7</v>
          </cell>
          <cell r="L133">
            <v>3</v>
          </cell>
          <cell r="M133">
            <v>0</v>
          </cell>
          <cell r="N133">
            <v>10</v>
          </cell>
        </row>
        <row r="134">
          <cell r="E134" t="str">
            <v>México</v>
          </cell>
          <cell r="G134" t="str">
            <v>Chequia</v>
          </cell>
          <cell r="I134" t="str">
            <v>Corea República</v>
          </cell>
          <cell r="K134">
            <v>7</v>
          </cell>
          <cell r="L134">
            <v>0</v>
          </cell>
          <cell r="M134">
            <v>5</v>
          </cell>
          <cell r="N134">
            <v>12</v>
          </cell>
        </row>
        <row r="135">
          <cell r="E135" t="str">
            <v>Canadá</v>
          </cell>
          <cell r="G135" t="str">
            <v>Bosnia y Herzegovina</v>
          </cell>
          <cell r="I135" t="str">
            <v>Suiza</v>
          </cell>
          <cell r="K135">
            <v>3</v>
          </cell>
          <cell r="L135">
            <v>3</v>
          </cell>
          <cell r="M135">
            <v>3</v>
          </cell>
          <cell r="N135">
            <v>9</v>
          </cell>
        </row>
        <row r="136">
          <cell r="E136" t="str">
            <v>Brasil</v>
          </cell>
          <cell r="G136" t="str">
            <v>Marruecos</v>
          </cell>
          <cell r="I136" t="str">
            <v>Haití</v>
          </cell>
          <cell r="K136">
            <v>7</v>
          </cell>
          <cell r="L136">
            <v>6</v>
          </cell>
          <cell r="M136">
            <v>0</v>
          </cell>
          <cell r="N136">
            <v>13</v>
          </cell>
        </row>
        <row r="137">
          <cell r="E137" t="str">
            <v>Estados Unidos</v>
          </cell>
          <cell r="G137" t="str">
            <v>Australia</v>
          </cell>
          <cell r="I137" t="str">
            <v>Paraguay</v>
          </cell>
          <cell r="K137">
            <v>7</v>
          </cell>
          <cell r="L137">
            <v>6</v>
          </cell>
          <cell r="M137">
            <v>5</v>
          </cell>
          <cell r="N137">
            <v>18</v>
          </cell>
        </row>
        <row r="138">
          <cell r="E138" t="str">
            <v>Alemania</v>
          </cell>
          <cell r="G138" t="str">
            <v>Ecuador</v>
          </cell>
          <cell r="I138" t="str">
            <v>Costa de Marfil</v>
          </cell>
          <cell r="K138">
            <v>7</v>
          </cell>
          <cell r="L138">
            <v>3</v>
          </cell>
          <cell r="M138">
            <v>3</v>
          </cell>
          <cell r="N138">
            <v>13</v>
          </cell>
        </row>
        <row r="139">
          <cell r="E139" t="str">
            <v>Japón</v>
          </cell>
          <cell r="G139" t="str">
            <v>Países Bajos</v>
          </cell>
          <cell r="I139" t="str">
            <v>Suecia</v>
          </cell>
          <cell r="K139">
            <v>3</v>
          </cell>
          <cell r="L139">
            <v>3</v>
          </cell>
          <cell r="M139">
            <v>5</v>
          </cell>
          <cell r="N139">
            <v>11</v>
          </cell>
        </row>
        <row r="140">
          <cell r="E140" t="str">
            <v>Bélgica</v>
          </cell>
          <cell r="G140" t="str">
            <v>Irán</v>
          </cell>
          <cell r="I140" t="str">
            <v>Egipto</v>
          </cell>
          <cell r="K140">
            <v>7</v>
          </cell>
          <cell r="L140">
            <v>3</v>
          </cell>
          <cell r="M140">
            <v>3</v>
          </cell>
          <cell r="N140">
            <v>13</v>
          </cell>
        </row>
        <row r="141">
          <cell r="E141" t="str">
            <v>España</v>
          </cell>
          <cell r="G141" t="str">
            <v>Uruguay</v>
          </cell>
          <cell r="I141" t="str">
            <v>Arabia Saudita</v>
          </cell>
          <cell r="K141">
            <v>7</v>
          </cell>
          <cell r="L141">
            <v>0</v>
          </cell>
          <cell r="M141">
            <v>0</v>
          </cell>
          <cell r="N141">
            <v>7</v>
          </cell>
        </row>
        <row r="142">
          <cell r="E142" t="str">
            <v>Francia</v>
          </cell>
          <cell r="G142" t="str">
            <v>Noruega</v>
          </cell>
          <cell r="I142" t="str">
            <v>Irak</v>
          </cell>
          <cell r="K142">
            <v>7</v>
          </cell>
          <cell r="L142">
            <v>6</v>
          </cell>
          <cell r="M142">
            <v>0</v>
          </cell>
          <cell r="N142">
            <v>13</v>
          </cell>
        </row>
        <row r="143">
          <cell r="E143" t="str">
            <v>Argentina</v>
          </cell>
          <cell r="G143" t="str">
            <v>Austria</v>
          </cell>
          <cell r="I143" t="str">
            <v>Jordania</v>
          </cell>
          <cell r="K143">
            <v>7</v>
          </cell>
          <cell r="L143">
            <v>6</v>
          </cell>
          <cell r="M143">
            <v>0</v>
          </cell>
          <cell r="N143">
            <v>13</v>
          </cell>
        </row>
        <row r="144">
          <cell r="E144" t="str">
            <v>Portugal</v>
          </cell>
          <cell r="G144" t="str">
            <v>Colombia</v>
          </cell>
          <cell r="I144" t="str">
            <v>Uzbekistán</v>
          </cell>
          <cell r="K144">
            <v>3</v>
          </cell>
          <cell r="L144">
            <v>3</v>
          </cell>
          <cell r="M144">
            <v>0</v>
          </cell>
          <cell r="N144">
            <v>6</v>
          </cell>
        </row>
        <row r="145">
          <cell r="E145" t="str">
            <v>Inglaterra</v>
          </cell>
          <cell r="G145" t="str">
            <v>Panamá</v>
          </cell>
          <cell r="I145" t="str">
            <v>Croacia</v>
          </cell>
          <cell r="K145">
            <v>7</v>
          </cell>
          <cell r="L145">
            <v>0</v>
          </cell>
          <cell r="M145">
            <v>5</v>
          </cell>
          <cell r="N145">
            <v>12</v>
          </cell>
        </row>
        <row r="146">
          <cell r="E146" t="str">
            <v>México</v>
          </cell>
          <cell r="G146" t="str">
            <v>Corea República</v>
          </cell>
          <cell r="I146" t="str">
            <v>Chequia</v>
          </cell>
          <cell r="K146">
            <v>7</v>
          </cell>
          <cell r="L146">
            <v>3</v>
          </cell>
          <cell r="M146">
            <v>0</v>
          </cell>
          <cell r="N146">
            <v>10</v>
          </cell>
        </row>
        <row r="147">
          <cell r="E147" t="str">
            <v>Canadá</v>
          </cell>
          <cell r="G147" t="str">
            <v>Suiza</v>
          </cell>
          <cell r="I147" t="str">
            <v>Bosnia y Herzegovina</v>
          </cell>
          <cell r="K147">
            <v>3</v>
          </cell>
          <cell r="L147">
            <v>3</v>
          </cell>
          <cell r="M147">
            <v>5</v>
          </cell>
          <cell r="N147">
            <v>11</v>
          </cell>
        </row>
        <row r="148">
          <cell r="E148" t="str">
            <v>Brasil</v>
          </cell>
          <cell r="G148" t="str">
            <v>Marruecos</v>
          </cell>
          <cell r="I148" t="str">
            <v>Escocia</v>
          </cell>
          <cell r="K148">
            <v>7</v>
          </cell>
          <cell r="L148">
            <v>6</v>
          </cell>
          <cell r="M148">
            <v>0</v>
          </cell>
          <cell r="N148">
            <v>13</v>
          </cell>
        </row>
        <row r="149">
          <cell r="E149" t="str">
            <v>Türkiye</v>
          </cell>
          <cell r="G149" t="str">
            <v>Estados Unidos</v>
          </cell>
          <cell r="I149" t="str">
            <v>Australia</v>
          </cell>
          <cell r="K149">
            <v>0</v>
          </cell>
          <cell r="L149">
            <v>3</v>
          </cell>
          <cell r="M149">
            <v>3</v>
          </cell>
          <cell r="N149">
            <v>6</v>
          </cell>
        </row>
        <row r="150">
          <cell r="E150" t="str">
            <v>Alemania</v>
          </cell>
          <cell r="G150" t="str">
            <v>Ecuador</v>
          </cell>
          <cell r="I150" t="str">
            <v>Costa de Marfil</v>
          </cell>
          <cell r="K150">
            <v>7</v>
          </cell>
          <cell r="L150">
            <v>3</v>
          </cell>
          <cell r="M150">
            <v>3</v>
          </cell>
          <cell r="N150">
            <v>13</v>
          </cell>
        </row>
        <row r="151">
          <cell r="E151" t="str">
            <v>Suecia</v>
          </cell>
          <cell r="G151" t="str">
            <v>Países Bajos</v>
          </cell>
          <cell r="I151" t="str">
            <v>Japón</v>
          </cell>
          <cell r="K151">
            <v>3</v>
          </cell>
          <cell r="L151">
            <v>3</v>
          </cell>
          <cell r="M151">
            <v>3</v>
          </cell>
          <cell r="N151">
            <v>9</v>
          </cell>
        </row>
        <row r="152">
          <cell r="E152" t="str">
            <v>Bélgica</v>
          </cell>
          <cell r="G152" t="str">
            <v>Egipto</v>
          </cell>
          <cell r="I152" t="str">
            <v>Nueva Zelanda</v>
          </cell>
          <cell r="K152">
            <v>7</v>
          </cell>
          <cell r="L152">
            <v>6</v>
          </cell>
          <cell r="M152">
            <v>0</v>
          </cell>
          <cell r="N152">
            <v>13</v>
          </cell>
        </row>
        <row r="153">
          <cell r="E153" t="str">
            <v>España</v>
          </cell>
          <cell r="G153" t="str">
            <v>Uruguay</v>
          </cell>
          <cell r="I153" t="str">
            <v>Arabia Saudita</v>
          </cell>
          <cell r="K153">
            <v>7</v>
          </cell>
          <cell r="L153">
            <v>0</v>
          </cell>
          <cell r="M153">
            <v>0</v>
          </cell>
          <cell r="N153">
            <v>7</v>
          </cell>
        </row>
        <row r="154">
          <cell r="E154" t="str">
            <v>Francia</v>
          </cell>
          <cell r="G154" t="str">
            <v>Noruega</v>
          </cell>
          <cell r="I154" t="str">
            <v>Senegal</v>
          </cell>
          <cell r="K154">
            <v>7</v>
          </cell>
          <cell r="L154">
            <v>6</v>
          </cell>
          <cell r="M154">
            <v>5</v>
          </cell>
          <cell r="N154">
            <v>18</v>
          </cell>
        </row>
        <row r="155">
          <cell r="E155" t="str">
            <v>Argentina</v>
          </cell>
          <cell r="G155" t="str">
            <v>Austria</v>
          </cell>
          <cell r="I155" t="str">
            <v>Argelia</v>
          </cell>
          <cell r="K155">
            <v>7</v>
          </cell>
          <cell r="L155">
            <v>6</v>
          </cell>
          <cell r="M155">
            <v>0</v>
          </cell>
          <cell r="N155">
            <v>13</v>
          </cell>
        </row>
        <row r="156">
          <cell r="E156" t="str">
            <v>Portugal</v>
          </cell>
          <cell r="G156" t="str">
            <v>Colombia</v>
          </cell>
          <cell r="I156" t="str">
            <v>Uzbekistán</v>
          </cell>
          <cell r="K156">
            <v>3</v>
          </cell>
          <cell r="L156">
            <v>3</v>
          </cell>
          <cell r="M156">
            <v>0</v>
          </cell>
          <cell r="N156">
            <v>6</v>
          </cell>
        </row>
        <row r="157">
          <cell r="E157" t="str">
            <v>Inglaterra</v>
          </cell>
          <cell r="G157" t="str">
            <v>Panamá</v>
          </cell>
          <cell r="I157" t="str">
            <v>Croacia</v>
          </cell>
          <cell r="K157">
            <v>7</v>
          </cell>
          <cell r="L157">
            <v>0</v>
          </cell>
          <cell r="M157">
            <v>5</v>
          </cell>
          <cell r="N157">
            <v>12</v>
          </cell>
        </row>
        <row r="158">
          <cell r="E158" t="str">
            <v>México</v>
          </cell>
          <cell r="G158" t="str">
            <v>Corea República</v>
          </cell>
          <cell r="I158" t="str">
            <v>Chequia</v>
          </cell>
          <cell r="K158">
            <v>7</v>
          </cell>
          <cell r="L158">
            <v>3</v>
          </cell>
          <cell r="M158">
            <v>0</v>
          </cell>
          <cell r="N158">
            <v>10</v>
          </cell>
        </row>
        <row r="159">
          <cell r="E159" t="str">
            <v>Suiza</v>
          </cell>
          <cell r="G159" t="str">
            <v>Canadá</v>
          </cell>
          <cell r="I159" t="str">
            <v>Bosnia y Herzegovina</v>
          </cell>
          <cell r="K159">
            <v>7</v>
          </cell>
          <cell r="L159">
            <v>6</v>
          </cell>
          <cell r="M159">
            <v>5</v>
          </cell>
          <cell r="N159">
            <v>18</v>
          </cell>
        </row>
        <row r="160">
          <cell r="E160" t="str">
            <v>Brasil</v>
          </cell>
          <cell r="G160" t="str">
            <v>Marruecos</v>
          </cell>
          <cell r="I160" t="str">
            <v>Escocia</v>
          </cell>
          <cell r="K160">
            <v>7</v>
          </cell>
          <cell r="L160">
            <v>6</v>
          </cell>
          <cell r="M160">
            <v>0</v>
          </cell>
          <cell r="N160">
            <v>13</v>
          </cell>
        </row>
        <row r="161">
          <cell r="E161" t="str">
            <v>Türkiye</v>
          </cell>
          <cell r="G161" t="str">
            <v>Estados Unidos</v>
          </cell>
          <cell r="I161" t="str">
            <v>Paraguay</v>
          </cell>
          <cell r="K161">
            <v>0</v>
          </cell>
          <cell r="L161">
            <v>3</v>
          </cell>
          <cell r="M161">
            <v>5</v>
          </cell>
          <cell r="N161">
            <v>8</v>
          </cell>
        </row>
        <row r="162">
          <cell r="E162" t="str">
            <v>Alemania</v>
          </cell>
          <cell r="G162" t="str">
            <v>Ecuador</v>
          </cell>
          <cell r="I162" t="str">
            <v>Costa de Marfil</v>
          </cell>
          <cell r="K162">
            <v>7</v>
          </cell>
          <cell r="L162">
            <v>3</v>
          </cell>
          <cell r="M162">
            <v>3</v>
          </cell>
          <cell r="N162">
            <v>13</v>
          </cell>
        </row>
        <row r="163">
          <cell r="E163" t="str">
            <v>Japón</v>
          </cell>
          <cell r="G163" t="str">
            <v>Países Bajos</v>
          </cell>
          <cell r="I163" t="str">
            <v>Suecia</v>
          </cell>
          <cell r="K163">
            <v>3</v>
          </cell>
          <cell r="L163">
            <v>3</v>
          </cell>
          <cell r="M163">
            <v>5</v>
          </cell>
          <cell r="N163">
            <v>11</v>
          </cell>
        </row>
        <row r="164">
          <cell r="E164" t="str">
            <v>Bélgica</v>
          </cell>
          <cell r="G164" t="str">
            <v>Irán</v>
          </cell>
          <cell r="I164" t="str">
            <v>Egipto</v>
          </cell>
          <cell r="K164">
            <v>7</v>
          </cell>
          <cell r="L164">
            <v>3</v>
          </cell>
          <cell r="M164">
            <v>3</v>
          </cell>
          <cell r="N164">
            <v>13</v>
          </cell>
        </row>
        <row r="165">
          <cell r="E165" t="str">
            <v>España</v>
          </cell>
          <cell r="G165" t="str">
            <v>Uruguay</v>
          </cell>
          <cell r="I165" t="str">
            <v>Arabia Saudita</v>
          </cell>
          <cell r="K165">
            <v>7</v>
          </cell>
          <cell r="L165">
            <v>0</v>
          </cell>
          <cell r="M165">
            <v>0</v>
          </cell>
          <cell r="N165">
            <v>7</v>
          </cell>
        </row>
        <row r="166">
          <cell r="E166" t="str">
            <v>Francia</v>
          </cell>
          <cell r="G166" t="str">
            <v>Senegal</v>
          </cell>
          <cell r="I166" t="str">
            <v>Noruega</v>
          </cell>
          <cell r="K166">
            <v>7</v>
          </cell>
          <cell r="L166">
            <v>3</v>
          </cell>
          <cell r="M166">
            <v>3</v>
          </cell>
          <cell r="N166">
            <v>13</v>
          </cell>
        </row>
        <row r="167">
          <cell r="E167" t="str">
            <v>Argentina</v>
          </cell>
          <cell r="G167" t="str">
            <v>Austria</v>
          </cell>
          <cell r="I167" t="str">
            <v>Argelia</v>
          </cell>
          <cell r="K167">
            <v>7</v>
          </cell>
          <cell r="L167">
            <v>6</v>
          </cell>
          <cell r="M167">
            <v>0</v>
          </cell>
          <cell r="N167">
            <v>13</v>
          </cell>
        </row>
        <row r="168">
          <cell r="E168" t="str">
            <v>Portugal</v>
          </cell>
          <cell r="G168" t="str">
            <v>Colombia</v>
          </cell>
          <cell r="I168" t="str">
            <v>Uzbekistán</v>
          </cell>
          <cell r="K168">
            <v>3</v>
          </cell>
          <cell r="L168">
            <v>3</v>
          </cell>
          <cell r="M168">
            <v>0</v>
          </cell>
          <cell r="N168">
            <v>6</v>
          </cell>
        </row>
        <row r="169">
          <cell r="E169" t="str">
            <v>Croacia</v>
          </cell>
          <cell r="G169" t="str">
            <v>Inglaterra</v>
          </cell>
          <cell r="I169" t="str">
            <v>Panamá</v>
          </cell>
          <cell r="K169">
            <v>3</v>
          </cell>
          <cell r="L169">
            <v>3</v>
          </cell>
          <cell r="M169">
            <v>0</v>
          </cell>
          <cell r="N169">
            <v>6</v>
          </cell>
        </row>
        <row r="170">
          <cell r="E170" t="str">
            <v>México</v>
          </cell>
          <cell r="G170" t="str">
            <v>Corea República</v>
          </cell>
          <cell r="I170" t="str">
            <v>Sudáfrica</v>
          </cell>
          <cell r="K170">
            <v>7</v>
          </cell>
          <cell r="L170">
            <v>3</v>
          </cell>
          <cell r="M170">
            <v>3</v>
          </cell>
          <cell r="N170">
            <v>13</v>
          </cell>
        </row>
        <row r="171">
          <cell r="E171" t="str">
            <v>Suiza</v>
          </cell>
          <cell r="G171" t="str">
            <v>Canadá</v>
          </cell>
          <cell r="I171" t="str">
            <v>Bosnia y Herzegovina</v>
          </cell>
          <cell r="K171">
            <v>7</v>
          </cell>
          <cell r="L171">
            <v>6</v>
          </cell>
          <cell r="M171">
            <v>5</v>
          </cell>
          <cell r="N171">
            <v>18</v>
          </cell>
        </row>
        <row r="172">
          <cell r="E172" t="str">
            <v>Brasil</v>
          </cell>
          <cell r="G172" t="str">
            <v>Marruecos</v>
          </cell>
          <cell r="I172" t="str">
            <v>Escocia</v>
          </cell>
          <cell r="K172">
            <v>7</v>
          </cell>
          <cell r="L172">
            <v>6</v>
          </cell>
          <cell r="M172">
            <v>0</v>
          </cell>
          <cell r="N172">
            <v>13</v>
          </cell>
        </row>
        <row r="173">
          <cell r="E173" t="str">
            <v>Estados Unidos</v>
          </cell>
          <cell r="G173" t="str">
            <v>Türkiye</v>
          </cell>
          <cell r="I173" t="str">
            <v>Paraguay</v>
          </cell>
          <cell r="K173">
            <v>7</v>
          </cell>
          <cell r="L173">
            <v>0</v>
          </cell>
          <cell r="M173">
            <v>5</v>
          </cell>
          <cell r="N173">
            <v>12</v>
          </cell>
        </row>
        <row r="174">
          <cell r="E174" t="str">
            <v>Alemania</v>
          </cell>
          <cell r="G174" t="str">
            <v>Ecuador</v>
          </cell>
          <cell r="I174" t="str">
            <v>Costa de Marfil</v>
          </cell>
          <cell r="K174">
            <v>7</v>
          </cell>
          <cell r="L174">
            <v>3</v>
          </cell>
          <cell r="M174">
            <v>3</v>
          </cell>
          <cell r="N174">
            <v>13</v>
          </cell>
        </row>
        <row r="175">
          <cell r="E175" t="str">
            <v>Países Bajos</v>
          </cell>
          <cell r="G175" t="str">
            <v>Suecia</v>
          </cell>
          <cell r="I175" t="str">
            <v>Japón</v>
          </cell>
          <cell r="K175">
            <v>7</v>
          </cell>
          <cell r="L175">
            <v>3</v>
          </cell>
          <cell r="M175">
            <v>3</v>
          </cell>
          <cell r="N175">
            <v>13</v>
          </cell>
        </row>
        <row r="176">
          <cell r="E176" t="str">
            <v>Bélgica</v>
          </cell>
          <cell r="G176" t="str">
            <v>Egipto</v>
          </cell>
          <cell r="I176" t="str">
            <v>Irán</v>
          </cell>
          <cell r="K176">
            <v>7</v>
          </cell>
          <cell r="L176">
            <v>6</v>
          </cell>
          <cell r="M176">
            <v>5</v>
          </cell>
          <cell r="N176">
            <v>18</v>
          </cell>
        </row>
        <row r="177">
          <cell r="E177" t="str">
            <v>España</v>
          </cell>
          <cell r="G177" t="str">
            <v>Uruguay</v>
          </cell>
          <cell r="I177" t="str">
            <v>Arabia Saudita</v>
          </cell>
          <cell r="K177">
            <v>7</v>
          </cell>
          <cell r="L177">
            <v>0</v>
          </cell>
          <cell r="M177">
            <v>0</v>
          </cell>
          <cell r="N177">
            <v>7</v>
          </cell>
        </row>
        <row r="178">
          <cell r="E178" t="str">
            <v>Francia</v>
          </cell>
          <cell r="G178" t="str">
            <v>Noruega</v>
          </cell>
          <cell r="I178" t="str">
            <v>Senegal</v>
          </cell>
          <cell r="K178">
            <v>7</v>
          </cell>
          <cell r="L178">
            <v>6</v>
          </cell>
          <cell r="M178">
            <v>5</v>
          </cell>
          <cell r="N178">
            <v>18</v>
          </cell>
        </row>
        <row r="179">
          <cell r="E179" t="str">
            <v>Argentina</v>
          </cell>
          <cell r="G179" t="str">
            <v>Argelia</v>
          </cell>
          <cell r="I179" t="str">
            <v>Austria</v>
          </cell>
          <cell r="K179">
            <v>7</v>
          </cell>
          <cell r="L179">
            <v>0</v>
          </cell>
          <cell r="M179">
            <v>3</v>
          </cell>
          <cell r="N179">
            <v>10</v>
          </cell>
        </row>
        <row r="180">
          <cell r="E180" t="str">
            <v>Portugal</v>
          </cell>
          <cell r="G180" t="str">
            <v>Colombia</v>
          </cell>
          <cell r="I180" t="str">
            <v>Uzbekistán</v>
          </cell>
          <cell r="K180">
            <v>3</v>
          </cell>
          <cell r="L180">
            <v>3</v>
          </cell>
          <cell r="M180">
            <v>0</v>
          </cell>
          <cell r="N180">
            <v>6</v>
          </cell>
        </row>
        <row r="181">
          <cell r="E181" t="str">
            <v>Inglaterra</v>
          </cell>
          <cell r="G181" t="str">
            <v>Croacia</v>
          </cell>
          <cell r="I181" t="str">
            <v>Panamá</v>
          </cell>
          <cell r="K181">
            <v>7</v>
          </cell>
          <cell r="L181">
            <v>3</v>
          </cell>
          <cell r="M181">
            <v>0</v>
          </cell>
          <cell r="N181">
            <v>10</v>
          </cell>
        </row>
        <row r="182">
          <cell r="E182" t="str">
            <v>Corea República</v>
          </cell>
          <cell r="G182" t="str">
            <v>México</v>
          </cell>
          <cell r="I182" t="str">
            <v>Sudáfrica</v>
          </cell>
          <cell r="K182">
            <v>3</v>
          </cell>
          <cell r="L182">
            <v>3</v>
          </cell>
          <cell r="M182">
            <v>3</v>
          </cell>
          <cell r="N182">
            <v>9</v>
          </cell>
        </row>
        <row r="183">
          <cell r="E183" t="str">
            <v>Canadá</v>
          </cell>
          <cell r="G183" t="str">
            <v>Suiza</v>
          </cell>
          <cell r="I183" t="str">
            <v>Bosnia y Herzegovina</v>
          </cell>
          <cell r="K183">
            <v>3</v>
          </cell>
          <cell r="L183">
            <v>3</v>
          </cell>
          <cell r="M183">
            <v>5</v>
          </cell>
          <cell r="N183">
            <v>11</v>
          </cell>
        </row>
        <row r="184">
          <cell r="E184" t="str">
            <v>Brasil</v>
          </cell>
          <cell r="G184" t="str">
            <v>Escocia</v>
          </cell>
          <cell r="I184" t="str">
            <v>Marruecos</v>
          </cell>
          <cell r="K184">
            <v>7</v>
          </cell>
          <cell r="L184">
            <v>0</v>
          </cell>
          <cell r="M184">
            <v>3</v>
          </cell>
          <cell r="N184">
            <v>10</v>
          </cell>
        </row>
        <row r="185">
          <cell r="E185" t="str">
            <v>Türkiye</v>
          </cell>
          <cell r="G185" t="str">
            <v>Estados Unidos</v>
          </cell>
          <cell r="I185" t="str">
            <v>Australia</v>
          </cell>
          <cell r="K185">
            <v>0</v>
          </cell>
          <cell r="L185">
            <v>3</v>
          </cell>
          <cell r="M185">
            <v>3</v>
          </cell>
          <cell r="N185">
            <v>6</v>
          </cell>
        </row>
        <row r="186">
          <cell r="E186" t="str">
            <v>Costa de Marfil</v>
          </cell>
          <cell r="G186" t="str">
            <v>Alemania</v>
          </cell>
          <cell r="I186" t="str">
            <v>Curazao</v>
          </cell>
          <cell r="K186">
            <v>3</v>
          </cell>
          <cell r="L186">
            <v>3</v>
          </cell>
          <cell r="M186">
            <v>0</v>
          </cell>
          <cell r="N186">
            <v>6</v>
          </cell>
        </row>
        <row r="187">
          <cell r="E187" t="str">
            <v>Países Bajos</v>
          </cell>
          <cell r="G187" t="str">
            <v>Suecia</v>
          </cell>
          <cell r="I187" t="str">
            <v>Japón</v>
          </cell>
          <cell r="K187">
            <v>7</v>
          </cell>
          <cell r="L187">
            <v>3</v>
          </cell>
          <cell r="M187">
            <v>3</v>
          </cell>
          <cell r="N187">
            <v>13</v>
          </cell>
        </row>
        <row r="188">
          <cell r="E188" t="str">
            <v>Bélgica</v>
          </cell>
          <cell r="G188" t="str">
            <v>Nueva Zelanda</v>
          </cell>
          <cell r="I188" t="str">
            <v>Irán</v>
          </cell>
          <cell r="K188">
            <v>7</v>
          </cell>
          <cell r="L188">
            <v>0</v>
          </cell>
          <cell r="M188">
            <v>5</v>
          </cell>
          <cell r="N188">
            <v>12</v>
          </cell>
        </row>
        <row r="189">
          <cell r="E189" t="str">
            <v>España</v>
          </cell>
          <cell r="G189" t="str">
            <v>Arabia Saudita</v>
          </cell>
          <cell r="I189" t="str">
            <v>Cabo Verde</v>
          </cell>
          <cell r="K189">
            <v>7</v>
          </cell>
          <cell r="L189">
            <v>0</v>
          </cell>
          <cell r="M189">
            <v>3</v>
          </cell>
          <cell r="N189">
            <v>10</v>
          </cell>
        </row>
        <row r="190">
          <cell r="E190" t="str">
            <v>Francia</v>
          </cell>
          <cell r="G190" t="str">
            <v>Irak</v>
          </cell>
          <cell r="I190" t="str">
            <v>Senegal</v>
          </cell>
          <cell r="K190">
            <v>7</v>
          </cell>
          <cell r="L190">
            <v>0</v>
          </cell>
          <cell r="M190">
            <v>5</v>
          </cell>
          <cell r="N190">
            <v>12</v>
          </cell>
        </row>
        <row r="191">
          <cell r="E191" t="str">
            <v>Argentina</v>
          </cell>
          <cell r="G191" t="str">
            <v>Austria</v>
          </cell>
          <cell r="I191" t="str">
            <v>Argelia</v>
          </cell>
          <cell r="K191">
            <v>7</v>
          </cell>
          <cell r="L191">
            <v>6</v>
          </cell>
          <cell r="M191">
            <v>0</v>
          </cell>
          <cell r="N191">
            <v>13</v>
          </cell>
        </row>
        <row r="192">
          <cell r="E192" t="str">
            <v>Portugal</v>
          </cell>
          <cell r="G192" t="str">
            <v>Uzbekistán</v>
          </cell>
          <cell r="I192" t="str">
            <v>Colombia</v>
          </cell>
          <cell r="K192">
            <v>3</v>
          </cell>
          <cell r="L192">
            <v>0</v>
          </cell>
          <cell r="M192">
            <v>3</v>
          </cell>
          <cell r="N192">
            <v>6</v>
          </cell>
        </row>
        <row r="193">
          <cell r="E193" t="str">
            <v>Inglaterra</v>
          </cell>
          <cell r="G193" t="str">
            <v>Croacia</v>
          </cell>
          <cell r="I193" t="str">
            <v>Panamá</v>
          </cell>
          <cell r="K193">
            <v>7</v>
          </cell>
          <cell r="L193">
            <v>3</v>
          </cell>
          <cell r="M193">
            <v>0</v>
          </cell>
          <cell r="N193">
            <v>10</v>
          </cell>
        </row>
        <row r="194">
          <cell r="E194" t="str">
            <v>Chequia</v>
          </cell>
          <cell r="G194" t="str">
            <v>Corea República</v>
          </cell>
          <cell r="I194" t="str">
            <v>Sudáfrica</v>
          </cell>
          <cell r="K194">
            <v>0</v>
          </cell>
          <cell r="L194">
            <v>3</v>
          </cell>
          <cell r="M194">
            <v>3</v>
          </cell>
          <cell r="N194">
            <v>6</v>
          </cell>
        </row>
        <row r="195">
          <cell r="E195" t="str">
            <v>Canadá</v>
          </cell>
          <cell r="G195" t="str">
            <v>Suiza</v>
          </cell>
          <cell r="I195" t="str">
            <v>Bosnia y Herzegovina</v>
          </cell>
          <cell r="K195">
            <v>3</v>
          </cell>
          <cell r="L195">
            <v>3</v>
          </cell>
          <cell r="M195">
            <v>5</v>
          </cell>
          <cell r="N195">
            <v>11</v>
          </cell>
        </row>
        <row r="196">
          <cell r="E196" t="str">
            <v>Brasil</v>
          </cell>
          <cell r="G196" t="str">
            <v>Marruecos</v>
          </cell>
          <cell r="I196" t="str">
            <v>Haití</v>
          </cell>
          <cell r="K196">
            <v>7</v>
          </cell>
          <cell r="L196">
            <v>6</v>
          </cell>
          <cell r="M196">
            <v>0</v>
          </cell>
          <cell r="N196">
            <v>13</v>
          </cell>
        </row>
        <row r="197">
          <cell r="E197" t="str">
            <v>Estados Unidos</v>
          </cell>
          <cell r="G197" t="str">
            <v>Paraguay</v>
          </cell>
          <cell r="I197" t="str">
            <v>Türkiye</v>
          </cell>
          <cell r="K197">
            <v>7</v>
          </cell>
          <cell r="L197">
            <v>3</v>
          </cell>
          <cell r="M197">
            <v>0</v>
          </cell>
          <cell r="N197">
            <v>10</v>
          </cell>
        </row>
        <row r="198">
          <cell r="E198" t="str">
            <v>Alemania</v>
          </cell>
          <cell r="G198" t="str">
            <v>Costa de Marfil</v>
          </cell>
          <cell r="I198" t="str">
            <v>Ecuador</v>
          </cell>
          <cell r="K198">
            <v>7</v>
          </cell>
          <cell r="L198">
            <v>6</v>
          </cell>
          <cell r="M198">
            <v>5</v>
          </cell>
          <cell r="N198">
            <v>18</v>
          </cell>
        </row>
        <row r="199">
          <cell r="E199" t="str">
            <v>Países Bajos</v>
          </cell>
          <cell r="G199" t="str">
            <v>Suecia</v>
          </cell>
          <cell r="I199" t="str">
            <v>Japón</v>
          </cell>
          <cell r="K199">
            <v>7</v>
          </cell>
          <cell r="L199">
            <v>3</v>
          </cell>
          <cell r="M199">
            <v>3</v>
          </cell>
          <cell r="N199">
            <v>13</v>
          </cell>
        </row>
        <row r="200">
          <cell r="E200" t="str">
            <v>Bélgica</v>
          </cell>
          <cell r="G200" t="str">
            <v>Egipto</v>
          </cell>
          <cell r="I200" t="str">
            <v>Irán</v>
          </cell>
          <cell r="K200">
            <v>7</v>
          </cell>
          <cell r="L200">
            <v>6</v>
          </cell>
          <cell r="M200">
            <v>5</v>
          </cell>
          <cell r="N200">
            <v>18</v>
          </cell>
        </row>
        <row r="201">
          <cell r="E201" t="str">
            <v>España</v>
          </cell>
          <cell r="G201" t="str">
            <v>Uruguay</v>
          </cell>
          <cell r="I201" t="str">
            <v>Cabo Verde</v>
          </cell>
          <cell r="K201">
            <v>7</v>
          </cell>
          <cell r="L201">
            <v>0</v>
          </cell>
          <cell r="M201">
            <v>3</v>
          </cell>
          <cell r="N201">
            <v>10</v>
          </cell>
        </row>
        <row r="202">
          <cell r="E202" t="str">
            <v>Francia</v>
          </cell>
          <cell r="G202" t="str">
            <v>Noruega</v>
          </cell>
          <cell r="I202" t="str">
            <v>Senegal</v>
          </cell>
          <cell r="K202">
            <v>7</v>
          </cell>
          <cell r="L202">
            <v>6</v>
          </cell>
          <cell r="M202">
            <v>5</v>
          </cell>
          <cell r="N202">
            <v>18</v>
          </cell>
        </row>
        <row r="203">
          <cell r="E203" t="str">
            <v>Argentina</v>
          </cell>
          <cell r="G203" t="str">
            <v>Austria</v>
          </cell>
          <cell r="I203" t="str">
            <v>Argelia</v>
          </cell>
          <cell r="K203">
            <v>7</v>
          </cell>
          <cell r="L203">
            <v>6</v>
          </cell>
          <cell r="M203">
            <v>0</v>
          </cell>
          <cell r="N203">
            <v>13</v>
          </cell>
        </row>
        <row r="204">
          <cell r="E204" t="str">
            <v>Portugal</v>
          </cell>
          <cell r="G204" t="str">
            <v>Colombia</v>
          </cell>
          <cell r="I204" t="str">
            <v>RD Congo</v>
          </cell>
          <cell r="K204">
            <v>3</v>
          </cell>
          <cell r="L204">
            <v>3</v>
          </cell>
          <cell r="M204">
            <v>0</v>
          </cell>
          <cell r="N204">
            <v>6</v>
          </cell>
        </row>
        <row r="205">
          <cell r="E205" t="str">
            <v>Inglaterra</v>
          </cell>
          <cell r="G205" t="str">
            <v>Croacia</v>
          </cell>
          <cell r="I205" t="str">
            <v>Ghana</v>
          </cell>
          <cell r="K205">
            <v>7</v>
          </cell>
          <cell r="L205">
            <v>3</v>
          </cell>
          <cell r="M205">
            <v>3</v>
          </cell>
          <cell r="N205">
            <v>13</v>
          </cell>
        </row>
        <row r="206">
          <cell r="E206" t="str">
            <v>Corea República</v>
          </cell>
          <cell r="G206" t="str">
            <v>Chequia</v>
          </cell>
          <cell r="I206" t="str">
            <v>México</v>
          </cell>
          <cell r="K206">
            <v>3</v>
          </cell>
          <cell r="L206">
            <v>0</v>
          </cell>
          <cell r="M206">
            <v>3</v>
          </cell>
          <cell r="N206">
            <v>6</v>
          </cell>
        </row>
        <row r="207">
          <cell r="E207" t="str">
            <v>Suiza</v>
          </cell>
          <cell r="G207" t="str">
            <v>Canadá</v>
          </cell>
          <cell r="I207" t="str">
            <v>Bosnia y Herzegovina</v>
          </cell>
          <cell r="K207">
            <v>7</v>
          </cell>
          <cell r="L207">
            <v>6</v>
          </cell>
          <cell r="M207">
            <v>5</v>
          </cell>
          <cell r="N207">
            <v>18</v>
          </cell>
        </row>
        <row r="208">
          <cell r="E208" t="str">
            <v>Marruecos</v>
          </cell>
          <cell r="G208" t="str">
            <v>Brasil</v>
          </cell>
          <cell r="I208" t="str">
            <v>Haití</v>
          </cell>
          <cell r="K208">
            <v>3</v>
          </cell>
          <cell r="L208">
            <v>3</v>
          </cell>
          <cell r="M208">
            <v>0</v>
          </cell>
          <cell r="N208">
            <v>6</v>
          </cell>
        </row>
        <row r="209">
          <cell r="E209" t="str">
            <v>Paraguay</v>
          </cell>
          <cell r="G209" t="str">
            <v>Türkiye</v>
          </cell>
          <cell r="I209" t="str">
            <v>Estados Unidos</v>
          </cell>
          <cell r="K209">
            <v>3</v>
          </cell>
          <cell r="L209">
            <v>0</v>
          </cell>
          <cell r="M209">
            <v>3</v>
          </cell>
          <cell r="N209">
            <v>6</v>
          </cell>
        </row>
        <row r="210">
          <cell r="E210" t="str">
            <v>Alemania</v>
          </cell>
          <cell r="G210" t="str">
            <v>Costa de Marfil</v>
          </cell>
          <cell r="I210" t="str">
            <v>Ecuador</v>
          </cell>
          <cell r="K210">
            <v>7</v>
          </cell>
          <cell r="L210">
            <v>6</v>
          </cell>
          <cell r="M210">
            <v>5</v>
          </cell>
          <cell r="N210">
            <v>18</v>
          </cell>
        </row>
        <row r="211">
          <cell r="E211" t="str">
            <v>Japón</v>
          </cell>
          <cell r="G211" t="str">
            <v>Países Bajos</v>
          </cell>
          <cell r="I211" t="str">
            <v>Suecia</v>
          </cell>
          <cell r="K211">
            <v>3</v>
          </cell>
          <cell r="L211">
            <v>3</v>
          </cell>
          <cell r="M211">
            <v>5</v>
          </cell>
          <cell r="N211">
            <v>11</v>
          </cell>
        </row>
        <row r="212">
          <cell r="E212" t="str">
            <v>Bélgica</v>
          </cell>
          <cell r="G212" t="str">
            <v>Egipto</v>
          </cell>
          <cell r="I212" t="str">
            <v>Nueva Zelanda</v>
          </cell>
          <cell r="K212">
            <v>7</v>
          </cell>
          <cell r="L212">
            <v>6</v>
          </cell>
          <cell r="M212">
            <v>0</v>
          </cell>
          <cell r="N212">
            <v>13</v>
          </cell>
        </row>
        <row r="213">
          <cell r="E213" t="str">
            <v>España</v>
          </cell>
          <cell r="G213" t="str">
            <v>Uruguay</v>
          </cell>
          <cell r="I213" t="str">
            <v>Arabia Saudita</v>
          </cell>
          <cell r="K213">
            <v>7</v>
          </cell>
          <cell r="L213">
            <v>0</v>
          </cell>
          <cell r="M213">
            <v>0</v>
          </cell>
          <cell r="N213">
            <v>7</v>
          </cell>
        </row>
        <row r="214">
          <cell r="E214" t="str">
            <v>Francia</v>
          </cell>
          <cell r="G214" t="str">
            <v>Noruega</v>
          </cell>
          <cell r="I214" t="str">
            <v>Senegal</v>
          </cell>
          <cell r="K214">
            <v>7</v>
          </cell>
          <cell r="L214">
            <v>6</v>
          </cell>
          <cell r="M214">
            <v>5</v>
          </cell>
          <cell r="N214">
            <v>18</v>
          </cell>
        </row>
        <row r="215">
          <cell r="E215" t="str">
            <v>Argentina</v>
          </cell>
          <cell r="G215" t="str">
            <v>Austria</v>
          </cell>
          <cell r="I215" t="str">
            <v>Argelia</v>
          </cell>
          <cell r="K215">
            <v>7</v>
          </cell>
          <cell r="L215">
            <v>6</v>
          </cell>
          <cell r="M215">
            <v>0</v>
          </cell>
          <cell r="N215">
            <v>13</v>
          </cell>
        </row>
        <row r="216">
          <cell r="E216" t="str">
            <v>Portugal</v>
          </cell>
          <cell r="G216" t="str">
            <v>Colombia</v>
          </cell>
          <cell r="I216" t="str">
            <v>RD Congo</v>
          </cell>
          <cell r="K216">
            <v>3</v>
          </cell>
          <cell r="L216">
            <v>3</v>
          </cell>
          <cell r="M216">
            <v>0</v>
          </cell>
          <cell r="N216">
            <v>6</v>
          </cell>
        </row>
        <row r="217">
          <cell r="E217" t="str">
            <v>Inglaterra</v>
          </cell>
          <cell r="G217" t="str">
            <v>Croacia</v>
          </cell>
          <cell r="I217" t="str">
            <v>Ghana</v>
          </cell>
          <cell r="K217">
            <v>7</v>
          </cell>
          <cell r="L217">
            <v>3</v>
          </cell>
          <cell r="M217">
            <v>3</v>
          </cell>
          <cell r="N217">
            <v>13</v>
          </cell>
        </row>
        <row r="218">
          <cell r="E218" t="str">
            <v>México</v>
          </cell>
          <cell r="G218" t="str">
            <v>Corea República</v>
          </cell>
          <cell r="I218" t="str">
            <v>Sudáfrica</v>
          </cell>
          <cell r="K218">
            <v>7</v>
          </cell>
          <cell r="L218">
            <v>3</v>
          </cell>
          <cell r="M218">
            <v>3</v>
          </cell>
          <cell r="N218">
            <v>13</v>
          </cell>
        </row>
        <row r="219">
          <cell r="E219" t="str">
            <v>Suiza</v>
          </cell>
          <cell r="G219" t="str">
            <v>Canadá</v>
          </cell>
          <cell r="I219" t="str">
            <v>Qatar</v>
          </cell>
          <cell r="K219">
            <v>7</v>
          </cell>
          <cell r="L219">
            <v>6</v>
          </cell>
          <cell r="M219">
            <v>0</v>
          </cell>
          <cell r="N219">
            <v>13</v>
          </cell>
        </row>
        <row r="220">
          <cell r="E220" t="str">
            <v>Brasil</v>
          </cell>
          <cell r="G220" t="str">
            <v>Marruecos</v>
          </cell>
          <cell r="I220" t="str">
            <v>Escocia</v>
          </cell>
          <cell r="K220">
            <v>7</v>
          </cell>
          <cell r="L220">
            <v>6</v>
          </cell>
          <cell r="M220">
            <v>0</v>
          </cell>
          <cell r="N220">
            <v>13</v>
          </cell>
        </row>
        <row r="221">
          <cell r="E221" t="str">
            <v>Estados Unidos</v>
          </cell>
          <cell r="G221" t="str">
            <v>Türkiye</v>
          </cell>
          <cell r="I221" t="str">
            <v>Paraguay</v>
          </cell>
          <cell r="K221">
            <v>7</v>
          </cell>
          <cell r="L221">
            <v>0</v>
          </cell>
          <cell r="M221">
            <v>5</v>
          </cell>
          <cell r="N221">
            <v>12</v>
          </cell>
        </row>
        <row r="222">
          <cell r="E222" t="str">
            <v>Alemania</v>
          </cell>
          <cell r="G222" t="str">
            <v>Costa de Marfil</v>
          </cell>
          <cell r="I222" t="str">
            <v>Ecuador</v>
          </cell>
          <cell r="K222">
            <v>7</v>
          </cell>
          <cell r="L222">
            <v>6</v>
          </cell>
          <cell r="M222">
            <v>5</v>
          </cell>
          <cell r="N222">
            <v>18</v>
          </cell>
        </row>
        <row r="223">
          <cell r="E223" t="str">
            <v>Países Bajos</v>
          </cell>
          <cell r="G223" t="str">
            <v>Suecia</v>
          </cell>
          <cell r="I223" t="str">
            <v>Japón</v>
          </cell>
          <cell r="K223">
            <v>7</v>
          </cell>
          <cell r="L223">
            <v>3</v>
          </cell>
          <cell r="M223">
            <v>3</v>
          </cell>
          <cell r="N223">
            <v>13</v>
          </cell>
        </row>
        <row r="224">
          <cell r="E224" t="str">
            <v>Bélgica</v>
          </cell>
          <cell r="G224" t="str">
            <v>Irán</v>
          </cell>
          <cell r="I224" t="str">
            <v>Egipto</v>
          </cell>
          <cell r="K224">
            <v>7</v>
          </cell>
          <cell r="L224">
            <v>3</v>
          </cell>
          <cell r="M224">
            <v>3</v>
          </cell>
          <cell r="N224">
            <v>13</v>
          </cell>
        </row>
        <row r="225">
          <cell r="E225" t="str">
            <v>España</v>
          </cell>
          <cell r="G225" t="str">
            <v>Uruguay</v>
          </cell>
          <cell r="I225" t="str">
            <v>Arabia Saudita</v>
          </cell>
          <cell r="K225">
            <v>7</v>
          </cell>
          <cell r="L225">
            <v>0</v>
          </cell>
          <cell r="M225">
            <v>0</v>
          </cell>
          <cell r="N225">
            <v>7</v>
          </cell>
        </row>
        <row r="226">
          <cell r="E226" t="str">
            <v>Francia</v>
          </cell>
          <cell r="G226" t="str">
            <v>Senegal</v>
          </cell>
          <cell r="I226" t="str">
            <v>Noruega</v>
          </cell>
          <cell r="K226">
            <v>7</v>
          </cell>
          <cell r="L226">
            <v>3</v>
          </cell>
          <cell r="M226">
            <v>3</v>
          </cell>
          <cell r="N226">
            <v>13</v>
          </cell>
        </row>
        <row r="227">
          <cell r="E227" t="str">
            <v>Argentina</v>
          </cell>
          <cell r="G227" t="str">
            <v>Austria</v>
          </cell>
          <cell r="I227" t="str">
            <v>Argelia</v>
          </cell>
          <cell r="K227">
            <v>7</v>
          </cell>
          <cell r="L227">
            <v>6</v>
          </cell>
          <cell r="M227">
            <v>0</v>
          </cell>
          <cell r="N227">
            <v>13</v>
          </cell>
        </row>
        <row r="228">
          <cell r="E228" t="str">
            <v>Portugal</v>
          </cell>
          <cell r="G228" t="str">
            <v>Colombia</v>
          </cell>
          <cell r="I228" t="str">
            <v>Uzbekistán</v>
          </cell>
          <cell r="K228">
            <v>3</v>
          </cell>
          <cell r="L228">
            <v>3</v>
          </cell>
          <cell r="M228">
            <v>0</v>
          </cell>
          <cell r="N228">
            <v>6</v>
          </cell>
        </row>
        <row r="229">
          <cell r="E229" t="str">
            <v>Inglaterra</v>
          </cell>
          <cell r="G229" t="str">
            <v>Croacia</v>
          </cell>
          <cell r="I229" t="str">
            <v>Panamá</v>
          </cell>
          <cell r="K229">
            <v>7</v>
          </cell>
          <cell r="L229">
            <v>3</v>
          </cell>
          <cell r="M229">
            <v>0</v>
          </cell>
          <cell r="N229">
            <v>10</v>
          </cell>
        </row>
        <row r="230">
          <cell r="E230" t="str">
            <v>México</v>
          </cell>
          <cell r="G230" t="str">
            <v>Corea República</v>
          </cell>
          <cell r="I230" t="str">
            <v>Chequia</v>
          </cell>
          <cell r="K230">
            <v>7</v>
          </cell>
          <cell r="L230">
            <v>3</v>
          </cell>
          <cell r="M230">
            <v>0</v>
          </cell>
          <cell r="N230">
            <v>10</v>
          </cell>
        </row>
        <row r="231">
          <cell r="E231" t="str">
            <v>Suiza</v>
          </cell>
          <cell r="G231" t="str">
            <v>Canadá</v>
          </cell>
          <cell r="I231" t="str">
            <v>Qatar</v>
          </cell>
          <cell r="K231">
            <v>7</v>
          </cell>
          <cell r="L231">
            <v>6</v>
          </cell>
          <cell r="M231">
            <v>0</v>
          </cell>
          <cell r="N231">
            <v>13</v>
          </cell>
        </row>
        <row r="232">
          <cell r="E232" t="str">
            <v>Brasil</v>
          </cell>
          <cell r="G232" t="str">
            <v>Marruecos</v>
          </cell>
          <cell r="I232" t="str">
            <v>Escocia</v>
          </cell>
          <cell r="K232">
            <v>7</v>
          </cell>
          <cell r="L232">
            <v>6</v>
          </cell>
          <cell r="M232">
            <v>0</v>
          </cell>
          <cell r="N232">
            <v>13</v>
          </cell>
        </row>
        <row r="233">
          <cell r="E233" t="str">
            <v>Australia</v>
          </cell>
          <cell r="G233" t="str">
            <v>Paraguay</v>
          </cell>
          <cell r="I233" t="str">
            <v>Estados Unidos</v>
          </cell>
          <cell r="K233">
            <v>3</v>
          </cell>
          <cell r="L233">
            <v>3</v>
          </cell>
          <cell r="M233">
            <v>3</v>
          </cell>
          <cell r="N233">
            <v>9</v>
          </cell>
        </row>
        <row r="234">
          <cell r="E234" t="str">
            <v>Alemania</v>
          </cell>
          <cell r="G234" t="str">
            <v>Ecuador</v>
          </cell>
          <cell r="I234" t="str">
            <v>Costa de Marfil</v>
          </cell>
          <cell r="K234">
            <v>7</v>
          </cell>
          <cell r="L234">
            <v>3</v>
          </cell>
          <cell r="M234">
            <v>3</v>
          </cell>
          <cell r="N234">
            <v>13</v>
          </cell>
        </row>
        <row r="235">
          <cell r="E235" t="str">
            <v>Países Bajos</v>
          </cell>
          <cell r="G235" t="str">
            <v>Suecia</v>
          </cell>
          <cell r="I235" t="str">
            <v>Japón</v>
          </cell>
          <cell r="K235">
            <v>7</v>
          </cell>
          <cell r="L235">
            <v>3</v>
          </cell>
          <cell r="M235">
            <v>3</v>
          </cell>
          <cell r="N235">
            <v>13</v>
          </cell>
        </row>
        <row r="236">
          <cell r="E236" t="str">
            <v>Bélgica</v>
          </cell>
          <cell r="G236" t="str">
            <v>Irán</v>
          </cell>
          <cell r="I236" t="str">
            <v>Egipto</v>
          </cell>
          <cell r="K236">
            <v>7</v>
          </cell>
          <cell r="L236">
            <v>3</v>
          </cell>
          <cell r="M236">
            <v>3</v>
          </cell>
          <cell r="N236">
            <v>13</v>
          </cell>
        </row>
        <row r="237">
          <cell r="E237" t="str">
            <v>España</v>
          </cell>
          <cell r="G237" t="str">
            <v>Uruguay</v>
          </cell>
          <cell r="I237" t="str">
            <v>Arabia Saudita</v>
          </cell>
          <cell r="K237">
            <v>7</v>
          </cell>
          <cell r="L237">
            <v>0</v>
          </cell>
          <cell r="M237">
            <v>0</v>
          </cell>
          <cell r="N237">
            <v>7</v>
          </cell>
        </row>
        <row r="238">
          <cell r="E238" t="str">
            <v>Francia</v>
          </cell>
          <cell r="G238" t="str">
            <v>Senegal</v>
          </cell>
          <cell r="I238" t="str">
            <v>Noruega</v>
          </cell>
          <cell r="K238">
            <v>7</v>
          </cell>
          <cell r="L238">
            <v>3</v>
          </cell>
          <cell r="M238">
            <v>3</v>
          </cell>
          <cell r="N238">
            <v>13</v>
          </cell>
        </row>
        <row r="239">
          <cell r="E239" t="str">
            <v>Argentina</v>
          </cell>
          <cell r="G239" t="str">
            <v>Austria</v>
          </cell>
          <cell r="I239" t="str">
            <v>Argelia</v>
          </cell>
          <cell r="K239">
            <v>7</v>
          </cell>
          <cell r="L239">
            <v>6</v>
          </cell>
          <cell r="M239">
            <v>0</v>
          </cell>
          <cell r="N239">
            <v>13</v>
          </cell>
        </row>
        <row r="240">
          <cell r="E240" t="str">
            <v>Portugal</v>
          </cell>
          <cell r="G240" t="str">
            <v>Colombia</v>
          </cell>
          <cell r="I240" t="str">
            <v>RD Congo</v>
          </cell>
          <cell r="K240">
            <v>3</v>
          </cell>
          <cell r="L240">
            <v>3</v>
          </cell>
          <cell r="M240">
            <v>0</v>
          </cell>
          <cell r="N240">
            <v>6</v>
          </cell>
        </row>
        <row r="241">
          <cell r="E241" t="str">
            <v>Croacia</v>
          </cell>
          <cell r="G241" t="str">
            <v>Inglaterra</v>
          </cell>
          <cell r="I241" t="str">
            <v>Panamá</v>
          </cell>
          <cell r="K241">
            <v>3</v>
          </cell>
          <cell r="L241">
            <v>3</v>
          </cell>
          <cell r="M241">
            <v>0</v>
          </cell>
          <cell r="N241">
            <v>6</v>
          </cell>
        </row>
        <row r="242">
          <cell r="E242" t="str">
            <v>México</v>
          </cell>
          <cell r="G242" t="str">
            <v>Corea República</v>
          </cell>
          <cell r="I242" t="str">
            <v>Chequia</v>
          </cell>
          <cell r="K242">
            <v>7</v>
          </cell>
          <cell r="L242">
            <v>3</v>
          </cell>
          <cell r="M242">
            <v>0</v>
          </cell>
          <cell r="N242">
            <v>10</v>
          </cell>
        </row>
        <row r="243">
          <cell r="E243" t="str">
            <v>Canadá</v>
          </cell>
          <cell r="G243" t="str">
            <v>Suiza</v>
          </cell>
          <cell r="I243" t="str">
            <v>Qatar</v>
          </cell>
          <cell r="K243">
            <v>3</v>
          </cell>
          <cell r="L243">
            <v>3</v>
          </cell>
          <cell r="M243">
            <v>0</v>
          </cell>
          <cell r="N243">
            <v>6</v>
          </cell>
        </row>
        <row r="244">
          <cell r="E244" t="str">
            <v>Brasil</v>
          </cell>
          <cell r="G244" t="str">
            <v>Marruecos</v>
          </cell>
          <cell r="I244" t="str">
            <v>Escocia</v>
          </cell>
          <cell r="K244">
            <v>7</v>
          </cell>
          <cell r="L244">
            <v>6</v>
          </cell>
          <cell r="M244">
            <v>0</v>
          </cell>
          <cell r="N244">
            <v>13</v>
          </cell>
        </row>
        <row r="245">
          <cell r="E245" t="str">
            <v>Estados Unidos</v>
          </cell>
          <cell r="G245" t="str">
            <v>Australia</v>
          </cell>
          <cell r="I245" t="str">
            <v>Paraguay</v>
          </cell>
          <cell r="K245">
            <v>7</v>
          </cell>
          <cell r="L245">
            <v>6</v>
          </cell>
          <cell r="M245">
            <v>5</v>
          </cell>
          <cell r="N245">
            <v>18</v>
          </cell>
        </row>
        <row r="246">
          <cell r="E246" t="str">
            <v>Alemania</v>
          </cell>
          <cell r="G246" t="str">
            <v>Ecuador</v>
          </cell>
          <cell r="I246" t="str">
            <v>Costa de Marfil</v>
          </cell>
          <cell r="K246">
            <v>7</v>
          </cell>
          <cell r="L246">
            <v>3</v>
          </cell>
          <cell r="M246">
            <v>3</v>
          </cell>
          <cell r="N246">
            <v>13</v>
          </cell>
        </row>
        <row r="247">
          <cell r="E247" t="str">
            <v>Países Bajos</v>
          </cell>
          <cell r="G247" t="str">
            <v>Suecia</v>
          </cell>
          <cell r="I247" t="str">
            <v>Japón</v>
          </cell>
          <cell r="K247">
            <v>7</v>
          </cell>
          <cell r="L247">
            <v>3</v>
          </cell>
          <cell r="M247">
            <v>3</v>
          </cell>
          <cell r="N247">
            <v>13</v>
          </cell>
        </row>
        <row r="248">
          <cell r="E248" t="str">
            <v>Irán</v>
          </cell>
          <cell r="G248" t="str">
            <v>Bélgica</v>
          </cell>
          <cell r="I248" t="str">
            <v>Nueva Zelanda</v>
          </cell>
          <cell r="K248">
            <v>3</v>
          </cell>
          <cell r="L248">
            <v>3</v>
          </cell>
          <cell r="M248">
            <v>0</v>
          </cell>
          <cell r="N248">
            <v>6</v>
          </cell>
        </row>
        <row r="249">
          <cell r="E249" t="str">
            <v>España</v>
          </cell>
          <cell r="G249" t="str">
            <v>Uruguay</v>
          </cell>
          <cell r="I249" t="str">
            <v>Arabia Saudita</v>
          </cell>
          <cell r="K249">
            <v>7</v>
          </cell>
          <cell r="L249">
            <v>0</v>
          </cell>
          <cell r="M249">
            <v>0</v>
          </cell>
          <cell r="N249">
            <v>7</v>
          </cell>
        </row>
        <row r="250">
          <cell r="E250" t="str">
            <v>Francia</v>
          </cell>
          <cell r="G250" t="str">
            <v>Noruega</v>
          </cell>
          <cell r="I250" t="str">
            <v>Senegal</v>
          </cell>
          <cell r="K250">
            <v>7</v>
          </cell>
          <cell r="L250">
            <v>6</v>
          </cell>
          <cell r="M250">
            <v>5</v>
          </cell>
          <cell r="N250">
            <v>18</v>
          </cell>
        </row>
        <row r="251">
          <cell r="E251" t="str">
            <v>Argentina</v>
          </cell>
          <cell r="G251" t="str">
            <v>Argelia</v>
          </cell>
          <cell r="I251" t="str">
            <v>Austria</v>
          </cell>
          <cell r="K251">
            <v>7</v>
          </cell>
          <cell r="L251">
            <v>0</v>
          </cell>
          <cell r="M251">
            <v>3</v>
          </cell>
          <cell r="N251">
            <v>10</v>
          </cell>
        </row>
        <row r="252">
          <cell r="E252" t="str">
            <v>Portugal</v>
          </cell>
          <cell r="G252" t="str">
            <v>Colombia</v>
          </cell>
          <cell r="I252" t="str">
            <v>RD Congo</v>
          </cell>
          <cell r="K252">
            <v>3</v>
          </cell>
          <cell r="L252">
            <v>3</v>
          </cell>
          <cell r="M252">
            <v>0</v>
          </cell>
          <cell r="N252">
            <v>6</v>
          </cell>
        </row>
        <row r="253">
          <cell r="E253" t="str">
            <v>Inglaterra</v>
          </cell>
          <cell r="G253" t="str">
            <v>Croacia</v>
          </cell>
          <cell r="I253" t="str">
            <v>Panamá</v>
          </cell>
          <cell r="K253">
            <v>7</v>
          </cell>
          <cell r="L253">
            <v>3</v>
          </cell>
          <cell r="M253">
            <v>0</v>
          </cell>
          <cell r="N253">
            <v>10</v>
          </cell>
        </row>
        <row r="254">
          <cell r="E254" t="str">
            <v>México</v>
          </cell>
          <cell r="G254" t="str">
            <v>Corea República</v>
          </cell>
          <cell r="I254" t="str">
            <v>Chequia</v>
          </cell>
          <cell r="K254">
            <v>7</v>
          </cell>
          <cell r="L254">
            <v>3</v>
          </cell>
          <cell r="M254">
            <v>0</v>
          </cell>
          <cell r="N254">
            <v>10</v>
          </cell>
        </row>
        <row r="255">
          <cell r="E255" t="str">
            <v>Canadá</v>
          </cell>
          <cell r="G255" t="str">
            <v>Suiza</v>
          </cell>
          <cell r="I255" t="str">
            <v>Bosnia y Herzegovina</v>
          </cell>
          <cell r="K255">
            <v>3</v>
          </cell>
          <cell r="L255">
            <v>3</v>
          </cell>
          <cell r="M255">
            <v>5</v>
          </cell>
          <cell r="N255">
            <v>11</v>
          </cell>
        </row>
        <row r="256">
          <cell r="E256" t="str">
            <v>Marruecos</v>
          </cell>
          <cell r="G256" t="str">
            <v>Escocia</v>
          </cell>
          <cell r="I256" t="str">
            <v>Brasil</v>
          </cell>
          <cell r="K256">
            <v>3</v>
          </cell>
          <cell r="L256">
            <v>0</v>
          </cell>
          <cell r="M256">
            <v>3</v>
          </cell>
          <cell r="N256">
            <v>6</v>
          </cell>
        </row>
        <row r="257">
          <cell r="E257" t="str">
            <v>Türkiye</v>
          </cell>
          <cell r="G257" t="str">
            <v>Estados Unidos</v>
          </cell>
          <cell r="I257" t="str">
            <v>Paraguay</v>
          </cell>
          <cell r="K257">
            <v>0</v>
          </cell>
          <cell r="L257">
            <v>3</v>
          </cell>
          <cell r="M257">
            <v>5</v>
          </cell>
          <cell r="N257">
            <v>8</v>
          </cell>
        </row>
        <row r="258">
          <cell r="E258" t="str">
            <v>Alemania</v>
          </cell>
          <cell r="G258" t="str">
            <v>Ecuador</v>
          </cell>
          <cell r="I258" t="str">
            <v>Costa de Marfil</v>
          </cell>
          <cell r="K258">
            <v>7</v>
          </cell>
          <cell r="L258">
            <v>3</v>
          </cell>
          <cell r="M258">
            <v>3</v>
          </cell>
          <cell r="N258">
            <v>13</v>
          </cell>
        </row>
        <row r="259">
          <cell r="E259" t="str">
            <v>Suecia</v>
          </cell>
          <cell r="G259" t="str">
            <v>Países Bajos</v>
          </cell>
          <cell r="I259" t="str">
            <v>Japón</v>
          </cell>
          <cell r="K259">
            <v>3</v>
          </cell>
          <cell r="L259">
            <v>3</v>
          </cell>
          <cell r="M259">
            <v>3</v>
          </cell>
          <cell r="N259">
            <v>9</v>
          </cell>
        </row>
        <row r="260">
          <cell r="E260" t="str">
            <v>Bélgica</v>
          </cell>
          <cell r="G260" t="str">
            <v>Egipto</v>
          </cell>
          <cell r="I260" t="str">
            <v>Irán</v>
          </cell>
          <cell r="K260">
            <v>7</v>
          </cell>
          <cell r="L260">
            <v>6</v>
          </cell>
          <cell r="M260">
            <v>5</v>
          </cell>
          <cell r="N260">
            <v>18</v>
          </cell>
        </row>
        <row r="261">
          <cell r="E261" t="str">
            <v>España</v>
          </cell>
          <cell r="G261" t="str">
            <v>Uruguay</v>
          </cell>
          <cell r="I261" t="str">
            <v>Cabo Verde</v>
          </cell>
          <cell r="K261">
            <v>7</v>
          </cell>
          <cell r="L261">
            <v>0</v>
          </cell>
          <cell r="M261">
            <v>3</v>
          </cell>
          <cell r="N261">
            <v>10</v>
          </cell>
        </row>
        <row r="262">
          <cell r="E262" t="str">
            <v>Francia</v>
          </cell>
          <cell r="G262" t="str">
            <v>Noruega</v>
          </cell>
          <cell r="I262" t="str">
            <v>Senegal</v>
          </cell>
          <cell r="K262">
            <v>7</v>
          </cell>
          <cell r="L262">
            <v>6</v>
          </cell>
          <cell r="M262">
            <v>5</v>
          </cell>
          <cell r="N262">
            <v>18</v>
          </cell>
        </row>
        <row r="263">
          <cell r="E263" t="str">
            <v>Argentina</v>
          </cell>
          <cell r="G263" t="str">
            <v>Argelia</v>
          </cell>
          <cell r="I263" t="str">
            <v>Austria</v>
          </cell>
          <cell r="K263">
            <v>7</v>
          </cell>
          <cell r="L263">
            <v>0</v>
          </cell>
          <cell r="M263">
            <v>3</v>
          </cell>
          <cell r="N263">
            <v>10</v>
          </cell>
        </row>
        <row r="264">
          <cell r="E264" t="str">
            <v>Portugal</v>
          </cell>
          <cell r="G264" t="str">
            <v>Colombia</v>
          </cell>
          <cell r="I264" t="str">
            <v>Uzbekistán</v>
          </cell>
          <cell r="K264">
            <v>3</v>
          </cell>
          <cell r="L264">
            <v>3</v>
          </cell>
          <cell r="M264">
            <v>0</v>
          </cell>
          <cell r="N264">
            <v>6</v>
          </cell>
        </row>
        <row r="265">
          <cell r="E265" t="str">
            <v>Inglaterra</v>
          </cell>
          <cell r="G265" t="str">
            <v>Croacia</v>
          </cell>
          <cell r="I265" t="str">
            <v>Ghana</v>
          </cell>
          <cell r="K265">
            <v>7</v>
          </cell>
          <cell r="L265">
            <v>3</v>
          </cell>
          <cell r="M265">
            <v>3</v>
          </cell>
          <cell r="N265">
            <v>13</v>
          </cell>
        </row>
        <row r="266">
          <cell r="E266" t="str">
            <v>Chequia</v>
          </cell>
          <cell r="G266" t="str">
            <v>México</v>
          </cell>
          <cell r="I266" t="str">
            <v>Corea República</v>
          </cell>
          <cell r="K266">
            <v>0</v>
          </cell>
          <cell r="L266">
            <v>3</v>
          </cell>
          <cell r="M266">
            <v>5</v>
          </cell>
          <cell r="N266">
            <v>8</v>
          </cell>
        </row>
        <row r="267">
          <cell r="E267" t="str">
            <v>Suiza</v>
          </cell>
          <cell r="G267" t="str">
            <v>Bosnia y Herzegovina</v>
          </cell>
          <cell r="I267" t="str">
            <v>Canadá</v>
          </cell>
          <cell r="K267">
            <v>7</v>
          </cell>
          <cell r="L267">
            <v>3</v>
          </cell>
          <cell r="M267">
            <v>3</v>
          </cell>
          <cell r="N267">
            <v>13</v>
          </cell>
        </row>
        <row r="268">
          <cell r="E268" t="str">
            <v>Brasil</v>
          </cell>
          <cell r="G268" t="str">
            <v>Marruecos</v>
          </cell>
          <cell r="I268" t="str">
            <v>Escocia</v>
          </cell>
          <cell r="K268">
            <v>7</v>
          </cell>
          <cell r="L268">
            <v>6</v>
          </cell>
          <cell r="M268">
            <v>0</v>
          </cell>
          <cell r="N268">
            <v>13</v>
          </cell>
        </row>
        <row r="269">
          <cell r="E269" t="str">
            <v>Estados Unidos</v>
          </cell>
          <cell r="G269" t="str">
            <v>Türkiye</v>
          </cell>
          <cell r="I269" t="str">
            <v>Australia</v>
          </cell>
          <cell r="K269">
            <v>7</v>
          </cell>
          <cell r="L269">
            <v>0</v>
          </cell>
          <cell r="M269">
            <v>3</v>
          </cell>
          <cell r="N269">
            <v>10</v>
          </cell>
        </row>
        <row r="270">
          <cell r="E270" t="str">
            <v>Alemania</v>
          </cell>
          <cell r="G270" t="str">
            <v>Costa de Marfil</v>
          </cell>
          <cell r="I270" t="str">
            <v>Ecuador</v>
          </cell>
          <cell r="K270">
            <v>7</v>
          </cell>
          <cell r="L270">
            <v>6</v>
          </cell>
          <cell r="M270">
            <v>5</v>
          </cell>
          <cell r="N270">
            <v>18</v>
          </cell>
        </row>
        <row r="271">
          <cell r="E271" t="str">
            <v>Japón</v>
          </cell>
          <cell r="G271" t="str">
            <v>Países Bajos</v>
          </cell>
          <cell r="I271" t="str">
            <v>Suecia</v>
          </cell>
          <cell r="K271">
            <v>3</v>
          </cell>
          <cell r="L271">
            <v>3</v>
          </cell>
          <cell r="M271">
            <v>5</v>
          </cell>
          <cell r="N271">
            <v>11</v>
          </cell>
        </row>
        <row r="272">
          <cell r="E272" t="str">
            <v>Bélgica</v>
          </cell>
          <cell r="G272" t="str">
            <v>Egipto</v>
          </cell>
          <cell r="I272" t="str">
            <v>Nueva Zelanda</v>
          </cell>
          <cell r="K272">
            <v>7</v>
          </cell>
          <cell r="L272">
            <v>6</v>
          </cell>
          <cell r="M272">
            <v>0</v>
          </cell>
          <cell r="N272">
            <v>13</v>
          </cell>
        </row>
        <row r="273">
          <cell r="E273" t="str">
            <v>España</v>
          </cell>
          <cell r="G273" t="str">
            <v>Arabia Saudita</v>
          </cell>
          <cell r="I273" t="str">
            <v>Uruguay</v>
          </cell>
          <cell r="K273">
            <v>7</v>
          </cell>
          <cell r="L273">
            <v>0</v>
          </cell>
          <cell r="M273">
            <v>0</v>
          </cell>
          <cell r="N273">
            <v>7</v>
          </cell>
        </row>
        <row r="274">
          <cell r="E274" t="str">
            <v>Francia</v>
          </cell>
          <cell r="G274" t="str">
            <v>Noruega</v>
          </cell>
          <cell r="I274" t="str">
            <v>Senegal</v>
          </cell>
          <cell r="K274">
            <v>7</v>
          </cell>
          <cell r="L274">
            <v>6</v>
          </cell>
          <cell r="M274">
            <v>5</v>
          </cell>
          <cell r="N274">
            <v>18</v>
          </cell>
        </row>
        <row r="275">
          <cell r="E275" t="str">
            <v>Argentina</v>
          </cell>
          <cell r="G275" t="str">
            <v>Austria</v>
          </cell>
          <cell r="I275" t="str">
            <v>Argelia</v>
          </cell>
          <cell r="K275">
            <v>7</v>
          </cell>
          <cell r="L275">
            <v>6</v>
          </cell>
          <cell r="M275">
            <v>0</v>
          </cell>
          <cell r="N275">
            <v>13</v>
          </cell>
        </row>
        <row r="276">
          <cell r="E276" t="str">
            <v>Colombia</v>
          </cell>
          <cell r="G276" t="str">
            <v>Portugal</v>
          </cell>
          <cell r="I276" t="str">
            <v>RD Congo</v>
          </cell>
          <cell r="K276">
            <v>7</v>
          </cell>
          <cell r="L276">
            <v>6</v>
          </cell>
          <cell r="M276">
            <v>0</v>
          </cell>
          <cell r="N276">
            <v>13</v>
          </cell>
        </row>
        <row r="277">
          <cell r="E277" t="str">
            <v>Croacia</v>
          </cell>
          <cell r="G277" t="str">
            <v>Inglaterra</v>
          </cell>
          <cell r="I277" t="str">
            <v>Panamá</v>
          </cell>
          <cell r="K277">
            <v>3</v>
          </cell>
          <cell r="L277">
            <v>3</v>
          </cell>
          <cell r="M277">
            <v>0</v>
          </cell>
          <cell r="N277">
            <v>6</v>
          </cell>
        </row>
        <row r="278">
          <cell r="E278" t="str">
            <v>México</v>
          </cell>
          <cell r="G278" t="str">
            <v>Chequia</v>
          </cell>
          <cell r="I278" t="str">
            <v>Sudáfrica</v>
          </cell>
          <cell r="K278">
            <v>7</v>
          </cell>
          <cell r="L278">
            <v>0</v>
          </cell>
          <cell r="M278">
            <v>3</v>
          </cell>
          <cell r="N278">
            <v>10</v>
          </cell>
        </row>
        <row r="279">
          <cell r="E279" t="str">
            <v>Canadá</v>
          </cell>
          <cell r="G279" t="str">
            <v>Suiza</v>
          </cell>
          <cell r="I279" t="str">
            <v>Bosnia y Herzegovina</v>
          </cell>
          <cell r="K279">
            <v>3</v>
          </cell>
          <cell r="L279">
            <v>3</v>
          </cell>
          <cell r="M279">
            <v>5</v>
          </cell>
          <cell r="N279">
            <v>11</v>
          </cell>
        </row>
        <row r="280">
          <cell r="E280" t="str">
            <v>Brasil</v>
          </cell>
          <cell r="G280" t="str">
            <v>Escocia</v>
          </cell>
          <cell r="I280" t="str">
            <v>Marruecos</v>
          </cell>
          <cell r="K280">
            <v>7</v>
          </cell>
          <cell r="L280">
            <v>0</v>
          </cell>
          <cell r="M280">
            <v>3</v>
          </cell>
          <cell r="N280">
            <v>10</v>
          </cell>
        </row>
        <row r="281">
          <cell r="E281" t="str">
            <v>Estados Unidos</v>
          </cell>
          <cell r="G281" t="str">
            <v>Paraguay</v>
          </cell>
          <cell r="I281" t="str">
            <v>Australia</v>
          </cell>
          <cell r="K281">
            <v>7</v>
          </cell>
          <cell r="L281">
            <v>3</v>
          </cell>
          <cell r="M281">
            <v>3</v>
          </cell>
          <cell r="N281">
            <v>13</v>
          </cell>
        </row>
        <row r="282">
          <cell r="E282" t="str">
            <v>Ecuador</v>
          </cell>
          <cell r="G282" t="str">
            <v>Alemania</v>
          </cell>
          <cell r="I282" t="str">
            <v>Costa de Marfil</v>
          </cell>
          <cell r="K282">
            <v>3</v>
          </cell>
          <cell r="L282">
            <v>3</v>
          </cell>
          <cell r="M282">
            <v>3</v>
          </cell>
          <cell r="N282">
            <v>9</v>
          </cell>
        </row>
        <row r="283">
          <cell r="E283" t="str">
            <v>Países Bajos</v>
          </cell>
          <cell r="G283" t="str">
            <v>Suecia</v>
          </cell>
          <cell r="I283" t="str">
            <v>Túnez</v>
          </cell>
          <cell r="K283">
            <v>7</v>
          </cell>
          <cell r="L283">
            <v>3</v>
          </cell>
          <cell r="M283">
            <v>0</v>
          </cell>
          <cell r="N283">
            <v>10</v>
          </cell>
        </row>
        <row r="284">
          <cell r="E284" t="str">
            <v>Bélgica</v>
          </cell>
          <cell r="G284" t="str">
            <v>Egipto</v>
          </cell>
          <cell r="I284" t="str">
            <v>Irán</v>
          </cell>
          <cell r="K284">
            <v>7</v>
          </cell>
          <cell r="L284">
            <v>6</v>
          </cell>
          <cell r="M284">
            <v>5</v>
          </cell>
          <cell r="N284">
            <v>18</v>
          </cell>
        </row>
        <row r="285">
          <cell r="E285" t="str">
            <v>España</v>
          </cell>
          <cell r="G285" t="str">
            <v>Uruguay</v>
          </cell>
          <cell r="I285" t="str">
            <v>Arabia Saudita</v>
          </cell>
          <cell r="K285">
            <v>7</v>
          </cell>
          <cell r="L285">
            <v>0</v>
          </cell>
          <cell r="M285">
            <v>0</v>
          </cell>
          <cell r="N285">
            <v>7</v>
          </cell>
        </row>
        <row r="286">
          <cell r="E286" t="str">
            <v>Francia</v>
          </cell>
          <cell r="G286" t="str">
            <v>Noruega</v>
          </cell>
          <cell r="I286" t="str">
            <v>Senegal</v>
          </cell>
          <cell r="K286">
            <v>7</v>
          </cell>
          <cell r="L286">
            <v>6</v>
          </cell>
          <cell r="M286">
            <v>5</v>
          </cell>
          <cell r="N286">
            <v>18</v>
          </cell>
        </row>
        <row r="287">
          <cell r="E287" t="str">
            <v>Argentina</v>
          </cell>
          <cell r="G287" t="str">
            <v>Argelia</v>
          </cell>
          <cell r="I287" t="str">
            <v>Austria</v>
          </cell>
          <cell r="K287">
            <v>7</v>
          </cell>
          <cell r="L287">
            <v>0</v>
          </cell>
          <cell r="M287">
            <v>3</v>
          </cell>
          <cell r="N287">
            <v>10</v>
          </cell>
        </row>
        <row r="288">
          <cell r="E288" t="str">
            <v>Portugal</v>
          </cell>
          <cell r="G288" t="str">
            <v>Colombia</v>
          </cell>
          <cell r="I288" t="str">
            <v>Uzbekistán</v>
          </cell>
          <cell r="K288">
            <v>3</v>
          </cell>
          <cell r="L288">
            <v>3</v>
          </cell>
          <cell r="M288">
            <v>0</v>
          </cell>
          <cell r="N288">
            <v>6</v>
          </cell>
        </row>
        <row r="289">
          <cell r="E289" t="str">
            <v>Inglaterra</v>
          </cell>
          <cell r="G289" t="str">
            <v>Croacia</v>
          </cell>
          <cell r="I289" t="str">
            <v>Panamá</v>
          </cell>
          <cell r="K289">
            <v>7</v>
          </cell>
          <cell r="L289">
            <v>3</v>
          </cell>
          <cell r="M289">
            <v>0</v>
          </cell>
          <cell r="N289">
            <v>10</v>
          </cell>
        </row>
        <row r="290">
          <cell r="E290" t="str">
            <v>México</v>
          </cell>
          <cell r="G290" t="str">
            <v>Sudáfrica</v>
          </cell>
          <cell r="I290" t="str">
            <v>Corea República</v>
          </cell>
          <cell r="K290">
            <v>7</v>
          </cell>
          <cell r="L290">
            <v>6</v>
          </cell>
          <cell r="M290">
            <v>5</v>
          </cell>
          <cell r="N290">
            <v>18</v>
          </cell>
        </row>
        <row r="291">
          <cell r="E291" t="str">
            <v>Canadá</v>
          </cell>
          <cell r="G291" t="str">
            <v>Suiza</v>
          </cell>
          <cell r="I291" t="str">
            <v>Qatar</v>
          </cell>
          <cell r="K291">
            <v>3</v>
          </cell>
          <cell r="L291">
            <v>3</v>
          </cell>
          <cell r="M291">
            <v>0</v>
          </cell>
          <cell r="N291">
            <v>6</v>
          </cell>
        </row>
        <row r="292">
          <cell r="E292" t="str">
            <v>Brasil</v>
          </cell>
          <cell r="G292" t="str">
            <v>Marruecos</v>
          </cell>
          <cell r="I292" t="str">
            <v>Escocia</v>
          </cell>
          <cell r="K292">
            <v>7</v>
          </cell>
          <cell r="L292">
            <v>6</v>
          </cell>
          <cell r="M292">
            <v>0</v>
          </cell>
          <cell r="N292">
            <v>13</v>
          </cell>
        </row>
        <row r="293">
          <cell r="E293" t="str">
            <v>Estados Unidos</v>
          </cell>
          <cell r="G293" t="str">
            <v>Australia</v>
          </cell>
          <cell r="I293" t="str">
            <v>Paraguay</v>
          </cell>
          <cell r="K293">
            <v>7</v>
          </cell>
          <cell r="L293">
            <v>6</v>
          </cell>
          <cell r="M293">
            <v>5</v>
          </cell>
          <cell r="N293">
            <v>18</v>
          </cell>
        </row>
        <row r="294">
          <cell r="E294" t="str">
            <v>Alemania</v>
          </cell>
          <cell r="G294" t="str">
            <v>Costa de Marfil</v>
          </cell>
          <cell r="I294" t="str">
            <v>Ecuador</v>
          </cell>
          <cell r="K294">
            <v>7</v>
          </cell>
          <cell r="L294">
            <v>6</v>
          </cell>
          <cell r="M294">
            <v>5</v>
          </cell>
          <cell r="N294">
            <v>18</v>
          </cell>
        </row>
        <row r="295">
          <cell r="E295" t="str">
            <v>Países Bajos</v>
          </cell>
          <cell r="G295" t="str">
            <v>Suecia</v>
          </cell>
          <cell r="I295" t="str">
            <v>Japón</v>
          </cell>
          <cell r="K295">
            <v>7</v>
          </cell>
          <cell r="L295">
            <v>3</v>
          </cell>
          <cell r="M295">
            <v>3</v>
          </cell>
          <cell r="N295">
            <v>13</v>
          </cell>
        </row>
        <row r="296">
          <cell r="E296" t="str">
            <v>Nueva Zelanda</v>
          </cell>
          <cell r="G296" t="str">
            <v>Bélgica</v>
          </cell>
          <cell r="I296" t="str">
            <v>Egipto</v>
          </cell>
          <cell r="K296">
            <v>0</v>
          </cell>
          <cell r="L296">
            <v>3</v>
          </cell>
          <cell r="M296">
            <v>3</v>
          </cell>
          <cell r="N296">
            <v>6</v>
          </cell>
        </row>
        <row r="297">
          <cell r="E297" t="str">
            <v>España</v>
          </cell>
          <cell r="G297" t="str">
            <v>Uruguay</v>
          </cell>
          <cell r="I297" t="str">
            <v>Arabia Saudita</v>
          </cell>
          <cell r="K297">
            <v>7</v>
          </cell>
          <cell r="L297">
            <v>0</v>
          </cell>
          <cell r="M297">
            <v>0</v>
          </cell>
          <cell r="N297">
            <v>7</v>
          </cell>
        </row>
        <row r="298">
          <cell r="E298" t="str">
            <v>Francia</v>
          </cell>
          <cell r="G298" t="str">
            <v>Noruega</v>
          </cell>
          <cell r="I298" t="str">
            <v>Senegal</v>
          </cell>
          <cell r="K298">
            <v>7</v>
          </cell>
          <cell r="L298">
            <v>6</v>
          </cell>
          <cell r="M298">
            <v>5</v>
          </cell>
          <cell r="N298">
            <v>18</v>
          </cell>
        </row>
        <row r="299">
          <cell r="E299" t="str">
            <v>Argentina</v>
          </cell>
          <cell r="G299" t="str">
            <v>Austria</v>
          </cell>
          <cell r="I299" t="str">
            <v>Argelia</v>
          </cell>
          <cell r="K299">
            <v>7</v>
          </cell>
          <cell r="L299">
            <v>6</v>
          </cell>
          <cell r="M299">
            <v>0</v>
          </cell>
          <cell r="N299">
            <v>13</v>
          </cell>
        </row>
        <row r="300">
          <cell r="E300" t="str">
            <v>Portugal</v>
          </cell>
          <cell r="G300" t="str">
            <v>Colombia</v>
          </cell>
          <cell r="I300" t="str">
            <v>Uzbekistán</v>
          </cell>
          <cell r="K300">
            <v>3</v>
          </cell>
          <cell r="L300">
            <v>3</v>
          </cell>
          <cell r="M300">
            <v>0</v>
          </cell>
          <cell r="N300">
            <v>6</v>
          </cell>
        </row>
        <row r="301">
          <cell r="E301" t="str">
            <v>Croacia</v>
          </cell>
          <cell r="G301" t="str">
            <v>Inglaterra</v>
          </cell>
          <cell r="I301" t="str">
            <v>Ghana</v>
          </cell>
          <cell r="K301">
            <v>3</v>
          </cell>
          <cell r="L301">
            <v>3</v>
          </cell>
          <cell r="M301">
            <v>3</v>
          </cell>
          <cell r="N301">
            <v>9</v>
          </cell>
        </row>
        <row r="302">
          <cell r="E302" t="str">
            <v>México</v>
          </cell>
          <cell r="G302" t="str">
            <v>Corea República</v>
          </cell>
          <cell r="I302" t="str">
            <v>Chequia</v>
          </cell>
          <cell r="K302">
            <v>7</v>
          </cell>
          <cell r="L302">
            <v>3</v>
          </cell>
          <cell r="M302">
            <v>0</v>
          </cell>
          <cell r="N302">
            <v>10</v>
          </cell>
        </row>
        <row r="303">
          <cell r="E303" t="str">
            <v>Canadá</v>
          </cell>
          <cell r="G303" t="str">
            <v>Suiza</v>
          </cell>
          <cell r="I303" t="str">
            <v>Bosnia y Herzegovina</v>
          </cell>
          <cell r="K303">
            <v>3</v>
          </cell>
          <cell r="L303">
            <v>3</v>
          </cell>
          <cell r="M303">
            <v>5</v>
          </cell>
          <cell r="N303">
            <v>11</v>
          </cell>
        </row>
        <row r="304">
          <cell r="E304" t="str">
            <v>Brasil</v>
          </cell>
          <cell r="G304" t="str">
            <v>Marruecos</v>
          </cell>
          <cell r="I304" t="str">
            <v>Escocia</v>
          </cell>
          <cell r="K304">
            <v>7</v>
          </cell>
          <cell r="L304">
            <v>6</v>
          </cell>
          <cell r="M304">
            <v>0</v>
          </cell>
          <cell r="N304">
            <v>13</v>
          </cell>
        </row>
        <row r="305">
          <cell r="E305" t="str">
            <v>Estados Unidos</v>
          </cell>
          <cell r="G305" t="str">
            <v>Paraguay</v>
          </cell>
          <cell r="I305" t="str">
            <v>Türkiye</v>
          </cell>
          <cell r="K305">
            <v>7</v>
          </cell>
          <cell r="L305">
            <v>3</v>
          </cell>
          <cell r="M305">
            <v>0</v>
          </cell>
          <cell r="N305">
            <v>10</v>
          </cell>
        </row>
        <row r="306">
          <cell r="E306" t="str">
            <v>Alemania</v>
          </cell>
          <cell r="G306" t="str">
            <v>Ecuador</v>
          </cell>
          <cell r="I306" t="str">
            <v>Costa de Marfil</v>
          </cell>
          <cell r="K306">
            <v>7</v>
          </cell>
          <cell r="L306">
            <v>3</v>
          </cell>
          <cell r="M306">
            <v>3</v>
          </cell>
          <cell r="N306">
            <v>13</v>
          </cell>
        </row>
        <row r="307">
          <cell r="E307" t="str">
            <v>Países Bajos</v>
          </cell>
          <cell r="G307" t="str">
            <v>Japón</v>
          </cell>
          <cell r="I307" t="str">
            <v>Suecia</v>
          </cell>
          <cell r="K307">
            <v>7</v>
          </cell>
          <cell r="L307">
            <v>6</v>
          </cell>
          <cell r="M307">
            <v>5</v>
          </cell>
          <cell r="N307">
            <v>18</v>
          </cell>
        </row>
        <row r="308">
          <cell r="E308" t="str">
            <v>Bélgica</v>
          </cell>
          <cell r="G308" t="str">
            <v>Irán</v>
          </cell>
          <cell r="I308" t="str">
            <v>Egipto</v>
          </cell>
          <cell r="K308">
            <v>7</v>
          </cell>
          <cell r="L308">
            <v>3</v>
          </cell>
          <cell r="M308">
            <v>3</v>
          </cell>
          <cell r="N308">
            <v>13</v>
          </cell>
        </row>
        <row r="309">
          <cell r="E309" t="str">
            <v>España</v>
          </cell>
          <cell r="G309" t="str">
            <v>Uruguay</v>
          </cell>
          <cell r="I309" t="str">
            <v>Arabia Saudita</v>
          </cell>
          <cell r="K309">
            <v>7</v>
          </cell>
          <cell r="L309">
            <v>0</v>
          </cell>
          <cell r="M309">
            <v>0</v>
          </cell>
          <cell r="N309">
            <v>7</v>
          </cell>
        </row>
        <row r="310">
          <cell r="E310" t="str">
            <v>Francia</v>
          </cell>
          <cell r="G310" t="str">
            <v>Noruega</v>
          </cell>
          <cell r="I310" t="str">
            <v>Senegal</v>
          </cell>
          <cell r="K310">
            <v>7</v>
          </cell>
          <cell r="L310">
            <v>6</v>
          </cell>
          <cell r="M310">
            <v>5</v>
          </cell>
          <cell r="N310">
            <v>18</v>
          </cell>
        </row>
        <row r="311">
          <cell r="E311" t="str">
            <v>Argentina</v>
          </cell>
          <cell r="G311" t="str">
            <v>Austria</v>
          </cell>
          <cell r="I311" t="str">
            <v>Argelia</v>
          </cell>
          <cell r="K311">
            <v>7</v>
          </cell>
          <cell r="L311">
            <v>6</v>
          </cell>
          <cell r="M311">
            <v>0</v>
          </cell>
          <cell r="N311">
            <v>13</v>
          </cell>
        </row>
        <row r="312">
          <cell r="E312" t="str">
            <v>Portugal</v>
          </cell>
          <cell r="G312" t="str">
            <v>Colombia</v>
          </cell>
          <cell r="I312" t="str">
            <v>RD Congo</v>
          </cell>
          <cell r="K312">
            <v>3</v>
          </cell>
          <cell r="L312">
            <v>3</v>
          </cell>
          <cell r="M312">
            <v>0</v>
          </cell>
          <cell r="N312">
            <v>6</v>
          </cell>
        </row>
        <row r="313">
          <cell r="E313" t="str">
            <v>Inglaterra</v>
          </cell>
          <cell r="G313" t="str">
            <v>Croacia</v>
          </cell>
          <cell r="I313" t="str">
            <v>Ghana</v>
          </cell>
          <cell r="K313">
            <v>7</v>
          </cell>
          <cell r="L313">
            <v>3</v>
          </cell>
          <cell r="M313">
            <v>3</v>
          </cell>
          <cell r="N313">
            <v>13</v>
          </cell>
        </row>
        <row r="314">
          <cell r="E314" t="str">
            <v>México</v>
          </cell>
          <cell r="G314" t="str">
            <v>Chequia</v>
          </cell>
          <cell r="I314" t="str">
            <v>Sudáfrica</v>
          </cell>
          <cell r="K314">
            <v>7</v>
          </cell>
          <cell r="L314">
            <v>0</v>
          </cell>
          <cell r="M314">
            <v>3</v>
          </cell>
          <cell r="N314">
            <v>10</v>
          </cell>
        </row>
        <row r="315">
          <cell r="E315" t="str">
            <v>Suiza</v>
          </cell>
          <cell r="G315" t="str">
            <v>Bosnia y Herzegovina</v>
          </cell>
          <cell r="I315" t="str">
            <v>Canadá</v>
          </cell>
          <cell r="K315">
            <v>7</v>
          </cell>
          <cell r="L315">
            <v>3</v>
          </cell>
          <cell r="M315">
            <v>3</v>
          </cell>
          <cell r="N315">
            <v>13</v>
          </cell>
        </row>
        <row r="316">
          <cell r="E316" t="str">
            <v>Brasil</v>
          </cell>
          <cell r="G316" t="str">
            <v>Marruecos</v>
          </cell>
          <cell r="I316" t="str">
            <v>Escocia</v>
          </cell>
          <cell r="K316">
            <v>7</v>
          </cell>
          <cell r="L316">
            <v>6</v>
          </cell>
          <cell r="M316">
            <v>0</v>
          </cell>
          <cell r="N316">
            <v>13</v>
          </cell>
        </row>
        <row r="317">
          <cell r="E317" t="str">
            <v>Estados Unidos</v>
          </cell>
          <cell r="G317" t="str">
            <v>Türkiye</v>
          </cell>
          <cell r="I317" t="str">
            <v>Paraguay</v>
          </cell>
          <cell r="K317">
            <v>7</v>
          </cell>
          <cell r="L317">
            <v>0</v>
          </cell>
          <cell r="M317">
            <v>5</v>
          </cell>
          <cell r="N317">
            <v>12</v>
          </cell>
        </row>
        <row r="318">
          <cell r="E318" t="str">
            <v>Alemania</v>
          </cell>
          <cell r="G318" t="str">
            <v>Ecuador</v>
          </cell>
          <cell r="I318" t="str">
            <v>Curazao</v>
          </cell>
          <cell r="K318">
            <v>7</v>
          </cell>
          <cell r="L318">
            <v>3</v>
          </cell>
          <cell r="M318">
            <v>0</v>
          </cell>
          <cell r="N318">
            <v>10</v>
          </cell>
        </row>
        <row r="319">
          <cell r="E319" t="str">
            <v>Países Bajos</v>
          </cell>
          <cell r="G319" t="str">
            <v>Japón</v>
          </cell>
          <cell r="I319" t="str">
            <v>Suecia</v>
          </cell>
          <cell r="K319">
            <v>7</v>
          </cell>
          <cell r="L319">
            <v>6</v>
          </cell>
          <cell r="M319">
            <v>5</v>
          </cell>
          <cell r="N319">
            <v>18</v>
          </cell>
        </row>
        <row r="320">
          <cell r="E320" t="str">
            <v>Bélgica</v>
          </cell>
          <cell r="G320" t="str">
            <v>Nueva Zelanda</v>
          </cell>
          <cell r="I320" t="str">
            <v>Egipto</v>
          </cell>
          <cell r="K320">
            <v>7</v>
          </cell>
          <cell r="L320">
            <v>0</v>
          </cell>
          <cell r="M320">
            <v>3</v>
          </cell>
          <cell r="N320">
            <v>10</v>
          </cell>
        </row>
        <row r="321">
          <cell r="E321" t="str">
            <v>España</v>
          </cell>
          <cell r="G321" t="str">
            <v>Uruguay</v>
          </cell>
          <cell r="I321" t="str">
            <v>Cabo Verde</v>
          </cell>
          <cell r="K321">
            <v>7</v>
          </cell>
          <cell r="L321">
            <v>0</v>
          </cell>
          <cell r="M321">
            <v>3</v>
          </cell>
          <cell r="N321">
            <v>10</v>
          </cell>
        </row>
        <row r="322">
          <cell r="E322" t="str">
            <v>Noruega</v>
          </cell>
          <cell r="G322" t="str">
            <v>Francia</v>
          </cell>
          <cell r="I322" t="str">
            <v>Senegal</v>
          </cell>
          <cell r="K322">
            <v>3</v>
          </cell>
          <cell r="L322">
            <v>3</v>
          </cell>
          <cell r="M322">
            <v>5</v>
          </cell>
          <cell r="N322">
            <v>11</v>
          </cell>
        </row>
        <row r="323">
          <cell r="E323" t="str">
            <v>Argentina</v>
          </cell>
          <cell r="G323" t="str">
            <v>Argelia</v>
          </cell>
          <cell r="I323" t="str">
            <v>Austria</v>
          </cell>
          <cell r="K323">
            <v>7</v>
          </cell>
          <cell r="L323">
            <v>0</v>
          </cell>
          <cell r="M323">
            <v>3</v>
          </cell>
          <cell r="N323">
            <v>10</v>
          </cell>
        </row>
        <row r="324">
          <cell r="E324" t="str">
            <v>Portugal</v>
          </cell>
          <cell r="G324" t="str">
            <v>Colombia</v>
          </cell>
          <cell r="I324" t="str">
            <v>RD Congo</v>
          </cell>
          <cell r="K324">
            <v>3</v>
          </cell>
          <cell r="L324">
            <v>3</v>
          </cell>
          <cell r="M324">
            <v>0</v>
          </cell>
          <cell r="N324">
            <v>6</v>
          </cell>
        </row>
        <row r="325">
          <cell r="E325" t="str">
            <v>Ghana</v>
          </cell>
          <cell r="G325" t="str">
            <v>Croacia</v>
          </cell>
          <cell r="I325" t="str">
            <v>Inglaterra</v>
          </cell>
          <cell r="K325">
            <v>3</v>
          </cell>
          <cell r="L325">
            <v>3</v>
          </cell>
          <cell r="M325">
            <v>3</v>
          </cell>
          <cell r="N325">
            <v>9</v>
          </cell>
        </row>
        <row r="326">
          <cell r="E326" t="str">
            <v>Chequia</v>
          </cell>
          <cell r="G326" t="str">
            <v>México</v>
          </cell>
          <cell r="I326" t="str">
            <v>Corea República</v>
          </cell>
          <cell r="K326">
            <v>0</v>
          </cell>
          <cell r="L326">
            <v>3</v>
          </cell>
          <cell r="M326">
            <v>5</v>
          </cell>
          <cell r="N326">
            <v>8</v>
          </cell>
        </row>
        <row r="327">
          <cell r="E327" t="str">
            <v>Canadá</v>
          </cell>
          <cell r="G327" t="str">
            <v>Suiza</v>
          </cell>
          <cell r="I327" t="str">
            <v>Bosnia y Herzegovina</v>
          </cell>
          <cell r="K327">
            <v>3</v>
          </cell>
          <cell r="L327">
            <v>3</v>
          </cell>
          <cell r="M327">
            <v>5</v>
          </cell>
          <cell r="N327">
            <v>11</v>
          </cell>
        </row>
        <row r="328">
          <cell r="E328" t="str">
            <v>Brasil</v>
          </cell>
          <cell r="G328" t="str">
            <v>Marruecos</v>
          </cell>
          <cell r="I328" t="str">
            <v>Escocia</v>
          </cell>
          <cell r="K328">
            <v>7</v>
          </cell>
          <cell r="L328">
            <v>6</v>
          </cell>
          <cell r="M328">
            <v>0</v>
          </cell>
          <cell r="N328">
            <v>13</v>
          </cell>
        </row>
        <row r="329">
          <cell r="E329" t="str">
            <v>Estados Unidos</v>
          </cell>
          <cell r="G329" t="str">
            <v>Türkiye</v>
          </cell>
          <cell r="I329" t="str">
            <v>Paraguay</v>
          </cell>
          <cell r="K329">
            <v>7</v>
          </cell>
          <cell r="L329">
            <v>0</v>
          </cell>
          <cell r="M329">
            <v>5</v>
          </cell>
          <cell r="N329">
            <v>12</v>
          </cell>
        </row>
        <row r="330">
          <cell r="E330" t="str">
            <v>Alemania</v>
          </cell>
          <cell r="G330" t="str">
            <v>Ecuador</v>
          </cell>
          <cell r="I330" t="str">
            <v>Costa de Marfil</v>
          </cell>
          <cell r="K330">
            <v>7</v>
          </cell>
          <cell r="L330">
            <v>3</v>
          </cell>
          <cell r="M330">
            <v>3</v>
          </cell>
          <cell r="N330">
            <v>13</v>
          </cell>
        </row>
        <row r="331">
          <cell r="E331" t="str">
            <v>Países Bajos</v>
          </cell>
          <cell r="G331" t="str">
            <v>Japón</v>
          </cell>
          <cell r="I331" t="str">
            <v>Suecia</v>
          </cell>
          <cell r="K331">
            <v>7</v>
          </cell>
          <cell r="L331">
            <v>6</v>
          </cell>
          <cell r="M331">
            <v>5</v>
          </cell>
          <cell r="N331">
            <v>18</v>
          </cell>
        </row>
        <row r="332">
          <cell r="E332" t="str">
            <v>Bélgica</v>
          </cell>
          <cell r="G332" t="str">
            <v>Irán</v>
          </cell>
          <cell r="I332" t="str">
            <v>Egipto</v>
          </cell>
          <cell r="K332">
            <v>7</v>
          </cell>
          <cell r="L332">
            <v>3</v>
          </cell>
          <cell r="M332">
            <v>3</v>
          </cell>
          <cell r="N332">
            <v>13</v>
          </cell>
        </row>
        <row r="333">
          <cell r="E333" t="str">
            <v>España</v>
          </cell>
          <cell r="G333" t="str">
            <v>Uruguay</v>
          </cell>
          <cell r="I333" t="str">
            <v>Arabia Saudita</v>
          </cell>
          <cell r="K333">
            <v>7</v>
          </cell>
          <cell r="L333">
            <v>0</v>
          </cell>
          <cell r="M333">
            <v>0</v>
          </cell>
          <cell r="N333">
            <v>7</v>
          </cell>
        </row>
        <row r="334">
          <cell r="E334" t="str">
            <v>Noruega</v>
          </cell>
          <cell r="G334" t="str">
            <v>Francia</v>
          </cell>
          <cell r="I334" t="str">
            <v>Irak</v>
          </cell>
          <cell r="K334">
            <v>3</v>
          </cell>
          <cell r="L334">
            <v>3</v>
          </cell>
          <cell r="M334">
            <v>0</v>
          </cell>
          <cell r="N334">
            <v>6</v>
          </cell>
        </row>
        <row r="335">
          <cell r="E335" t="str">
            <v>Argentina</v>
          </cell>
          <cell r="G335" t="str">
            <v>Austria</v>
          </cell>
          <cell r="I335" t="str">
            <v>Jordania</v>
          </cell>
          <cell r="K335">
            <v>7</v>
          </cell>
          <cell r="L335">
            <v>6</v>
          </cell>
          <cell r="M335">
            <v>0</v>
          </cell>
          <cell r="N335">
            <v>13</v>
          </cell>
        </row>
        <row r="336">
          <cell r="E336" t="str">
            <v>Colombia</v>
          </cell>
          <cell r="G336" t="str">
            <v>Portugal</v>
          </cell>
          <cell r="I336" t="str">
            <v>Uzbekistán</v>
          </cell>
          <cell r="K336">
            <v>7</v>
          </cell>
          <cell r="L336">
            <v>6</v>
          </cell>
          <cell r="M336">
            <v>0</v>
          </cell>
          <cell r="N336">
            <v>13</v>
          </cell>
        </row>
        <row r="337">
          <cell r="E337" t="str">
            <v>Inglaterra</v>
          </cell>
          <cell r="G337" t="str">
            <v>Panamá</v>
          </cell>
          <cell r="I337" t="str">
            <v>Croacia</v>
          </cell>
          <cell r="K337">
            <v>7</v>
          </cell>
          <cell r="L337">
            <v>0</v>
          </cell>
          <cell r="M337">
            <v>5</v>
          </cell>
          <cell r="N337">
            <v>12</v>
          </cell>
        </row>
        <row r="338">
          <cell r="E338" t="str">
            <v>México</v>
          </cell>
          <cell r="G338" t="str">
            <v>Corea República</v>
          </cell>
          <cell r="I338" t="str">
            <v>Chequia</v>
          </cell>
          <cell r="K338">
            <v>7</v>
          </cell>
          <cell r="L338">
            <v>3</v>
          </cell>
          <cell r="M338">
            <v>0</v>
          </cell>
          <cell r="N338">
            <v>10</v>
          </cell>
        </row>
        <row r="339">
          <cell r="E339" t="str">
            <v>Suiza</v>
          </cell>
          <cell r="G339" t="str">
            <v>Canadá</v>
          </cell>
          <cell r="I339" t="str">
            <v>Bosnia y Herzegovina</v>
          </cell>
          <cell r="K339">
            <v>7</v>
          </cell>
          <cell r="L339">
            <v>6</v>
          </cell>
          <cell r="M339">
            <v>5</v>
          </cell>
          <cell r="N339">
            <v>18</v>
          </cell>
        </row>
        <row r="340">
          <cell r="E340" t="str">
            <v>Brasil</v>
          </cell>
          <cell r="G340" t="str">
            <v>Marruecos</v>
          </cell>
          <cell r="I340" t="str">
            <v>Escocia</v>
          </cell>
          <cell r="K340">
            <v>7</v>
          </cell>
          <cell r="L340">
            <v>6</v>
          </cell>
          <cell r="M340">
            <v>0</v>
          </cell>
          <cell r="N340">
            <v>13</v>
          </cell>
        </row>
        <row r="341">
          <cell r="E341" t="str">
            <v>Estados Unidos</v>
          </cell>
          <cell r="G341" t="str">
            <v>Türkiye</v>
          </cell>
          <cell r="I341" t="str">
            <v>Paraguay</v>
          </cell>
          <cell r="K341">
            <v>7</v>
          </cell>
          <cell r="L341">
            <v>0</v>
          </cell>
          <cell r="M341">
            <v>5</v>
          </cell>
          <cell r="N341">
            <v>12</v>
          </cell>
        </row>
        <row r="342">
          <cell r="E342" t="str">
            <v>Alemania</v>
          </cell>
          <cell r="G342" t="str">
            <v>Ecuador</v>
          </cell>
          <cell r="I342" t="str">
            <v>Costa de Marfil</v>
          </cell>
          <cell r="K342">
            <v>7</v>
          </cell>
          <cell r="L342">
            <v>3</v>
          </cell>
          <cell r="M342">
            <v>3</v>
          </cell>
          <cell r="N342">
            <v>13</v>
          </cell>
        </row>
        <row r="343">
          <cell r="E343" t="str">
            <v>Japón</v>
          </cell>
          <cell r="G343" t="str">
            <v>Países Bajos</v>
          </cell>
          <cell r="I343" t="str">
            <v>Suecia</v>
          </cell>
          <cell r="K343">
            <v>3</v>
          </cell>
          <cell r="L343">
            <v>3</v>
          </cell>
          <cell r="M343">
            <v>5</v>
          </cell>
          <cell r="N343">
            <v>11</v>
          </cell>
        </row>
        <row r="344">
          <cell r="E344" t="str">
            <v>Bélgica</v>
          </cell>
          <cell r="G344" t="str">
            <v>Egipto</v>
          </cell>
          <cell r="I344" t="str">
            <v>Irán</v>
          </cell>
          <cell r="K344">
            <v>7</v>
          </cell>
          <cell r="L344">
            <v>6</v>
          </cell>
          <cell r="M344">
            <v>5</v>
          </cell>
          <cell r="N344">
            <v>18</v>
          </cell>
        </row>
        <row r="345">
          <cell r="E345" t="str">
            <v>España</v>
          </cell>
          <cell r="G345" t="str">
            <v>Uruguay</v>
          </cell>
          <cell r="I345" t="str">
            <v>Arabia Saudita</v>
          </cell>
          <cell r="K345">
            <v>7</v>
          </cell>
          <cell r="L345">
            <v>0</v>
          </cell>
          <cell r="M345">
            <v>0</v>
          </cell>
          <cell r="N345">
            <v>7</v>
          </cell>
        </row>
        <row r="346">
          <cell r="E346" t="str">
            <v>Francia</v>
          </cell>
          <cell r="G346" t="str">
            <v>Noruega</v>
          </cell>
          <cell r="I346" t="str">
            <v>Senegal</v>
          </cell>
          <cell r="K346">
            <v>7</v>
          </cell>
          <cell r="L346">
            <v>6</v>
          </cell>
          <cell r="M346">
            <v>5</v>
          </cell>
          <cell r="N346">
            <v>18</v>
          </cell>
        </row>
        <row r="347">
          <cell r="E347" t="str">
            <v>Argentina</v>
          </cell>
          <cell r="G347" t="str">
            <v>Argelia</v>
          </cell>
          <cell r="I347" t="str">
            <v>Austria</v>
          </cell>
          <cell r="K347">
            <v>7</v>
          </cell>
          <cell r="L347">
            <v>0</v>
          </cell>
          <cell r="M347">
            <v>3</v>
          </cell>
          <cell r="N347">
            <v>10</v>
          </cell>
        </row>
        <row r="348">
          <cell r="E348" t="str">
            <v>Colombia</v>
          </cell>
          <cell r="G348" t="str">
            <v>Portugal</v>
          </cell>
          <cell r="I348" t="str">
            <v>RD Congo</v>
          </cell>
          <cell r="K348">
            <v>7</v>
          </cell>
          <cell r="L348">
            <v>6</v>
          </cell>
          <cell r="M348">
            <v>0</v>
          </cell>
          <cell r="N348">
            <v>13</v>
          </cell>
        </row>
        <row r="349">
          <cell r="E349" t="str">
            <v>Inglaterra</v>
          </cell>
          <cell r="G349" t="str">
            <v>Panamá</v>
          </cell>
          <cell r="I349" t="str">
            <v>Croacia</v>
          </cell>
          <cell r="K349">
            <v>7</v>
          </cell>
          <cell r="L349">
            <v>0</v>
          </cell>
          <cell r="M349">
            <v>5</v>
          </cell>
          <cell r="N349">
            <v>12</v>
          </cell>
        </row>
        <row r="350">
          <cell r="E350" t="str">
            <v>México</v>
          </cell>
          <cell r="G350" t="str">
            <v>Chequia</v>
          </cell>
          <cell r="I350" t="str">
            <v>Sudáfrica</v>
          </cell>
          <cell r="K350">
            <v>7</v>
          </cell>
          <cell r="L350">
            <v>0</v>
          </cell>
          <cell r="M350">
            <v>3</v>
          </cell>
          <cell r="N350">
            <v>10</v>
          </cell>
        </row>
        <row r="351">
          <cell r="E351" t="str">
            <v>Suiza</v>
          </cell>
          <cell r="G351" t="str">
            <v>Canadá</v>
          </cell>
          <cell r="I351" t="str">
            <v>Bosnia y Herzegovina</v>
          </cell>
          <cell r="K351">
            <v>7</v>
          </cell>
          <cell r="L351">
            <v>6</v>
          </cell>
          <cell r="M351">
            <v>5</v>
          </cell>
          <cell r="N351">
            <v>18</v>
          </cell>
        </row>
        <row r="352">
          <cell r="E352" t="str">
            <v>Brasil</v>
          </cell>
          <cell r="G352" t="str">
            <v>Marruecos</v>
          </cell>
          <cell r="I352" t="str">
            <v>Escocia</v>
          </cell>
          <cell r="K352">
            <v>7</v>
          </cell>
          <cell r="L352">
            <v>6</v>
          </cell>
          <cell r="M352">
            <v>0</v>
          </cell>
          <cell r="N352">
            <v>13</v>
          </cell>
        </row>
        <row r="353">
          <cell r="E353" t="str">
            <v>Estados Unidos</v>
          </cell>
          <cell r="G353" t="str">
            <v>Paraguay</v>
          </cell>
          <cell r="I353" t="str">
            <v>Türkiye</v>
          </cell>
          <cell r="K353">
            <v>7</v>
          </cell>
          <cell r="L353">
            <v>3</v>
          </cell>
          <cell r="M353">
            <v>0</v>
          </cell>
          <cell r="N353">
            <v>10</v>
          </cell>
        </row>
        <row r="354">
          <cell r="E354" t="str">
            <v>Alemania</v>
          </cell>
          <cell r="G354" t="str">
            <v>Ecuador</v>
          </cell>
          <cell r="I354" t="str">
            <v>Costa de Marfil</v>
          </cell>
          <cell r="K354">
            <v>7</v>
          </cell>
          <cell r="L354">
            <v>3</v>
          </cell>
          <cell r="M354">
            <v>3</v>
          </cell>
          <cell r="N354">
            <v>13</v>
          </cell>
        </row>
        <row r="355">
          <cell r="E355" t="str">
            <v>Países Bajos</v>
          </cell>
          <cell r="G355" t="str">
            <v>Japón</v>
          </cell>
          <cell r="I355" t="str">
            <v>Suecia</v>
          </cell>
          <cell r="K355">
            <v>7</v>
          </cell>
          <cell r="L355">
            <v>6</v>
          </cell>
          <cell r="M355">
            <v>5</v>
          </cell>
          <cell r="N355">
            <v>18</v>
          </cell>
        </row>
        <row r="356">
          <cell r="E356" t="str">
            <v>Bélgica</v>
          </cell>
          <cell r="G356" t="str">
            <v>Egipto</v>
          </cell>
          <cell r="I356" t="str">
            <v>Irán</v>
          </cell>
          <cell r="K356">
            <v>7</v>
          </cell>
          <cell r="L356">
            <v>6</v>
          </cell>
          <cell r="M356">
            <v>5</v>
          </cell>
          <cell r="N356">
            <v>18</v>
          </cell>
        </row>
        <row r="357">
          <cell r="E357" t="str">
            <v>España</v>
          </cell>
          <cell r="G357" t="str">
            <v>Uruguay</v>
          </cell>
          <cell r="I357" t="str">
            <v>Arabia Saudita</v>
          </cell>
          <cell r="K357">
            <v>7</v>
          </cell>
          <cell r="L357">
            <v>0</v>
          </cell>
          <cell r="M357">
            <v>0</v>
          </cell>
          <cell r="N357">
            <v>7</v>
          </cell>
        </row>
        <row r="358">
          <cell r="E358" t="str">
            <v>Francia</v>
          </cell>
          <cell r="G358" t="str">
            <v>Noruega</v>
          </cell>
          <cell r="I358" t="str">
            <v>Senegal</v>
          </cell>
          <cell r="K358">
            <v>7</v>
          </cell>
          <cell r="L358">
            <v>6</v>
          </cell>
          <cell r="M358">
            <v>5</v>
          </cell>
          <cell r="N358">
            <v>18</v>
          </cell>
        </row>
        <row r="359">
          <cell r="E359" t="str">
            <v>Argentina</v>
          </cell>
          <cell r="G359" t="str">
            <v>Argelia</v>
          </cell>
          <cell r="I359" t="str">
            <v>Austria</v>
          </cell>
          <cell r="K359">
            <v>7</v>
          </cell>
          <cell r="L359">
            <v>0</v>
          </cell>
          <cell r="M359">
            <v>3</v>
          </cell>
          <cell r="N359">
            <v>10</v>
          </cell>
        </row>
        <row r="360">
          <cell r="E360" t="str">
            <v>Colombia</v>
          </cell>
          <cell r="G360" t="str">
            <v>Portugal</v>
          </cell>
          <cell r="I360" t="str">
            <v>Uzbekistán</v>
          </cell>
          <cell r="K360">
            <v>7</v>
          </cell>
          <cell r="L360">
            <v>6</v>
          </cell>
          <cell r="M360">
            <v>0</v>
          </cell>
          <cell r="N360">
            <v>13</v>
          </cell>
        </row>
        <row r="361">
          <cell r="E361" t="str">
            <v>Inglaterra</v>
          </cell>
          <cell r="G361" t="str">
            <v>Croacia</v>
          </cell>
          <cell r="I361" t="str">
            <v>Panamá</v>
          </cell>
          <cell r="K361">
            <v>7</v>
          </cell>
          <cell r="L361">
            <v>3</v>
          </cell>
          <cell r="M361">
            <v>0</v>
          </cell>
          <cell r="N361">
            <v>10</v>
          </cell>
        </row>
        <row r="362">
          <cell r="E362" t="str">
            <v>México</v>
          </cell>
          <cell r="G362" t="str">
            <v>Chequia</v>
          </cell>
          <cell r="I362" t="str">
            <v>Corea República</v>
          </cell>
          <cell r="K362">
            <v>7</v>
          </cell>
          <cell r="L362">
            <v>0</v>
          </cell>
          <cell r="M362">
            <v>5</v>
          </cell>
          <cell r="N362">
            <v>12</v>
          </cell>
        </row>
        <row r="363">
          <cell r="E363" t="str">
            <v>Canadá</v>
          </cell>
          <cell r="G363" t="str">
            <v>Suiza</v>
          </cell>
          <cell r="I363" t="str">
            <v>Bosnia y Herzegovina</v>
          </cell>
          <cell r="K363">
            <v>3</v>
          </cell>
          <cell r="L363">
            <v>3</v>
          </cell>
          <cell r="M363">
            <v>5</v>
          </cell>
          <cell r="N363">
            <v>11</v>
          </cell>
        </row>
        <row r="364">
          <cell r="E364" t="str">
            <v>Brasil</v>
          </cell>
          <cell r="G364" t="str">
            <v>Marruecos</v>
          </cell>
          <cell r="I364" t="str">
            <v>Escocia</v>
          </cell>
          <cell r="K364">
            <v>7</v>
          </cell>
          <cell r="L364">
            <v>6</v>
          </cell>
          <cell r="M364">
            <v>0</v>
          </cell>
          <cell r="N364">
            <v>13</v>
          </cell>
        </row>
        <row r="365">
          <cell r="E365" t="str">
            <v>Türkiye</v>
          </cell>
          <cell r="G365" t="str">
            <v>Estados Unidos</v>
          </cell>
          <cell r="I365" t="str">
            <v>Paraguay</v>
          </cell>
          <cell r="K365">
            <v>0</v>
          </cell>
          <cell r="L365">
            <v>3</v>
          </cell>
          <cell r="M365">
            <v>5</v>
          </cell>
          <cell r="N365">
            <v>8</v>
          </cell>
        </row>
        <row r="366">
          <cell r="E366" t="str">
            <v>Alemania</v>
          </cell>
          <cell r="G366" t="str">
            <v>Ecuador</v>
          </cell>
          <cell r="I366" t="str">
            <v>Curazao</v>
          </cell>
          <cell r="K366">
            <v>7</v>
          </cell>
          <cell r="L366">
            <v>3</v>
          </cell>
          <cell r="M366">
            <v>0</v>
          </cell>
          <cell r="N366">
            <v>10</v>
          </cell>
        </row>
        <row r="367">
          <cell r="E367" t="str">
            <v>Países Bajos</v>
          </cell>
          <cell r="G367" t="str">
            <v>Japón</v>
          </cell>
          <cell r="I367" t="str">
            <v>Suecia</v>
          </cell>
          <cell r="K367">
            <v>7</v>
          </cell>
          <cell r="L367">
            <v>6</v>
          </cell>
          <cell r="M367">
            <v>5</v>
          </cell>
          <cell r="N367">
            <v>18</v>
          </cell>
        </row>
        <row r="368">
          <cell r="E368" t="str">
            <v>Bélgica</v>
          </cell>
          <cell r="G368" t="str">
            <v>Egipto</v>
          </cell>
          <cell r="I368" t="str">
            <v>Nueva Zelanda</v>
          </cell>
          <cell r="K368">
            <v>7</v>
          </cell>
          <cell r="L368">
            <v>6</v>
          </cell>
          <cell r="M368">
            <v>0</v>
          </cell>
          <cell r="N368">
            <v>13</v>
          </cell>
        </row>
        <row r="369">
          <cell r="E369" t="str">
            <v>España</v>
          </cell>
          <cell r="G369" t="str">
            <v>Uruguay</v>
          </cell>
          <cell r="I369" t="str">
            <v>Arabia Saudita</v>
          </cell>
          <cell r="K369">
            <v>7</v>
          </cell>
          <cell r="L369">
            <v>0</v>
          </cell>
          <cell r="M369">
            <v>0</v>
          </cell>
          <cell r="N369">
            <v>7</v>
          </cell>
        </row>
        <row r="370">
          <cell r="E370" t="str">
            <v>Francia</v>
          </cell>
          <cell r="G370" t="str">
            <v>Noruega</v>
          </cell>
          <cell r="I370" t="str">
            <v>Senegal</v>
          </cell>
          <cell r="K370">
            <v>7</v>
          </cell>
          <cell r="L370">
            <v>6</v>
          </cell>
          <cell r="M370">
            <v>5</v>
          </cell>
          <cell r="N370">
            <v>18</v>
          </cell>
        </row>
        <row r="371">
          <cell r="E371" t="str">
            <v>Argentina</v>
          </cell>
          <cell r="G371" t="str">
            <v>Argelia</v>
          </cell>
          <cell r="I371" t="str">
            <v>Austria</v>
          </cell>
          <cell r="K371">
            <v>7</v>
          </cell>
          <cell r="L371">
            <v>0</v>
          </cell>
          <cell r="M371">
            <v>3</v>
          </cell>
          <cell r="N371">
            <v>10</v>
          </cell>
        </row>
        <row r="372">
          <cell r="E372" t="str">
            <v>Portugal</v>
          </cell>
          <cell r="G372" t="str">
            <v>Colombia</v>
          </cell>
          <cell r="I372" t="str">
            <v>Uzbekistán</v>
          </cell>
          <cell r="K372">
            <v>3</v>
          </cell>
          <cell r="L372">
            <v>3</v>
          </cell>
          <cell r="M372">
            <v>0</v>
          </cell>
          <cell r="N372">
            <v>6</v>
          </cell>
        </row>
        <row r="373">
          <cell r="E373" t="str">
            <v>Inglaterra</v>
          </cell>
          <cell r="G373" t="str">
            <v>Croacia</v>
          </cell>
          <cell r="I373" t="str">
            <v>Panamá</v>
          </cell>
          <cell r="K373">
            <v>7</v>
          </cell>
          <cell r="L373">
            <v>3</v>
          </cell>
          <cell r="M373">
            <v>0</v>
          </cell>
          <cell r="N373">
            <v>10</v>
          </cell>
        </row>
        <row r="374">
          <cell r="E374" t="str">
            <v>México</v>
          </cell>
          <cell r="G374" t="str">
            <v>Corea República</v>
          </cell>
          <cell r="I374" t="str">
            <v>Chequia</v>
          </cell>
          <cell r="K374">
            <v>7</v>
          </cell>
          <cell r="L374">
            <v>3</v>
          </cell>
          <cell r="M374">
            <v>0</v>
          </cell>
          <cell r="N374">
            <v>10</v>
          </cell>
        </row>
        <row r="375">
          <cell r="E375" t="str">
            <v>Canadá</v>
          </cell>
          <cell r="G375" t="str">
            <v>Suiza</v>
          </cell>
          <cell r="I375" t="str">
            <v>Qatar</v>
          </cell>
          <cell r="K375">
            <v>3</v>
          </cell>
          <cell r="L375">
            <v>3</v>
          </cell>
          <cell r="M375">
            <v>0</v>
          </cell>
          <cell r="N375">
            <v>6</v>
          </cell>
        </row>
        <row r="376">
          <cell r="E376" t="str">
            <v>Brasil</v>
          </cell>
          <cell r="G376" t="str">
            <v>Marruecos</v>
          </cell>
          <cell r="I376" t="str">
            <v>Escocia</v>
          </cell>
          <cell r="K376">
            <v>7</v>
          </cell>
          <cell r="L376">
            <v>6</v>
          </cell>
          <cell r="M376">
            <v>0</v>
          </cell>
          <cell r="N376">
            <v>13</v>
          </cell>
        </row>
        <row r="377">
          <cell r="E377" t="str">
            <v>Estados Unidos</v>
          </cell>
          <cell r="G377" t="str">
            <v>Paraguay</v>
          </cell>
          <cell r="I377" t="str">
            <v>Australia</v>
          </cell>
          <cell r="K377">
            <v>7</v>
          </cell>
          <cell r="L377">
            <v>3</v>
          </cell>
          <cell r="M377">
            <v>3</v>
          </cell>
          <cell r="N377">
            <v>13</v>
          </cell>
        </row>
        <row r="378">
          <cell r="E378" t="str">
            <v>Alemania</v>
          </cell>
          <cell r="G378" t="str">
            <v>Costa de Marfil</v>
          </cell>
          <cell r="I378" t="str">
            <v>Curazao</v>
          </cell>
          <cell r="K378">
            <v>7</v>
          </cell>
          <cell r="L378">
            <v>6</v>
          </cell>
          <cell r="M378">
            <v>0</v>
          </cell>
          <cell r="N378">
            <v>13</v>
          </cell>
        </row>
        <row r="379">
          <cell r="E379" t="str">
            <v>Japón</v>
          </cell>
          <cell r="G379" t="str">
            <v>Suecia</v>
          </cell>
          <cell r="I379" t="str">
            <v>Países Bajos</v>
          </cell>
          <cell r="K379">
            <v>3</v>
          </cell>
          <cell r="L379">
            <v>3</v>
          </cell>
          <cell r="M379">
            <v>3</v>
          </cell>
          <cell r="N379">
            <v>9</v>
          </cell>
        </row>
        <row r="380">
          <cell r="E380" t="str">
            <v>Nueva Zelanda</v>
          </cell>
          <cell r="G380" t="str">
            <v>Bélgica</v>
          </cell>
          <cell r="I380" t="str">
            <v>Irán</v>
          </cell>
          <cell r="K380">
            <v>0</v>
          </cell>
          <cell r="L380">
            <v>3</v>
          </cell>
          <cell r="M380">
            <v>5</v>
          </cell>
          <cell r="N380">
            <v>8</v>
          </cell>
        </row>
        <row r="381">
          <cell r="E381" t="str">
            <v>España</v>
          </cell>
          <cell r="G381" t="str">
            <v>Uruguay</v>
          </cell>
          <cell r="I381" t="str">
            <v>Arabia Saudita</v>
          </cell>
          <cell r="K381">
            <v>7</v>
          </cell>
          <cell r="L381">
            <v>0</v>
          </cell>
          <cell r="M381">
            <v>0</v>
          </cell>
          <cell r="N381">
            <v>7</v>
          </cell>
        </row>
        <row r="382">
          <cell r="E382" t="str">
            <v>Francia</v>
          </cell>
          <cell r="G382" t="str">
            <v>Senegal</v>
          </cell>
          <cell r="I382" t="str">
            <v>Noruega</v>
          </cell>
          <cell r="K382">
            <v>7</v>
          </cell>
          <cell r="L382">
            <v>3</v>
          </cell>
          <cell r="M382">
            <v>3</v>
          </cell>
          <cell r="N382">
            <v>13</v>
          </cell>
        </row>
        <row r="383">
          <cell r="E383" t="str">
            <v>Argentina</v>
          </cell>
          <cell r="G383" t="str">
            <v>Austria</v>
          </cell>
          <cell r="I383" t="str">
            <v>Jordania</v>
          </cell>
          <cell r="K383">
            <v>7</v>
          </cell>
          <cell r="L383">
            <v>6</v>
          </cell>
          <cell r="M383">
            <v>0</v>
          </cell>
          <cell r="N383">
            <v>13</v>
          </cell>
        </row>
        <row r="384">
          <cell r="E384" t="str">
            <v>Portugal</v>
          </cell>
          <cell r="G384" t="str">
            <v>Colombia</v>
          </cell>
          <cell r="I384" t="str">
            <v>RD Congo</v>
          </cell>
          <cell r="K384">
            <v>3</v>
          </cell>
          <cell r="L384">
            <v>3</v>
          </cell>
          <cell r="M384">
            <v>0</v>
          </cell>
          <cell r="N384">
            <v>6</v>
          </cell>
        </row>
        <row r="385">
          <cell r="E385" t="str">
            <v>Inglaterra</v>
          </cell>
          <cell r="G385" t="str">
            <v>Croacia</v>
          </cell>
          <cell r="I385" t="str">
            <v>Panamá</v>
          </cell>
          <cell r="K385">
            <v>7</v>
          </cell>
          <cell r="L385">
            <v>3</v>
          </cell>
          <cell r="M385">
            <v>0</v>
          </cell>
          <cell r="N385">
            <v>10</v>
          </cell>
        </row>
        <row r="386">
          <cell r="E386" t="str">
            <v>México</v>
          </cell>
          <cell r="G386" t="str">
            <v>Corea República</v>
          </cell>
          <cell r="I386" t="str">
            <v>Sudáfrica</v>
          </cell>
          <cell r="K386">
            <v>7</v>
          </cell>
          <cell r="L386">
            <v>3</v>
          </cell>
          <cell r="M386">
            <v>3</v>
          </cell>
          <cell r="N386">
            <v>13</v>
          </cell>
        </row>
        <row r="387">
          <cell r="E387" t="str">
            <v>Suiza</v>
          </cell>
          <cell r="G387" t="str">
            <v>Canadá</v>
          </cell>
          <cell r="I387" t="str">
            <v>Bosnia y Herzegovina</v>
          </cell>
          <cell r="K387">
            <v>7</v>
          </cell>
          <cell r="L387">
            <v>6</v>
          </cell>
          <cell r="M387">
            <v>5</v>
          </cell>
          <cell r="N387">
            <v>18</v>
          </cell>
        </row>
        <row r="388">
          <cell r="E388" t="str">
            <v>Brasil</v>
          </cell>
          <cell r="G388" t="str">
            <v>Marruecos</v>
          </cell>
          <cell r="I388" t="str">
            <v>Escocia</v>
          </cell>
          <cell r="K388">
            <v>7</v>
          </cell>
          <cell r="L388">
            <v>6</v>
          </cell>
          <cell r="M388">
            <v>0</v>
          </cell>
          <cell r="N388">
            <v>13</v>
          </cell>
        </row>
        <row r="389">
          <cell r="E389" t="str">
            <v>Estados Unidos</v>
          </cell>
          <cell r="G389" t="str">
            <v>Türkiye</v>
          </cell>
          <cell r="I389" t="str">
            <v>Paraguay</v>
          </cell>
          <cell r="K389">
            <v>7</v>
          </cell>
          <cell r="L389">
            <v>0</v>
          </cell>
          <cell r="M389">
            <v>5</v>
          </cell>
          <cell r="N389">
            <v>12</v>
          </cell>
        </row>
        <row r="390">
          <cell r="E390" t="str">
            <v>Alemania</v>
          </cell>
          <cell r="G390" t="str">
            <v>Costa de Marfil</v>
          </cell>
          <cell r="I390" t="str">
            <v>Ecuador</v>
          </cell>
          <cell r="K390">
            <v>7</v>
          </cell>
          <cell r="L390">
            <v>6</v>
          </cell>
          <cell r="M390">
            <v>5</v>
          </cell>
          <cell r="N390">
            <v>18</v>
          </cell>
        </row>
        <row r="391">
          <cell r="E391" t="str">
            <v>Países Bajos</v>
          </cell>
          <cell r="G391" t="str">
            <v>Japón</v>
          </cell>
          <cell r="I391" t="str">
            <v>Suecia</v>
          </cell>
          <cell r="K391">
            <v>7</v>
          </cell>
          <cell r="L391">
            <v>6</v>
          </cell>
          <cell r="M391">
            <v>5</v>
          </cell>
          <cell r="N391">
            <v>18</v>
          </cell>
        </row>
        <row r="392">
          <cell r="E392" t="str">
            <v>Bélgica</v>
          </cell>
          <cell r="G392" t="str">
            <v>Egipto</v>
          </cell>
          <cell r="I392" t="str">
            <v>Nueva Zelanda</v>
          </cell>
          <cell r="K392">
            <v>7</v>
          </cell>
          <cell r="L392">
            <v>6</v>
          </cell>
          <cell r="M392">
            <v>0</v>
          </cell>
          <cell r="N392">
            <v>13</v>
          </cell>
        </row>
        <row r="393">
          <cell r="E393" t="str">
            <v>España</v>
          </cell>
          <cell r="G393" t="str">
            <v>Uruguay</v>
          </cell>
          <cell r="I393" t="str">
            <v>Arabia Saudita</v>
          </cell>
          <cell r="K393">
            <v>7</v>
          </cell>
          <cell r="L393">
            <v>0</v>
          </cell>
          <cell r="M393">
            <v>0</v>
          </cell>
          <cell r="N393">
            <v>7</v>
          </cell>
        </row>
        <row r="394">
          <cell r="E394" t="str">
            <v>Noruega</v>
          </cell>
          <cell r="G394" t="str">
            <v>Francia</v>
          </cell>
          <cell r="I394" t="str">
            <v>Senegal</v>
          </cell>
          <cell r="K394">
            <v>3</v>
          </cell>
          <cell r="L394">
            <v>3</v>
          </cell>
          <cell r="M394">
            <v>5</v>
          </cell>
          <cell r="N394">
            <v>11</v>
          </cell>
        </row>
        <row r="395">
          <cell r="E395" t="str">
            <v>Argentina</v>
          </cell>
          <cell r="G395" t="str">
            <v>Austria</v>
          </cell>
          <cell r="I395" t="str">
            <v>Argelia</v>
          </cell>
          <cell r="K395">
            <v>7</v>
          </cell>
          <cell r="L395">
            <v>6</v>
          </cell>
          <cell r="M395">
            <v>0</v>
          </cell>
          <cell r="N395">
            <v>13</v>
          </cell>
        </row>
        <row r="396">
          <cell r="E396" t="str">
            <v>Portugal</v>
          </cell>
          <cell r="G396" t="str">
            <v>Colombia</v>
          </cell>
          <cell r="I396" t="str">
            <v>Uzbekistán</v>
          </cell>
          <cell r="K396">
            <v>3</v>
          </cell>
          <cell r="L396">
            <v>3</v>
          </cell>
          <cell r="M396">
            <v>0</v>
          </cell>
          <cell r="N396">
            <v>6</v>
          </cell>
        </row>
        <row r="397">
          <cell r="E397" t="str">
            <v>Inglaterra</v>
          </cell>
          <cell r="G397" t="str">
            <v>Croacia</v>
          </cell>
          <cell r="I397" t="str">
            <v>Ghana</v>
          </cell>
          <cell r="K397">
            <v>7</v>
          </cell>
          <cell r="L397">
            <v>3</v>
          </cell>
          <cell r="M397">
            <v>3</v>
          </cell>
          <cell r="N397">
            <v>13</v>
          </cell>
        </row>
        <row r="398">
          <cell r="E398" t="str">
            <v>México</v>
          </cell>
          <cell r="G398" t="str">
            <v>Corea República</v>
          </cell>
          <cell r="I398" t="str">
            <v>Sudáfrica</v>
          </cell>
          <cell r="K398">
            <v>7</v>
          </cell>
          <cell r="L398">
            <v>3</v>
          </cell>
          <cell r="M398">
            <v>3</v>
          </cell>
          <cell r="N398">
            <v>13</v>
          </cell>
        </row>
        <row r="399">
          <cell r="E399" t="str">
            <v>Canadá</v>
          </cell>
          <cell r="G399" t="str">
            <v>Suiza</v>
          </cell>
          <cell r="I399" t="str">
            <v>Bosnia y Herzegovina</v>
          </cell>
          <cell r="K399">
            <v>3</v>
          </cell>
          <cell r="L399">
            <v>3</v>
          </cell>
          <cell r="M399">
            <v>5</v>
          </cell>
          <cell r="N399">
            <v>11</v>
          </cell>
        </row>
        <row r="400">
          <cell r="E400" t="str">
            <v>Brasil</v>
          </cell>
          <cell r="G400" t="str">
            <v>Marruecos</v>
          </cell>
          <cell r="I400" t="str">
            <v>Escocia</v>
          </cell>
          <cell r="K400">
            <v>7</v>
          </cell>
          <cell r="L400">
            <v>6</v>
          </cell>
          <cell r="M400">
            <v>0</v>
          </cell>
          <cell r="N400">
            <v>13</v>
          </cell>
        </row>
        <row r="401">
          <cell r="E401" t="str">
            <v>Estados Unidos</v>
          </cell>
          <cell r="G401" t="str">
            <v>Türkiye</v>
          </cell>
          <cell r="I401" t="str">
            <v>Paraguay</v>
          </cell>
          <cell r="K401">
            <v>7</v>
          </cell>
          <cell r="L401">
            <v>0</v>
          </cell>
          <cell r="M401">
            <v>5</v>
          </cell>
          <cell r="N401">
            <v>12</v>
          </cell>
        </row>
        <row r="402">
          <cell r="E402" t="str">
            <v>Alemania</v>
          </cell>
          <cell r="G402" t="str">
            <v>Costa de Marfil</v>
          </cell>
          <cell r="I402" t="str">
            <v>Ecuador</v>
          </cell>
          <cell r="K402">
            <v>7</v>
          </cell>
          <cell r="L402">
            <v>6</v>
          </cell>
          <cell r="M402">
            <v>5</v>
          </cell>
          <cell r="N402">
            <v>18</v>
          </cell>
        </row>
        <row r="403">
          <cell r="E403" t="str">
            <v>Países Bajos</v>
          </cell>
          <cell r="G403" t="str">
            <v>Japón</v>
          </cell>
          <cell r="I403" t="str">
            <v>Suecia</v>
          </cell>
          <cell r="K403">
            <v>7</v>
          </cell>
          <cell r="L403">
            <v>6</v>
          </cell>
          <cell r="M403">
            <v>5</v>
          </cell>
          <cell r="N403">
            <v>18</v>
          </cell>
        </row>
        <row r="404">
          <cell r="E404" t="str">
            <v>Bélgica</v>
          </cell>
          <cell r="G404" t="str">
            <v>Nueva Zelanda</v>
          </cell>
          <cell r="I404" t="str">
            <v>Egipto</v>
          </cell>
          <cell r="K404">
            <v>7</v>
          </cell>
          <cell r="L404">
            <v>0</v>
          </cell>
          <cell r="M404">
            <v>3</v>
          </cell>
          <cell r="N404">
            <v>10</v>
          </cell>
        </row>
        <row r="405">
          <cell r="E405" t="str">
            <v>España</v>
          </cell>
          <cell r="G405" t="str">
            <v>Uruguay</v>
          </cell>
          <cell r="I405" t="str">
            <v>Arabia Saudita</v>
          </cell>
          <cell r="K405">
            <v>7</v>
          </cell>
          <cell r="L405">
            <v>0</v>
          </cell>
          <cell r="M405">
            <v>0</v>
          </cell>
          <cell r="N405">
            <v>7</v>
          </cell>
        </row>
        <row r="406">
          <cell r="E406" t="str">
            <v>Francia</v>
          </cell>
          <cell r="G406" t="str">
            <v>Senegal</v>
          </cell>
          <cell r="I406" t="str">
            <v>Noruega</v>
          </cell>
          <cell r="K406">
            <v>7</v>
          </cell>
          <cell r="L406">
            <v>3</v>
          </cell>
          <cell r="M406">
            <v>3</v>
          </cell>
          <cell r="N406">
            <v>13</v>
          </cell>
        </row>
        <row r="407">
          <cell r="E407" t="str">
            <v>Argentina</v>
          </cell>
          <cell r="G407" t="str">
            <v>Austria</v>
          </cell>
          <cell r="I407" t="str">
            <v>Argelia</v>
          </cell>
          <cell r="K407">
            <v>7</v>
          </cell>
          <cell r="L407">
            <v>6</v>
          </cell>
          <cell r="M407">
            <v>0</v>
          </cell>
          <cell r="N407">
            <v>13</v>
          </cell>
        </row>
        <row r="408">
          <cell r="E408" t="str">
            <v>Portugal</v>
          </cell>
          <cell r="G408" t="str">
            <v>Colombia</v>
          </cell>
          <cell r="I408" t="str">
            <v>RD Congo</v>
          </cell>
          <cell r="K408">
            <v>3</v>
          </cell>
          <cell r="L408">
            <v>3</v>
          </cell>
          <cell r="M408">
            <v>0</v>
          </cell>
          <cell r="N408">
            <v>6</v>
          </cell>
        </row>
        <row r="409">
          <cell r="E409" t="str">
            <v>Inglaterra</v>
          </cell>
          <cell r="G409" t="str">
            <v>Croacia</v>
          </cell>
          <cell r="I409" t="str">
            <v>Panamá</v>
          </cell>
          <cell r="K409">
            <v>7</v>
          </cell>
          <cell r="L409">
            <v>3</v>
          </cell>
          <cell r="M409">
            <v>0</v>
          </cell>
          <cell r="N409">
            <v>10</v>
          </cell>
        </row>
        <row r="410">
          <cell r="E410" t="str">
            <v>México</v>
          </cell>
          <cell r="G410" t="str">
            <v>Corea República</v>
          </cell>
          <cell r="I410" t="str">
            <v>Sudáfrica</v>
          </cell>
          <cell r="K410">
            <v>7</v>
          </cell>
          <cell r="L410">
            <v>3</v>
          </cell>
          <cell r="M410">
            <v>3</v>
          </cell>
          <cell r="N410">
            <v>13</v>
          </cell>
        </row>
        <row r="411">
          <cell r="E411" t="str">
            <v>Canadá</v>
          </cell>
          <cell r="G411" t="str">
            <v>Suiza</v>
          </cell>
          <cell r="I411" t="str">
            <v>Bosnia y Herzegovina</v>
          </cell>
          <cell r="K411">
            <v>3</v>
          </cell>
          <cell r="L411">
            <v>3</v>
          </cell>
          <cell r="M411">
            <v>5</v>
          </cell>
          <cell r="N411">
            <v>11</v>
          </cell>
        </row>
        <row r="412">
          <cell r="E412" t="str">
            <v>Marruecos</v>
          </cell>
          <cell r="G412" t="str">
            <v>Brasil</v>
          </cell>
          <cell r="I412" t="str">
            <v>Escocia</v>
          </cell>
          <cell r="K412">
            <v>3</v>
          </cell>
          <cell r="L412">
            <v>3</v>
          </cell>
          <cell r="M412">
            <v>0</v>
          </cell>
          <cell r="N412">
            <v>6</v>
          </cell>
        </row>
        <row r="413">
          <cell r="E413" t="str">
            <v>Estados Unidos</v>
          </cell>
          <cell r="G413" t="str">
            <v>Türkiye</v>
          </cell>
          <cell r="I413" t="str">
            <v>Paraguay</v>
          </cell>
          <cell r="K413">
            <v>7</v>
          </cell>
          <cell r="L413">
            <v>0</v>
          </cell>
          <cell r="M413">
            <v>5</v>
          </cell>
          <cell r="N413">
            <v>12</v>
          </cell>
        </row>
        <row r="414">
          <cell r="E414" t="str">
            <v>Ecuador</v>
          </cell>
          <cell r="G414" t="str">
            <v>Alemania</v>
          </cell>
          <cell r="I414" t="str">
            <v>Costa de Marfil</v>
          </cell>
          <cell r="K414">
            <v>3</v>
          </cell>
          <cell r="L414">
            <v>3</v>
          </cell>
          <cell r="M414">
            <v>3</v>
          </cell>
          <cell r="N414">
            <v>9</v>
          </cell>
        </row>
        <row r="415">
          <cell r="E415" t="str">
            <v>Suecia</v>
          </cell>
          <cell r="G415" t="str">
            <v>Países Bajos</v>
          </cell>
          <cell r="I415" t="str">
            <v>Japón</v>
          </cell>
          <cell r="K415">
            <v>3</v>
          </cell>
          <cell r="L415">
            <v>3</v>
          </cell>
          <cell r="M415">
            <v>3</v>
          </cell>
          <cell r="N415">
            <v>9</v>
          </cell>
        </row>
        <row r="416">
          <cell r="E416" t="str">
            <v>Bélgica</v>
          </cell>
          <cell r="G416" t="str">
            <v>Egipto</v>
          </cell>
          <cell r="I416" t="str">
            <v>Nueva Zelanda</v>
          </cell>
          <cell r="K416">
            <v>7</v>
          </cell>
          <cell r="L416">
            <v>6</v>
          </cell>
          <cell r="M416">
            <v>0</v>
          </cell>
          <cell r="N416">
            <v>13</v>
          </cell>
        </row>
        <row r="417">
          <cell r="E417" t="str">
            <v>España</v>
          </cell>
          <cell r="G417" t="str">
            <v>Uruguay</v>
          </cell>
          <cell r="I417" t="str">
            <v>Arabia Saudita</v>
          </cell>
          <cell r="K417">
            <v>7</v>
          </cell>
          <cell r="L417">
            <v>0</v>
          </cell>
          <cell r="M417">
            <v>0</v>
          </cell>
          <cell r="N417">
            <v>7</v>
          </cell>
        </row>
        <row r="418">
          <cell r="E418" t="str">
            <v>Francia</v>
          </cell>
          <cell r="G418" t="str">
            <v>Senegal</v>
          </cell>
          <cell r="I418" t="str">
            <v>Noruega</v>
          </cell>
          <cell r="K418">
            <v>7</v>
          </cell>
          <cell r="L418">
            <v>3</v>
          </cell>
          <cell r="M418">
            <v>3</v>
          </cell>
          <cell r="N418">
            <v>13</v>
          </cell>
        </row>
        <row r="419">
          <cell r="E419" t="str">
            <v>Argentina</v>
          </cell>
          <cell r="G419" t="str">
            <v>Argelia</v>
          </cell>
          <cell r="I419" t="str">
            <v>Austria</v>
          </cell>
          <cell r="K419">
            <v>7</v>
          </cell>
          <cell r="L419">
            <v>0</v>
          </cell>
          <cell r="M419">
            <v>3</v>
          </cell>
          <cell r="N419">
            <v>10</v>
          </cell>
        </row>
        <row r="420">
          <cell r="E420" t="str">
            <v>Portugal</v>
          </cell>
          <cell r="G420" t="str">
            <v>Colombia</v>
          </cell>
          <cell r="I420" t="str">
            <v>RD Congo</v>
          </cell>
          <cell r="K420">
            <v>3</v>
          </cell>
          <cell r="L420">
            <v>3</v>
          </cell>
          <cell r="M420">
            <v>0</v>
          </cell>
          <cell r="N420">
            <v>6</v>
          </cell>
        </row>
        <row r="421">
          <cell r="E421" t="str">
            <v>Inglaterra</v>
          </cell>
          <cell r="G421" t="str">
            <v>Croacia</v>
          </cell>
          <cell r="I421" t="str">
            <v>Panamá</v>
          </cell>
          <cell r="K421">
            <v>7</v>
          </cell>
          <cell r="L421">
            <v>3</v>
          </cell>
          <cell r="M421">
            <v>0</v>
          </cell>
          <cell r="N421">
            <v>10</v>
          </cell>
        </row>
        <row r="422">
          <cell r="E422" t="str">
            <v>México</v>
          </cell>
          <cell r="G422" t="str">
            <v>Corea República</v>
          </cell>
          <cell r="I422" t="str">
            <v>Sudáfrica</v>
          </cell>
          <cell r="K422">
            <v>7</v>
          </cell>
          <cell r="L422">
            <v>3</v>
          </cell>
          <cell r="M422">
            <v>3</v>
          </cell>
          <cell r="N422">
            <v>13</v>
          </cell>
        </row>
        <row r="423">
          <cell r="E423" t="str">
            <v>Canadá</v>
          </cell>
          <cell r="G423" t="str">
            <v>Suiza</v>
          </cell>
          <cell r="I423" t="str">
            <v>Bosnia y Herzegovina</v>
          </cell>
          <cell r="K423">
            <v>3</v>
          </cell>
          <cell r="L423">
            <v>3</v>
          </cell>
          <cell r="M423">
            <v>5</v>
          </cell>
          <cell r="N423">
            <v>11</v>
          </cell>
        </row>
        <row r="424">
          <cell r="E424" t="str">
            <v>Brasil</v>
          </cell>
          <cell r="G424" t="str">
            <v>Marruecos</v>
          </cell>
          <cell r="I424" t="str">
            <v>Escocia</v>
          </cell>
          <cell r="K424">
            <v>7</v>
          </cell>
          <cell r="L424">
            <v>6</v>
          </cell>
          <cell r="M424">
            <v>0</v>
          </cell>
          <cell r="N424">
            <v>13</v>
          </cell>
        </row>
        <row r="425">
          <cell r="E425" t="str">
            <v>Estados Unidos</v>
          </cell>
          <cell r="G425" t="str">
            <v>Paraguay</v>
          </cell>
          <cell r="I425" t="str">
            <v>Türkiye</v>
          </cell>
          <cell r="K425">
            <v>7</v>
          </cell>
          <cell r="L425">
            <v>3</v>
          </cell>
          <cell r="M425">
            <v>0</v>
          </cell>
          <cell r="N425">
            <v>10</v>
          </cell>
        </row>
        <row r="426">
          <cell r="E426" t="str">
            <v>Alemania</v>
          </cell>
          <cell r="G426" t="str">
            <v>Ecuador</v>
          </cell>
          <cell r="I426" t="str">
            <v>Costa de Marfil</v>
          </cell>
          <cell r="K426">
            <v>7</v>
          </cell>
          <cell r="L426">
            <v>3</v>
          </cell>
          <cell r="M426">
            <v>3</v>
          </cell>
          <cell r="N426">
            <v>13</v>
          </cell>
        </row>
        <row r="427">
          <cell r="E427" t="str">
            <v>Países Bajos</v>
          </cell>
          <cell r="G427" t="str">
            <v>Suecia</v>
          </cell>
          <cell r="I427" t="str">
            <v>Japón</v>
          </cell>
          <cell r="K427">
            <v>7</v>
          </cell>
          <cell r="L427">
            <v>3</v>
          </cell>
          <cell r="M427">
            <v>3</v>
          </cell>
          <cell r="N427">
            <v>13</v>
          </cell>
        </row>
        <row r="428">
          <cell r="E428" t="str">
            <v>Bélgica</v>
          </cell>
          <cell r="G428" t="str">
            <v>Egipto</v>
          </cell>
          <cell r="I428" t="str">
            <v>Irán</v>
          </cell>
          <cell r="K428">
            <v>7</v>
          </cell>
          <cell r="L428">
            <v>6</v>
          </cell>
          <cell r="M428">
            <v>5</v>
          </cell>
          <cell r="N428">
            <v>18</v>
          </cell>
        </row>
        <row r="429">
          <cell r="E429" t="str">
            <v>España</v>
          </cell>
          <cell r="G429" t="str">
            <v>Uruguay</v>
          </cell>
          <cell r="I429" t="str">
            <v>Arabia Saudita</v>
          </cell>
          <cell r="K429">
            <v>7</v>
          </cell>
          <cell r="L429">
            <v>0</v>
          </cell>
          <cell r="M429">
            <v>0</v>
          </cell>
          <cell r="N429">
            <v>7</v>
          </cell>
        </row>
        <row r="430">
          <cell r="E430" t="str">
            <v>Francia</v>
          </cell>
          <cell r="G430" t="str">
            <v>Noruega</v>
          </cell>
          <cell r="I430" t="str">
            <v>Senegal</v>
          </cell>
          <cell r="K430">
            <v>7</v>
          </cell>
          <cell r="L430">
            <v>6</v>
          </cell>
          <cell r="M430">
            <v>5</v>
          </cell>
          <cell r="N430">
            <v>18</v>
          </cell>
        </row>
        <row r="431">
          <cell r="E431" t="str">
            <v>Argentina</v>
          </cell>
          <cell r="G431" t="str">
            <v>Austria</v>
          </cell>
          <cell r="I431" t="str">
            <v>Argelia</v>
          </cell>
          <cell r="K431">
            <v>7</v>
          </cell>
          <cell r="L431">
            <v>6</v>
          </cell>
          <cell r="M431">
            <v>0</v>
          </cell>
          <cell r="N431">
            <v>13</v>
          </cell>
        </row>
        <row r="432">
          <cell r="E432" t="str">
            <v>Portugal</v>
          </cell>
          <cell r="G432" t="str">
            <v>Colombia</v>
          </cell>
          <cell r="I432" t="str">
            <v>Uzbekistán</v>
          </cell>
          <cell r="K432">
            <v>3</v>
          </cell>
          <cell r="L432">
            <v>3</v>
          </cell>
          <cell r="M432">
            <v>0</v>
          </cell>
          <cell r="N432">
            <v>6</v>
          </cell>
        </row>
        <row r="433">
          <cell r="E433" t="str">
            <v>Inglaterra</v>
          </cell>
          <cell r="G433" t="str">
            <v>Panamá</v>
          </cell>
          <cell r="I433" t="str">
            <v>Croacia</v>
          </cell>
          <cell r="K433">
            <v>7</v>
          </cell>
          <cell r="L433">
            <v>0</v>
          </cell>
          <cell r="M433">
            <v>5</v>
          </cell>
          <cell r="N433">
            <v>12</v>
          </cell>
        </row>
        <row r="434">
          <cell r="E434" t="str">
            <v>México</v>
          </cell>
          <cell r="G434" t="str">
            <v>Corea República</v>
          </cell>
          <cell r="I434" t="str">
            <v>Chequia</v>
          </cell>
          <cell r="K434">
            <v>7</v>
          </cell>
          <cell r="L434">
            <v>3</v>
          </cell>
          <cell r="M434">
            <v>0</v>
          </cell>
          <cell r="N434">
            <v>10</v>
          </cell>
        </row>
        <row r="435">
          <cell r="E435" t="str">
            <v>Bosnia y Herzegovina</v>
          </cell>
          <cell r="G435" t="str">
            <v>Suiza</v>
          </cell>
          <cell r="I435" t="str">
            <v>Qatar</v>
          </cell>
          <cell r="K435">
            <v>3</v>
          </cell>
          <cell r="L435">
            <v>3</v>
          </cell>
          <cell r="M435">
            <v>0</v>
          </cell>
          <cell r="N435">
            <v>6</v>
          </cell>
        </row>
        <row r="436">
          <cell r="E436" t="str">
            <v>Brasil</v>
          </cell>
          <cell r="G436" t="str">
            <v>Escocia</v>
          </cell>
          <cell r="I436" t="str">
            <v>Haití</v>
          </cell>
          <cell r="K436">
            <v>7</v>
          </cell>
          <cell r="L436">
            <v>0</v>
          </cell>
          <cell r="M436">
            <v>0</v>
          </cell>
          <cell r="N436">
            <v>7</v>
          </cell>
        </row>
        <row r="437">
          <cell r="E437" t="str">
            <v>Australia</v>
          </cell>
          <cell r="G437" t="str">
            <v>Paraguay</v>
          </cell>
          <cell r="I437" t="str">
            <v>Estados Unidos</v>
          </cell>
          <cell r="K437">
            <v>3</v>
          </cell>
          <cell r="L437">
            <v>3</v>
          </cell>
          <cell r="M437">
            <v>3</v>
          </cell>
          <cell r="N437">
            <v>9</v>
          </cell>
        </row>
        <row r="438">
          <cell r="E438" t="str">
            <v>Alemania</v>
          </cell>
          <cell r="G438" t="str">
            <v>Costa de Marfil</v>
          </cell>
          <cell r="I438" t="str">
            <v>Ecuador</v>
          </cell>
          <cell r="K438">
            <v>7</v>
          </cell>
          <cell r="L438">
            <v>6</v>
          </cell>
          <cell r="M438">
            <v>5</v>
          </cell>
          <cell r="N438">
            <v>18</v>
          </cell>
        </row>
        <row r="439">
          <cell r="E439" t="str">
            <v>Países Bajos</v>
          </cell>
          <cell r="G439" t="str">
            <v>Japón</v>
          </cell>
          <cell r="I439" t="str">
            <v>Suecia</v>
          </cell>
          <cell r="K439">
            <v>7</v>
          </cell>
          <cell r="L439">
            <v>6</v>
          </cell>
          <cell r="M439">
            <v>5</v>
          </cell>
          <cell r="N439">
            <v>18</v>
          </cell>
        </row>
        <row r="440">
          <cell r="E440" t="str">
            <v>Egipto</v>
          </cell>
          <cell r="G440" t="str">
            <v>Irán</v>
          </cell>
          <cell r="I440" t="str">
            <v>Bélgica</v>
          </cell>
          <cell r="K440">
            <v>3</v>
          </cell>
          <cell r="L440">
            <v>3</v>
          </cell>
          <cell r="M440">
            <v>3</v>
          </cell>
          <cell r="N440">
            <v>9</v>
          </cell>
        </row>
        <row r="441">
          <cell r="E441" t="str">
            <v>España</v>
          </cell>
          <cell r="G441" t="str">
            <v>Uruguay</v>
          </cell>
          <cell r="I441" t="str">
            <v>Cabo Verde</v>
          </cell>
          <cell r="K441">
            <v>7</v>
          </cell>
          <cell r="L441">
            <v>0</v>
          </cell>
          <cell r="M441">
            <v>3</v>
          </cell>
          <cell r="N441">
            <v>10</v>
          </cell>
        </row>
        <row r="442">
          <cell r="E442" t="str">
            <v>Francia</v>
          </cell>
          <cell r="G442" t="str">
            <v>Irak</v>
          </cell>
          <cell r="I442" t="str">
            <v>Noruega</v>
          </cell>
          <cell r="K442">
            <v>7</v>
          </cell>
          <cell r="L442">
            <v>0</v>
          </cell>
          <cell r="M442">
            <v>3</v>
          </cell>
          <cell r="N442">
            <v>10</v>
          </cell>
        </row>
        <row r="443">
          <cell r="E443" t="str">
            <v>Argentina</v>
          </cell>
          <cell r="G443" t="str">
            <v>Austria</v>
          </cell>
          <cell r="I443" t="str">
            <v>Argelia</v>
          </cell>
          <cell r="K443">
            <v>7</v>
          </cell>
          <cell r="L443">
            <v>6</v>
          </cell>
          <cell r="M443">
            <v>0</v>
          </cell>
          <cell r="N443">
            <v>13</v>
          </cell>
        </row>
        <row r="444">
          <cell r="E444" t="str">
            <v>Portugal</v>
          </cell>
          <cell r="G444" t="str">
            <v>Colombia</v>
          </cell>
          <cell r="I444" t="str">
            <v>RD Congo</v>
          </cell>
          <cell r="K444">
            <v>3</v>
          </cell>
          <cell r="L444">
            <v>3</v>
          </cell>
          <cell r="M444">
            <v>0</v>
          </cell>
          <cell r="N444">
            <v>6</v>
          </cell>
        </row>
        <row r="445">
          <cell r="E445" t="str">
            <v>Inglaterra</v>
          </cell>
          <cell r="G445" t="str">
            <v>Croacia</v>
          </cell>
          <cell r="I445" t="str">
            <v>Panamá</v>
          </cell>
          <cell r="K445">
            <v>7</v>
          </cell>
          <cell r="L445">
            <v>3</v>
          </cell>
          <cell r="M445">
            <v>0</v>
          </cell>
          <cell r="N445">
            <v>10</v>
          </cell>
        </row>
        <row r="446">
          <cell r="E446" t="str">
            <v>México</v>
          </cell>
          <cell r="G446" t="str">
            <v>Chequia</v>
          </cell>
          <cell r="I446" t="str">
            <v>Corea República</v>
          </cell>
          <cell r="K446">
            <v>7</v>
          </cell>
          <cell r="L446">
            <v>0</v>
          </cell>
          <cell r="M446">
            <v>5</v>
          </cell>
          <cell r="N446">
            <v>12</v>
          </cell>
        </row>
        <row r="447">
          <cell r="E447" t="str">
            <v>Suiza</v>
          </cell>
          <cell r="G447" t="str">
            <v>Canadá</v>
          </cell>
          <cell r="I447" t="str">
            <v>Bosnia y Herzegovina</v>
          </cell>
          <cell r="K447">
            <v>7</v>
          </cell>
          <cell r="L447">
            <v>6</v>
          </cell>
          <cell r="M447">
            <v>5</v>
          </cell>
          <cell r="N447">
            <v>18</v>
          </cell>
        </row>
        <row r="448">
          <cell r="E448" t="str">
            <v>Brasil</v>
          </cell>
          <cell r="G448" t="str">
            <v>Marruecos</v>
          </cell>
          <cell r="I448" t="str">
            <v>Escocia</v>
          </cell>
          <cell r="K448">
            <v>7</v>
          </cell>
          <cell r="L448">
            <v>6</v>
          </cell>
          <cell r="M448">
            <v>0</v>
          </cell>
          <cell r="N448">
            <v>13</v>
          </cell>
        </row>
        <row r="449">
          <cell r="E449" t="str">
            <v>Estados Unidos</v>
          </cell>
          <cell r="G449" t="str">
            <v>Türkiye</v>
          </cell>
          <cell r="I449" t="str">
            <v>Paraguay</v>
          </cell>
          <cell r="K449">
            <v>7</v>
          </cell>
          <cell r="L449">
            <v>0</v>
          </cell>
          <cell r="M449">
            <v>5</v>
          </cell>
          <cell r="N449">
            <v>12</v>
          </cell>
        </row>
        <row r="450">
          <cell r="E450" t="str">
            <v>Alemania</v>
          </cell>
          <cell r="G450" t="str">
            <v>Costa de Marfil</v>
          </cell>
          <cell r="I450" t="str">
            <v>Ecuador</v>
          </cell>
          <cell r="K450">
            <v>7</v>
          </cell>
          <cell r="L450">
            <v>6</v>
          </cell>
          <cell r="M450">
            <v>5</v>
          </cell>
          <cell r="N450">
            <v>18</v>
          </cell>
        </row>
        <row r="451">
          <cell r="E451" t="str">
            <v>Países Bajos</v>
          </cell>
          <cell r="G451" t="str">
            <v>Japón</v>
          </cell>
          <cell r="I451" t="str">
            <v>Suecia</v>
          </cell>
          <cell r="K451">
            <v>7</v>
          </cell>
          <cell r="L451">
            <v>6</v>
          </cell>
          <cell r="M451">
            <v>5</v>
          </cell>
          <cell r="N451">
            <v>18</v>
          </cell>
        </row>
        <row r="452">
          <cell r="E452" t="str">
            <v>Bélgica</v>
          </cell>
          <cell r="G452" t="str">
            <v>Irán</v>
          </cell>
          <cell r="I452" t="str">
            <v>Egipto</v>
          </cell>
          <cell r="K452">
            <v>7</v>
          </cell>
          <cell r="L452">
            <v>3</v>
          </cell>
          <cell r="M452">
            <v>3</v>
          </cell>
          <cell r="N452">
            <v>13</v>
          </cell>
        </row>
        <row r="453">
          <cell r="E453" t="str">
            <v>España</v>
          </cell>
          <cell r="G453" t="str">
            <v>Uruguay</v>
          </cell>
          <cell r="I453" t="str">
            <v>Arabia Saudita</v>
          </cell>
          <cell r="K453">
            <v>7</v>
          </cell>
          <cell r="L453">
            <v>0</v>
          </cell>
          <cell r="M453">
            <v>0</v>
          </cell>
          <cell r="N453">
            <v>7</v>
          </cell>
        </row>
        <row r="454">
          <cell r="E454" t="str">
            <v>Francia</v>
          </cell>
          <cell r="G454" t="str">
            <v>Noruega</v>
          </cell>
          <cell r="I454" t="str">
            <v>Senegal</v>
          </cell>
          <cell r="K454">
            <v>7</v>
          </cell>
          <cell r="L454">
            <v>6</v>
          </cell>
          <cell r="M454">
            <v>5</v>
          </cell>
          <cell r="N454">
            <v>18</v>
          </cell>
        </row>
        <row r="455">
          <cell r="E455" t="str">
            <v>Argentina</v>
          </cell>
          <cell r="G455" t="str">
            <v>Argelia</v>
          </cell>
          <cell r="I455" t="str">
            <v>Austria</v>
          </cell>
          <cell r="K455">
            <v>7</v>
          </cell>
          <cell r="L455">
            <v>0</v>
          </cell>
          <cell r="M455">
            <v>3</v>
          </cell>
          <cell r="N455">
            <v>10</v>
          </cell>
        </row>
        <row r="456">
          <cell r="E456" t="str">
            <v>Portugal</v>
          </cell>
          <cell r="G456" t="str">
            <v>Colombia</v>
          </cell>
          <cell r="I456" t="str">
            <v>RD Congo</v>
          </cell>
          <cell r="K456">
            <v>3</v>
          </cell>
          <cell r="L456">
            <v>3</v>
          </cell>
          <cell r="M456">
            <v>0</v>
          </cell>
          <cell r="N456">
            <v>6</v>
          </cell>
        </row>
        <row r="457">
          <cell r="E457" t="str">
            <v>Inglaterra</v>
          </cell>
          <cell r="G457" t="str">
            <v>Croacia</v>
          </cell>
          <cell r="I457" t="str">
            <v>Ghana</v>
          </cell>
          <cell r="K457">
            <v>7</v>
          </cell>
          <cell r="L457">
            <v>3</v>
          </cell>
          <cell r="M457">
            <v>3</v>
          </cell>
          <cell r="N457">
            <v>13</v>
          </cell>
        </row>
        <row r="458">
          <cell r="E458" t="str">
            <v>México</v>
          </cell>
          <cell r="G458" t="str">
            <v>Chequia</v>
          </cell>
          <cell r="I458" t="str">
            <v>Sudáfrica</v>
          </cell>
          <cell r="K458">
            <v>7</v>
          </cell>
          <cell r="L458">
            <v>0</v>
          </cell>
          <cell r="M458">
            <v>3</v>
          </cell>
          <cell r="N458">
            <v>10</v>
          </cell>
        </row>
        <row r="459">
          <cell r="E459" t="str">
            <v>Canadá</v>
          </cell>
          <cell r="G459" t="str">
            <v>Suiza</v>
          </cell>
          <cell r="I459" t="str">
            <v>Bosnia y Herzegovina</v>
          </cell>
          <cell r="K459">
            <v>3</v>
          </cell>
          <cell r="L459">
            <v>3</v>
          </cell>
          <cell r="M459">
            <v>5</v>
          </cell>
          <cell r="N459">
            <v>11</v>
          </cell>
        </row>
        <row r="460">
          <cell r="E460" t="str">
            <v>Brasil</v>
          </cell>
          <cell r="G460" t="str">
            <v>Marruecos</v>
          </cell>
          <cell r="I460" t="str">
            <v>Escocia</v>
          </cell>
          <cell r="K460">
            <v>7</v>
          </cell>
          <cell r="L460">
            <v>6</v>
          </cell>
          <cell r="M460">
            <v>0</v>
          </cell>
          <cell r="N460">
            <v>13</v>
          </cell>
        </row>
        <row r="461">
          <cell r="E461" t="str">
            <v>Türkiye</v>
          </cell>
          <cell r="G461" t="str">
            <v>Estados Unidos</v>
          </cell>
          <cell r="I461" t="str">
            <v>Australia</v>
          </cell>
          <cell r="K461">
            <v>0</v>
          </cell>
          <cell r="L461">
            <v>3</v>
          </cell>
          <cell r="M461">
            <v>3</v>
          </cell>
          <cell r="N461">
            <v>6</v>
          </cell>
        </row>
        <row r="462">
          <cell r="E462" t="str">
            <v>Alemania</v>
          </cell>
          <cell r="G462" t="str">
            <v>Ecuador</v>
          </cell>
          <cell r="I462" t="str">
            <v>Costa de Marfil</v>
          </cell>
          <cell r="K462">
            <v>7</v>
          </cell>
          <cell r="L462">
            <v>3</v>
          </cell>
          <cell r="M462">
            <v>3</v>
          </cell>
          <cell r="N462">
            <v>13</v>
          </cell>
        </row>
        <row r="463">
          <cell r="E463" t="str">
            <v>Países Bajos</v>
          </cell>
          <cell r="G463" t="str">
            <v>Japón</v>
          </cell>
          <cell r="I463" t="str">
            <v>Suecia</v>
          </cell>
          <cell r="K463">
            <v>7</v>
          </cell>
          <cell r="L463">
            <v>6</v>
          </cell>
          <cell r="M463">
            <v>5</v>
          </cell>
          <cell r="N463">
            <v>18</v>
          </cell>
        </row>
        <row r="464">
          <cell r="E464" t="str">
            <v>Bélgica</v>
          </cell>
          <cell r="G464" t="str">
            <v>Egipto</v>
          </cell>
          <cell r="I464" t="str">
            <v>Irán</v>
          </cell>
          <cell r="K464">
            <v>7</v>
          </cell>
          <cell r="L464">
            <v>6</v>
          </cell>
          <cell r="M464">
            <v>5</v>
          </cell>
          <cell r="N464">
            <v>18</v>
          </cell>
        </row>
        <row r="465">
          <cell r="E465" t="str">
            <v>España</v>
          </cell>
          <cell r="G465" t="str">
            <v>Uruguay</v>
          </cell>
          <cell r="I465" t="str">
            <v>Arabia Saudita</v>
          </cell>
          <cell r="K465">
            <v>7</v>
          </cell>
          <cell r="L465">
            <v>0</v>
          </cell>
          <cell r="M465">
            <v>0</v>
          </cell>
          <cell r="N465">
            <v>7</v>
          </cell>
        </row>
        <row r="466">
          <cell r="E466" t="str">
            <v>Francia</v>
          </cell>
          <cell r="G466" t="str">
            <v>Noruega</v>
          </cell>
          <cell r="I466" t="str">
            <v>Senegal</v>
          </cell>
          <cell r="K466">
            <v>7</v>
          </cell>
          <cell r="L466">
            <v>6</v>
          </cell>
          <cell r="M466">
            <v>5</v>
          </cell>
          <cell r="N466">
            <v>18</v>
          </cell>
        </row>
        <row r="467">
          <cell r="E467" t="str">
            <v>Argentina</v>
          </cell>
          <cell r="G467" t="str">
            <v>Argelia</v>
          </cell>
          <cell r="I467" t="str">
            <v>Austria</v>
          </cell>
          <cell r="K467">
            <v>7</v>
          </cell>
          <cell r="L467">
            <v>0</v>
          </cell>
          <cell r="M467">
            <v>3</v>
          </cell>
          <cell r="N467">
            <v>10</v>
          </cell>
        </row>
        <row r="468">
          <cell r="E468" t="str">
            <v>Portugal</v>
          </cell>
          <cell r="G468" t="str">
            <v>Colombia</v>
          </cell>
          <cell r="I468" t="str">
            <v>RD Congo</v>
          </cell>
          <cell r="K468">
            <v>3</v>
          </cell>
          <cell r="L468">
            <v>3</v>
          </cell>
          <cell r="M468">
            <v>0</v>
          </cell>
          <cell r="N468">
            <v>6</v>
          </cell>
        </row>
        <row r="469">
          <cell r="E469" t="str">
            <v>Inglaterra</v>
          </cell>
          <cell r="G469" t="str">
            <v>Croacia</v>
          </cell>
          <cell r="I469" t="str">
            <v>Ghana</v>
          </cell>
          <cell r="K469">
            <v>7</v>
          </cell>
          <cell r="L469">
            <v>3</v>
          </cell>
          <cell r="M469">
            <v>3</v>
          </cell>
          <cell r="N469">
            <v>13</v>
          </cell>
        </row>
        <row r="470">
          <cell r="E470" t="str">
            <v>Corea República</v>
          </cell>
          <cell r="G470" t="str">
            <v>Sudáfrica</v>
          </cell>
          <cell r="I470" t="str">
            <v>México</v>
          </cell>
          <cell r="K470">
            <v>3</v>
          </cell>
          <cell r="L470">
            <v>6</v>
          </cell>
          <cell r="M470">
            <v>3</v>
          </cell>
          <cell r="N470">
            <v>12</v>
          </cell>
        </row>
        <row r="471">
          <cell r="E471" t="str">
            <v>Suiza</v>
          </cell>
          <cell r="G471" t="str">
            <v>Canadá</v>
          </cell>
          <cell r="I471" t="str">
            <v>Qatar</v>
          </cell>
          <cell r="K471">
            <v>7</v>
          </cell>
          <cell r="L471">
            <v>6</v>
          </cell>
          <cell r="M471">
            <v>0</v>
          </cell>
          <cell r="N471">
            <v>13</v>
          </cell>
        </row>
        <row r="472">
          <cell r="E472" t="str">
            <v>Marruecos</v>
          </cell>
          <cell r="G472" t="str">
            <v>Escocia</v>
          </cell>
          <cell r="I472" t="str">
            <v>Brasil</v>
          </cell>
          <cell r="K472">
            <v>3</v>
          </cell>
          <cell r="L472">
            <v>0</v>
          </cell>
          <cell r="M472">
            <v>3</v>
          </cell>
          <cell r="N472">
            <v>6</v>
          </cell>
        </row>
        <row r="473">
          <cell r="E473" t="str">
            <v>Australia</v>
          </cell>
          <cell r="G473" t="str">
            <v>Türkiye</v>
          </cell>
          <cell r="I473" t="str">
            <v>Paraguay</v>
          </cell>
          <cell r="K473">
            <v>3</v>
          </cell>
          <cell r="L473">
            <v>0</v>
          </cell>
          <cell r="M473">
            <v>5</v>
          </cell>
          <cell r="N473">
            <v>8</v>
          </cell>
        </row>
        <row r="474">
          <cell r="E474" t="str">
            <v>Alemania</v>
          </cell>
          <cell r="G474" t="str">
            <v>Costa de Marfil</v>
          </cell>
          <cell r="I474" t="str">
            <v>Curazao</v>
          </cell>
          <cell r="K474">
            <v>7</v>
          </cell>
          <cell r="L474">
            <v>6</v>
          </cell>
          <cell r="M474">
            <v>0</v>
          </cell>
          <cell r="N474">
            <v>13</v>
          </cell>
        </row>
        <row r="475">
          <cell r="E475" t="str">
            <v>Países Bajos</v>
          </cell>
          <cell r="G475" t="str">
            <v>Suecia</v>
          </cell>
          <cell r="I475" t="str">
            <v>Japón</v>
          </cell>
          <cell r="K475">
            <v>7</v>
          </cell>
          <cell r="L475">
            <v>3</v>
          </cell>
          <cell r="M475">
            <v>3</v>
          </cell>
          <cell r="N475">
            <v>13</v>
          </cell>
        </row>
        <row r="476">
          <cell r="E476" t="str">
            <v>Bélgica</v>
          </cell>
          <cell r="G476" t="str">
            <v>Nueva Zelanda</v>
          </cell>
          <cell r="I476" t="str">
            <v>Egipto</v>
          </cell>
          <cell r="K476">
            <v>7</v>
          </cell>
          <cell r="L476">
            <v>0</v>
          </cell>
          <cell r="M476">
            <v>3</v>
          </cell>
          <cell r="N476">
            <v>10</v>
          </cell>
        </row>
        <row r="477">
          <cell r="E477" t="str">
            <v>Uruguay</v>
          </cell>
          <cell r="G477" t="str">
            <v>España</v>
          </cell>
          <cell r="I477" t="str">
            <v>Arabia Saudita</v>
          </cell>
          <cell r="K477">
            <v>0</v>
          </cell>
          <cell r="L477">
            <v>3</v>
          </cell>
          <cell r="M477">
            <v>0</v>
          </cell>
          <cell r="N477">
            <v>3</v>
          </cell>
        </row>
        <row r="478">
          <cell r="E478" t="str">
            <v>Francia</v>
          </cell>
          <cell r="G478" t="str">
            <v>Noruega</v>
          </cell>
          <cell r="I478" t="str">
            <v>Senegal</v>
          </cell>
          <cell r="K478">
            <v>7</v>
          </cell>
          <cell r="L478">
            <v>6</v>
          </cell>
          <cell r="M478">
            <v>5</v>
          </cell>
          <cell r="N478">
            <v>18</v>
          </cell>
        </row>
        <row r="479">
          <cell r="E479" t="str">
            <v>Argentina</v>
          </cell>
          <cell r="G479" t="str">
            <v>Austria</v>
          </cell>
          <cell r="I479" t="str">
            <v>Jordania</v>
          </cell>
          <cell r="K479">
            <v>7</v>
          </cell>
          <cell r="L479">
            <v>6</v>
          </cell>
          <cell r="M479">
            <v>0</v>
          </cell>
          <cell r="N479">
            <v>13</v>
          </cell>
        </row>
        <row r="480">
          <cell r="E480" t="str">
            <v>Portugal</v>
          </cell>
          <cell r="G480" t="str">
            <v>Colombia</v>
          </cell>
          <cell r="I480" t="str">
            <v>RD Congo</v>
          </cell>
          <cell r="K480">
            <v>3</v>
          </cell>
          <cell r="L480">
            <v>3</v>
          </cell>
          <cell r="M480">
            <v>0</v>
          </cell>
          <cell r="N480">
            <v>6</v>
          </cell>
        </row>
        <row r="481">
          <cell r="E481" t="str">
            <v>Inglaterra</v>
          </cell>
          <cell r="G481" t="str">
            <v>Croacia</v>
          </cell>
          <cell r="I481" t="str">
            <v>Panamá</v>
          </cell>
          <cell r="K481">
            <v>7</v>
          </cell>
          <cell r="L481">
            <v>3</v>
          </cell>
          <cell r="M481">
            <v>0</v>
          </cell>
          <cell r="N481">
            <v>10</v>
          </cell>
        </row>
        <row r="482">
          <cell r="E482" t="str">
            <v>Corea República</v>
          </cell>
          <cell r="G482" t="str">
            <v>Chequia</v>
          </cell>
          <cell r="I482" t="str">
            <v>México</v>
          </cell>
          <cell r="K482">
            <v>3</v>
          </cell>
          <cell r="L482">
            <v>0</v>
          </cell>
          <cell r="M482">
            <v>3</v>
          </cell>
          <cell r="N482">
            <v>6</v>
          </cell>
        </row>
        <row r="483">
          <cell r="E483" t="str">
            <v>Canadá</v>
          </cell>
          <cell r="G483" t="str">
            <v>Suiza</v>
          </cell>
          <cell r="I483" t="str">
            <v>Bosnia y Herzegovina</v>
          </cell>
          <cell r="K483">
            <v>3</v>
          </cell>
          <cell r="L483">
            <v>3</v>
          </cell>
          <cell r="M483">
            <v>5</v>
          </cell>
          <cell r="N483">
            <v>11</v>
          </cell>
        </row>
        <row r="484">
          <cell r="E484" t="str">
            <v>Brasil</v>
          </cell>
          <cell r="G484" t="str">
            <v>Marruecos</v>
          </cell>
          <cell r="I484" t="str">
            <v>Escocia</v>
          </cell>
          <cell r="K484">
            <v>7</v>
          </cell>
          <cell r="L484">
            <v>6</v>
          </cell>
          <cell r="M484">
            <v>0</v>
          </cell>
          <cell r="N484">
            <v>13</v>
          </cell>
        </row>
        <row r="485">
          <cell r="E485" t="str">
            <v>Paraguay</v>
          </cell>
          <cell r="G485" t="str">
            <v>Türkiye</v>
          </cell>
          <cell r="I485" t="str">
            <v>Estados Unidos</v>
          </cell>
          <cell r="K485">
            <v>3</v>
          </cell>
          <cell r="L485">
            <v>0</v>
          </cell>
          <cell r="M485">
            <v>3</v>
          </cell>
          <cell r="N485">
            <v>6</v>
          </cell>
        </row>
        <row r="486">
          <cell r="E486" t="str">
            <v>Alemania</v>
          </cell>
          <cell r="G486" t="str">
            <v>Ecuador</v>
          </cell>
          <cell r="I486" t="str">
            <v>Costa de Marfil</v>
          </cell>
          <cell r="K486">
            <v>7</v>
          </cell>
          <cell r="L486">
            <v>3</v>
          </cell>
          <cell r="M486">
            <v>3</v>
          </cell>
          <cell r="N486">
            <v>13</v>
          </cell>
        </row>
        <row r="487">
          <cell r="E487" t="str">
            <v>Países Bajos</v>
          </cell>
          <cell r="G487" t="str">
            <v>Japón</v>
          </cell>
          <cell r="I487" t="str">
            <v>Suecia</v>
          </cell>
          <cell r="K487">
            <v>7</v>
          </cell>
          <cell r="L487">
            <v>6</v>
          </cell>
          <cell r="M487">
            <v>5</v>
          </cell>
          <cell r="N487">
            <v>18</v>
          </cell>
        </row>
        <row r="488">
          <cell r="E488" t="str">
            <v>Bélgica</v>
          </cell>
          <cell r="G488" t="str">
            <v>Egipto</v>
          </cell>
          <cell r="I488" t="str">
            <v>Irán</v>
          </cell>
          <cell r="K488">
            <v>7</v>
          </cell>
          <cell r="L488">
            <v>6</v>
          </cell>
          <cell r="M488">
            <v>5</v>
          </cell>
          <cell r="N488">
            <v>18</v>
          </cell>
        </row>
        <row r="489">
          <cell r="E489" t="str">
            <v>España</v>
          </cell>
          <cell r="G489" t="str">
            <v>Uruguay</v>
          </cell>
          <cell r="I489" t="str">
            <v>Arabia Saudita</v>
          </cell>
          <cell r="K489">
            <v>7</v>
          </cell>
          <cell r="L489">
            <v>0</v>
          </cell>
          <cell r="M489">
            <v>0</v>
          </cell>
          <cell r="N489">
            <v>7</v>
          </cell>
        </row>
        <row r="490">
          <cell r="E490" t="str">
            <v>Francia</v>
          </cell>
          <cell r="G490" t="str">
            <v>Noruega</v>
          </cell>
          <cell r="I490" t="str">
            <v>Senegal</v>
          </cell>
          <cell r="K490">
            <v>7</v>
          </cell>
          <cell r="L490">
            <v>6</v>
          </cell>
          <cell r="M490">
            <v>5</v>
          </cell>
          <cell r="N490">
            <v>18</v>
          </cell>
        </row>
        <row r="491">
          <cell r="E491" t="str">
            <v>Argentina</v>
          </cell>
          <cell r="G491" t="str">
            <v>Austria</v>
          </cell>
          <cell r="I491" t="str">
            <v>Argelia</v>
          </cell>
          <cell r="K491">
            <v>7</v>
          </cell>
          <cell r="L491">
            <v>6</v>
          </cell>
          <cell r="M491">
            <v>0</v>
          </cell>
          <cell r="N491">
            <v>13</v>
          </cell>
        </row>
        <row r="492">
          <cell r="E492" t="str">
            <v>Portugal</v>
          </cell>
          <cell r="G492" t="str">
            <v>Colombia</v>
          </cell>
          <cell r="I492" t="str">
            <v>Uzbekistán</v>
          </cell>
          <cell r="K492">
            <v>3</v>
          </cell>
          <cell r="L492">
            <v>3</v>
          </cell>
          <cell r="M492">
            <v>0</v>
          </cell>
          <cell r="N492">
            <v>6</v>
          </cell>
        </row>
        <row r="493">
          <cell r="E493" t="str">
            <v>Inglaterra</v>
          </cell>
          <cell r="G493" t="str">
            <v>Croacia</v>
          </cell>
          <cell r="I493" t="str">
            <v>Panamá</v>
          </cell>
          <cell r="K493">
            <v>7</v>
          </cell>
          <cell r="L493">
            <v>3</v>
          </cell>
          <cell r="M493">
            <v>0</v>
          </cell>
          <cell r="N493">
            <v>10</v>
          </cell>
        </row>
        <row r="494">
          <cell r="E494" t="str">
            <v>México</v>
          </cell>
          <cell r="G494" t="str">
            <v>Corea República</v>
          </cell>
          <cell r="I494" t="str">
            <v>Chequia</v>
          </cell>
          <cell r="K494">
            <v>7</v>
          </cell>
          <cell r="L494">
            <v>3</v>
          </cell>
          <cell r="M494">
            <v>0</v>
          </cell>
          <cell r="N494">
            <v>10</v>
          </cell>
        </row>
        <row r="495">
          <cell r="E495" t="str">
            <v>Canadá</v>
          </cell>
          <cell r="G495" t="str">
            <v>Suiza</v>
          </cell>
          <cell r="I495" t="str">
            <v>Qatar</v>
          </cell>
          <cell r="K495">
            <v>3</v>
          </cell>
          <cell r="L495">
            <v>3</v>
          </cell>
          <cell r="M495">
            <v>0</v>
          </cell>
          <cell r="N495">
            <v>6</v>
          </cell>
        </row>
        <row r="496">
          <cell r="E496" t="str">
            <v>Brasil</v>
          </cell>
          <cell r="G496" t="str">
            <v>Marruecos</v>
          </cell>
          <cell r="I496" t="str">
            <v>Escocia</v>
          </cell>
          <cell r="K496">
            <v>7</v>
          </cell>
          <cell r="L496">
            <v>6</v>
          </cell>
          <cell r="M496">
            <v>0</v>
          </cell>
          <cell r="N496">
            <v>13</v>
          </cell>
        </row>
        <row r="497">
          <cell r="E497" t="str">
            <v>Estados Unidos</v>
          </cell>
          <cell r="G497" t="str">
            <v>Türkiye</v>
          </cell>
          <cell r="I497" t="str">
            <v>Paraguay</v>
          </cell>
          <cell r="K497">
            <v>7</v>
          </cell>
          <cell r="L497">
            <v>0</v>
          </cell>
          <cell r="M497">
            <v>5</v>
          </cell>
          <cell r="N497">
            <v>12</v>
          </cell>
        </row>
        <row r="498">
          <cell r="E498" t="str">
            <v>Ecuador</v>
          </cell>
          <cell r="G498" t="str">
            <v>Alemania</v>
          </cell>
          <cell r="I498" t="str">
            <v>Costa de Marfil</v>
          </cell>
          <cell r="K498">
            <v>3</v>
          </cell>
          <cell r="L498">
            <v>3</v>
          </cell>
          <cell r="M498">
            <v>3</v>
          </cell>
          <cell r="N498">
            <v>9</v>
          </cell>
        </row>
        <row r="499">
          <cell r="E499" t="str">
            <v>Países Bajos</v>
          </cell>
          <cell r="G499" t="str">
            <v>Suecia</v>
          </cell>
          <cell r="I499" t="str">
            <v>Japón</v>
          </cell>
          <cell r="K499">
            <v>7</v>
          </cell>
          <cell r="L499">
            <v>3</v>
          </cell>
          <cell r="M499">
            <v>3</v>
          </cell>
          <cell r="N499">
            <v>13</v>
          </cell>
        </row>
        <row r="500">
          <cell r="E500" t="str">
            <v>Bélgica</v>
          </cell>
          <cell r="G500" t="str">
            <v>Egipto</v>
          </cell>
          <cell r="I500" t="str">
            <v>Nueva Zelanda</v>
          </cell>
          <cell r="K500">
            <v>7</v>
          </cell>
          <cell r="L500">
            <v>6</v>
          </cell>
          <cell r="M500">
            <v>0</v>
          </cell>
          <cell r="N500">
            <v>13</v>
          </cell>
        </row>
        <row r="501">
          <cell r="E501" t="str">
            <v>España</v>
          </cell>
          <cell r="G501" t="str">
            <v>Uruguay</v>
          </cell>
          <cell r="I501" t="str">
            <v>Arabia Saudita</v>
          </cell>
          <cell r="K501">
            <v>7</v>
          </cell>
          <cell r="L501">
            <v>0</v>
          </cell>
          <cell r="M501">
            <v>0</v>
          </cell>
          <cell r="N501">
            <v>7</v>
          </cell>
        </row>
        <row r="502">
          <cell r="E502" t="str">
            <v>Francia</v>
          </cell>
          <cell r="G502" t="str">
            <v>Noruega</v>
          </cell>
          <cell r="I502" t="str">
            <v>Senegal</v>
          </cell>
          <cell r="K502">
            <v>7</v>
          </cell>
          <cell r="L502">
            <v>6</v>
          </cell>
          <cell r="M502">
            <v>5</v>
          </cell>
          <cell r="N502">
            <v>18</v>
          </cell>
        </row>
        <row r="503">
          <cell r="E503" t="str">
            <v>Argentina</v>
          </cell>
          <cell r="G503" t="str">
            <v>Austria</v>
          </cell>
          <cell r="I503" t="str">
            <v>Argelia</v>
          </cell>
          <cell r="K503">
            <v>7</v>
          </cell>
          <cell r="L503">
            <v>6</v>
          </cell>
          <cell r="M503">
            <v>0</v>
          </cell>
          <cell r="N503">
            <v>13</v>
          </cell>
        </row>
        <row r="504">
          <cell r="E504" t="str">
            <v>Portugal</v>
          </cell>
          <cell r="G504" t="str">
            <v>Colombia</v>
          </cell>
          <cell r="I504" t="str">
            <v>Uzbekistán</v>
          </cell>
          <cell r="K504">
            <v>3</v>
          </cell>
          <cell r="L504">
            <v>3</v>
          </cell>
          <cell r="M504">
            <v>0</v>
          </cell>
          <cell r="N504">
            <v>6</v>
          </cell>
        </row>
        <row r="505">
          <cell r="E505" t="str">
            <v>Inglaterra</v>
          </cell>
          <cell r="G505" t="str">
            <v>Croacia</v>
          </cell>
          <cell r="I505" t="str">
            <v>Panamá</v>
          </cell>
          <cell r="K505">
            <v>7</v>
          </cell>
          <cell r="L505">
            <v>3</v>
          </cell>
          <cell r="M505">
            <v>0</v>
          </cell>
          <cell r="N505">
            <v>10</v>
          </cell>
        </row>
        <row r="506">
          <cell r="E506" t="str">
            <v>México</v>
          </cell>
          <cell r="G506" t="str">
            <v>Corea República</v>
          </cell>
          <cell r="I506" t="str">
            <v>Chequia</v>
          </cell>
          <cell r="K506">
            <v>7</v>
          </cell>
          <cell r="L506">
            <v>3</v>
          </cell>
          <cell r="M506">
            <v>0</v>
          </cell>
          <cell r="N506">
            <v>10</v>
          </cell>
        </row>
        <row r="507">
          <cell r="E507" t="str">
            <v>Suiza</v>
          </cell>
          <cell r="G507" t="str">
            <v>Canadá</v>
          </cell>
          <cell r="I507" t="str">
            <v>Qatar</v>
          </cell>
          <cell r="K507">
            <v>7</v>
          </cell>
          <cell r="L507">
            <v>6</v>
          </cell>
          <cell r="M507">
            <v>0</v>
          </cell>
          <cell r="N507">
            <v>13</v>
          </cell>
        </row>
        <row r="508">
          <cell r="E508" t="str">
            <v>Marruecos</v>
          </cell>
          <cell r="G508" t="str">
            <v>Brasil</v>
          </cell>
          <cell r="I508" t="str">
            <v>Escocia</v>
          </cell>
          <cell r="K508">
            <v>3</v>
          </cell>
          <cell r="L508">
            <v>3</v>
          </cell>
          <cell r="M508">
            <v>0</v>
          </cell>
          <cell r="N508">
            <v>6</v>
          </cell>
        </row>
        <row r="509">
          <cell r="E509" t="str">
            <v>Türkiye</v>
          </cell>
          <cell r="G509" t="str">
            <v>Estados Unidos</v>
          </cell>
          <cell r="I509" t="str">
            <v>Paraguay</v>
          </cell>
          <cell r="K509">
            <v>0</v>
          </cell>
          <cell r="L509">
            <v>3</v>
          </cell>
          <cell r="M509">
            <v>5</v>
          </cell>
          <cell r="N509">
            <v>8</v>
          </cell>
        </row>
        <row r="510">
          <cell r="E510" t="str">
            <v>Alemania</v>
          </cell>
          <cell r="G510" t="str">
            <v>Ecuador</v>
          </cell>
          <cell r="I510" t="str">
            <v>Costa de Marfil</v>
          </cell>
          <cell r="K510">
            <v>7</v>
          </cell>
          <cell r="L510">
            <v>3</v>
          </cell>
          <cell r="M510">
            <v>3</v>
          </cell>
          <cell r="N510">
            <v>13</v>
          </cell>
        </row>
        <row r="511">
          <cell r="E511" t="str">
            <v>Países Bajos</v>
          </cell>
          <cell r="G511" t="str">
            <v>Japón</v>
          </cell>
          <cell r="I511" t="str">
            <v>Suecia</v>
          </cell>
          <cell r="K511">
            <v>7</v>
          </cell>
          <cell r="L511">
            <v>6</v>
          </cell>
          <cell r="M511">
            <v>5</v>
          </cell>
          <cell r="N511">
            <v>18</v>
          </cell>
        </row>
        <row r="512">
          <cell r="E512" t="str">
            <v>Bélgica</v>
          </cell>
          <cell r="G512" t="str">
            <v>Egipto</v>
          </cell>
          <cell r="I512" t="str">
            <v>Irán</v>
          </cell>
          <cell r="K512">
            <v>7</v>
          </cell>
          <cell r="L512">
            <v>6</v>
          </cell>
          <cell r="M512">
            <v>5</v>
          </cell>
          <cell r="N512">
            <v>18</v>
          </cell>
        </row>
        <row r="513">
          <cell r="E513" t="str">
            <v>España</v>
          </cell>
          <cell r="G513" t="str">
            <v>Uruguay</v>
          </cell>
          <cell r="I513" t="str">
            <v>Arabia Saudita</v>
          </cell>
          <cell r="K513">
            <v>7</v>
          </cell>
          <cell r="L513">
            <v>0</v>
          </cell>
          <cell r="M513">
            <v>0</v>
          </cell>
          <cell r="N513">
            <v>7</v>
          </cell>
        </row>
        <row r="514">
          <cell r="E514" t="str">
            <v>Noruega</v>
          </cell>
          <cell r="G514" t="str">
            <v>Francia</v>
          </cell>
          <cell r="I514" t="str">
            <v>Senegal</v>
          </cell>
          <cell r="K514">
            <v>3</v>
          </cell>
          <cell r="L514">
            <v>3</v>
          </cell>
          <cell r="M514">
            <v>5</v>
          </cell>
          <cell r="N514">
            <v>11</v>
          </cell>
        </row>
        <row r="515">
          <cell r="E515" t="str">
            <v>Argentina</v>
          </cell>
          <cell r="G515" t="str">
            <v>Austria</v>
          </cell>
          <cell r="I515" t="str">
            <v>Argelia</v>
          </cell>
          <cell r="K515">
            <v>7</v>
          </cell>
          <cell r="L515">
            <v>6</v>
          </cell>
          <cell r="M515">
            <v>0</v>
          </cell>
          <cell r="N515">
            <v>13</v>
          </cell>
        </row>
        <row r="516">
          <cell r="E516" t="str">
            <v>Portugal</v>
          </cell>
          <cell r="G516" t="str">
            <v>Colombia</v>
          </cell>
          <cell r="I516" t="str">
            <v>RD Congo</v>
          </cell>
          <cell r="K516">
            <v>3</v>
          </cell>
          <cell r="L516">
            <v>3</v>
          </cell>
          <cell r="M516">
            <v>0</v>
          </cell>
          <cell r="N516">
            <v>6</v>
          </cell>
        </row>
        <row r="517">
          <cell r="E517" t="str">
            <v>Inglaterra</v>
          </cell>
          <cell r="G517" t="str">
            <v>Croacia</v>
          </cell>
          <cell r="I517" t="str">
            <v>Panamá</v>
          </cell>
          <cell r="K517">
            <v>7</v>
          </cell>
          <cell r="L517">
            <v>3</v>
          </cell>
          <cell r="M517">
            <v>0</v>
          </cell>
          <cell r="N517">
            <v>10</v>
          </cell>
        </row>
        <row r="518">
          <cell r="E518" t="str">
            <v>México</v>
          </cell>
          <cell r="G518" t="str">
            <v>Chequia</v>
          </cell>
          <cell r="I518" t="str">
            <v>Corea República</v>
          </cell>
          <cell r="K518">
            <v>7</v>
          </cell>
          <cell r="L518">
            <v>0</v>
          </cell>
          <cell r="M518">
            <v>5</v>
          </cell>
          <cell r="N518">
            <v>12</v>
          </cell>
        </row>
        <row r="519">
          <cell r="E519" t="str">
            <v>Canadá</v>
          </cell>
          <cell r="G519" t="str">
            <v>Suiza</v>
          </cell>
          <cell r="I519" t="str">
            <v>Bosnia y Herzegovina</v>
          </cell>
          <cell r="K519">
            <v>3</v>
          </cell>
          <cell r="L519">
            <v>3</v>
          </cell>
          <cell r="M519">
            <v>5</v>
          </cell>
          <cell r="N519">
            <v>11</v>
          </cell>
        </row>
        <row r="520">
          <cell r="E520" t="str">
            <v>Brasil</v>
          </cell>
          <cell r="G520" t="str">
            <v>Marruecos</v>
          </cell>
          <cell r="I520" t="str">
            <v>Escocia</v>
          </cell>
          <cell r="K520">
            <v>7</v>
          </cell>
          <cell r="L520">
            <v>6</v>
          </cell>
          <cell r="M520">
            <v>0</v>
          </cell>
          <cell r="N520">
            <v>13</v>
          </cell>
        </row>
        <row r="521">
          <cell r="E521" t="str">
            <v>Estados Unidos</v>
          </cell>
          <cell r="G521" t="str">
            <v>Türkiye</v>
          </cell>
          <cell r="I521" t="str">
            <v>Paraguay</v>
          </cell>
          <cell r="K521">
            <v>7</v>
          </cell>
          <cell r="L521">
            <v>0</v>
          </cell>
          <cell r="M521">
            <v>5</v>
          </cell>
          <cell r="N521">
            <v>12</v>
          </cell>
        </row>
        <row r="522">
          <cell r="E522" t="str">
            <v>Alemania</v>
          </cell>
          <cell r="G522" t="str">
            <v>Ecuador</v>
          </cell>
          <cell r="I522" t="str">
            <v>Costa de Marfil</v>
          </cell>
          <cell r="K522">
            <v>7</v>
          </cell>
          <cell r="L522">
            <v>3</v>
          </cell>
          <cell r="M522">
            <v>3</v>
          </cell>
          <cell r="N522">
            <v>13</v>
          </cell>
        </row>
        <row r="523">
          <cell r="E523" t="str">
            <v>Países Bajos</v>
          </cell>
          <cell r="G523" t="str">
            <v>Japón</v>
          </cell>
          <cell r="I523" t="str">
            <v>Suecia</v>
          </cell>
          <cell r="K523">
            <v>7</v>
          </cell>
          <cell r="L523">
            <v>6</v>
          </cell>
          <cell r="M523">
            <v>5</v>
          </cell>
          <cell r="N523">
            <v>18</v>
          </cell>
        </row>
        <row r="524">
          <cell r="E524" t="str">
            <v>Bélgica</v>
          </cell>
          <cell r="G524" t="str">
            <v>Egipto</v>
          </cell>
          <cell r="I524" t="str">
            <v>Irán</v>
          </cell>
          <cell r="K524">
            <v>7</v>
          </cell>
          <cell r="L524">
            <v>6</v>
          </cell>
          <cell r="M524">
            <v>5</v>
          </cell>
          <cell r="N524">
            <v>18</v>
          </cell>
        </row>
        <row r="525">
          <cell r="E525" t="str">
            <v>España</v>
          </cell>
          <cell r="G525" t="str">
            <v>Uruguay</v>
          </cell>
          <cell r="I525" t="str">
            <v>Arabia Saudita</v>
          </cell>
          <cell r="K525">
            <v>7</v>
          </cell>
          <cell r="L525">
            <v>0</v>
          </cell>
          <cell r="M525">
            <v>0</v>
          </cell>
          <cell r="N525">
            <v>7</v>
          </cell>
        </row>
        <row r="526">
          <cell r="E526" t="str">
            <v>Francia</v>
          </cell>
          <cell r="G526" t="str">
            <v>Noruega</v>
          </cell>
          <cell r="I526" t="str">
            <v>Senegal</v>
          </cell>
          <cell r="K526">
            <v>7</v>
          </cell>
          <cell r="L526">
            <v>6</v>
          </cell>
          <cell r="M526">
            <v>5</v>
          </cell>
          <cell r="N526">
            <v>18</v>
          </cell>
        </row>
        <row r="527">
          <cell r="E527" t="str">
            <v>Argentina</v>
          </cell>
          <cell r="G527" t="str">
            <v>Argelia</v>
          </cell>
          <cell r="I527" t="str">
            <v>Austria</v>
          </cell>
          <cell r="K527">
            <v>7</v>
          </cell>
          <cell r="L527">
            <v>0</v>
          </cell>
          <cell r="M527">
            <v>3</v>
          </cell>
          <cell r="N527">
            <v>10</v>
          </cell>
        </row>
        <row r="528">
          <cell r="E528" t="str">
            <v>Portugal</v>
          </cell>
          <cell r="G528" t="str">
            <v>Colombia</v>
          </cell>
          <cell r="I528" t="str">
            <v>Uzbekistán</v>
          </cell>
          <cell r="K528">
            <v>3</v>
          </cell>
          <cell r="L528">
            <v>3</v>
          </cell>
          <cell r="M528">
            <v>0</v>
          </cell>
          <cell r="N528">
            <v>6</v>
          </cell>
        </row>
        <row r="529">
          <cell r="E529" t="str">
            <v>Inglaterra</v>
          </cell>
          <cell r="G529" t="str">
            <v>Croacia</v>
          </cell>
          <cell r="I529" t="str">
            <v>Ghana</v>
          </cell>
          <cell r="K529">
            <v>7</v>
          </cell>
          <cell r="L529">
            <v>3</v>
          </cell>
          <cell r="M529">
            <v>3</v>
          </cell>
          <cell r="N529">
            <v>13</v>
          </cell>
        </row>
        <row r="530">
          <cell r="E530" t="str">
            <v>México</v>
          </cell>
          <cell r="G530" t="str">
            <v>Chequia</v>
          </cell>
          <cell r="I530" t="str">
            <v>Corea República</v>
          </cell>
          <cell r="K530">
            <v>7</v>
          </cell>
          <cell r="L530">
            <v>0</v>
          </cell>
          <cell r="M530">
            <v>5</v>
          </cell>
          <cell r="N530">
            <v>12</v>
          </cell>
        </row>
        <row r="531">
          <cell r="E531" t="str">
            <v>Canadá</v>
          </cell>
          <cell r="G531" t="str">
            <v>Suiza</v>
          </cell>
          <cell r="I531" t="str">
            <v>Bosnia y Herzegovina</v>
          </cell>
          <cell r="K531">
            <v>3</v>
          </cell>
          <cell r="L531">
            <v>3</v>
          </cell>
          <cell r="M531">
            <v>5</v>
          </cell>
          <cell r="N531">
            <v>11</v>
          </cell>
        </row>
        <row r="532">
          <cell r="E532" t="str">
            <v>Brasil</v>
          </cell>
          <cell r="G532" t="str">
            <v>Marruecos</v>
          </cell>
          <cell r="I532" t="str">
            <v>Escocia</v>
          </cell>
          <cell r="K532">
            <v>7</v>
          </cell>
          <cell r="L532">
            <v>6</v>
          </cell>
          <cell r="M532">
            <v>0</v>
          </cell>
          <cell r="N532">
            <v>13</v>
          </cell>
        </row>
        <row r="533">
          <cell r="E533" t="str">
            <v>Estados Unidos</v>
          </cell>
          <cell r="G533" t="str">
            <v>Paraguay</v>
          </cell>
          <cell r="I533" t="str">
            <v>Australia</v>
          </cell>
          <cell r="K533">
            <v>7</v>
          </cell>
          <cell r="L533">
            <v>3</v>
          </cell>
          <cell r="M533">
            <v>3</v>
          </cell>
          <cell r="N533">
            <v>13</v>
          </cell>
        </row>
        <row r="534">
          <cell r="E534" t="str">
            <v>Alemania</v>
          </cell>
          <cell r="G534" t="str">
            <v>Costa de Marfil</v>
          </cell>
          <cell r="I534" t="str">
            <v>Ecuador</v>
          </cell>
          <cell r="K534">
            <v>7</v>
          </cell>
          <cell r="L534">
            <v>6</v>
          </cell>
          <cell r="M534">
            <v>5</v>
          </cell>
          <cell r="N534">
            <v>18</v>
          </cell>
        </row>
        <row r="535">
          <cell r="E535" t="str">
            <v>Países Bajos</v>
          </cell>
          <cell r="G535" t="str">
            <v>Japón</v>
          </cell>
          <cell r="I535" t="str">
            <v>Suecia</v>
          </cell>
          <cell r="K535">
            <v>7</v>
          </cell>
          <cell r="L535">
            <v>6</v>
          </cell>
          <cell r="M535">
            <v>5</v>
          </cell>
          <cell r="N535">
            <v>18</v>
          </cell>
        </row>
        <row r="536">
          <cell r="E536" t="str">
            <v>Bélgica</v>
          </cell>
          <cell r="G536" t="str">
            <v>Egipto</v>
          </cell>
          <cell r="I536" t="str">
            <v>Nueva Zelanda</v>
          </cell>
          <cell r="K536">
            <v>7</v>
          </cell>
          <cell r="L536">
            <v>6</v>
          </cell>
          <cell r="M536">
            <v>0</v>
          </cell>
          <cell r="N536">
            <v>13</v>
          </cell>
        </row>
        <row r="537">
          <cell r="E537" t="str">
            <v>España</v>
          </cell>
          <cell r="G537" t="str">
            <v>Uruguay</v>
          </cell>
          <cell r="I537" t="str">
            <v>Cabo Verde</v>
          </cell>
          <cell r="K537">
            <v>7</v>
          </cell>
          <cell r="L537">
            <v>0</v>
          </cell>
          <cell r="M537">
            <v>3</v>
          </cell>
          <cell r="N537">
            <v>10</v>
          </cell>
        </row>
        <row r="538">
          <cell r="E538" t="str">
            <v>Francia</v>
          </cell>
          <cell r="G538" t="str">
            <v>Noruega</v>
          </cell>
          <cell r="I538" t="str">
            <v>Senegal</v>
          </cell>
          <cell r="K538">
            <v>7</v>
          </cell>
          <cell r="L538">
            <v>6</v>
          </cell>
          <cell r="M538">
            <v>5</v>
          </cell>
          <cell r="N538">
            <v>18</v>
          </cell>
        </row>
        <row r="539">
          <cell r="E539" t="str">
            <v>Argentina</v>
          </cell>
          <cell r="G539" t="str">
            <v>Austria</v>
          </cell>
          <cell r="I539" t="str">
            <v>Jordania</v>
          </cell>
          <cell r="K539">
            <v>7</v>
          </cell>
          <cell r="L539">
            <v>6</v>
          </cell>
          <cell r="M539">
            <v>0</v>
          </cell>
          <cell r="N539">
            <v>13</v>
          </cell>
        </row>
        <row r="540">
          <cell r="E540" t="str">
            <v>Portugal</v>
          </cell>
          <cell r="G540" t="str">
            <v>Colombia</v>
          </cell>
          <cell r="I540" t="str">
            <v>RD Congo</v>
          </cell>
          <cell r="K540">
            <v>3</v>
          </cell>
          <cell r="L540">
            <v>3</v>
          </cell>
          <cell r="M540">
            <v>0</v>
          </cell>
          <cell r="N540">
            <v>6</v>
          </cell>
        </row>
        <row r="541">
          <cell r="E541" t="str">
            <v>Inglaterra</v>
          </cell>
          <cell r="G541" t="str">
            <v>Croacia</v>
          </cell>
          <cell r="I541" t="str">
            <v>Panamá</v>
          </cell>
          <cell r="K541">
            <v>7</v>
          </cell>
          <cell r="L541">
            <v>3</v>
          </cell>
          <cell r="M541">
            <v>0</v>
          </cell>
          <cell r="N541">
            <v>10</v>
          </cell>
        </row>
        <row r="542">
          <cell r="E542" t="str">
            <v>México</v>
          </cell>
          <cell r="G542" t="str">
            <v>Chequia</v>
          </cell>
          <cell r="I542" t="str">
            <v>Corea República</v>
          </cell>
          <cell r="K542">
            <v>7</v>
          </cell>
          <cell r="L542">
            <v>0</v>
          </cell>
          <cell r="M542">
            <v>5</v>
          </cell>
          <cell r="N542">
            <v>12</v>
          </cell>
        </row>
        <row r="543">
          <cell r="E543" t="str">
            <v>Suiza</v>
          </cell>
          <cell r="G543" t="str">
            <v>Canadá</v>
          </cell>
          <cell r="I543" t="str">
            <v>Qatar</v>
          </cell>
          <cell r="K543">
            <v>7</v>
          </cell>
          <cell r="L543">
            <v>6</v>
          </cell>
          <cell r="M543">
            <v>0</v>
          </cell>
          <cell r="N543">
            <v>13</v>
          </cell>
        </row>
        <row r="544">
          <cell r="E544" t="str">
            <v>Brasil</v>
          </cell>
          <cell r="G544" t="str">
            <v>Marruecos</v>
          </cell>
          <cell r="I544" t="str">
            <v>Escocia</v>
          </cell>
          <cell r="K544">
            <v>7</v>
          </cell>
          <cell r="L544">
            <v>6</v>
          </cell>
          <cell r="M544">
            <v>0</v>
          </cell>
          <cell r="N544">
            <v>13</v>
          </cell>
        </row>
        <row r="545">
          <cell r="E545" t="str">
            <v>Estados Unidos</v>
          </cell>
          <cell r="G545" t="str">
            <v>Paraguay</v>
          </cell>
          <cell r="I545" t="str">
            <v>Türkiye</v>
          </cell>
          <cell r="K545">
            <v>7</v>
          </cell>
          <cell r="L545">
            <v>3</v>
          </cell>
          <cell r="M545">
            <v>0</v>
          </cell>
          <cell r="N545">
            <v>10</v>
          </cell>
        </row>
        <row r="546">
          <cell r="E546" t="str">
            <v>Alemania</v>
          </cell>
          <cell r="G546" t="str">
            <v>Ecuador</v>
          </cell>
          <cell r="I546" t="str">
            <v>Costa de Marfil</v>
          </cell>
          <cell r="K546">
            <v>7</v>
          </cell>
          <cell r="L546">
            <v>3</v>
          </cell>
          <cell r="M546">
            <v>3</v>
          </cell>
          <cell r="N546">
            <v>13</v>
          </cell>
        </row>
        <row r="547">
          <cell r="E547" t="str">
            <v>Países Bajos</v>
          </cell>
          <cell r="G547" t="str">
            <v>Japón</v>
          </cell>
          <cell r="I547" t="str">
            <v>Suecia</v>
          </cell>
          <cell r="K547">
            <v>7</v>
          </cell>
          <cell r="L547">
            <v>6</v>
          </cell>
          <cell r="M547">
            <v>5</v>
          </cell>
          <cell r="N547">
            <v>18</v>
          </cell>
        </row>
        <row r="548">
          <cell r="E548" t="str">
            <v>Bélgica</v>
          </cell>
          <cell r="G548" t="str">
            <v>Egipto</v>
          </cell>
          <cell r="I548" t="str">
            <v>Irán</v>
          </cell>
          <cell r="K548">
            <v>7</v>
          </cell>
          <cell r="L548">
            <v>6</v>
          </cell>
          <cell r="M548">
            <v>5</v>
          </cell>
          <cell r="N548">
            <v>18</v>
          </cell>
        </row>
        <row r="549">
          <cell r="E549" t="str">
            <v>España</v>
          </cell>
          <cell r="G549" t="str">
            <v>Uruguay</v>
          </cell>
          <cell r="I549" t="str">
            <v>Cabo Verde</v>
          </cell>
          <cell r="K549">
            <v>7</v>
          </cell>
          <cell r="L549">
            <v>0</v>
          </cell>
          <cell r="M549">
            <v>3</v>
          </cell>
          <cell r="N549">
            <v>10</v>
          </cell>
        </row>
        <row r="550">
          <cell r="E550" t="str">
            <v>Francia</v>
          </cell>
          <cell r="G550" t="str">
            <v>Noruega</v>
          </cell>
          <cell r="I550" t="str">
            <v>Senegal</v>
          </cell>
          <cell r="K550">
            <v>7</v>
          </cell>
          <cell r="L550">
            <v>6</v>
          </cell>
          <cell r="M550">
            <v>5</v>
          </cell>
          <cell r="N550">
            <v>18</v>
          </cell>
        </row>
        <row r="551">
          <cell r="E551" t="str">
            <v>Argentina</v>
          </cell>
          <cell r="G551" t="str">
            <v>Austria</v>
          </cell>
          <cell r="I551" t="str">
            <v>Argelia</v>
          </cell>
          <cell r="K551">
            <v>7</v>
          </cell>
          <cell r="L551">
            <v>6</v>
          </cell>
          <cell r="M551">
            <v>0</v>
          </cell>
          <cell r="N551">
            <v>13</v>
          </cell>
        </row>
        <row r="552">
          <cell r="E552" t="str">
            <v>Portugal</v>
          </cell>
          <cell r="G552" t="str">
            <v>Colombia</v>
          </cell>
          <cell r="I552" t="str">
            <v>Uzbekistán</v>
          </cell>
          <cell r="K552">
            <v>3</v>
          </cell>
          <cell r="L552">
            <v>3</v>
          </cell>
          <cell r="M552">
            <v>0</v>
          </cell>
          <cell r="N552">
            <v>6</v>
          </cell>
        </row>
        <row r="553">
          <cell r="E553" t="str">
            <v>Inglaterra</v>
          </cell>
          <cell r="G553" t="str">
            <v>Croacia</v>
          </cell>
          <cell r="I553" t="str">
            <v>Ghana</v>
          </cell>
          <cell r="K553">
            <v>7</v>
          </cell>
          <cell r="L553">
            <v>3</v>
          </cell>
          <cell r="M553">
            <v>3</v>
          </cell>
          <cell r="N553">
            <v>13</v>
          </cell>
        </row>
        <row r="554">
          <cell r="E554" t="str">
            <v>México</v>
          </cell>
          <cell r="G554" t="str">
            <v>Chequia</v>
          </cell>
          <cell r="I554" t="str">
            <v>Corea República</v>
          </cell>
          <cell r="K554">
            <v>7</v>
          </cell>
          <cell r="L554">
            <v>0</v>
          </cell>
          <cell r="M554">
            <v>5</v>
          </cell>
          <cell r="N554">
            <v>12</v>
          </cell>
        </row>
        <row r="555">
          <cell r="E555" t="str">
            <v>Canadá</v>
          </cell>
          <cell r="G555" t="str">
            <v>Suiza</v>
          </cell>
          <cell r="I555" t="str">
            <v>Qatar</v>
          </cell>
          <cell r="K555">
            <v>3</v>
          </cell>
          <cell r="L555">
            <v>3</v>
          </cell>
          <cell r="M555">
            <v>0</v>
          </cell>
          <cell r="N555">
            <v>6</v>
          </cell>
        </row>
        <row r="556">
          <cell r="E556" t="str">
            <v>Brasil</v>
          </cell>
          <cell r="G556" t="str">
            <v>Marruecos</v>
          </cell>
          <cell r="I556" t="str">
            <v>Escocia</v>
          </cell>
          <cell r="K556">
            <v>7</v>
          </cell>
          <cell r="L556">
            <v>6</v>
          </cell>
          <cell r="M556">
            <v>0</v>
          </cell>
          <cell r="N556">
            <v>13</v>
          </cell>
        </row>
        <row r="557">
          <cell r="E557" t="str">
            <v>Estados Unidos</v>
          </cell>
          <cell r="G557" t="str">
            <v>Türkiye</v>
          </cell>
          <cell r="I557" t="str">
            <v>Australia</v>
          </cell>
          <cell r="K557">
            <v>7</v>
          </cell>
          <cell r="L557">
            <v>0</v>
          </cell>
          <cell r="M557">
            <v>3</v>
          </cell>
          <cell r="N557">
            <v>10</v>
          </cell>
        </row>
        <row r="558">
          <cell r="E558" t="str">
            <v>Alemania</v>
          </cell>
          <cell r="G558" t="str">
            <v>Costa de Marfil</v>
          </cell>
          <cell r="I558" t="str">
            <v>Curazao</v>
          </cell>
          <cell r="K558">
            <v>7</v>
          </cell>
          <cell r="L558">
            <v>6</v>
          </cell>
          <cell r="M558">
            <v>0</v>
          </cell>
          <cell r="N558">
            <v>13</v>
          </cell>
        </row>
        <row r="559">
          <cell r="E559" t="str">
            <v>Países Bajos</v>
          </cell>
          <cell r="G559" t="str">
            <v>Suecia</v>
          </cell>
          <cell r="I559" t="str">
            <v>Túnez</v>
          </cell>
          <cell r="K559">
            <v>7</v>
          </cell>
          <cell r="L559">
            <v>3</v>
          </cell>
          <cell r="M559">
            <v>0</v>
          </cell>
          <cell r="N559">
            <v>10</v>
          </cell>
        </row>
        <row r="560">
          <cell r="E560" t="str">
            <v>Bélgica</v>
          </cell>
          <cell r="G560" t="str">
            <v>Egipto</v>
          </cell>
          <cell r="I560" t="str">
            <v>Irán</v>
          </cell>
          <cell r="K560">
            <v>7</v>
          </cell>
          <cell r="L560">
            <v>6</v>
          </cell>
          <cell r="M560">
            <v>5</v>
          </cell>
          <cell r="N560">
            <v>18</v>
          </cell>
        </row>
        <row r="561">
          <cell r="E561" t="str">
            <v>España</v>
          </cell>
          <cell r="G561" t="str">
            <v>Uruguay</v>
          </cell>
          <cell r="I561" t="str">
            <v>Cabo Verde</v>
          </cell>
          <cell r="K561">
            <v>7</v>
          </cell>
          <cell r="L561">
            <v>0</v>
          </cell>
          <cell r="M561">
            <v>3</v>
          </cell>
          <cell r="N561">
            <v>10</v>
          </cell>
        </row>
        <row r="562">
          <cell r="E562" t="str">
            <v>Francia</v>
          </cell>
          <cell r="G562" t="str">
            <v>Noruega</v>
          </cell>
          <cell r="I562" t="str">
            <v>Senegal</v>
          </cell>
          <cell r="K562">
            <v>7</v>
          </cell>
          <cell r="L562">
            <v>6</v>
          </cell>
          <cell r="M562">
            <v>5</v>
          </cell>
          <cell r="N562">
            <v>18</v>
          </cell>
        </row>
        <row r="563">
          <cell r="E563" t="str">
            <v>Argentina</v>
          </cell>
          <cell r="G563" t="str">
            <v>Austria</v>
          </cell>
          <cell r="I563" t="str">
            <v>Argelia</v>
          </cell>
          <cell r="K563">
            <v>7</v>
          </cell>
          <cell r="L563">
            <v>6</v>
          </cell>
          <cell r="M563">
            <v>0</v>
          </cell>
          <cell r="N563">
            <v>13</v>
          </cell>
        </row>
        <row r="564">
          <cell r="E564" t="str">
            <v>Portugal</v>
          </cell>
          <cell r="G564" t="str">
            <v>Colombia</v>
          </cell>
          <cell r="I564" t="str">
            <v>Uzbekistán</v>
          </cell>
          <cell r="K564">
            <v>3</v>
          </cell>
          <cell r="L564">
            <v>3</v>
          </cell>
          <cell r="M564">
            <v>0</v>
          </cell>
          <cell r="N564">
            <v>6</v>
          </cell>
        </row>
        <row r="565">
          <cell r="E565" t="str">
            <v>Inglaterra</v>
          </cell>
          <cell r="G565" t="str">
            <v>Croacia</v>
          </cell>
          <cell r="I565" t="str">
            <v>Panamá</v>
          </cell>
          <cell r="K565">
            <v>7</v>
          </cell>
          <cell r="L565">
            <v>3</v>
          </cell>
          <cell r="M565">
            <v>0</v>
          </cell>
          <cell r="N565">
            <v>10</v>
          </cell>
        </row>
        <row r="566">
          <cell r="E566" t="str">
            <v>Corea República</v>
          </cell>
          <cell r="G566" t="str">
            <v>México</v>
          </cell>
          <cell r="I566" t="str">
            <v>Chequia</v>
          </cell>
          <cell r="K566">
            <v>3</v>
          </cell>
          <cell r="L566">
            <v>3</v>
          </cell>
          <cell r="M566">
            <v>0</v>
          </cell>
          <cell r="N566">
            <v>6</v>
          </cell>
        </row>
        <row r="567">
          <cell r="E567" t="str">
            <v>Suiza</v>
          </cell>
          <cell r="G567" t="str">
            <v>Bosnia y Herzegovina</v>
          </cell>
          <cell r="I567" t="str">
            <v>Canadá</v>
          </cell>
          <cell r="K567">
            <v>7</v>
          </cell>
          <cell r="L567">
            <v>3</v>
          </cell>
          <cell r="M567">
            <v>3</v>
          </cell>
          <cell r="N567">
            <v>13</v>
          </cell>
        </row>
        <row r="568">
          <cell r="E568" t="str">
            <v>Brasil</v>
          </cell>
          <cell r="G568" t="str">
            <v>Marruecos</v>
          </cell>
          <cell r="I568" t="str">
            <v>Escocia</v>
          </cell>
          <cell r="K568">
            <v>7</v>
          </cell>
          <cell r="L568">
            <v>6</v>
          </cell>
          <cell r="M568">
            <v>0</v>
          </cell>
          <cell r="N568">
            <v>13</v>
          </cell>
        </row>
        <row r="569">
          <cell r="E569" t="str">
            <v>Estados Unidos</v>
          </cell>
          <cell r="G569" t="str">
            <v>Türkiye</v>
          </cell>
          <cell r="I569" t="str">
            <v>Paraguay</v>
          </cell>
          <cell r="K569">
            <v>7</v>
          </cell>
          <cell r="L569">
            <v>0</v>
          </cell>
          <cell r="M569">
            <v>5</v>
          </cell>
          <cell r="N569">
            <v>12</v>
          </cell>
        </row>
        <row r="570">
          <cell r="E570" t="str">
            <v>Alemania</v>
          </cell>
          <cell r="G570" t="str">
            <v>Ecuador</v>
          </cell>
          <cell r="I570" t="str">
            <v>Costa de Marfil</v>
          </cell>
          <cell r="K570">
            <v>7</v>
          </cell>
          <cell r="L570">
            <v>3</v>
          </cell>
          <cell r="M570">
            <v>3</v>
          </cell>
          <cell r="N570">
            <v>13</v>
          </cell>
        </row>
        <row r="571">
          <cell r="E571" t="str">
            <v>Países Bajos</v>
          </cell>
          <cell r="G571" t="str">
            <v>Suecia</v>
          </cell>
          <cell r="I571" t="str">
            <v>Japón</v>
          </cell>
          <cell r="K571">
            <v>7</v>
          </cell>
          <cell r="L571">
            <v>3</v>
          </cell>
          <cell r="M571">
            <v>3</v>
          </cell>
          <cell r="N571">
            <v>13</v>
          </cell>
        </row>
        <row r="572">
          <cell r="E572" t="str">
            <v>Bélgica</v>
          </cell>
          <cell r="G572" t="str">
            <v>Egipto</v>
          </cell>
          <cell r="I572" t="str">
            <v>Irán</v>
          </cell>
          <cell r="K572">
            <v>7</v>
          </cell>
          <cell r="L572">
            <v>6</v>
          </cell>
          <cell r="M572">
            <v>5</v>
          </cell>
          <cell r="N572">
            <v>18</v>
          </cell>
        </row>
        <row r="573">
          <cell r="E573" t="str">
            <v>España</v>
          </cell>
          <cell r="G573" t="str">
            <v>Uruguay</v>
          </cell>
          <cell r="I573" t="str">
            <v>Arabia Saudita</v>
          </cell>
          <cell r="K573">
            <v>7</v>
          </cell>
          <cell r="L573">
            <v>0</v>
          </cell>
          <cell r="M573">
            <v>0</v>
          </cell>
          <cell r="N573">
            <v>7</v>
          </cell>
        </row>
        <row r="574">
          <cell r="E574" t="str">
            <v>Noruega</v>
          </cell>
          <cell r="G574" t="str">
            <v>Francia</v>
          </cell>
          <cell r="I574" t="str">
            <v>Senegal</v>
          </cell>
          <cell r="K574">
            <v>3</v>
          </cell>
          <cell r="L574">
            <v>3</v>
          </cell>
          <cell r="M574">
            <v>5</v>
          </cell>
          <cell r="N574">
            <v>11</v>
          </cell>
        </row>
        <row r="575">
          <cell r="E575" t="str">
            <v>Argentina</v>
          </cell>
          <cell r="G575" t="str">
            <v>Argelia</v>
          </cell>
          <cell r="I575" t="str">
            <v>Austria</v>
          </cell>
          <cell r="K575">
            <v>7</v>
          </cell>
          <cell r="L575">
            <v>0</v>
          </cell>
          <cell r="M575">
            <v>3</v>
          </cell>
          <cell r="N575">
            <v>10</v>
          </cell>
        </row>
        <row r="576">
          <cell r="E576" t="str">
            <v>Portugal</v>
          </cell>
          <cell r="G576" t="str">
            <v>Colombia</v>
          </cell>
          <cell r="I576" t="str">
            <v>Uzbekistán</v>
          </cell>
          <cell r="K576">
            <v>3</v>
          </cell>
          <cell r="L576">
            <v>3</v>
          </cell>
          <cell r="M576">
            <v>0</v>
          </cell>
          <cell r="N576">
            <v>6</v>
          </cell>
        </row>
        <row r="577">
          <cell r="E577" t="str">
            <v>Inglaterra</v>
          </cell>
          <cell r="G577" t="str">
            <v>Croacia</v>
          </cell>
          <cell r="I577" t="str">
            <v>Panamá</v>
          </cell>
          <cell r="K577">
            <v>7</v>
          </cell>
          <cell r="L577">
            <v>3</v>
          </cell>
          <cell r="M577">
            <v>0</v>
          </cell>
          <cell r="N577">
            <v>10</v>
          </cell>
        </row>
        <row r="578">
          <cell r="E578" t="str">
            <v>Corea República</v>
          </cell>
          <cell r="G578" t="str">
            <v>México</v>
          </cell>
          <cell r="I578" t="str">
            <v>Chequia</v>
          </cell>
          <cell r="K578">
            <v>3</v>
          </cell>
          <cell r="L578">
            <v>3</v>
          </cell>
          <cell r="M578">
            <v>0</v>
          </cell>
          <cell r="N578">
            <v>6</v>
          </cell>
        </row>
        <row r="579">
          <cell r="E579" t="str">
            <v>Suiza</v>
          </cell>
          <cell r="G579" t="str">
            <v>Canadá</v>
          </cell>
          <cell r="I579" t="str">
            <v>Bosnia y Herzegovina</v>
          </cell>
          <cell r="K579">
            <v>7</v>
          </cell>
          <cell r="L579">
            <v>6</v>
          </cell>
          <cell r="M579">
            <v>5</v>
          </cell>
          <cell r="N579">
            <v>18</v>
          </cell>
        </row>
        <row r="580">
          <cell r="E580" t="str">
            <v>Marruecos</v>
          </cell>
          <cell r="G580" t="str">
            <v>Brasil</v>
          </cell>
          <cell r="I580" t="str">
            <v>Escocia</v>
          </cell>
          <cell r="K580">
            <v>3</v>
          </cell>
          <cell r="L580">
            <v>3</v>
          </cell>
          <cell r="M580">
            <v>0</v>
          </cell>
          <cell r="N580">
            <v>6</v>
          </cell>
        </row>
        <row r="581">
          <cell r="E581" t="str">
            <v>Estados Unidos</v>
          </cell>
          <cell r="G581" t="str">
            <v>Türkiye</v>
          </cell>
          <cell r="I581" t="str">
            <v>Paraguay</v>
          </cell>
          <cell r="K581">
            <v>7</v>
          </cell>
          <cell r="L581">
            <v>0</v>
          </cell>
          <cell r="M581">
            <v>5</v>
          </cell>
          <cell r="N581">
            <v>12</v>
          </cell>
        </row>
        <row r="582">
          <cell r="E582" t="str">
            <v>Alemania</v>
          </cell>
          <cell r="G582" t="str">
            <v>Costa de Marfil</v>
          </cell>
          <cell r="I582" t="str">
            <v>Ecuador</v>
          </cell>
          <cell r="K582">
            <v>7</v>
          </cell>
          <cell r="L582">
            <v>6</v>
          </cell>
          <cell r="M582">
            <v>5</v>
          </cell>
          <cell r="N582">
            <v>18</v>
          </cell>
        </row>
        <row r="583">
          <cell r="E583" t="str">
            <v>Países Bajos</v>
          </cell>
          <cell r="G583" t="str">
            <v>Japón</v>
          </cell>
          <cell r="I583" t="str">
            <v>Suecia</v>
          </cell>
          <cell r="K583">
            <v>7</v>
          </cell>
          <cell r="L583">
            <v>6</v>
          </cell>
          <cell r="M583">
            <v>5</v>
          </cell>
          <cell r="N583">
            <v>18</v>
          </cell>
        </row>
        <row r="584">
          <cell r="E584" t="str">
            <v>Bélgica</v>
          </cell>
          <cell r="G584" t="str">
            <v>Egipto</v>
          </cell>
          <cell r="I584" t="str">
            <v>Irán</v>
          </cell>
          <cell r="K584">
            <v>7</v>
          </cell>
          <cell r="L584">
            <v>6</v>
          </cell>
          <cell r="M584">
            <v>5</v>
          </cell>
          <cell r="N584">
            <v>18</v>
          </cell>
        </row>
        <row r="585">
          <cell r="E585" t="str">
            <v>España</v>
          </cell>
          <cell r="G585" t="str">
            <v>Uruguay</v>
          </cell>
          <cell r="I585" t="str">
            <v>Cabo Verde</v>
          </cell>
          <cell r="K585">
            <v>7</v>
          </cell>
          <cell r="L585">
            <v>0</v>
          </cell>
          <cell r="M585">
            <v>3</v>
          </cell>
          <cell r="N585">
            <v>10</v>
          </cell>
        </row>
        <row r="586">
          <cell r="E586" t="str">
            <v>Francia</v>
          </cell>
          <cell r="G586" t="str">
            <v>Noruega</v>
          </cell>
          <cell r="I586" t="str">
            <v>Senegal</v>
          </cell>
          <cell r="K586">
            <v>7</v>
          </cell>
          <cell r="L586">
            <v>6</v>
          </cell>
          <cell r="M586">
            <v>5</v>
          </cell>
          <cell r="N586">
            <v>18</v>
          </cell>
        </row>
        <row r="587">
          <cell r="E587" t="str">
            <v>Argentina</v>
          </cell>
          <cell r="G587" t="str">
            <v>Austria</v>
          </cell>
          <cell r="I587" t="str">
            <v>Argelia</v>
          </cell>
          <cell r="K587">
            <v>7</v>
          </cell>
          <cell r="L587">
            <v>6</v>
          </cell>
          <cell r="M587">
            <v>0</v>
          </cell>
          <cell r="N587">
            <v>13</v>
          </cell>
        </row>
        <row r="588">
          <cell r="E588" t="str">
            <v>Portugal</v>
          </cell>
          <cell r="G588" t="str">
            <v>Colombia</v>
          </cell>
          <cell r="I588" t="str">
            <v>RD Congo</v>
          </cell>
          <cell r="K588">
            <v>3</v>
          </cell>
          <cell r="L588">
            <v>3</v>
          </cell>
          <cell r="M588">
            <v>0</v>
          </cell>
          <cell r="N588">
            <v>6</v>
          </cell>
        </row>
        <row r="589">
          <cell r="E589" t="str">
            <v>Inglaterra</v>
          </cell>
          <cell r="G589" t="str">
            <v>Croacia</v>
          </cell>
          <cell r="I589" t="str">
            <v>Panamá</v>
          </cell>
          <cell r="K589">
            <v>7</v>
          </cell>
          <cell r="L589">
            <v>3</v>
          </cell>
          <cell r="M589">
            <v>0</v>
          </cell>
          <cell r="N589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R50"/>
  <sheetViews>
    <sheetView showGridLines="0" tabSelected="1" workbookViewId="0">
      <selection activeCell="H22" sqref="H22"/>
    </sheetView>
  </sheetViews>
  <sheetFormatPr baseColWidth="10" defaultColWidth="11" defaultRowHeight="15" x14ac:dyDescent="0.25"/>
  <cols>
    <col min="1" max="2" width="10" style="62" customWidth="1"/>
    <col min="3" max="3" width="22" style="64" customWidth="1"/>
    <col min="4" max="4" width="12.42578125" style="62" customWidth="1"/>
    <col min="5" max="5" width="11" style="60"/>
    <col min="6" max="8" width="13.7109375" style="63" customWidth="1"/>
    <col min="9" max="9" width="14.42578125" style="62" customWidth="1"/>
    <col min="10" max="10" width="12.5703125" style="62" customWidth="1"/>
    <col min="11" max="12" width="11" style="60"/>
    <col min="13" max="13" width="11" style="65"/>
    <col min="14" max="14" width="13" style="65" customWidth="1"/>
    <col min="15" max="15" width="29.140625" style="65" customWidth="1"/>
    <col min="16" max="16" width="34.5703125" style="65" customWidth="1"/>
    <col min="17" max="17" width="37.85546875" style="65" customWidth="1"/>
    <col min="18" max="18" width="51.7109375" style="65" customWidth="1"/>
    <col min="19" max="16384" width="11" style="60"/>
  </cols>
  <sheetData>
    <row r="1" spans="1:18" ht="16.5" customHeight="1" thickBot="1" x14ac:dyDescent="0.3">
      <c r="A1" s="109" t="s">
        <v>0</v>
      </c>
      <c r="B1" s="110" t="s">
        <v>1</v>
      </c>
      <c r="C1" s="110" t="s">
        <v>2</v>
      </c>
      <c r="D1" s="111" t="s">
        <v>373</v>
      </c>
      <c r="E1" s="111" t="s">
        <v>374</v>
      </c>
      <c r="F1" s="112" t="s">
        <v>92</v>
      </c>
      <c r="I1" s="61">
        <f ca="1">NOW()</f>
        <v>46200.607016319445</v>
      </c>
      <c r="M1" s="69">
        <v>46199</v>
      </c>
      <c r="N1" s="66" t="s">
        <v>3</v>
      </c>
      <c r="O1" s="66" t="s">
        <v>4</v>
      </c>
      <c r="P1" s="66" t="s">
        <v>5</v>
      </c>
      <c r="Q1" s="66" t="s">
        <v>6</v>
      </c>
      <c r="R1" s="66" t="s">
        <v>7</v>
      </c>
    </row>
    <row r="2" spans="1:18" ht="14.25" customHeight="1" thickBot="1" x14ac:dyDescent="0.3">
      <c r="A2" s="108">
        <f>[1]Puntajes!A2</f>
        <v>30</v>
      </c>
      <c r="B2" s="108">
        <f>[1]Puntajes!B2</f>
        <v>1</v>
      </c>
      <c r="C2" s="108" t="str">
        <f>[1]Puntajes!C2</f>
        <v>Luis Peña</v>
      </c>
      <c r="D2" s="108">
        <f>[1]Puntajes!D2</f>
        <v>63</v>
      </c>
      <c r="E2" s="108">
        <f>[1]Puntajes!E2</f>
        <v>155</v>
      </c>
      <c r="F2" s="108">
        <f>[1]Puntajes!F2</f>
        <v>218</v>
      </c>
      <c r="N2" s="67" t="str">
        <f>Grupo!A3</f>
        <v>Alberto</v>
      </c>
      <c r="O2" s="67">
        <f>Participantes!A2</f>
        <v>1</v>
      </c>
      <c r="P2" s="67">
        <f>Grupo!HJ3</f>
        <v>48</v>
      </c>
      <c r="Q2" s="67">
        <f t="shared" ref="Q2:Q50" si="0">P2*100-ROW()</f>
        <v>4798</v>
      </c>
      <c r="R2" s="67">
        <f t="shared" ref="R2:R50" si="1">SUMPRODUCT(($Q$2:$Q$50&gt;Q2)*1)+1</f>
        <v>26</v>
      </c>
    </row>
    <row r="3" spans="1:18" ht="14.25" customHeight="1" thickBot="1" x14ac:dyDescent="0.3">
      <c r="A3" s="106">
        <f>[1]Puntajes!A3</f>
        <v>34</v>
      </c>
      <c r="B3" s="106">
        <f>[1]Puntajes!B3</f>
        <v>2</v>
      </c>
      <c r="C3" s="106" t="str">
        <f>[1]Puntajes!C3</f>
        <v>Medica</v>
      </c>
      <c r="D3" s="106">
        <f>[1]Puntajes!D3</f>
        <v>59</v>
      </c>
      <c r="E3" s="106">
        <f>[1]Puntajes!E3</f>
        <v>155</v>
      </c>
      <c r="F3" s="106">
        <f>[1]Puntajes!F3</f>
        <v>214</v>
      </c>
      <c r="N3" s="67" t="str">
        <f>Grupo!A4</f>
        <v>Alexander</v>
      </c>
      <c r="O3" s="67">
        <f>Participantes!A3</f>
        <v>2</v>
      </c>
      <c r="P3" s="67">
        <f>Grupo!HJ4</f>
        <v>55</v>
      </c>
      <c r="Q3" s="67">
        <f t="shared" si="0"/>
        <v>5497</v>
      </c>
      <c r="R3" s="67">
        <f t="shared" si="1"/>
        <v>6</v>
      </c>
    </row>
    <row r="4" spans="1:18" ht="14.25" customHeight="1" thickBot="1" x14ac:dyDescent="0.3">
      <c r="A4" s="106">
        <f>[1]Puntajes!A4</f>
        <v>31</v>
      </c>
      <c r="B4" s="106">
        <f>[1]Puntajes!B4</f>
        <v>3</v>
      </c>
      <c r="C4" s="106" t="str">
        <f>[1]Puntajes!C4</f>
        <v>Marco R.</v>
      </c>
      <c r="D4" s="106">
        <f>[1]Puntajes!D4</f>
        <v>53</v>
      </c>
      <c r="E4" s="106">
        <f>[1]Puntajes!E4</f>
        <v>158</v>
      </c>
      <c r="F4" s="106">
        <f>[1]Puntajes!F4</f>
        <v>211</v>
      </c>
      <c r="I4" s="81" t="str">
        <f ca="1">IF(M1=TODAY()-1,"Finalizado",IF(NOW()&lt;M1+L5,"Por iniciar",IF(NOW()&lt;=M1+L5+2/24,"Iniciado","Finalizado")))</f>
        <v>Finalizado</v>
      </c>
      <c r="J4" s="81"/>
      <c r="K4"/>
      <c r="L4"/>
      <c r="N4" s="67" t="str">
        <f>Grupo!A5</f>
        <v>Alfredo 1</v>
      </c>
      <c r="O4" s="67">
        <f>Participantes!A4</f>
        <v>3</v>
      </c>
      <c r="P4" s="67">
        <f>Grupo!HJ5</f>
        <v>52</v>
      </c>
      <c r="Q4" s="67">
        <f t="shared" si="0"/>
        <v>5196</v>
      </c>
      <c r="R4" s="67">
        <f t="shared" si="1"/>
        <v>12</v>
      </c>
    </row>
    <row r="5" spans="1:18" ht="14.25" customHeight="1" thickBot="1" x14ac:dyDescent="0.3">
      <c r="A5" s="106">
        <f>[1]Puntajes!A5</f>
        <v>3</v>
      </c>
      <c r="B5" s="106">
        <f>[1]Puntajes!B5</f>
        <v>4</v>
      </c>
      <c r="C5" s="106" t="str">
        <f>[1]Puntajes!C5</f>
        <v>Alfredo 1</v>
      </c>
      <c r="D5" s="106">
        <f>[1]Puntajes!D5</f>
        <v>52</v>
      </c>
      <c r="E5" s="106">
        <f>[1]Puntajes!E5</f>
        <v>157</v>
      </c>
      <c r="F5" s="106">
        <f>[1]Puntajes!F5</f>
        <v>209</v>
      </c>
      <c r="I5" s="5" t="str">
        <f>Partidos!F68</f>
        <v>Panamá</v>
      </c>
      <c r="J5" s="5" t="str">
        <f>Partidos!G68</f>
        <v>Inglaterra</v>
      </c>
      <c r="K5"/>
      <c r="L5" s="6">
        <f>Partidos!C68</f>
        <v>0.66666666666666663</v>
      </c>
      <c r="N5" s="67" t="str">
        <f>Grupo!A6</f>
        <v>Alfredo 2</v>
      </c>
      <c r="O5" s="67">
        <f>Participantes!A5</f>
        <v>4</v>
      </c>
      <c r="P5" s="67">
        <f>Grupo!HJ6</f>
        <v>50</v>
      </c>
      <c r="Q5" s="67">
        <f t="shared" si="0"/>
        <v>4995</v>
      </c>
      <c r="R5" s="67">
        <f t="shared" si="1"/>
        <v>18</v>
      </c>
    </row>
    <row r="6" spans="1:18" ht="14.25" customHeight="1" thickBot="1" x14ac:dyDescent="0.3">
      <c r="A6" s="106">
        <f>[1]Puntajes!A6</f>
        <v>44</v>
      </c>
      <c r="B6" s="106">
        <f>[1]Puntajes!B6</f>
        <v>5</v>
      </c>
      <c r="C6" s="106" t="str">
        <f>[1]Puntajes!C6</f>
        <v>Quinnie</v>
      </c>
      <c r="D6" s="106">
        <f>[1]Puntajes!D6</f>
        <v>57</v>
      </c>
      <c r="E6" s="106">
        <f>[1]Puntajes!E6</f>
        <v>151</v>
      </c>
      <c r="F6" s="106">
        <f>[1]Puntajes!F6</f>
        <v>208</v>
      </c>
      <c r="G6" s="107"/>
      <c r="H6" s="68"/>
      <c r="I6" s="7" t="str">
        <f>IF(Partidos!H68="","",Partidos!H68)</f>
        <v/>
      </c>
      <c r="J6" s="7" t="str">
        <f>IF(Partidos!I68="","",Partidos!I68)</f>
        <v/>
      </c>
      <c r="K6"/>
      <c r="L6"/>
      <c r="N6" s="67" t="str">
        <f>Grupo!A7</f>
        <v>Aneth</v>
      </c>
      <c r="O6" s="67">
        <f>Participantes!A6</f>
        <v>5</v>
      </c>
      <c r="P6" s="67">
        <f>Grupo!HJ7</f>
        <v>52</v>
      </c>
      <c r="Q6" s="67">
        <f t="shared" si="0"/>
        <v>5194</v>
      </c>
      <c r="R6" s="67">
        <f t="shared" si="1"/>
        <v>13</v>
      </c>
    </row>
    <row r="7" spans="1:18" ht="14.25" customHeight="1" thickBot="1" x14ac:dyDescent="0.3">
      <c r="A7" s="106">
        <f>[1]Puntajes!A7</f>
        <v>38</v>
      </c>
      <c r="B7" s="106">
        <f>[1]Puntajes!B7</f>
        <v>6</v>
      </c>
      <c r="C7" s="106" t="str">
        <f>[1]Puntajes!C7</f>
        <v>Mily Oliver</v>
      </c>
      <c r="D7" s="106">
        <f>[1]Puntajes!D7</f>
        <v>47</v>
      </c>
      <c r="E7" s="106">
        <f>[1]Puntajes!E7</f>
        <v>158</v>
      </c>
      <c r="F7" s="106">
        <f>[1]Puntajes!F7</f>
        <v>205</v>
      </c>
      <c r="G7" s="68"/>
      <c r="H7" s="68"/>
      <c r="N7" s="67" t="str">
        <f>Grupo!A8</f>
        <v>Antonio</v>
      </c>
      <c r="O7" s="67">
        <f>Participantes!A7</f>
        <v>6</v>
      </c>
      <c r="P7" s="67">
        <f>Grupo!HJ8</f>
        <v>39</v>
      </c>
      <c r="Q7" s="67">
        <f t="shared" si="0"/>
        <v>3893</v>
      </c>
      <c r="R7" s="67">
        <f t="shared" si="1"/>
        <v>45</v>
      </c>
    </row>
    <row r="8" spans="1:18" ht="15" customHeight="1" thickBot="1" x14ac:dyDescent="0.3">
      <c r="A8" s="106">
        <f>[1]Puntajes!A8</f>
        <v>2</v>
      </c>
      <c r="B8" s="106">
        <f>[1]Puntajes!B8</f>
        <v>7</v>
      </c>
      <c r="C8" s="106" t="str">
        <f>[1]Puntajes!C8</f>
        <v>Alexander</v>
      </c>
      <c r="D8" s="106">
        <f>[1]Puntajes!D8</f>
        <v>55</v>
      </c>
      <c r="E8" s="106">
        <f>[1]Puntajes!E8</f>
        <v>149</v>
      </c>
      <c r="F8" s="106">
        <f>[1]Puntajes!F8</f>
        <v>204</v>
      </c>
      <c r="G8" s="68"/>
      <c r="H8" s="68"/>
      <c r="I8" s="81" t="str">
        <f ca="1">IF(M1=TODAY()-1,"Finalizado",IF(NOW()&lt;M1+L9,"Por iniciar",IF(NOW()&lt;=M1+L9+2/24,"Iniciado","Finalizado")))</f>
        <v>Finalizado</v>
      </c>
      <c r="J8" s="81"/>
      <c r="K8"/>
      <c r="L8"/>
      <c r="N8" s="67" t="str">
        <f>Grupo!A9</f>
        <v>Carlos</v>
      </c>
      <c r="O8" s="67">
        <f>Participantes!A8</f>
        <v>7</v>
      </c>
      <c r="P8" s="67">
        <f>Grupo!HJ9</f>
        <v>46</v>
      </c>
      <c r="Q8" s="67">
        <f t="shared" si="0"/>
        <v>4592</v>
      </c>
      <c r="R8" s="67">
        <f t="shared" si="1"/>
        <v>32</v>
      </c>
    </row>
    <row r="9" spans="1:18" ht="14.25" customHeight="1" thickBot="1" x14ac:dyDescent="0.3">
      <c r="A9" s="106">
        <f>[1]Puntajes!A9</f>
        <v>16</v>
      </c>
      <c r="B9" s="106">
        <f>[1]Puntajes!B9</f>
        <v>7</v>
      </c>
      <c r="C9" s="106" t="str">
        <f>[1]Puntajes!C9</f>
        <v>Isabel 2</v>
      </c>
      <c r="D9" s="106">
        <f>[1]Puntajes!D9</f>
        <v>53</v>
      </c>
      <c r="E9" s="106">
        <f>[1]Puntajes!E9</f>
        <v>151</v>
      </c>
      <c r="F9" s="106">
        <f>[1]Puntajes!F9</f>
        <v>204</v>
      </c>
      <c r="G9" s="68"/>
      <c r="H9" s="68"/>
      <c r="I9" s="5" t="str">
        <f>Partidos!F69</f>
        <v>Croacia</v>
      </c>
      <c r="J9" s="5" t="str">
        <f>Partidos!G69</f>
        <v>Ghana</v>
      </c>
      <c r="K9"/>
      <c r="L9" s="6">
        <f>Partidos!C69</f>
        <v>0.66666666666666663</v>
      </c>
      <c r="N9" s="67" t="str">
        <f>Grupo!A10</f>
        <v>Castillo L.</v>
      </c>
      <c r="O9" s="67">
        <f>Participantes!A9</f>
        <v>8</v>
      </c>
      <c r="P9" s="67">
        <f>Grupo!HJ10</f>
        <v>50</v>
      </c>
      <c r="Q9" s="67">
        <f t="shared" si="0"/>
        <v>4991</v>
      </c>
      <c r="R9" s="67">
        <f t="shared" si="1"/>
        <v>19</v>
      </c>
    </row>
    <row r="10" spans="1:18" ht="15" customHeight="1" thickBot="1" x14ac:dyDescent="0.3">
      <c r="A10" s="106">
        <f>[1]Puntajes!A10</f>
        <v>27</v>
      </c>
      <c r="B10" s="106">
        <f>[1]Puntajes!B10</f>
        <v>8</v>
      </c>
      <c r="C10" s="106" t="str">
        <f>[1]Puntajes!C10</f>
        <v>Kattia 2</v>
      </c>
      <c r="D10" s="106">
        <f>[1]Puntajes!D10</f>
        <v>58</v>
      </c>
      <c r="E10" s="106">
        <f>[1]Puntajes!E10</f>
        <v>145</v>
      </c>
      <c r="F10" s="106">
        <f>[1]Puntajes!F10</f>
        <v>203</v>
      </c>
      <c r="G10" s="68"/>
      <c r="H10" s="68"/>
      <c r="I10" s="7" t="str">
        <f>IF(Partidos!H69="","",Partidos!H69)</f>
        <v/>
      </c>
      <c r="J10" s="7" t="str">
        <f>IF(Partidos!I69="","",Partidos!I69)</f>
        <v/>
      </c>
      <c r="K10"/>
      <c r="L10"/>
      <c r="N10" s="67" t="str">
        <f>Grupo!A11</f>
        <v>Christofer</v>
      </c>
      <c r="O10" s="67">
        <f>Participantes!A10</f>
        <v>9</v>
      </c>
      <c r="P10" s="67">
        <f>Grupo!HJ11</f>
        <v>32</v>
      </c>
      <c r="Q10" s="67">
        <f t="shared" si="0"/>
        <v>3190</v>
      </c>
      <c r="R10" s="67">
        <f t="shared" si="1"/>
        <v>49</v>
      </c>
    </row>
    <row r="11" spans="1:18" ht="15" customHeight="1" thickBot="1" x14ac:dyDescent="0.3">
      <c r="A11" s="106">
        <f>[1]Puntajes!A11</f>
        <v>46</v>
      </c>
      <c r="B11" s="106">
        <f>[1]Puntajes!B11</f>
        <v>8</v>
      </c>
      <c r="C11" s="106" t="str">
        <f>[1]Puntajes!C11</f>
        <v>Saul</v>
      </c>
      <c r="D11" s="106">
        <f>[1]Puntajes!D11</f>
        <v>46</v>
      </c>
      <c r="E11" s="106">
        <f>[1]Puntajes!E11</f>
        <v>157</v>
      </c>
      <c r="F11" s="106">
        <f>[1]Puntajes!F11</f>
        <v>203</v>
      </c>
      <c r="G11" s="68"/>
      <c r="H11" s="68"/>
      <c r="N11" s="67" t="str">
        <f>Grupo!A12</f>
        <v>Cynthia</v>
      </c>
      <c r="O11" s="67">
        <f>Participantes!A11</f>
        <v>10</v>
      </c>
      <c r="P11" s="67">
        <f>Grupo!HJ12</f>
        <v>48</v>
      </c>
      <c r="Q11" s="67">
        <f t="shared" si="0"/>
        <v>4789</v>
      </c>
      <c r="R11" s="67">
        <f t="shared" si="1"/>
        <v>27</v>
      </c>
    </row>
    <row r="12" spans="1:18" ht="14.25" customHeight="1" thickBot="1" x14ac:dyDescent="0.3">
      <c r="A12" s="106">
        <f>[1]Puntajes!A12</f>
        <v>20</v>
      </c>
      <c r="B12" s="106">
        <f>[1]Puntajes!B12</f>
        <v>9</v>
      </c>
      <c r="C12" s="106" t="str">
        <f>[1]Puntajes!C12</f>
        <v>Jose C Ahiza</v>
      </c>
      <c r="D12" s="106">
        <f>[1]Puntajes!D12</f>
        <v>55</v>
      </c>
      <c r="E12" s="106">
        <f>[1]Puntajes!E12</f>
        <v>144</v>
      </c>
      <c r="F12" s="106">
        <f>[1]Puntajes!F12</f>
        <v>199</v>
      </c>
      <c r="G12" s="68"/>
      <c r="H12" s="68"/>
      <c r="I12" s="81" t="str">
        <f ca="1">IF(M1=TODAY()-1,"Finalizado",IF(NOW()&lt;M1+L13,"Por iniciar",IF(NOW()&lt;=M1+L13+2/24,"Iniciado","Finalizado")))</f>
        <v>Finalizado</v>
      </c>
      <c r="J12" s="81"/>
      <c r="K12"/>
      <c r="L12"/>
      <c r="N12" s="67" t="str">
        <f>Grupo!A13</f>
        <v>Edward</v>
      </c>
      <c r="O12" s="67">
        <f>Participantes!A12</f>
        <v>11</v>
      </c>
      <c r="P12" s="67">
        <f>Grupo!HJ13</f>
        <v>57</v>
      </c>
      <c r="Q12" s="67">
        <f t="shared" si="0"/>
        <v>5688</v>
      </c>
      <c r="R12" s="67">
        <f t="shared" si="1"/>
        <v>4</v>
      </c>
    </row>
    <row r="13" spans="1:18" ht="15" customHeight="1" thickBot="1" x14ac:dyDescent="0.3">
      <c r="A13" s="106">
        <f>[1]Puntajes!A13</f>
        <v>35</v>
      </c>
      <c r="B13" s="106">
        <f>[1]Puntajes!B13</f>
        <v>9</v>
      </c>
      <c r="C13" s="106" t="str">
        <f>[1]Puntajes!C13</f>
        <v>Milagros</v>
      </c>
      <c r="D13" s="106">
        <f>[1]Puntajes!D13</f>
        <v>55</v>
      </c>
      <c r="E13" s="106">
        <f>[1]Puntajes!E13</f>
        <v>144</v>
      </c>
      <c r="F13" s="106">
        <f>[1]Puntajes!F13</f>
        <v>199</v>
      </c>
      <c r="G13" s="68"/>
      <c r="H13" s="68"/>
      <c r="I13" s="5" t="str">
        <f>Partidos!F72</f>
        <v>Colombia</v>
      </c>
      <c r="J13" s="5" t="str">
        <f>Partidos!G72</f>
        <v>Portugal</v>
      </c>
      <c r="K13"/>
      <c r="L13" s="6">
        <f>Partidos!C72</f>
        <v>0.77083333333333337</v>
      </c>
      <c r="N13" s="67" t="str">
        <f>Grupo!A14</f>
        <v>Espinosa L.</v>
      </c>
      <c r="O13" s="67">
        <f>Participantes!A13</f>
        <v>12</v>
      </c>
      <c r="P13" s="67">
        <f>Grupo!HJ14</f>
        <v>36</v>
      </c>
      <c r="Q13" s="67">
        <f t="shared" si="0"/>
        <v>3587</v>
      </c>
      <c r="R13" s="67">
        <f t="shared" si="1"/>
        <v>47</v>
      </c>
    </row>
    <row r="14" spans="1:18" ht="14.25" customHeight="1" thickBot="1" x14ac:dyDescent="0.3">
      <c r="A14" s="106">
        <f>[1]Puntajes!A14</f>
        <v>45</v>
      </c>
      <c r="B14" s="106">
        <f>[1]Puntajes!B14</f>
        <v>9</v>
      </c>
      <c r="C14" s="106" t="str">
        <f>[1]Puntajes!C14</f>
        <v>Radames</v>
      </c>
      <c r="D14" s="106">
        <f>[1]Puntajes!D14</f>
        <v>44</v>
      </c>
      <c r="E14" s="106">
        <f>[1]Puntajes!E14</f>
        <v>155</v>
      </c>
      <c r="F14" s="106">
        <f>[1]Puntajes!F14</f>
        <v>199</v>
      </c>
      <c r="G14" s="68"/>
      <c r="H14" s="68"/>
      <c r="I14" s="7" t="str">
        <f>IF(Partidos!H72="","",Partidos!H72)</f>
        <v/>
      </c>
      <c r="J14" s="7" t="str">
        <f>IF(Partidos!I72="","",Partidos!I72)</f>
        <v/>
      </c>
      <c r="K14"/>
      <c r="L14"/>
      <c r="N14" s="67" t="str">
        <f>Grupo!A15</f>
        <v>Freddy</v>
      </c>
      <c r="O14" s="67">
        <f>Participantes!A14</f>
        <v>13</v>
      </c>
      <c r="P14" s="67">
        <f>Grupo!HJ15</f>
        <v>42</v>
      </c>
      <c r="Q14" s="67">
        <f t="shared" si="0"/>
        <v>4186</v>
      </c>
      <c r="R14" s="67">
        <f t="shared" si="1"/>
        <v>41</v>
      </c>
    </row>
    <row r="15" spans="1:18" ht="14.25" customHeight="1" thickBot="1" x14ac:dyDescent="0.3">
      <c r="A15" s="106">
        <f>[1]Puntajes!A15</f>
        <v>4</v>
      </c>
      <c r="B15" s="106">
        <f>[1]Puntajes!B15</f>
        <v>10</v>
      </c>
      <c r="C15" s="106" t="str">
        <f>[1]Puntajes!C15</f>
        <v>Alfredo 2</v>
      </c>
      <c r="D15" s="106">
        <f>[1]Puntajes!D15</f>
        <v>50</v>
      </c>
      <c r="E15" s="106">
        <f>[1]Puntajes!E15</f>
        <v>148</v>
      </c>
      <c r="F15" s="106">
        <f>[1]Puntajes!F15</f>
        <v>198</v>
      </c>
      <c r="G15" s="68"/>
      <c r="H15" s="68"/>
      <c r="N15" s="67" t="str">
        <f>Grupo!A16</f>
        <v>Isabel 1</v>
      </c>
      <c r="O15" s="67">
        <f>Participantes!A15</f>
        <v>15</v>
      </c>
      <c r="P15" s="67">
        <f>Grupo!HJ16</f>
        <v>43</v>
      </c>
      <c r="Q15" s="67">
        <f t="shared" si="0"/>
        <v>4285</v>
      </c>
      <c r="R15" s="67">
        <f t="shared" si="1"/>
        <v>39</v>
      </c>
    </row>
    <row r="16" spans="1:18" ht="14.25" customHeight="1" thickBot="1" x14ac:dyDescent="0.3">
      <c r="A16" s="106">
        <f>[1]Puntajes!A16</f>
        <v>1</v>
      </c>
      <c r="B16" s="106">
        <f>[1]Puntajes!B16</f>
        <v>11</v>
      </c>
      <c r="C16" s="106" t="str">
        <f>[1]Puntajes!C16</f>
        <v>Alberto</v>
      </c>
      <c r="D16" s="106">
        <f>[1]Puntajes!D16</f>
        <v>48</v>
      </c>
      <c r="E16" s="106">
        <f>[1]Puntajes!E16</f>
        <v>149</v>
      </c>
      <c r="F16" s="106">
        <f>[1]Puntajes!F16</f>
        <v>197</v>
      </c>
      <c r="I16" s="81" t="str">
        <f ca="1">IF(M1=TODAY()-1,"Finalizado",IF(NOW()&lt;M1+L17,"Por iniciar",IF(NOW()&lt;=M1+L17+2/24,"Iniciado","Finalizado")))</f>
        <v>Finalizado</v>
      </c>
      <c r="J16" s="81"/>
      <c r="K16"/>
      <c r="L16"/>
      <c r="N16" s="67" t="str">
        <f>Grupo!A17</f>
        <v>Isabel 2</v>
      </c>
      <c r="O16" s="67">
        <f>Participantes!A16</f>
        <v>16</v>
      </c>
      <c r="P16" s="67">
        <f>Grupo!HJ17</f>
        <v>53</v>
      </c>
      <c r="Q16" s="67">
        <f t="shared" si="0"/>
        <v>5284</v>
      </c>
      <c r="R16" s="67">
        <f t="shared" si="1"/>
        <v>9</v>
      </c>
    </row>
    <row r="17" spans="1:18" ht="14.25" customHeight="1" thickBot="1" x14ac:dyDescent="0.3">
      <c r="A17" s="106">
        <f>[1]Puntajes!A17</f>
        <v>49</v>
      </c>
      <c r="B17" s="106">
        <f>[1]Puntajes!B17</f>
        <v>12</v>
      </c>
      <c r="C17" s="106" t="str">
        <f>[1]Puntajes!C17</f>
        <v>Waldo</v>
      </c>
      <c r="D17" s="106">
        <f>[1]Puntajes!D17</f>
        <v>43</v>
      </c>
      <c r="E17" s="106">
        <f>[1]Puntajes!E17</f>
        <v>153</v>
      </c>
      <c r="F17" s="106">
        <f>[1]Puntajes!F17</f>
        <v>196</v>
      </c>
      <c r="I17" s="5" t="str">
        <f>Partidos!F73</f>
        <v>RD Congo</v>
      </c>
      <c r="J17" s="5" t="str">
        <f>Partidos!G73</f>
        <v>Uzbekistán</v>
      </c>
      <c r="K17"/>
      <c r="L17" s="6">
        <f>Partidos!C73</f>
        <v>0.77083333333333337</v>
      </c>
      <c r="N17" s="67" t="str">
        <f>Grupo!A18</f>
        <v>Javier</v>
      </c>
      <c r="O17" s="67">
        <f>Participantes!A17</f>
        <v>17</v>
      </c>
      <c r="P17" s="67">
        <f>Grupo!HJ18</f>
        <v>48</v>
      </c>
      <c r="Q17" s="67">
        <f t="shared" si="0"/>
        <v>4783</v>
      </c>
      <c r="R17" s="67">
        <f t="shared" si="1"/>
        <v>28</v>
      </c>
    </row>
    <row r="18" spans="1:18" ht="14.25" customHeight="1" thickBot="1" x14ac:dyDescent="0.3">
      <c r="A18" s="106">
        <f>[1]Puntajes!A18</f>
        <v>18</v>
      </c>
      <c r="B18" s="106">
        <f>[1]Puntajes!B18</f>
        <v>13</v>
      </c>
      <c r="C18" s="106" t="str">
        <f>[1]Puntajes!C18</f>
        <v>Jose C 1</v>
      </c>
      <c r="D18" s="106">
        <f>[1]Puntajes!D18</f>
        <v>46</v>
      </c>
      <c r="E18" s="106">
        <f>[1]Puntajes!E18</f>
        <v>149</v>
      </c>
      <c r="F18" s="106">
        <f>[1]Puntajes!F18</f>
        <v>195</v>
      </c>
      <c r="I18" s="7" t="str">
        <f>IF(Partidos!H73="","",Partidos!H73)</f>
        <v/>
      </c>
      <c r="J18" s="7" t="str">
        <f>IF(Partidos!I73="","",Partidos!I73)</f>
        <v/>
      </c>
      <c r="K18"/>
      <c r="L18"/>
      <c r="N18" s="67" t="str">
        <f>Grupo!A19</f>
        <v>Jose C 1</v>
      </c>
      <c r="O18" s="67">
        <f>Participantes!A18</f>
        <v>18</v>
      </c>
      <c r="P18" s="67">
        <f>Grupo!HJ19</f>
        <v>46</v>
      </c>
      <c r="Q18" s="67">
        <f t="shared" si="0"/>
        <v>4582</v>
      </c>
      <c r="R18" s="67">
        <f t="shared" si="1"/>
        <v>33</v>
      </c>
    </row>
    <row r="19" spans="1:18" ht="14.25" customHeight="1" thickBot="1" x14ac:dyDescent="0.3">
      <c r="A19" s="106">
        <f>[1]Puntajes!A19</f>
        <v>26</v>
      </c>
      <c r="B19" s="106">
        <f>[1]Puntajes!B19</f>
        <v>14</v>
      </c>
      <c r="C19" s="106" t="str">
        <f>[1]Puntajes!C19</f>
        <v>Kattia 1</v>
      </c>
      <c r="D19" s="106">
        <f>[1]Puntajes!D19</f>
        <v>49</v>
      </c>
      <c r="E19" s="106">
        <f>[1]Puntajes!E19</f>
        <v>145</v>
      </c>
      <c r="F19" s="106">
        <f>[1]Puntajes!F19</f>
        <v>194</v>
      </c>
      <c r="N19" s="67" t="str">
        <f>Grupo!A20</f>
        <v>Jose C 2</v>
      </c>
      <c r="O19" s="67">
        <f>Participantes!A19</f>
        <v>19</v>
      </c>
      <c r="P19" s="67">
        <f>Grupo!HJ20</f>
        <v>52</v>
      </c>
      <c r="Q19" s="67">
        <f t="shared" si="0"/>
        <v>5181</v>
      </c>
      <c r="R19" s="67">
        <f t="shared" si="1"/>
        <v>14</v>
      </c>
    </row>
    <row r="20" spans="1:18" ht="14.25" customHeight="1" thickBot="1" x14ac:dyDescent="0.3">
      <c r="A20" s="106">
        <f>[1]Puntajes!A20</f>
        <v>39</v>
      </c>
      <c r="B20" s="106">
        <f>[1]Puntajes!B20</f>
        <v>15</v>
      </c>
      <c r="C20" s="106" t="str">
        <f>[1]Puntajes!C20</f>
        <v>Mily Zeynneth</v>
      </c>
      <c r="D20" s="106">
        <f>[1]Puntajes!D20</f>
        <v>50</v>
      </c>
      <c r="E20" s="106">
        <f>[1]Puntajes!E20</f>
        <v>143</v>
      </c>
      <c r="F20" s="106">
        <f>[1]Puntajes!F20</f>
        <v>193</v>
      </c>
      <c r="I20" s="81" t="str">
        <f ca="1">IF(M1=TODAY()-1,"Finalizado",IF(NOW()&lt;M1+L21,"Por iniciar",IF(NOW()&lt;=M1+L21+2/24,"Iniciado","Finalizado")))</f>
        <v>Finalizado</v>
      </c>
      <c r="J20" s="81"/>
      <c r="K20"/>
      <c r="L20"/>
      <c r="N20" s="67" t="str">
        <f>Grupo!A21</f>
        <v>Jose C Ahiza</v>
      </c>
      <c r="O20" s="67">
        <f>Participantes!A20</f>
        <v>20</v>
      </c>
      <c r="P20" s="67">
        <f>Grupo!HJ21</f>
        <v>55</v>
      </c>
      <c r="Q20" s="67">
        <f t="shared" si="0"/>
        <v>5480</v>
      </c>
      <c r="R20" s="67">
        <f t="shared" si="1"/>
        <v>7</v>
      </c>
    </row>
    <row r="21" spans="1:18" ht="14.25" customHeight="1" thickBot="1" x14ac:dyDescent="0.3">
      <c r="A21" s="106">
        <f>[1]Puntajes!A21</f>
        <v>8</v>
      </c>
      <c r="B21" s="106">
        <f>[1]Puntajes!B21</f>
        <v>16</v>
      </c>
      <c r="C21" s="106" t="str">
        <f>[1]Puntajes!C21</f>
        <v>Castillo L.</v>
      </c>
      <c r="D21" s="106">
        <f>[1]Puntajes!D21</f>
        <v>50</v>
      </c>
      <c r="E21" s="106">
        <f>[1]Puntajes!E21</f>
        <v>140</v>
      </c>
      <c r="F21" s="106">
        <f>[1]Puntajes!F21</f>
        <v>190</v>
      </c>
      <c r="I21" s="5" t="str">
        <f>Partidos!F70</f>
        <v>Argelia</v>
      </c>
      <c r="J21" s="5" t="str">
        <f>Partidos!G70</f>
        <v>Austria</v>
      </c>
      <c r="K21"/>
      <c r="L21" s="6">
        <f>Partidos!C70</f>
        <v>0.875</v>
      </c>
      <c r="N21" s="67" t="str">
        <f>Grupo!A22</f>
        <v>Jose C Ana</v>
      </c>
      <c r="O21" s="67">
        <f>Participantes!A21</f>
        <v>21</v>
      </c>
      <c r="P21" s="67">
        <f>Grupo!HJ22</f>
        <v>47</v>
      </c>
      <c r="Q21" s="67">
        <f t="shared" si="0"/>
        <v>4679</v>
      </c>
      <c r="R21" s="67">
        <f t="shared" si="1"/>
        <v>29</v>
      </c>
    </row>
    <row r="22" spans="1:18" ht="14.25" customHeight="1" thickBot="1" x14ac:dyDescent="0.3">
      <c r="A22" s="106">
        <f>[1]Puntajes!A22</f>
        <v>37</v>
      </c>
      <c r="B22" s="106">
        <f>[1]Puntajes!B22</f>
        <v>17</v>
      </c>
      <c r="C22" s="106" t="str">
        <f>[1]Puntajes!C22</f>
        <v>Mily CF 2</v>
      </c>
      <c r="D22" s="106">
        <f>[1]Puntajes!D22</f>
        <v>41</v>
      </c>
      <c r="E22" s="106">
        <f>[1]Puntajes!E22</f>
        <v>147</v>
      </c>
      <c r="F22" s="106">
        <f>[1]Puntajes!F22</f>
        <v>188</v>
      </c>
      <c r="I22" s="7" t="str">
        <f>IF(Partidos!H70="","",Partidos!H70)</f>
        <v/>
      </c>
      <c r="J22" s="7" t="str">
        <f>IF(Partidos!I70="","",Partidos!I70)</f>
        <v/>
      </c>
      <c r="K22"/>
      <c r="L22"/>
      <c r="N22" s="67" t="str">
        <f>Grupo!A23</f>
        <v>Jose C Judith</v>
      </c>
      <c r="O22" s="67">
        <f>Participantes!A22</f>
        <v>22</v>
      </c>
      <c r="P22" s="67">
        <f>Grupo!HJ23</f>
        <v>53</v>
      </c>
      <c r="Q22" s="67">
        <f t="shared" si="0"/>
        <v>5278</v>
      </c>
      <c r="R22" s="67">
        <f t="shared" si="1"/>
        <v>10</v>
      </c>
    </row>
    <row r="23" spans="1:18" ht="14.25" customHeight="1" thickBot="1" x14ac:dyDescent="0.3">
      <c r="A23" s="106">
        <f>[1]Puntajes!A23</f>
        <v>47</v>
      </c>
      <c r="B23" s="106">
        <f>[1]Puntajes!B23</f>
        <v>17</v>
      </c>
      <c r="C23" s="106" t="str">
        <f>[1]Puntajes!C23</f>
        <v>Silvia</v>
      </c>
      <c r="D23" s="106">
        <f>[1]Puntajes!D23</f>
        <v>49</v>
      </c>
      <c r="E23" s="106">
        <f>[1]Puntajes!E23</f>
        <v>139</v>
      </c>
      <c r="F23" s="106">
        <f>[1]Puntajes!F23</f>
        <v>188</v>
      </c>
      <c r="N23" s="67" t="str">
        <f>Grupo!A24</f>
        <v>José de León</v>
      </c>
      <c r="O23" s="67">
        <f>Participantes!A23</f>
        <v>23</v>
      </c>
      <c r="P23" s="67">
        <f>Grupo!HJ24</f>
        <v>45</v>
      </c>
      <c r="Q23" s="67">
        <f t="shared" si="0"/>
        <v>4477</v>
      </c>
      <c r="R23" s="67">
        <f t="shared" si="1"/>
        <v>35</v>
      </c>
    </row>
    <row r="24" spans="1:18" ht="14.25" customHeight="1" thickBot="1" x14ac:dyDescent="0.3">
      <c r="A24" s="106">
        <f>[1]Puntajes!A24</f>
        <v>19</v>
      </c>
      <c r="B24" s="106">
        <f>[1]Puntajes!B24</f>
        <v>18</v>
      </c>
      <c r="C24" s="106" t="str">
        <f>[1]Puntajes!C24</f>
        <v>Jose C 2</v>
      </c>
      <c r="D24" s="106">
        <f>[1]Puntajes!D24</f>
        <v>52</v>
      </c>
      <c r="E24" s="106">
        <f>[1]Puntajes!E24</f>
        <v>135</v>
      </c>
      <c r="F24" s="106">
        <f>[1]Puntajes!F24</f>
        <v>187</v>
      </c>
      <c r="I24" s="81" t="str">
        <f ca="1">IF(M1=TODAY()-1,"Finalizado",IF(NOW()&lt;M1+L25,"Por iniciar",IF(NOW()&lt;=M1+L25+2/24,"Iniciado","Finalizado")))</f>
        <v>Finalizado</v>
      </c>
      <c r="J24" s="81"/>
      <c r="K24"/>
      <c r="L24"/>
      <c r="N24" s="67" t="str">
        <f>Grupo!A25</f>
        <v>Jovanna</v>
      </c>
      <c r="O24" s="67">
        <f>Participantes!A24</f>
        <v>24</v>
      </c>
      <c r="P24" s="67">
        <f>Grupo!HJ25</f>
        <v>44</v>
      </c>
      <c r="Q24" s="67">
        <f t="shared" si="0"/>
        <v>4376</v>
      </c>
      <c r="R24" s="67">
        <f t="shared" si="1"/>
        <v>37</v>
      </c>
    </row>
    <row r="25" spans="1:18" ht="14.25" customHeight="1" thickBot="1" x14ac:dyDescent="0.3">
      <c r="A25" s="106">
        <f>[1]Puntajes!A25</f>
        <v>24</v>
      </c>
      <c r="B25" s="106">
        <f>[1]Puntajes!B25</f>
        <v>18</v>
      </c>
      <c r="C25" s="106" t="str">
        <f>[1]Puntajes!C25</f>
        <v>Jovanna</v>
      </c>
      <c r="D25" s="106">
        <f>[1]Puntajes!D25</f>
        <v>44</v>
      </c>
      <c r="E25" s="106">
        <f>[1]Puntajes!E25</f>
        <v>143</v>
      </c>
      <c r="F25" s="106">
        <f>[1]Puntajes!F25</f>
        <v>187</v>
      </c>
      <c r="I25" s="5" t="str">
        <f>Partidos!F71</f>
        <v>Jordania</v>
      </c>
      <c r="J25" s="80" t="str">
        <f>Partidos!G71</f>
        <v>Argentina</v>
      </c>
      <c r="K25"/>
      <c r="L25" s="6">
        <f>Partidos!C71</f>
        <v>0.875</v>
      </c>
      <c r="N25" s="67" t="str">
        <f>Grupo!A26</f>
        <v>Karina</v>
      </c>
      <c r="O25" s="67">
        <f>Participantes!A25</f>
        <v>25</v>
      </c>
      <c r="P25" s="67">
        <f>Grupo!HJ26</f>
        <v>47</v>
      </c>
      <c r="Q25" s="67">
        <f t="shared" si="0"/>
        <v>4675</v>
      </c>
      <c r="R25" s="67">
        <f t="shared" si="1"/>
        <v>30</v>
      </c>
    </row>
    <row r="26" spans="1:18" ht="14.25" customHeight="1" thickBot="1" x14ac:dyDescent="0.3">
      <c r="A26" s="106">
        <f>[1]Puntajes!A26</f>
        <v>7</v>
      </c>
      <c r="B26" s="106">
        <f>[1]Puntajes!B26</f>
        <v>19</v>
      </c>
      <c r="C26" s="106" t="str">
        <f>[1]Puntajes!C26</f>
        <v>Carlos</v>
      </c>
      <c r="D26" s="106">
        <f>[1]Puntajes!D26</f>
        <v>46</v>
      </c>
      <c r="E26" s="106">
        <f>[1]Puntajes!E26</f>
        <v>140</v>
      </c>
      <c r="F26" s="106">
        <f>[1]Puntajes!F26</f>
        <v>186</v>
      </c>
      <c r="I26" s="7" t="str">
        <f>IF(Partidos!H71="","",Partidos!H71)</f>
        <v/>
      </c>
      <c r="J26" s="7" t="str">
        <f>IF(Partidos!I71="","",Partidos!I71)</f>
        <v/>
      </c>
      <c r="K26"/>
      <c r="L26"/>
      <c r="N26" s="67" t="str">
        <f>Grupo!A27</f>
        <v>Kattia 1</v>
      </c>
      <c r="O26" s="67">
        <f>Participantes!A26</f>
        <v>26</v>
      </c>
      <c r="P26" s="67">
        <f>Grupo!HJ27</f>
        <v>49</v>
      </c>
      <c r="Q26" s="67">
        <f t="shared" si="0"/>
        <v>4874</v>
      </c>
      <c r="R26" s="67">
        <f t="shared" si="1"/>
        <v>23</v>
      </c>
    </row>
    <row r="27" spans="1:18" ht="14.25" customHeight="1" thickBot="1" x14ac:dyDescent="0.3">
      <c r="A27" s="106">
        <f>[1]Puntajes!A27</f>
        <v>11</v>
      </c>
      <c r="B27" s="106">
        <f>[1]Puntajes!B27</f>
        <v>20</v>
      </c>
      <c r="C27" s="106" t="str">
        <f>[1]Puntajes!C27</f>
        <v>Edward</v>
      </c>
      <c r="D27" s="106">
        <f>[1]Puntajes!D27</f>
        <v>57</v>
      </c>
      <c r="E27" s="106">
        <f>[1]Puntajes!E27</f>
        <v>128</v>
      </c>
      <c r="F27" s="106">
        <f>[1]Puntajes!F27</f>
        <v>185</v>
      </c>
      <c r="N27" s="67" t="str">
        <f>Grupo!A28</f>
        <v>Kattia 2</v>
      </c>
      <c r="O27" s="67">
        <f>Participantes!A27</f>
        <v>27</v>
      </c>
      <c r="P27" s="67">
        <f>Grupo!HJ28</f>
        <v>58</v>
      </c>
      <c r="Q27" s="67">
        <f t="shared" si="0"/>
        <v>5773</v>
      </c>
      <c r="R27" s="67">
        <f t="shared" si="1"/>
        <v>3</v>
      </c>
    </row>
    <row r="28" spans="1:18" ht="14.25" customHeight="1" thickBot="1" x14ac:dyDescent="0.3">
      <c r="A28" s="106">
        <f>[1]Puntajes!A28</f>
        <v>43</v>
      </c>
      <c r="B28" s="106">
        <f>[1]Puntajes!B28</f>
        <v>20</v>
      </c>
      <c r="C28" s="106" t="str">
        <f>[1]Puntajes!C28</f>
        <v>Peter</v>
      </c>
      <c r="D28" s="106">
        <f>[1]Puntajes!D28</f>
        <v>52</v>
      </c>
      <c r="E28" s="106">
        <f>[1]Puntajes!E28</f>
        <v>133</v>
      </c>
      <c r="F28" s="106">
        <f>[1]Puntajes!F28</f>
        <v>185</v>
      </c>
      <c r="N28" s="67" t="str">
        <f>Grupo!A29</f>
        <v>Kevin</v>
      </c>
      <c r="O28" s="67">
        <f>Participantes!A28</f>
        <v>28</v>
      </c>
      <c r="P28" s="67">
        <f>Grupo!HJ29</f>
        <v>50</v>
      </c>
      <c r="Q28" s="67">
        <f t="shared" si="0"/>
        <v>4972</v>
      </c>
      <c r="R28" s="67">
        <f t="shared" si="1"/>
        <v>20</v>
      </c>
    </row>
    <row r="29" spans="1:18" ht="14.25" customHeight="1" thickBot="1" x14ac:dyDescent="0.3">
      <c r="A29" s="106">
        <f>[1]Puntajes!A29</f>
        <v>10</v>
      </c>
      <c r="B29" s="106">
        <f>[1]Puntajes!B29</f>
        <v>21</v>
      </c>
      <c r="C29" s="106" t="str">
        <f>[1]Puntajes!C29</f>
        <v>Cynthia</v>
      </c>
      <c r="D29" s="106">
        <f>[1]Puntajes!D29</f>
        <v>48</v>
      </c>
      <c r="E29" s="106">
        <f>[1]Puntajes!E29</f>
        <v>135</v>
      </c>
      <c r="F29" s="106">
        <f>[1]Puntajes!F29</f>
        <v>183</v>
      </c>
      <c r="N29" s="67" t="str">
        <f>Grupo!A30</f>
        <v>Lizka</v>
      </c>
      <c r="O29" s="67">
        <f>Participantes!A29</f>
        <v>29</v>
      </c>
      <c r="P29" s="67">
        <f>Grupo!HJ30</f>
        <v>35</v>
      </c>
      <c r="Q29" s="67">
        <f t="shared" si="0"/>
        <v>3471</v>
      </c>
      <c r="R29" s="67">
        <f t="shared" si="1"/>
        <v>48</v>
      </c>
    </row>
    <row r="30" spans="1:18" ht="14.25" customHeight="1" thickBot="1" x14ac:dyDescent="0.3">
      <c r="A30" s="106">
        <f>[1]Puntajes!A30</f>
        <v>22</v>
      </c>
      <c r="B30" s="106">
        <f>[1]Puntajes!B30</f>
        <v>21</v>
      </c>
      <c r="C30" s="106" t="str">
        <f>[1]Puntajes!C30</f>
        <v>Jose C Judith</v>
      </c>
      <c r="D30" s="106">
        <f>[1]Puntajes!D30</f>
        <v>53</v>
      </c>
      <c r="E30" s="106">
        <f>[1]Puntajes!E30</f>
        <v>130</v>
      </c>
      <c r="F30" s="106">
        <f>[1]Puntajes!F30</f>
        <v>183</v>
      </c>
      <c r="N30" s="67" t="str">
        <f>Grupo!A31</f>
        <v>Luis Peña</v>
      </c>
      <c r="O30" s="67">
        <f>Participantes!A30</f>
        <v>30</v>
      </c>
      <c r="P30" s="67">
        <f>Grupo!HJ31</f>
        <v>63</v>
      </c>
      <c r="Q30" s="67">
        <f t="shared" si="0"/>
        <v>6270</v>
      </c>
      <c r="R30" s="67">
        <f t="shared" si="1"/>
        <v>1</v>
      </c>
    </row>
    <row r="31" spans="1:18" ht="14.25" customHeight="1" thickBot="1" x14ac:dyDescent="0.3">
      <c r="A31" s="106">
        <f>[1]Puntajes!A31</f>
        <v>28</v>
      </c>
      <c r="B31" s="106">
        <f>[1]Puntajes!B31</f>
        <v>22</v>
      </c>
      <c r="C31" s="106" t="str">
        <f>[1]Puntajes!C31</f>
        <v>Kevin</v>
      </c>
      <c r="D31" s="106">
        <f>[1]Puntajes!D31</f>
        <v>50</v>
      </c>
      <c r="E31" s="106">
        <f>[1]Puntajes!E31</f>
        <v>132</v>
      </c>
      <c r="F31" s="106">
        <f>[1]Puntajes!F31</f>
        <v>182</v>
      </c>
      <c r="N31" s="67" t="str">
        <f>Grupo!A32</f>
        <v>Marco R.</v>
      </c>
      <c r="O31" s="67">
        <f>Participantes!A31</f>
        <v>31</v>
      </c>
      <c r="P31" s="67">
        <f>Grupo!HJ32</f>
        <v>53</v>
      </c>
      <c r="Q31" s="67">
        <f t="shared" si="0"/>
        <v>5269</v>
      </c>
      <c r="R31" s="67">
        <f t="shared" si="1"/>
        <v>11</v>
      </c>
    </row>
    <row r="32" spans="1:18" ht="14.25" customHeight="1" thickBot="1" x14ac:dyDescent="0.3">
      <c r="A32" s="106">
        <f>[1]Puntajes!A32</f>
        <v>41</v>
      </c>
      <c r="B32" s="106">
        <f>[1]Puntajes!B32</f>
        <v>23</v>
      </c>
      <c r="C32" s="106" t="str">
        <f>[1]Puntajes!C32</f>
        <v>Ninoshka</v>
      </c>
      <c r="D32" s="106">
        <f>[1]Puntajes!D32</f>
        <v>42</v>
      </c>
      <c r="E32" s="106">
        <f>[1]Puntajes!E32</f>
        <v>139</v>
      </c>
      <c r="F32" s="106">
        <f>[1]Puntajes!F32</f>
        <v>181</v>
      </c>
      <c r="N32" s="67" t="str">
        <f>Grupo!A33</f>
        <v>Maricela</v>
      </c>
      <c r="O32" s="67">
        <f>Participantes!A32</f>
        <v>32</v>
      </c>
      <c r="P32" s="67">
        <f>Grupo!HJ33</f>
        <v>39</v>
      </c>
      <c r="Q32" s="67">
        <f t="shared" si="0"/>
        <v>3868</v>
      </c>
      <c r="R32" s="67">
        <f t="shared" si="1"/>
        <v>46</v>
      </c>
    </row>
    <row r="33" spans="1:18" ht="14.25" customHeight="1" thickBot="1" x14ac:dyDescent="0.3">
      <c r="A33" s="106">
        <f>[1]Puntajes!A33</f>
        <v>42</v>
      </c>
      <c r="B33" s="106">
        <f>[1]Puntajes!B33</f>
        <v>23</v>
      </c>
      <c r="C33" s="106" t="str">
        <f>[1]Puntajes!C33</f>
        <v>Osvaldo</v>
      </c>
      <c r="D33" s="106">
        <f>[1]Puntajes!D33</f>
        <v>51</v>
      </c>
      <c r="E33" s="106">
        <f>[1]Puntajes!E33</f>
        <v>130</v>
      </c>
      <c r="F33" s="106">
        <f>[1]Puntajes!F33</f>
        <v>181</v>
      </c>
      <c r="N33" s="67" t="str">
        <f>Grupo!A34</f>
        <v>Marilyn</v>
      </c>
      <c r="O33" s="67">
        <f>Participantes!A33</f>
        <v>33</v>
      </c>
      <c r="P33" s="67">
        <f>Grupo!HJ34</f>
        <v>49</v>
      </c>
      <c r="Q33" s="67">
        <f t="shared" si="0"/>
        <v>4867</v>
      </c>
      <c r="R33" s="67">
        <f t="shared" si="1"/>
        <v>24</v>
      </c>
    </row>
    <row r="34" spans="1:18" ht="14.25" customHeight="1" thickBot="1" x14ac:dyDescent="0.3">
      <c r="A34" s="106">
        <f>[1]Puntajes!A34</f>
        <v>5</v>
      </c>
      <c r="B34" s="106">
        <f>[1]Puntajes!B34</f>
        <v>24</v>
      </c>
      <c r="C34" s="106" t="str">
        <f>[1]Puntajes!C34</f>
        <v>Aneth</v>
      </c>
      <c r="D34" s="106">
        <f>[1]Puntajes!D34</f>
        <v>52</v>
      </c>
      <c r="E34" s="106">
        <f>[1]Puntajes!E34</f>
        <v>127</v>
      </c>
      <c r="F34" s="106">
        <f>[1]Puntajes!F34</f>
        <v>179</v>
      </c>
      <c r="N34" s="67" t="str">
        <f>Grupo!A35</f>
        <v>Medica</v>
      </c>
      <c r="O34" s="67">
        <f>Participantes!A34</f>
        <v>34</v>
      </c>
      <c r="P34" s="67">
        <f>Grupo!HJ35</f>
        <v>59</v>
      </c>
      <c r="Q34" s="67">
        <f t="shared" si="0"/>
        <v>5866</v>
      </c>
      <c r="R34" s="67">
        <f t="shared" si="1"/>
        <v>2</v>
      </c>
    </row>
    <row r="35" spans="1:18" ht="14.25" customHeight="1" thickBot="1" x14ac:dyDescent="0.3">
      <c r="A35" s="106">
        <f>[1]Puntajes!A35</f>
        <v>25</v>
      </c>
      <c r="B35" s="106">
        <f>[1]Puntajes!B35</f>
        <v>24</v>
      </c>
      <c r="C35" s="106" t="str">
        <f>[1]Puntajes!C35</f>
        <v>Karina</v>
      </c>
      <c r="D35" s="106">
        <f>[1]Puntajes!D35</f>
        <v>47</v>
      </c>
      <c r="E35" s="106">
        <f>[1]Puntajes!E35</f>
        <v>132</v>
      </c>
      <c r="F35" s="106">
        <f>[1]Puntajes!F35</f>
        <v>179</v>
      </c>
      <c r="N35" s="67" t="str">
        <f>Grupo!A36</f>
        <v>Milagros</v>
      </c>
      <c r="O35" s="67">
        <f>Participantes!A35</f>
        <v>35</v>
      </c>
      <c r="P35" s="67">
        <f>Grupo!HJ36</f>
        <v>55</v>
      </c>
      <c r="Q35" s="67">
        <f t="shared" si="0"/>
        <v>5465</v>
      </c>
      <c r="R35" s="67">
        <f t="shared" si="1"/>
        <v>8</v>
      </c>
    </row>
    <row r="36" spans="1:18" ht="14.25" customHeight="1" thickBot="1" x14ac:dyDescent="0.3">
      <c r="A36" s="106">
        <f>[1]Puntajes!A36</f>
        <v>14</v>
      </c>
      <c r="B36" s="106">
        <f>[1]Puntajes!B36</f>
        <v>25</v>
      </c>
      <c r="C36" s="106" t="str">
        <f>[1]Puntajes!C36</f>
        <v>Mily Frida</v>
      </c>
      <c r="D36" s="106">
        <f>[1]Puntajes!D36</f>
        <v>52</v>
      </c>
      <c r="E36" s="106">
        <f>[1]Puntajes!E36</f>
        <v>126</v>
      </c>
      <c r="F36" s="106">
        <f>[1]Puntajes!F36</f>
        <v>178</v>
      </c>
      <c r="N36" s="67" t="str">
        <f>Grupo!A37</f>
        <v>Mily CF 1</v>
      </c>
      <c r="O36" s="67">
        <f>Participantes!A36</f>
        <v>36</v>
      </c>
      <c r="P36" s="67">
        <f>Grupo!HJ37</f>
        <v>50</v>
      </c>
      <c r="Q36" s="67">
        <f t="shared" si="0"/>
        <v>4964</v>
      </c>
      <c r="R36" s="67">
        <f t="shared" si="1"/>
        <v>21</v>
      </c>
    </row>
    <row r="37" spans="1:18" ht="14.25" customHeight="1" thickBot="1" x14ac:dyDescent="0.3">
      <c r="A37" s="106">
        <f>[1]Puntajes!A37</f>
        <v>23</v>
      </c>
      <c r="B37" s="106">
        <f>[1]Puntajes!B37</f>
        <v>26</v>
      </c>
      <c r="C37" s="106" t="str">
        <f>[1]Puntajes!C37</f>
        <v>José de León</v>
      </c>
      <c r="D37" s="106">
        <f>[1]Puntajes!D37</f>
        <v>45</v>
      </c>
      <c r="E37" s="106">
        <f>[1]Puntajes!E37</f>
        <v>132</v>
      </c>
      <c r="F37" s="106">
        <f>[1]Puntajes!F37</f>
        <v>177</v>
      </c>
      <c r="N37" s="67" t="str">
        <f>Grupo!A38</f>
        <v>Mily CF 2</v>
      </c>
      <c r="O37" s="67">
        <f>Participantes!A37</f>
        <v>37</v>
      </c>
      <c r="P37" s="67">
        <f>Grupo!HJ38</f>
        <v>41</v>
      </c>
      <c r="Q37" s="67">
        <f t="shared" si="0"/>
        <v>4063</v>
      </c>
      <c r="R37" s="67">
        <f t="shared" si="1"/>
        <v>43</v>
      </c>
    </row>
    <row r="38" spans="1:18" ht="14.25" customHeight="1" thickBot="1" x14ac:dyDescent="0.3">
      <c r="A38" s="106">
        <f>[1]Puntajes!A38</f>
        <v>48</v>
      </c>
      <c r="B38" s="106">
        <f>[1]Puntajes!B38</f>
        <v>26</v>
      </c>
      <c r="C38" s="106" t="str">
        <f>[1]Puntajes!C38</f>
        <v>Walder</v>
      </c>
      <c r="D38" s="106">
        <f>[1]Puntajes!D38</f>
        <v>45</v>
      </c>
      <c r="E38" s="106">
        <f>[1]Puntajes!E38</f>
        <v>132</v>
      </c>
      <c r="F38" s="106">
        <f>[1]Puntajes!F38</f>
        <v>177</v>
      </c>
      <c r="N38" s="67" t="str">
        <f>Grupo!A39</f>
        <v>Mily Frida</v>
      </c>
      <c r="O38" s="67">
        <f>Participantes!A38</f>
        <v>14</v>
      </c>
      <c r="P38" s="67">
        <f>Grupo!HJ39</f>
        <v>52</v>
      </c>
      <c r="Q38" s="67">
        <f t="shared" si="0"/>
        <v>5162</v>
      </c>
      <c r="R38" s="67">
        <f t="shared" si="1"/>
        <v>15</v>
      </c>
    </row>
    <row r="39" spans="1:18" ht="14.25" customHeight="1" thickBot="1" x14ac:dyDescent="0.3">
      <c r="A39" s="106">
        <f>[1]Puntajes!A39</f>
        <v>12</v>
      </c>
      <c r="B39" s="106">
        <f>[1]Puntajes!B39</f>
        <v>27</v>
      </c>
      <c r="C39" s="106" t="str">
        <f>[1]Puntajes!C39</f>
        <v>Espinosa L.</v>
      </c>
      <c r="D39" s="106">
        <f>[1]Puntajes!D39</f>
        <v>36</v>
      </c>
      <c r="E39" s="106">
        <f>[1]Puntajes!E39</f>
        <v>140</v>
      </c>
      <c r="F39" s="106">
        <f>[1]Puntajes!F39</f>
        <v>176</v>
      </c>
      <c r="N39" s="67" t="str">
        <f>Grupo!A40</f>
        <v>Mily Oliver</v>
      </c>
      <c r="O39" s="67">
        <f>Participantes!A39</f>
        <v>38</v>
      </c>
      <c r="P39" s="67">
        <f>Grupo!HJ40</f>
        <v>47</v>
      </c>
      <c r="Q39" s="67">
        <f t="shared" si="0"/>
        <v>4661</v>
      </c>
      <c r="R39" s="67">
        <f t="shared" si="1"/>
        <v>31</v>
      </c>
    </row>
    <row r="40" spans="1:18" ht="14.25" customHeight="1" thickBot="1" x14ac:dyDescent="0.3">
      <c r="A40" s="106">
        <f>[1]Puntajes!A40</f>
        <v>21</v>
      </c>
      <c r="B40" s="106">
        <f>[1]Puntajes!B40</f>
        <v>27</v>
      </c>
      <c r="C40" s="106" t="str">
        <f>[1]Puntajes!C40</f>
        <v>Jose C Ana</v>
      </c>
      <c r="D40" s="106">
        <f>[1]Puntajes!D40</f>
        <v>47</v>
      </c>
      <c r="E40" s="106">
        <f>[1]Puntajes!E40</f>
        <v>129</v>
      </c>
      <c r="F40" s="106">
        <f>[1]Puntajes!F40</f>
        <v>176</v>
      </c>
      <c r="N40" s="67" t="str">
        <f>Grupo!A41</f>
        <v>Mily Zeynneth</v>
      </c>
      <c r="O40" s="67">
        <f>Participantes!A40</f>
        <v>39</v>
      </c>
      <c r="P40" s="67">
        <f>Grupo!HJ41</f>
        <v>50</v>
      </c>
      <c r="Q40" s="67">
        <f t="shared" si="0"/>
        <v>4960</v>
      </c>
      <c r="R40" s="67">
        <f t="shared" si="1"/>
        <v>22</v>
      </c>
    </row>
    <row r="41" spans="1:18" ht="14.25" customHeight="1" thickBot="1" x14ac:dyDescent="0.3">
      <c r="A41" s="106">
        <f>[1]Puntajes!A41</f>
        <v>32</v>
      </c>
      <c r="B41" s="106">
        <f>[1]Puntajes!B41</f>
        <v>28</v>
      </c>
      <c r="C41" s="106" t="str">
        <f>[1]Puntajes!C41</f>
        <v>Maricela</v>
      </c>
      <c r="D41" s="106">
        <f>[1]Puntajes!D41</f>
        <v>39</v>
      </c>
      <c r="E41" s="106">
        <f>[1]Puntajes!E41</f>
        <v>136</v>
      </c>
      <c r="F41" s="106">
        <f>[1]Puntajes!F41</f>
        <v>175</v>
      </c>
      <c r="N41" s="67" t="str">
        <f>Grupo!A42</f>
        <v>Nefreteri</v>
      </c>
      <c r="O41" s="67">
        <f>Participantes!A41</f>
        <v>40</v>
      </c>
      <c r="P41" s="67">
        <f>Grupo!HJ42</f>
        <v>41</v>
      </c>
      <c r="Q41" s="67">
        <f t="shared" si="0"/>
        <v>4059</v>
      </c>
      <c r="R41" s="67">
        <f t="shared" si="1"/>
        <v>44</v>
      </c>
    </row>
    <row r="42" spans="1:18" ht="14.25" customHeight="1" thickBot="1" x14ac:dyDescent="0.3">
      <c r="A42" s="106">
        <f>[1]Puntajes!A42</f>
        <v>6</v>
      </c>
      <c r="B42" s="106">
        <f>[1]Puntajes!B42</f>
        <v>29</v>
      </c>
      <c r="C42" s="106" t="str">
        <f>[1]Puntajes!C42</f>
        <v>Antonio</v>
      </c>
      <c r="D42" s="106">
        <f>[1]Puntajes!D42</f>
        <v>39</v>
      </c>
      <c r="E42" s="106">
        <f>[1]Puntajes!E42</f>
        <v>135</v>
      </c>
      <c r="F42" s="106">
        <f>[1]Puntajes!F42</f>
        <v>174</v>
      </c>
      <c r="N42" s="67" t="str">
        <f>Grupo!A43</f>
        <v>Ninoshka</v>
      </c>
      <c r="O42" s="67">
        <f>Participantes!A42</f>
        <v>41</v>
      </c>
      <c r="P42" s="67">
        <f>Grupo!HJ43</f>
        <v>42</v>
      </c>
      <c r="Q42" s="67">
        <f t="shared" si="0"/>
        <v>4158</v>
      </c>
      <c r="R42" s="67">
        <f t="shared" si="1"/>
        <v>42</v>
      </c>
    </row>
    <row r="43" spans="1:18" ht="14.25" customHeight="1" thickBot="1" x14ac:dyDescent="0.3">
      <c r="A43" s="106">
        <f>[1]Puntajes!A43</f>
        <v>15</v>
      </c>
      <c r="B43" s="106">
        <f>[1]Puntajes!B43</f>
        <v>29</v>
      </c>
      <c r="C43" s="106" t="str">
        <f>[1]Puntajes!C43</f>
        <v>Isabel 1</v>
      </c>
      <c r="D43" s="106">
        <f>[1]Puntajes!D43</f>
        <v>43</v>
      </c>
      <c r="E43" s="106">
        <f>[1]Puntajes!E43</f>
        <v>131</v>
      </c>
      <c r="F43" s="106">
        <f>[1]Puntajes!F43</f>
        <v>174</v>
      </c>
      <c r="N43" s="67" t="str">
        <f>Grupo!A44</f>
        <v>Osvaldo</v>
      </c>
      <c r="O43" s="67">
        <f>Participantes!A43</f>
        <v>42</v>
      </c>
      <c r="P43" s="67">
        <f>Grupo!HJ44</f>
        <v>51</v>
      </c>
      <c r="Q43" s="67">
        <f t="shared" si="0"/>
        <v>5057</v>
      </c>
      <c r="R43" s="67">
        <f t="shared" si="1"/>
        <v>17</v>
      </c>
    </row>
    <row r="44" spans="1:18" ht="14.25" customHeight="1" thickBot="1" x14ac:dyDescent="0.3">
      <c r="A44" s="106">
        <f>[1]Puntajes!A44</f>
        <v>29</v>
      </c>
      <c r="B44" s="106">
        <f>[1]Puntajes!B44</f>
        <v>29</v>
      </c>
      <c r="C44" s="106" t="str">
        <f>[1]Puntajes!C44</f>
        <v>Lizka</v>
      </c>
      <c r="D44" s="106">
        <f>[1]Puntajes!D44</f>
        <v>35</v>
      </c>
      <c r="E44" s="106">
        <f>[1]Puntajes!E44</f>
        <v>139</v>
      </c>
      <c r="F44" s="106">
        <f>[1]Puntajes!F44</f>
        <v>174</v>
      </c>
      <c r="N44" s="67" t="str">
        <f>Grupo!A45</f>
        <v>Peter</v>
      </c>
      <c r="O44" s="67">
        <f>Participantes!A44</f>
        <v>43</v>
      </c>
      <c r="P44" s="67">
        <f>Grupo!HJ45</f>
        <v>52</v>
      </c>
      <c r="Q44" s="67">
        <f t="shared" si="0"/>
        <v>5156</v>
      </c>
      <c r="R44" s="67">
        <f t="shared" si="1"/>
        <v>16</v>
      </c>
    </row>
    <row r="45" spans="1:18" ht="14.25" customHeight="1" thickBot="1" x14ac:dyDescent="0.3">
      <c r="A45" s="106">
        <f>[1]Puntajes!A45</f>
        <v>13</v>
      </c>
      <c r="B45" s="106">
        <f>[1]Puntajes!B45</f>
        <v>30</v>
      </c>
      <c r="C45" s="106" t="str">
        <f>[1]Puntajes!C45</f>
        <v>Freddy</v>
      </c>
      <c r="D45" s="106">
        <f>[1]Puntajes!D45</f>
        <v>42</v>
      </c>
      <c r="E45" s="106">
        <f>[1]Puntajes!E45</f>
        <v>131</v>
      </c>
      <c r="F45" s="106">
        <f>[1]Puntajes!F45</f>
        <v>173</v>
      </c>
      <c r="N45" s="67" t="str">
        <f>Grupo!A46</f>
        <v>Quinnie</v>
      </c>
      <c r="O45" s="67">
        <f>Participantes!A45</f>
        <v>44</v>
      </c>
      <c r="P45" s="67">
        <f>Grupo!HJ46</f>
        <v>57</v>
      </c>
      <c r="Q45" s="67">
        <f t="shared" si="0"/>
        <v>5655</v>
      </c>
      <c r="R45" s="67">
        <f t="shared" si="1"/>
        <v>5</v>
      </c>
    </row>
    <row r="46" spans="1:18" ht="14.25" customHeight="1" thickBot="1" x14ac:dyDescent="0.3">
      <c r="A46" s="106">
        <f>[1]Puntajes!A46</f>
        <v>33</v>
      </c>
      <c r="B46" s="106">
        <f>[1]Puntajes!B46</f>
        <v>31</v>
      </c>
      <c r="C46" s="106" t="str">
        <f>[1]Puntajes!C46</f>
        <v>Marilyn</v>
      </c>
      <c r="D46" s="106">
        <f>[1]Puntajes!D46</f>
        <v>49</v>
      </c>
      <c r="E46" s="106">
        <f>[1]Puntajes!E46</f>
        <v>121</v>
      </c>
      <c r="F46" s="106">
        <f>[1]Puntajes!F46</f>
        <v>170</v>
      </c>
      <c r="N46" s="67" t="str">
        <f>Grupo!A47</f>
        <v>Radames</v>
      </c>
      <c r="O46" s="67">
        <f>Participantes!A46</f>
        <v>45</v>
      </c>
      <c r="P46" s="67">
        <f>Grupo!HJ47</f>
        <v>44</v>
      </c>
      <c r="Q46" s="67">
        <f t="shared" si="0"/>
        <v>4354</v>
      </c>
      <c r="R46" s="67">
        <f t="shared" si="1"/>
        <v>38</v>
      </c>
    </row>
    <row r="47" spans="1:18" ht="14.25" customHeight="1" thickBot="1" x14ac:dyDescent="0.3">
      <c r="A47" s="106">
        <f>[1]Puntajes!A47</f>
        <v>36</v>
      </c>
      <c r="B47" s="106">
        <f>[1]Puntajes!B47</f>
        <v>32</v>
      </c>
      <c r="C47" s="106" t="str">
        <f>[1]Puntajes!C47</f>
        <v>Mily CF 1</v>
      </c>
      <c r="D47" s="106">
        <f>[1]Puntajes!D47</f>
        <v>50</v>
      </c>
      <c r="E47" s="106">
        <f>[1]Puntajes!E47</f>
        <v>119</v>
      </c>
      <c r="F47" s="106">
        <f>[1]Puntajes!F47</f>
        <v>169</v>
      </c>
      <c r="N47" s="67" t="str">
        <f>Grupo!A48</f>
        <v>Saul</v>
      </c>
      <c r="O47" s="67">
        <f>Participantes!A47</f>
        <v>46</v>
      </c>
      <c r="P47" s="67">
        <f>Grupo!HJ48</f>
        <v>46</v>
      </c>
      <c r="Q47" s="67">
        <f t="shared" si="0"/>
        <v>4553</v>
      </c>
      <c r="R47" s="67">
        <f t="shared" si="1"/>
        <v>34</v>
      </c>
    </row>
    <row r="48" spans="1:18" ht="14.25" customHeight="1" thickBot="1" x14ac:dyDescent="0.3">
      <c r="A48" s="106">
        <f>[1]Puntajes!A48</f>
        <v>17</v>
      </c>
      <c r="B48" s="106">
        <f>[1]Puntajes!B48</f>
        <v>33</v>
      </c>
      <c r="C48" s="106" t="str">
        <f>[1]Puntajes!C48</f>
        <v>Javier</v>
      </c>
      <c r="D48" s="106">
        <f>[1]Puntajes!D48</f>
        <v>48</v>
      </c>
      <c r="E48" s="106">
        <f>[1]Puntajes!E48</f>
        <v>118</v>
      </c>
      <c r="F48" s="106">
        <f>[1]Puntajes!F48</f>
        <v>166</v>
      </c>
      <c r="N48" s="67" t="str">
        <f>Grupo!A49</f>
        <v>Silvia</v>
      </c>
      <c r="O48" s="67">
        <f>Participantes!A48</f>
        <v>47</v>
      </c>
      <c r="P48" s="67">
        <f>Grupo!HJ49</f>
        <v>49</v>
      </c>
      <c r="Q48" s="67">
        <f t="shared" si="0"/>
        <v>4852</v>
      </c>
      <c r="R48" s="67">
        <f t="shared" si="1"/>
        <v>25</v>
      </c>
    </row>
    <row r="49" spans="1:18" ht="14.25" customHeight="1" thickBot="1" x14ac:dyDescent="0.3">
      <c r="A49" s="106">
        <f>[1]Puntajes!A49</f>
        <v>40</v>
      </c>
      <c r="B49" s="106">
        <f>[1]Puntajes!B49</f>
        <v>33</v>
      </c>
      <c r="C49" s="106" t="str">
        <f>[1]Puntajes!C49</f>
        <v>Nefreteri</v>
      </c>
      <c r="D49" s="106">
        <f>[1]Puntajes!D49</f>
        <v>41</v>
      </c>
      <c r="E49" s="106">
        <f>[1]Puntajes!E49</f>
        <v>125</v>
      </c>
      <c r="F49" s="106">
        <f>[1]Puntajes!F49</f>
        <v>166</v>
      </c>
      <c r="N49" s="67" t="str">
        <f>Grupo!A50</f>
        <v>Walder</v>
      </c>
      <c r="O49" s="67">
        <f>Participantes!A49</f>
        <v>48</v>
      </c>
      <c r="P49" s="67">
        <f>Grupo!HJ50</f>
        <v>45</v>
      </c>
      <c r="Q49" s="67">
        <f t="shared" si="0"/>
        <v>4451</v>
      </c>
      <c r="R49" s="67">
        <f t="shared" si="1"/>
        <v>36</v>
      </c>
    </row>
    <row r="50" spans="1:18" ht="15" customHeight="1" x14ac:dyDescent="0.25">
      <c r="A50" s="106">
        <f>[1]Puntajes!A50</f>
        <v>9</v>
      </c>
      <c r="B50" s="106">
        <f>[1]Puntajes!B50</f>
        <v>34</v>
      </c>
      <c r="C50" s="106" t="str">
        <f>[1]Puntajes!C50</f>
        <v>Christofer</v>
      </c>
      <c r="D50" s="106">
        <f>[1]Puntajes!D50</f>
        <v>32</v>
      </c>
      <c r="E50" s="106">
        <f>[1]Puntajes!E50</f>
        <v>112</v>
      </c>
      <c r="F50" s="106">
        <f>[1]Puntajes!F50</f>
        <v>144</v>
      </c>
      <c r="N50" s="67" t="str">
        <f>Grupo!A51</f>
        <v>Waldo</v>
      </c>
      <c r="O50" s="67">
        <f>Participantes!A50</f>
        <v>49</v>
      </c>
      <c r="P50" s="67">
        <f>Grupo!HJ51</f>
        <v>43</v>
      </c>
      <c r="Q50" s="67">
        <f t="shared" si="0"/>
        <v>4250</v>
      </c>
      <c r="R50" s="67">
        <f t="shared" si="1"/>
        <v>40</v>
      </c>
    </row>
  </sheetData>
  <mergeCells count="6">
    <mergeCell ref="I16:J16"/>
    <mergeCell ref="I20:J20"/>
    <mergeCell ref="I24:J24"/>
    <mergeCell ref="I4:J4"/>
    <mergeCell ref="I8:J8"/>
    <mergeCell ref="I12:J12"/>
  </mergeCells>
  <pageMargins left="0.7" right="0.7" top="0.75" bottom="0.75" header="0.51" footer="0.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R50"/>
  <sheetViews>
    <sheetView showGridLines="0" workbookViewId="0">
      <selection sqref="A1:F50"/>
    </sheetView>
  </sheetViews>
  <sheetFormatPr baseColWidth="10" defaultColWidth="11" defaultRowHeight="15" x14ac:dyDescent="0.25"/>
  <cols>
    <col min="1" max="2" width="10" style="62" customWidth="1"/>
    <col min="3" max="3" width="22" style="64" customWidth="1"/>
    <col min="4" max="4" width="12.42578125" style="62" customWidth="1"/>
    <col min="5" max="5" width="11" style="60"/>
    <col min="6" max="8" width="13.7109375" style="63" customWidth="1"/>
    <col min="9" max="9" width="20" style="62" customWidth="1"/>
    <col min="10" max="10" width="11" style="62"/>
    <col min="11" max="12" width="11" style="60"/>
    <col min="13" max="13" width="11" style="65"/>
    <col min="14" max="14" width="13" style="65" customWidth="1"/>
    <col min="15" max="15" width="29.140625" style="65" customWidth="1"/>
    <col min="16" max="16" width="34.5703125" style="65" customWidth="1"/>
    <col min="17" max="17" width="37.85546875" style="65" customWidth="1"/>
    <col min="18" max="18" width="51.7109375" style="65" customWidth="1"/>
    <col min="19" max="16384" width="11" style="60"/>
  </cols>
  <sheetData>
    <row r="1" spans="1:18" ht="16.5" customHeight="1" thickBot="1" x14ac:dyDescent="0.3">
      <c r="A1" s="109" t="s">
        <v>0</v>
      </c>
      <c r="B1" s="110" t="s">
        <v>1</v>
      </c>
      <c r="C1" s="110" t="s">
        <v>2</v>
      </c>
      <c r="D1" s="111" t="s">
        <v>373</v>
      </c>
      <c r="E1" s="111" t="s">
        <v>374</v>
      </c>
      <c r="F1" s="112" t="s">
        <v>92</v>
      </c>
      <c r="I1" s="61">
        <v>46200.007558796293</v>
      </c>
      <c r="M1" s="69">
        <v>46199</v>
      </c>
      <c r="N1" s="66"/>
      <c r="O1" s="66"/>
      <c r="P1" s="66"/>
      <c r="Q1" s="66"/>
      <c r="R1" s="66"/>
    </row>
    <row r="2" spans="1:18" ht="14.25" customHeight="1" thickBot="1" x14ac:dyDescent="0.3">
      <c r="A2" s="108">
        <v>30</v>
      </c>
      <c r="B2" s="108">
        <v>1</v>
      </c>
      <c r="C2" s="108" t="s">
        <v>10</v>
      </c>
      <c r="D2" s="108">
        <v>63</v>
      </c>
      <c r="E2" s="108">
        <v>155</v>
      </c>
      <c r="F2" s="108">
        <v>218</v>
      </c>
      <c r="N2" s="67"/>
      <c r="O2" s="67"/>
      <c r="P2" s="67"/>
      <c r="Q2" s="67"/>
      <c r="R2" s="67"/>
    </row>
    <row r="3" spans="1:18" ht="14.25" customHeight="1" thickBot="1" x14ac:dyDescent="0.3">
      <c r="A3" s="106">
        <v>34</v>
      </c>
      <c r="B3" s="106">
        <v>2</v>
      </c>
      <c r="C3" s="106" t="s">
        <v>8</v>
      </c>
      <c r="D3" s="106">
        <v>59</v>
      </c>
      <c r="E3" s="106">
        <v>155</v>
      </c>
      <c r="F3" s="106">
        <v>214</v>
      </c>
      <c r="N3" s="67"/>
      <c r="O3" s="67"/>
      <c r="P3" s="67"/>
      <c r="Q3" s="67"/>
      <c r="R3" s="67"/>
    </row>
    <row r="4" spans="1:18" ht="14.25" customHeight="1" thickBot="1" x14ac:dyDescent="0.3">
      <c r="A4" s="106">
        <v>31</v>
      </c>
      <c r="B4" s="106">
        <v>3</v>
      </c>
      <c r="C4" s="106" t="s">
        <v>60</v>
      </c>
      <c r="D4" s="106">
        <v>53</v>
      </c>
      <c r="E4" s="106">
        <v>158</v>
      </c>
      <c r="F4" s="106">
        <v>211</v>
      </c>
      <c r="I4" s="113" t="s">
        <v>19</v>
      </c>
      <c r="J4" s="113"/>
      <c r="K4"/>
      <c r="L4"/>
      <c r="N4" s="67"/>
      <c r="O4" s="67"/>
      <c r="P4" s="67"/>
      <c r="Q4" s="67"/>
      <c r="R4" s="67"/>
    </row>
    <row r="5" spans="1:18" ht="14.25" customHeight="1" thickBot="1" x14ac:dyDescent="0.3">
      <c r="A5" s="106">
        <v>3</v>
      </c>
      <c r="B5" s="106">
        <v>4</v>
      </c>
      <c r="C5" s="106" t="s">
        <v>13</v>
      </c>
      <c r="D5" s="106">
        <v>52</v>
      </c>
      <c r="E5" s="106">
        <v>157</v>
      </c>
      <c r="F5" s="106">
        <v>209</v>
      </c>
      <c r="I5" s="5" t="s">
        <v>44</v>
      </c>
      <c r="J5" s="5" t="s">
        <v>35</v>
      </c>
      <c r="K5"/>
      <c r="L5" s="6">
        <v>0.58333333333333337</v>
      </c>
      <c r="N5" s="67"/>
      <c r="O5" s="67"/>
      <c r="P5" s="67"/>
      <c r="Q5" s="67"/>
      <c r="R5" s="67"/>
    </row>
    <row r="6" spans="1:18" ht="14.25" customHeight="1" thickBot="1" x14ac:dyDescent="0.3">
      <c r="A6" s="106">
        <v>44</v>
      </c>
      <c r="B6" s="106">
        <v>5</v>
      </c>
      <c r="C6" s="106" t="s">
        <v>41</v>
      </c>
      <c r="D6" s="106">
        <v>57</v>
      </c>
      <c r="E6" s="106">
        <v>151</v>
      </c>
      <c r="F6" s="106">
        <v>208</v>
      </c>
      <c r="G6" s="107"/>
      <c r="H6" s="68"/>
      <c r="I6" s="7">
        <v>1</v>
      </c>
      <c r="J6" s="7">
        <v>4</v>
      </c>
      <c r="K6"/>
      <c r="L6"/>
      <c r="N6" s="67"/>
      <c r="O6" s="67"/>
      <c r="P6" s="67"/>
      <c r="Q6" s="67"/>
      <c r="R6" s="67"/>
    </row>
    <row r="7" spans="1:18" ht="14.25" customHeight="1" thickBot="1" x14ac:dyDescent="0.3">
      <c r="A7" s="106">
        <v>38</v>
      </c>
      <c r="B7" s="106">
        <v>6</v>
      </c>
      <c r="C7" s="106" t="s">
        <v>49</v>
      </c>
      <c r="D7" s="106">
        <v>47</v>
      </c>
      <c r="E7" s="106">
        <v>158</v>
      </c>
      <c r="F7" s="106">
        <v>205</v>
      </c>
      <c r="G7" s="68"/>
      <c r="H7" s="68"/>
      <c r="N7" s="67"/>
      <c r="O7" s="67"/>
      <c r="P7" s="67"/>
      <c r="Q7" s="67"/>
      <c r="R7" s="67"/>
    </row>
    <row r="8" spans="1:18" ht="15" customHeight="1" thickBot="1" x14ac:dyDescent="0.3">
      <c r="A8" s="106">
        <v>2</v>
      </c>
      <c r="B8" s="106">
        <v>7</v>
      </c>
      <c r="C8" s="106" t="s">
        <v>11</v>
      </c>
      <c r="D8" s="106">
        <v>55</v>
      </c>
      <c r="E8" s="106">
        <v>149</v>
      </c>
      <c r="F8" s="106">
        <v>204</v>
      </c>
      <c r="G8" s="68"/>
      <c r="H8" s="68"/>
      <c r="I8" s="113" t="s">
        <v>19</v>
      </c>
      <c r="J8" s="113"/>
      <c r="K8"/>
      <c r="L8"/>
      <c r="N8" s="67"/>
      <c r="O8" s="67"/>
      <c r="P8" s="67"/>
      <c r="Q8" s="67"/>
      <c r="R8" s="67"/>
    </row>
    <row r="9" spans="1:18" ht="14.25" customHeight="1" thickBot="1" x14ac:dyDescent="0.3">
      <c r="A9" s="106">
        <v>16</v>
      </c>
      <c r="B9" s="106">
        <v>7</v>
      </c>
      <c r="C9" s="106" t="s">
        <v>22</v>
      </c>
      <c r="D9" s="106">
        <v>53</v>
      </c>
      <c r="E9" s="106">
        <v>151</v>
      </c>
      <c r="F9" s="106">
        <v>204</v>
      </c>
      <c r="G9" s="68"/>
      <c r="H9" s="68"/>
      <c r="I9" s="5" t="s">
        <v>45</v>
      </c>
      <c r="J9" s="5" t="s">
        <v>36</v>
      </c>
      <c r="K9"/>
      <c r="L9" s="6">
        <v>0.58333333333333337</v>
      </c>
      <c r="N9" s="67"/>
      <c r="O9" s="67"/>
      <c r="P9" s="67"/>
      <c r="Q9" s="67"/>
      <c r="R9" s="67"/>
    </row>
    <row r="10" spans="1:18" ht="15" customHeight="1" thickBot="1" x14ac:dyDescent="0.3">
      <c r="A10" s="106">
        <v>27</v>
      </c>
      <c r="B10" s="106">
        <v>8</v>
      </c>
      <c r="C10" s="106" t="s">
        <v>26</v>
      </c>
      <c r="D10" s="106">
        <v>58</v>
      </c>
      <c r="E10" s="106">
        <v>145</v>
      </c>
      <c r="F10" s="106">
        <v>203</v>
      </c>
      <c r="G10" s="68"/>
      <c r="H10" s="68"/>
      <c r="I10" s="7">
        <v>5</v>
      </c>
      <c r="J10" s="7">
        <v>0</v>
      </c>
      <c r="K10"/>
      <c r="L10"/>
      <c r="N10" s="67"/>
      <c r="O10" s="67"/>
      <c r="P10" s="67"/>
      <c r="Q10" s="67"/>
      <c r="R10" s="67"/>
    </row>
    <row r="11" spans="1:18" ht="15" customHeight="1" thickBot="1" x14ac:dyDescent="0.3">
      <c r="A11" s="106">
        <v>46</v>
      </c>
      <c r="B11" s="106">
        <v>8</v>
      </c>
      <c r="C11" s="106" t="s">
        <v>55</v>
      </c>
      <c r="D11" s="106">
        <v>46</v>
      </c>
      <c r="E11" s="106">
        <v>157</v>
      </c>
      <c r="F11" s="106">
        <v>203</v>
      </c>
      <c r="G11" s="68"/>
      <c r="H11" s="68"/>
      <c r="N11" s="67"/>
      <c r="O11" s="67"/>
      <c r="P11" s="67"/>
      <c r="Q11" s="67"/>
      <c r="R11" s="67"/>
    </row>
    <row r="12" spans="1:18" ht="14.25" customHeight="1" thickBot="1" x14ac:dyDescent="0.3">
      <c r="A12" s="106">
        <v>20</v>
      </c>
      <c r="B12" s="106">
        <v>9</v>
      </c>
      <c r="C12" s="106" t="s">
        <v>32</v>
      </c>
      <c r="D12" s="106">
        <v>55</v>
      </c>
      <c r="E12" s="106">
        <v>144</v>
      </c>
      <c r="F12" s="106">
        <v>199</v>
      </c>
      <c r="G12" s="68"/>
      <c r="H12" s="68"/>
      <c r="I12" s="113" t="s">
        <v>19</v>
      </c>
      <c r="J12" s="113"/>
      <c r="K12"/>
      <c r="L12"/>
      <c r="N12" s="67"/>
      <c r="O12" s="67"/>
      <c r="P12" s="67"/>
      <c r="Q12" s="67"/>
      <c r="R12" s="67"/>
    </row>
    <row r="13" spans="1:18" ht="15" customHeight="1" thickBot="1" x14ac:dyDescent="0.3">
      <c r="A13" s="106">
        <v>35</v>
      </c>
      <c r="B13" s="106">
        <v>9</v>
      </c>
      <c r="C13" s="106" t="s">
        <v>28</v>
      </c>
      <c r="D13" s="106">
        <v>55</v>
      </c>
      <c r="E13" s="106">
        <v>144</v>
      </c>
      <c r="F13" s="106">
        <v>199</v>
      </c>
      <c r="G13" s="68"/>
      <c r="H13" s="68"/>
      <c r="I13" s="5" t="s">
        <v>71</v>
      </c>
      <c r="J13" s="5" t="s">
        <v>375</v>
      </c>
      <c r="K13"/>
      <c r="L13" s="6">
        <v>0.79166666666666663</v>
      </c>
      <c r="N13" s="67"/>
      <c r="O13" s="67"/>
      <c r="P13" s="67"/>
      <c r="Q13" s="67"/>
      <c r="R13" s="67"/>
    </row>
    <row r="14" spans="1:18" ht="14.25" customHeight="1" thickBot="1" x14ac:dyDescent="0.3">
      <c r="A14" s="106">
        <v>45</v>
      </c>
      <c r="B14" s="106">
        <v>9</v>
      </c>
      <c r="C14" s="106" t="s">
        <v>64</v>
      </c>
      <c r="D14" s="106">
        <v>44</v>
      </c>
      <c r="E14" s="106">
        <v>155</v>
      </c>
      <c r="F14" s="106">
        <v>199</v>
      </c>
      <c r="G14" s="68"/>
      <c r="H14" s="68"/>
      <c r="I14" s="7">
        <v>0</v>
      </c>
      <c r="J14" s="7">
        <v>0</v>
      </c>
      <c r="K14"/>
      <c r="L14"/>
      <c r="N14" s="67"/>
      <c r="O14" s="67"/>
      <c r="P14" s="67"/>
      <c r="Q14" s="67"/>
      <c r="R14" s="67"/>
    </row>
    <row r="15" spans="1:18" ht="14.25" customHeight="1" thickBot="1" x14ac:dyDescent="0.3">
      <c r="A15" s="106">
        <v>4</v>
      </c>
      <c r="B15" s="106">
        <v>10</v>
      </c>
      <c r="C15" s="106" t="s">
        <v>15</v>
      </c>
      <c r="D15" s="106">
        <v>50</v>
      </c>
      <c r="E15" s="106">
        <v>148</v>
      </c>
      <c r="F15" s="106">
        <v>198</v>
      </c>
      <c r="G15" s="68"/>
      <c r="H15" s="68"/>
      <c r="N15" s="67"/>
      <c r="O15" s="67"/>
      <c r="P15" s="67"/>
      <c r="Q15" s="67"/>
      <c r="R15" s="67"/>
    </row>
    <row r="16" spans="1:18" ht="14.25" customHeight="1" thickBot="1" x14ac:dyDescent="0.3">
      <c r="A16" s="106">
        <v>1</v>
      </c>
      <c r="B16" s="106">
        <v>11</v>
      </c>
      <c r="C16" s="106" t="s">
        <v>9</v>
      </c>
      <c r="D16" s="106">
        <v>48</v>
      </c>
      <c r="E16" s="106">
        <v>149</v>
      </c>
      <c r="F16" s="106">
        <v>197</v>
      </c>
      <c r="I16" s="113" t="s">
        <v>19</v>
      </c>
      <c r="J16" s="113"/>
      <c r="K16"/>
      <c r="L16"/>
      <c r="N16" s="67"/>
      <c r="O16" s="67"/>
      <c r="P16" s="67"/>
      <c r="Q16" s="67"/>
      <c r="R16" s="67"/>
    </row>
    <row r="17" spans="1:18" ht="14.25" customHeight="1" thickBot="1" x14ac:dyDescent="0.3">
      <c r="A17" s="106">
        <v>49</v>
      </c>
      <c r="B17" s="106">
        <v>12</v>
      </c>
      <c r="C17" s="106" t="s">
        <v>61</v>
      </c>
      <c r="D17" s="106">
        <v>43</v>
      </c>
      <c r="E17" s="106">
        <v>153</v>
      </c>
      <c r="F17" s="106">
        <v>196</v>
      </c>
      <c r="I17" s="5" t="s">
        <v>70</v>
      </c>
      <c r="J17" s="5" t="s">
        <v>66</v>
      </c>
      <c r="K17"/>
      <c r="L17" s="6">
        <v>0.79166666666666663</v>
      </c>
      <c r="N17" s="67"/>
      <c r="O17" s="67"/>
      <c r="P17" s="67"/>
      <c r="Q17" s="67"/>
      <c r="R17" s="67"/>
    </row>
    <row r="18" spans="1:18" ht="14.25" customHeight="1" thickBot="1" x14ac:dyDescent="0.3">
      <c r="A18" s="106">
        <v>18</v>
      </c>
      <c r="B18" s="106">
        <v>13</v>
      </c>
      <c r="C18" s="106" t="s">
        <v>42</v>
      </c>
      <c r="D18" s="106">
        <v>46</v>
      </c>
      <c r="E18" s="106">
        <v>149</v>
      </c>
      <c r="F18" s="106">
        <v>195</v>
      </c>
      <c r="I18" s="7">
        <v>0</v>
      </c>
      <c r="J18" s="7">
        <v>1</v>
      </c>
      <c r="K18"/>
      <c r="L18"/>
      <c r="N18" s="67"/>
      <c r="O18" s="67"/>
      <c r="P18" s="67"/>
      <c r="Q18" s="67"/>
      <c r="R18" s="67"/>
    </row>
    <row r="19" spans="1:18" ht="14.25" customHeight="1" thickBot="1" x14ac:dyDescent="0.3">
      <c r="A19" s="106">
        <v>26</v>
      </c>
      <c r="B19" s="106">
        <v>14</v>
      </c>
      <c r="C19" s="106" t="s">
        <v>54</v>
      </c>
      <c r="D19" s="106">
        <v>49</v>
      </c>
      <c r="E19" s="106">
        <v>145</v>
      </c>
      <c r="F19" s="106">
        <v>194</v>
      </c>
      <c r="N19" s="67"/>
      <c r="O19" s="67"/>
      <c r="P19" s="67"/>
      <c r="Q19" s="67"/>
      <c r="R19" s="67"/>
    </row>
    <row r="20" spans="1:18" ht="14.25" customHeight="1" thickBot="1" x14ac:dyDescent="0.3">
      <c r="A20" s="106">
        <v>39</v>
      </c>
      <c r="B20" s="106">
        <v>15</v>
      </c>
      <c r="C20" s="106" t="s">
        <v>43</v>
      </c>
      <c r="D20" s="106">
        <v>50</v>
      </c>
      <c r="E20" s="106">
        <v>143</v>
      </c>
      <c r="F20" s="106">
        <v>193</v>
      </c>
      <c r="I20" s="113" t="s">
        <v>19</v>
      </c>
      <c r="J20" s="113"/>
      <c r="K20"/>
      <c r="L20"/>
      <c r="N20" s="67"/>
      <c r="O20" s="67"/>
      <c r="P20" s="67"/>
      <c r="Q20" s="67"/>
      <c r="R20" s="67"/>
    </row>
    <row r="21" spans="1:18" ht="14.25" customHeight="1" thickBot="1" x14ac:dyDescent="0.3">
      <c r="A21" s="106">
        <v>8</v>
      </c>
      <c r="B21" s="106">
        <v>16</v>
      </c>
      <c r="C21" s="106" t="s">
        <v>25</v>
      </c>
      <c r="D21" s="106">
        <v>50</v>
      </c>
      <c r="E21" s="106">
        <v>140</v>
      </c>
      <c r="F21" s="106">
        <v>190</v>
      </c>
      <c r="I21" s="5" t="s">
        <v>73</v>
      </c>
      <c r="J21" s="5" t="s">
        <v>69</v>
      </c>
      <c r="K21"/>
      <c r="L21" s="6">
        <v>0.91666666666666663</v>
      </c>
      <c r="N21" s="67"/>
      <c r="O21" s="67"/>
      <c r="P21" s="67"/>
      <c r="Q21" s="67"/>
      <c r="R21" s="67"/>
    </row>
    <row r="22" spans="1:18" ht="14.25" customHeight="1" thickBot="1" x14ac:dyDescent="0.3">
      <c r="A22" s="106">
        <v>37</v>
      </c>
      <c r="B22" s="106">
        <v>17</v>
      </c>
      <c r="C22" s="106" t="s">
        <v>63</v>
      </c>
      <c r="D22" s="106">
        <v>41</v>
      </c>
      <c r="E22" s="106">
        <v>147</v>
      </c>
      <c r="F22" s="106">
        <v>188</v>
      </c>
      <c r="I22" s="7">
        <v>1</v>
      </c>
      <c r="J22" s="7">
        <v>1</v>
      </c>
      <c r="K22"/>
      <c r="L22"/>
      <c r="N22" s="67"/>
      <c r="O22" s="67"/>
      <c r="P22" s="67"/>
      <c r="Q22" s="67"/>
      <c r="R22" s="67"/>
    </row>
    <row r="23" spans="1:18" ht="14.25" customHeight="1" thickBot="1" x14ac:dyDescent="0.3">
      <c r="A23" s="106">
        <v>47</v>
      </c>
      <c r="B23" s="106">
        <v>17</v>
      </c>
      <c r="C23" s="106" t="s">
        <v>53</v>
      </c>
      <c r="D23" s="106">
        <v>49</v>
      </c>
      <c r="E23" s="106">
        <v>139</v>
      </c>
      <c r="F23" s="106">
        <v>188</v>
      </c>
      <c r="N23" s="67"/>
      <c r="O23" s="67"/>
      <c r="P23" s="67"/>
      <c r="Q23" s="67"/>
      <c r="R23" s="67"/>
    </row>
    <row r="24" spans="1:18" ht="14.25" customHeight="1" thickBot="1" x14ac:dyDescent="0.3">
      <c r="A24" s="106">
        <v>19</v>
      </c>
      <c r="B24" s="106">
        <v>18</v>
      </c>
      <c r="C24" s="106" t="s">
        <v>14</v>
      </c>
      <c r="D24" s="106">
        <v>52</v>
      </c>
      <c r="E24" s="106">
        <v>135</v>
      </c>
      <c r="F24" s="106">
        <v>187</v>
      </c>
      <c r="I24" s="113" t="s">
        <v>19</v>
      </c>
      <c r="J24" s="113"/>
      <c r="K24"/>
      <c r="L24"/>
      <c r="N24" s="67"/>
      <c r="O24" s="67"/>
      <c r="P24" s="67"/>
      <c r="Q24" s="67"/>
      <c r="R24" s="67"/>
    </row>
    <row r="25" spans="1:18" ht="14.25" customHeight="1" thickBot="1" x14ac:dyDescent="0.3">
      <c r="A25" s="106">
        <v>24</v>
      </c>
      <c r="B25" s="106">
        <v>18</v>
      </c>
      <c r="C25" s="106" t="s">
        <v>50</v>
      </c>
      <c r="D25" s="106">
        <v>44</v>
      </c>
      <c r="E25" s="106">
        <v>143</v>
      </c>
      <c r="F25" s="106">
        <v>187</v>
      </c>
      <c r="I25" s="5" t="s">
        <v>72</v>
      </c>
      <c r="J25" s="80" t="s">
        <v>68</v>
      </c>
      <c r="K25"/>
      <c r="L25" s="6">
        <v>0.91666666666666663</v>
      </c>
      <c r="N25" s="67"/>
      <c r="O25" s="67"/>
      <c r="P25" s="67"/>
      <c r="Q25" s="67"/>
      <c r="R25" s="67"/>
    </row>
    <row r="26" spans="1:18" ht="14.25" customHeight="1" thickBot="1" x14ac:dyDescent="0.3">
      <c r="A26" s="106">
        <v>7</v>
      </c>
      <c r="B26" s="106">
        <v>19</v>
      </c>
      <c r="C26" s="106" t="s">
        <v>21</v>
      </c>
      <c r="D26" s="106">
        <v>46</v>
      </c>
      <c r="E26" s="106">
        <v>140</v>
      </c>
      <c r="F26" s="106">
        <v>186</v>
      </c>
      <c r="I26" s="7">
        <v>1</v>
      </c>
      <c r="J26" s="7">
        <v>5</v>
      </c>
      <c r="K26"/>
      <c r="L26"/>
      <c r="N26" s="67"/>
      <c r="O26" s="67"/>
      <c r="P26" s="67"/>
      <c r="Q26" s="67"/>
      <c r="R26" s="67"/>
    </row>
    <row r="27" spans="1:18" ht="14.25" customHeight="1" thickBot="1" x14ac:dyDescent="0.3">
      <c r="A27" s="106">
        <v>11</v>
      </c>
      <c r="B27" s="106">
        <v>20</v>
      </c>
      <c r="C27" s="106" t="s">
        <v>30</v>
      </c>
      <c r="D27" s="106">
        <v>57</v>
      </c>
      <c r="E27" s="106">
        <v>128</v>
      </c>
      <c r="F27" s="106">
        <v>185</v>
      </c>
      <c r="N27" s="67"/>
      <c r="O27" s="67"/>
      <c r="P27" s="67"/>
      <c r="Q27" s="67"/>
      <c r="R27" s="67"/>
    </row>
    <row r="28" spans="1:18" ht="14.25" customHeight="1" thickBot="1" x14ac:dyDescent="0.3">
      <c r="A28" s="106">
        <v>43</v>
      </c>
      <c r="B28" s="106">
        <v>20</v>
      </c>
      <c r="C28" s="106" t="s">
        <v>16</v>
      </c>
      <c r="D28" s="106">
        <v>52</v>
      </c>
      <c r="E28" s="106">
        <v>133</v>
      </c>
      <c r="F28" s="106">
        <v>185</v>
      </c>
      <c r="N28" s="67"/>
      <c r="O28" s="67"/>
      <c r="P28" s="67"/>
      <c r="Q28" s="67"/>
      <c r="R28" s="67"/>
    </row>
    <row r="29" spans="1:18" ht="14.25" customHeight="1" thickBot="1" x14ac:dyDescent="0.3">
      <c r="A29" s="106">
        <v>10</v>
      </c>
      <c r="B29" s="106">
        <v>21</v>
      </c>
      <c r="C29" s="106" t="s">
        <v>29</v>
      </c>
      <c r="D29" s="106">
        <v>48</v>
      </c>
      <c r="E29" s="106">
        <v>135</v>
      </c>
      <c r="F29" s="106">
        <v>183</v>
      </c>
      <c r="N29" s="67"/>
      <c r="O29" s="67"/>
      <c r="P29" s="67"/>
      <c r="Q29" s="67"/>
      <c r="R29" s="67"/>
    </row>
    <row r="30" spans="1:18" ht="14.25" customHeight="1" thickBot="1" x14ac:dyDescent="0.3">
      <c r="A30" s="106">
        <v>22</v>
      </c>
      <c r="B30" s="106">
        <v>21</v>
      </c>
      <c r="C30" s="106" t="s">
        <v>34</v>
      </c>
      <c r="D30" s="106">
        <v>53</v>
      </c>
      <c r="E30" s="106">
        <v>130</v>
      </c>
      <c r="F30" s="106">
        <v>183</v>
      </c>
      <c r="N30" s="67"/>
      <c r="O30" s="67"/>
      <c r="P30" s="67"/>
      <c r="Q30" s="67"/>
      <c r="R30" s="67"/>
    </row>
    <row r="31" spans="1:18" ht="14.25" customHeight="1" thickBot="1" x14ac:dyDescent="0.3">
      <c r="A31" s="106">
        <v>28</v>
      </c>
      <c r="B31" s="106">
        <v>22</v>
      </c>
      <c r="C31" s="106" t="s">
        <v>47</v>
      </c>
      <c r="D31" s="106">
        <v>50</v>
      </c>
      <c r="E31" s="106">
        <v>132</v>
      </c>
      <c r="F31" s="106">
        <v>182</v>
      </c>
      <c r="N31" s="67"/>
      <c r="O31" s="67"/>
      <c r="P31" s="67"/>
      <c r="Q31" s="67"/>
      <c r="R31" s="67"/>
    </row>
    <row r="32" spans="1:18" ht="14.25" customHeight="1" thickBot="1" x14ac:dyDescent="0.3">
      <c r="A32" s="106">
        <v>41</v>
      </c>
      <c r="B32" s="106">
        <v>23</v>
      </c>
      <c r="C32" s="106" t="s">
        <v>65</v>
      </c>
      <c r="D32" s="106">
        <v>42</v>
      </c>
      <c r="E32" s="106">
        <v>139</v>
      </c>
      <c r="F32" s="106">
        <v>181</v>
      </c>
      <c r="N32" s="67"/>
      <c r="O32" s="67"/>
      <c r="P32" s="67"/>
      <c r="Q32" s="67"/>
      <c r="R32" s="67"/>
    </row>
    <row r="33" spans="1:18" ht="14.25" customHeight="1" thickBot="1" x14ac:dyDescent="0.3">
      <c r="A33" s="106">
        <v>42</v>
      </c>
      <c r="B33" s="106">
        <v>23</v>
      </c>
      <c r="C33" s="106" t="s">
        <v>12</v>
      </c>
      <c r="D33" s="106">
        <v>51</v>
      </c>
      <c r="E33" s="106">
        <v>130</v>
      </c>
      <c r="F33" s="106">
        <v>181</v>
      </c>
      <c r="N33" s="67"/>
      <c r="O33" s="67"/>
      <c r="P33" s="67"/>
      <c r="Q33" s="67"/>
      <c r="R33" s="67"/>
    </row>
    <row r="34" spans="1:18" ht="14.25" customHeight="1" thickBot="1" x14ac:dyDescent="0.3">
      <c r="A34" s="106">
        <v>5</v>
      </c>
      <c r="B34" s="106">
        <v>24</v>
      </c>
      <c r="C34" s="106" t="s">
        <v>17</v>
      </c>
      <c r="D34" s="106">
        <v>52</v>
      </c>
      <c r="E34" s="106">
        <v>127</v>
      </c>
      <c r="F34" s="106">
        <v>179</v>
      </c>
      <c r="N34" s="67"/>
      <c r="O34" s="67"/>
      <c r="P34" s="67"/>
      <c r="Q34" s="67"/>
      <c r="R34" s="67"/>
    </row>
    <row r="35" spans="1:18" ht="14.25" customHeight="1" thickBot="1" x14ac:dyDescent="0.3">
      <c r="A35" s="106">
        <v>25</v>
      </c>
      <c r="B35" s="106">
        <v>24</v>
      </c>
      <c r="C35" s="106" t="s">
        <v>52</v>
      </c>
      <c r="D35" s="106">
        <v>47</v>
      </c>
      <c r="E35" s="106">
        <v>132</v>
      </c>
      <c r="F35" s="106">
        <v>179</v>
      </c>
      <c r="N35" s="67"/>
      <c r="O35" s="67"/>
      <c r="P35" s="67"/>
      <c r="Q35" s="67"/>
      <c r="R35" s="67"/>
    </row>
    <row r="36" spans="1:18" ht="14.25" customHeight="1" thickBot="1" x14ac:dyDescent="0.3">
      <c r="A36" s="106">
        <v>14</v>
      </c>
      <c r="B36" s="106">
        <v>25</v>
      </c>
      <c r="C36" s="106" t="s">
        <v>39</v>
      </c>
      <c r="D36" s="106">
        <v>52</v>
      </c>
      <c r="E36" s="106">
        <v>126</v>
      </c>
      <c r="F36" s="106">
        <v>178</v>
      </c>
      <c r="N36" s="67"/>
      <c r="O36" s="67"/>
      <c r="P36" s="67"/>
      <c r="Q36" s="67"/>
      <c r="R36" s="67"/>
    </row>
    <row r="37" spans="1:18" ht="14.25" customHeight="1" thickBot="1" x14ac:dyDescent="0.3">
      <c r="A37" s="106">
        <v>23</v>
      </c>
      <c r="B37" s="106">
        <v>26</v>
      </c>
      <c r="C37" s="106" t="s">
        <v>48</v>
      </c>
      <c r="D37" s="106">
        <v>45</v>
      </c>
      <c r="E37" s="106">
        <v>132</v>
      </c>
      <c r="F37" s="106">
        <v>177</v>
      </c>
      <c r="N37" s="67"/>
      <c r="O37" s="67"/>
      <c r="P37" s="67"/>
      <c r="Q37" s="67"/>
      <c r="R37" s="67"/>
    </row>
    <row r="38" spans="1:18" ht="14.25" customHeight="1" thickBot="1" x14ac:dyDescent="0.3">
      <c r="A38" s="106">
        <v>48</v>
      </c>
      <c r="B38" s="106">
        <v>26</v>
      </c>
      <c r="C38" s="106" t="s">
        <v>59</v>
      </c>
      <c r="D38" s="106">
        <v>45</v>
      </c>
      <c r="E38" s="106">
        <v>132</v>
      </c>
      <c r="F38" s="106">
        <v>177</v>
      </c>
      <c r="N38" s="67"/>
      <c r="O38" s="67"/>
      <c r="P38" s="67"/>
      <c r="Q38" s="67"/>
      <c r="R38" s="67"/>
    </row>
    <row r="39" spans="1:18" ht="14.25" customHeight="1" thickBot="1" x14ac:dyDescent="0.3">
      <c r="A39" s="106">
        <v>12</v>
      </c>
      <c r="B39" s="106">
        <v>27</v>
      </c>
      <c r="C39" s="106" t="s">
        <v>31</v>
      </c>
      <c r="D39" s="106">
        <v>36</v>
      </c>
      <c r="E39" s="106">
        <v>140</v>
      </c>
      <c r="F39" s="106">
        <v>176</v>
      </c>
      <c r="N39" s="67"/>
      <c r="O39" s="67"/>
      <c r="P39" s="67"/>
      <c r="Q39" s="67"/>
      <c r="R39" s="67"/>
    </row>
    <row r="40" spans="1:18" ht="14.25" customHeight="1" thickBot="1" x14ac:dyDescent="0.3">
      <c r="A40" s="106">
        <v>21</v>
      </c>
      <c r="B40" s="106">
        <v>27</v>
      </c>
      <c r="C40" s="106" t="s">
        <v>46</v>
      </c>
      <c r="D40" s="106">
        <v>47</v>
      </c>
      <c r="E40" s="106">
        <v>129</v>
      </c>
      <c r="F40" s="106">
        <v>176</v>
      </c>
      <c r="N40" s="67"/>
      <c r="O40" s="67"/>
      <c r="P40" s="67"/>
      <c r="Q40" s="67"/>
      <c r="R40" s="67"/>
    </row>
    <row r="41" spans="1:18" ht="14.25" customHeight="1" thickBot="1" x14ac:dyDescent="0.3">
      <c r="A41" s="106">
        <v>32</v>
      </c>
      <c r="B41" s="106">
        <v>28</v>
      </c>
      <c r="C41" s="106" t="s">
        <v>62</v>
      </c>
      <c r="D41" s="106">
        <v>39</v>
      </c>
      <c r="E41" s="106">
        <v>136</v>
      </c>
      <c r="F41" s="106">
        <v>175</v>
      </c>
      <c r="N41" s="67"/>
      <c r="O41" s="67"/>
      <c r="P41" s="67"/>
      <c r="Q41" s="67"/>
      <c r="R41" s="67"/>
    </row>
    <row r="42" spans="1:18" ht="14.25" customHeight="1" thickBot="1" x14ac:dyDescent="0.3">
      <c r="A42" s="106">
        <v>6</v>
      </c>
      <c r="B42" s="106">
        <v>29</v>
      </c>
      <c r="C42" s="106" t="s">
        <v>20</v>
      </c>
      <c r="D42" s="106">
        <v>39</v>
      </c>
      <c r="E42" s="106">
        <v>135</v>
      </c>
      <c r="F42" s="106">
        <v>174</v>
      </c>
      <c r="N42" s="67"/>
      <c r="O42" s="67"/>
      <c r="P42" s="67"/>
      <c r="Q42" s="67"/>
      <c r="R42" s="67"/>
    </row>
    <row r="43" spans="1:18" ht="14.25" customHeight="1" thickBot="1" x14ac:dyDescent="0.3">
      <c r="A43" s="106">
        <v>15</v>
      </c>
      <c r="B43" s="106">
        <v>29</v>
      </c>
      <c r="C43" s="106" t="s">
        <v>37</v>
      </c>
      <c r="D43" s="106">
        <v>43</v>
      </c>
      <c r="E43" s="106">
        <v>131</v>
      </c>
      <c r="F43" s="106">
        <v>174</v>
      </c>
      <c r="N43" s="67"/>
      <c r="O43" s="67"/>
      <c r="P43" s="67"/>
      <c r="Q43" s="67"/>
      <c r="R43" s="67"/>
    </row>
    <row r="44" spans="1:18" ht="14.25" customHeight="1" thickBot="1" x14ac:dyDescent="0.3">
      <c r="A44" s="106">
        <v>29</v>
      </c>
      <c r="B44" s="106">
        <v>29</v>
      </c>
      <c r="C44" s="106" t="s">
        <v>58</v>
      </c>
      <c r="D44" s="106">
        <v>35</v>
      </c>
      <c r="E44" s="106">
        <v>139</v>
      </c>
      <c r="F44" s="106">
        <v>174</v>
      </c>
      <c r="N44" s="67"/>
      <c r="O44" s="67"/>
      <c r="P44" s="67"/>
      <c r="Q44" s="67"/>
      <c r="R44" s="67"/>
    </row>
    <row r="45" spans="1:18" ht="14.25" customHeight="1" thickBot="1" x14ac:dyDescent="0.3">
      <c r="A45" s="106">
        <v>13</v>
      </c>
      <c r="B45" s="106">
        <v>30</v>
      </c>
      <c r="C45" s="106" t="s">
        <v>33</v>
      </c>
      <c r="D45" s="106">
        <v>42</v>
      </c>
      <c r="E45" s="106">
        <v>131</v>
      </c>
      <c r="F45" s="106">
        <v>173</v>
      </c>
      <c r="N45" s="67"/>
      <c r="O45" s="67"/>
      <c r="P45" s="67"/>
      <c r="Q45" s="67"/>
      <c r="R45" s="67"/>
    </row>
    <row r="46" spans="1:18" ht="14.25" customHeight="1" thickBot="1" x14ac:dyDescent="0.3">
      <c r="A46" s="106">
        <v>33</v>
      </c>
      <c r="B46" s="106">
        <v>31</v>
      </c>
      <c r="C46" s="106" t="s">
        <v>18</v>
      </c>
      <c r="D46" s="106">
        <v>49</v>
      </c>
      <c r="E46" s="106">
        <v>121</v>
      </c>
      <c r="F46" s="106">
        <v>170</v>
      </c>
      <c r="N46" s="67"/>
      <c r="O46" s="67"/>
      <c r="P46" s="67"/>
      <c r="Q46" s="67"/>
      <c r="R46" s="67"/>
    </row>
    <row r="47" spans="1:18" ht="14.25" customHeight="1" thickBot="1" x14ac:dyDescent="0.3">
      <c r="A47" s="106">
        <v>36</v>
      </c>
      <c r="B47" s="106">
        <v>32</v>
      </c>
      <c r="C47" s="106" t="s">
        <v>38</v>
      </c>
      <c r="D47" s="106">
        <v>50</v>
      </c>
      <c r="E47" s="106">
        <v>119</v>
      </c>
      <c r="F47" s="106">
        <v>169</v>
      </c>
      <c r="N47" s="67"/>
      <c r="O47" s="67"/>
      <c r="P47" s="67"/>
      <c r="Q47" s="67"/>
      <c r="R47" s="67"/>
    </row>
    <row r="48" spans="1:18" ht="14.25" customHeight="1" thickBot="1" x14ac:dyDescent="0.3">
      <c r="A48" s="106">
        <v>17</v>
      </c>
      <c r="B48" s="106">
        <v>33</v>
      </c>
      <c r="C48" s="106" t="s">
        <v>40</v>
      </c>
      <c r="D48" s="106">
        <v>48</v>
      </c>
      <c r="E48" s="106">
        <v>118</v>
      </c>
      <c r="F48" s="106">
        <v>166</v>
      </c>
      <c r="N48" s="67"/>
      <c r="O48" s="67"/>
      <c r="P48" s="67"/>
      <c r="Q48" s="67"/>
      <c r="R48" s="67"/>
    </row>
    <row r="49" spans="1:18" ht="14.25" customHeight="1" thickBot="1" x14ac:dyDescent="0.3">
      <c r="A49" s="106">
        <v>40</v>
      </c>
      <c r="B49" s="106">
        <v>33</v>
      </c>
      <c r="C49" s="106" t="s">
        <v>51</v>
      </c>
      <c r="D49" s="106">
        <v>41</v>
      </c>
      <c r="E49" s="106">
        <v>125</v>
      </c>
      <c r="F49" s="106">
        <v>166</v>
      </c>
      <c r="N49" s="67"/>
      <c r="O49" s="67"/>
      <c r="P49" s="67"/>
      <c r="Q49" s="67"/>
      <c r="R49" s="67"/>
    </row>
    <row r="50" spans="1:18" ht="15" customHeight="1" x14ac:dyDescent="0.25">
      <c r="A50" s="106">
        <v>9</v>
      </c>
      <c r="B50" s="106">
        <v>34</v>
      </c>
      <c r="C50" s="106" t="s">
        <v>27</v>
      </c>
      <c r="D50" s="106">
        <v>32</v>
      </c>
      <c r="E50" s="106">
        <v>112</v>
      </c>
      <c r="F50" s="106">
        <v>144</v>
      </c>
      <c r="N50" s="67"/>
      <c r="O50" s="67"/>
      <c r="P50" s="67"/>
      <c r="Q50" s="67"/>
      <c r="R50" s="67"/>
    </row>
  </sheetData>
  <pageMargins left="0.7" right="0.7" top="0.75" bottom="0.75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CH52"/>
  <sheetViews>
    <sheetView showGridLines="0" topLeftCell="AL1" workbookViewId="0">
      <selection activeCell="AX21" sqref="AX21"/>
    </sheetView>
  </sheetViews>
  <sheetFormatPr baseColWidth="10" defaultColWidth="14.42578125" defaultRowHeight="15" x14ac:dyDescent="0.25"/>
  <cols>
    <col min="1" max="1" width="24.28515625" style="83" customWidth="1"/>
    <col min="2" max="2" width="16.140625" style="83" customWidth="1"/>
    <col min="3" max="3" width="3.140625" style="83" customWidth="1"/>
    <col min="4" max="4" width="15.5703125" style="83" customWidth="1"/>
    <col min="5" max="5" width="3.28515625" style="83" customWidth="1"/>
    <col min="6" max="6" width="16.140625" style="83" customWidth="1"/>
    <col min="7" max="7" width="4.140625" style="83" customWidth="1"/>
    <col min="8" max="8" width="13.28515625" style="83" customWidth="1"/>
    <col min="9" max="9" width="16.140625" style="83" customWidth="1"/>
    <col min="10" max="10" width="3.140625" style="83" customWidth="1"/>
    <col min="11" max="11" width="15.5703125" style="83" customWidth="1"/>
    <col min="12" max="12" width="3.28515625" style="83" customWidth="1"/>
    <col min="13" max="13" width="16.140625" style="83" customWidth="1"/>
    <col min="14" max="14" width="4.140625" style="83" customWidth="1"/>
    <col min="15" max="15" width="13.28515625" style="83" customWidth="1"/>
    <col min="16" max="16" width="16.140625" style="83" customWidth="1"/>
    <col min="17" max="17" width="3.140625" style="83" customWidth="1"/>
    <col min="18" max="18" width="15.5703125" style="83" customWidth="1"/>
    <col min="19" max="19" width="3.28515625" style="83" customWidth="1"/>
    <col min="20" max="20" width="16.140625" style="83" customWidth="1"/>
    <col min="21" max="21" width="4.140625" style="83" customWidth="1"/>
    <col min="22" max="22" width="13.28515625" style="83" customWidth="1"/>
    <col min="23" max="23" width="16.140625" style="83" customWidth="1"/>
    <col min="24" max="24" width="3.140625" style="83" customWidth="1"/>
    <col min="25" max="25" width="15.5703125" style="83" customWidth="1"/>
    <col min="26" max="26" width="3.28515625" style="83" customWidth="1"/>
    <col min="27" max="27" width="16.140625" style="83" customWidth="1"/>
    <col min="28" max="28" width="4.140625" style="83" customWidth="1"/>
    <col min="29" max="29" width="13.28515625" style="83" customWidth="1"/>
    <col min="30" max="30" width="16.140625" style="83" customWidth="1"/>
    <col min="31" max="31" width="3.140625" style="83" customWidth="1"/>
    <col min="32" max="32" width="15.5703125" style="83" customWidth="1"/>
    <col min="33" max="33" width="3.28515625" style="83" customWidth="1"/>
    <col min="34" max="34" width="16.140625" style="83" customWidth="1"/>
    <col min="35" max="35" width="4.140625" style="83" customWidth="1"/>
    <col min="36" max="36" width="13.28515625" style="83" customWidth="1"/>
    <col min="37" max="37" width="16.140625" style="83" customWidth="1"/>
    <col min="38" max="38" width="3.140625" style="83" customWidth="1"/>
    <col min="39" max="39" width="15.5703125" style="83" customWidth="1"/>
    <col min="40" max="40" width="3.28515625" style="83" customWidth="1"/>
    <col min="41" max="41" width="16.140625" style="83" customWidth="1"/>
    <col min="42" max="42" width="4.140625" style="83" customWidth="1"/>
    <col min="43" max="43" width="13.28515625" style="83" customWidth="1"/>
    <col min="44" max="44" width="16.140625" style="83" customWidth="1"/>
    <col min="45" max="45" width="3.140625" style="83" customWidth="1"/>
    <col min="46" max="46" width="15.5703125" style="83" customWidth="1"/>
    <col min="47" max="47" width="3.28515625" style="83" customWidth="1"/>
    <col min="48" max="48" width="16.140625" style="83" customWidth="1"/>
    <col min="49" max="49" width="4.140625" style="83" customWidth="1"/>
    <col min="50" max="50" width="13.28515625" style="83" customWidth="1"/>
    <col min="51" max="51" width="16.140625" style="83" customWidth="1"/>
    <col min="52" max="52" width="3.140625" style="83" customWidth="1"/>
    <col min="53" max="53" width="15.5703125" style="83" customWidth="1"/>
    <col min="54" max="54" width="3.28515625" style="83" customWidth="1"/>
    <col min="55" max="55" width="16.140625" style="83" customWidth="1"/>
    <col min="56" max="56" width="4.140625" style="83" customWidth="1"/>
    <col min="57" max="57" width="13.28515625" style="83" customWidth="1"/>
    <col min="58" max="58" width="16.140625" style="83" customWidth="1"/>
    <col min="59" max="59" width="3.140625" style="83" customWidth="1"/>
    <col min="60" max="60" width="15.5703125" style="83" customWidth="1"/>
    <col min="61" max="61" width="3.28515625" style="83" customWidth="1"/>
    <col min="62" max="62" width="16.140625" style="83" customWidth="1"/>
    <col min="63" max="63" width="4.140625" style="83" customWidth="1"/>
    <col min="64" max="64" width="13.28515625" style="83" customWidth="1"/>
    <col min="65" max="65" width="16.140625" style="83" customWidth="1"/>
    <col min="66" max="66" width="3.140625" style="83" customWidth="1"/>
    <col min="67" max="67" width="15.5703125" style="83" customWidth="1"/>
    <col min="68" max="68" width="3.28515625" style="83" customWidth="1"/>
    <col min="69" max="69" width="16.140625" style="83" customWidth="1"/>
    <col min="70" max="70" width="4.140625" style="83" customWidth="1"/>
    <col min="71" max="71" width="13.28515625" style="83" customWidth="1"/>
    <col min="72" max="72" width="16.140625" style="83" customWidth="1"/>
    <col min="73" max="73" width="3.140625" style="83" customWidth="1"/>
    <col min="74" max="74" width="15.5703125" style="83" customWidth="1"/>
    <col min="75" max="75" width="3.28515625" style="83" customWidth="1"/>
    <col min="76" max="76" width="16.140625" style="83" customWidth="1"/>
    <col min="77" max="77" width="4.140625" style="83" customWidth="1"/>
    <col min="78" max="78" width="13.28515625" style="83" customWidth="1"/>
    <col min="79" max="79" width="16.140625" style="83" customWidth="1"/>
    <col min="80" max="80" width="3.140625" style="83" customWidth="1"/>
    <col min="81" max="81" width="15.5703125" style="83" customWidth="1"/>
    <col min="82" max="82" width="3.28515625" style="83" customWidth="1"/>
    <col min="83" max="83" width="16.140625" style="83" customWidth="1"/>
    <col min="84" max="84" width="4.140625" style="83" customWidth="1"/>
    <col min="85" max="86" width="13.28515625" style="83" customWidth="1"/>
    <col min="87" max="16384" width="14.42578125" style="84"/>
  </cols>
  <sheetData>
    <row r="1" spans="1:86" ht="19.5" customHeight="1" thickBot="1" x14ac:dyDescent="0.35">
      <c r="A1" s="82" t="s">
        <v>74</v>
      </c>
      <c r="B1" s="104" t="s">
        <v>75</v>
      </c>
      <c r="C1" s="105"/>
      <c r="D1" s="105"/>
      <c r="E1" s="105"/>
      <c r="F1" s="105"/>
      <c r="G1" s="105"/>
      <c r="H1" s="105"/>
      <c r="I1" s="104" t="s">
        <v>76</v>
      </c>
      <c r="J1" s="105"/>
      <c r="K1" s="105"/>
      <c r="L1" s="105"/>
      <c r="M1" s="105"/>
      <c r="N1" s="105"/>
      <c r="O1" s="105"/>
      <c r="P1" s="104" t="s">
        <v>77</v>
      </c>
      <c r="Q1" s="105"/>
      <c r="R1" s="105"/>
      <c r="S1" s="105"/>
      <c r="T1" s="105"/>
      <c r="U1" s="105"/>
      <c r="V1" s="105"/>
      <c r="W1" s="104" t="s">
        <v>78</v>
      </c>
      <c r="X1" s="105"/>
      <c r="Y1" s="105"/>
      <c r="Z1" s="105"/>
      <c r="AA1" s="105"/>
      <c r="AB1" s="105"/>
      <c r="AC1" s="105"/>
      <c r="AD1" s="104" t="s">
        <v>79</v>
      </c>
      <c r="AE1" s="105"/>
      <c r="AF1" s="105"/>
      <c r="AG1" s="105"/>
      <c r="AH1" s="105"/>
      <c r="AI1" s="105"/>
      <c r="AJ1" s="105"/>
      <c r="AK1" s="104" t="s">
        <v>80</v>
      </c>
      <c r="AL1" s="105"/>
      <c r="AM1" s="105"/>
      <c r="AN1" s="105"/>
      <c r="AO1" s="105"/>
      <c r="AP1" s="105"/>
      <c r="AQ1" s="105"/>
      <c r="AR1" s="104" t="s">
        <v>81</v>
      </c>
      <c r="AS1" s="105"/>
      <c r="AT1" s="105"/>
      <c r="AU1" s="105"/>
      <c r="AV1" s="105"/>
      <c r="AW1" s="105"/>
      <c r="AX1" s="105"/>
      <c r="AY1" s="104" t="s">
        <v>82</v>
      </c>
      <c r="AZ1" s="105"/>
      <c r="BA1" s="105"/>
      <c r="BB1" s="105"/>
      <c r="BC1" s="105"/>
      <c r="BD1" s="105"/>
      <c r="BE1" s="105"/>
      <c r="BF1" s="104" t="s">
        <v>83</v>
      </c>
      <c r="BG1" s="105"/>
      <c r="BH1" s="105"/>
      <c r="BI1" s="105"/>
      <c r="BJ1" s="105"/>
      <c r="BK1" s="105"/>
      <c r="BL1" s="105"/>
      <c r="BM1" s="104" t="s">
        <v>84</v>
      </c>
      <c r="BN1" s="105"/>
      <c r="BO1" s="105"/>
      <c r="BP1" s="105"/>
      <c r="BQ1" s="105"/>
      <c r="BR1" s="105"/>
      <c r="BS1" s="105"/>
      <c r="BT1" s="104" t="s">
        <v>85</v>
      </c>
      <c r="BU1" s="105"/>
      <c r="BV1" s="105"/>
      <c r="BW1" s="105"/>
      <c r="BX1" s="105"/>
      <c r="BY1" s="105"/>
      <c r="BZ1" s="105"/>
      <c r="CA1" s="104" t="s">
        <v>86</v>
      </c>
      <c r="CB1" s="105"/>
      <c r="CC1" s="105"/>
      <c r="CD1" s="105"/>
      <c r="CE1" s="105"/>
      <c r="CF1" s="105"/>
      <c r="CG1" s="105"/>
    </row>
    <row r="2" spans="1:86" ht="34.5" customHeight="1" thickBot="1" x14ac:dyDescent="0.35">
      <c r="A2" s="85" t="s">
        <v>1</v>
      </c>
      <c r="B2" s="114" t="s">
        <v>87</v>
      </c>
      <c r="C2" s="115" t="s">
        <v>88</v>
      </c>
      <c r="D2" s="116" t="s">
        <v>89</v>
      </c>
      <c r="E2" s="117" t="s">
        <v>88</v>
      </c>
      <c r="F2" s="88" t="s">
        <v>90</v>
      </c>
      <c r="G2" s="88" t="s">
        <v>88</v>
      </c>
      <c r="H2" s="89" t="s">
        <v>91</v>
      </c>
      <c r="I2" s="114" t="s">
        <v>87</v>
      </c>
      <c r="J2" s="116" t="s">
        <v>88</v>
      </c>
      <c r="K2" s="117" t="s">
        <v>89</v>
      </c>
      <c r="L2" s="117" t="s">
        <v>88</v>
      </c>
      <c r="M2" s="117" t="s">
        <v>90</v>
      </c>
      <c r="N2" s="117" t="s">
        <v>88</v>
      </c>
      <c r="O2" s="121" t="s">
        <v>91</v>
      </c>
      <c r="P2" s="86" t="s">
        <v>87</v>
      </c>
      <c r="Q2" s="87" t="s">
        <v>88</v>
      </c>
      <c r="R2" s="88" t="s">
        <v>89</v>
      </c>
      <c r="S2" s="88" t="s">
        <v>88</v>
      </c>
      <c r="T2" s="88" t="s">
        <v>90</v>
      </c>
      <c r="U2" s="88" t="s">
        <v>88</v>
      </c>
      <c r="V2" s="89" t="s">
        <v>91</v>
      </c>
      <c r="W2" s="86" t="s">
        <v>87</v>
      </c>
      <c r="X2" s="87" t="s">
        <v>88</v>
      </c>
      <c r="Y2" s="88" t="s">
        <v>89</v>
      </c>
      <c r="Z2" s="88" t="s">
        <v>88</v>
      </c>
      <c r="AA2" s="88" t="s">
        <v>90</v>
      </c>
      <c r="AB2" s="88" t="s">
        <v>88</v>
      </c>
      <c r="AC2" s="89" t="s">
        <v>91</v>
      </c>
      <c r="AD2" s="86" t="s">
        <v>87</v>
      </c>
      <c r="AE2" s="87" t="s">
        <v>88</v>
      </c>
      <c r="AF2" s="88" t="s">
        <v>89</v>
      </c>
      <c r="AG2" s="88" t="s">
        <v>88</v>
      </c>
      <c r="AH2" s="88" t="s">
        <v>90</v>
      </c>
      <c r="AI2" s="88" t="s">
        <v>88</v>
      </c>
      <c r="AJ2" s="89" t="s">
        <v>91</v>
      </c>
      <c r="AK2" s="86" t="s">
        <v>87</v>
      </c>
      <c r="AL2" s="87" t="s">
        <v>88</v>
      </c>
      <c r="AM2" s="88" t="s">
        <v>89</v>
      </c>
      <c r="AN2" s="88" t="s">
        <v>88</v>
      </c>
      <c r="AO2" s="88" t="s">
        <v>90</v>
      </c>
      <c r="AP2" s="88" t="s">
        <v>88</v>
      </c>
      <c r="AQ2" s="89" t="s">
        <v>91</v>
      </c>
      <c r="AR2" s="86" t="s">
        <v>87</v>
      </c>
      <c r="AS2" s="87" t="s">
        <v>88</v>
      </c>
      <c r="AT2" s="88" t="s">
        <v>89</v>
      </c>
      <c r="AU2" s="88" t="s">
        <v>88</v>
      </c>
      <c r="AV2" s="88" t="s">
        <v>90</v>
      </c>
      <c r="AW2" s="88" t="s">
        <v>88</v>
      </c>
      <c r="AX2" s="89" t="s">
        <v>91</v>
      </c>
      <c r="AY2" s="86" t="s">
        <v>87</v>
      </c>
      <c r="AZ2" s="87" t="s">
        <v>88</v>
      </c>
      <c r="BA2" s="88" t="s">
        <v>89</v>
      </c>
      <c r="BB2" s="88" t="s">
        <v>88</v>
      </c>
      <c r="BC2" s="88" t="s">
        <v>90</v>
      </c>
      <c r="BD2" s="88" t="s">
        <v>88</v>
      </c>
      <c r="BE2" s="89" t="s">
        <v>91</v>
      </c>
      <c r="BF2" s="86" t="s">
        <v>87</v>
      </c>
      <c r="BG2" s="87" t="s">
        <v>88</v>
      </c>
      <c r="BH2" s="88" t="s">
        <v>89</v>
      </c>
      <c r="BI2" s="88" t="s">
        <v>88</v>
      </c>
      <c r="BJ2" s="88" t="s">
        <v>90</v>
      </c>
      <c r="BK2" s="88" t="s">
        <v>88</v>
      </c>
      <c r="BL2" s="89" t="s">
        <v>91</v>
      </c>
      <c r="BM2" s="86" t="s">
        <v>87</v>
      </c>
      <c r="BN2" s="87" t="s">
        <v>88</v>
      </c>
      <c r="BO2" s="88" t="s">
        <v>89</v>
      </c>
      <c r="BP2" s="88" t="s">
        <v>88</v>
      </c>
      <c r="BQ2" s="88" t="s">
        <v>90</v>
      </c>
      <c r="BR2" s="88" t="s">
        <v>88</v>
      </c>
      <c r="BS2" s="89" t="s">
        <v>91</v>
      </c>
      <c r="BT2" s="86" t="s">
        <v>87</v>
      </c>
      <c r="BU2" s="87" t="s">
        <v>88</v>
      </c>
      <c r="BV2" s="88" t="s">
        <v>89</v>
      </c>
      <c r="BW2" s="88" t="s">
        <v>88</v>
      </c>
      <c r="BX2" s="88" t="s">
        <v>90</v>
      </c>
      <c r="BY2" s="88" t="s">
        <v>88</v>
      </c>
      <c r="BZ2" s="89" t="s">
        <v>91</v>
      </c>
      <c r="CA2" s="86" t="s">
        <v>87</v>
      </c>
      <c r="CB2" s="87" t="s">
        <v>88</v>
      </c>
      <c r="CC2" s="88" t="s">
        <v>89</v>
      </c>
      <c r="CD2" s="88" t="s">
        <v>88</v>
      </c>
      <c r="CE2" s="88" t="s">
        <v>90</v>
      </c>
      <c r="CF2" s="88" t="s">
        <v>88</v>
      </c>
      <c r="CG2" s="89" t="s">
        <v>91</v>
      </c>
      <c r="CH2" s="90" t="s">
        <v>92</v>
      </c>
    </row>
    <row r="3" spans="1:86" ht="20.25" customHeight="1" x14ac:dyDescent="0.3">
      <c r="A3" s="91" t="s">
        <v>93</v>
      </c>
      <c r="B3" s="118" t="str">
        <f>[1]Posiciones!$D2</f>
        <v>México</v>
      </c>
      <c r="C3" s="118"/>
      <c r="D3" s="118" t="str">
        <f>[1]Posiciones!$D3</f>
        <v>Sudáfrica</v>
      </c>
      <c r="E3" s="118"/>
      <c r="F3" s="92" t="str">
        <f>IF(AND([1]Posiciones!$D4=[1]Mejores_Terceros!$C2,[1]Mejores_Terceros!$I2="Sí"),[1]Mejores_Terceros!$C2,"")</f>
        <v>Corea República</v>
      </c>
      <c r="G3" s="92"/>
      <c r="H3" s="92"/>
      <c r="I3" s="118" t="str">
        <f>[1]Posiciones!$D6</f>
        <v>Suiza</v>
      </c>
      <c r="J3" s="118"/>
      <c r="K3" s="118" t="str">
        <f>[1]Posiciones!$D7</f>
        <v>Canadá</v>
      </c>
      <c r="L3" s="118"/>
      <c r="M3" s="118" t="str">
        <f>IF(AND([1]Posiciones!$D8=[1]Mejores_Terceros!$C3,[1]Mejores_Terceros!$I3="Sí"),[1]Mejores_Terceros!$C3,"")</f>
        <v>Bosnia y Herzegovina</v>
      </c>
      <c r="N3" s="118"/>
      <c r="O3" s="118"/>
      <c r="P3" s="92" t="str">
        <f>[1]Posiciones!$D10</f>
        <v>Brasil</v>
      </c>
      <c r="Q3" s="92"/>
      <c r="R3" s="92" t="str">
        <f>[1]Posiciones!$D11</f>
        <v>Marruecos</v>
      </c>
      <c r="S3" s="92"/>
      <c r="T3" s="92" t="str">
        <f>IF(AND([1]Posiciones!$D12=[1]Mejores_Terceros!$C4,[1]Mejores_Terceros!$I4="Sí"),[1]Mejores_Terceros!$C4,"")</f>
        <v/>
      </c>
      <c r="U3" s="92"/>
      <c r="V3" s="92"/>
      <c r="W3" s="92" t="str">
        <f>[1]Posiciones!$D14</f>
        <v>Estados Unidos</v>
      </c>
      <c r="X3" s="92"/>
      <c r="Y3" s="92" t="str">
        <f>[1]Posiciones!$D15</f>
        <v>Australia</v>
      </c>
      <c r="Z3" s="92"/>
      <c r="AA3" s="92" t="str">
        <f>IF(AND([1]Posiciones!$D16=[1]Mejores_Terceros!$C5,[1]Mejores_Terceros!$I5="Sí"),[1]Mejores_Terceros!$C5,"")</f>
        <v>Paraguay</v>
      </c>
      <c r="AB3" s="92"/>
      <c r="AC3" s="92"/>
      <c r="AD3" s="92" t="str">
        <f>[1]Posiciones!$D18</f>
        <v>Alemania</v>
      </c>
      <c r="AE3" s="92"/>
      <c r="AF3" s="92" t="str">
        <f>[1]Posiciones!$D19</f>
        <v>Costa de Marfil</v>
      </c>
      <c r="AG3" s="92"/>
      <c r="AH3" s="92" t="str">
        <f>IF(AND([1]Posiciones!$D20=[1]Mejores_Terceros!$C6,[1]Mejores_Terceros!$I6="Sí"),[1]Mejores_Terceros!$C6,"")</f>
        <v>Ecuador</v>
      </c>
      <c r="AI3" s="92"/>
      <c r="AJ3" s="92"/>
      <c r="AK3" s="92" t="str">
        <f>[1]Posiciones!$D22</f>
        <v>Países Bajos</v>
      </c>
      <c r="AL3" s="92"/>
      <c r="AM3" s="92" t="str">
        <f>[1]Posiciones!$D23</f>
        <v>Japón</v>
      </c>
      <c r="AN3" s="92"/>
      <c r="AO3" s="92" t="str">
        <f>IF(AND([1]Posiciones!$D24=[1]Mejores_Terceros!$C7,[1]Mejores_Terceros!$I7="Sí"),[1]Mejores_Terceros!$C7,"")</f>
        <v>Suecia</v>
      </c>
      <c r="AP3" s="92"/>
      <c r="AQ3" s="92"/>
      <c r="AR3" s="92" t="str">
        <f>[1]Posiciones!$D26</f>
        <v>Bélgica</v>
      </c>
      <c r="AS3" s="92"/>
      <c r="AT3" s="92" t="str">
        <f>[1]Posiciones!$D27</f>
        <v>Egipto</v>
      </c>
      <c r="AU3" s="92"/>
      <c r="AV3" s="92" t="str">
        <f>IF(AND([1]Posiciones!$D28=[1]Mejores_Terceros!$C8,[1]Mejores_Terceros!$I8="Sí"),[1]Mejores_Terceros!$C8,"")</f>
        <v>Irán</v>
      </c>
      <c r="AW3" s="92"/>
      <c r="AX3" s="92"/>
      <c r="AY3" s="92" t="str">
        <f>[1]Posiciones!$D30</f>
        <v>España</v>
      </c>
      <c r="AZ3" s="92"/>
      <c r="BA3" s="92" t="str">
        <f>[1]Posiciones!$D31</f>
        <v>Cabo Verde</v>
      </c>
      <c r="BB3" s="92"/>
      <c r="BC3" s="92" t="str">
        <f>IF(AND([1]Posiciones!$D32=[1]Mejores_Terceros!$C9,[1]Mejores_Terceros!$I9="Sí"),[1]Mejores_Terceros!$C9,"")</f>
        <v/>
      </c>
      <c r="BD3" s="92"/>
      <c r="BE3" s="92"/>
      <c r="BF3" s="92" t="str">
        <f>[1]Posiciones!$D34</f>
        <v>Francia</v>
      </c>
      <c r="BG3" s="92"/>
      <c r="BH3" s="92" t="str">
        <f>[1]Posiciones!$D35</f>
        <v>Noruega</v>
      </c>
      <c r="BI3" s="92"/>
      <c r="BJ3" s="92" t="str">
        <f>IF(AND([1]Posiciones!$D36=[1]Mejores_Terceros!$C10,[1]Mejores_Terceros!$I10="Sí"),[1]Mejores_Terceros!$C10,"")</f>
        <v>Senegal</v>
      </c>
      <c r="BK3" s="92"/>
      <c r="BL3" s="92"/>
      <c r="BM3" s="92" t="str">
        <f>[1]Posiciones!$D38</f>
        <v>Argentina</v>
      </c>
      <c r="BN3" s="92"/>
      <c r="BO3" s="92" t="str">
        <f>[1]Posiciones!$D39</f>
        <v>Austria</v>
      </c>
      <c r="BP3" s="92"/>
      <c r="BQ3" s="92" t="str">
        <f>IF(AND([1]Posiciones!$D40=[1]Mejores_Terceros!$C11,[1]Mejores_Terceros!$I11="Sí"),[1]Mejores_Terceros!$C11,"")</f>
        <v/>
      </c>
      <c r="BR3" s="92"/>
      <c r="BS3" s="92"/>
      <c r="BT3" s="92" t="str">
        <f>[1]Posiciones!$D42</f>
        <v>Colombia</v>
      </c>
      <c r="BU3" s="92"/>
      <c r="BV3" s="92" t="str">
        <f>[1]Posiciones!$D43</f>
        <v>Portugal</v>
      </c>
      <c r="BW3" s="92"/>
      <c r="BX3" s="92" t="str">
        <f>IF(AND([1]Posiciones!$D44=[1]Mejores_Terceros!$C12,[1]Mejores_Terceros!$I12="Sí"),[1]Mejores_Terceros!$C12,"")</f>
        <v/>
      </c>
      <c r="BY3" s="92"/>
      <c r="BZ3" s="92"/>
      <c r="CA3" s="92" t="str">
        <f>[1]Posiciones!$D46</f>
        <v>Inglaterra</v>
      </c>
      <c r="CB3" s="92"/>
      <c r="CC3" s="92" t="str">
        <f>[1]Posiciones!$D47</f>
        <v>Ghana</v>
      </c>
      <c r="CD3" s="92"/>
      <c r="CE3" s="92" t="str">
        <f>IF(AND([1]Posiciones!$D48=[1]Mejores_Terceros!$C13,[1]Mejores_Terceros!$I13="Sí"),[1]Mejores_Terceros!$C13,"")</f>
        <v>Croacia</v>
      </c>
      <c r="CF3" s="92"/>
      <c r="CG3" s="92"/>
      <c r="CH3" s="93"/>
    </row>
    <row r="4" spans="1:86" ht="20.25" customHeight="1" x14ac:dyDescent="0.3">
      <c r="A4" s="94" t="str">
        <f>[1]Participantes!B2</f>
        <v>Alberto</v>
      </c>
      <c r="B4" s="119" t="str">
        <f>IF($A4="","",INDEX([1]Clasif_Pron!$E:$E,((ROW()-4)*12+2)))</f>
        <v>México</v>
      </c>
      <c r="C4" s="119">
        <f>IF($A4="","",INDEX([1]Clasif_Pron!$K:$K,((ROW()-4)*12+2)))</f>
        <v>7</v>
      </c>
      <c r="D4" s="95" t="str">
        <f>IF($A4="","",INDEX([1]Clasif_Pron!$G:$G,((ROW()-4)*12+2)))</f>
        <v>Corea República</v>
      </c>
      <c r="E4" s="95">
        <f>IF($A4="","",INDEX([1]Clasif_Pron!$L:$L,((ROW()-4)*12+2)))</f>
        <v>3</v>
      </c>
      <c r="F4" s="119" t="str">
        <f>IF($A4="","",INDEX([1]Clasif_Pron!$I:$I,((ROW()-4)*12+2)))</f>
        <v>Sudáfrica</v>
      </c>
      <c r="G4" s="119">
        <f>IF($A4="","",INDEX([1]Clasif_Pron!$M:$M,((ROW()-4)*12+2)))</f>
        <v>3</v>
      </c>
      <c r="H4" s="95">
        <f>IF($A4="","",INDEX([1]Clasif_Pron!$N:$N,((ROW()-4)*12+2)))</f>
        <v>13</v>
      </c>
      <c r="I4" s="119" t="str">
        <f>IF($A4="","",INDEX([1]Clasif_Pron!$E:$E,((ROW()-4)*12+3)))</f>
        <v>Suiza</v>
      </c>
      <c r="J4" s="119">
        <f>IF($A4="","",INDEX([1]Clasif_Pron!$K:$K,((ROW()-4)*12+3)))</f>
        <v>7</v>
      </c>
      <c r="K4" s="119" t="str">
        <f>IF($A4="","",INDEX([1]Clasif_Pron!$G:$G,((ROW()-4)*12+3)))</f>
        <v>Canadá</v>
      </c>
      <c r="L4" s="119">
        <f>IF($A4="","",INDEX([1]Clasif_Pron!$L:$L,((ROW()-4)*12+3)))</f>
        <v>6</v>
      </c>
      <c r="M4" s="119" t="str">
        <f>IF($A4="","",INDEX([1]Clasif_Pron!$I:$I,((ROW()-4)*12+3)))</f>
        <v>Bosnia y Herzegovina</v>
      </c>
      <c r="N4" s="119">
        <f>IF($A4="","",INDEX([1]Clasif_Pron!$M:$M,((ROW()-4)*12+3)))</f>
        <v>5</v>
      </c>
      <c r="O4" s="119">
        <f>IF($A4="","",INDEX([1]Clasif_Pron!$N:$N,((ROW()-4)*12+3)))</f>
        <v>18</v>
      </c>
      <c r="P4" s="119" t="str">
        <f>IF($A4="","",INDEX([1]Clasif_Pron!$E:$E,((ROW()-4)*12+4)))</f>
        <v>Marruecos</v>
      </c>
      <c r="Q4" s="119">
        <f>IF($A4="","",INDEX([1]Clasif_Pron!$K:$K,((ROW()-4)*12+4)))</f>
        <v>3</v>
      </c>
      <c r="R4" s="119" t="str">
        <f>IF($A4="","",INDEX([1]Clasif_Pron!$G:$G,((ROW()-4)*12+4)))</f>
        <v>Brasil</v>
      </c>
      <c r="S4" s="119">
        <f>IF($A4="","",INDEX([1]Clasif_Pron!$L:$L,((ROW()-4)*12+4)))</f>
        <v>3</v>
      </c>
      <c r="T4" s="95" t="str">
        <f>IF($A4="","",INDEX([1]Clasif_Pron!$I:$I,((ROW()-4)*12+4)))</f>
        <v>Escocia</v>
      </c>
      <c r="U4" s="95">
        <f>IF($A4="","",INDEX([1]Clasif_Pron!$M:$M,((ROW()-4)*12+4)))</f>
        <v>0</v>
      </c>
      <c r="V4" s="95">
        <f>IF($A4="","",INDEX([1]Clasif_Pron!$N:$N,((ROW()-4)*12+4)))</f>
        <v>6</v>
      </c>
      <c r="W4" s="95" t="str">
        <f>IF($A4="","",INDEX([1]Clasif_Pron!$E:$E,((ROW()-4)*12+5)))</f>
        <v>Paraguay</v>
      </c>
      <c r="X4" s="95">
        <f>IF($A4="","",INDEX([1]Clasif_Pron!$K:$K,((ROW()-4)*12+5)))</f>
        <v>3</v>
      </c>
      <c r="Y4" s="119" t="str">
        <f>IF($A4="","",INDEX([1]Clasif_Pron!$G:$G,((ROW()-4)*12+5)))</f>
        <v>Türkiye</v>
      </c>
      <c r="Z4" s="119">
        <f>IF($A4="","",INDEX([1]Clasif_Pron!$L:$L,((ROW()-4)*12+5)))</f>
        <v>0</v>
      </c>
      <c r="AA4" s="119" t="str">
        <f>IF($A4="","",INDEX([1]Clasif_Pron!$I:$I,((ROW()-4)*12+5)))</f>
        <v>Estados Unidos</v>
      </c>
      <c r="AB4" s="119">
        <f>IF($A4="","",INDEX([1]Clasif_Pron!$M:$M,((ROW()-4)*12+5)))</f>
        <v>3</v>
      </c>
      <c r="AC4" s="95">
        <f>IF($A4="","",INDEX([1]Clasif_Pron!$N:$N,((ROW()-4)*12+5)))</f>
        <v>6</v>
      </c>
      <c r="AD4" s="119" t="str">
        <f>IF($A4="","",INDEX([1]Clasif_Pron!$E:$E,((ROW()-4)*12+6)))</f>
        <v>Alemania</v>
      </c>
      <c r="AE4" s="119">
        <f>IF($A4="","",INDEX([1]Clasif_Pron!$K:$K,((ROW()-4)*12+6)))</f>
        <v>7</v>
      </c>
      <c r="AF4" s="95" t="str">
        <f>IF($A4="","",INDEX([1]Clasif_Pron!$G:$G,((ROW()-4)*12+6)))</f>
        <v>Ecuador</v>
      </c>
      <c r="AG4" s="95">
        <f>IF($A4="","",INDEX([1]Clasif_Pron!$L:$L,((ROW()-4)*12+6)))</f>
        <v>3</v>
      </c>
      <c r="AH4" s="119" t="str">
        <f>IF($A4="","",INDEX([1]Clasif_Pron!$I:$I,((ROW()-4)*12+6)))</f>
        <v>Costa de Marfil</v>
      </c>
      <c r="AI4" s="119">
        <f>IF($A4="","",INDEX([1]Clasif_Pron!$M:$M,((ROW()-4)*12+6)))</f>
        <v>3</v>
      </c>
      <c r="AJ4" s="95">
        <f>IF($A4="","",INDEX([1]Clasif_Pron!$N:$N,((ROW()-4)*12+6)))</f>
        <v>13</v>
      </c>
      <c r="AK4" s="119" t="str">
        <f>IF($A4="","",INDEX([1]Clasif_Pron!$E:$E,((ROW()-4)*12+7)))</f>
        <v>Países Bajos</v>
      </c>
      <c r="AL4" s="119">
        <f>IF($A4="","",INDEX([1]Clasif_Pron!$K:$K,((ROW()-4)*12+7)))</f>
        <v>7</v>
      </c>
      <c r="AM4" s="119" t="str">
        <f>IF($A4="","",INDEX([1]Clasif_Pron!$G:$G,((ROW()-4)*12+7)))</f>
        <v>Japón</v>
      </c>
      <c r="AN4" s="119">
        <f>IF($A4="","",INDEX([1]Clasif_Pron!$L:$L,((ROW()-4)*12+7)))</f>
        <v>6</v>
      </c>
      <c r="AO4" s="95" t="str">
        <f>IF($A4="","",INDEX([1]Clasif_Pron!$I:$I,((ROW()-4)*12+7)))</f>
        <v>Suecia</v>
      </c>
      <c r="AP4" s="95">
        <f>IF($A4="","",INDEX([1]Clasif_Pron!$M:$M,((ROW()-4)*12+7)))</f>
        <v>5</v>
      </c>
      <c r="AQ4" s="95">
        <f>IF($A4="","",INDEX([1]Clasif_Pron!$N:$N,((ROW()-4)*12+7)))</f>
        <v>18</v>
      </c>
      <c r="AR4" s="119" t="str">
        <f>IF($A4="","",INDEX([1]Clasif_Pron!$E:$E,((ROW()-4)*12+8)))</f>
        <v>Bélgica</v>
      </c>
      <c r="AS4" s="119">
        <f>IF($A4="","",INDEX([1]Clasif_Pron!$K:$K,((ROW()-4)*12+8)))</f>
        <v>7</v>
      </c>
      <c r="AT4" s="119" t="str">
        <f>IF($A4="","",INDEX([1]Clasif_Pron!$G:$G,((ROW()-4)*12+8)))</f>
        <v>Egipto</v>
      </c>
      <c r="AU4" s="119">
        <f>IF($A4="","",INDEX([1]Clasif_Pron!$L:$L,((ROW()-4)*12+8)))</f>
        <v>6</v>
      </c>
      <c r="AV4" s="95" t="str">
        <f>IF($A4="","",INDEX([1]Clasif_Pron!$I:$I,((ROW()-4)*12+8)))</f>
        <v>Irán</v>
      </c>
      <c r="AW4" s="95">
        <f>IF($A4="","",INDEX([1]Clasif_Pron!$M:$M,((ROW()-4)*12+8)))</f>
        <v>5</v>
      </c>
      <c r="AX4" s="95">
        <f>IF($A4="","",INDEX([1]Clasif_Pron!$N:$N,((ROW()-4)*12+8)))</f>
        <v>18</v>
      </c>
      <c r="AY4" s="119" t="str">
        <f>IF($A4="","",INDEX([1]Clasif_Pron!$E:$E,((ROW()-4)*12+9)))</f>
        <v>España</v>
      </c>
      <c r="AZ4" s="119">
        <f>IF($A4="","",INDEX([1]Clasif_Pron!$K:$K,((ROW()-4)*12+9)))</f>
        <v>7</v>
      </c>
      <c r="BA4" s="119" t="str">
        <f>IF($A4="","",INDEX([1]Clasif_Pron!$G:$G,((ROW()-4)*12+9)))</f>
        <v>Uruguay</v>
      </c>
      <c r="BB4" s="119">
        <f>IF($A4="","",INDEX([1]Clasif_Pron!$L:$L,((ROW()-4)*12+9)))</f>
        <v>0</v>
      </c>
      <c r="BC4" s="119" t="str">
        <f>IF($A4="","",INDEX([1]Clasif_Pron!$I:$I,((ROW()-4)*12+9)))</f>
        <v>Arabia Saudita</v>
      </c>
      <c r="BD4" s="119">
        <f>IF($A4="","",INDEX([1]Clasif_Pron!$M:$M,((ROW()-4)*12+9)))</f>
        <v>0</v>
      </c>
      <c r="BE4" s="119">
        <f>IF($A4="","",INDEX([1]Clasif_Pron!$N:$N,((ROW()-4)*12+9)))</f>
        <v>7</v>
      </c>
      <c r="BF4" s="119" t="str">
        <f>IF($A4="","",INDEX([1]Clasif_Pron!$E:$E,((ROW()-4)*12+10)))</f>
        <v>Francia</v>
      </c>
      <c r="BG4" s="119">
        <f>IF($A4="","",INDEX([1]Clasif_Pron!$K:$K,((ROW()-4)*12+10)))</f>
        <v>7</v>
      </c>
      <c r="BH4" s="119" t="str">
        <f>IF($A4="","",INDEX([1]Clasif_Pron!$G:$G,((ROW()-4)*12+10)))</f>
        <v>Noruega</v>
      </c>
      <c r="BI4" s="119">
        <f>IF($A4="","",INDEX([1]Clasif_Pron!$L:$L,((ROW()-4)*12+10)))</f>
        <v>6</v>
      </c>
      <c r="BJ4" s="95" t="str">
        <f>IF($A4="","",INDEX([1]Clasif_Pron!$I:$I,((ROW()-4)*12+10)))</f>
        <v>Senegal</v>
      </c>
      <c r="BK4" s="95">
        <f>IF($A4="","",INDEX([1]Clasif_Pron!$M:$M,((ROW()-4)*12+10)))</f>
        <v>5</v>
      </c>
      <c r="BL4" s="95">
        <f>IF($A4="","",INDEX([1]Clasif_Pron!$N:$N,((ROW()-4)*12+10)))</f>
        <v>18</v>
      </c>
      <c r="BM4" s="119" t="str">
        <f>IF($A4="","",INDEX([1]Clasif_Pron!$E:$E,((ROW()-4)*12+11)))</f>
        <v>Argentina</v>
      </c>
      <c r="BN4" s="119">
        <f>IF($A4="","",INDEX([1]Clasif_Pron!$K:$K,((ROW()-4)*12+11)))</f>
        <v>7</v>
      </c>
      <c r="BO4" s="95" t="str">
        <f>IF($A4="","",INDEX([1]Clasif_Pron!$G:$G,((ROW()-4)*12+11)))</f>
        <v>Austria</v>
      </c>
      <c r="BP4" s="95">
        <f>IF($A4="","",INDEX([1]Clasif_Pron!$L:$L,((ROW()-4)*12+11)))</f>
        <v>6</v>
      </c>
      <c r="BQ4" s="95" t="str">
        <f>IF($A4="","",INDEX([1]Clasif_Pron!$I:$I,((ROW()-4)*12+11)))</f>
        <v>Argelia</v>
      </c>
      <c r="BR4" s="95">
        <f>IF($A4="","",INDEX([1]Clasif_Pron!$M:$M,((ROW()-4)*12+11)))</f>
        <v>0</v>
      </c>
      <c r="BS4" s="95">
        <f>IF($A4="","",INDEX([1]Clasif_Pron!$N:$N,((ROW()-4)*12+11)))</f>
        <v>13</v>
      </c>
      <c r="BT4" s="95" t="str">
        <f>IF($A4="","",INDEX([1]Clasif_Pron!$E:$E,((ROW()-4)*12+12)))</f>
        <v>Portugal</v>
      </c>
      <c r="BU4" s="95">
        <f>IF($A4="","",INDEX([1]Clasif_Pron!$K:$K,((ROW()-4)*12+12)))</f>
        <v>3</v>
      </c>
      <c r="BV4" s="95" t="str">
        <f>IF($A4="","",INDEX([1]Clasif_Pron!$G:$G,((ROW()-4)*12+12)))</f>
        <v>Colombia</v>
      </c>
      <c r="BW4" s="95">
        <f>IF($A4="","",INDEX([1]Clasif_Pron!$L:$L,((ROW()-4)*12+12)))</f>
        <v>3</v>
      </c>
      <c r="BX4" s="95" t="str">
        <f>IF($A4="","",INDEX([1]Clasif_Pron!$I:$I,((ROW()-4)*12+12)))</f>
        <v>RD Congo</v>
      </c>
      <c r="BY4" s="95">
        <f>IF($A4="","",INDEX([1]Clasif_Pron!$M:$M,((ROW()-4)*12+12)))</f>
        <v>0</v>
      </c>
      <c r="BZ4" s="95">
        <f>IF($A4="","",INDEX([1]Clasif_Pron!$N:$N,((ROW()-4)*12+12)))</f>
        <v>6</v>
      </c>
      <c r="CA4" s="95" t="str">
        <f>IF($A4="","",INDEX([1]Clasif_Pron!$E:$E,((ROW()-4)*12+13)))</f>
        <v>Inglaterra</v>
      </c>
      <c r="CB4" s="95">
        <f>IF($A4="","",INDEX([1]Clasif_Pron!$K:$K,((ROW()-4)*12+13)))</f>
        <v>7</v>
      </c>
      <c r="CC4" s="95" t="str">
        <f>IF($A4="","",INDEX([1]Clasif_Pron!$G:$G,((ROW()-4)*12+13)))</f>
        <v>Croacia</v>
      </c>
      <c r="CD4" s="95">
        <f>IF($A4="","",INDEX([1]Clasif_Pron!$L:$L,((ROW()-4)*12+13)))</f>
        <v>3</v>
      </c>
      <c r="CE4" s="95" t="str">
        <f>IF($A4="","",INDEX([1]Clasif_Pron!$I:$I,((ROW()-4)*12+13)))</f>
        <v>Ghana</v>
      </c>
      <c r="CF4" s="95">
        <f>IF($A4="","",INDEX([1]Clasif_Pron!$M:$M,((ROW()-4)*12+13)))</f>
        <v>3</v>
      </c>
      <c r="CG4" s="95">
        <f>IF($A4="","",INDEX([1]Clasif_Pron!$N:$N,((ROW()-4)*12+13)))</f>
        <v>13</v>
      </c>
      <c r="CH4" s="96">
        <f t="shared" ref="CH4:CH52" si="0">IF($A4="","",SUM(H4,O4,V4,AC4,AJ4,AQ4,AX4,BE4,BL4,BS4,BZ4,CG4))</f>
        <v>149</v>
      </c>
    </row>
    <row r="5" spans="1:86" ht="20.25" customHeight="1" x14ac:dyDescent="0.3">
      <c r="A5" s="94" t="str">
        <f>[1]Participantes!B3</f>
        <v>Alexander</v>
      </c>
      <c r="B5" s="119" t="str">
        <f>IF($A5="","",INDEX([1]Clasif_Pron!$E:$E,((ROW()-4)*12+2)))</f>
        <v>México</v>
      </c>
      <c r="C5" s="119">
        <f>IF($A5="","",INDEX([1]Clasif_Pron!$K:$K,((ROW()-4)*12+2)))</f>
        <v>7</v>
      </c>
      <c r="D5" s="95" t="str">
        <f>IF($A5="","",INDEX([1]Clasif_Pron!$G:$G,((ROW()-4)*12+2)))</f>
        <v>Corea República</v>
      </c>
      <c r="E5" s="95">
        <f>IF($A5="","",INDEX([1]Clasif_Pron!$L:$L,((ROW()-4)*12+2)))</f>
        <v>3</v>
      </c>
      <c r="F5" s="119" t="str">
        <f>IF($A5="","",INDEX([1]Clasif_Pron!$I:$I,((ROW()-4)*12+2)))</f>
        <v>Chequia</v>
      </c>
      <c r="G5" s="119">
        <f>IF($A5="","",INDEX([1]Clasif_Pron!$M:$M,((ROW()-4)*12+2)))</f>
        <v>0</v>
      </c>
      <c r="H5" s="95">
        <f>IF($A5="","",INDEX([1]Clasif_Pron!$N:$N,((ROW()-4)*12+2)))</f>
        <v>10</v>
      </c>
      <c r="I5" s="119" t="str">
        <f>IF($A5="","",INDEX([1]Clasif_Pron!$E:$E,((ROW()-4)*12+3)))</f>
        <v>Canadá</v>
      </c>
      <c r="J5" s="119">
        <f>IF($A5="","",INDEX([1]Clasif_Pron!$K:$K,((ROW()-4)*12+3)))</f>
        <v>3</v>
      </c>
      <c r="K5" s="119" t="str">
        <f>IF($A5="","",INDEX([1]Clasif_Pron!$G:$G,((ROW()-4)*12+3)))</f>
        <v>Bosnia y Herzegovina</v>
      </c>
      <c r="L5" s="119">
        <f>IF($A5="","",INDEX([1]Clasif_Pron!$L:$L,((ROW()-4)*12+3)))</f>
        <v>3</v>
      </c>
      <c r="M5" s="119" t="str">
        <f>IF($A5="","",INDEX([1]Clasif_Pron!$I:$I,((ROW()-4)*12+3)))</f>
        <v>Suiza</v>
      </c>
      <c r="N5" s="119">
        <f>IF($A5="","",INDEX([1]Clasif_Pron!$M:$M,((ROW()-4)*12+3)))</f>
        <v>3</v>
      </c>
      <c r="O5" s="119">
        <f>IF($A5="","",INDEX([1]Clasif_Pron!$N:$N,((ROW()-4)*12+3)))</f>
        <v>9</v>
      </c>
      <c r="P5" s="119" t="str">
        <f>IF($A5="","",INDEX([1]Clasif_Pron!$E:$E,((ROW()-4)*12+4)))</f>
        <v>Brasil</v>
      </c>
      <c r="Q5" s="119">
        <f>IF($A5="","",INDEX([1]Clasif_Pron!$K:$K,((ROW()-4)*12+4)))</f>
        <v>7</v>
      </c>
      <c r="R5" s="119" t="str">
        <f>IF($A5="","",INDEX([1]Clasif_Pron!$G:$G,((ROW()-4)*12+4)))</f>
        <v>Marruecos</v>
      </c>
      <c r="S5" s="119">
        <f>IF($A5="","",INDEX([1]Clasif_Pron!$L:$L,((ROW()-4)*12+4)))</f>
        <v>6</v>
      </c>
      <c r="T5" s="95" t="str">
        <f>IF($A5="","",INDEX([1]Clasif_Pron!$I:$I,((ROW()-4)*12+4)))</f>
        <v>Escocia</v>
      </c>
      <c r="U5" s="95">
        <f>IF($A5="","",INDEX([1]Clasif_Pron!$M:$M,((ROW()-4)*12+4)))</f>
        <v>0</v>
      </c>
      <c r="V5" s="95">
        <f>IF($A5="","",INDEX([1]Clasif_Pron!$N:$N,((ROW()-4)*12+4)))</f>
        <v>13</v>
      </c>
      <c r="W5" s="119" t="str">
        <f>IF($A5="","",INDEX([1]Clasif_Pron!$E:$E,((ROW()-4)*12+5)))</f>
        <v>Estados Unidos</v>
      </c>
      <c r="X5" s="119">
        <f>IF($A5="","",INDEX([1]Clasif_Pron!$K:$K,((ROW()-4)*12+5)))</f>
        <v>7</v>
      </c>
      <c r="Y5" s="95" t="str">
        <f>IF($A5="","",INDEX([1]Clasif_Pron!$G:$G,((ROW()-4)*12+5)))</f>
        <v>Paraguay</v>
      </c>
      <c r="Z5" s="95">
        <f>IF($A5="","",INDEX([1]Clasif_Pron!$L:$L,((ROW()-4)*12+5)))</f>
        <v>3</v>
      </c>
      <c r="AA5" s="119" t="str">
        <f>IF($A5="","",INDEX([1]Clasif_Pron!$I:$I,((ROW()-4)*12+5)))</f>
        <v>Türkiye</v>
      </c>
      <c r="AB5" s="119">
        <f>IF($A5="","",INDEX([1]Clasif_Pron!$M:$M,((ROW()-4)*12+5)))</f>
        <v>0</v>
      </c>
      <c r="AC5" s="95">
        <f>IF($A5="","",INDEX([1]Clasif_Pron!$N:$N,((ROW()-4)*12+5)))</f>
        <v>10</v>
      </c>
      <c r="AD5" s="119" t="str">
        <f>IF($A5="","",INDEX([1]Clasif_Pron!$E:$E,((ROW()-4)*12+6)))</f>
        <v>Alemania</v>
      </c>
      <c r="AE5" s="119">
        <f>IF($A5="","",INDEX([1]Clasif_Pron!$K:$K,((ROW()-4)*12+6)))</f>
        <v>7</v>
      </c>
      <c r="AF5" s="119" t="str">
        <f>IF($A5="","",INDEX([1]Clasif_Pron!$G:$G,((ROW()-4)*12+6)))</f>
        <v>Costa de Marfil</v>
      </c>
      <c r="AG5" s="119">
        <f>IF($A5="","",INDEX([1]Clasif_Pron!$L:$L,((ROW()-4)*12+6)))</f>
        <v>6</v>
      </c>
      <c r="AH5" s="95" t="str">
        <f>IF($A5="","",INDEX([1]Clasif_Pron!$I:$I,((ROW()-4)*12+6)))</f>
        <v>Ecuador</v>
      </c>
      <c r="AI5" s="95">
        <f>IF($A5="","",INDEX([1]Clasif_Pron!$M:$M,((ROW()-4)*12+6)))</f>
        <v>5</v>
      </c>
      <c r="AJ5" s="95">
        <f>IF($A5="","",INDEX([1]Clasif_Pron!$N:$N,((ROW()-4)*12+6)))</f>
        <v>18</v>
      </c>
      <c r="AK5" s="119" t="str">
        <f>IF($A5="","",INDEX([1]Clasif_Pron!$E:$E,((ROW()-4)*12+7)))</f>
        <v>Países Bajos</v>
      </c>
      <c r="AL5" s="119">
        <f>IF($A5="","",INDEX([1]Clasif_Pron!$K:$K,((ROW()-4)*12+7)))</f>
        <v>7</v>
      </c>
      <c r="AM5" s="119" t="str">
        <f>IF($A5="","",INDEX([1]Clasif_Pron!$G:$G,((ROW()-4)*12+7)))</f>
        <v>Japón</v>
      </c>
      <c r="AN5" s="119">
        <f>IF($A5="","",INDEX([1]Clasif_Pron!$L:$L,((ROW()-4)*12+7)))</f>
        <v>6</v>
      </c>
      <c r="AO5" s="95" t="str">
        <f>IF($A5="","",INDEX([1]Clasif_Pron!$I:$I,((ROW()-4)*12+7)))</f>
        <v>Suecia</v>
      </c>
      <c r="AP5" s="95">
        <f>IF($A5="","",INDEX([1]Clasif_Pron!$M:$M,((ROW()-4)*12+7)))</f>
        <v>5</v>
      </c>
      <c r="AQ5" s="95">
        <f>IF($A5="","",INDEX([1]Clasif_Pron!$N:$N,((ROW()-4)*12+7)))</f>
        <v>18</v>
      </c>
      <c r="AR5" s="119" t="str">
        <f>IF($A5="","",INDEX([1]Clasif_Pron!$E:$E,((ROW()-4)*12+8)))</f>
        <v>Bélgica</v>
      </c>
      <c r="AS5" s="119">
        <f>IF($A5="","",INDEX([1]Clasif_Pron!$K:$K,((ROW()-4)*12+8)))</f>
        <v>7</v>
      </c>
      <c r="AT5" s="119" t="str">
        <f>IF($A5="","",INDEX([1]Clasif_Pron!$G:$G,((ROW()-4)*12+8)))</f>
        <v>Egipto</v>
      </c>
      <c r="AU5" s="119">
        <f>IF($A5="","",INDEX([1]Clasif_Pron!$L:$L,((ROW()-4)*12+8)))</f>
        <v>6</v>
      </c>
      <c r="AV5" s="95" t="str">
        <f>IF($A5="","",INDEX([1]Clasif_Pron!$I:$I,((ROW()-4)*12+8)))</f>
        <v>Irán</v>
      </c>
      <c r="AW5" s="95">
        <f>IF($A5="","",INDEX([1]Clasif_Pron!$M:$M,((ROW()-4)*12+8)))</f>
        <v>5</v>
      </c>
      <c r="AX5" s="95">
        <f>IF($A5="","",INDEX([1]Clasif_Pron!$N:$N,((ROW()-4)*12+8)))</f>
        <v>18</v>
      </c>
      <c r="AY5" s="119" t="str">
        <f>IF($A5="","",INDEX([1]Clasif_Pron!$E:$E,((ROW()-4)*12+9)))</f>
        <v>España</v>
      </c>
      <c r="AZ5" s="119">
        <f>IF($A5="","",INDEX([1]Clasif_Pron!$K:$K,((ROW()-4)*12+9)))</f>
        <v>7</v>
      </c>
      <c r="BA5" s="119" t="str">
        <f>IF($A5="","",INDEX([1]Clasif_Pron!$G:$G,((ROW()-4)*12+9)))</f>
        <v>Uruguay</v>
      </c>
      <c r="BB5" s="119">
        <f>IF($A5="","",INDEX([1]Clasif_Pron!$L:$L,((ROW()-4)*12+9)))</f>
        <v>0</v>
      </c>
      <c r="BC5" s="119" t="str">
        <f>IF($A5="","",INDEX([1]Clasif_Pron!$I:$I,((ROW()-4)*12+9)))</f>
        <v>Arabia Saudita</v>
      </c>
      <c r="BD5" s="119">
        <f>IF($A5="","",INDEX([1]Clasif_Pron!$M:$M,((ROW()-4)*12+9)))</f>
        <v>0</v>
      </c>
      <c r="BE5" s="119">
        <f>IF($A5="","",INDEX([1]Clasif_Pron!$N:$N,((ROW()-4)*12+9)))</f>
        <v>7</v>
      </c>
      <c r="BF5" s="119" t="str">
        <f>IF($A5="","",INDEX([1]Clasif_Pron!$E:$E,((ROW()-4)*12+10)))</f>
        <v>Francia</v>
      </c>
      <c r="BG5" s="119">
        <f>IF($A5="","",INDEX([1]Clasif_Pron!$K:$K,((ROW()-4)*12+10)))</f>
        <v>7</v>
      </c>
      <c r="BH5" s="95" t="str">
        <f>IF($A5="","",INDEX([1]Clasif_Pron!$G:$G,((ROW()-4)*12+10)))</f>
        <v>Senegal</v>
      </c>
      <c r="BI5" s="95">
        <f>IF($A5="","",INDEX([1]Clasif_Pron!$L:$L,((ROW()-4)*12+10)))</f>
        <v>3</v>
      </c>
      <c r="BJ5" s="119" t="str">
        <f>IF($A5="","",INDEX([1]Clasif_Pron!$I:$I,((ROW()-4)*12+10)))</f>
        <v>Noruega</v>
      </c>
      <c r="BK5" s="119">
        <f>IF($A5="","",INDEX([1]Clasif_Pron!$M:$M,((ROW()-4)*12+10)))</f>
        <v>3</v>
      </c>
      <c r="BL5" s="95">
        <f>IF($A5="","",INDEX([1]Clasif_Pron!$N:$N,((ROW()-4)*12+10)))</f>
        <v>13</v>
      </c>
      <c r="BM5" s="119" t="str">
        <f>IF($A5="","",INDEX([1]Clasif_Pron!$E:$E,((ROW()-4)*12+11)))</f>
        <v>Argentina</v>
      </c>
      <c r="BN5" s="119">
        <f>IF($A5="","",INDEX([1]Clasif_Pron!$K:$K,((ROW()-4)*12+11)))</f>
        <v>7</v>
      </c>
      <c r="BO5" s="95" t="str">
        <f>IF($A5="","",INDEX([1]Clasif_Pron!$G:$G,((ROW()-4)*12+11)))</f>
        <v>Argelia</v>
      </c>
      <c r="BP5" s="95">
        <f>IF($A5="","",INDEX([1]Clasif_Pron!$L:$L,((ROW()-4)*12+11)))</f>
        <v>0</v>
      </c>
      <c r="BQ5" s="95" t="str">
        <f>IF($A5="","",INDEX([1]Clasif_Pron!$I:$I,((ROW()-4)*12+11)))</f>
        <v>Austria</v>
      </c>
      <c r="BR5" s="95">
        <f>IF($A5="","",INDEX([1]Clasif_Pron!$M:$M,((ROW()-4)*12+11)))</f>
        <v>3</v>
      </c>
      <c r="BS5" s="95">
        <f>IF($A5="","",INDEX([1]Clasif_Pron!$N:$N,((ROW()-4)*12+11)))</f>
        <v>10</v>
      </c>
      <c r="BT5" s="95" t="str">
        <f>IF($A5="","",INDEX([1]Clasif_Pron!$E:$E,((ROW()-4)*12+12)))</f>
        <v>Colombia</v>
      </c>
      <c r="BU5" s="95">
        <f>IF($A5="","",INDEX([1]Clasif_Pron!$K:$K,((ROW()-4)*12+12)))</f>
        <v>7</v>
      </c>
      <c r="BV5" s="95" t="str">
        <f>IF($A5="","",INDEX([1]Clasif_Pron!$G:$G,((ROW()-4)*12+12)))</f>
        <v>Portugal</v>
      </c>
      <c r="BW5" s="95">
        <f>IF($A5="","",INDEX([1]Clasif_Pron!$L:$L,((ROW()-4)*12+12)))</f>
        <v>6</v>
      </c>
      <c r="BX5" s="95" t="str">
        <f>IF($A5="","",INDEX([1]Clasif_Pron!$I:$I,((ROW()-4)*12+12)))</f>
        <v>RD Congo</v>
      </c>
      <c r="BY5" s="95">
        <f>IF($A5="","",INDEX([1]Clasif_Pron!$M:$M,((ROW()-4)*12+12)))</f>
        <v>0</v>
      </c>
      <c r="BZ5" s="95">
        <f>IF($A5="","",INDEX([1]Clasif_Pron!$N:$N,((ROW()-4)*12+12)))</f>
        <v>13</v>
      </c>
      <c r="CA5" s="95" t="str">
        <f>IF($A5="","",INDEX([1]Clasif_Pron!$E:$E,((ROW()-4)*12+13)))</f>
        <v>Inglaterra</v>
      </c>
      <c r="CB5" s="95">
        <f>IF($A5="","",INDEX([1]Clasif_Pron!$K:$K,((ROW()-4)*12+13)))</f>
        <v>7</v>
      </c>
      <c r="CC5" s="95" t="str">
        <f>IF($A5="","",INDEX([1]Clasif_Pron!$G:$G,((ROW()-4)*12+13)))</f>
        <v>Croacia</v>
      </c>
      <c r="CD5" s="95">
        <f>IF($A5="","",INDEX([1]Clasif_Pron!$L:$L,((ROW()-4)*12+13)))</f>
        <v>3</v>
      </c>
      <c r="CE5" s="95" t="str">
        <f>IF($A5="","",INDEX([1]Clasif_Pron!$I:$I,((ROW()-4)*12+13)))</f>
        <v>Panamá</v>
      </c>
      <c r="CF5" s="95">
        <f>IF($A5="","",INDEX([1]Clasif_Pron!$M:$M,((ROW()-4)*12+13)))</f>
        <v>0</v>
      </c>
      <c r="CG5" s="95">
        <f>IF($A5="","",INDEX([1]Clasif_Pron!$N:$N,((ROW()-4)*12+13)))</f>
        <v>10</v>
      </c>
      <c r="CH5" s="96">
        <f t="shared" si="0"/>
        <v>149</v>
      </c>
    </row>
    <row r="6" spans="1:86" ht="20.25" customHeight="1" x14ac:dyDescent="0.3">
      <c r="A6" s="94" t="str">
        <f>[1]Participantes!B4</f>
        <v>Alfredo 1</v>
      </c>
      <c r="B6" s="119" t="str">
        <f>IF($A6="","",INDEX([1]Clasif_Pron!$E:$E,((ROW()-4)*12+2)))</f>
        <v>México</v>
      </c>
      <c r="C6" s="119">
        <f>IF($A6="","",INDEX([1]Clasif_Pron!$K:$K,((ROW()-4)*12+2)))</f>
        <v>7</v>
      </c>
      <c r="D6" s="119" t="str">
        <f>IF($A6="","",INDEX([1]Clasif_Pron!$G:$G,((ROW()-4)*12+2)))</f>
        <v>Chequia</v>
      </c>
      <c r="E6" s="119">
        <f>IF($A6="","",INDEX([1]Clasif_Pron!$L:$L,((ROW()-4)*12+2)))</f>
        <v>0</v>
      </c>
      <c r="F6" s="95" t="str">
        <f>IF($A6="","",INDEX([1]Clasif_Pron!$I:$I,((ROW()-4)*12+2)))</f>
        <v>Corea República</v>
      </c>
      <c r="G6" s="95">
        <f>IF($A6="","",INDEX([1]Clasif_Pron!$M:$M,((ROW()-4)*12+2)))</f>
        <v>5</v>
      </c>
      <c r="H6" s="95">
        <f>IF($A6="","",INDEX([1]Clasif_Pron!$N:$N,((ROW()-4)*12+2)))</f>
        <v>12</v>
      </c>
      <c r="I6" s="119" t="str">
        <f>IF($A6="","",INDEX([1]Clasif_Pron!$E:$E,((ROW()-4)*12+3)))</f>
        <v>Suiza</v>
      </c>
      <c r="J6" s="119">
        <f>IF($A6="","",INDEX([1]Clasif_Pron!$K:$K,((ROW()-4)*12+3)))</f>
        <v>7</v>
      </c>
      <c r="K6" s="119" t="str">
        <f>IF($A6="","",INDEX([1]Clasif_Pron!$G:$G,((ROW()-4)*12+3)))</f>
        <v>Canadá</v>
      </c>
      <c r="L6" s="119">
        <f>IF($A6="","",INDEX([1]Clasif_Pron!$L:$L,((ROW()-4)*12+3)))</f>
        <v>6</v>
      </c>
      <c r="M6" s="119" t="str">
        <f>IF($A6="","",INDEX([1]Clasif_Pron!$I:$I,((ROW()-4)*12+3)))</f>
        <v>Bosnia y Herzegovina</v>
      </c>
      <c r="N6" s="119">
        <f>IF($A6="","",INDEX([1]Clasif_Pron!$M:$M,((ROW()-4)*12+3)))</f>
        <v>5</v>
      </c>
      <c r="O6" s="119">
        <f>IF($A6="","",INDEX([1]Clasif_Pron!$N:$N,((ROW()-4)*12+3)))</f>
        <v>18</v>
      </c>
      <c r="P6" s="119" t="str">
        <f>IF($A6="","",INDEX([1]Clasif_Pron!$E:$E,((ROW()-4)*12+4)))</f>
        <v>Brasil</v>
      </c>
      <c r="Q6" s="119">
        <f>IF($A6="","",INDEX([1]Clasif_Pron!$K:$K,((ROW()-4)*12+4)))</f>
        <v>7</v>
      </c>
      <c r="R6" s="119" t="str">
        <f>IF($A6="","",INDEX([1]Clasif_Pron!$G:$G,((ROW()-4)*12+4)))</f>
        <v>Marruecos</v>
      </c>
      <c r="S6" s="119">
        <f>IF($A6="","",INDEX([1]Clasif_Pron!$L:$L,((ROW()-4)*12+4)))</f>
        <v>6</v>
      </c>
      <c r="T6" s="95" t="str">
        <f>IF($A6="","",INDEX([1]Clasif_Pron!$I:$I,((ROW()-4)*12+4)))</f>
        <v>Escocia</v>
      </c>
      <c r="U6" s="95">
        <f>IF($A6="","",INDEX([1]Clasif_Pron!$M:$M,((ROW()-4)*12+4)))</f>
        <v>0</v>
      </c>
      <c r="V6" s="95">
        <f>IF($A6="","",INDEX([1]Clasif_Pron!$N:$N,((ROW()-4)*12+4)))</f>
        <v>13</v>
      </c>
      <c r="W6" s="119" t="str">
        <f>IF($A6="","",INDEX([1]Clasif_Pron!$E:$E,((ROW()-4)*12+5)))</f>
        <v>Türkiye</v>
      </c>
      <c r="X6" s="119">
        <f>IF($A6="","",INDEX([1]Clasif_Pron!$K:$K,((ROW()-4)*12+5)))</f>
        <v>0</v>
      </c>
      <c r="Y6" s="119" t="str">
        <f>IF($A6="","",INDEX([1]Clasif_Pron!$G:$G,((ROW()-4)*12+5)))</f>
        <v>Estados Unidos</v>
      </c>
      <c r="Z6" s="119">
        <f>IF($A6="","",INDEX([1]Clasif_Pron!$L:$L,((ROW()-4)*12+5)))</f>
        <v>3</v>
      </c>
      <c r="AA6" s="95" t="str">
        <f>IF($A6="","",INDEX([1]Clasif_Pron!$I:$I,((ROW()-4)*12+5)))</f>
        <v>Paraguay</v>
      </c>
      <c r="AB6" s="95">
        <f>IF($A6="","",INDEX([1]Clasif_Pron!$M:$M,((ROW()-4)*12+5)))</f>
        <v>5</v>
      </c>
      <c r="AC6" s="95">
        <f>IF($A6="","",INDEX([1]Clasif_Pron!$N:$N,((ROW()-4)*12+5)))</f>
        <v>8</v>
      </c>
      <c r="AD6" s="119" t="str">
        <f>IF($A6="","",INDEX([1]Clasif_Pron!$E:$E,((ROW()-4)*12+6)))</f>
        <v>Alemania</v>
      </c>
      <c r="AE6" s="119">
        <f>IF($A6="","",INDEX([1]Clasif_Pron!$K:$K,((ROW()-4)*12+6)))</f>
        <v>7</v>
      </c>
      <c r="AF6" s="95" t="str">
        <f>IF($A6="","",INDEX([1]Clasif_Pron!$G:$G,((ROW()-4)*12+6)))</f>
        <v>Ecuador</v>
      </c>
      <c r="AG6" s="95">
        <f>IF($A6="","",INDEX([1]Clasif_Pron!$L:$L,((ROW()-4)*12+6)))</f>
        <v>3</v>
      </c>
      <c r="AH6" s="119" t="str">
        <f>IF($A6="","",INDEX([1]Clasif_Pron!$I:$I,((ROW()-4)*12+6)))</f>
        <v>Costa de Marfil</v>
      </c>
      <c r="AI6" s="119">
        <f>IF($A6="","",INDEX([1]Clasif_Pron!$M:$M,((ROW()-4)*12+6)))</f>
        <v>3</v>
      </c>
      <c r="AJ6" s="95">
        <f>IF($A6="","",INDEX([1]Clasif_Pron!$N:$N,((ROW()-4)*12+6)))</f>
        <v>13</v>
      </c>
      <c r="AK6" s="119" t="str">
        <f>IF($A6="","",INDEX([1]Clasif_Pron!$E:$E,((ROW()-4)*12+7)))</f>
        <v>Países Bajos</v>
      </c>
      <c r="AL6" s="119">
        <f>IF($A6="","",INDEX([1]Clasif_Pron!$K:$K,((ROW()-4)*12+7)))</f>
        <v>7</v>
      </c>
      <c r="AM6" s="119" t="str">
        <f>IF($A6="","",INDEX([1]Clasif_Pron!$G:$G,((ROW()-4)*12+7)))</f>
        <v>Japón</v>
      </c>
      <c r="AN6" s="119">
        <f>IF($A6="","",INDEX([1]Clasif_Pron!$L:$L,((ROW()-4)*12+7)))</f>
        <v>6</v>
      </c>
      <c r="AO6" s="95" t="str">
        <f>IF($A6="","",INDEX([1]Clasif_Pron!$I:$I,((ROW()-4)*12+7)))</f>
        <v>Suecia</v>
      </c>
      <c r="AP6" s="95">
        <f>IF($A6="","",INDEX([1]Clasif_Pron!$M:$M,((ROW()-4)*12+7)))</f>
        <v>5</v>
      </c>
      <c r="AQ6" s="95">
        <f>IF($A6="","",INDEX([1]Clasif_Pron!$N:$N,((ROW()-4)*12+7)))</f>
        <v>18</v>
      </c>
      <c r="AR6" s="119" t="str">
        <f>IF($A6="","",INDEX([1]Clasif_Pron!$E:$E,((ROW()-4)*12+8)))</f>
        <v>Bélgica</v>
      </c>
      <c r="AS6" s="119">
        <f>IF($A6="","",INDEX([1]Clasif_Pron!$K:$K,((ROW()-4)*12+8)))</f>
        <v>7</v>
      </c>
      <c r="AT6" s="119" t="str">
        <f>IF($A6="","",INDEX([1]Clasif_Pron!$G:$G,((ROW()-4)*12+8)))</f>
        <v>Egipto</v>
      </c>
      <c r="AU6" s="119">
        <f>IF($A6="","",INDEX([1]Clasif_Pron!$L:$L,((ROW()-4)*12+8)))</f>
        <v>6</v>
      </c>
      <c r="AV6" s="95" t="str">
        <f>IF($A6="","",INDEX([1]Clasif_Pron!$I:$I,((ROW()-4)*12+8)))</f>
        <v>Irán</v>
      </c>
      <c r="AW6" s="95">
        <f>IF($A6="","",INDEX([1]Clasif_Pron!$M:$M,((ROW()-4)*12+8)))</f>
        <v>5</v>
      </c>
      <c r="AX6" s="95">
        <f>IF($A6="","",INDEX([1]Clasif_Pron!$N:$N,((ROW()-4)*12+8)))</f>
        <v>18</v>
      </c>
      <c r="AY6" s="119" t="str">
        <f>IF($A6="","",INDEX([1]Clasif_Pron!$E:$E,((ROW()-4)*12+9)))</f>
        <v>España</v>
      </c>
      <c r="AZ6" s="119">
        <f>IF($A6="","",INDEX([1]Clasif_Pron!$K:$K,((ROW()-4)*12+9)))</f>
        <v>7</v>
      </c>
      <c r="BA6" s="119" t="str">
        <f>IF($A6="","",INDEX([1]Clasif_Pron!$G:$G,((ROW()-4)*12+9)))</f>
        <v>Uruguay</v>
      </c>
      <c r="BB6" s="119">
        <f>IF($A6="","",INDEX([1]Clasif_Pron!$L:$L,((ROW()-4)*12+9)))</f>
        <v>0</v>
      </c>
      <c r="BC6" s="119" t="str">
        <f>IF($A6="","",INDEX([1]Clasif_Pron!$I:$I,((ROW()-4)*12+9)))</f>
        <v>Arabia Saudita</v>
      </c>
      <c r="BD6" s="119">
        <f>IF($A6="","",INDEX([1]Clasif_Pron!$M:$M,((ROW()-4)*12+9)))</f>
        <v>0</v>
      </c>
      <c r="BE6" s="119">
        <f>IF($A6="","",INDEX([1]Clasif_Pron!$N:$N,((ROW()-4)*12+9)))</f>
        <v>7</v>
      </c>
      <c r="BF6" s="119" t="str">
        <f>IF($A6="","",INDEX([1]Clasif_Pron!$E:$E,((ROW()-4)*12+10)))</f>
        <v>Francia</v>
      </c>
      <c r="BG6" s="119">
        <f>IF($A6="","",INDEX([1]Clasif_Pron!$K:$K,((ROW()-4)*12+10)))</f>
        <v>7</v>
      </c>
      <c r="BH6" s="119" t="str">
        <f>IF($A6="","",INDEX([1]Clasif_Pron!$G:$G,((ROW()-4)*12+10)))</f>
        <v>Noruega</v>
      </c>
      <c r="BI6" s="119">
        <f>IF($A6="","",INDEX([1]Clasif_Pron!$L:$L,((ROW()-4)*12+10)))</f>
        <v>6</v>
      </c>
      <c r="BJ6" s="95" t="str">
        <f>IF($A6="","",INDEX([1]Clasif_Pron!$I:$I,((ROW()-4)*12+10)))</f>
        <v>Senegal</v>
      </c>
      <c r="BK6" s="95">
        <f>IF($A6="","",INDEX([1]Clasif_Pron!$M:$M,((ROW()-4)*12+10)))</f>
        <v>5</v>
      </c>
      <c r="BL6" s="95">
        <f>IF($A6="","",INDEX([1]Clasif_Pron!$N:$N,((ROW()-4)*12+10)))</f>
        <v>18</v>
      </c>
      <c r="BM6" s="119" t="str">
        <f>IF($A6="","",INDEX([1]Clasif_Pron!$E:$E,((ROW()-4)*12+11)))</f>
        <v>Argentina</v>
      </c>
      <c r="BN6" s="119">
        <f>IF($A6="","",INDEX([1]Clasif_Pron!$K:$K,((ROW()-4)*12+11)))</f>
        <v>7</v>
      </c>
      <c r="BO6" s="95" t="str">
        <f>IF($A6="","",INDEX([1]Clasif_Pron!$G:$G,((ROW()-4)*12+11)))</f>
        <v>Austria</v>
      </c>
      <c r="BP6" s="95">
        <f>IF($A6="","",INDEX([1]Clasif_Pron!$L:$L,((ROW()-4)*12+11)))</f>
        <v>6</v>
      </c>
      <c r="BQ6" s="95" t="str">
        <f>IF($A6="","",INDEX([1]Clasif_Pron!$I:$I,((ROW()-4)*12+11)))</f>
        <v>Argelia</v>
      </c>
      <c r="BR6" s="95">
        <f>IF($A6="","",INDEX([1]Clasif_Pron!$M:$M,((ROW()-4)*12+11)))</f>
        <v>0</v>
      </c>
      <c r="BS6" s="95">
        <f>IF($A6="","",INDEX([1]Clasif_Pron!$N:$N,((ROW()-4)*12+11)))</f>
        <v>13</v>
      </c>
      <c r="BT6" s="95" t="str">
        <f>IF($A6="","",INDEX([1]Clasif_Pron!$E:$E,((ROW()-4)*12+12)))</f>
        <v>Portugal</v>
      </c>
      <c r="BU6" s="95">
        <f>IF($A6="","",INDEX([1]Clasif_Pron!$K:$K,((ROW()-4)*12+12)))</f>
        <v>3</v>
      </c>
      <c r="BV6" s="95" t="str">
        <f>IF($A6="","",INDEX([1]Clasif_Pron!$G:$G,((ROW()-4)*12+12)))</f>
        <v>Colombia</v>
      </c>
      <c r="BW6" s="95">
        <f>IF($A6="","",INDEX([1]Clasif_Pron!$L:$L,((ROW()-4)*12+12)))</f>
        <v>3</v>
      </c>
      <c r="BX6" s="95" t="str">
        <f>IF($A6="","",INDEX([1]Clasif_Pron!$I:$I,((ROW()-4)*12+12)))</f>
        <v>RD Congo</v>
      </c>
      <c r="BY6" s="95">
        <f>IF($A6="","",INDEX([1]Clasif_Pron!$M:$M,((ROW()-4)*12+12)))</f>
        <v>0</v>
      </c>
      <c r="BZ6" s="95">
        <f>IF($A6="","",INDEX([1]Clasif_Pron!$N:$N,((ROW()-4)*12+12)))</f>
        <v>6</v>
      </c>
      <c r="CA6" s="95" t="str">
        <f>IF($A6="","",INDEX([1]Clasif_Pron!$E:$E,((ROW()-4)*12+13)))</f>
        <v>Inglaterra</v>
      </c>
      <c r="CB6" s="95">
        <f>IF($A6="","",INDEX([1]Clasif_Pron!$K:$K,((ROW()-4)*12+13)))</f>
        <v>7</v>
      </c>
      <c r="CC6" s="95" t="str">
        <f>IF($A6="","",INDEX([1]Clasif_Pron!$G:$G,((ROW()-4)*12+13)))</f>
        <v>Croacia</v>
      </c>
      <c r="CD6" s="95">
        <f>IF($A6="","",INDEX([1]Clasif_Pron!$L:$L,((ROW()-4)*12+13)))</f>
        <v>3</v>
      </c>
      <c r="CE6" s="95" t="str">
        <f>IF($A6="","",INDEX([1]Clasif_Pron!$I:$I,((ROW()-4)*12+13)))</f>
        <v>Ghana</v>
      </c>
      <c r="CF6" s="95">
        <f>IF($A6="","",INDEX([1]Clasif_Pron!$M:$M,((ROW()-4)*12+13)))</f>
        <v>3</v>
      </c>
      <c r="CG6" s="95">
        <f>IF($A6="","",INDEX([1]Clasif_Pron!$N:$N,((ROW()-4)*12+13)))</f>
        <v>13</v>
      </c>
      <c r="CH6" s="96">
        <f t="shared" si="0"/>
        <v>157</v>
      </c>
    </row>
    <row r="7" spans="1:86" ht="20.25" customHeight="1" x14ac:dyDescent="0.3">
      <c r="A7" s="94" t="str">
        <f>[1]Participantes!B5</f>
        <v>Alfredo 2</v>
      </c>
      <c r="B7" s="119" t="str">
        <f>IF($A7="","",INDEX([1]Clasif_Pron!$E:$E,((ROW()-4)*12+2)))</f>
        <v>México</v>
      </c>
      <c r="C7" s="119">
        <f>IF($A7="","",INDEX([1]Clasif_Pron!$K:$K,((ROW()-4)*12+2)))</f>
        <v>7</v>
      </c>
      <c r="D7" s="119" t="str">
        <f>IF($A7="","",INDEX([1]Clasif_Pron!$G:$G,((ROW()-4)*12+2)))</f>
        <v>Chequia</v>
      </c>
      <c r="E7" s="119">
        <f>IF($A7="","",INDEX([1]Clasif_Pron!$L:$L,((ROW()-4)*12+2)))</f>
        <v>0</v>
      </c>
      <c r="F7" s="95" t="str">
        <f>IF($A7="","",INDEX([1]Clasif_Pron!$I:$I,((ROW()-4)*12+2)))</f>
        <v>Corea República</v>
      </c>
      <c r="G7" s="95">
        <f>IF($A7="","",INDEX([1]Clasif_Pron!$M:$M,((ROW()-4)*12+2)))</f>
        <v>5</v>
      </c>
      <c r="H7" s="95">
        <f>IF($A7="","",INDEX([1]Clasif_Pron!$N:$N,((ROW()-4)*12+2)))</f>
        <v>12</v>
      </c>
      <c r="I7" s="119" t="str">
        <f>IF($A7="","",INDEX([1]Clasif_Pron!$E:$E,((ROW()-4)*12+3)))</f>
        <v>Canadá</v>
      </c>
      <c r="J7" s="119">
        <f>IF($A7="","",INDEX([1]Clasif_Pron!$K:$K,((ROW()-4)*12+3)))</f>
        <v>3</v>
      </c>
      <c r="K7" s="119" t="str">
        <f>IF($A7="","",INDEX([1]Clasif_Pron!$G:$G,((ROW()-4)*12+3)))</f>
        <v>Suiza</v>
      </c>
      <c r="L7" s="119">
        <f>IF($A7="","",INDEX([1]Clasif_Pron!$L:$L,((ROW()-4)*12+3)))</f>
        <v>3</v>
      </c>
      <c r="M7" s="119" t="str">
        <f>IF($A7="","",INDEX([1]Clasif_Pron!$I:$I,((ROW()-4)*12+3)))</f>
        <v>Bosnia y Herzegovina</v>
      </c>
      <c r="N7" s="119">
        <f>IF($A7="","",INDEX([1]Clasif_Pron!$M:$M,((ROW()-4)*12+3)))</f>
        <v>5</v>
      </c>
      <c r="O7" s="119">
        <f>IF($A7="","",INDEX([1]Clasif_Pron!$N:$N,((ROW()-4)*12+3)))</f>
        <v>11</v>
      </c>
      <c r="P7" s="119" t="str">
        <f>IF($A7="","",INDEX([1]Clasif_Pron!$E:$E,((ROW()-4)*12+4)))</f>
        <v>Brasil</v>
      </c>
      <c r="Q7" s="119">
        <f>IF($A7="","",INDEX([1]Clasif_Pron!$K:$K,((ROW()-4)*12+4)))</f>
        <v>7</v>
      </c>
      <c r="R7" s="119" t="str">
        <f>IF($A7="","",INDEX([1]Clasif_Pron!$G:$G,((ROW()-4)*12+4)))</f>
        <v>Marruecos</v>
      </c>
      <c r="S7" s="119">
        <f>IF($A7="","",INDEX([1]Clasif_Pron!$L:$L,((ROW()-4)*12+4)))</f>
        <v>6</v>
      </c>
      <c r="T7" s="95" t="str">
        <f>IF($A7="","",INDEX([1]Clasif_Pron!$I:$I,((ROW()-4)*12+4)))</f>
        <v>Escocia</v>
      </c>
      <c r="U7" s="95">
        <f>IF($A7="","",INDEX([1]Clasif_Pron!$M:$M,((ROW()-4)*12+4)))</f>
        <v>0</v>
      </c>
      <c r="V7" s="95">
        <f>IF($A7="","",INDEX([1]Clasif_Pron!$N:$N,((ROW()-4)*12+4)))</f>
        <v>13</v>
      </c>
      <c r="W7" s="119" t="str">
        <f>IF($A7="","",INDEX([1]Clasif_Pron!$E:$E,((ROW()-4)*12+5)))</f>
        <v>Estados Unidos</v>
      </c>
      <c r="X7" s="119">
        <f>IF($A7="","",INDEX([1]Clasif_Pron!$K:$K,((ROW()-4)*12+5)))</f>
        <v>7</v>
      </c>
      <c r="Y7" s="119" t="str">
        <f>IF($A7="","",INDEX([1]Clasif_Pron!$G:$G,((ROW()-4)*12+5)))</f>
        <v>Türkiye</v>
      </c>
      <c r="Z7" s="119">
        <f>IF($A7="","",INDEX([1]Clasif_Pron!$L:$L,((ROW()-4)*12+5)))</f>
        <v>0</v>
      </c>
      <c r="AA7" s="95" t="str">
        <f>IF($A7="","",INDEX([1]Clasif_Pron!$I:$I,((ROW()-4)*12+5)))</f>
        <v>Paraguay</v>
      </c>
      <c r="AB7" s="95">
        <f>IF($A7="","",INDEX([1]Clasif_Pron!$M:$M,((ROW()-4)*12+5)))</f>
        <v>5</v>
      </c>
      <c r="AC7" s="95">
        <f>IF($A7="","",INDEX([1]Clasif_Pron!$N:$N,((ROW()-4)*12+5)))</f>
        <v>12</v>
      </c>
      <c r="AD7" s="119" t="str">
        <f>IF($A7="","",INDEX([1]Clasif_Pron!$E:$E,((ROW()-4)*12+6)))</f>
        <v>Alemania</v>
      </c>
      <c r="AE7" s="119">
        <f>IF($A7="","",INDEX([1]Clasif_Pron!$K:$K,((ROW()-4)*12+6)))</f>
        <v>7</v>
      </c>
      <c r="AF7" s="95" t="str">
        <f>IF($A7="","",INDEX([1]Clasif_Pron!$G:$G,((ROW()-4)*12+6)))</f>
        <v>Ecuador</v>
      </c>
      <c r="AG7" s="95">
        <f>IF($A7="","",INDEX([1]Clasif_Pron!$L:$L,((ROW()-4)*12+6)))</f>
        <v>3</v>
      </c>
      <c r="AH7" s="119" t="str">
        <f>IF($A7="","",INDEX([1]Clasif_Pron!$I:$I,((ROW()-4)*12+6)))</f>
        <v>Costa de Marfil</v>
      </c>
      <c r="AI7" s="119">
        <f>IF($A7="","",INDEX([1]Clasif_Pron!$M:$M,((ROW()-4)*12+6)))</f>
        <v>3</v>
      </c>
      <c r="AJ7" s="95">
        <f>IF($A7="","",INDEX([1]Clasif_Pron!$N:$N,((ROW()-4)*12+6)))</f>
        <v>13</v>
      </c>
      <c r="AK7" s="119" t="str">
        <f>IF($A7="","",INDEX([1]Clasif_Pron!$E:$E,((ROW()-4)*12+7)))</f>
        <v>Japón</v>
      </c>
      <c r="AL7" s="119">
        <f>IF($A7="","",INDEX([1]Clasif_Pron!$K:$K,((ROW()-4)*12+7)))</f>
        <v>3</v>
      </c>
      <c r="AM7" s="119" t="str">
        <f>IF($A7="","",INDEX([1]Clasif_Pron!$G:$G,((ROW()-4)*12+7)))</f>
        <v>Países Bajos</v>
      </c>
      <c r="AN7" s="119">
        <f>IF($A7="","",INDEX([1]Clasif_Pron!$L:$L,((ROW()-4)*12+7)))</f>
        <v>3</v>
      </c>
      <c r="AO7" s="95" t="str">
        <f>IF($A7="","",INDEX([1]Clasif_Pron!$I:$I,((ROW()-4)*12+7)))</f>
        <v>Suecia</v>
      </c>
      <c r="AP7" s="95">
        <f>IF($A7="","",INDEX([1]Clasif_Pron!$M:$M,((ROW()-4)*12+7)))</f>
        <v>5</v>
      </c>
      <c r="AQ7" s="95">
        <f>IF($A7="","",INDEX([1]Clasif_Pron!$N:$N,((ROW()-4)*12+7)))</f>
        <v>11</v>
      </c>
      <c r="AR7" s="119" t="str">
        <f>IF($A7="","",INDEX([1]Clasif_Pron!$E:$E,((ROW()-4)*12+8)))</f>
        <v>Bélgica</v>
      </c>
      <c r="AS7" s="119">
        <f>IF($A7="","",INDEX([1]Clasif_Pron!$K:$K,((ROW()-4)*12+8)))</f>
        <v>7</v>
      </c>
      <c r="AT7" s="119" t="str">
        <f>IF($A7="","",INDEX([1]Clasif_Pron!$G:$G,((ROW()-4)*12+8)))</f>
        <v>Egipto</v>
      </c>
      <c r="AU7" s="119">
        <f>IF($A7="","",INDEX([1]Clasif_Pron!$L:$L,((ROW()-4)*12+8)))</f>
        <v>6</v>
      </c>
      <c r="AV7" s="95" t="str">
        <f>IF($A7="","",INDEX([1]Clasif_Pron!$I:$I,((ROW()-4)*12+8)))</f>
        <v>Irán</v>
      </c>
      <c r="AW7" s="95">
        <f>IF($A7="","",INDEX([1]Clasif_Pron!$M:$M,((ROW()-4)*12+8)))</f>
        <v>5</v>
      </c>
      <c r="AX7" s="95">
        <f>IF($A7="","",INDEX([1]Clasif_Pron!$N:$N,((ROW()-4)*12+8)))</f>
        <v>18</v>
      </c>
      <c r="AY7" s="119" t="str">
        <f>IF($A7="","",INDEX([1]Clasif_Pron!$E:$E,((ROW()-4)*12+9)))</f>
        <v>España</v>
      </c>
      <c r="AZ7" s="119">
        <f>IF($A7="","",INDEX([1]Clasif_Pron!$K:$K,((ROW()-4)*12+9)))</f>
        <v>7</v>
      </c>
      <c r="BA7" s="119" t="str">
        <f>IF($A7="","",INDEX([1]Clasif_Pron!$G:$G,((ROW()-4)*12+9)))</f>
        <v>Arabia Saudita</v>
      </c>
      <c r="BB7" s="119">
        <f>IF($A7="","",INDEX([1]Clasif_Pron!$L:$L,((ROW()-4)*12+9)))</f>
        <v>0</v>
      </c>
      <c r="BC7" s="119" t="str">
        <f>IF($A7="","",INDEX([1]Clasif_Pron!$I:$I,((ROW()-4)*12+9)))</f>
        <v>Uruguay</v>
      </c>
      <c r="BD7" s="119">
        <f>IF($A7="","",INDEX([1]Clasif_Pron!$M:$M,((ROW()-4)*12+9)))</f>
        <v>0</v>
      </c>
      <c r="BE7" s="119">
        <f>IF($A7="","",INDEX([1]Clasif_Pron!$N:$N,((ROW()-4)*12+9)))</f>
        <v>7</v>
      </c>
      <c r="BF7" s="119" t="str">
        <f>IF($A7="","",INDEX([1]Clasif_Pron!$E:$E,((ROW()-4)*12+10)))</f>
        <v>Francia</v>
      </c>
      <c r="BG7" s="119">
        <f>IF($A7="","",INDEX([1]Clasif_Pron!$K:$K,((ROW()-4)*12+10)))</f>
        <v>7</v>
      </c>
      <c r="BH7" s="119" t="str">
        <f>IF($A7="","",INDEX([1]Clasif_Pron!$G:$G,((ROW()-4)*12+10)))</f>
        <v>Noruega</v>
      </c>
      <c r="BI7" s="119">
        <f>IF($A7="","",INDEX([1]Clasif_Pron!$L:$L,((ROW()-4)*12+10)))</f>
        <v>6</v>
      </c>
      <c r="BJ7" s="95" t="str">
        <f>IF($A7="","",INDEX([1]Clasif_Pron!$I:$I,((ROW()-4)*12+10)))</f>
        <v>Senegal</v>
      </c>
      <c r="BK7" s="95">
        <f>IF($A7="","",INDEX([1]Clasif_Pron!$M:$M,((ROW()-4)*12+10)))</f>
        <v>5</v>
      </c>
      <c r="BL7" s="95">
        <f>IF($A7="","",INDEX([1]Clasif_Pron!$N:$N,((ROW()-4)*12+10)))</f>
        <v>18</v>
      </c>
      <c r="BM7" s="119" t="str">
        <f>IF($A7="","",INDEX([1]Clasif_Pron!$E:$E,((ROW()-4)*12+11)))</f>
        <v>Argentina</v>
      </c>
      <c r="BN7" s="119">
        <f>IF($A7="","",INDEX([1]Clasif_Pron!$K:$K,((ROW()-4)*12+11)))</f>
        <v>7</v>
      </c>
      <c r="BO7" s="95" t="str">
        <f>IF($A7="","",INDEX([1]Clasif_Pron!$G:$G,((ROW()-4)*12+11)))</f>
        <v>Argelia</v>
      </c>
      <c r="BP7" s="95">
        <f>IF($A7="","",INDEX([1]Clasif_Pron!$L:$L,((ROW()-4)*12+11)))</f>
        <v>0</v>
      </c>
      <c r="BQ7" s="95" t="str">
        <f>IF($A7="","",INDEX([1]Clasif_Pron!$I:$I,((ROW()-4)*12+11)))</f>
        <v>Austria</v>
      </c>
      <c r="BR7" s="95">
        <f>IF($A7="","",INDEX([1]Clasif_Pron!$M:$M,((ROW()-4)*12+11)))</f>
        <v>3</v>
      </c>
      <c r="BS7" s="95">
        <f>IF($A7="","",INDEX([1]Clasif_Pron!$N:$N,((ROW()-4)*12+11)))</f>
        <v>10</v>
      </c>
      <c r="BT7" s="95" t="str">
        <f>IF($A7="","",INDEX([1]Clasif_Pron!$E:$E,((ROW()-4)*12+12)))</f>
        <v>Colombia</v>
      </c>
      <c r="BU7" s="95">
        <f>IF($A7="","",INDEX([1]Clasif_Pron!$K:$K,((ROW()-4)*12+12)))</f>
        <v>7</v>
      </c>
      <c r="BV7" s="95" t="str">
        <f>IF($A7="","",INDEX([1]Clasif_Pron!$G:$G,((ROW()-4)*12+12)))</f>
        <v>Portugal</v>
      </c>
      <c r="BW7" s="95">
        <f>IF($A7="","",INDEX([1]Clasif_Pron!$L:$L,((ROW()-4)*12+12)))</f>
        <v>6</v>
      </c>
      <c r="BX7" s="95" t="str">
        <f>IF($A7="","",INDEX([1]Clasif_Pron!$I:$I,((ROW()-4)*12+12)))</f>
        <v>RD Congo</v>
      </c>
      <c r="BY7" s="95">
        <f>IF($A7="","",INDEX([1]Clasif_Pron!$M:$M,((ROW()-4)*12+12)))</f>
        <v>0</v>
      </c>
      <c r="BZ7" s="95">
        <f>IF($A7="","",INDEX([1]Clasif_Pron!$N:$N,((ROW()-4)*12+12)))</f>
        <v>13</v>
      </c>
      <c r="CA7" s="95" t="str">
        <f>IF($A7="","",INDEX([1]Clasif_Pron!$E:$E,((ROW()-4)*12+13)))</f>
        <v>Inglaterra</v>
      </c>
      <c r="CB7" s="95">
        <f>IF($A7="","",INDEX([1]Clasif_Pron!$K:$K,((ROW()-4)*12+13)))</f>
        <v>7</v>
      </c>
      <c r="CC7" s="95" t="str">
        <f>IF($A7="","",INDEX([1]Clasif_Pron!$G:$G,((ROW()-4)*12+13)))</f>
        <v>Croacia</v>
      </c>
      <c r="CD7" s="95">
        <f>IF($A7="","",INDEX([1]Clasif_Pron!$L:$L,((ROW()-4)*12+13)))</f>
        <v>3</v>
      </c>
      <c r="CE7" s="95" t="str">
        <f>IF($A7="","",INDEX([1]Clasif_Pron!$I:$I,((ROW()-4)*12+13)))</f>
        <v>Panamá</v>
      </c>
      <c r="CF7" s="95">
        <f>IF($A7="","",INDEX([1]Clasif_Pron!$M:$M,((ROW()-4)*12+13)))</f>
        <v>0</v>
      </c>
      <c r="CG7" s="95">
        <f>IF($A7="","",INDEX([1]Clasif_Pron!$N:$N,((ROW()-4)*12+13)))</f>
        <v>10</v>
      </c>
      <c r="CH7" s="96">
        <f t="shared" si="0"/>
        <v>148</v>
      </c>
    </row>
    <row r="8" spans="1:86" ht="20.25" customHeight="1" x14ac:dyDescent="0.3">
      <c r="A8" s="94" t="str">
        <f>[1]Participantes!B6</f>
        <v>Aneth</v>
      </c>
      <c r="B8" s="119" t="str">
        <f>IF($A8="","",INDEX([1]Clasif_Pron!$E:$E,((ROW()-4)*12+2)))</f>
        <v>México</v>
      </c>
      <c r="C8" s="119">
        <f>IF($A8="","",INDEX([1]Clasif_Pron!$K:$K,((ROW()-4)*12+2)))</f>
        <v>7</v>
      </c>
      <c r="D8" s="119" t="str">
        <f>IF($A8="","",INDEX([1]Clasif_Pron!$G:$G,((ROW()-4)*12+2)))</f>
        <v>Chequia</v>
      </c>
      <c r="E8" s="119">
        <f>IF($A8="","",INDEX([1]Clasif_Pron!$L:$L,((ROW()-4)*12+2)))</f>
        <v>0</v>
      </c>
      <c r="F8" s="119" t="str">
        <f>IF($A8="","",INDEX([1]Clasif_Pron!$I:$I,((ROW()-4)*12+2)))</f>
        <v>Sudáfrica</v>
      </c>
      <c r="G8" s="119">
        <f>IF($A8="","",INDEX([1]Clasif_Pron!$M:$M,((ROW()-4)*12+2)))</f>
        <v>3</v>
      </c>
      <c r="H8" s="119">
        <f>IF($A8="","",INDEX([1]Clasif_Pron!$N:$N,((ROW()-4)*12+2)))</f>
        <v>10</v>
      </c>
      <c r="I8" s="119" t="str">
        <f>IF($A8="","",INDEX([1]Clasif_Pron!$E:$E,((ROW()-4)*12+3)))</f>
        <v>Canadá</v>
      </c>
      <c r="J8" s="119">
        <f>IF($A8="","",INDEX([1]Clasif_Pron!$K:$K,((ROW()-4)*12+3)))</f>
        <v>3</v>
      </c>
      <c r="K8" s="119" t="str">
        <f>IF($A8="","",INDEX([1]Clasif_Pron!$G:$G,((ROW()-4)*12+3)))</f>
        <v>Qatar</v>
      </c>
      <c r="L8" s="119">
        <f>IF($A8="","",INDEX([1]Clasif_Pron!$L:$L,((ROW()-4)*12+3)))</f>
        <v>0</v>
      </c>
      <c r="M8" s="119" t="str">
        <f>IF($A8="","",INDEX([1]Clasif_Pron!$I:$I,((ROW()-4)*12+3)))</f>
        <v>Suiza</v>
      </c>
      <c r="N8" s="119">
        <f>IF($A8="","",INDEX([1]Clasif_Pron!$M:$M,((ROW()-4)*12+3)))</f>
        <v>3</v>
      </c>
      <c r="O8" s="119">
        <f>IF($A8="","",INDEX([1]Clasif_Pron!$N:$N,((ROW()-4)*12+3)))</f>
        <v>6</v>
      </c>
      <c r="P8" s="119" t="str">
        <f>IF($A8="","",INDEX([1]Clasif_Pron!$E:$E,((ROW()-4)*12+4)))</f>
        <v>Brasil</v>
      </c>
      <c r="Q8" s="119">
        <f>IF($A8="","",INDEX([1]Clasif_Pron!$K:$K,((ROW()-4)*12+4)))</f>
        <v>7</v>
      </c>
      <c r="R8" s="119" t="str">
        <f>IF($A8="","",INDEX([1]Clasif_Pron!$G:$G,((ROW()-4)*12+4)))</f>
        <v>Marruecos</v>
      </c>
      <c r="S8" s="119">
        <f>IF($A8="","",INDEX([1]Clasif_Pron!$L:$L,((ROW()-4)*12+4)))</f>
        <v>6</v>
      </c>
      <c r="T8" s="95" t="str">
        <f>IF($A8="","",INDEX([1]Clasif_Pron!$I:$I,((ROW()-4)*12+4)))</f>
        <v>Escocia</v>
      </c>
      <c r="U8" s="95">
        <f>IF($A8="","",INDEX([1]Clasif_Pron!$M:$M,((ROW()-4)*12+4)))</f>
        <v>0</v>
      </c>
      <c r="V8" s="95">
        <f>IF($A8="","",INDEX([1]Clasif_Pron!$N:$N,((ROW()-4)*12+4)))</f>
        <v>13</v>
      </c>
      <c r="W8" s="119" t="str">
        <f>IF($A8="","",INDEX([1]Clasif_Pron!$E:$E,((ROW()-4)*12+5)))</f>
        <v>Estados Unidos</v>
      </c>
      <c r="X8" s="119">
        <f>IF($A8="","",INDEX([1]Clasif_Pron!$K:$K,((ROW()-4)*12+5)))</f>
        <v>7</v>
      </c>
      <c r="Y8" s="119" t="str">
        <f>IF($A8="","",INDEX([1]Clasif_Pron!$G:$G,((ROW()-4)*12+5)))</f>
        <v>Türkiye</v>
      </c>
      <c r="Z8" s="119">
        <f>IF($A8="","",INDEX([1]Clasif_Pron!$L:$L,((ROW()-4)*12+5)))</f>
        <v>0</v>
      </c>
      <c r="AA8" s="95" t="str">
        <f>IF($A8="","",INDEX([1]Clasif_Pron!$I:$I,((ROW()-4)*12+5)))</f>
        <v>Paraguay</v>
      </c>
      <c r="AB8" s="95">
        <f>IF($A8="","",INDEX([1]Clasif_Pron!$M:$M,((ROW()-4)*12+5)))</f>
        <v>5</v>
      </c>
      <c r="AC8" s="95">
        <f>IF($A8="","",INDEX([1]Clasif_Pron!$N:$N,((ROW()-4)*12+5)))</f>
        <v>12</v>
      </c>
      <c r="AD8" s="95" t="str">
        <f>IF($A8="","",INDEX([1]Clasif_Pron!$E:$E,((ROW()-4)*12+6)))</f>
        <v>Ecuador</v>
      </c>
      <c r="AE8" s="95">
        <f>IF($A8="","",INDEX([1]Clasif_Pron!$K:$K,((ROW()-4)*12+6)))</f>
        <v>3</v>
      </c>
      <c r="AF8" s="119" t="str">
        <f>IF($A8="","",INDEX([1]Clasif_Pron!$G:$G,((ROW()-4)*12+6)))</f>
        <v>Alemania</v>
      </c>
      <c r="AG8" s="119">
        <f>IF($A8="","",INDEX([1]Clasif_Pron!$L:$L,((ROW()-4)*12+6)))</f>
        <v>3</v>
      </c>
      <c r="AH8" s="119" t="str">
        <f>IF($A8="","",INDEX([1]Clasif_Pron!$I:$I,((ROW()-4)*12+6)))</f>
        <v>Curazao</v>
      </c>
      <c r="AI8" s="119">
        <f>IF($A8="","",INDEX([1]Clasif_Pron!$M:$M,((ROW()-4)*12+6)))</f>
        <v>0</v>
      </c>
      <c r="AJ8" s="119">
        <f>IF($A8="","",INDEX([1]Clasif_Pron!$N:$N,((ROW()-4)*12+6)))</f>
        <v>6</v>
      </c>
      <c r="AK8" s="119" t="str">
        <f>IF($A8="","",INDEX([1]Clasif_Pron!$E:$E,((ROW()-4)*12+7)))</f>
        <v>Países Bajos</v>
      </c>
      <c r="AL8" s="119">
        <f>IF($A8="","",INDEX([1]Clasif_Pron!$K:$K,((ROW()-4)*12+7)))</f>
        <v>7</v>
      </c>
      <c r="AM8" s="119" t="str">
        <f>IF($A8="","",INDEX([1]Clasif_Pron!$G:$G,((ROW()-4)*12+7)))</f>
        <v>Japón</v>
      </c>
      <c r="AN8" s="119">
        <f>IF($A8="","",INDEX([1]Clasif_Pron!$L:$L,((ROW()-4)*12+7)))</f>
        <v>6</v>
      </c>
      <c r="AO8" s="95" t="str">
        <f>IF($A8="","",INDEX([1]Clasif_Pron!$I:$I,((ROW()-4)*12+7)))</f>
        <v>Suecia</v>
      </c>
      <c r="AP8" s="95">
        <f>IF($A8="","",INDEX([1]Clasif_Pron!$M:$M,((ROW()-4)*12+7)))</f>
        <v>5</v>
      </c>
      <c r="AQ8" s="95">
        <f>IF($A8="","",INDEX([1]Clasif_Pron!$N:$N,((ROW()-4)*12+7)))</f>
        <v>18</v>
      </c>
      <c r="AR8" s="119" t="str">
        <f>IF($A8="","",INDEX([1]Clasif_Pron!$E:$E,((ROW()-4)*12+8)))</f>
        <v>Bélgica</v>
      </c>
      <c r="AS8" s="119">
        <f>IF($A8="","",INDEX([1]Clasif_Pron!$K:$K,((ROW()-4)*12+8)))</f>
        <v>7</v>
      </c>
      <c r="AT8" s="95" t="str">
        <f>IF($A8="","",INDEX([1]Clasif_Pron!$G:$G,((ROW()-4)*12+8)))</f>
        <v>Irán</v>
      </c>
      <c r="AU8" s="95">
        <f>IF($A8="","",INDEX([1]Clasif_Pron!$L:$L,((ROW()-4)*12+8)))</f>
        <v>3</v>
      </c>
      <c r="AV8" s="119" t="str">
        <f>IF($A8="","",INDEX([1]Clasif_Pron!$I:$I,((ROW()-4)*12+8)))</f>
        <v>Egipto</v>
      </c>
      <c r="AW8" s="119">
        <f>IF($A8="","",INDEX([1]Clasif_Pron!$M:$M,((ROW()-4)*12+8)))</f>
        <v>3</v>
      </c>
      <c r="AX8" s="95">
        <f>IF($A8="","",INDEX([1]Clasif_Pron!$N:$N,((ROW()-4)*12+8)))</f>
        <v>13</v>
      </c>
      <c r="AY8" s="119" t="str">
        <f>IF($A8="","",INDEX([1]Clasif_Pron!$E:$E,((ROW()-4)*12+9)))</f>
        <v>España</v>
      </c>
      <c r="AZ8" s="119">
        <f>IF($A8="","",INDEX([1]Clasif_Pron!$K:$K,((ROW()-4)*12+9)))</f>
        <v>7</v>
      </c>
      <c r="BA8" s="119" t="str">
        <f>IF($A8="","",INDEX([1]Clasif_Pron!$G:$G,((ROW()-4)*12+9)))</f>
        <v>Uruguay</v>
      </c>
      <c r="BB8" s="119">
        <f>IF($A8="","",INDEX([1]Clasif_Pron!$L:$L,((ROW()-4)*12+9)))</f>
        <v>0</v>
      </c>
      <c r="BC8" s="119" t="str">
        <f>IF($A8="","",INDEX([1]Clasif_Pron!$I:$I,((ROW()-4)*12+9)))</f>
        <v>Arabia Saudita</v>
      </c>
      <c r="BD8" s="119">
        <f>IF($A8="","",INDEX([1]Clasif_Pron!$M:$M,((ROW()-4)*12+9)))</f>
        <v>0</v>
      </c>
      <c r="BE8" s="119">
        <f>IF($A8="","",INDEX([1]Clasif_Pron!$N:$N,((ROW()-4)*12+9)))</f>
        <v>7</v>
      </c>
      <c r="BF8" s="119" t="str">
        <f>IF($A8="","",INDEX([1]Clasif_Pron!$E:$E,((ROW()-4)*12+10)))</f>
        <v>Francia</v>
      </c>
      <c r="BG8" s="119">
        <f>IF($A8="","",INDEX([1]Clasif_Pron!$K:$K,((ROW()-4)*12+10)))</f>
        <v>7</v>
      </c>
      <c r="BH8" s="95" t="str">
        <f>IF($A8="","",INDEX([1]Clasif_Pron!$G:$G,((ROW()-4)*12+10)))</f>
        <v>Senegal</v>
      </c>
      <c r="BI8" s="95">
        <f>IF($A8="","",INDEX([1]Clasif_Pron!$L:$L,((ROW()-4)*12+10)))</f>
        <v>3</v>
      </c>
      <c r="BJ8" s="119" t="str">
        <f>IF($A8="","",INDEX([1]Clasif_Pron!$I:$I,((ROW()-4)*12+10)))</f>
        <v>Noruega</v>
      </c>
      <c r="BK8" s="119">
        <f>IF($A8="","",INDEX([1]Clasif_Pron!$M:$M,((ROW()-4)*12+10)))</f>
        <v>3</v>
      </c>
      <c r="BL8" s="95">
        <f>IF($A8="","",INDEX([1]Clasif_Pron!$N:$N,((ROW()-4)*12+10)))</f>
        <v>13</v>
      </c>
      <c r="BM8" s="119" t="str">
        <f>IF($A8="","",INDEX([1]Clasif_Pron!$E:$E,((ROW()-4)*12+11)))</f>
        <v>Argentina</v>
      </c>
      <c r="BN8" s="119">
        <f>IF($A8="","",INDEX([1]Clasif_Pron!$K:$K,((ROW()-4)*12+11)))</f>
        <v>7</v>
      </c>
      <c r="BO8" s="95" t="str">
        <f>IF($A8="","",INDEX([1]Clasif_Pron!$G:$G,((ROW()-4)*12+11)))</f>
        <v>Austria</v>
      </c>
      <c r="BP8" s="95">
        <f>IF($A8="","",INDEX([1]Clasif_Pron!$L:$L,((ROW()-4)*12+11)))</f>
        <v>6</v>
      </c>
      <c r="BQ8" s="95" t="str">
        <f>IF($A8="","",INDEX([1]Clasif_Pron!$I:$I,((ROW()-4)*12+11)))</f>
        <v>Argelia</v>
      </c>
      <c r="BR8" s="95">
        <f>IF($A8="","",INDEX([1]Clasif_Pron!$M:$M,((ROW()-4)*12+11)))</f>
        <v>0</v>
      </c>
      <c r="BS8" s="95">
        <f>IF($A8="","",INDEX([1]Clasif_Pron!$N:$N,((ROW()-4)*12+11)))</f>
        <v>13</v>
      </c>
      <c r="BT8" s="95" t="str">
        <f>IF($A8="","",INDEX([1]Clasif_Pron!$E:$E,((ROW()-4)*12+12)))</f>
        <v>Portugal</v>
      </c>
      <c r="BU8" s="95">
        <f>IF($A8="","",INDEX([1]Clasif_Pron!$K:$K,((ROW()-4)*12+12)))</f>
        <v>3</v>
      </c>
      <c r="BV8" s="95" t="str">
        <f>IF($A8="","",INDEX([1]Clasif_Pron!$G:$G,((ROW()-4)*12+12)))</f>
        <v>Colombia</v>
      </c>
      <c r="BW8" s="95">
        <f>IF($A8="","",INDEX([1]Clasif_Pron!$L:$L,((ROW()-4)*12+12)))</f>
        <v>3</v>
      </c>
      <c r="BX8" s="95" t="str">
        <f>IF($A8="","",INDEX([1]Clasif_Pron!$I:$I,((ROW()-4)*12+12)))</f>
        <v>Uzbekistán</v>
      </c>
      <c r="BY8" s="95">
        <f>IF($A8="","",INDEX([1]Clasif_Pron!$M:$M,((ROW()-4)*12+12)))</f>
        <v>0</v>
      </c>
      <c r="BZ8" s="95">
        <f>IF($A8="","",INDEX([1]Clasif_Pron!$N:$N,((ROW()-4)*12+12)))</f>
        <v>6</v>
      </c>
      <c r="CA8" s="95" t="str">
        <f>IF($A8="","",INDEX([1]Clasif_Pron!$E:$E,((ROW()-4)*12+13)))</f>
        <v>Inglaterra</v>
      </c>
      <c r="CB8" s="95">
        <f>IF($A8="","",INDEX([1]Clasif_Pron!$K:$K,((ROW()-4)*12+13)))</f>
        <v>7</v>
      </c>
      <c r="CC8" s="95" t="str">
        <f>IF($A8="","",INDEX([1]Clasif_Pron!$G:$G,((ROW()-4)*12+13)))</f>
        <v>Croacia</v>
      </c>
      <c r="CD8" s="95">
        <f>IF($A8="","",INDEX([1]Clasif_Pron!$L:$L,((ROW()-4)*12+13)))</f>
        <v>3</v>
      </c>
      <c r="CE8" s="95" t="str">
        <f>IF($A8="","",INDEX([1]Clasif_Pron!$I:$I,((ROW()-4)*12+13)))</f>
        <v>Panamá</v>
      </c>
      <c r="CF8" s="95">
        <f>IF($A8="","",INDEX([1]Clasif_Pron!$M:$M,((ROW()-4)*12+13)))</f>
        <v>0</v>
      </c>
      <c r="CG8" s="95">
        <f>IF($A8="","",INDEX([1]Clasif_Pron!$N:$N,((ROW()-4)*12+13)))</f>
        <v>10</v>
      </c>
      <c r="CH8" s="96">
        <f t="shared" si="0"/>
        <v>127</v>
      </c>
    </row>
    <row r="9" spans="1:86" ht="20.25" customHeight="1" x14ac:dyDescent="0.3">
      <c r="A9" s="94" t="str">
        <f>[1]Participantes!B7</f>
        <v>Antonio</v>
      </c>
      <c r="B9" s="119" t="str">
        <f>IF($A9="","",INDEX([1]Clasif_Pron!$E:$E,((ROW()-4)*12+2)))</f>
        <v>México</v>
      </c>
      <c r="C9" s="119">
        <f>IF($A9="","",INDEX([1]Clasif_Pron!$K:$K,((ROW()-4)*12+2)))</f>
        <v>7</v>
      </c>
      <c r="D9" s="95" t="str">
        <f>IF($A9="","",INDEX([1]Clasif_Pron!$G:$G,((ROW()-4)*12+2)))</f>
        <v>Corea República</v>
      </c>
      <c r="E9" s="95">
        <f>IF($A9="","",INDEX([1]Clasif_Pron!$L:$L,((ROW()-4)*12+2)))</f>
        <v>3</v>
      </c>
      <c r="F9" s="119" t="str">
        <f>IF($A9="","",INDEX([1]Clasif_Pron!$I:$I,((ROW()-4)*12+2)))</f>
        <v>Sudáfrica</v>
      </c>
      <c r="G9" s="119">
        <f>IF($A9="","",INDEX([1]Clasif_Pron!$M:$M,((ROW()-4)*12+2)))</f>
        <v>3</v>
      </c>
      <c r="H9" s="95">
        <f>IF($A9="","",INDEX([1]Clasif_Pron!$N:$N,((ROW()-4)*12+2)))</f>
        <v>13</v>
      </c>
      <c r="I9" s="119" t="str">
        <f>IF($A9="","",INDEX([1]Clasif_Pron!$E:$E,((ROW()-4)*12+3)))</f>
        <v>Canadá</v>
      </c>
      <c r="J9" s="119">
        <f>IF($A9="","",INDEX([1]Clasif_Pron!$K:$K,((ROW()-4)*12+3)))</f>
        <v>3</v>
      </c>
      <c r="K9" s="119" t="str">
        <f>IF($A9="","",INDEX([1]Clasif_Pron!$G:$G,((ROW()-4)*12+3)))</f>
        <v>Suiza</v>
      </c>
      <c r="L9" s="119">
        <f>IF($A9="","",INDEX([1]Clasif_Pron!$L:$L,((ROW()-4)*12+3)))</f>
        <v>3</v>
      </c>
      <c r="M9" s="119" t="str">
        <f>IF($A9="","",INDEX([1]Clasif_Pron!$I:$I,((ROW()-4)*12+3)))</f>
        <v>Bosnia y Herzegovina</v>
      </c>
      <c r="N9" s="119">
        <f>IF($A9="","",INDEX([1]Clasif_Pron!$M:$M,((ROW()-4)*12+3)))</f>
        <v>5</v>
      </c>
      <c r="O9" s="119">
        <f>IF($A9="","",INDEX([1]Clasif_Pron!$N:$N,((ROW()-4)*12+3)))</f>
        <v>11</v>
      </c>
      <c r="P9" s="119" t="str">
        <f>IF($A9="","",INDEX([1]Clasif_Pron!$E:$E,((ROW()-4)*12+4)))</f>
        <v>Marruecos</v>
      </c>
      <c r="Q9" s="119">
        <f>IF($A9="","",INDEX([1]Clasif_Pron!$K:$K,((ROW()-4)*12+4)))</f>
        <v>3</v>
      </c>
      <c r="R9" s="119" t="str">
        <f>IF($A9="","",INDEX([1]Clasif_Pron!$G:$G,((ROW()-4)*12+4)))</f>
        <v>Brasil</v>
      </c>
      <c r="S9" s="119">
        <f>IF($A9="","",INDEX([1]Clasif_Pron!$L:$L,((ROW()-4)*12+4)))</f>
        <v>3</v>
      </c>
      <c r="T9" s="95" t="str">
        <f>IF($A9="","",INDEX([1]Clasif_Pron!$I:$I,((ROW()-4)*12+4)))</f>
        <v>Escocia</v>
      </c>
      <c r="U9" s="95">
        <f>IF($A9="","",INDEX([1]Clasif_Pron!$M:$M,((ROW()-4)*12+4)))</f>
        <v>0</v>
      </c>
      <c r="V9" s="95">
        <f>IF($A9="","",INDEX([1]Clasif_Pron!$N:$N,((ROW()-4)*12+4)))</f>
        <v>6</v>
      </c>
      <c r="W9" s="119" t="str">
        <f>IF($A9="","",INDEX([1]Clasif_Pron!$E:$E,((ROW()-4)*12+5)))</f>
        <v>Estados Unidos</v>
      </c>
      <c r="X9" s="119">
        <f>IF($A9="","",INDEX([1]Clasif_Pron!$K:$K,((ROW()-4)*12+5)))</f>
        <v>7</v>
      </c>
      <c r="Y9" s="119" t="str">
        <f>IF($A9="","",INDEX([1]Clasif_Pron!$G:$G,((ROW()-4)*12+5)))</f>
        <v>Türkiye</v>
      </c>
      <c r="Z9" s="119">
        <f>IF($A9="","",INDEX([1]Clasif_Pron!$L:$L,((ROW()-4)*12+5)))</f>
        <v>0</v>
      </c>
      <c r="AA9" s="95" t="str">
        <f>IF($A9="","",INDEX([1]Clasif_Pron!$I:$I,((ROW()-4)*12+5)))</f>
        <v>Australia</v>
      </c>
      <c r="AB9" s="95">
        <f>IF($A9="","",INDEX([1]Clasif_Pron!$M:$M,((ROW()-4)*12+5)))</f>
        <v>3</v>
      </c>
      <c r="AC9" s="95">
        <f>IF($A9="","",INDEX([1]Clasif_Pron!$N:$N,((ROW()-4)*12+5)))</f>
        <v>10</v>
      </c>
      <c r="AD9" s="119" t="str">
        <f>IF($A9="","",INDEX([1]Clasif_Pron!$E:$E,((ROW()-4)*12+6)))</f>
        <v>Alemania</v>
      </c>
      <c r="AE9" s="119">
        <f>IF($A9="","",INDEX([1]Clasif_Pron!$K:$K,((ROW()-4)*12+6)))</f>
        <v>7</v>
      </c>
      <c r="AF9" s="95" t="str">
        <f>IF($A9="","",INDEX([1]Clasif_Pron!$G:$G,((ROW()-4)*12+6)))</f>
        <v>Ecuador</v>
      </c>
      <c r="AG9" s="95">
        <f>IF($A9="","",INDEX([1]Clasif_Pron!$L:$L,((ROW()-4)*12+6)))</f>
        <v>3</v>
      </c>
      <c r="AH9" s="119" t="str">
        <f>IF($A9="","",INDEX([1]Clasif_Pron!$I:$I,((ROW()-4)*12+6)))</f>
        <v>Costa de Marfil</v>
      </c>
      <c r="AI9" s="119">
        <f>IF($A9="","",INDEX([1]Clasif_Pron!$M:$M,((ROW()-4)*12+6)))</f>
        <v>3</v>
      </c>
      <c r="AJ9" s="95">
        <f>IF($A9="","",INDEX([1]Clasif_Pron!$N:$N,((ROW()-4)*12+6)))</f>
        <v>13</v>
      </c>
      <c r="AK9" s="119" t="str">
        <f>IF($A9="","",INDEX([1]Clasif_Pron!$E:$E,((ROW()-4)*12+7)))</f>
        <v>Países Bajos</v>
      </c>
      <c r="AL9" s="119">
        <f>IF($A9="","",INDEX([1]Clasif_Pron!$K:$K,((ROW()-4)*12+7)))</f>
        <v>7</v>
      </c>
      <c r="AM9" s="119" t="str">
        <f>IF($A9="","",INDEX([1]Clasif_Pron!$G:$G,((ROW()-4)*12+7)))</f>
        <v>Japón</v>
      </c>
      <c r="AN9" s="119">
        <f>IF($A9="","",INDEX([1]Clasif_Pron!$L:$L,((ROW()-4)*12+7)))</f>
        <v>6</v>
      </c>
      <c r="AO9" s="95" t="str">
        <f>IF($A9="","",INDEX([1]Clasif_Pron!$I:$I,((ROW()-4)*12+7)))</f>
        <v>Suecia</v>
      </c>
      <c r="AP9" s="95">
        <f>IF($A9="","",INDEX([1]Clasif_Pron!$M:$M,((ROW()-4)*12+7)))</f>
        <v>5</v>
      </c>
      <c r="AQ9" s="95">
        <f>IF($A9="","",INDEX([1]Clasif_Pron!$N:$N,((ROW()-4)*12+7)))</f>
        <v>18</v>
      </c>
      <c r="AR9" s="119" t="str">
        <f>IF($A9="","",INDEX([1]Clasif_Pron!$E:$E,((ROW()-4)*12+8)))</f>
        <v>Bélgica</v>
      </c>
      <c r="AS9" s="119">
        <f>IF($A9="","",INDEX([1]Clasif_Pron!$K:$K,((ROW()-4)*12+8)))</f>
        <v>7</v>
      </c>
      <c r="AT9" s="119" t="str">
        <f>IF($A9="","",INDEX([1]Clasif_Pron!$G:$G,((ROW()-4)*12+8)))</f>
        <v>Nueva Zelanda</v>
      </c>
      <c r="AU9" s="119">
        <f>IF($A9="","",INDEX([1]Clasif_Pron!$L:$L,((ROW()-4)*12+8)))</f>
        <v>0</v>
      </c>
      <c r="AV9" s="119" t="str">
        <f>IF($A9="","",INDEX([1]Clasif_Pron!$I:$I,((ROW()-4)*12+8)))</f>
        <v>Egipto</v>
      </c>
      <c r="AW9" s="119">
        <f>IF($A9="","",INDEX([1]Clasif_Pron!$M:$M,((ROW()-4)*12+8)))</f>
        <v>3</v>
      </c>
      <c r="AX9" s="119">
        <f>IF($A9="","",INDEX([1]Clasif_Pron!$N:$N,((ROW()-4)*12+8)))</f>
        <v>10</v>
      </c>
      <c r="AY9" s="119" t="str">
        <f>IF($A9="","",INDEX([1]Clasif_Pron!$E:$E,((ROW()-4)*12+9)))</f>
        <v>España</v>
      </c>
      <c r="AZ9" s="119">
        <f>IF($A9="","",INDEX([1]Clasif_Pron!$K:$K,((ROW()-4)*12+9)))</f>
        <v>7</v>
      </c>
      <c r="BA9" s="119" t="str">
        <f>IF($A9="","",INDEX([1]Clasif_Pron!$G:$G,((ROW()-4)*12+9)))</f>
        <v>Uruguay</v>
      </c>
      <c r="BB9" s="119">
        <f>IF($A9="","",INDEX([1]Clasif_Pron!$L:$L,((ROW()-4)*12+9)))</f>
        <v>0</v>
      </c>
      <c r="BC9" s="119" t="str">
        <f>IF($A9="","",INDEX([1]Clasif_Pron!$I:$I,((ROW()-4)*12+9)))</f>
        <v>Arabia Saudita</v>
      </c>
      <c r="BD9" s="119">
        <f>IF($A9="","",INDEX([1]Clasif_Pron!$M:$M,((ROW()-4)*12+9)))</f>
        <v>0</v>
      </c>
      <c r="BE9" s="119">
        <f>IF($A9="","",INDEX([1]Clasif_Pron!$N:$N,((ROW()-4)*12+9)))</f>
        <v>7</v>
      </c>
      <c r="BF9" s="119" t="str">
        <f>IF($A9="","",INDEX([1]Clasif_Pron!$E:$E,((ROW()-4)*12+10)))</f>
        <v>Francia</v>
      </c>
      <c r="BG9" s="119">
        <f>IF($A9="","",INDEX([1]Clasif_Pron!$K:$K,((ROW()-4)*12+10)))</f>
        <v>7</v>
      </c>
      <c r="BH9" s="119" t="str">
        <f>IF($A9="","",INDEX([1]Clasif_Pron!$G:$G,((ROW()-4)*12+10)))</f>
        <v>Noruega</v>
      </c>
      <c r="BI9" s="119">
        <f>IF($A9="","",INDEX([1]Clasif_Pron!$L:$L,((ROW()-4)*12+10)))</f>
        <v>6</v>
      </c>
      <c r="BJ9" s="95" t="str">
        <f>IF($A9="","",INDEX([1]Clasif_Pron!$I:$I,((ROW()-4)*12+10)))</f>
        <v>Senegal</v>
      </c>
      <c r="BK9" s="95">
        <f>IF($A9="","",INDEX([1]Clasif_Pron!$M:$M,((ROW()-4)*12+10)))</f>
        <v>5</v>
      </c>
      <c r="BL9" s="95">
        <f>IF($A9="","",INDEX([1]Clasif_Pron!$N:$N,((ROW()-4)*12+10)))</f>
        <v>18</v>
      </c>
      <c r="BM9" s="119" t="str">
        <f>IF($A9="","",INDEX([1]Clasif_Pron!$E:$E,((ROW()-4)*12+11)))</f>
        <v>Argentina</v>
      </c>
      <c r="BN9" s="119">
        <f>IF($A9="","",INDEX([1]Clasif_Pron!$K:$K,((ROW()-4)*12+11)))</f>
        <v>7</v>
      </c>
      <c r="BO9" s="95" t="str">
        <f>IF($A9="","",INDEX([1]Clasif_Pron!$G:$G,((ROW()-4)*12+11)))</f>
        <v>Austria</v>
      </c>
      <c r="BP9" s="95">
        <f>IF($A9="","",INDEX([1]Clasif_Pron!$L:$L,((ROW()-4)*12+11)))</f>
        <v>6</v>
      </c>
      <c r="BQ9" s="95" t="str">
        <f>IF($A9="","",INDEX([1]Clasif_Pron!$I:$I,((ROW()-4)*12+11)))</f>
        <v>Argelia</v>
      </c>
      <c r="BR9" s="95">
        <f>IF($A9="","",INDEX([1]Clasif_Pron!$M:$M,((ROW()-4)*12+11)))</f>
        <v>0</v>
      </c>
      <c r="BS9" s="95">
        <f>IF($A9="","",INDEX([1]Clasif_Pron!$N:$N,((ROW()-4)*12+11)))</f>
        <v>13</v>
      </c>
      <c r="BT9" s="95" t="str">
        <f>IF($A9="","",INDEX([1]Clasif_Pron!$E:$E,((ROW()-4)*12+12)))</f>
        <v>Portugal</v>
      </c>
      <c r="BU9" s="95">
        <f>IF($A9="","",INDEX([1]Clasif_Pron!$K:$K,((ROW()-4)*12+12)))</f>
        <v>3</v>
      </c>
      <c r="BV9" s="95" t="str">
        <f>IF($A9="","",INDEX([1]Clasif_Pron!$G:$G,((ROW()-4)*12+12)))</f>
        <v>Colombia</v>
      </c>
      <c r="BW9" s="95">
        <f>IF($A9="","",INDEX([1]Clasif_Pron!$L:$L,((ROW()-4)*12+12)))</f>
        <v>3</v>
      </c>
      <c r="BX9" s="95" t="str">
        <f>IF($A9="","",INDEX([1]Clasif_Pron!$I:$I,((ROW()-4)*12+12)))</f>
        <v>RD Congo</v>
      </c>
      <c r="BY9" s="95">
        <f>IF($A9="","",INDEX([1]Clasif_Pron!$M:$M,((ROW()-4)*12+12)))</f>
        <v>0</v>
      </c>
      <c r="BZ9" s="95">
        <f>IF($A9="","",INDEX([1]Clasif_Pron!$N:$N,((ROW()-4)*12+12)))</f>
        <v>6</v>
      </c>
      <c r="CA9" s="95" t="str">
        <f>IF($A9="","",INDEX([1]Clasif_Pron!$E:$E,((ROW()-4)*12+13)))</f>
        <v>Inglaterra</v>
      </c>
      <c r="CB9" s="95">
        <f>IF($A9="","",INDEX([1]Clasif_Pron!$K:$K,((ROW()-4)*12+13)))</f>
        <v>7</v>
      </c>
      <c r="CC9" s="95" t="str">
        <f>IF($A9="","",INDEX([1]Clasif_Pron!$G:$G,((ROW()-4)*12+13)))</f>
        <v>Croacia</v>
      </c>
      <c r="CD9" s="95">
        <f>IF($A9="","",INDEX([1]Clasif_Pron!$L:$L,((ROW()-4)*12+13)))</f>
        <v>3</v>
      </c>
      <c r="CE9" s="95" t="str">
        <f>IF($A9="","",INDEX([1]Clasif_Pron!$I:$I,((ROW()-4)*12+13)))</f>
        <v>Panamá</v>
      </c>
      <c r="CF9" s="95">
        <f>IF($A9="","",INDEX([1]Clasif_Pron!$M:$M,((ROW()-4)*12+13)))</f>
        <v>0</v>
      </c>
      <c r="CG9" s="95">
        <f>IF($A9="","",INDEX([1]Clasif_Pron!$N:$N,((ROW()-4)*12+13)))</f>
        <v>10</v>
      </c>
      <c r="CH9" s="96">
        <f t="shared" si="0"/>
        <v>135</v>
      </c>
    </row>
    <row r="10" spans="1:86" ht="20.25" customHeight="1" x14ac:dyDescent="0.3">
      <c r="A10" s="94" t="str">
        <f>[1]Participantes!B8</f>
        <v>Carlos</v>
      </c>
      <c r="B10" s="119" t="str">
        <f>IF($A10="","",INDEX([1]Clasif_Pron!$E:$E,((ROW()-4)*12+2)))</f>
        <v>México</v>
      </c>
      <c r="C10" s="119">
        <f>IF($A10="","",INDEX([1]Clasif_Pron!$K:$K,((ROW()-4)*12+2)))</f>
        <v>7</v>
      </c>
      <c r="D10" s="95" t="str">
        <f>IF($A10="","",INDEX([1]Clasif_Pron!$G:$G,((ROW()-4)*12+2)))</f>
        <v>Corea República</v>
      </c>
      <c r="E10" s="95">
        <f>IF($A10="","",INDEX([1]Clasif_Pron!$L:$L,((ROW()-4)*12+2)))</f>
        <v>3</v>
      </c>
      <c r="F10" s="119" t="str">
        <f>IF($A10="","",INDEX([1]Clasif_Pron!$I:$I,((ROW()-4)*12+2)))</f>
        <v>Chequia</v>
      </c>
      <c r="G10" s="119">
        <f>IF($A10="","",INDEX([1]Clasif_Pron!$M:$M,((ROW()-4)*12+2)))</f>
        <v>0</v>
      </c>
      <c r="H10" s="95">
        <f>IF($A10="","",INDEX([1]Clasif_Pron!$N:$N,((ROW()-4)*12+2)))</f>
        <v>10</v>
      </c>
      <c r="I10" s="119" t="str">
        <f>IF($A10="","",INDEX([1]Clasif_Pron!$E:$E,((ROW()-4)*12+3)))</f>
        <v>Canadá</v>
      </c>
      <c r="J10" s="119">
        <f>IF($A10="","",INDEX([1]Clasif_Pron!$K:$K,((ROW()-4)*12+3)))</f>
        <v>3</v>
      </c>
      <c r="K10" s="119" t="str">
        <f>IF($A10="","",INDEX([1]Clasif_Pron!$G:$G,((ROW()-4)*12+3)))</f>
        <v>Bosnia y Herzegovina</v>
      </c>
      <c r="L10" s="119">
        <f>IF($A10="","",INDEX([1]Clasif_Pron!$L:$L,((ROW()-4)*12+3)))</f>
        <v>3</v>
      </c>
      <c r="M10" s="119" t="str">
        <f>IF($A10="","",INDEX([1]Clasif_Pron!$I:$I,((ROW()-4)*12+3)))</f>
        <v>Suiza</v>
      </c>
      <c r="N10" s="119">
        <f>IF($A10="","",INDEX([1]Clasif_Pron!$M:$M,((ROW()-4)*12+3)))</f>
        <v>3</v>
      </c>
      <c r="O10" s="119">
        <f>IF($A10="","",INDEX([1]Clasif_Pron!$N:$N,((ROW()-4)*12+3)))</f>
        <v>9</v>
      </c>
      <c r="P10" s="119" t="str">
        <f>IF($A10="","",INDEX([1]Clasif_Pron!$E:$E,((ROW()-4)*12+4)))</f>
        <v>Brasil</v>
      </c>
      <c r="Q10" s="119">
        <f>IF($A10="","",INDEX([1]Clasif_Pron!$K:$K,((ROW()-4)*12+4)))</f>
        <v>7</v>
      </c>
      <c r="R10" s="119" t="str">
        <f>IF($A10="","",INDEX([1]Clasif_Pron!$G:$G,((ROW()-4)*12+4)))</f>
        <v>Marruecos</v>
      </c>
      <c r="S10" s="119">
        <f>IF($A10="","",INDEX([1]Clasif_Pron!$L:$L,((ROW()-4)*12+4)))</f>
        <v>6</v>
      </c>
      <c r="T10" s="95" t="str">
        <f>IF($A10="","",INDEX([1]Clasif_Pron!$I:$I,((ROW()-4)*12+4)))</f>
        <v>Escocia</v>
      </c>
      <c r="U10" s="95">
        <f>IF($A10="","",INDEX([1]Clasif_Pron!$M:$M,((ROW()-4)*12+4)))</f>
        <v>0</v>
      </c>
      <c r="V10" s="95">
        <f>IF($A10="","",INDEX([1]Clasif_Pron!$N:$N,((ROW()-4)*12+4)))</f>
        <v>13</v>
      </c>
      <c r="W10" s="119" t="str">
        <f>IF($A10="","",INDEX([1]Clasif_Pron!$E:$E,((ROW()-4)*12+5)))</f>
        <v>Estados Unidos</v>
      </c>
      <c r="X10" s="119">
        <f>IF($A10="","",INDEX([1]Clasif_Pron!$K:$K,((ROW()-4)*12+5)))</f>
        <v>7</v>
      </c>
      <c r="Y10" s="119" t="str">
        <f>IF($A10="","",INDEX([1]Clasif_Pron!$G:$G,((ROW()-4)*12+5)))</f>
        <v>Türkiye</v>
      </c>
      <c r="Z10" s="119">
        <f>IF($A10="","",INDEX([1]Clasif_Pron!$L:$L,((ROW()-4)*12+5)))</f>
        <v>0</v>
      </c>
      <c r="AA10" s="119" t="str">
        <f>IF($A10="","",INDEX([1]Clasif_Pron!$I:$I,((ROW()-4)*12+5)))</f>
        <v>Australia</v>
      </c>
      <c r="AB10" s="119">
        <f>IF($A10="","",INDEX([1]Clasif_Pron!$M:$M,((ROW()-4)*12+5)))</f>
        <v>3</v>
      </c>
      <c r="AC10" s="119">
        <f>IF($A10="","",INDEX([1]Clasif_Pron!$N:$N,((ROW()-4)*12+5)))</f>
        <v>10</v>
      </c>
      <c r="AD10" s="119" t="str">
        <f>IF($A10="","",INDEX([1]Clasif_Pron!$E:$E,((ROW()-4)*12+6)))</f>
        <v>Alemania</v>
      </c>
      <c r="AE10" s="119">
        <f>IF($A10="","",INDEX([1]Clasif_Pron!$K:$K,((ROW()-4)*12+6)))</f>
        <v>7</v>
      </c>
      <c r="AF10" s="119" t="str">
        <f>IF($A10="","",INDEX([1]Clasif_Pron!$G:$G,((ROW()-4)*12+6)))</f>
        <v>Costa de Marfil</v>
      </c>
      <c r="AG10" s="119">
        <f>IF($A10="","",INDEX([1]Clasif_Pron!$L:$L,((ROW()-4)*12+6)))</f>
        <v>6</v>
      </c>
      <c r="AH10" s="95" t="str">
        <f>IF($A10="","",INDEX([1]Clasif_Pron!$I:$I,((ROW()-4)*12+6)))</f>
        <v>Ecuador</v>
      </c>
      <c r="AI10" s="95">
        <f>IF($A10="","",INDEX([1]Clasif_Pron!$M:$M,((ROW()-4)*12+6)))</f>
        <v>5</v>
      </c>
      <c r="AJ10" s="95">
        <f>IF($A10="","",INDEX([1]Clasif_Pron!$N:$N,((ROW()-4)*12+6)))</f>
        <v>18</v>
      </c>
      <c r="AK10" s="119" t="str">
        <f>IF($A10="","",INDEX([1]Clasif_Pron!$E:$E,((ROW()-4)*12+7)))</f>
        <v>Países Bajos</v>
      </c>
      <c r="AL10" s="119">
        <f>IF($A10="","",INDEX([1]Clasif_Pron!$K:$K,((ROW()-4)*12+7)))</f>
        <v>7</v>
      </c>
      <c r="AM10" s="119" t="str">
        <f>IF($A10="","",INDEX([1]Clasif_Pron!$G:$G,((ROW()-4)*12+7)))</f>
        <v>Japón</v>
      </c>
      <c r="AN10" s="119">
        <f>IF($A10="","",INDEX([1]Clasif_Pron!$L:$L,((ROW()-4)*12+7)))</f>
        <v>6</v>
      </c>
      <c r="AO10" s="95" t="str">
        <f>IF($A10="","",INDEX([1]Clasif_Pron!$I:$I,((ROW()-4)*12+7)))</f>
        <v>Suecia</v>
      </c>
      <c r="AP10" s="95">
        <f>IF($A10="","",INDEX([1]Clasif_Pron!$M:$M,((ROW()-4)*12+7)))</f>
        <v>5</v>
      </c>
      <c r="AQ10" s="95">
        <f>IF($A10="","",INDEX([1]Clasif_Pron!$N:$N,((ROW()-4)*12+7)))</f>
        <v>18</v>
      </c>
      <c r="AR10" s="119" t="str">
        <f>IF($A10="","",INDEX([1]Clasif_Pron!$E:$E,((ROW()-4)*12+8)))</f>
        <v>Bélgica</v>
      </c>
      <c r="AS10" s="119">
        <f>IF($A10="","",INDEX([1]Clasif_Pron!$K:$K,((ROW()-4)*12+8)))</f>
        <v>7</v>
      </c>
      <c r="AT10" s="95" t="str">
        <f>IF($A10="","",INDEX([1]Clasif_Pron!$G:$G,((ROW()-4)*12+8)))</f>
        <v>Irán</v>
      </c>
      <c r="AU10" s="95">
        <f>IF($A10="","",INDEX([1]Clasif_Pron!$L:$L,((ROW()-4)*12+8)))</f>
        <v>3</v>
      </c>
      <c r="AV10" s="119" t="str">
        <f>IF($A10="","",INDEX([1]Clasif_Pron!$I:$I,((ROW()-4)*12+8)))</f>
        <v>Egipto</v>
      </c>
      <c r="AW10" s="119">
        <f>IF($A10="","",INDEX([1]Clasif_Pron!$M:$M,((ROW()-4)*12+8)))</f>
        <v>3</v>
      </c>
      <c r="AX10" s="119">
        <f>IF($A10="","",INDEX([1]Clasif_Pron!$N:$N,((ROW()-4)*12+8)))</f>
        <v>13</v>
      </c>
      <c r="AY10" s="119" t="str">
        <f>IF($A10="","",INDEX([1]Clasif_Pron!$E:$E,((ROW()-4)*12+9)))</f>
        <v>España</v>
      </c>
      <c r="AZ10" s="119">
        <f>IF($A10="","",INDEX([1]Clasif_Pron!$K:$K,((ROW()-4)*12+9)))</f>
        <v>7</v>
      </c>
      <c r="BA10" s="119" t="str">
        <f>IF($A10="","",INDEX([1]Clasif_Pron!$G:$G,((ROW()-4)*12+9)))</f>
        <v>Uruguay</v>
      </c>
      <c r="BB10" s="119">
        <f>IF($A10="","",INDEX([1]Clasif_Pron!$L:$L,((ROW()-4)*12+9)))</f>
        <v>0</v>
      </c>
      <c r="BC10" s="119" t="str">
        <f>IF($A10="","",INDEX([1]Clasif_Pron!$I:$I,((ROW()-4)*12+9)))</f>
        <v>Arabia Saudita</v>
      </c>
      <c r="BD10" s="119">
        <f>IF($A10="","",INDEX([1]Clasif_Pron!$M:$M,((ROW()-4)*12+9)))</f>
        <v>0</v>
      </c>
      <c r="BE10" s="119">
        <f>IF($A10="","",INDEX([1]Clasif_Pron!$N:$N,((ROW()-4)*12+9)))</f>
        <v>7</v>
      </c>
      <c r="BF10" s="119" t="str">
        <f>IF($A10="","",INDEX([1]Clasif_Pron!$E:$E,((ROW()-4)*12+10)))</f>
        <v>Francia</v>
      </c>
      <c r="BG10" s="119">
        <f>IF($A10="","",INDEX([1]Clasif_Pron!$K:$K,((ROW()-4)*12+10)))</f>
        <v>7</v>
      </c>
      <c r="BH10" s="95" t="str">
        <f>IF($A10="","",INDEX([1]Clasif_Pron!$G:$G,((ROW()-4)*12+10)))</f>
        <v>Senegal</v>
      </c>
      <c r="BI10" s="95">
        <f>IF($A10="","",INDEX([1]Clasif_Pron!$L:$L,((ROW()-4)*12+10)))</f>
        <v>3</v>
      </c>
      <c r="BJ10" s="119" t="str">
        <f>IF($A10="","",INDEX([1]Clasif_Pron!$I:$I,((ROW()-4)*12+10)))</f>
        <v>Noruega</v>
      </c>
      <c r="BK10" s="119">
        <f>IF($A10="","",INDEX([1]Clasif_Pron!$M:$M,((ROW()-4)*12+10)))</f>
        <v>3</v>
      </c>
      <c r="BL10" s="95">
        <f>IF($A10="","",INDEX([1]Clasif_Pron!$N:$N,((ROW()-4)*12+10)))</f>
        <v>13</v>
      </c>
      <c r="BM10" s="119" t="str">
        <f>IF($A10="","",INDEX([1]Clasif_Pron!$E:$E,((ROW()-4)*12+11)))</f>
        <v>Argentina</v>
      </c>
      <c r="BN10" s="119">
        <f>IF($A10="","",INDEX([1]Clasif_Pron!$K:$K,((ROW()-4)*12+11)))</f>
        <v>7</v>
      </c>
      <c r="BO10" s="95" t="str">
        <f>IF($A10="","",INDEX([1]Clasif_Pron!$G:$G,((ROW()-4)*12+11)))</f>
        <v>Austria</v>
      </c>
      <c r="BP10" s="95">
        <f>IF($A10="","",INDEX([1]Clasif_Pron!$L:$L,((ROW()-4)*12+11)))</f>
        <v>6</v>
      </c>
      <c r="BQ10" s="95" t="str">
        <f>IF($A10="","",INDEX([1]Clasif_Pron!$I:$I,((ROW()-4)*12+11)))</f>
        <v>Argelia</v>
      </c>
      <c r="BR10" s="95">
        <f>IF($A10="","",INDEX([1]Clasif_Pron!$M:$M,((ROW()-4)*12+11)))</f>
        <v>0</v>
      </c>
      <c r="BS10" s="95">
        <f>IF($A10="","",INDEX([1]Clasif_Pron!$N:$N,((ROW()-4)*12+11)))</f>
        <v>13</v>
      </c>
      <c r="BT10" s="95" t="str">
        <f>IF($A10="","",INDEX([1]Clasif_Pron!$E:$E,((ROW()-4)*12+12)))</f>
        <v>Portugal</v>
      </c>
      <c r="BU10" s="95">
        <f>IF($A10="","",INDEX([1]Clasif_Pron!$K:$K,((ROW()-4)*12+12)))</f>
        <v>3</v>
      </c>
      <c r="BV10" s="95" t="str">
        <f>IF($A10="","",INDEX([1]Clasif_Pron!$G:$G,((ROW()-4)*12+12)))</f>
        <v>Colombia</v>
      </c>
      <c r="BW10" s="95">
        <f>IF($A10="","",INDEX([1]Clasif_Pron!$L:$L,((ROW()-4)*12+12)))</f>
        <v>3</v>
      </c>
      <c r="BX10" s="95" t="str">
        <f>IF($A10="","",INDEX([1]Clasif_Pron!$I:$I,((ROW()-4)*12+12)))</f>
        <v>RD Congo</v>
      </c>
      <c r="BY10" s="95">
        <f>IF($A10="","",INDEX([1]Clasif_Pron!$M:$M,((ROW()-4)*12+12)))</f>
        <v>0</v>
      </c>
      <c r="BZ10" s="95">
        <f>IF($A10="","",INDEX([1]Clasif_Pron!$N:$N,((ROW()-4)*12+12)))</f>
        <v>6</v>
      </c>
      <c r="CA10" s="95" t="str">
        <f>IF($A10="","",INDEX([1]Clasif_Pron!$E:$E,((ROW()-4)*12+13)))</f>
        <v>Inglaterra</v>
      </c>
      <c r="CB10" s="95">
        <f>IF($A10="","",INDEX([1]Clasif_Pron!$K:$K,((ROW()-4)*12+13)))</f>
        <v>7</v>
      </c>
      <c r="CC10" s="95" t="str">
        <f>IF($A10="","",INDEX([1]Clasif_Pron!$G:$G,((ROW()-4)*12+13)))</f>
        <v>Croacia</v>
      </c>
      <c r="CD10" s="95">
        <f>IF($A10="","",INDEX([1]Clasif_Pron!$L:$L,((ROW()-4)*12+13)))</f>
        <v>3</v>
      </c>
      <c r="CE10" s="95" t="str">
        <f>IF($A10="","",INDEX([1]Clasif_Pron!$I:$I,((ROW()-4)*12+13)))</f>
        <v>Panamá</v>
      </c>
      <c r="CF10" s="95">
        <f>IF($A10="","",INDEX([1]Clasif_Pron!$M:$M,((ROW()-4)*12+13)))</f>
        <v>0</v>
      </c>
      <c r="CG10" s="95">
        <f>IF($A10="","",INDEX([1]Clasif_Pron!$N:$N,((ROW()-4)*12+13)))</f>
        <v>10</v>
      </c>
      <c r="CH10" s="96">
        <f t="shared" si="0"/>
        <v>140</v>
      </c>
    </row>
    <row r="11" spans="1:86" ht="20.25" customHeight="1" x14ac:dyDescent="0.3">
      <c r="A11" s="94" t="str">
        <f>[1]Participantes!B9</f>
        <v>Castillo L.</v>
      </c>
      <c r="B11" s="95" t="str">
        <f>IF($A11="","",INDEX([1]Clasif_Pron!$E:$E,((ROW()-4)*12+2)))</f>
        <v>Corea República</v>
      </c>
      <c r="C11" s="95">
        <f>IF($A11="","",INDEX([1]Clasif_Pron!$K:$K,((ROW()-4)*12+2)))</f>
        <v>3</v>
      </c>
      <c r="D11" s="119" t="str">
        <f>IF($A11="","",INDEX([1]Clasif_Pron!$G:$G,((ROW()-4)*12+2)))</f>
        <v>Chequia</v>
      </c>
      <c r="E11" s="119">
        <f>IF($A11="","",INDEX([1]Clasif_Pron!$L:$L,((ROW()-4)*12+2)))</f>
        <v>0</v>
      </c>
      <c r="F11" s="119" t="str">
        <f>IF($A11="","",INDEX([1]Clasif_Pron!$I:$I,((ROW()-4)*12+2)))</f>
        <v>México</v>
      </c>
      <c r="G11" s="119">
        <f>IF($A11="","",INDEX([1]Clasif_Pron!$M:$M,((ROW()-4)*12+2)))</f>
        <v>3</v>
      </c>
      <c r="H11" s="95">
        <f>IF($A11="","",INDEX([1]Clasif_Pron!$N:$N,((ROW()-4)*12+2)))</f>
        <v>6</v>
      </c>
      <c r="I11" s="119" t="str">
        <f>IF($A11="","",INDEX([1]Clasif_Pron!$E:$E,((ROW()-4)*12+3)))</f>
        <v>Suiza</v>
      </c>
      <c r="J11" s="119">
        <f>IF($A11="","",INDEX([1]Clasif_Pron!$K:$K,((ROW()-4)*12+3)))</f>
        <v>7</v>
      </c>
      <c r="K11" s="119" t="str">
        <f>IF($A11="","",INDEX([1]Clasif_Pron!$G:$G,((ROW()-4)*12+3)))</f>
        <v>Canadá</v>
      </c>
      <c r="L11" s="119">
        <f>IF($A11="","",INDEX([1]Clasif_Pron!$L:$L,((ROW()-4)*12+3)))</f>
        <v>6</v>
      </c>
      <c r="M11" s="119" t="str">
        <f>IF($A11="","",INDEX([1]Clasif_Pron!$I:$I,((ROW()-4)*12+3)))</f>
        <v>Qatar</v>
      </c>
      <c r="N11" s="119">
        <f>IF($A11="","",INDEX([1]Clasif_Pron!$M:$M,((ROW()-4)*12+3)))</f>
        <v>0</v>
      </c>
      <c r="O11" s="119">
        <f>IF($A11="","",INDEX([1]Clasif_Pron!$N:$N,((ROW()-4)*12+3)))</f>
        <v>13</v>
      </c>
      <c r="P11" s="119" t="str">
        <f>IF($A11="","",INDEX([1]Clasif_Pron!$E:$E,((ROW()-4)*12+4)))</f>
        <v>Brasil</v>
      </c>
      <c r="Q11" s="119">
        <f>IF($A11="","",INDEX([1]Clasif_Pron!$K:$K,((ROW()-4)*12+4)))</f>
        <v>7</v>
      </c>
      <c r="R11" s="119" t="str">
        <f>IF($A11="","",INDEX([1]Clasif_Pron!$G:$G,((ROW()-4)*12+4)))</f>
        <v>Marruecos</v>
      </c>
      <c r="S11" s="119">
        <f>IF($A11="","",INDEX([1]Clasif_Pron!$L:$L,((ROW()-4)*12+4)))</f>
        <v>6</v>
      </c>
      <c r="T11" s="95" t="str">
        <f>IF($A11="","",INDEX([1]Clasif_Pron!$I:$I,((ROW()-4)*12+4)))</f>
        <v>Escocia</v>
      </c>
      <c r="U11" s="95">
        <f>IF($A11="","",INDEX([1]Clasif_Pron!$M:$M,((ROW()-4)*12+4)))</f>
        <v>0</v>
      </c>
      <c r="V11" s="95">
        <f>IF($A11="","",INDEX([1]Clasif_Pron!$N:$N,((ROW()-4)*12+4)))</f>
        <v>13</v>
      </c>
      <c r="W11" s="119" t="str">
        <f>IF($A11="","",INDEX([1]Clasif_Pron!$E:$E,((ROW()-4)*12+5)))</f>
        <v>Estados Unidos</v>
      </c>
      <c r="X11" s="119">
        <f>IF($A11="","",INDEX([1]Clasif_Pron!$K:$K,((ROW()-4)*12+5)))</f>
        <v>7</v>
      </c>
      <c r="Y11" s="119" t="str">
        <f>IF($A11="","",INDEX([1]Clasif_Pron!$G:$G,((ROW()-4)*12+5)))</f>
        <v>Türkiye</v>
      </c>
      <c r="Z11" s="119">
        <f>IF($A11="","",INDEX([1]Clasif_Pron!$L:$L,((ROW()-4)*12+5)))</f>
        <v>0</v>
      </c>
      <c r="AA11" s="95" t="str">
        <f>IF($A11="","",INDEX([1]Clasif_Pron!$I:$I,((ROW()-4)*12+5)))</f>
        <v>Paraguay</v>
      </c>
      <c r="AB11" s="95">
        <f>IF($A11="","",INDEX([1]Clasif_Pron!$M:$M,((ROW()-4)*12+5)))</f>
        <v>5</v>
      </c>
      <c r="AC11" s="95">
        <f>IF($A11="","",INDEX([1]Clasif_Pron!$N:$N,((ROW()-4)*12+5)))</f>
        <v>12</v>
      </c>
      <c r="AD11" s="119" t="str">
        <f>IF($A11="","",INDEX([1]Clasif_Pron!$E:$E,((ROW()-4)*12+6)))</f>
        <v>Alemania</v>
      </c>
      <c r="AE11" s="119">
        <f>IF($A11="","",INDEX([1]Clasif_Pron!$K:$K,((ROW()-4)*12+6)))</f>
        <v>7</v>
      </c>
      <c r="AF11" s="95" t="str">
        <f>IF($A11="","",INDEX([1]Clasif_Pron!$G:$G,((ROW()-4)*12+6)))</f>
        <v>Ecuador</v>
      </c>
      <c r="AG11" s="95">
        <f>IF($A11="","",INDEX([1]Clasif_Pron!$L:$L,((ROW()-4)*12+6)))</f>
        <v>3</v>
      </c>
      <c r="AH11" s="119" t="str">
        <f>IF($A11="","",INDEX([1]Clasif_Pron!$I:$I,((ROW()-4)*12+6)))</f>
        <v>Costa de Marfil</v>
      </c>
      <c r="AI11" s="119">
        <f>IF($A11="","",INDEX([1]Clasif_Pron!$M:$M,((ROW()-4)*12+6)))</f>
        <v>3</v>
      </c>
      <c r="AJ11" s="95">
        <f>IF($A11="","",INDEX([1]Clasif_Pron!$N:$N,((ROW()-4)*12+6)))</f>
        <v>13</v>
      </c>
      <c r="AK11" s="119" t="str">
        <f>IF($A11="","",INDEX([1]Clasif_Pron!$E:$E,((ROW()-4)*12+7)))</f>
        <v>Países Bajos</v>
      </c>
      <c r="AL11" s="119">
        <f>IF($A11="","",INDEX([1]Clasif_Pron!$K:$K,((ROW()-4)*12+7)))</f>
        <v>7</v>
      </c>
      <c r="AM11" s="119" t="str">
        <f>IF($A11="","",INDEX([1]Clasif_Pron!$G:$G,((ROW()-4)*12+7)))</f>
        <v>Japón</v>
      </c>
      <c r="AN11" s="119">
        <f>IF($A11="","",INDEX([1]Clasif_Pron!$L:$L,((ROW()-4)*12+7)))</f>
        <v>6</v>
      </c>
      <c r="AO11" s="119" t="str">
        <f>IF($A11="","",INDEX([1]Clasif_Pron!$I:$I,((ROW()-4)*12+7)))</f>
        <v>Túnez</v>
      </c>
      <c r="AP11" s="119">
        <f>IF($A11="","",INDEX([1]Clasif_Pron!$M:$M,((ROW()-4)*12+7)))</f>
        <v>0</v>
      </c>
      <c r="AQ11" s="119">
        <f>IF($A11="","",INDEX([1]Clasif_Pron!$N:$N,((ROW()-4)*12+7)))</f>
        <v>13</v>
      </c>
      <c r="AR11" s="119" t="str">
        <f>IF($A11="","",INDEX([1]Clasif_Pron!$E:$E,((ROW()-4)*12+8)))</f>
        <v>Bélgica</v>
      </c>
      <c r="AS11" s="119">
        <f>IF($A11="","",INDEX([1]Clasif_Pron!$K:$K,((ROW()-4)*12+8)))</f>
        <v>7</v>
      </c>
      <c r="AT11" s="119" t="str">
        <f>IF($A11="","",INDEX([1]Clasif_Pron!$G:$G,((ROW()-4)*12+8)))</f>
        <v>Egipto</v>
      </c>
      <c r="AU11" s="119">
        <f>IF($A11="","",INDEX([1]Clasif_Pron!$L:$L,((ROW()-4)*12+8)))</f>
        <v>6</v>
      </c>
      <c r="AV11" s="95" t="str">
        <f>IF($A11="","",INDEX([1]Clasif_Pron!$I:$I,((ROW()-4)*12+8)))</f>
        <v>Irán</v>
      </c>
      <c r="AW11" s="95">
        <f>IF($A11="","",INDEX([1]Clasif_Pron!$M:$M,((ROW()-4)*12+8)))</f>
        <v>5</v>
      </c>
      <c r="AX11" s="95">
        <f>IF($A11="","",INDEX([1]Clasif_Pron!$N:$N,((ROW()-4)*12+8)))</f>
        <v>18</v>
      </c>
      <c r="AY11" s="119" t="str">
        <f>IF($A11="","",INDEX([1]Clasif_Pron!$E:$E,((ROW()-4)*12+9)))</f>
        <v>España</v>
      </c>
      <c r="AZ11" s="119">
        <f>IF($A11="","",INDEX([1]Clasif_Pron!$K:$K,((ROW()-4)*12+9)))</f>
        <v>7</v>
      </c>
      <c r="BA11" s="119" t="str">
        <f>IF($A11="","",INDEX([1]Clasif_Pron!$G:$G,((ROW()-4)*12+9)))</f>
        <v>Uruguay</v>
      </c>
      <c r="BB11" s="119">
        <f>IF($A11="","",INDEX([1]Clasif_Pron!$L:$L,((ROW()-4)*12+9)))</f>
        <v>0</v>
      </c>
      <c r="BC11" s="119" t="str">
        <f>IF($A11="","",INDEX([1]Clasif_Pron!$I:$I,((ROW()-4)*12+9)))</f>
        <v>Arabia Saudita</v>
      </c>
      <c r="BD11" s="119">
        <f>IF($A11="","",INDEX([1]Clasif_Pron!$M:$M,((ROW()-4)*12+9)))</f>
        <v>0</v>
      </c>
      <c r="BE11" s="119">
        <f>IF($A11="","",INDEX([1]Clasif_Pron!$N:$N,((ROW()-4)*12+9)))</f>
        <v>7</v>
      </c>
      <c r="BF11" s="119" t="str">
        <f>IF($A11="","",INDEX([1]Clasif_Pron!$E:$E,((ROW()-4)*12+10)))</f>
        <v>Francia</v>
      </c>
      <c r="BG11" s="119">
        <f>IF($A11="","",INDEX([1]Clasif_Pron!$K:$K,((ROW()-4)*12+10)))</f>
        <v>7</v>
      </c>
      <c r="BH11" s="95" t="str">
        <f>IF($A11="","",INDEX([1]Clasif_Pron!$G:$G,((ROW()-4)*12+10)))</f>
        <v>Senegal</v>
      </c>
      <c r="BI11" s="95">
        <f>IF($A11="","",INDEX([1]Clasif_Pron!$L:$L,((ROW()-4)*12+10)))</f>
        <v>3</v>
      </c>
      <c r="BJ11" s="119" t="str">
        <f>IF($A11="","",INDEX([1]Clasif_Pron!$I:$I,((ROW()-4)*12+10)))</f>
        <v>Noruega</v>
      </c>
      <c r="BK11" s="119">
        <f>IF($A11="","",INDEX([1]Clasif_Pron!$M:$M,((ROW()-4)*12+10)))</f>
        <v>3</v>
      </c>
      <c r="BL11" s="95">
        <f>IF($A11="","",INDEX([1]Clasif_Pron!$N:$N,((ROW()-4)*12+10)))</f>
        <v>13</v>
      </c>
      <c r="BM11" s="119" t="str">
        <f>IF($A11="","",INDEX([1]Clasif_Pron!$E:$E,((ROW()-4)*12+11)))</f>
        <v>Argentina</v>
      </c>
      <c r="BN11" s="119">
        <f>IF($A11="","",INDEX([1]Clasif_Pron!$K:$K,((ROW()-4)*12+11)))</f>
        <v>7</v>
      </c>
      <c r="BO11" s="95" t="str">
        <f>IF($A11="","",INDEX([1]Clasif_Pron!$G:$G,((ROW()-4)*12+11)))</f>
        <v>Austria</v>
      </c>
      <c r="BP11" s="95">
        <f>IF($A11="","",INDEX([1]Clasif_Pron!$L:$L,((ROW()-4)*12+11)))</f>
        <v>6</v>
      </c>
      <c r="BQ11" s="95" t="str">
        <f>IF($A11="","",INDEX([1]Clasif_Pron!$I:$I,((ROW()-4)*12+11)))</f>
        <v>Argelia</v>
      </c>
      <c r="BR11" s="95">
        <f>IF($A11="","",INDEX([1]Clasif_Pron!$M:$M,((ROW()-4)*12+11)))</f>
        <v>0</v>
      </c>
      <c r="BS11" s="95">
        <f>IF($A11="","",INDEX([1]Clasif_Pron!$N:$N,((ROW()-4)*12+11)))</f>
        <v>13</v>
      </c>
      <c r="BT11" s="95" t="str">
        <f>IF($A11="","",INDEX([1]Clasif_Pron!$E:$E,((ROW()-4)*12+12)))</f>
        <v>Portugal</v>
      </c>
      <c r="BU11" s="95">
        <f>IF($A11="","",INDEX([1]Clasif_Pron!$K:$K,((ROW()-4)*12+12)))</f>
        <v>3</v>
      </c>
      <c r="BV11" s="95" t="str">
        <f>IF($A11="","",INDEX([1]Clasif_Pron!$G:$G,((ROW()-4)*12+12)))</f>
        <v>Colombia</v>
      </c>
      <c r="BW11" s="95">
        <f>IF($A11="","",INDEX([1]Clasif_Pron!$L:$L,((ROW()-4)*12+12)))</f>
        <v>3</v>
      </c>
      <c r="BX11" s="95" t="str">
        <f>IF($A11="","",INDEX([1]Clasif_Pron!$I:$I,((ROW()-4)*12+12)))</f>
        <v>Uzbekistán</v>
      </c>
      <c r="BY11" s="95">
        <f>IF($A11="","",INDEX([1]Clasif_Pron!$M:$M,((ROW()-4)*12+12)))</f>
        <v>0</v>
      </c>
      <c r="BZ11" s="95">
        <f>IF($A11="","",INDEX([1]Clasif_Pron!$N:$N,((ROW()-4)*12+12)))</f>
        <v>6</v>
      </c>
      <c r="CA11" s="95" t="str">
        <f>IF($A11="","",INDEX([1]Clasif_Pron!$E:$E,((ROW()-4)*12+13)))</f>
        <v>Inglaterra</v>
      </c>
      <c r="CB11" s="95">
        <f>IF($A11="","",INDEX([1]Clasif_Pron!$K:$K,((ROW()-4)*12+13)))</f>
        <v>7</v>
      </c>
      <c r="CC11" s="95" t="str">
        <f>IF($A11="","",INDEX([1]Clasif_Pron!$G:$G,((ROW()-4)*12+13)))</f>
        <v>Croacia</v>
      </c>
      <c r="CD11" s="95">
        <f>IF($A11="","",INDEX([1]Clasif_Pron!$L:$L,((ROW()-4)*12+13)))</f>
        <v>3</v>
      </c>
      <c r="CE11" s="95" t="str">
        <f>IF($A11="","",INDEX([1]Clasif_Pron!$I:$I,((ROW()-4)*12+13)))</f>
        <v>Ghana</v>
      </c>
      <c r="CF11" s="95">
        <f>IF($A11="","",INDEX([1]Clasif_Pron!$M:$M,((ROW()-4)*12+13)))</f>
        <v>3</v>
      </c>
      <c r="CG11" s="95">
        <f>IF($A11="","",INDEX([1]Clasif_Pron!$N:$N,((ROW()-4)*12+13)))</f>
        <v>13</v>
      </c>
      <c r="CH11" s="96">
        <f t="shared" si="0"/>
        <v>140</v>
      </c>
    </row>
    <row r="12" spans="1:86" ht="20.25" customHeight="1" x14ac:dyDescent="0.3">
      <c r="A12" s="94" t="str">
        <f>[1]Participantes!B10</f>
        <v>Christofer</v>
      </c>
      <c r="B12" s="119" t="str">
        <f>IF($A12="","",INDEX([1]Clasif_Pron!$E:$E,((ROW()-4)*12+2)))</f>
        <v>Chequia</v>
      </c>
      <c r="C12" s="119">
        <f>IF($A12="","",INDEX([1]Clasif_Pron!$K:$K,((ROW()-4)*12+2)))</f>
        <v>0</v>
      </c>
      <c r="D12" s="119" t="str">
        <f>IF($A12="","",INDEX([1]Clasif_Pron!$G:$G,((ROW()-4)*12+2)))</f>
        <v>Sudáfrica</v>
      </c>
      <c r="E12" s="119">
        <f>IF($A12="","",INDEX([1]Clasif_Pron!$L:$L,((ROW()-4)*12+2)))</f>
        <v>6</v>
      </c>
      <c r="F12" s="95" t="str">
        <f>IF($A12="","",INDEX([1]Clasif_Pron!$I:$I,((ROW()-4)*12+2)))</f>
        <v>Corea República</v>
      </c>
      <c r="G12" s="95">
        <f>IF($A12="","",INDEX([1]Clasif_Pron!$M:$M,((ROW()-4)*12+2)))</f>
        <v>5</v>
      </c>
      <c r="H12" s="95">
        <f>IF($A12="","",INDEX([1]Clasif_Pron!$N:$N,((ROW()-4)*12+2)))</f>
        <v>11</v>
      </c>
      <c r="I12" s="119" t="str">
        <f>IF($A12="","",INDEX([1]Clasif_Pron!$E:$E,((ROW()-4)*12+3)))</f>
        <v>Bosnia y Herzegovina</v>
      </c>
      <c r="J12" s="119">
        <f>IF($A12="","",INDEX([1]Clasif_Pron!$K:$K,((ROW()-4)*12+3)))</f>
        <v>3</v>
      </c>
      <c r="K12" s="119" t="str">
        <f>IF($A12="","",INDEX([1]Clasif_Pron!$G:$G,((ROW()-4)*12+3)))</f>
        <v>Qatar</v>
      </c>
      <c r="L12" s="119">
        <f>IF($A12="","",INDEX([1]Clasif_Pron!$L:$L,((ROW()-4)*12+3)))</f>
        <v>0</v>
      </c>
      <c r="M12" s="119" t="str">
        <f>IF($A12="","",INDEX([1]Clasif_Pron!$I:$I,((ROW()-4)*12+3)))</f>
        <v>Suiza</v>
      </c>
      <c r="N12" s="119">
        <f>IF($A12="","",INDEX([1]Clasif_Pron!$M:$M,((ROW()-4)*12+3)))</f>
        <v>3</v>
      </c>
      <c r="O12" s="119">
        <f>IF($A12="","",INDEX([1]Clasif_Pron!$N:$N,((ROW()-4)*12+3)))</f>
        <v>6</v>
      </c>
      <c r="P12" s="119" t="str">
        <f>IF($A12="","",INDEX([1]Clasif_Pron!$E:$E,((ROW()-4)*12+4)))</f>
        <v>Brasil</v>
      </c>
      <c r="Q12" s="119">
        <f>IF($A12="","",INDEX([1]Clasif_Pron!$K:$K,((ROW()-4)*12+4)))</f>
        <v>7</v>
      </c>
      <c r="R12" s="119" t="str">
        <f>IF($A12="","",INDEX([1]Clasif_Pron!$G:$G,((ROW()-4)*12+4)))</f>
        <v>Marruecos</v>
      </c>
      <c r="S12" s="119">
        <f>IF($A12="","",INDEX([1]Clasif_Pron!$L:$L,((ROW()-4)*12+4)))</f>
        <v>6</v>
      </c>
      <c r="T12" s="95" t="str">
        <f>IF($A12="","",INDEX([1]Clasif_Pron!$I:$I,((ROW()-4)*12+4)))</f>
        <v>Escocia</v>
      </c>
      <c r="U12" s="95">
        <f>IF($A12="","",INDEX([1]Clasif_Pron!$M:$M,((ROW()-4)*12+4)))</f>
        <v>0</v>
      </c>
      <c r="V12" s="95">
        <f>IF($A12="","",INDEX([1]Clasif_Pron!$N:$N,((ROW()-4)*12+4)))</f>
        <v>13</v>
      </c>
      <c r="W12" s="95" t="str">
        <f>IF($A12="","",INDEX([1]Clasif_Pron!$E:$E,((ROW()-4)*12+5)))</f>
        <v>Paraguay</v>
      </c>
      <c r="X12" s="95">
        <f>IF($A12="","",INDEX([1]Clasif_Pron!$K:$K,((ROW()-4)*12+5)))</f>
        <v>3</v>
      </c>
      <c r="Y12" s="119" t="str">
        <f>IF($A12="","",INDEX([1]Clasif_Pron!$G:$G,((ROW()-4)*12+5)))</f>
        <v>Australia</v>
      </c>
      <c r="Z12" s="119">
        <f>IF($A12="","",INDEX([1]Clasif_Pron!$L:$L,((ROW()-4)*12+5)))</f>
        <v>6</v>
      </c>
      <c r="AA12" s="119" t="str">
        <f>IF($A12="","",INDEX([1]Clasif_Pron!$I:$I,((ROW()-4)*12+5)))</f>
        <v>Türkiye</v>
      </c>
      <c r="AB12" s="119">
        <f>IF($A12="","",INDEX([1]Clasif_Pron!$M:$M,((ROW()-4)*12+5)))</f>
        <v>0</v>
      </c>
      <c r="AC12" s="95">
        <f>IF($A12="","",INDEX([1]Clasif_Pron!$N:$N,((ROW()-4)*12+5)))</f>
        <v>9</v>
      </c>
      <c r="AD12" s="95" t="str">
        <f>IF($A12="","",INDEX([1]Clasif_Pron!$E:$E,((ROW()-4)*12+6)))</f>
        <v>Ecuador</v>
      </c>
      <c r="AE12" s="95">
        <f>IF($A12="","",INDEX([1]Clasif_Pron!$K:$K,((ROW()-4)*12+6)))</f>
        <v>3</v>
      </c>
      <c r="AF12" s="119" t="str">
        <f>IF($A12="","",INDEX([1]Clasif_Pron!$G:$G,((ROW()-4)*12+6)))</f>
        <v>Curazao</v>
      </c>
      <c r="AG12" s="119">
        <f>IF($A12="","",INDEX([1]Clasif_Pron!$L:$L,((ROW()-4)*12+6)))</f>
        <v>0</v>
      </c>
      <c r="AH12" s="119" t="str">
        <f>IF($A12="","",INDEX([1]Clasif_Pron!$I:$I,((ROW()-4)*12+6)))</f>
        <v>Alemania</v>
      </c>
      <c r="AI12" s="119">
        <f>IF($A12="","",INDEX([1]Clasif_Pron!$M:$M,((ROW()-4)*12+6)))</f>
        <v>3</v>
      </c>
      <c r="AJ12" s="95">
        <f>IF($A12="","",INDEX([1]Clasif_Pron!$N:$N,((ROW()-4)*12+6)))</f>
        <v>6</v>
      </c>
      <c r="AK12" s="95" t="str">
        <f>IF($A12="","",INDEX([1]Clasif_Pron!$E:$E,((ROW()-4)*12+7)))</f>
        <v>Suecia</v>
      </c>
      <c r="AL12" s="95">
        <f>IF($A12="","",INDEX([1]Clasif_Pron!$K:$K,((ROW()-4)*12+7)))</f>
        <v>3</v>
      </c>
      <c r="AM12" s="119" t="str">
        <f>IF($A12="","",INDEX([1]Clasif_Pron!$G:$G,((ROW()-4)*12+7)))</f>
        <v>Japón</v>
      </c>
      <c r="AN12" s="119">
        <f>IF($A12="","",INDEX([1]Clasif_Pron!$L:$L,((ROW()-4)*12+7)))</f>
        <v>6</v>
      </c>
      <c r="AO12" s="119" t="str">
        <f>IF($A12="","",INDEX([1]Clasif_Pron!$I:$I,((ROW()-4)*12+7)))</f>
        <v>Países Bajos</v>
      </c>
      <c r="AP12" s="119">
        <f>IF($A12="","",INDEX([1]Clasif_Pron!$M:$M,((ROW()-4)*12+7)))</f>
        <v>3</v>
      </c>
      <c r="AQ12" s="95">
        <f>IF($A12="","",INDEX([1]Clasif_Pron!$N:$N,((ROW()-4)*12+7)))</f>
        <v>12</v>
      </c>
      <c r="AR12" s="119" t="str">
        <f>IF($A12="","",INDEX([1]Clasif_Pron!$E:$E,((ROW()-4)*12+8)))</f>
        <v>Nueva Zelanda</v>
      </c>
      <c r="AS12" s="119">
        <f>IF($A12="","",INDEX([1]Clasif_Pron!$K:$K,((ROW()-4)*12+8)))</f>
        <v>0</v>
      </c>
      <c r="AT12" s="119" t="str">
        <f>IF($A12="","",INDEX([1]Clasif_Pron!$G:$G,((ROW()-4)*12+8)))</f>
        <v>Bélgica</v>
      </c>
      <c r="AU12" s="119">
        <f>IF($A12="","",INDEX([1]Clasif_Pron!$L:$L,((ROW()-4)*12+8)))</f>
        <v>3</v>
      </c>
      <c r="AV12" s="95" t="str">
        <f>IF($A12="","",INDEX([1]Clasif_Pron!$I:$I,((ROW()-4)*12+8)))</f>
        <v>Irán</v>
      </c>
      <c r="AW12" s="95">
        <f>IF($A12="","",INDEX([1]Clasif_Pron!$M:$M,((ROW()-4)*12+8)))</f>
        <v>5</v>
      </c>
      <c r="AX12" s="119">
        <f>IF($A12="","",INDEX([1]Clasif_Pron!$N:$N,((ROW()-4)*12+8)))</f>
        <v>8</v>
      </c>
      <c r="AY12" s="119" t="str">
        <f>IF($A12="","",INDEX([1]Clasif_Pron!$E:$E,((ROW()-4)*12+9)))</f>
        <v>España</v>
      </c>
      <c r="AZ12" s="119">
        <f>IF($A12="","",INDEX([1]Clasif_Pron!$K:$K,((ROW()-4)*12+9)))</f>
        <v>7</v>
      </c>
      <c r="BA12" s="119" t="str">
        <f>IF($A12="","",INDEX([1]Clasif_Pron!$G:$G,((ROW()-4)*12+9)))</f>
        <v>Uruguay</v>
      </c>
      <c r="BB12" s="119">
        <f>IF($A12="","",INDEX([1]Clasif_Pron!$L:$L,((ROW()-4)*12+9)))</f>
        <v>0</v>
      </c>
      <c r="BC12" s="119" t="str">
        <f>IF($A12="","",INDEX([1]Clasif_Pron!$I:$I,((ROW()-4)*12+9)))</f>
        <v>Cabo Verde</v>
      </c>
      <c r="BD12" s="119">
        <f>IF($A12="","",INDEX([1]Clasif_Pron!$M:$M,((ROW()-4)*12+9)))</f>
        <v>3</v>
      </c>
      <c r="BE12" s="119">
        <f>IF($A12="","",INDEX([1]Clasif_Pron!$N:$N,((ROW()-4)*12+9)))</f>
        <v>10</v>
      </c>
      <c r="BF12" s="95" t="str">
        <f>IF($A12="","",INDEX([1]Clasif_Pron!$E:$E,((ROW()-4)*12+10)))</f>
        <v>Senegal</v>
      </c>
      <c r="BG12" s="95">
        <f>IF($A12="","",INDEX([1]Clasif_Pron!$K:$K,((ROW()-4)*12+10)))</f>
        <v>3</v>
      </c>
      <c r="BH12" s="119" t="str">
        <f>IF($A12="","",INDEX([1]Clasif_Pron!$G:$G,((ROW()-4)*12+10)))</f>
        <v>Noruega</v>
      </c>
      <c r="BI12" s="119">
        <f>IF($A12="","",INDEX([1]Clasif_Pron!$L:$L,((ROW()-4)*12+10)))</f>
        <v>6</v>
      </c>
      <c r="BJ12" s="119" t="str">
        <f>IF($A12="","",INDEX([1]Clasif_Pron!$I:$I,((ROW()-4)*12+10)))</f>
        <v>Irak</v>
      </c>
      <c r="BK12" s="119">
        <f>IF($A12="","",INDEX([1]Clasif_Pron!$M:$M,((ROW()-4)*12+10)))</f>
        <v>0</v>
      </c>
      <c r="BL12" s="95">
        <f>IF($A12="","",INDEX([1]Clasif_Pron!$N:$N,((ROW()-4)*12+10)))</f>
        <v>9</v>
      </c>
      <c r="BM12" s="119" t="str">
        <f>IF($A12="","",INDEX([1]Clasif_Pron!$E:$E,((ROW()-4)*12+11)))</f>
        <v>Argentina</v>
      </c>
      <c r="BN12" s="119">
        <f>IF($A12="","",INDEX([1]Clasif_Pron!$K:$K,((ROW()-4)*12+11)))</f>
        <v>7</v>
      </c>
      <c r="BO12" s="119" t="str">
        <f>IF($A12="","",INDEX([1]Clasif_Pron!$G:$G,((ROW()-4)*12+11)))</f>
        <v>Jordania</v>
      </c>
      <c r="BP12" s="119">
        <f>IF($A12="","",INDEX([1]Clasif_Pron!$L:$L,((ROW()-4)*12+11)))</f>
        <v>0</v>
      </c>
      <c r="BQ12" s="95" t="str">
        <f>IF($A12="","",INDEX([1]Clasif_Pron!$I:$I,((ROW()-4)*12+11)))</f>
        <v>Austria</v>
      </c>
      <c r="BR12" s="95">
        <f>IF($A12="","",INDEX([1]Clasif_Pron!$M:$M,((ROW()-4)*12+11)))</f>
        <v>3</v>
      </c>
      <c r="BS12" s="95">
        <f>IF($A12="","",INDEX([1]Clasif_Pron!$N:$N,((ROW()-4)*12+11)))</f>
        <v>10</v>
      </c>
      <c r="BT12" s="95" t="str">
        <f>IF($A12="","",INDEX([1]Clasif_Pron!$E:$E,((ROW()-4)*12+12)))</f>
        <v>Portugal</v>
      </c>
      <c r="BU12" s="95">
        <f>IF($A12="","",INDEX([1]Clasif_Pron!$K:$K,((ROW()-4)*12+12)))</f>
        <v>3</v>
      </c>
      <c r="BV12" s="95" t="str">
        <f>IF($A12="","",INDEX([1]Clasif_Pron!$G:$G,((ROW()-4)*12+12)))</f>
        <v>Colombia</v>
      </c>
      <c r="BW12" s="95">
        <f>IF($A12="","",INDEX([1]Clasif_Pron!$L:$L,((ROW()-4)*12+12)))</f>
        <v>3</v>
      </c>
      <c r="BX12" s="95" t="str">
        <f>IF($A12="","",INDEX([1]Clasif_Pron!$I:$I,((ROW()-4)*12+12)))</f>
        <v>Uzbekistán</v>
      </c>
      <c r="BY12" s="95">
        <f>IF($A12="","",INDEX([1]Clasif_Pron!$M:$M,((ROW()-4)*12+12)))</f>
        <v>0</v>
      </c>
      <c r="BZ12" s="95">
        <f>IF($A12="","",INDEX([1]Clasif_Pron!$N:$N,((ROW()-4)*12+12)))</f>
        <v>6</v>
      </c>
      <c r="CA12" s="95" t="str">
        <f>IF($A12="","",INDEX([1]Clasif_Pron!$E:$E,((ROW()-4)*12+13)))</f>
        <v>Inglaterra</v>
      </c>
      <c r="CB12" s="95">
        <f>IF($A12="","",INDEX([1]Clasif_Pron!$K:$K,((ROW()-4)*12+13)))</f>
        <v>7</v>
      </c>
      <c r="CC12" s="95" t="str">
        <f>IF($A12="","",INDEX([1]Clasif_Pron!$G:$G,((ROW()-4)*12+13)))</f>
        <v>Panamá</v>
      </c>
      <c r="CD12" s="95">
        <f>IF($A12="","",INDEX([1]Clasif_Pron!$L:$L,((ROW()-4)*12+13)))</f>
        <v>0</v>
      </c>
      <c r="CE12" s="95" t="str">
        <f>IF($A12="","",INDEX([1]Clasif_Pron!$I:$I,((ROW()-4)*12+13)))</f>
        <v>Croacia</v>
      </c>
      <c r="CF12" s="95">
        <f>IF($A12="","",INDEX([1]Clasif_Pron!$M:$M,((ROW()-4)*12+13)))</f>
        <v>5</v>
      </c>
      <c r="CG12" s="95">
        <f>IF($A12="","",INDEX([1]Clasif_Pron!$N:$N,((ROW()-4)*12+13)))</f>
        <v>12</v>
      </c>
      <c r="CH12" s="96">
        <f t="shared" si="0"/>
        <v>112</v>
      </c>
    </row>
    <row r="13" spans="1:86" ht="20.25" customHeight="1" x14ac:dyDescent="0.3">
      <c r="A13" s="94" t="str">
        <f>[1]Participantes!B11</f>
        <v>Cynthia</v>
      </c>
      <c r="B13" s="119" t="str">
        <f>IF($A13="","",INDEX([1]Clasif_Pron!$E:$E,((ROW()-4)*12+2)))</f>
        <v>Sudáfrica</v>
      </c>
      <c r="C13" s="119">
        <f>IF($A13="","",INDEX([1]Clasif_Pron!$K:$K,((ROW()-4)*12+2)))</f>
        <v>3</v>
      </c>
      <c r="D13" s="119" t="str">
        <f>IF($A13="","",INDEX([1]Clasif_Pron!$G:$G,((ROW()-4)*12+2)))</f>
        <v>México</v>
      </c>
      <c r="E13" s="119">
        <f>IF($A13="","",INDEX([1]Clasif_Pron!$L:$L,((ROW()-4)*12+2)))</f>
        <v>3</v>
      </c>
      <c r="F13" s="95" t="str">
        <f>IF($A13="","",INDEX([1]Clasif_Pron!$I:$I,((ROW()-4)*12+2)))</f>
        <v>Corea República</v>
      </c>
      <c r="G13" s="95">
        <f>IF($A13="","",INDEX([1]Clasif_Pron!$M:$M,((ROW()-4)*12+2)))</f>
        <v>5</v>
      </c>
      <c r="H13" s="95">
        <f>IF($A13="","",INDEX([1]Clasif_Pron!$N:$N,((ROW()-4)*12+2)))</f>
        <v>11</v>
      </c>
      <c r="I13" s="119" t="str">
        <f>IF($A13="","",INDEX([1]Clasif_Pron!$E:$E,((ROW()-4)*12+3)))</f>
        <v>Canadá</v>
      </c>
      <c r="J13" s="119">
        <f>IF($A13="","",INDEX([1]Clasif_Pron!$K:$K,((ROW()-4)*12+3)))</f>
        <v>3</v>
      </c>
      <c r="K13" s="119" t="str">
        <f>IF($A13="","",INDEX([1]Clasif_Pron!$G:$G,((ROW()-4)*12+3)))</f>
        <v>Suiza</v>
      </c>
      <c r="L13" s="119">
        <f>IF($A13="","",INDEX([1]Clasif_Pron!$L:$L,((ROW()-4)*12+3)))</f>
        <v>3</v>
      </c>
      <c r="M13" s="119" t="str">
        <f>IF($A13="","",INDEX([1]Clasif_Pron!$I:$I,((ROW()-4)*12+3)))</f>
        <v>Qatar</v>
      </c>
      <c r="N13" s="119">
        <f>IF($A13="","",INDEX([1]Clasif_Pron!$M:$M,((ROW()-4)*12+3)))</f>
        <v>0</v>
      </c>
      <c r="O13" s="119">
        <f>IF($A13="","",INDEX([1]Clasif_Pron!$N:$N,((ROW()-4)*12+3)))</f>
        <v>6</v>
      </c>
      <c r="P13" s="119" t="str">
        <f>IF($A13="","",INDEX([1]Clasif_Pron!$E:$E,((ROW()-4)*12+4)))</f>
        <v>Brasil</v>
      </c>
      <c r="Q13" s="119">
        <f>IF($A13="","",INDEX([1]Clasif_Pron!$K:$K,((ROW()-4)*12+4)))</f>
        <v>7</v>
      </c>
      <c r="R13" s="119" t="str">
        <f>IF($A13="","",INDEX([1]Clasif_Pron!$G:$G,((ROW()-4)*12+4)))</f>
        <v>Marruecos</v>
      </c>
      <c r="S13" s="119">
        <f>IF($A13="","",INDEX([1]Clasif_Pron!$L:$L,((ROW()-4)*12+4)))</f>
        <v>6</v>
      </c>
      <c r="T13" s="95" t="str">
        <f>IF($A13="","",INDEX([1]Clasif_Pron!$I:$I,((ROW()-4)*12+4)))</f>
        <v>Escocia</v>
      </c>
      <c r="U13" s="95">
        <f>IF($A13="","",INDEX([1]Clasif_Pron!$M:$M,((ROW()-4)*12+4)))</f>
        <v>0</v>
      </c>
      <c r="V13" s="95">
        <f>IF($A13="","",INDEX([1]Clasif_Pron!$N:$N,((ROW()-4)*12+4)))</f>
        <v>13</v>
      </c>
      <c r="W13" s="119" t="str">
        <f>IF($A13="","",INDEX([1]Clasif_Pron!$E:$E,((ROW()-4)*12+5)))</f>
        <v>Estados Unidos</v>
      </c>
      <c r="X13" s="119">
        <f>IF($A13="","",INDEX([1]Clasif_Pron!$K:$K,((ROW()-4)*12+5)))</f>
        <v>7</v>
      </c>
      <c r="Y13" s="119" t="str">
        <f>IF($A13="","",INDEX([1]Clasif_Pron!$G:$G,((ROW()-4)*12+5)))</f>
        <v>Australia</v>
      </c>
      <c r="Z13" s="119">
        <f>IF($A13="","",INDEX([1]Clasif_Pron!$L:$L,((ROW()-4)*12+5)))</f>
        <v>6</v>
      </c>
      <c r="AA13" s="119" t="str">
        <f>IF($A13="","",INDEX([1]Clasif_Pron!$I:$I,((ROW()-4)*12+5)))</f>
        <v>Türkiye</v>
      </c>
      <c r="AB13" s="119">
        <f>IF($A13="","",INDEX([1]Clasif_Pron!$M:$M,((ROW()-4)*12+5)))</f>
        <v>0</v>
      </c>
      <c r="AC13" s="119">
        <f>IF($A13="","",INDEX([1]Clasif_Pron!$N:$N,((ROW()-4)*12+5)))</f>
        <v>13</v>
      </c>
      <c r="AD13" s="119" t="str">
        <f>IF($A13="","",INDEX([1]Clasif_Pron!$E:$E,((ROW()-4)*12+6)))</f>
        <v>Alemania</v>
      </c>
      <c r="AE13" s="119">
        <f>IF($A13="","",INDEX([1]Clasif_Pron!$K:$K,((ROW()-4)*12+6)))</f>
        <v>7</v>
      </c>
      <c r="AF13" s="95" t="str">
        <f>IF($A13="","",INDEX([1]Clasif_Pron!$G:$G,((ROW()-4)*12+6)))</f>
        <v>Ecuador</v>
      </c>
      <c r="AG13" s="95">
        <f>IF($A13="","",INDEX([1]Clasif_Pron!$L:$L,((ROW()-4)*12+6)))</f>
        <v>3</v>
      </c>
      <c r="AH13" s="119" t="str">
        <f>IF($A13="","",INDEX([1]Clasif_Pron!$I:$I,((ROW()-4)*12+6)))</f>
        <v>Costa de Marfil</v>
      </c>
      <c r="AI13" s="119">
        <f>IF($A13="","",INDEX([1]Clasif_Pron!$M:$M,((ROW()-4)*12+6)))</f>
        <v>3</v>
      </c>
      <c r="AJ13" s="95">
        <f>IF($A13="","",INDEX([1]Clasif_Pron!$N:$N,((ROW()-4)*12+6)))</f>
        <v>13</v>
      </c>
      <c r="AK13" s="119" t="str">
        <f>IF($A13="","",INDEX([1]Clasif_Pron!$E:$E,((ROW()-4)*12+7)))</f>
        <v>Países Bajos</v>
      </c>
      <c r="AL13" s="119">
        <f>IF($A13="","",INDEX([1]Clasif_Pron!$K:$K,((ROW()-4)*12+7)))</f>
        <v>7</v>
      </c>
      <c r="AM13" s="95" t="str">
        <f>IF($A13="","",INDEX([1]Clasif_Pron!$G:$G,((ROW()-4)*12+7)))</f>
        <v>Suecia</v>
      </c>
      <c r="AN13" s="95">
        <f>IF($A13="","",INDEX([1]Clasif_Pron!$L:$L,((ROW()-4)*12+7)))</f>
        <v>3</v>
      </c>
      <c r="AO13" s="119" t="str">
        <f>IF($A13="","",INDEX([1]Clasif_Pron!$I:$I,((ROW()-4)*12+7)))</f>
        <v>Japón</v>
      </c>
      <c r="AP13" s="119">
        <f>IF($A13="","",INDEX([1]Clasif_Pron!$M:$M,((ROW()-4)*12+7)))</f>
        <v>3</v>
      </c>
      <c r="AQ13" s="95">
        <f>IF($A13="","",INDEX([1]Clasif_Pron!$N:$N,((ROW()-4)*12+7)))</f>
        <v>13</v>
      </c>
      <c r="AR13" s="119" t="str">
        <f>IF($A13="","",INDEX([1]Clasif_Pron!$E:$E,((ROW()-4)*12+8)))</f>
        <v>Bélgica</v>
      </c>
      <c r="AS13" s="119">
        <f>IF($A13="","",INDEX([1]Clasif_Pron!$K:$K,((ROW()-4)*12+8)))</f>
        <v>7</v>
      </c>
      <c r="AT13" s="119" t="str">
        <f>IF($A13="","",INDEX([1]Clasif_Pron!$G:$G,((ROW()-4)*12+8)))</f>
        <v>Egipto</v>
      </c>
      <c r="AU13" s="119">
        <f>IF($A13="","",INDEX([1]Clasif_Pron!$L:$L,((ROW()-4)*12+8)))</f>
        <v>6</v>
      </c>
      <c r="AV13" s="95" t="str">
        <f>IF($A13="","",INDEX([1]Clasif_Pron!$I:$I,((ROW()-4)*12+8)))</f>
        <v>Irán</v>
      </c>
      <c r="AW13" s="95">
        <f>IF($A13="","",INDEX([1]Clasif_Pron!$M:$M,((ROW()-4)*12+8)))</f>
        <v>5</v>
      </c>
      <c r="AX13" s="95">
        <f>IF($A13="","",INDEX([1]Clasif_Pron!$N:$N,((ROW()-4)*12+8)))</f>
        <v>18</v>
      </c>
      <c r="AY13" s="119" t="str">
        <f>IF($A13="","",INDEX([1]Clasif_Pron!$E:$E,((ROW()-4)*12+9)))</f>
        <v>Arabia Saudita</v>
      </c>
      <c r="AZ13" s="119">
        <f>IF($A13="","",INDEX([1]Clasif_Pron!$K:$K,((ROW()-4)*12+9)))</f>
        <v>0</v>
      </c>
      <c r="BA13" s="119" t="str">
        <f>IF($A13="","",INDEX([1]Clasif_Pron!$G:$G,((ROW()-4)*12+9)))</f>
        <v>España</v>
      </c>
      <c r="BB13" s="119">
        <f>IF($A13="","",INDEX([1]Clasif_Pron!$L:$L,((ROW()-4)*12+9)))</f>
        <v>3</v>
      </c>
      <c r="BC13" s="119" t="str">
        <f>IF($A13="","",INDEX([1]Clasif_Pron!$I:$I,((ROW()-4)*12+9)))</f>
        <v>Uruguay</v>
      </c>
      <c r="BD13" s="119">
        <f>IF($A13="","",INDEX([1]Clasif_Pron!$M:$M,((ROW()-4)*12+9)))</f>
        <v>0</v>
      </c>
      <c r="BE13" s="119">
        <f>IF($A13="","",INDEX([1]Clasif_Pron!$N:$N,((ROW()-4)*12+9)))</f>
        <v>3</v>
      </c>
      <c r="BF13" s="119" t="str">
        <f>IF($A13="","",INDEX([1]Clasif_Pron!$E:$E,((ROW()-4)*12+10)))</f>
        <v>Francia</v>
      </c>
      <c r="BG13" s="119">
        <f>IF($A13="","",INDEX([1]Clasif_Pron!$K:$K,((ROW()-4)*12+10)))</f>
        <v>7</v>
      </c>
      <c r="BH13" s="95" t="str">
        <f>IF($A13="","",INDEX([1]Clasif_Pron!$G:$G,((ROW()-4)*12+10)))</f>
        <v>Senegal</v>
      </c>
      <c r="BI13" s="95">
        <f>IF($A13="","",INDEX([1]Clasif_Pron!$L:$L,((ROW()-4)*12+10)))</f>
        <v>3</v>
      </c>
      <c r="BJ13" s="119" t="str">
        <f>IF($A13="","",INDEX([1]Clasif_Pron!$I:$I,((ROW()-4)*12+10)))</f>
        <v>Irak</v>
      </c>
      <c r="BK13" s="119">
        <f>IF($A13="","",INDEX([1]Clasif_Pron!$M:$M,((ROW()-4)*12+10)))</f>
        <v>0</v>
      </c>
      <c r="BL13" s="95">
        <f>IF($A13="","",INDEX([1]Clasif_Pron!$N:$N,((ROW()-4)*12+10)))</f>
        <v>10</v>
      </c>
      <c r="BM13" s="119" t="str">
        <f>IF($A13="","",INDEX([1]Clasif_Pron!$E:$E,((ROW()-4)*12+11)))</f>
        <v>Argentina</v>
      </c>
      <c r="BN13" s="119">
        <f>IF($A13="","",INDEX([1]Clasif_Pron!$K:$K,((ROW()-4)*12+11)))</f>
        <v>7</v>
      </c>
      <c r="BO13" s="95" t="str">
        <f>IF($A13="","",INDEX([1]Clasif_Pron!$G:$G,((ROW()-4)*12+11)))</f>
        <v>Argelia</v>
      </c>
      <c r="BP13" s="95">
        <f>IF($A13="","",INDEX([1]Clasif_Pron!$L:$L,((ROW()-4)*12+11)))</f>
        <v>0</v>
      </c>
      <c r="BQ13" s="95" t="str">
        <f>IF($A13="","",INDEX([1]Clasif_Pron!$I:$I,((ROW()-4)*12+11)))</f>
        <v>Austria</v>
      </c>
      <c r="BR13" s="95">
        <f>IF($A13="","",INDEX([1]Clasif_Pron!$M:$M,((ROW()-4)*12+11)))</f>
        <v>3</v>
      </c>
      <c r="BS13" s="95">
        <f>IF($A13="","",INDEX([1]Clasif_Pron!$N:$N,((ROW()-4)*12+11)))</f>
        <v>10</v>
      </c>
      <c r="BT13" s="95" t="str">
        <f>IF($A13="","",INDEX([1]Clasif_Pron!$E:$E,((ROW()-4)*12+12)))</f>
        <v>Colombia</v>
      </c>
      <c r="BU13" s="95">
        <f>IF($A13="","",INDEX([1]Clasif_Pron!$K:$K,((ROW()-4)*12+12)))</f>
        <v>7</v>
      </c>
      <c r="BV13" s="95" t="str">
        <f>IF($A13="","",INDEX([1]Clasif_Pron!$G:$G,((ROW()-4)*12+12)))</f>
        <v>Portugal</v>
      </c>
      <c r="BW13" s="95">
        <f>IF($A13="","",INDEX([1]Clasif_Pron!$L:$L,((ROW()-4)*12+12)))</f>
        <v>6</v>
      </c>
      <c r="BX13" s="95" t="str">
        <f>IF($A13="","",INDEX([1]Clasif_Pron!$I:$I,((ROW()-4)*12+12)))</f>
        <v>RD Congo</v>
      </c>
      <c r="BY13" s="95">
        <f>IF($A13="","",INDEX([1]Clasif_Pron!$M:$M,((ROW()-4)*12+12)))</f>
        <v>0</v>
      </c>
      <c r="BZ13" s="95">
        <f>IF($A13="","",INDEX([1]Clasif_Pron!$N:$N,((ROW()-4)*12+12)))</f>
        <v>13</v>
      </c>
      <c r="CA13" s="95" t="str">
        <f>IF($A13="","",INDEX([1]Clasif_Pron!$E:$E,((ROW()-4)*12+13)))</f>
        <v>Inglaterra</v>
      </c>
      <c r="CB13" s="95">
        <f>IF($A13="","",INDEX([1]Clasif_Pron!$K:$K,((ROW()-4)*12+13)))</f>
        <v>7</v>
      </c>
      <c r="CC13" s="95" t="str">
        <f>IF($A13="","",INDEX([1]Clasif_Pron!$G:$G,((ROW()-4)*12+13)))</f>
        <v>Panamá</v>
      </c>
      <c r="CD13" s="95">
        <f>IF($A13="","",INDEX([1]Clasif_Pron!$L:$L,((ROW()-4)*12+13)))</f>
        <v>0</v>
      </c>
      <c r="CE13" s="95" t="str">
        <f>IF($A13="","",INDEX([1]Clasif_Pron!$I:$I,((ROW()-4)*12+13)))</f>
        <v>Croacia</v>
      </c>
      <c r="CF13" s="95">
        <f>IF($A13="","",INDEX([1]Clasif_Pron!$M:$M,((ROW()-4)*12+13)))</f>
        <v>5</v>
      </c>
      <c r="CG13" s="95">
        <f>IF($A13="","",INDEX([1]Clasif_Pron!$N:$N,((ROW()-4)*12+13)))</f>
        <v>12</v>
      </c>
      <c r="CH13" s="96">
        <f t="shared" si="0"/>
        <v>135</v>
      </c>
    </row>
    <row r="14" spans="1:86" ht="20.25" customHeight="1" x14ac:dyDescent="0.3">
      <c r="A14" s="94" t="str">
        <f>[1]Participantes!B12</f>
        <v>Edward</v>
      </c>
      <c r="B14" s="119" t="str">
        <f>IF($A14="","",INDEX([1]Clasif_Pron!$E:$E,((ROW()-4)*12+2)))</f>
        <v>México</v>
      </c>
      <c r="C14" s="119">
        <f>IF($A14="","",INDEX([1]Clasif_Pron!$K:$K,((ROW()-4)*12+2)))</f>
        <v>7</v>
      </c>
      <c r="D14" s="95" t="str">
        <f>IF($A14="","",INDEX([1]Clasif_Pron!$G:$G,((ROW()-4)*12+2)))</f>
        <v>Corea República</v>
      </c>
      <c r="E14" s="95">
        <f>IF($A14="","",INDEX([1]Clasif_Pron!$L:$L,((ROW()-4)*12+2)))</f>
        <v>3</v>
      </c>
      <c r="F14" s="119" t="str">
        <f>IF($A14="","",INDEX([1]Clasif_Pron!$I:$I,((ROW()-4)*12+2)))</f>
        <v>Chequia</v>
      </c>
      <c r="G14" s="119">
        <f>IF($A14="","",INDEX([1]Clasif_Pron!$M:$M,((ROW()-4)*12+2)))</f>
        <v>0</v>
      </c>
      <c r="H14" s="95">
        <f>IF($A14="","",INDEX([1]Clasif_Pron!$N:$N,((ROW()-4)*12+2)))</f>
        <v>10</v>
      </c>
      <c r="I14" s="119" t="str">
        <f>IF($A14="","",INDEX([1]Clasif_Pron!$E:$E,((ROW()-4)*12+3)))</f>
        <v>Canadá</v>
      </c>
      <c r="J14" s="119">
        <f>IF($A14="","",INDEX([1]Clasif_Pron!$K:$K,((ROW()-4)*12+3)))</f>
        <v>3</v>
      </c>
      <c r="K14" s="119" t="str">
        <f>IF($A14="","",INDEX([1]Clasif_Pron!$G:$G,((ROW()-4)*12+3)))</f>
        <v>Suiza</v>
      </c>
      <c r="L14" s="119">
        <f>IF($A14="","",INDEX([1]Clasif_Pron!$L:$L,((ROW()-4)*12+3)))</f>
        <v>3</v>
      </c>
      <c r="M14" s="119" t="str">
        <f>IF($A14="","",INDEX([1]Clasif_Pron!$I:$I,((ROW()-4)*12+3)))</f>
        <v>Bosnia y Herzegovina</v>
      </c>
      <c r="N14" s="119">
        <f>IF($A14="","",INDEX([1]Clasif_Pron!$M:$M,((ROW()-4)*12+3)))</f>
        <v>5</v>
      </c>
      <c r="O14" s="119">
        <f>IF($A14="","",INDEX([1]Clasif_Pron!$N:$N,((ROW()-4)*12+3)))</f>
        <v>11</v>
      </c>
      <c r="P14" s="119" t="str">
        <f>IF($A14="","",INDEX([1]Clasif_Pron!$E:$E,((ROW()-4)*12+4)))</f>
        <v>Brasil</v>
      </c>
      <c r="Q14" s="119">
        <f>IF($A14="","",INDEX([1]Clasif_Pron!$K:$K,((ROW()-4)*12+4)))</f>
        <v>7</v>
      </c>
      <c r="R14" s="119" t="str">
        <f>IF($A14="","",INDEX([1]Clasif_Pron!$G:$G,((ROW()-4)*12+4)))</f>
        <v>Marruecos</v>
      </c>
      <c r="S14" s="119">
        <f>IF($A14="","",INDEX([1]Clasif_Pron!$L:$L,((ROW()-4)*12+4)))</f>
        <v>6</v>
      </c>
      <c r="T14" s="95" t="str">
        <f>IF($A14="","",INDEX([1]Clasif_Pron!$I:$I,((ROW()-4)*12+4)))</f>
        <v>Escocia</v>
      </c>
      <c r="U14" s="95">
        <f>IF($A14="","",INDEX([1]Clasif_Pron!$M:$M,((ROW()-4)*12+4)))</f>
        <v>0</v>
      </c>
      <c r="V14" s="95">
        <f>IF($A14="","",INDEX([1]Clasif_Pron!$N:$N,((ROW()-4)*12+4)))</f>
        <v>13</v>
      </c>
      <c r="W14" s="119" t="str">
        <f>IF($A14="","",INDEX([1]Clasif_Pron!$E:$E,((ROW()-4)*12+5)))</f>
        <v>Türkiye</v>
      </c>
      <c r="X14" s="119">
        <f>IF($A14="","",INDEX([1]Clasif_Pron!$K:$K,((ROW()-4)*12+5)))</f>
        <v>0</v>
      </c>
      <c r="Y14" s="119" t="str">
        <f>IF($A14="","",INDEX([1]Clasif_Pron!$G:$G,((ROW()-4)*12+5)))</f>
        <v>Estados Unidos</v>
      </c>
      <c r="Z14" s="119">
        <f>IF($A14="","",INDEX([1]Clasif_Pron!$L:$L,((ROW()-4)*12+5)))</f>
        <v>3</v>
      </c>
      <c r="AA14" s="95" t="str">
        <f>IF($A14="","",INDEX([1]Clasif_Pron!$I:$I,((ROW()-4)*12+5)))</f>
        <v>Paraguay</v>
      </c>
      <c r="AB14" s="95">
        <f>IF($A14="","",INDEX([1]Clasif_Pron!$M:$M,((ROW()-4)*12+5)))</f>
        <v>5</v>
      </c>
      <c r="AC14" s="95">
        <f>IF($A14="","",INDEX([1]Clasif_Pron!$N:$N,((ROW()-4)*12+5)))</f>
        <v>8</v>
      </c>
      <c r="AD14" s="119" t="str">
        <f>IF($A14="","",INDEX([1]Clasif_Pron!$E:$E,((ROW()-4)*12+6)))</f>
        <v>Alemania</v>
      </c>
      <c r="AE14" s="119">
        <f>IF($A14="","",INDEX([1]Clasif_Pron!$K:$K,((ROW()-4)*12+6)))</f>
        <v>7</v>
      </c>
      <c r="AF14" s="95" t="str">
        <f>IF($A14="","",INDEX([1]Clasif_Pron!$G:$G,((ROW()-4)*12+6)))</f>
        <v>Ecuador</v>
      </c>
      <c r="AG14" s="95">
        <f>IF($A14="","",INDEX([1]Clasif_Pron!$L:$L,((ROW()-4)*12+6)))</f>
        <v>3</v>
      </c>
      <c r="AH14" s="119" t="str">
        <f>IF($A14="","",INDEX([1]Clasif_Pron!$I:$I,((ROW()-4)*12+6)))</f>
        <v>Costa de Marfil</v>
      </c>
      <c r="AI14" s="119">
        <f>IF($A14="","",INDEX([1]Clasif_Pron!$M:$M,((ROW()-4)*12+6)))</f>
        <v>3</v>
      </c>
      <c r="AJ14" s="95">
        <f>IF($A14="","",INDEX([1]Clasif_Pron!$N:$N,((ROW()-4)*12+6)))</f>
        <v>13</v>
      </c>
      <c r="AK14" s="119" t="str">
        <f>IF($A14="","",INDEX([1]Clasif_Pron!$E:$E,((ROW()-4)*12+7)))</f>
        <v>Países Bajos</v>
      </c>
      <c r="AL14" s="119">
        <f>IF($A14="","",INDEX([1]Clasif_Pron!$K:$K,((ROW()-4)*12+7)))</f>
        <v>7</v>
      </c>
      <c r="AM14" s="95" t="str">
        <f>IF($A14="","",INDEX([1]Clasif_Pron!$G:$G,((ROW()-4)*12+7)))</f>
        <v>Suecia</v>
      </c>
      <c r="AN14" s="95">
        <f>IF($A14="","",INDEX([1]Clasif_Pron!$L:$L,((ROW()-4)*12+7)))</f>
        <v>3</v>
      </c>
      <c r="AO14" s="119" t="str">
        <f>IF($A14="","",INDEX([1]Clasif_Pron!$I:$I,((ROW()-4)*12+7)))</f>
        <v>Japón</v>
      </c>
      <c r="AP14" s="119">
        <f>IF($A14="","",INDEX([1]Clasif_Pron!$M:$M,((ROW()-4)*12+7)))</f>
        <v>3</v>
      </c>
      <c r="AQ14" s="95">
        <f>IF($A14="","",INDEX([1]Clasif_Pron!$N:$N,((ROW()-4)*12+7)))</f>
        <v>13</v>
      </c>
      <c r="AR14" s="119" t="str">
        <f>IF($A14="","",INDEX([1]Clasif_Pron!$E:$E,((ROW()-4)*12+8)))</f>
        <v>Bélgica</v>
      </c>
      <c r="AS14" s="119">
        <f>IF($A14="","",INDEX([1]Clasif_Pron!$K:$K,((ROW()-4)*12+8)))</f>
        <v>7</v>
      </c>
      <c r="AT14" s="95" t="str">
        <f>IF($A14="","",INDEX([1]Clasif_Pron!$G:$G,((ROW()-4)*12+8)))</f>
        <v>Irán</v>
      </c>
      <c r="AU14" s="95">
        <f>IF($A14="","",INDEX([1]Clasif_Pron!$L:$L,((ROW()-4)*12+8)))</f>
        <v>3</v>
      </c>
      <c r="AV14" s="119" t="str">
        <f>IF($A14="","",INDEX([1]Clasif_Pron!$I:$I,((ROW()-4)*12+8)))</f>
        <v>Egipto</v>
      </c>
      <c r="AW14" s="119">
        <f>IF($A14="","",INDEX([1]Clasif_Pron!$M:$M,((ROW()-4)*12+8)))</f>
        <v>3</v>
      </c>
      <c r="AX14" s="95">
        <f>IF($A14="","",INDEX([1]Clasif_Pron!$N:$N,((ROW()-4)*12+8)))</f>
        <v>13</v>
      </c>
      <c r="AY14" s="119" t="str">
        <f>IF($A14="","",INDEX([1]Clasif_Pron!$E:$E,((ROW()-4)*12+9)))</f>
        <v>España</v>
      </c>
      <c r="AZ14" s="119">
        <f>IF($A14="","",INDEX([1]Clasif_Pron!$K:$K,((ROW()-4)*12+9)))</f>
        <v>7</v>
      </c>
      <c r="BA14" s="119" t="str">
        <f>IF($A14="","",INDEX([1]Clasif_Pron!$G:$G,((ROW()-4)*12+9)))</f>
        <v>Uruguay</v>
      </c>
      <c r="BB14" s="119">
        <f>IF($A14="","",INDEX([1]Clasif_Pron!$L:$L,((ROW()-4)*12+9)))</f>
        <v>0</v>
      </c>
      <c r="BC14" s="119" t="str">
        <f>IF($A14="","",INDEX([1]Clasif_Pron!$I:$I,((ROW()-4)*12+9)))</f>
        <v>Arabia Saudita</v>
      </c>
      <c r="BD14" s="119">
        <f>IF($A14="","",INDEX([1]Clasif_Pron!$M:$M,((ROW()-4)*12+9)))</f>
        <v>0</v>
      </c>
      <c r="BE14" s="119">
        <f>IF($A14="","",INDEX([1]Clasif_Pron!$N:$N,((ROW()-4)*12+9)))</f>
        <v>7</v>
      </c>
      <c r="BF14" s="119" t="str">
        <f>IF($A14="","",INDEX([1]Clasif_Pron!$E:$E,((ROW()-4)*12+10)))</f>
        <v>Noruega</v>
      </c>
      <c r="BG14" s="119">
        <f>IF($A14="","",INDEX([1]Clasif_Pron!$K:$K,((ROW()-4)*12+10)))</f>
        <v>3</v>
      </c>
      <c r="BH14" s="119" t="str">
        <f>IF($A14="","",INDEX([1]Clasif_Pron!$G:$G,((ROW()-4)*12+10)))</f>
        <v>Francia</v>
      </c>
      <c r="BI14" s="119">
        <f>IF($A14="","",INDEX([1]Clasif_Pron!$L:$L,((ROW()-4)*12+10)))</f>
        <v>3</v>
      </c>
      <c r="BJ14" s="95" t="str">
        <f>IF($A14="","",INDEX([1]Clasif_Pron!$I:$I,((ROW()-4)*12+10)))</f>
        <v>Senegal</v>
      </c>
      <c r="BK14" s="95">
        <f>IF($A14="","",INDEX([1]Clasif_Pron!$M:$M,((ROW()-4)*12+10)))</f>
        <v>5</v>
      </c>
      <c r="BL14" s="95">
        <f>IF($A14="","",INDEX([1]Clasif_Pron!$N:$N,((ROW()-4)*12+10)))</f>
        <v>11</v>
      </c>
      <c r="BM14" s="119" t="str">
        <f>IF($A14="","",INDEX([1]Clasif_Pron!$E:$E,((ROW()-4)*12+11)))</f>
        <v>Argentina</v>
      </c>
      <c r="BN14" s="119">
        <f>IF($A14="","",INDEX([1]Clasif_Pron!$K:$K,((ROW()-4)*12+11)))</f>
        <v>7</v>
      </c>
      <c r="BO14" s="95" t="str">
        <f>IF($A14="","",INDEX([1]Clasif_Pron!$G:$G,((ROW()-4)*12+11)))</f>
        <v>Austria</v>
      </c>
      <c r="BP14" s="95">
        <f>IF($A14="","",INDEX([1]Clasif_Pron!$L:$L,((ROW()-4)*12+11)))</f>
        <v>6</v>
      </c>
      <c r="BQ14" s="95" t="str">
        <f>IF($A14="","",INDEX([1]Clasif_Pron!$I:$I,((ROW()-4)*12+11)))</f>
        <v>Argelia</v>
      </c>
      <c r="BR14" s="95">
        <f>IF($A14="","",INDEX([1]Clasif_Pron!$M:$M,((ROW()-4)*12+11)))</f>
        <v>0</v>
      </c>
      <c r="BS14" s="95">
        <f>IF($A14="","",INDEX([1]Clasif_Pron!$N:$N,((ROW()-4)*12+11)))</f>
        <v>13</v>
      </c>
      <c r="BT14" s="95" t="str">
        <f>IF($A14="","",INDEX([1]Clasif_Pron!$E:$E,((ROW()-4)*12+12)))</f>
        <v>Portugal</v>
      </c>
      <c r="BU14" s="95">
        <f>IF($A14="","",INDEX([1]Clasif_Pron!$K:$K,((ROW()-4)*12+12)))</f>
        <v>3</v>
      </c>
      <c r="BV14" s="95" t="str">
        <f>IF($A14="","",INDEX([1]Clasif_Pron!$G:$G,((ROW()-4)*12+12)))</f>
        <v>Colombia</v>
      </c>
      <c r="BW14" s="95">
        <f>IF($A14="","",INDEX([1]Clasif_Pron!$L:$L,((ROW()-4)*12+12)))</f>
        <v>3</v>
      </c>
      <c r="BX14" s="95" t="str">
        <f>IF($A14="","",INDEX([1]Clasif_Pron!$I:$I,((ROW()-4)*12+12)))</f>
        <v>RD Congo</v>
      </c>
      <c r="BY14" s="95">
        <f>IF($A14="","",INDEX([1]Clasif_Pron!$M:$M,((ROW()-4)*12+12)))</f>
        <v>0</v>
      </c>
      <c r="BZ14" s="95">
        <f>IF($A14="","",INDEX([1]Clasif_Pron!$N:$N,((ROW()-4)*12+12)))</f>
        <v>6</v>
      </c>
      <c r="CA14" s="95" t="str">
        <f>IF($A14="","",INDEX([1]Clasif_Pron!$E:$E,((ROW()-4)*12+13)))</f>
        <v>Inglaterra</v>
      </c>
      <c r="CB14" s="95">
        <f>IF($A14="","",INDEX([1]Clasif_Pron!$K:$K,((ROW()-4)*12+13)))</f>
        <v>7</v>
      </c>
      <c r="CC14" s="95" t="str">
        <f>IF($A14="","",INDEX([1]Clasif_Pron!$G:$G,((ROW()-4)*12+13)))</f>
        <v>Croacia</v>
      </c>
      <c r="CD14" s="95">
        <f>IF($A14="","",INDEX([1]Clasif_Pron!$L:$L,((ROW()-4)*12+13)))</f>
        <v>3</v>
      </c>
      <c r="CE14" s="95" t="str">
        <f>IF($A14="","",INDEX([1]Clasif_Pron!$I:$I,((ROW()-4)*12+13)))</f>
        <v>Panamá</v>
      </c>
      <c r="CF14" s="95">
        <f>IF($A14="","",INDEX([1]Clasif_Pron!$M:$M,((ROW()-4)*12+13)))</f>
        <v>0</v>
      </c>
      <c r="CG14" s="95">
        <f>IF($A14="","",INDEX([1]Clasif_Pron!$N:$N,((ROW()-4)*12+13)))</f>
        <v>10</v>
      </c>
      <c r="CH14" s="96">
        <f t="shared" si="0"/>
        <v>128</v>
      </c>
    </row>
    <row r="15" spans="1:86" ht="20.25" customHeight="1" x14ac:dyDescent="0.3">
      <c r="A15" s="94" t="str">
        <f>[1]Participantes!B13</f>
        <v>Espinosa L.</v>
      </c>
      <c r="B15" s="119" t="str">
        <f>IF($A15="","",INDEX([1]Clasif_Pron!$E:$E,((ROW()-4)*12+2)))</f>
        <v>México</v>
      </c>
      <c r="C15" s="119">
        <f>IF($A15="","",INDEX([1]Clasif_Pron!$K:$K,((ROW()-4)*12+2)))</f>
        <v>7</v>
      </c>
      <c r="D15" s="119" t="str">
        <f>IF($A15="","",INDEX([1]Clasif_Pron!$G:$G,((ROW()-4)*12+2)))</f>
        <v>Chequia</v>
      </c>
      <c r="E15" s="119">
        <f>IF($A15="","",INDEX([1]Clasif_Pron!$L:$L,((ROW()-4)*12+2)))</f>
        <v>0</v>
      </c>
      <c r="F15" s="95" t="str">
        <f>IF($A15="","",INDEX([1]Clasif_Pron!$I:$I,((ROW()-4)*12+2)))</f>
        <v>Corea República</v>
      </c>
      <c r="G15" s="95">
        <f>IF($A15="","",INDEX([1]Clasif_Pron!$M:$M,((ROW()-4)*12+2)))</f>
        <v>5</v>
      </c>
      <c r="H15" s="95">
        <f>IF($A15="","",INDEX([1]Clasif_Pron!$N:$N,((ROW()-4)*12+2)))</f>
        <v>12</v>
      </c>
      <c r="I15" s="119" t="str">
        <f>IF($A15="","",INDEX([1]Clasif_Pron!$E:$E,((ROW()-4)*12+3)))</f>
        <v>Canadá</v>
      </c>
      <c r="J15" s="119">
        <f>IF($A15="","",INDEX([1]Clasif_Pron!$K:$K,((ROW()-4)*12+3)))</f>
        <v>3</v>
      </c>
      <c r="K15" s="119" t="str">
        <f>IF($A15="","",INDEX([1]Clasif_Pron!$G:$G,((ROW()-4)*12+3)))</f>
        <v>Bosnia y Herzegovina</v>
      </c>
      <c r="L15" s="119">
        <f>IF($A15="","",INDEX([1]Clasif_Pron!$L:$L,((ROW()-4)*12+3)))</f>
        <v>3</v>
      </c>
      <c r="M15" s="119" t="str">
        <f>IF($A15="","",INDEX([1]Clasif_Pron!$I:$I,((ROW()-4)*12+3)))</f>
        <v>Suiza</v>
      </c>
      <c r="N15" s="119">
        <f>IF($A15="","",INDEX([1]Clasif_Pron!$M:$M,((ROW()-4)*12+3)))</f>
        <v>3</v>
      </c>
      <c r="O15" s="119">
        <f>IF($A15="","",INDEX([1]Clasif_Pron!$N:$N,((ROW()-4)*12+3)))</f>
        <v>9</v>
      </c>
      <c r="P15" s="119" t="str">
        <f>IF($A15="","",INDEX([1]Clasif_Pron!$E:$E,((ROW()-4)*12+4)))</f>
        <v>Brasil</v>
      </c>
      <c r="Q15" s="119">
        <f>IF($A15="","",INDEX([1]Clasif_Pron!$K:$K,((ROW()-4)*12+4)))</f>
        <v>7</v>
      </c>
      <c r="R15" s="119" t="str">
        <f>IF($A15="","",INDEX([1]Clasif_Pron!$G:$G,((ROW()-4)*12+4)))</f>
        <v>Marruecos</v>
      </c>
      <c r="S15" s="119">
        <f>IF($A15="","",INDEX([1]Clasif_Pron!$L:$L,((ROW()-4)*12+4)))</f>
        <v>6</v>
      </c>
      <c r="T15" s="119" t="str">
        <f>IF($A15="","",INDEX([1]Clasif_Pron!$I:$I,((ROW()-4)*12+4)))</f>
        <v>Haití</v>
      </c>
      <c r="U15" s="119">
        <f>IF($A15="","",INDEX([1]Clasif_Pron!$M:$M,((ROW()-4)*12+4)))</f>
        <v>0</v>
      </c>
      <c r="V15" s="119">
        <f>IF($A15="","",INDEX([1]Clasif_Pron!$N:$N,((ROW()-4)*12+4)))</f>
        <v>13</v>
      </c>
      <c r="W15" s="119" t="str">
        <f>IF($A15="","",INDEX([1]Clasif_Pron!$E:$E,((ROW()-4)*12+5)))</f>
        <v>Estados Unidos</v>
      </c>
      <c r="X15" s="119">
        <f>IF($A15="","",INDEX([1]Clasif_Pron!$K:$K,((ROW()-4)*12+5)))</f>
        <v>7</v>
      </c>
      <c r="Y15" s="119" t="str">
        <f>IF($A15="","",INDEX([1]Clasif_Pron!$G:$G,((ROW()-4)*12+5)))</f>
        <v>Australia</v>
      </c>
      <c r="Z15" s="119">
        <f>IF($A15="","",INDEX([1]Clasif_Pron!$L:$L,((ROW()-4)*12+5)))</f>
        <v>6</v>
      </c>
      <c r="AA15" s="95" t="str">
        <f>IF($A15="","",INDEX([1]Clasif_Pron!$I:$I,((ROW()-4)*12+5)))</f>
        <v>Paraguay</v>
      </c>
      <c r="AB15" s="95">
        <f>IF($A15="","",INDEX([1]Clasif_Pron!$M:$M,((ROW()-4)*12+5)))</f>
        <v>5</v>
      </c>
      <c r="AC15" s="95">
        <f>IF($A15="","",INDEX([1]Clasif_Pron!$N:$N,((ROW()-4)*12+5)))</f>
        <v>18</v>
      </c>
      <c r="AD15" s="119" t="str">
        <f>IF($A15="","",INDEX([1]Clasif_Pron!$E:$E,((ROW()-4)*12+6)))</f>
        <v>Alemania</v>
      </c>
      <c r="AE15" s="119">
        <f>IF($A15="","",INDEX([1]Clasif_Pron!$K:$K,((ROW()-4)*12+6)))</f>
        <v>7</v>
      </c>
      <c r="AF15" s="95" t="str">
        <f>IF($A15="","",INDEX([1]Clasif_Pron!$G:$G,((ROW()-4)*12+6)))</f>
        <v>Ecuador</v>
      </c>
      <c r="AG15" s="95">
        <f>IF($A15="","",INDEX([1]Clasif_Pron!$L:$L,((ROW()-4)*12+6)))</f>
        <v>3</v>
      </c>
      <c r="AH15" s="119" t="str">
        <f>IF($A15="","",INDEX([1]Clasif_Pron!$I:$I,((ROW()-4)*12+6)))</f>
        <v>Costa de Marfil</v>
      </c>
      <c r="AI15" s="119">
        <f>IF($A15="","",INDEX([1]Clasif_Pron!$M:$M,((ROW()-4)*12+6)))</f>
        <v>3</v>
      </c>
      <c r="AJ15" s="95">
        <f>IF($A15="","",INDEX([1]Clasif_Pron!$N:$N,((ROW()-4)*12+6)))</f>
        <v>13</v>
      </c>
      <c r="AK15" s="119" t="str">
        <f>IF($A15="","",INDEX([1]Clasif_Pron!$E:$E,((ROW()-4)*12+7)))</f>
        <v>Japón</v>
      </c>
      <c r="AL15" s="119">
        <f>IF($A15="","",INDEX([1]Clasif_Pron!$K:$K,((ROW()-4)*12+7)))</f>
        <v>3</v>
      </c>
      <c r="AM15" s="119" t="str">
        <f>IF($A15="","",INDEX([1]Clasif_Pron!$G:$G,((ROW()-4)*12+7)))</f>
        <v>Países Bajos</v>
      </c>
      <c r="AN15" s="119">
        <f>IF($A15="","",INDEX([1]Clasif_Pron!$L:$L,((ROW()-4)*12+7)))</f>
        <v>3</v>
      </c>
      <c r="AO15" s="95" t="str">
        <f>IF($A15="","",INDEX([1]Clasif_Pron!$I:$I,((ROW()-4)*12+7)))</f>
        <v>Suecia</v>
      </c>
      <c r="AP15" s="95">
        <f>IF($A15="","",INDEX([1]Clasif_Pron!$M:$M,((ROW()-4)*12+7)))</f>
        <v>5</v>
      </c>
      <c r="AQ15" s="95">
        <f>IF($A15="","",INDEX([1]Clasif_Pron!$N:$N,((ROW()-4)*12+7)))</f>
        <v>11</v>
      </c>
      <c r="AR15" s="119" t="str">
        <f>IF($A15="","",INDEX([1]Clasif_Pron!$E:$E,((ROW()-4)*12+8)))</f>
        <v>Bélgica</v>
      </c>
      <c r="AS15" s="119">
        <f>IF($A15="","",INDEX([1]Clasif_Pron!$K:$K,((ROW()-4)*12+8)))</f>
        <v>7</v>
      </c>
      <c r="AT15" s="95" t="str">
        <f>IF($A15="","",INDEX([1]Clasif_Pron!$G:$G,((ROW()-4)*12+8)))</f>
        <v>Irán</v>
      </c>
      <c r="AU15" s="95">
        <f>IF($A15="","",INDEX([1]Clasif_Pron!$L:$L,((ROW()-4)*12+8)))</f>
        <v>3</v>
      </c>
      <c r="AV15" s="119" t="str">
        <f>IF($A15="","",INDEX([1]Clasif_Pron!$I:$I,((ROW()-4)*12+8)))</f>
        <v>Egipto</v>
      </c>
      <c r="AW15" s="119">
        <f>IF($A15="","",INDEX([1]Clasif_Pron!$M:$M,((ROW()-4)*12+8)))</f>
        <v>3</v>
      </c>
      <c r="AX15" s="95">
        <f>IF($A15="","",INDEX([1]Clasif_Pron!$N:$N,((ROW()-4)*12+8)))</f>
        <v>13</v>
      </c>
      <c r="AY15" s="119" t="str">
        <f>IF($A15="","",INDEX([1]Clasif_Pron!$E:$E,((ROW()-4)*12+9)))</f>
        <v>España</v>
      </c>
      <c r="AZ15" s="119">
        <f>IF($A15="","",INDEX([1]Clasif_Pron!$K:$K,((ROW()-4)*12+9)))</f>
        <v>7</v>
      </c>
      <c r="BA15" s="119" t="str">
        <f>IF($A15="","",INDEX([1]Clasif_Pron!$G:$G,((ROW()-4)*12+9)))</f>
        <v>Uruguay</v>
      </c>
      <c r="BB15" s="119">
        <f>IF($A15="","",INDEX([1]Clasif_Pron!$L:$L,((ROW()-4)*12+9)))</f>
        <v>0</v>
      </c>
      <c r="BC15" s="119" t="str">
        <f>IF($A15="","",INDEX([1]Clasif_Pron!$I:$I,((ROW()-4)*12+9)))</f>
        <v>Arabia Saudita</v>
      </c>
      <c r="BD15" s="119">
        <f>IF($A15="","",INDEX([1]Clasif_Pron!$M:$M,((ROW()-4)*12+9)))</f>
        <v>0</v>
      </c>
      <c r="BE15" s="119">
        <f>IF($A15="","",INDEX([1]Clasif_Pron!$N:$N,((ROW()-4)*12+9)))</f>
        <v>7</v>
      </c>
      <c r="BF15" s="119" t="str">
        <f>IF($A15="","",INDEX([1]Clasif_Pron!$E:$E,((ROW()-4)*12+10)))</f>
        <v>Francia</v>
      </c>
      <c r="BG15" s="119">
        <f>IF($A15="","",INDEX([1]Clasif_Pron!$K:$K,((ROW()-4)*12+10)))</f>
        <v>7</v>
      </c>
      <c r="BH15" s="119" t="str">
        <f>IF($A15="","",INDEX([1]Clasif_Pron!$G:$G,((ROW()-4)*12+10)))</f>
        <v>Noruega</v>
      </c>
      <c r="BI15" s="119">
        <f>IF($A15="","",INDEX([1]Clasif_Pron!$L:$L,((ROW()-4)*12+10)))</f>
        <v>6</v>
      </c>
      <c r="BJ15" s="119" t="str">
        <f>IF($A15="","",INDEX([1]Clasif_Pron!$I:$I,((ROW()-4)*12+10)))</f>
        <v>Irak</v>
      </c>
      <c r="BK15" s="119">
        <f>IF($A15="","",INDEX([1]Clasif_Pron!$M:$M,((ROW()-4)*12+10)))</f>
        <v>0</v>
      </c>
      <c r="BL15" s="95">
        <f>IF($A15="","",INDEX([1]Clasif_Pron!$N:$N,((ROW()-4)*12+10)))</f>
        <v>13</v>
      </c>
      <c r="BM15" s="119" t="str">
        <f>IF($A15="","",INDEX([1]Clasif_Pron!$E:$E,((ROW()-4)*12+11)))</f>
        <v>Argentina</v>
      </c>
      <c r="BN15" s="119">
        <f>IF($A15="","",INDEX([1]Clasif_Pron!$K:$K,((ROW()-4)*12+11)))</f>
        <v>7</v>
      </c>
      <c r="BO15" s="95" t="str">
        <f>IF($A15="","",INDEX([1]Clasif_Pron!$G:$G,((ROW()-4)*12+11)))</f>
        <v>Austria</v>
      </c>
      <c r="BP15" s="95">
        <f>IF($A15="","",INDEX([1]Clasif_Pron!$L:$L,((ROW()-4)*12+11)))</f>
        <v>6</v>
      </c>
      <c r="BQ15" s="95" t="str">
        <f>IF($A15="","",INDEX([1]Clasif_Pron!$I:$I,((ROW()-4)*12+11)))</f>
        <v>Jordania</v>
      </c>
      <c r="BR15" s="95">
        <f>IF($A15="","",INDEX([1]Clasif_Pron!$M:$M,((ROW()-4)*12+11)))</f>
        <v>0</v>
      </c>
      <c r="BS15" s="95">
        <f>IF($A15="","",INDEX([1]Clasif_Pron!$N:$N,((ROW()-4)*12+11)))</f>
        <v>13</v>
      </c>
      <c r="BT15" s="95" t="str">
        <f>IF($A15="","",INDEX([1]Clasif_Pron!$E:$E,((ROW()-4)*12+12)))</f>
        <v>Portugal</v>
      </c>
      <c r="BU15" s="95">
        <f>IF($A15="","",INDEX([1]Clasif_Pron!$K:$K,((ROW()-4)*12+12)))</f>
        <v>3</v>
      </c>
      <c r="BV15" s="95" t="str">
        <f>IF($A15="","",INDEX([1]Clasif_Pron!$G:$G,((ROW()-4)*12+12)))</f>
        <v>Colombia</v>
      </c>
      <c r="BW15" s="95">
        <f>IF($A15="","",INDEX([1]Clasif_Pron!$L:$L,((ROW()-4)*12+12)))</f>
        <v>3</v>
      </c>
      <c r="BX15" s="95" t="str">
        <f>IF($A15="","",INDEX([1]Clasif_Pron!$I:$I,((ROW()-4)*12+12)))</f>
        <v>Uzbekistán</v>
      </c>
      <c r="BY15" s="95">
        <f>IF($A15="","",INDEX([1]Clasif_Pron!$M:$M,((ROW()-4)*12+12)))</f>
        <v>0</v>
      </c>
      <c r="BZ15" s="95">
        <f>IF($A15="","",INDEX([1]Clasif_Pron!$N:$N,((ROW()-4)*12+12)))</f>
        <v>6</v>
      </c>
      <c r="CA15" s="95" t="str">
        <f>IF($A15="","",INDEX([1]Clasif_Pron!$E:$E,((ROW()-4)*12+13)))</f>
        <v>Inglaterra</v>
      </c>
      <c r="CB15" s="95">
        <f>IF($A15="","",INDEX([1]Clasif_Pron!$K:$K,((ROW()-4)*12+13)))</f>
        <v>7</v>
      </c>
      <c r="CC15" s="95" t="str">
        <f>IF($A15="","",INDEX([1]Clasif_Pron!$G:$G,((ROW()-4)*12+13)))</f>
        <v>Panamá</v>
      </c>
      <c r="CD15" s="95">
        <f>IF($A15="","",INDEX([1]Clasif_Pron!$L:$L,((ROW()-4)*12+13)))</f>
        <v>0</v>
      </c>
      <c r="CE15" s="95" t="str">
        <f>IF($A15="","",INDEX([1]Clasif_Pron!$I:$I,((ROW()-4)*12+13)))</f>
        <v>Croacia</v>
      </c>
      <c r="CF15" s="95">
        <f>IF($A15="","",INDEX([1]Clasif_Pron!$M:$M,((ROW()-4)*12+13)))</f>
        <v>5</v>
      </c>
      <c r="CG15" s="95">
        <f>IF($A15="","",INDEX([1]Clasif_Pron!$N:$N,((ROW()-4)*12+13)))</f>
        <v>12</v>
      </c>
      <c r="CH15" s="96">
        <f t="shared" si="0"/>
        <v>140</v>
      </c>
    </row>
    <row r="16" spans="1:86" ht="20.25" customHeight="1" x14ac:dyDescent="0.3">
      <c r="A16" s="94" t="str">
        <f>[1]Participantes!B14</f>
        <v>Freddy</v>
      </c>
      <c r="B16" s="119" t="str">
        <f>IF($A16="","",INDEX([1]Clasif_Pron!$E:$E,((ROW()-4)*12+2)))</f>
        <v>México</v>
      </c>
      <c r="C16" s="119">
        <f>IF($A16="","",INDEX([1]Clasif_Pron!$K:$K,((ROW()-4)*12+2)))</f>
        <v>7</v>
      </c>
      <c r="D16" s="95" t="str">
        <f>IF($A16="","",INDEX([1]Clasif_Pron!$G:$G,((ROW()-4)*12+2)))</f>
        <v>Corea República</v>
      </c>
      <c r="E16" s="95">
        <f>IF($A16="","",INDEX([1]Clasif_Pron!$L:$L,((ROW()-4)*12+2)))</f>
        <v>3</v>
      </c>
      <c r="F16" s="119" t="str">
        <f>IF($A16="","",INDEX([1]Clasif_Pron!$I:$I,((ROW()-4)*12+2)))</f>
        <v>Chequia</v>
      </c>
      <c r="G16" s="119">
        <f>IF($A16="","",INDEX([1]Clasif_Pron!$M:$M,((ROW()-4)*12+2)))</f>
        <v>0</v>
      </c>
      <c r="H16" s="95">
        <f>IF($A16="","",INDEX([1]Clasif_Pron!$N:$N,((ROW()-4)*12+2)))</f>
        <v>10</v>
      </c>
      <c r="I16" s="119" t="str">
        <f>IF($A16="","",INDEX([1]Clasif_Pron!$E:$E,((ROW()-4)*12+3)))</f>
        <v>Canadá</v>
      </c>
      <c r="J16" s="119">
        <f>IF($A16="","",INDEX([1]Clasif_Pron!$K:$K,((ROW()-4)*12+3)))</f>
        <v>3</v>
      </c>
      <c r="K16" s="119" t="str">
        <f>IF($A16="","",INDEX([1]Clasif_Pron!$G:$G,((ROW()-4)*12+3)))</f>
        <v>Suiza</v>
      </c>
      <c r="L16" s="119">
        <f>IF($A16="","",INDEX([1]Clasif_Pron!$L:$L,((ROW()-4)*12+3)))</f>
        <v>3</v>
      </c>
      <c r="M16" s="119" t="str">
        <f>IF($A16="","",INDEX([1]Clasif_Pron!$I:$I,((ROW()-4)*12+3)))</f>
        <v>Bosnia y Herzegovina</v>
      </c>
      <c r="N16" s="119">
        <f>IF($A16="","",INDEX([1]Clasif_Pron!$M:$M,((ROW()-4)*12+3)))</f>
        <v>5</v>
      </c>
      <c r="O16" s="119">
        <f>IF($A16="","",INDEX([1]Clasif_Pron!$N:$N,((ROW()-4)*12+3)))</f>
        <v>11</v>
      </c>
      <c r="P16" s="119" t="str">
        <f>IF($A16="","",INDEX([1]Clasif_Pron!$E:$E,((ROW()-4)*12+4)))</f>
        <v>Brasil</v>
      </c>
      <c r="Q16" s="119">
        <f>IF($A16="","",INDEX([1]Clasif_Pron!$K:$K,((ROW()-4)*12+4)))</f>
        <v>7</v>
      </c>
      <c r="R16" s="119" t="str">
        <f>IF($A16="","",INDEX([1]Clasif_Pron!$G:$G,((ROW()-4)*12+4)))</f>
        <v>Marruecos</v>
      </c>
      <c r="S16" s="119">
        <f>IF($A16="","",INDEX([1]Clasif_Pron!$L:$L,((ROW()-4)*12+4)))</f>
        <v>6</v>
      </c>
      <c r="T16" s="95" t="str">
        <f>IF($A16="","",INDEX([1]Clasif_Pron!$I:$I,((ROW()-4)*12+4)))</f>
        <v>Escocia</v>
      </c>
      <c r="U16" s="95">
        <f>IF($A16="","",INDEX([1]Clasif_Pron!$M:$M,((ROW()-4)*12+4)))</f>
        <v>0</v>
      </c>
      <c r="V16" s="95">
        <f>IF($A16="","",INDEX([1]Clasif_Pron!$N:$N,((ROW()-4)*12+4)))</f>
        <v>13</v>
      </c>
      <c r="W16" s="119" t="str">
        <f>IF($A16="","",INDEX([1]Clasif_Pron!$E:$E,((ROW()-4)*12+5)))</f>
        <v>Türkiye</v>
      </c>
      <c r="X16" s="119">
        <f>IF($A16="","",INDEX([1]Clasif_Pron!$K:$K,((ROW()-4)*12+5)))</f>
        <v>0</v>
      </c>
      <c r="Y16" s="119" t="str">
        <f>IF($A16="","",INDEX([1]Clasif_Pron!$G:$G,((ROW()-4)*12+5)))</f>
        <v>Estados Unidos</v>
      </c>
      <c r="Z16" s="119">
        <f>IF($A16="","",INDEX([1]Clasif_Pron!$L:$L,((ROW()-4)*12+5)))</f>
        <v>3</v>
      </c>
      <c r="AA16" s="119" t="str">
        <f>IF($A16="","",INDEX([1]Clasif_Pron!$I:$I,((ROW()-4)*12+5)))</f>
        <v>Australia</v>
      </c>
      <c r="AB16" s="119">
        <f>IF($A16="","",INDEX([1]Clasif_Pron!$M:$M,((ROW()-4)*12+5)))</f>
        <v>3</v>
      </c>
      <c r="AC16" s="119">
        <f>IF($A16="","",INDEX([1]Clasif_Pron!$N:$N,((ROW()-4)*12+5)))</f>
        <v>6</v>
      </c>
      <c r="AD16" s="119" t="str">
        <f>IF($A16="","",INDEX([1]Clasif_Pron!$E:$E,((ROW()-4)*12+6)))</f>
        <v>Alemania</v>
      </c>
      <c r="AE16" s="119">
        <f>IF($A16="","",INDEX([1]Clasif_Pron!$K:$K,((ROW()-4)*12+6)))</f>
        <v>7</v>
      </c>
      <c r="AF16" s="95" t="str">
        <f>IF($A16="","",INDEX([1]Clasif_Pron!$G:$G,((ROW()-4)*12+6)))</f>
        <v>Ecuador</v>
      </c>
      <c r="AG16" s="95">
        <f>IF($A16="","",INDEX([1]Clasif_Pron!$L:$L,((ROW()-4)*12+6)))</f>
        <v>3</v>
      </c>
      <c r="AH16" s="119" t="str">
        <f>IF($A16="","",INDEX([1]Clasif_Pron!$I:$I,((ROW()-4)*12+6)))</f>
        <v>Costa de Marfil</v>
      </c>
      <c r="AI16" s="119">
        <f>IF($A16="","",INDEX([1]Clasif_Pron!$M:$M,((ROW()-4)*12+6)))</f>
        <v>3</v>
      </c>
      <c r="AJ16" s="95">
        <f>IF($A16="","",INDEX([1]Clasif_Pron!$N:$N,((ROW()-4)*12+6)))</f>
        <v>13</v>
      </c>
      <c r="AK16" s="95" t="str">
        <f>IF($A16="","",INDEX([1]Clasif_Pron!$E:$E,((ROW()-4)*12+7)))</f>
        <v>Suecia</v>
      </c>
      <c r="AL16" s="95">
        <f>IF($A16="","",INDEX([1]Clasif_Pron!$K:$K,((ROW()-4)*12+7)))</f>
        <v>3</v>
      </c>
      <c r="AM16" s="119" t="str">
        <f>IF($A16="","",INDEX([1]Clasif_Pron!$G:$G,((ROW()-4)*12+7)))</f>
        <v>Países Bajos</v>
      </c>
      <c r="AN16" s="119">
        <f>IF($A16="","",INDEX([1]Clasif_Pron!$L:$L,((ROW()-4)*12+7)))</f>
        <v>3</v>
      </c>
      <c r="AO16" s="119" t="str">
        <f>IF($A16="","",INDEX([1]Clasif_Pron!$I:$I,((ROW()-4)*12+7)))</f>
        <v>Japón</v>
      </c>
      <c r="AP16" s="119">
        <f>IF($A16="","",INDEX([1]Clasif_Pron!$M:$M,((ROW()-4)*12+7)))</f>
        <v>3</v>
      </c>
      <c r="AQ16" s="95">
        <f>IF($A16="","",INDEX([1]Clasif_Pron!$N:$N,((ROW()-4)*12+7)))</f>
        <v>9</v>
      </c>
      <c r="AR16" s="119" t="str">
        <f>IF($A16="","",INDEX([1]Clasif_Pron!$E:$E,((ROW()-4)*12+8)))</f>
        <v>Bélgica</v>
      </c>
      <c r="AS16" s="119">
        <f>IF($A16="","",INDEX([1]Clasif_Pron!$K:$K,((ROW()-4)*12+8)))</f>
        <v>7</v>
      </c>
      <c r="AT16" s="119" t="str">
        <f>IF($A16="","",INDEX([1]Clasif_Pron!$G:$G,((ROW()-4)*12+8)))</f>
        <v>Egipto</v>
      </c>
      <c r="AU16" s="119">
        <f>IF($A16="","",INDEX([1]Clasif_Pron!$L:$L,((ROW()-4)*12+8)))</f>
        <v>6</v>
      </c>
      <c r="AV16" s="119" t="str">
        <f>IF($A16="","",INDEX([1]Clasif_Pron!$I:$I,((ROW()-4)*12+8)))</f>
        <v>Nueva Zelanda</v>
      </c>
      <c r="AW16" s="119">
        <f>IF($A16="","",INDEX([1]Clasif_Pron!$M:$M,((ROW()-4)*12+8)))</f>
        <v>0</v>
      </c>
      <c r="AX16" s="119">
        <f>IF($A16="","",INDEX([1]Clasif_Pron!$N:$N,((ROW()-4)*12+8)))</f>
        <v>13</v>
      </c>
      <c r="AY16" s="119" t="str">
        <f>IF($A16="","",INDEX([1]Clasif_Pron!$E:$E,((ROW()-4)*12+9)))</f>
        <v>España</v>
      </c>
      <c r="AZ16" s="119">
        <f>IF($A16="","",INDEX([1]Clasif_Pron!$K:$K,((ROW()-4)*12+9)))</f>
        <v>7</v>
      </c>
      <c r="BA16" s="119" t="str">
        <f>IF($A16="","",INDEX([1]Clasif_Pron!$G:$G,((ROW()-4)*12+9)))</f>
        <v>Uruguay</v>
      </c>
      <c r="BB16" s="119">
        <f>IF($A16="","",INDEX([1]Clasif_Pron!$L:$L,((ROW()-4)*12+9)))</f>
        <v>0</v>
      </c>
      <c r="BC16" s="119" t="str">
        <f>IF($A16="","",INDEX([1]Clasif_Pron!$I:$I,((ROW()-4)*12+9)))</f>
        <v>Arabia Saudita</v>
      </c>
      <c r="BD16" s="119">
        <f>IF($A16="","",INDEX([1]Clasif_Pron!$M:$M,((ROW()-4)*12+9)))</f>
        <v>0</v>
      </c>
      <c r="BE16" s="119">
        <f>IF($A16="","",INDEX([1]Clasif_Pron!$N:$N,((ROW()-4)*12+9)))</f>
        <v>7</v>
      </c>
      <c r="BF16" s="119" t="str">
        <f>IF($A16="","",INDEX([1]Clasif_Pron!$E:$E,((ROW()-4)*12+10)))</f>
        <v>Francia</v>
      </c>
      <c r="BG16" s="119">
        <f>IF($A16="","",INDEX([1]Clasif_Pron!$K:$K,((ROW()-4)*12+10)))</f>
        <v>7</v>
      </c>
      <c r="BH16" s="119" t="str">
        <f>IF($A16="","",INDEX([1]Clasif_Pron!$G:$G,((ROW()-4)*12+10)))</f>
        <v>Noruega</v>
      </c>
      <c r="BI16" s="119">
        <f>IF($A16="","",INDEX([1]Clasif_Pron!$L:$L,((ROW()-4)*12+10)))</f>
        <v>6</v>
      </c>
      <c r="BJ16" s="95" t="str">
        <f>IF($A16="","",INDEX([1]Clasif_Pron!$I:$I,((ROW()-4)*12+10)))</f>
        <v>Senegal</v>
      </c>
      <c r="BK16" s="95">
        <f>IF($A16="","",INDEX([1]Clasif_Pron!$M:$M,((ROW()-4)*12+10)))</f>
        <v>5</v>
      </c>
      <c r="BL16" s="95">
        <f>IF($A16="","",INDEX([1]Clasif_Pron!$N:$N,((ROW()-4)*12+10)))</f>
        <v>18</v>
      </c>
      <c r="BM16" s="119" t="str">
        <f>IF($A16="","",INDEX([1]Clasif_Pron!$E:$E,((ROW()-4)*12+11)))</f>
        <v>Argentina</v>
      </c>
      <c r="BN16" s="119">
        <f>IF($A16="","",INDEX([1]Clasif_Pron!$K:$K,((ROW()-4)*12+11)))</f>
        <v>7</v>
      </c>
      <c r="BO16" s="95" t="str">
        <f>IF($A16="","",INDEX([1]Clasif_Pron!$G:$G,((ROW()-4)*12+11)))</f>
        <v>Austria</v>
      </c>
      <c r="BP16" s="95">
        <f>IF($A16="","",INDEX([1]Clasif_Pron!$L:$L,((ROW()-4)*12+11)))</f>
        <v>6</v>
      </c>
      <c r="BQ16" s="95" t="str">
        <f>IF($A16="","",INDEX([1]Clasif_Pron!$I:$I,((ROW()-4)*12+11)))</f>
        <v>Argelia</v>
      </c>
      <c r="BR16" s="95">
        <f>IF($A16="","",INDEX([1]Clasif_Pron!$M:$M,((ROW()-4)*12+11)))</f>
        <v>0</v>
      </c>
      <c r="BS16" s="95">
        <f>IF($A16="","",INDEX([1]Clasif_Pron!$N:$N,((ROW()-4)*12+11)))</f>
        <v>13</v>
      </c>
      <c r="BT16" s="95" t="str">
        <f>IF($A16="","",INDEX([1]Clasif_Pron!$E:$E,((ROW()-4)*12+12)))</f>
        <v>Portugal</v>
      </c>
      <c r="BU16" s="95">
        <f>IF($A16="","",INDEX([1]Clasif_Pron!$K:$K,((ROW()-4)*12+12)))</f>
        <v>3</v>
      </c>
      <c r="BV16" s="95" t="str">
        <f>IF($A16="","",INDEX([1]Clasif_Pron!$G:$G,((ROW()-4)*12+12)))</f>
        <v>Colombia</v>
      </c>
      <c r="BW16" s="95">
        <f>IF($A16="","",INDEX([1]Clasif_Pron!$L:$L,((ROW()-4)*12+12)))</f>
        <v>3</v>
      </c>
      <c r="BX16" s="95" t="str">
        <f>IF($A16="","",INDEX([1]Clasif_Pron!$I:$I,((ROW()-4)*12+12)))</f>
        <v>Uzbekistán</v>
      </c>
      <c r="BY16" s="95">
        <f>IF($A16="","",INDEX([1]Clasif_Pron!$M:$M,((ROW()-4)*12+12)))</f>
        <v>0</v>
      </c>
      <c r="BZ16" s="95">
        <f>IF($A16="","",INDEX([1]Clasif_Pron!$N:$N,((ROW()-4)*12+12)))</f>
        <v>6</v>
      </c>
      <c r="CA16" s="95" t="str">
        <f>IF($A16="","",INDEX([1]Clasif_Pron!$E:$E,((ROW()-4)*12+13)))</f>
        <v>Inglaterra</v>
      </c>
      <c r="CB16" s="95">
        <f>IF($A16="","",INDEX([1]Clasif_Pron!$K:$K,((ROW()-4)*12+13)))</f>
        <v>7</v>
      </c>
      <c r="CC16" s="95" t="str">
        <f>IF($A16="","",INDEX([1]Clasif_Pron!$G:$G,((ROW()-4)*12+13)))</f>
        <v>Panamá</v>
      </c>
      <c r="CD16" s="95">
        <f>IF($A16="","",INDEX([1]Clasif_Pron!$L:$L,((ROW()-4)*12+13)))</f>
        <v>0</v>
      </c>
      <c r="CE16" s="95" t="str">
        <f>IF($A16="","",INDEX([1]Clasif_Pron!$I:$I,((ROW()-4)*12+13)))</f>
        <v>Croacia</v>
      </c>
      <c r="CF16" s="95">
        <f>IF($A16="","",INDEX([1]Clasif_Pron!$M:$M,((ROW()-4)*12+13)))</f>
        <v>5</v>
      </c>
      <c r="CG16" s="95">
        <f>IF($A16="","",INDEX([1]Clasif_Pron!$N:$N,((ROW()-4)*12+13)))</f>
        <v>12</v>
      </c>
      <c r="CH16" s="96">
        <f t="shared" si="0"/>
        <v>131</v>
      </c>
    </row>
    <row r="17" spans="1:86" ht="20.25" customHeight="1" x14ac:dyDescent="0.3">
      <c r="A17" s="94" t="str">
        <f>[1]Participantes!B15</f>
        <v>Isabel 1</v>
      </c>
      <c r="B17" s="119" t="str">
        <f>IF($A17="","",INDEX([1]Clasif_Pron!$E:$E,((ROW()-4)*12+2)))</f>
        <v>México</v>
      </c>
      <c r="C17" s="119">
        <f>IF($A17="","",INDEX([1]Clasif_Pron!$K:$K,((ROW()-4)*12+2)))</f>
        <v>7</v>
      </c>
      <c r="D17" s="95" t="str">
        <f>IF($A17="","",INDEX([1]Clasif_Pron!$G:$G,((ROW()-4)*12+2)))</f>
        <v>Corea República</v>
      </c>
      <c r="E17" s="95">
        <f>IF($A17="","",INDEX([1]Clasif_Pron!$L:$L,((ROW()-4)*12+2)))</f>
        <v>3</v>
      </c>
      <c r="F17" s="119" t="str">
        <f>IF($A17="","",INDEX([1]Clasif_Pron!$I:$I,((ROW()-4)*12+2)))</f>
        <v>Chequia</v>
      </c>
      <c r="G17" s="119">
        <f>IF($A17="","",INDEX([1]Clasif_Pron!$M:$M,((ROW()-4)*12+2)))</f>
        <v>0</v>
      </c>
      <c r="H17" s="95">
        <f>IF($A17="","",INDEX([1]Clasif_Pron!$N:$N,((ROW()-4)*12+2)))</f>
        <v>10</v>
      </c>
      <c r="I17" s="119" t="str">
        <f>IF($A17="","",INDEX([1]Clasif_Pron!$E:$E,((ROW()-4)*12+3)))</f>
        <v>Suiza</v>
      </c>
      <c r="J17" s="119">
        <f>IF($A17="","",INDEX([1]Clasif_Pron!$K:$K,((ROW()-4)*12+3)))</f>
        <v>7</v>
      </c>
      <c r="K17" s="119" t="str">
        <f>IF($A17="","",INDEX([1]Clasif_Pron!$G:$G,((ROW()-4)*12+3)))</f>
        <v>Canadá</v>
      </c>
      <c r="L17" s="119">
        <f>IF($A17="","",INDEX([1]Clasif_Pron!$L:$L,((ROW()-4)*12+3)))</f>
        <v>6</v>
      </c>
      <c r="M17" s="119" t="str">
        <f>IF($A17="","",INDEX([1]Clasif_Pron!$I:$I,((ROW()-4)*12+3)))</f>
        <v>Bosnia y Herzegovina</v>
      </c>
      <c r="N17" s="119">
        <f>IF($A17="","",INDEX([1]Clasif_Pron!$M:$M,((ROW()-4)*12+3)))</f>
        <v>5</v>
      </c>
      <c r="O17" s="119">
        <f>IF($A17="","",INDEX([1]Clasif_Pron!$N:$N,((ROW()-4)*12+3)))</f>
        <v>18</v>
      </c>
      <c r="P17" s="119" t="str">
        <f>IF($A17="","",INDEX([1]Clasif_Pron!$E:$E,((ROW()-4)*12+4)))</f>
        <v>Brasil</v>
      </c>
      <c r="Q17" s="119">
        <f>IF($A17="","",INDEX([1]Clasif_Pron!$K:$K,((ROW()-4)*12+4)))</f>
        <v>7</v>
      </c>
      <c r="R17" s="119" t="str">
        <f>IF($A17="","",INDEX([1]Clasif_Pron!$G:$G,((ROW()-4)*12+4)))</f>
        <v>Marruecos</v>
      </c>
      <c r="S17" s="119">
        <f>IF($A17="","",INDEX([1]Clasif_Pron!$L:$L,((ROW()-4)*12+4)))</f>
        <v>6</v>
      </c>
      <c r="T17" s="95" t="str">
        <f>IF($A17="","",INDEX([1]Clasif_Pron!$I:$I,((ROW()-4)*12+4)))</f>
        <v>Escocia</v>
      </c>
      <c r="U17" s="95">
        <f>IF($A17="","",INDEX([1]Clasif_Pron!$M:$M,((ROW()-4)*12+4)))</f>
        <v>0</v>
      </c>
      <c r="V17" s="95">
        <f>IF($A17="","",INDEX([1]Clasif_Pron!$N:$N,((ROW()-4)*12+4)))</f>
        <v>13</v>
      </c>
      <c r="W17" s="119" t="str">
        <f>IF($A17="","",INDEX([1]Clasif_Pron!$E:$E,((ROW()-4)*12+5)))</f>
        <v>Türkiye</v>
      </c>
      <c r="X17" s="119">
        <f>IF($A17="","",INDEX([1]Clasif_Pron!$K:$K,((ROW()-4)*12+5)))</f>
        <v>0</v>
      </c>
      <c r="Y17" s="119" t="str">
        <f>IF($A17="","",INDEX([1]Clasif_Pron!$G:$G,((ROW()-4)*12+5)))</f>
        <v>Estados Unidos</v>
      </c>
      <c r="Z17" s="119">
        <f>IF($A17="","",INDEX([1]Clasif_Pron!$L:$L,((ROW()-4)*12+5)))</f>
        <v>3</v>
      </c>
      <c r="AA17" s="95" t="str">
        <f>IF($A17="","",INDEX([1]Clasif_Pron!$I:$I,((ROW()-4)*12+5)))</f>
        <v>Paraguay</v>
      </c>
      <c r="AB17" s="95">
        <f>IF($A17="","",INDEX([1]Clasif_Pron!$M:$M,((ROW()-4)*12+5)))</f>
        <v>5</v>
      </c>
      <c r="AC17" s="95">
        <f>IF($A17="","",INDEX([1]Clasif_Pron!$N:$N,((ROW()-4)*12+5)))</f>
        <v>8</v>
      </c>
      <c r="AD17" s="119" t="str">
        <f>IF($A17="","",INDEX([1]Clasif_Pron!$E:$E,((ROW()-4)*12+6)))</f>
        <v>Alemania</v>
      </c>
      <c r="AE17" s="119">
        <f>IF($A17="","",INDEX([1]Clasif_Pron!$K:$K,((ROW()-4)*12+6)))</f>
        <v>7</v>
      </c>
      <c r="AF17" s="95" t="str">
        <f>IF($A17="","",INDEX([1]Clasif_Pron!$G:$G,((ROW()-4)*12+6)))</f>
        <v>Ecuador</v>
      </c>
      <c r="AG17" s="95">
        <f>IF($A17="","",INDEX([1]Clasif_Pron!$L:$L,((ROW()-4)*12+6)))</f>
        <v>3</v>
      </c>
      <c r="AH17" s="119" t="str">
        <f>IF($A17="","",INDEX([1]Clasif_Pron!$I:$I,((ROW()-4)*12+6)))</f>
        <v>Costa de Marfil</v>
      </c>
      <c r="AI17" s="119">
        <f>IF($A17="","",INDEX([1]Clasif_Pron!$M:$M,((ROW()-4)*12+6)))</f>
        <v>3</v>
      </c>
      <c r="AJ17" s="95">
        <f>IF($A17="","",INDEX([1]Clasif_Pron!$N:$N,((ROW()-4)*12+6)))</f>
        <v>13</v>
      </c>
      <c r="AK17" s="119" t="str">
        <f>IF($A17="","",INDEX([1]Clasif_Pron!$E:$E,((ROW()-4)*12+7)))</f>
        <v>Japón</v>
      </c>
      <c r="AL17" s="119">
        <f>IF($A17="","",INDEX([1]Clasif_Pron!$K:$K,((ROW()-4)*12+7)))</f>
        <v>3</v>
      </c>
      <c r="AM17" s="119" t="str">
        <f>IF($A17="","",INDEX([1]Clasif_Pron!$G:$G,((ROW()-4)*12+7)))</f>
        <v>Países Bajos</v>
      </c>
      <c r="AN17" s="119">
        <f>IF($A17="","",INDEX([1]Clasif_Pron!$L:$L,((ROW()-4)*12+7)))</f>
        <v>3</v>
      </c>
      <c r="AO17" s="95" t="str">
        <f>IF($A17="","",INDEX([1]Clasif_Pron!$I:$I,((ROW()-4)*12+7)))</f>
        <v>Suecia</v>
      </c>
      <c r="AP17" s="95">
        <f>IF($A17="","",INDEX([1]Clasif_Pron!$M:$M,((ROW()-4)*12+7)))</f>
        <v>5</v>
      </c>
      <c r="AQ17" s="95">
        <f>IF($A17="","",INDEX([1]Clasif_Pron!$N:$N,((ROW()-4)*12+7)))</f>
        <v>11</v>
      </c>
      <c r="AR17" s="119" t="str">
        <f>IF($A17="","",INDEX([1]Clasif_Pron!$E:$E,((ROW()-4)*12+8)))</f>
        <v>Bélgica</v>
      </c>
      <c r="AS17" s="119">
        <f>IF($A17="","",INDEX([1]Clasif_Pron!$K:$K,((ROW()-4)*12+8)))</f>
        <v>7</v>
      </c>
      <c r="AT17" s="95" t="str">
        <f>IF($A17="","",INDEX([1]Clasif_Pron!$G:$G,((ROW()-4)*12+8)))</f>
        <v>Irán</v>
      </c>
      <c r="AU17" s="95">
        <f>IF($A17="","",INDEX([1]Clasif_Pron!$L:$L,((ROW()-4)*12+8)))</f>
        <v>3</v>
      </c>
      <c r="AV17" s="119" t="str">
        <f>IF($A17="","",INDEX([1]Clasif_Pron!$I:$I,((ROW()-4)*12+8)))</f>
        <v>Egipto</v>
      </c>
      <c r="AW17" s="119">
        <f>IF($A17="","",INDEX([1]Clasif_Pron!$M:$M,((ROW()-4)*12+8)))</f>
        <v>3</v>
      </c>
      <c r="AX17" s="95">
        <f>IF($A17="","",INDEX([1]Clasif_Pron!$N:$N,((ROW()-4)*12+8)))</f>
        <v>13</v>
      </c>
      <c r="AY17" s="119" t="str">
        <f>IF($A17="","",INDEX([1]Clasif_Pron!$E:$E,((ROW()-4)*12+9)))</f>
        <v>España</v>
      </c>
      <c r="AZ17" s="119">
        <f>IF($A17="","",INDEX([1]Clasif_Pron!$K:$K,((ROW()-4)*12+9)))</f>
        <v>7</v>
      </c>
      <c r="BA17" s="119" t="str">
        <f>IF($A17="","",INDEX([1]Clasif_Pron!$G:$G,((ROW()-4)*12+9)))</f>
        <v>Uruguay</v>
      </c>
      <c r="BB17" s="119">
        <f>IF($A17="","",INDEX([1]Clasif_Pron!$L:$L,((ROW()-4)*12+9)))</f>
        <v>0</v>
      </c>
      <c r="BC17" s="119" t="str">
        <f>IF($A17="","",INDEX([1]Clasif_Pron!$I:$I,((ROW()-4)*12+9)))</f>
        <v>Arabia Saudita</v>
      </c>
      <c r="BD17" s="119">
        <f>IF($A17="","",INDEX([1]Clasif_Pron!$M:$M,((ROW()-4)*12+9)))</f>
        <v>0</v>
      </c>
      <c r="BE17" s="119">
        <f>IF($A17="","",INDEX([1]Clasif_Pron!$N:$N,((ROW()-4)*12+9)))</f>
        <v>7</v>
      </c>
      <c r="BF17" s="119" t="str">
        <f>IF($A17="","",INDEX([1]Clasif_Pron!$E:$E,((ROW()-4)*12+10)))</f>
        <v>Francia</v>
      </c>
      <c r="BG17" s="119">
        <f>IF($A17="","",INDEX([1]Clasif_Pron!$K:$K,((ROW()-4)*12+10)))</f>
        <v>7</v>
      </c>
      <c r="BH17" s="95" t="str">
        <f>IF($A17="","",INDEX([1]Clasif_Pron!$G:$G,((ROW()-4)*12+10)))</f>
        <v>Senegal</v>
      </c>
      <c r="BI17" s="95">
        <f>IF($A17="","",INDEX([1]Clasif_Pron!$L:$L,((ROW()-4)*12+10)))</f>
        <v>3</v>
      </c>
      <c r="BJ17" s="119" t="str">
        <f>IF($A17="","",INDEX([1]Clasif_Pron!$I:$I,((ROW()-4)*12+10)))</f>
        <v>Noruega</v>
      </c>
      <c r="BK17" s="119">
        <f>IF($A17="","",INDEX([1]Clasif_Pron!$M:$M,((ROW()-4)*12+10)))</f>
        <v>3</v>
      </c>
      <c r="BL17" s="95">
        <f>IF($A17="","",INDEX([1]Clasif_Pron!$N:$N,((ROW()-4)*12+10)))</f>
        <v>13</v>
      </c>
      <c r="BM17" s="119" t="str">
        <f>IF($A17="","",INDEX([1]Clasif_Pron!$E:$E,((ROW()-4)*12+11)))</f>
        <v>Argentina</v>
      </c>
      <c r="BN17" s="119">
        <f>IF($A17="","",INDEX([1]Clasif_Pron!$K:$K,((ROW()-4)*12+11)))</f>
        <v>7</v>
      </c>
      <c r="BO17" s="95" t="str">
        <f>IF($A17="","",INDEX([1]Clasif_Pron!$G:$G,((ROW()-4)*12+11)))</f>
        <v>Austria</v>
      </c>
      <c r="BP17" s="95">
        <f>IF($A17="","",INDEX([1]Clasif_Pron!$L:$L,((ROW()-4)*12+11)))</f>
        <v>6</v>
      </c>
      <c r="BQ17" s="95" t="str">
        <f>IF($A17="","",INDEX([1]Clasif_Pron!$I:$I,((ROW()-4)*12+11)))</f>
        <v>Argelia</v>
      </c>
      <c r="BR17" s="95">
        <f>IF($A17="","",INDEX([1]Clasif_Pron!$M:$M,((ROW()-4)*12+11)))</f>
        <v>0</v>
      </c>
      <c r="BS17" s="95">
        <f>IF($A17="","",INDEX([1]Clasif_Pron!$N:$N,((ROW()-4)*12+11)))</f>
        <v>13</v>
      </c>
      <c r="BT17" s="95" t="str">
        <f>IF($A17="","",INDEX([1]Clasif_Pron!$E:$E,((ROW()-4)*12+12)))</f>
        <v>Portugal</v>
      </c>
      <c r="BU17" s="95">
        <f>IF($A17="","",INDEX([1]Clasif_Pron!$K:$K,((ROW()-4)*12+12)))</f>
        <v>3</v>
      </c>
      <c r="BV17" s="95" t="str">
        <f>IF($A17="","",INDEX([1]Clasif_Pron!$G:$G,((ROW()-4)*12+12)))</f>
        <v>Colombia</v>
      </c>
      <c r="BW17" s="95">
        <f>IF($A17="","",INDEX([1]Clasif_Pron!$L:$L,((ROW()-4)*12+12)))</f>
        <v>3</v>
      </c>
      <c r="BX17" s="95" t="str">
        <f>IF($A17="","",INDEX([1]Clasif_Pron!$I:$I,((ROW()-4)*12+12)))</f>
        <v>Uzbekistán</v>
      </c>
      <c r="BY17" s="95">
        <f>IF($A17="","",INDEX([1]Clasif_Pron!$M:$M,((ROW()-4)*12+12)))</f>
        <v>0</v>
      </c>
      <c r="BZ17" s="95">
        <f>IF($A17="","",INDEX([1]Clasif_Pron!$N:$N,((ROW()-4)*12+12)))</f>
        <v>6</v>
      </c>
      <c r="CA17" s="95" t="str">
        <f>IF($A17="","",INDEX([1]Clasif_Pron!$E:$E,((ROW()-4)*12+13)))</f>
        <v>Croacia</v>
      </c>
      <c r="CB17" s="95">
        <f>IF($A17="","",INDEX([1]Clasif_Pron!$K:$K,((ROW()-4)*12+13)))</f>
        <v>3</v>
      </c>
      <c r="CC17" s="95" t="str">
        <f>IF($A17="","",INDEX([1]Clasif_Pron!$G:$G,((ROW()-4)*12+13)))</f>
        <v>Inglaterra</v>
      </c>
      <c r="CD17" s="95">
        <f>IF($A17="","",INDEX([1]Clasif_Pron!$L:$L,((ROW()-4)*12+13)))</f>
        <v>3</v>
      </c>
      <c r="CE17" s="95" t="str">
        <f>IF($A17="","",INDEX([1]Clasif_Pron!$I:$I,((ROW()-4)*12+13)))</f>
        <v>Panamá</v>
      </c>
      <c r="CF17" s="95">
        <f>IF($A17="","",INDEX([1]Clasif_Pron!$M:$M,((ROW()-4)*12+13)))</f>
        <v>0</v>
      </c>
      <c r="CG17" s="95">
        <f>IF($A17="","",INDEX([1]Clasif_Pron!$N:$N,((ROW()-4)*12+13)))</f>
        <v>6</v>
      </c>
      <c r="CH17" s="96">
        <f t="shared" si="0"/>
        <v>131</v>
      </c>
    </row>
    <row r="18" spans="1:86" ht="20.25" customHeight="1" x14ac:dyDescent="0.3">
      <c r="A18" s="94" t="str">
        <f>[1]Participantes!B16</f>
        <v>Isabel 2</v>
      </c>
      <c r="B18" s="119" t="str">
        <f>IF($A18="","",INDEX([1]Clasif_Pron!$E:$E,((ROW()-4)*12+2)))</f>
        <v>México</v>
      </c>
      <c r="C18" s="119">
        <f>IF($A18="","",INDEX([1]Clasif_Pron!$K:$K,((ROW()-4)*12+2)))</f>
        <v>7</v>
      </c>
      <c r="D18" s="95" t="str">
        <f>IF($A18="","",INDEX([1]Clasif_Pron!$G:$G,((ROW()-4)*12+2)))</f>
        <v>Corea República</v>
      </c>
      <c r="E18" s="95">
        <f>IF($A18="","",INDEX([1]Clasif_Pron!$L:$L,((ROW()-4)*12+2)))</f>
        <v>3</v>
      </c>
      <c r="F18" s="119" t="str">
        <f>IF($A18="","",INDEX([1]Clasif_Pron!$I:$I,((ROW()-4)*12+2)))</f>
        <v>Sudáfrica</v>
      </c>
      <c r="G18" s="119">
        <f>IF($A18="","",INDEX([1]Clasif_Pron!$M:$M,((ROW()-4)*12+2)))</f>
        <v>3</v>
      </c>
      <c r="H18" s="95">
        <f>IF($A18="","",INDEX([1]Clasif_Pron!$N:$N,((ROW()-4)*12+2)))</f>
        <v>13</v>
      </c>
      <c r="I18" s="119" t="str">
        <f>IF($A18="","",INDEX([1]Clasif_Pron!$E:$E,((ROW()-4)*12+3)))</f>
        <v>Suiza</v>
      </c>
      <c r="J18" s="119">
        <f>IF($A18="","",INDEX([1]Clasif_Pron!$K:$K,((ROW()-4)*12+3)))</f>
        <v>7</v>
      </c>
      <c r="K18" s="119" t="str">
        <f>IF($A18="","",INDEX([1]Clasif_Pron!$G:$G,((ROW()-4)*12+3)))</f>
        <v>Canadá</v>
      </c>
      <c r="L18" s="119">
        <f>IF($A18="","",INDEX([1]Clasif_Pron!$L:$L,((ROW()-4)*12+3)))</f>
        <v>6</v>
      </c>
      <c r="M18" s="119" t="str">
        <f>IF($A18="","",INDEX([1]Clasif_Pron!$I:$I,((ROW()-4)*12+3)))</f>
        <v>Bosnia y Herzegovina</v>
      </c>
      <c r="N18" s="119">
        <f>IF($A18="","",INDEX([1]Clasif_Pron!$M:$M,((ROW()-4)*12+3)))</f>
        <v>5</v>
      </c>
      <c r="O18" s="119">
        <f>IF($A18="","",INDEX([1]Clasif_Pron!$N:$N,((ROW()-4)*12+3)))</f>
        <v>18</v>
      </c>
      <c r="P18" s="119" t="str">
        <f>IF($A18="","",INDEX([1]Clasif_Pron!$E:$E,((ROW()-4)*12+4)))</f>
        <v>Brasil</v>
      </c>
      <c r="Q18" s="119">
        <f>IF($A18="","",INDEX([1]Clasif_Pron!$K:$K,((ROW()-4)*12+4)))</f>
        <v>7</v>
      </c>
      <c r="R18" s="119" t="str">
        <f>IF($A18="","",INDEX([1]Clasif_Pron!$G:$G,((ROW()-4)*12+4)))</f>
        <v>Marruecos</v>
      </c>
      <c r="S18" s="119">
        <f>IF($A18="","",INDEX([1]Clasif_Pron!$L:$L,((ROW()-4)*12+4)))</f>
        <v>6</v>
      </c>
      <c r="T18" s="95" t="str">
        <f>IF($A18="","",INDEX([1]Clasif_Pron!$I:$I,((ROW()-4)*12+4)))</f>
        <v>Escocia</v>
      </c>
      <c r="U18" s="95">
        <f>IF($A18="","",INDEX([1]Clasif_Pron!$M:$M,((ROW()-4)*12+4)))</f>
        <v>0</v>
      </c>
      <c r="V18" s="95">
        <f>IF($A18="","",INDEX([1]Clasif_Pron!$N:$N,((ROW()-4)*12+4)))</f>
        <v>13</v>
      </c>
      <c r="W18" s="119" t="str">
        <f>IF($A18="","",INDEX([1]Clasif_Pron!$E:$E,((ROW()-4)*12+5)))</f>
        <v>Estados Unidos</v>
      </c>
      <c r="X18" s="119">
        <f>IF($A18="","",INDEX([1]Clasif_Pron!$K:$K,((ROW()-4)*12+5)))</f>
        <v>7</v>
      </c>
      <c r="Y18" s="119" t="str">
        <f>IF($A18="","",INDEX([1]Clasif_Pron!$G:$G,((ROW()-4)*12+5)))</f>
        <v>Türkiye</v>
      </c>
      <c r="Z18" s="119">
        <f>IF($A18="","",INDEX([1]Clasif_Pron!$L:$L,((ROW()-4)*12+5)))</f>
        <v>0</v>
      </c>
      <c r="AA18" s="95" t="str">
        <f>IF($A18="","",INDEX([1]Clasif_Pron!$I:$I,((ROW()-4)*12+5)))</f>
        <v>Paraguay</v>
      </c>
      <c r="AB18" s="95">
        <f>IF($A18="","",INDEX([1]Clasif_Pron!$M:$M,((ROW()-4)*12+5)))</f>
        <v>5</v>
      </c>
      <c r="AC18" s="95">
        <f>IF($A18="","",INDEX([1]Clasif_Pron!$N:$N,((ROW()-4)*12+5)))</f>
        <v>12</v>
      </c>
      <c r="AD18" s="119" t="str">
        <f>IF($A18="","",INDEX([1]Clasif_Pron!$E:$E,((ROW()-4)*12+6)))</f>
        <v>Alemania</v>
      </c>
      <c r="AE18" s="119">
        <f>IF($A18="","",INDEX([1]Clasif_Pron!$K:$K,((ROW()-4)*12+6)))</f>
        <v>7</v>
      </c>
      <c r="AF18" s="95" t="str">
        <f>IF($A18="","",INDEX([1]Clasif_Pron!$G:$G,((ROW()-4)*12+6)))</f>
        <v>Ecuador</v>
      </c>
      <c r="AG18" s="95">
        <f>IF($A18="","",INDEX([1]Clasif_Pron!$L:$L,((ROW()-4)*12+6)))</f>
        <v>3</v>
      </c>
      <c r="AH18" s="119" t="str">
        <f>IF($A18="","",INDEX([1]Clasif_Pron!$I:$I,((ROW()-4)*12+6)))</f>
        <v>Costa de Marfil</v>
      </c>
      <c r="AI18" s="119">
        <f>IF($A18="","",INDEX([1]Clasif_Pron!$M:$M,((ROW()-4)*12+6)))</f>
        <v>3</v>
      </c>
      <c r="AJ18" s="95">
        <f>IF($A18="","",INDEX([1]Clasif_Pron!$N:$N,((ROW()-4)*12+6)))</f>
        <v>13</v>
      </c>
      <c r="AK18" s="119" t="str">
        <f>IF($A18="","",INDEX([1]Clasif_Pron!$E:$E,((ROW()-4)*12+7)))</f>
        <v>Países Bajos</v>
      </c>
      <c r="AL18" s="119">
        <f>IF($A18="","",INDEX([1]Clasif_Pron!$K:$K,((ROW()-4)*12+7)))</f>
        <v>7</v>
      </c>
      <c r="AM18" s="95" t="str">
        <f>IF($A18="","",INDEX([1]Clasif_Pron!$G:$G,((ROW()-4)*12+7)))</f>
        <v>Suecia</v>
      </c>
      <c r="AN18" s="95">
        <f>IF($A18="","",INDEX([1]Clasif_Pron!$L:$L,((ROW()-4)*12+7)))</f>
        <v>3</v>
      </c>
      <c r="AO18" s="119" t="str">
        <f>IF($A18="","",INDEX([1]Clasif_Pron!$I:$I,((ROW()-4)*12+7)))</f>
        <v>Japón</v>
      </c>
      <c r="AP18" s="119">
        <f>IF($A18="","",INDEX([1]Clasif_Pron!$M:$M,((ROW()-4)*12+7)))</f>
        <v>3</v>
      </c>
      <c r="AQ18" s="95">
        <f>IF($A18="","",INDEX([1]Clasif_Pron!$N:$N,((ROW()-4)*12+7)))</f>
        <v>13</v>
      </c>
      <c r="AR18" s="119" t="str">
        <f>IF($A18="","",INDEX([1]Clasif_Pron!$E:$E,((ROW()-4)*12+8)))</f>
        <v>Bélgica</v>
      </c>
      <c r="AS18" s="119">
        <f>IF($A18="","",INDEX([1]Clasif_Pron!$K:$K,((ROW()-4)*12+8)))</f>
        <v>7</v>
      </c>
      <c r="AT18" s="119" t="str">
        <f>IF($A18="","",INDEX([1]Clasif_Pron!$G:$G,((ROW()-4)*12+8)))</f>
        <v>Egipto</v>
      </c>
      <c r="AU18" s="119">
        <f>IF($A18="","",INDEX([1]Clasif_Pron!$L:$L,((ROW()-4)*12+8)))</f>
        <v>6</v>
      </c>
      <c r="AV18" s="95" t="str">
        <f>IF($A18="","",INDEX([1]Clasif_Pron!$I:$I,((ROW()-4)*12+8)))</f>
        <v>Irán</v>
      </c>
      <c r="AW18" s="95">
        <f>IF($A18="","",INDEX([1]Clasif_Pron!$M:$M,((ROW()-4)*12+8)))</f>
        <v>5</v>
      </c>
      <c r="AX18" s="95">
        <f>IF($A18="","",INDEX([1]Clasif_Pron!$N:$N,((ROW()-4)*12+8)))</f>
        <v>18</v>
      </c>
      <c r="AY18" s="119" t="str">
        <f>IF($A18="","",INDEX([1]Clasif_Pron!$E:$E,((ROW()-4)*12+9)))</f>
        <v>España</v>
      </c>
      <c r="AZ18" s="119">
        <f>IF($A18="","",INDEX([1]Clasif_Pron!$K:$K,((ROW()-4)*12+9)))</f>
        <v>7</v>
      </c>
      <c r="BA18" s="119" t="str">
        <f>IF($A18="","",INDEX([1]Clasif_Pron!$G:$G,((ROW()-4)*12+9)))</f>
        <v>Uruguay</v>
      </c>
      <c r="BB18" s="119">
        <f>IF($A18="","",INDEX([1]Clasif_Pron!$L:$L,((ROW()-4)*12+9)))</f>
        <v>0</v>
      </c>
      <c r="BC18" s="119" t="str">
        <f>IF($A18="","",INDEX([1]Clasif_Pron!$I:$I,((ROW()-4)*12+9)))</f>
        <v>Arabia Saudita</v>
      </c>
      <c r="BD18" s="119">
        <f>IF($A18="","",INDEX([1]Clasif_Pron!$M:$M,((ROW()-4)*12+9)))</f>
        <v>0</v>
      </c>
      <c r="BE18" s="119">
        <f>IF($A18="","",INDEX([1]Clasif_Pron!$N:$N,((ROW()-4)*12+9)))</f>
        <v>7</v>
      </c>
      <c r="BF18" s="119" t="str">
        <f>IF($A18="","",INDEX([1]Clasif_Pron!$E:$E,((ROW()-4)*12+10)))</f>
        <v>Francia</v>
      </c>
      <c r="BG18" s="119">
        <f>IF($A18="","",INDEX([1]Clasif_Pron!$K:$K,((ROW()-4)*12+10)))</f>
        <v>7</v>
      </c>
      <c r="BH18" s="119" t="str">
        <f>IF($A18="","",INDEX([1]Clasif_Pron!$G:$G,((ROW()-4)*12+10)))</f>
        <v>Noruega</v>
      </c>
      <c r="BI18" s="119">
        <f>IF($A18="","",INDEX([1]Clasif_Pron!$L:$L,((ROW()-4)*12+10)))</f>
        <v>6</v>
      </c>
      <c r="BJ18" s="95" t="str">
        <f>IF($A18="","",INDEX([1]Clasif_Pron!$I:$I,((ROW()-4)*12+10)))</f>
        <v>Senegal</v>
      </c>
      <c r="BK18" s="95">
        <f>IF($A18="","",INDEX([1]Clasif_Pron!$M:$M,((ROW()-4)*12+10)))</f>
        <v>5</v>
      </c>
      <c r="BL18" s="95">
        <f>IF($A18="","",INDEX([1]Clasif_Pron!$N:$N,((ROW()-4)*12+10)))</f>
        <v>18</v>
      </c>
      <c r="BM18" s="119" t="str">
        <f>IF($A18="","",INDEX([1]Clasif_Pron!$E:$E,((ROW()-4)*12+11)))</f>
        <v>Argentina</v>
      </c>
      <c r="BN18" s="119">
        <f>IF($A18="","",INDEX([1]Clasif_Pron!$K:$K,((ROW()-4)*12+11)))</f>
        <v>7</v>
      </c>
      <c r="BO18" s="95" t="str">
        <f>IF($A18="","",INDEX([1]Clasif_Pron!$G:$G,((ROW()-4)*12+11)))</f>
        <v>Argelia</v>
      </c>
      <c r="BP18" s="95">
        <f>IF($A18="","",INDEX([1]Clasif_Pron!$L:$L,((ROW()-4)*12+11)))</f>
        <v>0</v>
      </c>
      <c r="BQ18" s="95" t="str">
        <f>IF($A18="","",INDEX([1]Clasif_Pron!$I:$I,((ROW()-4)*12+11)))</f>
        <v>Austria</v>
      </c>
      <c r="BR18" s="95">
        <f>IF($A18="","",INDEX([1]Clasif_Pron!$M:$M,((ROW()-4)*12+11)))</f>
        <v>3</v>
      </c>
      <c r="BS18" s="95">
        <f>IF($A18="","",INDEX([1]Clasif_Pron!$N:$N,((ROW()-4)*12+11)))</f>
        <v>10</v>
      </c>
      <c r="BT18" s="95" t="str">
        <f>IF($A18="","",INDEX([1]Clasif_Pron!$E:$E,((ROW()-4)*12+12)))</f>
        <v>Portugal</v>
      </c>
      <c r="BU18" s="95">
        <f>IF($A18="","",INDEX([1]Clasif_Pron!$K:$K,((ROW()-4)*12+12)))</f>
        <v>3</v>
      </c>
      <c r="BV18" s="95" t="str">
        <f>IF($A18="","",INDEX([1]Clasif_Pron!$G:$G,((ROW()-4)*12+12)))</f>
        <v>Colombia</v>
      </c>
      <c r="BW18" s="95">
        <f>IF($A18="","",INDEX([1]Clasif_Pron!$L:$L,((ROW()-4)*12+12)))</f>
        <v>3</v>
      </c>
      <c r="BX18" s="95" t="str">
        <f>IF($A18="","",INDEX([1]Clasif_Pron!$I:$I,((ROW()-4)*12+12)))</f>
        <v>Uzbekistán</v>
      </c>
      <c r="BY18" s="95">
        <f>IF($A18="","",INDEX([1]Clasif_Pron!$M:$M,((ROW()-4)*12+12)))</f>
        <v>0</v>
      </c>
      <c r="BZ18" s="95">
        <f>IF($A18="","",INDEX([1]Clasif_Pron!$N:$N,((ROW()-4)*12+12)))</f>
        <v>6</v>
      </c>
      <c r="CA18" s="95" t="str">
        <f>IF($A18="","",INDEX([1]Clasif_Pron!$E:$E,((ROW()-4)*12+13)))</f>
        <v>Inglaterra</v>
      </c>
      <c r="CB18" s="95">
        <f>IF($A18="","",INDEX([1]Clasif_Pron!$K:$K,((ROW()-4)*12+13)))</f>
        <v>7</v>
      </c>
      <c r="CC18" s="95" t="str">
        <f>IF($A18="","",INDEX([1]Clasif_Pron!$G:$G,((ROW()-4)*12+13)))</f>
        <v>Croacia</v>
      </c>
      <c r="CD18" s="95">
        <f>IF($A18="","",INDEX([1]Clasif_Pron!$L:$L,((ROW()-4)*12+13)))</f>
        <v>3</v>
      </c>
      <c r="CE18" s="95" t="str">
        <f>IF($A18="","",INDEX([1]Clasif_Pron!$I:$I,((ROW()-4)*12+13)))</f>
        <v>Panamá</v>
      </c>
      <c r="CF18" s="95">
        <f>IF($A18="","",INDEX([1]Clasif_Pron!$M:$M,((ROW()-4)*12+13)))</f>
        <v>0</v>
      </c>
      <c r="CG18" s="95">
        <f>IF($A18="","",INDEX([1]Clasif_Pron!$N:$N,((ROW()-4)*12+13)))</f>
        <v>10</v>
      </c>
      <c r="CH18" s="96">
        <f t="shared" si="0"/>
        <v>151</v>
      </c>
    </row>
    <row r="19" spans="1:86" ht="20.25" customHeight="1" x14ac:dyDescent="0.3">
      <c r="A19" s="94" t="str">
        <f>[1]Participantes!B17</f>
        <v>Javier</v>
      </c>
      <c r="B19" s="95" t="str">
        <f>IF($A19="","",INDEX([1]Clasif_Pron!$E:$E,((ROW()-4)*12+2)))</f>
        <v>Corea República</v>
      </c>
      <c r="C19" s="95">
        <f>IF($A19="","",INDEX([1]Clasif_Pron!$K:$K,((ROW()-4)*12+2)))</f>
        <v>3</v>
      </c>
      <c r="D19" s="119" t="str">
        <f>IF($A19="","",INDEX([1]Clasif_Pron!$G:$G,((ROW()-4)*12+2)))</f>
        <v>México</v>
      </c>
      <c r="E19" s="119">
        <f>IF($A19="","",INDEX([1]Clasif_Pron!$L:$L,((ROW()-4)*12+2)))</f>
        <v>3</v>
      </c>
      <c r="F19" s="119" t="str">
        <f>IF($A19="","",INDEX([1]Clasif_Pron!$I:$I,((ROW()-4)*12+2)))</f>
        <v>Sudáfrica</v>
      </c>
      <c r="G19" s="119">
        <f>IF($A19="","",INDEX([1]Clasif_Pron!$M:$M,((ROW()-4)*12+2)))</f>
        <v>3</v>
      </c>
      <c r="H19" s="95">
        <f>IF($A19="","",INDEX([1]Clasif_Pron!$N:$N,((ROW()-4)*12+2)))</f>
        <v>9</v>
      </c>
      <c r="I19" s="119" t="str">
        <f>IF($A19="","",INDEX([1]Clasif_Pron!$E:$E,((ROW()-4)*12+3)))</f>
        <v>Canadá</v>
      </c>
      <c r="J19" s="119">
        <f>IF($A19="","",INDEX([1]Clasif_Pron!$K:$K,((ROW()-4)*12+3)))</f>
        <v>3</v>
      </c>
      <c r="K19" s="119" t="str">
        <f>IF($A19="","",INDEX([1]Clasif_Pron!$G:$G,((ROW()-4)*12+3)))</f>
        <v>Suiza</v>
      </c>
      <c r="L19" s="119">
        <f>IF($A19="","",INDEX([1]Clasif_Pron!$L:$L,((ROW()-4)*12+3)))</f>
        <v>3</v>
      </c>
      <c r="M19" s="119" t="str">
        <f>IF($A19="","",INDEX([1]Clasif_Pron!$I:$I,((ROW()-4)*12+3)))</f>
        <v>Bosnia y Herzegovina</v>
      </c>
      <c r="N19" s="119">
        <f>IF($A19="","",INDEX([1]Clasif_Pron!$M:$M,((ROW()-4)*12+3)))</f>
        <v>5</v>
      </c>
      <c r="O19" s="119">
        <f>IF($A19="","",INDEX([1]Clasif_Pron!$N:$N,((ROW()-4)*12+3)))</f>
        <v>11</v>
      </c>
      <c r="P19" s="119" t="str">
        <f>IF($A19="","",INDEX([1]Clasif_Pron!$E:$E,((ROW()-4)*12+4)))</f>
        <v>Brasil</v>
      </c>
      <c r="Q19" s="119">
        <f>IF($A19="","",INDEX([1]Clasif_Pron!$K:$K,((ROW()-4)*12+4)))</f>
        <v>7</v>
      </c>
      <c r="R19" s="95" t="str">
        <f>IF($A19="","",INDEX([1]Clasif_Pron!$G:$G,((ROW()-4)*12+4)))</f>
        <v>Escocia</v>
      </c>
      <c r="S19" s="95">
        <f>IF($A19="","",INDEX([1]Clasif_Pron!$L:$L,((ROW()-4)*12+4)))</f>
        <v>0</v>
      </c>
      <c r="T19" s="119" t="str">
        <f>IF($A19="","",INDEX([1]Clasif_Pron!$I:$I,((ROW()-4)*12+4)))</f>
        <v>Marruecos</v>
      </c>
      <c r="U19" s="119">
        <f>IF($A19="","",INDEX([1]Clasif_Pron!$M:$M,((ROW()-4)*12+4)))</f>
        <v>3</v>
      </c>
      <c r="V19" s="95">
        <f>IF($A19="","",INDEX([1]Clasif_Pron!$N:$N,((ROW()-4)*12+4)))</f>
        <v>10</v>
      </c>
      <c r="W19" s="119" t="str">
        <f>IF($A19="","",INDEX([1]Clasif_Pron!$E:$E,((ROW()-4)*12+5)))</f>
        <v>Türkiye</v>
      </c>
      <c r="X19" s="119">
        <f>IF($A19="","",INDEX([1]Clasif_Pron!$K:$K,((ROW()-4)*12+5)))</f>
        <v>0</v>
      </c>
      <c r="Y19" s="119" t="str">
        <f>IF($A19="","",INDEX([1]Clasif_Pron!$G:$G,((ROW()-4)*12+5)))</f>
        <v>Estados Unidos</v>
      </c>
      <c r="Z19" s="119">
        <f>IF($A19="","",INDEX([1]Clasif_Pron!$L:$L,((ROW()-4)*12+5)))</f>
        <v>3</v>
      </c>
      <c r="AA19" s="119" t="str">
        <f>IF($A19="","",INDEX([1]Clasif_Pron!$I:$I,((ROW()-4)*12+5)))</f>
        <v>Australia</v>
      </c>
      <c r="AB19" s="119">
        <f>IF($A19="","",INDEX([1]Clasif_Pron!$M:$M,((ROW()-4)*12+5)))</f>
        <v>3</v>
      </c>
      <c r="AC19" s="119">
        <f>IF($A19="","",INDEX([1]Clasif_Pron!$N:$N,((ROW()-4)*12+5)))</f>
        <v>6</v>
      </c>
      <c r="AD19" s="119" t="str">
        <f>IF($A19="","",INDEX([1]Clasif_Pron!$E:$E,((ROW()-4)*12+6)))</f>
        <v>Costa de Marfil</v>
      </c>
      <c r="AE19" s="119">
        <f>IF($A19="","",INDEX([1]Clasif_Pron!$K:$K,((ROW()-4)*12+6)))</f>
        <v>3</v>
      </c>
      <c r="AF19" s="119" t="str">
        <f>IF($A19="","",INDEX([1]Clasif_Pron!$G:$G,((ROW()-4)*12+6)))</f>
        <v>Alemania</v>
      </c>
      <c r="AG19" s="119">
        <f>IF($A19="","",INDEX([1]Clasif_Pron!$L:$L,((ROW()-4)*12+6)))</f>
        <v>3</v>
      </c>
      <c r="AH19" s="119" t="str">
        <f>IF($A19="","",INDEX([1]Clasif_Pron!$I:$I,((ROW()-4)*12+6)))</f>
        <v>Curazao</v>
      </c>
      <c r="AI19" s="119">
        <f>IF($A19="","",INDEX([1]Clasif_Pron!$M:$M,((ROW()-4)*12+6)))</f>
        <v>0</v>
      </c>
      <c r="AJ19" s="119">
        <f>IF($A19="","",INDEX([1]Clasif_Pron!$N:$N,((ROW()-4)*12+6)))</f>
        <v>6</v>
      </c>
      <c r="AK19" s="119" t="str">
        <f>IF($A19="","",INDEX([1]Clasif_Pron!$E:$E,((ROW()-4)*12+7)))</f>
        <v>Países Bajos</v>
      </c>
      <c r="AL19" s="119">
        <f>IF($A19="","",INDEX([1]Clasif_Pron!$K:$K,((ROW()-4)*12+7)))</f>
        <v>7</v>
      </c>
      <c r="AM19" s="95" t="str">
        <f>IF($A19="","",INDEX([1]Clasif_Pron!$G:$G,((ROW()-4)*12+7)))</f>
        <v>Suecia</v>
      </c>
      <c r="AN19" s="95">
        <f>IF($A19="","",INDEX([1]Clasif_Pron!$L:$L,((ROW()-4)*12+7)))</f>
        <v>3</v>
      </c>
      <c r="AO19" s="119" t="str">
        <f>IF($A19="","",INDEX([1]Clasif_Pron!$I:$I,((ROW()-4)*12+7)))</f>
        <v>Japón</v>
      </c>
      <c r="AP19" s="119">
        <f>IF($A19="","",INDEX([1]Clasif_Pron!$M:$M,((ROW()-4)*12+7)))</f>
        <v>3</v>
      </c>
      <c r="AQ19" s="95">
        <f>IF($A19="","",INDEX([1]Clasif_Pron!$N:$N,((ROW()-4)*12+7)))</f>
        <v>13</v>
      </c>
      <c r="AR19" s="119" t="str">
        <f>IF($A19="","",INDEX([1]Clasif_Pron!$E:$E,((ROW()-4)*12+8)))</f>
        <v>Bélgica</v>
      </c>
      <c r="AS19" s="119">
        <f>IF($A19="","",INDEX([1]Clasif_Pron!$K:$K,((ROW()-4)*12+8)))</f>
        <v>7</v>
      </c>
      <c r="AT19" s="119" t="str">
        <f>IF($A19="","",INDEX([1]Clasif_Pron!$G:$G,((ROW()-4)*12+8)))</f>
        <v>Nueva Zelanda</v>
      </c>
      <c r="AU19" s="119">
        <f>IF($A19="","",INDEX([1]Clasif_Pron!$L:$L,((ROW()-4)*12+8)))</f>
        <v>0</v>
      </c>
      <c r="AV19" s="95" t="str">
        <f>IF($A19="","",INDEX([1]Clasif_Pron!$I:$I,((ROW()-4)*12+8)))</f>
        <v>Irán</v>
      </c>
      <c r="AW19" s="95">
        <f>IF($A19="","",INDEX([1]Clasif_Pron!$M:$M,((ROW()-4)*12+8)))</f>
        <v>5</v>
      </c>
      <c r="AX19" s="119">
        <f>IF($A19="","",INDEX([1]Clasif_Pron!$N:$N,((ROW()-4)*12+8)))</f>
        <v>12</v>
      </c>
      <c r="AY19" s="119" t="str">
        <f>IF($A19="","",INDEX([1]Clasif_Pron!$E:$E,((ROW()-4)*12+9)))</f>
        <v>España</v>
      </c>
      <c r="AZ19" s="119">
        <f>IF($A19="","",INDEX([1]Clasif_Pron!$K:$K,((ROW()-4)*12+9)))</f>
        <v>7</v>
      </c>
      <c r="BA19" s="119" t="str">
        <f>IF($A19="","",INDEX([1]Clasif_Pron!$G:$G,((ROW()-4)*12+9)))</f>
        <v>Arabia Saudita</v>
      </c>
      <c r="BB19" s="119">
        <f>IF($A19="","",INDEX([1]Clasif_Pron!$L:$L,((ROW()-4)*12+9)))</f>
        <v>0</v>
      </c>
      <c r="BC19" s="119" t="str">
        <f>IF($A19="","",INDEX([1]Clasif_Pron!$I:$I,((ROW()-4)*12+9)))</f>
        <v>Cabo Verde</v>
      </c>
      <c r="BD19" s="119">
        <f>IF($A19="","",INDEX([1]Clasif_Pron!$M:$M,((ROW()-4)*12+9)))</f>
        <v>3</v>
      </c>
      <c r="BE19" s="119">
        <f>IF($A19="","",INDEX([1]Clasif_Pron!$N:$N,((ROW()-4)*12+9)))</f>
        <v>10</v>
      </c>
      <c r="BF19" s="119" t="str">
        <f>IF($A19="","",INDEX([1]Clasif_Pron!$E:$E,((ROW()-4)*12+10)))</f>
        <v>Francia</v>
      </c>
      <c r="BG19" s="119">
        <f>IF($A19="","",INDEX([1]Clasif_Pron!$K:$K,((ROW()-4)*12+10)))</f>
        <v>7</v>
      </c>
      <c r="BH19" s="119" t="str">
        <f>IF($A19="","",INDEX([1]Clasif_Pron!$G:$G,((ROW()-4)*12+10)))</f>
        <v>Irak</v>
      </c>
      <c r="BI19" s="119">
        <f>IF($A19="","",INDEX([1]Clasif_Pron!$L:$L,((ROW()-4)*12+10)))</f>
        <v>0</v>
      </c>
      <c r="BJ19" s="95" t="str">
        <f>IF($A19="","",INDEX([1]Clasif_Pron!$I:$I,((ROW()-4)*12+10)))</f>
        <v>Senegal</v>
      </c>
      <c r="BK19" s="95">
        <f>IF($A19="","",INDEX([1]Clasif_Pron!$M:$M,((ROW()-4)*12+10)))</f>
        <v>5</v>
      </c>
      <c r="BL19" s="95">
        <f>IF($A19="","",INDEX([1]Clasif_Pron!$N:$N,((ROW()-4)*12+10)))</f>
        <v>12</v>
      </c>
      <c r="BM19" s="119" t="str">
        <f>IF($A19="","",INDEX([1]Clasif_Pron!$E:$E,((ROW()-4)*12+11)))</f>
        <v>Argentina</v>
      </c>
      <c r="BN19" s="119">
        <f>IF($A19="","",INDEX([1]Clasif_Pron!$K:$K,((ROW()-4)*12+11)))</f>
        <v>7</v>
      </c>
      <c r="BO19" s="95" t="str">
        <f>IF($A19="","",INDEX([1]Clasif_Pron!$G:$G,((ROW()-4)*12+11)))</f>
        <v>Austria</v>
      </c>
      <c r="BP19" s="95">
        <f>IF($A19="","",INDEX([1]Clasif_Pron!$L:$L,((ROW()-4)*12+11)))</f>
        <v>6</v>
      </c>
      <c r="BQ19" s="95" t="str">
        <f>IF($A19="","",INDEX([1]Clasif_Pron!$I:$I,((ROW()-4)*12+11)))</f>
        <v>Argelia</v>
      </c>
      <c r="BR19" s="95">
        <f>IF($A19="","",INDEX([1]Clasif_Pron!$M:$M,((ROW()-4)*12+11)))</f>
        <v>0</v>
      </c>
      <c r="BS19" s="95">
        <f>IF($A19="","",INDEX([1]Clasif_Pron!$N:$N,((ROW()-4)*12+11)))</f>
        <v>13</v>
      </c>
      <c r="BT19" s="95" t="str">
        <f>IF($A19="","",INDEX([1]Clasif_Pron!$E:$E,((ROW()-4)*12+12)))</f>
        <v>Portugal</v>
      </c>
      <c r="BU19" s="95">
        <f>IF($A19="","",INDEX([1]Clasif_Pron!$K:$K,((ROW()-4)*12+12)))</f>
        <v>3</v>
      </c>
      <c r="BV19" s="95" t="str">
        <f>IF($A19="","",INDEX([1]Clasif_Pron!$G:$G,((ROW()-4)*12+12)))</f>
        <v>Uzbekistán</v>
      </c>
      <c r="BW19" s="95">
        <f>IF($A19="","",INDEX([1]Clasif_Pron!$L:$L,((ROW()-4)*12+12)))</f>
        <v>0</v>
      </c>
      <c r="BX19" s="95" t="str">
        <f>IF($A19="","",INDEX([1]Clasif_Pron!$I:$I,((ROW()-4)*12+12)))</f>
        <v>Colombia</v>
      </c>
      <c r="BY19" s="95">
        <f>IF($A19="","",INDEX([1]Clasif_Pron!$M:$M,((ROW()-4)*12+12)))</f>
        <v>3</v>
      </c>
      <c r="BZ19" s="95">
        <f>IF($A19="","",INDEX([1]Clasif_Pron!$N:$N,((ROW()-4)*12+12)))</f>
        <v>6</v>
      </c>
      <c r="CA19" s="95" t="str">
        <f>IF($A19="","",INDEX([1]Clasif_Pron!$E:$E,((ROW()-4)*12+13)))</f>
        <v>Inglaterra</v>
      </c>
      <c r="CB19" s="95">
        <f>IF($A19="","",INDEX([1]Clasif_Pron!$K:$K,((ROW()-4)*12+13)))</f>
        <v>7</v>
      </c>
      <c r="CC19" s="95" t="str">
        <f>IF($A19="","",INDEX([1]Clasif_Pron!$G:$G,((ROW()-4)*12+13)))</f>
        <v>Croacia</v>
      </c>
      <c r="CD19" s="95">
        <f>IF($A19="","",INDEX([1]Clasif_Pron!$L:$L,((ROW()-4)*12+13)))</f>
        <v>3</v>
      </c>
      <c r="CE19" s="95" t="str">
        <f>IF($A19="","",INDEX([1]Clasif_Pron!$I:$I,((ROW()-4)*12+13)))</f>
        <v>Panamá</v>
      </c>
      <c r="CF19" s="95">
        <f>IF($A19="","",INDEX([1]Clasif_Pron!$M:$M,((ROW()-4)*12+13)))</f>
        <v>0</v>
      </c>
      <c r="CG19" s="95">
        <f>IF($A19="","",INDEX([1]Clasif_Pron!$N:$N,((ROW()-4)*12+13)))</f>
        <v>10</v>
      </c>
      <c r="CH19" s="96">
        <f t="shared" si="0"/>
        <v>118</v>
      </c>
    </row>
    <row r="20" spans="1:86" ht="20.25" customHeight="1" x14ac:dyDescent="0.3">
      <c r="A20" s="94" t="str">
        <f>[1]Participantes!B18</f>
        <v>Jose C 1</v>
      </c>
      <c r="B20" s="119" t="str">
        <f>IF($A20="","",INDEX([1]Clasif_Pron!$E:$E,((ROW()-4)*12+2)))</f>
        <v>Chequia</v>
      </c>
      <c r="C20" s="119">
        <f>IF($A20="","",INDEX([1]Clasif_Pron!$K:$K,((ROW()-4)*12+2)))</f>
        <v>0</v>
      </c>
      <c r="D20" s="95" t="str">
        <f>IF($A20="","",INDEX([1]Clasif_Pron!$G:$G,((ROW()-4)*12+2)))</f>
        <v>Corea República</v>
      </c>
      <c r="E20" s="95">
        <f>IF($A20="","",INDEX([1]Clasif_Pron!$L:$L,((ROW()-4)*12+2)))</f>
        <v>3</v>
      </c>
      <c r="F20" s="119" t="str">
        <f>IF($A20="","",INDEX([1]Clasif_Pron!$I:$I,((ROW()-4)*12+2)))</f>
        <v>Sudáfrica</v>
      </c>
      <c r="G20" s="119">
        <f>IF($A20="","",INDEX([1]Clasif_Pron!$M:$M,((ROW()-4)*12+2)))</f>
        <v>3</v>
      </c>
      <c r="H20" s="95">
        <f>IF($A20="","",INDEX([1]Clasif_Pron!$N:$N,((ROW()-4)*12+2)))</f>
        <v>6</v>
      </c>
      <c r="I20" s="119" t="str">
        <f>IF($A20="","",INDEX([1]Clasif_Pron!$E:$E,((ROW()-4)*12+3)))</f>
        <v>Canadá</v>
      </c>
      <c r="J20" s="119">
        <f>IF($A20="","",INDEX([1]Clasif_Pron!$K:$K,((ROW()-4)*12+3)))</f>
        <v>3</v>
      </c>
      <c r="K20" s="119" t="str">
        <f>IF($A20="","",INDEX([1]Clasif_Pron!$G:$G,((ROW()-4)*12+3)))</f>
        <v>Suiza</v>
      </c>
      <c r="L20" s="119">
        <f>IF($A20="","",INDEX([1]Clasif_Pron!$L:$L,((ROW()-4)*12+3)))</f>
        <v>3</v>
      </c>
      <c r="M20" s="119" t="str">
        <f>IF($A20="","",INDEX([1]Clasif_Pron!$I:$I,((ROW()-4)*12+3)))</f>
        <v>Bosnia y Herzegovina</v>
      </c>
      <c r="N20" s="119">
        <f>IF($A20="","",INDEX([1]Clasif_Pron!$M:$M,((ROW()-4)*12+3)))</f>
        <v>5</v>
      </c>
      <c r="O20" s="119">
        <f>IF($A20="","",INDEX([1]Clasif_Pron!$N:$N,((ROW()-4)*12+3)))</f>
        <v>11</v>
      </c>
      <c r="P20" s="119" t="str">
        <f>IF($A20="","",INDEX([1]Clasif_Pron!$E:$E,((ROW()-4)*12+4)))</f>
        <v>Brasil</v>
      </c>
      <c r="Q20" s="119">
        <f>IF($A20="","",INDEX([1]Clasif_Pron!$K:$K,((ROW()-4)*12+4)))</f>
        <v>7</v>
      </c>
      <c r="R20" s="119" t="str">
        <f>IF($A20="","",INDEX([1]Clasif_Pron!$G:$G,((ROW()-4)*12+4)))</f>
        <v>Marruecos</v>
      </c>
      <c r="S20" s="119">
        <f>IF($A20="","",INDEX([1]Clasif_Pron!$L:$L,((ROW()-4)*12+4)))</f>
        <v>6</v>
      </c>
      <c r="T20" s="119" t="str">
        <f>IF($A20="","",INDEX([1]Clasif_Pron!$I:$I,((ROW()-4)*12+4)))</f>
        <v>Haití</v>
      </c>
      <c r="U20" s="119">
        <f>IF($A20="","",INDEX([1]Clasif_Pron!$M:$M,((ROW()-4)*12+4)))</f>
        <v>0</v>
      </c>
      <c r="V20" s="119">
        <f>IF($A20="","",INDEX([1]Clasif_Pron!$N:$N,((ROW()-4)*12+4)))</f>
        <v>13</v>
      </c>
      <c r="W20" s="119" t="str">
        <f>IF($A20="","",INDEX([1]Clasif_Pron!$E:$E,((ROW()-4)*12+5)))</f>
        <v>Estados Unidos</v>
      </c>
      <c r="X20" s="119">
        <f>IF($A20="","",INDEX([1]Clasif_Pron!$K:$K,((ROW()-4)*12+5)))</f>
        <v>7</v>
      </c>
      <c r="Y20" s="95" t="str">
        <f>IF($A20="","",INDEX([1]Clasif_Pron!$G:$G,((ROW()-4)*12+5)))</f>
        <v>Paraguay</v>
      </c>
      <c r="Z20" s="95">
        <f>IF($A20="","",INDEX([1]Clasif_Pron!$L:$L,((ROW()-4)*12+5)))</f>
        <v>3</v>
      </c>
      <c r="AA20" s="119" t="str">
        <f>IF($A20="","",INDEX([1]Clasif_Pron!$I:$I,((ROW()-4)*12+5)))</f>
        <v>Türkiye</v>
      </c>
      <c r="AB20" s="119">
        <f>IF($A20="","",INDEX([1]Clasif_Pron!$M:$M,((ROW()-4)*12+5)))</f>
        <v>0</v>
      </c>
      <c r="AC20" s="95">
        <f>IF($A20="","",INDEX([1]Clasif_Pron!$N:$N,((ROW()-4)*12+5)))</f>
        <v>10</v>
      </c>
      <c r="AD20" s="119" t="str">
        <f>IF($A20="","",INDEX([1]Clasif_Pron!$E:$E,((ROW()-4)*12+6)))</f>
        <v>Alemania</v>
      </c>
      <c r="AE20" s="119">
        <f>IF($A20="","",INDEX([1]Clasif_Pron!$K:$K,((ROW()-4)*12+6)))</f>
        <v>7</v>
      </c>
      <c r="AF20" s="119" t="str">
        <f>IF($A20="","",INDEX([1]Clasif_Pron!$G:$G,((ROW()-4)*12+6)))</f>
        <v>Costa de Marfil</v>
      </c>
      <c r="AG20" s="119">
        <f>IF($A20="","",INDEX([1]Clasif_Pron!$L:$L,((ROW()-4)*12+6)))</f>
        <v>6</v>
      </c>
      <c r="AH20" s="95" t="str">
        <f>IF($A20="","",INDEX([1]Clasif_Pron!$I:$I,((ROW()-4)*12+6)))</f>
        <v>Ecuador</v>
      </c>
      <c r="AI20" s="95">
        <f>IF($A20="","",INDEX([1]Clasif_Pron!$M:$M,((ROW()-4)*12+6)))</f>
        <v>5</v>
      </c>
      <c r="AJ20" s="95">
        <f>IF($A20="","",INDEX([1]Clasif_Pron!$N:$N,((ROW()-4)*12+6)))</f>
        <v>18</v>
      </c>
      <c r="AK20" s="119" t="str">
        <f>IF($A20="","",INDEX([1]Clasif_Pron!$E:$E,((ROW()-4)*12+7)))</f>
        <v>Países Bajos</v>
      </c>
      <c r="AL20" s="119">
        <f>IF($A20="","",INDEX([1]Clasif_Pron!$K:$K,((ROW()-4)*12+7)))</f>
        <v>7</v>
      </c>
      <c r="AM20" s="95" t="str">
        <f>IF($A20="","",INDEX([1]Clasif_Pron!$G:$G,((ROW()-4)*12+7)))</f>
        <v>Suecia</v>
      </c>
      <c r="AN20" s="95">
        <f>IF($A20="","",INDEX([1]Clasif_Pron!$L:$L,((ROW()-4)*12+7)))</f>
        <v>3</v>
      </c>
      <c r="AO20" s="119" t="str">
        <f>IF($A20="","",INDEX([1]Clasif_Pron!$I:$I,((ROW()-4)*12+7)))</f>
        <v>Japón</v>
      </c>
      <c r="AP20" s="119">
        <f>IF($A20="","",INDEX([1]Clasif_Pron!$M:$M,((ROW()-4)*12+7)))</f>
        <v>3</v>
      </c>
      <c r="AQ20" s="95">
        <f>IF($A20="","",INDEX([1]Clasif_Pron!$N:$N,((ROW()-4)*12+7)))</f>
        <v>13</v>
      </c>
      <c r="AR20" s="119" t="str">
        <f>IF($A20="","",INDEX([1]Clasif_Pron!$E:$E,((ROW()-4)*12+8)))</f>
        <v>Bélgica</v>
      </c>
      <c r="AS20" s="119">
        <f>IF($A20="","",INDEX([1]Clasif_Pron!$K:$K,((ROW()-4)*12+8)))</f>
        <v>7</v>
      </c>
      <c r="AT20" s="119" t="str">
        <f>IF($A20="","",INDEX([1]Clasif_Pron!$G:$G,((ROW()-4)*12+8)))</f>
        <v>Egipto</v>
      </c>
      <c r="AU20" s="119">
        <f>IF($A20="","",INDEX([1]Clasif_Pron!$L:$L,((ROW()-4)*12+8)))</f>
        <v>6</v>
      </c>
      <c r="AV20" s="95" t="str">
        <f>IF($A20="","",INDEX([1]Clasif_Pron!$I:$I,((ROW()-4)*12+8)))</f>
        <v>Irán</v>
      </c>
      <c r="AW20" s="95">
        <f>IF($A20="","",INDEX([1]Clasif_Pron!$M:$M,((ROW()-4)*12+8)))</f>
        <v>5</v>
      </c>
      <c r="AX20" s="95">
        <f>IF($A20="","",INDEX([1]Clasif_Pron!$N:$N,((ROW()-4)*12+8)))</f>
        <v>18</v>
      </c>
      <c r="AY20" s="119" t="str">
        <f>IF($A20="","",INDEX([1]Clasif_Pron!$E:$E,((ROW()-4)*12+9)))</f>
        <v>España</v>
      </c>
      <c r="AZ20" s="119">
        <f>IF($A20="","",INDEX([1]Clasif_Pron!$K:$K,((ROW()-4)*12+9)))</f>
        <v>7</v>
      </c>
      <c r="BA20" s="119" t="str">
        <f>IF($A20="","",INDEX([1]Clasif_Pron!$G:$G,((ROW()-4)*12+9)))</f>
        <v>Uruguay</v>
      </c>
      <c r="BB20" s="119">
        <f>IF($A20="","",INDEX([1]Clasif_Pron!$L:$L,((ROW()-4)*12+9)))</f>
        <v>0</v>
      </c>
      <c r="BC20" s="119" t="str">
        <f>IF($A20="","",INDEX([1]Clasif_Pron!$I:$I,((ROW()-4)*12+9)))</f>
        <v>Cabo Verde</v>
      </c>
      <c r="BD20" s="119">
        <f>IF($A20="","",INDEX([1]Clasif_Pron!$M:$M,((ROW()-4)*12+9)))</f>
        <v>3</v>
      </c>
      <c r="BE20" s="119">
        <f>IF($A20="","",INDEX([1]Clasif_Pron!$N:$N,((ROW()-4)*12+9)))</f>
        <v>10</v>
      </c>
      <c r="BF20" s="119" t="str">
        <f>IF($A20="","",INDEX([1]Clasif_Pron!$E:$E,((ROW()-4)*12+10)))</f>
        <v>Francia</v>
      </c>
      <c r="BG20" s="119">
        <f>IF($A20="","",INDEX([1]Clasif_Pron!$K:$K,((ROW()-4)*12+10)))</f>
        <v>7</v>
      </c>
      <c r="BH20" s="119" t="str">
        <f>IF($A20="","",INDEX([1]Clasif_Pron!$G:$G,((ROW()-4)*12+10)))</f>
        <v>Noruega</v>
      </c>
      <c r="BI20" s="119">
        <f>IF($A20="","",INDEX([1]Clasif_Pron!$L:$L,((ROW()-4)*12+10)))</f>
        <v>6</v>
      </c>
      <c r="BJ20" s="95" t="str">
        <f>IF($A20="","",INDEX([1]Clasif_Pron!$I:$I,((ROW()-4)*12+10)))</f>
        <v>Senegal</v>
      </c>
      <c r="BK20" s="95">
        <f>IF($A20="","",INDEX([1]Clasif_Pron!$M:$M,((ROW()-4)*12+10)))</f>
        <v>5</v>
      </c>
      <c r="BL20" s="95">
        <f>IF($A20="","",INDEX([1]Clasif_Pron!$N:$N,((ROW()-4)*12+10)))</f>
        <v>18</v>
      </c>
      <c r="BM20" s="119" t="str">
        <f>IF($A20="","",INDEX([1]Clasif_Pron!$E:$E,((ROW()-4)*12+11)))</f>
        <v>Argentina</v>
      </c>
      <c r="BN20" s="119">
        <f>IF($A20="","",INDEX([1]Clasif_Pron!$K:$K,((ROW()-4)*12+11)))</f>
        <v>7</v>
      </c>
      <c r="BO20" s="95" t="str">
        <f>IF($A20="","",INDEX([1]Clasif_Pron!$G:$G,((ROW()-4)*12+11)))</f>
        <v>Austria</v>
      </c>
      <c r="BP20" s="95">
        <f>IF($A20="","",INDEX([1]Clasif_Pron!$L:$L,((ROW()-4)*12+11)))</f>
        <v>6</v>
      </c>
      <c r="BQ20" s="95" t="str">
        <f>IF($A20="","",INDEX([1]Clasif_Pron!$I:$I,((ROW()-4)*12+11)))</f>
        <v>Argelia</v>
      </c>
      <c r="BR20" s="95">
        <f>IF($A20="","",INDEX([1]Clasif_Pron!$M:$M,((ROW()-4)*12+11)))</f>
        <v>0</v>
      </c>
      <c r="BS20" s="95">
        <f>IF($A20="","",INDEX([1]Clasif_Pron!$N:$N,((ROW()-4)*12+11)))</f>
        <v>13</v>
      </c>
      <c r="BT20" s="95" t="str">
        <f>IF($A20="","",INDEX([1]Clasif_Pron!$E:$E,((ROW()-4)*12+12)))</f>
        <v>Portugal</v>
      </c>
      <c r="BU20" s="95">
        <f>IF($A20="","",INDEX([1]Clasif_Pron!$K:$K,((ROW()-4)*12+12)))</f>
        <v>3</v>
      </c>
      <c r="BV20" s="95" t="str">
        <f>IF($A20="","",INDEX([1]Clasif_Pron!$G:$G,((ROW()-4)*12+12)))</f>
        <v>Colombia</v>
      </c>
      <c r="BW20" s="95">
        <f>IF($A20="","",INDEX([1]Clasif_Pron!$L:$L,((ROW()-4)*12+12)))</f>
        <v>3</v>
      </c>
      <c r="BX20" s="95" t="str">
        <f>IF($A20="","",INDEX([1]Clasif_Pron!$I:$I,((ROW()-4)*12+12)))</f>
        <v>RD Congo</v>
      </c>
      <c r="BY20" s="95">
        <f>IF($A20="","",INDEX([1]Clasif_Pron!$M:$M,((ROW()-4)*12+12)))</f>
        <v>0</v>
      </c>
      <c r="BZ20" s="95">
        <f>IF($A20="","",INDEX([1]Clasif_Pron!$N:$N,((ROW()-4)*12+12)))</f>
        <v>6</v>
      </c>
      <c r="CA20" s="95" t="str">
        <f>IF($A20="","",INDEX([1]Clasif_Pron!$E:$E,((ROW()-4)*12+13)))</f>
        <v>Inglaterra</v>
      </c>
      <c r="CB20" s="95">
        <f>IF($A20="","",INDEX([1]Clasif_Pron!$K:$K,((ROW()-4)*12+13)))</f>
        <v>7</v>
      </c>
      <c r="CC20" s="95" t="str">
        <f>IF($A20="","",INDEX([1]Clasif_Pron!$G:$G,((ROW()-4)*12+13)))</f>
        <v>Croacia</v>
      </c>
      <c r="CD20" s="95">
        <f>IF($A20="","",INDEX([1]Clasif_Pron!$L:$L,((ROW()-4)*12+13)))</f>
        <v>3</v>
      </c>
      <c r="CE20" s="95" t="str">
        <f>IF($A20="","",INDEX([1]Clasif_Pron!$I:$I,((ROW()-4)*12+13)))</f>
        <v>Ghana</v>
      </c>
      <c r="CF20" s="95">
        <f>IF($A20="","",INDEX([1]Clasif_Pron!$M:$M,((ROW()-4)*12+13)))</f>
        <v>3</v>
      </c>
      <c r="CG20" s="95">
        <f>IF($A20="","",INDEX([1]Clasif_Pron!$N:$N,((ROW()-4)*12+13)))</f>
        <v>13</v>
      </c>
      <c r="CH20" s="96">
        <f t="shared" si="0"/>
        <v>149</v>
      </c>
    </row>
    <row r="21" spans="1:86" ht="20.25" customHeight="1" x14ac:dyDescent="0.3">
      <c r="A21" s="94" t="str">
        <f>[1]Participantes!B19</f>
        <v>Jose C 2</v>
      </c>
      <c r="B21" s="95" t="str">
        <f>IF($A21="","",INDEX([1]Clasif_Pron!$E:$E,((ROW()-4)*12+2)))</f>
        <v>Corea República</v>
      </c>
      <c r="C21" s="95">
        <f>IF($A21="","",INDEX([1]Clasif_Pron!$K:$K,((ROW()-4)*12+2)))</f>
        <v>3</v>
      </c>
      <c r="D21" s="119" t="str">
        <f>IF($A21="","",INDEX([1]Clasif_Pron!$G:$G,((ROW()-4)*12+2)))</f>
        <v>Chequia</v>
      </c>
      <c r="E21" s="119">
        <f>IF($A21="","",INDEX([1]Clasif_Pron!$L:$L,((ROW()-4)*12+2)))</f>
        <v>0</v>
      </c>
      <c r="F21" s="119" t="str">
        <f>IF($A21="","",INDEX([1]Clasif_Pron!$I:$I,((ROW()-4)*12+2)))</f>
        <v>México</v>
      </c>
      <c r="G21" s="119">
        <f>IF($A21="","",INDEX([1]Clasif_Pron!$M:$M,((ROW()-4)*12+2)))</f>
        <v>3</v>
      </c>
      <c r="H21" s="95">
        <f>IF($A21="","",INDEX([1]Clasif_Pron!$N:$N,((ROW()-4)*12+2)))</f>
        <v>6</v>
      </c>
      <c r="I21" s="119" t="str">
        <f>IF($A21="","",INDEX([1]Clasif_Pron!$E:$E,((ROW()-4)*12+3)))</f>
        <v>Suiza</v>
      </c>
      <c r="J21" s="119">
        <f>IF($A21="","",INDEX([1]Clasif_Pron!$K:$K,((ROW()-4)*12+3)))</f>
        <v>7</v>
      </c>
      <c r="K21" s="119" t="str">
        <f>IF($A21="","",INDEX([1]Clasif_Pron!$G:$G,((ROW()-4)*12+3)))</f>
        <v>Canadá</v>
      </c>
      <c r="L21" s="119">
        <f>IF($A21="","",INDEX([1]Clasif_Pron!$L:$L,((ROW()-4)*12+3)))</f>
        <v>6</v>
      </c>
      <c r="M21" s="119" t="str">
        <f>IF($A21="","",INDEX([1]Clasif_Pron!$I:$I,((ROW()-4)*12+3)))</f>
        <v>Bosnia y Herzegovina</v>
      </c>
      <c r="N21" s="119">
        <f>IF($A21="","",INDEX([1]Clasif_Pron!$M:$M,((ROW()-4)*12+3)))</f>
        <v>5</v>
      </c>
      <c r="O21" s="119">
        <f>IF($A21="","",INDEX([1]Clasif_Pron!$N:$N,((ROW()-4)*12+3)))</f>
        <v>18</v>
      </c>
      <c r="P21" s="119" t="str">
        <f>IF($A21="","",INDEX([1]Clasif_Pron!$E:$E,((ROW()-4)*12+4)))</f>
        <v>Marruecos</v>
      </c>
      <c r="Q21" s="119">
        <f>IF($A21="","",INDEX([1]Clasif_Pron!$K:$K,((ROW()-4)*12+4)))</f>
        <v>3</v>
      </c>
      <c r="R21" s="119" t="str">
        <f>IF($A21="","",INDEX([1]Clasif_Pron!$G:$G,((ROW()-4)*12+4)))</f>
        <v>Brasil</v>
      </c>
      <c r="S21" s="119">
        <f>IF($A21="","",INDEX([1]Clasif_Pron!$L:$L,((ROW()-4)*12+4)))</f>
        <v>3</v>
      </c>
      <c r="T21" s="119" t="str">
        <f>IF($A21="","",INDEX([1]Clasif_Pron!$I:$I,((ROW()-4)*12+4)))</f>
        <v>Haití</v>
      </c>
      <c r="U21" s="119">
        <f>IF($A21="","",INDEX([1]Clasif_Pron!$M:$M,((ROW()-4)*12+4)))</f>
        <v>0</v>
      </c>
      <c r="V21" s="119">
        <f>IF($A21="","",INDEX([1]Clasif_Pron!$N:$N,((ROW()-4)*12+4)))</f>
        <v>6</v>
      </c>
      <c r="W21" s="95" t="str">
        <f>IF($A21="","",INDEX([1]Clasif_Pron!$E:$E,((ROW()-4)*12+5)))</f>
        <v>Paraguay</v>
      </c>
      <c r="X21" s="95">
        <f>IF($A21="","",INDEX([1]Clasif_Pron!$K:$K,((ROW()-4)*12+5)))</f>
        <v>3</v>
      </c>
      <c r="Y21" s="119" t="str">
        <f>IF($A21="","",INDEX([1]Clasif_Pron!$G:$G,((ROW()-4)*12+5)))</f>
        <v>Türkiye</v>
      </c>
      <c r="Z21" s="119">
        <f>IF($A21="","",INDEX([1]Clasif_Pron!$L:$L,((ROW()-4)*12+5)))</f>
        <v>0</v>
      </c>
      <c r="AA21" s="119" t="str">
        <f>IF($A21="","",INDEX([1]Clasif_Pron!$I:$I,((ROW()-4)*12+5)))</f>
        <v>Estados Unidos</v>
      </c>
      <c r="AB21" s="119">
        <f>IF($A21="","",INDEX([1]Clasif_Pron!$M:$M,((ROW()-4)*12+5)))</f>
        <v>3</v>
      </c>
      <c r="AC21" s="95">
        <f>IF($A21="","",INDEX([1]Clasif_Pron!$N:$N,((ROW()-4)*12+5)))</f>
        <v>6</v>
      </c>
      <c r="AD21" s="119" t="str">
        <f>IF($A21="","",INDEX([1]Clasif_Pron!$E:$E,((ROW()-4)*12+6)))</f>
        <v>Alemania</v>
      </c>
      <c r="AE21" s="119">
        <f>IF($A21="","",INDEX([1]Clasif_Pron!$K:$K,((ROW()-4)*12+6)))</f>
        <v>7</v>
      </c>
      <c r="AF21" s="119" t="str">
        <f>IF($A21="","",INDEX([1]Clasif_Pron!$G:$G,((ROW()-4)*12+6)))</f>
        <v>Costa de Marfil</v>
      </c>
      <c r="AG21" s="119">
        <f>IF($A21="","",INDEX([1]Clasif_Pron!$L:$L,((ROW()-4)*12+6)))</f>
        <v>6</v>
      </c>
      <c r="AH21" s="95" t="str">
        <f>IF($A21="","",INDEX([1]Clasif_Pron!$I:$I,((ROW()-4)*12+6)))</f>
        <v>Ecuador</v>
      </c>
      <c r="AI21" s="95">
        <f>IF($A21="","",INDEX([1]Clasif_Pron!$M:$M,((ROW()-4)*12+6)))</f>
        <v>5</v>
      </c>
      <c r="AJ21" s="95">
        <f>IF($A21="","",INDEX([1]Clasif_Pron!$N:$N,((ROW()-4)*12+6)))</f>
        <v>18</v>
      </c>
      <c r="AK21" s="119" t="str">
        <f>IF($A21="","",INDEX([1]Clasif_Pron!$E:$E,((ROW()-4)*12+7)))</f>
        <v>Japón</v>
      </c>
      <c r="AL21" s="119">
        <f>IF($A21="","",INDEX([1]Clasif_Pron!$K:$K,((ROW()-4)*12+7)))</f>
        <v>3</v>
      </c>
      <c r="AM21" s="119" t="str">
        <f>IF($A21="","",INDEX([1]Clasif_Pron!$G:$G,((ROW()-4)*12+7)))</f>
        <v>Países Bajos</v>
      </c>
      <c r="AN21" s="119">
        <f>IF($A21="","",INDEX([1]Clasif_Pron!$L:$L,((ROW()-4)*12+7)))</f>
        <v>3</v>
      </c>
      <c r="AO21" s="95" t="str">
        <f>IF($A21="","",INDEX([1]Clasif_Pron!$I:$I,((ROW()-4)*12+7)))</f>
        <v>Suecia</v>
      </c>
      <c r="AP21" s="95">
        <f>IF($A21="","",INDEX([1]Clasif_Pron!$M:$M,((ROW()-4)*12+7)))</f>
        <v>5</v>
      </c>
      <c r="AQ21" s="95">
        <f>IF($A21="","",INDEX([1]Clasif_Pron!$N:$N,((ROW()-4)*12+7)))</f>
        <v>11</v>
      </c>
      <c r="AR21" s="119" t="str">
        <f>IF($A21="","",INDEX([1]Clasif_Pron!$E:$E,((ROW()-4)*12+8)))</f>
        <v>Bélgica</v>
      </c>
      <c r="AS21" s="119">
        <f>IF($A21="","",INDEX([1]Clasif_Pron!$K:$K,((ROW()-4)*12+8)))</f>
        <v>7</v>
      </c>
      <c r="AT21" s="119" t="str">
        <f>IF($A21="","",INDEX([1]Clasif_Pron!$G:$G,((ROW()-4)*12+8)))</f>
        <v>Egipto</v>
      </c>
      <c r="AU21" s="119">
        <f>IF($A21="","",INDEX([1]Clasif_Pron!$L:$L,((ROW()-4)*12+8)))</f>
        <v>6</v>
      </c>
      <c r="AV21" s="119" t="str">
        <f>IF($A21="","",INDEX([1]Clasif_Pron!$I:$I,((ROW()-4)*12+8)))</f>
        <v>Nueva Zelanda</v>
      </c>
      <c r="AW21" s="119">
        <f>IF($A21="","",INDEX([1]Clasif_Pron!$M:$M,((ROW()-4)*12+8)))</f>
        <v>0</v>
      </c>
      <c r="AX21" s="119">
        <f>IF($A21="","",INDEX([1]Clasif_Pron!$N:$N,((ROW()-4)*12+8)))</f>
        <v>13</v>
      </c>
      <c r="AY21" s="119" t="str">
        <f>IF($A21="","",INDEX([1]Clasif_Pron!$E:$E,((ROW()-4)*12+9)))</f>
        <v>España</v>
      </c>
      <c r="AZ21" s="119">
        <f>IF($A21="","",INDEX([1]Clasif_Pron!$K:$K,((ROW()-4)*12+9)))</f>
        <v>7</v>
      </c>
      <c r="BA21" s="119" t="str">
        <f>IF($A21="","",INDEX([1]Clasif_Pron!$G:$G,((ROW()-4)*12+9)))</f>
        <v>Uruguay</v>
      </c>
      <c r="BB21" s="119">
        <f>IF($A21="","",INDEX([1]Clasif_Pron!$L:$L,((ROW()-4)*12+9)))</f>
        <v>0</v>
      </c>
      <c r="BC21" s="119" t="str">
        <f>IF($A21="","",INDEX([1]Clasif_Pron!$I:$I,((ROW()-4)*12+9)))</f>
        <v>Arabia Saudita</v>
      </c>
      <c r="BD21" s="119">
        <f>IF($A21="","",INDEX([1]Clasif_Pron!$M:$M,((ROW()-4)*12+9)))</f>
        <v>0</v>
      </c>
      <c r="BE21" s="119">
        <f>IF($A21="","",INDEX([1]Clasif_Pron!$N:$N,((ROW()-4)*12+9)))</f>
        <v>7</v>
      </c>
      <c r="BF21" s="119" t="str">
        <f>IF($A21="","",INDEX([1]Clasif_Pron!$E:$E,((ROW()-4)*12+10)))</f>
        <v>Francia</v>
      </c>
      <c r="BG21" s="119">
        <f>IF($A21="","",INDEX([1]Clasif_Pron!$K:$K,((ROW()-4)*12+10)))</f>
        <v>7</v>
      </c>
      <c r="BH21" s="119" t="str">
        <f>IF($A21="","",INDEX([1]Clasif_Pron!$G:$G,((ROW()-4)*12+10)))</f>
        <v>Noruega</v>
      </c>
      <c r="BI21" s="119">
        <f>IF($A21="","",INDEX([1]Clasif_Pron!$L:$L,((ROW()-4)*12+10)))</f>
        <v>6</v>
      </c>
      <c r="BJ21" s="95" t="str">
        <f>IF($A21="","",INDEX([1]Clasif_Pron!$I:$I,((ROW()-4)*12+10)))</f>
        <v>Senegal</v>
      </c>
      <c r="BK21" s="95">
        <f>IF($A21="","",INDEX([1]Clasif_Pron!$M:$M,((ROW()-4)*12+10)))</f>
        <v>5</v>
      </c>
      <c r="BL21" s="95">
        <f>IF($A21="","",INDEX([1]Clasif_Pron!$N:$N,((ROW()-4)*12+10)))</f>
        <v>18</v>
      </c>
      <c r="BM21" s="119" t="str">
        <f>IF($A21="","",INDEX([1]Clasif_Pron!$E:$E,((ROW()-4)*12+11)))</f>
        <v>Argentina</v>
      </c>
      <c r="BN21" s="119">
        <f>IF($A21="","",INDEX([1]Clasif_Pron!$K:$K,((ROW()-4)*12+11)))</f>
        <v>7</v>
      </c>
      <c r="BO21" s="95" t="str">
        <f>IF($A21="","",INDEX([1]Clasif_Pron!$G:$G,((ROW()-4)*12+11)))</f>
        <v>Austria</v>
      </c>
      <c r="BP21" s="95">
        <f>IF($A21="","",INDEX([1]Clasif_Pron!$L:$L,((ROW()-4)*12+11)))</f>
        <v>6</v>
      </c>
      <c r="BQ21" s="95" t="str">
        <f>IF($A21="","",INDEX([1]Clasif_Pron!$I:$I,((ROW()-4)*12+11)))</f>
        <v>Argelia</v>
      </c>
      <c r="BR21" s="95">
        <f>IF($A21="","",INDEX([1]Clasif_Pron!$M:$M,((ROW()-4)*12+11)))</f>
        <v>0</v>
      </c>
      <c r="BS21" s="95">
        <f>IF($A21="","",INDEX([1]Clasif_Pron!$N:$N,((ROW()-4)*12+11)))</f>
        <v>13</v>
      </c>
      <c r="BT21" s="95" t="str">
        <f>IF($A21="","",INDEX([1]Clasif_Pron!$E:$E,((ROW()-4)*12+12)))</f>
        <v>Portugal</v>
      </c>
      <c r="BU21" s="95">
        <f>IF($A21="","",INDEX([1]Clasif_Pron!$K:$K,((ROW()-4)*12+12)))</f>
        <v>3</v>
      </c>
      <c r="BV21" s="95" t="str">
        <f>IF($A21="","",INDEX([1]Clasif_Pron!$G:$G,((ROW()-4)*12+12)))</f>
        <v>Colombia</v>
      </c>
      <c r="BW21" s="95">
        <f>IF($A21="","",INDEX([1]Clasif_Pron!$L:$L,((ROW()-4)*12+12)))</f>
        <v>3</v>
      </c>
      <c r="BX21" s="95" t="str">
        <f>IF($A21="","",INDEX([1]Clasif_Pron!$I:$I,((ROW()-4)*12+12)))</f>
        <v>RD Congo</v>
      </c>
      <c r="BY21" s="95">
        <f>IF($A21="","",INDEX([1]Clasif_Pron!$M:$M,((ROW()-4)*12+12)))</f>
        <v>0</v>
      </c>
      <c r="BZ21" s="95">
        <f>IF($A21="","",INDEX([1]Clasif_Pron!$N:$N,((ROW()-4)*12+12)))</f>
        <v>6</v>
      </c>
      <c r="CA21" s="95" t="str">
        <f>IF($A21="","",INDEX([1]Clasif_Pron!$E:$E,((ROW()-4)*12+13)))</f>
        <v>Inglaterra</v>
      </c>
      <c r="CB21" s="95">
        <f>IF($A21="","",INDEX([1]Clasif_Pron!$K:$K,((ROW()-4)*12+13)))</f>
        <v>7</v>
      </c>
      <c r="CC21" s="95" t="str">
        <f>IF($A21="","",INDEX([1]Clasif_Pron!$G:$G,((ROW()-4)*12+13)))</f>
        <v>Croacia</v>
      </c>
      <c r="CD21" s="95">
        <f>IF($A21="","",INDEX([1]Clasif_Pron!$L:$L,((ROW()-4)*12+13)))</f>
        <v>3</v>
      </c>
      <c r="CE21" s="95" t="str">
        <f>IF($A21="","",INDEX([1]Clasif_Pron!$I:$I,((ROW()-4)*12+13)))</f>
        <v>Ghana</v>
      </c>
      <c r="CF21" s="95">
        <f>IF($A21="","",INDEX([1]Clasif_Pron!$M:$M,((ROW()-4)*12+13)))</f>
        <v>3</v>
      </c>
      <c r="CG21" s="95">
        <f>IF($A21="","",INDEX([1]Clasif_Pron!$N:$N,((ROW()-4)*12+13)))</f>
        <v>13</v>
      </c>
      <c r="CH21" s="96">
        <f t="shared" si="0"/>
        <v>135</v>
      </c>
    </row>
    <row r="22" spans="1:86" ht="20.25" customHeight="1" x14ac:dyDescent="0.3">
      <c r="A22" s="94" t="str">
        <f>[1]Participantes!B20</f>
        <v>Jose C Ahiza</v>
      </c>
      <c r="B22" s="119" t="str">
        <f>IF($A22="","",INDEX([1]Clasif_Pron!$E:$E,((ROW()-4)*12+2)))</f>
        <v>México</v>
      </c>
      <c r="C22" s="119">
        <f>IF($A22="","",INDEX([1]Clasif_Pron!$K:$K,((ROW()-4)*12+2)))</f>
        <v>7</v>
      </c>
      <c r="D22" s="95" t="str">
        <f>IF($A22="","",INDEX([1]Clasif_Pron!$G:$G,((ROW()-4)*12+2)))</f>
        <v>Corea República</v>
      </c>
      <c r="E22" s="95">
        <f>IF($A22="","",INDEX([1]Clasif_Pron!$L:$L,((ROW()-4)*12+2)))</f>
        <v>3</v>
      </c>
      <c r="F22" s="119" t="str">
        <f>IF($A22="","",INDEX([1]Clasif_Pron!$I:$I,((ROW()-4)*12+2)))</f>
        <v>Sudáfrica</v>
      </c>
      <c r="G22" s="119">
        <f>IF($A22="","",INDEX([1]Clasif_Pron!$M:$M,((ROW()-4)*12+2)))</f>
        <v>3</v>
      </c>
      <c r="H22" s="95">
        <f>IF($A22="","",INDEX([1]Clasif_Pron!$N:$N,((ROW()-4)*12+2)))</f>
        <v>13</v>
      </c>
      <c r="I22" s="119" t="str">
        <f>IF($A22="","",INDEX([1]Clasif_Pron!$E:$E,((ROW()-4)*12+3)))</f>
        <v>Suiza</v>
      </c>
      <c r="J22" s="119">
        <f>IF($A22="","",INDEX([1]Clasif_Pron!$K:$K,((ROW()-4)*12+3)))</f>
        <v>7</v>
      </c>
      <c r="K22" s="119" t="str">
        <f>IF($A22="","",INDEX([1]Clasif_Pron!$G:$G,((ROW()-4)*12+3)))</f>
        <v>Canadá</v>
      </c>
      <c r="L22" s="119">
        <f>IF($A22="","",INDEX([1]Clasif_Pron!$L:$L,((ROW()-4)*12+3)))</f>
        <v>6</v>
      </c>
      <c r="M22" s="119" t="str">
        <f>IF($A22="","",INDEX([1]Clasif_Pron!$I:$I,((ROW()-4)*12+3)))</f>
        <v>Qatar</v>
      </c>
      <c r="N22" s="119">
        <f>IF($A22="","",INDEX([1]Clasif_Pron!$M:$M,((ROW()-4)*12+3)))</f>
        <v>0</v>
      </c>
      <c r="O22" s="119">
        <f>IF($A22="","",INDEX([1]Clasif_Pron!$N:$N,((ROW()-4)*12+3)))</f>
        <v>13</v>
      </c>
      <c r="P22" s="119" t="str">
        <f>IF($A22="","",INDEX([1]Clasif_Pron!$E:$E,((ROW()-4)*12+4)))</f>
        <v>Brasil</v>
      </c>
      <c r="Q22" s="119">
        <f>IF($A22="","",INDEX([1]Clasif_Pron!$K:$K,((ROW()-4)*12+4)))</f>
        <v>7</v>
      </c>
      <c r="R22" s="119" t="str">
        <f>IF($A22="","",INDEX([1]Clasif_Pron!$G:$G,((ROW()-4)*12+4)))</f>
        <v>Marruecos</v>
      </c>
      <c r="S22" s="119">
        <f>IF($A22="","",INDEX([1]Clasif_Pron!$L:$L,((ROW()-4)*12+4)))</f>
        <v>6</v>
      </c>
      <c r="T22" s="95" t="str">
        <f>IF($A22="","",INDEX([1]Clasif_Pron!$I:$I,((ROW()-4)*12+4)))</f>
        <v>Escocia</v>
      </c>
      <c r="U22" s="95">
        <f>IF($A22="","",INDEX([1]Clasif_Pron!$M:$M,((ROW()-4)*12+4)))</f>
        <v>0</v>
      </c>
      <c r="V22" s="95">
        <f>IF($A22="","",INDEX([1]Clasif_Pron!$N:$N,((ROW()-4)*12+4)))</f>
        <v>13</v>
      </c>
      <c r="W22" s="119" t="str">
        <f>IF($A22="","",INDEX([1]Clasif_Pron!$E:$E,((ROW()-4)*12+5)))</f>
        <v>Estados Unidos</v>
      </c>
      <c r="X22" s="119">
        <f>IF($A22="","",INDEX([1]Clasif_Pron!$K:$K,((ROW()-4)*12+5)))</f>
        <v>7</v>
      </c>
      <c r="Y22" s="119" t="str">
        <f>IF($A22="","",INDEX([1]Clasif_Pron!$G:$G,((ROW()-4)*12+5)))</f>
        <v>Türkiye</v>
      </c>
      <c r="Z22" s="119">
        <f>IF($A22="","",INDEX([1]Clasif_Pron!$L:$L,((ROW()-4)*12+5)))</f>
        <v>0</v>
      </c>
      <c r="AA22" s="95" t="str">
        <f>IF($A22="","",INDEX([1]Clasif_Pron!$I:$I,((ROW()-4)*12+5)))</f>
        <v>Paraguay</v>
      </c>
      <c r="AB22" s="95">
        <f>IF($A22="","",INDEX([1]Clasif_Pron!$M:$M,((ROW()-4)*12+5)))</f>
        <v>5</v>
      </c>
      <c r="AC22" s="95">
        <f>IF($A22="","",INDEX([1]Clasif_Pron!$N:$N,((ROW()-4)*12+5)))</f>
        <v>12</v>
      </c>
      <c r="AD22" s="119" t="str">
        <f>IF($A22="","",INDEX([1]Clasif_Pron!$E:$E,((ROW()-4)*12+6)))</f>
        <v>Alemania</v>
      </c>
      <c r="AE22" s="119">
        <f>IF($A22="","",INDEX([1]Clasif_Pron!$K:$K,((ROW()-4)*12+6)))</f>
        <v>7</v>
      </c>
      <c r="AF22" s="119" t="str">
        <f>IF($A22="","",INDEX([1]Clasif_Pron!$G:$G,((ROW()-4)*12+6)))</f>
        <v>Costa de Marfil</v>
      </c>
      <c r="AG22" s="119">
        <f>IF($A22="","",INDEX([1]Clasif_Pron!$L:$L,((ROW()-4)*12+6)))</f>
        <v>6</v>
      </c>
      <c r="AH22" s="95" t="str">
        <f>IF($A22="","",INDEX([1]Clasif_Pron!$I:$I,((ROW()-4)*12+6)))</f>
        <v>Ecuador</v>
      </c>
      <c r="AI22" s="95">
        <f>IF($A22="","",INDEX([1]Clasif_Pron!$M:$M,((ROW()-4)*12+6)))</f>
        <v>5</v>
      </c>
      <c r="AJ22" s="95">
        <f>IF($A22="","",INDEX([1]Clasif_Pron!$N:$N,((ROW()-4)*12+6)))</f>
        <v>18</v>
      </c>
      <c r="AK22" s="119" t="str">
        <f>IF($A22="","",INDEX([1]Clasif_Pron!$E:$E,((ROW()-4)*12+7)))</f>
        <v>Países Bajos</v>
      </c>
      <c r="AL22" s="119">
        <f>IF($A22="","",INDEX([1]Clasif_Pron!$K:$K,((ROW()-4)*12+7)))</f>
        <v>7</v>
      </c>
      <c r="AM22" s="95" t="str">
        <f>IF($A22="","",INDEX([1]Clasif_Pron!$G:$G,((ROW()-4)*12+7)))</f>
        <v>Suecia</v>
      </c>
      <c r="AN22" s="95">
        <f>IF($A22="","",INDEX([1]Clasif_Pron!$L:$L,((ROW()-4)*12+7)))</f>
        <v>3</v>
      </c>
      <c r="AO22" s="119" t="str">
        <f>IF($A22="","",INDEX([1]Clasif_Pron!$I:$I,((ROW()-4)*12+7)))</f>
        <v>Japón</v>
      </c>
      <c r="AP22" s="119">
        <f>IF($A22="","",INDEX([1]Clasif_Pron!$M:$M,((ROW()-4)*12+7)))</f>
        <v>3</v>
      </c>
      <c r="AQ22" s="95">
        <f>IF($A22="","",INDEX([1]Clasif_Pron!$N:$N,((ROW()-4)*12+7)))</f>
        <v>13</v>
      </c>
      <c r="AR22" s="119" t="str">
        <f>IF($A22="","",INDEX([1]Clasif_Pron!$E:$E,((ROW()-4)*12+8)))</f>
        <v>Bélgica</v>
      </c>
      <c r="AS22" s="119">
        <f>IF($A22="","",INDEX([1]Clasif_Pron!$K:$K,((ROW()-4)*12+8)))</f>
        <v>7</v>
      </c>
      <c r="AT22" s="95" t="str">
        <f>IF($A22="","",INDEX([1]Clasif_Pron!$G:$G,((ROW()-4)*12+8)))</f>
        <v>Irán</v>
      </c>
      <c r="AU22" s="95">
        <f>IF($A22="","",INDEX([1]Clasif_Pron!$L:$L,((ROW()-4)*12+8)))</f>
        <v>3</v>
      </c>
      <c r="AV22" s="119" t="str">
        <f>IF($A22="","",INDEX([1]Clasif_Pron!$I:$I,((ROW()-4)*12+8)))</f>
        <v>Egipto</v>
      </c>
      <c r="AW22" s="119">
        <f>IF($A22="","",INDEX([1]Clasif_Pron!$M:$M,((ROW()-4)*12+8)))</f>
        <v>3</v>
      </c>
      <c r="AX22" s="95">
        <f>IF($A22="","",INDEX([1]Clasif_Pron!$N:$N,((ROW()-4)*12+8)))</f>
        <v>13</v>
      </c>
      <c r="AY22" s="119" t="str">
        <f>IF($A22="","",INDEX([1]Clasif_Pron!$E:$E,((ROW()-4)*12+9)))</f>
        <v>España</v>
      </c>
      <c r="AZ22" s="119">
        <f>IF($A22="","",INDEX([1]Clasif_Pron!$K:$K,((ROW()-4)*12+9)))</f>
        <v>7</v>
      </c>
      <c r="BA22" s="119" t="str">
        <f>IF($A22="","",INDEX([1]Clasif_Pron!$G:$G,((ROW()-4)*12+9)))</f>
        <v>Uruguay</v>
      </c>
      <c r="BB22" s="119">
        <f>IF($A22="","",INDEX([1]Clasif_Pron!$L:$L,((ROW()-4)*12+9)))</f>
        <v>0</v>
      </c>
      <c r="BC22" s="119" t="str">
        <f>IF($A22="","",INDEX([1]Clasif_Pron!$I:$I,((ROW()-4)*12+9)))</f>
        <v>Arabia Saudita</v>
      </c>
      <c r="BD22" s="119">
        <f>IF($A22="","",INDEX([1]Clasif_Pron!$M:$M,((ROW()-4)*12+9)))</f>
        <v>0</v>
      </c>
      <c r="BE22" s="119">
        <f>IF($A22="","",INDEX([1]Clasif_Pron!$N:$N,((ROW()-4)*12+9)))</f>
        <v>7</v>
      </c>
      <c r="BF22" s="119" t="str">
        <f>IF($A22="","",INDEX([1]Clasif_Pron!$E:$E,((ROW()-4)*12+10)))</f>
        <v>Francia</v>
      </c>
      <c r="BG22" s="119">
        <f>IF($A22="","",INDEX([1]Clasif_Pron!$K:$K,((ROW()-4)*12+10)))</f>
        <v>7</v>
      </c>
      <c r="BH22" s="95" t="str">
        <f>IF($A22="","",INDEX([1]Clasif_Pron!$G:$G,((ROW()-4)*12+10)))</f>
        <v>Senegal</v>
      </c>
      <c r="BI22" s="95">
        <f>IF($A22="","",INDEX([1]Clasif_Pron!$L:$L,((ROW()-4)*12+10)))</f>
        <v>3</v>
      </c>
      <c r="BJ22" s="119" t="str">
        <f>IF($A22="","",INDEX([1]Clasif_Pron!$I:$I,((ROW()-4)*12+10)))</f>
        <v>Noruega</v>
      </c>
      <c r="BK22" s="119">
        <f>IF($A22="","",INDEX([1]Clasif_Pron!$M:$M,((ROW()-4)*12+10)))</f>
        <v>3</v>
      </c>
      <c r="BL22" s="95">
        <f>IF($A22="","",INDEX([1]Clasif_Pron!$N:$N,((ROW()-4)*12+10)))</f>
        <v>13</v>
      </c>
      <c r="BM22" s="119" t="str">
        <f>IF($A22="","",INDEX([1]Clasif_Pron!$E:$E,((ROW()-4)*12+11)))</f>
        <v>Argentina</v>
      </c>
      <c r="BN22" s="119">
        <f>IF($A22="","",INDEX([1]Clasif_Pron!$K:$K,((ROW()-4)*12+11)))</f>
        <v>7</v>
      </c>
      <c r="BO22" s="95" t="str">
        <f>IF($A22="","",INDEX([1]Clasif_Pron!$G:$G,((ROW()-4)*12+11)))</f>
        <v>Austria</v>
      </c>
      <c r="BP22" s="95">
        <f>IF($A22="","",INDEX([1]Clasif_Pron!$L:$L,((ROW()-4)*12+11)))</f>
        <v>6</v>
      </c>
      <c r="BQ22" s="95" t="str">
        <f>IF($A22="","",INDEX([1]Clasif_Pron!$I:$I,((ROW()-4)*12+11)))</f>
        <v>Argelia</v>
      </c>
      <c r="BR22" s="95">
        <f>IF($A22="","",INDEX([1]Clasif_Pron!$M:$M,((ROW()-4)*12+11)))</f>
        <v>0</v>
      </c>
      <c r="BS22" s="95">
        <f>IF($A22="","",INDEX([1]Clasif_Pron!$N:$N,((ROW()-4)*12+11)))</f>
        <v>13</v>
      </c>
      <c r="BT22" s="95" t="str">
        <f>IF($A22="","",INDEX([1]Clasif_Pron!$E:$E,((ROW()-4)*12+12)))</f>
        <v>Portugal</v>
      </c>
      <c r="BU22" s="95">
        <f>IF($A22="","",INDEX([1]Clasif_Pron!$K:$K,((ROW()-4)*12+12)))</f>
        <v>3</v>
      </c>
      <c r="BV22" s="95" t="str">
        <f>IF($A22="","",INDEX([1]Clasif_Pron!$G:$G,((ROW()-4)*12+12)))</f>
        <v>Colombia</v>
      </c>
      <c r="BW22" s="95">
        <f>IF($A22="","",INDEX([1]Clasif_Pron!$L:$L,((ROW()-4)*12+12)))</f>
        <v>3</v>
      </c>
      <c r="BX22" s="95" t="str">
        <f>IF($A22="","",INDEX([1]Clasif_Pron!$I:$I,((ROW()-4)*12+12)))</f>
        <v>Uzbekistán</v>
      </c>
      <c r="BY22" s="95">
        <f>IF($A22="","",INDEX([1]Clasif_Pron!$M:$M,((ROW()-4)*12+12)))</f>
        <v>0</v>
      </c>
      <c r="BZ22" s="95">
        <f>IF($A22="","",INDEX([1]Clasif_Pron!$N:$N,((ROW()-4)*12+12)))</f>
        <v>6</v>
      </c>
      <c r="CA22" s="95" t="str">
        <f>IF($A22="","",INDEX([1]Clasif_Pron!$E:$E,((ROW()-4)*12+13)))</f>
        <v>Inglaterra</v>
      </c>
      <c r="CB22" s="95">
        <f>IF($A22="","",INDEX([1]Clasif_Pron!$K:$K,((ROW()-4)*12+13)))</f>
        <v>7</v>
      </c>
      <c r="CC22" s="95" t="str">
        <f>IF($A22="","",INDEX([1]Clasif_Pron!$G:$G,((ROW()-4)*12+13)))</f>
        <v>Croacia</v>
      </c>
      <c r="CD22" s="95">
        <f>IF($A22="","",INDEX([1]Clasif_Pron!$L:$L,((ROW()-4)*12+13)))</f>
        <v>3</v>
      </c>
      <c r="CE22" s="95" t="str">
        <f>IF($A22="","",INDEX([1]Clasif_Pron!$I:$I,((ROW()-4)*12+13)))</f>
        <v>Panamá</v>
      </c>
      <c r="CF22" s="95">
        <f>IF($A22="","",INDEX([1]Clasif_Pron!$M:$M,((ROW()-4)*12+13)))</f>
        <v>0</v>
      </c>
      <c r="CG22" s="95">
        <f>IF($A22="","",INDEX([1]Clasif_Pron!$N:$N,((ROW()-4)*12+13)))</f>
        <v>10</v>
      </c>
      <c r="CH22" s="96">
        <f t="shared" si="0"/>
        <v>144</v>
      </c>
    </row>
    <row r="23" spans="1:86" ht="20.25" customHeight="1" x14ac:dyDescent="0.3">
      <c r="A23" s="94" t="str">
        <f>[1]Participantes!B21</f>
        <v>Jose C Ana</v>
      </c>
      <c r="B23" s="119" t="str">
        <f>IF($A23="","",INDEX([1]Clasif_Pron!$E:$E,((ROW()-4)*12+2)))</f>
        <v>México</v>
      </c>
      <c r="C23" s="119">
        <f>IF($A23="","",INDEX([1]Clasif_Pron!$K:$K,((ROW()-4)*12+2)))</f>
        <v>7</v>
      </c>
      <c r="D23" s="95" t="str">
        <f>IF($A23="","",INDEX([1]Clasif_Pron!$G:$G,((ROW()-4)*12+2)))</f>
        <v>Corea República</v>
      </c>
      <c r="E23" s="95">
        <f>IF($A23="","",INDEX([1]Clasif_Pron!$L:$L,((ROW()-4)*12+2)))</f>
        <v>3</v>
      </c>
      <c r="F23" s="119" t="str">
        <f>IF($A23="","",INDEX([1]Clasif_Pron!$I:$I,((ROW()-4)*12+2)))</f>
        <v>Chequia</v>
      </c>
      <c r="G23" s="119">
        <f>IF($A23="","",INDEX([1]Clasif_Pron!$M:$M,((ROW()-4)*12+2)))</f>
        <v>0</v>
      </c>
      <c r="H23" s="95">
        <f>IF($A23="","",INDEX([1]Clasif_Pron!$N:$N,((ROW()-4)*12+2)))</f>
        <v>10</v>
      </c>
      <c r="I23" s="119" t="str">
        <f>IF($A23="","",INDEX([1]Clasif_Pron!$E:$E,((ROW()-4)*12+3)))</f>
        <v>Suiza</v>
      </c>
      <c r="J23" s="119">
        <f>IF($A23="","",INDEX([1]Clasif_Pron!$K:$K,((ROW()-4)*12+3)))</f>
        <v>7</v>
      </c>
      <c r="K23" s="119" t="str">
        <f>IF($A23="","",INDEX([1]Clasif_Pron!$G:$G,((ROW()-4)*12+3)))</f>
        <v>Canadá</v>
      </c>
      <c r="L23" s="119">
        <f>IF($A23="","",INDEX([1]Clasif_Pron!$L:$L,((ROW()-4)*12+3)))</f>
        <v>6</v>
      </c>
      <c r="M23" s="119" t="str">
        <f>IF($A23="","",INDEX([1]Clasif_Pron!$I:$I,((ROW()-4)*12+3)))</f>
        <v>Qatar</v>
      </c>
      <c r="N23" s="119">
        <f>IF($A23="","",INDEX([1]Clasif_Pron!$M:$M,((ROW()-4)*12+3)))</f>
        <v>0</v>
      </c>
      <c r="O23" s="119">
        <f>IF($A23="","",INDEX([1]Clasif_Pron!$N:$N,((ROW()-4)*12+3)))</f>
        <v>13</v>
      </c>
      <c r="P23" s="119" t="str">
        <f>IF($A23="","",INDEX([1]Clasif_Pron!$E:$E,((ROW()-4)*12+4)))</f>
        <v>Brasil</v>
      </c>
      <c r="Q23" s="119">
        <f>IF($A23="","",INDEX([1]Clasif_Pron!$K:$K,((ROW()-4)*12+4)))</f>
        <v>7</v>
      </c>
      <c r="R23" s="119" t="str">
        <f>IF($A23="","",INDEX([1]Clasif_Pron!$G:$G,((ROW()-4)*12+4)))</f>
        <v>Marruecos</v>
      </c>
      <c r="S23" s="119">
        <f>IF($A23="","",INDEX([1]Clasif_Pron!$L:$L,((ROW()-4)*12+4)))</f>
        <v>6</v>
      </c>
      <c r="T23" s="95" t="str">
        <f>IF($A23="","",INDEX([1]Clasif_Pron!$I:$I,((ROW()-4)*12+4)))</f>
        <v>Escocia</v>
      </c>
      <c r="U23" s="95">
        <f>IF($A23="","",INDEX([1]Clasif_Pron!$M:$M,((ROW()-4)*12+4)))</f>
        <v>0</v>
      </c>
      <c r="V23" s="95">
        <f>IF($A23="","",INDEX([1]Clasif_Pron!$N:$N,((ROW()-4)*12+4)))</f>
        <v>13</v>
      </c>
      <c r="W23" s="119" t="str">
        <f>IF($A23="","",INDEX([1]Clasif_Pron!$E:$E,((ROW()-4)*12+5)))</f>
        <v>Australia</v>
      </c>
      <c r="X23" s="119">
        <f>IF($A23="","",INDEX([1]Clasif_Pron!$K:$K,((ROW()-4)*12+5)))</f>
        <v>3</v>
      </c>
      <c r="Y23" s="95" t="str">
        <f>IF($A23="","",INDEX([1]Clasif_Pron!$G:$G,((ROW()-4)*12+5)))</f>
        <v>Paraguay</v>
      </c>
      <c r="Z23" s="95">
        <f>IF($A23="","",INDEX([1]Clasif_Pron!$L:$L,((ROW()-4)*12+5)))</f>
        <v>3</v>
      </c>
      <c r="AA23" s="119" t="str">
        <f>IF($A23="","",INDEX([1]Clasif_Pron!$I:$I,((ROW()-4)*12+5)))</f>
        <v>Estados Unidos</v>
      </c>
      <c r="AB23" s="119">
        <f>IF($A23="","",INDEX([1]Clasif_Pron!$M:$M,((ROW()-4)*12+5)))</f>
        <v>3</v>
      </c>
      <c r="AC23" s="95">
        <f>IF($A23="","",INDEX([1]Clasif_Pron!$N:$N,((ROW()-4)*12+5)))</f>
        <v>9</v>
      </c>
      <c r="AD23" s="119" t="str">
        <f>IF($A23="","",INDEX([1]Clasif_Pron!$E:$E,((ROW()-4)*12+6)))</f>
        <v>Alemania</v>
      </c>
      <c r="AE23" s="119">
        <f>IF($A23="","",INDEX([1]Clasif_Pron!$K:$K,((ROW()-4)*12+6)))</f>
        <v>7</v>
      </c>
      <c r="AF23" s="95" t="str">
        <f>IF($A23="","",INDEX([1]Clasif_Pron!$G:$G,((ROW()-4)*12+6)))</f>
        <v>Ecuador</v>
      </c>
      <c r="AG23" s="95">
        <f>IF($A23="","",INDEX([1]Clasif_Pron!$L:$L,((ROW()-4)*12+6)))</f>
        <v>3</v>
      </c>
      <c r="AH23" s="119" t="str">
        <f>IF($A23="","",INDEX([1]Clasif_Pron!$I:$I,((ROW()-4)*12+6)))</f>
        <v>Costa de Marfil</v>
      </c>
      <c r="AI23" s="119">
        <f>IF($A23="","",INDEX([1]Clasif_Pron!$M:$M,((ROW()-4)*12+6)))</f>
        <v>3</v>
      </c>
      <c r="AJ23" s="95">
        <f>IF($A23="","",INDEX([1]Clasif_Pron!$N:$N,((ROW()-4)*12+6)))</f>
        <v>13</v>
      </c>
      <c r="AK23" s="119" t="str">
        <f>IF($A23="","",INDEX([1]Clasif_Pron!$E:$E,((ROW()-4)*12+7)))</f>
        <v>Países Bajos</v>
      </c>
      <c r="AL23" s="119">
        <f>IF($A23="","",INDEX([1]Clasif_Pron!$K:$K,((ROW()-4)*12+7)))</f>
        <v>7</v>
      </c>
      <c r="AM23" s="95" t="str">
        <f>IF($A23="","",INDEX([1]Clasif_Pron!$G:$G,((ROW()-4)*12+7)))</f>
        <v>Suecia</v>
      </c>
      <c r="AN23" s="95">
        <f>IF($A23="","",INDEX([1]Clasif_Pron!$L:$L,((ROW()-4)*12+7)))</f>
        <v>3</v>
      </c>
      <c r="AO23" s="119" t="str">
        <f>IF($A23="","",INDEX([1]Clasif_Pron!$I:$I,((ROW()-4)*12+7)))</f>
        <v>Japón</v>
      </c>
      <c r="AP23" s="119">
        <f>IF($A23="","",INDEX([1]Clasif_Pron!$M:$M,((ROW()-4)*12+7)))</f>
        <v>3</v>
      </c>
      <c r="AQ23" s="95">
        <f>IF($A23="","",INDEX([1]Clasif_Pron!$N:$N,((ROW()-4)*12+7)))</f>
        <v>13</v>
      </c>
      <c r="AR23" s="119" t="str">
        <f>IF($A23="","",INDEX([1]Clasif_Pron!$E:$E,((ROW()-4)*12+8)))</f>
        <v>Bélgica</v>
      </c>
      <c r="AS23" s="119">
        <f>IF($A23="","",INDEX([1]Clasif_Pron!$K:$K,((ROW()-4)*12+8)))</f>
        <v>7</v>
      </c>
      <c r="AT23" s="95" t="str">
        <f>IF($A23="","",INDEX([1]Clasif_Pron!$G:$G,((ROW()-4)*12+8)))</f>
        <v>Irán</v>
      </c>
      <c r="AU23" s="95">
        <f>IF($A23="","",INDEX([1]Clasif_Pron!$L:$L,((ROW()-4)*12+8)))</f>
        <v>3</v>
      </c>
      <c r="AV23" s="119" t="str">
        <f>IF($A23="","",INDEX([1]Clasif_Pron!$I:$I,((ROW()-4)*12+8)))</f>
        <v>Egipto</v>
      </c>
      <c r="AW23" s="119">
        <f>IF($A23="","",INDEX([1]Clasif_Pron!$M:$M,((ROW()-4)*12+8)))</f>
        <v>3</v>
      </c>
      <c r="AX23" s="95">
        <f>IF($A23="","",INDEX([1]Clasif_Pron!$N:$N,((ROW()-4)*12+8)))</f>
        <v>13</v>
      </c>
      <c r="AY23" s="119" t="str">
        <f>IF($A23="","",INDEX([1]Clasif_Pron!$E:$E,((ROW()-4)*12+9)))</f>
        <v>España</v>
      </c>
      <c r="AZ23" s="119">
        <f>IF($A23="","",INDEX([1]Clasif_Pron!$K:$K,((ROW()-4)*12+9)))</f>
        <v>7</v>
      </c>
      <c r="BA23" s="119" t="str">
        <f>IF($A23="","",INDEX([1]Clasif_Pron!$G:$G,((ROW()-4)*12+9)))</f>
        <v>Uruguay</v>
      </c>
      <c r="BB23" s="119">
        <f>IF($A23="","",INDEX([1]Clasif_Pron!$L:$L,((ROW()-4)*12+9)))</f>
        <v>0</v>
      </c>
      <c r="BC23" s="119" t="str">
        <f>IF($A23="","",INDEX([1]Clasif_Pron!$I:$I,((ROW()-4)*12+9)))</f>
        <v>Arabia Saudita</v>
      </c>
      <c r="BD23" s="119">
        <f>IF($A23="","",INDEX([1]Clasif_Pron!$M:$M,((ROW()-4)*12+9)))</f>
        <v>0</v>
      </c>
      <c r="BE23" s="119">
        <f>IF($A23="","",INDEX([1]Clasif_Pron!$N:$N,((ROW()-4)*12+9)))</f>
        <v>7</v>
      </c>
      <c r="BF23" s="119" t="str">
        <f>IF($A23="","",INDEX([1]Clasif_Pron!$E:$E,((ROW()-4)*12+10)))</f>
        <v>Francia</v>
      </c>
      <c r="BG23" s="119">
        <f>IF($A23="","",INDEX([1]Clasif_Pron!$K:$K,((ROW()-4)*12+10)))</f>
        <v>7</v>
      </c>
      <c r="BH23" s="95" t="str">
        <f>IF($A23="","",INDEX([1]Clasif_Pron!$G:$G,((ROW()-4)*12+10)))</f>
        <v>Senegal</v>
      </c>
      <c r="BI23" s="95">
        <f>IF($A23="","",INDEX([1]Clasif_Pron!$L:$L,((ROW()-4)*12+10)))</f>
        <v>3</v>
      </c>
      <c r="BJ23" s="119" t="str">
        <f>IF($A23="","",INDEX([1]Clasif_Pron!$I:$I,((ROW()-4)*12+10)))</f>
        <v>Noruega</v>
      </c>
      <c r="BK23" s="119">
        <f>IF($A23="","",INDEX([1]Clasif_Pron!$M:$M,((ROW()-4)*12+10)))</f>
        <v>3</v>
      </c>
      <c r="BL23" s="95">
        <f>IF($A23="","",INDEX([1]Clasif_Pron!$N:$N,((ROW()-4)*12+10)))</f>
        <v>13</v>
      </c>
      <c r="BM23" s="119" t="str">
        <f>IF($A23="","",INDEX([1]Clasif_Pron!$E:$E,((ROW()-4)*12+11)))</f>
        <v>Argentina</v>
      </c>
      <c r="BN23" s="119">
        <f>IF($A23="","",INDEX([1]Clasif_Pron!$K:$K,((ROW()-4)*12+11)))</f>
        <v>7</v>
      </c>
      <c r="BO23" s="95" t="str">
        <f>IF($A23="","",INDEX([1]Clasif_Pron!$G:$G,((ROW()-4)*12+11)))</f>
        <v>Austria</v>
      </c>
      <c r="BP23" s="95">
        <f>IF($A23="","",INDEX([1]Clasif_Pron!$L:$L,((ROW()-4)*12+11)))</f>
        <v>6</v>
      </c>
      <c r="BQ23" s="95" t="str">
        <f>IF($A23="","",INDEX([1]Clasif_Pron!$I:$I,((ROW()-4)*12+11)))</f>
        <v>Argelia</v>
      </c>
      <c r="BR23" s="95">
        <f>IF($A23="","",INDEX([1]Clasif_Pron!$M:$M,((ROW()-4)*12+11)))</f>
        <v>0</v>
      </c>
      <c r="BS23" s="95">
        <f>IF($A23="","",INDEX([1]Clasif_Pron!$N:$N,((ROW()-4)*12+11)))</f>
        <v>13</v>
      </c>
      <c r="BT23" s="95" t="str">
        <f>IF($A23="","",INDEX([1]Clasif_Pron!$E:$E,((ROW()-4)*12+12)))</f>
        <v>Portugal</v>
      </c>
      <c r="BU23" s="95">
        <f>IF($A23="","",INDEX([1]Clasif_Pron!$K:$K,((ROW()-4)*12+12)))</f>
        <v>3</v>
      </c>
      <c r="BV23" s="95" t="str">
        <f>IF($A23="","",INDEX([1]Clasif_Pron!$G:$G,((ROW()-4)*12+12)))</f>
        <v>Colombia</v>
      </c>
      <c r="BW23" s="95">
        <f>IF($A23="","",INDEX([1]Clasif_Pron!$L:$L,((ROW()-4)*12+12)))</f>
        <v>3</v>
      </c>
      <c r="BX23" s="95" t="str">
        <f>IF($A23="","",INDEX([1]Clasif_Pron!$I:$I,((ROW()-4)*12+12)))</f>
        <v>RD Congo</v>
      </c>
      <c r="BY23" s="95">
        <f>IF($A23="","",INDEX([1]Clasif_Pron!$M:$M,((ROW()-4)*12+12)))</f>
        <v>0</v>
      </c>
      <c r="BZ23" s="95">
        <f>IF($A23="","",INDEX([1]Clasif_Pron!$N:$N,((ROW()-4)*12+12)))</f>
        <v>6</v>
      </c>
      <c r="CA23" s="95" t="str">
        <f>IF($A23="","",INDEX([1]Clasif_Pron!$E:$E,((ROW()-4)*12+13)))</f>
        <v>Croacia</v>
      </c>
      <c r="CB23" s="95">
        <f>IF($A23="","",INDEX([1]Clasif_Pron!$K:$K,((ROW()-4)*12+13)))</f>
        <v>3</v>
      </c>
      <c r="CC23" s="95" t="str">
        <f>IF($A23="","",INDEX([1]Clasif_Pron!$G:$G,((ROW()-4)*12+13)))</f>
        <v>Inglaterra</v>
      </c>
      <c r="CD23" s="95">
        <f>IF($A23="","",INDEX([1]Clasif_Pron!$L:$L,((ROW()-4)*12+13)))</f>
        <v>3</v>
      </c>
      <c r="CE23" s="95" t="str">
        <f>IF($A23="","",INDEX([1]Clasif_Pron!$I:$I,((ROW()-4)*12+13)))</f>
        <v>Panamá</v>
      </c>
      <c r="CF23" s="95">
        <f>IF($A23="","",INDEX([1]Clasif_Pron!$M:$M,((ROW()-4)*12+13)))</f>
        <v>0</v>
      </c>
      <c r="CG23" s="95">
        <f>IF($A23="","",INDEX([1]Clasif_Pron!$N:$N,((ROW()-4)*12+13)))</f>
        <v>6</v>
      </c>
      <c r="CH23" s="96">
        <f t="shared" si="0"/>
        <v>129</v>
      </c>
    </row>
    <row r="24" spans="1:86" ht="20.25" customHeight="1" x14ac:dyDescent="0.3">
      <c r="A24" s="94" t="str">
        <f>[1]Participantes!B22</f>
        <v>Jose C Judith</v>
      </c>
      <c r="B24" s="119" t="str">
        <f>IF($A24="","",INDEX([1]Clasif_Pron!$E:$E,((ROW()-4)*12+2)))</f>
        <v>México</v>
      </c>
      <c r="C24" s="119">
        <f>IF($A24="","",INDEX([1]Clasif_Pron!$K:$K,((ROW()-4)*12+2)))</f>
        <v>7</v>
      </c>
      <c r="D24" s="95" t="str">
        <f>IF($A24="","",INDEX([1]Clasif_Pron!$G:$G,((ROW()-4)*12+2)))</f>
        <v>Corea República</v>
      </c>
      <c r="E24" s="95">
        <f>IF($A24="","",INDEX([1]Clasif_Pron!$L:$L,((ROW()-4)*12+2)))</f>
        <v>3</v>
      </c>
      <c r="F24" s="119" t="str">
        <f>IF($A24="","",INDEX([1]Clasif_Pron!$I:$I,((ROW()-4)*12+2)))</f>
        <v>Chequia</v>
      </c>
      <c r="G24" s="119">
        <f>IF($A24="","",INDEX([1]Clasif_Pron!$M:$M,((ROW()-4)*12+2)))</f>
        <v>0</v>
      </c>
      <c r="H24" s="95">
        <f>IF($A24="","",INDEX([1]Clasif_Pron!$N:$N,((ROW()-4)*12+2)))</f>
        <v>10</v>
      </c>
      <c r="I24" s="119" t="str">
        <f>IF($A24="","",INDEX([1]Clasif_Pron!$E:$E,((ROW()-4)*12+3)))</f>
        <v>Canadá</v>
      </c>
      <c r="J24" s="119">
        <f>IF($A24="","",INDEX([1]Clasif_Pron!$K:$K,((ROW()-4)*12+3)))</f>
        <v>3</v>
      </c>
      <c r="K24" s="119" t="str">
        <f>IF($A24="","",INDEX([1]Clasif_Pron!$G:$G,((ROW()-4)*12+3)))</f>
        <v>Suiza</v>
      </c>
      <c r="L24" s="119">
        <f>IF($A24="","",INDEX([1]Clasif_Pron!$L:$L,((ROW()-4)*12+3)))</f>
        <v>3</v>
      </c>
      <c r="M24" s="119" t="str">
        <f>IF($A24="","",INDEX([1]Clasif_Pron!$I:$I,((ROW()-4)*12+3)))</f>
        <v>Qatar</v>
      </c>
      <c r="N24" s="119">
        <f>IF($A24="","",INDEX([1]Clasif_Pron!$M:$M,((ROW()-4)*12+3)))</f>
        <v>0</v>
      </c>
      <c r="O24" s="119">
        <f>IF($A24="","",INDEX([1]Clasif_Pron!$N:$N,((ROW()-4)*12+3)))</f>
        <v>6</v>
      </c>
      <c r="P24" s="119" t="str">
        <f>IF($A24="","",INDEX([1]Clasif_Pron!$E:$E,((ROW()-4)*12+4)))</f>
        <v>Brasil</v>
      </c>
      <c r="Q24" s="119">
        <f>IF($A24="","",INDEX([1]Clasif_Pron!$K:$K,((ROW()-4)*12+4)))</f>
        <v>7</v>
      </c>
      <c r="R24" s="119" t="str">
        <f>IF($A24="","",INDEX([1]Clasif_Pron!$G:$G,((ROW()-4)*12+4)))</f>
        <v>Marruecos</v>
      </c>
      <c r="S24" s="119">
        <f>IF($A24="","",INDEX([1]Clasif_Pron!$L:$L,((ROW()-4)*12+4)))</f>
        <v>6</v>
      </c>
      <c r="T24" s="95" t="str">
        <f>IF($A24="","",INDEX([1]Clasif_Pron!$I:$I,((ROW()-4)*12+4)))</f>
        <v>Escocia</v>
      </c>
      <c r="U24" s="95">
        <f>IF($A24="","",INDEX([1]Clasif_Pron!$M:$M,((ROW()-4)*12+4)))</f>
        <v>0</v>
      </c>
      <c r="V24" s="95">
        <f>IF($A24="","",INDEX([1]Clasif_Pron!$N:$N,((ROW()-4)*12+4)))</f>
        <v>13</v>
      </c>
      <c r="W24" s="119" t="str">
        <f>IF($A24="","",INDEX([1]Clasif_Pron!$E:$E,((ROW()-4)*12+5)))</f>
        <v>Estados Unidos</v>
      </c>
      <c r="X24" s="119">
        <f>IF($A24="","",INDEX([1]Clasif_Pron!$K:$K,((ROW()-4)*12+5)))</f>
        <v>7</v>
      </c>
      <c r="Y24" s="119" t="str">
        <f>IF($A24="","",INDEX([1]Clasif_Pron!$G:$G,((ROW()-4)*12+5)))</f>
        <v>Australia</v>
      </c>
      <c r="Z24" s="119">
        <f>IF($A24="","",INDEX([1]Clasif_Pron!$L:$L,((ROW()-4)*12+5)))</f>
        <v>6</v>
      </c>
      <c r="AA24" s="95" t="str">
        <f>IF($A24="","",INDEX([1]Clasif_Pron!$I:$I,((ROW()-4)*12+5)))</f>
        <v>Paraguay</v>
      </c>
      <c r="AB24" s="95">
        <f>IF($A24="","",INDEX([1]Clasif_Pron!$M:$M,((ROW()-4)*12+5)))</f>
        <v>5</v>
      </c>
      <c r="AC24" s="95">
        <f>IF($A24="","",INDEX([1]Clasif_Pron!$N:$N,((ROW()-4)*12+5)))</f>
        <v>18</v>
      </c>
      <c r="AD24" s="119" t="str">
        <f>IF($A24="","",INDEX([1]Clasif_Pron!$E:$E,((ROW()-4)*12+6)))</f>
        <v>Alemania</v>
      </c>
      <c r="AE24" s="119">
        <f>IF($A24="","",INDEX([1]Clasif_Pron!$K:$K,((ROW()-4)*12+6)))</f>
        <v>7</v>
      </c>
      <c r="AF24" s="95" t="str">
        <f>IF($A24="","",INDEX([1]Clasif_Pron!$G:$G,((ROW()-4)*12+6)))</f>
        <v>Ecuador</v>
      </c>
      <c r="AG24" s="95">
        <f>IF($A24="","",INDEX([1]Clasif_Pron!$L:$L,((ROW()-4)*12+6)))</f>
        <v>3</v>
      </c>
      <c r="AH24" s="119" t="str">
        <f>IF($A24="","",INDEX([1]Clasif_Pron!$I:$I,((ROW()-4)*12+6)))</f>
        <v>Costa de Marfil</v>
      </c>
      <c r="AI24" s="119">
        <f>IF($A24="","",INDEX([1]Clasif_Pron!$M:$M,((ROW()-4)*12+6)))</f>
        <v>3</v>
      </c>
      <c r="AJ24" s="95">
        <f>IF($A24="","",INDEX([1]Clasif_Pron!$N:$N,((ROW()-4)*12+6)))</f>
        <v>13</v>
      </c>
      <c r="AK24" s="119" t="str">
        <f>IF($A24="","",INDEX([1]Clasif_Pron!$E:$E,((ROW()-4)*12+7)))</f>
        <v>Países Bajos</v>
      </c>
      <c r="AL24" s="119">
        <f>IF($A24="","",INDEX([1]Clasif_Pron!$K:$K,((ROW()-4)*12+7)))</f>
        <v>7</v>
      </c>
      <c r="AM24" s="95" t="str">
        <f>IF($A24="","",INDEX([1]Clasif_Pron!$G:$G,((ROW()-4)*12+7)))</f>
        <v>Suecia</v>
      </c>
      <c r="AN24" s="95">
        <f>IF($A24="","",INDEX([1]Clasif_Pron!$L:$L,((ROW()-4)*12+7)))</f>
        <v>3</v>
      </c>
      <c r="AO24" s="119" t="str">
        <f>IF($A24="","",INDEX([1]Clasif_Pron!$I:$I,((ROW()-4)*12+7)))</f>
        <v>Japón</v>
      </c>
      <c r="AP24" s="119">
        <f>IF($A24="","",INDEX([1]Clasif_Pron!$M:$M,((ROW()-4)*12+7)))</f>
        <v>3</v>
      </c>
      <c r="AQ24" s="95">
        <f>IF($A24="","",INDEX([1]Clasif_Pron!$N:$N,((ROW()-4)*12+7)))</f>
        <v>13</v>
      </c>
      <c r="AR24" s="119" t="str">
        <f>IF($A24="","",INDEX([1]Clasif_Pron!$E:$E,((ROW()-4)*12+8)))</f>
        <v>Irán</v>
      </c>
      <c r="AS24" s="119">
        <f>IF($A24="","",INDEX([1]Clasif_Pron!$K:$K,((ROW()-4)*12+8)))</f>
        <v>3</v>
      </c>
      <c r="AT24" s="119" t="str">
        <f>IF($A24="","",INDEX([1]Clasif_Pron!$G:$G,((ROW()-4)*12+8)))</f>
        <v>Bélgica</v>
      </c>
      <c r="AU24" s="119">
        <f>IF($A24="","",INDEX([1]Clasif_Pron!$L:$L,((ROW()-4)*12+8)))</f>
        <v>3</v>
      </c>
      <c r="AV24" s="119" t="str">
        <f>IF($A24="","",INDEX([1]Clasif_Pron!$I:$I,((ROW()-4)*12+8)))</f>
        <v>Nueva Zelanda</v>
      </c>
      <c r="AW24" s="119">
        <f>IF($A24="","",INDEX([1]Clasif_Pron!$M:$M,((ROW()-4)*12+8)))</f>
        <v>0</v>
      </c>
      <c r="AX24" s="119">
        <f>IF($A24="","",INDEX([1]Clasif_Pron!$N:$N,((ROW()-4)*12+8)))</f>
        <v>6</v>
      </c>
      <c r="AY24" s="119" t="str">
        <f>IF($A24="","",INDEX([1]Clasif_Pron!$E:$E,((ROW()-4)*12+9)))</f>
        <v>España</v>
      </c>
      <c r="AZ24" s="119">
        <f>IF($A24="","",INDEX([1]Clasif_Pron!$K:$K,((ROW()-4)*12+9)))</f>
        <v>7</v>
      </c>
      <c r="BA24" s="119" t="str">
        <f>IF($A24="","",INDEX([1]Clasif_Pron!$G:$G,((ROW()-4)*12+9)))</f>
        <v>Uruguay</v>
      </c>
      <c r="BB24" s="119">
        <f>IF($A24="","",INDEX([1]Clasif_Pron!$L:$L,((ROW()-4)*12+9)))</f>
        <v>0</v>
      </c>
      <c r="BC24" s="119" t="str">
        <f>IF($A24="","",INDEX([1]Clasif_Pron!$I:$I,((ROW()-4)*12+9)))</f>
        <v>Arabia Saudita</v>
      </c>
      <c r="BD24" s="119">
        <f>IF($A24="","",INDEX([1]Clasif_Pron!$M:$M,((ROW()-4)*12+9)))</f>
        <v>0</v>
      </c>
      <c r="BE24" s="119">
        <f>IF($A24="","",INDEX([1]Clasif_Pron!$N:$N,((ROW()-4)*12+9)))</f>
        <v>7</v>
      </c>
      <c r="BF24" s="119" t="str">
        <f>IF($A24="","",INDEX([1]Clasif_Pron!$E:$E,((ROW()-4)*12+10)))</f>
        <v>Francia</v>
      </c>
      <c r="BG24" s="119">
        <f>IF($A24="","",INDEX([1]Clasif_Pron!$K:$K,((ROW()-4)*12+10)))</f>
        <v>7</v>
      </c>
      <c r="BH24" s="119" t="str">
        <f>IF($A24="","",INDEX([1]Clasif_Pron!$G:$G,((ROW()-4)*12+10)))</f>
        <v>Noruega</v>
      </c>
      <c r="BI24" s="119">
        <f>IF($A24="","",INDEX([1]Clasif_Pron!$L:$L,((ROW()-4)*12+10)))</f>
        <v>6</v>
      </c>
      <c r="BJ24" s="95" t="str">
        <f>IF($A24="","",INDEX([1]Clasif_Pron!$I:$I,((ROW()-4)*12+10)))</f>
        <v>Senegal</v>
      </c>
      <c r="BK24" s="95">
        <f>IF($A24="","",INDEX([1]Clasif_Pron!$M:$M,((ROW()-4)*12+10)))</f>
        <v>5</v>
      </c>
      <c r="BL24" s="95">
        <f>IF($A24="","",INDEX([1]Clasif_Pron!$N:$N,((ROW()-4)*12+10)))</f>
        <v>18</v>
      </c>
      <c r="BM24" s="119" t="str">
        <f>IF($A24="","",INDEX([1]Clasif_Pron!$E:$E,((ROW()-4)*12+11)))</f>
        <v>Argentina</v>
      </c>
      <c r="BN24" s="119">
        <f>IF($A24="","",INDEX([1]Clasif_Pron!$K:$K,((ROW()-4)*12+11)))</f>
        <v>7</v>
      </c>
      <c r="BO24" s="95" t="str">
        <f>IF($A24="","",INDEX([1]Clasif_Pron!$G:$G,((ROW()-4)*12+11)))</f>
        <v>Argelia</v>
      </c>
      <c r="BP24" s="95">
        <f>IF($A24="","",INDEX([1]Clasif_Pron!$L:$L,((ROW()-4)*12+11)))</f>
        <v>0</v>
      </c>
      <c r="BQ24" s="95" t="str">
        <f>IF($A24="","",INDEX([1]Clasif_Pron!$I:$I,((ROW()-4)*12+11)))</f>
        <v>Austria</v>
      </c>
      <c r="BR24" s="95">
        <f>IF($A24="","",INDEX([1]Clasif_Pron!$M:$M,((ROW()-4)*12+11)))</f>
        <v>3</v>
      </c>
      <c r="BS24" s="95">
        <f>IF($A24="","",INDEX([1]Clasif_Pron!$N:$N,((ROW()-4)*12+11)))</f>
        <v>10</v>
      </c>
      <c r="BT24" s="95" t="str">
        <f>IF($A24="","",INDEX([1]Clasif_Pron!$E:$E,((ROW()-4)*12+12)))</f>
        <v>Portugal</v>
      </c>
      <c r="BU24" s="95">
        <f>IF($A24="","",INDEX([1]Clasif_Pron!$K:$K,((ROW()-4)*12+12)))</f>
        <v>3</v>
      </c>
      <c r="BV24" s="95" t="str">
        <f>IF($A24="","",INDEX([1]Clasif_Pron!$G:$G,((ROW()-4)*12+12)))</f>
        <v>Colombia</v>
      </c>
      <c r="BW24" s="95">
        <f>IF($A24="","",INDEX([1]Clasif_Pron!$L:$L,((ROW()-4)*12+12)))</f>
        <v>3</v>
      </c>
      <c r="BX24" s="95" t="str">
        <f>IF($A24="","",INDEX([1]Clasif_Pron!$I:$I,((ROW()-4)*12+12)))</f>
        <v>RD Congo</v>
      </c>
      <c r="BY24" s="95">
        <f>IF($A24="","",INDEX([1]Clasif_Pron!$M:$M,((ROW()-4)*12+12)))</f>
        <v>0</v>
      </c>
      <c r="BZ24" s="95">
        <f>IF($A24="","",INDEX([1]Clasif_Pron!$N:$N,((ROW()-4)*12+12)))</f>
        <v>6</v>
      </c>
      <c r="CA24" s="95" t="str">
        <f>IF($A24="","",INDEX([1]Clasif_Pron!$E:$E,((ROW()-4)*12+13)))</f>
        <v>Inglaterra</v>
      </c>
      <c r="CB24" s="95">
        <f>IF($A24="","",INDEX([1]Clasif_Pron!$K:$K,((ROW()-4)*12+13)))</f>
        <v>7</v>
      </c>
      <c r="CC24" s="95" t="str">
        <f>IF($A24="","",INDEX([1]Clasif_Pron!$G:$G,((ROW()-4)*12+13)))</f>
        <v>Croacia</v>
      </c>
      <c r="CD24" s="95">
        <f>IF($A24="","",INDEX([1]Clasif_Pron!$L:$L,((ROW()-4)*12+13)))</f>
        <v>3</v>
      </c>
      <c r="CE24" s="95" t="str">
        <f>IF($A24="","",INDEX([1]Clasif_Pron!$I:$I,((ROW()-4)*12+13)))</f>
        <v>Panamá</v>
      </c>
      <c r="CF24" s="95">
        <f>IF($A24="","",INDEX([1]Clasif_Pron!$M:$M,((ROW()-4)*12+13)))</f>
        <v>0</v>
      </c>
      <c r="CG24" s="95">
        <f>IF($A24="","",INDEX([1]Clasif_Pron!$N:$N,((ROW()-4)*12+13)))</f>
        <v>10</v>
      </c>
      <c r="CH24" s="96">
        <f t="shared" si="0"/>
        <v>130</v>
      </c>
    </row>
    <row r="25" spans="1:86" ht="20.25" customHeight="1" x14ac:dyDescent="0.3">
      <c r="A25" s="94" t="str">
        <f>[1]Participantes!B23</f>
        <v>José de León</v>
      </c>
      <c r="B25" s="119" t="str">
        <f>IF($A25="","",INDEX([1]Clasif_Pron!$E:$E,((ROW()-4)*12+2)))</f>
        <v>México</v>
      </c>
      <c r="C25" s="119">
        <f>IF($A25="","",INDEX([1]Clasif_Pron!$K:$K,((ROW()-4)*12+2)))</f>
        <v>7</v>
      </c>
      <c r="D25" s="95" t="str">
        <f>IF($A25="","",INDEX([1]Clasif_Pron!$G:$G,((ROW()-4)*12+2)))</f>
        <v>Corea República</v>
      </c>
      <c r="E25" s="95">
        <f>IF($A25="","",INDEX([1]Clasif_Pron!$L:$L,((ROW()-4)*12+2)))</f>
        <v>3</v>
      </c>
      <c r="F25" s="119" t="str">
        <f>IF($A25="","",INDEX([1]Clasif_Pron!$I:$I,((ROW()-4)*12+2)))</f>
        <v>Chequia</v>
      </c>
      <c r="G25" s="119">
        <f>IF($A25="","",INDEX([1]Clasif_Pron!$M:$M,((ROW()-4)*12+2)))</f>
        <v>0</v>
      </c>
      <c r="H25" s="95">
        <f>IF($A25="","",INDEX([1]Clasif_Pron!$N:$N,((ROW()-4)*12+2)))</f>
        <v>10</v>
      </c>
      <c r="I25" s="119" t="str">
        <f>IF($A25="","",INDEX([1]Clasif_Pron!$E:$E,((ROW()-4)*12+3)))</f>
        <v>Canadá</v>
      </c>
      <c r="J25" s="119">
        <f>IF($A25="","",INDEX([1]Clasif_Pron!$K:$K,((ROW()-4)*12+3)))</f>
        <v>3</v>
      </c>
      <c r="K25" s="119" t="str">
        <f>IF($A25="","",INDEX([1]Clasif_Pron!$G:$G,((ROW()-4)*12+3)))</f>
        <v>Suiza</v>
      </c>
      <c r="L25" s="119">
        <f>IF($A25="","",INDEX([1]Clasif_Pron!$L:$L,((ROW()-4)*12+3)))</f>
        <v>3</v>
      </c>
      <c r="M25" s="119" t="str">
        <f>IF($A25="","",INDEX([1]Clasif_Pron!$I:$I,((ROW()-4)*12+3)))</f>
        <v>Bosnia y Herzegovina</v>
      </c>
      <c r="N25" s="119">
        <f>IF($A25="","",INDEX([1]Clasif_Pron!$M:$M,((ROW()-4)*12+3)))</f>
        <v>5</v>
      </c>
      <c r="O25" s="119">
        <f>IF($A25="","",INDEX([1]Clasif_Pron!$N:$N,((ROW()-4)*12+3)))</f>
        <v>11</v>
      </c>
      <c r="P25" s="119" t="str">
        <f>IF($A25="","",INDEX([1]Clasif_Pron!$E:$E,((ROW()-4)*12+4)))</f>
        <v>Marruecos</v>
      </c>
      <c r="Q25" s="119">
        <f>IF($A25="","",INDEX([1]Clasif_Pron!$K:$K,((ROW()-4)*12+4)))</f>
        <v>3</v>
      </c>
      <c r="R25" s="95" t="str">
        <f>IF($A25="","",INDEX([1]Clasif_Pron!$G:$G,((ROW()-4)*12+4)))</f>
        <v>Escocia</v>
      </c>
      <c r="S25" s="95">
        <f>IF($A25="","",INDEX([1]Clasif_Pron!$L:$L,((ROW()-4)*12+4)))</f>
        <v>0</v>
      </c>
      <c r="T25" s="119" t="str">
        <f>IF($A25="","",INDEX([1]Clasif_Pron!$I:$I,((ROW()-4)*12+4)))</f>
        <v>Brasil</v>
      </c>
      <c r="U25" s="119">
        <f>IF($A25="","",INDEX([1]Clasif_Pron!$M:$M,((ROW()-4)*12+4)))</f>
        <v>3</v>
      </c>
      <c r="V25" s="95">
        <f>IF($A25="","",INDEX([1]Clasif_Pron!$N:$N,((ROW()-4)*12+4)))</f>
        <v>6</v>
      </c>
      <c r="W25" s="119" t="str">
        <f>IF($A25="","",INDEX([1]Clasif_Pron!$E:$E,((ROW()-4)*12+5)))</f>
        <v>Türkiye</v>
      </c>
      <c r="X25" s="119">
        <f>IF($A25="","",INDEX([1]Clasif_Pron!$K:$K,((ROW()-4)*12+5)))</f>
        <v>0</v>
      </c>
      <c r="Y25" s="119" t="str">
        <f>IF($A25="","",INDEX([1]Clasif_Pron!$G:$G,((ROW()-4)*12+5)))</f>
        <v>Estados Unidos</v>
      </c>
      <c r="Z25" s="119">
        <f>IF($A25="","",INDEX([1]Clasif_Pron!$L:$L,((ROW()-4)*12+5)))</f>
        <v>3</v>
      </c>
      <c r="AA25" s="95" t="str">
        <f>IF($A25="","",INDEX([1]Clasif_Pron!$I:$I,((ROW()-4)*12+5)))</f>
        <v>Paraguay</v>
      </c>
      <c r="AB25" s="95">
        <f>IF($A25="","",INDEX([1]Clasif_Pron!$M:$M,((ROW()-4)*12+5)))</f>
        <v>5</v>
      </c>
      <c r="AC25" s="95">
        <f>IF($A25="","",INDEX([1]Clasif_Pron!$N:$N,((ROW()-4)*12+5)))</f>
        <v>8</v>
      </c>
      <c r="AD25" s="119" t="str">
        <f>IF($A25="","",INDEX([1]Clasif_Pron!$E:$E,((ROW()-4)*12+6)))</f>
        <v>Alemania</v>
      </c>
      <c r="AE25" s="119">
        <f>IF($A25="","",INDEX([1]Clasif_Pron!$K:$K,((ROW()-4)*12+6)))</f>
        <v>7</v>
      </c>
      <c r="AF25" s="95" t="str">
        <f>IF($A25="","",INDEX([1]Clasif_Pron!$G:$G,((ROW()-4)*12+6)))</f>
        <v>Ecuador</v>
      </c>
      <c r="AG25" s="95">
        <f>IF($A25="","",INDEX([1]Clasif_Pron!$L:$L,((ROW()-4)*12+6)))</f>
        <v>3</v>
      </c>
      <c r="AH25" s="119" t="str">
        <f>IF($A25="","",INDEX([1]Clasif_Pron!$I:$I,((ROW()-4)*12+6)))</f>
        <v>Costa de Marfil</v>
      </c>
      <c r="AI25" s="119">
        <f>IF($A25="","",INDEX([1]Clasif_Pron!$M:$M,((ROW()-4)*12+6)))</f>
        <v>3</v>
      </c>
      <c r="AJ25" s="95">
        <f>IF($A25="","",INDEX([1]Clasif_Pron!$N:$N,((ROW()-4)*12+6)))</f>
        <v>13</v>
      </c>
      <c r="AK25" s="95" t="str">
        <f>IF($A25="","",INDEX([1]Clasif_Pron!$E:$E,((ROW()-4)*12+7)))</f>
        <v>Suecia</v>
      </c>
      <c r="AL25" s="95">
        <f>IF($A25="","",INDEX([1]Clasif_Pron!$K:$K,((ROW()-4)*12+7)))</f>
        <v>3</v>
      </c>
      <c r="AM25" s="119" t="str">
        <f>IF($A25="","",INDEX([1]Clasif_Pron!$G:$G,((ROW()-4)*12+7)))</f>
        <v>Países Bajos</v>
      </c>
      <c r="AN25" s="119">
        <f>IF($A25="","",INDEX([1]Clasif_Pron!$L:$L,((ROW()-4)*12+7)))</f>
        <v>3</v>
      </c>
      <c r="AO25" s="119" t="str">
        <f>IF($A25="","",INDEX([1]Clasif_Pron!$I:$I,((ROW()-4)*12+7)))</f>
        <v>Japón</v>
      </c>
      <c r="AP25" s="119">
        <f>IF($A25="","",INDEX([1]Clasif_Pron!$M:$M,((ROW()-4)*12+7)))</f>
        <v>3</v>
      </c>
      <c r="AQ25" s="95">
        <f>IF($A25="","",INDEX([1]Clasif_Pron!$N:$N,((ROW()-4)*12+7)))</f>
        <v>9</v>
      </c>
      <c r="AR25" s="119" t="str">
        <f>IF($A25="","",INDEX([1]Clasif_Pron!$E:$E,((ROW()-4)*12+8)))</f>
        <v>Bélgica</v>
      </c>
      <c r="AS25" s="119">
        <f>IF($A25="","",INDEX([1]Clasif_Pron!$K:$K,((ROW()-4)*12+8)))</f>
        <v>7</v>
      </c>
      <c r="AT25" s="119" t="str">
        <f>IF($A25="","",INDEX([1]Clasif_Pron!$G:$G,((ROW()-4)*12+8)))</f>
        <v>Egipto</v>
      </c>
      <c r="AU25" s="119">
        <f>IF($A25="","",INDEX([1]Clasif_Pron!$L:$L,((ROW()-4)*12+8)))</f>
        <v>6</v>
      </c>
      <c r="AV25" s="95" t="str">
        <f>IF($A25="","",INDEX([1]Clasif_Pron!$I:$I,((ROW()-4)*12+8)))</f>
        <v>Irán</v>
      </c>
      <c r="AW25" s="95">
        <f>IF($A25="","",INDEX([1]Clasif_Pron!$M:$M,((ROW()-4)*12+8)))</f>
        <v>5</v>
      </c>
      <c r="AX25" s="95">
        <f>IF($A25="","",INDEX([1]Clasif_Pron!$N:$N,((ROW()-4)*12+8)))</f>
        <v>18</v>
      </c>
      <c r="AY25" s="119" t="str">
        <f>IF($A25="","",INDEX([1]Clasif_Pron!$E:$E,((ROW()-4)*12+9)))</f>
        <v>España</v>
      </c>
      <c r="AZ25" s="119">
        <f>IF($A25="","",INDEX([1]Clasif_Pron!$K:$K,((ROW()-4)*12+9)))</f>
        <v>7</v>
      </c>
      <c r="BA25" s="119" t="str">
        <f>IF($A25="","",INDEX([1]Clasif_Pron!$G:$G,((ROW()-4)*12+9)))</f>
        <v>Uruguay</v>
      </c>
      <c r="BB25" s="119">
        <f>IF($A25="","",INDEX([1]Clasif_Pron!$L:$L,((ROW()-4)*12+9)))</f>
        <v>0</v>
      </c>
      <c r="BC25" s="119" t="str">
        <f>IF($A25="","",INDEX([1]Clasif_Pron!$I:$I,((ROW()-4)*12+9)))</f>
        <v>Cabo Verde</v>
      </c>
      <c r="BD25" s="119">
        <f>IF($A25="","",INDEX([1]Clasif_Pron!$M:$M,((ROW()-4)*12+9)))</f>
        <v>3</v>
      </c>
      <c r="BE25" s="119">
        <f>IF($A25="","",INDEX([1]Clasif_Pron!$N:$N,((ROW()-4)*12+9)))</f>
        <v>10</v>
      </c>
      <c r="BF25" s="119" t="str">
        <f>IF($A25="","",INDEX([1]Clasif_Pron!$E:$E,((ROW()-4)*12+10)))</f>
        <v>Francia</v>
      </c>
      <c r="BG25" s="119">
        <f>IF($A25="","",INDEX([1]Clasif_Pron!$K:$K,((ROW()-4)*12+10)))</f>
        <v>7</v>
      </c>
      <c r="BH25" s="119" t="str">
        <f>IF($A25="","",INDEX([1]Clasif_Pron!$G:$G,((ROW()-4)*12+10)))</f>
        <v>Noruega</v>
      </c>
      <c r="BI25" s="119">
        <f>IF($A25="","",INDEX([1]Clasif_Pron!$L:$L,((ROW()-4)*12+10)))</f>
        <v>6</v>
      </c>
      <c r="BJ25" s="95" t="str">
        <f>IF($A25="","",INDEX([1]Clasif_Pron!$I:$I,((ROW()-4)*12+10)))</f>
        <v>Senegal</v>
      </c>
      <c r="BK25" s="95">
        <f>IF($A25="","",INDEX([1]Clasif_Pron!$M:$M,((ROW()-4)*12+10)))</f>
        <v>5</v>
      </c>
      <c r="BL25" s="95">
        <f>IF($A25="","",INDEX([1]Clasif_Pron!$N:$N,((ROW()-4)*12+10)))</f>
        <v>18</v>
      </c>
      <c r="BM25" s="119" t="str">
        <f>IF($A25="","",INDEX([1]Clasif_Pron!$E:$E,((ROW()-4)*12+11)))</f>
        <v>Argentina</v>
      </c>
      <c r="BN25" s="119">
        <f>IF($A25="","",INDEX([1]Clasif_Pron!$K:$K,((ROW()-4)*12+11)))</f>
        <v>7</v>
      </c>
      <c r="BO25" s="95" t="str">
        <f>IF($A25="","",INDEX([1]Clasif_Pron!$G:$G,((ROW()-4)*12+11)))</f>
        <v>Argelia</v>
      </c>
      <c r="BP25" s="95">
        <f>IF($A25="","",INDEX([1]Clasif_Pron!$L:$L,((ROW()-4)*12+11)))</f>
        <v>0</v>
      </c>
      <c r="BQ25" s="95" t="str">
        <f>IF($A25="","",INDEX([1]Clasif_Pron!$I:$I,((ROW()-4)*12+11)))</f>
        <v>Austria</v>
      </c>
      <c r="BR25" s="95">
        <f>IF($A25="","",INDEX([1]Clasif_Pron!$M:$M,((ROW()-4)*12+11)))</f>
        <v>3</v>
      </c>
      <c r="BS25" s="95">
        <f>IF($A25="","",INDEX([1]Clasif_Pron!$N:$N,((ROW()-4)*12+11)))</f>
        <v>10</v>
      </c>
      <c r="BT25" s="95" t="str">
        <f>IF($A25="","",INDEX([1]Clasif_Pron!$E:$E,((ROW()-4)*12+12)))</f>
        <v>Portugal</v>
      </c>
      <c r="BU25" s="95">
        <f>IF($A25="","",INDEX([1]Clasif_Pron!$K:$K,((ROW()-4)*12+12)))</f>
        <v>3</v>
      </c>
      <c r="BV25" s="95" t="str">
        <f>IF($A25="","",INDEX([1]Clasif_Pron!$G:$G,((ROW()-4)*12+12)))</f>
        <v>Colombia</v>
      </c>
      <c r="BW25" s="95">
        <f>IF($A25="","",INDEX([1]Clasif_Pron!$L:$L,((ROW()-4)*12+12)))</f>
        <v>3</v>
      </c>
      <c r="BX25" s="95" t="str">
        <f>IF($A25="","",INDEX([1]Clasif_Pron!$I:$I,((ROW()-4)*12+12)))</f>
        <v>Uzbekistán</v>
      </c>
      <c r="BY25" s="95">
        <f>IF($A25="","",INDEX([1]Clasif_Pron!$M:$M,((ROW()-4)*12+12)))</f>
        <v>0</v>
      </c>
      <c r="BZ25" s="95">
        <f>IF($A25="","",INDEX([1]Clasif_Pron!$N:$N,((ROW()-4)*12+12)))</f>
        <v>6</v>
      </c>
      <c r="CA25" s="95" t="str">
        <f>IF($A25="","",INDEX([1]Clasif_Pron!$E:$E,((ROW()-4)*12+13)))</f>
        <v>Inglaterra</v>
      </c>
      <c r="CB25" s="95">
        <f>IF($A25="","",INDEX([1]Clasif_Pron!$K:$K,((ROW()-4)*12+13)))</f>
        <v>7</v>
      </c>
      <c r="CC25" s="95" t="str">
        <f>IF($A25="","",INDEX([1]Clasif_Pron!$G:$G,((ROW()-4)*12+13)))</f>
        <v>Croacia</v>
      </c>
      <c r="CD25" s="95">
        <f>IF($A25="","",INDEX([1]Clasif_Pron!$L:$L,((ROW()-4)*12+13)))</f>
        <v>3</v>
      </c>
      <c r="CE25" s="95" t="str">
        <f>IF($A25="","",INDEX([1]Clasif_Pron!$I:$I,((ROW()-4)*12+13)))</f>
        <v>Ghana</v>
      </c>
      <c r="CF25" s="95">
        <f>IF($A25="","",INDEX([1]Clasif_Pron!$M:$M,((ROW()-4)*12+13)))</f>
        <v>3</v>
      </c>
      <c r="CG25" s="95">
        <f>IF($A25="","",INDEX([1]Clasif_Pron!$N:$N,((ROW()-4)*12+13)))</f>
        <v>13</v>
      </c>
      <c r="CH25" s="96">
        <f t="shared" si="0"/>
        <v>132</v>
      </c>
    </row>
    <row r="26" spans="1:86" ht="20.25" customHeight="1" x14ac:dyDescent="0.3">
      <c r="A26" s="94" t="str">
        <f>[1]Participantes!B24</f>
        <v>Jovanna</v>
      </c>
      <c r="B26" s="119" t="str">
        <f>IF($A26="","",INDEX([1]Clasif_Pron!$E:$E,((ROW()-4)*12+2)))</f>
        <v>Chequia</v>
      </c>
      <c r="C26" s="119">
        <f>IF($A26="","",INDEX([1]Clasif_Pron!$K:$K,((ROW()-4)*12+2)))</f>
        <v>0</v>
      </c>
      <c r="D26" s="119" t="str">
        <f>IF($A26="","",INDEX([1]Clasif_Pron!$G:$G,((ROW()-4)*12+2)))</f>
        <v>México</v>
      </c>
      <c r="E26" s="119">
        <f>IF($A26="","",INDEX([1]Clasif_Pron!$L:$L,((ROW()-4)*12+2)))</f>
        <v>3</v>
      </c>
      <c r="F26" s="95" t="str">
        <f>IF($A26="","",INDEX([1]Clasif_Pron!$I:$I,((ROW()-4)*12+2)))</f>
        <v>Corea República</v>
      </c>
      <c r="G26" s="95">
        <f>IF($A26="","",INDEX([1]Clasif_Pron!$M:$M,((ROW()-4)*12+2)))</f>
        <v>5</v>
      </c>
      <c r="H26" s="95">
        <f>IF($A26="","",INDEX([1]Clasif_Pron!$N:$N,((ROW()-4)*12+2)))</f>
        <v>8</v>
      </c>
      <c r="I26" s="119" t="str">
        <f>IF($A26="","",INDEX([1]Clasif_Pron!$E:$E,((ROW()-4)*12+3)))</f>
        <v>Suiza</v>
      </c>
      <c r="J26" s="119">
        <f>IF($A26="","",INDEX([1]Clasif_Pron!$K:$K,((ROW()-4)*12+3)))</f>
        <v>7</v>
      </c>
      <c r="K26" s="119" t="str">
        <f>IF($A26="","",INDEX([1]Clasif_Pron!$G:$G,((ROW()-4)*12+3)))</f>
        <v>Bosnia y Herzegovina</v>
      </c>
      <c r="L26" s="119">
        <f>IF($A26="","",INDEX([1]Clasif_Pron!$L:$L,((ROW()-4)*12+3)))</f>
        <v>3</v>
      </c>
      <c r="M26" s="119" t="str">
        <f>IF($A26="","",INDEX([1]Clasif_Pron!$I:$I,((ROW()-4)*12+3)))</f>
        <v>Canadá</v>
      </c>
      <c r="N26" s="119">
        <f>IF($A26="","",INDEX([1]Clasif_Pron!$M:$M,((ROW()-4)*12+3)))</f>
        <v>3</v>
      </c>
      <c r="O26" s="119">
        <f>IF($A26="","",INDEX([1]Clasif_Pron!$N:$N,((ROW()-4)*12+3)))</f>
        <v>13</v>
      </c>
      <c r="P26" s="119" t="str">
        <f>IF($A26="","",INDEX([1]Clasif_Pron!$E:$E,((ROW()-4)*12+4)))</f>
        <v>Brasil</v>
      </c>
      <c r="Q26" s="119">
        <f>IF($A26="","",INDEX([1]Clasif_Pron!$K:$K,((ROW()-4)*12+4)))</f>
        <v>7</v>
      </c>
      <c r="R26" s="119" t="str">
        <f>IF($A26="","",INDEX([1]Clasif_Pron!$G:$G,((ROW()-4)*12+4)))</f>
        <v>Marruecos</v>
      </c>
      <c r="S26" s="119">
        <f>IF($A26="","",INDEX([1]Clasif_Pron!$L:$L,((ROW()-4)*12+4)))</f>
        <v>6</v>
      </c>
      <c r="T26" s="95" t="str">
        <f>IF($A26="","",INDEX([1]Clasif_Pron!$I:$I,((ROW()-4)*12+4)))</f>
        <v>Escocia</v>
      </c>
      <c r="U26" s="95">
        <f>IF($A26="","",INDEX([1]Clasif_Pron!$M:$M,((ROW()-4)*12+4)))</f>
        <v>0</v>
      </c>
      <c r="V26" s="95">
        <f>IF($A26="","",INDEX([1]Clasif_Pron!$N:$N,((ROW()-4)*12+4)))</f>
        <v>13</v>
      </c>
      <c r="W26" s="119" t="str">
        <f>IF($A26="","",INDEX([1]Clasif_Pron!$E:$E,((ROW()-4)*12+5)))</f>
        <v>Estados Unidos</v>
      </c>
      <c r="X26" s="119">
        <f>IF($A26="","",INDEX([1]Clasif_Pron!$K:$K,((ROW()-4)*12+5)))</f>
        <v>7</v>
      </c>
      <c r="Y26" s="119" t="str">
        <f>IF($A26="","",INDEX([1]Clasif_Pron!$G:$G,((ROW()-4)*12+5)))</f>
        <v>Türkiye</v>
      </c>
      <c r="Z26" s="119">
        <f>IF($A26="","",INDEX([1]Clasif_Pron!$L:$L,((ROW()-4)*12+5)))</f>
        <v>0</v>
      </c>
      <c r="AA26" s="119" t="str">
        <f>IF($A26="","",INDEX([1]Clasif_Pron!$I:$I,((ROW()-4)*12+5)))</f>
        <v>Australia</v>
      </c>
      <c r="AB26" s="119">
        <f>IF($A26="","",INDEX([1]Clasif_Pron!$M:$M,((ROW()-4)*12+5)))</f>
        <v>3</v>
      </c>
      <c r="AC26" s="119">
        <f>IF($A26="","",INDEX([1]Clasif_Pron!$N:$N,((ROW()-4)*12+5)))</f>
        <v>10</v>
      </c>
      <c r="AD26" s="119" t="str">
        <f>IF($A26="","",INDEX([1]Clasif_Pron!$E:$E,((ROW()-4)*12+6)))</f>
        <v>Alemania</v>
      </c>
      <c r="AE26" s="119">
        <f>IF($A26="","",INDEX([1]Clasif_Pron!$K:$K,((ROW()-4)*12+6)))</f>
        <v>7</v>
      </c>
      <c r="AF26" s="119" t="str">
        <f>IF($A26="","",INDEX([1]Clasif_Pron!$G:$G,((ROW()-4)*12+6)))</f>
        <v>Costa de Marfil</v>
      </c>
      <c r="AG26" s="119">
        <f>IF($A26="","",INDEX([1]Clasif_Pron!$L:$L,((ROW()-4)*12+6)))</f>
        <v>6</v>
      </c>
      <c r="AH26" s="95" t="str">
        <f>IF($A26="","",INDEX([1]Clasif_Pron!$I:$I,((ROW()-4)*12+6)))</f>
        <v>Ecuador</v>
      </c>
      <c r="AI26" s="95">
        <f>IF($A26="","",INDEX([1]Clasif_Pron!$M:$M,((ROW()-4)*12+6)))</f>
        <v>5</v>
      </c>
      <c r="AJ26" s="95">
        <f>IF($A26="","",INDEX([1]Clasif_Pron!$N:$N,((ROW()-4)*12+6)))</f>
        <v>18</v>
      </c>
      <c r="AK26" s="119" t="str">
        <f>IF($A26="","",INDEX([1]Clasif_Pron!$E:$E,((ROW()-4)*12+7)))</f>
        <v>Japón</v>
      </c>
      <c r="AL26" s="119">
        <f>IF($A26="","",INDEX([1]Clasif_Pron!$K:$K,((ROW()-4)*12+7)))</f>
        <v>3</v>
      </c>
      <c r="AM26" s="119" t="str">
        <f>IF($A26="","",INDEX([1]Clasif_Pron!$G:$G,((ROW()-4)*12+7)))</f>
        <v>Países Bajos</v>
      </c>
      <c r="AN26" s="119">
        <f>IF($A26="","",INDEX([1]Clasif_Pron!$L:$L,((ROW()-4)*12+7)))</f>
        <v>3</v>
      </c>
      <c r="AO26" s="95" t="str">
        <f>IF($A26="","",INDEX([1]Clasif_Pron!$I:$I,((ROW()-4)*12+7)))</f>
        <v>Suecia</v>
      </c>
      <c r="AP26" s="95">
        <f>IF($A26="","",INDEX([1]Clasif_Pron!$M:$M,((ROW()-4)*12+7)))</f>
        <v>5</v>
      </c>
      <c r="AQ26" s="95">
        <f>IF($A26="","",INDEX([1]Clasif_Pron!$N:$N,((ROW()-4)*12+7)))</f>
        <v>11</v>
      </c>
      <c r="AR26" s="119" t="str">
        <f>IF($A26="","",INDEX([1]Clasif_Pron!$E:$E,((ROW()-4)*12+8)))</f>
        <v>Bélgica</v>
      </c>
      <c r="AS26" s="119">
        <f>IF($A26="","",INDEX([1]Clasif_Pron!$K:$K,((ROW()-4)*12+8)))</f>
        <v>7</v>
      </c>
      <c r="AT26" s="119" t="str">
        <f>IF($A26="","",INDEX([1]Clasif_Pron!$G:$G,((ROW()-4)*12+8)))</f>
        <v>Egipto</v>
      </c>
      <c r="AU26" s="119">
        <f>IF($A26="","",INDEX([1]Clasif_Pron!$L:$L,((ROW()-4)*12+8)))</f>
        <v>6</v>
      </c>
      <c r="AV26" s="119" t="str">
        <f>IF($A26="","",INDEX([1]Clasif_Pron!$I:$I,((ROW()-4)*12+8)))</f>
        <v>Nueva Zelanda</v>
      </c>
      <c r="AW26" s="119">
        <f>IF($A26="","",INDEX([1]Clasif_Pron!$M:$M,((ROW()-4)*12+8)))</f>
        <v>0</v>
      </c>
      <c r="AX26" s="95">
        <f>IF($A26="","",INDEX([1]Clasif_Pron!$N:$N,((ROW()-4)*12+8)))</f>
        <v>13</v>
      </c>
      <c r="AY26" s="119" t="str">
        <f>IF($A26="","",INDEX([1]Clasif_Pron!$E:$E,((ROW()-4)*12+9)))</f>
        <v>España</v>
      </c>
      <c r="AZ26" s="119">
        <f>IF($A26="","",INDEX([1]Clasif_Pron!$K:$K,((ROW()-4)*12+9)))</f>
        <v>7</v>
      </c>
      <c r="BA26" s="119" t="str">
        <f>IF($A26="","",INDEX([1]Clasif_Pron!$G:$G,((ROW()-4)*12+9)))</f>
        <v>Arabia Saudita</v>
      </c>
      <c r="BB26" s="119">
        <f>IF($A26="","",INDEX([1]Clasif_Pron!$L:$L,((ROW()-4)*12+9)))</f>
        <v>0</v>
      </c>
      <c r="BC26" s="119" t="str">
        <f>IF($A26="","",INDEX([1]Clasif_Pron!$I:$I,((ROW()-4)*12+9)))</f>
        <v>Uruguay</v>
      </c>
      <c r="BD26" s="119">
        <f>IF($A26="","",INDEX([1]Clasif_Pron!$M:$M,((ROW()-4)*12+9)))</f>
        <v>0</v>
      </c>
      <c r="BE26" s="119">
        <f>IF($A26="","",INDEX([1]Clasif_Pron!$N:$N,((ROW()-4)*12+9)))</f>
        <v>7</v>
      </c>
      <c r="BF26" s="119" t="str">
        <f>IF($A26="","",INDEX([1]Clasif_Pron!$E:$E,((ROW()-4)*12+10)))</f>
        <v>Francia</v>
      </c>
      <c r="BG26" s="119">
        <f>IF($A26="","",INDEX([1]Clasif_Pron!$K:$K,((ROW()-4)*12+10)))</f>
        <v>7</v>
      </c>
      <c r="BH26" s="119" t="str">
        <f>IF($A26="","",INDEX([1]Clasif_Pron!$G:$G,((ROW()-4)*12+10)))</f>
        <v>Noruega</v>
      </c>
      <c r="BI26" s="119">
        <f>IF($A26="","",INDEX([1]Clasif_Pron!$L:$L,((ROW()-4)*12+10)))</f>
        <v>6</v>
      </c>
      <c r="BJ26" s="95" t="str">
        <f>IF($A26="","",INDEX([1]Clasif_Pron!$I:$I,((ROW()-4)*12+10)))</f>
        <v>Senegal</v>
      </c>
      <c r="BK26" s="95">
        <f>IF($A26="","",INDEX([1]Clasif_Pron!$M:$M,((ROW()-4)*12+10)))</f>
        <v>5</v>
      </c>
      <c r="BL26" s="95">
        <f>IF($A26="","",INDEX([1]Clasif_Pron!$N:$N,((ROW()-4)*12+10)))</f>
        <v>18</v>
      </c>
      <c r="BM26" s="119" t="str">
        <f>IF($A26="","",INDEX([1]Clasif_Pron!$E:$E,((ROW()-4)*12+11)))</f>
        <v>Argentina</v>
      </c>
      <c r="BN26" s="119">
        <f>IF($A26="","",INDEX([1]Clasif_Pron!$K:$K,((ROW()-4)*12+11)))</f>
        <v>7</v>
      </c>
      <c r="BO26" s="95" t="str">
        <f>IF($A26="","",INDEX([1]Clasif_Pron!$G:$G,((ROW()-4)*12+11)))</f>
        <v>Austria</v>
      </c>
      <c r="BP26" s="95">
        <f>IF($A26="","",INDEX([1]Clasif_Pron!$L:$L,((ROW()-4)*12+11)))</f>
        <v>6</v>
      </c>
      <c r="BQ26" s="95" t="str">
        <f>IF($A26="","",INDEX([1]Clasif_Pron!$I:$I,((ROW()-4)*12+11)))</f>
        <v>Argelia</v>
      </c>
      <c r="BR26" s="95">
        <f>IF($A26="","",INDEX([1]Clasif_Pron!$M:$M,((ROW()-4)*12+11)))</f>
        <v>0</v>
      </c>
      <c r="BS26" s="95">
        <f>IF($A26="","",INDEX([1]Clasif_Pron!$N:$N,((ROW()-4)*12+11)))</f>
        <v>13</v>
      </c>
      <c r="BT26" s="95" t="str">
        <f>IF($A26="","",INDEX([1]Clasif_Pron!$E:$E,((ROW()-4)*12+12)))</f>
        <v>Colombia</v>
      </c>
      <c r="BU26" s="95">
        <f>IF($A26="","",INDEX([1]Clasif_Pron!$K:$K,((ROW()-4)*12+12)))</f>
        <v>7</v>
      </c>
      <c r="BV26" s="95" t="str">
        <f>IF($A26="","",INDEX([1]Clasif_Pron!$G:$G,((ROW()-4)*12+12)))</f>
        <v>Portugal</v>
      </c>
      <c r="BW26" s="95">
        <f>IF($A26="","",INDEX([1]Clasif_Pron!$L:$L,((ROW()-4)*12+12)))</f>
        <v>6</v>
      </c>
      <c r="BX26" s="95" t="str">
        <f>IF($A26="","",INDEX([1]Clasif_Pron!$I:$I,((ROW()-4)*12+12)))</f>
        <v>RD Congo</v>
      </c>
      <c r="BY26" s="95">
        <f>IF($A26="","",INDEX([1]Clasif_Pron!$M:$M,((ROW()-4)*12+12)))</f>
        <v>0</v>
      </c>
      <c r="BZ26" s="95">
        <f>IF($A26="","",INDEX([1]Clasif_Pron!$N:$N,((ROW()-4)*12+12)))</f>
        <v>13</v>
      </c>
      <c r="CA26" s="95" t="str">
        <f>IF($A26="","",INDEX([1]Clasif_Pron!$E:$E,((ROW()-4)*12+13)))</f>
        <v>Croacia</v>
      </c>
      <c r="CB26" s="95">
        <f>IF($A26="","",INDEX([1]Clasif_Pron!$K:$K,((ROW()-4)*12+13)))</f>
        <v>3</v>
      </c>
      <c r="CC26" s="95" t="str">
        <f>IF($A26="","",INDEX([1]Clasif_Pron!$G:$G,((ROW()-4)*12+13)))</f>
        <v>Inglaterra</v>
      </c>
      <c r="CD26" s="95">
        <f>IF($A26="","",INDEX([1]Clasif_Pron!$L:$L,((ROW()-4)*12+13)))</f>
        <v>3</v>
      </c>
      <c r="CE26" s="95" t="str">
        <f>IF($A26="","",INDEX([1]Clasif_Pron!$I:$I,((ROW()-4)*12+13)))</f>
        <v>Panamá</v>
      </c>
      <c r="CF26" s="95">
        <f>IF($A26="","",INDEX([1]Clasif_Pron!$M:$M,((ROW()-4)*12+13)))</f>
        <v>0</v>
      </c>
      <c r="CG26" s="95">
        <f>IF($A26="","",INDEX([1]Clasif_Pron!$N:$N,((ROW()-4)*12+13)))</f>
        <v>6</v>
      </c>
      <c r="CH26" s="96">
        <f t="shared" si="0"/>
        <v>143</v>
      </c>
    </row>
    <row r="27" spans="1:86" ht="20.25" customHeight="1" x14ac:dyDescent="0.3">
      <c r="A27" s="94" t="str">
        <f>[1]Participantes!B25</f>
        <v>Karina</v>
      </c>
      <c r="B27" s="119" t="str">
        <f>IF($A27="","",INDEX([1]Clasif_Pron!$E:$E,((ROW()-4)*12+2)))</f>
        <v>México</v>
      </c>
      <c r="C27" s="119">
        <f>IF($A27="","",INDEX([1]Clasif_Pron!$K:$K,((ROW()-4)*12+2)))</f>
        <v>7</v>
      </c>
      <c r="D27" s="119" t="str">
        <f>IF($A27="","",INDEX([1]Clasif_Pron!$G:$G,((ROW()-4)*12+2)))</f>
        <v>Chequia</v>
      </c>
      <c r="E27" s="119">
        <f>IF($A27="","",INDEX([1]Clasif_Pron!$L:$L,((ROW()-4)*12+2)))</f>
        <v>0</v>
      </c>
      <c r="F27" s="119" t="str">
        <f>IF($A27="","",INDEX([1]Clasif_Pron!$I:$I,((ROW()-4)*12+2)))</f>
        <v>Sudáfrica</v>
      </c>
      <c r="G27" s="119">
        <f>IF($A27="","",INDEX([1]Clasif_Pron!$M:$M,((ROW()-4)*12+2)))</f>
        <v>3</v>
      </c>
      <c r="H27" s="119">
        <f>IF($A27="","",INDEX([1]Clasif_Pron!$N:$N,((ROW()-4)*12+2)))</f>
        <v>10</v>
      </c>
      <c r="I27" s="119" t="str">
        <f>IF($A27="","",INDEX([1]Clasif_Pron!$E:$E,((ROW()-4)*12+3)))</f>
        <v>Canadá</v>
      </c>
      <c r="J27" s="119">
        <f>IF($A27="","",INDEX([1]Clasif_Pron!$K:$K,((ROW()-4)*12+3)))</f>
        <v>3</v>
      </c>
      <c r="K27" s="119" t="str">
        <f>IF($A27="","",INDEX([1]Clasif_Pron!$G:$G,((ROW()-4)*12+3)))</f>
        <v>Suiza</v>
      </c>
      <c r="L27" s="119">
        <f>IF($A27="","",INDEX([1]Clasif_Pron!$L:$L,((ROW()-4)*12+3)))</f>
        <v>3</v>
      </c>
      <c r="M27" s="119" t="str">
        <f>IF($A27="","",INDEX([1]Clasif_Pron!$I:$I,((ROW()-4)*12+3)))</f>
        <v>Bosnia y Herzegovina</v>
      </c>
      <c r="N27" s="119">
        <f>IF($A27="","",INDEX([1]Clasif_Pron!$M:$M,((ROW()-4)*12+3)))</f>
        <v>5</v>
      </c>
      <c r="O27" s="119">
        <f>IF($A27="","",INDEX([1]Clasif_Pron!$N:$N,((ROW()-4)*12+3)))</f>
        <v>11</v>
      </c>
      <c r="P27" s="119" t="str">
        <f>IF($A27="","",INDEX([1]Clasif_Pron!$E:$E,((ROW()-4)*12+4)))</f>
        <v>Brasil</v>
      </c>
      <c r="Q27" s="119">
        <f>IF($A27="","",INDEX([1]Clasif_Pron!$K:$K,((ROW()-4)*12+4)))</f>
        <v>7</v>
      </c>
      <c r="R27" s="95" t="str">
        <f>IF($A27="","",INDEX([1]Clasif_Pron!$G:$G,((ROW()-4)*12+4)))</f>
        <v>Escocia</v>
      </c>
      <c r="S27" s="95">
        <f>IF($A27="","",INDEX([1]Clasif_Pron!$L:$L,((ROW()-4)*12+4)))</f>
        <v>0</v>
      </c>
      <c r="T27" s="119" t="str">
        <f>IF($A27="","",INDEX([1]Clasif_Pron!$I:$I,((ROW()-4)*12+4)))</f>
        <v>Marruecos</v>
      </c>
      <c r="U27" s="119">
        <f>IF($A27="","",INDEX([1]Clasif_Pron!$M:$M,((ROW()-4)*12+4)))</f>
        <v>3</v>
      </c>
      <c r="V27" s="95">
        <f>IF($A27="","",INDEX([1]Clasif_Pron!$N:$N,((ROW()-4)*12+4)))</f>
        <v>10</v>
      </c>
      <c r="W27" s="119" t="str">
        <f>IF($A27="","",INDEX([1]Clasif_Pron!$E:$E,((ROW()-4)*12+5)))</f>
        <v>Estados Unidos</v>
      </c>
      <c r="X27" s="119">
        <f>IF($A27="","",INDEX([1]Clasif_Pron!$K:$K,((ROW()-4)*12+5)))</f>
        <v>7</v>
      </c>
      <c r="Y27" s="95" t="str">
        <f>IF($A27="","",INDEX([1]Clasif_Pron!$G:$G,((ROW()-4)*12+5)))</f>
        <v>Paraguay</v>
      </c>
      <c r="Z27" s="95">
        <f>IF($A27="","",INDEX([1]Clasif_Pron!$L:$L,((ROW()-4)*12+5)))</f>
        <v>3</v>
      </c>
      <c r="AA27" s="119" t="str">
        <f>IF($A27="","",INDEX([1]Clasif_Pron!$I:$I,((ROW()-4)*12+5)))</f>
        <v>Australia</v>
      </c>
      <c r="AB27" s="119">
        <f>IF($A27="","",INDEX([1]Clasif_Pron!$M:$M,((ROW()-4)*12+5)))</f>
        <v>3</v>
      </c>
      <c r="AC27" s="95">
        <f>IF($A27="","",INDEX([1]Clasif_Pron!$N:$N,((ROW()-4)*12+5)))</f>
        <v>13</v>
      </c>
      <c r="AD27" s="95" t="str">
        <f>IF($A27="","",INDEX([1]Clasif_Pron!$E:$E,((ROW()-4)*12+6)))</f>
        <v>Ecuador</v>
      </c>
      <c r="AE27" s="95">
        <f>IF($A27="","",INDEX([1]Clasif_Pron!$K:$K,((ROW()-4)*12+6)))</f>
        <v>3</v>
      </c>
      <c r="AF27" s="119" t="str">
        <f>IF($A27="","",INDEX([1]Clasif_Pron!$G:$G,((ROW()-4)*12+6)))</f>
        <v>Alemania</v>
      </c>
      <c r="AG27" s="119">
        <f>IF($A27="","",INDEX([1]Clasif_Pron!$L:$L,((ROW()-4)*12+6)))</f>
        <v>3</v>
      </c>
      <c r="AH27" s="119" t="str">
        <f>IF($A27="","",INDEX([1]Clasif_Pron!$I:$I,((ROW()-4)*12+6)))</f>
        <v>Costa de Marfil</v>
      </c>
      <c r="AI27" s="119">
        <f>IF($A27="","",INDEX([1]Clasif_Pron!$M:$M,((ROW()-4)*12+6)))</f>
        <v>3</v>
      </c>
      <c r="AJ27" s="95">
        <f>IF($A27="","",INDEX([1]Clasif_Pron!$N:$N,((ROW()-4)*12+6)))</f>
        <v>9</v>
      </c>
      <c r="AK27" s="119" t="str">
        <f>IF($A27="","",INDEX([1]Clasif_Pron!$E:$E,((ROW()-4)*12+7)))</f>
        <v>Países Bajos</v>
      </c>
      <c r="AL27" s="119">
        <f>IF($A27="","",INDEX([1]Clasif_Pron!$K:$K,((ROW()-4)*12+7)))</f>
        <v>7</v>
      </c>
      <c r="AM27" s="95" t="str">
        <f>IF($A27="","",INDEX([1]Clasif_Pron!$G:$G,((ROW()-4)*12+7)))</f>
        <v>Suecia</v>
      </c>
      <c r="AN27" s="95">
        <f>IF($A27="","",INDEX([1]Clasif_Pron!$L:$L,((ROW()-4)*12+7)))</f>
        <v>3</v>
      </c>
      <c r="AO27" s="119" t="str">
        <f>IF($A27="","",INDEX([1]Clasif_Pron!$I:$I,((ROW()-4)*12+7)))</f>
        <v>Túnez</v>
      </c>
      <c r="AP27" s="119">
        <f>IF($A27="","",INDEX([1]Clasif_Pron!$M:$M,((ROW()-4)*12+7)))</f>
        <v>0</v>
      </c>
      <c r="AQ27" s="95">
        <f>IF($A27="","",INDEX([1]Clasif_Pron!$N:$N,((ROW()-4)*12+7)))</f>
        <v>10</v>
      </c>
      <c r="AR27" s="119" t="str">
        <f>IF($A27="","",INDEX([1]Clasif_Pron!$E:$E,((ROW()-4)*12+8)))</f>
        <v>Bélgica</v>
      </c>
      <c r="AS27" s="119">
        <f>IF($A27="","",INDEX([1]Clasif_Pron!$K:$K,((ROW()-4)*12+8)))</f>
        <v>7</v>
      </c>
      <c r="AT27" s="119" t="str">
        <f>IF($A27="","",INDEX([1]Clasif_Pron!$G:$G,((ROW()-4)*12+8)))</f>
        <v>Egipto</v>
      </c>
      <c r="AU27" s="119">
        <f>IF($A27="","",INDEX([1]Clasif_Pron!$L:$L,((ROW()-4)*12+8)))</f>
        <v>6</v>
      </c>
      <c r="AV27" s="95" t="str">
        <f>IF($A27="","",INDEX([1]Clasif_Pron!$I:$I,((ROW()-4)*12+8)))</f>
        <v>Irán</v>
      </c>
      <c r="AW27" s="95">
        <f>IF($A27="","",INDEX([1]Clasif_Pron!$M:$M,((ROW()-4)*12+8)))</f>
        <v>5</v>
      </c>
      <c r="AX27" s="95">
        <f>IF($A27="","",INDEX([1]Clasif_Pron!$N:$N,((ROW()-4)*12+8)))</f>
        <v>18</v>
      </c>
      <c r="AY27" s="119" t="str">
        <f>IF($A27="","",INDEX([1]Clasif_Pron!$E:$E,((ROW()-4)*12+9)))</f>
        <v>España</v>
      </c>
      <c r="AZ27" s="119">
        <f>IF($A27="","",INDEX([1]Clasif_Pron!$K:$K,((ROW()-4)*12+9)))</f>
        <v>7</v>
      </c>
      <c r="BA27" s="119" t="str">
        <f>IF($A27="","",INDEX([1]Clasif_Pron!$G:$G,((ROW()-4)*12+9)))</f>
        <v>Uruguay</v>
      </c>
      <c r="BB27" s="119">
        <f>IF($A27="","",INDEX([1]Clasif_Pron!$L:$L,((ROW()-4)*12+9)))</f>
        <v>0</v>
      </c>
      <c r="BC27" s="119" t="str">
        <f>IF($A27="","",INDEX([1]Clasif_Pron!$I:$I,((ROW()-4)*12+9)))</f>
        <v>Arabia Saudita</v>
      </c>
      <c r="BD27" s="119">
        <f>IF($A27="","",INDEX([1]Clasif_Pron!$M:$M,((ROW()-4)*12+9)))</f>
        <v>0</v>
      </c>
      <c r="BE27" s="119">
        <f>IF($A27="","",INDEX([1]Clasif_Pron!$N:$N,((ROW()-4)*12+9)))</f>
        <v>7</v>
      </c>
      <c r="BF27" s="119" t="str">
        <f>IF($A27="","",INDEX([1]Clasif_Pron!$E:$E,((ROW()-4)*12+10)))</f>
        <v>Francia</v>
      </c>
      <c r="BG27" s="119">
        <f>IF($A27="","",INDEX([1]Clasif_Pron!$K:$K,((ROW()-4)*12+10)))</f>
        <v>7</v>
      </c>
      <c r="BH27" s="119" t="str">
        <f>IF($A27="","",INDEX([1]Clasif_Pron!$G:$G,((ROW()-4)*12+10)))</f>
        <v>Noruega</v>
      </c>
      <c r="BI27" s="119">
        <f>IF($A27="","",INDEX([1]Clasif_Pron!$L:$L,((ROW()-4)*12+10)))</f>
        <v>6</v>
      </c>
      <c r="BJ27" s="95" t="str">
        <f>IF($A27="","",INDEX([1]Clasif_Pron!$I:$I,((ROW()-4)*12+10)))</f>
        <v>Senegal</v>
      </c>
      <c r="BK27" s="95">
        <f>IF($A27="","",INDEX([1]Clasif_Pron!$M:$M,((ROW()-4)*12+10)))</f>
        <v>5</v>
      </c>
      <c r="BL27" s="95">
        <f>IF($A27="","",INDEX([1]Clasif_Pron!$N:$N,((ROW()-4)*12+10)))</f>
        <v>18</v>
      </c>
      <c r="BM27" s="119" t="str">
        <f>IF($A27="","",INDEX([1]Clasif_Pron!$E:$E,((ROW()-4)*12+11)))</f>
        <v>Argentina</v>
      </c>
      <c r="BN27" s="119">
        <f>IF($A27="","",INDEX([1]Clasif_Pron!$K:$K,((ROW()-4)*12+11)))</f>
        <v>7</v>
      </c>
      <c r="BO27" s="95" t="str">
        <f>IF($A27="","",INDEX([1]Clasif_Pron!$G:$G,((ROW()-4)*12+11)))</f>
        <v>Argelia</v>
      </c>
      <c r="BP27" s="95">
        <f>IF($A27="","",INDEX([1]Clasif_Pron!$L:$L,((ROW()-4)*12+11)))</f>
        <v>0</v>
      </c>
      <c r="BQ27" s="95" t="str">
        <f>IF($A27="","",INDEX([1]Clasif_Pron!$I:$I,((ROW()-4)*12+11)))</f>
        <v>Austria</v>
      </c>
      <c r="BR27" s="95">
        <f>IF($A27="","",INDEX([1]Clasif_Pron!$M:$M,((ROW()-4)*12+11)))</f>
        <v>3</v>
      </c>
      <c r="BS27" s="95">
        <f>IF($A27="","",INDEX([1]Clasif_Pron!$N:$N,((ROW()-4)*12+11)))</f>
        <v>10</v>
      </c>
      <c r="BT27" s="95" t="str">
        <f>IF($A27="","",INDEX([1]Clasif_Pron!$E:$E,((ROW()-4)*12+12)))</f>
        <v>Portugal</v>
      </c>
      <c r="BU27" s="95">
        <f>IF($A27="","",INDEX([1]Clasif_Pron!$K:$K,((ROW()-4)*12+12)))</f>
        <v>3</v>
      </c>
      <c r="BV27" s="95" t="str">
        <f>IF($A27="","",INDEX([1]Clasif_Pron!$G:$G,((ROW()-4)*12+12)))</f>
        <v>Colombia</v>
      </c>
      <c r="BW27" s="95">
        <f>IF($A27="","",INDEX([1]Clasif_Pron!$L:$L,((ROW()-4)*12+12)))</f>
        <v>3</v>
      </c>
      <c r="BX27" s="95" t="str">
        <f>IF($A27="","",INDEX([1]Clasif_Pron!$I:$I,((ROW()-4)*12+12)))</f>
        <v>Uzbekistán</v>
      </c>
      <c r="BY27" s="95">
        <f>IF($A27="","",INDEX([1]Clasif_Pron!$M:$M,((ROW()-4)*12+12)))</f>
        <v>0</v>
      </c>
      <c r="BZ27" s="95">
        <f>IF($A27="","",INDEX([1]Clasif_Pron!$N:$N,((ROW()-4)*12+12)))</f>
        <v>6</v>
      </c>
      <c r="CA27" s="95" t="str">
        <f>IF($A27="","",INDEX([1]Clasif_Pron!$E:$E,((ROW()-4)*12+13)))</f>
        <v>Inglaterra</v>
      </c>
      <c r="CB27" s="95">
        <f>IF($A27="","",INDEX([1]Clasif_Pron!$K:$K,((ROW()-4)*12+13)))</f>
        <v>7</v>
      </c>
      <c r="CC27" s="95" t="str">
        <f>IF($A27="","",INDEX([1]Clasif_Pron!$G:$G,((ROW()-4)*12+13)))</f>
        <v>Croacia</v>
      </c>
      <c r="CD27" s="95">
        <f>IF($A27="","",INDEX([1]Clasif_Pron!$L:$L,((ROW()-4)*12+13)))</f>
        <v>3</v>
      </c>
      <c r="CE27" s="95" t="str">
        <f>IF($A27="","",INDEX([1]Clasif_Pron!$I:$I,((ROW()-4)*12+13)))</f>
        <v>Panamá</v>
      </c>
      <c r="CF27" s="95">
        <f>IF($A27="","",INDEX([1]Clasif_Pron!$M:$M,((ROW()-4)*12+13)))</f>
        <v>0</v>
      </c>
      <c r="CG27" s="95">
        <f>IF($A27="","",INDEX([1]Clasif_Pron!$N:$N,((ROW()-4)*12+13)))</f>
        <v>10</v>
      </c>
      <c r="CH27" s="96">
        <f t="shared" si="0"/>
        <v>132</v>
      </c>
    </row>
    <row r="28" spans="1:86" ht="20.25" customHeight="1" x14ac:dyDescent="0.3">
      <c r="A28" s="94" t="str">
        <f>[1]Participantes!B26</f>
        <v>Kattia 1</v>
      </c>
      <c r="B28" s="119" t="str">
        <f>IF($A28="","",INDEX([1]Clasif_Pron!$E:$E,((ROW()-4)*12+2)))</f>
        <v>México</v>
      </c>
      <c r="C28" s="119">
        <f>IF($A28="","",INDEX([1]Clasif_Pron!$K:$K,((ROW()-4)*12+2)))</f>
        <v>7</v>
      </c>
      <c r="D28" s="119" t="str">
        <f>IF($A28="","",INDEX([1]Clasif_Pron!$G:$G,((ROW()-4)*12+2)))</f>
        <v>Sudáfrica</v>
      </c>
      <c r="E28" s="119">
        <f>IF($A28="","",INDEX([1]Clasif_Pron!$L:$L,((ROW()-4)*12+2)))</f>
        <v>6</v>
      </c>
      <c r="F28" s="95" t="str">
        <f>IF($A28="","",INDEX([1]Clasif_Pron!$I:$I,((ROW()-4)*12+2)))</f>
        <v>Corea República</v>
      </c>
      <c r="G28" s="95">
        <f>IF($A28="","",INDEX([1]Clasif_Pron!$M:$M,((ROW()-4)*12+2)))</f>
        <v>5</v>
      </c>
      <c r="H28" s="95">
        <f>IF($A28="","",INDEX([1]Clasif_Pron!$N:$N,((ROW()-4)*12+2)))</f>
        <v>18</v>
      </c>
      <c r="I28" s="119" t="str">
        <f>IF($A28="","",INDEX([1]Clasif_Pron!$E:$E,((ROW()-4)*12+3)))</f>
        <v>Canadá</v>
      </c>
      <c r="J28" s="119">
        <f>IF($A28="","",INDEX([1]Clasif_Pron!$K:$K,((ROW()-4)*12+3)))</f>
        <v>3</v>
      </c>
      <c r="K28" s="119" t="str">
        <f>IF($A28="","",INDEX([1]Clasif_Pron!$G:$G,((ROW()-4)*12+3)))</f>
        <v>Suiza</v>
      </c>
      <c r="L28" s="119">
        <f>IF($A28="","",INDEX([1]Clasif_Pron!$L:$L,((ROW()-4)*12+3)))</f>
        <v>3</v>
      </c>
      <c r="M28" s="119" t="str">
        <f>IF($A28="","",INDEX([1]Clasif_Pron!$I:$I,((ROW()-4)*12+3)))</f>
        <v>Qatar</v>
      </c>
      <c r="N28" s="119">
        <f>IF($A28="","",INDEX([1]Clasif_Pron!$M:$M,((ROW()-4)*12+3)))</f>
        <v>0</v>
      </c>
      <c r="O28" s="119">
        <f>IF($A28="","",INDEX([1]Clasif_Pron!$N:$N,((ROW()-4)*12+3)))</f>
        <v>6</v>
      </c>
      <c r="P28" s="119" t="str">
        <f>IF($A28="","",INDEX([1]Clasif_Pron!$E:$E,((ROW()-4)*12+4)))</f>
        <v>Brasil</v>
      </c>
      <c r="Q28" s="119">
        <f>IF($A28="","",INDEX([1]Clasif_Pron!$K:$K,((ROW()-4)*12+4)))</f>
        <v>7</v>
      </c>
      <c r="R28" s="119" t="str">
        <f>IF($A28="","",INDEX([1]Clasif_Pron!$G:$G,((ROW()-4)*12+4)))</f>
        <v>Marruecos</v>
      </c>
      <c r="S28" s="119">
        <f>IF($A28="","",INDEX([1]Clasif_Pron!$L:$L,((ROW()-4)*12+4)))</f>
        <v>6</v>
      </c>
      <c r="T28" s="95" t="str">
        <f>IF($A28="","",INDEX([1]Clasif_Pron!$I:$I,((ROW()-4)*12+4)))</f>
        <v>Escocia</v>
      </c>
      <c r="U28" s="95">
        <f>IF($A28="","",INDEX([1]Clasif_Pron!$M:$M,((ROW()-4)*12+4)))</f>
        <v>0</v>
      </c>
      <c r="V28" s="95">
        <f>IF($A28="","",INDEX([1]Clasif_Pron!$N:$N,((ROW()-4)*12+4)))</f>
        <v>13</v>
      </c>
      <c r="W28" s="119" t="str">
        <f>IF($A28="","",INDEX([1]Clasif_Pron!$E:$E,((ROW()-4)*12+5)))</f>
        <v>Estados Unidos</v>
      </c>
      <c r="X28" s="119">
        <f>IF($A28="","",INDEX([1]Clasif_Pron!$K:$K,((ROW()-4)*12+5)))</f>
        <v>7</v>
      </c>
      <c r="Y28" s="119" t="str">
        <f>IF($A28="","",INDEX([1]Clasif_Pron!$G:$G,((ROW()-4)*12+5)))</f>
        <v>Australia</v>
      </c>
      <c r="Z28" s="119">
        <f>IF($A28="","",INDEX([1]Clasif_Pron!$L:$L,((ROW()-4)*12+5)))</f>
        <v>6</v>
      </c>
      <c r="AA28" s="95" t="str">
        <f>IF($A28="","",INDEX([1]Clasif_Pron!$I:$I,((ROW()-4)*12+5)))</f>
        <v>Paraguay</v>
      </c>
      <c r="AB28" s="95">
        <f>IF($A28="","",INDEX([1]Clasif_Pron!$M:$M,((ROW()-4)*12+5)))</f>
        <v>5</v>
      </c>
      <c r="AC28" s="95">
        <f>IF($A28="","",INDEX([1]Clasif_Pron!$N:$N,((ROW()-4)*12+5)))</f>
        <v>18</v>
      </c>
      <c r="AD28" s="119" t="str">
        <f>IF($A28="","",INDEX([1]Clasif_Pron!$E:$E,((ROW()-4)*12+6)))</f>
        <v>Alemania</v>
      </c>
      <c r="AE28" s="119">
        <f>IF($A28="","",INDEX([1]Clasif_Pron!$K:$K,((ROW()-4)*12+6)))</f>
        <v>7</v>
      </c>
      <c r="AF28" s="119" t="str">
        <f>IF($A28="","",INDEX([1]Clasif_Pron!$G:$G,((ROW()-4)*12+6)))</f>
        <v>Costa de Marfil</v>
      </c>
      <c r="AG28" s="119">
        <f>IF($A28="","",INDEX([1]Clasif_Pron!$L:$L,((ROW()-4)*12+6)))</f>
        <v>6</v>
      </c>
      <c r="AH28" s="95" t="str">
        <f>IF($A28="","",INDEX([1]Clasif_Pron!$I:$I,((ROW()-4)*12+6)))</f>
        <v>Ecuador</v>
      </c>
      <c r="AI28" s="95">
        <f>IF($A28="","",INDEX([1]Clasif_Pron!$M:$M,((ROW()-4)*12+6)))</f>
        <v>5</v>
      </c>
      <c r="AJ28" s="95">
        <f>IF($A28="","",INDEX([1]Clasif_Pron!$N:$N,((ROW()-4)*12+6)))</f>
        <v>18</v>
      </c>
      <c r="AK28" s="119" t="str">
        <f>IF($A28="","",INDEX([1]Clasif_Pron!$E:$E,((ROW()-4)*12+7)))</f>
        <v>Países Bajos</v>
      </c>
      <c r="AL28" s="119">
        <f>IF($A28="","",INDEX([1]Clasif_Pron!$K:$K,((ROW()-4)*12+7)))</f>
        <v>7</v>
      </c>
      <c r="AM28" s="95" t="str">
        <f>IF($A28="","",INDEX([1]Clasif_Pron!$G:$G,((ROW()-4)*12+7)))</f>
        <v>Suecia</v>
      </c>
      <c r="AN28" s="95">
        <f>IF($A28="","",INDEX([1]Clasif_Pron!$L:$L,((ROW()-4)*12+7)))</f>
        <v>3</v>
      </c>
      <c r="AO28" s="119" t="str">
        <f>IF($A28="","",INDEX([1]Clasif_Pron!$I:$I,((ROW()-4)*12+7)))</f>
        <v>Japón</v>
      </c>
      <c r="AP28" s="119">
        <f>IF($A28="","",INDEX([1]Clasif_Pron!$M:$M,((ROW()-4)*12+7)))</f>
        <v>3</v>
      </c>
      <c r="AQ28" s="95">
        <f>IF($A28="","",INDEX([1]Clasif_Pron!$N:$N,((ROW()-4)*12+7)))</f>
        <v>13</v>
      </c>
      <c r="AR28" s="119" t="str">
        <f>IF($A28="","",INDEX([1]Clasif_Pron!$E:$E,((ROW()-4)*12+8)))</f>
        <v>Nueva Zelanda</v>
      </c>
      <c r="AS28" s="119">
        <f>IF($A28="","",INDEX([1]Clasif_Pron!$K:$K,((ROW()-4)*12+8)))</f>
        <v>0</v>
      </c>
      <c r="AT28" s="119" t="str">
        <f>IF($A28="","",INDEX([1]Clasif_Pron!$G:$G,((ROW()-4)*12+8)))</f>
        <v>Bélgica</v>
      </c>
      <c r="AU28" s="119">
        <f>IF($A28="","",INDEX([1]Clasif_Pron!$L:$L,((ROW()-4)*12+8)))</f>
        <v>3</v>
      </c>
      <c r="AV28" s="119" t="str">
        <f>IF($A28="","",INDEX([1]Clasif_Pron!$I:$I,((ROW()-4)*12+8)))</f>
        <v>Egipto</v>
      </c>
      <c r="AW28" s="119">
        <f>IF($A28="","",INDEX([1]Clasif_Pron!$M:$M,((ROW()-4)*12+8)))</f>
        <v>3</v>
      </c>
      <c r="AX28" s="119">
        <f>IF($A28="","",INDEX([1]Clasif_Pron!$N:$N,((ROW()-4)*12+8)))</f>
        <v>6</v>
      </c>
      <c r="AY28" s="119" t="str">
        <f>IF($A28="","",INDEX([1]Clasif_Pron!$E:$E,((ROW()-4)*12+9)))</f>
        <v>España</v>
      </c>
      <c r="AZ28" s="119">
        <f>IF($A28="","",INDEX([1]Clasif_Pron!$K:$K,((ROW()-4)*12+9)))</f>
        <v>7</v>
      </c>
      <c r="BA28" s="119" t="str">
        <f>IF($A28="","",INDEX([1]Clasif_Pron!$G:$G,((ROW()-4)*12+9)))</f>
        <v>Uruguay</v>
      </c>
      <c r="BB28" s="119">
        <f>IF($A28="","",INDEX([1]Clasif_Pron!$L:$L,((ROW()-4)*12+9)))</f>
        <v>0</v>
      </c>
      <c r="BC28" s="119" t="str">
        <f>IF($A28="","",INDEX([1]Clasif_Pron!$I:$I,((ROW()-4)*12+9)))</f>
        <v>Arabia Saudita</v>
      </c>
      <c r="BD28" s="119">
        <f>IF($A28="","",INDEX([1]Clasif_Pron!$M:$M,((ROW()-4)*12+9)))</f>
        <v>0</v>
      </c>
      <c r="BE28" s="119">
        <f>IF($A28="","",INDEX([1]Clasif_Pron!$N:$N,((ROW()-4)*12+9)))</f>
        <v>7</v>
      </c>
      <c r="BF28" s="119" t="str">
        <f>IF($A28="","",INDEX([1]Clasif_Pron!$E:$E,((ROW()-4)*12+10)))</f>
        <v>Francia</v>
      </c>
      <c r="BG28" s="119">
        <f>IF($A28="","",INDEX([1]Clasif_Pron!$K:$K,((ROW()-4)*12+10)))</f>
        <v>7</v>
      </c>
      <c r="BH28" s="119" t="str">
        <f>IF($A28="","",INDEX([1]Clasif_Pron!$G:$G,((ROW()-4)*12+10)))</f>
        <v>Noruega</v>
      </c>
      <c r="BI28" s="119">
        <f>IF($A28="","",INDEX([1]Clasif_Pron!$L:$L,((ROW()-4)*12+10)))</f>
        <v>6</v>
      </c>
      <c r="BJ28" s="95" t="str">
        <f>IF($A28="","",INDEX([1]Clasif_Pron!$I:$I,((ROW()-4)*12+10)))</f>
        <v>Senegal</v>
      </c>
      <c r="BK28" s="95">
        <f>IF($A28="","",INDEX([1]Clasif_Pron!$M:$M,((ROW()-4)*12+10)))</f>
        <v>5</v>
      </c>
      <c r="BL28" s="95">
        <f>IF($A28="","",INDEX([1]Clasif_Pron!$N:$N,((ROW()-4)*12+10)))</f>
        <v>18</v>
      </c>
      <c r="BM28" s="119" t="str">
        <f>IF($A28="","",INDEX([1]Clasif_Pron!$E:$E,((ROW()-4)*12+11)))</f>
        <v>Argentina</v>
      </c>
      <c r="BN28" s="119">
        <f>IF($A28="","",INDEX([1]Clasif_Pron!$K:$K,((ROW()-4)*12+11)))</f>
        <v>7</v>
      </c>
      <c r="BO28" s="95" t="str">
        <f>IF($A28="","",INDEX([1]Clasif_Pron!$G:$G,((ROW()-4)*12+11)))</f>
        <v>Austria</v>
      </c>
      <c r="BP28" s="95">
        <f>IF($A28="","",INDEX([1]Clasif_Pron!$L:$L,((ROW()-4)*12+11)))</f>
        <v>6</v>
      </c>
      <c r="BQ28" s="95" t="str">
        <f>IF($A28="","",INDEX([1]Clasif_Pron!$I:$I,((ROW()-4)*12+11)))</f>
        <v>Argelia</v>
      </c>
      <c r="BR28" s="95">
        <f>IF($A28="","",INDEX([1]Clasif_Pron!$M:$M,((ROW()-4)*12+11)))</f>
        <v>0</v>
      </c>
      <c r="BS28" s="95">
        <f>IF($A28="","",INDEX([1]Clasif_Pron!$N:$N,((ROW()-4)*12+11)))</f>
        <v>13</v>
      </c>
      <c r="BT28" s="95" t="str">
        <f>IF($A28="","",INDEX([1]Clasif_Pron!$E:$E,((ROW()-4)*12+12)))</f>
        <v>Portugal</v>
      </c>
      <c r="BU28" s="95">
        <f>IF($A28="","",INDEX([1]Clasif_Pron!$K:$K,((ROW()-4)*12+12)))</f>
        <v>3</v>
      </c>
      <c r="BV28" s="95" t="str">
        <f>IF($A28="","",INDEX([1]Clasif_Pron!$G:$G,((ROW()-4)*12+12)))</f>
        <v>Colombia</v>
      </c>
      <c r="BW28" s="95">
        <f>IF($A28="","",INDEX([1]Clasif_Pron!$L:$L,((ROW()-4)*12+12)))</f>
        <v>3</v>
      </c>
      <c r="BX28" s="95" t="str">
        <f>IF($A28="","",INDEX([1]Clasif_Pron!$I:$I,((ROW()-4)*12+12)))</f>
        <v>Uzbekistán</v>
      </c>
      <c r="BY28" s="95">
        <f>IF($A28="","",INDEX([1]Clasif_Pron!$M:$M,((ROW()-4)*12+12)))</f>
        <v>0</v>
      </c>
      <c r="BZ28" s="95">
        <f>IF($A28="","",INDEX([1]Clasif_Pron!$N:$N,((ROW()-4)*12+12)))</f>
        <v>6</v>
      </c>
      <c r="CA28" s="95" t="str">
        <f>IF($A28="","",INDEX([1]Clasif_Pron!$E:$E,((ROW()-4)*12+13)))</f>
        <v>Croacia</v>
      </c>
      <c r="CB28" s="95">
        <f>IF($A28="","",INDEX([1]Clasif_Pron!$K:$K,((ROW()-4)*12+13)))</f>
        <v>3</v>
      </c>
      <c r="CC28" s="95" t="str">
        <f>IF($A28="","",INDEX([1]Clasif_Pron!$G:$G,((ROW()-4)*12+13)))</f>
        <v>Inglaterra</v>
      </c>
      <c r="CD28" s="95">
        <f>IF($A28="","",INDEX([1]Clasif_Pron!$L:$L,((ROW()-4)*12+13)))</f>
        <v>3</v>
      </c>
      <c r="CE28" s="95" t="str">
        <f>IF($A28="","",INDEX([1]Clasif_Pron!$I:$I,((ROW()-4)*12+13)))</f>
        <v>Ghana</v>
      </c>
      <c r="CF28" s="95">
        <f>IF($A28="","",INDEX([1]Clasif_Pron!$M:$M,((ROW()-4)*12+13)))</f>
        <v>3</v>
      </c>
      <c r="CG28" s="95">
        <f>IF($A28="","",INDEX([1]Clasif_Pron!$N:$N,((ROW()-4)*12+13)))</f>
        <v>9</v>
      </c>
      <c r="CH28" s="96">
        <f t="shared" si="0"/>
        <v>145</v>
      </c>
    </row>
    <row r="29" spans="1:86" ht="20.25" customHeight="1" x14ac:dyDescent="0.3">
      <c r="A29" s="94" t="str">
        <f>[1]Participantes!B27</f>
        <v>Kattia 2</v>
      </c>
      <c r="B29" s="119" t="str">
        <f>IF($A29="","",INDEX([1]Clasif_Pron!$E:$E,((ROW()-4)*12+2)))</f>
        <v>México</v>
      </c>
      <c r="C29" s="119">
        <f>IF($A29="","",INDEX([1]Clasif_Pron!$K:$K,((ROW()-4)*12+2)))</f>
        <v>7</v>
      </c>
      <c r="D29" s="95" t="str">
        <f>IF($A29="","",INDEX([1]Clasif_Pron!$G:$G,((ROW()-4)*12+2)))</f>
        <v>Corea República</v>
      </c>
      <c r="E29" s="95">
        <f>IF($A29="","",INDEX([1]Clasif_Pron!$L:$L,((ROW()-4)*12+2)))</f>
        <v>3</v>
      </c>
      <c r="F29" s="119" t="str">
        <f>IF($A29="","",INDEX([1]Clasif_Pron!$I:$I,((ROW()-4)*12+2)))</f>
        <v>Chequia</v>
      </c>
      <c r="G29" s="119">
        <f>IF($A29="","",INDEX([1]Clasif_Pron!$M:$M,((ROW()-4)*12+2)))</f>
        <v>0</v>
      </c>
      <c r="H29" s="95">
        <f>IF($A29="","",INDEX([1]Clasif_Pron!$N:$N,((ROW()-4)*12+2)))</f>
        <v>10</v>
      </c>
      <c r="I29" s="119" t="str">
        <f>IF($A29="","",INDEX([1]Clasif_Pron!$E:$E,((ROW()-4)*12+3)))</f>
        <v>Canadá</v>
      </c>
      <c r="J29" s="119">
        <f>IF($A29="","",INDEX([1]Clasif_Pron!$K:$K,((ROW()-4)*12+3)))</f>
        <v>3</v>
      </c>
      <c r="K29" s="119" t="str">
        <f>IF($A29="","",INDEX([1]Clasif_Pron!$G:$G,((ROW()-4)*12+3)))</f>
        <v>Suiza</v>
      </c>
      <c r="L29" s="119">
        <f>IF($A29="","",INDEX([1]Clasif_Pron!$L:$L,((ROW()-4)*12+3)))</f>
        <v>3</v>
      </c>
      <c r="M29" s="119" t="str">
        <f>IF($A29="","",INDEX([1]Clasif_Pron!$I:$I,((ROW()-4)*12+3)))</f>
        <v>Bosnia y Herzegovina</v>
      </c>
      <c r="N29" s="119">
        <f>IF($A29="","",INDEX([1]Clasif_Pron!$M:$M,((ROW()-4)*12+3)))</f>
        <v>5</v>
      </c>
      <c r="O29" s="119">
        <f>IF($A29="","",INDEX([1]Clasif_Pron!$N:$N,((ROW()-4)*12+3)))</f>
        <v>11</v>
      </c>
      <c r="P29" s="119" t="str">
        <f>IF($A29="","",INDEX([1]Clasif_Pron!$E:$E,((ROW()-4)*12+4)))</f>
        <v>Brasil</v>
      </c>
      <c r="Q29" s="119">
        <f>IF($A29="","",INDEX([1]Clasif_Pron!$K:$K,((ROW()-4)*12+4)))</f>
        <v>7</v>
      </c>
      <c r="R29" s="119" t="str">
        <f>IF($A29="","",INDEX([1]Clasif_Pron!$G:$G,((ROW()-4)*12+4)))</f>
        <v>Marruecos</v>
      </c>
      <c r="S29" s="119">
        <f>IF($A29="","",INDEX([1]Clasif_Pron!$L:$L,((ROW()-4)*12+4)))</f>
        <v>6</v>
      </c>
      <c r="T29" s="95" t="str">
        <f>IF($A29="","",INDEX([1]Clasif_Pron!$I:$I,((ROW()-4)*12+4)))</f>
        <v>Escocia</v>
      </c>
      <c r="U29" s="95">
        <f>IF($A29="","",INDEX([1]Clasif_Pron!$M:$M,((ROW()-4)*12+4)))</f>
        <v>0</v>
      </c>
      <c r="V29" s="95">
        <f>IF($A29="","",INDEX([1]Clasif_Pron!$N:$N,((ROW()-4)*12+4)))</f>
        <v>13</v>
      </c>
      <c r="W29" s="119" t="str">
        <f>IF($A29="","",INDEX([1]Clasif_Pron!$E:$E,((ROW()-4)*12+5)))</f>
        <v>Estados Unidos</v>
      </c>
      <c r="X29" s="119">
        <f>IF($A29="","",INDEX([1]Clasif_Pron!$K:$K,((ROW()-4)*12+5)))</f>
        <v>7</v>
      </c>
      <c r="Y29" s="95" t="str">
        <f>IF($A29="","",INDEX([1]Clasif_Pron!$G:$G,((ROW()-4)*12+5)))</f>
        <v>Paraguay</v>
      </c>
      <c r="Z29" s="95">
        <f>IF($A29="","",INDEX([1]Clasif_Pron!$L:$L,((ROW()-4)*12+5)))</f>
        <v>3</v>
      </c>
      <c r="AA29" s="119" t="str">
        <f>IF($A29="","",INDEX([1]Clasif_Pron!$I:$I,((ROW()-4)*12+5)))</f>
        <v>Türkiye</v>
      </c>
      <c r="AB29" s="119">
        <f>IF($A29="","",INDEX([1]Clasif_Pron!$M:$M,((ROW()-4)*12+5)))</f>
        <v>0</v>
      </c>
      <c r="AC29" s="95">
        <f>IF($A29="","",INDEX([1]Clasif_Pron!$N:$N,((ROW()-4)*12+5)))</f>
        <v>10</v>
      </c>
      <c r="AD29" s="119" t="str">
        <f>IF($A29="","",INDEX([1]Clasif_Pron!$E:$E,((ROW()-4)*12+6)))</f>
        <v>Alemania</v>
      </c>
      <c r="AE29" s="119">
        <f>IF($A29="","",INDEX([1]Clasif_Pron!$K:$K,((ROW()-4)*12+6)))</f>
        <v>7</v>
      </c>
      <c r="AF29" s="95" t="str">
        <f>IF($A29="","",INDEX([1]Clasif_Pron!$G:$G,((ROW()-4)*12+6)))</f>
        <v>Ecuador</v>
      </c>
      <c r="AG29" s="95">
        <f>IF($A29="","",INDEX([1]Clasif_Pron!$L:$L,((ROW()-4)*12+6)))</f>
        <v>3</v>
      </c>
      <c r="AH29" s="119" t="str">
        <f>IF($A29="","",INDEX([1]Clasif_Pron!$I:$I,((ROW()-4)*12+6)))</f>
        <v>Costa de Marfil</v>
      </c>
      <c r="AI29" s="119">
        <f>IF($A29="","",INDEX([1]Clasif_Pron!$M:$M,((ROW()-4)*12+6)))</f>
        <v>3</v>
      </c>
      <c r="AJ29" s="95">
        <f>IF($A29="","",INDEX([1]Clasif_Pron!$N:$N,((ROW()-4)*12+6)))</f>
        <v>13</v>
      </c>
      <c r="AK29" s="119" t="str">
        <f>IF($A29="","",INDEX([1]Clasif_Pron!$E:$E,((ROW()-4)*12+7)))</f>
        <v>Países Bajos</v>
      </c>
      <c r="AL29" s="119">
        <f>IF($A29="","",INDEX([1]Clasif_Pron!$K:$K,((ROW()-4)*12+7)))</f>
        <v>7</v>
      </c>
      <c r="AM29" s="119" t="str">
        <f>IF($A29="","",INDEX([1]Clasif_Pron!$G:$G,((ROW()-4)*12+7)))</f>
        <v>Japón</v>
      </c>
      <c r="AN29" s="119">
        <f>IF($A29="","",INDEX([1]Clasif_Pron!$L:$L,((ROW()-4)*12+7)))</f>
        <v>6</v>
      </c>
      <c r="AO29" s="95" t="str">
        <f>IF($A29="","",INDEX([1]Clasif_Pron!$I:$I,((ROW()-4)*12+7)))</f>
        <v>Suecia</v>
      </c>
      <c r="AP29" s="95">
        <f>IF($A29="","",INDEX([1]Clasif_Pron!$M:$M,((ROW()-4)*12+7)))</f>
        <v>5</v>
      </c>
      <c r="AQ29" s="95">
        <f>IF($A29="","",INDEX([1]Clasif_Pron!$N:$N,((ROW()-4)*12+7)))</f>
        <v>18</v>
      </c>
      <c r="AR29" s="119" t="str">
        <f>IF($A29="","",INDEX([1]Clasif_Pron!$E:$E,((ROW()-4)*12+8)))</f>
        <v>Bélgica</v>
      </c>
      <c r="AS29" s="119">
        <f>IF($A29="","",INDEX([1]Clasif_Pron!$K:$K,((ROW()-4)*12+8)))</f>
        <v>7</v>
      </c>
      <c r="AT29" s="95" t="str">
        <f>IF($A29="","",INDEX([1]Clasif_Pron!$G:$G,((ROW()-4)*12+8)))</f>
        <v>Irán</v>
      </c>
      <c r="AU29" s="95">
        <f>IF($A29="","",INDEX([1]Clasif_Pron!$L:$L,((ROW()-4)*12+8)))</f>
        <v>3</v>
      </c>
      <c r="AV29" s="119" t="str">
        <f>IF($A29="","",INDEX([1]Clasif_Pron!$I:$I,((ROW()-4)*12+8)))</f>
        <v>Egipto</v>
      </c>
      <c r="AW29" s="119">
        <f>IF($A29="","",INDEX([1]Clasif_Pron!$M:$M,((ROW()-4)*12+8)))</f>
        <v>3</v>
      </c>
      <c r="AX29" s="95">
        <f>IF($A29="","",INDEX([1]Clasif_Pron!$N:$N,((ROW()-4)*12+8)))</f>
        <v>13</v>
      </c>
      <c r="AY29" s="119" t="str">
        <f>IF($A29="","",INDEX([1]Clasif_Pron!$E:$E,((ROW()-4)*12+9)))</f>
        <v>España</v>
      </c>
      <c r="AZ29" s="119">
        <f>IF($A29="","",INDEX([1]Clasif_Pron!$K:$K,((ROW()-4)*12+9)))</f>
        <v>7</v>
      </c>
      <c r="BA29" s="119" t="str">
        <f>IF($A29="","",INDEX([1]Clasif_Pron!$G:$G,((ROW()-4)*12+9)))</f>
        <v>Uruguay</v>
      </c>
      <c r="BB29" s="119">
        <f>IF($A29="","",INDEX([1]Clasif_Pron!$L:$L,((ROW()-4)*12+9)))</f>
        <v>0</v>
      </c>
      <c r="BC29" s="119" t="str">
        <f>IF($A29="","",INDEX([1]Clasif_Pron!$I:$I,((ROW()-4)*12+9)))</f>
        <v>Arabia Saudita</v>
      </c>
      <c r="BD29" s="119">
        <f>IF($A29="","",INDEX([1]Clasif_Pron!$M:$M,((ROW()-4)*12+9)))</f>
        <v>0</v>
      </c>
      <c r="BE29" s="119">
        <f>IF($A29="","",INDEX([1]Clasif_Pron!$N:$N,((ROW()-4)*12+9)))</f>
        <v>7</v>
      </c>
      <c r="BF29" s="119" t="str">
        <f>IF($A29="","",INDEX([1]Clasif_Pron!$E:$E,((ROW()-4)*12+10)))</f>
        <v>Francia</v>
      </c>
      <c r="BG29" s="119">
        <f>IF($A29="","",INDEX([1]Clasif_Pron!$K:$K,((ROW()-4)*12+10)))</f>
        <v>7</v>
      </c>
      <c r="BH29" s="119" t="str">
        <f>IF($A29="","",INDEX([1]Clasif_Pron!$G:$G,((ROW()-4)*12+10)))</f>
        <v>Noruega</v>
      </c>
      <c r="BI29" s="119">
        <f>IF($A29="","",INDEX([1]Clasif_Pron!$L:$L,((ROW()-4)*12+10)))</f>
        <v>6</v>
      </c>
      <c r="BJ29" s="95" t="str">
        <f>IF($A29="","",INDEX([1]Clasif_Pron!$I:$I,((ROW()-4)*12+10)))</f>
        <v>Senegal</v>
      </c>
      <c r="BK29" s="95">
        <f>IF($A29="","",INDEX([1]Clasif_Pron!$M:$M,((ROW()-4)*12+10)))</f>
        <v>5</v>
      </c>
      <c r="BL29" s="95">
        <f>IF($A29="","",INDEX([1]Clasif_Pron!$N:$N,((ROW()-4)*12+10)))</f>
        <v>18</v>
      </c>
      <c r="BM29" s="119" t="str">
        <f>IF($A29="","",INDEX([1]Clasif_Pron!$E:$E,((ROW()-4)*12+11)))</f>
        <v>Argentina</v>
      </c>
      <c r="BN29" s="119">
        <f>IF($A29="","",INDEX([1]Clasif_Pron!$K:$K,((ROW()-4)*12+11)))</f>
        <v>7</v>
      </c>
      <c r="BO29" s="95" t="str">
        <f>IF($A29="","",INDEX([1]Clasif_Pron!$G:$G,((ROW()-4)*12+11)))</f>
        <v>Austria</v>
      </c>
      <c r="BP29" s="95">
        <f>IF($A29="","",INDEX([1]Clasif_Pron!$L:$L,((ROW()-4)*12+11)))</f>
        <v>6</v>
      </c>
      <c r="BQ29" s="95" t="str">
        <f>IF($A29="","",INDEX([1]Clasif_Pron!$I:$I,((ROW()-4)*12+11)))</f>
        <v>Argelia</v>
      </c>
      <c r="BR29" s="95">
        <f>IF($A29="","",INDEX([1]Clasif_Pron!$M:$M,((ROW()-4)*12+11)))</f>
        <v>0</v>
      </c>
      <c r="BS29" s="95">
        <f>IF($A29="","",INDEX([1]Clasif_Pron!$N:$N,((ROW()-4)*12+11)))</f>
        <v>13</v>
      </c>
      <c r="BT29" s="95" t="str">
        <f>IF($A29="","",INDEX([1]Clasif_Pron!$E:$E,((ROW()-4)*12+12)))</f>
        <v>Portugal</v>
      </c>
      <c r="BU29" s="95">
        <f>IF($A29="","",INDEX([1]Clasif_Pron!$K:$K,((ROW()-4)*12+12)))</f>
        <v>3</v>
      </c>
      <c r="BV29" s="95" t="str">
        <f>IF($A29="","",INDEX([1]Clasif_Pron!$G:$G,((ROW()-4)*12+12)))</f>
        <v>Colombia</v>
      </c>
      <c r="BW29" s="95">
        <f>IF($A29="","",INDEX([1]Clasif_Pron!$L:$L,((ROW()-4)*12+12)))</f>
        <v>3</v>
      </c>
      <c r="BX29" s="95" t="str">
        <f>IF($A29="","",INDEX([1]Clasif_Pron!$I:$I,((ROW()-4)*12+12)))</f>
        <v>RD Congo</v>
      </c>
      <c r="BY29" s="95">
        <f>IF($A29="","",INDEX([1]Clasif_Pron!$M:$M,((ROW()-4)*12+12)))</f>
        <v>0</v>
      </c>
      <c r="BZ29" s="95">
        <f>IF($A29="","",INDEX([1]Clasif_Pron!$N:$N,((ROW()-4)*12+12)))</f>
        <v>6</v>
      </c>
      <c r="CA29" s="95" t="str">
        <f>IF($A29="","",INDEX([1]Clasif_Pron!$E:$E,((ROW()-4)*12+13)))</f>
        <v>Inglaterra</v>
      </c>
      <c r="CB29" s="95">
        <f>IF($A29="","",INDEX([1]Clasif_Pron!$K:$K,((ROW()-4)*12+13)))</f>
        <v>7</v>
      </c>
      <c r="CC29" s="95" t="str">
        <f>IF($A29="","",INDEX([1]Clasif_Pron!$G:$G,((ROW()-4)*12+13)))</f>
        <v>Croacia</v>
      </c>
      <c r="CD29" s="95">
        <f>IF($A29="","",INDEX([1]Clasif_Pron!$L:$L,((ROW()-4)*12+13)))</f>
        <v>3</v>
      </c>
      <c r="CE29" s="95" t="str">
        <f>IF($A29="","",INDEX([1]Clasif_Pron!$I:$I,((ROW()-4)*12+13)))</f>
        <v>Ghana</v>
      </c>
      <c r="CF29" s="95">
        <f>IF($A29="","",INDEX([1]Clasif_Pron!$M:$M,((ROW()-4)*12+13)))</f>
        <v>3</v>
      </c>
      <c r="CG29" s="95">
        <f>IF($A29="","",INDEX([1]Clasif_Pron!$N:$N,((ROW()-4)*12+13)))</f>
        <v>13</v>
      </c>
      <c r="CH29" s="96">
        <f t="shared" si="0"/>
        <v>145</v>
      </c>
    </row>
    <row r="30" spans="1:86" ht="20.25" customHeight="1" x14ac:dyDescent="0.3">
      <c r="A30" s="94" t="str">
        <f>[1]Participantes!B28</f>
        <v>Kevin</v>
      </c>
      <c r="B30" s="119" t="str">
        <f>IF($A30="","",INDEX([1]Clasif_Pron!$E:$E,((ROW()-4)*12+2)))</f>
        <v>México</v>
      </c>
      <c r="C30" s="119">
        <f>IF($A30="","",INDEX([1]Clasif_Pron!$K:$K,((ROW()-4)*12+2)))</f>
        <v>7</v>
      </c>
      <c r="D30" s="119" t="str">
        <f>IF($A30="","",INDEX([1]Clasif_Pron!$G:$G,((ROW()-4)*12+2)))</f>
        <v>Chequia</v>
      </c>
      <c r="E30" s="119">
        <f>IF($A30="","",INDEX([1]Clasif_Pron!$L:$L,((ROW()-4)*12+2)))</f>
        <v>0</v>
      </c>
      <c r="F30" s="119" t="str">
        <f>IF($A30="","",INDEX([1]Clasif_Pron!$I:$I,((ROW()-4)*12+2)))</f>
        <v>Sudáfrica</v>
      </c>
      <c r="G30" s="119">
        <f>IF($A30="","",INDEX([1]Clasif_Pron!$M:$M,((ROW()-4)*12+2)))</f>
        <v>3</v>
      </c>
      <c r="H30" s="119">
        <f>IF($A30="","",INDEX([1]Clasif_Pron!$N:$N,((ROW()-4)*12+2)))</f>
        <v>10</v>
      </c>
      <c r="I30" s="119" t="str">
        <f>IF($A30="","",INDEX([1]Clasif_Pron!$E:$E,((ROW()-4)*12+3)))</f>
        <v>Suiza</v>
      </c>
      <c r="J30" s="119">
        <f>IF($A30="","",INDEX([1]Clasif_Pron!$K:$K,((ROW()-4)*12+3)))</f>
        <v>7</v>
      </c>
      <c r="K30" s="119" t="str">
        <f>IF($A30="","",INDEX([1]Clasif_Pron!$G:$G,((ROW()-4)*12+3)))</f>
        <v>Bosnia y Herzegovina</v>
      </c>
      <c r="L30" s="119">
        <f>IF($A30="","",INDEX([1]Clasif_Pron!$L:$L,((ROW()-4)*12+3)))</f>
        <v>3</v>
      </c>
      <c r="M30" s="119" t="str">
        <f>IF($A30="","",INDEX([1]Clasif_Pron!$I:$I,((ROW()-4)*12+3)))</f>
        <v>Canadá</v>
      </c>
      <c r="N30" s="119">
        <f>IF($A30="","",INDEX([1]Clasif_Pron!$M:$M,((ROW()-4)*12+3)))</f>
        <v>3</v>
      </c>
      <c r="O30" s="119">
        <f>IF($A30="","",INDEX([1]Clasif_Pron!$N:$N,((ROW()-4)*12+3)))</f>
        <v>13</v>
      </c>
      <c r="P30" s="119" t="str">
        <f>IF($A30="","",INDEX([1]Clasif_Pron!$E:$E,((ROW()-4)*12+4)))</f>
        <v>Brasil</v>
      </c>
      <c r="Q30" s="119">
        <f>IF($A30="","",INDEX([1]Clasif_Pron!$K:$K,((ROW()-4)*12+4)))</f>
        <v>7</v>
      </c>
      <c r="R30" s="119" t="str">
        <f>IF($A30="","",INDEX([1]Clasif_Pron!$G:$G,((ROW()-4)*12+4)))</f>
        <v>Marruecos</v>
      </c>
      <c r="S30" s="119">
        <f>IF($A30="","",INDEX([1]Clasif_Pron!$L:$L,((ROW()-4)*12+4)))</f>
        <v>6</v>
      </c>
      <c r="T30" s="95" t="str">
        <f>IF($A30="","",INDEX([1]Clasif_Pron!$I:$I,((ROW()-4)*12+4)))</f>
        <v>Escocia</v>
      </c>
      <c r="U30" s="95">
        <f>IF($A30="","",INDEX([1]Clasif_Pron!$M:$M,((ROW()-4)*12+4)))</f>
        <v>0</v>
      </c>
      <c r="V30" s="95">
        <f>IF($A30="","",INDEX([1]Clasif_Pron!$N:$N,((ROW()-4)*12+4)))</f>
        <v>13</v>
      </c>
      <c r="W30" s="119" t="str">
        <f>IF($A30="","",INDEX([1]Clasif_Pron!$E:$E,((ROW()-4)*12+5)))</f>
        <v>Estados Unidos</v>
      </c>
      <c r="X30" s="119">
        <f>IF($A30="","",INDEX([1]Clasif_Pron!$K:$K,((ROW()-4)*12+5)))</f>
        <v>7</v>
      </c>
      <c r="Y30" s="119" t="str">
        <f>IF($A30="","",INDEX([1]Clasif_Pron!$G:$G,((ROW()-4)*12+5)))</f>
        <v>Türkiye</v>
      </c>
      <c r="Z30" s="119">
        <f>IF($A30="","",INDEX([1]Clasif_Pron!$L:$L,((ROW()-4)*12+5)))</f>
        <v>0</v>
      </c>
      <c r="AA30" s="95" t="str">
        <f>IF($A30="","",INDEX([1]Clasif_Pron!$I:$I,((ROW()-4)*12+5)))</f>
        <v>Paraguay</v>
      </c>
      <c r="AB30" s="95">
        <f>IF($A30="","",INDEX([1]Clasif_Pron!$M:$M,((ROW()-4)*12+5)))</f>
        <v>5</v>
      </c>
      <c r="AC30" s="95">
        <f>IF($A30="","",INDEX([1]Clasif_Pron!$N:$N,((ROW()-4)*12+5)))</f>
        <v>12</v>
      </c>
      <c r="AD30" s="119" t="str">
        <f>IF($A30="","",INDEX([1]Clasif_Pron!$E:$E,((ROW()-4)*12+6)))</f>
        <v>Alemania</v>
      </c>
      <c r="AE30" s="119">
        <f>IF($A30="","",INDEX([1]Clasif_Pron!$K:$K,((ROW()-4)*12+6)))</f>
        <v>7</v>
      </c>
      <c r="AF30" s="95" t="str">
        <f>IF($A30="","",INDEX([1]Clasif_Pron!$G:$G,((ROW()-4)*12+6)))</f>
        <v>Ecuador</v>
      </c>
      <c r="AG30" s="95">
        <f>IF($A30="","",INDEX([1]Clasif_Pron!$L:$L,((ROW()-4)*12+6)))</f>
        <v>3</v>
      </c>
      <c r="AH30" s="119" t="str">
        <f>IF($A30="","",INDEX([1]Clasif_Pron!$I:$I,((ROW()-4)*12+6)))</f>
        <v>Curazao</v>
      </c>
      <c r="AI30" s="119">
        <f>IF($A30="","",INDEX([1]Clasif_Pron!$M:$M,((ROW()-4)*12+6)))</f>
        <v>0</v>
      </c>
      <c r="AJ30" s="95">
        <f>IF($A30="","",INDEX([1]Clasif_Pron!$N:$N,((ROW()-4)*12+6)))</f>
        <v>10</v>
      </c>
      <c r="AK30" s="119" t="str">
        <f>IF($A30="","",INDEX([1]Clasif_Pron!$E:$E,((ROW()-4)*12+7)))</f>
        <v>Países Bajos</v>
      </c>
      <c r="AL30" s="119">
        <f>IF($A30="","",INDEX([1]Clasif_Pron!$K:$K,((ROW()-4)*12+7)))</f>
        <v>7</v>
      </c>
      <c r="AM30" s="119" t="str">
        <f>IF($A30="","",INDEX([1]Clasif_Pron!$G:$G,((ROW()-4)*12+7)))</f>
        <v>Japón</v>
      </c>
      <c r="AN30" s="119">
        <f>IF($A30="","",INDEX([1]Clasif_Pron!$L:$L,((ROW()-4)*12+7)))</f>
        <v>6</v>
      </c>
      <c r="AO30" s="95" t="str">
        <f>IF($A30="","",INDEX([1]Clasif_Pron!$I:$I,((ROW()-4)*12+7)))</f>
        <v>Suecia</v>
      </c>
      <c r="AP30" s="95">
        <f>IF($A30="","",INDEX([1]Clasif_Pron!$M:$M,((ROW()-4)*12+7)))</f>
        <v>5</v>
      </c>
      <c r="AQ30" s="95">
        <f>IF($A30="","",INDEX([1]Clasif_Pron!$N:$N,((ROW()-4)*12+7)))</f>
        <v>18</v>
      </c>
      <c r="AR30" s="119" t="str">
        <f>IF($A30="","",INDEX([1]Clasif_Pron!$E:$E,((ROW()-4)*12+8)))</f>
        <v>Bélgica</v>
      </c>
      <c r="AS30" s="119">
        <f>IF($A30="","",INDEX([1]Clasif_Pron!$K:$K,((ROW()-4)*12+8)))</f>
        <v>7</v>
      </c>
      <c r="AT30" s="119" t="str">
        <f>IF($A30="","",INDEX([1]Clasif_Pron!$G:$G,((ROW()-4)*12+8)))</f>
        <v>Nueva Zelanda</v>
      </c>
      <c r="AU30" s="119">
        <f>IF($A30="","",INDEX([1]Clasif_Pron!$L:$L,((ROW()-4)*12+8)))</f>
        <v>0</v>
      </c>
      <c r="AV30" s="119" t="str">
        <f>IF($A30="","",INDEX([1]Clasif_Pron!$I:$I,((ROW()-4)*12+8)))</f>
        <v>Egipto</v>
      </c>
      <c r="AW30" s="119">
        <f>IF($A30="","",INDEX([1]Clasif_Pron!$M:$M,((ROW()-4)*12+8)))</f>
        <v>3</v>
      </c>
      <c r="AX30" s="119">
        <f>IF($A30="","",INDEX([1]Clasif_Pron!$N:$N,((ROW()-4)*12+8)))</f>
        <v>10</v>
      </c>
      <c r="AY30" s="119" t="str">
        <f>IF($A30="","",INDEX([1]Clasif_Pron!$E:$E,((ROW()-4)*12+9)))</f>
        <v>España</v>
      </c>
      <c r="AZ30" s="119">
        <f>IF($A30="","",INDEX([1]Clasif_Pron!$K:$K,((ROW()-4)*12+9)))</f>
        <v>7</v>
      </c>
      <c r="BA30" s="119" t="str">
        <f>IF($A30="","",INDEX([1]Clasif_Pron!$G:$G,((ROW()-4)*12+9)))</f>
        <v>Uruguay</v>
      </c>
      <c r="BB30" s="119">
        <f>IF($A30="","",INDEX([1]Clasif_Pron!$L:$L,((ROW()-4)*12+9)))</f>
        <v>0</v>
      </c>
      <c r="BC30" s="119" t="str">
        <f>IF($A30="","",INDEX([1]Clasif_Pron!$I:$I,((ROW()-4)*12+9)))</f>
        <v>Cabo Verde</v>
      </c>
      <c r="BD30" s="119">
        <f>IF($A30="","",INDEX([1]Clasif_Pron!$M:$M,((ROW()-4)*12+9)))</f>
        <v>3</v>
      </c>
      <c r="BE30" s="119">
        <f>IF($A30="","",INDEX([1]Clasif_Pron!$N:$N,((ROW()-4)*12+9)))</f>
        <v>10</v>
      </c>
      <c r="BF30" s="119" t="str">
        <f>IF($A30="","",INDEX([1]Clasif_Pron!$E:$E,((ROW()-4)*12+10)))</f>
        <v>Noruega</v>
      </c>
      <c r="BG30" s="119">
        <f>IF($A30="","",INDEX([1]Clasif_Pron!$K:$K,((ROW()-4)*12+10)))</f>
        <v>3</v>
      </c>
      <c r="BH30" s="119" t="str">
        <f>IF($A30="","",INDEX([1]Clasif_Pron!$G:$G,((ROW()-4)*12+10)))</f>
        <v>Francia</v>
      </c>
      <c r="BI30" s="119">
        <f>IF($A30="","",INDEX([1]Clasif_Pron!$L:$L,((ROW()-4)*12+10)))</f>
        <v>3</v>
      </c>
      <c r="BJ30" s="95" t="str">
        <f>IF($A30="","",INDEX([1]Clasif_Pron!$I:$I,((ROW()-4)*12+10)))</f>
        <v>Senegal</v>
      </c>
      <c r="BK30" s="95">
        <f>IF($A30="","",INDEX([1]Clasif_Pron!$M:$M,((ROW()-4)*12+10)))</f>
        <v>5</v>
      </c>
      <c r="BL30" s="95">
        <f>IF($A30="","",INDEX([1]Clasif_Pron!$N:$N,((ROW()-4)*12+10)))</f>
        <v>11</v>
      </c>
      <c r="BM30" s="119" t="str">
        <f>IF($A30="","",INDEX([1]Clasif_Pron!$E:$E,((ROW()-4)*12+11)))</f>
        <v>Argentina</v>
      </c>
      <c r="BN30" s="119">
        <f>IF($A30="","",INDEX([1]Clasif_Pron!$K:$K,((ROW()-4)*12+11)))</f>
        <v>7</v>
      </c>
      <c r="BO30" s="95" t="str">
        <f>IF($A30="","",INDEX([1]Clasif_Pron!$G:$G,((ROW()-4)*12+11)))</f>
        <v>Argelia</v>
      </c>
      <c r="BP30" s="95">
        <f>IF($A30="","",INDEX([1]Clasif_Pron!$L:$L,((ROW()-4)*12+11)))</f>
        <v>0</v>
      </c>
      <c r="BQ30" s="95" t="str">
        <f>IF($A30="","",INDEX([1]Clasif_Pron!$I:$I,((ROW()-4)*12+11)))</f>
        <v>Austria</v>
      </c>
      <c r="BR30" s="95">
        <f>IF($A30="","",INDEX([1]Clasif_Pron!$M:$M,((ROW()-4)*12+11)))</f>
        <v>3</v>
      </c>
      <c r="BS30" s="95">
        <f>IF($A30="","",INDEX([1]Clasif_Pron!$N:$N,((ROW()-4)*12+11)))</f>
        <v>10</v>
      </c>
      <c r="BT30" s="95" t="str">
        <f>IF($A30="","",INDEX([1]Clasif_Pron!$E:$E,((ROW()-4)*12+12)))</f>
        <v>Portugal</v>
      </c>
      <c r="BU30" s="95">
        <f>IF($A30="","",INDEX([1]Clasif_Pron!$K:$K,((ROW()-4)*12+12)))</f>
        <v>3</v>
      </c>
      <c r="BV30" s="95" t="str">
        <f>IF($A30="","",INDEX([1]Clasif_Pron!$G:$G,((ROW()-4)*12+12)))</f>
        <v>Colombia</v>
      </c>
      <c r="BW30" s="95">
        <f>IF($A30="","",INDEX([1]Clasif_Pron!$L:$L,((ROW()-4)*12+12)))</f>
        <v>3</v>
      </c>
      <c r="BX30" s="95" t="str">
        <f>IF($A30="","",INDEX([1]Clasif_Pron!$I:$I,((ROW()-4)*12+12)))</f>
        <v>RD Congo</v>
      </c>
      <c r="BY30" s="95">
        <f>IF($A30="","",INDEX([1]Clasif_Pron!$M:$M,((ROW()-4)*12+12)))</f>
        <v>0</v>
      </c>
      <c r="BZ30" s="95">
        <f>IF($A30="","",INDEX([1]Clasif_Pron!$N:$N,((ROW()-4)*12+12)))</f>
        <v>6</v>
      </c>
      <c r="CA30" s="95" t="str">
        <f>IF($A30="","",INDEX([1]Clasif_Pron!$E:$E,((ROW()-4)*12+13)))</f>
        <v>Ghana</v>
      </c>
      <c r="CB30" s="95">
        <f>IF($A30="","",INDEX([1]Clasif_Pron!$K:$K,((ROW()-4)*12+13)))</f>
        <v>3</v>
      </c>
      <c r="CC30" s="95" t="str">
        <f>IF($A30="","",INDEX([1]Clasif_Pron!$G:$G,((ROW()-4)*12+13)))</f>
        <v>Croacia</v>
      </c>
      <c r="CD30" s="95">
        <f>IF($A30="","",INDEX([1]Clasif_Pron!$L:$L,((ROW()-4)*12+13)))</f>
        <v>3</v>
      </c>
      <c r="CE30" s="95" t="str">
        <f>IF($A30="","",INDEX([1]Clasif_Pron!$I:$I,((ROW()-4)*12+13)))</f>
        <v>Inglaterra</v>
      </c>
      <c r="CF30" s="95">
        <f>IF($A30="","",INDEX([1]Clasif_Pron!$M:$M,((ROW()-4)*12+13)))</f>
        <v>3</v>
      </c>
      <c r="CG30" s="95">
        <f>IF($A30="","",INDEX([1]Clasif_Pron!$N:$N,((ROW()-4)*12+13)))</f>
        <v>9</v>
      </c>
      <c r="CH30" s="96">
        <f t="shared" si="0"/>
        <v>132</v>
      </c>
    </row>
    <row r="31" spans="1:86" ht="20.25" customHeight="1" x14ac:dyDescent="0.3">
      <c r="A31" s="94" t="str">
        <f>[1]Participantes!B29</f>
        <v>Lizka</v>
      </c>
      <c r="B31" s="119" t="str">
        <f>IF($A31="","",INDEX([1]Clasif_Pron!$E:$E,((ROW()-4)*12+2)))</f>
        <v>Chequia</v>
      </c>
      <c r="C31" s="119">
        <f>IF($A31="","",INDEX([1]Clasif_Pron!$K:$K,((ROW()-4)*12+2)))</f>
        <v>0</v>
      </c>
      <c r="D31" s="119" t="str">
        <f>IF($A31="","",INDEX([1]Clasif_Pron!$G:$G,((ROW()-4)*12+2)))</f>
        <v>México</v>
      </c>
      <c r="E31" s="119">
        <f>IF($A31="","",INDEX([1]Clasif_Pron!$L:$L,((ROW()-4)*12+2)))</f>
        <v>3</v>
      </c>
      <c r="F31" s="95" t="str">
        <f>IF($A31="","",INDEX([1]Clasif_Pron!$I:$I,((ROW()-4)*12+2)))</f>
        <v>Corea República</v>
      </c>
      <c r="G31" s="95">
        <f>IF($A31="","",INDEX([1]Clasif_Pron!$M:$M,((ROW()-4)*12+2)))</f>
        <v>5</v>
      </c>
      <c r="H31" s="95">
        <f>IF($A31="","",INDEX([1]Clasif_Pron!$N:$N,((ROW()-4)*12+2)))</f>
        <v>8</v>
      </c>
      <c r="I31" s="119" t="str">
        <f>IF($A31="","",INDEX([1]Clasif_Pron!$E:$E,((ROW()-4)*12+3)))</f>
        <v>Canadá</v>
      </c>
      <c r="J31" s="119">
        <f>IF($A31="","",INDEX([1]Clasif_Pron!$K:$K,((ROW()-4)*12+3)))</f>
        <v>3</v>
      </c>
      <c r="K31" s="119" t="str">
        <f>IF($A31="","",INDEX([1]Clasif_Pron!$G:$G,((ROW()-4)*12+3)))</f>
        <v>Suiza</v>
      </c>
      <c r="L31" s="119">
        <f>IF($A31="","",INDEX([1]Clasif_Pron!$L:$L,((ROW()-4)*12+3)))</f>
        <v>3</v>
      </c>
      <c r="M31" s="119" t="str">
        <f>IF($A31="","",INDEX([1]Clasif_Pron!$I:$I,((ROW()-4)*12+3)))</f>
        <v>Bosnia y Herzegovina</v>
      </c>
      <c r="N31" s="119">
        <f>IF($A31="","",INDEX([1]Clasif_Pron!$M:$M,((ROW()-4)*12+3)))</f>
        <v>5</v>
      </c>
      <c r="O31" s="119">
        <f>IF($A31="","",INDEX([1]Clasif_Pron!$N:$N,((ROW()-4)*12+3)))</f>
        <v>11</v>
      </c>
      <c r="P31" s="119" t="str">
        <f>IF($A31="","",INDEX([1]Clasif_Pron!$E:$E,((ROW()-4)*12+4)))</f>
        <v>Brasil</v>
      </c>
      <c r="Q31" s="119">
        <f>IF($A31="","",INDEX([1]Clasif_Pron!$K:$K,((ROW()-4)*12+4)))</f>
        <v>7</v>
      </c>
      <c r="R31" s="119" t="str">
        <f>IF($A31="","",INDEX([1]Clasif_Pron!$G:$G,((ROW()-4)*12+4)))</f>
        <v>Marruecos</v>
      </c>
      <c r="S31" s="119">
        <f>IF($A31="","",INDEX([1]Clasif_Pron!$L:$L,((ROW()-4)*12+4)))</f>
        <v>6</v>
      </c>
      <c r="T31" s="95" t="str">
        <f>IF($A31="","",INDEX([1]Clasif_Pron!$I:$I,((ROW()-4)*12+4)))</f>
        <v>Escocia</v>
      </c>
      <c r="U31" s="95">
        <f>IF($A31="","",INDEX([1]Clasif_Pron!$M:$M,((ROW()-4)*12+4)))</f>
        <v>0</v>
      </c>
      <c r="V31" s="95">
        <f>IF($A31="","",INDEX([1]Clasif_Pron!$N:$N,((ROW()-4)*12+4)))</f>
        <v>13</v>
      </c>
      <c r="W31" s="119" t="str">
        <f>IF($A31="","",INDEX([1]Clasif_Pron!$E:$E,((ROW()-4)*12+5)))</f>
        <v>Estados Unidos</v>
      </c>
      <c r="X31" s="119">
        <f>IF($A31="","",INDEX([1]Clasif_Pron!$K:$K,((ROW()-4)*12+5)))</f>
        <v>7</v>
      </c>
      <c r="Y31" s="119" t="str">
        <f>IF($A31="","",INDEX([1]Clasif_Pron!$G:$G,((ROW()-4)*12+5)))</f>
        <v>Türkiye</v>
      </c>
      <c r="Z31" s="119">
        <f>IF($A31="","",INDEX([1]Clasif_Pron!$L:$L,((ROW()-4)*12+5)))</f>
        <v>0</v>
      </c>
      <c r="AA31" s="95" t="str">
        <f>IF($A31="","",INDEX([1]Clasif_Pron!$I:$I,((ROW()-4)*12+5)))</f>
        <v>Paraguay</v>
      </c>
      <c r="AB31" s="95">
        <f>IF($A31="","",INDEX([1]Clasif_Pron!$M:$M,((ROW()-4)*12+5)))</f>
        <v>5</v>
      </c>
      <c r="AC31" s="95">
        <f>IF($A31="","",INDEX([1]Clasif_Pron!$N:$N,((ROW()-4)*12+5)))</f>
        <v>12</v>
      </c>
      <c r="AD31" s="119" t="str">
        <f>IF($A31="","",INDEX([1]Clasif_Pron!$E:$E,((ROW()-4)*12+6)))</f>
        <v>Alemania</v>
      </c>
      <c r="AE31" s="119">
        <f>IF($A31="","",INDEX([1]Clasif_Pron!$K:$K,((ROW()-4)*12+6)))</f>
        <v>7</v>
      </c>
      <c r="AF31" s="95" t="str">
        <f>IF($A31="","",INDEX([1]Clasif_Pron!$G:$G,((ROW()-4)*12+6)))</f>
        <v>Ecuador</v>
      </c>
      <c r="AG31" s="95">
        <f>IF($A31="","",INDEX([1]Clasif_Pron!$L:$L,((ROW()-4)*12+6)))</f>
        <v>3</v>
      </c>
      <c r="AH31" s="119" t="str">
        <f>IF($A31="","",INDEX([1]Clasif_Pron!$I:$I,((ROW()-4)*12+6)))</f>
        <v>Costa de Marfil</v>
      </c>
      <c r="AI31" s="119">
        <f>IF($A31="","",INDEX([1]Clasif_Pron!$M:$M,((ROW()-4)*12+6)))</f>
        <v>3</v>
      </c>
      <c r="AJ31" s="95">
        <f>IF($A31="","",INDEX([1]Clasif_Pron!$N:$N,((ROW()-4)*12+6)))</f>
        <v>13</v>
      </c>
      <c r="AK31" s="119" t="str">
        <f>IF($A31="","",INDEX([1]Clasif_Pron!$E:$E,((ROW()-4)*12+7)))</f>
        <v>Países Bajos</v>
      </c>
      <c r="AL31" s="119">
        <f>IF($A31="","",INDEX([1]Clasif_Pron!$K:$K,((ROW()-4)*12+7)))</f>
        <v>7</v>
      </c>
      <c r="AM31" s="119" t="str">
        <f>IF($A31="","",INDEX([1]Clasif_Pron!$G:$G,((ROW()-4)*12+7)))</f>
        <v>Japón</v>
      </c>
      <c r="AN31" s="119">
        <f>IF($A31="","",INDEX([1]Clasif_Pron!$L:$L,((ROW()-4)*12+7)))</f>
        <v>6</v>
      </c>
      <c r="AO31" s="95" t="str">
        <f>IF($A31="","",INDEX([1]Clasif_Pron!$I:$I,((ROW()-4)*12+7)))</f>
        <v>Suecia</v>
      </c>
      <c r="AP31" s="95">
        <f>IF($A31="","",INDEX([1]Clasif_Pron!$M:$M,((ROW()-4)*12+7)))</f>
        <v>5</v>
      </c>
      <c r="AQ31" s="95">
        <f>IF($A31="","",INDEX([1]Clasif_Pron!$N:$N,((ROW()-4)*12+7)))</f>
        <v>18</v>
      </c>
      <c r="AR31" s="119" t="str">
        <f>IF($A31="","",INDEX([1]Clasif_Pron!$E:$E,((ROW()-4)*12+8)))</f>
        <v>Bélgica</v>
      </c>
      <c r="AS31" s="119">
        <f>IF($A31="","",INDEX([1]Clasif_Pron!$K:$K,((ROW()-4)*12+8)))</f>
        <v>7</v>
      </c>
      <c r="AT31" s="95" t="str">
        <f>IF($A31="","",INDEX([1]Clasif_Pron!$G:$G,((ROW()-4)*12+8)))</f>
        <v>Irán</v>
      </c>
      <c r="AU31" s="95">
        <f>IF($A31="","",INDEX([1]Clasif_Pron!$L:$L,((ROW()-4)*12+8)))</f>
        <v>3</v>
      </c>
      <c r="AV31" s="119" t="str">
        <f>IF($A31="","",INDEX([1]Clasif_Pron!$I:$I,((ROW()-4)*12+8)))</f>
        <v>Egipto</v>
      </c>
      <c r="AW31" s="119">
        <f>IF($A31="","",INDEX([1]Clasif_Pron!$M:$M,((ROW()-4)*12+8)))</f>
        <v>3</v>
      </c>
      <c r="AX31" s="95">
        <f>IF($A31="","",INDEX([1]Clasif_Pron!$N:$N,((ROW()-4)*12+8)))</f>
        <v>13</v>
      </c>
      <c r="AY31" s="119" t="str">
        <f>IF($A31="","",INDEX([1]Clasif_Pron!$E:$E,((ROW()-4)*12+9)))</f>
        <v>España</v>
      </c>
      <c r="AZ31" s="119">
        <f>IF($A31="","",INDEX([1]Clasif_Pron!$K:$K,((ROW()-4)*12+9)))</f>
        <v>7</v>
      </c>
      <c r="BA31" s="119" t="str">
        <f>IF($A31="","",INDEX([1]Clasif_Pron!$G:$G,((ROW()-4)*12+9)))</f>
        <v>Uruguay</v>
      </c>
      <c r="BB31" s="119">
        <f>IF($A31="","",INDEX([1]Clasif_Pron!$L:$L,((ROW()-4)*12+9)))</f>
        <v>0</v>
      </c>
      <c r="BC31" s="119" t="str">
        <f>IF($A31="","",INDEX([1]Clasif_Pron!$I:$I,((ROW()-4)*12+9)))</f>
        <v>Arabia Saudita</v>
      </c>
      <c r="BD31" s="119">
        <f>IF($A31="","",INDEX([1]Clasif_Pron!$M:$M,((ROW()-4)*12+9)))</f>
        <v>0</v>
      </c>
      <c r="BE31" s="119">
        <f>IF($A31="","",INDEX([1]Clasif_Pron!$N:$N,((ROW()-4)*12+9)))</f>
        <v>7</v>
      </c>
      <c r="BF31" s="119" t="str">
        <f>IF($A31="","",INDEX([1]Clasif_Pron!$E:$E,((ROW()-4)*12+10)))</f>
        <v>Noruega</v>
      </c>
      <c r="BG31" s="119">
        <f>IF($A31="","",INDEX([1]Clasif_Pron!$K:$K,((ROW()-4)*12+10)))</f>
        <v>3</v>
      </c>
      <c r="BH31" s="119" t="str">
        <f>IF($A31="","",INDEX([1]Clasif_Pron!$G:$G,((ROW()-4)*12+10)))</f>
        <v>Francia</v>
      </c>
      <c r="BI31" s="119">
        <f>IF($A31="","",INDEX([1]Clasif_Pron!$L:$L,((ROW()-4)*12+10)))</f>
        <v>3</v>
      </c>
      <c r="BJ31" s="119" t="str">
        <f>IF($A31="","",INDEX([1]Clasif_Pron!$I:$I,((ROW()-4)*12+10)))</f>
        <v>Irak</v>
      </c>
      <c r="BK31" s="119">
        <f>IF($A31="","",INDEX([1]Clasif_Pron!$M:$M,((ROW()-4)*12+10)))</f>
        <v>0</v>
      </c>
      <c r="BL31" s="95">
        <f>IF($A31="","",INDEX([1]Clasif_Pron!$N:$N,((ROW()-4)*12+10)))</f>
        <v>6</v>
      </c>
      <c r="BM31" s="119" t="str">
        <f>IF($A31="","",INDEX([1]Clasif_Pron!$E:$E,((ROW()-4)*12+11)))</f>
        <v>Argentina</v>
      </c>
      <c r="BN31" s="119">
        <f>IF($A31="","",INDEX([1]Clasif_Pron!$K:$K,((ROW()-4)*12+11)))</f>
        <v>7</v>
      </c>
      <c r="BO31" s="95" t="str">
        <f>IF($A31="","",INDEX([1]Clasif_Pron!$G:$G,((ROW()-4)*12+11)))</f>
        <v>Austria</v>
      </c>
      <c r="BP31" s="95">
        <f>IF($A31="","",INDEX([1]Clasif_Pron!$L:$L,((ROW()-4)*12+11)))</f>
        <v>6</v>
      </c>
      <c r="BQ31" s="95" t="str">
        <f>IF($A31="","",INDEX([1]Clasif_Pron!$I:$I,((ROW()-4)*12+11)))</f>
        <v>Jordania</v>
      </c>
      <c r="BR31" s="95">
        <f>IF($A31="","",INDEX([1]Clasif_Pron!$M:$M,((ROW()-4)*12+11)))</f>
        <v>0</v>
      </c>
      <c r="BS31" s="95">
        <f>IF($A31="","",INDEX([1]Clasif_Pron!$N:$N,((ROW()-4)*12+11)))</f>
        <v>13</v>
      </c>
      <c r="BT31" s="95" t="str">
        <f>IF($A31="","",INDEX([1]Clasif_Pron!$E:$E,((ROW()-4)*12+12)))</f>
        <v>Colombia</v>
      </c>
      <c r="BU31" s="95">
        <f>IF($A31="","",INDEX([1]Clasif_Pron!$K:$K,((ROW()-4)*12+12)))</f>
        <v>7</v>
      </c>
      <c r="BV31" s="95" t="str">
        <f>IF($A31="","",INDEX([1]Clasif_Pron!$G:$G,((ROW()-4)*12+12)))</f>
        <v>Portugal</v>
      </c>
      <c r="BW31" s="95">
        <f>IF($A31="","",INDEX([1]Clasif_Pron!$L:$L,((ROW()-4)*12+12)))</f>
        <v>6</v>
      </c>
      <c r="BX31" s="95" t="str">
        <f>IF($A31="","",INDEX([1]Clasif_Pron!$I:$I,((ROW()-4)*12+12)))</f>
        <v>Uzbekistán</v>
      </c>
      <c r="BY31" s="95">
        <f>IF($A31="","",INDEX([1]Clasif_Pron!$M:$M,((ROW()-4)*12+12)))</f>
        <v>0</v>
      </c>
      <c r="BZ31" s="95">
        <f>IF($A31="","",INDEX([1]Clasif_Pron!$N:$N,((ROW()-4)*12+12)))</f>
        <v>13</v>
      </c>
      <c r="CA31" s="95" t="str">
        <f>IF($A31="","",INDEX([1]Clasif_Pron!$E:$E,((ROW()-4)*12+13)))</f>
        <v>Inglaterra</v>
      </c>
      <c r="CB31" s="95">
        <f>IF($A31="","",INDEX([1]Clasif_Pron!$K:$K,((ROW()-4)*12+13)))</f>
        <v>7</v>
      </c>
      <c r="CC31" s="95" t="str">
        <f>IF($A31="","",INDEX([1]Clasif_Pron!$G:$G,((ROW()-4)*12+13)))</f>
        <v>Panamá</v>
      </c>
      <c r="CD31" s="95">
        <f>IF($A31="","",INDEX([1]Clasif_Pron!$L:$L,((ROW()-4)*12+13)))</f>
        <v>0</v>
      </c>
      <c r="CE31" s="95" t="str">
        <f>IF($A31="","",INDEX([1]Clasif_Pron!$I:$I,((ROW()-4)*12+13)))</f>
        <v>Croacia</v>
      </c>
      <c r="CF31" s="95">
        <f>IF($A31="","",INDEX([1]Clasif_Pron!$M:$M,((ROW()-4)*12+13)))</f>
        <v>5</v>
      </c>
      <c r="CG31" s="95">
        <f>IF($A31="","",INDEX([1]Clasif_Pron!$N:$N,((ROW()-4)*12+13)))</f>
        <v>12</v>
      </c>
      <c r="CH31" s="96">
        <f t="shared" si="0"/>
        <v>139</v>
      </c>
    </row>
    <row r="32" spans="1:86" ht="20.25" customHeight="1" x14ac:dyDescent="0.3">
      <c r="A32" s="94" t="str">
        <f>[1]Participantes!B30</f>
        <v>Luis Peña</v>
      </c>
      <c r="B32" s="119" t="str">
        <f>IF($A32="","",INDEX([1]Clasif_Pron!$E:$E,((ROW()-4)*12+2)))</f>
        <v>México</v>
      </c>
      <c r="C32" s="119">
        <f>IF($A32="","",INDEX([1]Clasif_Pron!$K:$K,((ROW()-4)*12+2)))</f>
        <v>7</v>
      </c>
      <c r="D32" s="95" t="str">
        <f>IF($A32="","",INDEX([1]Clasif_Pron!$G:$G,((ROW()-4)*12+2)))</f>
        <v>Corea República</v>
      </c>
      <c r="E32" s="95">
        <f>IF($A32="","",INDEX([1]Clasif_Pron!$L:$L,((ROW()-4)*12+2)))</f>
        <v>3</v>
      </c>
      <c r="F32" s="119" t="str">
        <f>IF($A32="","",INDEX([1]Clasif_Pron!$I:$I,((ROW()-4)*12+2)))</f>
        <v>Chequia</v>
      </c>
      <c r="G32" s="119">
        <f>IF($A32="","",INDEX([1]Clasif_Pron!$M:$M,((ROW()-4)*12+2)))</f>
        <v>0</v>
      </c>
      <c r="H32" s="119">
        <f>IF($A32="","",INDEX([1]Clasif_Pron!$N:$N,((ROW()-4)*12+2)))</f>
        <v>10</v>
      </c>
      <c r="I32" s="119" t="str">
        <f>IF($A32="","",INDEX([1]Clasif_Pron!$E:$E,((ROW()-4)*12+3)))</f>
        <v>Suiza</v>
      </c>
      <c r="J32" s="119">
        <f>IF($A32="","",INDEX([1]Clasif_Pron!$K:$K,((ROW()-4)*12+3)))</f>
        <v>7</v>
      </c>
      <c r="K32" s="119" t="str">
        <f>IF($A32="","",INDEX([1]Clasif_Pron!$G:$G,((ROW()-4)*12+3)))</f>
        <v>Canadá</v>
      </c>
      <c r="L32" s="119">
        <f>IF($A32="","",INDEX([1]Clasif_Pron!$L:$L,((ROW()-4)*12+3)))</f>
        <v>6</v>
      </c>
      <c r="M32" s="119" t="str">
        <f>IF($A32="","",INDEX([1]Clasif_Pron!$I:$I,((ROW()-4)*12+3)))</f>
        <v>Bosnia y Herzegovina</v>
      </c>
      <c r="N32" s="119">
        <f>IF($A32="","",INDEX([1]Clasif_Pron!$M:$M,((ROW()-4)*12+3)))</f>
        <v>5</v>
      </c>
      <c r="O32" s="119">
        <f>IF($A32="","",INDEX([1]Clasif_Pron!$N:$N,((ROW()-4)*12+3)))</f>
        <v>18</v>
      </c>
      <c r="P32" s="119" t="str">
        <f>IF($A32="","",INDEX([1]Clasif_Pron!$E:$E,((ROW()-4)*12+4)))</f>
        <v>Brasil</v>
      </c>
      <c r="Q32" s="119">
        <f>IF($A32="","",INDEX([1]Clasif_Pron!$K:$K,((ROW()-4)*12+4)))</f>
        <v>7</v>
      </c>
      <c r="R32" s="119" t="str">
        <f>IF($A32="","",INDEX([1]Clasif_Pron!$G:$G,((ROW()-4)*12+4)))</f>
        <v>Marruecos</v>
      </c>
      <c r="S32" s="119">
        <f>IF($A32="","",INDEX([1]Clasif_Pron!$L:$L,((ROW()-4)*12+4)))</f>
        <v>6</v>
      </c>
      <c r="T32" s="95" t="str">
        <f>IF($A32="","",INDEX([1]Clasif_Pron!$I:$I,((ROW()-4)*12+4)))</f>
        <v>Escocia</v>
      </c>
      <c r="U32" s="95">
        <f>IF($A32="","",INDEX([1]Clasif_Pron!$M:$M,((ROW()-4)*12+4)))</f>
        <v>0</v>
      </c>
      <c r="V32" s="95">
        <f>IF($A32="","",INDEX([1]Clasif_Pron!$N:$N,((ROW()-4)*12+4)))</f>
        <v>13</v>
      </c>
      <c r="W32" s="119" t="str">
        <f>IF($A32="","",INDEX([1]Clasif_Pron!$E:$E,((ROW()-4)*12+5)))</f>
        <v>Estados Unidos</v>
      </c>
      <c r="X32" s="119">
        <f>IF($A32="","",INDEX([1]Clasif_Pron!$K:$K,((ROW()-4)*12+5)))</f>
        <v>7</v>
      </c>
      <c r="Y32" s="119" t="str">
        <f>IF($A32="","",INDEX([1]Clasif_Pron!$G:$G,((ROW()-4)*12+5)))</f>
        <v>Türkiye</v>
      </c>
      <c r="Z32" s="119">
        <f>IF($A32="","",INDEX([1]Clasif_Pron!$L:$L,((ROW()-4)*12+5)))</f>
        <v>0</v>
      </c>
      <c r="AA32" s="95" t="str">
        <f>IF($A32="","",INDEX([1]Clasif_Pron!$I:$I,((ROW()-4)*12+5)))</f>
        <v>Paraguay</v>
      </c>
      <c r="AB32" s="95">
        <f>IF($A32="","",INDEX([1]Clasif_Pron!$M:$M,((ROW()-4)*12+5)))</f>
        <v>5</v>
      </c>
      <c r="AC32" s="95">
        <f>IF($A32="","",INDEX([1]Clasif_Pron!$N:$N,((ROW()-4)*12+5)))</f>
        <v>12</v>
      </c>
      <c r="AD32" s="119" t="str">
        <f>IF($A32="","",INDEX([1]Clasif_Pron!$E:$E,((ROW()-4)*12+6)))</f>
        <v>Alemania</v>
      </c>
      <c r="AE32" s="119">
        <f>IF($A32="","",INDEX([1]Clasif_Pron!$K:$K,((ROW()-4)*12+6)))</f>
        <v>7</v>
      </c>
      <c r="AF32" s="95" t="str">
        <f>IF($A32="","",INDEX([1]Clasif_Pron!$G:$G,((ROW()-4)*12+6)))</f>
        <v>Ecuador</v>
      </c>
      <c r="AG32" s="95">
        <f>IF($A32="","",INDEX([1]Clasif_Pron!$L:$L,((ROW()-4)*12+6)))</f>
        <v>3</v>
      </c>
      <c r="AH32" s="119" t="str">
        <f>IF($A32="","",INDEX([1]Clasif_Pron!$I:$I,((ROW()-4)*12+6)))</f>
        <v>Costa de Marfil</v>
      </c>
      <c r="AI32" s="119">
        <f>IF($A32="","",INDEX([1]Clasif_Pron!$M:$M,((ROW()-4)*12+6)))</f>
        <v>3</v>
      </c>
      <c r="AJ32" s="95">
        <f>IF($A32="","",INDEX([1]Clasif_Pron!$N:$N,((ROW()-4)*12+6)))</f>
        <v>13</v>
      </c>
      <c r="AK32" s="119" t="str">
        <f>IF($A32="","",INDEX([1]Clasif_Pron!$E:$E,((ROW()-4)*12+7)))</f>
        <v>Japón</v>
      </c>
      <c r="AL32" s="119">
        <f>IF($A32="","",INDEX([1]Clasif_Pron!$K:$K,((ROW()-4)*12+7)))</f>
        <v>3</v>
      </c>
      <c r="AM32" s="119" t="str">
        <f>IF($A32="","",INDEX([1]Clasif_Pron!$G:$G,((ROW()-4)*12+7)))</f>
        <v>Países Bajos</v>
      </c>
      <c r="AN32" s="119">
        <f>IF($A32="","",INDEX([1]Clasif_Pron!$L:$L,((ROW()-4)*12+7)))</f>
        <v>3</v>
      </c>
      <c r="AO32" s="95" t="str">
        <f>IF($A32="","",INDEX([1]Clasif_Pron!$I:$I,((ROW()-4)*12+7)))</f>
        <v>Suecia</v>
      </c>
      <c r="AP32" s="95">
        <f>IF($A32="","",INDEX([1]Clasif_Pron!$M:$M,((ROW()-4)*12+7)))</f>
        <v>5</v>
      </c>
      <c r="AQ32" s="95">
        <f>IF($A32="","",INDEX([1]Clasif_Pron!$N:$N,((ROW()-4)*12+7)))</f>
        <v>11</v>
      </c>
      <c r="AR32" s="119" t="str">
        <f>IF($A32="","",INDEX([1]Clasif_Pron!$E:$E,((ROW()-4)*12+8)))</f>
        <v>Bélgica</v>
      </c>
      <c r="AS32" s="119">
        <f>IF($A32="","",INDEX([1]Clasif_Pron!$K:$K,((ROW()-4)*12+8)))</f>
        <v>7</v>
      </c>
      <c r="AT32" s="119" t="str">
        <f>IF($A32="","",INDEX([1]Clasif_Pron!$G:$G,((ROW()-4)*12+8)))</f>
        <v>Egipto</v>
      </c>
      <c r="AU32" s="119">
        <f>IF($A32="","",INDEX([1]Clasif_Pron!$L:$L,((ROW()-4)*12+8)))</f>
        <v>6</v>
      </c>
      <c r="AV32" s="95" t="str">
        <f>IF($A32="","",INDEX([1]Clasif_Pron!$I:$I,((ROW()-4)*12+8)))</f>
        <v>Irán</v>
      </c>
      <c r="AW32" s="95">
        <f>IF($A32="","",INDEX([1]Clasif_Pron!$M:$M,((ROW()-4)*12+8)))</f>
        <v>5</v>
      </c>
      <c r="AX32" s="95">
        <f>IF($A32="","",INDEX([1]Clasif_Pron!$N:$N,((ROW()-4)*12+8)))</f>
        <v>18</v>
      </c>
      <c r="AY32" s="119" t="str">
        <f>IF($A32="","",INDEX([1]Clasif_Pron!$E:$E,((ROW()-4)*12+9)))</f>
        <v>España</v>
      </c>
      <c r="AZ32" s="119">
        <f>IF($A32="","",INDEX([1]Clasif_Pron!$K:$K,((ROW()-4)*12+9)))</f>
        <v>7</v>
      </c>
      <c r="BA32" s="119" t="str">
        <f>IF($A32="","",INDEX([1]Clasif_Pron!$G:$G,((ROW()-4)*12+9)))</f>
        <v>Uruguay</v>
      </c>
      <c r="BB32" s="119">
        <f>IF($A32="","",INDEX([1]Clasif_Pron!$L:$L,((ROW()-4)*12+9)))</f>
        <v>0</v>
      </c>
      <c r="BC32" s="119" t="str">
        <f>IF($A32="","",INDEX([1]Clasif_Pron!$I:$I,((ROW()-4)*12+9)))</f>
        <v>Arabia Saudita</v>
      </c>
      <c r="BD32" s="119">
        <f>IF($A32="","",INDEX([1]Clasif_Pron!$M:$M,((ROW()-4)*12+9)))</f>
        <v>0</v>
      </c>
      <c r="BE32" s="119">
        <f>IF($A32="","",INDEX([1]Clasif_Pron!$N:$N,((ROW()-4)*12+9)))</f>
        <v>7</v>
      </c>
      <c r="BF32" s="119" t="str">
        <f>IF($A32="","",INDEX([1]Clasif_Pron!$E:$E,((ROW()-4)*12+10)))</f>
        <v>Francia</v>
      </c>
      <c r="BG32" s="119">
        <f>IF($A32="","",INDEX([1]Clasif_Pron!$K:$K,((ROW()-4)*12+10)))</f>
        <v>7</v>
      </c>
      <c r="BH32" s="119" t="str">
        <f>IF($A32="","",INDEX([1]Clasif_Pron!$G:$G,((ROW()-4)*12+10)))</f>
        <v>Noruega</v>
      </c>
      <c r="BI32" s="119">
        <f>IF($A32="","",INDEX([1]Clasif_Pron!$L:$L,((ROW()-4)*12+10)))</f>
        <v>6</v>
      </c>
      <c r="BJ32" s="95" t="str">
        <f>IF($A32="","",INDEX([1]Clasif_Pron!$I:$I,((ROW()-4)*12+10)))</f>
        <v>Senegal</v>
      </c>
      <c r="BK32" s="95">
        <f>IF($A32="","",INDEX([1]Clasif_Pron!$M:$M,((ROW()-4)*12+10)))</f>
        <v>5</v>
      </c>
      <c r="BL32" s="95">
        <f>IF($A32="","",INDEX([1]Clasif_Pron!$N:$N,((ROW()-4)*12+10)))</f>
        <v>18</v>
      </c>
      <c r="BM32" s="119" t="str">
        <f>IF($A32="","",INDEX([1]Clasif_Pron!$E:$E,((ROW()-4)*12+11)))</f>
        <v>Argentina</v>
      </c>
      <c r="BN32" s="119">
        <f>IF($A32="","",INDEX([1]Clasif_Pron!$K:$K,((ROW()-4)*12+11)))</f>
        <v>7</v>
      </c>
      <c r="BO32" s="95" t="str">
        <f>IF($A32="","",INDEX([1]Clasif_Pron!$G:$G,((ROW()-4)*12+11)))</f>
        <v>Argelia</v>
      </c>
      <c r="BP32" s="95">
        <f>IF($A32="","",INDEX([1]Clasif_Pron!$L:$L,((ROW()-4)*12+11)))</f>
        <v>0</v>
      </c>
      <c r="BQ32" s="95" t="str">
        <f>IF($A32="","",INDEX([1]Clasif_Pron!$I:$I,((ROW()-4)*12+11)))</f>
        <v>Austria</v>
      </c>
      <c r="BR32" s="95">
        <f>IF($A32="","",INDEX([1]Clasif_Pron!$M:$M,((ROW()-4)*12+11)))</f>
        <v>3</v>
      </c>
      <c r="BS32" s="95">
        <f>IF($A32="","",INDEX([1]Clasif_Pron!$N:$N,((ROW()-4)*12+11)))</f>
        <v>10</v>
      </c>
      <c r="BT32" s="95" t="str">
        <f>IF($A32="","",INDEX([1]Clasif_Pron!$E:$E,((ROW()-4)*12+12)))</f>
        <v>Colombia</v>
      </c>
      <c r="BU32" s="95">
        <f>IF($A32="","",INDEX([1]Clasif_Pron!$K:$K,((ROW()-4)*12+12)))</f>
        <v>7</v>
      </c>
      <c r="BV32" s="95" t="str">
        <f>IF($A32="","",INDEX([1]Clasif_Pron!$G:$G,((ROW()-4)*12+12)))</f>
        <v>Portugal</v>
      </c>
      <c r="BW32" s="95">
        <f>IF($A32="","",INDEX([1]Clasif_Pron!$L:$L,((ROW()-4)*12+12)))</f>
        <v>6</v>
      </c>
      <c r="BX32" s="95" t="str">
        <f>IF($A32="","",INDEX([1]Clasif_Pron!$I:$I,((ROW()-4)*12+12)))</f>
        <v>RD Congo</v>
      </c>
      <c r="BY32" s="95">
        <f>IF($A32="","",INDEX([1]Clasif_Pron!$M:$M,((ROW()-4)*12+12)))</f>
        <v>0</v>
      </c>
      <c r="BZ32" s="95">
        <f>IF($A32="","",INDEX([1]Clasif_Pron!$N:$N,((ROW()-4)*12+12)))</f>
        <v>13</v>
      </c>
      <c r="CA32" s="95" t="str">
        <f>IF($A32="","",INDEX([1]Clasif_Pron!$E:$E,((ROW()-4)*12+13)))</f>
        <v>Inglaterra</v>
      </c>
      <c r="CB32" s="95">
        <f>IF($A32="","",INDEX([1]Clasif_Pron!$K:$K,((ROW()-4)*12+13)))</f>
        <v>7</v>
      </c>
      <c r="CC32" s="95" t="str">
        <f>IF($A32="","",INDEX([1]Clasif_Pron!$G:$G,((ROW()-4)*12+13)))</f>
        <v>Panamá</v>
      </c>
      <c r="CD32" s="95">
        <f>IF($A32="","",INDEX([1]Clasif_Pron!$L:$L,((ROW()-4)*12+13)))</f>
        <v>0</v>
      </c>
      <c r="CE32" s="95" t="str">
        <f>IF($A32="","",INDEX([1]Clasif_Pron!$I:$I,((ROW()-4)*12+13)))</f>
        <v>Croacia</v>
      </c>
      <c r="CF32" s="95">
        <f>IF($A32="","",INDEX([1]Clasif_Pron!$M:$M,((ROW()-4)*12+13)))</f>
        <v>5</v>
      </c>
      <c r="CG32" s="95">
        <f>IF($A32="","",INDEX([1]Clasif_Pron!$N:$N,((ROW()-4)*12+13)))</f>
        <v>12</v>
      </c>
      <c r="CH32" s="96">
        <f t="shared" si="0"/>
        <v>155</v>
      </c>
    </row>
    <row r="33" spans="1:86" ht="20.25" customHeight="1" x14ac:dyDescent="0.3">
      <c r="A33" s="94" t="str">
        <f>[1]Participantes!B31</f>
        <v>Marco R.</v>
      </c>
      <c r="B33" s="119" t="str">
        <f>IF($A33="","",INDEX([1]Clasif_Pron!$E:$E,((ROW()-4)*12+2)))</f>
        <v>México</v>
      </c>
      <c r="C33" s="119">
        <f>IF($A33="","",INDEX([1]Clasif_Pron!$K:$K,((ROW()-4)*12+2)))</f>
        <v>7</v>
      </c>
      <c r="D33" s="119" t="str">
        <f>IF($A33="","",INDEX([1]Clasif_Pron!$G:$G,((ROW()-4)*12+2)))</f>
        <v>Chequia</v>
      </c>
      <c r="E33" s="119">
        <f>IF($A33="","",INDEX([1]Clasif_Pron!$L:$L,((ROW()-4)*12+2)))</f>
        <v>0</v>
      </c>
      <c r="F33" s="119" t="str">
        <f>IF($A33="","",INDEX([1]Clasif_Pron!$I:$I,((ROW()-4)*12+2)))</f>
        <v>Sudáfrica</v>
      </c>
      <c r="G33" s="119">
        <f>IF($A33="","",INDEX([1]Clasif_Pron!$M:$M,((ROW()-4)*12+2)))</f>
        <v>3</v>
      </c>
      <c r="H33" s="119">
        <f>IF($A33="","",INDEX([1]Clasif_Pron!$N:$N,((ROW()-4)*12+2)))</f>
        <v>10</v>
      </c>
      <c r="I33" s="119" t="str">
        <f>IF($A33="","",INDEX([1]Clasif_Pron!$E:$E,((ROW()-4)*12+3)))</f>
        <v>Suiza</v>
      </c>
      <c r="J33" s="119">
        <f>IF($A33="","",INDEX([1]Clasif_Pron!$K:$K,((ROW()-4)*12+3)))</f>
        <v>7</v>
      </c>
      <c r="K33" s="119" t="str">
        <f>IF($A33="","",INDEX([1]Clasif_Pron!$G:$G,((ROW()-4)*12+3)))</f>
        <v>Canadá</v>
      </c>
      <c r="L33" s="119">
        <f>IF($A33="","",INDEX([1]Clasif_Pron!$L:$L,((ROW()-4)*12+3)))</f>
        <v>6</v>
      </c>
      <c r="M33" s="119" t="str">
        <f>IF($A33="","",INDEX([1]Clasif_Pron!$I:$I,((ROW()-4)*12+3)))</f>
        <v>Bosnia y Herzegovina</v>
      </c>
      <c r="N33" s="119">
        <f>IF($A33="","",INDEX([1]Clasif_Pron!$M:$M,((ROW()-4)*12+3)))</f>
        <v>5</v>
      </c>
      <c r="O33" s="119">
        <f>IF($A33="","",INDEX([1]Clasif_Pron!$N:$N,((ROW()-4)*12+3)))</f>
        <v>18</v>
      </c>
      <c r="P33" s="119" t="str">
        <f>IF($A33="","",INDEX([1]Clasif_Pron!$E:$E,((ROW()-4)*12+4)))</f>
        <v>Brasil</v>
      </c>
      <c r="Q33" s="119">
        <f>IF($A33="","",INDEX([1]Clasif_Pron!$K:$K,((ROW()-4)*12+4)))</f>
        <v>7</v>
      </c>
      <c r="R33" s="119" t="str">
        <f>IF($A33="","",INDEX([1]Clasif_Pron!$G:$G,((ROW()-4)*12+4)))</f>
        <v>Marruecos</v>
      </c>
      <c r="S33" s="119">
        <f>IF($A33="","",INDEX([1]Clasif_Pron!$L:$L,((ROW()-4)*12+4)))</f>
        <v>6</v>
      </c>
      <c r="T33" s="95" t="str">
        <f>IF($A33="","",INDEX([1]Clasif_Pron!$I:$I,((ROW()-4)*12+4)))</f>
        <v>Escocia</v>
      </c>
      <c r="U33" s="95">
        <f>IF($A33="","",INDEX([1]Clasif_Pron!$M:$M,((ROW()-4)*12+4)))</f>
        <v>0</v>
      </c>
      <c r="V33" s="95">
        <f>IF($A33="","",INDEX([1]Clasif_Pron!$N:$N,((ROW()-4)*12+4)))</f>
        <v>13</v>
      </c>
      <c r="W33" s="119" t="str">
        <f>IF($A33="","",INDEX([1]Clasif_Pron!$E:$E,((ROW()-4)*12+5)))</f>
        <v>Estados Unidos</v>
      </c>
      <c r="X33" s="119">
        <f>IF($A33="","",INDEX([1]Clasif_Pron!$K:$K,((ROW()-4)*12+5)))</f>
        <v>7</v>
      </c>
      <c r="Y33" s="95" t="str">
        <f>IF($A33="","",INDEX([1]Clasif_Pron!$G:$G,((ROW()-4)*12+5)))</f>
        <v>Paraguay</v>
      </c>
      <c r="Z33" s="95">
        <f>IF($A33="","",INDEX([1]Clasif_Pron!$L:$L,((ROW()-4)*12+5)))</f>
        <v>3</v>
      </c>
      <c r="AA33" s="119" t="str">
        <f>IF($A33="","",INDEX([1]Clasif_Pron!$I:$I,((ROW()-4)*12+5)))</f>
        <v>Türkiye</v>
      </c>
      <c r="AB33" s="119">
        <f>IF($A33="","",INDEX([1]Clasif_Pron!$M:$M,((ROW()-4)*12+5)))</f>
        <v>0</v>
      </c>
      <c r="AC33" s="95">
        <f>IF($A33="","",INDEX([1]Clasif_Pron!$N:$N,((ROW()-4)*12+5)))</f>
        <v>10</v>
      </c>
      <c r="AD33" s="119" t="str">
        <f>IF($A33="","",INDEX([1]Clasif_Pron!$E:$E,((ROW()-4)*12+6)))</f>
        <v>Alemania</v>
      </c>
      <c r="AE33" s="119">
        <f>IF($A33="","",INDEX([1]Clasif_Pron!$K:$K,((ROW()-4)*12+6)))</f>
        <v>7</v>
      </c>
      <c r="AF33" s="95" t="str">
        <f>IF($A33="","",INDEX([1]Clasif_Pron!$G:$G,((ROW()-4)*12+6)))</f>
        <v>Ecuador</v>
      </c>
      <c r="AG33" s="95">
        <f>IF($A33="","",INDEX([1]Clasif_Pron!$L:$L,((ROW()-4)*12+6)))</f>
        <v>3</v>
      </c>
      <c r="AH33" s="119" t="str">
        <f>IF($A33="","",INDEX([1]Clasif_Pron!$I:$I,((ROW()-4)*12+6)))</f>
        <v>Costa de Marfil</v>
      </c>
      <c r="AI33" s="119">
        <f>IF($A33="","",INDEX([1]Clasif_Pron!$M:$M,((ROW()-4)*12+6)))</f>
        <v>3</v>
      </c>
      <c r="AJ33" s="95">
        <f>IF($A33="","",INDEX([1]Clasif_Pron!$N:$N,((ROW()-4)*12+6)))</f>
        <v>13</v>
      </c>
      <c r="AK33" s="119" t="str">
        <f>IF($A33="","",INDEX([1]Clasif_Pron!$E:$E,((ROW()-4)*12+7)))</f>
        <v>Países Bajos</v>
      </c>
      <c r="AL33" s="119">
        <f>IF($A33="","",INDEX([1]Clasif_Pron!$K:$K,((ROW()-4)*12+7)))</f>
        <v>7</v>
      </c>
      <c r="AM33" s="119" t="str">
        <f>IF($A33="","",INDEX([1]Clasif_Pron!$G:$G,((ROW()-4)*12+7)))</f>
        <v>Japón</v>
      </c>
      <c r="AN33" s="119">
        <f>IF($A33="","",INDEX([1]Clasif_Pron!$L:$L,((ROW()-4)*12+7)))</f>
        <v>6</v>
      </c>
      <c r="AO33" s="95" t="str">
        <f>IF($A33="","",INDEX([1]Clasif_Pron!$I:$I,((ROW()-4)*12+7)))</f>
        <v>Suecia</v>
      </c>
      <c r="AP33" s="95">
        <f>IF($A33="","",INDEX([1]Clasif_Pron!$M:$M,((ROW()-4)*12+7)))</f>
        <v>5</v>
      </c>
      <c r="AQ33" s="95">
        <f>IF($A33="","",INDEX([1]Clasif_Pron!$N:$N,((ROW()-4)*12+7)))</f>
        <v>18</v>
      </c>
      <c r="AR33" s="119" t="str">
        <f>IF($A33="","",INDEX([1]Clasif_Pron!$E:$E,((ROW()-4)*12+8)))</f>
        <v>Bélgica</v>
      </c>
      <c r="AS33" s="119">
        <f>IF($A33="","",INDEX([1]Clasif_Pron!$K:$K,((ROW()-4)*12+8)))</f>
        <v>7</v>
      </c>
      <c r="AT33" s="119" t="str">
        <f>IF($A33="","",INDEX([1]Clasif_Pron!$G:$G,((ROW()-4)*12+8)))</f>
        <v>Egipto</v>
      </c>
      <c r="AU33" s="119">
        <f>IF($A33="","",INDEX([1]Clasif_Pron!$L:$L,((ROW()-4)*12+8)))</f>
        <v>6</v>
      </c>
      <c r="AV33" s="95" t="str">
        <f>IF($A33="","",INDEX([1]Clasif_Pron!$I:$I,((ROW()-4)*12+8)))</f>
        <v>Irán</v>
      </c>
      <c r="AW33" s="95">
        <f>IF($A33="","",INDEX([1]Clasif_Pron!$M:$M,((ROW()-4)*12+8)))</f>
        <v>5</v>
      </c>
      <c r="AX33" s="95">
        <f>IF($A33="","",INDEX([1]Clasif_Pron!$N:$N,((ROW()-4)*12+8)))</f>
        <v>18</v>
      </c>
      <c r="AY33" s="119" t="str">
        <f>IF($A33="","",INDEX([1]Clasif_Pron!$E:$E,((ROW()-4)*12+9)))</f>
        <v>España</v>
      </c>
      <c r="AZ33" s="119">
        <f>IF($A33="","",INDEX([1]Clasif_Pron!$K:$K,((ROW()-4)*12+9)))</f>
        <v>7</v>
      </c>
      <c r="BA33" s="119" t="str">
        <f>IF($A33="","",INDEX([1]Clasif_Pron!$G:$G,((ROW()-4)*12+9)))</f>
        <v>Uruguay</v>
      </c>
      <c r="BB33" s="119">
        <f>IF($A33="","",INDEX([1]Clasif_Pron!$L:$L,((ROW()-4)*12+9)))</f>
        <v>0</v>
      </c>
      <c r="BC33" s="119" t="str">
        <f>IF($A33="","",INDEX([1]Clasif_Pron!$I:$I,((ROW()-4)*12+9)))</f>
        <v>Arabia Saudita</v>
      </c>
      <c r="BD33" s="119">
        <f>IF($A33="","",INDEX([1]Clasif_Pron!$M:$M,((ROW()-4)*12+9)))</f>
        <v>0</v>
      </c>
      <c r="BE33" s="119">
        <f>IF($A33="","",INDEX([1]Clasif_Pron!$N:$N,((ROW()-4)*12+9)))</f>
        <v>7</v>
      </c>
      <c r="BF33" s="119" t="str">
        <f>IF($A33="","",INDEX([1]Clasif_Pron!$E:$E,((ROW()-4)*12+10)))</f>
        <v>Francia</v>
      </c>
      <c r="BG33" s="119">
        <f>IF($A33="","",INDEX([1]Clasif_Pron!$K:$K,((ROW()-4)*12+10)))</f>
        <v>7</v>
      </c>
      <c r="BH33" s="119" t="str">
        <f>IF($A33="","",INDEX([1]Clasif_Pron!$G:$G,((ROW()-4)*12+10)))</f>
        <v>Noruega</v>
      </c>
      <c r="BI33" s="119">
        <f>IF($A33="","",INDEX([1]Clasif_Pron!$L:$L,((ROW()-4)*12+10)))</f>
        <v>6</v>
      </c>
      <c r="BJ33" s="95" t="str">
        <f>IF($A33="","",INDEX([1]Clasif_Pron!$I:$I,((ROW()-4)*12+10)))</f>
        <v>Senegal</v>
      </c>
      <c r="BK33" s="95">
        <f>IF($A33="","",INDEX([1]Clasif_Pron!$M:$M,((ROW()-4)*12+10)))</f>
        <v>5</v>
      </c>
      <c r="BL33" s="95">
        <f>IF($A33="","",INDEX([1]Clasif_Pron!$N:$N,((ROW()-4)*12+10)))</f>
        <v>18</v>
      </c>
      <c r="BM33" s="119" t="str">
        <f>IF($A33="","",INDEX([1]Clasif_Pron!$E:$E,((ROW()-4)*12+11)))</f>
        <v>Argentina</v>
      </c>
      <c r="BN33" s="119">
        <f>IF($A33="","",INDEX([1]Clasif_Pron!$K:$K,((ROW()-4)*12+11)))</f>
        <v>7</v>
      </c>
      <c r="BO33" s="95" t="str">
        <f>IF($A33="","",INDEX([1]Clasif_Pron!$G:$G,((ROW()-4)*12+11)))</f>
        <v>Argelia</v>
      </c>
      <c r="BP33" s="95">
        <f>IF($A33="","",INDEX([1]Clasif_Pron!$L:$L,((ROW()-4)*12+11)))</f>
        <v>0</v>
      </c>
      <c r="BQ33" s="95" t="str">
        <f>IF($A33="","",INDEX([1]Clasif_Pron!$I:$I,((ROW()-4)*12+11)))</f>
        <v>Austria</v>
      </c>
      <c r="BR33" s="95">
        <f>IF($A33="","",INDEX([1]Clasif_Pron!$M:$M,((ROW()-4)*12+11)))</f>
        <v>3</v>
      </c>
      <c r="BS33" s="95">
        <f>IF($A33="","",INDEX([1]Clasif_Pron!$N:$N,((ROW()-4)*12+11)))</f>
        <v>10</v>
      </c>
      <c r="BT33" s="95" t="str">
        <f>IF($A33="","",INDEX([1]Clasif_Pron!$E:$E,((ROW()-4)*12+12)))</f>
        <v>Colombia</v>
      </c>
      <c r="BU33" s="95">
        <f>IF($A33="","",INDEX([1]Clasif_Pron!$K:$K,((ROW()-4)*12+12)))</f>
        <v>7</v>
      </c>
      <c r="BV33" s="95" t="str">
        <f>IF($A33="","",INDEX([1]Clasif_Pron!$G:$G,((ROW()-4)*12+12)))</f>
        <v>Portugal</v>
      </c>
      <c r="BW33" s="95">
        <f>IF($A33="","",INDEX([1]Clasif_Pron!$L:$L,((ROW()-4)*12+12)))</f>
        <v>6</v>
      </c>
      <c r="BX33" s="95" t="str">
        <f>IF($A33="","",INDEX([1]Clasif_Pron!$I:$I,((ROW()-4)*12+12)))</f>
        <v>Uzbekistán</v>
      </c>
      <c r="BY33" s="95">
        <f>IF($A33="","",INDEX([1]Clasif_Pron!$M:$M,((ROW()-4)*12+12)))</f>
        <v>0</v>
      </c>
      <c r="BZ33" s="95">
        <f>IF($A33="","",INDEX([1]Clasif_Pron!$N:$N,((ROW()-4)*12+12)))</f>
        <v>13</v>
      </c>
      <c r="CA33" s="95" t="str">
        <f>IF($A33="","",INDEX([1]Clasif_Pron!$E:$E,((ROW()-4)*12+13)))</f>
        <v>Inglaterra</v>
      </c>
      <c r="CB33" s="95">
        <f>IF($A33="","",INDEX([1]Clasif_Pron!$K:$K,((ROW()-4)*12+13)))</f>
        <v>7</v>
      </c>
      <c r="CC33" s="95" t="str">
        <f>IF($A33="","",INDEX([1]Clasif_Pron!$G:$G,((ROW()-4)*12+13)))</f>
        <v>Croacia</v>
      </c>
      <c r="CD33" s="95">
        <f>IF($A33="","",INDEX([1]Clasif_Pron!$L:$L,((ROW()-4)*12+13)))</f>
        <v>3</v>
      </c>
      <c r="CE33" s="95" t="str">
        <f>IF($A33="","",INDEX([1]Clasif_Pron!$I:$I,((ROW()-4)*12+13)))</f>
        <v>Panamá</v>
      </c>
      <c r="CF33" s="95">
        <f>IF($A33="","",INDEX([1]Clasif_Pron!$M:$M,((ROW()-4)*12+13)))</f>
        <v>0</v>
      </c>
      <c r="CG33" s="95">
        <f>IF($A33="","",INDEX([1]Clasif_Pron!$N:$N,((ROW()-4)*12+13)))</f>
        <v>10</v>
      </c>
      <c r="CH33" s="96">
        <f t="shared" si="0"/>
        <v>158</v>
      </c>
    </row>
    <row r="34" spans="1:86" ht="20.25" customHeight="1" x14ac:dyDescent="0.3">
      <c r="A34" s="94" t="str">
        <f>[1]Participantes!B32</f>
        <v>Maricela</v>
      </c>
      <c r="B34" s="119" t="str">
        <f>IF($A34="","",INDEX([1]Clasif_Pron!$E:$E,((ROW()-4)*12+2)))</f>
        <v>México</v>
      </c>
      <c r="C34" s="119">
        <f>IF($A34="","",INDEX([1]Clasif_Pron!$K:$K,((ROW()-4)*12+2)))</f>
        <v>7</v>
      </c>
      <c r="D34" s="119" t="str">
        <f>IF($A34="","",INDEX([1]Clasif_Pron!$G:$G,((ROW()-4)*12+2)))</f>
        <v>Chequia</v>
      </c>
      <c r="E34" s="119">
        <f>IF($A34="","",INDEX([1]Clasif_Pron!$L:$L,((ROW()-4)*12+2)))</f>
        <v>0</v>
      </c>
      <c r="F34" s="95" t="str">
        <f>IF($A34="","",INDEX([1]Clasif_Pron!$I:$I,((ROW()-4)*12+2)))</f>
        <v>Corea República</v>
      </c>
      <c r="G34" s="95">
        <f>IF($A34="","",INDEX([1]Clasif_Pron!$M:$M,((ROW()-4)*12+2)))</f>
        <v>5</v>
      </c>
      <c r="H34" s="95">
        <f>IF($A34="","",INDEX([1]Clasif_Pron!$N:$N,((ROW()-4)*12+2)))</f>
        <v>12</v>
      </c>
      <c r="I34" s="119" t="str">
        <f>IF($A34="","",INDEX([1]Clasif_Pron!$E:$E,((ROW()-4)*12+3)))</f>
        <v>Canadá</v>
      </c>
      <c r="J34" s="119">
        <f>IF($A34="","",INDEX([1]Clasif_Pron!$K:$K,((ROW()-4)*12+3)))</f>
        <v>3</v>
      </c>
      <c r="K34" s="119" t="str">
        <f>IF($A34="","",INDEX([1]Clasif_Pron!$G:$G,((ROW()-4)*12+3)))</f>
        <v>Suiza</v>
      </c>
      <c r="L34" s="119">
        <f>IF($A34="","",INDEX([1]Clasif_Pron!$L:$L,((ROW()-4)*12+3)))</f>
        <v>3</v>
      </c>
      <c r="M34" s="119" t="str">
        <f>IF($A34="","",INDEX([1]Clasif_Pron!$I:$I,((ROW()-4)*12+3)))</f>
        <v>Bosnia y Herzegovina</v>
      </c>
      <c r="N34" s="119">
        <f>IF($A34="","",INDEX([1]Clasif_Pron!$M:$M,((ROW()-4)*12+3)))</f>
        <v>5</v>
      </c>
      <c r="O34" s="119">
        <f>IF($A34="","",INDEX([1]Clasif_Pron!$N:$N,((ROW()-4)*12+3)))</f>
        <v>11</v>
      </c>
      <c r="P34" s="119" t="str">
        <f>IF($A34="","",INDEX([1]Clasif_Pron!$E:$E,((ROW()-4)*12+4)))</f>
        <v>Brasil</v>
      </c>
      <c r="Q34" s="119">
        <f>IF($A34="","",INDEX([1]Clasif_Pron!$K:$K,((ROW()-4)*12+4)))</f>
        <v>7</v>
      </c>
      <c r="R34" s="119" t="str">
        <f>IF($A34="","",INDEX([1]Clasif_Pron!$G:$G,((ROW()-4)*12+4)))</f>
        <v>Marruecos</v>
      </c>
      <c r="S34" s="119">
        <f>IF($A34="","",INDEX([1]Clasif_Pron!$L:$L,((ROW()-4)*12+4)))</f>
        <v>6</v>
      </c>
      <c r="T34" s="95" t="str">
        <f>IF($A34="","",INDEX([1]Clasif_Pron!$I:$I,((ROW()-4)*12+4)))</f>
        <v>Escocia</v>
      </c>
      <c r="U34" s="95">
        <f>IF($A34="","",INDEX([1]Clasif_Pron!$M:$M,((ROW()-4)*12+4)))</f>
        <v>0</v>
      </c>
      <c r="V34" s="95">
        <f>IF($A34="","",INDEX([1]Clasif_Pron!$N:$N,((ROW()-4)*12+4)))</f>
        <v>13</v>
      </c>
      <c r="W34" s="119" t="str">
        <f>IF($A34="","",INDEX([1]Clasif_Pron!$E:$E,((ROW()-4)*12+5)))</f>
        <v>Türkiye</v>
      </c>
      <c r="X34" s="119">
        <f>IF($A34="","",INDEX([1]Clasif_Pron!$K:$K,((ROW()-4)*12+5)))</f>
        <v>0</v>
      </c>
      <c r="Y34" s="119" t="str">
        <f>IF($A34="","",INDEX([1]Clasif_Pron!$G:$G,((ROW()-4)*12+5)))</f>
        <v>Estados Unidos</v>
      </c>
      <c r="Z34" s="119">
        <f>IF($A34="","",INDEX([1]Clasif_Pron!$L:$L,((ROW()-4)*12+5)))</f>
        <v>3</v>
      </c>
      <c r="AA34" s="95" t="str">
        <f>IF($A34="","",INDEX([1]Clasif_Pron!$I:$I,((ROW()-4)*12+5)))</f>
        <v>Paraguay</v>
      </c>
      <c r="AB34" s="95">
        <f>IF($A34="","",INDEX([1]Clasif_Pron!$M:$M,((ROW()-4)*12+5)))</f>
        <v>5</v>
      </c>
      <c r="AC34" s="95">
        <f>IF($A34="","",INDEX([1]Clasif_Pron!$N:$N,((ROW()-4)*12+5)))</f>
        <v>8</v>
      </c>
      <c r="AD34" s="119" t="str">
        <f>IF($A34="","",INDEX([1]Clasif_Pron!$E:$E,((ROW()-4)*12+6)))</f>
        <v>Alemania</v>
      </c>
      <c r="AE34" s="119">
        <f>IF($A34="","",INDEX([1]Clasif_Pron!$K:$K,((ROW()-4)*12+6)))</f>
        <v>7</v>
      </c>
      <c r="AF34" s="95" t="str">
        <f>IF($A34="","",INDEX([1]Clasif_Pron!$G:$G,((ROW()-4)*12+6)))</f>
        <v>Ecuador</v>
      </c>
      <c r="AG34" s="95">
        <f>IF($A34="","",INDEX([1]Clasif_Pron!$L:$L,((ROW()-4)*12+6)))</f>
        <v>3</v>
      </c>
      <c r="AH34" s="119" t="str">
        <f>IF($A34="","",INDEX([1]Clasif_Pron!$I:$I,((ROW()-4)*12+6)))</f>
        <v>Curazao</v>
      </c>
      <c r="AI34" s="119">
        <f>IF($A34="","",INDEX([1]Clasif_Pron!$M:$M,((ROW()-4)*12+6)))</f>
        <v>0</v>
      </c>
      <c r="AJ34" s="95">
        <f>IF($A34="","",INDEX([1]Clasif_Pron!$N:$N,((ROW()-4)*12+6)))</f>
        <v>10</v>
      </c>
      <c r="AK34" s="119" t="str">
        <f>IF($A34="","",INDEX([1]Clasif_Pron!$E:$E,((ROW()-4)*12+7)))</f>
        <v>Países Bajos</v>
      </c>
      <c r="AL34" s="119">
        <f>IF($A34="","",INDEX([1]Clasif_Pron!$K:$K,((ROW()-4)*12+7)))</f>
        <v>7</v>
      </c>
      <c r="AM34" s="119" t="str">
        <f>IF($A34="","",INDEX([1]Clasif_Pron!$G:$G,((ROW()-4)*12+7)))</f>
        <v>Japón</v>
      </c>
      <c r="AN34" s="119">
        <f>IF($A34="","",INDEX([1]Clasif_Pron!$L:$L,((ROW()-4)*12+7)))</f>
        <v>6</v>
      </c>
      <c r="AO34" s="95" t="str">
        <f>IF($A34="","",INDEX([1]Clasif_Pron!$I:$I,((ROW()-4)*12+7)))</f>
        <v>Suecia</v>
      </c>
      <c r="AP34" s="95">
        <f>IF($A34="","",INDEX([1]Clasif_Pron!$M:$M,((ROW()-4)*12+7)))</f>
        <v>5</v>
      </c>
      <c r="AQ34" s="95">
        <f>IF($A34="","",INDEX([1]Clasif_Pron!$N:$N,((ROW()-4)*12+7)))</f>
        <v>18</v>
      </c>
      <c r="AR34" s="119" t="str">
        <f>IF($A34="","",INDEX([1]Clasif_Pron!$E:$E,((ROW()-4)*12+8)))</f>
        <v>Bélgica</v>
      </c>
      <c r="AS34" s="119">
        <f>IF($A34="","",INDEX([1]Clasif_Pron!$K:$K,((ROW()-4)*12+8)))</f>
        <v>7</v>
      </c>
      <c r="AT34" s="119" t="str">
        <f>IF($A34="","",INDEX([1]Clasif_Pron!$G:$G,((ROW()-4)*12+8)))</f>
        <v>Egipto</v>
      </c>
      <c r="AU34" s="119">
        <f>IF($A34="","",INDEX([1]Clasif_Pron!$L:$L,((ROW()-4)*12+8)))</f>
        <v>6</v>
      </c>
      <c r="AV34" s="119" t="str">
        <f>IF($A34="","",INDEX([1]Clasif_Pron!$I:$I,((ROW()-4)*12+8)))</f>
        <v>Nueva Zelanda</v>
      </c>
      <c r="AW34" s="119">
        <f>IF($A34="","",INDEX([1]Clasif_Pron!$M:$M,((ROW()-4)*12+8)))</f>
        <v>0</v>
      </c>
      <c r="AX34" s="119">
        <f>IF($A34="","",INDEX([1]Clasif_Pron!$N:$N,((ROW()-4)*12+8)))</f>
        <v>13</v>
      </c>
      <c r="AY34" s="119" t="str">
        <f>IF($A34="","",INDEX([1]Clasif_Pron!$E:$E,((ROW()-4)*12+9)))</f>
        <v>España</v>
      </c>
      <c r="AZ34" s="119">
        <f>IF($A34="","",INDEX([1]Clasif_Pron!$K:$K,((ROW()-4)*12+9)))</f>
        <v>7</v>
      </c>
      <c r="BA34" s="119" t="str">
        <f>IF($A34="","",INDEX([1]Clasif_Pron!$G:$G,((ROW()-4)*12+9)))</f>
        <v>Uruguay</v>
      </c>
      <c r="BB34" s="119">
        <f>IF($A34="","",INDEX([1]Clasif_Pron!$L:$L,((ROW()-4)*12+9)))</f>
        <v>0</v>
      </c>
      <c r="BC34" s="119" t="str">
        <f>IF($A34="","",INDEX([1]Clasif_Pron!$I:$I,((ROW()-4)*12+9)))</f>
        <v>Arabia Saudita</v>
      </c>
      <c r="BD34" s="119">
        <f>IF($A34="","",INDEX([1]Clasif_Pron!$M:$M,((ROW()-4)*12+9)))</f>
        <v>0</v>
      </c>
      <c r="BE34" s="119">
        <f>IF($A34="","",INDEX([1]Clasif_Pron!$N:$N,((ROW()-4)*12+9)))</f>
        <v>7</v>
      </c>
      <c r="BF34" s="119" t="str">
        <f>IF($A34="","",INDEX([1]Clasif_Pron!$E:$E,((ROW()-4)*12+10)))</f>
        <v>Francia</v>
      </c>
      <c r="BG34" s="119">
        <f>IF($A34="","",INDEX([1]Clasif_Pron!$K:$K,((ROW()-4)*12+10)))</f>
        <v>7</v>
      </c>
      <c r="BH34" s="119" t="str">
        <f>IF($A34="","",INDEX([1]Clasif_Pron!$G:$G,((ROW()-4)*12+10)))</f>
        <v>Noruega</v>
      </c>
      <c r="BI34" s="119">
        <f>IF($A34="","",INDEX([1]Clasif_Pron!$L:$L,((ROW()-4)*12+10)))</f>
        <v>6</v>
      </c>
      <c r="BJ34" s="95" t="str">
        <f>IF($A34="","",INDEX([1]Clasif_Pron!$I:$I,((ROW()-4)*12+10)))</f>
        <v>Senegal</v>
      </c>
      <c r="BK34" s="95">
        <f>IF($A34="","",INDEX([1]Clasif_Pron!$M:$M,((ROW()-4)*12+10)))</f>
        <v>5</v>
      </c>
      <c r="BL34" s="95">
        <f>IF($A34="","",INDEX([1]Clasif_Pron!$N:$N,((ROW()-4)*12+10)))</f>
        <v>18</v>
      </c>
      <c r="BM34" s="119" t="str">
        <f>IF($A34="","",INDEX([1]Clasif_Pron!$E:$E,((ROW()-4)*12+11)))</f>
        <v>Argentina</v>
      </c>
      <c r="BN34" s="119">
        <f>IF($A34="","",INDEX([1]Clasif_Pron!$K:$K,((ROW()-4)*12+11)))</f>
        <v>7</v>
      </c>
      <c r="BO34" s="95" t="str">
        <f>IF($A34="","",INDEX([1]Clasif_Pron!$G:$G,((ROW()-4)*12+11)))</f>
        <v>Argelia</v>
      </c>
      <c r="BP34" s="95">
        <f>IF($A34="","",INDEX([1]Clasif_Pron!$L:$L,((ROW()-4)*12+11)))</f>
        <v>0</v>
      </c>
      <c r="BQ34" s="95" t="str">
        <f>IF($A34="","",INDEX([1]Clasif_Pron!$I:$I,((ROW()-4)*12+11)))</f>
        <v>Austria</v>
      </c>
      <c r="BR34" s="95">
        <f>IF($A34="","",INDEX([1]Clasif_Pron!$M:$M,((ROW()-4)*12+11)))</f>
        <v>3</v>
      </c>
      <c r="BS34" s="95">
        <f>IF($A34="","",INDEX([1]Clasif_Pron!$N:$N,((ROW()-4)*12+11)))</f>
        <v>10</v>
      </c>
      <c r="BT34" s="95" t="str">
        <f>IF($A34="","",INDEX([1]Clasif_Pron!$E:$E,((ROW()-4)*12+12)))</f>
        <v>Portugal</v>
      </c>
      <c r="BU34" s="95">
        <f>IF($A34="","",INDEX([1]Clasif_Pron!$K:$K,((ROW()-4)*12+12)))</f>
        <v>3</v>
      </c>
      <c r="BV34" s="95" t="str">
        <f>IF($A34="","",INDEX([1]Clasif_Pron!$G:$G,((ROW()-4)*12+12)))</f>
        <v>Colombia</v>
      </c>
      <c r="BW34" s="95">
        <f>IF($A34="","",INDEX([1]Clasif_Pron!$L:$L,((ROW()-4)*12+12)))</f>
        <v>3</v>
      </c>
      <c r="BX34" s="95" t="str">
        <f>IF($A34="","",INDEX([1]Clasif_Pron!$I:$I,((ROW()-4)*12+12)))</f>
        <v>Uzbekistán</v>
      </c>
      <c r="BY34" s="95">
        <f>IF($A34="","",INDEX([1]Clasif_Pron!$M:$M,((ROW()-4)*12+12)))</f>
        <v>0</v>
      </c>
      <c r="BZ34" s="95">
        <f>IF($A34="","",INDEX([1]Clasif_Pron!$N:$N,((ROW()-4)*12+12)))</f>
        <v>6</v>
      </c>
      <c r="CA34" s="95" t="str">
        <f>IF($A34="","",INDEX([1]Clasif_Pron!$E:$E,((ROW()-4)*12+13)))</f>
        <v>Inglaterra</v>
      </c>
      <c r="CB34" s="95">
        <f>IF($A34="","",INDEX([1]Clasif_Pron!$K:$K,((ROW()-4)*12+13)))</f>
        <v>7</v>
      </c>
      <c r="CC34" s="95" t="str">
        <f>IF($A34="","",INDEX([1]Clasif_Pron!$G:$G,((ROW()-4)*12+13)))</f>
        <v>Croacia</v>
      </c>
      <c r="CD34" s="95">
        <f>IF($A34="","",INDEX([1]Clasif_Pron!$L:$L,((ROW()-4)*12+13)))</f>
        <v>3</v>
      </c>
      <c r="CE34" s="95" t="str">
        <f>IF($A34="","",INDEX([1]Clasif_Pron!$I:$I,((ROW()-4)*12+13)))</f>
        <v>Panamá</v>
      </c>
      <c r="CF34" s="95">
        <f>IF($A34="","",INDEX([1]Clasif_Pron!$M:$M,((ROW()-4)*12+13)))</f>
        <v>0</v>
      </c>
      <c r="CG34" s="95">
        <f>IF($A34="","",INDEX([1]Clasif_Pron!$N:$N,((ROW()-4)*12+13)))</f>
        <v>10</v>
      </c>
      <c r="CH34" s="96">
        <f t="shared" si="0"/>
        <v>136</v>
      </c>
    </row>
    <row r="35" spans="1:86" ht="20.25" customHeight="1" x14ac:dyDescent="0.3">
      <c r="A35" s="94" t="str">
        <f>[1]Participantes!B33</f>
        <v>Marilyn</v>
      </c>
      <c r="B35" s="119" t="str">
        <f>IF($A35="","",INDEX([1]Clasif_Pron!$E:$E,((ROW()-4)*12+2)))</f>
        <v>México</v>
      </c>
      <c r="C35" s="119">
        <f>IF($A35="","",INDEX([1]Clasif_Pron!$K:$K,((ROW()-4)*12+2)))</f>
        <v>7</v>
      </c>
      <c r="D35" s="95" t="str">
        <f>IF($A35="","",INDEX([1]Clasif_Pron!$G:$G,((ROW()-4)*12+2)))</f>
        <v>Corea República</v>
      </c>
      <c r="E35" s="95">
        <f>IF($A35="","",INDEX([1]Clasif_Pron!$L:$L,((ROW()-4)*12+2)))</f>
        <v>3</v>
      </c>
      <c r="F35" s="119" t="str">
        <f>IF($A35="","",INDEX([1]Clasif_Pron!$I:$I,((ROW()-4)*12+2)))</f>
        <v>Chequia</v>
      </c>
      <c r="G35" s="119">
        <f>IF($A35="","",INDEX([1]Clasif_Pron!$M:$M,((ROW()-4)*12+2)))</f>
        <v>0</v>
      </c>
      <c r="H35" s="119">
        <f>IF($A35="","",INDEX([1]Clasif_Pron!$N:$N,((ROW()-4)*12+2)))</f>
        <v>10</v>
      </c>
      <c r="I35" s="119" t="str">
        <f>IF($A35="","",INDEX([1]Clasif_Pron!$E:$E,((ROW()-4)*12+3)))</f>
        <v>Canadá</v>
      </c>
      <c r="J35" s="119">
        <f>IF($A35="","",INDEX([1]Clasif_Pron!$K:$K,((ROW()-4)*12+3)))</f>
        <v>3</v>
      </c>
      <c r="K35" s="119" t="str">
        <f>IF($A35="","",INDEX([1]Clasif_Pron!$G:$G,((ROW()-4)*12+3)))</f>
        <v>Suiza</v>
      </c>
      <c r="L35" s="119">
        <f>IF($A35="","",INDEX([1]Clasif_Pron!$L:$L,((ROW()-4)*12+3)))</f>
        <v>3</v>
      </c>
      <c r="M35" s="119" t="str">
        <f>IF($A35="","",INDEX([1]Clasif_Pron!$I:$I,((ROW()-4)*12+3)))</f>
        <v>Qatar</v>
      </c>
      <c r="N35" s="119">
        <f>IF($A35="","",INDEX([1]Clasif_Pron!$M:$M,((ROW()-4)*12+3)))</f>
        <v>0</v>
      </c>
      <c r="O35" s="119">
        <f>IF($A35="","",INDEX([1]Clasif_Pron!$N:$N,((ROW()-4)*12+3)))</f>
        <v>6</v>
      </c>
      <c r="P35" s="119" t="str">
        <f>IF($A35="","",INDEX([1]Clasif_Pron!$E:$E,((ROW()-4)*12+4)))</f>
        <v>Brasil</v>
      </c>
      <c r="Q35" s="119">
        <f>IF($A35="","",INDEX([1]Clasif_Pron!$K:$K,((ROW()-4)*12+4)))</f>
        <v>7</v>
      </c>
      <c r="R35" s="119" t="str">
        <f>IF($A35="","",INDEX([1]Clasif_Pron!$G:$G,((ROW()-4)*12+4)))</f>
        <v>Marruecos</v>
      </c>
      <c r="S35" s="119">
        <f>IF($A35="","",INDEX([1]Clasif_Pron!$L:$L,((ROW()-4)*12+4)))</f>
        <v>6</v>
      </c>
      <c r="T35" s="95" t="str">
        <f>IF($A35="","",INDEX([1]Clasif_Pron!$I:$I,((ROW()-4)*12+4)))</f>
        <v>Escocia</v>
      </c>
      <c r="U35" s="95">
        <f>IF($A35="","",INDEX([1]Clasif_Pron!$M:$M,((ROW()-4)*12+4)))</f>
        <v>0</v>
      </c>
      <c r="V35" s="95">
        <f>IF($A35="","",INDEX([1]Clasif_Pron!$N:$N,((ROW()-4)*12+4)))</f>
        <v>13</v>
      </c>
      <c r="W35" s="119" t="str">
        <f>IF($A35="","",INDEX([1]Clasif_Pron!$E:$E,((ROW()-4)*12+5)))</f>
        <v>Estados Unidos</v>
      </c>
      <c r="X35" s="119">
        <f>IF($A35="","",INDEX([1]Clasif_Pron!$K:$K,((ROW()-4)*12+5)))</f>
        <v>7</v>
      </c>
      <c r="Y35" s="95" t="str">
        <f>IF($A35="","",INDEX([1]Clasif_Pron!$G:$G,((ROW()-4)*12+5)))</f>
        <v>Paraguay</v>
      </c>
      <c r="Z35" s="95">
        <f>IF($A35="","",INDEX([1]Clasif_Pron!$L:$L,((ROW()-4)*12+5)))</f>
        <v>3</v>
      </c>
      <c r="AA35" s="119" t="str">
        <f>IF($A35="","",INDEX([1]Clasif_Pron!$I:$I,((ROW()-4)*12+5)))</f>
        <v>Australia</v>
      </c>
      <c r="AB35" s="119">
        <f>IF($A35="","",INDEX([1]Clasif_Pron!$M:$M,((ROW()-4)*12+5)))</f>
        <v>3</v>
      </c>
      <c r="AC35" s="95">
        <f>IF($A35="","",INDEX([1]Clasif_Pron!$N:$N,((ROW()-4)*12+5)))</f>
        <v>13</v>
      </c>
      <c r="AD35" s="119" t="str">
        <f>IF($A35="","",INDEX([1]Clasif_Pron!$E:$E,((ROW()-4)*12+6)))</f>
        <v>Alemania</v>
      </c>
      <c r="AE35" s="119">
        <f>IF($A35="","",INDEX([1]Clasif_Pron!$K:$K,((ROW()-4)*12+6)))</f>
        <v>7</v>
      </c>
      <c r="AF35" s="119" t="str">
        <f>IF($A35="","",INDEX([1]Clasif_Pron!$G:$G,((ROW()-4)*12+6)))</f>
        <v>Costa de Marfil</v>
      </c>
      <c r="AG35" s="119">
        <f>IF($A35="","",INDEX([1]Clasif_Pron!$L:$L,((ROW()-4)*12+6)))</f>
        <v>6</v>
      </c>
      <c r="AH35" s="119" t="str">
        <f>IF($A35="","",INDEX([1]Clasif_Pron!$I:$I,((ROW()-4)*12+6)))</f>
        <v>Curazao</v>
      </c>
      <c r="AI35" s="119">
        <f>IF($A35="","",INDEX([1]Clasif_Pron!$M:$M,((ROW()-4)*12+6)))</f>
        <v>0</v>
      </c>
      <c r="AJ35" s="119">
        <f>IF($A35="","",INDEX([1]Clasif_Pron!$N:$N,((ROW()-4)*12+6)))</f>
        <v>13</v>
      </c>
      <c r="AK35" s="119" t="str">
        <f>IF($A35="","",INDEX([1]Clasif_Pron!$E:$E,((ROW()-4)*12+7)))</f>
        <v>Japón</v>
      </c>
      <c r="AL35" s="119">
        <f>IF($A35="","",INDEX([1]Clasif_Pron!$K:$K,((ROW()-4)*12+7)))</f>
        <v>3</v>
      </c>
      <c r="AM35" s="95" t="str">
        <f>IF($A35="","",INDEX([1]Clasif_Pron!$G:$G,((ROW()-4)*12+7)))</f>
        <v>Suecia</v>
      </c>
      <c r="AN35" s="95">
        <f>IF($A35="","",INDEX([1]Clasif_Pron!$L:$L,((ROW()-4)*12+7)))</f>
        <v>3</v>
      </c>
      <c r="AO35" s="119" t="str">
        <f>IF($A35="","",INDEX([1]Clasif_Pron!$I:$I,((ROW()-4)*12+7)))</f>
        <v>Países Bajos</v>
      </c>
      <c r="AP35" s="119">
        <f>IF($A35="","",INDEX([1]Clasif_Pron!$M:$M,((ROW()-4)*12+7)))</f>
        <v>3</v>
      </c>
      <c r="AQ35" s="95">
        <f>IF($A35="","",INDEX([1]Clasif_Pron!$N:$N,((ROW()-4)*12+7)))</f>
        <v>9</v>
      </c>
      <c r="AR35" s="119" t="str">
        <f>IF($A35="","",INDEX([1]Clasif_Pron!$E:$E,((ROW()-4)*12+8)))</f>
        <v>Nueva Zelanda</v>
      </c>
      <c r="AS35" s="119">
        <f>IF($A35="","",INDEX([1]Clasif_Pron!$K:$K,((ROW()-4)*12+8)))</f>
        <v>0</v>
      </c>
      <c r="AT35" s="119" t="str">
        <f>IF($A35="","",INDEX([1]Clasif_Pron!$G:$G,((ROW()-4)*12+8)))</f>
        <v>Bélgica</v>
      </c>
      <c r="AU35" s="119">
        <f>IF($A35="","",INDEX([1]Clasif_Pron!$L:$L,((ROW()-4)*12+8)))</f>
        <v>3</v>
      </c>
      <c r="AV35" s="95" t="str">
        <f>IF($A35="","",INDEX([1]Clasif_Pron!$I:$I,((ROW()-4)*12+8)))</f>
        <v>Irán</v>
      </c>
      <c r="AW35" s="95">
        <f>IF($A35="","",INDEX([1]Clasif_Pron!$M:$M,((ROW()-4)*12+8)))</f>
        <v>5</v>
      </c>
      <c r="AX35" s="119">
        <f>IF($A35="","",INDEX([1]Clasif_Pron!$N:$N,((ROW()-4)*12+8)))</f>
        <v>8</v>
      </c>
      <c r="AY35" s="119" t="str">
        <f>IF($A35="","",INDEX([1]Clasif_Pron!$E:$E,((ROW()-4)*12+9)))</f>
        <v>España</v>
      </c>
      <c r="AZ35" s="119">
        <f>IF($A35="","",INDEX([1]Clasif_Pron!$K:$K,((ROW()-4)*12+9)))</f>
        <v>7</v>
      </c>
      <c r="BA35" s="119" t="str">
        <f>IF($A35="","",INDEX([1]Clasif_Pron!$G:$G,((ROW()-4)*12+9)))</f>
        <v>Uruguay</v>
      </c>
      <c r="BB35" s="119">
        <f>IF($A35="","",INDEX([1]Clasif_Pron!$L:$L,((ROW()-4)*12+9)))</f>
        <v>0</v>
      </c>
      <c r="BC35" s="119" t="str">
        <f>IF($A35="","",INDEX([1]Clasif_Pron!$I:$I,((ROW()-4)*12+9)))</f>
        <v>Arabia Saudita</v>
      </c>
      <c r="BD35" s="119">
        <f>IF($A35="","",INDEX([1]Clasif_Pron!$M:$M,((ROW()-4)*12+9)))</f>
        <v>0</v>
      </c>
      <c r="BE35" s="119">
        <f>IF($A35="","",INDEX([1]Clasif_Pron!$N:$N,((ROW()-4)*12+9)))</f>
        <v>7</v>
      </c>
      <c r="BF35" s="119" t="str">
        <f>IF($A35="","",INDEX([1]Clasif_Pron!$E:$E,((ROW()-4)*12+10)))</f>
        <v>Francia</v>
      </c>
      <c r="BG35" s="119">
        <f>IF($A35="","",INDEX([1]Clasif_Pron!$K:$K,((ROW()-4)*12+10)))</f>
        <v>7</v>
      </c>
      <c r="BH35" s="95" t="str">
        <f>IF($A35="","",INDEX([1]Clasif_Pron!$G:$G,((ROW()-4)*12+10)))</f>
        <v>Senegal</v>
      </c>
      <c r="BI35" s="95">
        <f>IF($A35="","",INDEX([1]Clasif_Pron!$L:$L,((ROW()-4)*12+10)))</f>
        <v>3</v>
      </c>
      <c r="BJ35" s="119" t="str">
        <f>IF($A35="","",INDEX([1]Clasif_Pron!$I:$I,((ROW()-4)*12+10)))</f>
        <v>Noruega</v>
      </c>
      <c r="BK35" s="119">
        <f>IF($A35="","",INDEX([1]Clasif_Pron!$M:$M,((ROW()-4)*12+10)))</f>
        <v>3</v>
      </c>
      <c r="BL35" s="95">
        <f>IF($A35="","",INDEX([1]Clasif_Pron!$N:$N,((ROW()-4)*12+10)))</f>
        <v>13</v>
      </c>
      <c r="BM35" s="119" t="str">
        <f>IF($A35="","",INDEX([1]Clasif_Pron!$E:$E,((ROW()-4)*12+11)))</f>
        <v>Argentina</v>
      </c>
      <c r="BN35" s="119">
        <f>IF($A35="","",INDEX([1]Clasif_Pron!$K:$K,((ROW()-4)*12+11)))</f>
        <v>7</v>
      </c>
      <c r="BO35" s="95" t="str">
        <f>IF($A35="","",INDEX([1]Clasif_Pron!$G:$G,((ROW()-4)*12+11)))</f>
        <v>Austria</v>
      </c>
      <c r="BP35" s="95">
        <f>IF($A35="","",INDEX([1]Clasif_Pron!$L:$L,((ROW()-4)*12+11)))</f>
        <v>6</v>
      </c>
      <c r="BQ35" s="119" t="str">
        <f>IF($A35="","",INDEX([1]Clasif_Pron!$I:$I,((ROW()-4)*12+11)))</f>
        <v>Jordania</v>
      </c>
      <c r="BR35" s="119">
        <f>IF($A35="","",INDEX([1]Clasif_Pron!$M:$M,((ROW()-4)*12+11)))</f>
        <v>0</v>
      </c>
      <c r="BS35" s="95">
        <f>IF($A35="","",INDEX([1]Clasif_Pron!$N:$N,((ROW()-4)*12+11)))</f>
        <v>13</v>
      </c>
      <c r="BT35" s="95" t="str">
        <f>IF($A35="","",INDEX([1]Clasif_Pron!$E:$E,((ROW()-4)*12+12)))</f>
        <v>Portugal</v>
      </c>
      <c r="BU35" s="95">
        <f>IF($A35="","",INDEX([1]Clasif_Pron!$K:$K,((ROW()-4)*12+12)))</f>
        <v>3</v>
      </c>
      <c r="BV35" s="95" t="str">
        <f>IF($A35="","",INDEX([1]Clasif_Pron!$G:$G,((ROW()-4)*12+12)))</f>
        <v>Colombia</v>
      </c>
      <c r="BW35" s="95">
        <f>IF($A35="","",INDEX([1]Clasif_Pron!$L:$L,((ROW()-4)*12+12)))</f>
        <v>3</v>
      </c>
      <c r="BX35" s="95" t="str">
        <f>IF($A35="","",INDEX([1]Clasif_Pron!$I:$I,((ROW()-4)*12+12)))</f>
        <v>RD Congo</v>
      </c>
      <c r="BY35" s="95">
        <f>IF($A35="","",INDEX([1]Clasif_Pron!$M:$M,((ROW()-4)*12+12)))</f>
        <v>0</v>
      </c>
      <c r="BZ35" s="95">
        <f>IF($A35="","",INDEX([1]Clasif_Pron!$N:$N,((ROW()-4)*12+12)))</f>
        <v>6</v>
      </c>
      <c r="CA35" s="95" t="str">
        <f>IF($A35="","",INDEX([1]Clasif_Pron!$E:$E,((ROW()-4)*12+13)))</f>
        <v>Inglaterra</v>
      </c>
      <c r="CB35" s="95">
        <f>IF($A35="","",INDEX([1]Clasif_Pron!$K:$K,((ROW()-4)*12+13)))</f>
        <v>7</v>
      </c>
      <c r="CC35" s="95" t="str">
        <f>IF($A35="","",INDEX([1]Clasif_Pron!$G:$G,((ROW()-4)*12+13)))</f>
        <v>Croacia</v>
      </c>
      <c r="CD35" s="95">
        <f>IF($A35="","",INDEX([1]Clasif_Pron!$L:$L,((ROW()-4)*12+13)))</f>
        <v>3</v>
      </c>
      <c r="CE35" s="95" t="str">
        <f>IF($A35="","",INDEX([1]Clasif_Pron!$I:$I,((ROW()-4)*12+13)))</f>
        <v>Panamá</v>
      </c>
      <c r="CF35" s="95">
        <f>IF($A35="","",INDEX([1]Clasif_Pron!$M:$M,((ROW()-4)*12+13)))</f>
        <v>0</v>
      </c>
      <c r="CG35" s="95">
        <f>IF($A35="","",INDEX([1]Clasif_Pron!$N:$N,((ROW()-4)*12+13)))</f>
        <v>10</v>
      </c>
      <c r="CH35" s="96">
        <f t="shared" si="0"/>
        <v>121</v>
      </c>
    </row>
    <row r="36" spans="1:86" ht="20.25" customHeight="1" x14ac:dyDescent="0.3">
      <c r="A36" s="94" t="str">
        <f>[1]Participantes!B34</f>
        <v>Medica</v>
      </c>
      <c r="B36" s="119" t="str">
        <f>IF($A36="","",INDEX([1]Clasif_Pron!$E:$E,((ROW()-4)*12+2)))</f>
        <v>México</v>
      </c>
      <c r="C36" s="119">
        <f>IF($A36="","",INDEX([1]Clasif_Pron!$K:$K,((ROW()-4)*12+2)))</f>
        <v>7</v>
      </c>
      <c r="D36" s="95" t="str">
        <f>IF($A36="","",INDEX([1]Clasif_Pron!$G:$G,((ROW()-4)*12+2)))</f>
        <v>Corea República</v>
      </c>
      <c r="E36" s="95">
        <f>IF($A36="","",INDEX([1]Clasif_Pron!$L:$L,((ROW()-4)*12+2)))</f>
        <v>3</v>
      </c>
      <c r="F36" s="119" t="str">
        <f>IF($A36="","",INDEX([1]Clasif_Pron!$I:$I,((ROW()-4)*12+2)))</f>
        <v>Sudáfrica</v>
      </c>
      <c r="G36" s="119">
        <f>IF($A36="","",INDEX([1]Clasif_Pron!$M:$M,((ROW()-4)*12+2)))</f>
        <v>3</v>
      </c>
      <c r="H36" s="119">
        <f>IF($A36="","",INDEX([1]Clasif_Pron!$N:$N,((ROW()-4)*12+2)))</f>
        <v>13</v>
      </c>
      <c r="I36" s="119" t="str">
        <f>IF($A36="","",INDEX([1]Clasif_Pron!$E:$E,((ROW()-4)*12+3)))</f>
        <v>Suiza</v>
      </c>
      <c r="J36" s="119">
        <f>IF($A36="","",INDEX([1]Clasif_Pron!$K:$K,((ROW()-4)*12+3)))</f>
        <v>7</v>
      </c>
      <c r="K36" s="119" t="str">
        <f>IF($A36="","",INDEX([1]Clasif_Pron!$G:$G,((ROW()-4)*12+3)))</f>
        <v>Canadá</v>
      </c>
      <c r="L36" s="119">
        <f>IF($A36="","",INDEX([1]Clasif_Pron!$L:$L,((ROW()-4)*12+3)))</f>
        <v>6</v>
      </c>
      <c r="M36" s="119" t="str">
        <f>IF($A36="","",INDEX([1]Clasif_Pron!$I:$I,((ROW()-4)*12+3)))</f>
        <v>Bosnia y Herzegovina</v>
      </c>
      <c r="N36" s="119">
        <f>IF($A36="","",INDEX([1]Clasif_Pron!$M:$M,((ROW()-4)*12+3)))</f>
        <v>5</v>
      </c>
      <c r="O36" s="119">
        <f>IF($A36="","",INDEX([1]Clasif_Pron!$N:$N,((ROW()-4)*12+3)))</f>
        <v>18</v>
      </c>
      <c r="P36" s="119" t="str">
        <f>IF($A36="","",INDEX([1]Clasif_Pron!$E:$E,((ROW()-4)*12+4)))</f>
        <v>Brasil</v>
      </c>
      <c r="Q36" s="119">
        <f>IF($A36="","",INDEX([1]Clasif_Pron!$K:$K,((ROW()-4)*12+4)))</f>
        <v>7</v>
      </c>
      <c r="R36" s="119" t="str">
        <f>IF($A36="","",INDEX([1]Clasif_Pron!$G:$G,((ROW()-4)*12+4)))</f>
        <v>Marruecos</v>
      </c>
      <c r="S36" s="119">
        <f>IF($A36="","",INDEX([1]Clasif_Pron!$L:$L,((ROW()-4)*12+4)))</f>
        <v>6</v>
      </c>
      <c r="T36" s="95" t="str">
        <f>IF($A36="","",INDEX([1]Clasif_Pron!$I:$I,((ROW()-4)*12+4)))</f>
        <v>Escocia</v>
      </c>
      <c r="U36" s="95">
        <f>IF($A36="","",INDEX([1]Clasif_Pron!$M:$M,((ROW()-4)*12+4)))</f>
        <v>0</v>
      </c>
      <c r="V36" s="95">
        <f>IF($A36="","",INDEX([1]Clasif_Pron!$N:$N,((ROW()-4)*12+4)))</f>
        <v>13</v>
      </c>
      <c r="W36" s="119" t="str">
        <f>IF($A36="","",INDEX([1]Clasif_Pron!$E:$E,((ROW()-4)*12+5)))</f>
        <v>Estados Unidos</v>
      </c>
      <c r="X36" s="119">
        <f>IF($A36="","",INDEX([1]Clasif_Pron!$K:$K,((ROW()-4)*12+5)))</f>
        <v>7</v>
      </c>
      <c r="Y36" s="119" t="str">
        <f>IF($A36="","",INDEX([1]Clasif_Pron!$G:$G,((ROW()-4)*12+5)))</f>
        <v>Türkiye</v>
      </c>
      <c r="Z36" s="119">
        <f>IF($A36="","",INDEX([1]Clasif_Pron!$L:$L,((ROW()-4)*12+5)))</f>
        <v>0</v>
      </c>
      <c r="AA36" s="95" t="str">
        <f>IF($A36="","",INDEX([1]Clasif_Pron!$I:$I,((ROW()-4)*12+5)))</f>
        <v>Paraguay</v>
      </c>
      <c r="AB36" s="95">
        <f>IF($A36="","",INDEX([1]Clasif_Pron!$M:$M,((ROW()-4)*12+5)))</f>
        <v>5</v>
      </c>
      <c r="AC36" s="95">
        <f>IF($A36="","",INDEX([1]Clasif_Pron!$N:$N,((ROW()-4)*12+5)))</f>
        <v>12</v>
      </c>
      <c r="AD36" s="119" t="str">
        <f>IF($A36="","",INDEX([1]Clasif_Pron!$E:$E,((ROW()-4)*12+6)))</f>
        <v>Alemania</v>
      </c>
      <c r="AE36" s="119">
        <f>IF($A36="","",INDEX([1]Clasif_Pron!$K:$K,((ROW()-4)*12+6)))</f>
        <v>7</v>
      </c>
      <c r="AF36" s="119" t="str">
        <f>IF($A36="","",INDEX([1]Clasif_Pron!$G:$G,((ROW()-4)*12+6)))</f>
        <v>Costa de Marfil</v>
      </c>
      <c r="AG36" s="119">
        <f>IF($A36="","",INDEX([1]Clasif_Pron!$L:$L,((ROW()-4)*12+6)))</f>
        <v>6</v>
      </c>
      <c r="AH36" s="95" t="str">
        <f>IF($A36="","",INDEX([1]Clasif_Pron!$I:$I,((ROW()-4)*12+6)))</f>
        <v>Ecuador</v>
      </c>
      <c r="AI36" s="95">
        <f>IF($A36="","",INDEX([1]Clasif_Pron!$M:$M,((ROW()-4)*12+6)))</f>
        <v>5</v>
      </c>
      <c r="AJ36" s="95">
        <f>IF($A36="","",INDEX([1]Clasif_Pron!$N:$N,((ROW()-4)*12+6)))</f>
        <v>18</v>
      </c>
      <c r="AK36" s="119" t="str">
        <f>IF($A36="","",INDEX([1]Clasif_Pron!$E:$E,((ROW()-4)*12+7)))</f>
        <v>Países Bajos</v>
      </c>
      <c r="AL36" s="119">
        <f>IF($A36="","",INDEX([1]Clasif_Pron!$K:$K,((ROW()-4)*12+7)))</f>
        <v>7</v>
      </c>
      <c r="AM36" s="119" t="str">
        <f>IF($A36="","",INDEX([1]Clasif_Pron!$G:$G,((ROW()-4)*12+7)))</f>
        <v>Japón</v>
      </c>
      <c r="AN36" s="119">
        <f>IF($A36="","",INDEX([1]Clasif_Pron!$L:$L,((ROW()-4)*12+7)))</f>
        <v>6</v>
      </c>
      <c r="AO36" s="95" t="str">
        <f>IF($A36="","",INDEX([1]Clasif_Pron!$I:$I,((ROW()-4)*12+7)))</f>
        <v>Suecia</v>
      </c>
      <c r="AP36" s="95">
        <f>IF($A36="","",INDEX([1]Clasif_Pron!$M:$M,((ROW()-4)*12+7)))</f>
        <v>5</v>
      </c>
      <c r="AQ36" s="95">
        <f>IF($A36="","",INDEX([1]Clasif_Pron!$N:$N,((ROW()-4)*12+7)))</f>
        <v>18</v>
      </c>
      <c r="AR36" s="119" t="str">
        <f>IF($A36="","",INDEX([1]Clasif_Pron!$E:$E,((ROW()-4)*12+8)))</f>
        <v>Bélgica</v>
      </c>
      <c r="AS36" s="119">
        <f>IF($A36="","",INDEX([1]Clasif_Pron!$K:$K,((ROW()-4)*12+8)))</f>
        <v>7</v>
      </c>
      <c r="AT36" s="119" t="str">
        <f>IF($A36="","",INDEX([1]Clasif_Pron!$G:$G,((ROW()-4)*12+8)))</f>
        <v>Egipto</v>
      </c>
      <c r="AU36" s="119">
        <f>IF($A36="","",INDEX([1]Clasif_Pron!$L:$L,((ROW()-4)*12+8)))</f>
        <v>6</v>
      </c>
      <c r="AV36" s="119" t="str">
        <f>IF($A36="","",INDEX([1]Clasif_Pron!$I:$I,((ROW()-4)*12+8)))</f>
        <v>Nueva Zelanda</v>
      </c>
      <c r="AW36" s="119">
        <f>IF($A36="","",INDEX([1]Clasif_Pron!$M:$M,((ROW()-4)*12+8)))</f>
        <v>0</v>
      </c>
      <c r="AX36" s="119">
        <f>IF($A36="","",INDEX([1]Clasif_Pron!$N:$N,((ROW()-4)*12+8)))</f>
        <v>13</v>
      </c>
      <c r="AY36" s="119" t="str">
        <f>IF($A36="","",INDEX([1]Clasif_Pron!$E:$E,((ROW()-4)*12+9)))</f>
        <v>España</v>
      </c>
      <c r="AZ36" s="119">
        <f>IF($A36="","",INDEX([1]Clasif_Pron!$K:$K,((ROW()-4)*12+9)))</f>
        <v>7</v>
      </c>
      <c r="BA36" s="119" t="str">
        <f>IF($A36="","",INDEX([1]Clasif_Pron!$G:$G,((ROW()-4)*12+9)))</f>
        <v>Uruguay</v>
      </c>
      <c r="BB36" s="119">
        <f>IF($A36="","",INDEX([1]Clasif_Pron!$L:$L,((ROW()-4)*12+9)))</f>
        <v>0</v>
      </c>
      <c r="BC36" s="119" t="str">
        <f>IF($A36="","",INDEX([1]Clasif_Pron!$I:$I,((ROW()-4)*12+9)))</f>
        <v>Arabia Saudita</v>
      </c>
      <c r="BD36" s="119">
        <f>IF($A36="","",INDEX([1]Clasif_Pron!$M:$M,((ROW()-4)*12+9)))</f>
        <v>0</v>
      </c>
      <c r="BE36" s="119">
        <f>IF($A36="","",INDEX([1]Clasif_Pron!$N:$N,((ROW()-4)*12+9)))</f>
        <v>7</v>
      </c>
      <c r="BF36" s="119" t="str">
        <f>IF($A36="","",INDEX([1]Clasif_Pron!$E:$E,((ROW()-4)*12+10)))</f>
        <v>Noruega</v>
      </c>
      <c r="BG36" s="119">
        <f>IF($A36="","",INDEX([1]Clasif_Pron!$K:$K,((ROW()-4)*12+10)))</f>
        <v>3</v>
      </c>
      <c r="BH36" s="119" t="str">
        <f>IF($A36="","",INDEX([1]Clasif_Pron!$G:$G,((ROW()-4)*12+10)))</f>
        <v>Francia</v>
      </c>
      <c r="BI36" s="119">
        <f>IF($A36="","",INDEX([1]Clasif_Pron!$L:$L,((ROW()-4)*12+10)))</f>
        <v>3</v>
      </c>
      <c r="BJ36" s="95" t="str">
        <f>IF($A36="","",INDEX([1]Clasif_Pron!$I:$I,((ROW()-4)*12+10)))</f>
        <v>Senegal</v>
      </c>
      <c r="BK36" s="95">
        <f>IF($A36="","",INDEX([1]Clasif_Pron!$M:$M,((ROW()-4)*12+10)))</f>
        <v>5</v>
      </c>
      <c r="BL36" s="95">
        <f>IF($A36="","",INDEX([1]Clasif_Pron!$N:$N,((ROW()-4)*12+10)))</f>
        <v>11</v>
      </c>
      <c r="BM36" s="119" t="str">
        <f>IF($A36="","",INDEX([1]Clasif_Pron!$E:$E,((ROW()-4)*12+11)))</f>
        <v>Argentina</v>
      </c>
      <c r="BN36" s="119">
        <f>IF($A36="","",INDEX([1]Clasif_Pron!$K:$K,((ROW()-4)*12+11)))</f>
        <v>7</v>
      </c>
      <c r="BO36" s="95" t="str">
        <f>IF($A36="","",INDEX([1]Clasif_Pron!$G:$G,((ROW()-4)*12+11)))</f>
        <v>Austria</v>
      </c>
      <c r="BP36" s="95">
        <f>IF($A36="","",INDEX([1]Clasif_Pron!$L:$L,((ROW()-4)*12+11)))</f>
        <v>6</v>
      </c>
      <c r="BQ36" s="95" t="str">
        <f>IF($A36="","",INDEX([1]Clasif_Pron!$I:$I,((ROW()-4)*12+11)))</f>
        <v>Argelia</v>
      </c>
      <c r="BR36" s="95">
        <f>IF($A36="","",INDEX([1]Clasif_Pron!$M:$M,((ROW()-4)*12+11)))</f>
        <v>0</v>
      </c>
      <c r="BS36" s="95">
        <f>IF($A36="","",INDEX([1]Clasif_Pron!$N:$N,((ROW()-4)*12+11)))</f>
        <v>13</v>
      </c>
      <c r="BT36" s="95" t="str">
        <f>IF($A36="","",INDEX([1]Clasif_Pron!$E:$E,((ROW()-4)*12+12)))</f>
        <v>Portugal</v>
      </c>
      <c r="BU36" s="95">
        <f>IF($A36="","",INDEX([1]Clasif_Pron!$K:$K,((ROW()-4)*12+12)))</f>
        <v>3</v>
      </c>
      <c r="BV36" s="95" t="str">
        <f>IF($A36="","",INDEX([1]Clasif_Pron!$G:$G,((ROW()-4)*12+12)))</f>
        <v>Colombia</v>
      </c>
      <c r="BW36" s="95">
        <f>IF($A36="","",INDEX([1]Clasif_Pron!$L:$L,((ROW()-4)*12+12)))</f>
        <v>3</v>
      </c>
      <c r="BX36" s="95" t="str">
        <f>IF($A36="","",INDEX([1]Clasif_Pron!$I:$I,((ROW()-4)*12+12)))</f>
        <v>Uzbekistán</v>
      </c>
      <c r="BY36" s="95">
        <f>IF($A36="","",INDEX([1]Clasif_Pron!$M:$M,((ROW()-4)*12+12)))</f>
        <v>0</v>
      </c>
      <c r="BZ36" s="95">
        <f>IF($A36="","",INDEX([1]Clasif_Pron!$N:$N,((ROW()-4)*12+12)))</f>
        <v>6</v>
      </c>
      <c r="CA36" s="95" t="str">
        <f>IF($A36="","",INDEX([1]Clasif_Pron!$E:$E,((ROW()-4)*12+13)))</f>
        <v>Inglaterra</v>
      </c>
      <c r="CB36" s="95">
        <f>IF($A36="","",INDEX([1]Clasif_Pron!$K:$K,((ROW()-4)*12+13)))</f>
        <v>7</v>
      </c>
      <c r="CC36" s="95" t="str">
        <f>IF($A36="","",INDEX([1]Clasif_Pron!$G:$G,((ROW()-4)*12+13)))</f>
        <v>Croacia</v>
      </c>
      <c r="CD36" s="95">
        <f>IF($A36="","",INDEX([1]Clasif_Pron!$L:$L,((ROW()-4)*12+13)))</f>
        <v>3</v>
      </c>
      <c r="CE36" s="95" t="str">
        <f>IF($A36="","",INDEX([1]Clasif_Pron!$I:$I,((ROW()-4)*12+13)))</f>
        <v>Ghana</v>
      </c>
      <c r="CF36" s="95">
        <f>IF($A36="","",INDEX([1]Clasif_Pron!$M:$M,((ROW()-4)*12+13)))</f>
        <v>3</v>
      </c>
      <c r="CG36" s="95">
        <f>IF($A36="","",INDEX([1]Clasif_Pron!$N:$N,((ROW()-4)*12+13)))</f>
        <v>13</v>
      </c>
      <c r="CH36" s="96">
        <f t="shared" si="0"/>
        <v>155</v>
      </c>
    </row>
    <row r="37" spans="1:86" ht="20.25" customHeight="1" x14ac:dyDescent="0.3">
      <c r="A37" s="94" t="str">
        <f>[1]Participantes!B35</f>
        <v>Milagros</v>
      </c>
      <c r="B37" s="119" t="str">
        <f>IF($A37="","",INDEX([1]Clasif_Pron!$E:$E,((ROW()-4)*12+2)))</f>
        <v>México</v>
      </c>
      <c r="C37" s="119">
        <f>IF($A37="","",INDEX([1]Clasif_Pron!$K:$K,((ROW()-4)*12+2)))</f>
        <v>7</v>
      </c>
      <c r="D37" s="95" t="str">
        <f>IF($A37="","",INDEX([1]Clasif_Pron!$G:$G,((ROW()-4)*12+2)))</f>
        <v>Corea República</v>
      </c>
      <c r="E37" s="95">
        <f>IF($A37="","",INDEX([1]Clasif_Pron!$L:$L,((ROW()-4)*12+2)))</f>
        <v>3</v>
      </c>
      <c r="F37" s="119" t="str">
        <f>IF($A37="","",INDEX([1]Clasif_Pron!$I:$I,((ROW()-4)*12+2)))</f>
        <v>Sudáfrica</v>
      </c>
      <c r="G37" s="119">
        <f>IF($A37="","",INDEX([1]Clasif_Pron!$M:$M,((ROW()-4)*12+2)))</f>
        <v>3</v>
      </c>
      <c r="H37" s="119">
        <f>IF($A37="","",INDEX([1]Clasif_Pron!$N:$N,((ROW()-4)*12+2)))</f>
        <v>13</v>
      </c>
      <c r="I37" s="119" t="str">
        <f>IF($A37="","",INDEX([1]Clasif_Pron!$E:$E,((ROW()-4)*12+3)))</f>
        <v>Canadá</v>
      </c>
      <c r="J37" s="119">
        <f>IF($A37="","",INDEX([1]Clasif_Pron!$K:$K,((ROW()-4)*12+3)))</f>
        <v>3</v>
      </c>
      <c r="K37" s="119" t="str">
        <f>IF($A37="","",INDEX([1]Clasif_Pron!$G:$G,((ROW()-4)*12+3)))</f>
        <v>Suiza</v>
      </c>
      <c r="L37" s="119">
        <f>IF($A37="","",INDEX([1]Clasif_Pron!$L:$L,((ROW()-4)*12+3)))</f>
        <v>3</v>
      </c>
      <c r="M37" s="119" t="str">
        <f>IF($A37="","",INDEX([1]Clasif_Pron!$I:$I,((ROW()-4)*12+3)))</f>
        <v>Bosnia y Herzegovina</v>
      </c>
      <c r="N37" s="119">
        <f>IF($A37="","",INDEX([1]Clasif_Pron!$M:$M,((ROW()-4)*12+3)))</f>
        <v>5</v>
      </c>
      <c r="O37" s="119">
        <f>IF($A37="","",INDEX([1]Clasif_Pron!$N:$N,((ROW()-4)*12+3)))</f>
        <v>11</v>
      </c>
      <c r="P37" s="119" t="str">
        <f>IF($A37="","",INDEX([1]Clasif_Pron!$E:$E,((ROW()-4)*12+4)))</f>
        <v>Brasil</v>
      </c>
      <c r="Q37" s="119">
        <f>IF($A37="","",INDEX([1]Clasif_Pron!$K:$K,((ROW()-4)*12+4)))</f>
        <v>7</v>
      </c>
      <c r="R37" s="119" t="str">
        <f>IF($A37="","",INDEX([1]Clasif_Pron!$G:$G,((ROW()-4)*12+4)))</f>
        <v>Marruecos</v>
      </c>
      <c r="S37" s="119">
        <f>IF($A37="","",INDEX([1]Clasif_Pron!$L:$L,((ROW()-4)*12+4)))</f>
        <v>6</v>
      </c>
      <c r="T37" s="95" t="str">
        <f>IF($A37="","",INDEX([1]Clasif_Pron!$I:$I,((ROW()-4)*12+4)))</f>
        <v>Escocia</v>
      </c>
      <c r="U37" s="95">
        <f>IF($A37="","",INDEX([1]Clasif_Pron!$M:$M,((ROW()-4)*12+4)))</f>
        <v>0</v>
      </c>
      <c r="V37" s="95">
        <f>IF($A37="","",INDEX([1]Clasif_Pron!$N:$N,((ROW()-4)*12+4)))</f>
        <v>13</v>
      </c>
      <c r="W37" s="119" t="str">
        <f>IF($A37="","",INDEX([1]Clasif_Pron!$E:$E,((ROW()-4)*12+5)))</f>
        <v>Estados Unidos</v>
      </c>
      <c r="X37" s="119">
        <f>IF($A37="","",INDEX([1]Clasif_Pron!$K:$K,((ROW()-4)*12+5)))</f>
        <v>7</v>
      </c>
      <c r="Y37" s="119" t="str">
        <f>IF($A37="","",INDEX([1]Clasif_Pron!$G:$G,((ROW()-4)*12+5)))</f>
        <v>Türkiye</v>
      </c>
      <c r="Z37" s="119">
        <f>IF($A37="","",INDEX([1]Clasif_Pron!$L:$L,((ROW()-4)*12+5)))</f>
        <v>0</v>
      </c>
      <c r="AA37" s="95" t="str">
        <f>IF($A37="","",INDEX([1]Clasif_Pron!$I:$I,((ROW()-4)*12+5)))</f>
        <v>Paraguay</v>
      </c>
      <c r="AB37" s="95">
        <f>IF($A37="","",INDEX([1]Clasif_Pron!$M:$M,((ROW()-4)*12+5)))</f>
        <v>5</v>
      </c>
      <c r="AC37" s="95">
        <f>IF($A37="","",INDEX([1]Clasif_Pron!$N:$N,((ROW()-4)*12+5)))</f>
        <v>12</v>
      </c>
      <c r="AD37" s="119" t="str">
        <f>IF($A37="","",INDEX([1]Clasif_Pron!$E:$E,((ROW()-4)*12+6)))</f>
        <v>Alemania</v>
      </c>
      <c r="AE37" s="119">
        <f>IF($A37="","",INDEX([1]Clasif_Pron!$K:$K,((ROW()-4)*12+6)))</f>
        <v>7</v>
      </c>
      <c r="AF37" s="119" t="str">
        <f>IF($A37="","",INDEX([1]Clasif_Pron!$G:$G,((ROW()-4)*12+6)))</f>
        <v>Costa de Marfil</v>
      </c>
      <c r="AG37" s="119">
        <f>IF($A37="","",INDEX([1]Clasif_Pron!$L:$L,((ROW()-4)*12+6)))</f>
        <v>6</v>
      </c>
      <c r="AH37" s="95" t="str">
        <f>IF($A37="","",INDEX([1]Clasif_Pron!$I:$I,((ROW()-4)*12+6)))</f>
        <v>Ecuador</v>
      </c>
      <c r="AI37" s="95">
        <f>IF($A37="","",INDEX([1]Clasif_Pron!$M:$M,((ROW()-4)*12+6)))</f>
        <v>5</v>
      </c>
      <c r="AJ37" s="95">
        <f>IF($A37="","",INDEX([1]Clasif_Pron!$N:$N,((ROW()-4)*12+6)))</f>
        <v>18</v>
      </c>
      <c r="AK37" s="119" t="str">
        <f>IF($A37="","",INDEX([1]Clasif_Pron!$E:$E,((ROW()-4)*12+7)))</f>
        <v>Países Bajos</v>
      </c>
      <c r="AL37" s="119">
        <f>IF($A37="","",INDEX([1]Clasif_Pron!$K:$K,((ROW()-4)*12+7)))</f>
        <v>7</v>
      </c>
      <c r="AM37" s="119" t="str">
        <f>IF($A37="","",INDEX([1]Clasif_Pron!$G:$G,((ROW()-4)*12+7)))</f>
        <v>Japón</v>
      </c>
      <c r="AN37" s="119">
        <f>IF($A37="","",INDEX([1]Clasif_Pron!$L:$L,((ROW()-4)*12+7)))</f>
        <v>6</v>
      </c>
      <c r="AO37" s="95" t="str">
        <f>IF($A37="","",INDEX([1]Clasif_Pron!$I:$I,((ROW()-4)*12+7)))</f>
        <v>Suecia</v>
      </c>
      <c r="AP37" s="95">
        <f>IF($A37="","",INDEX([1]Clasif_Pron!$M:$M,((ROW()-4)*12+7)))</f>
        <v>5</v>
      </c>
      <c r="AQ37" s="95">
        <f>IF($A37="","",INDEX([1]Clasif_Pron!$N:$N,((ROW()-4)*12+7)))</f>
        <v>18</v>
      </c>
      <c r="AR37" s="119" t="str">
        <f>IF($A37="","",INDEX([1]Clasif_Pron!$E:$E,((ROW()-4)*12+8)))</f>
        <v>Bélgica</v>
      </c>
      <c r="AS37" s="119">
        <f>IF($A37="","",INDEX([1]Clasif_Pron!$K:$K,((ROW()-4)*12+8)))</f>
        <v>7</v>
      </c>
      <c r="AT37" s="119" t="str">
        <f>IF($A37="","",INDEX([1]Clasif_Pron!$G:$G,((ROW()-4)*12+8)))</f>
        <v>Nueva Zelanda</v>
      </c>
      <c r="AU37" s="119">
        <f>IF($A37="","",INDEX([1]Clasif_Pron!$L:$L,((ROW()-4)*12+8)))</f>
        <v>0</v>
      </c>
      <c r="AV37" s="119" t="str">
        <f>IF($A37="","",INDEX([1]Clasif_Pron!$I:$I,((ROW()-4)*12+8)))</f>
        <v>Egipto</v>
      </c>
      <c r="AW37" s="119">
        <f>IF($A37="","",INDEX([1]Clasif_Pron!$M:$M,((ROW()-4)*12+8)))</f>
        <v>3</v>
      </c>
      <c r="AX37" s="119">
        <f>IF($A37="","",INDEX([1]Clasif_Pron!$N:$N,((ROW()-4)*12+8)))</f>
        <v>10</v>
      </c>
      <c r="AY37" s="119" t="str">
        <f>IF($A37="","",INDEX([1]Clasif_Pron!$E:$E,((ROW()-4)*12+9)))</f>
        <v>España</v>
      </c>
      <c r="AZ37" s="119">
        <f>IF($A37="","",INDEX([1]Clasif_Pron!$K:$K,((ROW()-4)*12+9)))</f>
        <v>7</v>
      </c>
      <c r="BA37" s="119" t="str">
        <f>IF($A37="","",INDEX([1]Clasif_Pron!$G:$G,((ROW()-4)*12+9)))</f>
        <v>Uruguay</v>
      </c>
      <c r="BB37" s="119">
        <f>IF($A37="","",INDEX([1]Clasif_Pron!$L:$L,((ROW()-4)*12+9)))</f>
        <v>0</v>
      </c>
      <c r="BC37" s="119" t="str">
        <f>IF($A37="","",INDEX([1]Clasif_Pron!$I:$I,((ROW()-4)*12+9)))</f>
        <v>Arabia Saudita</v>
      </c>
      <c r="BD37" s="119">
        <f>IF($A37="","",INDEX([1]Clasif_Pron!$M:$M,((ROW()-4)*12+9)))</f>
        <v>0</v>
      </c>
      <c r="BE37" s="119">
        <f>IF($A37="","",INDEX([1]Clasif_Pron!$N:$N,((ROW()-4)*12+9)))</f>
        <v>7</v>
      </c>
      <c r="BF37" s="119" t="str">
        <f>IF($A37="","",INDEX([1]Clasif_Pron!$E:$E,((ROW()-4)*12+10)))</f>
        <v>Francia</v>
      </c>
      <c r="BG37" s="119">
        <f>IF($A37="","",INDEX([1]Clasif_Pron!$K:$K,((ROW()-4)*12+10)))</f>
        <v>7</v>
      </c>
      <c r="BH37" s="95" t="str">
        <f>IF($A37="","",INDEX([1]Clasif_Pron!$G:$G,((ROW()-4)*12+10)))</f>
        <v>Senegal</v>
      </c>
      <c r="BI37" s="95">
        <f>IF($A37="","",INDEX([1]Clasif_Pron!$L:$L,((ROW()-4)*12+10)))</f>
        <v>3</v>
      </c>
      <c r="BJ37" s="119" t="str">
        <f>IF($A37="","",INDEX([1]Clasif_Pron!$I:$I,((ROW()-4)*12+10)))</f>
        <v>Noruega</v>
      </c>
      <c r="BK37" s="119">
        <f>IF($A37="","",INDEX([1]Clasif_Pron!$M:$M,((ROW()-4)*12+10)))</f>
        <v>3</v>
      </c>
      <c r="BL37" s="95">
        <f>IF($A37="","",INDEX([1]Clasif_Pron!$N:$N,((ROW()-4)*12+10)))</f>
        <v>13</v>
      </c>
      <c r="BM37" s="119" t="str">
        <f>IF($A37="","",INDEX([1]Clasif_Pron!$E:$E,((ROW()-4)*12+11)))</f>
        <v>Argentina</v>
      </c>
      <c r="BN37" s="119">
        <f>IF($A37="","",INDEX([1]Clasif_Pron!$K:$K,((ROW()-4)*12+11)))</f>
        <v>7</v>
      </c>
      <c r="BO37" s="95" t="str">
        <f>IF($A37="","",INDEX([1]Clasif_Pron!$G:$G,((ROW()-4)*12+11)))</f>
        <v>Austria</v>
      </c>
      <c r="BP37" s="95">
        <f>IF($A37="","",INDEX([1]Clasif_Pron!$L:$L,((ROW()-4)*12+11)))</f>
        <v>6</v>
      </c>
      <c r="BQ37" s="95" t="str">
        <f>IF($A37="","",INDEX([1]Clasif_Pron!$I:$I,((ROW()-4)*12+11)))</f>
        <v>Argelia</v>
      </c>
      <c r="BR37" s="95">
        <f>IF($A37="","",INDEX([1]Clasif_Pron!$M:$M,((ROW()-4)*12+11)))</f>
        <v>0</v>
      </c>
      <c r="BS37" s="95">
        <f>IF($A37="","",INDEX([1]Clasif_Pron!$N:$N,((ROW()-4)*12+11)))</f>
        <v>13</v>
      </c>
      <c r="BT37" s="95" t="str">
        <f>IF($A37="","",INDEX([1]Clasif_Pron!$E:$E,((ROW()-4)*12+12)))</f>
        <v>Portugal</v>
      </c>
      <c r="BU37" s="95">
        <f>IF($A37="","",INDEX([1]Clasif_Pron!$K:$K,((ROW()-4)*12+12)))</f>
        <v>3</v>
      </c>
      <c r="BV37" s="95" t="str">
        <f>IF($A37="","",INDEX([1]Clasif_Pron!$G:$G,((ROW()-4)*12+12)))</f>
        <v>Colombia</v>
      </c>
      <c r="BW37" s="95">
        <f>IF($A37="","",INDEX([1]Clasif_Pron!$L:$L,((ROW()-4)*12+12)))</f>
        <v>3</v>
      </c>
      <c r="BX37" s="95" t="str">
        <f>IF($A37="","",INDEX([1]Clasif_Pron!$I:$I,((ROW()-4)*12+12)))</f>
        <v>RD Congo</v>
      </c>
      <c r="BY37" s="95">
        <f>IF($A37="","",INDEX([1]Clasif_Pron!$M:$M,((ROW()-4)*12+12)))</f>
        <v>0</v>
      </c>
      <c r="BZ37" s="95">
        <f>IF($A37="","",INDEX([1]Clasif_Pron!$N:$N,((ROW()-4)*12+12)))</f>
        <v>6</v>
      </c>
      <c r="CA37" s="95" t="str">
        <f>IF($A37="","",INDEX([1]Clasif_Pron!$E:$E,((ROW()-4)*12+13)))</f>
        <v>Inglaterra</v>
      </c>
      <c r="CB37" s="95">
        <f>IF($A37="","",INDEX([1]Clasif_Pron!$K:$K,((ROW()-4)*12+13)))</f>
        <v>7</v>
      </c>
      <c r="CC37" s="95" t="str">
        <f>IF($A37="","",INDEX([1]Clasif_Pron!$G:$G,((ROW()-4)*12+13)))</f>
        <v>Croacia</v>
      </c>
      <c r="CD37" s="95">
        <f>IF($A37="","",INDEX([1]Clasif_Pron!$L:$L,((ROW()-4)*12+13)))</f>
        <v>3</v>
      </c>
      <c r="CE37" s="95" t="str">
        <f>IF($A37="","",INDEX([1]Clasif_Pron!$I:$I,((ROW()-4)*12+13)))</f>
        <v>Panamá</v>
      </c>
      <c r="CF37" s="95">
        <f>IF($A37="","",INDEX([1]Clasif_Pron!$M:$M,((ROW()-4)*12+13)))</f>
        <v>0</v>
      </c>
      <c r="CG37" s="95">
        <f>IF($A37="","",INDEX([1]Clasif_Pron!$N:$N,((ROW()-4)*12+13)))</f>
        <v>10</v>
      </c>
      <c r="CH37" s="96">
        <f t="shared" si="0"/>
        <v>144</v>
      </c>
    </row>
    <row r="38" spans="1:86" ht="20.25" customHeight="1" x14ac:dyDescent="0.3">
      <c r="A38" s="94" t="str">
        <f>[1]Participantes!B36</f>
        <v>Mily CF 1</v>
      </c>
      <c r="B38" s="119" t="str">
        <f>IF($A38="","",INDEX([1]Clasif_Pron!$E:$E,((ROW()-4)*12+2)))</f>
        <v>México</v>
      </c>
      <c r="C38" s="119">
        <f>IF($A38="","",INDEX([1]Clasif_Pron!$K:$K,((ROW()-4)*12+2)))</f>
        <v>7</v>
      </c>
      <c r="D38" s="95" t="str">
        <f>IF($A38="","",INDEX([1]Clasif_Pron!$G:$G,((ROW()-4)*12+2)))</f>
        <v>Corea República</v>
      </c>
      <c r="E38" s="95">
        <f>IF($A38="","",INDEX([1]Clasif_Pron!$L:$L,((ROW()-4)*12+2)))</f>
        <v>3</v>
      </c>
      <c r="F38" s="119" t="str">
        <f>IF($A38="","",INDEX([1]Clasif_Pron!$I:$I,((ROW()-4)*12+2)))</f>
        <v>Sudáfrica</v>
      </c>
      <c r="G38" s="119">
        <f>IF($A38="","",INDEX([1]Clasif_Pron!$M:$M,((ROW()-4)*12+2)))</f>
        <v>3</v>
      </c>
      <c r="H38" s="119">
        <f>IF($A38="","",INDEX([1]Clasif_Pron!$N:$N,((ROW()-4)*12+2)))</f>
        <v>13</v>
      </c>
      <c r="I38" s="119" t="str">
        <f>IF($A38="","",INDEX([1]Clasif_Pron!$E:$E,((ROW()-4)*12+3)))</f>
        <v>Canadá</v>
      </c>
      <c r="J38" s="119">
        <f>IF($A38="","",INDEX([1]Clasif_Pron!$K:$K,((ROW()-4)*12+3)))</f>
        <v>3</v>
      </c>
      <c r="K38" s="119" t="str">
        <f>IF($A38="","",INDEX([1]Clasif_Pron!$G:$G,((ROW()-4)*12+3)))</f>
        <v>Suiza</v>
      </c>
      <c r="L38" s="119">
        <f>IF($A38="","",INDEX([1]Clasif_Pron!$L:$L,((ROW()-4)*12+3)))</f>
        <v>3</v>
      </c>
      <c r="M38" s="119" t="str">
        <f>IF($A38="","",INDEX([1]Clasif_Pron!$I:$I,((ROW()-4)*12+3)))</f>
        <v>Bosnia y Herzegovina</v>
      </c>
      <c r="N38" s="119">
        <f>IF($A38="","",INDEX([1]Clasif_Pron!$M:$M,((ROW()-4)*12+3)))</f>
        <v>5</v>
      </c>
      <c r="O38" s="119">
        <f>IF($A38="","",INDEX([1]Clasif_Pron!$N:$N,((ROW()-4)*12+3)))</f>
        <v>11</v>
      </c>
      <c r="P38" s="119" t="str">
        <f>IF($A38="","",INDEX([1]Clasif_Pron!$E:$E,((ROW()-4)*12+4)))</f>
        <v>Marruecos</v>
      </c>
      <c r="Q38" s="119">
        <f>IF($A38="","",INDEX([1]Clasif_Pron!$K:$K,((ROW()-4)*12+4)))</f>
        <v>3</v>
      </c>
      <c r="R38" s="119" t="str">
        <f>IF($A38="","",INDEX([1]Clasif_Pron!$G:$G,((ROW()-4)*12+4)))</f>
        <v>Brasil</v>
      </c>
      <c r="S38" s="119">
        <f>IF($A38="","",INDEX([1]Clasif_Pron!$L:$L,((ROW()-4)*12+4)))</f>
        <v>3</v>
      </c>
      <c r="T38" s="95" t="str">
        <f>IF($A38="","",INDEX([1]Clasif_Pron!$I:$I,((ROW()-4)*12+4)))</f>
        <v>Escocia</v>
      </c>
      <c r="U38" s="95">
        <f>IF($A38="","",INDEX([1]Clasif_Pron!$M:$M,((ROW()-4)*12+4)))</f>
        <v>0</v>
      </c>
      <c r="V38" s="95">
        <f>IF($A38="","",INDEX([1]Clasif_Pron!$N:$N,((ROW()-4)*12+4)))</f>
        <v>6</v>
      </c>
      <c r="W38" s="119" t="str">
        <f>IF($A38="","",INDEX([1]Clasif_Pron!$E:$E,((ROW()-4)*12+5)))</f>
        <v>Estados Unidos</v>
      </c>
      <c r="X38" s="119">
        <f>IF($A38="","",INDEX([1]Clasif_Pron!$K:$K,((ROW()-4)*12+5)))</f>
        <v>7</v>
      </c>
      <c r="Y38" s="119" t="str">
        <f>IF($A38="","",INDEX([1]Clasif_Pron!$G:$G,((ROW()-4)*12+5)))</f>
        <v>Türkiye</v>
      </c>
      <c r="Z38" s="119">
        <f>IF($A38="","",INDEX([1]Clasif_Pron!$L:$L,((ROW()-4)*12+5)))</f>
        <v>0</v>
      </c>
      <c r="AA38" s="95" t="str">
        <f>IF($A38="","",INDEX([1]Clasif_Pron!$I:$I,((ROW()-4)*12+5)))</f>
        <v>Paraguay</v>
      </c>
      <c r="AB38" s="95">
        <f>IF($A38="","",INDEX([1]Clasif_Pron!$M:$M,((ROW()-4)*12+5)))</f>
        <v>5</v>
      </c>
      <c r="AC38" s="95">
        <f>IF($A38="","",INDEX([1]Clasif_Pron!$N:$N,((ROW()-4)*12+5)))</f>
        <v>12</v>
      </c>
      <c r="AD38" s="95" t="str">
        <f>IF($A38="","",INDEX([1]Clasif_Pron!$E:$E,((ROW()-4)*12+6)))</f>
        <v>Ecuador</v>
      </c>
      <c r="AE38" s="95">
        <f>IF($A38="","",INDEX([1]Clasif_Pron!$K:$K,((ROW()-4)*12+6)))</f>
        <v>3</v>
      </c>
      <c r="AF38" s="119" t="str">
        <f>IF($A38="","",INDEX([1]Clasif_Pron!$G:$G,((ROW()-4)*12+6)))</f>
        <v>Alemania</v>
      </c>
      <c r="AG38" s="119">
        <f>IF($A38="","",INDEX([1]Clasif_Pron!$L:$L,((ROW()-4)*12+6)))</f>
        <v>3</v>
      </c>
      <c r="AH38" s="119" t="str">
        <f>IF($A38="","",INDEX([1]Clasif_Pron!$I:$I,((ROW()-4)*12+6)))</f>
        <v>Costa de Marfil</v>
      </c>
      <c r="AI38" s="119">
        <f>IF($A38="","",INDEX([1]Clasif_Pron!$M:$M,((ROW()-4)*12+6)))</f>
        <v>3</v>
      </c>
      <c r="AJ38" s="95">
        <f>IF($A38="","",INDEX([1]Clasif_Pron!$N:$N,((ROW()-4)*12+6)))</f>
        <v>9</v>
      </c>
      <c r="AK38" s="95" t="str">
        <f>IF($A38="","",INDEX([1]Clasif_Pron!$E:$E,((ROW()-4)*12+7)))</f>
        <v>Suecia</v>
      </c>
      <c r="AL38" s="95">
        <f>IF($A38="","",INDEX([1]Clasif_Pron!$K:$K,((ROW()-4)*12+7)))</f>
        <v>3</v>
      </c>
      <c r="AM38" s="119" t="str">
        <f>IF($A38="","",INDEX([1]Clasif_Pron!$G:$G,((ROW()-4)*12+7)))</f>
        <v>Países Bajos</v>
      </c>
      <c r="AN38" s="119">
        <f>IF($A38="","",INDEX([1]Clasif_Pron!$L:$L,((ROW()-4)*12+7)))</f>
        <v>3</v>
      </c>
      <c r="AO38" s="119" t="str">
        <f>IF($A38="","",INDEX([1]Clasif_Pron!$I:$I,((ROW()-4)*12+7)))</f>
        <v>Japón</v>
      </c>
      <c r="AP38" s="119">
        <f>IF($A38="","",INDEX([1]Clasif_Pron!$M:$M,((ROW()-4)*12+7)))</f>
        <v>3</v>
      </c>
      <c r="AQ38" s="95">
        <f>IF($A38="","",INDEX([1]Clasif_Pron!$N:$N,((ROW()-4)*12+7)))</f>
        <v>9</v>
      </c>
      <c r="AR38" s="119" t="str">
        <f>IF($A38="","",INDEX([1]Clasif_Pron!$E:$E,((ROW()-4)*12+8)))</f>
        <v>Bélgica</v>
      </c>
      <c r="AS38" s="119">
        <f>IF($A38="","",INDEX([1]Clasif_Pron!$K:$K,((ROW()-4)*12+8)))</f>
        <v>7</v>
      </c>
      <c r="AT38" s="119" t="str">
        <f>IF($A38="","",INDEX([1]Clasif_Pron!$G:$G,((ROW()-4)*12+8)))</f>
        <v>Egipto</v>
      </c>
      <c r="AU38" s="119">
        <f>IF($A38="","",INDEX([1]Clasif_Pron!$L:$L,((ROW()-4)*12+8)))</f>
        <v>6</v>
      </c>
      <c r="AV38" s="119" t="str">
        <f>IF($A38="","",INDEX([1]Clasif_Pron!$I:$I,((ROW()-4)*12+8)))</f>
        <v>Nueva Zelanda</v>
      </c>
      <c r="AW38" s="119">
        <f>IF($A38="","",INDEX([1]Clasif_Pron!$M:$M,((ROW()-4)*12+8)))</f>
        <v>0</v>
      </c>
      <c r="AX38" s="119">
        <f>IF($A38="","",INDEX([1]Clasif_Pron!$N:$N,((ROW()-4)*12+8)))</f>
        <v>13</v>
      </c>
      <c r="AY38" s="119" t="str">
        <f>IF($A38="","",INDEX([1]Clasif_Pron!$E:$E,((ROW()-4)*12+9)))</f>
        <v>España</v>
      </c>
      <c r="AZ38" s="119">
        <f>IF($A38="","",INDEX([1]Clasif_Pron!$K:$K,((ROW()-4)*12+9)))</f>
        <v>7</v>
      </c>
      <c r="BA38" s="119" t="str">
        <f>IF($A38="","",INDEX([1]Clasif_Pron!$G:$G,((ROW()-4)*12+9)))</f>
        <v>Uruguay</v>
      </c>
      <c r="BB38" s="119">
        <f>IF($A38="","",INDEX([1]Clasif_Pron!$L:$L,((ROW()-4)*12+9)))</f>
        <v>0</v>
      </c>
      <c r="BC38" s="119" t="str">
        <f>IF($A38="","",INDEX([1]Clasif_Pron!$I:$I,((ROW()-4)*12+9)))</f>
        <v>Arabia Saudita</v>
      </c>
      <c r="BD38" s="119">
        <f>IF($A38="","",INDEX([1]Clasif_Pron!$M:$M,((ROW()-4)*12+9)))</f>
        <v>0</v>
      </c>
      <c r="BE38" s="119">
        <f>IF($A38="","",INDEX([1]Clasif_Pron!$N:$N,((ROW()-4)*12+9)))</f>
        <v>7</v>
      </c>
      <c r="BF38" s="119" t="str">
        <f>IF($A38="","",INDEX([1]Clasif_Pron!$E:$E,((ROW()-4)*12+10)))</f>
        <v>Francia</v>
      </c>
      <c r="BG38" s="119">
        <f>IF($A38="","",INDEX([1]Clasif_Pron!$K:$K,((ROW()-4)*12+10)))</f>
        <v>7</v>
      </c>
      <c r="BH38" s="95" t="str">
        <f>IF($A38="","",INDEX([1]Clasif_Pron!$G:$G,((ROW()-4)*12+10)))</f>
        <v>Senegal</v>
      </c>
      <c r="BI38" s="95">
        <f>IF($A38="","",INDEX([1]Clasif_Pron!$L:$L,((ROW()-4)*12+10)))</f>
        <v>3</v>
      </c>
      <c r="BJ38" s="119" t="str">
        <f>IF($A38="","",INDEX([1]Clasif_Pron!$I:$I,((ROW()-4)*12+10)))</f>
        <v>Noruega</v>
      </c>
      <c r="BK38" s="119">
        <f>IF($A38="","",INDEX([1]Clasif_Pron!$M:$M,((ROW()-4)*12+10)))</f>
        <v>3</v>
      </c>
      <c r="BL38" s="95">
        <f>IF($A38="","",INDEX([1]Clasif_Pron!$N:$N,((ROW()-4)*12+10)))</f>
        <v>13</v>
      </c>
      <c r="BM38" s="119" t="str">
        <f>IF($A38="","",INDEX([1]Clasif_Pron!$E:$E,((ROW()-4)*12+11)))</f>
        <v>Argentina</v>
      </c>
      <c r="BN38" s="119">
        <f>IF($A38="","",INDEX([1]Clasif_Pron!$K:$K,((ROW()-4)*12+11)))</f>
        <v>7</v>
      </c>
      <c r="BO38" s="95" t="str">
        <f>IF($A38="","",INDEX([1]Clasif_Pron!$G:$G,((ROW()-4)*12+11)))</f>
        <v>Argelia</v>
      </c>
      <c r="BP38" s="95">
        <f>IF($A38="","",INDEX([1]Clasif_Pron!$L:$L,((ROW()-4)*12+11)))</f>
        <v>0</v>
      </c>
      <c r="BQ38" s="95" t="str">
        <f>IF($A38="","",INDEX([1]Clasif_Pron!$I:$I,((ROW()-4)*12+11)))</f>
        <v>Austria</v>
      </c>
      <c r="BR38" s="95">
        <f>IF($A38="","",INDEX([1]Clasif_Pron!$M:$M,((ROW()-4)*12+11)))</f>
        <v>3</v>
      </c>
      <c r="BS38" s="95">
        <f>IF($A38="","",INDEX([1]Clasif_Pron!$N:$N,((ROW()-4)*12+11)))</f>
        <v>10</v>
      </c>
      <c r="BT38" s="95" t="str">
        <f>IF($A38="","",INDEX([1]Clasif_Pron!$E:$E,((ROW()-4)*12+12)))</f>
        <v>Portugal</v>
      </c>
      <c r="BU38" s="95">
        <f>IF($A38="","",INDEX([1]Clasif_Pron!$K:$K,((ROW()-4)*12+12)))</f>
        <v>3</v>
      </c>
      <c r="BV38" s="95" t="str">
        <f>IF($A38="","",INDEX([1]Clasif_Pron!$G:$G,((ROW()-4)*12+12)))</f>
        <v>Colombia</v>
      </c>
      <c r="BW38" s="95">
        <f>IF($A38="","",INDEX([1]Clasif_Pron!$L:$L,((ROW()-4)*12+12)))</f>
        <v>3</v>
      </c>
      <c r="BX38" s="95" t="str">
        <f>IF($A38="","",INDEX([1]Clasif_Pron!$I:$I,((ROW()-4)*12+12)))</f>
        <v>RD Congo</v>
      </c>
      <c r="BY38" s="95">
        <f>IF($A38="","",INDEX([1]Clasif_Pron!$M:$M,((ROW()-4)*12+12)))</f>
        <v>0</v>
      </c>
      <c r="BZ38" s="95">
        <f>IF($A38="","",INDEX([1]Clasif_Pron!$N:$N,((ROW()-4)*12+12)))</f>
        <v>6</v>
      </c>
      <c r="CA38" s="95" t="str">
        <f>IF($A38="","",INDEX([1]Clasif_Pron!$E:$E,((ROW()-4)*12+13)))</f>
        <v>Inglaterra</v>
      </c>
      <c r="CB38" s="95">
        <f>IF($A38="","",INDEX([1]Clasif_Pron!$K:$K,((ROW()-4)*12+13)))</f>
        <v>7</v>
      </c>
      <c r="CC38" s="95" t="str">
        <f>IF($A38="","",INDEX([1]Clasif_Pron!$G:$G,((ROW()-4)*12+13)))</f>
        <v>Croacia</v>
      </c>
      <c r="CD38" s="95">
        <f>IF($A38="","",INDEX([1]Clasif_Pron!$L:$L,((ROW()-4)*12+13)))</f>
        <v>3</v>
      </c>
      <c r="CE38" s="95" t="str">
        <f>IF($A38="","",INDEX([1]Clasif_Pron!$I:$I,((ROW()-4)*12+13)))</f>
        <v>Panamá</v>
      </c>
      <c r="CF38" s="95">
        <f>IF($A38="","",INDEX([1]Clasif_Pron!$M:$M,((ROW()-4)*12+13)))</f>
        <v>0</v>
      </c>
      <c r="CG38" s="95">
        <f>IF($A38="","",INDEX([1]Clasif_Pron!$N:$N,((ROW()-4)*12+13)))</f>
        <v>10</v>
      </c>
      <c r="CH38" s="96">
        <f t="shared" si="0"/>
        <v>119</v>
      </c>
    </row>
    <row r="39" spans="1:86" ht="20.25" customHeight="1" x14ac:dyDescent="0.3">
      <c r="A39" s="94" t="str">
        <f>[1]Participantes!B37</f>
        <v>Mily CF 2</v>
      </c>
      <c r="B39" s="119" t="str">
        <f>IF($A39="","",INDEX([1]Clasif_Pron!$E:$E,((ROW()-4)*12+2)))</f>
        <v>México</v>
      </c>
      <c r="C39" s="119">
        <f>IF($A39="","",INDEX([1]Clasif_Pron!$K:$K,((ROW()-4)*12+2)))</f>
        <v>7</v>
      </c>
      <c r="D39" s="95" t="str">
        <f>IF($A39="","",INDEX([1]Clasif_Pron!$G:$G,((ROW()-4)*12+2)))</f>
        <v>Corea República</v>
      </c>
      <c r="E39" s="95">
        <f>IF($A39="","",INDEX([1]Clasif_Pron!$L:$L,((ROW()-4)*12+2)))</f>
        <v>3</v>
      </c>
      <c r="F39" s="119" t="str">
        <f>IF($A39="","",INDEX([1]Clasif_Pron!$I:$I,((ROW()-4)*12+2)))</f>
        <v>Sudáfrica</v>
      </c>
      <c r="G39" s="119">
        <f>IF($A39="","",INDEX([1]Clasif_Pron!$M:$M,((ROW()-4)*12+2)))</f>
        <v>3</v>
      </c>
      <c r="H39" s="119">
        <f>IF($A39="","",INDEX([1]Clasif_Pron!$N:$N,((ROW()-4)*12+2)))</f>
        <v>13</v>
      </c>
      <c r="I39" s="119" t="str">
        <f>IF($A39="","",INDEX([1]Clasif_Pron!$E:$E,((ROW()-4)*12+3)))</f>
        <v>Canadá</v>
      </c>
      <c r="J39" s="119">
        <f>IF($A39="","",INDEX([1]Clasif_Pron!$K:$K,((ROW()-4)*12+3)))</f>
        <v>3</v>
      </c>
      <c r="K39" s="119" t="str">
        <f>IF($A39="","",INDEX([1]Clasif_Pron!$G:$G,((ROW()-4)*12+3)))</f>
        <v>Suiza</v>
      </c>
      <c r="L39" s="119">
        <f>IF($A39="","",INDEX([1]Clasif_Pron!$L:$L,((ROW()-4)*12+3)))</f>
        <v>3</v>
      </c>
      <c r="M39" s="119" t="str">
        <f>IF($A39="","",INDEX([1]Clasif_Pron!$I:$I,((ROW()-4)*12+3)))</f>
        <v>Bosnia y Herzegovina</v>
      </c>
      <c r="N39" s="119">
        <f>IF($A39="","",INDEX([1]Clasif_Pron!$M:$M,((ROW()-4)*12+3)))</f>
        <v>5</v>
      </c>
      <c r="O39" s="119">
        <f>IF($A39="","",INDEX([1]Clasif_Pron!$N:$N,((ROW()-4)*12+3)))</f>
        <v>11</v>
      </c>
      <c r="P39" s="119" t="str">
        <f>IF($A39="","",INDEX([1]Clasif_Pron!$E:$E,((ROW()-4)*12+4)))</f>
        <v>Brasil</v>
      </c>
      <c r="Q39" s="119">
        <f>IF($A39="","",INDEX([1]Clasif_Pron!$K:$K,((ROW()-4)*12+4)))</f>
        <v>7</v>
      </c>
      <c r="R39" s="119" t="str">
        <f>IF($A39="","",INDEX([1]Clasif_Pron!$G:$G,((ROW()-4)*12+4)))</f>
        <v>Marruecos</v>
      </c>
      <c r="S39" s="119">
        <f>IF($A39="","",INDEX([1]Clasif_Pron!$L:$L,((ROW()-4)*12+4)))</f>
        <v>6</v>
      </c>
      <c r="T39" s="95" t="str">
        <f>IF($A39="","",INDEX([1]Clasif_Pron!$I:$I,((ROW()-4)*12+4)))</f>
        <v>Escocia</v>
      </c>
      <c r="U39" s="95">
        <f>IF($A39="","",INDEX([1]Clasif_Pron!$M:$M,((ROW()-4)*12+4)))</f>
        <v>0</v>
      </c>
      <c r="V39" s="95">
        <f>IF($A39="","",INDEX([1]Clasif_Pron!$N:$N,((ROW()-4)*12+4)))</f>
        <v>13</v>
      </c>
      <c r="W39" s="119" t="str">
        <f>IF($A39="","",INDEX([1]Clasif_Pron!$E:$E,((ROW()-4)*12+5)))</f>
        <v>Estados Unidos</v>
      </c>
      <c r="X39" s="119">
        <f>IF($A39="","",INDEX([1]Clasif_Pron!$K:$K,((ROW()-4)*12+5)))</f>
        <v>7</v>
      </c>
      <c r="Y39" s="95" t="str">
        <f>IF($A39="","",INDEX([1]Clasif_Pron!$G:$G,((ROW()-4)*12+5)))</f>
        <v>Paraguay</v>
      </c>
      <c r="Z39" s="95">
        <f>IF($A39="","",INDEX([1]Clasif_Pron!$L:$L,((ROW()-4)*12+5)))</f>
        <v>3</v>
      </c>
      <c r="AA39" s="119" t="str">
        <f>IF($A39="","",INDEX([1]Clasif_Pron!$I:$I,((ROW()-4)*12+5)))</f>
        <v>Türkiye</v>
      </c>
      <c r="AB39" s="119">
        <f>IF($A39="","",INDEX([1]Clasif_Pron!$M:$M,((ROW()-4)*12+5)))</f>
        <v>0</v>
      </c>
      <c r="AC39" s="95">
        <f>IF($A39="","",INDEX([1]Clasif_Pron!$N:$N,((ROW()-4)*12+5)))</f>
        <v>10</v>
      </c>
      <c r="AD39" s="119" t="str">
        <f>IF($A39="","",INDEX([1]Clasif_Pron!$E:$E,((ROW()-4)*12+6)))</f>
        <v>Alemania</v>
      </c>
      <c r="AE39" s="119">
        <f>IF($A39="","",INDEX([1]Clasif_Pron!$K:$K,((ROW()-4)*12+6)))</f>
        <v>7</v>
      </c>
      <c r="AF39" s="95" t="str">
        <f>IF($A39="","",INDEX([1]Clasif_Pron!$G:$G,((ROW()-4)*12+6)))</f>
        <v>Ecuador</v>
      </c>
      <c r="AG39" s="95">
        <f>IF($A39="","",INDEX([1]Clasif_Pron!$L:$L,((ROW()-4)*12+6)))</f>
        <v>3</v>
      </c>
      <c r="AH39" s="119" t="str">
        <f>IF($A39="","",INDEX([1]Clasif_Pron!$I:$I,((ROW()-4)*12+6)))</f>
        <v>Costa de Marfil</v>
      </c>
      <c r="AI39" s="119">
        <f>IF($A39="","",INDEX([1]Clasif_Pron!$M:$M,((ROW()-4)*12+6)))</f>
        <v>3</v>
      </c>
      <c r="AJ39" s="95">
        <f>IF($A39="","",INDEX([1]Clasif_Pron!$N:$N,((ROW()-4)*12+6)))</f>
        <v>13</v>
      </c>
      <c r="AK39" s="119" t="str">
        <f>IF($A39="","",INDEX([1]Clasif_Pron!$E:$E,((ROW()-4)*12+7)))</f>
        <v>Países Bajos</v>
      </c>
      <c r="AL39" s="119">
        <f>IF($A39="","",INDEX([1]Clasif_Pron!$K:$K,((ROW()-4)*12+7)))</f>
        <v>7</v>
      </c>
      <c r="AM39" s="95" t="str">
        <f>IF($A39="","",INDEX([1]Clasif_Pron!$G:$G,((ROW()-4)*12+7)))</f>
        <v>Suecia</v>
      </c>
      <c r="AN39" s="95">
        <f>IF($A39="","",INDEX([1]Clasif_Pron!$L:$L,((ROW()-4)*12+7)))</f>
        <v>3</v>
      </c>
      <c r="AO39" s="119" t="str">
        <f>IF($A39="","",INDEX([1]Clasif_Pron!$I:$I,((ROW()-4)*12+7)))</f>
        <v>Japón</v>
      </c>
      <c r="AP39" s="119">
        <f>IF($A39="","",INDEX([1]Clasif_Pron!$M:$M,((ROW()-4)*12+7)))</f>
        <v>3</v>
      </c>
      <c r="AQ39" s="95">
        <f>IF($A39="","",INDEX([1]Clasif_Pron!$N:$N,((ROW()-4)*12+7)))</f>
        <v>13</v>
      </c>
      <c r="AR39" s="119" t="str">
        <f>IF($A39="","",INDEX([1]Clasif_Pron!$E:$E,((ROW()-4)*12+8)))</f>
        <v>Bélgica</v>
      </c>
      <c r="AS39" s="119">
        <f>IF($A39="","",INDEX([1]Clasif_Pron!$K:$K,((ROW()-4)*12+8)))</f>
        <v>7</v>
      </c>
      <c r="AT39" s="119" t="str">
        <f>IF($A39="","",INDEX([1]Clasif_Pron!$G:$G,((ROW()-4)*12+8)))</f>
        <v>Egipto</v>
      </c>
      <c r="AU39" s="119">
        <f>IF($A39="","",INDEX([1]Clasif_Pron!$L:$L,((ROW()-4)*12+8)))</f>
        <v>6</v>
      </c>
      <c r="AV39" s="95" t="str">
        <f>IF($A39="","",INDEX([1]Clasif_Pron!$I:$I,((ROW()-4)*12+8)))</f>
        <v>Irán</v>
      </c>
      <c r="AW39" s="95">
        <f>IF($A39="","",INDEX([1]Clasif_Pron!$M:$M,((ROW()-4)*12+8)))</f>
        <v>5</v>
      </c>
      <c r="AX39" s="95">
        <f>IF($A39="","",INDEX([1]Clasif_Pron!$N:$N,((ROW()-4)*12+8)))</f>
        <v>18</v>
      </c>
      <c r="AY39" s="119" t="str">
        <f>IF($A39="","",INDEX([1]Clasif_Pron!$E:$E,((ROW()-4)*12+9)))</f>
        <v>España</v>
      </c>
      <c r="AZ39" s="119">
        <f>IF($A39="","",INDEX([1]Clasif_Pron!$K:$K,((ROW()-4)*12+9)))</f>
        <v>7</v>
      </c>
      <c r="BA39" s="119" t="str">
        <f>IF($A39="","",INDEX([1]Clasif_Pron!$G:$G,((ROW()-4)*12+9)))</f>
        <v>Uruguay</v>
      </c>
      <c r="BB39" s="119">
        <f>IF($A39="","",INDEX([1]Clasif_Pron!$L:$L,((ROW()-4)*12+9)))</f>
        <v>0</v>
      </c>
      <c r="BC39" s="119" t="str">
        <f>IF($A39="","",INDEX([1]Clasif_Pron!$I:$I,((ROW()-4)*12+9)))</f>
        <v>Arabia Saudita</v>
      </c>
      <c r="BD39" s="119">
        <f>IF($A39="","",INDEX([1]Clasif_Pron!$M:$M,((ROW()-4)*12+9)))</f>
        <v>0</v>
      </c>
      <c r="BE39" s="119">
        <f>IF($A39="","",INDEX([1]Clasif_Pron!$N:$N,((ROW()-4)*12+9)))</f>
        <v>7</v>
      </c>
      <c r="BF39" s="119" t="str">
        <f>IF($A39="","",INDEX([1]Clasif_Pron!$E:$E,((ROW()-4)*12+10)))</f>
        <v>Francia</v>
      </c>
      <c r="BG39" s="119">
        <f>IF($A39="","",INDEX([1]Clasif_Pron!$K:$K,((ROW()-4)*12+10)))</f>
        <v>7</v>
      </c>
      <c r="BH39" s="119" t="str">
        <f>IF($A39="","",INDEX([1]Clasif_Pron!$G:$G,((ROW()-4)*12+10)))</f>
        <v>Noruega</v>
      </c>
      <c r="BI39" s="119">
        <f>IF($A39="","",INDEX([1]Clasif_Pron!$L:$L,((ROW()-4)*12+10)))</f>
        <v>6</v>
      </c>
      <c r="BJ39" s="95" t="str">
        <f>IF($A39="","",INDEX([1]Clasif_Pron!$I:$I,((ROW()-4)*12+10)))</f>
        <v>Senegal</v>
      </c>
      <c r="BK39" s="95">
        <f>IF($A39="","",INDEX([1]Clasif_Pron!$M:$M,((ROW()-4)*12+10)))</f>
        <v>5</v>
      </c>
      <c r="BL39" s="95">
        <f>IF($A39="","",INDEX([1]Clasif_Pron!$N:$N,((ROW()-4)*12+10)))</f>
        <v>18</v>
      </c>
      <c r="BM39" s="119" t="str">
        <f>IF($A39="","",INDEX([1]Clasif_Pron!$E:$E,((ROW()-4)*12+11)))</f>
        <v>Argentina</v>
      </c>
      <c r="BN39" s="119">
        <f>IF($A39="","",INDEX([1]Clasif_Pron!$K:$K,((ROW()-4)*12+11)))</f>
        <v>7</v>
      </c>
      <c r="BO39" s="95" t="str">
        <f>IF($A39="","",INDEX([1]Clasif_Pron!$G:$G,((ROW()-4)*12+11)))</f>
        <v>Austria</v>
      </c>
      <c r="BP39" s="95">
        <f>IF($A39="","",INDEX([1]Clasif_Pron!$L:$L,((ROW()-4)*12+11)))</f>
        <v>6</v>
      </c>
      <c r="BQ39" s="95" t="str">
        <f>IF($A39="","",INDEX([1]Clasif_Pron!$I:$I,((ROW()-4)*12+11)))</f>
        <v>Argelia</v>
      </c>
      <c r="BR39" s="95">
        <f>IF($A39="","",INDEX([1]Clasif_Pron!$M:$M,((ROW()-4)*12+11)))</f>
        <v>0</v>
      </c>
      <c r="BS39" s="95">
        <f>IF($A39="","",INDEX([1]Clasif_Pron!$N:$N,((ROW()-4)*12+11)))</f>
        <v>13</v>
      </c>
      <c r="BT39" s="95" t="str">
        <f>IF($A39="","",INDEX([1]Clasif_Pron!$E:$E,((ROW()-4)*12+12)))</f>
        <v>Portugal</v>
      </c>
      <c r="BU39" s="95">
        <f>IF($A39="","",INDEX([1]Clasif_Pron!$K:$K,((ROW()-4)*12+12)))</f>
        <v>3</v>
      </c>
      <c r="BV39" s="95" t="str">
        <f>IF($A39="","",INDEX([1]Clasif_Pron!$G:$G,((ROW()-4)*12+12)))</f>
        <v>Colombia</v>
      </c>
      <c r="BW39" s="95">
        <f>IF($A39="","",INDEX([1]Clasif_Pron!$L:$L,((ROW()-4)*12+12)))</f>
        <v>3</v>
      </c>
      <c r="BX39" s="95" t="str">
        <f>IF($A39="","",INDEX([1]Clasif_Pron!$I:$I,((ROW()-4)*12+12)))</f>
        <v>Uzbekistán</v>
      </c>
      <c r="BY39" s="95">
        <f>IF($A39="","",INDEX([1]Clasif_Pron!$M:$M,((ROW()-4)*12+12)))</f>
        <v>0</v>
      </c>
      <c r="BZ39" s="95">
        <f>IF($A39="","",INDEX([1]Clasif_Pron!$N:$N,((ROW()-4)*12+12)))</f>
        <v>6</v>
      </c>
      <c r="CA39" s="95" t="str">
        <f>IF($A39="","",INDEX([1]Clasif_Pron!$E:$E,((ROW()-4)*12+13)))</f>
        <v>Inglaterra</v>
      </c>
      <c r="CB39" s="95">
        <f>IF($A39="","",INDEX([1]Clasif_Pron!$K:$K,((ROW()-4)*12+13)))</f>
        <v>7</v>
      </c>
      <c r="CC39" s="95" t="str">
        <f>IF($A39="","",INDEX([1]Clasif_Pron!$G:$G,((ROW()-4)*12+13)))</f>
        <v>Panamá</v>
      </c>
      <c r="CD39" s="95">
        <f>IF($A39="","",INDEX([1]Clasif_Pron!$L:$L,((ROW()-4)*12+13)))</f>
        <v>0</v>
      </c>
      <c r="CE39" s="95" t="str">
        <f>IF($A39="","",INDEX([1]Clasif_Pron!$I:$I,((ROW()-4)*12+13)))</f>
        <v>Croacia</v>
      </c>
      <c r="CF39" s="95">
        <f>IF($A39="","",INDEX([1]Clasif_Pron!$M:$M,((ROW()-4)*12+13)))</f>
        <v>5</v>
      </c>
      <c r="CG39" s="95">
        <f>IF($A39="","",INDEX([1]Clasif_Pron!$N:$N,((ROW()-4)*12+13)))</f>
        <v>12</v>
      </c>
      <c r="CH39" s="96">
        <f t="shared" si="0"/>
        <v>147</v>
      </c>
    </row>
    <row r="40" spans="1:86" ht="20.25" customHeight="1" x14ac:dyDescent="0.3">
      <c r="A40" s="94" t="str">
        <f>[1]Participantes!B38</f>
        <v>Mily Frida</v>
      </c>
      <c r="B40" s="119" t="str">
        <f>IF($A40="","",INDEX([1]Clasif_Pron!$E:$E,((ROW()-4)*12+2)))</f>
        <v>México</v>
      </c>
      <c r="C40" s="119">
        <f>IF($A40="","",INDEX([1]Clasif_Pron!$K:$K,((ROW()-4)*12+2)))</f>
        <v>7</v>
      </c>
      <c r="D40" s="95" t="str">
        <f>IF($A40="","",INDEX([1]Clasif_Pron!$G:$G,((ROW()-4)*12+2)))</f>
        <v>Corea República</v>
      </c>
      <c r="E40" s="95">
        <f>IF($A40="","",INDEX([1]Clasif_Pron!$L:$L,((ROW()-4)*12+2)))</f>
        <v>3</v>
      </c>
      <c r="F40" s="119" t="str">
        <f>IF($A40="","",INDEX([1]Clasif_Pron!$I:$I,((ROW()-4)*12+2)))</f>
        <v>Chequia</v>
      </c>
      <c r="G40" s="119">
        <f>IF($A40="","",INDEX([1]Clasif_Pron!$M:$M,((ROW()-4)*12+2)))</f>
        <v>0</v>
      </c>
      <c r="H40" s="119">
        <f>IF($A40="","",INDEX([1]Clasif_Pron!$N:$N,((ROW()-4)*12+2)))</f>
        <v>10</v>
      </c>
      <c r="I40" s="119" t="str">
        <f>IF($A40="","",INDEX([1]Clasif_Pron!$E:$E,((ROW()-4)*12+3)))</f>
        <v>Bosnia y Herzegovina</v>
      </c>
      <c r="J40" s="119">
        <f>IF($A40="","",INDEX([1]Clasif_Pron!$K:$K,((ROW()-4)*12+3)))</f>
        <v>3</v>
      </c>
      <c r="K40" s="119" t="str">
        <f>IF($A40="","",INDEX([1]Clasif_Pron!$G:$G,((ROW()-4)*12+3)))</f>
        <v>Suiza</v>
      </c>
      <c r="L40" s="119">
        <f>IF($A40="","",INDEX([1]Clasif_Pron!$L:$L,((ROW()-4)*12+3)))</f>
        <v>3</v>
      </c>
      <c r="M40" s="119" t="str">
        <f>IF($A40="","",INDEX([1]Clasif_Pron!$I:$I,((ROW()-4)*12+3)))</f>
        <v>Qatar</v>
      </c>
      <c r="N40" s="119">
        <f>IF($A40="","",INDEX([1]Clasif_Pron!$M:$M,((ROW()-4)*12+3)))</f>
        <v>0</v>
      </c>
      <c r="O40" s="119">
        <f>IF($A40="","",INDEX([1]Clasif_Pron!$N:$N,((ROW()-4)*12+3)))</f>
        <v>6</v>
      </c>
      <c r="P40" s="119" t="str">
        <f>IF($A40="","",INDEX([1]Clasif_Pron!$E:$E,((ROW()-4)*12+4)))</f>
        <v>Brasil</v>
      </c>
      <c r="Q40" s="119">
        <f>IF($A40="","",INDEX([1]Clasif_Pron!$K:$K,((ROW()-4)*12+4)))</f>
        <v>7</v>
      </c>
      <c r="R40" s="95" t="str">
        <f>IF($A40="","",INDEX([1]Clasif_Pron!$G:$G,((ROW()-4)*12+4)))</f>
        <v>Escocia</v>
      </c>
      <c r="S40" s="95">
        <f>IF($A40="","",INDEX([1]Clasif_Pron!$L:$L,((ROW()-4)*12+4)))</f>
        <v>0</v>
      </c>
      <c r="T40" s="119" t="str">
        <f>IF($A40="","",INDEX([1]Clasif_Pron!$I:$I,((ROW()-4)*12+4)))</f>
        <v>Haití</v>
      </c>
      <c r="U40" s="119">
        <f>IF($A40="","",INDEX([1]Clasif_Pron!$M:$M,((ROW()-4)*12+4)))</f>
        <v>0</v>
      </c>
      <c r="V40" s="95">
        <f>IF($A40="","",INDEX([1]Clasif_Pron!$N:$N,((ROW()-4)*12+4)))</f>
        <v>7</v>
      </c>
      <c r="W40" s="119" t="str">
        <f>IF($A40="","",INDEX([1]Clasif_Pron!$E:$E,((ROW()-4)*12+5)))</f>
        <v>Australia</v>
      </c>
      <c r="X40" s="119">
        <f>IF($A40="","",INDEX([1]Clasif_Pron!$K:$K,((ROW()-4)*12+5)))</f>
        <v>3</v>
      </c>
      <c r="Y40" s="95" t="str">
        <f>IF($A40="","",INDEX([1]Clasif_Pron!$G:$G,((ROW()-4)*12+5)))</f>
        <v>Paraguay</v>
      </c>
      <c r="Z40" s="95">
        <f>IF($A40="","",INDEX([1]Clasif_Pron!$L:$L,((ROW()-4)*12+5)))</f>
        <v>3</v>
      </c>
      <c r="AA40" s="119" t="str">
        <f>IF($A40="","",INDEX([1]Clasif_Pron!$I:$I,((ROW()-4)*12+5)))</f>
        <v>Estados Unidos</v>
      </c>
      <c r="AB40" s="119">
        <f>IF($A40="","",INDEX([1]Clasif_Pron!$M:$M,((ROW()-4)*12+5)))</f>
        <v>3</v>
      </c>
      <c r="AC40" s="95">
        <f>IF($A40="","",INDEX([1]Clasif_Pron!$N:$N,((ROW()-4)*12+5)))</f>
        <v>9</v>
      </c>
      <c r="AD40" s="119" t="str">
        <f>IF($A40="","",INDEX([1]Clasif_Pron!$E:$E,((ROW()-4)*12+6)))</f>
        <v>Alemania</v>
      </c>
      <c r="AE40" s="119">
        <f>IF($A40="","",INDEX([1]Clasif_Pron!$K:$K,((ROW()-4)*12+6)))</f>
        <v>7</v>
      </c>
      <c r="AF40" s="119" t="str">
        <f>IF($A40="","",INDEX([1]Clasif_Pron!$G:$G,((ROW()-4)*12+6)))</f>
        <v>Costa de Marfil</v>
      </c>
      <c r="AG40" s="119">
        <f>IF($A40="","",INDEX([1]Clasif_Pron!$L:$L,((ROW()-4)*12+6)))</f>
        <v>6</v>
      </c>
      <c r="AH40" s="95" t="str">
        <f>IF($A40="","",INDEX([1]Clasif_Pron!$I:$I,((ROW()-4)*12+6)))</f>
        <v>Ecuador</v>
      </c>
      <c r="AI40" s="95">
        <f>IF($A40="","",INDEX([1]Clasif_Pron!$M:$M,((ROW()-4)*12+6)))</f>
        <v>5</v>
      </c>
      <c r="AJ40" s="95">
        <f>IF($A40="","",INDEX([1]Clasif_Pron!$N:$N,((ROW()-4)*12+6)))</f>
        <v>18</v>
      </c>
      <c r="AK40" s="119" t="str">
        <f>IF($A40="","",INDEX([1]Clasif_Pron!$E:$E,((ROW()-4)*12+7)))</f>
        <v>Países Bajos</v>
      </c>
      <c r="AL40" s="119">
        <f>IF($A40="","",INDEX([1]Clasif_Pron!$K:$K,((ROW()-4)*12+7)))</f>
        <v>7</v>
      </c>
      <c r="AM40" s="119" t="str">
        <f>IF($A40="","",INDEX([1]Clasif_Pron!$G:$G,((ROW()-4)*12+7)))</f>
        <v>Japón</v>
      </c>
      <c r="AN40" s="119">
        <f>IF($A40="","",INDEX([1]Clasif_Pron!$L:$L,((ROW()-4)*12+7)))</f>
        <v>6</v>
      </c>
      <c r="AO40" s="95" t="str">
        <f>IF($A40="","",INDEX([1]Clasif_Pron!$I:$I,((ROW()-4)*12+7)))</f>
        <v>Suecia</v>
      </c>
      <c r="AP40" s="95">
        <f>IF($A40="","",INDEX([1]Clasif_Pron!$M:$M,((ROW()-4)*12+7)))</f>
        <v>5</v>
      </c>
      <c r="AQ40" s="95">
        <f>IF($A40="","",INDEX([1]Clasif_Pron!$N:$N,((ROW()-4)*12+7)))</f>
        <v>18</v>
      </c>
      <c r="AR40" s="95" t="str">
        <f>IF($A40="","",INDEX([1]Clasif_Pron!$E:$E,((ROW()-4)*12+8)))</f>
        <v>Egipto</v>
      </c>
      <c r="AS40" s="95">
        <f>IF($A40="","",INDEX([1]Clasif_Pron!$K:$K,((ROW()-4)*12+8)))</f>
        <v>3</v>
      </c>
      <c r="AT40" s="95" t="str">
        <f>IF($A40="","",INDEX([1]Clasif_Pron!$G:$G,((ROW()-4)*12+8)))</f>
        <v>Irán</v>
      </c>
      <c r="AU40" s="95">
        <f>IF($A40="","",INDEX([1]Clasif_Pron!$L:$L,((ROW()-4)*12+8)))</f>
        <v>3</v>
      </c>
      <c r="AV40" s="119" t="str">
        <f>IF($A40="","",INDEX([1]Clasif_Pron!$I:$I,((ROW()-4)*12+8)))</f>
        <v>Bélgica</v>
      </c>
      <c r="AW40" s="119">
        <f>IF($A40="","",INDEX([1]Clasif_Pron!$M:$M,((ROW()-4)*12+8)))</f>
        <v>3</v>
      </c>
      <c r="AX40" s="95">
        <f>IF($A40="","",INDEX([1]Clasif_Pron!$N:$N,((ROW()-4)*12+8)))</f>
        <v>9</v>
      </c>
      <c r="AY40" s="119" t="str">
        <f>IF($A40="","",INDEX([1]Clasif_Pron!$E:$E,((ROW()-4)*12+9)))</f>
        <v>España</v>
      </c>
      <c r="AZ40" s="119">
        <f>IF($A40="","",INDEX([1]Clasif_Pron!$K:$K,((ROW()-4)*12+9)))</f>
        <v>7</v>
      </c>
      <c r="BA40" s="119" t="str">
        <f>IF($A40="","",INDEX([1]Clasif_Pron!$G:$G,((ROW()-4)*12+9)))</f>
        <v>Uruguay</v>
      </c>
      <c r="BB40" s="119">
        <f>IF($A40="","",INDEX([1]Clasif_Pron!$L:$L,((ROW()-4)*12+9)))</f>
        <v>0</v>
      </c>
      <c r="BC40" s="119" t="str">
        <f>IF($A40="","",INDEX([1]Clasif_Pron!$I:$I,((ROW()-4)*12+9)))</f>
        <v>Cabo Verde</v>
      </c>
      <c r="BD40" s="119">
        <f>IF($A40="","",INDEX([1]Clasif_Pron!$M:$M,((ROW()-4)*12+9)))</f>
        <v>3</v>
      </c>
      <c r="BE40" s="119">
        <f>IF($A40="","",INDEX([1]Clasif_Pron!$N:$N,((ROW()-4)*12+9)))</f>
        <v>10</v>
      </c>
      <c r="BF40" s="119" t="str">
        <f>IF($A40="","",INDEX([1]Clasif_Pron!$E:$E,((ROW()-4)*12+10)))</f>
        <v>Francia</v>
      </c>
      <c r="BG40" s="119">
        <f>IF($A40="","",INDEX([1]Clasif_Pron!$K:$K,((ROW()-4)*12+10)))</f>
        <v>7</v>
      </c>
      <c r="BH40" s="95" t="str">
        <f>IF($A40="","",INDEX([1]Clasif_Pron!$G:$G,((ROW()-4)*12+10)))</f>
        <v>Irak</v>
      </c>
      <c r="BI40" s="95">
        <f>IF($A40="","",INDEX([1]Clasif_Pron!$L:$L,((ROW()-4)*12+10)))</f>
        <v>0</v>
      </c>
      <c r="BJ40" s="119" t="str">
        <f>IF($A40="","",INDEX([1]Clasif_Pron!$I:$I,((ROW()-4)*12+10)))</f>
        <v>Noruega</v>
      </c>
      <c r="BK40" s="119">
        <f>IF($A40="","",INDEX([1]Clasif_Pron!$M:$M,((ROW()-4)*12+10)))</f>
        <v>3</v>
      </c>
      <c r="BL40" s="95">
        <f>IF($A40="","",INDEX([1]Clasif_Pron!$N:$N,((ROW()-4)*12+10)))</f>
        <v>10</v>
      </c>
      <c r="BM40" s="119" t="str">
        <f>IF($A40="","",INDEX([1]Clasif_Pron!$E:$E,((ROW()-4)*12+11)))</f>
        <v>Argentina</v>
      </c>
      <c r="BN40" s="119">
        <f>IF($A40="","",INDEX([1]Clasif_Pron!$K:$K,((ROW()-4)*12+11)))</f>
        <v>7</v>
      </c>
      <c r="BO40" s="95" t="str">
        <f>IF($A40="","",INDEX([1]Clasif_Pron!$G:$G,((ROW()-4)*12+11)))</f>
        <v>Austria</v>
      </c>
      <c r="BP40" s="95">
        <f>IF($A40="","",INDEX([1]Clasif_Pron!$L:$L,((ROW()-4)*12+11)))</f>
        <v>6</v>
      </c>
      <c r="BQ40" s="95" t="str">
        <f>IF($A40="","",INDEX([1]Clasif_Pron!$I:$I,((ROW()-4)*12+11)))</f>
        <v>Argelia</v>
      </c>
      <c r="BR40" s="95">
        <f>IF($A40="","",INDEX([1]Clasif_Pron!$M:$M,((ROW()-4)*12+11)))</f>
        <v>0</v>
      </c>
      <c r="BS40" s="95">
        <f>IF($A40="","",INDEX([1]Clasif_Pron!$N:$N,((ROW()-4)*12+11)))</f>
        <v>13</v>
      </c>
      <c r="BT40" s="95" t="str">
        <f>IF($A40="","",INDEX([1]Clasif_Pron!$E:$E,((ROW()-4)*12+12)))</f>
        <v>Portugal</v>
      </c>
      <c r="BU40" s="95">
        <f>IF($A40="","",INDEX([1]Clasif_Pron!$K:$K,((ROW()-4)*12+12)))</f>
        <v>3</v>
      </c>
      <c r="BV40" s="95" t="str">
        <f>IF($A40="","",INDEX([1]Clasif_Pron!$G:$G,((ROW()-4)*12+12)))</f>
        <v>Colombia</v>
      </c>
      <c r="BW40" s="95">
        <f>IF($A40="","",INDEX([1]Clasif_Pron!$L:$L,((ROW()-4)*12+12)))</f>
        <v>3</v>
      </c>
      <c r="BX40" s="95" t="str">
        <f>IF($A40="","",INDEX([1]Clasif_Pron!$I:$I,((ROW()-4)*12+12)))</f>
        <v>RD Congo</v>
      </c>
      <c r="BY40" s="95">
        <f>IF($A40="","",INDEX([1]Clasif_Pron!$M:$M,((ROW()-4)*12+12)))</f>
        <v>0</v>
      </c>
      <c r="BZ40" s="95">
        <f>IF($A40="","",INDEX([1]Clasif_Pron!$N:$N,((ROW()-4)*12+12)))</f>
        <v>6</v>
      </c>
      <c r="CA40" s="95" t="str">
        <f>IF($A40="","",INDEX([1]Clasif_Pron!$E:$E,((ROW()-4)*12+13)))</f>
        <v>Inglaterra</v>
      </c>
      <c r="CB40" s="95">
        <f>IF($A40="","",INDEX([1]Clasif_Pron!$K:$K,((ROW()-4)*12+13)))</f>
        <v>7</v>
      </c>
      <c r="CC40" s="95" t="str">
        <f>IF($A40="","",INDEX([1]Clasif_Pron!$G:$G,((ROW()-4)*12+13)))</f>
        <v>Croacia</v>
      </c>
      <c r="CD40" s="95">
        <f>IF($A40="","",INDEX([1]Clasif_Pron!$L:$L,((ROW()-4)*12+13)))</f>
        <v>3</v>
      </c>
      <c r="CE40" s="95" t="str">
        <f>IF($A40="","",INDEX([1]Clasif_Pron!$I:$I,((ROW()-4)*12+13)))</f>
        <v>Panamá</v>
      </c>
      <c r="CF40" s="95">
        <f>IF($A40="","",INDEX([1]Clasif_Pron!$M:$M,((ROW()-4)*12+13)))</f>
        <v>0</v>
      </c>
      <c r="CG40" s="95">
        <f>IF($A40="","",INDEX([1]Clasif_Pron!$N:$N,((ROW()-4)*12+13)))</f>
        <v>10</v>
      </c>
      <c r="CH40" s="96">
        <f t="shared" si="0"/>
        <v>126</v>
      </c>
    </row>
    <row r="41" spans="1:86" ht="20.25" customHeight="1" x14ac:dyDescent="0.3">
      <c r="A41" s="94" t="str">
        <f>[1]Participantes!B39</f>
        <v>Mily Oliver</v>
      </c>
      <c r="B41" s="119" t="str">
        <f>IF($A41="","",INDEX([1]Clasif_Pron!$E:$E,((ROW()-4)*12+2)))</f>
        <v>México</v>
      </c>
      <c r="C41" s="119">
        <f>IF($A41="","",INDEX([1]Clasif_Pron!$K:$K,((ROW()-4)*12+2)))</f>
        <v>7</v>
      </c>
      <c r="D41" s="119" t="str">
        <f>IF($A41="","",INDEX([1]Clasif_Pron!$G:$G,((ROW()-4)*12+2)))</f>
        <v>Chequia</v>
      </c>
      <c r="E41" s="119">
        <f>IF($A41="","",INDEX([1]Clasif_Pron!$L:$L,((ROW()-4)*12+2)))</f>
        <v>0</v>
      </c>
      <c r="F41" s="95" t="str">
        <f>IF($A41="","",INDEX([1]Clasif_Pron!$I:$I,((ROW()-4)*12+2)))</f>
        <v>Corea República</v>
      </c>
      <c r="G41" s="95">
        <f>IF($A41="","",INDEX([1]Clasif_Pron!$M:$M,((ROW()-4)*12+2)))</f>
        <v>5</v>
      </c>
      <c r="H41" s="95">
        <f>IF($A41="","",INDEX([1]Clasif_Pron!$N:$N,((ROW()-4)*12+2)))</f>
        <v>12</v>
      </c>
      <c r="I41" s="119" t="str">
        <f>IF($A41="","",INDEX([1]Clasif_Pron!$E:$E,((ROW()-4)*12+3)))</f>
        <v>Suiza</v>
      </c>
      <c r="J41" s="119">
        <f>IF($A41="","",INDEX([1]Clasif_Pron!$K:$K,((ROW()-4)*12+3)))</f>
        <v>7</v>
      </c>
      <c r="K41" s="119" t="str">
        <f>IF($A41="","",INDEX([1]Clasif_Pron!$G:$G,((ROW()-4)*12+3)))</f>
        <v>Canadá</v>
      </c>
      <c r="L41" s="119">
        <f>IF($A41="","",INDEX([1]Clasif_Pron!$L:$L,((ROW()-4)*12+3)))</f>
        <v>6</v>
      </c>
      <c r="M41" s="119" t="str">
        <f>IF($A41="","",INDEX([1]Clasif_Pron!$I:$I,((ROW()-4)*12+3)))</f>
        <v>Bosnia y Herzegovina</v>
      </c>
      <c r="N41" s="119">
        <f>IF($A41="","",INDEX([1]Clasif_Pron!$M:$M,((ROW()-4)*12+3)))</f>
        <v>5</v>
      </c>
      <c r="O41" s="119">
        <f>IF($A41="","",INDEX([1]Clasif_Pron!$N:$N,((ROW()-4)*12+3)))</f>
        <v>18</v>
      </c>
      <c r="P41" s="119" t="str">
        <f>IF($A41="","",INDEX([1]Clasif_Pron!$E:$E,((ROW()-4)*12+4)))</f>
        <v>Brasil</v>
      </c>
      <c r="Q41" s="119">
        <f>IF($A41="","",INDEX([1]Clasif_Pron!$K:$K,((ROW()-4)*12+4)))</f>
        <v>7</v>
      </c>
      <c r="R41" s="119" t="str">
        <f>IF($A41="","",INDEX([1]Clasif_Pron!$G:$G,((ROW()-4)*12+4)))</f>
        <v>Marruecos</v>
      </c>
      <c r="S41" s="119">
        <f>IF($A41="","",INDEX([1]Clasif_Pron!$L:$L,((ROW()-4)*12+4)))</f>
        <v>6</v>
      </c>
      <c r="T41" s="95" t="str">
        <f>IF($A41="","",INDEX([1]Clasif_Pron!$I:$I,((ROW()-4)*12+4)))</f>
        <v>Escocia</v>
      </c>
      <c r="U41" s="95">
        <f>IF($A41="","",INDEX([1]Clasif_Pron!$M:$M,((ROW()-4)*12+4)))</f>
        <v>0</v>
      </c>
      <c r="V41" s="95">
        <f>IF($A41="","",INDEX([1]Clasif_Pron!$N:$N,((ROW()-4)*12+4)))</f>
        <v>13</v>
      </c>
      <c r="W41" s="119" t="str">
        <f>IF($A41="","",INDEX([1]Clasif_Pron!$E:$E,((ROW()-4)*12+5)))</f>
        <v>Estados Unidos</v>
      </c>
      <c r="X41" s="119">
        <f>IF($A41="","",INDEX([1]Clasif_Pron!$K:$K,((ROW()-4)*12+5)))</f>
        <v>7</v>
      </c>
      <c r="Y41" s="119" t="str">
        <f>IF($A41="","",INDEX([1]Clasif_Pron!$G:$G,((ROW()-4)*12+5)))</f>
        <v>Türkiye</v>
      </c>
      <c r="Z41" s="119">
        <f>IF($A41="","",INDEX([1]Clasif_Pron!$L:$L,((ROW()-4)*12+5)))</f>
        <v>0</v>
      </c>
      <c r="AA41" s="95" t="str">
        <f>IF($A41="","",INDEX([1]Clasif_Pron!$I:$I,((ROW()-4)*12+5)))</f>
        <v>Paraguay</v>
      </c>
      <c r="AB41" s="95">
        <f>IF($A41="","",INDEX([1]Clasif_Pron!$M:$M,((ROW()-4)*12+5)))</f>
        <v>5</v>
      </c>
      <c r="AC41" s="95">
        <f>IF($A41="","",INDEX([1]Clasif_Pron!$N:$N,((ROW()-4)*12+5)))</f>
        <v>12</v>
      </c>
      <c r="AD41" s="119" t="str">
        <f>IF($A41="","",INDEX([1]Clasif_Pron!$E:$E,((ROW()-4)*12+6)))</f>
        <v>Alemania</v>
      </c>
      <c r="AE41" s="119">
        <f>IF($A41="","",INDEX([1]Clasif_Pron!$K:$K,((ROW()-4)*12+6)))</f>
        <v>7</v>
      </c>
      <c r="AF41" s="119" t="str">
        <f>IF($A41="","",INDEX([1]Clasif_Pron!$G:$G,((ROW()-4)*12+6)))</f>
        <v>Costa de Marfil</v>
      </c>
      <c r="AG41" s="119">
        <f>IF($A41="","",INDEX([1]Clasif_Pron!$L:$L,((ROW()-4)*12+6)))</f>
        <v>6</v>
      </c>
      <c r="AH41" s="95" t="str">
        <f>IF($A41="","",INDEX([1]Clasif_Pron!$I:$I,((ROW()-4)*12+6)))</f>
        <v>Ecuador</v>
      </c>
      <c r="AI41" s="95">
        <f>IF($A41="","",INDEX([1]Clasif_Pron!$M:$M,((ROW()-4)*12+6)))</f>
        <v>5</v>
      </c>
      <c r="AJ41" s="95">
        <f>IF($A41="","",INDEX([1]Clasif_Pron!$N:$N,((ROW()-4)*12+6)))</f>
        <v>18</v>
      </c>
      <c r="AK41" s="119" t="str">
        <f>IF($A41="","",INDEX([1]Clasif_Pron!$E:$E,((ROW()-4)*12+7)))</f>
        <v>Países Bajos</v>
      </c>
      <c r="AL41" s="119">
        <f>IF($A41="","",INDEX([1]Clasif_Pron!$K:$K,((ROW()-4)*12+7)))</f>
        <v>7</v>
      </c>
      <c r="AM41" s="119" t="str">
        <f>IF($A41="","",INDEX([1]Clasif_Pron!$G:$G,((ROW()-4)*12+7)))</f>
        <v>Japón</v>
      </c>
      <c r="AN41" s="119">
        <f>IF($A41="","",INDEX([1]Clasif_Pron!$L:$L,((ROW()-4)*12+7)))</f>
        <v>6</v>
      </c>
      <c r="AO41" s="95" t="str">
        <f>IF($A41="","",INDEX([1]Clasif_Pron!$I:$I,((ROW()-4)*12+7)))</f>
        <v>Suecia</v>
      </c>
      <c r="AP41" s="95">
        <f>IF($A41="","",INDEX([1]Clasif_Pron!$M:$M,((ROW()-4)*12+7)))</f>
        <v>5</v>
      </c>
      <c r="AQ41" s="95">
        <f>IF($A41="","",INDEX([1]Clasif_Pron!$N:$N,((ROW()-4)*12+7)))</f>
        <v>18</v>
      </c>
      <c r="AR41" s="119" t="str">
        <f>IF($A41="","",INDEX([1]Clasif_Pron!$E:$E,((ROW()-4)*12+8)))</f>
        <v>Bélgica</v>
      </c>
      <c r="AS41" s="119">
        <f>IF($A41="","",INDEX([1]Clasif_Pron!$K:$K,((ROW()-4)*12+8)))</f>
        <v>7</v>
      </c>
      <c r="AT41" s="95" t="str">
        <f>IF($A41="","",INDEX([1]Clasif_Pron!$G:$G,((ROW()-4)*12+8)))</f>
        <v>Irán</v>
      </c>
      <c r="AU41" s="95">
        <f>IF($A41="","",INDEX([1]Clasif_Pron!$L:$L,((ROW()-4)*12+8)))</f>
        <v>3</v>
      </c>
      <c r="AV41" s="119" t="str">
        <f>IF($A41="","",INDEX([1]Clasif_Pron!$I:$I,((ROW()-4)*12+8)))</f>
        <v>Egipto</v>
      </c>
      <c r="AW41" s="119">
        <f>IF($A41="","",INDEX([1]Clasif_Pron!$M:$M,((ROW()-4)*12+8)))</f>
        <v>3</v>
      </c>
      <c r="AX41" s="95">
        <f>IF($A41="","",INDEX([1]Clasif_Pron!$N:$N,((ROW()-4)*12+8)))</f>
        <v>13</v>
      </c>
      <c r="AY41" s="119" t="str">
        <f>IF($A41="","",INDEX([1]Clasif_Pron!$E:$E,((ROW()-4)*12+9)))</f>
        <v>España</v>
      </c>
      <c r="AZ41" s="119">
        <f>IF($A41="","",INDEX([1]Clasif_Pron!$K:$K,((ROW()-4)*12+9)))</f>
        <v>7</v>
      </c>
      <c r="BA41" s="119" t="str">
        <f>IF($A41="","",INDEX([1]Clasif_Pron!$G:$G,((ROW()-4)*12+9)))</f>
        <v>Uruguay</v>
      </c>
      <c r="BB41" s="119">
        <f>IF($A41="","",INDEX([1]Clasif_Pron!$L:$L,((ROW()-4)*12+9)))</f>
        <v>0</v>
      </c>
      <c r="BC41" s="119" t="str">
        <f>IF($A41="","",INDEX([1]Clasif_Pron!$I:$I,((ROW()-4)*12+9)))</f>
        <v>Arabia Saudita</v>
      </c>
      <c r="BD41" s="119">
        <f>IF($A41="","",INDEX([1]Clasif_Pron!$M:$M,((ROW()-4)*12+9)))</f>
        <v>0</v>
      </c>
      <c r="BE41" s="119">
        <f>IF($A41="","",INDEX([1]Clasif_Pron!$N:$N,((ROW()-4)*12+9)))</f>
        <v>7</v>
      </c>
      <c r="BF41" s="119" t="str">
        <f>IF($A41="","",INDEX([1]Clasif_Pron!$E:$E,((ROW()-4)*12+10)))</f>
        <v>Francia</v>
      </c>
      <c r="BG41" s="119">
        <f>IF($A41="","",INDEX([1]Clasif_Pron!$K:$K,((ROW()-4)*12+10)))</f>
        <v>7</v>
      </c>
      <c r="BH41" s="119" t="str">
        <f>IF($A41="","",INDEX([1]Clasif_Pron!$G:$G,((ROW()-4)*12+10)))</f>
        <v>Noruega</v>
      </c>
      <c r="BI41" s="119">
        <f>IF($A41="","",INDEX([1]Clasif_Pron!$L:$L,((ROW()-4)*12+10)))</f>
        <v>6</v>
      </c>
      <c r="BJ41" s="95" t="str">
        <f>IF($A41="","",INDEX([1]Clasif_Pron!$I:$I,((ROW()-4)*12+10)))</f>
        <v>Senegal</v>
      </c>
      <c r="BK41" s="95">
        <f>IF($A41="","",INDEX([1]Clasif_Pron!$M:$M,((ROW()-4)*12+10)))</f>
        <v>5</v>
      </c>
      <c r="BL41" s="95">
        <f>IF($A41="","",INDEX([1]Clasif_Pron!$N:$N,((ROW()-4)*12+10)))</f>
        <v>18</v>
      </c>
      <c r="BM41" s="119" t="str">
        <f>IF($A41="","",INDEX([1]Clasif_Pron!$E:$E,((ROW()-4)*12+11)))</f>
        <v>Argentina</v>
      </c>
      <c r="BN41" s="119">
        <f>IF($A41="","",INDEX([1]Clasif_Pron!$K:$K,((ROW()-4)*12+11)))</f>
        <v>7</v>
      </c>
      <c r="BO41" s="95" t="str">
        <f>IF($A41="","",INDEX([1]Clasif_Pron!$G:$G,((ROW()-4)*12+11)))</f>
        <v>Argelia</v>
      </c>
      <c r="BP41" s="95">
        <f>IF($A41="","",INDEX([1]Clasif_Pron!$L:$L,((ROW()-4)*12+11)))</f>
        <v>0</v>
      </c>
      <c r="BQ41" s="95" t="str">
        <f>IF($A41="","",INDEX([1]Clasif_Pron!$I:$I,((ROW()-4)*12+11)))</f>
        <v>Austria</v>
      </c>
      <c r="BR41" s="95">
        <f>IF($A41="","",INDEX([1]Clasif_Pron!$M:$M,((ROW()-4)*12+11)))</f>
        <v>3</v>
      </c>
      <c r="BS41" s="95">
        <f>IF($A41="","",INDEX([1]Clasif_Pron!$N:$N,((ROW()-4)*12+11)))</f>
        <v>10</v>
      </c>
      <c r="BT41" s="95" t="str">
        <f>IF($A41="","",INDEX([1]Clasif_Pron!$E:$E,((ROW()-4)*12+12)))</f>
        <v>Portugal</v>
      </c>
      <c r="BU41" s="95">
        <f>IF($A41="","",INDEX([1]Clasif_Pron!$K:$K,((ROW()-4)*12+12)))</f>
        <v>3</v>
      </c>
      <c r="BV41" s="95" t="str">
        <f>IF($A41="","",INDEX([1]Clasif_Pron!$G:$G,((ROW()-4)*12+12)))</f>
        <v>Colombia</v>
      </c>
      <c r="BW41" s="95">
        <f>IF($A41="","",INDEX([1]Clasif_Pron!$L:$L,((ROW()-4)*12+12)))</f>
        <v>3</v>
      </c>
      <c r="BX41" s="95" t="str">
        <f>IF($A41="","",INDEX([1]Clasif_Pron!$I:$I,((ROW()-4)*12+12)))</f>
        <v>RD Congo</v>
      </c>
      <c r="BY41" s="95">
        <f>IF($A41="","",INDEX([1]Clasif_Pron!$M:$M,((ROW()-4)*12+12)))</f>
        <v>0</v>
      </c>
      <c r="BZ41" s="95">
        <f>IF($A41="","",INDEX([1]Clasif_Pron!$N:$N,((ROW()-4)*12+12)))</f>
        <v>6</v>
      </c>
      <c r="CA41" s="95" t="str">
        <f>IF($A41="","",INDEX([1]Clasif_Pron!$E:$E,((ROW()-4)*12+13)))</f>
        <v>Inglaterra</v>
      </c>
      <c r="CB41" s="95">
        <f>IF($A41="","",INDEX([1]Clasif_Pron!$K:$K,((ROW()-4)*12+13)))</f>
        <v>7</v>
      </c>
      <c r="CC41" s="95" t="str">
        <f>IF($A41="","",INDEX([1]Clasif_Pron!$G:$G,((ROW()-4)*12+13)))</f>
        <v>Croacia</v>
      </c>
      <c r="CD41" s="95">
        <f>IF($A41="","",INDEX([1]Clasif_Pron!$L:$L,((ROW()-4)*12+13)))</f>
        <v>3</v>
      </c>
      <c r="CE41" s="95" t="str">
        <f>IF($A41="","",INDEX([1]Clasif_Pron!$I:$I,((ROW()-4)*12+13)))</f>
        <v>Ghana</v>
      </c>
      <c r="CF41" s="95">
        <f>IF($A41="","",INDEX([1]Clasif_Pron!$M:$M,((ROW()-4)*12+13)))</f>
        <v>3</v>
      </c>
      <c r="CG41" s="95">
        <f>IF($A41="","",INDEX([1]Clasif_Pron!$N:$N,((ROW()-4)*12+13)))</f>
        <v>13</v>
      </c>
      <c r="CH41" s="96">
        <f t="shared" si="0"/>
        <v>158</v>
      </c>
    </row>
    <row r="42" spans="1:86" ht="20.25" customHeight="1" x14ac:dyDescent="0.3">
      <c r="A42" s="94" t="str">
        <f>[1]Participantes!B40</f>
        <v>Mily Zeynneth</v>
      </c>
      <c r="B42" s="119" t="str">
        <f>IF($A42="","",INDEX([1]Clasif_Pron!$E:$E,((ROW()-4)*12+2)))</f>
        <v>México</v>
      </c>
      <c r="C42" s="119">
        <f>IF($A42="","",INDEX([1]Clasif_Pron!$K:$K,((ROW()-4)*12+2)))</f>
        <v>7</v>
      </c>
      <c r="D42" s="119" t="str">
        <f>IF($A42="","",INDEX([1]Clasif_Pron!$G:$G,((ROW()-4)*12+2)))</f>
        <v>Chequia</v>
      </c>
      <c r="E42" s="119">
        <f>IF($A42="","",INDEX([1]Clasif_Pron!$L:$L,((ROW()-4)*12+2)))</f>
        <v>0</v>
      </c>
      <c r="F42" s="119" t="str">
        <f>IF($A42="","",INDEX([1]Clasif_Pron!$I:$I,((ROW()-4)*12+2)))</f>
        <v>Sudáfrica</v>
      </c>
      <c r="G42" s="119">
        <f>IF($A42="","",INDEX([1]Clasif_Pron!$M:$M,((ROW()-4)*12+2)))</f>
        <v>3</v>
      </c>
      <c r="H42" s="119">
        <f>IF($A42="","",INDEX([1]Clasif_Pron!$N:$N,((ROW()-4)*12+2)))</f>
        <v>10</v>
      </c>
      <c r="I42" s="119" t="str">
        <f>IF($A42="","",INDEX([1]Clasif_Pron!$E:$E,((ROW()-4)*12+3)))</f>
        <v>Canadá</v>
      </c>
      <c r="J42" s="119">
        <f>IF($A42="","",INDEX([1]Clasif_Pron!$K:$K,((ROW()-4)*12+3)))</f>
        <v>3</v>
      </c>
      <c r="K42" s="119" t="str">
        <f>IF($A42="","",INDEX([1]Clasif_Pron!$G:$G,((ROW()-4)*12+3)))</f>
        <v>Suiza</v>
      </c>
      <c r="L42" s="119">
        <f>IF($A42="","",INDEX([1]Clasif_Pron!$L:$L,((ROW()-4)*12+3)))</f>
        <v>3</v>
      </c>
      <c r="M42" s="119" t="str">
        <f>IF($A42="","",INDEX([1]Clasif_Pron!$I:$I,((ROW()-4)*12+3)))</f>
        <v>Bosnia y Herzegovina</v>
      </c>
      <c r="N42" s="119">
        <f>IF($A42="","",INDEX([1]Clasif_Pron!$M:$M,((ROW()-4)*12+3)))</f>
        <v>5</v>
      </c>
      <c r="O42" s="119">
        <f>IF($A42="","",INDEX([1]Clasif_Pron!$N:$N,((ROW()-4)*12+3)))</f>
        <v>11</v>
      </c>
      <c r="P42" s="119" t="str">
        <f>IF($A42="","",INDEX([1]Clasif_Pron!$E:$E,((ROW()-4)*12+4)))</f>
        <v>Brasil</v>
      </c>
      <c r="Q42" s="119">
        <f>IF($A42="","",INDEX([1]Clasif_Pron!$K:$K,((ROW()-4)*12+4)))</f>
        <v>7</v>
      </c>
      <c r="R42" s="119" t="str">
        <f>IF($A42="","",INDEX([1]Clasif_Pron!$G:$G,((ROW()-4)*12+4)))</f>
        <v>Marruecos</v>
      </c>
      <c r="S42" s="119">
        <f>IF($A42="","",INDEX([1]Clasif_Pron!$L:$L,((ROW()-4)*12+4)))</f>
        <v>6</v>
      </c>
      <c r="T42" s="95" t="str">
        <f>IF($A42="","",INDEX([1]Clasif_Pron!$I:$I,((ROW()-4)*12+4)))</f>
        <v>Escocia</v>
      </c>
      <c r="U42" s="95">
        <f>IF($A42="","",INDEX([1]Clasif_Pron!$M:$M,((ROW()-4)*12+4)))</f>
        <v>0</v>
      </c>
      <c r="V42" s="95">
        <f>IF($A42="","",INDEX([1]Clasif_Pron!$N:$N,((ROW()-4)*12+4)))</f>
        <v>13</v>
      </c>
      <c r="W42" s="119" t="str">
        <f>IF($A42="","",INDEX([1]Clasif_Pron!$E:$E,((ROW()-4)*12+5)))</f>
        <v>Türkiye</v>
      </c>
      <c r="X42" s="119">
        <f>IF($A42="","",INDEX([1]Clasif_Pron!$K:$K,((ROW()-4)*12+5)))</f>
        <v>0</v>
      </c>
      <c r="Y42" s="119" t="str">
        <f>IF($A42="","",INDEX([1]Clasif_Pron!$G:$G,((ROW()-4)*12+5)))</f>
        <v>Estados Unidos</v>
      </c>
      <c r="Z42" s="119">
        <f>IF($A42="","",INDEX([1]Clasif_Pron!$L:$L,((ROW()-4)*12+5)))</f>
        <v>3</v>
      </c>
      <c r="AA42" s="119" t="str">
        <f>IF($A42="","",INDEX([1]Clasif_Pron!$I:$I,((ROW()-4)*12+5)))</f>
        <v>Australia</v>
      </c>
      <c r="AB42" s="119">
        <f>IF($A42="","",INDEX([1]Clasif_Pron!$M:$M,((ROW()-4)*12+5)))</f>
        <v>3</v>
      </c>
      <c r="AC42" s="95">
        <f>IF($A42="","",INDEX([1]Clasif_Pron!$N:$N,((ROW()-4)*12+5)))</f>
        <v>6</v>
      </c>
      <c r="AD42" s="119" t="str">
        <f>IF($A42="","",INDEX([1]Clasif_Pron!$E:$E,((ROW()-4)*12+6)))</f>
        <v>Alemania</v>
      </c>
      <c r="AE42" s="119">
        <f>IF($A42="","",INDEX([1]Clasif_Pron!$K:$K,((ROW()-4)*12+6)))</f>
        <v>7</v>
      </c>
      <c r="AF42" s="95" t="str">
        <f>IF($A42="","",INDEX([1]Clasif_Pron!$G:$G,((ROW()-4)*12+6)))</f>
        <v>Ecuador</v>
      </c>
      <c r="AG42" s="95">
        <f>IF($A42="","",INDEX([1]Clasif_Pron!$L:$L,((ROW()-4)*12+6)))</f>
        <v>3</v>
      </c>
      <c r="AH42" s="95" t="str">
        <f>IF($A42="","",INDEX([1]Clasif_Pron!$I:$I,((ROW()-4)*12+6)))</f>
        <v>Costa de Marfil</v>
      </c>
      <c r="AI42" s="95">
        <f>IF($A42="","",INDEX([1]Clasif_Pron!$M:$M,((ROW()-4)*12+6)))</f>
        <v>3</v>
      </c>
      <c r="AJ42" s="95">
        <f>IF($A42="","",INDEX([1]Clasif_Pron!$N:$N,((ROW()-4)*12+6)))</f>
        <v>13</v>
      </c>
      <c r="AK42" s="119" t="str">
        <f>IF($A42="","",INDEX([1]Clasif_Pron!$E:$E,((ROW()-4)*12+7)))</f>
        <v>Países Bajos</v>
      </c>
      <c r="AL42" s="119">
        <f>IF($A42="","",INDEX([1]Clasif_Pron!$K:$K,((ROW()-4)*12+7)))</f>
        <v>7</v>
      </c>
      <c r="AM42" s="119" t="str">
        <f>IF($A42="","",INDEX([1]Clasif_Pron!$G:$G,((ROW()-4)*12+7)))</f>
        <v>Japón</v>
      </c>
      <c r="AN42" s="119">
        <f>IF($A42="","",INDEX([1]Clasif_Pron!$L:$L,((ROW()-4)*12+7)))</f>
        <v>6</v>
      </c>
      <c r="AO42" s="95" t="str">
        <f>IF($A42="","",INDEX([1]Clasif_Pron!$I:$I,((ROW()-4)*12+7)))</f>
        <v>Suecia</v>
      </c>
      <c r="AP42" s="95">
        <f>IF($A42="","",INDEX([1]Clasif_Pron!$M:$M,((ROW()-4)*12+7)))</f>
        <v>5</v>
      </c>
      <c r="AQ42" s="95">
        <f>IF($A42="","",INDEX([1]Clasif_Pron!$N:$N,((ROW()-4)*12+7)))</f>
        <v>18</v>
      </c>
      <c r="AR42" s="119" t="str">
        <f>IF($A42="","",INDEX([1]Clasif_Pron!$E:$E,((ROW()-4)*12+8)))</f>
        <v>Bélgica</v>
      </c>
      <c r="AS42" s="119">
        <f>IF($A42="","",INDEX([1]Clasif_Pron!$K:$K,((ROW()-4)*12+8)))</f>
        <v>7</v>
      </c>
      <c r="AT42" s="119" t="str">
        <f>IF($A42="","",INDEX([1]Clasif_Pron!$G:$G,((ROW()-4)*12+8)))</f>
        <v>Egipto</v>
      </c>
      <c r="AU42" s="119">
        <f>IF($A42="","",INDEX([1]Clasif_Pron!$L:$L,((ROW()-4)*12+8)))</f>
        <v>6</v>
      </c>
      <c r="AV42" s="95" t="str">
        <f>IF($A42="","",INDEX([1]Clasif_Pron!$I:$I,((ROW()-4)*12+8)))</f>
        <v>Irán</v>
      </c>
      <c r="AW42" s="95">
        <f>IF($A42="","",INDEX([1]Clasif_Pron!$M:$M,((ROW()-4)*12+8)))</f>
        <v>5</v>
      </c>
      <c r="AX42" s="95">
        <f>IF($A42="","",INDEX([1]Clasif_Pron!$N:$N,((ROW()-4)*12+8)))</f>
        <v>18</v>
      </c>
      <c r="AY42" s="119" t="str">
        <f>IF($A42="","",INDEX([1]Clasif_Pron!$E:$E,((ROW()-4)*12+9)))</f>
        <v>España</v>
      </c>
      <c r="AZ42" s="119">
        <f>IF($A42="","",INDEX([1]Clasif_Pron!$K:$K,((ROW()-4)*12+9)))</f>
        <v>7</v>
      </c>
      <c r="BA42" s="119" t="str">
        <f>IF($A42="","",INDEX([1]Clasif_Pron!$G:$G,((ROW()-4)*12+9)))</f>
        <v>Uruguay</v>
      </c>
      <c r="BB42" s="119">
        <f>IF($A42="","",INDEX([1]Clasif_Pron!$L:$L,((ROW()-4)*12+9)))</f>
        <v>0</v>
      </c>
      <c r="BC42" s="119" t="str">
        <f>IF($A42="","",INDEX([1]Clasif_Pron!$I:$I,((ROW()-4)*12+9)))</f>
        <v>Arabia Saudita</v>
      </c>
      <c r="BD42" s="119">
        <f>IF($A42="","",INDEX([1]Clasif_Pron!$M:$M,((ROW()-4)*12+9)))</f>
        <v>0</v>
      </c>
      <c r="BE42" s="119">
        <f>IF($A42="","",INDEX([1]Clasif_Pron!$N:$N,((ROW()-4)*12+9)))</f>
        <v>7</v>
      </c>
      <c r="BF42" s="119" t="str">
        <f>IF($A42="","",INDEX([1]Clasif_Pron!$E:$E,((ROW()-4)*12+10)))</f>
        <v>Francia</v>
      </c>
      <c r="BG42" s="119">
        <f>IF($A42="","",INDEX([1]Clasif_Pron!$K:$K,((ROW()-4)*12+10)))</f>
        <v>7</v>
      </c>
      <c r="BH42" s="119" t="str">
        <f>IF($A42="","",INDEX([1]Clasif_Pron!$G:$G,((ROW()-4)*12+10)))</f>
        <v>Noruega</v>
      </c>
      <c r="BI42" s="119">
        <f>IF($A42="","",INDEX([1]Clasif_Pron!$L:$L,((ROW()-4)*12+10)))</f>
        <v>6</v>
      </c>
      <c r="BJ42" s="95" t="str">
        <f>IF($A42="","",INDEX([1]Clasif_Pron!$I:$I,((ROW()-4)*12+10)))</f>
        <v>Senegal</v>
      </c>
      <c r="BK42" s="95">
        <f>IF($A42="","",INDEX([1]Clasif_Pron!$M:$M,((ROW()-4)*12+10)))</f>
        <v>5</v>
      </c>
      <c r="BL42" s="95">
        <f>IF($A42="","",INDEX([1]Clasif_Pron!$N:$N,((ROW()-4)*12+10)))</f>
        <v>18</v>
      </c>
      <c r="BM42" s="119" t="str">
        <f>IF($A42="","",INDEX([1]Clasif_Pron!$E:$E,((ROW()-4)*12+11)))</f>
        <v>Argentina</v>
      </c>
      <c r="BN42" s="119">
        <f>IF($A42="","",INDEX([1]Clasif_Pron!$K:$K,((ROW()-4)*12+11)))</f>
        <v>7</v>
      </c>
      <c r="BO42" s="95" t="str">
        <f>IF($A42="","",INDEX([1]Clasif_Pron!$G:$G,((ROW()-4)*12+11)))</f>
        <v>Argelia</v>
      </c>
      <c r="BP42" s="95">
        <f>IF($A42="","",INDEX([1]Clasif_Pron!$L:$L,((ROW()-4)*12+11)))</f>
        <v>0</v>
      </c>
      <c r="BQ42" s="95" t="str">
        <f>IF($A42="","",INDEX([1]Clasif_Pron!$I:$I,((ROW()-4)*12+11)))</f>
        <v>Austria</v>
      </c>
      <c r="BR42" s="95">
        <f>IF($A42="","",INDEX([1]Clasif_Pron!$M:$M,((ROW()-4)*12+11)))</f>
        <v>3</v>
      </c>
      <c r="BS42" s="95">
        <f>IF($A42="","",INDEX([1]Clasif_Pron!$N:$N,((ROW()-4)*12+11)))</f>
        <v>10</v>
      </c>
      <c r="BT42" s="95" t="str">
        <f>IF($A42="","",INDEX([1]Clasif_Pron!$E:$E,((ROW()-4)*12+12)))</f>
        <v>Portugal</v>
      </c>
      <c r="BU42" s="95">
        <f>IF($A42="","",INDEX([1]Clasif_Pron!$K:$K,((ROW()-4)*12+12)))</f>
        <v>3</v>
      </c>
      <c r="BV42" s="95" t="str">
        <f>IF($A42="","",INDEX([1]Clasif_Pron!$G:$G,((ROW()-4)*12+12)))</f>
        <v>Colombia</v>
      </c>
      <c r="BW42" s="95">
        <f>IF($A42="","",INDEX([1]Clasif_Pron!$L:$L,((ROW()-4)*12+12)))</f>
        <v>3</v>
      </c>
      <c r="BX42" s="95" t="str">
        <f>IF($A42="","",INDEX([1]Clasif_Pron!$I:$I,((ROW()-4)*12+12)))</f>
        <v>RD Congo</v>
      </c>
      <c r="BY42" s="95">
        <f>IF($A42="","",INDEX([1]Clasif_Pron!$M:$M,((ROW()-4)*12+12)))</f>
        <v>0</v>
      </c>
      <c r="BZ42" s="95">
        <f>IF($A42="","",INDEX([1]Clasif_Pron!$N:$N,((ROW()-4)*12+12)))</f>
        <v>6</v>
      </c>
      <c r="CA42" s="95" t="str">
        <f>IF($A42="","",INDEX([1]Clasif_Pron!$E:$E,((ROW()-4)*12+13)))</f>
        <v>Inglaterra</v>
      </c>
      <c r="CB42" s="95">
        <f>IF($A42="","",INDEX([1]Clasif_Pron!$K:$K,((ROW()-4)*12+13)))</f>
        <v>7</v>
      </c>
      <c r="CC42" s="95" t="str">
        <f>IF($A42="","",INDEX([1]Clasif_Pron!$G:$G,((ROW()-4)*12+13)))</f>
        <v>Croacia</v>
      </c>
      <c r="CD42" s="95">
        <f>IF($A42="","",INDEX([1]Clasif_Pron!$L:$L,((ROW()-4)*12+13)))</f>
        <v>3</v>
      </c>
      <c r="CE42" s="95" t="str">
        <f>IF($A42="","",INDEX([1]Clasif_Pron!$I:$I,((ROW()-4)*12+13)))</f>
        <v>Ghana</v>
      </c>
      <c r="CF42" s="95">
        <f>IF($A42="","",INDEX([1]Clasif_Pron!$M:$M,((ROW()-4)*12+13)))</f>
        <v>3</v>
      </c>
      <c r="CG42" s="95">
        <f>IF($A42="","",INDEX([1]Clasif_Pron!$N:$N,((ROW()-4)*12+13)))</f>
        <v>13</v>
      </c>
      <c r="CH42" s="96">
        <f t="shared" si="0"/>
        <v>143</v>
      </c>
    </row>
    <row r="43" spans="1:86" ht="20.25" customHeight="1" x14ac:dyDescent="0.3">
      <c r="A43" s="94" t="str">
        <f>[1]Participantes!B41</f>
        <v>Nefreteri</v>
      </c>
      <c r="B43" s="95" t="str">
        <f>IF($A43="","",INDEX([1]Clasif_Pron!$E:$E,((ROW()-4)*12+2)))</f>
        <v>Corea República</v>
      </c>
      <c r="C43" s="95">
        <f>IF($A43="","",INDEX([1]Clasif_Pron!$K:$K,((ROW()-4)*12+2)))</f>
        <v>3</v>
      </c>
      <c r="D43" s="119" t="str">
        <f>IF($A43="","",INDEX([1]Clasif_Pron!$G:$G,((ROW()-4)*12+2)))</f>
        <v>Sudáfrica</v>
      </c>
      <c r="E43" s="119">
        <f>IF($A43="","",INDEX([1]Clasif_Pron!$L:$L,((ROW()-4)*12+2)))</f>
        <v>6</v>
      </c>
      <c r="F43" s="119" t="str">
        <f>IF($A43="","",INDEX([1]Clasif_Pron!$I:$I,((ROW()-4)*12+2)))</f>
        <v>México</v>
      </c>
      <c r="G43" s="119">
        <f>IF($A43="","",INDEX([1]Clasif_Pron!$M:$M,((ROW()-4)*12+2)))</f>
        <v>3</v>
      </c>
      <c r="H43" s="95">
        <f>IF($A43="","",INDEX([1]Clasif_Pron!$N:$N,((ROW()-4)*12+2)))</f>
        <v>12</v>
      </c>
      <c r="I43" s="119" t="str">
        <f>IF($A43="","",INDEX([1]Clasif_Pron!$E:$E,((ROW()-4)*12+3)))</f>
        <v>Suiza</v>
      </c>
      <c r="J43" s="119">
        <f>IF($A43="","",INDEX([1]Clasif_Pron!$K:$K,((ROW()-4)*12+3)))</f>
        <v>7</v>
      </c>
      <c r="K43" s="119" t="str">
        <f>IF($A43="","",INDEX([1]Clasif_Pron!$G:$G,((ROW()-4)*12+3)))</f>
        <v>Canadá</v>
      </c>
      <c r="L43" s="119">
        <f>IF($A43="","",INDEX([1]Clasif_Pron!$L:$L,((ROW()-4)*12+3)))</f>
        <v>6</v>
      </c>
      <c r="M43" s="119" t="str">
        <f>IF($A43="","",INDEX([1]Clasif_Pron!$I:$I,((ROW()-4)*12+3)))</f>
        <v>Qatar</v>
      </c>
      <c r="N43" s="119">
        <f>IF($A43="","",INDEX([1]Clasif_Pron!$M:$M,((ROW()-4)*12+3)))</f>
        <v>0</v>
      </c>
      <c r="O43" s="119">
        <f>IF($A43="","",INDEX([1]Clasif_Pron!$N:$N,((ROW()-4)*12+3)))</f>
        <v>13</v>
      </c>
      <c r="P43" s="119" t="str">
        <f>IF($A43="","",INDEX([1]Clasif_Pron!$E:$E,((ROW()-4)*12+4)))</f>
        <v>Marruecos</v>
      </c>
      <c r="Q43" s="119">
        <f>IF($A43="","",INDEX([1]Clasif_Pron!$K:$K,((ROW()-4)*12+4)))</f>
        <v>3</v>
      </c>
      <c r="R43" s="95" t="str">
        <f>IF($A43="","",INDEX([1]Clasif_Pron!$G:$G,((ROW()-4)*12+4)))</f>
        <v>Escocia</v>
      </c>
      <c r="S43" s="95">
        <f>IF($A43="","",INDEX([1]Clasif_Pron!$L:$L,((ROW()-4)*12+4)))</f>
        <v>0</v>
      </c>
      <c r="T43" s="119" t="str">
        <f>IF($A43="","",INDEX([1]Clasif_Pron!$I:$I,((ROW()-4)*12+4)))</f>
        <v>Brasil</v>
      </c>
      <c r="U43" s="119">
        <f>IF($A43="","",INDEX([1]Clasif_Pron!$M:$M,((ROW()-4)*12+4)))</f>
        <v>3</v>
      </c>
      <c r="V43" s="95">
        <f>IF($A43="","",INDEX([1]Clasif_Pron!$N:$N,((ROW()-4)*12+4)))</f>
        <v>6</v>
      </c>
      <c r="W43" s="119" t="str">
        <f>IF($A43="","",INDEX([1]Clasif_Pron!$E:$E,((ROW()-4)*12+5)))</f>
        <v>Australia</v>
      </c>
      <c r="X43" s="119">
        <f>IF($A43="","",INDEX([1]Clasif_Pron!$K:$K,((ROW()-4)*12+5)))</f>
        <v>3</v>
      </c>
      <c r="Y43" s="119" t="str">
        <f>IF($A43="","",INDEX([1]Clasif_Pron!$G:$G,((ROW()-4)*12+5)))</f>
        <v>Türkiye</v>
      </c>
      <c r="Z43" s="119">
        <f>IF($A43="","",INDEX([1]Clasif_Pron!$L:$L,((ROW()-4)*12+5)))</f>
        <v>0</v>
      </c>
      <c r="AA43" s="95" t="str">
        <f>IF($A43="","",INDEX([1]Clasif_Pron!$I:$I,((ROW()-4)*12+5)))</f>
        <v>Paraguay</v>
      </c>
      <c r="AB43" s="95">
        <f>IF($A43="","",INDEX([1]Clasif_Pron!$M:$M,((ROW()-4)*12+5)))</f>
        <v>5</v>
      </c>
      <c r="AC43" s="95">
        <f>IF($A43="","",INDEX([1]Clasif_Pron!$N:$N,((ROW()-4)*12+5)))</f>
        <v>8</v>
      </c>
      <c r="AD43" s="119" t="str">
        <f>IF($A43="","",INDEX([1]Clasif_Pron!$E:$E,((ROW()-4)*12+6)))</f>
        <v>Alemania</v>
      </c>
      <c r="AE43" s="119">
        <f>IF($A43="","",INDEX([1]Clasif_Pron!$K:$K,((ROW()-4)*12+6)))</f>
        <v>7</v>
      </c>
      <c r="AF43" s="119" t="str">
        <f>IF($A43="","",INDEX([1]Clasif_Pron!$G:$G,((ROW()-4)*12+6)))</f>
        <v>Costa de Marfil</v>
      </c>
      <c r="AG43" s="119">
        <f>IF($A43="","",INDEX([1]Clasif_Pron!$L:$L,((ROW()-4)*12+6)))</f>
        <v>6</v>
      </c>
      <c r="AH43" s="119" t="str">
        <f>IF($A43="","",INDEX([1]Clasif_Pron!$I:$I,((ROW()-4)*12+6)))</f>
        <v>Curazao</v>
      </c>
      <c r="AI43" s="119">
        <f>IF($A43="","",INDEX([1]Clasif_Pron!$M:$M,((ROW()-4)*12+6)))</f>
        <v>0</v>
      </c>
      <c r="AJ43" s="119">
        <f>IF($A43="","",INDEX([1]Clasif_Pron!$N:$N,((ROW()-4)*12+6)))</f>
        <v>13</v>
      </c>
      <c r="AK43" s="119" t="str">
        <f>IF($A43="","",INDEX([1]Clasif_Pron!$E:$E,((ROW()-4)*12+7)))</f>
        <v>Países Bajos</v>
      </c>
      <c r="AL43" s="119">
        <f>IF($A43="","",INDEX([1]Clasif_Pron!$K:$K,((ROW()-4)*12+7)))</f>
        <v>7</v>
      </c>
      <c r="AM43" s="95" t="str">
        <f>IF($A43="","",INDEX([1]Clasif_Pron!$G:$G,((ROW()-4)*12+7)))</f>
        <v>Suecia</v>
      </c>
      <c r="AN43" s="95">
        <f>IF($A43="","",INDEX([1]Clasif_Pron!$L:$L,((ROW()-4)*12+7)))</f>
        <v>3</v>
      </c>
      <c r="AO43" s="119" t="str">
        <f>IF($A43="","",INDEX([1]Clasif_Pron!$I:$I,((ROW()-4)*12+7)))</f>
        <v>Japón</v>
      </c>
      <c r="AP43" s="119">
        <f>IF($A43="","",INDEX([1]Clasif_Pron!$M:$M,((ROW()-4)*12+7)))</f>
        <v>3</v>
      </c>
      <c r="AQ43" s="95">
        <f>IF($A43="","",INDEX([1]Clasif_Pron!$N:$N,((ROW()-4)*12+7)))</f>
        <v>13</v>
      </c>
      <c r="AR43" s="119" t="str">
        <f>IF($A43="","",INDEX([1]Clasif_Pron!$E:$E,((ROW()-4)*12+8)))</f>
        <v>Bélgica</v>
      </c>
      <c r="AS43" s="119">
        <f>IF($A43="","",INDEX([1]Clasif_Pron!$K:$K,((ROW()-4)*12+8)))</f>
        <v>7</v>
      </c>
      <c r="AT43" s="119" t="str">
        <f>IF($A43="","",INDEX([1]Clasif_Pron!$G:$G,((ROW()-4)*12+8)))</f>
        <v>Nueva Zelanda</v>
      </c>
      <c r="AU43" s="119">
        <f>IF($A43="","",INDEX([1]Clasif_Pron!$L:$L,((ROW()-4)*12+8)))</f>
        <v>0</v>
      </c>
      <c r="AV43" s="119" t="str">
        <f>IF($A43="","",INDEX([1]Clasif_Pron!$I:$I,((ROW()-4)*12+8)))</f>
        <v>Egipto</v>
      </c>
      <c r="AW43" s="119">
        <f>IF($A43="","",INDEX([1]Clasif_Pron!$M:$M,((ROW()-4)*12+8)))</f>
        <v>3</v>
      </c>
      <c r="AX43" s="119">
        <f>IF($A43="","",INDEX([1]Clasif_Pron!$N:$N,((ROW()-4)*12+8)))</f>
        <v>10</v>
      </c>
      <c r="AY43" s="119" t="str">
        <f>IF($A43="","",INDEX([1]Clasif_Pron!$E:$E,((ROW()-4)*12+9)))</f>
        <v>Uruguay</v>
      </c>
      <c r="AZ43" s="119">
        <f>IF($A43="","",INDEX([1]Clasif_Pron!$K:$K,((ROW()-4)*12+9)))</f>
        <v>0</v>
      </c>
      <c r="BA43" s="119" t="str">
        <f>IF($A43="","",INDEX([1]Clasif_Pron!$G:$G,((ROW()-4)*12+9)))</f>
        <v>España</v>
      </c>
      <c r="BB43" s="119">
        <f>IF($A43="","",INDEX([1]Clasif_Pron!$L:$L,((ROW()-4)*12+9)))</f>
        <v>3</v>
      </c>
      <c r="BC43" s="119" t="str">
        <f>IF($A43="","",INDEX([1]Clasif_Pron!$I:$I,((ROW()-4)*12+9)))</f>
        <v>Arabia Saudita</v>
      </c>
      <c r="BD43" s="119">
        <f>IF($A43="","",INDEX([1]Clasif_Pron!$M:$M,((ROW()-4)*12+9)))</f>
        <v>0</v>
      </c>
      <c r="BE43" s="119">
        <f>IF($A43="","",INDEX([1]Clasif_Pron!$N:$N,((ROW()-4)*12+9)))</f>
        <v>3</v>
      </c>
      <c r="BF43" s="119" t="str">
        <f>IF($A43="","",INDEX([1]Clasif_Pron!$E:$E,((ROW()-4)*12+10)))</f>
        <v>Francia</v>
      </c>
      <c r="BG43" s="119">
        <f>IF($A43="","",INDEX([1]Clasif_Pron!$K:$K,((ROW()-4)*12+10)))</f>
        <v>7</v>
      </c>
      <c r="BH43" s="119" t="str">
        <f>IF($A43="","",INDEX([1]Clasif_Pron!$G:$G,((ROW()-4)*12+10)))</f>
        <v>Noruega</v>
      </c>
      <c r="BI43" s="119">
        <f>IF($A43="","",INDEX([1]Clasif_Pron!$L:$L,((ROW()-4)*12+10)))</f>
        <v>6</v>
      </c>
      <c r="BJ43" s="95" t="str">
        <f>IF($A43="","",INDEX([1]Clasif_Pron!$I:$I,((ROW()-4)*12+10)))</f>
        <v>Senegal</v>
      </c>
      <c r="BK43" s="95">
        <f>IF($A43="","",INDEX([1]Clasif_Pron!$M:$M,((ROW()-4)*12+10)))</f>
        <v>5</v>
      </c>
      <c r="BL43" s="95">
        <f>IF($A43="","",INDEX([1]Clasif_Pron!$N:$N,((ROW()-4)*12+10)))</f>
        <v>18</v>
      </c>
      <c r="BM43" s="119" t="str">
        <f>IF($A43="","",INDEX([1]Clasif_Pron!$E:$E,((ROW()-4)*12+11)))</f>
        <v>Argentina</v>
      </c>
      <c r="BN43" s="119">
        <f>IF($A43="","",INDEX([1]Clasif_Pron!$K:$K,((ROW()-4)*12+11)))</f>
        <v>7</v>
      </c>
      <c r="BO43" s="95" t="str">
        <f>IF($A43="","",INDEX([1]Clasif_Pron!$G:$G,((ROW()-4)*12+11)))</f>
        <v>Austria</v>
      </c>
      <c r="BP43" s="95">
        <f>IF($A43="","",INDEX([1]Clasif_Pron!$L:$L,((ROW()-4)*12+11)))</f>
        <v>6</v>
      </c>
      <c r="BQ43" s="119" t="str">
        <f>IF($A43="","",INDEX([1]Clasif_Pron!$I:$I,((ROW()-4)*12+11)))</f>
        <v>Jordania</v>
      </c>
      <c r="BR43" s="119">
        <f>IF($A43="","",INDEX([1]Clasif_Pron!$M:$M,((ROW()-4)*12+11)))</f>
        <v>0</v>
      </c>
      <c r="BS43" s="95">
        <f>IF($A43="","",INDEX([1]Clasif_Pron!$N:$N,((ROW()-4)*12+11)))</f>
        <v>13</v>
      </c>
      <c r="BT43" s="95" t="str">
        <f>IF($A43="","",INDEX([1]Clasif_Pron!$E:$E,((ROW()-4)*12+12)))</f>
        <v>Portugal</v>
      </c>
      <c r="BU43" s="95">
        <f>IF($A43="","",INDEX([1]Clasif_Pron!$K:$K,((ROW()-4)*12+12)))</f>
        <v>3</v>
      </c>
      <c r="BV43" s="95" t="str">
        <f>IF($A43="","",INDEX([1]Clasif_Pron!$G:$G,((ROW()-4)*12+12)))</f>
        <v>Colombia</v>
      </c>
      <c r="BW43" s="95">
        <f>IF($A43="","",INDEX([1]Clasif_Pron!$L:$L,((ROW()-4)*12+12)))</f>
        <v>3</v>
      </c>
      <c r="BX43" s="95" t="str">
        <f>IF($A43="","",INDEX([1]Clasif_Pron!$I:$I,((ROW()-4)*12+12)))</f>
        <v>RD Congo</v>
      </c>
      <c r="BY43" s="95">
        <f>IF($A43="","",INDEX([1]Clasif_Pron!$M:$M,((ROW()-4)*12+12)))</f>
        <v>0</v>
      </c>
      <c r="BZ43" s="95">
        <f>IF($A43="","",INDEX([1]Clasif_Pron!$N:$N,((ROW()-4)*12+12)))</f>
        <v>6</v>
      </c>
      <c r="CA43" s="95" t="str">
        <f>IF($A43="","",INDEX([1]Clasif_Pron!$E:$E,((ROW()-4)*12+13)))</f>
        <v>Inglaterra</v>
      </c>
      <c r="CB43" s="95">
        <f>IF($A43="","",INDEX([1]Clasif_Pron!$K:$K,((ROW()-4)*12+13)))</f>
        <v>7</v>
      </c>
      <c r="CC43" s="95" t="str">
        <f>IF($A43="","",INDEX([1]Clasif_Pron!$G:$G,((ROW()-4)*12+13)))</f>
        <v>Croacia</v>
      </c>
      <c r="CD43" s="95">
        <f>IF($A43="","",INDEX([1]Clasif_Pron!$L:$L,((ROW()-4)*12+13)))</f>
        <v>3</v>
      </c>
      <c r="CE43" s="95" t="str">
        <f>IF($A43="","",INDEX([1]Clasif_Pron!$I:$I,((ROW()-4)*12+13)))</f>
        <v>Panamá</v>
      </c>
      <c r="CF43" s="95">
        <f>IF($A43="","",INDEX([1]Clasif_Pron!$M:$M,((ROW()-4)*12+13)))</f>
        <v>0</v>
      </c>
      <c r="CG43" s="95">
        <f>IF($A43="","",INDEX([1]Clasif_Pron!$N:$N,((ROW()-4)*12+13)))</f>
        <v>10</v>
      </c>
      <c r="CH43" s="96">
        <f t="shared" si="0"/>
        <v>125</v>
      </c>
    </row>
    <row r="44" spans="1:86" ht="20.25" customHeight="1" x14ac:dyDescent="0.3">
      <c r="A44" s="94" t="str">
        <f>[1]Participantes!B42</f>
        <v>Ninoshka</v>
      </c>
      <c r="B44" s="95" t="str">
        <f>IF($A44="","",INDEX([1]Clasif_Pron!$E:$E,((ROW()-4)*12+2)))</f>
        <v>Corea República</v>
      </c>
      <c r="C44" s="95">
        <f>IF($A44="","",INDEX([1]Clasif_Pron!$K:$K,((ROW()-4)*12+2)))</f>
        <v>3</v>
      </c>
      <c r="D44" s="119" t="str">
        <f>IF($A44="","",INDEX([1]Clasif_Pron!$G:$G,((ROW()-4)*12+2)))</f>
        <v>Chequia</v>
      </c>
      <c r="E44" s="119">
        <f>IF($A44="","",INDEX([1]Clasif_Pron!$L:$L,((ROW()-4)*12+2)))</f>
        <v>0</v>
      </c>
      <c r="F44" s="119" t="str">
        <f>IF($A44="","",INDEX([1]Clasif_Pron!$I:$I,((ROW()-4)*12+2)))</f>
        <v>México</v>
      </c>
      <c r="G44" s="119">
        <f>IF($A44="","",INDEX([1]Clasif_Pron!$M:$M,((ROW()-4)*12+2)))</f>
        <v>3</v>
      </c>
      <c r="H44" s="95">
        <f>IF($A44="","",INDEX([1]Clasif_Pron!$N:$N,((ROW()-4)*12+2)))</f>
        <v>6</v>
      </c>
      <c r="I44" s="119" t="str">
        <f>IF($A44="","",INDEX([1]Clasif_Pron!$E:$E,((ROW()-4)*12+3)))</f>
        <v>Canadá</v>
      </c>
      <c r="J44" s="119">
        <f>IF($A44="","",INDEX([1]Clasif_Pron!$K:$K,((ROW()-4)*12+3)))</f>
        <v>3</v>
      </c>
      <c r="K44" s="119" t="str">
        <f>IF($A44="","",INDEX([1]Clasif_Pron!$G:$G,((ROW()-4)*12+3)))</f>
        <v>Suiza</v>
      </c>
      <c r="L44" s="119">
        <f>IF($A44="","",INDEX([1]Clasif_Pron!$L:$L,((ROW()-4)*12+3)))</f>
        <v>3</v>
      </c>
      <c r="M44" s="119" t="str">
        <f>IF($A44="","",INDEX([1]Clasif_Pron!$I:$I,((ROW()-4)*12+3)))</f>
        <v>Bosnia y Herzegovina</v>
      </c>
      <c r="N44" s="119">
        <f>IF($A44="","",INDEX([1]Clasif_Pron!$M:$M,((ROW()-4)*12+3)))</f>
        <v>5</v>
      </c>
      <c r="O44" s="119">
        <f>IF($A44="","",INDEX([1]Clasif_Pron!$N:$N,((ROW()-4)*12+3)))</f>
        <v>11</v>
      </c>
      <c r="P44" s="119" t="str">
        <f>IF($A44="","",INDEX([1]Clasif_Pron!$E:$E,((ROW()-4)*12+4)))</f>
        <v>Brasil</v>
      </c>
      <c r="Q44" s="119">
        <f>IF($A44="","",INDEX([1]Clasif_Pron!$K:$K,((ROW()-4)*12+4)))</f>
        <v>7</v>
      </c>
      <c r="R44" s="119" t="str">
        <f>IF($A44="","",INDEX([1]Clasif_Pron!$G:$G,((ROW()-4)*12+4)))</f>
        <v>Marruecos</v>
      </c>
      <c r="S44" s="119">
        <f>IF($A44="","",INDEX([1]Clasif_Pron!$L:$L,((ROW()-4)*12+4)))</f>
        <v>6</v>
      </c>
      <c r="T44" s="95" t="str">
        <f>IF($A44="","",INDEX([1]Clasif_Pron!$I:$I,((ROW()-4)*12+4)))</f>
        <v>Escocia</v>
      </c>
      <c r="U44" s="95">
        <f>IF($A44="","",INDEX([1]Clasif_Pron!$M:$M,((ROW()-4)*12+4)))</f>
        <v>0</v>
      </c>
      <c r="V44" s="95">
        <f>IF($A44="","",INDEX([1]Clasif_Pron!$N:$N,((ROW()-4)*12+4)))</f>
        <v>13</v>
      </c>
      <c r="W44" s="95" t="str">
        <f>IF($A44="","",INDEX([1]Clasif_Pron!$E:$E,((ROW()-4)*12+5)))</f>
        <v>Paraguay</v>
      </c>
      <c r="X44" s="95">
        <f>IF($A44="","",INDEX([1]Clasif_Pron!$K:$K,((ROW()-4)*12+5)))</f>
        <v>3</v>
      </c>
      <c r="Y44" s="119" t="str">
        <f>IF($A44="","",INDEX([1]Clasif_Pron!$G:$G,((ROW()-4)*12+5)))</f>
        <v>Türkiye</v>
      </c>
      <c r="Z44" s="119">
        <f>IF($A44="","",INDEX([1]Clasif_Pron!$L:$L,((ROW()-4)*12+5)))</f>
        <v>0</v>
      </c>
      <c r="AA44" s="119" t="str">
        <f>IF($A44="","",INDEX([1]Clasif_Pron!$I:$I,((ROW()-4)*12+5)))</f>
        <v>Estados Unidos</v>
      </c>
      <c r="AB44" s="119">
        <f>IF($A44="","",INDEX([1]Clasif_Pron!$M:$M,((ROW()-4)*12+5)))</f>
        <v>3</v>
      </c>
      <c r="AC44" s="95">
        <f>IF($A44="","",INDEX([1]Clasif_Pron!$N:$N,((ROW()-4)*12+5)))</f>
        <v>6</v>
      </c>
      <c r="AD44" s="119" t="str">
        <f>IF($A44="","",INDEX([1]Clasif_Pron!$E:$E,((ROW()-4)*12+6)))</f>
        <v>Alemania</v>
      </c>
      <c r="AE44" s="119">
        <f>IF($A44="","",INDEX([1]Clasif_Pron!$K:$K,((ROW()-4)*12+6)))</f>
        <v>7</v>
      </c>
      <c r="AF44" s="95" t="str">
        <f>IF($A44="","",INDEX([1]Clasif_Pron!$G:$G,((ROW()-4)*12+6)))</f>
        <v>Ecuador</v>
      </c>
      <c r="AG44" s="95">
        <f>IF($A44="","",INDEX([1]Clasif_Pron!$L:$L,((ROW()-4)*12+6)))</f>
        <v>3</v>
      </c>
      <c r="AH44" s="119" t="str">
        <f>IF($A44="","",INDEX([1]Clasif_Pron!$I:$I,((ROW()-4)*12+6)))</f>
        <v>Costa de Marfil</v>
      </c>
      <c r="AI44" s="119">
        <f>IF($A44="","",INDEX([1]Clasif_Pron!$M:$M,((ROW()-4)*12+6)))</f>
        <v>3</v>
      </c>
      <c r="AJ44" s="95">
        <f>IF($A44="","",INDEX([1]Clasif_Pron!$N:$N,((ROW()-4)*12+6)))</f>
        <v>13</v>
      </c>
      <c r="AK44" s="119" t="str">
        <f>IF($A44="","",INDEX([1]Clasif_Pron!$E:$E,((ROW()-4)*12+7)))</f>
        <v>Países Bajos</v>
      </c>
      <c r="AL44" s="119">
        <f>IF($A44="","",INDEX([1]Clasif_Pron!$K:$K,((ROW()-4)*12+7)))</f>
        <v>7</v>
      </c>
      <c r="AM44" s="119" t="str">
        <f>IF($A44="","",INDEX([1]Clasif_Pron!$G:$G,((ROW()-4)*12+7)))</f>
        <v>Japón</v>
      </c>
      <c r="AN44" s="119">
        <f>IF($A44="","",INDEX([1]Clasif_Pron!$L:$L,((ROW()-4)*12+7)))</f>
        <v>6</v>
      </c>
      <c r="AO44" s="95" t="str">
        <f>IF($A44="","",INDEX([1]Clasif_Pron!$I:$I,((ROW()-4)*12+7)))</f>
        <v>Suecia</v>
      </c>
      <c r="AP44" s="95">
        <f>IF($A44="","",INDEX([1]Clasif_Pron!$M:$M,((ROW()-4)*12+7)))</f>
        <v>5</v>
      </c>
      <c r="AQ44" s="95">
        <f>IF($A44="","",INDEX([1]Clasif_Pron!$N:$N,((ROW()-4)*12+7)))</f>
        <v>18</v>
      </c>
      <c r="AR44" s="119" t="str">
        <f>IF($A44="","",INDEX([1]Clasif_Pron!$E:$E,((ROW()-4)*12+8)))</f>
        <v>Bélgica</v>
      </c>
      <c r="AS44" s="119">
        <f>IF($A44="","",INDEX([1]Clasif_Pron!$K:$K,((ROW()-4)*12+8)))</f>
        <v>7</v>
      </c>
      <c r="AT44" s="119" t="str">
        <f>IF($A44="","",INDEX([1]Clasif_Pron!$G:$G,((ROW()-4)*12+8)))</f>
        <v>Egipto</v>
      </c>
      <c r="AU44" s="119">
        <f>IF($A44="","",INDEX([1]Clasif_Pron!$L:$L,((ROW()-4)*12+8)))</f>
        <v>6</v>
      </c>
      <c r="AV44" s="95" t="str">
        <f>IF($A44="","",INDEX([1]Clasif_Pron!$I:$I,((ROW()-4)*12+8)))</f>
        <v>Irán</v>
      </c>
      <c r="AW44" s="95">
        <f>IF($A44="","",INDEX([1]Clasif_Pron!$M:$M,((ROW()-4)*12+8)))</f>
        <v>5</v>
      </c>
      <c r="AX44" s="95">
        <f>IF($A44="","",INDEX([1]Clasif_Pron!$N:$N,((ROW()-4)*12+8)))</f>
        <v>18</v>
      </c>
      <c r="AY44" s="119" t="str">
        <f>IF($A44="","",INDEX([1]Clasif_Pron!$E:$E,((ROW()-4)*12+9)))</f>
        <v>España</v>
      </c>
      <c r="AZ44" s="119">
        <f>IF($A44="","",INDEX([1]Clasif_Pron!$K:$K,((ROW()-4)*12+9)))</f>
        <v>7</v>
      </c>
      <c r="BA44" s="119" t="str">
        <f>IF($A44="","",INDEX([1]Clasif_Pron!$G:$G,((ROW()-4)*12+9)))</f>
        <v>Uruguay</v>
      </c>
      <c r="BB44" s="119">
        <f>IF($A44="","",INDEX([1]Clasif_Pron!$L:$L,((ROW()-4)*12+9)))</f>
        <v>0</v>
      </c>
      <c r="BC44" s="119" t="str">
        <f>IF($A44="","",INDEX([1]Clasif_Pron!$I:$I,((ROW()-4)*12+9)))</f>
        <v>Arabia Saudita</v>
      </c>
      <c r="BD44" s="119">
        <f>IF($A44="","",INDEX([1]Clasif_Pron!$M:$M,((ROW()-4)*12+9)))</f>
        <v>0</v>
      </c>
      <c r="BE44" s="119">
        <f>IF($A44="","",INDEX([1]Clasif_Pron!$N:$N,((ROW()-4)*12+9)))</f>
        <v>7</v>
      </c>
      <c r="BF44" s="119" t="str">
        <f>IF($A44="","",INDEX([1]Clasif_Pron!$E:$E,((ROW()-4)*12+10)))</f>
        <v>Francia</v>
      </c>
      <c r="BG44" s="119">
        <f>IF($A44="","",INDEX([1]Clasif_Pron!$K:$K,((ROW()-4)*12+10)))</f>
        <v>7</v>
      </c>
      <c r="BH44" s="119" t="str">
        <f>IF($A44="","",INDEX([1]Clasif_Pron!$G:$G,((ROW()-4)*12+10)))</f>
        <v>Noruega</v>
      </c>
      <c r="BI44" s="119">
        <f>IF($A44="","",INDEX([1]Clasif_Pron!$L:$L,((ROW()-4)*12+10)))</f>
        <v>6</v>
      </c>
      <c r="BJ44" s="95" t="str">
        <f>IF($A44="","",INDEX([1]Clasif_Pron!$I:$I,((ROW()-4)*12+10)))</f>
        <v>Senegal</v>
      </c>
      <c r="BK44" s="95">
        <f>IF($A44="","",INDEX([1]Clasif_Pron!$M:$M,((ROW()-4)*12+10)))</f>
        <v>5</v>
      </c>
      <c r="BL44" s="95">
        <f>IF($A44="","",INDEX([1]Clasif_Pron!$N:$N,((ROW()-4)*12+10)))</f>
        <v>18</v>
      </c>
      <c r="BM44" s="119" t="str">
        <f>IF($A44="","",INDEX([1]Clasif_Pron!$E:$E,((ROW()-4)*12+11)))</f>
        <v>Argentina</v>
      </c>
      <c r="BN44" s="119">
        <f>IF($A44="","",INDEX([1]Clasif_Pron!$K:$K,((ROW()-4)*12+11)))</f>
        <v>7</v>
      </c>
      <c r="BO44" s="95" t="str">
        <f>IF($A44="","",INDEX([1]Clasif_Pron!$G:$G,((ROW()-4)*12+11)))</f>
        <v>Austria</v>
      </c>
      <c r="BP44" s="95">
        <f>IF($A44="","",INDEX([1]Clasif_Pron!$L:$L,((ROW()-4)*12+11)))</f>
        <v>6</v>
      </c>
      <c r="BQ44" s="95" t="str">
        <f>IF($A44="","",INDEX([1]Clasif_Pron!$I:$I,((ROW()-4)*12+11)))</f>
        <v>Argelia</v>
      </c>
      <c r="BR44" s="95">
        <f>IF($A44="","",INDEX([1]Clasif_Pron!$M:$M,((ROW()-4)*12+11)))</f>
        <v>0</v>
      </c>
      <c r="BS44" s="95">
        <f>IF($A44="","",INDEX([1]Clasif_Pron!$N:$N,((ROW()-4)*12+11)))</f>
        <v>13</v>
      </c>
      <c r="BT44" s="95" t="str">
        <f>IF($A44="","",INDEX([1]Clasif_Pron!$E:$E,((ROW()-4)*12+12)))</f>
        <v>Portugal</v>
      </c>
      <c r="BU44" s="95">
        <f>IF($A44="","",INDEX([1]Clasif_Pron!$K:$K,((ROW()-4)*12+12)))</f>
        <v>3</v>
      </c>
      <c r="BV44" s="95" t="str">
        <f>IF($A44="","",INDEX([1]Clasif_Pron!$G:$G,((ROW()-4)*12+12)))</f>
        <v>Colombia</v>
      </c>
      <c r="BW44" s="95">
        <f>IF($A44="","",INDEX([1]Clasif_Pron!$L:$L,((ROW()-4)*12+12)))</f>
        <v>3</v>
      </c>
      <c r="BX44" s="95" t="str">
        <f>IF($A44="","",INDEX([1]Clasif_Pron!$I:$I,((ROW()-4)*12+12)))</f>
        <v>Uzbekistán</v>
      </c>
      <c r="BY44" s="95">
        <f>IF($A44="","",INDEX([1]Clasif_Pron!$M:$M,((ROW()-4)*12+12)))</f>
        <v>0</v>
      </c>
      <c r="BZ44" s="95">
        <f>IF($A44="","",INDEX([1]Clasif_Pron!$N:$N,((ROW()-4)*12+12)))</f>
        <v>6</v>
      </c>
      <c r="CA44" s="95" t="str">
        <f>IF($A44="","",INDEX([1]Clasif_Pron!$E:$E,((ROW()-4)*12+13)))</f>
        <v>Inglaterra</v>
      </c>
      <c r="CB44" s="95">
        <f>IF($A44="","",INDEX([1]Clasif_Pron!$K:$K,((ROW()-4)*12+13)))</f>
        <v>7</v>
      </c>
      <c r="CC44" s="95" t="str">
        <f>IF($A44="","",INDEX([1]Clasif_Pron!$G:$G,((ROW()-4)*12+13)))</f>
        <v>Croacia</v>
      </c>
      <c r="CD44" s="95">
        <f>IF($A44="","",INDEX([1]Clasif_Pron!$L:$L,((ROW()-4)*12+13)))</f>
        <v>3</v>
      </c>
      <c r="CE44" s="95" t="str">
        <f>IF($A44="","",INDEX([1]Clasif_Pron!$I:$I,((ROW()-4)*12+13)))</f>
        <v>Panamá</v>
      </c>
      <c r="CF44" s="95">
        <f>IF($A44="","",INDEX([1]Clasif_Pron!$M:$M,((ROW()-4)*12+13)))</f>
        <v>0</v>
      </c>
      <c r="CG44" s="95">
        <f>IF($A44="","",INDEX([1]Clasif_Pron!$N:$N,((ROW()-4)*12+13)))</f>
        <v>10</v>
      </c>
      <c r="CH44" s="96">
        <f t="shared" si="0"/>
        <v>139</v>
      </c>
    </row>
    <row r="45" spans="1:86" ht="20.25" customHeight="1" x14ac:dyDescent="0.3">
      <c r="A45" s="94" t="str">
        <f>[1]Participantes!B43</f>
        <v>Osvaldo</v>
      </c>
      <c r="B45" s="119" t="str">
        <f>IF($A45="","",INDEX([1]Clasif_Pron!$E:$E,((ROW()-4)*12+2)))</f>
        <v>México</v>
      </c>
      <c r="C45" s="119">
        <f>IF($A45="","",INDEX([1]Clasif_Pron!$K:$K,((ROW()-4)*12+2)))</f>
        <v>7</v>
      </c>
      <c r="D45" s="95" t="str">
        <f>IF($A45="","",INDEX([1]Clasif_Pron!$G:$G,((ROW()-4)*12+2)))</f>
        <v>Corea República</v>
      </c>
      <c r="E45" s="95">
        <f>IF($A45="","",INDEX([1]Clasif_Pron!$L:$L,((ROW()-4)*12+2)))</f>
        <v>3</v>
      </c>
      <c r="F45" s="119" t="str">
        <f>IF($A45="","",INDEX([1]Clasif_Pron!$I:$I,((ROW()-4)*12+2)))</f>
        <v>Chequia</v>
      </c>
      <c r="G45" s="119">
        <f>IF($A45="","",INDEX([1]Clasif_Pron!$M:$M,((ROW()-4)*12+2)))</f>
        <v>0</v>
      </c>
      <c r="H45" s="95">
        <f>IF($A45="","",INDEX([1]Clasif_Pron!$N:$N,((ROW()-4)*12+2)))</f>
        <v>10</v>
      </c>
      <c r="I45" s="119" t="str">
        <f>IF($A45="","",INDEX([1]Clasif_Pron!$E:$E,((ROW()-4)*12+3)))</f>
        <v>Canadá</v>
      </c>
      <c r="J45" s="119">
        <f>IF($A45="","",INDEX([1]Clasif_Pron!$K:$K,((ROW()-4)*12+3)))</f>
        <v>3</v>
      </c>
      <c r="K45" s="119" t="str">
        <f>IF($A45="","",INDEX([1]Clasif_Pron!$G:$G,((ROW()-4)*12+3)))</f>
        <v>Suiza</v>
      </c>
      <c r="L45" s="119">
        <f>IF($A45="","",INDEX([1]Clasif_Pron!$L:$L,((ROW()-4)*12+3)))</f>
        <v>3</v>
      </c>
      <c r="M45" s="119" t="str">
        <f>IF($A45="","",INDEX([1]Clasif_Pron!$I:$I,((ROW()-4)*12+3)))</f>
        <v>Qatar</v>
      </c>
      <c r="N45" s="119">
        <f>IF($A45="","",INDEX([1]Clasif_Pron!$M:$M,((ROW()-4)*12+3)))</f>
        <v>0</v>
      </c>
      <c r="O45" s="119">
        <f>IF($A45="","",INDEX([1]Clasif_Pron!$N:$N,((ROW()-4)*12+3)))</f>
        <v>6</v>
      </c>
      <c r="P45" s="119" t="str">
        <f>IF($A45="","",INDEX([1]Clasif_Pron!$E:$E,((ROW()-4)*12+4)))</f>
        <v>Brasil</v>
      </c>
      <c r="Q45" s="119">
        <f>IF($A45="","",INDEX([1]Clasif_Pron!$K:$K,((ROW()-4)*12+4)))</f>
        <v>7</v>
      </c>
      <c r="R45" s="119" t="str">
        <f>IF($A45="","",INDEX([1]Clasif_Pron!$G:$G,((ROW()-4)*12+4)))</f>
        <v>Marruecos</v>
      </c>
      <c r="S45" s="119">
        <f>IF($A45="","",INDEX([1]Clasif_Pron!$L:$L,((ROW()-4)*12+4)))</f>
        <v>6</v>
      </c>
      <c r="T45" s="95" t="str">
        <f>IF($A45="","",INDEX([1]Clasif_Pron!$I:$I,((ROW()-4)*12+4)))</f>
        <v>Escocia</v>
      </c>
      <c r="U45" s="95">
        <f>IF($A45="","",INDEX([1]Clasif_Pron!$M:$M,((ROW()-4)*12+4)))</f>
        <v>0</v>
      </c>
      <c r="V45" s="95">
        <f>IF($A45="","",INDEX([1]Clasif_Pron!$N:$N,((ROW()-4)*12+4)))</f>
        <v>13</v>
      </c>
      <c r="W45" s="119" t="str">
        <f>IF($A45="","",INDEX([1]Clasif_Pron!$E:$E,((ROW()-4)*12+5)))</f>
        <v>Estados Unidos</v>
      </c>
      <c r="X45" s="119">
        <f>IF($A45="","",INDEX([1]Clasif_Pron!$K:$K,((ROW()-4)*12+5)))</f>
        <v>7</v>
      </c>
      <c r="Y45" s="119" t="str">
        <f>IF($A45="","",INDEX([1]Clasif_Pron!$G:$G,((ROW()-4)*12+5)))</f>
        <v>Türkiye</v>
      </c>
      <c r="Z45" s="119">
        <f>IF($A45="","",INDEX([1]Clasif_Pron!$L:$L,((ROW()-4)*12+5)))</f>
        <v>0</v>
      </c>
      <c r="AA45" s="95" t="str">
        <f>IF($A45="","",INDEX([1]Clasif_Pron!$I:$I,((ROW()-4)*12+5)))</f>
        <v>Paraguay</v>
      </c>
      <c r="AB45" s="95">
        <f>IF($A45="","",INDEX([1]Clasif_Pron!$M:$M,((ROW()-4)*12+5)))</f>
        <v>5</v>
      </c>
      <c r="AC45" s="95">
        <f>IF($A45="","",INDEX([1]Clasif_Pron!$N:$N,((ROW()-4)*12+5)))</f>
        <v>12</v>
      </c>
      <c r="AD45" s="95" t="str">
        <f>IF($A45="","",INDEX([1]Clasif_Pron!$E:$E,((ROW()-4)*12+6)))</f>
        <v>Ecuador</v>
      </c>
      <c r="AE45" s="95">
        <f>IF($A45="","",INDEX([1]Clasif_Pron!$K:$K,((ROW()-4)*12+6)))</f>
        <v>3</v>
      </c>
      <c r="AF45" s="119" t="str">
        <f>IF($A45="","",INDEX([1]Clasif_Pron!$G:$G,((ROW()-4)*12+6)))</f>
        <v>Alemania</v>
      </c>
      <c r="AG45" s="119">
        <f>IF($A45="","",INDEX([1]Clasif_Pron!$L:$L,((ROW()-4)*12+6)))</f>
        <v>3</v>
      </c>
      <c r="AH45" s="119" t="str">
        <f>IF($A45="","",INDEX([1]Clasif_Pron!$I:$I,((ROW()-4)*12+6)))</f>
        <v>Costa de Marfil</v>
      </c>
      <c r="AI45" s="119">
        <f>IF($A45="","",INDEX([1]Clasif_Pron!$M:$M,((ROW()-4)*12+6)))</f>
        <v>3</v>
      </c>
      <c r="AJ45" s="95">
        <f>IF($A45="","",INDEX([1]Clasif_Pron!$N:$N,((ROW()-4)*12+6)))</f>
        <v>9</v>
      </c>
      <c r="AK45" s="119" t="str">
        <f>IF($A45="","",INDEX([1]Clasif_Pron!$E:$E,((ROW()-4)*12+7)))</f>
        <v>Países Bajos</v>
      </c>
      <c r="AL45" s="119">
        <f>IF($A45="","",INDEX([1]Clasif_Pron!$K:$K,((ROW()-4)*12+7)))</f>
        <v>7</v>
      </c>
      <c r="AM45" s="95" t="str">
        <f>IF($A45="","",INDEX([1]Clasif_Pron!$G:$G,((ROW()-4)*12+7)))</f>
        <v>Suecia</v>
      </c>
      <c r="AN45" s="95">
        <f>IF($A45="","",INDEX([1]Clasif_Pron!$L:$L,((ROW()-4)*12+7)))</f>
        <v>3</v>
      </c>
      <c r="AO45" s="119" t="str">
        <f>IF($A45="","",INDEX([1]Clasif_Pron!$I:$I,((ROW()-4)*12+7)))</f>
        <v>Japón</v>
      </c>
      <c r="AP45" s="119">
        <f>IF($A45="","",INDEX([1]Clasif_Pron!$M:$M,((ROW()-4)*12+7)))</f>
        <v>3</v>
      </c>
      <c r="AQ45" s="95">
        <f>IF($A45="","",INDEX([1]Clasif_Pron!$N:$N,((ROW()-4)*12+7)))</f>
        <v>13</v>
      </c>
      <c r="AR45" s="119" t="str">
        <f>IF($A45="","",INDEX([1]Clasif_Pron!$E:$E,((ROW()-4)*12+8)))</f>
        <v>Bélgica</v>
      </c>
      <c r="AS45" s="119">
        <f>IF($A45="","",INDEX([1]Clasif_Pron!$K:$K,((ROW()-4)*12+8)))</f>
        <v>7</v>
      </c>
      <c r="AT45" s="119" t="str">
        <f>IF($A45="","",INDEX([1]Clasif_Pron!$G:$G,((ROW()-4)*12+8)))</f>
        <v>Egipto</v>
      </c>
      <c r="AU45" s="119">
        <f>IF($A45="","",INDEX([1]Clasif_Pron!$L:$L,((ROW()-4)*12+8)))</f>
        <v>6</v>
      </c>
      <c r="AV45" s="119" t="str">
        <f>IF($A45="","",INDEX([1]Clasif_Pron!$I:$I,((ROW()-4)*12+8)))</f>
        <v>Nueva Zelanda</v>
      </c>
      <c r="AW45" s="119">
        <f>IF($A45="","",INDEX([1]Clasif_Pron!$M:$M,((ROW()-4)*12+8)))</f>
        <v>0</v>
      </c>
      <c r="AX45" s="95">
        <f>IF($A45="","",INDEX([1]Clasif_Pron!$N:$N,((ROW()-4)*12+8)))</f>
        <v>13</v>
      </c>
      <c r="AY45" s="119" t="str">
        <f>IF($A45="","",INDEX([1]Clasif_Pron!$E:$E,((ROW()-4)*12+9)))</f>
        <v>España</v>
      </c>
      <c r="AZ45" s="119">
        <f>IF($A45="","",INDEX([1]Clasif_Pron!$K:$K,((ROW()-4)*12+9)))</f>
        <v>7</v>
      </c>
      <c r="BA45" s="119" t="str">
        <f>IF($A45="","",INDEX([1]Clasif_Pron!$G:$G,((ROW()-4)*12+9)))</f>
        <v>Uruguay</v>
      </c>
      <c r="BB45" s="119">
        <f>IF($A45="","",INDEX([1]Clasif_Pron!$L:$L,((ROW()-4)*12+9)))</f>
        <v>0</v>
      </c>
      <c r="BC45" s="119" t="str">
        <f>IF($A45="","",INDEX([1]Clasif_Pron!$I:$I,((ROW()-4)*12+9)))</f>
        <v>Arabia Saudita</v>
      </c>
      <c r="BD45" s="119">
        <f>IF($A45="","",INDEX([1]Clasif_Pron!$M:$M,((ROW()-4)*12+9)))</f>
        <v>0</v>
      </c>
      <c r="BE45" s="119">
        <f>IF($A45="","",INDEX([1]Clasif_Pron!$N:$N,((ROW()-4)*12+9)))</f>
        <v>7</v>
      </c>
      <c r="BF45" s="119" t="str">
        <f>IF($A45="","",INDEX([1]Clasif_Pron!$E:$E,((ROW()-4)*12+10)))</f>
        <v>Francia</v>
      </c>
      <c r="BG45" s="119">
        <f>IF($A45="","",INDEX([1]Clasif_Pron!$K:$K,((ROW()-4)*12+10)))</f>
        <v>7</v>
      </c>
      <c r="BH45" s="119" t="str">
        <f>IF($A45="","",INDEX([1]Clasif_Pron!$G:$G,((ROW()-4)*12+10)))</f>
        <v>Noruega</v>
      </c>
      <c r="BI45" s="119">
        <f>IF($A45="","",INDEX([1]Clasif_Pron!$L:$L,((ROW()-4)*12+10)))</f>
        <v>6</v>
      </c>
      <c r="BJ45" s="95" t="str">
        <f>IF($A45="","",INDEX([1]Clasif_Pron!$I:$I,((ROW()-4)*12+10)))</f>
        <v>Senegal</v>
      </c>
      <c r="BK45" s="95">
        <f>IF($A45="","",INDEX([1]Clasif_Pron!$M:$M,((ROW()-4)*12+10)))</f>
        <v>5</v>
      </c>
      <c r="BL45" s="95">
        <f>IF($A45="","",INDEX([1]Clasif_Pron!$N:$N,((ROW()-4)*12+10)))</f>
        <v>18</v>
      </c>
      <c r="BM45" s="119" t="str">
        <f>IF($A45="","",INDEX([1]Clasif_Pron!$E:$E,((ROW()-4)*12+11)))</f>
        <v>Argentina</v>
      </c>
      <c r="BN45" s="119">
        <f>IF($A45="","",INDEX([1]Clasif_Pron!$K:$K,((ROW()-4)*12+11)))</f>
        <v>7</v>
      </c>
      <c r="BO45" s="95" t="str">
        <f>IF($A45="","",INDEX([1]Clasif_Pron!$G:$G,((ROW()-4)*12+11)))</f>
        <v>Austria</v>
      </c>
      <c r="BP45" s="95">
        <f>IF($A45="","",INDEX([1]Clasif_Pron!$L:$L,((ROW()-4)*12+11)))</f>
        <v>6</v>
      </c>
      <c r="BQ45" s="95" t="str">
        <f>IF($A45="","",INDEX([1]Clasif_Pron!$I:$I,((ROW()-4)*12+11)))</f>
        <v>Argelia</v>
      </c>
      <c r="BR45" s="95">
        <f>IF($A45="","",INDEX([1]Clasif_Pron!$M:$M,((ROW()-4)*12+11)))</f>
        <v>0</v>
      </c>
      <c r="BS45" s="95">
        <f>IF($A45="","",INDEX([1]Clasif_Pron!$N:$N,((ROW()-4)*12+11)))</f>
        <v>13</v>
      </c>
      <c r="BT45" s="95" t="str">
        <f>IF($A45="","",INDEX([1]Clasif_Pron!$E:$E,((ROW()-4)*12+12)))</f>
        <v>Portugal</v>
      </c>
      <c r="BU45" s="95">
        <f>IF($A45="","",INDEX([1]Clasif_Pron!$K:$K,((ROW()-4)*12+12)))</f>
        <v>3</v>
      </c>
      <c r="BV45" s="95" t="str">
        <f>IF($A45="","",INDEX([1]Clasif_Pron!$G:$G,((ROW()-4)*12+12)))</f>
        <v>Colombia</v>
      </c>
      <c r="BW45" s="95">
        <f>IF($A45="","",INDEX([1]Clasif_Pron!$L:$L,((ROW()-4)*12+12)))</f>
        <v>3</v>
      </c>
      <c r="BX45" s="95" t="str">
        <f>IF($A45="","",INDEX([1]Clasif_Pron!$I:$I,((ROW()-4)*12+12)))</f>
        <v>Uzbekistán</v>
      </c>
      <c r="BY45" s="95">
        <f>IF($A45="","",INDEX([1]Clasif_Pron!$M:$M,((ROW()-4)*12+12)))</f>
        <v>0</v>
      </c>
      <c r="BZ45" s="95">
        <f>IF($A45="","",INDEX([1]Clasif_Pron!$N:$N,((ROW()-4)*12+12)))</f>
        <v>6</v>
      </c>
      <c r="CA45" s="95" t="str">
        <f>IF($A45="","",INDEX([1]Clasif_Pron!$E:$E,((ROW()-4)*12+13)))</f>
        <v>Inglaterra</v>
      </c>
      <c r="CB45" s="95">
        <f>IF($A45="","",INDEX([1]Clasif_Pron!$K:$K,((ROW()-4)*12+13)))</f>
        <v>7</v>
      </c>
      <c r="CC45" s="95" t="str">
        <f>IF($A45="","",INDEX([1]Clasif_Pron!$G:$G,((ROW()-4)*12+13)))</f>
        <v>Croacia</v>
      </c>
      <c r="CD45" s="95">
        <f>IF($A45="","",INDEX([1]Clasif_Pron!$L:$L,((ROW()-4)*12+13)))</f>
        <v>3</v>
      </c>
      <c r="CE45" s="95" t="str">
        <f>IF($A45="","",INDEX([1]Clasif_Pron!$I:$I,((ROW()-4)*12+13)))</f>
        <v>Panamá</v>
      </c>
      <c r="CF45" s="95">
        <f>IF($A45="","",INDEX([1]Clasif_Pron!$M:$M,((ROW()-4)*12+13)))</f>
        <v>0</v>
      </c>
      <c r="CG45" s="95">
        <f>IF($A45="","",INDEX([1]Clasif_Pron!$N:$N,((ROW()-4)*12+13)))</f>
        <v>10</v>
      </c>
      <c r="CH45" s="96">
        <f t="shared" si="0"/>
        <v>130</v>
      </c>
    </row>
    <row r="46" spans="1:86" ht="20.25" customHeight="1" x14ac:dyDescent="0.3">
      <c r="A46" s="94" t="str">
        <f>[1]Participantes!B44</f>
        <v>Peter</v>
      </c>
      <c r="B46" s="119" t="str">
        <f>IF($A46="","",INDEX([1]Clasif_Pron!$E:$E,((ROW()-4)*12+2)))</f>
        <v>México</v>
      </c>
      <c r="C46" s="119">
        <f>IF($A46="","",INDEX([1]Clasif_Pron!$K:$K,((ROW()-4)*12+2)))</f>
        <v>7</v>
      </c>
      <c r="D46" s="95" t="str">
        <f>IF($A46="","",INDEX([1]Clasif_Pron!$G:$G,((ROW()-4)*12+2)))</f>
        <v>Corea República</v>
      </c>
      <c r="E46" s="95">
        <f>IF($A46="","",INDEX([1]Clasif_Pron!$L:$L,((ROW()-4)*12+2)))</f>
        <v>3</v>
      </c>
      <c r="F46" s="119" t="str">
        <f>IF($A46="","",INDEX([1]Clasif_Pron!$I:$I,((ROW()-4)*12+2)))</f>
        <v>Chequia</v>
      </c>
      <c r="G46" s="119">
        <f>IF($A46="","",INDEX([1]Clasif_Pron!$M:$M,((ROW()-4)*12+2)))</f>
        <v>0</v>
      </c>
      <c r="H46" s="95">
        <f>IF($A46="","",INDEX([1]Clasif_Pron!$N:$N,((ROW()-4)*12+2)))</f>
        <v>10</v>
      </c>
      <c r="I46" s="119" t="str">
        <f>IF($A46="","",INDEX([1]Clasif_Pron!$E:$E,((ROW()-4)*12+3)))</f>
        <v>Suiza</v>
      </c>
      <c r="J46" s="119">
        <f>IF($A46="","",INDEX([1]Clasif_Pron!$K:$K,((ROW()-4)*12+3)))</f>
        <v>7</v>
      </c>
      <c r="K46" s="119" t="str">
        <f>IF($A46="","",INDEX([1]Clasif_Pron!$G:$G,((ROW()-4)*12+3)))</f>
        <v>Canadá</v>
      </c>
      <c r="L46" s="119">
        <f>IF($A46="","",INDEX([1]Clasif_Pron!$L:$L,((ROW()-4)*12+3)))</f>
        <v>6</v>
      </c>
      <c r="M46" s="119" t="str">
        <f>IF($A46="","",INDEX([1]Clasif_Pron!$I:$I,((ROW()-4)*12+3)))</f>
        <v>Qatar</v>
      </c>
      <c r="N46" s="119">
        <f>IF($A46="","",INDEX([1]Clasif_Pron!$M:$M,((ROW()-4)*12+3)))</f>
        <v>0</v>
      </c>
      <c r="O46" s="119">
        <f>IF($A46="","",INDEX([1]Clasif_Pron!$N:$N,((ROW()-4)*12+3)))</f>
        <v>13</v>
      </c>
      <c r="P46" s="119" t="str">
        <f>IF($A46="","",INDEX([1]Clasif_Pron!$E:$E,((ROW()-4)*12+4)))</f>
        <v>Marruecos</v>
      </c>
      <c r="Q46" s="119">
        <f>IF($A46="","",INDEX([1]Clasif_Pron!$K:$K,((ROW()-4)*12+4)))</f>
        <v>3</v>
      </c>
      <c r="R46" s="119" t="str">
        <f>IF($A46="","",INDEX([1]Clasif_Pron!$G:$G,((ROW()-4)*12+4)))</f>
        <v>Brasil</v>
      </c>
      <c r="S46" s="119">
        <f>IF($A46="","",INDEX([1]Clasif_Pron!$L:$L,((ROW()-4)*12+4)))</f>
        <v>3</v>
      </c>
      <c r="T46" s="95" t="str">
        <f>IF($A46="","",INDEX([1]Clasif_Pron!$I:$I,((ROW()-4)*12+4)))</f>
        <v>Escocia</v>
      </c>
      <c r="U46" s="95">
        <f>IF($A46="","",INDEX([1]Clasif_Pron!$M:$M,((ROW()-4)*12+4)))</f>
        <v>0</v>
      </c>
      <c r="V46" s="95">
        <f>IF($A46="","",INDEX([1]Clasif_Pron!$N:$N,((ROW()-4)*12+4)))</f>
        <v>6</v>
      </c>
      <c r="W46" s="119" t="str">
        <f>IF($A46="","",INDEX([1]Clasif_Pron!$E:$E,((ROW()-4)*12+5)))</f>
        <v>Türkiye</v>
      </c>
      <c r="X46" s="119">
        <f>IF($A46="","",INDEX([1]Clasif_Pron!$K:$K,((ROW()-4)*12+5)))</f>
        <v>0</v>
      </c>
      <c r="Y46" s="119" t="str">
        <f>IF($A46="","",INDEX([1]Clasif_Pron!$G:$G,((ROW()-4)*12+5)))</f>
        <v>Estados Unidos</v>
      </c>
      <c r="Z46" s="119">
        <f>IF($A46="","",INDEX([1]Clasif_Pron!$L:$L,((ROW()-4)*12+5)))</f>
        <v>3</v>
      </c>
      <c r="AA46" s="95" t="str">
        <f>IF($A46="","",INDEX([1]Clasif_Pron!$I:$I,((ROW()-4)*12+5)))</f>
        <v>Paraguay</v>
      </c>
      <c r="AB46" s="95">
        <f>IF($A46="","",INDEX([1]Clasif_Pron!$M:$M,((ROW()-4)*12+5)))</f>
        <v>5</v>
      </c>
      <c r="AC46" s="95">
        <f>IF($A46="","",INDEX([1]Clasif_Pron!$N:$N,((ROW()-4)*12+5)))</f>
        <v>8</v>
      </c>
      <c r="AD46" s="119" t="str">
        <f>IF($A46="","",INDEX([1]Clasif_Pron!$E:$E,((ROW()-4)*12+6)))</f>
        <v>Alemania</v>
      </c>
      <c r="AE46" s="119">
        <f>IF($A46="","",INDEX([1]Clasif_Pron!$K:$K,((ROW()-4)*12+6)))</f>
        <v>7</v>
      </c>
      <c r="AF46" s="95" t="str">
        <f>IF($A46="","",INDEX([1]Clasif_Pron!$G:$G,((ROW()-4)*12+6)))</f>
        <v>Ecuador</v>
      </c>
      <c r="AG46" s="95">
        <f>IF($A46="","",INDEX([1]Clasif_Pron!$L:$L,((ROW()-4)*12+6)))</f>
        <v>3</v>
      </c>
      <c r="AH46" s="119" t="str">
        <f>IF($A46="","",INDEX([1]Clasif_Pron!$I:$I,((ROW()-4)*12+6)))</f>
        <v>Costa de Marfil</v>
      </c>
      <c r="AI46" s="119">
        <f>IF($A46="","",INDEX([1]Clasif_Pron!$M:$M,((ROW()-4)*12+6)))</f>
        <v>3</v>
      </c>
      <c r="AJ46" s="95">
        <f>IF($A46="","",INDEX([1]Clasif_Pron!$N:$N,((ROW()-4)*12+6)))</f>
        <v>13</v>
      </c>
      <c r="AK46" s="119" t="str">
        <f>IF($A46="","",INDEX([1]Clasif_Pron!$E:$E,((ROW()-4)*12+7)))</f>
        <v>Países Bajos</v>
      </c>
      <c r="AL46" s="119">
        <f>IF($A46="","",INDEX([1]Clasif_Pron!$K:$K,((ROW()-4)*12+7)))</f>
        <v>7</v>
      </c>
      <c r="AM46" s="119" t="str">
        <f>IF($A46="","",INDEX([1]Clasif_Pron!$G:$G,((ROW()-4)*12+7)))</f>
        <v>Japón</v>
      </c>
      <c r="AN46" s="119">
        <f>IF($A46="","",INDEX([1]Clasif_Pron!$L:$L,((ROW()-4)*12+7)))</f>
        <v>6</v>
      </c>
      <c r="AO46" s="95" t="str">
        <f>IF($A46="","",INDEX([1]Clasif_Pron!$I:$I,((ROW()-4)*12+7)))</f>
        <v>Suecia</v>
      </c>
      <c r="AP46" s="95">
        <f>IF($A46="","",INDEX([1]Clasif_Pron!$M:$M,((ROW()-4)*12+7)))</f>
        <v>5</v>
      </c>
      <c r="AQ46" s="95">
        <f>IF($A46="","",INDEX([1]Clasif_Pron!$N:$N,((ROW()-4)*12+7)))</f>
        <v>18</v>
      </c>
      <c r="AR46" s="119" t="str">
        <f>IF($A46="","",INDEX([1]Clasif_Pron!$E:$E,((ROW()-4)*12+8)))</f>
        <v>Bélgica</v>
      </c>
      <c r="AS46" s="119">
        <f>IF($A46="","",INDEX([1]Clasif_Pron!$K:$K,((ROW()-4)*12+8)))</f>
        <v>7</v>
      </c>
      <c r="AT46" s="119" t="str">
        <f>IF($A46="","",INDEX([1]Clasif_Pron!$G:$G,((ROW()-4)*12+8)))</f>
        <v>Egipto</v>
      </c>
      <c r="AU46" s="119">
        <f>IF($A46="","",INDEX([1]Clasif_Pron!$L:$L,((ROW()-4)*12+8)))</f>
        <v>6</v>
      </c>
      <c r="AV46" s="95" t="str">
        <f>IF($A46="","",INDEX([1]Clasif_Pron!$I:$I,((ROW()-4)*12+8)))</f>
        <v>Irán</v>
      </c>
      <c r="AW46" s="95">
        <f>IF($A46="","",INDEX([1]Clasif_Pron!$M:$M,((ROW()-4)*12+8)))</f>
        <v>5</v>
      </c>
      <c r="AX46" s="95">
        <f>IF($A46="","",INDEX([1]Clasif_Pron!$N:$N,((ROW()-4)*12+8)))</f>
        <v>18</v>
      </c>
      <c r="AY46" s="119" t="str">
        <f>IF($A46="","",INDEX([1]Clasif_Pron!$E:$E,((ROW()-4)*12+9)))</f>
        <v>España</v>
      </c>
      <c r="AZ46" s="119">
        <f>IF($A46="","",INDEX([1]Clasif_Pron!$K:$K,((ROW()-4)*12+9)))</f>
        <v>7</v>
      </c>
      <c r="BA46" s="119" t="str">
        <f>IF($A46="","",INDEX([1]Clasif_Pron!$G:$G,((ROW()-4)*12+9)))</f>
        <v>Uruguay</v>
      </c>
      <c r="BB46" s="119">
        <f>IF($A46="","",INDEX([1]Clasif_Pron!$L:$L,((ROW()-4)*12+9)))</f>
        <v>0</v>
      </c>
      <c r="BC46" s="119" t="str">
        <f>IF($A46="","",INDEX([1]Clasif_Pron!$I:$I,((ROW()-4)*12+9)))</f>
        <v>Arabia Saudita</v>
      </c>
      <c r="BD46" s="119">
        <f>IF($A46="","",INDEX([1]Clasif_Pron!$M:$M,((ROW()-4)*12+9)))</f>
        <v>0</v>
      </c>
      <c r="BE46" s="119">
        <f>IF($A46="","",INDEX([1]Clasif_Pron!$N:$N,((ROW()-4)*12+9)))</f>
        <v>7</v>
      </c>
      <c r="BF46" s="119" t="str">
        <f>IF($A46="","",INDEX([1]Clasif_Pron!$E:$E,((ROW()-4)*12+10)))</f>
        <v>Noruega</v>
      </c>
      <c r="BG46" s="119">
        <f>IF($A46="","",INDEX([1]Clasif_Pron!$K:$K,((ROW()-4)*12+10)))</f>
        <v>3</v>
      </c>
      <c r="BH46" s="119" t="str">
        <f>IF($A46="","",INDEX([1]Clasif_Pron!$G:$G,((ROW()-4)*12+10)))</f>
        <v>Francia</v>
      </c>
      <c r="BI46" s="119">
        <f>IF($A46="","",INDEX([1]Clasif_Pron!$L:$L,((ROW()-4)*12+10)))</f>
        <v>3</v>
      </c>
      <c r="BJ46" s="95" t="str">
        <f>IF($A46="","",INDEX([1]Clasif_Pron!$I:$I,((ROW()-4)*12+10)))</f>
        <v>Senegal</v>
      </c>
      <c r="BK46" s="95">
        <f>IF($A46="","",INDEX([1]Clasif_Pron!$M:$M,((ROW()-4)*12+10)))</f>
        <v>5</v>
      </c>
      <c r="BL46" s="95">
        <f>IF($A46="","",INDEX([1]Clasif_Pron!$N:$N,((ROW()-4)*12+10)))</f>
        <v>11</v>
      </c>
      <c r="BM46" s="119" t="str">
        <f>IF($A46="","",INDEX([1]Clasif_Pron!$E:$E,((ROW()-4)*12+11)))</f>
        <v>Argentina</v>
      </c>
      <c r="BN46" s="119">
        <f>IF($A46="","",INDEX([1]Clasif_Pron!$K:$K,((ROW()-4)*12+11)))</f>
        <v>7</v>
      </c>
      <c r="BO46" s="95" t="str">
        <f>IF($A46="","",INDEX([1]Clasif_Pron!$G:$G,((ROW()-4)*12+11)))</f>
        <v>Austria</v>
      </c>
      <c r="BP46" s="95">
        <f>IF($A46="","",INDEX([1]Clasif_Pron!$L:$L,((ROW()-4)*12+11)))</f>
        <v>6</v>
      </c>
      <c r="BQ46" s="95" t="str">
        <f>IF($A46="","",INDEX([1]Clasif_Pron!$I:$I,((ROW()-4)*12+11)))</f>
        <v>Argelia</v>
      </c>
      <c r="BR46" s="95">
        <f>IF($A46="","",INDEX([1]Clasif_Pron!$M:$M,((ROW()-4)*12+11)))</f>
        <v>0</v>
      </c>
      <c r="BS46" s="95">
        <f>IF($A46="","",INDEX([1]Clasif_Pron!$N:$N,((ROW()-4)*12+11)))</f>
        <v>13</v>
      </c>
      <c r="BT46" s="95" t="str">
        <f>IF($A46="","",INDEX([1]Clasif_Pron!$E:$E,((ROW()-4)*12+12)))</f>
        <v>Portugal</v>
      </c>
      <c r="BU46" s="95">
        <f>IF($A46="","",INDEX([1]Clasif_Pron!$K:$K,((ROW()-4)*12+12)))</f>
        <v>3</v>
      </c>
      <c r="BV46" s="95" t="str">
        <f>IF($A46="","",INDEX([1]Clasif_Pron!$G:$G,((ROW()-4)*12+12)))</f>
        <v>Colombia</v>
      </c>
      <c r="BW46" s="95">
        <f>IF($A46="","",INDEX([1]Clasif_Pron!$L:$L,((ROW()-4)*12+12)))</f>
        <v>3</v>
      </c>
      <c r="BX46" s="95" t="str">
        <f>IF($A46="","",INDEX([1]Clasif_Pron!$I:$I,((ROW()-4)*12+12)))</f>
        <v>RD Congo</v>
      </c>
      <c r="BY46" s="95">
        <f>IF($A46="","",INDEX([1]Clasif_Pron!$M:$M,((ROW()-4)*12+12)))</f>
        <v>0</v>
      </c>
      <c r="BZ46" s="95">
        <f>IF($A46="","",INDEX([1]Clasif_Pron!$N:$N,((ROW()-4)*12+12)))</f>
        <v>6</v>
      </c>
      <c r="CA46" s="95" t="str">
        <f>IF($A46="","",INDEX([1]Clasif_Pron!$E:$E,((ROW()-4)*12+13)))</f>
        <v>Inglaterra</v>
      </c>
      <c r="CB46" s="95">
        <f>IF($A46="","",INDEX([1]Clasif_Pron!$K:$K,((ROW()-4)*12+13)))</f>
        <v>7</v>
      </c>
      <c r="CC46" s="95" t="str">
        <f>IF($A46="","",INDEX([1]Clasif_Pron!$G:$G,((ROW()-4)*12+13)))</f>
        <v>Croacia</v>
      </c>
      <c r="CD46" s="95">
        <f>IF($A46="","",INDEX([1]Clasif_Pron!$L:$L,((ROW()-4)*12+13)))</f>
        <v>3</v>
      </c>
      <c r="CE46" s="95" t="str">
        <f>IF($A46="","",INDEX([1]Clasif_Pron!$I:$I,((ROW()-4)*12+13)))</f>
        <v>Panamá</v>
      </c>
      <c r="CF46" s="95">
        <f>IF($A46="","",INDEX([1]Clasif_Pron!$M:$M,((ROW()-4)*12+13)))</f>
        <v>0</v>
      </c>
      <c r="CG46" s="95">
        <f>IF($A46="","",INDEX([1]Clasif_Pron!$N:$N,((ROW()-4)*12+13)))</f>
        <v>10</v>
      </c>
      <c r="CH46" s="96">
        <f t="shared" si="0"/>
        <v>133</v>
      </c>
    </row>
    <row r="47" spans="1:86" ht="20.25" customHeight="1" x14ac:dyDescent="0.3">
      <c r="A47" s="94" t="str">
        <f>[1]Participantes!B45</f>
        <v>Quinnie</v>
      </c>
      <c r="B47" s="119" t="str">
        <f>IF($A47="","",INDEX([1]Clasif_Pron!$E:$E,((ROW()-4)*12+2)))</f>
        <v>México</v>
      </c>
      <c r="C47" s="119">
        <f>IF($A47="","",INDEX([1]Clasif_Pron!$K:$K,((ROW()-4)*12+2)))</f>
        <v>7</v>
      </c>
      <c r="D47" s="119" t="str">
        <f>IF($A47="","",INDEX([1]Clasif_Pron!$G:$G,((ROW()-4)*12+2)))</f>
        <v>Chequia</v>
      </c>
      <c r="E47" s="119">
        <f>IF($A47="","",INDEX([1]Clasif_Pron!$L:$L,((ROW()-4)*12+2)))</f>
        <v>0</v>
      </c>
      <c r="F47" s="95" t="str">
        <f>IF($A47="","",INDEX([1]Clasif_Pron!$I:$I,((ROW()-4)*12+2)))</f>
        <v>Corea República</v>
      </c>
      <c r="G47" s="95">
        <f>IF($A47="","",INDEX([1]Clasif_Pron!$M:$M,((ROW()-4)*12+2)))</f>
        <v>5</v>
      </c>
      <c r="H47" s="95">
        <f>IF($A47="","",INDEX([1]Clasif_Pron!$N:$N,((ROW()-4)*12+2)))</f>
        <v>12</v>
      </c>
      <c r="I47" s="119" t="str">
        <f>IF($A47="","",INDEX([1]Clasif_Pron!$E:$E,((ROW()-4)*12+3)))</f>
        <v>Canadá</v>
      </c>
      <c r="J47" s="119">
        <f>IF($A47="","",INDEX([1]Clasif_Pron!$K:$K,((ROW()-4)*12+3)))</f>
        <v>3</v>
      </c>
      <c r="K47" s="119" t="str">
        <f>IF($A47="","",INDEX([1]Clasif_Pron!$G:$G,((ROW()-4)*12+3)))</f>
        <v>Suiza</v>
      </c>
      <c r="L47" s="119">
        <f>IF($A47="","",INDEX([1]Clasif_Pron!$L:$L,((ROW()-4)*12+3)))</f>
        <v>3</v>
      </c>
      <c r="M47" s="119" t="str">
        <f>IF($A47="","",INDEX([1]Clasif_Pron!$I:$I,((ROW()-4)*12+3)))</f>
        <v>Bosnia y Herzegovina</v>
      </c>
      <c r="N47" s="119">
        <f>IF($A47="","",INDEX([1]Clasif_Pron!$M:$M,((ROW()-4)*12+3)))</f>
        <v>5</v>
      </c>
      <c r="O47" s="119">
        <f>IF($A47="","",INDEX([1]Clasif_Pron!$N:$N,((ROW()-4)*12+3)))</f>
        <v>11</v>
      </c>
      <c r="P47" s="119" t="str">
        <f>IF($A47="","",INDEX([1]Clasif_Pron!$E:$E,((ROW()-4)*12+4)))</f>
        <v>Brasil</v>
      </c>
      <c r="Q47" s="119">
        <f>IF($A47="","",INDEX([1]Clasif_Pron!$K:$K,((ROW()-4)*12+4)))</f>
        <v>7</v>
      </c>
      <c r="R47" s="119" t="str">
        <f>IF($A47="","",INDEX([1]Clasif_Pron!$G:$G,((ROW()-4)*12+4)))</f>
        <v>Marruecos</v>
      </c>
      <c r="S47" s="119">
        <f>IF($A47="","",INDEX([1]Clasif_Pron!$L:$L,((ROW()-4)*12+4)))</f>
        <v>6</v>
      </c>
      <c r="T47" s="95" t="str">
        <f>IF($A47="","",INDEX([1]Clasif_Pron!$I:$I,((ROW()-4)*12+4)))</f>
        <v>Escocia</v>
      </c>
      <c r="U47" s="95">
        <f>IF($A47="","",INDEX([1]Clasif_Pron!$M:$M,((ROW()-4)*12+4)))</f>
        <v>0</v>
      </c>
      <c r="V47" s="95">
        <f>IF($A47="","",INDEX([1]Clasif_Pron!$N:$N,((ROW()-4)*12+4)))</f>
        <v>13</v>
      </c>
      <c r="W47" s="119" t="str">
        <f>IF($A47="","",INDEX([1]Clasif_Pron!$E:$E,((ROW()-4)*12+5)))</f>
        <v>Estados Unidos</v>
      </c>
      <c r="X47" s="119">
        <f>IF($A47="","",INDEX([1]Clasif_Pron!$K:$K,((ROW()-4)*12+5)))</f>
        <v>7</v>
      </c>
      <c r="Y47" s="119" t="str">
        <f>IF($A47="","",INDEX([1]Clasif_Pron!$G:$G,((ROW()-4)*12+5)))</f>
        <v>Türkiye</v>
      </c>
      <c r="Z47" s="119">
        <f>IF($A47="","",INDEX([1]Clasif_Pron!$L:$L,((ROW()-4)*12+5)))</f>
        <v>0</v>
      </c>
      <c r="AA47" s="95" t="str">
        <f>IF($A47="","",INDEX([1]Clasif_Pron!$I:$I,((ROW()-4)*12+5)))</f>
        <v>Paraguay</v>
      </c>
      <c r="AB47" s="95">
        <f>IF($A47="","",INDEX([1]Clasif_Pron!$M:$M,((ROW()-4)*12+5)))</f>
        <v>5</v>
      </c>
      <c r="AC47" s="95">
        <f>IF($A47="","",INDEX([1]Clasif_Pron!$N:$N,((ROW()-4)*12+5)))</f>
        <v>12</v>
      </c>
      <c r="AD47" s="119" t="str">
        <f>IF($A47="","",INDEX([1]Clasif_Pron!$E:$E,((ROW()-4)*12+6)))</f>
        <v>Alemania</v>
      </c>
      <c r="AE47" s="119">
        <f>IF($A47="","",INDEX([1]Clasif_Pron!$K:$K,((ROW()-4)*12+6)))</f>
        <v>7</v>
      </c>
      <c r="AF47" s="95" t="str">
        <f>IF($A47="","",INDEX([1]Clasif_Pron!$G:$G,((ROW()-4)*12+6)))</f>
        <v>Ecuador</v>
      </c>
      <c r="AG47" s="95">
        <f>IF($A47="","",INDEX([1]Clasif_Pron!$L:$L,((ROW()-4)*12+6)))</f>
        <v>3</v>
      </c>
      <c r="AH47" s="119" t="str">
        <f>IF($A47="","",INDEX([1]Clasif_Pron!$I:$I,((ROW()-4)*12+6)))</f>
        <v>Costa de Marfil</v>
      </c>
      <c r="AI47" s="119">
        <f>IF($A47="","",INDEX([1]Clasif_Pron!$M:$M,((ROW()-4)*12+6)))</f>
        <v>3</v>
      </c>
      <c r="AJ47" s="95">
        <f>IF($A47="","",INDEX([1]Clasif_Pron!$N:$N,((ROW()-4)*12+6)))</f>
        <v>13</v>
      </c>
      <c r="AK47" s="119" t="str">
        <f>IF($A47="","",INDEX([1]Clasif_Pron!$E:$E,((ROW()-4)*12+7)))</f>
        <v>Países Bajos</v>
      </c>
      <c r="AL47" s="119">
        <f>IF($A47="","",INDEX([1]Clasif_Pron!$K:$K,((ROW()-4)*12+7)))</f>
        <v>7</v>
      </c>
      <c r="AM47" s="119" t="str">
        <f>IF($A47="","",INDEX([1]Clasif_Pron!$G:$G,((ROW()-4)*12+7)))</f>
        <v>Japón</v>
      </c>
      <c r="AN47" s="119">
        <f>IF($A47="","",INDEX([1]Clasif_Pron!$L:$L,((ROW()-4)*12+7)))</f>
        <v>6</v>
      </c>
      <c r="AO47" s="95" t="str">
        <f>IF($A47="","",INDEX([1]Clasif_Pron!$I:$I,((ROW()-4)*12+7)))</f>
        <v>Suecia</v>
      </c>
      <c r="AP47" s="95">
        <f>IF($A47="","",INDEX([1]Clasif_Pron!$M:$M,((ROW()-4)*12+7)))</f>
        <v>5</v>
      </c>
      <c r="AQ47" s="95">
        <f>IF($A47="","",INDEX([1]Clasif_Pron!$N:$N,((ROW()-4)*12+7)))</f>
        <v>18</v>
      </c>
      <c r="AR47" s="119" t="str">
        <f>IF($A47="","",INDEX([1]Clasif_Pron!$E:$E,((ROW()-4)*12+8)))</f>
        <v>Bélgica</v>
      </c>
      <c r="AS47" s="119">
        <f>IF($A47="","",INDEX([1]Clasif_Pron!$K:$K,((ROW()-4)*12+8)))</f>
        <v>7</v>
      </c>
      <c r="AT47" s="119" t="str">
        <f>IF($A47="","",INDEX([1]Clasif_Pron!$G:$G,((ROW()-4)*12+8)))</f>
        <v>Egipto</v>
      </c>
      <c r="AU47" s="119">
        <f>IF($A47="","",INDEX([1]Clasif_Pron!$L:$L,((ROW()-4)*12+8)))</f>
        <v>6</v>
      </c>
      <c r="AV47" s="95" t="str">
        <f>IF($A47="","",INDEX([1]Clasif_Pron!$I:$I,((ROW()-4)*12+8)))</f>
        <v>Irán</v>
      </c>
      <c r="AW47" s="95">
        <f>IF($A47="","",INDEX([1]Clasif_Pron!$M:$M,((ROW()-4)*12+8)))</f>
        <v>5</v>
      </c>
      <c r="AX47" s="95">
        <f>IF($A47="","",INDEX([1]Clasif_Pron!$N:$N,((ROW()-4)*12+8)))</f>
        <v>18</v>
      </c>
      <c r="AY47" s="119" t="str">
        <f>IF($A47="","",INDEX([1]Clasif_Pron!$E:$E,((ROW()-4)*12+9)))</f>
        <v>España</v>
      </c>
      <c r="AZ47" s="119">
        <f>IF($A47="","",INDEX([1]Clasif_Pron!$K:$K,((ROW()-4)*12+9)))</f>
        <v>7</v>
      </c>
      <c r="BA47" s="119" t="str">
        <f>IF($A47="","",INDEX([1]Clasif_Pron!$G:$G,((ROW()-4)*12+9)))</f>
        <v>Uruguay</v>
      </c>
      <c r="BB47" s="119">
        <f>IF($A47="","",INDEX([1]Clasif_Pron!$L:$L,((ROW()-4)*12+9)))</f>
        <v>0</v>
      </c>
      <c r="BC47" s="119" t="str">
        <f>IF($A47="","",INDEX([1]Clasif_Pron!$I:$I,((ROW()-4)*12+9)))</f>
        <v>Arabia Saudita</v>
      </c>
      <c r="BD47" s="119">
        <f>IF($A47="","",INDEX([1]Clasif_Pron!$M:$M,((ROW()-4)*12+9)))</f>
        <v>0</v>
      </c>
      <c r="BE47" s="119">
        <f>IF($A47="","",INDEX([1]Clasif_Pron!$N:$N,((ROW()-4)*12+9)))</f>
        <v>7</v>
      </c>
      <c r="BF47" s="119" t="str">
        <f>IF($A47="","",INDEX([1]Clasif_Pron!$E:$E,((ROW()-4)*12+10)))</f>
        <v>Francia</v>
      </c>
      <c r="BG47" s="119">
        <f>IF($A47="","",INDEX([1]Clasif_Pron!$K:$K,((ROW()-4)*12+10)))</f>
        <v>7</v>
      </c>
      <c r="BH47" s="119" t="str">
        <f>IF($A47="","",INDEX([1]Clasif_Pron!$G:$G,((ROW()-4)*12+10)))</f>
        <v>Noruega</v>
      </c>
      <c r="BI47" s="119">
        <f>IF($A47="","",INDEX([1]Clasif_Pron!$L:$L,((ROW()-4)*12+10)))</f>
        <v>6</v>
      </c>
      <c r="BJ47" s="95" t="str">
        <f>IF($A47="","",INDEX([1]Clasif_Pron!$I:$I,((ROW()-4)*12+10)))</f>
        <v>Senegal</v>
      </c>
      <c r="BK47" s="95">
        <f>IF($A47="","",INDEX([1]Clasif_Pron!$M:$M,((ROW()-4)*12+10)))</f>
        <v>5</v>
      </c>
      <c r="BL47" s="95">
        <f>IF($A47="","",INDEX([1]Clasif_Pron!$N:$N,((ROW()-4)*12+10)))</f>
        <v>18</v>
      </c>
      <c r="BM47" s="119" t="str">
        <f>IF($A47="","",INDEX([1]Clasif_Pron!$E:$E,((ROW()-4)*12+11)))</f>
        <v>Argentina</v>
      </c>
      <c r="BN47" s="119">
        <f>IF($A47="","",INDEX([1]Clasif_Pron!$K:$K,((ROW()-4)*12+11)))</f>
        <v>7</v>
      </c>
      <c r="BO47" s="95" t="str">
        <f>IF($A47="","",INDEX([1]Clasif_Pron!$G:$G,((ROW()-4)*12+11)))</f>
        <v>Argelia</v>
      </c>
      <c r="BP47" s="95">
        <f>IF($A47="","",INDEX([1]Clasif_Pron!$L:$L,((ROW()-4)*12+11)))</f>
        <v>0</v>
      </c>
      <c r="BQ47" s="95" t="str">
        <f>IF($A47="","",INDEX([1]Clasif_Pron!$I:$I,((ROW()-4)*12+11)))</f>
        <v>Austria</v>
      </c>
      <c r="BR47" s="95">
        <f>IF($A47="","",INDEX([1]Clasif_Pron!$M:$M,((ROW()-4)*12+11)))</f>
        <v>3</v>
      </c>
      <c r="BS47" s="95">
        <f>IF($A47="","",INDEX([1]Clasif_Pron!$N:$N,((ROW()-4)*12+11)))</f>
        <v>10</v>
      </c>
      <c r="BT47" s="95" t="str">
        <f>IF($A47="","",INDEX([1]Clasif_Pron!$E:$E,((ROW()-4)*12+12)))</f>
        <v>Portugal</v>
      </c>
      <c r="BU47" s="95">
        <f>IF($A47="","",INDEX([1]Clasif_Pron!$K:$K,((ROW()-4)*12+12)))</f>
        <v>3</v>
      </c>
      <c r="BV47" s="95" t="str">
        <f>IF($A47="","",INDEX([1]Clasif_Pron!$G:$G,((ROW()-4)*12+12)))</f>
        <v>Colombia</v>
      </c>
      <c r="BW47" s="95">
        <f>IF($A47="","",INDEX([1]Clasif_Pron!$L:$L,((ROW()-4)*12+12)))</f>
        <v>3</v>
      </c>
      <c r="BX47" s="95" t="str">
        <f>IF($A47="","",INDEX([1]Clasif_Pron!$I:$I,((ROW()-4)*12+12)))</f>
        <v>Uzbekistán</v>
      </c>
      <c r="BY47" s="95">
        <f>IF($A47="","",INDEX([1]Clasif_Pron!$M:$M,((ROW()-4)*12+12)))</f>
        <v>0</v>
      </c>
      <c r="BZ47" s="95">
        <f>IF($A47="","",INDEX([1]Clasif_Pron!$N:$N,((ROW()-4)*12+12)))</f>
        <v>6</v>
      </c>
      <c r="CA47" s="95" t="str">
        <f>IF($A47="","",INDEX([1]Clasif_Pron!$E:$E,((ROW()-4)*12+13)))</f>
        <v>Inglaterra</v>
      </c>
      <c r="CB47" s="95">
        <f>IF($A47="","",INDEX([1]Clasif_Pron!$K:$K,((ROW()-4)*12+13)))</f>
        <v>7</v>
      </c>
      <c r="CC47" s="95" t="str">
        <f>IF($A47="","",INDEX([1]Clasif_Pron!$G:$G,((ROW()-4)*12+13)))</f>
        <v>Croacia</v>
      </c>
      <c r="CD47" s="95">
        <f>IF($A47="","",INDEX([1]Clasif_Pron!$L:$L,((ROW()-4)*12+13)))</f>
        <v>3</v>
      </c>
      <c r="CE47" s="95" t="str">
        <f>IF($A47="","",INDEX([1]Clasif_Pron!$I:$I,((ROW()-4)*12+13)))</f>
        <v>Ghana</v>
      </c>
      <c r="CF47" s="95">
        <f>IF($A47="","",INDEX([1]Clasif_Pron!$M:$M,((ROW()-4)*12+13)))</f>
        <v>3</v>
      </c>
      <c r="CG47" s="95">
        <f>IF($A47="","",INDEX([1]Clasif_Pron!$N:$N,((ROW()-4)*12+13)))</f>
        <v>13</v>
      </c>
      <c r="CH47" s="96">
        <f t="shared" si="0"/>
        <v>151</v>
      </c>
    </row>
    <row r="48" spans="1:86" ht="20.25" customHeight="1" x14ac:dyDescent="0.3">
      <c r="A48" s="94" t="str">
        <f>[1]Participantes!B46</f>
        <v>Radames</v>
      </c>
      <c r="B48" s="119" t="str">
        <f>IF($A48="","",INDEX([1]Clasif_Pron!$E:$E,((ROW()-4)*12+2)))</f>
        <v>México</v>
      </c>
      <c r="C48" s="119">
        <f>IF($A48="","",INDEX([1]Clasif_Pron!$K:$K,((ROW()-4)*12+2)))</f>
        <v>7</v>
      </c>
      <c r="D48" s="119" t="str">
        <f>IF($A48="","",INDEX([1]Clasif_Pron!$G:$G,((ROW()-4)*12+2)))</f>
        <v>Chequia</v>
      </c>
      <c r="E48" s="119">
        <f>IF($A48="","",INDEX([1]Clasif_Pron!$L:$L,((ROW()-4)*12+2)))</f>
        <v>0</v>
      </c>
      <c r="F48" s="95" t="str">
        <f>IF($A48="","",INDEX([1]Clasif_Pron!$I:$I,((ROW()-4)*12+2)))</f>
        <v>Corea República</v>
      </c>
      <c r="G48" s="95">
        <f>IF($A48="","",INDEX([1]Clasif_Pron!$M:$M,((ROW()-4)*12+2)))</f>
        <v>5</v>
      </c>
      <c r="H48" s="95">
        <f>IF($A48="","",INDEX([1]Clasif_Pron!$N:$N,((ROW()-4)*12+2)))</f>
        <v>12</v>
      </c>
      <c r="I48" s="119" t="str">
        <f>IF($A48="","",INDEX([1]Clasif_Pron!$E:$E,((ROW()-4)*12+3)))</f>
        <v>Canadá</v>
      </c>
      <c r="J48" s="119">
        <f>IF($A48="","",INDEX([1]Clasif_Pron!$K:$K,((ROW()-4)*12+3)))</f>
        <v>3</v>
      </c>
      <c r="K48" s="119" t="str">
        <f>IF($A48="","",INDEX([1]Clasif_Pron!$G:$G,((ROW()-4)*12+3)))</f>
        <v>Suiza</v>
      </c>
      <c r="L48" s="119">
        <f>IF($A48="","",INDEX([1]Clasif_Pron!$L:$L,((ROW()-4)*12+3)))</f>
        <v>3</v>
      </c>
      <c r="M48" s="119" t="str">
        <f>IF($A48="","",INDEX([1]Clasif_Pron!$I:$I,((ROW()-4)*12+3)))</f>
        <v>Bosnia y Herzegovina</v>
      </c>
      <c r="N48" s="119">
        <f>IF($A48="","",INDEX([1]Clasif_Pron!$M:$M,((ROW()-4)*12+3)))</f>
        <v>5</v>
      </c>
      <c r="O48" s="119">
        <f>IF($A48="","",INDEX([1]Clasif_Pron!$N:$N,((ROW()-4)*12+3)))</f>
        <v>11</v>
      </c>
      <c r="P48" s="119" t="str">
        <f>IF($A48="","",INDEX([1]Clasif_Pron!$E:$E,((ROW()-4)*12+4)))</f>
        <v>Brasil</v>
      </c>
      <c r="Q48" s="119">
        <f>IF($A48="","",INDEX([1]Clasif_Pron!$K:$K,((ROW()-4)*12+4)))</f>
        <v>7</v>
      </c>
      <c r="R48" s="119" t="str">
        <f>IF($A48="","",INDEX([1]Clasif_Pron!$G:$G,((ROW()-4)*12+4)))</f>
        <v>Marruecos</v>
      </c>
      <c r="S48" s="119">
        <f>IF($A48="","",INDEX([1]Clasif_Pron!$L:$L,((ROW()-4)*12+4)))</f>
        <v>6</v>
      </c>
      <c r="T48" s="95" t="str">
        <f>IF($A48="","",INDEX([1]Clasif_Pron!$I:$I,((ROW()-4)*12+4)))</f>
        <v>Escocia</v>
      </c>
      <c r="U48" s="95">
        <f>IF($A48="","",INDEX([1]Clasif_Pron!$M:$M,((ROW()-4)*12+4)))</f>
        <v>0</v>
      </c>
      <c r="V48" s="95">
        <f>IF($A48="","",INDEX([1]Clasif_Pron!$N:$N,((ROW()-4)*12+4)))</f>
        <v>13</v>
      </c>
      <c r="W48" s="119" t="str">
        <f>IF($A48="","",INDEX([1]Clasif_Pron!$E:$E,((ROW()-4)*12+5)))</f>
        <v>Estados Unidos</v>
      </c>
      <c r="X48" s="119">
        <f>IF($A48="","",INDEX([1]Clasif_Pron!$K:$K,((ROW()-4)*12+5)))</f>
        <v>7</v>
      </c>
      <c r="Y48" s="95" t="str">
        <f>IF($A48="","",INDEX([1]Clasif_Pron!$G:$G,((ROW()-4)*12+5)))</f>
        <v>Paraguay</v>
      </c>
      <c r="Z48" s="95">
        <f>IF($A48="","",INDEX([1]Clasif_Pron!$L:$L,((ROW()-4)*12+5)))</f>
        <v>3</v>
      </c>
      <c r="AA48" s="119" t="str">
        <f>IF($A48="","",INDEX([1]Clasif_Pron!$I:$I,((ROW()-4)*12+5)))</f>
        <v>Australia</v>
      </c>
      <c r="AB48" s="119">
        <f>IF($A48="","",INDEX([1]Clasif_Pron!$M:$M,((ROW()-4)*12+5)))</f>
        <v>3</v>
      </c>
      <c r="AC48" s="95">
        <f>IF($A48="","",INDEX([1]Clasif_Pron!$N:$N,((ROW()-4)*12+5)))</f>
        <v>13</v>
      </c>
      <c r="AD48" s="119" t="str">
        <f>IF($A48="","",INDEX([1]Clasif_Pron!$E:$E,((ROW()-4)*12+6)))</f>
        <v>Alemania</v>
      </c>
      <c r="AE48" s="119">
        <f>IF($A48="","",INDEX([1]Clasif_Pron!$K:$K,((ROW()-4)*12+6)))</f>
        <v>7</v>
      </c>
      <c r="AF48" s="119" t="str">
        <f>IF($A48="","",INDEX([1]Clasif_Pron!$G:$G,((ROW()-4)*12+6)))</f>
        <v>Costa de Marfil</v>
      </c>
      <c r="AG48" s="119">
        <f>IF($A48="","",INDEX([1]Clasif_Pron!$L:$L,((ROW()-4)*12+6)))</f>
        <v>6</v>
      </c>
      <c r="AH48" s="95" t="str">
        <f>IF($A48="","",INDEX([1]Clasif_Pron!$I:$I,((ROW()-4)*12+6)))</f>
        <v>Ecuador</v>
      </c>
      <c r="AI48" s="95">
        <f>IF($A48="","",INDEX([1]Clasif_Pron!$M:$M,((ROW()-4)*12+6)))</f>
        <v>5</v>
      </c>
      <c r="AJ48" s="95">
        <f>IF($A48="","",INDEX([1]Clasif_Pron!$N:$N,((ROW()-4)*12+6)))</f>
        <v>18</v>
      </c>
      <c r="AK48" s="119" t="str">
        <f>IF($A48="","",INDEX([1]Clasif_Pron!$E:$E,((ROW()-4)*12+7)))</f>
        <v>Países Bajos</v>
      </c>
      <c r="AL48" s="119">
        <f>IF($A48="","",INDEX([1]Clasif_Pron!$K:$K,((ROW()-4)*12+7)))</f>
        <v>7</v>
      </c>
      <c r="AM48" s="119" t="str">
        <f>IF($A48="","",INDEX([1]Clasif_Pron!$G:$G,((ROW()-4)*12+7)))</f>
        <v>Japón</v>
      </c>
      <c r="AN48" s="119">
        <f>IF($A48="","",INDEX([1]Clasif_Pron!$L:$L,((ROW()-4)*12+7)))</f>
        <v>6</v>
      </c>
      <c r="AO48" s="95" t="str">
        <f>IF($A48="","",INDEX([1]Clasif_Pron!$I:$I,((ROW()-4)*12+7)))</f>
        <v>Suecia</v>
      </c>
      <c r="AP48" s="95">
        <f>IF($A48="","",INDEX([1]Clasif_Pron!$M:$M,((ROW()-4)*12+7)))</f>
        <v>5</v>
      </c>
      <c r="AQ48" s="95">
        <f>IF($A48="","",INDEX([1]Clasif_Pron!$N:$N,((ROW()-4)*12+7)))</f>
        <v>18</v>
      </c>
      <c r="AR48" s="119" t="str">
        <f>IF($A48="","",INDEX([1]Clasif_Pron!$E:$E,((ROW()-4)*12+8)))</f>
        <v>Bélgica</v>
      </c>
      <c r="AS48" s="119">
        <f>IF($A48="","",INDEX([1]Clasif_Pron!$K:$K,((ROW()-4)*12+8)))</f>
        <v>7</v>
      </c>
      <c r="AT48" s="119" t="str">
        <f>IF($A48="","",INDEX([1]Clasif_Pron!$G:$G,((ROW()-4)*12+8)))</f>
        <v>Egipto</v>
      </c>
      <c r="AU48" s="119">
        <f>IF($A48="","",INDEX([1]Clasif_Pron!$L:$L,((ROW()-4)*12+8)))</f>
        <v>6</v>
      </c>
      <c r="AV48" s="119" t="str">
        <f>IF($A48="","",INDEX([1]Clasif_Pron!$I:$I,((ROW()-4)*12+8)))</f>
        <v>Nueva Zelanda</v>
      </c>
      <c r="AW48" s="119">
        <f>IF($A48="","",INDEX([1]Clasif_Pron!$M:$M,((ROW()-4)*12+8)))</f>
        <v>0</v>
      </c>
      <c r="AX48" s="119">
        <f>IF($A48="","",INDEX([1]Clasif_Pron!$N:$N,((ROW()-4)*12+8)))</f>
        <v>13</v>
      </c>
      <c r="AY48" s="119" t="str">
        <f>IF($A48="","",INDEX([1]Clasif_Pron!$E:$E,((ROW()-4)*12+9)))</f>
        <v>España</v>
      </c>
      <c r="AZ48" s="119">
        <f>IF($A48="","",INDEX([1]Clasif_Pron!$K:$K,((ROW()-4)*12+9)))</f>
        <v>7</v>
      </c>
      <c r="BA48" s="119" t="str">
        <f>IF($A48="","",INDEX([1]Clasif_Pron!$G:$G,((ROW()-4)*12+9)))</f>
        <v>Uruguay</v>
      </c>
      <c r="BB48" s="119">
        <f>IF($A48="","",INDEX([1]Clasif_Pron!$L:$L,((ROW()-4)*12+9)))</f>
        <v>0</v>
      </c>
      <c r="BC48" s="119" t="str">
        <f>IF($A48="","",INDEX([1]Clasif_Pron!$I:$I,((ROW()-4)*12+9)))</f>
        <v>Cabo Verde</v>
      </c>
      <c r="BD48" s="119">
        <f>IF($A48="","",INDEX([1]Clasif_Pron!$M:$M,((ROW()-4)*12+9)))</f>
        <v>3</v>
      </c>
      <c r="BE48" s="119">
        <f>IF($A48="","",INDEX([1]Clasif_Pron!$N:$N,((ROW()-4)*12+9)))</f>
        <v>10</v>
      </c>
      <c r="BF48" s="119" t="str">
        <f>IF($A48="","",INDEX([1]Clasif_Pron!$E:$E,((ROW()-4)*12+10)))</f>
        <v>Francia</v>
      </c>
      <c r="BG48" s="119">
        <f>IF($A48="","",INDEX([1]Clasif_Pron!$K:$K,((ROW()-4)*12+10)))</f>
        <v>7</v>
      </c>
      <c r="BH48" s="119" t="str">
        <f>IF($A48="","",INDEX([1]Clasif_Pron!$G:$G,((ROW()-4)*12+10)))</f>
        <v>Noruega</v>
      </c>
      <c r="BI48" s="119">
        <f>IF($A48="","",INDEX([1]Clasif_Pron!$L:$L,((ROW()-4)*12+10)))</f>
        <v>6</v>
      </c>
      <c r="BJ48" s="95" t="str">
        <f>IF($A48="","",INDEX([1]Clasif_Pron!$I:$I,((ROW()-4)*12+10)))</f>
        <v>Senegal</v>
      </c>
      <c r="BK48" s="95">
        <f>IF($A48="","",INDEX([1]Clasif_Pron!$M:$M,((ROW()-4)*12+10)))</f>
        <v>5</v>
      </c>
      <c r="BL48" s="95">
        <f>IF($A48="","",INDEX([1]Clasif_Pron!$N:$N,((ROW()-4)*12+10)))</f>
        <v>18</v>
      </c>
      <c r="BM48" s="119" t="str">
        <f>IF($A48="","",INDEX([1]Clasif_Pron!$E:$E,((ROW()-4)*12+11)))</f>
        <v>Argentina</v>
      </c>
      <c r="BN48" s="119">
        <f>IF($A48="","",INDEX([1]Clasif_Pron!$K:$K,((ROW()-4)*12+11)))</f>
        <v>7</v>
      </c>
      <c r="BO48" s="95" t="str">
        <f>IF($A48="","",INDEX([1]Clasif_Pron!$G:$G,((ROW()-4)*12+11)))</f>
        <v>Austria</v>
      </c>
      <c r="BP48" s="95">
        <f>IF($A48="","",INDEX([1]Clasif_Pron!$L:$L,((ROW()-4)*12+11)))</f>
        <v>6</v>
      </c>
      <c r="BQ48" s="119" t="str">
        <f>IF($A48="","",INDEX([1]Clasif_Pron!$I:$I,((ROW()-4)*12+11)))</f>
        <v>Jordania</v>
      </c>
      <c r="BR48" s="119">
        <f>IF($A48="","",INDEX([1]Clasif_Pron!$M:$M,((ROW()-4)*12+11)))</f>
        <v>0</v>
      </c>
      <c r="BS48" s="95">
        <f>IF($A48="","",INDEX([1]Clasif_Pron!$N:$N,((ROW()-4)*12+11)))</f>
        <v>13</v>
      </c>
      <c r="BT48" s="95" t="str">
        <f>IF($A48="","",INDEX([1]Clasif_Pron!$E:$E,((ROW()-4)*12+12)))</f>
        <v>Portugal</v>
      </c>
      <c r="BU48" s="95">
        <f>IF($A48="","",INDEX([1]Clasif_Pron!$K:$K,((ROW()-4)*12+12)))</f>
        <v>3</v>
      </c>
      <c r="BV48" s="95" t="str">
        <f>IF($A48="","",INDEX([1]Clasif_Pron!$G:$G,((ROW()-4)*12+12)))</f>
        <v>Colombia</v>
      </c>
      <c r="BW48" s="95">
        <f>IF($A48="","",INDEX([1]Clasif_Pron!$L:$L,((ROW()-4)*12+12)))</f>
        <v>3</v>
      </c>
      <c r="BX48" s="95" t="str">
        <f>IF($A48="","",INDEX([1]Clasif_Pron!$I:$I,((ROW()-4)*12+12)))</f>
        <v>RD Congo</v>
      </c>
      <c r="BY48" s="95">
        <f>IF($A48="","",INDEX([1]Clasif_Pron!$M:$M,((ROW()-4)*12+12)))</f>
        <v>0</v>
      </c>
      <c r="BZ48" s="95">
        <f>IF($A48="","",INDEX([1]Clasif_Pron!$N:$N,((ROW()-4)*12+12)))</f>
        <v>6</v>
      </c>
      <c r="CA48" s="95" t="str">
        <f>IF($A48="","",INDEX([1]Clasif_Pron!$E:$E,((ROW()-4)*12+13)))</f>
        <v>Inglaterra</v>
      </c>
      <c r="CB48" s="95">
        <f>IF($A48="","",INDEX([1]Clasif_Pron!$K:$K,((ROW()-4)*12+13)))</f>
        <v>7</v>
      </c>
      <c r="CC48" s="95" t="str">
        <f>IF($A48="","",INDEX([1]Clasif_Pron!$G:$G,((ROW()-4)*12+13)))</f>
        <v>Croacia</v>
      </c>
      <c r="CD48" s="95">
        <f>IF($A48="","",INDEX([1]Clasif_Pron!$L:$L,((ROW()-4)*12+13)))</f>
        <v>3</v>
      </c>
      <c r="CE48" s="95" t="str">
        <f>IF($A48="","",INDEX([1]Clasif_Pron!$I:$I,((ROW()-4)*12+13)))</f>
        <v>Panamá</v>
      </c>
      <c r="CF48" s="95">
        <f>IF($A48="","",INDEX([1]Clasif_Pron!$M:$M,((ROW()-4)*12+13)))</f>
        <v>0</v>
      </c>
      <c r="CG48" s="95">
        <f>IF($A48="","",INDEX([1]Clasif_Pron!$N:$N,((ROW()-4)*12+13)))</f>
        <v>10</v>
      </c>
      <c r="CH48" s="96">
        <f t="shared" si="0"/>
        <v>155</v>
      </c>
    </row>
    <row r="49" spans="1:86" ht="20.25" customHeight="1" x14ac:dyDescent="0.3">
      <c r="A49" s="94" t="str">
        <f>[1]Participantes!B47</f>
        <v>Saul</v>
      </c>
      <c r="B49" s="119" t="str">
        <f>IF($A49="","",INDEX([1]Clasif_Pron!$E:$E,((ROW()-4)*12+2)))</f>
        <v>México</v>
      </c>
      <c r="C49" s="119">
        <f>IF($A49="","",INDEX([1]Clasif_Pron!$K:$K,((ROW()-4)*12+2)))</f>
        <v>7</v>
      </c>
      <c r="D49" s="119" t="str">
        <f>IF($A49="","",INDEX([1]Clasif_Pron!$G:$G,((ROW()-4)*12+2)))</f>
        <v>Chequia</v>
      </c>
      <c r="E49" s="119">
        <f>IF($A49="","",INDEX([1]Clasif_Pron!$L:$L,((ROW()-4)*12+2)))</f>
        <v>0</v>
      </c>
      <c r="F49" s="95" t="str">
        <f>IF($A49="","",INDEX([1]Clasif_Pron!$I:$I,((ROW()-4)*12+2)))</f>
        <v>Corea República</v>
      </c>
      <c r="G49" s="95">
        <f>IF($A49="","",INDEX([1]Clasif_Pron!$M:$M,((ROW()-4)*12+2)))</f>
        <v>5</v>
      </c>
      <c r="H49" s="95">
        <f>IF($A49="","",INDEX([1]Clasif_Pron!$N:$N,((ROW()-4)*12+2)))</f>
        <v>12</v>
      </c>
      <c r="I49" s="119" t="str">
        <f>IF($A49="","",INDEX([1]Clasif_Pron!$E:$E,((ROW()-4)*12+3)))</f>
        <v>Suiza</v>
      </c>
      <c r="J49" s="119">
        <f>IF($A49="","",INDEX([1]Clasif_Pron!$K:$K,((ROW()-4)*12+3)))</f>
        <v>7</v>
      </c>
      <c r="K49" s="119" t="str">
        <f>IF($A49="","",INDEX([1]Clasif_Pron!$G:$G,((ROW()-4)*12+3)))</f>
        <v>Canadá</v>
      </c>
      <c r="L49" s="119">
        <f>IF($A49="","",INDEX([1]Clasif_Pron!$L:$L,((ROW()-4)*12+3)))</f>
        <v>6</v>
      </c>
      <c r="M49" s="119" t="str">
        <f>IF($A49="","",INDEX([1]Clasif_Pron!$I:$I,((ROW()-4)*12+3)))</f>
        <v>Qatar</v>
      </c>
      <c r="N49" s="119">
        <f>IF($A49="","",INDEX([1]Clasif_Pron!$M:$M,((ROW()-4)*12+3)))</f>
        <v>0</v>
      </c>
      <c r="O49" s="119">
        <f>IF($A49="","",INDEX([1]Clasif_Pron!$N:$N,((ROW()-4)*12+3)))</f>
        <v>13</v>
      </c>
      <c r="P49" s="119" t="str">
        <f>IF($A49="","",INDEX([1]Clasif_Pron!$E:$E,((ROW()-4)*12+4)))</f>
        <v>Brasil</v>
      </c>
      <c r="Q49" s="119">
        <f>IF($A49="","",INDEX([1]Clasif_Pron!$K:$K,((ROW()-4)*12+4)))</f>
        <v>7</v>
      </c>
      <c r="R49" s="119" t="str">
        <f>IF($A49="","",INDEX([1]Clasif_Pron!$G:$G,((ROW()-4)*12+4)))</f>
        <v>Marruecos</v>
      </c>
      <c r="S49" s="119">
        <f>IF($A49="","",INDEX([1]Clasif_Pron!$L:$L,((ROW()-4)*12+4)))</f>
        <v>6</v>
      </c>
      <c r="T49" s="95" t="str">
        <f>IF($A49="","",INDEX([1]Clasif_Pron!$I:$I,((ROW()-4)*12+4)))</f>
        <v>Escocia</v>
      </c>
      <c r="U49" s="95">
        <f>IF($A49="","",INDEX([1]Clasif_Pron!$M:$M,((ROW()-4)*12+4)))</f>
        <v>0</v>
      </c>
      <c r="V49" s="95">
        <f>IF($A49="","",INDEX([1]Clasif_Pron!$N:$N,((ROW()-4)*12+4)))</f>
        <v>13</v>
      </c>
      <c r="W49" s="119" t="str">
        <f>IF($A49="","",INDEX([1]Clasif_Pron!$E:$E,((ROW()-4)*12+5)))</f>
        <v>Estados Unidos</v>
      </c>
      <c r="X49" s="119">
        <f>IF($A49="","",INDEX([1]Clasif_Pron!$K:$K,((ROW()-4)*12+5)))</f>
        <v>7</v>
      </c>
      <c r="Y49" s="95" t="str">
        <f>IF($A49="","",INDEX([1]Clasif_Pron!$G:$G,((ROW()-4)*12+5)))</f>
        <v>Paraguay</v>
      </c>
      <c r="Z49" s="95">
        <f>IF($A49="","",INDEX([1]Clasif_Pron!$L:$L,((ROW()-4)*12+5)))</f>
        <v>3</v>
      </c>
      <c r="AA49" s="119" t="str">
        <f>IF($A49="","",INDEX([1]Clasif_Pron!$I:$I,((ROW()-4)*12+5)))</f>
        <v>Türkiye</v>
      </c>
      <c r="AB49" s="119">
        <f>IF($A49="","",INDEX([1]Clasif_Pron!$M:$M,((ROW()-4)*12+5)))</f>
        <v>0</v>
      </c>
      <c r="AC49" s="95">
        <f>IF($A49="","",INDEX([1]Clasif_Pron!$N:$N,((ROW()-4)*12+5)))</f>
        <v>10</v>
      </c>
      <c r="AD49" s="119" t="str">
        <f>IF($A49="","",INDEX([1]Clasif_Pron!$E:$E,((ROW()-4)*12+6)))</f>
        <v>Alemania</v>
      </c>
      <c r="AE49" s="119">
        <f>IF($A49="","",INDEX([1]Clasif_Pron!$K:$K,((ROW()-4)*12+6)))</f>
        <v>7</v>
      </c>
      <c r="AF49" s="95" t="str">
        <f>IF($A49="","",INDEX([1]Clasif_Pron!$G:$G,((ROW()-4)*12+6)))</f>
        <v>Ecuador</v>
      </c>
      <c r="AG49" s="95">
        <f>IF($A49="","",INDEX([1]Clasif_Pron!$L:$L,((ROW()-4)*12+6)))</f>
        <v>3</v>
      </c>
      <c r="AH49" s="119" t="str">
        <f>IF($A49="","",INDEX([1]Clasif_Pron!$I:$I,((ROW()-4)*12+6)))</f>
        <v>Costa de Marfil</v>
      </c>
      <c r="AI49" s="119">
        <f>IF($A49="","",INDEX([1]Clasif_Pron!$M:$M,((ROW()-4)*12+6)))</f>
        <v>3</v>
      </c>
      <c r="AJ49" s="95">
        <f>IF($A49="","",INDEX([1]Clasif_Pron!$N:$N,((ROW()-4)*12+6)))</f>
        <v>13</v>
      </c>
      <c r="AK49" s="119" t="str">
        <f>IF($A49="","",INDEX([1]Clasif_Pron!$E:$E,((ROW()-4)*12+7)))</f>
        <v>Países Bajos</v>
      </c>
      <c r="AL49" s="119">
        <f>IF($A49="","",INDEX([1]Clasif_Pron!$K:$K,((ROW()-4)*12+7)))</f>
        <v>7</v>
      </c>
      <c r="AM49" s="119" t="str">
        <f>IF($A49="","",INDEX([1]Clasif_Pron!$G:$G,((ROW()-4)*12+7)))</f>
        <v>Japón</v>
      </c>
      <c r="AN49" s="119">
        <f>IF($A49="","",INDEX([1]Clasif_Pron!$L:$L,((ROW()-4)*12+7)))</f>
        <v>6</v>
      </c>
      <c r="AO49" s="95" t="str">
        <f>IF($A49="","",INDEX([1]Clasif_Pron!$I:$I,((ROW()-4)*12+7)))</f>
        <v>Suecia</v>
      </c>
      <c r="AP49" s="95">
        <f>IF($A49="","",INDEX([1]Clasif_Pron!$M:$M,((ROW()-4)*12+7)))</f>
        <v>5</v>
      </c>
      <c r="AQ49" s="95">
        <f>IF($A49="","",INDEX([1]Clasif_Pron!$N:$N,((ROW()-4)*12+7)))</f>
        <v>18</v>
      </c>
      <c r="AR49" s="119" t="str">
        <f>IF($A49="","",INDEX([1]Clasif_Pron!$E:$E,((ROW()-4)*12+8)))</f>
        <v>Bélgica</v>
      </c>
      <c r="AS49" s="119">
        <f>IF($A49="","",INDEX([1]Clasif_Pron!$K:$K,((ROW()-4)*12+8)))</f>
        <v>7</v>
      </c>
      <c r="AT49" s="119" t="str">
        <f>IF($A49="","",INDEX([1]Clasif_Pron!$G:$G,((ROW()-4)*12+8)))</f>
        <v>Egipto</v>
      </c>
      <c r="AU49" s="119">
        <f>IF($A49="","",INDEX([1]Clasif_Pron!$L:$L,((ROW()-4)*12+8)))</f>
        <v>6</v>
      </c>
      <c r="AV49" s="95" t="str">
        <f>IF($A49="","",INDEX([1]Clasif_Pron!$I:$I,((ROW()-4)*12+8)))</f>
        <v>Irán</v>
      </c>
      <c r="AW49" s="95">
        <f>IF($A49="","",INDEX([1]Clasif_Pron!$M:$M,((ROW()-4)*12+8)))</f>
        <v>5</v>
      </c>
      <c r="AX49" s="95">
        <f>IF($A49="","",INDEX([1]Clasif_Pron!$N:$N,((ROW()-4)*12+8)))</f>
        <v>18</v>
      </c>
      <c r="AY49" s="119" t="str">
        <f>IF($A49="","",INDEX([1]Clasif_Pron!$E:$E,((ROW()-4)*12+9)))</f>
        <v>España</v>
      </c>
      <c r="AZ49" s="119">
        <f>IF($A49="","",INDEX([1]Clasif_Pron!$K:$K,((ROW()-4)*12+9)))</f>
        <v>7</v>
      </c>
      <c r="BA49" s="119" t="str">
        <f>IF($A49="","",INDEX([1]Clasif_Pron!$G:$G,((ROW()-4)*12+9)))</f>
        <v>Uruguay</v>
      </c>
      <c r="BB49" s="119">
        <f>IF($A49="","",INDEX([1]Clasif_Pron!$L:$L,((ROW()-4)*12+9)))</f>
        <v>0</v>
      </c>
      <c r="BC49" s="119" t="str">
        <f>IF($A49="","",INDEX([1]Clasif_Pron!$I:$I,((ROW()-4)*12+9)))</f>
        <v>Cabo Verde</v>
      </c>
      <c r="BD49" s="119">
        <f>IF($A49="","",INDEX([1]Clasif_Pron!$M:$M,((ROW()-4)*12+9)))</f>
        <v>3</v>
      </c>
      <c r="BE49" s="119">
        <f>IF($A49="","",INDEX([1]Clasif_Pron!$N:$N,((ROW()-4)*12+9)))</f>
        <v>10</v>
      </c>
      <c r="BF49" s="119" t="str">
        <f>IF($A49="","",INDEX([1]Clasif_Pron!$E:$E,((ROW()-4)*12+10)))</f>
        <v>Francia</v>
      </c>
      <c r="BG49" s="119">
        <f>IF($A49="","",INDEX([1]Clasif_Pron!$K:$K,((ROW()-4)*12+10)))</f>
        <v>7</v>
      </c>
      <c r="BH49" s="119" t="str">
        <f>IF($A49="","",INDEX([1]Clasif_Pron!$G:$G,((ROW()-4)*12+10)))</f>
        <v>Noruega</v>
      </c>
      <c r="BI49" s="119">
        <f>IF($A49="","",INDEX([1]Clasif_Pron!$L:$L,((ROW()-4)*12+10)))</f>
        <v>6</v>
      </c>
      <c r="BJ49" s="95" t="str">
        <f>IF($A49="","",INDEX([1]Clasif_Pron!$I:$I,((ROW()-4)*12+10)))</f>
        <v>Senegal</v>
      </c>
      <c r="BK49" s="95">
        <f>IF($A49="","",INDEX([1]Clasif_Pron!$M:$M,((ROW()-4)*12+10)))</f>
        <v>5</v>
      </c>
      <c r="BL49" s="95">
        <f>IF($A49="","",INDEX([1]Clasif_Pron!$N:$N,((ROW()-4)*12+10)))</f>
        <v>18</v>
      </c>
      <c r="BM49" s="119" t="str">
        <f>IF($A49="","",INDEX([1]Clasif_Pron!$E:$E,((ROW()-4)*12+11)))</f>
        <v>Argentina</v>
      </c>
      <c r="BN49" s="119">
        <f>IF($A49="","",INDEX([1]Clasif_Pron!$K:$K,((ROW()-4)*12+11)))</f>
        <v>7</v>
      </c>
      <c r="BO49" s="95" t="str">
        <f>IF($A49="","",INDEX([1]Clasif_Pron!$G:$G,((ROW()-4)*12+11)))</f>
        <v>Austria</v>
      </c>
      <c r="BP49" s="95">
        <f>IF($A49="","",INDEX([1]Clasif_Pron!$L:$L,((ROW()-4)*12+11)))</f>
        <v>6</v>
      </c>
      <c r="BQ49" s="95" t="str">
        <f>IF($A49="","",INDEX([1]Clasif_Pron!$I:$I,((ROW()-4)*12+11)))</f>
        <v>Argelia</v>
      </c>
      <c r="BR49" s="95">
        <f>IF($A49="","",INDEX([1]Clasif_Pron!$M:$M,((ROW()-4)*12+11)))</f>
        <v>0</v>
      </c>
      <c r="BS49" s="95">
        <f>IF($A49="","",INDEX([1]Clasif_Pron!$N:$N,((ROW()-4)*12+11)))</f>
        <v>13</v>
      </c>
      <c r="BT49" s="95" t="str">
        <f>IF($A49="","",INDEX([1]Clasif_Pron!$E:$E,((ROW()-4)*12+12)))</f>
        <v>Portugal</v>
      </c>
      <c r="BU49" s="95">
        <f>IF($A49="","",INDEX([1]Clasif_Pron!$K:$K,((ROW()-4)*12+12)))</f>
        <v>3</v>
      </c>
      <c r="BV49" s="95" t="str">
        <f>IF($A49="","",INDEX([1]Clasif_Pron!$G:$G,((ROW()-4)*12+12)))</f>
        <v>Colombia</v>
      </c>
      <c r="BW49" s="95">
        <f>IF($A49="","",INDEX([1]Clasif_Pron!$L:$L,((ROW()-4)*12+12)))</f>
        <v>3</v>
      </c>
      <c r="BX49" s="95" t="str">
        <f>IF($A49="","",INDEX([1]Clasif_Pron!$I:$I,((ROW()-4)*12+12)))</f>
        <v>Uzbekistán</v>
      </c>
      <c r="BY49" s="95">
        <f>IF($A49="","",INDEX([1]Clasif_Pron!$M:$M,((ROW()-4)*12+12)))</f>
        <v>0</v>
      </c>
      <c r="BZ49" s="95">
        <f>IF($A49="","",INDEX([1]Clasif_Pron!$N:$N,((ROW()-4)*12+12)))</f>
        <v>6</v>
      </c>
      <c r="CA49" s="95" t="str">
        <f>IF($A49="","",INDEX([1]Clasif_Pron!$E:$E,((ROW()-4)*12+13)))</f>
        <v>Inglaterra</v>
      </c>
      <c r="CB49" s="95">
        <f>IF($A49="","",INDEX([1]Clasif_Pron!$K:$K,((ROW()-4)*12+13)))</f>
        <v>7</v>
      </c>
      <c r="CC49" s="95" t="str">
        <f>IF($A49="","",INDEX([1]Clasif_Pron!$G:$G,((ROW()-4)*12+13)))</f>
        <v>Croacia</v>
      </c>
      <c r="CD49" s="95">
        <f>IF($A49="","",INDEX([1]Clasif_Pron!$L:$L,((ROW()-4)*12+13)))</f>
        <v>3</v>
      </c>
      <c r="CE49" s="95" t="str">
        <f>IF($A49="","",INDEX([1]Clasif_Pron!$I:$I,((ROW()-4)*12+13)))</f>
        <v>Ghana</v>
      </c>
      <c r="CF49" s="95">
        <f>IF($A49="","",INDEX([1]Clasif_Pron!$M:$M,((ROW()-4)*12+13)))</f>
        <v>3</v>
      </c>
      <c r="CG49" s="95">
        <f>IF($A49="","",INDEX([1]Clasif_Pron!$N:$N,((ROW()-4)*12+13)))</f>
        <v>13</v>
      </c>
      <c r="CH49" s="96">
        <f t="shared" si="0"/>
        <v>157</v>
      </c>
    </row>
    <row r="50" spans="1:86" s="100" customFormat="1" ht="20.25" customHeight="1" x14ac:dyDescent="0.3">
      <c r="A50" s="97" t="str">
        <f>[1]Participantes!B48</f>
        <v>Silvia</v>
      </c>
      <c r="B50" s="119" t="str">
        <f>IF($A50="","",INDEX([1]Clasif_Pron!$E:$E,((ROW()-4)*12+2)))</f>
        <v>México</v>
      </c>
      <c r="C50" s="119">
        <f>IF($A50="","",INDEX([1]Clasif_Pron!$K:$K,((ROW()-4)*12+2)))</f>
        <v>7</v>
      </c>
      <c r="D50" s="119" t="str">
        <f>IF($A50="","",INDEX([1]Clasif_Pron!$G:$G,((ROW()-4)*12+2)))</f>
        <v>Chequia</v>
      </c>
      <c r="E50" s="119">
        <f>IF($A50="","",INDEX([1]Clasif_Pron!$L:$L,((ROW()-4)*12+2)))</f>
        <v>0</v>
      </c>
      <c r="F50" s="98" t="str">
        <f>IF($A50="","",INDEX([1]Clasif_Pron!$I:$I,((ROW()-4)*12+2)))</f>
        <v>Corea República</v>
      </c>
      <c r="G50" s="98">
        <f>IF($A50="","",INDEX([1]Clasif_Pron!$M:$M,((ROW()-4)*12+2)))</f>
        <v>5</v>
      </c>
      <c r="H50" s="98">
        <f>IF($A50="","",INDEX([1]Clasif_Pron!$N:$N,((ROW()-4)*12+2)))</f>
        <v>12</v>
      </c>
      <c r="I50" s="119" t="str">
        <f>IF($A50="","",INDEX([1]Clasif_Pron!$E:$E,((ROW()-4)*12+3)))</f>
        <v>Canadá</v>
      </c>
      <c r="J50" s="119">
        <f>IF($A50="","",INDEX([1]Clasif_Pron!$K:$K,((ROW()-4)*12+3)))</f>
        <v>3</v>
      </c>
      <c r="K50" s="119" t="str">
        <f>IF($A50="","",INDEX([1]Clasif_Pron!$G:$G,((ROW()-4)*12+3)))</f>
        <v>Suiza</v>
      </c>
      <c r="L50" s="119">
        <f>IF($A50="","",INDEX([1]Clasif_Pron!$L:$L,((ROW()-4)*12+3)))</f>
        <v>3</v>
      </c>
      <c r="M50" s="119" t="str">
        <f>IF($A50="","",INDEX([1]Clasif_Pron!$I:$I,((ROW()-4)*12+3)))</f>
        <v>Qatar</v>
      </c>
      <c r="N50" s="119">
        <f>IF($A50="","",INDEX([1]Clasif_Pron!$M:$M,((ROW()-4)*12+3)))</f>
        <v>0</v>
      </c>
      <c r="O50" s="119">
        <f>IF($A50="","",INDEX([1]Clasif_Pron!$N:$N,((ROW()-4)*12+3)))</f>
        <v>6</v>
      </c>
      <c r="P50" s="119" t="str">
        <f>IF($A50="","",INDEX([1]Clasif_Pron!$E:$E,((ROW()-4)*12+4)))</f>
        <v>Brasil</v>
      </c>
      <c r="Q50" s="119">
        <f>IF($A50="","",INDEX([1]Clasif_Pron!$K:$K,((ROW()-4)*12+4)))</f>
        <v>7</v>
      </c>
      <c r="R50" s="119" t="str">
        <f>IF($A50="","",INDEX([1]Clasif_Pron!$G:$G,((ROW()-4)*12+4)))</f>
        <v>Marruecos</v>
      </c>
      <c r="S50" s="119">
        <f>IF($A50="","",INDEX([1]Clasif_Pron!$L:$L,((ROW()-4)*12+4)))</f>
        <v>6</v>
      </c>
      <c r="T50" s="98" t="str">
        <f>IF($A50="","",INDEX([1]Clasif_Pron!$I:$I,((ROW()-4)*12+4)))</f>
        <v>Escocia</v>
      </c>
      <c r="U50" s="98">
        <f>IF($A50="","",INDEX([1]Clasif_Pron!$M:$M,((ROW()-4)*12+4)))</f>
        <v>0</v>
      </c>
      <c r="V50" s="98">
        <f>IF($A50="","",INDEX([1]Clasif_Pron!$N:$N,((ROW()-4)*12+4)))</f>
        <v>13</v>
      </c>
      <c r="W50" s="119" t="str">
        <f>IF($A50="","",INDEX([1]Clasif_Pron!$E:$E,((ROW()-4)*12+5)))</f>
        <v>Estados Unidos</v>
      </c>
      <c r="X50" s="119">
        <f>IF($A50="","",INDEX([1]Clasif_Pron!$K:$K,((ROW()-4)*12+5)))</f>
        <v>7</v>
      </c>
      <c r="Y50" s="119" t="str">
        <f>IF($A50="","",INDEX([1]Clasif_Pron!$G:$G,((ROW()-4)*12+5)))</f>
        <v>Türkiye</v>
      </c>
      <c r="Z50" s="119">
        <f>IF($A50="","",INDEX([1]Clasif_Pron!$L:$L,((ROW()-4)*12+5)))</f>
        <v>0</v>
      </c>
      <c r="AA50" s="119" t="str">
        <f>IF($A50="","",INDEX([1]Clasif_Pron!$I:$I,((ROW()-4)*12+5)))</f>
        <v>Australia</v>
      </c>
      <c r="AB50" s="119">
        <f>IF($A50="","",INDEX([1]Clasif_Pron!$M:$M,((ROW()-4)*12+5)))</f>
        <v>3</v>
      </c>
      <c r="AC50" s="119">
        <f>IF($A50="","",INDEX([1]Clasif_Pron!$N:$N,((ROW()-4)*12+5)))</f>
        <v>10</v>
      </c>
      <c r="AD50" s="119" t="str">
        <f>IF($A50="","",INDEX([1]Clasif_Pron!$E:$E,((ROW()-4)*12+6)))</f>
        <v>Alemania</v>
      </c>
      <c r="AE50" s="119">
        <f>IF($A50="","",INDEX([1]Clasif_Pron!$K:$K,((ROW()-4)*12+6)))</f>
        <v>7</v>
      </c>
      <c r="AF50" s="119" t="str">
        <f>IF($A50="","",INDEX([1]Clasif_Pron!$G:$G,((ROW()-4)*12+6)))</f>
        <v>Costa de Marfil</v>
      </c>
      <c r="AG50" s="119">
        <f>IF($A50="","",INDEX([1]Clasif_Pron!$L:$L,((ROW()-4)*12+6)))</f>
        <v>6</v>
      </c>
      <c r="AH50" s="119" t="str">
        <f>IF($A50="","",INDEX([1]Clasif_Pron!$I:$I,((ROW()-4)*12+6)))</f>
        <v>Curazao</v>
      </c>
      <c r="AI50" s="119">
        <f>IF($A50="","",INDEX([1]Clasif_Pron!$M:$M,((ROW()-4)*12+6)))</f>
        <v>0</v>
      </c>
      <c r="AJ50" s="119">
        <f>IF($A50="","",INDEX([1]Clasif_Pron!$N:$N,((ROW()-4)*12+6)))</f>
        <v>13</v>
      </c>
      <c r="AK50" s="119" t="str">
        <f>IF($A50="","",INDEX([1]Clasif_Pron!$E:$E,((ROW()-4)*12+7)))</f>
        <v>Países Bajos</v>
      </c>
      <c r="AL50" s="119">
        <f>IF($A50="","",INDEX([1]Clasif_Pron!$K:$K,((ROW()-4)*12+7)))</f>
        <v>7</v>
      </c>
      <c r="AM50" s="98" t="str">
        <f>IF($A50="","",INDEX([1]Clasif_Pron!$G:$G,((ROW()-4)*12+7)))</f>
        <v>Suecia</v>
      </c>
      <c r="AN50" s="98">
        <f>IF($A50="","",INDEX([1]Clasif_Pron!$L:$L,((ROW()-4)*12+7)))</f>
        <v>3</v>
      </c>
      <c r="AO50" s="119" t="str">
        <f>IF($A50="","",INDEX([1]Clasif_Pron!$I:$I,((ROW()-4)*12+7)))</f>
        <v>Túnez</v>
      </c>
      <c r="AP50" s="119">
        <f>IF($A50="","",INDEX([1]Clasif_Pron!$M:$M,((ROW()-4)*12+7)))</f>
        <v>0</v>
      </c>
      <c r="AQ50" s="95">
        <f>IF($A50="","",INDEX([1]Clasif_Pron!$N:$N,((ROW()-4)*12+7)))</f>
        <v>10</v>
      </c>
      <c r="AR50" s="119" t="str">
        <f>IF($A50="","",INDEX([1]Clasif_Pron!$E:$E,((ROW()-4)*12+8)))</f>
        <v>Bélgica</v>
      </c>
      <c r="AS50" s="119">
        <f>IF($A50="","",INDEX([1]Clasif_Pron!$K:$K,((ROW()-4)*12+8)))</f>
        <v>7</v>
      </c>
      <c r="AT50" s="119" t="str">
        <f>IF($A50="","",INDEX([1]Clasif_Pron!$G:$G,((ROW()-4)*12+8)))</f>
        <v>Egipto</v>
      </c>
      <c r="AU50" s="119">
        <f>IF($A50="","",INDEX([1]Clasif_Pron!$L:$L,((ROW()-4)*12+8)))</f>
        <v>6</v>
      </c>
      <c r="AV50" s="95" t="str">
        <f>IF($A50="","",INDEX([1]Clasif_Pron!$I:$I,((ROW()-4)*12+8)))</f>
        <v>Irán</v>
      </c>
      <c r="AW50" s="95">
        <f>IF($A50="","",INDEX([1]Clasif_Pron!$M:$M,((ROW()-4)*12+8)))</f>
        <v>5</v>
      </c>
      <c r="AX50" s="95">
        <f>IF($A50="","",INDEX([1]Clasif_Pron!$N:$N,((ROW()-4)*12+8)))</f>
        <v>18</v>
      </c>
      <c r="AY50" s="119" t="str">
        <f>IF($A50="","",INDEX([1]Clasif_Pron!$E:$E,((ROW()-4)*12+9)))</f>
        <v>España</v>
      </c>
      <c r="AZ50" s="119">
        <f>IF($A50="","",INDEX([1]Clasif_Pron!$K:$K,((ROW()-4)*12+9)))</f>
        <v>7</v>
      </c>
      <c r="BA50" s="119" t="str">
        <f>IF($A50="","",INDEX([1]Clasif_Pron!$G:$G,((ROW()-4)*12+9)))</f>
        <v>Uruguay</v>
      </c>
      <c r="BB50" s="119">
        <f>IF($A50="","",INDEX([1]Clasif_Pron!$L:$L,((ROW()-4)*12+9)))</f>
        <v>0</v>
      </c>
      <c r="BC50" s="119" t="str">
        <f>IF($A50="","",INDEX([1]Clasif_Pron!$I:$I,((ROW()-4)*12+9)))</f>
        <v>Cabo Verde</v>
      </c>
      <c r="BD50" s="119">
        <f>IF($A50="","",INDEX([1]Clasif_Pron!$M:$M,((ROW()-4)*12+9)))</f>
        <v>3</v>
      </c>
      <c r="BE50" s="119">
        <f>IF($A50="","",INDEX([1]Clasif_Pron!$N:$N,((ROW()-4)*12+9)))</f>
        <v>10</v>
      </c>
      <c r="BF50" s="119" t="str">
        <f>IF($A50="","",INDEX([1]Clasif_Pron!$E:$E,((ROW()-4)*12+10)))</f>
        <v>Francia</v>
      </c>
      <c r="BG50" s="119">
        <f>IF($A50="","",INDEX([1]Clasif_Pron!$K:$K,((ROW()-4)*12+10)))</f>
        <v>7</v>
      </c>
      <c r="BH50" s="119" t="str">
        <f>IF($A50="","",INDEX([1]Clasif_Pron!$G:$G,((ROW()-4)*12+10)))</f>
        <v>Noruega</v>
      </c>
      <c r="BI50" s="119">
        <f>IF($A50="","",INDEX([1]Clasif_Pron!$L:$L,((ROW()-4)*12+10)))</f>
        <v>6</v>
      </c>
      <c r="BJ50" s="98" t="str">
        <f>IF($A50="","",INDEX([1]Clasif_Pron!$I:$I,((ROW()-4)*12+10)))</f>
        <v>Senegal</v>
      </c>
      <c r="BK50" s="98">
        <f>IF($A50="","",INDEX([1]Clasif_Pron!$M:$M,((ROW()-4)*12+10)))</f>
        <v>5</v>
      </c>
      <c r="BL50" s="95">
        <f>IF($A50="","",INDEX([1]Clasif_Pron!$N:$N,((ROW()-4)*12+10)))</f>
        <v>18</v>
      </c>
      <c r="BM50" s="119" t="str">
        <f>IF($A50="","",INDEX([1]Clasif_Pron!$E:$E,((ROW()-4)*12+11)))</f>
        <v>Argentina</v>
      </c>
      <c r="BN50" s="119">
        <f>IF($A50="","",INDEX([1]Clasif_Pron!$K:$K,((ROW()-4)*12+11)))</f>
        <v>7</v>
      </c>
      <c r="BO50" s="98" t="str">
        <f>IF($A50="","",INDEX([1]Clasif_Pron!$G:$G,((ROW()-4)*12+11)))</f>
        <v>Austria</v>
      </c>
      <c r="BP50" s="98">
        <f>IF($A50="","",INDEX([1]Clasif_Pron!$L:$L,((ROW()-4)*12+11)))</f>
        <v>6</v>
      </c>
      <c r="BQ50" s="98" t="str">
        <f>IF($A50="","",INDEX([1]Clasif_Pron!$I:$I,((ROW()-4)*12+11)))</f>
        <v>Argelia</v>
      </c>
      <c r="BR50" s="98">
        <f>IF($A50="","",INDEX([1]Clasif_Pron!$M:$M,((ROW()-4)*12+11)))</f>
        <v>0</v>
      </c>
      <c r="BS50" s="98">
        <f>IF($A50="","",INDEX([1]Clasif_Pron!$N:$N,((ROW()-4)*12+11)))</f>
        <v>13</v>
      </c>
      <c r="BT50" s="98" t="str">
        <f>IF($A50="","",INDEX([1]Clasif_Pron!$E:$E,((ROW()-4)*12+12)))</f>
        <v>Portugal</v>
      </c>
      <c r="BU50" s="98">
        <f>IF($A50="","",INDEX([1]Clasif_Pron!$K:$K,((ROW()-4)*12+12)))</f>
        <v>3</v>
      </c>
      <c r="BV50" s="98" t="str">
        <f>IF($A50="","",INDEX([1]Clasif_Pron!$G:$G,((ROW()-4)*12+12)))</f>
        <v>Colombia</v>
      </c>
      <c r="BW50" s="98">
        <f>IF($A50="","",INDEX([1]Clasif_Pron!$L:$L,((ROW()-4)*12+12)))</f>
        <v>3</v>
      </c>
      <c r="BX50" s="98" t="str">
        <f>IF($A50="","",INDEX([1]Clasif_Pron!$I:$I,((ROW()-4)*12+12)))</f>
        <v>Uzbekistán</v>
      </c>
      <c r="BY50" s="98">
        <f>IF($A50="","",INDEX([1]Clasif_Pron!$M:$M,((ROW()-4)*12+12)))</f>
        <v>0</v>
      </c>
      <c r="BZ50" s="98">
        <f>IF($A50="","",INDEX([1]Clasif_Pron!$N:$N,((ROW()-4)*12+12)))</f>
        <v>6</v>
      </c>
      <c r="CA50" s="98" t="str">
        <f>IF($A50="","",INDEX([1]Clasif_Pron!$E:$E,((ROW()-4)*12+13)))</f>
        <v>Inglaterra</v>
      </c>
      <c r="CB50" s="98">
        <f>IF($A50="","",INDEX([1]Clasif_Pron!$K:$K,((ROW()-4)*12+13)))</f>
        <v>7</v>
      </c>
      <c r="CC50" s="98" t="str">
        <f>IF($A50="","",INDEX([1]Clasif_Pron!$G:$G,((ROW()-4)*12+13)))</f>
        <v>Croacia</v>
      </c>
      <c r="CD50" s="98">
        <f>IF($A50="","",INDEX([1]Clasif_Pron!$L:$L,((ROW()-4)*12+13)))</f>
        <v>3</v>
      </c>
      <c r="CE50" s="98" t="str">
        <f>IF($A50="","",INDEX([1]Clasif_Pron!$I:$I,((ROW()-4)*12+13)))</f>
        <v>Panamá</v>
      </c>
      <c r="CF50" s="98">
        <f>IF($A50="","",INDEX([1]Clasif_Pron!$M:$M,((ROW()-4)*12+13)))</f>
        <v>0</v>
      </c>
      <c r="CG50" s="98">
        <f>IF($A50="","",INDEX([1]Clasif_Pron!$N:$N,((ROW()-4)*12+13)))</f>
        <v>10</v>
      </c>
      <c r="CH50" s="99">
        <f t="shared" si="0"/>
        <v>139</v>
      </c>
    </row>
    <row r="51" spans="1:86" ht="20.25" customHeight="1" x14ac:dyDescent="0.3">
      <c r="A51" s="94" t="str">
        <f>[1]Participantes!B49</f>
        <v>Walder</v>
      </c>
      <c r="B51" s="95" t="str">
        <f>IF($A51="","",INDEX([1]Clasif_Pron!$E:$E,((ROW()-4)*12+2)))</f>
        <v>Corea República</v>
      </c>
      <c r="C51" s="95">
        <f>IF($A51="","",INDEX([1]Clasif_Pron!$K:$K,((ROW()-4)*12+2)))</f>
        <v>3</v>
      </c>
      <c r="D51" s="119" t="str">
        <f>IF($A51="","",INDEX([1]Clasif_Pron!$G:$G,((ROW()-4)*12+2)))</f>
        <v>México</v>
      </c>
      <c r="E51" s="119">
        <f>IF($A51="","",INDEX([1]Clasif_Pron!$L:$L,((ROW()-4)*12+2)))</f>
        <v>3</v>
      </c>
      <c r="F51" s="119" t="str">
        <f>IF($A51="","",INDEX([1]Clasif_Pron!$I:$I,((ROW()-4)*12+2)))</f>
        <v>Chequia</v>
      </c>
      <c r="G51" s="119">
        <f>IF($A51="","",INDEX([1]Clasif_Pron!$M:$M,((ROW()-4)*12+2)))</f>
        <v>0</v>
      </c>
      <c r="H51" s="95">
        <f>IF($A51="","",INDEX([1]Clasif_Pron!$N:$N,((ROW()-4)*12+2)))</f>
        <v>6</v>
      </c>
      <c r="I51" s="119" t="str">
        <f>IF($A51="","",INDEX([1]Clasif_Pron!$E:$E,((ROW()-4)*12+3)))</f>
        <v>Suiza</v>
      </c>
      <c r="J51" s="119">
        <f>IF($A51="","",INDEX([1]Clasif_Pron!$K:$K,((ROW()-4)*12+3)))</f>
        <v>7</v>
      </c>
      <c r="K51" s="119" t="str">
        <f>IF($A51="","",INDEX([1]Clasif_Pron!$G:$G,((ROW()-4)*12+3)))</f>
        <v>Bosnia y Herzegovina</v>
      </c>
      <c r="L51" s="119">
        <f>IF($A51="","",INDEX([1]Clasif_Pron!$L:$L,((ROW()-4)*12+3)))</f>
        <v>3</v>
      </c>
      <c r="M51" s="119" t="str">
        <f>IF($A51="","",INDEX([1]Clasif_Pron!$I:$I,((ROW()-4)*12+3)))</f>
        <v>Canadá</v>
      </c>
      <c r="N51" s="119">
        <f>IF($A51="","",INDEX([1]Clasif_Pron!$M:$M,((ROW()-4)*12+3)))</f>
        <v>3</v>
      </c>
      <c r="O51" s="119">
        <f>IF($A51="","",INDEX([1]Clasif_Pron!$N:$N,((ROW()-4)*12+3)))</f>
        <v>13</v>
      </c>
      <c r="P51" s="119" t="str">
        <f>IF($A51="","",INDEX([1]Clasif_Pron!$E:$E,((ROW()-4)*12+4)))</f>
        <v>Brasil</v>
      </c>
      <c r="Q51" s="119">
        <f>IF($A51="","",INDEX([1]Clasif_Pron!$K:$K,((ROW()-4)*12+4)))</f>
        <v>7</v>
      </c>
      <c r="R51" s="119" t="str">
        <f>IF($A51="","",INDEX([1]Clasif_Pron!$G:$G,((ROW()-4)*12+4)))</f>
        <v>Marruecos</v>
      </c>
      <c r="S51" s="119">
        <f>IF($A51="","",INDEX([1]Clasif_Pron!$L:$L,((ROW()-4)*12+4)))</f>
        <v>6</v>
      </c>
      <c r="T51" s="95" t="str">
        <f>IF($A51="","",INDEX([1]Clasif_Pron!$I:$I,((ROW()-4)*12+4)))</f>
        <v>Escocia</v>
      </c>
      <c r="U51" s="95">
        <f>IF($A51="","",INDEX([1]Clasif_Pron!$M:$M,((ROW()-4)*12+4)))</f>
        <v>0</v>
      </c>
      <c r="V51" s="95">
        <f>IF($A51="","",INDEX([1]Clasif_Pron!$N:$N,((ROW()-4)*12+4)))</f>
        <v>13</v>
      </c>
      <c r="W51" s="119" t="str">
        <f>IF($A51="","",INDEX([1]Clasif_Pron!$E:$E,((ROW()-4)*12+5)))</f>
        <v>Estados Unidos</v>
      </c>
      <c r="X51" s="119">
        <f>IF($A51="","",INDEX([1]Clasif_Pron!$K:$K,((ROW()-4)*12+5)))</f>
        <v>7</v>
      </c>
      <c r="Y51" s="119" t="str">
        <f>IF($A51="","",INDEX([1]Clasif_Pron!$G:$G,((ROW()-4)*12+5)))</f>
        <v>Türkiye</v>
      </c>
      <c r="Z51" s="119">
        <f>IF($A51="","",INDEX([1]Clasif_Pron!$L:$L,((ROW()-4)*12+5)))</f>
        <v>0</v>
      </c>
      <c r="AA51" s="95" t="str">
        <f>IF($A51="","",INDEX([1]Clasif_Pron!$I:$I,((ROW()-4)*12+5)))</f>
        <v>Paraguay</v>
      </c>
      <c r="AB51" s="95">
        <f>IF($A51="","",INDEX([1]Clasif_Pron!$M:$M,((ROW()-4)*12+5)))</f>
        <v>5</v>
      </c>
      <c r="AC51" s="95">
        <f>IF($A51="","",INDEX([1]Clasif_Pron!$N:$N,((ROW()-4)*12+5)))</f>
        <v>12</v>
      </c>
      <c r="AD51" s="119" t="str">
        <f>IF($A51="","",INDEX([1]Clasif_Pron!$E:$E,((ROW()-4)*12+6)))</f>
        <v>Alemania</v>
      </c>
      <c r="AE51" s="119">
        <f>IF($A51="","",INDEX([1]Clasif_Pron!$K:$K,((ROW()-4)*12+6)))</f>
        <v>7</v>
      </c>
      <c r="AF51" s="95" t="str">
        <f>IF($A51="","",INDEX([1]Clasif_Pron!$G:$G,((ROW()-4)*12+6)))</f>
        <v>Ecuador</v>
      </c>
      <c r="AG51" s="95">
        <f>IF($A51="","",INDEX([1]Clasif_Pron!$L:$L,((ROW()-4)*12+6)))</f>
        <v>3</v>
      </c>
      <c r="AH51" s="119" t="str">
        <f>IF($A51="","",INDEX([1]Clasif_Pron!$I:$I,((ROW()-4)*12+6)))</f>
        <v>Costa de Marfil</v>
      </c>
      <c r="AI51" s="119">
        <f>IF($A51="","",INDEX([1]Clasif_Pron!$M:$M,((ROW()-4)*12+6)))</f>
        <v>3</v>
      </c>
      <c r="AJ51" s="95">
        <f>IF($A51="","",INDEX([1]Clasif_Pron!$N:$N,((ROW()-4)*12+6)))</f>
        <v>13</v>
      </c>
      <c r="AK51" s="119" t="str">
        <f>IF($A51="","",INDEX([1]Clasif_Pron!$E:$E,((ROW()-4)*12+7)))</f>
        <v>Países Bajos</v>
      </c>
      <c r="AL51" s="119">
        <f>IF($A51="","",INDEX([1]Clasif_Pron!$K:$K,((ROW()-4)*12+7)))</f>
        <v>7</v>
      </c>
      <c r="AM51" s="95" t="str">
        <f>IF($A51="","",INDEX([1]Clasif_Pron!$G:$G,((ROW()-4)*12+7)))</f>
        <v>Suecia</v>
      </c>
      <c r="AN51" s="95">
        <f>IF($A51="","",INDEX([1]Clasif_Pron!$L:$L,((ROW()-4)*12+7)))</f>
        <v>3</v>
      </c>
      <c r="AO51" s="119" t="str">
        <f>IF($A51="","",INDEX([1]Clasif_Pron!$I:$I,((ROW()-4)*12+7)))</f>
        <v>Japón</v>
      </c>
      <c r="AP51" s="119">
        <f>IF($A51="","",INDEX([1]Clasif_Pron!$M:$M,((ROW()-4)*12+7)))</f>
        <v>3</v>
      </c>
      <c r="AQ51" s="95">
        <f>IF($A51="","",INDEX([1]Clasif_Pron!$N:$N,((ROW()-4)*12+7)))</f>
        <v>13</v>
      </c>
      <c r="AR51" s="119" t="str">
        <f>IF($A51="","",INDEX([1]Clasif_Pron!$E:$E,((ROW()-4)*12+8)))</f>
        <v>Bélgica</v>
      </c>
      <c r="AS51" s="119">
        <f>IF($A51="","",INDEX([1]Clasif_Pron!$K:$K,((ROW()-4)*12+8)))</f>
        <v>7</v>
      </c>
      <c r="AT51" s="119" t="str">
        <f>IF($A51="","",INDEX([1]Clasif_Pron!$G:$G,((ROW()-4)*12+8)))</f>
        <v>Egipto</v>
      </c>
      <c r="AU51" s="119">
        <f>IF($A51="","",INDEX([1]Clasif_Pron!$L:$L,((ROW()-4)*12+8)))</f>
        <v>6</v>
      </c>
      <c r="AV51" s="95" t="str">
        <f>IF($A51="","",INDEX([1]Clasif_Pron!$I:$I,((ROW()-4)*12+8)))</f>
        <v>Irán</v>
      </c>
      <c r="AW51" s="95">
        <f>IF($A51="","",INDEX([1]Clasif_Pron!$M:$M,((ROW()-4)*12+8)))</f>
        <v>5</v>
      </c>
      <c r="AX51" s="95">
        <f>IF($A51="","",INDEX([1]Clasif_Pron!$N:$N,((ROW()-4)*12+8)))</f>
        <v>18</v>
      </c>
      <c r="AY51" s="119" t="str">
        <f>IF($A51="","",INDEX([1]Clasif_Pron!$E:$E,((ROW()-4)*12+9)))</f>
        <v>España</v>
      </c>
      <c r="AZ51" s="119">
        <f>IF($A51="","",INDEX([1]Clasif_Pron!$K:$K,((ROW()-4)*12+9)))</f>
        <v>7</v>
      </c>
      <c r="BA51" s="119" t="str">
        <f>IF($A51="","",INDEX([1]Clasif_Pron!$G:$G,((ROW()-4)*12+9)))</f>
        <v>Uruguay</v>
      </c>
      <c r="BB51" s="119">
        <f>IF($A51="","",INDEX([1]Clasif_Pron!$L:$L,((ROW()-4)*12+9)))</f>
        <v>0</v>
      </c>
      <c r="BC51" s="119" t="str">
        <f>IF($A51="","",INDEX([1]Clasif_Pron!$I:$I,((ROW()-4)*12+9)))</f>
        <v>Arabia Saudita</v>
      </c>
      <c r="BD51" s="119">
        <f>IF($A51="","",INDEX([1]Clasif_Pron!$M:$M,((ROW()-4)*12+9)))</f>
        <v>0</v>
      </c>
      <c r="BE51" s="119">
        <f>IF($A51="","",INDEX([1]Clasif_Pron!$N:$N,((ROW()-4)*12+9)))</f>
        <v>7</v>
      </c>
      <c r="BF51" s="119" t="str">
        <f>IF($A51="","",INDEX([1]Clasif_Pron!$E:$E,((ROW()-4)*12+10)))</f>
        <v>Noruega</v>
      </c>
      <c r="BG51" s="119">
        <f>IF($A51="","",INDEX([1]Clasif_Pron!$K:$K,((ROW()-4)*12+10)))</f>
        <v>3</v>
      </c>
      <c r="BH51" s="119" t="str">
        <f>IF($A51="","",INDEX([1]Clasif_Pron!$G:$G,((ROW()-4)*12+10)))</f>
        <v>Francia</v>
      </c>
      <c r="BI51" s="119">
        <f>IF($A51="","",INDEX([1]Clasif_Pron!$L:$L,((ROW()-4)*12+10)))</f>
        <v>3</v>
      </c>
      <c r="BJ51" s="95" t="str">
        <f>IF($A51="","",INDEX([1]Clasif_Pron!$I:$I,((ROW()-4)*12+10)))</f>
        <v>Senegal</v>
      </c>
      <c r="BK51" s="95">
        <f>IF($A51="","",INDEX([1]Clasif_Pron!$M:$M,((ROW()-4)*12+10)))</f>
        <v>5</v>
      </c>
      <c r="BL51" s="95">
        <f>IF($A51="","",INDEX([1]Clasif_Pron!$N:$N,((ROW()-4)*12+10)))</f>
        <v>11</v>
      </c>
      <c r="BM51" s="119" t="str">
        <f>IF($A51="","",INDEX([1]Clasif_Pron!$E:$E,((ROW()-4)*12+11)))</f>
        <v>Argentina</v>
      </c>
      <c r="BN51" s="119">
        <f>IF($A51="","",INDEX([1]Clasif_Pron!$K:$K,((ROW()-4)*12+11)))</f>
        <v>7</v>
      </c>
      <c r="BO51" s="95" t="str">
        <f>IF($A51="","",INDEX([1]Clasif_Pron!$G:$G,((ROW()-4)*12+11)))</f>
        <v>Argelia</v>
      </c>
      <c r="BP51" s="95">
        <f>IF($A51="","",INDEX([1]Clasif_Pron!$L:$L,((ROW()-4)*12+11)))</f>
        <v>0</v>
      </c>
      <c r="BQ51" s="95" t="str">
        <f>IF($A51="","",INDEX([1]Clasif_Pron!$I:$I,((ROW()-4)*12+11)))</f>
        <v>Austria</v>
      </c>
      <c r="BR51" s="95">
        <f>IF($A51="","",INDEX([1]Clasif_Pron!$M:$M,((ROW()-4)*12+11)))</f>
        <v>3</v>
      </c>
      <c r="BS51" s="95">
        <f>IF($A51="","",INDEX([1]Clasif_Pron!$N:$N,((ROW()-4)*12+11)))</f>
        <v>10</v>
      </c>
      <c r="BT51" s="95" t="str">
        <f>IF($A51="","",INDEX([1]Clasif_Pron!$E:$E,((ROW()-4)*12+12)))</f>
        <v>Portugal</v>
      </c>
      <c r="BU51" s="95">
        <f>IF($A51="","",INDEX([1]Clasif_Pron!$K:$K,((ROW()-4)*12+12)))</f>
        <v>3</v>
      </c>
      <c r="BV51" s="95" t="str">
        <f>IF($A51="","",INDEX([1]Clasif_Pron!$G:$G,((ROW()-4)*12+12)))</f>
        <v>Colombia</v>
      </c>
      <c r="BW51" s="95">
        <f>IF($A51="","",INDEX([1]Clasif_Pron!$L:$L,((ROW()-4)*12+12)))</f>
        <v>3</v>
      </c>
      <c r="BX51" s="95" t="str">
        <f>IF($A51="","",INDEX([1]Clasif_Pron!$I:$I,((ROW()-4)*12+12)))</f>
        <v>Uzbekistán</v>
      </c>
      <c r="BY51" s="95">
        <f>IF($A51="","",INDEX([1]Clasif_Pron!$M:$M,((ROW()-4)*12+12)))</f>
        <v>0</v>
      </c>
      <c r="BZ51" s="95">
        <f>IF($A51="","",INDEX([1]Clasif_Pron!$N:$N,((ROW()-4)*12+12)))</f>
        <v>6</v>
      </c>
      <c r="CA51" s="95" t="str">
        <f>IF($A51="","",INDEX([1]Clasif_Pron!$E:$E,((ROW()-4)*12+13)))</f>
        <v>Inglaterra</v>
      </c>
      <c r="CB51" s="95">
        <f>IF($A51="","",INDEX([1]Clasif_Pron!$K:$K,((ROW()-4)*12+13)))</f>
        <v>7</v>
      </c>
      <c r="CC51" s="95" t="str">
        <f>IF($A51="","",INDEX([1]Clasif_Pron!$G:$G,((ROW()-4)*12+13)))</f>
        <v>Croacia</v>
      </c>
      <c r="CD51" s="95">
        <f>IF($A51="","",INDEX([1]Clasif_Pron!$L:$L,((ROW()-4)*12+13)))</f>
        <v>3</v>
      </c>
      <c r="CE51" s="95" t="str">
        <f>IF($A51="","",INDEX([1]Clasif_Pron!$I:$I,((ROW()-4)*12+13)))</f>
        <v>Panamá</v>
      </c>
      <c r="CF51" s="95">
        <f>IF($A51="","",INDEX([1]Clasif_Pron!$M:$M,((ROW()-4)*12+13)))</f>
        <v>0</v>
      </c>
      <c r="CG51" s="95">
        <f>IF($A51="","",INDEX([1]Clasif_Pron!$N:$N,((ROW()-4)*12+13)))</f>
        <v>10</v>
      </c>
      <c r="CH51" s="96">
        <f t="shared" si="0"/>
        <v>132</v>
      </c>
    </row>
    <row r="52" spans="1:86" ht="20.25" customHeight="1" thickBot="1" x14ac:dyDescent="0.35">
      <c r="A52" s="101" t="str">
        <f>[1]Participantes!B50</f>
        <v>Waldo</v>
      </c>
      <c r="B52" s="102" t="str">
        <f>IF($A52="","",INDEX([1]Clasif_Pron!$E:$E,((ROW()-4)*12+2)))</f>
        <v>Corea República</v>
      </c>
      <c r="C52" s="102">
        <f>IF($A52="","",INDEX([1]Clasif_Pron!$K:$K,((ROW()-4)*12+2)))</f>
        <v>3</v>
      </c>
      <c r="D52" s="120" t="str">
        <f>IF($A52="","",INDEX([1]Clasif_Pron!$G:$G,((ROW()-4)*12+2)))</f>
        <v>México</v>
      </c>
      <c r="E52" s="120">
        <f>IF($A52="","",INDEX([1]Clasif_Pron!$L:$L,((ROW()-4)*12+2)))</f>
        <v>3</v>
      </c>
      <c r="F52" s="120" t="str">
        <f>IF($A52="","",INDEX([1]Clasif_Pron!$I:$I,((ROW()-4)*12+2)))</f>
        <v>Chequia</v>
      </c>
      <c r="G52" s="120">
        <f>IF($A52="","",INDEX([1]Clasif_Pron!$M:$M,((ROW()-4)*12+2)))</f>
        <v>0</v>
      </c>
      <c r="H52" s="102">
        <f>IF($A52="","",INDEX([1]Clasif_Pron!$N:$N,((ROW()-4)*12+2)))</f>
        <v>6</v>
      </c>
      <c r="I52" s="120" t="str">
        <f>IF($A52="","",INDEX([1]Clasif_Pron!$E:$E,((ROW()-4)*12+3)))</f>
        <v>Suiza</v>
      </c>
      <c r="J52" s="120">
        <f>IF($A52="","",INDEX([1]Clasif_Pron!$K:$K,((ROW()-4)*12+3)))</f>
        <v>7</v>
      </c>
      <c r="K52" s="120" t="str">
        <f>IF($A52="","",INDEX([1]Clasif_Pron!$G:$G,((ROW()-4)*12+3)))</f>
        <v>Canadá</v>
      </c>
      <c r="L52" s="120">
        <f>IF($A52="","",INDEX([1]Clasif_Pron!$L:$L,((ROW()-4)*12+3)))</f>
        <v>6</v>
      </c>
      <c r="M52" s="120" t="str">
        <f>IF($A52="","",INDEX([1]Clasif_Pron!$I:$I,((ROW()-4)*12+3)))</f>
        <v>Bosnia y Herzegovina</v>
      </c>
      <c r="N52" s="120">
        <f>IF($A52="","",INDEX([1]Clasif_Pron!$M:$M,((ROW()-4)*12+3)))</f>
        <v>5</v>
      </c>
      <c r="O52" s="120">
        <f>IF($A52="","",INDEX([1]Clasif_Pron!$N:$N,((ROW()-4)*12+3)))</f>
        <v>18</v>
      </c>
      <c r="P52" s="120" t="str">
        <f>IF($A52="","",INDEX([1]Clasif_Pron!$E:$E,((ROW()-4)*12+4)))</f>
        <v>Marruecos</v>
      </c>
      <c r="Q52" s="120">
        <f>IF($A52="","",INDEX([1]Clasif_Pron!$K:$K,((ROW()-4)*12+4)))</f>
        <v>3</v>
      </c>
      <c r="R52" s="120" t="str">
        <f>IF($A52="","",INDEX([1]Clasif_Pron!$G:$G,((ROW()-4)*12+4)))</f>
        <v>Brasil</v>
      </c>
      <c r="S52" s="120">
        <f>IF($A52="","",INDEX([1]Clasif_Pron!$L:$L,((ROW()-4)*12+4)))</f>
        <v>3</v>
      </c>
      <c r="T52" s="102" t="str">
        <f>IF($A52="","",INDEX([1]Clasif_Pron!$I:$I,((ROW()-4)*12+4)))</f>
        <v>Escocia</v>
      </c>
      <c r="U52" s="102">
        <f>IF($A52="","",INDEX([1]Clasif_Pron!$M:$M,((ROW()-4)*12+4)))</f>
        <v>0</v>
      </c>
      <c r="V52" s="102">
        <f>IF($A52="","",INDEX([1]Clasif_Pron!$N:$N,((ROW()-4)*12+4)))</f>
        <v>6</v>
      </c>
      <c r="W52" s="120" t="str">
        <f>IF($A52="","",INDEX([1]Clasif_Pron!$E:$E,((ROW()-4)*12+5)))</f>
        <v>Estados Unidos</v>
      </c>
      <c r="X52" s="120">
        <f>IF($A52="","",INDEX([1]Clasif_Pron!$K:$K,((ROW()-4)*12+5)))</f>
        <v>7</v>
      </c>
      <c r="Y52" s="120" t="str">
        <f>IF($A52="","",INDEX([1]Clasif_Pron!$G:$G,((ROW()-4)*12+5)))</f>
        <v>Türkiye</v>
      </c>
      <c r="Z52" s="120">
        <f>IF($A52="","",INDEX([1]Clasif_Pron!$L:$L,((ROW()-4)*12+5)))</f>
        <v>0</v>
      </c>
      <c r="AA52" s="102" t="str">
        <f>IF($A52="","",INDEX([1]Clasif_Pron!$I:$I,((ROW()-4)*12+5)))</f>
        <v>Paraguay</v>
      </c>
      <c r="AB52" s="102">
        <f>IF($A52="","",INDEX([1]Clasif_Pron!$M:$M,((ROW()-4)*12+5)))</f>
        <v>5</v>
      </c>
      <c r="AC52" s="102">
        <f>IF($A52="","",INDEX([1]Clasif_Pron!$N:$N,((ROW()-4)*12+5)))</f>
        <v>12</v>
      </c>
      <c r="AD52" s="120" t="str">
        <f>IF($A52="","",INDEX([1]Clasif_Pron!$E:$E,((ROW()-4)*12+6)))</f>
        <v>Alemania</v>
      </c>
      <c r="AE52" s="120">
        <f>IF($A52="","",INDEX([1]Clasif_Pron!$K:$K,((ROW()-4)*12+6)))</f>
        <v>7</v>
      </c>
      <c r="AF52" s="120" t="str">
        <f>IF($A52="","",INDEX([1]Clasif_Pron!$G:$G,((ROW()-4)*12+6)))</f>
        <v>Costa de Marfil</v>
      </c>
      <c r="AG52" s="120">
        <f>IF($A52="","",INDEX([1]Clasif_Pron!$L:$L,((ROW()-4)*12+6)))</f>
        <v>6</v>
      </c>
      <c r="AH52" s="102" t="str">
        <f>IF($A52="","",INDEX([1]Clasif_Pron!$I:$I,((ROW()-4)*12+6)))</f>
        <v>Ecuador</v>
      </c>
      <c r="AI52" s="102">
        <f>IF($A52="","",INDEX([1]Clasif_Pron!$M:$M,((ROW()-4)*12+6)))</f>
        <v>5</v>
      </c>
      <c r="AJ52" s="102">
        <f>IF($A52="","",INDEX([1]Clasif_Pron!$N:$N,((ROW()-4)*12+6)))</f>
        <v>18</v>
      </c>
      <c r="AK52" s="120" t="str">
        <f>IF($A52="","",INDEX([1]Clasif_Pron!$E:$E,((ROW()-4)*12+7)))</f>
        <v>Países Bajos</v>
      </c>
      <c r="AL52" s="120">
        <f>IF($A52="","",INDEX([1]Clasif_Pron!$K:$K,((ROW()-4)*12+7)))</f>
        <v>7</v>
      </c>
      <c r="AM52" s="120" t="str">
        <f>IF($A52="","",INDEX([1]Clasif_Pron!$G:$G,((ROW()-4)*12+7)))</f>
        <v>Japón</v>
      </c>
      <c r="AN52" s="120">
        <f>IF($A52="","",INDEX([1]Clasif_Pron!$L:$L,((ROW()-4)*12+7)))</f>
        <v>6</v>
      </c>
      <c r="AO52" s="102" t="str">
        <f>IF($A52="","",INDEX([1]Clasif_Pron!$I:$I,((ROW()-4)*12+7)))</f>
        <v>Suecia</v>
      </c>
      <c r="AP52" s="102">
        <f>IF($A52="","",INDEX([1]Clasif_Pron!$M:$M,((ROW()-4)*12+7)))</f>
        <v>5</v>
      </c>
      <c r="AQ52" s="102">
        <f>IF($A52="","",INDEX([1]Clasif_Pron!$N:$N,((ROW()-4)*12+7)))</f>
        <v>18</v>
      </c>
      <c r="AR52" s="120" t="str">
        <f>IF($A52="","",INDEX([1]Clasif_Pron!$E:$E,((ROW()-4)*12+8)))</f>
        <v>Bélgica</v>
      </c>
      <c r="AS52" s="120">
        <f>IF($A52="","",INDEX([1]Clasif_Pron!$K:$K,((ROW()-4)*12+8)))</f>
        <v>7</v>
      </c>
      <c r="AT52" s="120" t="str">
        <f>IF($A52="","",INDEX([1]Clasif_Pron!$G:$G,((ROW()-4)*12+8)))</f>
        <v>Egipto</v>
      </c>
      <c r="AU52" s="120">
        <f>IF($A52="","",INDEX([1]Clasif_Pron!$L:$L,((ROW()-4)*12+8)))</f>
        <v>6</v>
      </c>
      <c r="AV52" s="102" t="str">
        <f>IF($A52="","",INDEX([1]Clasif_Pron!$I:$I,((ROW()-4)*12+8)))</f>
        <v>Irán</v>
      </c>
      <c r="AW52" s="102">
        <f>IF($A52="","",INDEX([1]Clasif_Pron!$M:$M,((ROW()-4)*12+8)))</f>
        <v>5</v>
      </c>
      <c r="AX52" s="102">
        <f>IF($A52="","",INDEX([1]Clasif_Pron!$N:$N,((ROW()-4)*12+8)))</f>
        <v>18</v>
      </c>
      <c r="AY52" s="120" t="str">
        <f>IF($A52="","",INDEX([1]Clasif_Pron!$E:$E,((ROW()-4)*12+9)))</f>
        <v>España</v>
      </c>
      <c r="AZ52" s="120">
        <f>IF($A52="","",INDEX([1]Clasif_Pron!$K:$K,((ROW()-4)*12+9)))</f>
        <v>7</v>
      </c>
      <c r="BA52" s="120" t="str">
        <f>IF($A52="","",INDEX([1]Clasif_Pron!$G:$G,((ROW()-4)*12+9)))</f>
        <v>Uruguay</v>
      </c>
      <c r="BB52" s="120">
        <f>IF($A52="","",INDEX([1]Clasif_Pron!$L:$L,((ROW()-4)*12+9)))</f>
        <v>0</v>
      </c>
      <c r="BC52" s="120" t="str">
        <f>IF($A52="","",INDEX([1]Clasif_Pron!$I:$I,((ROW()-4)*12+9)))</f>
        <v>Cabo Verde</v>
      </c>
      <c r="BD52" s="120">
        <f>IF($A52="","",INDEX([1]Clasif_Pron!$M:$M,((ROW()-4)*12+9)))</f>
        <v>3</v>
      </c>
      <c r="BE52" s="120">
        <f>IF($A52="","",INDEX([1]Clasif_Pron!$N:$N,((ROW()-4)*12+9)))</f>
        <v>10</v>
      </c>
      <c r="BF52" s="120" t="str">
        <f>IF($A52="","",INDEX([1]Clasif_Pron!$E:$E,((ROW()-4)*12+10)))</f>
        <v>Francia</v>
      </c>
      <c r="BG52" s="120">
        <f>IF($A52="","",INDEX([1]Clasif_Pron!$K:$K,((ROW()-4)*12+10)))</f>
        <v>7</v>
      </c>
      <c r="BH52" s="120" t="str">
        <f>IF($A52="","",INDEX([1]Clasif_Pron!$G:$G,((ROW()-4)*12+10)))</f>
        <v>Noruega</v>
      </c>
      <c r="BI52" s="120">
        <f>IF($A52="","",INDEX([1]Clasif_Pron!$L:$L,((ROW()-4)*12+10)))</f>
        <v>6</v>
      </c>
      <c r="BJ52" s="102" t="str">
        <f>IF($A52="","",INDEX([1]Clasif_Pron!$I:$I,((ROW()-4)*12+10)))</f>
        <v>Senegal</v>
      </c>
      <c r="BK52" s="102">
        <f>IF($A52="","",INDEX([1]Clasif_Pron!$M:$M,((ROW()-4)*12+10)))</f>
        <v>5</v>
      </c>
      <c r="BL52" s="102">
        <f>IF($A52="","",INDEX([1]Clasif_Pron!$N:$N,((ROW()-4)*12+10)))</f>
        <v>18</v>
      </c>
      <c r="BM52" s="120" t="str">
        <f>IF($A52="","",INDEX([1]Clasif_Pron!$E:$E,((ROW()-4)*12+11)))</f>
        <v>Argentina</v>
      </c>
      <c r="BN52" s="120">
        <f>IF($A52="","",INDEX([1]Clasif_Pron!$K:$K,((ROW()-4)*12+11)))</f>
        <v>7</v>
      </c>
      <c r="BO52" s="102" t="str">
        <f>IF($A52="","",INDEX([1]Clasif_Pron!$G:$G,((ROW()-4)*12+11)))</f>
        <v>Austria</v>
      </c>
      <c r="BP52" s="102">
        <f>IF($A52="","",INDEX([1]Clasif_Pron!$L:$L,((ROW()-4)*12+11)))</f>
        <v>6</v>
      </c>
      <c r="BQ52" s="102" t="str">
        <f>IF($A52="","",INDEX([1]Clasif_Pron!$I:$I,((ROW()-4)*12+11)))</f>
        <v>Argelia</v>
      </c>
      <c r="BR52" s="102">
        <f>IF($A52="","",INDEX([1]Clasif_Pron!$M:$M,((ROW()-4)*12+11)))</f>
        <v>0</v>
      </c>
      <c r="BS52" s="102">
        <f>IF($A52="","",INDEX([1]Clasif_Pron!$N:$N,((ROW()-4)*12+11)))</f>
        <v>13</v>
      </c>
      <c r="BT52" s="102" t="str">
        <f>IF($A52="","",INDEX([1]Clasif_Pron!$E:$E,((ROW()-4)*12+12)))</f>
        <v>Portugal</v>
      </c>
      <c r="BU52" s="102">
        <f>IF($A52="","",INDEX([1]Clasif_Pron!$K:$K,((ROW()-4)*12+12)))</f>
        <v>3</v>
      </c>
      <c r="BV52" s="102" t="str">
        <f>IF($A52="","",INDEX([1]Clasif_Pron!$G:$G,((ROW()-4)*12+12)))</f>
        <v>Colombia</v>
      </c>
      <c r="BW52" s="102">
        <f>IF($A52="","",INDEX([1]Clasif_Pron!$L:$L,((ROW()-4)*12+12)))</f>
        <v>3</v>
      </c>
      <c r="BX52" s="102" t="str">
        <f>IF($A52="","",INDEX([1]Clasif_Pron!$I:$I,((ROW()-4)*12+12)))</f>
        <v>RD Congo</v>
      </c>
      <c r="BY52" s="102">
        <f>IF($A52="","",INDEX([1]Clasif_Pron!$M:$M,((ROW()-4)*12+12)))</f>
        <v>0</v>
      </c>
      <c r="BZ52" s="102">
        <f>IF($A52="","",INDEX([1]Clasif_Pron!$N:$N,((ROW()-4)*12+12)))</f>
        <v>6</v>
      </c>
      <c r="CA52" s="102" t="str">
        <f>IF($A52="","",INDEX([1]Clasif_Pron!$E:$E,((ROW()-4)*12+13)))</f>
        <v>Inglaterra</v>
      </c>
      <c r="CB52" s="102">
        <f>IF($A52="","",INDEX([1]Clasif_Pron!$K:$K,((ROW()-4)*12+13)))</f>
        <v>7</v>
      </c>
      <c r="CC52" s="102" t="str">
        <f>IF($A52="","",INDEX([1]Clasif_Pron!$G:$G,((ROW()-4)*12+13)))</f>
        <v>Croacia</v>
      </c>
      <c r="CD52" s="102">
        <f>IF($A52="","",INDEX([1]Clasif_Pron!$L:$L,((ROW()-4)*12+13)))</f>
        <v>3</v>
      </c>
      <c r="CE52" s="102" t="str">
        <f>IF($A52="","",INDEX([1]Clasif_Pron!$I:$I,((ROW()-4)*12+13)))</f>
        <v>Panamá</v>
      </c>
      <c r="CF52" s="102">
        <f>IF($A52="","",INDEX([1]Clasif_Pron!$M:$M,((ROW()-4)*12+13)))</f>
        <v>0</v>
      </c>
      <c r="CG52" s="102">
        <f>IF($A52="","",INDEX([1]Clasif_Pron!$N:$N,((ROW()-4)*12+13)))</f>
        <v>10</v>
      </c>
      <c r="CH52" s="103">
        <f t="shared" si="0"/>
        <v>153</v>
      </c>
    </row>
  </sheetData>
  <mergeCells count="12">
    <mergeCell ref="CA1:CG1"/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</mergeCells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000"/>
  <sheetViews>
    <sheetView showGridLines="0" workbookViewId="0">
      <selection sqref="A1:L50"/>
    </sheetView>
  </sheetViews>
  <sheetFormatPr baseColWidth="10" defaultRowHeight="15" x14ac:dyDescent="0.25"/>
  <cols>
    <col min="1" max="1" width="5" style="9" customWidth="1"/>
    <col min="2" max="2" width="18" style="9" customWidth="1"/>
    <col min="3" max="3" width="7" style="9" customWidth="1"/>
    <col min="4" max="4" width="8" style="9" customWidth="1"/>
    <col min="5" max="5" width="18" style="9" customWidth="1"/>
    <col min="6" max="6" width="8" style="9" customWidth="1"/>
    <col min="7" max="7" width="18" style="9" customWidth="1"/>
    <col min="8" max="8" width="8" style="9" customWidth="1"/>
    <col min="9" max="9" width="18" style="9" customWidth="1"/>
    <col min="10" max="14" width="8" style="9" customWidth="1"/>
    <col min="15" max="26" width="8.7109375" style="9" customWidth="1"/>
    <col min="27" max="16384" width="11.42578125" style="9"/>
  </cols>
  <sheetData>
    <row r="1" spans="1:14" ht="15" customHeight="1" x14ac:dyDescent="0.25">
      <c r="A1" s="10" t="s">
        <v>126</v>
      </c>
      <c r="B1" s="10" t="s">
        <v>127</v>
      </c>
      <c r="C1" s="10" t="s">
        <v>128</v>
      </c>
      <c r="D1" s="10" t="s">
        <v>129</v>
      </c>
      <c r="E1" s="10" t="s">
        <v>130</v>
      </c>
      <c r="F1" s="10" t="s">
        <v>131</v>
      </c>
      <c r="G1" s="10" t="s">
        <v>132</v>
      </c>
      <c r="H1" s="10" t="s">
        <v>133</v>
      </c>
      <c r="I1" s="10" t="s">
        <v>134</v>
      </c>
      <c r="J1" s="10" t="s">
        <v>135</v>
      </c>
      <c r="K1" s="10" t="s">
        <v>136</v>
      </c>
      <c r="L1" s="10" t="s">
        <v>137</v>
      </c>
      <c r="M1" s="10" t="s">
        <v>138</v>
      </c>
      <c r="N1" s="10" t="s">
        <v>139</v>
      </c>
    </row>
    <row r="2" spans="1:14" ht="15" customHeight="1" x14ac:dyDescent="0.25">
      <c r="A2" s="11">
        <v>1</v>
      </c>
      <c r="B2" s="11" t="s">
        <v>9</v>
      </c>
      <c r="C2" s="11" t="s">
        <v>75</v>
      </c>
      <c r="D2" s="11" t="s">
        <v>140</v>
      </c>
      <c r="E2" s="11" t="s">
        <v>94</v>
      </c>
      <c r="F2" s="11" t="s">
        <v>141</v>
      </c>
      <c r="G2" s="11" t="s">
        <v>95</v>
      </c>
      <c r="H2" s="11" t="s">
        <v>142</v>
      </c>
      <c r="I2" s="11" t="s">
        <v>110</v>
      </c>
      <c r="J2" s="11">
        <v>1</v>
      </c>
      <c r="K2" s="11">
        <v>7</v>
      </c>
      <c r="L2" s="11">
        <v>6</v>
      </c>
      <c r="M2" s="11">
        <v>0</v>
      </c>
      <c r="N2" s="11">
        <v>13</v>
      </c>
    </row>
    <row r="3" spans="1:14" ht="15" customHeight="1" x14ac:dyDescent="0.25">
      <c r="A3" s="11">
        <v>1</v>
      </c>
      <c r="B3" s="11" t="s">
        <v>9</v>
      </c>
      <c r="C3" s="11" t="s">
        <v>76</v>
      </c>
      <c r="D3" s="11" t="s">
        <v>143</v>
      </c>
      <c r="E3" s="11" t="s">
        <v>97</v>
      </c>
      <c r="F3" s="11" t="s">
        <v>144</v>
      </c>
      <c r="G3" s="11" t="s">
        <v>96</v>
      </c>
      <c r="H3" s="11" t="s">
        <v>145</v>
      </c>
      <c r="I3" s="11" t="s">
        <v>111</v>
      </c>
      <c r="J3" s="11">
        <v>1</v>
      </c>
      <c r="K3" s="11">
        <v>3</v>
      </c>
      <c r="L3" s="11">
        <v>3</v>
      </c>
      <c r="M3" s="11">
        <v>0</v>
      </c>
      <c r="N3" s="11">
        <v>6</v>
      </c>
    </row>
    <row r="4" spans="1:14" ht="15" customHeight="1" x14ac:dyDescent="0.25">
      <c r="A4" s="11">
        <v>1</v>
      </c>
      <c r="B4" s="11" t="s">
        <v>9</v>
      </c>
      <c r="C4" s="11" t="s">
        <v>77</v>
      </c>
      <c r="D4" s="11" t="s">
        <v>146</v>
      </c>
      <c r="E4" s="11" t="s">
        <v>99</v>
      </c>
      <c r="F4" s="11" t="s">
        <v>147</v>
      </c>
      <c r="G4" s="11" t="s">
        <v>98</v>
      </c>
      <c r="H4" s="11" t="s">
        <v>148</v>
      </c>
      <c r="I4" s="11" t="s">
        <v>112</v>
      </c>
      <c r="J4" s="11">
        <v>1</v>
      </c>
      <c r="K4" s="11">
        <v>3</v>
      </c>
      <c r="L4" s="11">
        <v>3</v>
      </c>
      <c r="M4" s="11">
        <v>5</v>
      </c>
      <c r="N4" s="11">
        <v>11</v>
      </c>
    </row>
    <row r="5" spans="1:14" ht="15" customHeight="1" x14ac:dyDescent="0.25">
      <c r="A5" s="11">
        <v>1</v>
      </c>
      <c r="B5" s="11" t="s">
        <v>9</v>
      </c>
      <c r="C5" s="11" t="s">
        <v>78</v>
      </c>
      <c r="D5" s="11" t="s">
        <v>149</v>
      </c>
      <c r="E5" s="11" t="s">
        <v>113</v>
      </c>
      <c r="F5" s="11" t="s">
        <v>150</v>
      </c>
      <c r="G5" s="11" t="s">
        <v>114</v>
      </c>
      <c r="H5" s="11" t="s">
        <v>151</v>
      </c>
      <c r="I5" s="11" t="s">
        <v>100</v>
      </c>
      <c r="J5" s="11">
        <v>1</v>
      </c>
      <c r="K5" s="11">
        <v>3</v>
      </c>
      <c r="L5" s="11">
        <v>0</v>
      </c>
      <c r="M5" s="11">
        <v>3</v>
      </c>
      <c r="N5" s="11">
        <v>6</v>
      </c>
    </row>
    <row r="6" spans="1:14" ht="15" customHeight="1" x14ac:dyDescent="0.25">
      <c r="A6" s="11">
        <v>1</v>
      </c>
      <c r="B6" s="11" t="s">
        <v>9</v>
      </c>
      <c r="C6" s="11" t="s">
        <v>79</v>
      </c>
      <c r="D6" s="11" t="s">
        <v>152</v>
      </c>
      <c r="E6" s="11" t="s">
        <v>102</v>
      </c>
      <c r="F6" s="11" t="s">
        <v>153</v>
      </c>
      <c r="G6" s="11" t="s">
        <v>115</v>
      </c>
      <c r="H6" s="11" t="s">
        <v>154</v>
      </c>
      <c r="I6" s="11" t="s">
        <v>103</v>
      </c>
      <c r="J6" s="11">
        <v>1</v>
      </c>
      <c r="K6" s="11">
        <v>7</v>
      </c>
      <c r="L6" s="11">
        <v>3</v>
      </c>
      <c r="M6" s="11">
        <v>3</v>
      </c>
      <c r="N6" s="11">
        <v>13</v>
      </c>
    </row>
    <row r="7" spans="1:14" ht="15" customHeight="1" x14ac:dyDescent="0.25">
      <c r="A7" s="11">
        <v>1</v>
      </c>
      <c r="B7" s="11" t="s">
        <v>9</v>
      </c>
      <c r="C7" s="11" t="s">
        <v>80</v>
      </c>
      <c r="D7" s="11" t="s">
        <v>155</v>
      </c>
      <c r="E7" s="11" t="s">
        <v>104</v>
      </c>
      <c r="F7" s="11" t="s">
        <v>156</v>
      </c>
      <c r="G7" s="11" t="s">
        <v>105</v>
      </c>
      <c r="H7" s="11" t="s">
        <v>157</v>
      </c>
      <c r="I7" s="11" t="s">
        <v>116</v>
      </c>
      <c r="J7" s="11">
        <v>1</v>
      </c>
      <c r="K7" s="11">
        <v>7</v>
      </c>
      <c r="L7" s="11">
        <v>6</v>
      </c>
      <c r="M7" s="11">
        <v>5</v>
      </c>
      <c r="N7" s="11">
        <v>18</v>
      </c>
    </row>
    <row r="8" spans="1:14" ht="15" customHeight="1" x14ac:dyDescent="0.25">
      <c r="A8" s="11">
        <v>1</v>
      </c>
      <c r="B8" s="11" t="s">
        <v>9</v>
      </c>
      <c r="C8" s="11" t="s">
        <v>81</v>
      </c>
      <c r="D8" s="11" t="s">
        <v>158</v>
      </c>
      <c r="E8" s="11" t="s">
        <v>68</v>
      </c>
      <c r="F8" s="11" t="s">
        <v>159</v>
      </c>
      <c r="G8" s="11" t="s">
        <v>73</v>
      </c>
      <c r="H8" s="11" t="s">
        <v>160</v>
      </c>
      <c r="I8" s="11" t="s">
        <v>69</v>
      </c>
      <c r="J8" s="11">
        <v>1</v>
      </c>
      <c r="K8" s="11">
        <v>3</v>
      </c>
      <c r="L8" s="11">
        <v>3</v>
      </c>
      <c r="M8" s="11">
        <v>3</v>
      </c>
      <c r="N8" s="11">
        <v>9</v>
      </c>
    </row>
    <row r="9" spans="1:14" ht="15" customHeight="1" x14ac:dyDescent="0.25">
      <c r="A9" s="11">
        <v>1</v>
      </c>
      <c r="B9" s="11" t="s">
        <v>9</v>
      </c>
      <c r="C9" s="11" t="s">
        <v>82</v>
      </c>
      <c r="D9" s="11" t="s">
        <v>161</v>
      </c>
      <c r="E9" s="11" t="s">
        <v>66</v>
      </c>
      <c r="F9" s="11" t="s">
        <v>162</v>
      </c>
      <c r="G9" s="11" t="s">
        <v>70</v>
      </c>
      <c r="H9" s="11" t="s">
        <v>163</v>
      </c>
      <c r="I9" s="11" t="s">
        <v>67</v>
      </c>
      <c r="J9" s="11">
        <v>1</v>
      </c>
      <c r="K9" s="11">
        <v>7</v>
      </c>
      <c r="L9" s="11">
        <v>6</v>
      </c>
      <c r="M9" s="11">
        <v>0</v>
      </c>
      <c r="N9" s="11">
        <v>13</v>
      </c>
    </row>
    <row r="10" spans="1:14" ht="15" customHeight="1" x14ac:dyDescent="0.25">
      <c r="A10" s="11">
        <v>1</v>
      </c>
      <c r="B10" s="11" t="s">
        <v>9</v>
      </c>
      <c r="C10" s="11" t="s">
        <v>83</v>
      </c>
      <c r="D10" s="11" t="s">
        <v>164</v>
      </c>
      <c r="E10" s="11" t="s">
        <v>35</v>
      </c>
      <c r="F10" s="11" t="s">
        <v>165</v>
      </c>
      <c r="G10" s="11" t="s">
        <v>44</v>
      </c>
      <c r="H10" s="11" t="s">
        <v>166</v>
      </c>
      <c r="I10" s="11" t="s">
        <v>45</v>
      </c>
      <c r="J10" s="11">
        <v>1</v>
      </c>
      <c r="K10" s="11">
        <v>7</v>
      </c>
      <c r="L10" s="11">
        <v>6</v>
      </c>
      <c r="M10" s="11">
        <v>0</v>
      </c>
      <c r="N10" s="11">
        <v>13</v>
      </c>
    </row>
    <row r="11" spans="1:14" ht="15" customHeight="1" x14ac:dyDescent="0.25">
      <c r="A11" s="11">
        <v>1</v>
      </c>
      <c r="B11" s="11" t="s">
        <v>9</v>
      </c>
      <c r="C11" s="11" t="s">
        <v>84</v>
      </c>
      <c r="D11" s="11" t="s">
        <v>167</v>
      </c>
      <c r="E11" s="11" t="s">
        <v>23</v>
      </c>
      <c r="F11" s="11" t="s">
        <v>168</v>
      </c>
      <c r="G11" s="11" t="s">
        <v>24</v>
      </c>
      <c r="H11" s="11" t="s">
        <v>169</v>
      </c>
      <c r="I11" s="11" t="s">
        <v>57</v>
      </c>
      <c r="J11" s="11">
        <v>1</v>
      </c>
      <c r="K11" s="11">
        <v>7</v>
      </c>
      <c r="L11" s="11">
        <v>6</v>
      </c>
      <c r="M11" s="11">
        <v>0</v>
      </c>
      <c r="N11" s="11">
        <v>13</v>
      </c>
    </row>
    <row r="12" spans="1:14" ht="15" customHeight="1" x14ac:dyDescent="0.25">
      <c r="A12" s="11">
        <v>1</v>
      </c>
      <c r="B12" s="11" t="s">
        <v>9</v>
      </c>
      <c r="C12" s="11" t="s">
        <v>85</v>
      </c>
      <c r="D12" s="11" t="s">
        <v>170</v>
      </c>
      <c r="E12" s="11" t="s">
        <v>107</v>
      </c>
      <c r="F12" s="11" t="s">
        <v>171</v>
      </c>
      <c r="G12" s="11" t="s">
        <v>106</v>
      </c>
      <c r="H12" s="11" t="s">
        <v>172</v>
      </c>
      <c r="I12" s="11" t="s">
        <v>117</v>
      </c>
      <c r="J12" s="11">
        <v>1</v>
      </c>
      <c r="K12" s="11">
        <v>3</v>
      </c>
      <c r="L12" s="11">
        <v>3</v>
      </c>
      <c r="M12" s="11">
        <v>5</v>
      </c>
      <c r="N12" s="11">
        <v>11</v>
      </c>
    </row>
    <row r="13" spans="1:14" ht="15" customHeight="1" x14ac:dyDescent="0.25">
      <c r="A13" s="11">
        <v>1</v>
      </c>
      <c r="B13" s="11" t="s">
        <v>9</v>
      </c>
      <c r="C13" s="11" t="s">
        <v>86</v>
      </c>
      <c r="D13" s="11" t="s">
        <v>173</v>
      </c>
      <c r="E13" s="11" t="s">
        <v>108</v>
      </c>
      <c r="F13" s="11" t="s">
        <v>174</v>
      </c>
      <c r="G13" s="11" t="s">
        <v>118</v>
      </c>
      <c r="H13" s="11" t="s">
        <v>175</v>
      </c>
      <c r="I13" s="11" t="s">
        <v>109</v>
      </c>
      <c r="J13" s="11">
        <v>1</v>
      </c>
      <c r="K13" s="11">
        <v>7</v>
      </c>
      <c r="L13" s="11">
        <v>0</v>
      </c>
      <c r="M13" s="11">
        <v>3</v>
      </c>
      <c r="N13" s="11">
        <v>10</v>
      </c>
    </row>
    <row r="14" spans="1:14" ht="15" customHeight="1" x14ac:dyDescent="0.25">
      <c r="A14" s="11">
        <v>2</v>
      </c>
      <c r="B14" s="11" t="s">
        <v>11</v>
      </c>
      <c r="C14" s="11" t="s">
        <v>75</v>
      </c>
      <c r="D14" s="11" t="s">
        <v>140</v>
      </c>
      <c r="E14" s="11" t="s">
        <v>94</v>
      </c>
      <c r="F14" s="11" t="s">
        <v>141</v>
      </c>
      <c r="G14" s="11" t="s">
        <v>95</v>
      </c>
      <c r="H14" s="11" t="s">
        <v>176</v>
      </c>
      <c r="I14" s="11" t="s">
        <v>119</v>
      </c>
      <c r="J14" s="11">
        <v>1</v>
      </c>
      <c r="K14" s="11">
        <v>7</v>
      </c>
      <c r="L14" s="11">
        <v>6</v>
      </c>
      <c r="M14" s="11">
        <v>5</v>
      </c>
      <c r="N14" s="11">
        <v>18</v>
      </c>
    </row>
    <row r="15" spans="1:14" ht="15" customHeight="1" x14ac:dyDescent="0.25">
      <c r="A15" s="11">
        <v>2</v>
      </c>
      <c r="B15" s="11" t="s">
        <v>11</v>
      </c>
      <c r="C15" s="11" t="s">
        <v>76</v>
      </c>
      <c r="D15" s="11" t="s">
        <v>144</v>
      </c>
      <c r="E15" s="11" t="s">
        <v>96</v>
      </c>
      <c r="F15" s="11" t="s">
        <v>145</v>
      </c>
      <c r="G15" s="11" t="s">
        <v>111</v>
      </c>
      <c r="H15" s="11" t="s">
        <v>143</v>
      </c>
      <c r="I15" s="11" t="s">
        <v>97</v>
      </c>
      <c r="J15" s="11">
        <v>1</v>
      </c>
      <c r="K15" s="11">
        <v>7</v>
      </c>
      <c r="L15" s="11">
        <v>0</v>
      </c>
      <c r="M15" s="11">
        <v>3</v>
      </c>
      <c r="N15" s="11">
        <v>10</v>
      </c>
    </row>
    <row r="16" spans="1:14" ht="15" customHeight="1" x14ac:dyDescent="0.25">
      <c r="A16" s="11">
        <v>2</v>
      </c>
      <c r="B16" s="11" t="s">
        <v>11</v>
      </c>
      <c r="C16" s="11" t="s">
        <v>77</v>
      </c>
      <c r="D16" s="11" t="s">
        <v>147</v>
      </c>
      <c r="E16" s="11" t="s">
        <v>98</v>
      </c>
      <c r="F16" s="11" t="s">
        <v>146</v>
      </c>
      <c r="G16" s="11" t="s">
        <v>99</v>
      </c>
      <c r="H16" s="11" t="s">
        <v>148</v>
      </c>
      <c r="I16" s="11" t="s">
        <v>112</v>
      </c>
      <c r="J16" s="11">
        <v>1</v>
      </c>
      <c r="K16" s="11">
        <v>7</v>
      </c>
      <c r="L16" s="11">
        <v>6</v>
      </c>
      <c r="M16" s="11">
        <v>5</v>
      </c>
      <c r="N16" s="11">
        <v>18</v>
      </c>
    </row>
    <row r="17" spans="1:14" ht="15" customHeight="1" x14ac:dyDescent="0.25">
      <c r="A17" s="11">
        <v>2</v>
      </c>
      <c r="B17" s="11" t="s">
        <v>11</v>
      </c>
      <c r="C17" s="11" t="s">
        <v>78</v>
      </c>
      <c r="D17" s="11" t="s">
        <v>151</v>
      </c>
      <c r="E17" s="11" t="s">
        <v>100</v>
      </c>
      <c r="F17" s="11" t="s">
        <v>149</v>
      </c>
      <c r="G17" s="11" t="s">
        <v>113</v>
      </c>
      <c r="H17" s="11" t="s">
        <v>150</v>
      </c>
      <c r="I17" s="11" t="s">
        <v>114</v>
      </c>
      <c r="J17" s="11">
        <v>1</v>
      </c>
      <c r="K17" s="11">
        <v>7</v>
      </c>
      <c r="L17" s="11">
        <v>3</v>
      </c>
      <c r="M17" s="11">
        <v>0</v>
      </c>
      <c r="N17" s="11">
        <v>10</v>
      </c>
    </row>
    <row r="18" spans="1:14" ht="15" customHeight="1" x14ac:dyDescent="0.25">
      <c r="A18" s="11">
        <v>2</v>
      </c>
      <c r="B18" s="11" t="s">
        <v>11</v>
      </c>
      <c r="C18" s="11" t="s">
        <v>79</v>
      </c>
      <c r="D18" s="11" t="s">
        <v>152</v>
      </c>
      <c r="E18" s="11" t="s">
        <v>102</v>
      </c>
      <c r="F18" s="11" t="s">
        <v>154</v>
      </c>
      <c r="G18" s="11" t="s">
        <v>103</v>
      </c>
      <c r="H18" s="11" t="s">
        <v>153</v>
      </c>
      <c r="I18" s="11" t="s">
        <v>115</v>
      </c>
      <c r="J18" s="11">
        <v>1</v>
      </c>
      <c r="K18" s="11">
        <v>7</v>
      </c>
      <c r="L18" s="11">
        <v>6</v>
      </c>
      <c r="M18" s="11">
        <v>5</v>
      </c>
      <c r="N18" s="11">
        <v>18</v>
      </c>
    </row>
    <row r="19" spans="1:14" ht="15" customHeight="1" x14ac:dyDescent="0.25">
      <c r="A19" s="11">
        <v>2</v>
      </c>
      <c r="B19" s="11" t="s">
        <v>11</v>
      </c>
      <c r="C19" s="11" t="s">
        <v>80</v>
      </c>
      <c r="D19" s="11" t="s">
        <v>155</v>
      </c>
      <c r="E19" s="11" t="s">
        <v>104</v>
      </c>
      <c r="F19" s="11" t="s">
        <v>156</v>
      </c>
      <c r="G19" s="11" t="s">
        <v>105</v>
      </c>
      <c r="H19" s="11" t="s">
        <v>157</v>
      </c>
      <c r="I19" s="11" t="s">
        <v>116</v>
      </c>
      <c r="J19" s="11">
        <v>1</v>
      </c>
      <c r="K19" s="11">
        <v>7</v>
      </c>
      <c r="L19" s="11">
        <v>6</v>
      </c>
      <c r="M19" s="11">
        <v>5</v>
      </c>
      <c r="N19" s="11">
        <v>18</v>
      </c>
    </row>
    <row r="20" spans="1:14" ht="15" customHeight="1" x14ac:dyDescent="0.25">
      <c r="A20" s="11">
        <v>2</v>
      </c>
      <c r="B20" s="11" t="s">
        <v>11</v>
      </c>
      <c r="C20" s="11" t="s">
        <v>81</v>
      </c>
      <c r="D20" s="11" t="s">
        <v>158</v>
      </c>
      <c r="E20" s="11" t="s">
        <v>68</v>
      </c>
      <c r="F20" s="11" t="s">
        <v>159</v>
      </c>
      <c r="G20" s="11" t="s">
        <v>73</v>
      </c>
      <c r="H20" s="11" t="s">
        <v>160</v>
      </c>
      <c r="I20" s="11" t="s">
        <v>69</v>
      </c>
      <c r="J20" s="11">
        <v>1</v>
      </c>
      <c r="K20" s="11">
        <v>3</v>
      </c>
      <c r="L20" s="11">
        <v>3</v>
      </c>
      <c r="M20" s="11">
        <v>3</v>
      </c>
      <c r="N20" s="11">
        <v>9</v>
      </c>
    </row>
    <row r="21" spans="1:14" ht="15" customHeight="1" x14ac:dyDescent="0.25">
      <c r="A21" s="11">
        <v>2</v>
      </c>
      <c r="B21" s="11" t="s">
        <v>11</v>
      </c>
      <c r="C21" s="11" t="s">
        <v>82</v>
      </c>
      <c r="D21" s="11" t="s">
        <v>161</v>
      </c>
      <c r="E21" s="11" t="s">
        <v>66</v>
      </c>
      <c r="F21" s="11" t="s">
        <v>162</v>
      </c>
      <c r="G21" s="11" t="s">
        <v>70</v>
      </c>
      <c r="H21" s="11" t="s">
        <v>163</v>
      </c>
      <c r="I21" s="11" t="s">
        <v>67</v>
      </c>
      <c r="J21" s="11">
        <v>1</v>
      </c>
      <c r="K21" s="11">
        <v>7</v>
      </c>
      <c r="L21" s="11">
        <v>6</v>
      </c>
      <c r="M21" s="11">
        <v>0</v>
      </c>
      <c r="N21" s="11">
        <v>13</v>
      </c>
    </row>
    <row r="22" spans="1:14" ht="15" customHeight="1" x14ac:dyDescent="0.25">
      <c r="A22" s="11">
        <v>2</v>
      </c>
      <c r="B22" s="11" t="s">
        <v>11</v>
      </c>
      <c r="C22" s="11" t="s">
        <v>83</v>
      </c>
      <c r="D22" s="11" t="s">
        <v>164</v>
      </c>
      <c r="E22" s="11" t="s">
        <v>35</v>
      </c>
      <c r="F22" s="11" t="s">
        <v>166</v>
      </c>
      <c r="G22" s="11" t="s">
        <v>45</v>
      </c>
      <c r="H22" s="11" t="s">
        <v>165</v>
      </c>
      <c r="I22" s="11" t="s">
        <v>44</v>
      </c>
      <c r="J22" s="11">
        <v>1</v>
      </c>
      <c r="K22" s="11">
        <v>7</v>
      </c>
      <c r="L22" s="11">
        <v>0</v>
      </c>
      <c r="M22" s="11">
        <v>3</v>
      </c>
      <c r="N22" s="11">
        <v>10</v>
      </c>
    </row>
    <row r="23" spans="1:14" ht="15" customHeight="1" x14ac:dyDescent="0.25">
      <c r="A23" s="11">
        <v>2</v>
      </c>
      <c r="B23" s="11" t="s">
        <v>11</v>
      </c>
      <c r="C23" s="11" t="s">
        <v>84</v>
      </c>
      <c r="D23" s="11" t="s">
        <v>167</v>
      </c>
      <c r="E23" s="11" t="s">
        <v>23</v>
      </c>
      <c r="F23" s="11" t="s">
        <v>169</v>
      </c>
      <c r="G23" s="11" t="s">
        <v>57</v>
      </c>
      <c r="H23" s="11" t="s">
        <v>168</v>
      </c>
      <c r="I23" s="11" t="s">
        <v>24</v>
      </c>
      <c r="J23" s="11">
        <v>1</v>
      </c>
      <c r="K23" s="11">
        <v>7</v>
      </c>
      <c r="L23" s="11">
        <v>0</v>
      </c>
      <c r="M23" s="11">
        <v>3</v>
      </c>
      <c r="N23" s="11">
        <v>10</v>
      </c>
    </row>
    <row r="24" spans="1:14" ht="15" customHeight="1" x14ac:dyDescent="0.25">
      <c r="A24" s="11">
        <v>2</v>
      </c>
      <c r="B24" s="11" t="s">
        <v>11</v>
      </c>
      <c r="C24" s="11" t="s">
        <v>85</v>
      </c>
      <c r="D24" s="11" t="s">
        <v>171</v>
      </c>
      <c r="E24" s="11" t="s">
        <v>106</v>
      </c>
      <c r="F24" s="11" t="s">
        <v>170</v>
      </c>
      <c r="G24" s="11" t="s">
        <v>107</v>
      </c>
      <c r="H24" s="11" t="s">
        <v>172</v>
      </c>
      <c r="I24" s="11" t="s">
        <v>117</v>
      </c>
      <c r="J24" s="11">
        <v>1</v>
      </c>
      <c r="K24" s="11">
        <v>7</v>
      </c>
      <c r="L24" s="11">
        <v>6</v>
      </c>
      <c r="M24" s="11">
        <v>5</v>
      </c>
      <c r="N24" s="11">
        <v>18</v>
      </c>
    </row>
    <row r="25" spans="1:14" ht="15" customHeight="1" x14ac:dyDescent="0.25">
      <c r="A25" s="11">
        <v>2</v>
      </c>
      <c r="B25" s="11" t="s">
        <v>11</v>
      </c>
      <c r="C25" s="11" t="s">
        <v>86</v>
      </c>
      <c r="D25" s="11" t="s">
        <v>173</v>
      </c>
      <c r="E25" s="11" t="s">
        <v>108</v>
      </c>
      <c r="F25" s="11" t="s">
        <v>174</v>
      </c>
      <c r="G25" s="11" t="s">
        <v>118</v>
      </c>
      <c r="H25" s="11" t="s">
        <v>177</v>
      </c>
      <c r="I25" s="11" t="s">
        <v>120</v>
      </c>
      <c r="J25" s="11">
        <v>1</v>
      </c>
      <c r="K25" s="11">
        <v>7</v>
      </c>
      <c r="L25" s="11">
        <v>0</v>
      </c>
      <c r="M25" s="11">
        <v>0</v>
      </c>
      <c r="N25" s="11">
        <v>7</v>
      </c>
    </row>
    <row r="26" spans="1:14" ht="15" customHeight="1" x14ac:dyDescent="0.25">
      <c r="A26" s="11">
        <v>3</v>
      </c>
      <c r="B26" s="11" t="s">
        <v>13</v>
      </c>
      <c r="C26" s="11" t="s">
        <v>75</v>
      </c>
      <c r="D26" s="11" t="s">
        <v>140</v>
      </c>
      <c r="E26" s="11" t="s">
        <v>94</v>
      </c>
      <c r="F26" s="11" t="s">
        <v>176</v>
      </c>
      <c r="G26" s="11" t="s">
        <v>119</v>
      </c>
      <c r="H26" s="11" t="s">
        <v>141</v>
      </c>
      <c r="I26" s="11" t="s">
        <v>95</v>
      </c>
      <c r="J26" s="11">
        <v>1</v>
      </c>
      <c r="K26" s="11">
        <v>7</v>
      </c>
      <c r="L26" s="11">
        <v>3</v>
      </c>
      <c r="M26" s="11">
        <v>3</v>
      </c>
      <c r="N26" s="11">
        <v>13</v>
      </c>
    </row>
    <row r="27" spans="1:14" ht="15" customHeight="1" x14ac:dyDescent="0.25">
      <c r="A27" s="11">
        <v>3</v>
      </c>
      <c r="B27" s="11" t="s">
        <v>13</v>
      </c>
      <c r="C27" s="11" t="s">
        <v>76</v>
      </c>
      <c r="D27" s="11" t="s">
        <v>143</v>
      </c>
      <c r="E27" s="11" t="s">
        <v>97</v>
      </c>
      <c r="F27" s="11" t="s">
        <v>144</v>
      </c>
      <c r="G27" s="11" t="s">
        <v>96</v>
      </c>
      <c r="H27" s="11" t="s">
        <v>145</v>
      </c>
      <c r="I27" s="11" t="s">
        <v>111</v>
      </c>
      <c r="J27" s="11">
        <v>1</v>
      </c>
      <c r="K27" s="11">
        <v>3</v>
      </c>
      <c r="L27" s="11">
        <v>3</v>
      </c>
      <c r="M27" s="11">
        <v>0</v>
      </c>
      <c r="N27" s="11">
        <v>6</v>
      </c>
    </row>
    <row r="28" spans="1:14" ht="15" customHeight="1" x14ac:dyDescent="0.25">
      <c r="A28" s="11">
        <v>3</v>
      </c>
      <c r="B28" s="11" t="s">
        <v>13</v>
      </c>
      <c r="C28" s="11" t="s">
        <v>77</v>
      </c>
      <c r="D28" s="11" t="s">
        <v>147</v>
      </c>
      <c r="E28" s="11" t="s">
        <v>98</v>
      </c>
      <c r="F28" s="11" t="s">
        <v>146</v>
      </c>
      <c r="G28" s="11" t="s">
        <v>99</v>
      </c>
      <c r="H28" s="11" t="s">
        <v>148</v>
      </c>
      <c r="I28" s="11" t="s">
        <v>112</v>
      </c>
      <c r="J28" s="11">
        <v>1</v>
      </c>
      <c r="K28" s="11">
        <v>7</v>
      </c>
      <c r="L28" s="11">
        <v>6</v>
      </c>
      <c r="M28" s="11">
        <v>5</v>
      </c>
      <c r="N28" s="11">
        <v>18</v>
      </c>
    </row>
    <row r="29" spans="1:14" ht="15" customHeight="1" x14ac:dyDescent="0.25">
      <c r="A29" s="11">
        <v>3</v>
      </c>
      <c r="B29" s="11" t="s">
        <v>13</v>
      </c>
      <c r="C29" s="11" t="s">
        <v>78</v>
      </c>
      <c r="D29" s="11" t="s">
        <v>150</v>
      </c>
      <c r="E29" s="11" t="s">
        <v>114</v>
      </c>
      <c r="F29" s="11" t="s">
        <v>151</v>
      </c>
      <c r="G29" s="11" t="s">
        <v>100</v>
      </c>
      <c r="H29" s="11" t="s">
        <v>149</v>
      </c>
      <c r="I29" s="11" t="s">
        <v>113</v>
      </c>
      <c r="J29" s="11">
        <v>1</v>
      </c>
      <c r="K29" s="11">
        <v>0</v>
      </c>
      <c r="L29" s="11">
        <v>3</v>
      </c>
      <c r="M29" s="11">
        <v>5</v>
      </c>
      <c r="N29" s="11">
        <v>8</v>
      </c>
    </row>
    <row r="30" spans="1:14" ht="15" customHeight="1" x14ac:dyDescent="0.25">
      <c r="A30" s="11">
        <v>3</v>
      </c>
      <c r="B30" s="11" t="s">
        <v>13</v>
      </c>
      <c r="C30" s="11" t="s">
        <v>79</v>
      </c>
      <c r="D30" s="11" t="s">
        <v>152</v>
      </c>
      <c r="E30" s="11" t="s">
        <v>102</v>
      </c>
      <c r="F30" s="11" t="s">
        <v>153</v>
      </c>
      <c r="G30" s="11" t="s">
        <v>115</v>
      </c>
      <c r="H30" s="11" t="s">
        <v>154</v>
      </c>
      <c r="I30" s="11" t="s">
        <v>103</v>
      </c>
      <c r="J30" s="11">
        <v>1</v>
      </c>
      <c r="K30" s="11">
        <v>7</v>
      </c>
      <c r="L30" s="11">
        <v>3</v>
      </c>
      <c r="M30" s="11">
        <v>3</v>
      </c>
      <c r="N30" s="11">
        <v>13</v>
      </c>
    </row>
    <row r="31" spans="1:14" ht="15" customHeight="1" x14ac:dyDescent="0.25">
      <c r="A31" s="11">
        <v>3</v>
      </c>
      <c r="B31" s="11" t="s">
        <v>13</v>
      </c>
      <c r="C31" s="11" t="s">
        <v>80</v>
      </c>
      <c r="D31" s="11" t="s">
        <v>155</v>
      </c>
      <c r="E31" s="11" t="s">
        <v>104</v>
      </c>
      <c r="F31" s="11" t="s">
        <v>156</v>
      </c>
      <c r="G31" s="11" t="s">
        <v>105</v>
      </c>
      <c r="H31" s="11" t="s">
        <v>157</v>
      </c>
      <c r="I31" s="11" t="s">
        <v>116</v>
      </c>
      <c r="J31" s="11">
        <v>1</v>
      </c>
      <c r="K31" s="11">
        <v>7</v>
      </c>
      <c r="L31" s="11">
        <v>6</v>
      </c>
      <c r="M31" s="11">
        <v>5</v>
      </c>
      <c r="N31" s="11">
        <v>18</v>
      </c>
    </row>
    <row r="32" spans="1:14" ht="15" customHeight="1" x14ac:dyDescent="0.25">
      <c r="A32" s="11">
        <v>3</v>
      </c>
      <c r="B32" s="11" t="s">
        <v>13</v>
      </c>
      <c r="C32" s="11" t="s">
        <v>81</v>
      </c>
      <c r="D32" s="11" t="s">
        <v>158</v>
      </c>
      <c r="E32" s="11" t="s">
        <v>68</v>
      </c>
      <c r="F32" s="11" t="s">
        <v>159</v>
      </c>
      <c r="G32" s="11" t="s">
        <v>73</v>
      </c>
      <c r="H32" s="11" t="s">
        <v>160</v>
      </c>
      <c r="I32" s="11" t="s">
        <v>69</v>
      </c>
      <c r="J32" s="11">
        <v>1</v>
      </c>
      <c r="K32" s="11">
        <v>3</v>
      </c>
      <c r="L32" s="11">
        <v>3</v>
      </c>
      <c r="M32" s="11">
        <v>3</v>
      </c>
      <c r="N32" s="11">
        <v>9</v>
      </c>
    </row>
    <row r="33" spans="1:14" ht="15" customHeight="1" x14ac:dyDescent="0.25">
      <c r="A33" s="11">
        <v>3</v>
      </c>
      <c r="B33" s="11" t="s">
        <v>13</v>
      </c>
      <c r="C33" s="11" t="s">
        <v>82</v>
      </c>
      <c r="D33" s="11" t="s">
        <v>161</v>
      </c>
      <c r="E33" s="11" t="s">
        <v>66</v>
      </c>
      <c r="F33" s="11" t="s">
        <v>162</v>
      </c>
      <c r="G33" s="11" t="s">
        <v>70</v>
      </c>
      <c r="H33" s="11" t="s">
        <v>163</v>
      </c>
      <c r="I33" s="11" t="s">
        <v>67</v>
      </c>
      <c r="J33" s="11">
        <v>1</v>
      </c>
      <c r="K33" s="11">
        <v>7</v>
      </c>
      <c r="L33" s="11">
        <v>6</v>
      </c>
      <c r="M33" s="11">
        <v>0</v>
      </c>
      <c r="N33" s="11">
        <v>13</v>
      </c>
    </row>
    <row r="34" spans="1:14" ht="15" customHeight="1" x14ac:dyDescent="0.25">
      <c r="A34" s="11">
        <v>3</v>
      </c>
      <c r="B34" s="11" t="s">
        <v>13</v>
      </c>
      <c r="C34" s="11" t="s">
        <v>83</v>
      </c>
      <c r="D34" s="11" t="s">
        <v>164</v>
      </c>
      <c r="E34" s="11" t="s">
        <v>35</v>
      </c>
      <c r="F34" s="11" t="s">
        <v>165</v>
      </c>
      <c r="G34" s="11" t="s">
        <v>44</v>
      </c>
      <c r="H34" s="11" t="s">
        <v>166</v>
      </c>
      <c r="I34" s="11" t="s">
        <v>45</v>
      </c>
      <c r="J34" s="11">
        <v>1</v>
      </c>
      <c r="K34" s="11">
        <v>7</v>
      </c>
      <c r="L34" s="11">
        <v>6</v>
      </c>
      <c r="M34" s="11">
        <v>0</v>
      </c>
      <c r="N34" s="11">
        <v>13</v>
      </c>
    </row>
    <row r="35" spans="1:14" ht="15" customHeight="1" x14ac:dyDescent="0.25">
      <c r="A35" s="11">
        <v>3</v>
      </c>
      <c r="B35" s="11" t="s">
        <v>13</v>
      </c>
      <c r="C35" s="11" t="s">
        <v>84</v>
      </c>
      <c r="D35" s="11" t="s">
        <v>167</v>
      </c>
      <c r="E35" s="11" t="s">
        <v>23</v>
      </c>
      <c r="F35" s="11" t="s">
        <v>168</v>
      </c>
      <c r="G35" s="11" t="s">
        <v>24</v>
      </c>
      <c r="H35" s="11" t="s">
        <v>169</v>
      </c>
      <c r="I35" s="11" t="s">
        <v>57</v>
      </c>
      <c r="J35" s="11">
        <v>1</v>
      </c>
      <c r="K35" s="11">
        <v>7</v>
      </c>
      <c r="L35" s="11">
        <v>6</v>
      </c>
      <c r="M35" s="11">
        <v>0</v>
      </c>
      <c r="N35" s="11">
        <v>13</v>
      </c>
    </row>
    <row r="36" spans="1:14" ht="15" customHeight="1" x14ac:dyDescent="0.25">
      <c r="A36" s="11">
        <v>3</v>
      </c>
      <c r="B36" s="11" t="s">
        <v>13</v>
      </c>
      <c r="C36" s="11" t="s">
        <v>85</v>
      </c>
      <c r="D36" s="11" t="s">
        <v>170</v>
      </c>
      <c r="E36" s="11" t="s">
        <v>107</v>
      </c>
      <c r="F36" s="11" t="s">
        <v>171</v>
      </c>
      <c r="G36" s="11" t="s">
        <v>106</v>
      </c>
      <c r="H36" s="11" t="s">
        <v>172</v>
      </c>
      <c r="I36" s="11" t="s">
        <v>117</v>
      </c>
      <c r="J36" s="11">
        <v>1</v>
      </c>
      <c r="K36" s="11">
        <v>3</v>
      </c>
      <c r="L36" s="11">
        <v>3</v>
      </c>
      <c r="M36" s="11">
        <v>5</v>
      </c>
      <c r="N36" s="11">
        <v>11</v>
      </c>
    </row>
    <row r="37" spans="1:14" ht="15" customHeight="1" x14ac:dyDescent="0.25">
      <c r="A37" s="11">
        <v>3</v>
      </c>
      <c r="B37" s="11" t="s">
        <v>13</v>
      </c>
      <c r="C37" s="11" t="s">
        <v>86</v>
      </c>
      <c r="D37" s="11" t="s">
        <v>173</v>
      </c>
      <c r="E37" s="11" t="s">
        <v>108</v>
      </c>
      <c r="F37" s="11" t="s">
        <v>174</v>
      </c>
      <c r="G37" s="11" t="s">
        <v>118</v>
      </c>
      <c r="H37" s="11" t="s">
        <v>175</v>
      </c>
      <c r="I37" s="11" t="s">
        <v>109</v>
      </c>
      <c r="J37" s="11">
        <v>1</v>
      </c>
      <c r="K37" s="11">
        <v>7</v>
      </c>
      <c r="L37" s="11">
        <v>0</v>
      </c>
      <c r="M37" s="11">
        <v>3</v>
      </c>
      <c r="N37" s="11">
        <v>10</v>
      </c>
    </row>
    <row r="38" spans="1:14" ht="15" customHeight="1" x14ac:dyDescent="0.25">
      <c r="A38" s="11">
        <v>4</v>
      </c>
      <c r="B38" s="11" t="s">
        <v>15</v>
      </c>
      <c r="C38" s="11" t="s">
        <v>75</v>
      </c>
      <c r="D38" s="11" t="s">
        <v>140</v>
      </c>
      <c r="E38" s="11" t="s">
        <v>94</v>
      </c>
      <c r="F38" s="11" t="s">
        <v>176</v>
      </c>
      <c r="G38" s="11" t="s">
        <v>119</v>
      </c>
      <c r="H38" s="11" t="s">
        <v>141</v>
      </c>
      <c r="I38" s="11" t="s">
        <v>95</v>
      </c>
      <c r="J38" s="11">
        <v>1</v>
      </c>
      <c r="K38" s="11">
        <v>7</v>
      </c>
      <c r="L38" s="11">
        <v>3</v>
      </c>
      <c r="M38" s="11">
        <v>3</v>
      </c>
      <c r="N38" s="11">
        <v>13</v>
      </c>
    </row>
    <row r="39" spans="1:14" ht="15" customHeight="1" x14ac:dyDescent="0.25">
      <c r="A39" s="11">
        <v>4</v>
      </c>
      <c r="B39" s="11" t="s">
        <v>15</v>
      </c>
      <c r="C39" s="11" t="s">
        <v>76</v>
      </c>
      <c r="D39" s="11" t="s">
        <v>144</v>
      </c>
      <c r="E39" s="11" t="s">
        <v>96</v>
      </c>
      <c r="F39" s="11" t="s">
        <v>143</v>
      </c>
      <c r="G39" s="11" t="s">
        <v>97</v>
      </c>
      <c r="H39" s="11" t="s">
        <v>145</v>
      </c>
      <c r="I39" s="11" t="s">
        <v>111</v>
      </c>
      <c r="J39" s="11">
        <v>1</v>
      </c>
      <c r="K39" s="11">
        <v>7</v>
      </c>
      <c r="L39" s="11">
        <v>6</v>
      </c>
      <c r="M39" s="11">
        <v>0</v>
      </c>
      <c r="N39" s="11">
        <v>13</v>
      </c>
    </row>
    <row r="40" spans="1:14" ht="15" customHeight="1" x14ac:dyDescent="0.25">
      <c r="A40" s="11">
        <v>4</v>
      </c>
      <c r="B40" s="11" t="s">
        <v>15</v>
      </c>
      <c r="C40" s="11" t="s">
        <v>77</v>
      </c>
      <c r="D40" s="11" t="s">
        <v>147</v>
      </c>
      <c r="E40" s="11" t="s">
        <v>98</v>
      </c>
      <c r="F40" s="11" t="s">
        <v>146</v>
      </c>
      <c r="G40" s="11" t="s">
        <v>99</v>
      </c>
      <c r="H40" s="11" t="s">
        <v>148</v>
      </c>
      <c r="I40" s="11" t="s">
        <v>112</v>
      </c>
      <c r="J40" s="11">
        <v>1</v>
      </c>
      <c r="K40" s="11">
        <v>7</v>
      </c>
      <c r="L40" s="11">
        <v>6</v>
      </c>
      <c r="M40" s="11">
        <v>5</v>
      </c>
      <c r="N40" s="11">
        <v>18</v>
      </c>
    </row>
    <row r="41" spans="1:14" ht="15" customHeight="1" x14ac:dyDescent="0.25">
      <c r="A41" s="11">
        <v>4</v>
      </c>
      <c r="B41" s="11" t="s">
        <v>15</v>
      </c>
      <c r="C41" s="11" t="s">
        <v>78</v>
      </c>
      <c r="D41" s="11" t="s">
        <v>151</v>
      </c>
      <c r="E41" s="11" t="s">
        <v>100</v>
      </c>
      <c r="F41" s="11" t="s">
        <v>150</v>
      </c>
      <c r="G41" s="11" t="s">
        <v>114</v>
      </c>
      <c r="H41" s="11" t="s">
        <v>149</v>
      </c>
      <c r="I41" s="11" t="s">
        <v>113</v>
      </c>
      <c r="J41" s="11">
        <v>1</v>
      </c>
      <c r="K41" s="11">
        <v>7</v>
      </c>
      <c r="L41" s="11">
        <v>0</v>
      </c>
      <c r="M41" s="11">
        <v>5</v>
      </c>
      <c r="N41" s="11">
        <v>12</v>
      </c>
    </row>
    <row r="42" spans="1:14" ht="15" customHeight="1" x14ac:dyDescent="0.25">
      <c r="A42" s="11">
        <v>4</v>
      </c>
      <c r="B42" s="11" t="s">
        <v>15</v>
      </c>
      <c r="C42" s="11" t="s">
        <v>79</v>
      </c>
      <c r="D42" s="11" t="s">
        <v>152</v>
      </c>
      <c r="E42" s="11" t="s">
        <v>102</v>
      </c>
      <c r="F42" s="11" t="s">
        <v>153</v>
      </c>
      <c r="G42" s="11" t="s">
        <v>115</v>
      </c>
      <c r="H42" s="11" t="s">
        <v>154</v>
      </c>
      <c r="I42" s="11" t="s">
        <v>103</v>
      </c>
      <c r="J42" s="11">
        <v>1</v>
      </c>
      <c r="K42" s="11">
        <v>7</v>
      </c>
      <c r="L42" s="11">
        <v>3</v>
      </c>
      <c r="M42" s="11">
        <v>3</v>
      </c>
      <c r="N42" s="11">
        <v>13</v>
      </c>
    </row>
    <row r="43" spans="1:14" ht="15" customHeight="1" x14ac:dyDescent="0.25">
      <c r="A43" s="11">
        <v>4</v>
      </c>
      <c r="B43" s="11" t="s">
        <v>15</v>
      </c>
      <c r="C43" s="11" t="s">
        <v>80</v>
      </c>
      <c r="D43" s="11" t="s">
        <v>156</v>
      </c>
      <c r="E43" s="11" t="s">
        <v>105</v>
      </c>
      <c r="F43" s="11" t="s">
        <v>155</v>
      </c>
      <c r="G43" s="11" t="s">
        <v>104</v>
      </c>
      <c r="H43" s="11" t="s">
        <v>157</v>
      </c>
      <c r="I43" s="11" t="s">
        <v>116</v>
      </c>
      <c r="J43" s="11">
        <v>1</v>
      </c>
      <c r="K43" s="11">
        <v>3</v>
      </c>
      <c r="L43" s="11">
        <v>3</v>
      </c>
      <c r="M43" s="11">
        <v>5</v>
      </c>
      <c r="N43" s="11">
        <v>11</v>
      </c>
    </row>
    <row r="44" spans="1:14" ht="15" customHeight="1" x14ac:dyDescent="0.25">
      <c r="A44" s="11">
        <v>4</v>
      </c>
      <c r="B44" s="11" t="s">
        <v>15</v>
      </c>
      <c r="C44" s="11" t="s">
        <v>81</v>
      </c>
      <c r="D44" s="11" t="s">
        <v>158</v>
      </c>
      <c r="E44" s="11" t="s">
        <v>68</v>
      </c>
      <c r="F44" s="11" t="s">
        <v>159</v>
      </c>
      <c r="G44" s="11" t="s">
        <v>73</v>
      </c>
      <c r="H44" s="11" t="s">
        <v>160</v>
      </c>
      <c r="I44" s="11" t="s">
        <v>69</v>
      </c>
      <c r="J44" s="11">
        <v>1</v>
      </c>
      <c r="K44" s="11">
        <v>3</v>
      </c>
      <c r="L44" s="11">
        <v>3</v>
      </c>
      <c r="M44" s="11">
        <v>3</v>
      </c>
      <c r="N44" s="11">
        <v>9</v>
      </c>
    </row>
    <row r="45" spans="1:14" ht="15" customHeight="1" x14ac:dyDescent="0.25">
      <c r="A45" s="11">
        <v>4</v>
      </c>
      <c r="B45" s="11" t="s">
        <v>15</v>
      </c>
      <c r="C45" s="11" t="s">
        <v>82</v>
      </c>
      <c r="D45" s="11" t="s">
        <v>161</v>
      </c>
      <c r="E45" s="11" t="s">
        <v>66</v>
      </c>
      <c r="F45" s="11" t="s">
        <v>163</v>
      </c>
      <c r="G45" s="11" t="s">
        <v>67</v>
      </c>
      <c r="H45" s="11" t="s">
        <v>162</v>
      </c>
      <c r="I45" s="11" t="s">
        <v>70</v>
      </c>
      <c r="J45" s="11">
        <v>1</v>
      </c>
      <c r="K45" s="11">
        <v>7</v>
      </c>
      <c r="L45" s="11">
        <v>0</v>
      </c>
      <c r="M45" s="11">
        <v>3</v>
      </c>
      <c r="N45" s="11">
        <v>10</v>
      </c>
    </row>
    <row r="46" spans="1:14" ht="15" customHeight="1" x14ac:dyDescent="0.25">
      <c r="A46" s="11">
        <v>4</v>
      </c>
      <c r="B46" s="11" t="s">
        <v>15</v>
      </c>
      <c r="C46" s="11" t="s">
        <v>83</v>
      </c>
      <c r="D46" s="11" t="s">
        <v>164</v>
      </c>
      <c r="E46" s="11" t="s">
        <v>35</v>
      </c>
      <c r="F46" s="11" t="s">
        <v>165</v>
      </c>
      <c r="G46" s="11" t="s">
        <v>44</v>
      </c>
      <c r="H46" s="11" t="s">
        <v>166</v>
      </c>
      <c r="I46" s="11" t="s">
        <v>45</v>
      </c>
      <c r="J46" s="11">
        <v>1</v>
      </c>
      <c r="K46" s="11">
        <v>7</v>
      </c>
      <c r="L46" s="11">
        <v>6</v>
      </c>
      <c r="M46" s="11">
        <v>0</v>
      </c>
      <c r="N46" s="11">
        <v>13</v>
      </c>
    </row>
    <row r="47" spans="1:14" ht="15" customHeight="1" x14ac:dyDescent="0.25">
      <c r="A47" s="11">
        <v>4</v>
      </c>
      <c r="B47" s="11" t="s">
        <v>15</v>
      </c>
      <c r="C47" s="11" t="s">
        <v>84</v>
      </c>
      <c r="D47" s="11" t="s">
        <v>167</v>
      </c>
      <c r="E47" s="11" t="s">
        <v>23</v>
      </c>
      <c r="F47" s="11" t="s">
        <v>169</v>
      </c>
      <c r="G47" s="11" t="s">
        <v>57</v>
      </c>
      <c r="H47" s="11" t="s">
        <v>168</v>
      </c>
      <c r="I47" s="11" t="s">
        <v>24</v>
      </c>
      <c r="J47" s="11">
        <v>1</v>
      </c>
      <c r="K47" s="11">
        <v>7</v>
      </c>
      <c r="L47" s="11">
        <v>0</v>
      </c>
      <c r="M47" s="11">
        <v>3</v>
      </c>
      <c r="N47" s="11">
        <v>10</v>
      </c>
    </row>
    <row r="48" spans="1:14" ht="15" customHeight="1" x14ac:dyDescent="0.25">
      <c r="A48" s="11">
        <v>4</v>
      </c>
      <c r="B48" s="11" t="s">
        <v>15</v>
      </c>
      <c r="C48" s="11" t="s">
        <v>85</v>
      </c>
      <c r="D48" s="11" t="s">
        <v>171</v>
      </c>
      <c r="E48" s="11" t="s">
        <v>106</v>
      </c>
      <c r="F48" s="11" t="s">
        <v>170</v>
      </c>
      <c r="G48" s="11" t="s">
        <v>107</v>
      </c>
      <c r="H48" s="11" t="s">
        <v>172</v>
      </c>
      <c r="I48" s="11" t="s">
        <v>117</v>
      </c>
      <c r="J48" s="11">
        <v>1</v>
      </c>
      <c r="K48" s="11">
        <v>7</v>
      </c>
      <c r="L48" s="11">
        <v>6</v>
      </c>
      <c r="M48" s="11">
        <v>5</v>
      </c>
      <c r="N48" s="11">
        <v>18</v>
      </c>
    </row>
    <row r="49" spans="1:14" ht="15" customHeight="1" x14ac:dyDescent="0.25">
      <c r="A49" s="11">
        <v>4</v>
      </c>
      <c r="B49" s="11" t="s">
        <v>15</v>
      </c>
      <c r="C49" s="11" t="s">
        <v>86</v>
      </c>
      <c r="D49" s="11" t="s">
        <v>173</v>
      </c>
      <c r="E49" s="11" t="s">
        <v>108</v>
      </c>
      <c r="F49" s="11" t="s">
        <v>174</v>
      </c>
      <c r="G49" s="11" t="s">
        <v>118</v>
      </c>
      <c r="H49" s="11" t="s">
        <v>177</v>
      </c>
      <c r="I49" s="11" t="s">
        <v>120</v>
      </c>
      <c r="J49" s="11">
        <v>1</v>
      </c>
      <c r="K49" s="11">
        <v>7</v>
      </c>
      <c r="L49" s="11">
        <v>0</v>
      </c>
      <c r="M49" s="11">
        <v>0</v>
      </c>
      <c r="N49" s="11">
        <v>7</v>
      </c>
    </row>
    <row r="50" spans="1:14" ht="15" customHeight="1" x14ac:dyDescent="0.25">
      <c r="A50" s="11">
        <v>5</v>
      </c>
      <c r="B50" s="11" t="s">
        <v>17</v>
      </c>
      <c r="C50" s="11" t="s">
        <v>75</v>
      </c>
      <c r="D50" s="11" t="s">
        <v>140</v>
      </c>
      <c r="E50" s="11" t="s">
        <v>94</v>
      </c>
      <c r="F50" s="11" t="s">
        <v>176</v>
      </c>
      <c r="G50" s="11" t="s">
        <v>119</v>
      </c>
      <c r="H50" s="11" t="s">
        <v>142</v>
      </c>
      <c r="I50" s="11" t="s">
        <v>110</v>
      </c>
      <c r="J50" s="11">
        <v>1</v>
      </c>
      <c r="K50" s="11">
        <v>7</v>
      </c>
      <c r="L50" s="11">
        <v>3</v>
      </c>
      <c r="M50" s="11">
        <v>0</v>
      </c>
      <c r="N50" s="11">
        <v>10</v>
      </c>
    </row>
    <row r="51" spans="1:14" ht="15" customHeight="1" x14ac:dyDescent="0.25">
      <c r="A51" s="11">
        <v>5</v>
      </c>
      <c r="B51" s="11" t="s">
        <v>17</v>
      </c>
      <c r="C51" s="11" t="s">
        <v>76</v>
      </c>
      <c r="D51" s="11" t="s">
        <v>144</v>
      </c>
      <c r="E51" s="11" t="s">
        <v>96</v>
      </c>
      <c r="F51" s="11" t="s">
        <v>178</v>
      </c>
      <c r="G51" s="11" t="s">
        <v>121</v>
      </c>
      <c r="H51" s="11" t="s">
        <v>143</v>
      </c>
      <c r="I51" s="11" t="s">
        <v>97</v>
      </c>
      <c r="J51" s="11">
        <v>1</v>
      </c>
      <c r="K51" s="11">
        <v>7</v>
      </c>
      <c r="L51" s="11">
        <v>0</v>
      </c>
      <c r="M51" s="11">
        <v>3</v>
      </c>
      <c r="N51" s="11">
        <v>10</v>
      </c>
    </row>
    <row r="52" spans="1:14" ht="15" customHeight="1" x14ac:dyDescent="0.25">
      <c r="A52" s="11">
        <v>5</v>
      </c>
      <c r="B52" s="11" t="s">
        <v>17</v>
      </c>
      <c r="C52" s="11" t="s">
        <v>77</v>
      </c>
      <c r="D52" s="11" t="s">
        <v>147</v>
      </c>
      <c r="E52" s="11" t="s">
        <v>98</v>
      </c>
      <c r="F52" s="11" t="s">
        <v>146</v>
      </c>
      <c r="G52" s="11" t="s">
        <v>99</v>
      </c>
      <c r="H52" s="11" t="s">
        <v>148</v>
      </c>
      <c r="I52" s="11" t="s">
        <v>112</v>
      </c>
      <c r="J52" s="11">
        <v>1</v>
      </c>
      <c r="K52" s="11">
        <v>7</v>
      </c>
      <c r="L52" s="11">
        <v>6</v>
      </c>
      <c r="M52" s="11">
        <v>5</v>
      </c>
      <c r="N52" s="11">
        <v>18</v>
      </c>
    </row>
    <row r="53" spans="1:14" ht="15" customHeight="1" x14ac:dyDescent="0.25">
      <c r="A53" s="11">
        <v>5</v>
      </c>
      <c r="B53" s="11" t="s">
        <v>17</v>
      </c>
      <c r="C53" s="11" t="s">
        <v>78</v>
      </c>
      <c r="D53" s="11" t="s">
        <v>151</v>
      </c>
      <c r="E53" s="11" t="s">
        <v>100</v>
      </c>
      <c r="F53" s="11" t="s">
        <v>150</v>
      </c>
      <c r="G53" s="11" t="s">
        <v>114</v>
      </c>
      <c r="H53" s="11" t="s">
        <v>149</v>
      </c>
      <c r="I53" s="11" t="s">
        <v>113</v>
      </c>
      <c r="J53" s="11">
        <v>1</v>
      </c>
      <c r="K53" s="11">
        <v>7</v>
      </c>
      <c r="L53" s="11">
        <v>0</v>
      </c>
      <c r="M53" s="11">
        <v>5</v>
      </c>
      <c r="N53" s="11">
        <v>12</v>
      </c>
    </row>
    <row r="54" spans="1:14" ht="15" customHeight="1" x14ac:dyDescent="0.25">
      <c r="A54" s="11">
        <v>5</v>
      </c>
      <c r="B54" s="11" t="s">
        <v>17</v>
      </c>
      <c r="C54" s="11" t="s">
        <v>79</v>
      </c>
      <c r="D54" s="11" t="s">
        <v>153</v>
      </c>
      <c r="E54" s="11" t="s">
        <v>115</v>
      </c>
      <c r="F54" s="11" t="s">
        <v>152</v>
      </c>
      <c r="G54" s="11" t="s">
        <v>102</v>
      </c>
      <c r="H54" s="11" t="s">
        <v>179</v>
      </c>
      <c r="I54" s="11" t="s">
        <v>122</v>
      </c>
      <c r="J54" s="11">
        <v>1</v>
      </c>
      <c r="K54" s="11">
        <v>3</v>
      </c>
      <c r="L54" s="11">
        <v>3</v>
      </c>
      <c r="M54" s="11">
        <v>0</v>
      </c>
      <c r="N54" s="11">
        <v>6</v>
      </c>
    </row>
    <row r="55" spans="1:14" ht="15" customHeight="1" x14ac:dyDescent="0.25">
      <c r="A55" s="11">
        <v>5</v>
      </c>
      <c r="B55" s="11" t="s">
        <v>17</v>
      </c>
      <c r="C55" s="11" t="s">
        <v>80</v>
      </c>
      <c r="D55" s="11" t="s">
        <v>155</v>
      </c>
      <c r="E55" s="11" t="s">
        <v>104</v>
      </c>
      <c r="F55" s="11" t="s">
        <v>156</v>
      </c>
      <c r="G55" s="11" t="s">
        <v>105</v>
      </c>
      <c r="H55" s="11" t="s">
        <v>157</v>
      </c>
      <c r="I55" s="11" t="s">
        <v>116</v>
      </c>
      <c r="J55" s="11">
        <v>1</v>
      </c>
      <c r="K55" s="11">
        <v>7</v>
      </c>
      <c r="L55" s="11">
        <v>6</v>
      </c>
      <c r="M55" s="11">
        <v>5</v>
      </c>
      <c r="N55" s="11">
        <v>18</v>
      </c>
    </row>
    <row r="56" spans="1:14" ht="15" customHeight="1" x14ac:dyDescent="0.25">
      <c r="A56" s="11">
        <v>5</v>
      </c>
      <c r="B56" s="11" t="s">
        <v>17</v>
      </c>
      <c r="C56" s="11" t="s">
        <v>81</v>
      </c>
      <c r="D56" s="11" t="s">
        <v>158</v>
      </c>
      <c r="E56" s="11" t="s">
        <v>68</v>
      </c>
      <c r="F56" s="11" t="s">
        <v>160</v>
      </c>
      <c r="G56" s="11" t="s">
        <v>69</v>
      </c>
      <c r="H56" s="11" t="s">
        <v>159</v>
      </c>
      <c r="I56" s="11" t="s">
        <v>73</v>
      </c>
      <c r="J56" s="11">
        <v>1</v>
      </c>
      <c r="K56" s="11">
        <v>3</v>
      </c>
      <c r="L56" s="11">
        <v>6</v>
      </c>
      <c r="M56" s="11">
        <v>3</v>
      </c>
      <c r="N56" s="11">
        <v>12</v>
      </c>
    </row>
    <row r="57" spans="1:14" ht="15" customHeight="1" x14ac:dyDescent="0.25">
      <c r="A57" s="11">
        <v>5</v>
      </c>
      <c r="B57" s="11" t="s">
        <v>17</v>
      </c>
      <c r="C57" s="11" t="s">
        <v>82</v>
      </c>
      <c r="D57" s="11" t="s">
        <v>161</v>
      </c>
      <c r="E57" s="11" t="s">
        <v>66</v>
      </c>
      <c r="F57" s="11" t="s">
        <v>162</v>
      </c>
      <c r="G57" s="11" t="s">
        <v>70</v>
      </c>
      <c r="H57" s="11" t="s">
        <v>163</v>
      </c>
      <c r="I57" s="11" t="s">
        <v>67</v>
      </c>
      <c r="J57" s="11">
        <v>1</v>
      </c>
      <c r="K57" s="11">
        <v>7</v>
      </c>
      <c r="L57" s="11">
        <v>6</v>
      </c>
      <c r="M57" s="11">
        <v>0</v>
      </c>
      <c r="N57" s="11">
        <v>13</v>
      </c>
    </row>
    <row r="58" spans="1:14" ht="15" customHeight="1" x14ac:dyDescent="0.25">
      <c r="A58" s="11">
        <v>5</v>
      </c>
      <c r="B58" s="11" t="s">
        <v>17</v>
      </c>
      <c r="C58" s="11" t="s">
        <v>83</v>
      </c>
      <c r="D58" s="11" t="s">
        <v>164</v>
      </c>
      <c r="E58" s="11" t="s">
        <v>35</v>
      </c>
      <c r="F58" s="11" t="s">
        <v>166</v>
      </c>
      <c r="G58" s="11" t="s">
        <v>45</v>
      </c>
      <c r="H58" s="11" t="s">
        <v>165</v>
      </c>
      <c r="I58" s="11" t="s">
        <v>44</v>
      </c>
      <c r="J58" s="11">
        <v>1</v>
      </c>
      <c r="K58" s="11">
        <v>7</v>
      </c>
      <c r="L58" s="11">
        <v>0</v>
      </c>
      <c r="M58" s="11">
        <v>3</v>
      </c>
      <c r="N58" s="11">
        <v>10</v>
      </c>
    </row>
    <row r="59" spans="1:14" ht="15" customHeight="1" x14ac:dyDescent="0.25">
      <c r="A59" s="11">
        <v>5</v>
      </c>
      <c r="B59" s="11" t="s">
        <v>17</v>
      </c>
      <c r="C59" s="11" t="s">
        <v>84</v>
      </c>
      <c r="D59" s="11" t="s">
        <v>167</v>
      </c>
      <c r="E59" s="11" t="s">
        <v>23</v>
      </c>
      <c r="F59" s="11" t="s">
        <v>168</v>
      </c>
      <c r="G59" s="11" t="s">
        <v>24</v>
      </c>
      <c r="H59" s="11" t="s">
        <v>169</v>
      </c>
      <c r="I59" s="11" t="s">
        <v>57</v>
      </c>
      <c r="J59" s="11">
        <v>1</v>
      </c>
      <c r="K59" s="11">
        <v>7</v>
      </c>
      <c r="L59" s="11">
        <v>6</v>
      </c>
      <c r="M59" s="11">
        <v>0</v>
      </c>
      <c r="N59" s="11">
        <v>13</v>
      </c>
    </row>
    <row r="60" spans="1:14" ht="15" customHeight="1" x14ac:dyDescent="0.25">
      <c r="A60" s="11">
        <v>5</v>
      </c>
      <c r="B60" s="11" t="s">
        <v>17</v>
      </c>
      <c r="C60" s="11" t="s">
        <v>85</v>
      </c>
      <c r="D60" s="11" t="s">
        <v>170</v>
      </c>
      <c r="E60" s="11" t="s">
        <v>107</v>
      </c>
      <c r="F60" s="11" t="s">
        <v>171</v>
      </c>
      <c r="G60" s="11" t="s">
        <v>106</v>
      </c>
      <c r="H60" s="11" t="s">
        <v>180</v>
      </c>
      <c r="I60" s="11" t="s">
        <v>123</v>
      </c>
      <c r="J60" s="11">
        <v>1</v>
      </c>
      <c r="K60" s="11">
        <v>3</v>
      </c>
      <c r="L60" s="11">
        <v>3</v>
      </c>
      <c r="M60" s="11">
        <v>0</v>
      </c>
      <c r="N60" s="11">
        <v>6</v>
      </c>
    </row>
    <row r="61" spans="1:14" ht="15" customHeight="1" x14ac:dyDescent="0.25">
      <c r="A61" s="11">
        <v>5</v>
      </c>
      <c r="B61" s="11" t="s">
        <v>17</v>
      </c>
      <c r="C61" s="11" t="s">
        <v>86</v>
      </c>
      <c r="D61" s="11" t="s">
        <v>173</v>
      </c>
      <c r="E61" s="11" t="s">
        <v>108</v>
      </c>
      <c r="F61" s="11" t="s">
        <v>174</v>
      </c>
      <c r="G61" s="11" t="s">
        <v>118</v>
      </c>
      <c r="H61" s="11" t="s">
        <v>177</v>
      </c>
      <c r="I61" s="11" t="s">
        <v>120</v>
      </c>
      <c r="J61" s="11">
        <v>1</v>
      </c>
      <c r="K61" s="11">
        <v>7</v>
      </c>
      <c r="L61" s="11">
        <v>0</v>
      </c>
      <c r="M61" s="11">
        <v>0</v>
      </c>
      <c r="N61" s="11">
        <v>7</v>
      </c>
    </row>
    <row r="62" spans="1:14" ht="15" customHeight="1" x14ac:dyDescent="0.25">
      <c r="A62" s="11">
        <v>6</v>
      </c>
      <c r="B62" s="11" t="s">
        <v>20</v>
      </c>
      <c r="C62" s="11" t="s">
        <v>75</v>
      </c>
      <c r="D62" s="11" t="s">
        <v>140</v>
      </c>
      <c r="E62" s="11" t="s">
        <v>94</v>
      </c>
      <c r="F62" s="11" t="s">
        <v>141</v>
      </c>
      <c r="G62" s="11" t="s">
        <v>95</v>
      </c>
      <c r="H62" s="11" t="s">
        <v>142</v>
      </c>
      <c r="I62" s="11" t="s">
        <v>110</v>
      </c>
      <c r="J62" s="11">
        <v>1</v>
      </c>
      <c r="K62" s="11">
        <v>7</v>
      </c>
      <c r="L62" s="11">
        <v>6</v>
      </c>
      <c r="M62" s="11">
        <v>0</v>
      </c>
      <c r="N62" s="11">
        <v>13</v>
      </c>
    </row>
    <row r="63" spans="1:14" ht="15" customHeight="1" x14ac:dyDescent="0.25">
      <c r="A63" s="11">
        <v>6</v>
      </c>
      <c r="B63" s="11" t="s">
        <v>20</v>
      </c>
      <c r="C63" s="11" t="s">
        <v>76</v>
      </c>
      <c r="D63" s="11" t="s">
        <v>144</v>
      </c>
      <c r="E63" s="11" t="s">
        <v>96</v>
      </c>
      <c r="F63" s="11" t="s">
        <v>143</v>
      </c>
      <c r="G63" s="11" t="s">
        <v>97</v>
      </c>
      <c r="H63" s="11" t="s">
        <v>145</v>
      </c>
      <c r="I63" s="11" t="s">
        <v>111</v>
      </c>
      <c r="J63" s="11">
        <v>1</v>
      </c>
      <c r="K63" s="11">
        <v>7</v>
      </c>
      <c r="L63" s="11">
        <v>6</v>
      </c>
      <c r="M63" s="11">
        <v>0</v>
      </c>
      <c r="N63" s="11">
        <v>13</v>
      </c>
    </row>
    <row r="64" spans="1:14" ht="15" customHeight="1" x14ac:dyDescent="0.25">
      <c r="A64" s="11">
        <v>6</v>
      </c>
      <c r="B64" s="11" t="s">
        <v>20</v>
      </c>
      <c r="C64" s="11" t="s">
        <v>77</v>
      </c>
      <c r="D64" s="11" t="s">
        <v>146</v>
      </c>
      <c r="E64" s="11" t="s">
        <v>99</v>
      </c>
      <c r="F64" s="11" t="s">
        <v>147</v>
      </c>
      <c r="G64" s="11" t="s">
        <v>98</v>
      </c>
      <c r="H64" s="11" t="s">
        <v>148</v>
      </c>
      <c r="I64" s="11" t="s">
        <v>112</v>
      </c>
      <c r="J64" s="11">
        <v>1</v>
      </c>
      <c r="K64" s="11">
        <v>3</v>
      </c>
      <c r="L64" s="11">
        <v>3</v>
      </c>
      <c r="M64" s="11">
        <v>5</v>
      </c>
      <c r="N64" s="11">
        <v>11</v>
      </c>
    </row>
    <row r="65" spans="1:14" ht="15" customHeight="1" x14ac:dyDescent="0.25">
      <c r="A65" s="11">
        <v>6</v>
      </c>
      <c r="B65" s="11" t="s">
        <v>20</v>
      </c>
      <c r="C65" s="11" t="s">
        <v>78</v>
      </c>
      <c r="D65" s="11" t="s">
        <v>151</v>
      </c>
      <c r="E65" s="11" t="s">
        <v>100</v>
      </c>
      <c r="F65" s="11" t="s">
        <v>150</v>
      </c>
      <c r="G65" s="11" t="s">
        <v>114</v>
      </c>
      <c r="H65" s="11" t="s">
        <v>181</v>
      </c>
      <c r="I65" s="11" t="s">
        <v>101</v>
      </c>
      <c r="J65" s="11">
        <v>1</v>
      </c>
      <c r="K65" s="11">
        <v>7</v>
      </c>
      <c r="L65" s="11">
        <v>0</v>
      </c>
      <c r="M65" s="11">
        <v>3</v>
      </c>
      <c r="N65" s="11">
        <v>10</v>
      </c>
    </row>
    <row r="66" spans="1:14" ht="15" customHeight="1" x14ac:dyDescent="0.25">
      <c r="A66" s="11">
        <v>6</v>
      </c>
      <c r="B66" s="11" t="s">
        <v>20</v>
      </c>
      <c r="C66" s="11" t="s">
        <v>79</v>
      </c>
      <c r="D66" s="11" t="s">
        <v>152</v>
      </c>
      <c r="E66" s="11" t="s">
        <v>102</v>
      </c>
      <c r="F66" s="11" t="s">
        <v>153</v>
      </c>
      <c r="G66" s="11" t="s">
        <v>115</v>
      </c>
      <c r="H66" s="11" t="s">
        <v>154</v>
      </c>
      <c r="I66" s="11" t="s">
        <v>103</v>
      </c>
      <c r="J66" s="11">
        <v>1</v>
      </c>
      <c r="K66" s="11">
        <v>7</v>
      </c>
      <c r="L66" s="11">
        <v>3</v>
      </c>
      <c r="M66" s="11">
        <v>3</v>
      </c>
      <c r="N66" s="11">
        <v>13</v>
      </c>
    </row>
    <row r="67" spans="1:14" ht="15" customHeight="1" x14ac:dyDescent="0.25">
      <c r="A67" s="11">
        <v>6</v>
      </c>
      <c r="B67" s="11" t="s">
        <v>20</v>
      </c>
      <c r="C67" s="11" t="s">
        <v>80</v>
      </c>
      <c r="D67" s="11" t="s">
        <v>155</v>
      </c>
      <c r="E67" s="11" t="s">
        <v>104</v>
      </c>
      <c r="F67" s="11" t="s">
        <v>156</v>
      </c>
      <c r="G67" s="11" t="s">
        <v>105</v>
      </c>
      <c r="H67" s="11" t="s">
        <v>157</v>
      </c>
      <c r="I67" s="11" t="s">
        <v>116</v>
      </c>
      <c r="J67" s="11">
        <v>1</v>
      </c>
      <c r="K67" s="11">
        <v>7</v>
      </c>
      <c r="L67" s="11">
        <v>6</v>
      </c>
      <c r="M67" s="11">
        <v>5</v>
      </c>
      <c r="N67" s="11">
        <v>18</v>
      </c>
    </row>
    <row r="68" spans="1:14" ht="15" customHeight="1" x14ac:dyDescent="0.25">
      <c r="A68" s="11">
        <v>6</v>
      </c>
      <c r="B68" s="11" t="s">
        <v>20</v>
      </c>
      <c r="C68" s="11" t="s">
        <v>81</v>
      </c>
      <c r="D68" s="11" t="s">
        <v>158</v>
      </c>
      <c r="E68" s="11" t="s">
        <v>68</v>
      </c>
      <c r="F68" s="11" t="s">
        <v>182</v>
      </c>
      <c r="G68" s="11" t="s">
        <v>72</v>
      </c>
      <c r="H68" s="11" t="s">
        <v>159</v>
      </c>
      <c r="I68" s="11" t="s">
        <v>73</v>
      </c>
      <c r="J68" s="11">
        <v>1</v>
      </c>
      <c r="K68" s="11">
        <v>3</v>
      </c>
      <c r="L68" s="11">
        <v>0</v>
      </c>
      <c r="M68" s="11">
        <v>3</v>
      </c>
      <c r="N68" s="11">
        <v>6</v>
      </c>
    </row>
    <row r="69" spans="1:14" ht="15" customHeight="1" x14ac:dyDescent="0.25">
      <c r="A69" s="11">
        <v>6</v>
      </c>
      <c r="B69" s="11" t="s">
        <v>20</v>
      </c>
      <c r="C69" s="11" t="s">
        <v>82</v>
      </c>
      <c r="D69" s="11" t="s">
        <v>161</v>
      </c>
      <c r="E69" s="11" t="s">
        <v>66</v>
      </c>
      <c r="F69" s="11" t="s">
        <v>162</v>
      </c>
      <c r="G69" s="11" t="s">
        <v>70</v>
      </c>
      <c r="H69" s="11" t="s">
        <v>163</v>
      </c>
      <c r="I69" s="11" t="s">
        <v>67</v>
      </c>
      <c r="J69" s="11">
        <v>1</v>
      </c>
      <c r="K69" s="11">
        <v>7</v>
      </c>
      <c r="L69" s="11">
        <v>6</v>
      </c>
      <c r="M69" s="11">
        <v>0</v>
      </c>
      <c r="N69" s="11">
        <v>13</v>
      </c>
    </row>
    <row r="70" spans="1:14" ht="15" customHeight="1" x14ac:dyDescent="0.25">
      <c r="A70" s="11">
        <v>6</v>
      </c>
      <c r="B70" s="11" t="s">
        <v>20</v>
      </c>
      <c r="C70" s="11" t="s">
        <v>83</v>
      </c>
      <c r="D70" s="11" t="s">
        <v>164</v>
      </c>
      <c r="E70" s="11" t="s">
        <v>35</v>
      </c>
      <c r="F70" s="11" t="s">
        <v>165</v>
      </c>
      <c r="G70" s="11" t="s">
        <v>44</v>
      </c>
      <c r="H70" s="11" t="s">
        <v>166</v>
      </c>
      <c r="I70" s="11" t="s">
        <v>45</v>
      </c>
      <c r="J70" s="11">
        <v>1</v>
      </c>
      <c r="K70" s="11">
        <v>7</v>
      </c>
      <c r="L70" s="11">
        <v>6</v>
      </c>
      <c r="M70" s="11">
        <v>0</v>
      </c>
      <c r="N70" s="11">
        <v>13</v>
      </c>
    </row>
    <row r="71" spans="1:14" ht="15" customHeight="1" x14ac:dyDescent="0.25">
      <c r="A71" s="11">
        <v>6</v>
      </c>
      <c r="B71" s="11" t="s">
        <v>20</v>
      </c>
      <c r="C71" s="11" t="s">
        <v>84</v>
      </c>
      <c r="D71" s="11" t="s">
        <v>167</v>
      </c>
      <c r="E71" s="11" t="s">
        <v>23</v>
      </c>
      <c r="F71" s="11" t="s">
        <v>168</v>
      </c>
      <c r="G71" s="11" t="s">
        <v>24</v>
      </c>
      <c r="H71" s="11" t="s">
        <v>169</v>
      </c>
      <c r="I71" s="11" t="s">
        <v>57</v>
      </c>
      <c r="J71" s="11">
        <v>1</v>
      </c>
      <c r="K71" s="11">
        <v>7</v>
      </c>
      <c r="L71" s="11">
        <v>6</v>
      </c>
      <c r="M71" s="11">
        <v>0</v>
      </c>
      <c r="N71" s="11">
        <v>13</v>
      </c>
    </row>
    <row r="72" spans="1:14" ht="15" customHeight="1" x14ac:dyDescent="0.25">
      <c r="A72" s="11">
        <v>6</v>
      </c>
      <c r="B72" s="11" t="s">
        <v>20</v>
      </c>
      <c r="C72" s="11" t="s">
        <v>85</v>
      </c>
      <c r="D72" s="11" t="s">
        <v>170</v>
      </c>
      <c r="E72" s="11" t="s">
        <v>107</v>
      </c>
      <c r="F72" s="11" t="s">
        <v>171</v>
      </c>
      <c r="G72" s="11" t="s">
        <v>106</v>
      </c>
      <c r="H72" s="11" t="s">
        <v>172</v>
      </c>
      <c r="I72" s="11" t="s">
        <v>117</v>
      </c>
      <c r="J72" s="11">
        <v>1</v>
      </c>
      <c r="K72" s="11">
        <v>3</v>
      </c>
      <c r="L72" s="11">
        <v>3</v>
      </c>
      <c r="M72" s="11">
        <v>5</v>
      </c>
      <c r="N72" s="11">
        <v>11</v>
      </c>
    </row>
    <row r="73" spans="1:14" ht="15" customHeight="1" x14ac:dyDescent="0.25">
      <c r="A73" s="11">
        <v>6</v>
      </c>
      <c r="B73" s="11" t="s">
        <v>20</v>
      </c>
      <c r="C73" s="11" t="s">
        <v>86</v>
      </c>
      <c r="D73" s="11" t="s">
        <v>173</v>
      </c>
      <c r="E73" s="11" t="s">
        <v>108</v>
      </c>
      <c r="F73" s="11" t="s">
        <v>174</v>
      </c>
      <c r="G73" s="11" t="s">
        <v>118</v>
      </c>
      <c r="H73" s="11" t="s">
        <v>177</v>
      </c>
      <c r="I73" s="11" t="s">
        <v>120</v>
      </c>
      <c r="J73" s="11">
        <v>1</v>
      </c>
      <c r="K73" s="11">
        <v>7</v>
      </c>
      <c r="L73" s="11">
        <v>0</v>
      </c>
      <c r="M73" s="11">
        <v>0</v>
      </c>
      <c r="N73" s="11">
        <v>7</v>
      </c>
    </row>
    <row r="74" spans="1:14" ht="15" customHeight="1" x14ac:dyDescent="0.25">
      <c r="A74" s="11">
        <v>7</v>
      </c>
      <c r="B74" s="11" t="s">
        <v>21</v>
      </c>
      <c r="C74" s="11" t="s">
        <v>75</v>
      </c>
      <c r="D74" s="11" t="s">
        <v>140</v>
      </c>
      <c r="E74" s="11" t="s">
        <v>94</v>
      </c>
      <c r="F74" s="11" t="s">
        <v>141</v>
      </c>
      <c r="G74" s="11" t="s">
        <v>95</v>
      </c>
      <c r="H74" s="11" t="s">
        <v>176</v>
      </c>
      <c r="I74" s="11" t="s">
        <v>119</v>
      </c>
      <c r="J74" s="11">
        <v>1</v>
      </c>
      <c r="K74" s="11">
        <v>7</v>
      </c>
      <c r="L74" s="11">
        <v>6</v>
      </c>
      <c r="M74" s="11">
        <v>5</v>
      </c>
      <c r="N74" s="11">
        <v>18</v>
      </c>
    </row>
    <row r="75" spans="1:14" ht="15" customHeight="1" x14ac:dyDescent="0.25">
      <c r="A75" s="11">
        <v>7</v>
      </c>
      <c r="B75" s="11" t="s">
        <v>21</v>
      </c>
      <c r="C75" s="11" t="s">
        <v>76</v>
      </c>
      <c r="D75" s="11" t="s">
        <v>144</v>
      </c>
      <c r="E75" s="11" t="s">
        <v>96</v>
      </c>
      <c r="F75" s="11" t="s">
        <v>145</v>
      </c>
      <c r="G75" s="11" t="s">
        <v>111</v>
      </c>
      <c r="H75" s="11" t="s">
        <v>143</v>
      </c>
      <c r="I75" s="11" t="s">
        <v>97</v>
      </c>
      <c r="J75" s="11">
        <v>1</v>
      </c>
      <c r="K75" s="11">
        <v>7</v>
      </c>
      <c r="L75" s="11">
        <v>0</v>
      </c>
      <c r="M75" s="11">
        <v>3</v>
      </c>
      <c r="N75" s="11">
        <v>10</v>
      </c>
    </row>
    <row r="76" spans="1:14" ht="15" customHeight="1" x14ac:dyDescent="0.25">
      <c r="A76" s="11">
        <v>7</v>
      </c>
      <c r="B76" s="11" t="s">
        <v>21</v>
      </c>
      <c r="C76" s="11" t="s">
        <v>77</v>
      </c>
      <c r="D76" s="11" t="s">
        <v>147</v>
      </c>
      <c r="E76" s="11" t="s">
        <v>98</v>
      </c>
      <c r="F76" s="11" t="s">
        <v>146</v>
      </c>
      <c r="G76" s="11" t="s">
        <v>99</v>
      </c>
      <c r="H76" s="11" t="s">
        <v>148</v>
      </c>
      <c r="I76" s="11" t="s">
        <v>112</v>
      </c>
      <c r="J76" s="11">
        <v>1</v>
      </c>
      <c r="K76" s="11">
        <v>7</v>
      </c>
      <c r="L76" s="11">
        <v>6</v>
      </c>
      <c r="M76" s="11">
        <v>5</v>
      </c>
      <c r="N76" s="11">
        <v>18</v>
      </c>
    </row>
    <row r="77" spans="1:14" ht="15" customHeight="1" x14ac:dyDescent="0.25">
      <c r="A77" s="11">
        <v>7</v>
      </c>
      <c r="B77" s="11" t="s">
        <v>21</v>
      </c>
      <c r="C77" s="11" t="s">
        <v>78</v>
      </c>
      <c r="D77" s="11" t="s">
        <v>151</v>
      </c>
      <c r="E77" s="11" t="s">
        <v>100</v>
      </c>
      <c r="F77" s="11" t="s">
        <v>150</v>
      </c>
      <c r="G77" s="11" t="s">
        <v>114</v>
      </c>
      <c r="H77" s="11" t="s">
        <v>181</v>
      </c>
      <c r="I77" s="11" t="s">
        <v>101</v>
      </c>
      <c r="J77" s="11">
        <v>1</v>
      </c>
      <c r="K77" s="11">
        <v>7</v>
      </c>
      <c r="L77" s="11">
        <v>0</v>
      </c>
      <c r="M77" s="11">
        <v>3</v>
      </c>
      <c r="N77" s="11">
        <v>10</v>
      </c>
    </row>
    <row r="78" spans="1:14" ht="15" customHeight="1" x14ac:dyDescent="0.25">
      <c r="A78" s="11">
        <v>7</v>
      </c>
      <c r="B78" s="11" t="s">
        <v>21</v>
      </c>
      <c r="C78" s="11" t="s">
        <v>79</v>
      </c>
      <c r="D78" s="11" t="s">
        <v>152</v>
      </c>
      <c r="E78" s="11" t="s">
        <v>102</v>
      </c>
      <c r="F78" s="11" t="s">
        <v>154</v>
      </c>
      <c r="G78" s="11" t="s">
        <v>103</v>
      </c>
      <c r="H78" s="11" t="s">
        <v>153</v>
      </c>
      <c r="I78" s="11" t="s">
        <v>115</v>
      </c>
      <c r="J78" s="11">
        <v>1</v>
      </c>
      <c r="K78" s="11">
        <v>7</v>
      </c>
      <c r="L78" s="11">
        <v>6</v>
      </c>
      <c r="M78" s="11">
        <v>5</v>
      </c>
      <c r="N78" s="11">
        <v>18</v>
      </c>
    </row>
    <row r="79" spans="1:14" ht="15" customHeight="1" x14ac:dyDescent="0.25">
      <c r="A79" s="11">
        <v>7</v>
      </c>
      <c r="B79" s="11" t="s">
        <v>21</v>
      </c>
      <c r="C79" s="11" t="s">
        <v>80</v>
      </c>
      <c r="D79" s="11" t="s">
        <v>155</v>
      </c>
      <c r="E79" s="11" t="s">
        <v>104</v>
      </c>
      <c r="F79" s="11" t="s">
        <v>156</v>
      </c>
      <c r="G79" s="11" t="s">
        <v>105</v>
      </c>
      <c r="H79" s="11" t="s">
        <v>157</v>
      </c>
      <c r="I79" s="11" t="s">
        <v>116</v>
      </c>
      <c r="J79" s="11">
        <v>1</v>
      </c>
      <c r="K79" s="11">
        <v>7</v>
      </c>
      <c r="L79" s="11">
        <v>6</v>
      </c>
      <c r="M79" s="11">
        <v>5</v>
      </c>
      <c r="N79" s="11">
        <v>18</v>
      </c>
    </row>
    <row r="80" spans="1:14" ht="15" customHeight="1" x14ac:dyDescent="0.25">
      <c r="A80" s="11">
        <v>7</v>
      </c>
      <c r="B80" s="11" t="s">
        <v>21</v>
      </c>
      <c r="C80" s="11" t="s">
        <v>81</v>
      </c>
      <c r="D80" s="11" t="s">
        <v>158</v>
      </c>
      <c r="E80" s="11" t="s">
        <v>68</v>
      </c>
      <c r="F80" s="11" t="s">
        <v>160</v>
      </c>
      <c r="G80" s="11" t="s">
        <v>69</v>
      </c>
      <c r="H80" s="11" t="s">
        <v>159</v>
      </c>
      <c r="I80" s="11" t="s">
        <v>73</v>
      </c>
      <c r="J80" s="11">
        <v>1</v>
      </c>
      <c r="K80" s="11">
        <v>3</v>
      </c>
      <c r="L80" s="11">
        <v>6</v>
      </c>
      <c r="M80" s="11">
        <v>3</v>
      </c>
      <c r="N80" s="11">
        <v>12</v>
      </c>
    </row>
    <row r="81" spans="1:14" ht="15" customHeight="1" x14ac:dyDescent="0.25">
      <c r="A81" s="11">
        <v>7</v>
      </c>
      <c r="B81" s="11" t="s">
        <v>21</v>
      </c>
      <c r="C81" s="11" t="s">
        <v>82</v>
      </c>
      <c r="D81" s="11" t="s">
        <v>161</v>
      </c>
      <c r="E81" s="11" t="s">
        <v>66</v>
      </c>
      <c r="F81" s="11" t="s">
        <v>162</v>
      </c>
      <c r="G81" s="11" t="s">
        <v>70</v>
      </c>
      <c r="H81" s="11" t="s">
        <v>163</v>
      </c>
      <c r="I81" s="11" t="s">
        <v>67</v>
      </c>
      <c r="J81" s="11">
        <v>1</v>
      </c>
      <c r="K81" s="11">
        <v>7</v>
      </c>
      <c r="L81" s="11">
        <v>6</v>
      </c>
      <c r="M81" s="11">
        <v>0</v>
      </c>
      <c r="N81" s="11">
        <v>13</v>
      </c>
    </row>
    <row r="82" spans="1:14" ht="15" customHeight="1" x14ac:dyDescent="0.25">
      <c r="A82" s="11">
        <v>7</v>
      </c>
      <c r="B82" s="11" t="s">
        <v>21</v>
      </c>
      <c r="C82" s="11" t="s">
        <v>83</v>
      </c>
      <c r="D82" s="11" t="s">
        <v>164</v>
      </c>
      <c r="E82" s="11" t="s">
        <v>35</v>
      </c>
      <c r="F82" s="11" t="s">
        <v>166</v>
      </c>
      <c r="G82" s="11" t="s">
        <v>45</v>
      </c>
      <c r="H82" s="11" t="s">
        <v>165</v>
      </c>
      <c r="I82" s="11" t="s">
        <v>44</v>
      </c>
      <c r="J82" s="11">
        <v>1</v>
      </c>
      <c r="K82" s="11">
        <v>7</v>
      </c>
      <c r="L82" s="11">
        <v>0</v>
      </c>
      <c r="M82" s="11">
        <v>3</v>
      </c>
      <c r="N82" s="11">
        <v>10</v>
      </c>
    </row>
    <row r="83" spans="1:14" ht="15" customHeight="1" x14ac:dyDescent="0.25">
      <c r="A83" s="11">
        <v>7</v>
      </c>
      <c r="B83" s="11" t="s">
        <v>21</v>
      </c>
      <c r="C83" s="11" t="s">
        <v>84</v>
      </c>
      <c r="D83" s="11" t="s">
        <v>167</v>
      </c>
      <c r="E83" s="11" t="s">
        <v>23</v>
      </c>
      <c r="F83" s="11" t="s">
        <v>168</v>
      </c>
      <c r="G83" s="11" t="s">
        <v>24</v>
      </c>
      <c r="H83" s="11" t="s">
        <v>169</v>
      </c>
      <c r="I83" s="11" t="s">
        <v>57</v>
      </c>
      <c r="J83" s="11">
        <v>1</v>
      </c>
      <c r="K83" s="11">
        <v>7</v>
      </c>
      <c r="L83" s="11">
        <v>6</v>
      </c>
      <c r="M83" s="11">
        <v>0</v>
      </c>
      <c r="N83" s="11">
        <v>13</v>
      </c>
    </row>
    <row r="84" spans="1:14" ht="15" customHeight="1" x14ac:dyDescent="0.25">
      <c r="A84" s="11">
        <v>7</v>
      </c>
      <c r="B84" s="11" t="s">
        <v>21</v>
      </c>
      <c r="C84" s="11" t="s">
        <v>85</v>
      </c>
      <c r="D84" s="11" t="s">
        <v>170</v>
      </c>
      <c r="E84" s="11" t="s">
        <v>107</v>
      </c>
      <c r="F84" s="11" t="s">
        <v>171</v>
      </c>
      <c r="G84" s="11" t="s">
        <v>106</v>
      </c>
      <c r="H84" s="11" t="s">
        <v>172</v>
      </c>
      <c r="I84" s="11" t="s">
        <v>117</v>
      </c>
      <c r="J84" s="11">
        <v>1</v>
      </c>
      <c r="K84" s="11">
        <v>3</v>
      </c>
      <c r="L84" s="11">
        <v>3</v>
      </c>
      <c r="M84" s="11">
        <v>5</v>
      </c>
      <c r="N84" s="11">
        <v>11</v>
      </c>
    </row>
    <row r="85" spans="1:14" ht="15" customHeight="1" x14ac:dyDescent="0.25">
      <c r="A85" s="11">
        <v>7</v>
      </c>
      <c r="B85" s="11" t="s">
        <v>21</v>
      </c>
      <c r="C85" s="11" t="s">
        <v>86</v>
      </c>
      <c r="D85" s="11" t="s">
        <v>173</v>
      </c>
      <c r="E85" s="11" t="s">
        <v>108</v>
      </c>
      <c r="F85" s="11" t="s">
        <v>174</v>
      </c>
      <c r="G85" s="11" t="s">
        <v>118</v>
      </c>
      <c r="H85" s="11" t="s">
        <v>177</v>
      </c>
      <c r="I85" s="11" t="s">
        <v>120</v>
      </c>
      <c r="J85" s="11">
        <v>1</v>
      </c>
      <c r="K85" s="11">
        <v>7</v>
      </c>
      <c r="L85" s="11">
        <v>0</v>
      </c>
      <c r="M85" s="11">
        <v>0</v>
      </c>
      <c r="N85" s="11">
        <v>7</v>
      </c>
    </row>
    <row r="86" spans="1:14" ht="15" customHeight="1" x14ac:dyDescent="0.25">
      <c r="A86" s="11">
        <v>8</v>
      </c>
      <c r="B86" s="11" t="s">
        <v>25</v>
      </c>
      <c r="C86" s="11" t="s">
        <v>75</v>
      </c>
      <c r="D86" s="11" t="s">
        <v>141</v>
      </c>
      <c r="E86" s="11" t="s">
        <v>95</v>
      </c>
      <c r="F86" s="11" t="s">
        <v>176</v>
      </c>
      <c r="G86" s="11" t="s">
        <v>119</v>
      </c>
      <c r="H86" s="11" t="s">
        <v>140</v>
      </c>
      <c r="I86" s="11" t="s">
        <v>94</v>
      </c>
      <c r="J86" s="11">
        <v>1</v>
      </c>
      <c r="K86" s="11">
        <v>3</v>
      </c>
      <c r="L86" s="11">
        <v>3</v>
      </c>
      <c r="M86" s="11">
        <v>3</v>
      </c>
      <c r="N86" s="11">
        <v>9</v>
      </c>
    </row>
    <row r="87" spans="1:14" ht="15" customHeight="1" x14ac:dyDescent="0.25">
      <c r="A87" s="11">
        <v>8</v>
      </c>
      <c r="B87" s="11" t="s">
        <v>25</v>
      </c>
      <c r="C87" s="11" t="s">
        <v>76</v>
      </c>
      <c r="D87" s="11" t="s">
        <v>143</v>
      </c>
      <c r="E87" s="11" t="s">
        <v>97</v>
      </c>
      <c r="F87" s="11" t="s">
        <v>144</v>
      </c>
      <c r="G87" s="11" t="s">
        <v>96</v>
      </c>
      <c r="H87" s="11" t="s">
        <v>178</v>
      </c>
      <c r="I87" s="11" t="s">
        <v>121</v>
      </c>
      <c r="J87" s="11">
        <v>1</v>
      </c>
      <c r="K87" s="11">
        <v>3</v>
      </c>
      <c r="L87" s="11">
        <v>3</v>
      </c>
      <c r="M87" s="11">
        <v>0</v>
      </c>
      <c r="N87" s="11">
        <v>6</v>
      </c>
    </row>
    <row r="88" spans="1:14" ht="15" customHeight="1" x14ac:dyDescent="0.25">
      <c r="A88" s="11">
        <v>8</v>
      </c>
      <c r="B88" s="11" t="s">
        <v>25</v>
      </c>
      <c r="C88" s="11" t="s">
        <v>77</v>
      </c>
      <c r="D88" s="11" t="s">
        <v>147</v>
      </c>
      <c r="E88" s="11" t="s">
        <v>98</v>
      </c>
      <c r="F88" s="11" t="s">
        <v>146</v>
      </c>
      <c r="G88" s="11" t="s">
        <v>99</v>
      </c>
      <c r="H88" s="11" t="s">
        <v>148</v>
      </c>
      <c r="I88" s="11" t="s">
        <v>112</v>
      </c>
      <c r="J88" s="11">
        <v>1</v>
      </c>
      <c r="K88" s="11">
        <v>7</v>
      </c>
      <c r="L88" s="11">
        <v>6</v>
      </c>
      <c r="M88" s="11">
        <v>5</v>
      </c>
      <c r="N88" s="11">
        <v>18</v>
      </c>
    </row>
    <row r="89" spans="1:14" ht="15" customHeight="1" x14ac:dyDescent="0.25">
      <c r="A89" s="11">
        <v>8</v>
      </c>
      <c r="B89" s="11" t="s">
        <v>25</v>
      </c>
      <c r="C89" s="11" t="s">
        <v>78</v>
      </c>
      <c r="D89" s="11" t="s">
        <v>151</v>
      </c>
      <c r="E89" s="11" t="s">
        <v>100</v>
      </c>
      <c r="F89" s="11" t="s">
        <v>150</v>
      </c>
      <c r="G89" s="11" t="s">
        <v>114</v>
      </c>
      <c r="H89" s="11" t="s">
        <v>149</v>
      </c>
      <c r="I89" s="11" t="s">
        <v>113</v>
      </c>
      <c r="J89" s="11">
        <v>1</v>
      </c>
      <c r="K89" s="11">
        <v>7</v>
      </c>
      <c r="L89" s="11">
        <v>0</v>
      </c>
      <c r="M89" s="11">
        <v>5</v>
      </c>
      <c r="N89" s="11">
        <v>12</v>
      </c>
    </row>
    <row r="90" spans="1:14" ht="15" customHeight="1" x14ac:dyDescent="0.25">
      <c r="A90" s="11">
        <v>8</v>
      </c>
      <c r="B90" s="11" t="s">
        <v>25</v>
      </c>
      <c r="C90" s="11" t="s">
        <v>79</v>
      </c>
      <c r="D90" s="11" t="s">
        <v>152</v>
      </c>
      <c r="E90" s="11" t="s">
        <v>102</v>
      </c>
      <c r="F90" s="11" t="s">
        <v>153</v>
      </c>
      <c r="G90" s="11" t="s">
        <v>115</v>
      </c>
      <c r="H90" s="11" t="s">
        <v>154</v>
      </c>
      <c r="I90" s="11" t="s">
        <v>103</v>
      </c>
      <c r="J90" s="11">
        <v>1</v>
      </c>
      <c r="K90" s="11">
        <v>7</v>
      </c>
      <c r="L90" s="11">
        <v>3</v>
      </c>
      <c r="M90" s="11">
        <v>3</v>
      </c>
      <c r="N90" s="11">
        <v>13</v>
      </c>
    </row>
    <row r="91" spans="1:14" ht="15" customHeight="1" x14ac:dyDescent="0.25">
      <c r="A91" s="11">
        <v>8</v>
      </c>
      <c r="B91" s="11" t="s">
        <v>25</v>
      </c>
      <c r="C91" s="11" t="s">
        <v>80</v>
      </c>
      <c r="D91" s="11" t="s">
        <v>155</v>
      </c>
      <c r="E91" s="11" t="s">
        <v>104</v>
      </c>
      <c r="F91" s="11" t="s">
        <v>156</v>
      </c>
      <c r="G91" s="11" t="s">
        <v>105</v>
      </c>
      <c r="H91" s="11" t="s">
        <v>183</v>
      </c>
      <c r="I91" s="11" t="s">
        <v>124</v>
      </c>
      <c r="J91" s="11">
        <v>1</v>
      </c>
      <c r="K91" s="11">
        <v>7</v>
      </c>
      <c r="L91" s="11">
        <v>6</v>
      </c>
      <c r="M91" s="11">
        <v>0</v>
      </c>
      <c r="N91" s="11">
        <v>13</v>
      </c>
    </row>
    <row r="92" spans="1:14" ht="15" customHeight="1" x14ac:dyDescent="0.25">
      <c r="A92" s="11">
        <v>8</v>
      </c>
      <c r="B92" s="11" t="s">
        <v>25</v>
      </c>
      <c r="C92" s="11" t="s">
        <v>81</v>
      </c>
      <c r="D92" s="11" t="s">
        <v>158</v>
      </c>
      <c r="E92" s="11" t="s">
        <v>68</v>
      </c>
      <c r="F92" s="11" t="s">
        <v>159</v>
      </c>
      <c r="G92" s="11" t="s">
        <v>73</v>
      </c>
      <c r="H92" s="11" t="s">
        <v>160</v>
      </c>
      <c r="I92" s="11" t="s">
        <v>69</v>
      </c>
      <c r="J92" s="11">
        <v>1</v>
      </c>
      <c r="K92" s="11">
        <v>3</v>
      </c>
      <c r="L92" s="11">
        <v>3</v>
      </c>
      <c r="M92" s="11">
        <v>3</v>
      </c>
      <c r="N92" s="11">
        <v>9</v>
      </c>
    </row>
    <row r="93" spans="1:14" ht="15" customHeight="1" x14ac:dyDescent="0.25">
      <c r="A93" s="11">
        <v>8</v>
      </c>
      <c r="B93" s="11" t="s">
        <v>25</v>
      </c>
      <c r="C93" s="11" t="s">
        <v>82</v>
      </c>
      <c r="D93" s="11" t="s">
        <v>161</v>
      </c>
      <c r="E93" s="11" t="s">
        <v>66</v>
      </c>
      <c r="F93" s="11" t="s">
        <v>162</v>
      </c>
      <c r="G93" s="11" t="s">
        <v>70</v>
      </c>
      <c r="H93" s="11" t="s">
        <v>163</v>
      </c>
      <c r="I93" s="11" t="s">
        <v>67</v>
      </c>
      <c r="J93" s="11">
        <v>1</v>
      </c>
      <c r="K93" s="11">
        <v>7</v>
      </c>
      <c r="L93" s="11">
        <v>6</v>
      </c>
      <c r="M93" s="11">
        <v>0</v>
      </c>
      <c r="N93" s="11">
        <v>13</v>
      </c>
    </row>
    <row r="94" spans="1:14" ht="15" customHeight="1" x14ac:dyDescent="0.25">
      <c r="A94" s="11">
        <v>8</v>
      </c>
      <c r="B94" s="11" t="s">
        <v>25</v>
      </c>
      <c r="C94" s="11" t="s">
        <v>83</v>
      </c>
      <c r="D94" s="11" t="s">
        <v>164</v>
      </c>
      <c r="E94" s="11" t="s">
        <v>35</v>
      </c>
      <c r="F94" s="11" t="s">
        <v>166</v>
      </c>
      <c r="G94" s="11" t="s">
        <v>45</v>
      </c>
      <c r="H94" s="11" t="s">
        <v>165</v>
      </c>
      <c r="I94" s="11" t="s">
        <v>44</v>
      </c>
      <c r="J94" s="11">
        <v>1</v>
      </c>
      <c r="K94" s="11">
        <v>7</v>
      </c>
      <c r="L94" s="11">
        <v>0</v>
      </c>
      <c r="M94" s="11">
        <v>3</v>
      </c>
      <c r="N94" s="11">
        <v>10</v>
      </c>
    </row>
    <row r="95" spans="1:14" ht="15" customHeight="1" x14ac:dyDescent="0.25">
      <c r="A95" s="11">
        <v>8</v>
      </c>
      <c r="B95" s="11" t="s">
        <v>25</v>
      </c>
      <c r="C95" s="11" t="s">
        <v>84</v>
      </c>
      <c r="D95" s="11" t="s">
        <v>167</v>
      </c>
      <c r="E95" s="11" t="s">
        <v>23</v>
      </c>
      <c r="F95" s="11" t="s">
        <v>168</v>
      </c>
      <c r="G95" s="11" t="s">
        <v>24</v>
      </c>
      <c r="H95" s="11" t="s">
        <v>169</v>
      </c>
      <c r="I95" s="11" t="s">
        <v>57</v>
      </c>
      <c r="J95" s="11">
        <v>1</v>
      </c>
      <c r="K95" s="11">
        <v>7</v>
      </c>
      <c r="L95" s="11">
        <v>6</v>
      </c>
      <c r="M95" s="11">
        <v>0</v>
      </c>
      <c r="N95" s="11">
        <v>13</v>
      </c>
    </row>
    <row r="96" spans="1:14" ht="15" customHeight="1" x14ac:dyDescent="0.25">
      <c r="A96" s="11">
        <v>8</v>
      </c>
      <c r="B96" s="11" t="s">
        <v>25</v>
      </c>
      <c r="C96" s="11" t="s">
        <v>85</v>
      </c>
      <c r="D96" s="11" t="s">
        <v>170</v>
      </c>
      <c r="E96" s="11" t="s">
        <v>107</v>
      </c>
      <c r="F96" s="11" t="s">
        <v>171</v>
      </c>
      <c r="G96" s="11" t="s">
        <v>106</v>
      </c>
      <c r="H96" s="11" t="s">
        <v>180</v>
      </c>
      <c r="I96" s="11" t="s">
        <v>123</v>
      </c>
      <c r="J96" s="11">
        <v>1</v>
      </c>
      <c r="K96" s="11">
        <v>3</v>
      </c>
      <c r="L96" s="11">
        <v>3</v>
      </c>
      <c r="M96" s="11">
        <v>0</v>
      </c>
      <c r="N96" s="11">
        <v>6</v>
      </c>
    </row>
    <row r="97" spans="1:14" ht="15" customHeight="1" x14ac:dyDescent="0.25">
      <c r="A97" s="11">
        <v>8</v>
      </c>
      <c r="B97" s="11" t="s">
        <v>25</v>
      </c>
      <c r="C97" s="11" t="s">
        <v>86</v>
      </c>
      <c r="D97" s="11" t="s">
        <v>173</v>
      </c>
      <c r="E97" s="11" t="s">
        <v>108</v>
      </c>
      <c r="F97" s="11" t="s">
        <v>174</v>
      </c>
      <c r="G97" s="11" t="s">
        <v>118</v>
      </c>
      <c r="H97" s="11" t="s">
        <v>175</v>
      </c>
      <c r="I97" s="11" t="s">
        <v>109</v>
      </c>
      <c r="J97" s="11">
        <v>1</v>
      </c>
      <c r="K97" s="11">
        <v>7</v>
      </c>
      <c r="L97" s="11">
        <v>0</v>
      </c>
      <c r="M97" s="11">
        <v>3</v>
      </c>
      <c r="N97" s="11">
        <v>10</v>
      </c>
    </row>
    <row r="98" spans="1:14" ht="15" customHeight="1" x14ac:dyDescent="0.25">
      <c r="A98" s="11">
        <v>9</v>
      </c>
      <c r="B98" s="11" t="s">
        <v>27</v>
      </c>
      <c r="C98" s="11" t="s">
        <v>75</v>
      </c>
      <c r="D98" s="11" t="s">
        <v>176</v>
      </c>
      <c r="E98" s="11" t="s">
        <v>119</v>
      </c>
      <c r="F98" s="11" t="s">
        <v>142</v>
      </c>
      <c r="G98" s="11" t="s">
        <v>110</v>
      </c>
      <c r="H98" s="11" t="s">
        <v>141</v>
      </c>
      <c r="I98" s="11" t="s">
        <v>95</v>
      </c>
      <c r="J98" s="11">
        <v>1</v>
      </c>
      <c r="K98" s="11">
        <v>3</v>
      </c>
      <c r="L98" s="11">
        <v>0</v>
      </c>
      <c r="M98" s="11">
        <v>3</v>
      </c>
      <c r="N98" s="11">
        <v>6</v>
      </c>
    </row>
    <row r="99" spans="1:14" ht="15" customHeight="1" x14ac:dyDescent="0.25">
      <c r="A99" s="11">
        <v>9</v>
      </c>
      <c r="B99" s="11" t="s">
        <v>27</v>
      </c>
      <c r="C99" s="11" t="s">
        <v>76</v>
      </c>
      <c r="D99" s="11" t="s">
        <v>145</v>
      </c>
      <c r="E99" s="11" t="s">
        <v>111</v>
      </c>
      <c r="F99" s="11" t="s">
        <v>178</v>
      </c>
      <c r="G99" s="11" t="s">
        <v>121</v>
      </c>
      <c r="H99" s="11" t="s">
        <v>143</v>
      </c>
      <c r="I99" s="11" t="s">
        <v>97</v>
      </c>
      <c r="J99" s="11">
        <v>1</v>
      </c>
      <c r="K99" s="11">
        <v>0</v>
      </c>
      <c r="L99" s="11">
        <v>0</v>
      </c>
      <c r="M99" s="11">
        <v>3</v>
      </c>
      <c r="N99" s="11">
        <v>3</v>
      </c>
    </row>
    <row r="100" spans="1:14" ht="15" customHeight="1" x14ac:dyDescent="0.25">
      <c r="A100" s="11">
        <v>9</v>
      </c>
      <c r="B100" s="11" t="s">
        <v>27</v>
      </c>
      <c r="C100" s="11" t="s">
        <v>77</v>
      </c>
      <c r="D100" s="11" t="s">
        <v>147</v>
      </c>
      <c r="E100" s="11" t="s">
        <v>98</v>
      </c>
      <c r="F100" s="11" t="s">
        <v>146</v>
      </c>
      <c r="G100" s="11" t="s">
        <v>99</v>
      </c>
      <c r="H100" s="11" t="s">
        <v>148</v>
      </c>
      <c r="I100" s="11" t="s">
        <v>112</v>
      </c>
      <c r="J100" s="11">
        <v>1</v>
      </c>
      <c r="K100" s="11">
        <v>7</v>
      </c>
      <c r="L100" s="11">
        <v>6</v>
      </c>
      <c r="M100" s="11">
        <v>5</v>
      </c>
      <c r="N100" s="11">
        <v>18</v>
      </c>
    </row>
    <row r="101" spans="1:14" ht="15" customHeight="1" x14ac:dyDescent="0.25">
      <c r="A101" s="11">
        <v>9</v>
      </c>
      <c r="B101" s="11" t="s">
        <v>27</v>
      </c>
      <c r="C101" s="11" t="s">
        <v>78</v>
      </c>
      <c r="D101" s="11" t="s">
        <v>149</v>
      </c>
      <c r="E101" s="11" t="s">
        <v>113</v>
      </c>
      <c r="F101" s="11" t="s">
        <v>181</v>
      </c>
      <c r="G101" s="11" t="s">
        <v>101</v>
      </c>
      <c r="H101" s="11" t="s">
        <v>150</v>
      </c>
      <c r="I101" s="11" t="s">
        <v>114</v>
      </c>
      <c r="J101" s="11">
        <v>1</v>
      </c>
      <c r="K101" s="11">
        <v>3</v>
      </c>
      <c r="L101" s="11">
        <v>6</v>
      </c>
      <c r="M101" s="11">
        <v>0</v>
      </c>
      <c r="N101" s="11">
        <v>9</v>
      </c>
    </row>
    <row r="102" spans="1:14" ht="15" customHeight="1" x14ac:dyDescent="0.25">
      <c r="A102" s="11">
        <v>9</v>
      </c>
      <c r="B102" s="11" t="s">
        <v>27</v>
      </c>
      <c r="C102" s="11" t="s">
        <v>79</v>
      </c>
      <c r="D102" s="11" t="s">
        <v>153</v>
      </c>
      <c r="E102" s="11" t="s">
        <v>115</v>
      </c>
      <c r="F102" s="11" t="s">
        <v>179</v>
      </c>
      <c r="G102" s="11" t="s">
        <v>122</v>
      </c>
      <c r="H102" s="11" t="s">
        <v>152</v>
      </c>
      <c r="I102" s="11" t="s">
        <v>102</v>
      </c>
      <c r="J102" s="11">
        <v>1</v>
      </c>
      <c r="K102" s="11">
        <v>3</v>
      </c>
      <c r="L102" s="11">
        <v>0</v>
      </c>
      <c r="M102" s="11">
        <v>3</v>
      </c>
      <c r="N102" s="11">
        <v>6</v>
      </c>
    </row>
    <row r="103" spans="1:14" ht="15" customHeight="1" x14ac:dyDescent="0.25">
      <c r="A103" s="11">
        <v>9</v>
      </c>
      <c r="B103" s="11" t="s">
        <v>27</v>
      </c>
      <c r="C103" s="11" t="s">
        <v>80</v>
      </c>
      <c r="D103" s="11" t="s">
        <v>157</v>
      </c>
      <c r="E103" s="11" t="s">
        <v>116</v>
      </c>
      <c r="F103" s="11" t="s">
        <v>156</v>
      </c>
      <c r="G103" s="11" t="s">
        <v>105</v>
      </c>
      <c r="H103" s="11" t="s">
        <v>155</v>
      </c>
      <c r="I103" s="11" t="s">
        <v>104</v>
      </c>
      <c r="J103" s="11">
        <v>1</v>
      </c>
      <c r="K103" s="11">
        <v>3</v>
      </c>
      <c r="L103" s="11">
        <v>6</v>
      </c>
      <c r="M103" s="11">
        <v>3</v>
      </c>
      <c r="N103" s="11">
        <v>12</v>
      </c>
    </row>
    <row r="104" spans="1:14" ht="15" customHeight="1" x14ac:dyDescent="0.25">
      <c r="A104" s="11">
        <v>9</v>
      </c>
      <c r="B104" s="11" t="s">
        <v>27</v>
      </c>
      <c r="C104" s="11" t="s">
        <v>81</v>
      </c>
      <c r="D104" s="11" t="s">
        <v>182</v>
      </c>
      <c r="E104" s="11" t="s">
        <v>72</v>
      </c>
      <c r="F104" s="11" t="s">
        <v>158</v>
      </c>
      <c r="G104" s="11" t="s">
        <v>68</v>
      </c>
      <c r="H104" s="11" t="s">
        <v>160</v>
      </c>
      <c r="I104" s="11" t="s">
        <v>69</v>
      </c>
      <c r="J104" s="11">
        <v>1</v>
      </c>
      <c r="K104" s="11">
        <v>0</v>
      </c>
      <c r="L104" s="11">
        <v>3</v>
      </c>
      <c r="M104" s="11">
        <v>3</v>
      </c>
      <c r="N104" s="11">
        <v>6</v>
      </c>
    </row>
    <row r="105" spans="1:14" ht="15" customHeight="1" x14ac:dyDescent="0.25">
      <c r="A105" s="11">
        <v>9</v>
      </c>
      <c r="B105" s="11" t="s">
        <v>27</v>
      </c>
      <c r="C105" s="11" t="s">
        <v>82</v>
      </c>
      <c r="D105" s="11" t="s">
        <v>161</v>
      </c>
      <c r="E105" s="11" t="s">
        <v>66</v>
      </c>
      <c r="F105" s="11" t="s">
        <v>162</v>
      </c>
      <c r="G105" s="11" t="s">
        <v>70</v>
      </c>
      <c r="H105" s="11" t="s">
        <v>184</v>
      </c>
      <c r="I105" s="11" t="s">
        <v>71</v>
      </c>
      <c r="J105" s="11">
        <v>1</v>
      </c>
      <c r="K105" s="11">
        <v>7</v>
      </c>
      <c r="L105" s="11">
        <v>6</v>
      </c>
      <c r="M105" s="11">
        <v>5</v>
      </c>
      <c r="N105" s="11">
        <v>18</v>
      </c>
    </row>
    <row r="106" spans="1:14" ht="15" customHeight="1" x14ac:dyDescent="0.25">
      <c r="A106" s="11">
        <v>9</v>
      </c>
      <c r="B106" s="11" t="s">
        <v>27</v>
      </c>
      <c r="C106" s="11" t="s">
        <v>83</v>
      </c>
      <c r="D106" s="11" t="s">
        <v>166</v>
      </c>
      <c r="E106" s="11" t="s">
        <v>45</v>
      </c>
      <c r="F106" s="11" t="s">
        <v>165</v>
      </c>
      <c r="G106" s="11" t="s">
        <v>44</v>
      </c>
      <c r="H106" s="11" t="s">
        <v>185</v>
      </c>
      <c r="I106" s="11" t="s">
        <v>36</v>
      </c>
      <c r="J106" s="11">
        <v>1</v>
      </c>
      <c r="K106" s="11">
        <v>0</v>
      </c>
      <c r="L106" s="11">
        <v>6</v>
      </c>
      <c r="M106" s="11">
        <v>0</v>
      </c>
      <c r="N106" s="11">
        <v>6</v>
      </c>
    </row>
    <row r="107" spans="1:14" ht="15" customHeight="1" x14ac:dyDescent="0.25">
      <c r="A107" s="11">
        <v>9</v>
      </c>
      <c r="B107" s="11" t="s">
        <v>27</v>
      </c>
      <c r="C107" s="11" t="s">
        <v>84</v>
      </c>
      <c r="D107" s="11" t="s">
        <v>167</v>
      </c>
      <c r="E107" s="11" t="s">
        <v>23</v>
      </c>
      <c r="F107" s="11" t="s">
        <v>186</v>
      </c>
      <c r="G107" s="11" t="s">
        <v>56</v>
      </c>
      <c r="H107" s="11" t="s">
        <v>168</v>
      </c>
      <c r="I107" s="11" t="s">
        <v>24</v>
      </c>
      <c r="J107" s="11">
        <v>1</v>
      </c>
      <c r="K107" s="11">
        <v>7</v>
      </c>
      <c r="L107" s="11">
        <v>0</v>
      </c>
      <c r="M107" s="11">
        <v>3</v>
      </c>
      <c r="N107" s="11">
        <v>10</v>
      </c>
    </row>
    <row r="108" spans="1:14" ht="15" customHeight="1" x14ac:dyDescent="0.25">
      <c r="A108" s="11">
        <v>9</v>
      </c>
      <c r="B108" s="11" t="s">
        <v>27</v>
      </c>
      <c r="C108" s="11" t="s">
        <v>85</v>
      </c>
      <c r="D108" s="11" t="s">
        <v>170</v>
      </c>
      <c r="E108" s="11" t="s">
        <v>107</v>
      </c>
      <c r="F108" s="11" t="s">
        <v>171</v>
      </c>
      <c r="G108" s="11" t="s">
        <v>106</v>
      </c>
      <c r="H108" s="11" t="s">
        <v>180</v>
      </c>
      <c r="I108" s="11" t="s">
        <v>123</v>
      </c>
      <c r="J108" s="11">
        <v>1</v>
      </c>
      <c r="K108" s="11">
        <v>3</v>
      </c>
      <c r="L108" s="11">
        <v>3</v>
      </c>
      <c r="M108" s="11">
        <v>0</v>
      </c>
      <c r="N108" s="11">
        <v>6</v>
      </c>
    </row>
    <row r="109" spans="1:14" ht="15" customHeight="1" x14ac:dyDescent="0.25">
      <c r="A109" s="11">
        <v>9</v>
      </c>
      <c r="B109" s="11" t="s">
        <v>27</v>
      </c>
      <c r="C109" s="11" t="s">
        <v>86</v>
      </c>
      <c r="D109" s="11" t="s">
        <v>173</v>
      </c>
      <c r="E109" s="11" t="s">
        <v>108</v>
      </c>
      <c r="F109" s="11" t="s">
        <v>177</v>
      </c>
      <c r="G109" s="11" t="s">
        <v>120</v>
      </c>
      <c r="H109" s="11" t="s">
        <v>174</v>
      </c>
      <c r="I109" s="11" t="s">
        <v>118</v>
      </c>
      <c r="J109" s="11">
        <v>1</v>
      </c>
      <c r="K109" s="11">
        <v>7</v>
      </c>
      <c r="L109" s="11">
        <v>0</v>
      </c>
      <c r="M109" s="11">
        <v>0</v>
      </c>
      <c r="N109" s="11">
        <v>7</v>
      </c>
    </row>
    <row r="110" spans="1:14" ht="15" customHeight="1" x14ac:dyDescent="0.25">
      <c r="A110" s="11">
        <v>10</v>
      </c>
      <c r="B110" s="11" t="s">
        <v>29</v>
      </c>
      <c r="C110" s="11" t="s">
        <v>75</v>
      </c>
      <c r="D110" s="11" t="s">
        <v>142</v>
      </c>
      <c r="E110" s="11" t="s">
        <v>110</v>
      </c>
      <c r="F110" s="11" t="s">
        <v>140</v>
      </c>
      <c r="G110" s="11" t="s">
        <v>94</v>
      </c>
      <c r="H110" s="11" t="s">
        <v>141</v>
      </c>
      <c r="I110" s="11" t="s">
        <v>95</v>
      </c>
      <c r="J110" s="11">
        <v>1</v>
      </c>
      <c r="K110" s="11">
        <v>0</v>
      </c>
      <c r="L110" s="11">
        <v>3</v>
      </c>
      <c r="M110" s="11">
        <v>3</v>
      </c>
      <c r="N110" s="11">
        <v>6</v>
      </c>
    </row>
    <row r="111" spans="1:14" ht="15" customHeight="1" x14ac:dyDescent="0.25">
      <c r="A111" s="11">
        <v>10</v>
      </c>
      <c r="B111" s="11" t="s">
        <v>29</v>
      </c>
      <c r="C111" s="11" t="s">
        <v>76</v>
      </c>
      <c r="D111" s="11" t="s">
        <v>144</v>
      </c>
      <c r="E111" s="11" t="s">
        <v>96</v>
      </c>
      <c r="F111" s="11" t="s">
        <v>143</v>
      </c>
      <c r="G111" s="11" t="s">
        <v>97</v>
      </c>
      <c r="H111" s="11" t="s">
        <v>178</v>
      </c>
      <c r="I111" s="11" t="s">
        <v>121</v>
      </c>
      <c r="J111" s="11">
        <v>1</v>
      </c>
      <c r="K111" s="11">
        <v>7</v>
      </c>
      <c r="L111" s="11">
        <v>6</v>
      </c>
      <c r="M111" s="11">
        <v>0</v>
      </c>
      <c r="N111" s="11">
        <v>13</v>
      </c>
    </row>
    <row r="112" spans="1:14" ht="15" customHeight="1" x14ac:dyDescent="0.25">
      <c r="A112" s="11">
        <v>10</v>
      </c>
      <c r="B112" s="11" t="s">
        <v>29</v>
      </c>
      <c r="C112" s="11" t="s">
        <v>77</v>
      </c>
      <c r="D112" s="11" t="s">
        <v>147</v>
      </c>
      <c r="E112" s="11" t="s">
        <v>98</v>
      </c>
      <c r="F112" s="11" t="s">
        <v>146</v>
      </c>
      <c r="G112" s="11" t="s">
        <v>99</v>
      </c>
      <c r="H112" s="11" t="s">
        <v>148</v>
      </c>
      <c r="I112" s="11" t="s">
        <v>112</v>
      </c>
      <c r="J112" s="11">
        <v>1</v>
      </c>
      <c r="K112" s="11">
        <v>7</v>
      </c>
      <c r="L112" s="11">
        <v>6</v>
      </c>
      <c r="M112" s="11">
        <v>5</v>
      </c>
      <c r="N112" s="11">
        <v>18</v>
      </c>
    </row>
    <row r="113" spans="1:14" ht="15" customHeight="1" x14ac:dyDescent="0.25">
      <c r="A113" s="11">
        <v>10</v>
      </c>
      <c r="B113" s="11" t="s">
        <v>29</v>
      </c>
      <c r="C113" s="11" t="s">
        <v>78</v>
      </c>
      <c r="D113" s="11" t="s">
        <v>151</v>
      </c>
      <c r="E113" s="11" t="s">
        <v>100</v>
      </c>
      <c r="F113" s="11" t="s">
        <v>181</v>
      </c>
      <c r="G113" s="11" t="s">
        <v>101</v>
      </c>
      <c r="H113" s="11" t="s">
        <v>150</v>
      </c>
      <c r="I113" s="11" t="s">
        <v>114</v>
      </c>
      <c r="J113" s="11">
        <v>1</v>
      </c>
      <c r="K113" s="11">
        <v>7</v>
      </c>
      <c r="L113" s="11">
        <v>6</v>
      </c>
      <c r="M113" s="11">
        <v>0</v>
      </c>
      <c r="N113" s="11">
        <v>13</v>
      </c>
    </row>
    <row r="114" spans="1:14" ht="15" customHeight="1" x14ac:dyDescent="0.25">
      <c r="A114" s="11">
        <v>10</v>
      </c>
      <c r="B114" s="11" t="s">
        <v>29</v>
      </c>
      <c r="C114" s="11" t="s">
        <v>79</v>
      </c>
      <c r="D114" s="11" t="s">
        <v>152</v>
      </c>
      <c r="E114" s="11" t="s">
        <v>102</v>
      </c>
      <c r="F114" s="11" t="s">
        <v>153</v>
      </c>
      <c r="G114" s="11" t="s">
        <v>115</v>
      </c>
      <c r="H114" s="11" t="s">
        <v>154</v>
      </c>
      <c r="I114" s="11" t="s">
        <v>103</v>
      </c>
      <c r="J114" s="11">
        <v>1</v>
      </c>
      <c r="K114" s="11">
        <v>7</v>
      </c>
      <c r="L114" s="11">
        <v>3</v>
      </c>
      <c r="M114" s="11">
        <v>3</v>
      </c>
      <c r="N114" s="11">
        <v>13</v>
      </c>
    </row>
    <row r="115" spans="1:14" ht="15" customHeight="1" x14ac:dyDescent="0.25">
      <c r="A115" s="11">
        <v>10</v>
      </c>
      <c r="B115" s="11" t="s">
        <v>29</v>
      </c>
      <c r="C115" s="11" t="s">
        <v>80</v>
      </c>
      <c r="D115" s="11" t="s">
        <v>155</v>
      </c>
      <c r="E115" s="11" t="s">
        <v>104</v>
      </c>
      <c r="F115" s="11" t="s">
        <v>157</v>
      </c>
      <c r="G115" s="11" t="s">
        <v>116</v>
      </c>
      <c r="H115" s="11" t="s">
        <v>156</v>
      </c>
      <c r="I115" s="11" t="s">
        <v>105</v>
      </c>
      <c r="J115" s="11">
        <v>1</v>
      </c>
      <c r="K115" s="11">
        <v>7</v>
      </c>
      <c r="L115" s="11">
        <v>3</v>
      </c>
      <c r="M115" s="11">
        <v>3</v>
      </c>
      <c r="N115" s="11">
        <v>13</v>
      </c>
    </row>
    <row r="116" spans="1:14" ht="15" customHeight="1" x14ac:dyDescent="0.25">
      <c r="A116" s="11">
        <v>10</v>
      </c>
      <c r="B116" s="11" t="s">
        <v>29</v>
      </c>
      <c r="C116" s="11" t="s">
        <v>81</v>
      </c>
      <c r="D116" s="11" t="s">
        <v>158</v>
      </c>
      <c r="E116" s="11" t="s">
        <v>68</v>
      </c>
      <c r="F116" s="11" t="s">
        <v>159</v>
      </c>
      <c r="G116" s="11" t="s">
        <v>73</v>
      </c>
      <c r="H116" s="11" t="s">
        <v>160</v>
      </c>
      <c r="I116" s="11" t="s">
        <v>69</v>
      </c>
      <c r="J116" s="11">
        <v>1</v>
      </c>
      <c r="K116" s="11">
        <v>3</v>
      </c>
      <c r="L116" s="11">
        <v>3</v>
      </c>
      <c r="M116" s="11">
        <v>3</v>
      </c>
      <c r="N116" s="11">
        <v>9</v>
      </c>
    </row>
    <row r="117" spans="1:14" ht="15" customHeight="1" x14ac:dyDescent="0.25">
      <c r="A117" s="11">
        <v>10</v>
      </c>
      <c r="B117" s="11" t="s">
        <v>29</v>
      </c>
      <c r="C117" s="11" t="s">
        <v>82</v>
      </c>
      <c r="D117" s="11" t="s">
        <v>163</v>
      </c>
      <c r="E117" s="11" t="s">
        <v>67</v>
      </c>
      <c r="F117" s="11" t="s">
        <v>161</v>
      </c>
      <c r="G117" s="11" t="s">
        <v>66</v>
      </c>
      <c r="H117" s="11" t="s">
        <v>162</v>
      </c>
      <c r="I117" s="11" t="s">
        <v>70</v>
      </c>
      <c r="J117" s="11">
        <v>1</v>
      </c>
      <c r="K117" s="11">
        <v>0</v>
      </c>
      <c r="L117" s="11">
        <v>3</v>
      </c>
      <c r="M117" s="11">
        <v>3</v>
      </c>
      <c r="N117" s="11">
        <v>6</v>
      </c>
    </row>
    <row r="118" spans="1:14" ht="15" customHeight="1" x14ac:dyDescent="0.25">
      <c r="A118" s="11">
        <v>10</v>
      </c>
      <c r="B118" s="11" t="s">
        <v>29</v>
      </c>
      <c r="C118" s="11" t="s">
        <v>83</v>
      </c>
      <c r="D118" s="11" t="s">
        <v>164</v>
      </c>
      <c r="E118" s="11" t="s">
        <v>35</v>
      </c>
      <c r="F118" s="11" t="s">
        <v>166</v>
      </c>
      <c r="G118" s="11" t="s">
        <v>45</v>
      </c>
      <c r="H118" s="11" t="s">
        <v>185</v>
      </c>
      <c r="I118" s="11" t="s">
        <v>36</v>
      </c>
      <c r="J118" s="11">
        <v>1</v>
      </c>
      <c r="K118" s="11">
        <v>7</v>
      </c>
      <c r="L118" s="11">
        <v>0</v>
      </c>
      <c r="M118" s="11">
        <v>0</v>
      </c>
      <c r="N118" s="11">
        <v>7</v>
      </c>
    </row>
    <row r="119" spans="1:14" ht="15" customHeight="1" x14ac:dyDescent="0.25">
      <c r="A119" s="11">
        <v>10</v>
      </c>
      <c r="B119" s="11" t="s">
        <v>29</v>
      </c>
      <c r="C119" s="11" t="s">
        <v>84</v>
      </c>
      <c r="D119" s="11" t="s">
        <v>167</v>
      </c>
      <c r="E119" s="11" t="s">
        <v>23</v>
      </c>
      <c r="F119" s="11" t="s">
        <v>169</v>
      </c>
      <c r="G119" s="11" t="s">
        <v>57</v>
      </c>
      <c r="H119" s="11" t="s">
        <v>168</v>
      </c>
      <c r="I119" s="11" t="s">
        <v>24</v>
      </c>
      <c r="J119" s="11">
        <v>1</v>
      </c>
      <c r="K119" s="11">
        <v>7</v>
      </c>
      <c r="L119" s="11">
        <v>0</v>
      </c>
      <c r="M119" s="11">
        <v>3</v>
      </c>
      <c r="N119" s="11">
        <v>10</v>
      </c>
    </row>
    <row r="120" spans="1:14" ht="15" customHeight="1" x14ac:dyDescent="0.25">
      <c r="A120" s="11">
        <v>10</v>
      </c>
      <c r="B120" s="11" t="s">
        <v>29</v>
      </c>
      <c r="C120" s="11" t="s">
        <v>85</v>
      </c>
      <c r="D120" s="11" t="s">
        <v>171</v>
      </c>
      <c r="E120" s="11" t="s">
        <v>106</v>
      </c>
      <c r="F120" s="11" t="s">
        <v>170</v>
      </c>
      <c r="G120" s="11" t="s">
        <v>107</v>
      </c>
      <c r="H120" s="11" t="s">
        <v>172</v>
      </c>
      <c r="I120" s="11" t="s">
        <v>117</v>
      </c>
      <c r="J120" s="11">
        <v>1</v>
      </c>
      <c r="K120" s="11">
        <v>7</v>
      </c>
      <c r="L120" s="11">
        <v>6</v>
      </c>
      <c r="M120" s="11">
        <v>5</v>
      </c>
      <c r="N120" s="11">
        <v>18</v>
      </c>
    </row>
    <row r="121" spans="1:14" ht="15" customHeight="1" x14ac:dyDescent="0.25">
      <c r="A121" s="11">
        <v>10</v>
      </c>
      <c r="B121" s="11" t="s">
        <v>29</v>
      </c>
      <c r="C121" s="11" t="s">
        <v>86</v>
      </c>
      <c r="D121" s="11" t="s">
        <v>173</v>
      </c>
      <c r="E121" s="11" t="s">
        <v>108</v>
      </c>
      <c r="F121" s="11" t="s">
        <v>177</v>
      </c>
      <c r="G121" s="11" t="s">
        <v>120</v>
      </c>
      <c r="H121" s="11" t="s">
        <v>174</v>
      </c>
      <c r="I121" s="11" t="s">
        <v>118</v>
      </c>
      <c r="J121" s="11">
        <v>1</v>
      </c>
      <c r="K121" s="11">
        <v>7</v>
      </c>
      <c r="L121" s="11">
        <v>0</v>
      </c>
      <c r="M121" s="11">
        <v>0</v>
      </c>
      <c r="N121" s="11">
        <v>7</v>
      </c>
    </row>
    <row r="122" spans="1:14" ht="15" customHeight="1" x14ac:dyDescent="0.25">
      <c r="A122" s="11">
        <v>11</v>
      </c>
      <c r="B122" s="11" t="s">
        <v>30</v>
      </c>
      <c r="C122" s="11" t="s">
        <v>75</v>
      </c>
      <c r="D122" s="11" t="s">
        <v>140</v>
      </c>
      <c r="E122" s="11" t="s">
        <v>94</v>
      </c>
      <c r="F122" s="11" t="s">
        <v>141</v>
      </c>
      <c r="G122" s="11" t="s">
        <v>95</v>
      </c>
      <c r="H122" s="11" t="s">
        <v>176</v>
      </c>
      <c r="I122" s="11" t="s">
        <v>119</v>
      </c>
      <c r="J122" s="11">
        <v>1</v>
      </c>
      <c r="K122" s="11">
        <v>7</v>
      </c>
      <c r="L122" s="11">
        <v>6</v>
      </c>
      <c r="M122" s="11">
        <v>5</v>
      </c>
      <c r="N122" s="11">
        <v>18</v>
      </c>
    </row>
    <row r="123" spans="1:14" ht="15" customHeight="1" x14ac:dyDescent="0.25">
      <c r="A123" s="11">
        <v>11</v>
      </c>
      <c r="B123" s="11" t="s">
        <v>30</v>
      </c>
      <c r="C123" s="11" t="s">
        <v>76</v>
      </c>
      <c r="D123" s="11" t="s">
        <v>144</v>
      </c>
      <c r="E123" s="11" t="s">
        <v>96</v>
      </c>
      <c r="F123" s="11" t="s">
        <v>143</v>
      </c>
      <c r="G123" s="11" t="s">
        <v>97</v>
      </c>
      <c r="H123" s="11" t="s">
        <v>145</v>
      </c>
      <c r="I123" s="11" t="s">
        <v>111</v>
      </c>
      <c r="J123" s="11">
        <v>1</v>
      </c>
      <c r="K123" s="11">
        <v>7</v>
      </c>
      <c r="L123" s="11">
        <v>6</v>
      </c>
      <c r="M123" s="11">
        <v>0</v>
      </c>
      <c r="N123" s="11">
        <v>13</v>
      </c>
    </row>
    <row r="124" spans="1:14" ht="15" customHeight="1" x14ac:dyDescent="0.25">
      <c r="A124" s="11">
        <v>11</v>
      </c>
      <c r="B124" s="11" t="s">
        <v>30</v>
      </c>
      <c r="C124" s="11" t="s">
        <v>77</v>
      </c>
      <c r="D124" s="11" t="s">
        <v>147</v>
      </c>
      <c r="E124" s="11" t="s">
        <v>98</v>
      </c>
      <c r="F124" s="11" t="s">
        <v>146</v>
      </c>
      <c r="G124" s="11" t="s">
        <v>99</v>
      </c>
      <c r="H124" s="11" t="s">
        <v>148</v>
      </c>
      <c r="I124" s="11" t="s">
        <v>112</v>
      </c>
      <c r="J124" s="11">
        <v>1</v>
      </c>
      <c r="K124" s="11">
        <v>7</v>
      </c>
      <c r="L124" s="11">
        <v>6</v>
      </c>
      <c r="M124" s="11">
        <v>5</v>
      </c>
      <c r="N124" s="11">
        <v>18</v>
      </c>
    </row>
    <row r="125" spans="1:14" ht="15" customHeight="1" x14ac:dyDescent="0.25">
      <c r="A125" s="11">
        <v>11</v>
      </c>
      <c r="B125" s="11" t="s">
        <v>30</v>
      </c>
      <c r="C125" s="11" t="s">
        <v>78</v>
      </c>
      <c r="D125" s="11" t="s">
        <v>150</v>
      </c>
      <c r="E125" s="11" t="s">
        <v>114</v>
      </c>
      <c r="F125" s="11" t="s">
        <v>151</v>
      </c>
      <c r="G125" s="11" t="s">
        <v>100</v>
      </c>
      <c r="H125" s="11" t="s">
        <v>149</v>
      </c>
      <c r="I125" s="11" t="s">
        <v>113</v>
      </c>
      <c r="J125" s="11">
        <v>1</v>
      </c>
      <c r="K125" s="11">
        <v>0</v>
      </c>
      <c r="L125" s="11">
        <v>3</v>
      </c>
      <c r="M125" s="11">
        <v>5</v>
      </c>
      <c r="N125" s="11">
        <v>8</v>
      </c>
    </row>
    <row r="126" spans="1:14" ht="15" customHeight="1" x14ac:dyDescent="0.25">
      <c r="A126" s="11">
        <v>11</v>
      </c>
      <c r="B126" s="11" t="s">
        <v>30</v>
      </c>
      <c r="C126" s="11" t="s">
        <v>79</v>
      </c>
      <c r="D126" s="11" t="s">
        <v>152</v>
      </c>
      <c r="E126" s="11" t="s">
        <v>102</v>
      </c>
      <c r="F126" s="11" t="s">
        <v>153</v>
      </c>
      <c r="G126" s="11" t="s">
        <v>115</v>
      </c>
      <c r="H126" s="11" t="s">
        <v>154</v>
      </c>
      <c r="I126" s="11" t="s">
        <v>103</v>
      </c>
      <c r="J126" s="11">
        <v>1</v>
      </c>
      <c r="K126" s="11">
        <v>7</v>
      </c>
      <c r="L126" s="11">
        <v>3</v>
      </c>
      <c r="M126" s="11">
        <v>3</v>
      </c>
      <c r="N126" s="11">
        <v>13</v>
      </c>
    </row>
    <row r="127" spans="1:14" ht="15" customHeight="1" x14ac:dyDescent="0.25">
      <c r="A127" s="11">
        <v>11</v>
      </c>
      <c r="B127" s="11" t="s">
        <v>30</v>
      </c>
      <c r="C127" s="11" t="s">
        <v>80</v>
      </c>
      <c r="D127" s="11" t="s">
        <v>155</v>
      </c>
      <c r="E127" s="11" t="s">
        <v>104</v>
      </c>
      <c r="F127" s="11" t="s">
        <v>157</v>
      </c>
      <c r="G127" s="11" t="s">
        <v>116</v>
      </c>
      <c r="H127" s="11" t="s">
        <v>156</v>
      </c>
      <c r="I127" s="11" t="s">
        <v>105</v>
      </c>
      <c r="J127" s="11">
        <v>1</v>
      </c>
      <c r="K127" s="11">
        <v>7</v>
      </c>
      <c r="L127" s="11">
        <v>3</v>
      </c>
      <c r="M127" s="11">
        <v>3</v>
      </c>
      <c r="N127" s="11">
        <v>13</v>
      </c>
    </row>
    <row r="128" spans="1:14" ht="15" customHeight="1" x14ac:dyDescent="0.25">
      <c r="A128" s="11">
        <v>11</v>
      </c>
      <c r="B128" s="11" t="s">
        <v>30</v>
      </c>
      <c r="C128" s="11" t="s">
        <v>81</v>
      </c>
      <c r="D128" s="11" t="s">
        <v>158</v>
      </c>
      <c r="E128" s="11" t="s">
        <v>68</v>
      </c>
      <c r="F128" s="11" t="s">
        <v>160</v>
      </c>
      <c r="G128" s="11" t="s">
        <v>69</v>
      </c>
      <c r="H128" s="11" t="s">
        <v>159</v>
      </c>
      <c r="I128" s="11" t="s">
        <v>73</v>
      </c>
      <c r="J128" s="11">
        <v>1</v>
      </c>
      <c r="K128" s="11">
        <v>3</v>
      </c>
      <c r="L128" s="11">
        <v>6</v>
      </c>
      <c r="M128" s="11">
        <v>3</v>
      </c>
      <c r="N128" s="11">
        <v>12</v>
      </c>
    </row>
    <row r="129" spans="1:14" ht="15" customHeight="1" x14ac:dyDescent="0.25">
      <c r="A129" s="11">
        <v>11</v>
      </c>
      <c r="B129" s="11" t="s">
        <v>30</v>
      </c>
      <c r="C129" s="11" t="s">
        <v>82</v>
      </c>
      <c r="D129" s="11" t="s">
        <v>161</v>
      </c>
      <c r="E129" s="11" t="s">
        <v>66</v>
      </c>
      <c r="F129" s="11" t="s">
        <v>162</v>
      </c>
      <c r="G129" s="11" t="s">
        <v>70</v>
      </c>
      <c r="H129" s="11" t="s">
        <v>163</v>
      </c>
      <c r="I129" s="11" t="s">
        <v>67</v>
      </c>
      <c r="J129" s="11">
        <v>1</v>
      </c>
      <c r="K129" s="11">
        <v>7</v>
      </c>
      <c r="L129" s="11">
        <v>6</v>
      </c>
      <c r="M129" s="11">
        <v>0</v>
      </c>
      <c r="N129" s="11">
        <v>13</v>
      </c>
    </row>
    <row r="130" spans="1:14" ht="15" customHeight="1" x14ac:dyDescent="0.25">
      <c r="A130" s="11">
        <v>11</v>
      </c>
      <c r="B130" s="11" t="s">
        <v>30</v>
      </c>
      <c r="C130" s="11" t="s">
        <v>83</v>
      </c>
      <c r="D130" s="11" t="s">
        <v>165</v>
      </c>
      <c r="E130" s="11" t="s">
        <v>44</v>
      </c>
      <c r="F130" s="11" t="s">
        <v>164</v>
      </c>
      <c r="G130" s="11" t="s">
        <v>35</v>
      </c>
      <c r="H130" s="11" t="s">
        <v>166</v>
      </c>
      <c r="I130" s="11" t="s">
        <v>45</v>
      </c>
      <c r="J130" s="11">
        <v>1</v>
      </c>
      <c r="K130" s="11">
        <v>3</v>
      </c>
      <c r="L130" s="11">
        <v>3</v>
      </c>
      <c r="M130" s="11">
        <v>0</v>
      </c>
      <c r="N130" s="11">
        <v>6</v>
      </c>
    </row>
    <row r="131" spans="1:14" ht="15" customHeight="1" x14ac:dyDescent="0.25">
      <c r="A131" s="11">
        <v>11</v>
      </c>
      <c r="B131" s="11" t="s">
        <v>30</v>
      </c>
      <c r="C131" s="11" t="s">
        <v>84</v>
      </c>
      <c r="D131" s="11" t="s">
        <v>167</v>
      </c>
      <c r="E131" s="11" t="s">
        <v>23</v>
      </c>
      <c r="F131" s="11" t="s">
        <v>168</v>
      </c>
      <c r="G131" s="11" t="s">
        <v>24</v>
      </c>
      <c r="H131" s="11" t="s">
        <v>169</v>
      </c>
      <c r="I131" s="11" t="s">
        <v>57</v>
      </c>
      <c r="J131" s="11">
        <v>1</v>
      </c>
      <c r="K131" s="11">
        <v>7</v>
      </c>
      <c r="L131" s="11">
        <v>6</v>
      </c>
      <c r="M131" s="11">
        <v>0</v>
      </c>
      <c r="N131" s="11">
        <v>13</v>
      </c>
    </row>
    <row r="132" spans="1:14" ht="15" customHeight="1" x14ac:dyDescent="0.25">
      <c r="A132" s="11">
        <v>11</v>
      </c>
      <c r="B132" s="11" t="s">
        <v>30</v>
      </c>
      <c r="C132" s="11" t="s">
        <v>85</v>
      </c>
      <c r="D132" s="11" t="s">
        <v>170</v>
      </c>
      <c r="E132" s="11" t="s">
        <v>107</v>
      </c>
      <c r="F132" s="11" t="s">
        <v>171</v>
      </c>
      <c r="G132" s="11" t="s">
        <v>106</v>
      </c>
      <c r="H132" s="11" t="s">
        <v>172</v>
      </c>
      <c r="I132" s="11" t="s">
        <v>117</v>
      </c>
      <c r="J132" s="11">
        <v>1</v>
      </c>
      <c r="K132" s="11">
        <v>3</v>
      </c>
      <c r="L132" s="11">
        <v>3</v>
      </c>
      <c r="M132" s="11">
        <v>5</v>
      </c>
      <c r="N132" s="11">
        <v>11</v>
      </c>
    </row>
    <row r="133" spans="1:14" ht="15" customHeight="1" x14ac:dyDescent="0.25">
      <c r="A133" s="11">
        <v>11</v>
      </c>
      <c r="B133" s="11" t="s">
        <v>30</v>
      </c>
      <c r="C133" s="11" t="s">
        <v>86</v>
      </c>
      <c r="D133" s="11" t="s">
        <v>173</v>
      </c>
      <c r="E133" s="11" t="s">
        <v>108</v>
      </c>
      <c r="F133" s="11" t="s">
        <v>174</v>
      </c>
      <c r="G133" s="11" t="s">
        <v>118</v>
      </c>
      <c r="H133" s="11" t="s">
        <v>177</v>
      </c>
      <c r="I133" s="11" t="s">
        <v>120</v>
      </c>
      <c r="J133" s="11">
        <v>1</v>
      </c>
      <c r="K133" s="11">
        <v>7</v>
      </c>
      <c r="L133" s="11">
        <v>0</v>
      </c>
      <c r="M133" s="11">
        <v>0</v>
      </c>
      <c r="N133" s="11">
        <v>7</v>
      </c>
    </row>
    <row r="134" spans="1:14" ht="15" customHeight="1" x14ac:dyDescent="0.25">
      <c r="A134" s="11">
        <v>12</v>
      </c>
      <c r="B134" s="11" t="s">
        <v>31</v>
      </c>
      <c r="C134" s="11" t="s">
        <v>75</v>
      </c>
      <c r="D134" s="11" t="s">
        <v>140</v>
      </c>
      <c r="E134" s="11" t="s">
        <v>94</v>
      </c>
      <c r="F134" s="11" t="s">
        <v>176</v>
      </c>
      <c r="G134" s="11" t="s">
        <v>119</v>
      </c>
      <c r="H134" s="11" t="s">
        <v>141</v>
      </c>
      <c r="I134" s="11" t="s">
        <v>95</v>
      </c>
      <c r="J134" s="11">
        <v>1</v>
      </c>
      <c r="K134" s="11">
        <v>7</v>
      </c>
      <c r="L134" s="11">
        <v>3</v>
      </c>
      <c r="M134" s="11">
        <v>3</v>
      </c>
      <c r="N134" s="11">
        <v>13</v>
      </c>
    </row>
    <row r="135" spans="1:14" ht="15" customHeight="1" x14ac:dyDescent="0.25">
      <c r="A135" s="11">
        <v>12</v>
      </c>
      <c r="B135" s="11" t="s">
        <v>31</v>
      </c>
      <c r="C135" s="11" t="s">
        <v>76</v>
      </c>
      <c r="D135" s="11" t="s">
        <v>144</v>
      </c>
      <c r="E135" s="11" t="s">
        <v>96</v>
      </c>
      <c r="F135" s="11" t="s">
        <v>145</v>
      </c>
      <c r="G135" s="11" t="s">
        <v>111</v>
      </c>
      <c r="H135" s="11" t="s">
        <v>143</v>
      </c>
      <c r="I135" s="11" t="s">
        <v>97</v>
      </c>
      <c r="J135" s="11">
        <v>1</v>
      </c>
      <c r="K135" s="11">
        <v>7</v>
      </c>
      <c r="L135" s="11">
        <v>0</v>
      </c>
      <c r="M135" s="11">
        <v>3</v>
      </c>
      <c r="N135" s="11">
        <v>10</v>
      </c>
    </row>
    <row r="136" spans="1:14" ht="15" customHeight="1" x14ac:dyDescent="0.25">
      <c r="A136" s="11">
        <v>12</v>
      </c>
      <c r="B136" s="11" t="s">
        <v>31</v>
      </c>
      <c r="C136" s="11" t="s">
        <v>77</v>
      </c>
      <c r="D136" s="11" t="s">
        <v>147</v>
      </c>
      <c r="E136" s="11" t="s">
        <v>98</v>
      </c>
      <c r="F136" s="11" t="s">
        <v>146</v>
      </c>
      <c r="G136" s="11" t="s">
        <v>99</v>
      </c>
      <c r="H136" s="11" t="s">
        <v>187</v>
      </c>
      <c r="I136" s="11" t="s">
        <v>125</v>
      </c>
      <c r="J136" s="11">
        <v>1</v>
      </c>
      <c r="K136" s="11">
        <v>7</v>
      </c>
      <c r="L136" s="11">
        <v>6</v>
      </c>
      <c r="M136" s="11">
        <v>0</v>
      </c>
      <c r="N136" s="11">
        <v>13</v>
      </c>
    </row>
    <row r="137" spans="1:14" ht="15" customHeight="1" x14ac:dyDescent="0.25">
      <c r="A137" s="11">
        <v>12</v>
      </c>
      <c r="B137" s="11" t="s">
        <v>31</v>
      </c>
      <c r="C137" s="11" t="s">
        <v>78</v>
      </c>
      <c r="D137" s="11" t="s">
        <v>151</v>
      </c>
      <c r="E137" s="11" t="s">
        <v>100</v>
      </c>
      <c r="F137" s="11" t="s">
        <v>181</v>
      </c>
      <c r="G137" s="11" t="s">
        <v>101</v>
      </c>
      <c r="H137" s="11" t="s">
        <v>149</v>
      </c>
      <c r="I137" s="11" t="s">
        <v>113</v>
      </c>
      <c r="J137" s="11">
        <v>1</v>
      </c>
      <c r="K137" s="11">
        <v>7</v>
      </c>
      <c r="L137" s="11">
        <v>6</v>
      </c>
      <c r="M137" s="11">
        <v>5</v>
      </c>
      <c r="N137" s="11">
        <v>18</v>
      </c>
    </row>
    <row r="138" spans="1:14" ht="15" customHeight="1" x14ac:dyDescent="0.25">
      <c r="A138" s="11">
        <v>12</v>
      </c>
      <c r="B138" s="11" t="s">
        <v>31</v>
      </c>
      <c r="C138" s="11" t="s">
        <v>79</v>
      </c>
      <c r="D138" s="11" t="s">
        <v>152</v>
      </c>
      <c r="E138" s="11" t="s">
        <v>102</v>
      </c>
      <c r="F138" s="11" t="s">
        <v>153</v>
      </c>
      <c r="G138" s="11" t="s">
        <v>115</v>
      </c>
      <c r="H138" s="11" t="s">
        <v>154</v>
      </c>
      <c r="I138" s="11" t="s">
        <v>103</v>
      </c>
      <c r="J138" s="11">
        <v>1</v>
      </c>
      <c r="K138" s="11">
        <v>7</v>
      </c>
      <c r="L138" s="11">
        <v>3</v>
      </c>
      <c r="M138" s="11">
        <v>3</v>
      </c>
      <c r="N138" s="11">
        <v>13</v>
      </c>
    </row>
    <row r="139" spans="1:14" ht="15" customHeight="1" x14ac:dyDescent="0.25">
      <c r="A139" s="11">
        <v>12</v>
      </c>
      <c r="B139" s="11" t="s">
        <v>31</v>
      </c>
      <c r="C139" s="11" t="s">
        <v>80</v>
      </c>
      <c r="D139" s="11" t="s">
        <v>156</v>
      </c>
      <c r="E139" s="11" t="s">
        <v>105</v>
      </c>
      <c r="F139" s="11" t="s">
        <v>155</v>
      </c>
      <c r="G139" s="11" t="s">
        <v>104</v>
      </c>
      <c r="H139" s="11" t="s">
        <v>157</v>
      </c>
      <c r="I139" s="11" t="s">
        <v>116</v>
      </c>
      <c r="J139" s="11">
        <v>1</v>
      </c>
      <c r="K139" s="11">
        <v>3</v>
      </c>
      <c r="L139" s="11">
        <v>3</v>
      </c>
      <c r="M139" s="11">
        <v>5</v>
      </c>
      <c r="N139" s="11">
        <v>11</v>
      </c>
    </row>
    <row r="140" spans="1:14" ht="15" customHeight="1" x14ac:dyDescent="0.25">
      <c r="A140" s="11">
        <v>12</v>
      </c>
      <c r="B140" s="11" t="s">
        <v>31</v>
      </c>
      <c r="C140" s="11" t="s">
        <v>81</v>
      </c>
      <c r="D140" s="11" t="s">
        <v>158</v>
      </c>
      <c r="E140" s="11" t="s">
        <v>68</v>
      </c>
      <c r="F140" s="11" t="s">
        <v>160</v>
      </c>
      <c r="G140" s="11" t="s">
        <v>69</v>
      </c>
      <c r="H140" s="11" t="s">
        <v>159</v>
      </c>
      <c r="I140" s="11" t="s">
        <v>73</v>
      </c>
      <c r="J140" s="11">
        <v>1</v>
      </c>
      <c r="K140" s="11">
        <v>3</v>
      </c>
      <c r="L140" s="11">
        <v>6</v>
      </c>
      <c r="M140" s="11">
        <v>3</v>
      </c>
      <c r="N140" s="11">
        <v>12</v>
      </c>
    </row>
    <row r="141" spans="1:14" ht="15" customHeight="1" x14ac:dyDescent="0.25">
      <c r="A141" s="11">
        <v>12</v>
      </c>
      <c r="B141" s="11" t="s">
        <v>31</v>
      </c>
      <c r="C141" s="11" t="s">
        <v>82</v>
      </c>
      <c r="D141" s="11" t="s">
        <v>161</v>
      </c>
      <c r="E141" s="11" t="s">
        <v>66</v>
      </c>
      <c r="F141" s="11" t="s">
        <v>162</v>
      </c>
      <c r="G141" s="11" t="s">
        <v>70</v>
      </c>
      <c r="H141" s="11" t="s">
        <v>163</v>
      </c>
      <c r="I141" s="11" t="s">
        <v>67</v>
      </c>
      <c r="J141" s="11">
        <v>1</v>
      </c>
      <c r="K141" s="11">
        <v>7</v>
      </c>
      <c r="L141" s="11">
        <v>6</v>
      </c>
      <c r="M141" s="11">
        <v>0</v>
      </c>
      <c r="N141" s="11">
        <v>13</v>
      </c>
    </row>
    <row r="142" spans="1:14" ht="15" customHeight="1" x14ac:dyDescent="0.25">
      <c r="A142" s="11">
        <v>12</v>
      </c>
      <c r="B142" s="11" t="s">
        <v>31</v>
      </c>
      <c r="C142" s="11" t="s">
        <v>83</v>
      </c>
      <c r="D142" s="11" t="s">
        <v>164</v>
      </c>
      <c r="E142" s="11" t="s">
        <v>35</v>
      </c>
      <c r="F142" s="11" t="s">
        <v>165</v>
      </c>
      <c r="G142" s="11" t="s">
        <v>44</v>
      </c>
      <c r="H142" s="11" t="s">
        <v>185</v>
      </c>
      <c r="I142" s="11" t="s">
        <v>36</v>
      </c>
      <c r="J142" s="11">
        <v>1</v>
      </c>
      <c r="K142" s="11">
        <v>7</v>
      </c>
      <c r="L142" s="11">
        <v>6</v>
      </c>
      <c r="M142" s="11">
        <v>0</v>
      </c>
      <c r="N142" s="11">
        <v>13</v>
      </c>
    </row>
    <row r="143" spans="1:14" ht="15" customHeight="1" x14ac:dyDescent="0.25">
      <c r="A143" s="11">
        <v>12</v>
      </c>
      <c r="B143" s="11" t="s">
        <v>31</v>
      </c>
      <c r="C143" s="11" t="s">
        <v>84</v>
      </c>
      <c r="D143" s="11" t="s">
        <v>167</v>
      </c>
      <c r="E143" s="11" t="s">
        <v>23</v>
      </c>
      <c r="F143" s="11" t="s">
        <v>168</v>
      </c>
      <c r="G143" s="11" t="s">
        <v>24</v>
      </c>
      <c r="H143" s="11" t="s">
        <v>186</v>
      </c>
      <c r="I143" s="11" t="s">
        <v>56</v>
      </c>
      <c r="J143" s="11">
        <v>1</v>
      </c>
      <c r="K143" s="11">
        <v>7</v>
      </c>
      <c r="L143" s="11">
        <v>6</v>
      </c>
      <c r="M143" s="11">
        <v>0</v>
      </c>
      <c r="N143" s="11">
        <v>13</v>
      </c>
    </row>
    <row r="144" spans="1:14" ht="15" customHeight="1" x14ac:dyDescent="0.25">
      <c r="A144" s="11">
        <v>12</v>
      </c>
      <c r="B144" s="11" t="s">
        <v>31</v>
      </c>
      <c r="C144" s="11" t="s">
        <v>85</v>
      </c>
      <c r="D144" s="11" t="s">
        <v>170</v>
      </c>
      <c r="E144" s="11" t="s">
        <v>107</v>
      </c>
      <c r="F144" s="11" t="s">
        <v>171</v>
      </c>
      <c r="G144" s="11" t="s">
        <v>106</v>
      </c>
      <c r="H144" s="11" t="s">
        <v>180</v>
      </c>
      <c r="I144" s="11" t="s">
        <v>123</v>
      </c>
      <c r="J144" s="11">
        <v>1</v>
      </c>
      <c r="K144" s="11">
        <v>3</v>
      </c>
      <c r="L144" s="11">
        <v>3</v>
      </c>
      <c r="M144" s="11">
        <v>0</v>
      </c>
      <c r="N144" s="11">
        <v>6</v>
      </c>
    </row>
    <row r="145" spans="1:14" ht="15" customHeight="1" x14ac:dyDescent="0.25">
      <c r="A145" s="11">
        <v>12</v>
      </c>
      <c r="B145" s="11" t="s">
        <v>31</v>
      </c>
      <c r="C145" s="11" t="s">
        <v>86</v>
      </c>
      <c r="D145" s="11" t="s">
        <v>173</v>
      </c>
      <c r="E145" s="11" t="s">
        <v>108</v>
      </c>
      <c r="F145" s="11" t="s">
        <v>177</v>
      </c>
      <c r="G145" s="11" t="s">
        <v>120</v>
      </c>
      <c r="H145" s="11" t="s">
        <v>174</v>
      </c>
      <c r="I145" s="11" t="s">
        <v>118</v>
      </c>
      <c r="J145" s="11">
        <v>1</v>
      </c>
      <c r="K145" s="11">
        <v>7</v>
      </c>
      <c r="L145" s="11">
        <v>0</v>
      </c>
      <c r="M145" s="11">
        <v>0</v>
      </c>
      <c r="N145" s="11">
        <v>7</v>
      </c>
    </row>
    <row r="146" spans="1:14" ht="15" customHeight="1" x14ac:dyDescent="0.25">
      <c r="A146" s="11">
        <v>13</v>
      </c>
      <c r="B146" s="11" t="s">
        <v>33</v>
      </c>
      <c r="C146" s="11" t="s">
        <v>75</v>
      </c>
      <c r="D146" s="11" t="s">
        <v>140</v>
      </c>
      <c r="E146" s="11" t="s">
        <v>94</v>
      </c>
      <c r="F146" s="11" t="s">
        <v>141</v>
      </c>
      <c r="G146" s="11" t="s">
        <v>95</v>
      </c>
      <c r="H146" s="11" t="s">
        <v>176</v>
      </c>
      <c r="I146" s="11" t="s">
        <v>119</v>
      </c>
      <c r="J146" s="11">
        <v>1</v>
      </c>
      <c r="K146" s="11">
        <v>7</v>
      </c>
      <c r="L146" s="11">
        <v>6</v>
      </c>
      <c r="M146" s="11">
        <v>5</v>
      </c>
      <c r="N146" s="11">
        <v>18</v>
      </c>
    </row>
    <row r="147" spans="1:14" ht="15" customHeight="1" x14ac:dyDescent="0.25">
      <c r="A147" s="11">
        <v>13</v>
      </c>
      <c r="B147" s="11" t="s">
        <v>33</v>
      </c>
      <c r="C147" s="11" t="s">
        <v>76</v>
      </c>
      <c r="D147" s="11" t="s">
        <v>144</v>
      </c>
      <c r="E147" s="11" t="s">
        <v>96</v>
      </c>
      <c r="F147" s="11" t="s">
        <v>143</v>
      </c>
      <c r="G147" s="11" t="s">
        <v>97</v>
      </c>
      <c r="H147" s="11" t="s">
        <v>145</v>
      </c>
      <c r="I147" s="11" t="s">
        <v>111</v>
      </c>
      <c r="J147" s="11">
        <v>1</v>
      </c>
      <c r="K147" s="11">
        <v>7</v>
      </c>
      <c r="L147" s="11">
        <v>6</v>
      </c>
      <c r="M147" s="11">
        <v>0</v>
      </c>
      <c r="N147" s="11">
        <v>13</v>
      </c>
    </row>
    <row r="148" spans="1:14" ht="15" customHeight="1" x14ac:dyDescent="0.25">
      <c r="A148" s="11">
        <v>13</v>
      </c>
      <c r="B148" s="11" t="s">
        <v>33</v>
      </c>
      <c r="C148" s="11" t="s">
        <v>77</v>
      </c>
      <c r="D148" s="11" t="s">
        <v>147</v>
      </c>
      <c r="E148" s="11" t="s">
        <v>98</v>
      </c>
      <c r="F148" s="11" t="s">
        <v>146</v>
      </c>
      <c r="G148" s="11" t="s">
        <v>99</v>
      </c>
      <c r="H148" s="11" t="s">
        <v>148</v>
      </c>
      <c r="I148" s="11" t="s">
        <v>112</v>
      </c>
      <c r="J148" s="11">
        <v>1</v>
      </c>
      <c r="K148" s="11">
        <v>7</v>
      </c>
      <c r="L148" s="11">
        <v>6</v>
      </c>
      <c r="M148" s="11">
        <v>5</v>
      </c>
      <c r="N148" s="11">
        <v>18</v>
      </c>
    </row>
    <row r="149" spans="1:14" ht="15" customHeight="1" x14ac:dyDescent="0.25">
      <c r="A149" s="11">
        <v>13</v>
      </c>
      <c r="B149" s="11" t="s">
        <v>33</v>
      </c>
      <c r="C149" s="11" t="s">
        <v>78</v>
      </c>
      <c r="D149" s="11" t="s">
        <v>150</v>
      </c>
      <c r="E149" s="11" t="s">
        <v>114</v>
      </c>
      <c r="F149" s="11" t="s">
        <v>151</v>
      </c>
      <c r="G149" s="11" t="s">
        <v>100</v>
      </c>
      <c r="H149" s="11" t="s">
        <v>181</v>
      </c>
      <c r="I149" s="11" t="s">
        <v>101</v>
      </c>
      <c r="J149" s="11">
        <v>1</v>
      </c>
      <c r="K149" s="11">
        <v>0</v>
      </c>
      <c r="L149" s="11">
        <v>3</v>
      </c>
      <c r="M149" s="11">
        <v>3</v>
      </c>
      <c r="N149" s="11">
        <v>6</v>
      </c>
    </row>
    <row r="150" spans="1:14" ht="15" customHeight="1" x14ac:dyDescent="0.25">
      <c r="A150" s="11">
        <v>13</v>
      </c>
      <c r="B150" s="11" t="s">
        <v>33</v>
      </c>
      <c r="C150" s="11" t="s">
        <v>79</v>
      </c>
      <c r="D150" s="11" t="s">
        <v>152</v>
      </c>
      <c r="E150" s="11" t="s">
        <v>102</v>
      </c>
      <c r="F150" s="11" t="s">
        <v>153</v>
      </c>
      <c r="G150" s="11" t="s">
        <v>115</v>
      </c>
      <c r="H150" s="11" t="s">
        <v>154</v>
      </c>
      <c r="I150" s="11" t="s">
        <v>103</v>
      </c>
      <c r="J150" s="11">
        <v>1</v>
      </c>
      <c r="K150" s="11">
        <v>7</v>
      </c>
      <c r="L150" s="11">
        <v>3</v>
      </c>
      <c r="M150" s="11">
        <v>3</v>
      </c>
      <c r="N150" s="11">
        <v>13</v>
      </c>
    </row>
    <row r="151" spans="1:14" ht="15" customHeight="1" x14ac:dyDescent="0.25">
      <c r="A151" s="11">
        <v>13</v>
      </c>
      <c r="B151" s="11" t="s">
        <v>33</v>
      </c>
      <c r="C151" s="11" t="s">
        <v>80</v>
      </c>
      <c r="D151" s="11" t="s">
        <v>157</v>
      </c>
      <c r="E151" s="11" t="s">
        <v>116</v>
      </c>
      <c r="F151" s="11" t="s">
        <v>155</v>
      </c>
      <c r="G151" s="11" t="s">
        <v>104</v>
      </c>
      <c r="H151" s="11" t="s">
        <v>156</v>
      </c>
      <c r="I151" s="11" t="s">
        <v>105</v>
      </c>
      <c r="J151" s="11">
        <v>1</v>
      </c>
      <c r="K151" s="11">
        <v>3</v>
      </c>
      <c r="L151" s="11">
        <v>3</v>
      </c>
      <c r="M151" s="11">
        <v>3</v>
      </c>
      <c r="N151" s="11">
        <v>9</v>
      </c>
    </row>
    <row r="152" spans="1:14" ht="15" customHeight="1" x14ac:dyDescent="0.25">
      <c r="A152" s="11">
        <v>13</v>
      </c>
      <c r="B152" s="11" t="s">
        <v>33</v>
      </c>
      <c r="C152" s="11" t="s">
        <v>81</v>
      </c>
      <c r="D152" s="11" t="s">
        <v>158</v>
      </c>
      <c r="E152" s="11" t="s">
        <v>68</v>
      </c>
      <c r="F152" s="11" t="s">
        <v>159</v>
      </c>
      <c r="G152" s="11" t="s">
        <v>73</v>
      </c>
      <c r="H152" s="11" t="s">
        <v>182</v>
      </c>
      <c r="I152" s="11" t="s">
        <v>72</v>
      </c>
      <c r="J152" s="11">
        <v>1</v>
      </c>
      <c r="K152" s="11">
        <v>3</v>
      </c>
      <c r="L152" s="11">
        <v>3</v>
      </c>
      <c r="M152" s="11">
        <v>0</v>
      </c>
      <c r="N152" s="11">
        <v>6</v>
      </c>
    </row>
    <row r="153" spans="1:14" ht="15" customHeight="1" x14ac:dyDescent="0.25">
      <c r="A153" s="11">
        <v>13</v>
      </c>
      <c r="B153" s="11" t="s">
        <v>33</v>
      </c>
      <c r="C153" s="11" t="s">
        <v>82</v>
      </c>
      <c r="D153" s="11" t="s">
        <v>161</v>
      </c>
      <c r="E153" s="11" t="s">
        <v>66</v>
      </c>
      <c r="F153" s="11" t="s">
        <v>162</v>
      </c>
      <c r="G153" s="11" t="s">
        <v>70</v>
      </c>
      <c r="H153" s="11" t="s">
        <v>163</v>
      </c>
      <c r="I153" s="11" t="s">
        <v>67</v>
      </c>
      <c r="J153" s="11">
        <v>1</v>
      </c>
      <c r="K153" s="11">
        <v>7</v>
      </c>
      <c r="L153" s="11">
        <v>6</v>
      </c>
      <c r="M153" s="11">
        <v>0</v>
      </c>
      <c r="N153" s="11">
        <v>13</v>
      </c>
    </row>
    <row r="154" spans="1:14" ht="15" customHeight="1" x14ac:dyDescent="0.25">
      <c r="A154" s="11">
        <v>13</v>
      </c>
      <c r="B154" s="11" t="s">
        <v>33</v>
      </c>
      <c r="C154" s="11" t="s">
        <v>83</v>
      </c>
      <c r="D154" s="11" t="s">
        <v>164</v>
      </c>
      <c r="E154" s="11" t="s">
        <v>35</v>
      </c>
      <c r="F154" s="11" t="s">
        <v>165</v>
      </c>
      <c r="G154" s="11" t="s">
        <v>44</v>
      </c>
      <c r="H154" s="11" t="s">
        <v>166</v>
      </c>
      <c r="I154" s="11" t="s">
        <v>45</v>
      </c>
      <c r="J154" s="11">
        <v>1</v>
      </c>
      <c r="K154" s="11">
        <v>7</v>
      </c>
      <c r="L154" s="11">
        <v>6</v>
      </c>
      <c r="M154" s="11">
        <v>0</v>
      </c>
      <c r="N154" s="11">
        <v>13</v>
      </c>
    </row>
    <row r="155" spans="1:14" ht="15" customHeight="1" x14ac:dyDescent="0.25">
      <c r="A155" s="11">
        <v>13</v>
      </c>
      <c r="B155" s="11" t="s">
        <v>33</v>
      </c>
      <c r="C155" s="11" t="s">
        <v>84</v>
      </c>
      <c r="D155" s="11" t="s">
        <v>167</v>
      </c>
      <c r="E155" s="11" t="s">
        <v>23</v>
      </c>
      <c r="F155" s="11" t="s">
        <v>168</v>
      </c>
      <c r="G155" s="11" t="s">
        <v>24</v>
      </c>
      <c r="H155" s="11" t="s">
        <v>169</v>
      </c>
      <c r="I155" s="11" t="s">
        <v>57</v>
      </c>
      <c r="J155" s="11">
        <v>1</v>
      </c>
      <c r="K155" s="11">
        <v>7</v>
      </c>
      <c r="L155" s="11">
        <v>6</v>
      </c>
      <c r="M155" s="11">
        <v>0</v>
      </c>
      <c r="N155" s="11">
        <v>13</v>
      </c>
    </row>
    <row r="156" spans="1:14" ht="15" customHeight="1" x14ac:dyDescent="0.25">
      <c r="A156" s="11">
        <v>13</v>
      </c>
      <c r="B156" s="11" t="s">
        <v>33</v>
      </c>
      <c r="C156" s="11" t="s">
        <v>85</v>
      </c>
      <c r="D156" s="11" t="s">
        <v>170</v>
      </c>
      <c r="E156" s="11" t="s">
        <v>107</v>
      </c>
      <c r="F156" s="11" t="s">
        <v>171</v>
      </c>
      <c r="G156" s="11" t="s">
        <v>106</v>
      </c>
      <c r="H156" s="11" t="s">
        <v>180</v>
      </c>
      <c r="I156" s="11" t="s">
        <v>123</v>
      </c>
      <c r="J156" s="11">
        <v>1</v>
      </c>
      <c r="K156" s="11">
        <v>3</v>
      </c>
      <c r="L156" s="11">
        <v>3</v>
      </c>
      <c r="M156" s="11">
        <v>0</v>
      </c>
      <c r="N156" s="11">
        <v>6</v>
      </c>
    </row>
    <row r="157" spans="1:14" ht="15" customHeight="1" x14ac:dyDescent="0.25">
      <c r="A157" s="11">
        <v>13</v>
      </c>
      <c r="B157" s="11" t="s">
        <v>33</v>
      </c>
      <c r="C157" s="11" t="s">
        <v>86</v>
      </c>
      <c r="D157" s="11" t="s">
        <v>173</v>
      </c>
      <c r="E157" s="11" t="s">
        <v>108</v>
      </c>
      <c r="F157" s="11" t="s">
        <v>177</v>
      </c>
      <c r="G157" s="11" t="s">
        <v>120</v>
      </c>
      <c r="H157" s="11" t="s">
        <v>174</v>
      </c>
      <c r="I157" s="11" t="s">
        <v>118</v>
      </c>
      <c r="J157" s="11">
        <v>1</v>
      </c>
      <c r="K157" s="11">
        <v>7</v>
      </c>
      <c r="L157" s="11">
        <v>0</v>
      </c>
      <c r="M157" s="11">
        <v>0</v>
      </c>
      <c r="N157" s="11">
        <v>7</v>
      </c>
    </row>
    <row r="158" spans="1:14" ht="15" customHeight="1" x14ac:dyDescent="0.25">
      <c r="A158" s="11">
        <v>14</v>
      </c>
      <c r="B158" s="11" t="s">
        <v>37</v>
      </c>
      <c r="C158" s="11" t="s">
        <v>75</v>
      </c>
      <c r="D158" s="11" t="s">
        <v>140</v>
      </c>
      <c r="E158" s="11" t="s">
        <v>94</v>
      </c>
      <c r="F158" s="11" t="s">
        <v>141</v>
      </c>
      <c r="G158" s="11" t="s">
        <v>95</v>
      </c>
      <c r="H158" s="11" t="s">
        <v>176</v>
      </c>
      <c r="I158" s="11" t="s">
        <v>119</v>
      </c>
      <c r="J158" s="11">
        <v>1</v>
      </c>
      <c r="K158" s="11">
        <v>7</v>
      </c>
      <c r="L158" s="11">
        <v>6</v>
      </c>
      <c r="M158" s="11">
        <v>5</v>
      </c>
      <c r="N158" s="11">
        <v>18</v>
      </c>
    </row>
    <row r="159" spans="1:14" ht="15" customHeight="1" x14ac:dyDescent="0.25">
      <c r="A159" s="11">
        <v>14</v>
      </c>
      <c r="B159" s="11" t="s">
        <v>37</v>
      </c>
      <c r="C159" s="11" t="s">
        <v>76</v>
      </c>
      <c r="D159" s="11" t="s">
        <v>143</v>
      </c>
      <c r="E159" s="11" t="s">
        <v>97</v>
      </c>
      <c r="F159" s="11" t="s">
        <v>144</v>
      </c>
      <c r="G159" s="11" t="s">
        <v>96</v>
      </c>
      <c r="H159" s="11" t="s">
        <v>145</v>
      </c>
      <c r="I159" s="11" t="s">
        <v>111</v>
      </c>
      <c r="J159" s="11">
        <v>1</v>
      </c>
      <c r="K159" s="11">
        <v>3</v>
      </c>
      <c r="L159" s="11">
        <v>3</v>
      </c>
      <c r="M159" s="11">
        <v>0</v>
      </c>
      <c r="N159" s="11">
        <v>6</v>
      </c>
    </row>
    <row r="160" spans="1:14" ht="15" customHeight="1" x14ac:dyDescent="0.25">
      <c r="A160" s="11">
        <v>14</v>
      </c>
      <c r="B160" s="11" t="s">
        <v>37</v>
      </c>
      <c r="C160" s="11" t="s">
        <v>77</v>
      </c>
      <c r="D160" s="11" t="s">
        <v>147</v>
      </c>
      <c r="E160" s="11" t="s">
        <v>98</v>
      </c>
      <c r="F160" s="11" t="s">
        <v>146</v>
      </c>
      <c r="G160" s="11" t="s">
        <v>99</v>
      </c>
      <c r="H160" s="11" t="s">
        <v>148</v>
      </c>
      <c r="I160" s="11" t="s">
        <v>112</v>
      </c>
      <c r="J160" s="11">
        <v>1</v>
      </c>
      <c r="K160" s="11">
        <v>7</v>
      </c>
      <c r="L160" s="11">
        <v>6</v>
      </c>
      <c r="M160" s="11">
        <v>5</v>
      </c>
      <c r="N160" s="11">
        <v>18</v>
      </c>
    </row>
    <row r="161" spans="1:14" ht="15" customHeight="1" x14ac:dyDescent="0.25">
      <c r="A161" s="11">
        <v>14</v>
      </c>
      <c r="B161" s="11" t="s">
        <v>37</v>
      </c>
      <c r="C161" s="11" t="s">
        <v>78</v>
      </c>
      <c r="D161" s="11" t="s">
        <v>150</v>
      </c>
      <c r="E161" s="11" t="s">
        <v>114</v>
      </c>
      <c r="F161" s="11" t="s">
        <v>151</v>
      </c>
      <c r="G161" s="11" t="s">
        <v>100</v>
      </c>
      <c r="H161" s="11" t="s">
        <v>149</v>
      </c>
      <c r="I161" s="11" t="s">
        <v>113</v>
      </c>
      <c r="J161" s="11">
        <v>1</v>
      </c>
      <c r="K161" s="11">
        <v>0</v>
      </c>
      <c r="L161" s="11">
        <v>3</v>
      </c>
      <c r="M161" s="11">
        <v>5</v>
      </c>
      <c r="N161" s="11">
        <v>8</v>
      </c>
    </row>
    <row r="162" spans="1:14" ht="15" customHeight="1" x14ac:dyDescent="0.25">
      <c r="A162" s="11">
        <v>14</v>
      </c>
      <c r="B162" s="11" t="s">
        <v>37</v>
      </c>
      <c r="C162" s="11" t="s">
        <v>79</v>
      </c>
      <c r="D162" s="11" t="s">
        <v>152</v>
      </c>
      <c r="E162" s="11" t="s">
        <v>102</v>
      </c>
      <c r="F162" s="11" t="s">
        <v>153</v>
      </c>
      <c r="G162" s="11" t="s">
        <v>115</v>
      </c>
      <c r="H162" s="11" t="s">
        <v>154</v>
      </c>
      <c r="I162" s="11" t="s">
        <v>103</v>
      </c>
      <c r="J162" s="11">
        <v>1</v>
      </c>
      <c r="K162" s="11">
        <v>7</v>
      </c>
      <c r="L162" s="11">
        <v>3</v>
      </c>
      <c r="M162" s="11">
        <v>3</v>
      </c>
      <c r="N162" s="11">
        <v>13</v>
      </c>
    </row>
    <row r="163" spans="1:14" ht="15" customHeight="1" x14ac:dyDescent="0.25">
      <c r="A163" s="11">
        <v>14</v>
      </c>
      <c r="B163" s="11" t="s">
        <v>37</v>
      </c>
      <c r="C163" s="11" t="s">
        <v>80</v>
      </c>
      <c r="D163" s="11" t="s">
        <v>156</v>
      </c>
      <c r="E163" s="11" t="s">
        <v>105</v>
      </c>
      <c r="F163" s="11" t="s">
        <v>155</v>
      </c>
      <c r="G163" s="11" t="s">
        <v>104</v>
      </c>
      <c r="H163" s="11" t="s">
        <v>157</v>
      </c>
      <c r="I163" s="11" t="s">
        <v>116</v>
      </c>
      <c r="J163" s="11">
        <v>1</v>
      </c>
      <c r="K163" s="11">
        <v>3</v>
      </c>
      <c r="L163" s="11">
        <v>3</v>
      </c>
      <c r="M163" s="11">
        <v>5</v>
      </c>
      <c r="N163" s="11">
        <v>11</v>
      </c>
    </row>
    <row r="164" spans="1:14" ht="15" customHeight="1" x14ac:dyDescent="0.25">
      <c r="A164" s="11">
        <v>14</v>
      </c>
      <c r="B164" s="11" t="s">
        <v>37</v>
      </c>
      <c r="C164" s="11" t="s">
        <v>81</v>
      </c>
      <c r="D164" s="11" t="s">
        <v>158</v>
      </c>
      <c r="E164" s="11" t="s">
        <v>68</v>
      </c>
      <c r="F164" s="11" t="s">
        <v>160</v>
      </c>
      <c r="G164" s="11" t="s">
        <v>69</v>
      </c>
      <c r="H164" s="11" t="s">
        <v>159</v>
      </c>
      <c r="I164" s="11" t="s">
        <v>73</v>
      </c>
      <c r="J164" s="11">
        <v>1</v>
      </c>
      <c r="K164" s="11">
        <v>3</v>
      </c>
      <c r="L164" s="11">
        <v>6</v>
      </c>
      <c r="M164" s="11">
        <v>3</v>
      </c>
      <c r="N164" s="11">
        <v>12</v>
      </c>
    </row>
    <row r="165" spans="1:14" ht="15" customHeight="1" x14ac:dyDescent="0.25">
      <c r="A165" s="11">
        <v>14</v>
      </c>
      <c r="B165" s="11" t="s">
        <v>37</v>
      </c>
      <c r="C165" s="11" t="s">
        <v>82</v>
      </c>
      <c r="D165" s="11" t="s">
        <v>161</v>
      </c>
      <c r="E165" s="11" t="s">
        <v>66</v>
      </c>
      <c r="F165" s="11" t="s">
        <v>162</v>
      </c>
      <c r="G165" s="11" t="s">
        <v>70</v>
      </c>
      <c r="H165" s="11" t="s">
        <v>163</v>
      </c>
      <c r="I165" s="11" t="s">
        <v>67</v>
      </c>
      <c r="J165" s="11">
        <v>1</v>
      </c>
      <c r="K165" s="11">
        <v>7</v>
      </c>
      <c r="L165" s="11">
        <v>6</v>
      </c>
      <c r="M165" s="11">
        <v>0</v>
      </c>
      <c r="N165" s="11">
        <v>13</v>
      </c>
    </row>
    <row r="166" spans="1:14" ht="15" customHeight="1" x14ac:dyDescent="0.25">
      <c r="A166" s="11">
        <v>14</v>
      </c>
      <c r="B166" s="11" t="s">
        <v>37</v>
      </c>
      <c r="C166" s="11" t="s">
        <v>83</v>
      </c>
      <c r="D166" s="11" t="s">
        <v>164</v>
      </c>
      <c r="E166" s="11" t="s">
        <v>35</v>
      </c>
      <c r="F166" s="11" t="s">
        <v>166</v>
      </c>
      <c r="G166" s="11" t="s">
        <v>45</v>
      </c>
      <c r="H166" s="11" t="s">
        <v>165</v>
      </c>
      <c r="I166" s="11" t="s">
        <v>44</v>
      </c>
      <c r="J166" s="11">
        <v>1</v>
      </c>
      <c r="K166" s="11">
        <v>7</v>
      </c>
      <c r="L166" s="11">
        <v>0</v>
      </c>
      <c r="M166" s="11">
        <v>3</v>
      </c>
      <c r="N166" s="11">
        <v>10</v>
      </c>
    </row>
    <row r="167" spans="1:14" ht="15" customHeight="1" x14ac:dyDescent="0.25">
      <c r="A167" s="11">
        <v>14</v>
      </c>
      <c r="B167" s="11" t="s">
        <v>37</v>
      </c>
      <c r="C167" s="11" t="s">
        <v>84</v>
      </c>
      <c r="D167" s="11" t="s">
        <v>167</v>
      </c>
      <c r="E167" s="11" t="s">
        <v>23</v>
      </c>
      <c r="F167" s="11" t="s">
        <v>168</v>
      </c>
      <c r="G167" s="11" t="s">
        <v>24</v>
      </c>
      <c r="H167" s="11" t="s">
        <v>169</v>
      </c>
      <c r="I167" s="11" t="s">
        <v>57</v>
      </c>
      <c r="J167" s="11">
        <v>1</v>
      </c>
      <c r="K167" s="11">
        <v>7</v>
      </c>
      <c r="L167" s="11">
        <v>6</v>
      </c>
      <c r="M167" s="11">
        <v>0</v>
      </c>
      <c r="N167" s="11">
        <v>13</v>
      </c>
    </row>
    <row r="168" spans="1:14" ht="15" customHeight="1" x14ac:dyDescent="0.25">
      <c r="A168" s="11">
        <v>14</v>
      </c>
      <c r="B168" s="11" t="s">
        <v>37</v>
      </c>
      <c r="C168" s="11" t="s">
        <v>85</v>
      </c>
      <c r="D168" s="11" t="s">
        <v>170</v>
      </c>
      <c r="E168" s="11" t="s">
        <v>107</v>
      </c>
      <c r="F168" s="11" t="s">
        <v>171</v>
      </c>
      <c r="G168" s="11" t="s">
        <v>106</v>
      </c>
      <c r="H168" s="11" t="s">
        <v>180</v>
      </c>
      <c r="I168" s="11" t="s">
        <v>123</v>
      </c>
      <c r="J168" s="11">
        <v>1</v>
      </c>
      <c r="K168" s="11">
        <v>3</v>
      </c>
      <c r="L168" s="11">
        <v>3</v>
      </c>
      <c r="M168" s="11">
        <v>0</v>
      </c>
      <c r="N168" s="11">
        <v>6</v>
      </c>
    </row>
    <row r="169" spans="1:14" ht="15" customHeight="1" x14ac:dyDescent="0.25">
      <c r="A169" s="11">
        <v>14</v>
      </c>
      <c r="B169" s="11" t="s">
        <v>37</v>
      </c>
      <c r="C169" s="11" t="s">
        <v>86</v>
      </c>
      <c r="D169" s="11" t="s">
        <v>174</v>
      </c>
      <c r="E169" s="11" t="s">
        <v>118</v>
      </c>
      <c r="F169" s="11" t="s">
        <v>173</v>
      </c>
      <c r="G169" s="11" t="s">
        <v>108</v>
      </c>
      <c r="H169" s="11" t="s">
        <v>177</v>
      </c>
      <c r="I169" s="11" t="s">
        <v>120</v>
      </c>
      <c r="J169" s="11">
        <v>1</v>
      </c>
      <c r="K169" s="11">
        <v>0</v>
      </c>
      <c r="L169" s="11">
        <v>3</v>
      </c>
      <c r="M169" s="11">
        <v>0</v>
      </c>
      <c r="N169" s="11">
        <v>3</v>
      </c>
    </row>
    <row r="170" spans="1:14" ht="15" customHeight="1" x14ac:dyDescent="0.25">
      <c r="A170" s="11">
        <v>15</v>
      </c>
      <c r="B170" s="11" t="s">
        <v>22</v>
      </c>
      <c r="C170" s="11" t="s">
        <v>75</v>
      </c>
      <c r="D170" s="11" t="s">
        <v>140</v>
      </c>
      <c r="E170" s="11" t="s">
        <v>94</v>
      </c>
      <c r="F170" s="11" t="s">
        <v>141</v>
      </c>
      <c r="G170" s="11" t="s">
        <v>95</v>
      </c>
      <c r="H170" s="11" t="s">
        <v>142</v>
      </c>
      <c r="I170" s="11" t="s">
        <v>110</v>
      </c>
      <c r="J170" s="11">
        <v>1</v>
      </c>
      <c r="K170" s="11">
        <v>7</v>
      </c>
      <c r="L170" s="11">
        <v>6</v>
      </c>
      <c r="M170" s="11">
        <v>0</v>
      </c>
      <c r="N170" s="11">
        <v>13</v>
      </c>
    </row>
    <row r="171" spans="1:14" ht="15" customHeight="1" x14ac:dyDescent="0.25">
      <c r="A171" s="11">
        <v>15</v>
      </c>
      <c r="B171" s="11" t="s">
        <v>22</v>
      </c>
      <c r="C171" s="11" t="s">
        <v>76</v>
      </c>
      <c r="D171" s="11" t="s">
        <v>143</v>
      </c>
      <c r="E171" s="11" t="s">
        <v>97</v>
      </c>
      <c r="F171" s="11" t="s">
        <v>144</v>
      </c>
      <c r="G171" s="11" t="s">
        <v>96</v>
      </c>
      <c r="H171" s="11" t="s">
        <v>145</v>
      </c>
      <c r="I171" s="11" t="s">
        <v>111</v>
      </c>
      <c r="J171" s="11">
        <v>1</v>
      </c>
      <c r="K171" s="11">
        <v>3</v>
      </c>
      <c r="L171" s="11">
        <v>3</v>
      </c>
      <c r="M171" s="11">
        <v>0</v>
      </c>
      <c r="N171" s="11">
        <v>6</v>
      </c>
    </row>
    <row r="172" spans="1:14" ht="15" customHeight="1" x14ac:dyDescent="0.25">
      <c r="A172" s="11">
        <v>15</v>
      </c>
      <c r="B172" s="11" t="s">
        <v>22</v>
      </c>
      <c r="C172" s="11" t="s">
        <v>77</v>
      </c>
      <c r="D172" s="11" t="s">
        <v>147</v>
      </c>
      <c r="E172" s="11" t="s">
        <v>98</v>
      </c>
      <c r="F172" s="11" t="s">
        <v>146</v>
      </c>
      <c r="G172" s="11" t="s">
        <v>99</v>
      </c>
      <c r="H172" s="11" t="s">
        <v>148</v>
      </c>
      <c r="I172" s="11" t="s">
        <v>112</v>
      </c>
      <c r="J172" s="11">
        <v>1</v>
      </c>
      <c r="K172" s="11">
        <v>7</v>
      </c>
      <c r="L172" s="11">
        <v>6</v>
      </c>
      <c r="M172" s="11">
        <v>5</v>
      </c>
      <c r="N172" s="11">
        <v>18</v>
      </c>
    </row>
    <row r="173" spans="1:14" ht="15" customHeight="1" x14ac:dyDescent="0.25">
      <c r="A173" s="11">
        <v>15</v>
      </c>
      <c r="B173" s="11" t="s">
        <v>22</v>
      </c>
      <c r="C173" s="11" t="s">
        <v>78</v>
      </c>
      <c r="D173" s="11" t="s">
        <v>151</v>
      </c>
      <c r="E173" s="11" t="s">
        <v>100</v>
      </c>
      <c r="F173" s="11" t="s">
        <v>150</v>
      </c>
      <c r="G173" s="11" t="s">
        <v>114</v>
      </c>
      <c r="H173" s="11" t="s">
        <v>149</v>
      </c>
      <c r="I173" s="11" t="s">
        <v>113</v>
      </c>
      <c r="J173" s="11">
        <v>1</v>
      </c>
      <c r="K173" s="11">
        <v>7</v>
      </c>
      <c r="L173" s="11">
        <v>0</v>
      </c>
      <c r="M173" s="11">
        <v>5</v>
      </c>
      <c r="N173" s="11">
        <v>12</v>
      </c>
    </row>
    <row r="174" spans="1:14" ht="15" customHeight="1" x14ac:dyDescent="0.25">
      <c r="A174" s="11">
        <v>15</v>
      </c>
      <c r="B174" s="11" t="s">
        <v>22</v>
      </c>
      <c r="C174" s="11" t="s">
        <v>79</v>
      </c>
      <c r="D174" s="11" t="s">
        <v>152</v>
      </c>
      <c r="E174" s="11" t="s">
        <v>102</v>
      </c>
      <c r="F174" s="11" t="s">
        <v>153</v>
      </c>
      <c r="G174" s="11" t="s">
        <v>115</v>
      </c>
      <c r="H174" s="11" t="s">
        <v>154</v>
      </c>
      <c r="I174" s="11" t="s">
        <v>103</v>
      </c>
      <c r="J174" s="11">
        <v>1</v>
      </c>
      <c r="K174" s="11">
        <v>7</v>
      </c>
      <c r="L174" s="11">
        <v>3</v>
      </c>
      <c r="M174" s="11">
        <v>3</v>
      </c>
      <c r="N174" s="11">
        <v>13</v>
      </c>
    </row>
    <row r="175" spans="1:14" ht="15" customHeight="1" x14ac:dyDescent="0.25">
      <c r="A175" s="11">
        <v>15</v>
      </c>
      <c r="B175" s="11" t="s">
        <v>22</v>
      </c>
      <c r="C175" s="11" t="s">
        <v>80</v>
      </c>
      <c r="D175" s="11" t="s">
        <v>155</v>
      </c>
      <c r="E175" s="11" t="s">
        <v>104</v>
      </c>
      <c r="F175" s="11" t="s">
        <v>157</v>
      </c>
      <c r="G175" s="11" t="s">
        <v>116</v>
      </c>
      <c r="H175" s="11" t="s">
        <v>156</v>
      </c>
      <c r="I175" s="11" t="s">
        <v>105</v>
      </c>
      <c r="J175" s="11">
        <v>1</v>
      </c>
      <c r="K175" s="11">
        <v>7</v>
      </c>
      <c r="L175" s="11">
        <v>3</v>
      </c>
      <c r="M175" s="11">
        <v>3</v>
      </c>
      <c r="N175" s="11">
        <v>13</v>
      </c>
    </row>
    <row r="176" spans="1:14" ht="15" customHeight="1" x14ac:dyDescent="0.25">
      <c r="A176" s="11">
        <v>15</v>
      </c>
      <c r="B176" s="11" t="s">
        <v>22</v>
      </c>
      <c r="C176" s="11" t="s">
        <v>81</v>
      </c>
      <c r="D176" s="11" t="s">
        <v>158</v>
      </c>
      <c r="E176" s="11" t="s">
        <v>68</v>
      </c>
      <c r="F176" s="11" t="s">
        <v>159</v>
      </c>
      <c r="G176" s="11" t="s">
        <v>73</v>
      </c>
      <c r="H176" s="11" t="s">
        <v>160</v>
      </c>
      <c r="I176" s="11" t="s">
        <v>69</v>
      </c>
      <c r="J176" s="11">
        <v>1</v>
      </c>
      <c r="K176" s="11">
        <v>3</v>
      </c>
      <c r="L176" s="11">
        <v>3</v>
      </c>
      <c r="M176" s="11">
        <v>3</v>
      </c>
      <c r="N176" s="11">
        <v>9</v>
      </c>
    </row>
    <row r="177" spans="1:14" ht="15" customHeight="1" x14ac:dyDescent="0.25">
      <c r="A177" s="11">
        <v>15</v>
      </c>
      <c r="B177" s="11" t="s">
        <v>22</v>
      </c>
      <c r="C177" s="11" t="s">
        <v>82</v>
      </c>
      <c r="D177" s="11" t="s">
        <v>161</v>
      </c>
      <c r="E177" s="11" t="s">
        <v>66</v>
      </c>
      <c r="F177" s="11" t="s">
        <v>162</v>
      </c>
      <c r="G177" s="11" t="s">
        <v>70</v>
      </c>
      <c r="H177" s="11" t="s">
        <v>163</v>
      </c>
      <c r="I177" s="11" t="s">
        <v>67</v>
      </c>
      <c r="J177" s="11">
        <v>1</v>
      </c>
      <c r="K177" s="11">
        <v>7</v>
      </c>
      <c r="L177" s="11">
        <v>6</v>
      </c>
      <c r="M177" s="11">
        <v>0</v>
      </c>
      <c r="N177" s="11">
        <v>13</v>
      </c>
    </row>
    <row r="178" spans="1:14" ht="15" customHeight="1" x14ac:dyDescent="0.25">
      <c r="A178" s="11">
        <v>15</v>
      </c>
      <c r="B178" s="11" t="s">
        <v>22</v>
      </c>
      <c r="C178" s="11" t="s">
        <v>83</v>
      </c>
      <c r="D178" s="11" t="s">
        <v>164</v>
      </c>
      <c r="E178" s="11" t="s">
        <v>35</v>
      </c>
      <c r="F178" s="11" t="s">
        <v>165</v>
      </c>
      <c r="G178" s="11" t="s">
        <v>44</v>
      </c>
      <c r="H178" s="11" t="s">
        <v>166</v>
      </c>
      <c r="I178" s="11" t="s">
        <v>45</v>
      </c>
      <c r="J178" s="11">
        <v>1</v>
      </c>
      <c r="K178" s="11">
        <v>7</v>
      </c>
      <c r="L178" s="11">
        <v>6</v>
      </c>
      <c r="M178" s="11">
        <v>0</v>
      </c>
      <c r="N178" s="11">
        <v>13</v>
      </c>
    </row>
    <row r="179" spans="1:14" ht="15" customHeight="1" x14ac:dyDescent="0.25">
      <c r="A179" s="11">
        <v>15</v>
      </c>
      <c r="B179" s="11" t="s">
        <v>22</v>
      </c>
      <c r="C179" s="11" t="s">
        <v>84</v>
      </c>
      <c r="D179" s="11" t="s">
        <v>167</v>
      </c>
      <c r="E179" s="11" t="s">
        <v>23</v>
      </c>
      <c r="F179" s="11" t="s">
        <v>169</v>
      </c>
      <c r="G179" s="11" t="s">
        <v>57</v>
      </c>
      <c r="H179" s="11" t="s">
        <v>168</v>
      </c>
      <c r="I179" s="11" t="s">
        <v>24</v>
      </c>
      <c r="J179" s="11">
        <v>1</v>
      </c>
      <c r="K179" s="11">
        <v>7</v>
      </c>
      <c r="L179" s="11">
        <v>0</v>
      </c>
      <c r="M179" s="11">
        <v>3</v>
      </c>
      <c r="N179" s="11">
        <v>10</v>
      </c>
    </row>
    <row r="180" spans="1:14" ht="15" customHeight="1" x14ac:dyDescent="0.25">
      <c r="A180" s="11">
        <v>15</v>
      </c>
      <c r="B180" s="11" t="s">
        <v>22</v>
      </c>
      <c r="C180" s="11" t="s">
        <v>85</v>
      </c>
      <c r="D180" s="11" t="s">
        <v>170</v>
      </c>
      <c r="E180" s="11" t="s">
        <v>107</v>
      </c>
      <c r="F180" s="11" t="s">
        <v>171</v>
      </c>
      <c r="G180" s="11" t="s">
        <v>106</v>
      </c>
      <c r="H180" s="11" t="s">
        <v>180</v>
      </c>
      <c r="I180" s="11" t="s">
        <v>123</v>
      </c>
      <c r="J180" s="11">
        <v>1</v>
      </c>
      <c r="K180" s="11">
        <v>3</v>
      </c>
      <c r="L180" s="11">
        <v>3</v>
      </c>
      <c r="M180" s="11">
        <v>0</v>
      </c>
      <c r="N180" s="11">
        <v>6</v>
      </c>
    </row>
    <row r="181" spans="1:14" ht="15" customHeight="1" x14ac:dyDescent="0.25">
      <c r="A181" s="11">
        <v>15</v>
      </c>
      <c r="B181" s="11" t="s">
        <v>22</v>
      </c>
      <c r="C181" s="11" t="s">
        <v>86</v>
      </c>
      <c r="D181" s="11" t="s">
        <v>173</v>
      </c>
      <c r="E181" s="11" t="s">
        <v>108</v>
      </c>
      <c r="F181" s="11" t="s">
        <v>174</v>
      </c>
      <c r="G181" s="11" t="s">
        <v>118</v>
      </c>
      <c r="H181" s="11" t="s">
        <v>177</v>
      </c>
      <c r="I181" s="11" t="s">
        <v>120</v>
      </c>
      <c r="J181" s="11">
        <v>1</v>
      </c>
      <c r="K181" s="11">
        <v>7</v>
      </c>
      <c r="L181" s="11">
        <v>0</v>
      </c>
      <c r="M181" s="11">
        <v>0</v>
      </c>
      <c r="N181" s="11">
        <v>7</v>
      </c>
    </row>
    <row r="182" spans="1:14" ht="15" customHeight="1" x14ac:dyDescent="0.25">
      <c r="A182" s="11">
        <v>16</v>
      </c>
      <c r="B182" s="11" t="s">
        <v>40</v>
      </c>
      <c r="C182" s="11" t="s">
        <v>75</v>
      </c>
      <c r="D182" s="11" t="s">
        <v>141</v>
      </c>
      <c r="E182" s="11" t="s">
        <v>95</v>
      </c>
      <c r="F182" s="11" t="s">
        <v>140</v>
      </c>
      <c r="G182" s="11" t="s">
        <v>94</v>
      </c>
      <c r="H182" s="11" t="s">
        <v>142</v>
      </c>
      <c r="I182" s="11" t="s">
        <v>110</v>
      </c>
      <c r="J182" s="11">
        <v>1</v>
      </c>
      <c r="K182" s="11">
        <v>3</v>
      </c>
      <c r="L182" s="11">
        <v>3</v>
      </c>
      <c r="M182" s="11">
        <v>0</v>
      </c>
      <c r="N182" s="11">
        <v>6</v>
      </c>
    </row>
    <row r="183" spans="1:14" ht="15" customHeight="1" x14ac:dyDescent="0.25">
      <c r="A183" s="11">
        <v>16</v>
      </c>
      <c r="B183" s="11" t="s">
        <v>40</v>
      </c>
      <c r="C183" s="11" t="s">
        <v>76</v>
      </c>
      <c r="D183" s="11" t="s">
        <v>144</v>
      </c>
      <c r="E183" s="11" t="s">
        <v>96</v>
      </c>
      <c r="F183" s="11" t="s">
        <v>143</v>
      </c>
      <c r="G183" s="11" t="s">
        <v>97</v>
      </c>
      <c r="H183" s="11" t="s">
        <v>145</v>
      </c>
      <c r="I183" s="11" t="s">
        <v>111</v>
      </c>
      <c r="J183" s="11">
        <v>1</v>
      </c>
      <c r="K183" s="11">
        <v>7</v>
      </c>
      <c r="L183" s="11">
        <v>6</v>
      </c>
      <c r="M183" s="11">
        <v>0</v>
      </c>
      <c r="N183" s="11">
        <v>13</v>
      </c>
    </row>
    <row r="184" spans="1:14" ht="15" customHeight="1" x14ac:dyDescent="0.25">
      <c r="A184" s="11">
        <v>16</v>
      </c>
      <c r="B184" s="11" t="s">
        <v>40</v>
      </c>
      <c r="C184" s="11" t="s">
        <v>77</v>
      </c>
      <c r="D184" s="11" t="s">
        <v>147</v>
      </c>
      <c r="E184" s="11" t="s">
        <v>98</v>
      </c>
      <c r="F184" s="11" t="s">
        <v>148</v>
      </c>
      <c r="G184" s="11" t="s">
        <v>112</v>
      </c>
      <c r="H184" s="11" t="s">
        <v>146</v>
      </c>
      <c r="I184" s="11" t="s">
        <v>99</v>
      </c>
      <c r="J184" s="11">
        <v>1</v>
      </c>
      <c r="K184" s="11">
        <v>7</v>
      </c>
      <c r="L184" s="11">
        <v>3</v>
      </c>
      <c r="M184" s="11">
        <v>3</v>
      </c>
      <c r="N184" s="11">
        <v>13</v>
      </c>
    </row>
    <row r="185" spans="1:14" ht="15" customHeight="1" x14ac:dyDescent="0.25">
      <c r="A185" s="11">
        <v>16</v>
      </c>
      <c r="B185" s="11" t="s">
        <v>40</v>
      </c>
      <c r="C185" s="11" t="s">
        <v>78</v>
      </c>
      <c r="D185" s="11" t="s">
        <v>150</v>
      </c>
      <c r="E185" s="11" t="s">
        <v>114</v>
      </c>
      <c r="F185" s="11" t="s">
        <v>151</v>
      </c>
      <c r="G185" s="11" t="s">
        <v>100</v>
      </c>
      <c r="H185" s="11" t="s">
        <v>181</v>
      </c>
      <c r="I185" s="11" t="s">
        <v>101</v>
      </c>
      <c r="J185" s="11">
        <v>1</v>
      </c>
      <c r="K185" s="11">
        <v>0</v>
      </c>
      <c r="L185" s="11">
        <v>3</v>
      </c>
      <c r="M185" s="11">
        <v>3</v>
      </c>
      <c r="N185" s="11">
        <v>6</v>
      </c>
    </row>
    <row r="186" spans="1:14" ht="15" customHeight="1" x14ac:dyDescent="0.25">
      <c r="A186" s="11">
        <v>16</v>
      </c>
      <c r="B186" s="11" t="s">
        <v>40</v>
      </c>
      <c r="C186" s="11" t="s">
        <v>79</v>
      </c>
      <c r="D186" s="11" t="s">
        <v>154</v>
      </c>
      <c r="E186" s="11" t="s">
        <v>103</v>
      </c>
      <c r="F186" s="11" t="s">
        <v>152</v>
      </c>
      <c r="G186" s="11" t="s">
        <v>102</v>
      </c>
      <c r="H186" s="11" t="s">
        <v>179</v>
      </c>
      <c r="I186" s="11" t="s">
        <v>122</v>
      </c>
      <c r="J186" s="11">
        <v>1</v>
      </c>
      <c r="K186" s="11">
        <v>3</v>
      </c>
      <c r="L186" s="11">
        <v>3</v>
      </c>
      <c r="M186" s="11">
        <v>0</v>
      </c>
      <c r="N186" s="11">
        <v>6</v>
      </c>
    </row>
    <row r="187" spans="1:14" ht="15" customHeight="1" x14ac:dyDescent="0.25">
      <c r="A187" s="11">
        <v>16</v>
      </c>
      <c r="B187" s="11" t="s">
        <v>40</v>
      </c>
      <c r="C187" s="11" t="s">
        <v>80</v>
      </c>
      <c r="D187" s="11" t="s">
        <v>155</v>
      </c>
      <c r="E187" s="11" t="s">
        <v>104</v>
      </c>
      <c r="F187" s="11" t="s">
        <v>157</v>
      </c>
      <c r="G187" s="11" t="s">
        <v>116</v>
      </c>
      <c r="H187" s="11" t="s">
        <v>156</v>
      </c>
      <c r="I187" s="11" t="s">
        <v>105</v>
      </c>
      <c r="J187" s="11">
        <v>1</v>
      </c>
      <c r="K187" s="11">
        <v>7</v>
      </c>
      <c r="L187" s="11">
        <v>3</v>
      </c>
      <c r="M187" s="11">
        <v>3</v>
      </c>
      <c r="N187" s="11">
        <v>13</v>
      </c>
    </row>
    <row r="188" spans="1:14" ht="15" customHeight="1" x14ac:dyDescent="0.25">
      <c r="A188" s="11">
        <v>16</v>
      </c>
      <c r="B188" s="11" t="s">
        <v>40</v>
      </c>
      <c r="C188" s="11" t="s">
        <v>81</v>
      </c>
      <c r="D188" s="11" t="s">
        <v>158</v>
      </c>
      <c r="E188" s="11" t="s">
        <v>68</v>
      </c>
      <c r="F188" s="11" t="s">
        <v>182</v>
      </c>
      <c r="G188" s="11" t="s">
        <v>72</v>
      </c>
      <c r="H188" s="11" t="s">
        <v>160</v>
      </c>
      <c r="I188" s="11" t="s">
        <v>69</v>
      </c>
      <c r="J188" s="11">
        <v>1</v>
      </c>
      <c r="K188" s="11">
        <v>3</v>
      </c>
      <c r="L188" s="11">
        <v>0</v>
      </c>
      <c r="M188" s="11">
        <v>3</v>
      </c>
      <c r="N188" s="11">
        <v>6</v>
      </c>
    </row>
    <row r="189" spans="1:14" ht="15" customHeight="1" x14ac:dyDescent="0.25">
      <c r="A189" s="11">
        <v>16</v>
      </c>
      <c r="B189" s="11" t="s">
        <v>40</v>
      </c>
      <c r="C189" s="11" t="s">
        <v>82</v>
      </c>
      <c r="D189" s="11" t="s">
        <v>161</v>
      </c>
      <c r="E189" s="11" t="s">
        <v>66</v>
      </c>
      <c r="F189" s="11" t="s">
        <v>163</v>
      </c>
      <c r="G189" s="11" t="s">
        <v>67</v>
      </c>
      <c r="H189" s="11" t="s">
        <v>184</v>
      </c>
      <c r="I189" s="11" t="s">
        <v>71</v>
      </c>
      <c r="J189" s="11">
        <v>1</v>
      </c>
      <c r="K189" s="11">
        <v>7</v>
      </c>
      <c r="L189" s="11">
        <v>0</v>
      </c>
      <c r="M189" s="11">
        <v>5</v>
      </c>
      <c r="N189" s="11">
        <v>12</v>
      </c>
    </row>
    <row r="190" spans="1:14" ht="15" customHeight="1" x14ac:dyDescent="0.25">
      <c r="A190" s="11">
        <v>16</v>
      </c>
      <c r="B190" s="11" t="s">
        <v>40</v>
      </c>
      <c r="C190" s="11" t="s">
        <v>83</v>
      </c>
      <c r="D190" s="11" t="s">
        <v>164</v>
      </c>
      <c r="E190" s="11" t="s">
        <v>35</v>
      </c>
      <c r="F190" s="11" t="s">
        <v>185</v>
      </c>
      <c r="G190" s="11" t="s">
        <v>36</v>
      </c>
      <c r="H190" s="11" t="s">
        <v>166</v>
      </c>
      <c r="I190" s="11" t="s">
        <v>45</v>
      </c>
      <c r="J190" s="11">
        <v>1</v>
      </c>
      <c r="K190" s="11">
        <v>7</v>
      </c>
      <c r="L190" s="11">
        <v>0</v>
      </c>
      <c r="M190" s="11">
        <v>0</v>
      </c>
      <c r="N190" s="11">
        <v>7</v>
      </c>
    </row>
    <row r="191" spans="1:14" ht="15" customHeight="1" x14ac:dyDescent="0.25">
      <c r="A191" s="11">
        <v>16</v>
      </c>
      <c r="B191" s="11" t="s">
        <v>40</v>
      </c>
      <c r="C191" s="11" t="s">
        <v>84</v>
      </c>
      <c r="D191" s="11" t="s">
        <v>167</v>
      </c>
      <c r="E191" s="11" t="s">
        <v>23</v>
      </c>
      <c r="F191" s="11" t="s">
        <v>168</v>
      </c>
      <c r="G191" s="11" t="s">
        <v>24</v>
      </c>
      <c r="H191" s="11" t="s">
        <v>169</v>
      </c>
      <c r="I191" s="11" t="s">
        <v>57</v>
      </c>
      <c r="J191" s="11">
        <v>1</v>
      </c>
      <c r="K191" s="11">
        <v>7</v>
      </c>
      <c r="L191" s="11">
        <v>6</v>
      </c>
      <c r="M191" s="11">
        <v>0</v>
      </c>
      <c r="N191" s="11">
        <v>13</v>
      </c>
    </row>
    <row r="192" spans="1:14" ht="15" customHeight="1" x14ac:dyDescent="0.25">
      <c r="A192" s="11">
        <v>16</v>
      </c>
      <c r="B192" s="11" t="s">
        <v>40</v>
      </c>
      <c r="C192" s="11" t="s">
        <v>85</v>
      </c>
      <c r="D192" s="11" t="s">
        <v>170</v>
      </c>
      <c r="E192" s="11" t="s">
        <v>107</v>
      </c>
      <c r="F192" s="11" t="s">
        <v>180</v>
      </c>
      <c r="G192" s="11" t="s">
        <v>123</v>
      </c>
      <c r="H192" s="11" t="s">
        <v>171</v>
      </c>
      <c r="I192" s="11" t="s">
        <v>106</v>
      </c>
      <c r="J192" s="11">
        <v>1</v>
      </c>
      <c r="K192" s="11">
        <v>3</v>
      </c>
      <c r="L192" s="11">
        <v>0</v>
      </c>
      <c r="M192" s="11">
        <v>3</v>
      </c>
      <c r="N192" s="11">
        <v>6</v>
      </c>
    </row>
    <row r="193" spans="1:14" ht="15" customHeight="1" x14ac:dyDescent="0.25">
      <c r="A193" s="11">
        <v>16</v>
      </c>
      <c r="B193" s="11" t="s">
        <v>40</v>
      </c>
      <c r="C193" s="11" t="s">
        <v>86</v>
      </c>
      <c r="D193" s="11" t="s">
        <v>173</v>
      </c>
      <c r="E193" s="11" t="s">
        <v>108</v>
      </c>
      <c r="F193" s="11" t="s">
        <v>174</v>
      </c>
      <c r="G193" s="11" t="s">
        <v>118</v>
      </c>
      <c r="H193" s="11" t="s">
        <v>177</v>
      </c>
      <c r="I193" s="11" t="s">
        <v>120</v>
      </c>
      <c r="J193" s="11">
        <v>1</v>
      </c>
      <c r="K193" s="11">
        <v>7</v>
      </c>
      <c r="L193" s="11">
        <v>0</v>
      </c>
      <c r="M193" s="11">
        <v>0</v>
      </c>
      <c r="N193" s="11">
        <v>7</v>
      </c>
    </row>
    <row r="194" spans="1:14" ht="15" customHeight="1" x14ac:dyDescent="0.25">
      <c r="A194" s="11">
        <v>17</v>
      </c>
      <c r="B194" s="11" t="s">
        <v>42</v>
      </c>
      <c r="C194" s="11" t="s">
        <v>75</v>
      </c>
      <c r="D194" s="11" t="s">
        <v>176</v>
      </c>
      <c r="E194" s="11" t="s">
        <v>119</v>
      </c>
      <c r="F194" s="11" t="s">
        <v>141</v>
      </c>
      <c r="G194" s="11" t="s">
        <v>95</v>
      </c>
      <c r="H194" s="11" t="s">
        <v>142</v>
      </c>
      <c r="I194" s="11" t="s">
        <v>110</v>
      </c>
      <c r="J194" s="11">
        <v>1</v>
      </c>
      <c r="K194" s="11">
        <v>3</v>
      </c>
      <c r="L194" s="11">
        <v>6</v>
      </c>
      <c r="M194" s="11">
        <v>0</v>
      </c>
      <c r="N194" s="11">
        <v>9</v>
      </c>
    </row>
    <row r="195" spans="1:14" ht="15" customHeight="1" x14ac:dyDescent="0.25">
      <c r="A195" s="11">
        <v>17</v>
      </c>
      <c r="B195" s="11" t="s">
        <v>42</v>
      </c>
      <c r="C195" s="11" t="s">
        <v>76</v>
      </c>
      <c r="D195" s="11" t="s">
        <v>144</v>
      </c>
      <c r="E195" s="11" t="s">
        <v>96</v>
      </c>
      <c r="F195" s="11" t="s">
        <v>143</v>
      </c>
      <c r="G195" s="11" t="s">
        <v>97</v>
      </c>
      <c r="H195" s="11" t="s">
        <v>145</v>
      </c>
      <c r="I195" s="11" t="s">
        <v>111</v>
      </c>
      <c r="J195" s="11">
        <v>1</v>
      </c>
      <c r="K195" s="11">
        <v>7</v>
      </c>
      <c r="L195" s="11">
        <v>6</v>
      </c>
      <c r="M195" s="11">
        <v>0</v>
      </c>
      <c r="N195" s="11">
        <v>13</v>
      </c>
    </row>
    <row r="196" spans="1:14" ht="15" customHeight="1" x14ac:dyDescent="0.25">
      <c r="A196" s="11">
        <v>17</v>
      </c>
      <c r="B196" s="11" t="s">
        <v>42</v>
      </c>
      <c r="C196" s="11" t="s">
        <v>77</v>
      </c>
      <c r="D196" s="11" t="s">
        <v>147</v>
      </c>
      <c r="E196" s="11" t="s">
        <v>98</v>
      </c>
      <c r="F196" s="11" t="s">
        <v>146</v>
      </c>
      <c r="G196" s="11" t="s">
        <v>99</v>
      </c>
      <c r="H196" s="11" t="s">
        <v>187</v>
      </c>
      <c r="I196" s="11" t="s">
        <v>125</v>
      </c>
      <c r="J196" s="11">
        <v>1</v>
      </c>
      <c r="K196" s="11">
        <v>7</v>
      </c>
      <c r="L196" s="11">
        <v>6</v>
      </c>
      <c r="M196" s="11">
        <v>0</v>
      </c>
      <c r="N196" s="11">
        <v>13</v>
      </c>
    </row>
    <row r="197" spans="1:14" ht="15" customHeight="1" x14ac:dyDescent="0.25">
      <c r="A197" s="11">
        <v>17</v>
      </c>
      <c r="B197" s="11" t="s">
        <v>42</v>
      </c>
      <c r="C197" s="11" t="s">
        <v>78</v>
      </c>
      <c r="D197" s="11" t="s">
        <v>151</v>
      </c>
      <c r="E197" s="11" t="s">
        <v>100</v>
      </c>
      <c r="F197" s="11" t="s">
        <v>149</v>
      </c>
      <c r="G197" s="11" t="s">
        <v>113</v>
      </c>
      <c r="H197" s="11" t="s">
        <v>150</v>
      </c>
      <c r="I197" s="11" t="s">
        <v>114</v>
      </c>
      <c r="J197" s="11">
        <v>1</v>
      </c>
      <c r="K197" s="11">
        <v>7</v>
      </c>
      <c r="L197" s="11">
        <v>3</v>
      </c>
      <c r="M197" s="11">
        <v>0</v>
      </c>
      <c r="N197" s="11">
        <v>10</v>
      </c>
    </row>
    <row r="198" spans="1:14" ht="15" customHeight="1" x14ac:dyDescent="0.25">
      <c r="A198" s="11">
        <v>17</v>
      </c>
      <c r="B198" s="11" t="s">
        <v>42</v>
      </c>
      <c r="C198" s="11" t="s">
        <v>79</v>
      </c>
      <c r="D198" s="11" t="s">
        <v>152</v>
      </c>
      <c r="E198" s="11" t="s">
        <v>102</v>
      </c>
      <c r="F198" s="11" t="s">
        <v>154</v>
      </c>
      <c r="G198" s="11" t="s">
        <v>103</v>
      </c>
      <c r="H198" s="11" t="s">
        <v>153</v>
      </c>
      <c r="I198" s="11" t="s">
        <v>115</v>
      </c>
      <c r="J198" s="11">
        <v>1</v>
      </c>
      <c r="K198" s="11">
        <v>7</v>
      </c>
      <c r="L198" s="11">
        <v>6</v>
      </c>
      <c r="M198" s="11">
        <v>5</v>
      </c>
      <c r="N198" s="11">
        <v>18</v>
      </c>
    </row>
    <row r="199" spans="1:14" ht="15" customHeight="1" x14ac:dyDescent="0.25">
      <c r="A199" s="11">
        <v>17</v>
      </c>
      <c r="B199" s="11" t="s">
        <v>42</v>
      </c>
      <c r="C199" s="11" t="s">
        <v>80</v>
      </c>
      <c r="D199" s="11" t="s">
        <v>155</v>
      </c>
      <c r="E199" s="11" t="s">
        <v>104</v>
      </c>
      <c r="F199" s="11" t="s">
        <v>157</v>
      </c>
      <c r="G199" s="11" t="s">
        <v>116</v>
      </c>
      <c r="H199" s="11" t="s">
        <v>156</v>
      </c>
      <c r="I199" s="11" t="s">
        <v>105</v>
      </c>
      <c r="J199" s="11">
        <v>1</v>
      </c>
      <c r="K199" s="11">
        <v>7</v>
      </c>
      <c r="L199" s="11">
        <v>3</v>
      </c>
      <c r="M199" s="11">
        <v>3</v>
      </c>
      <c r="N199" s="11">
        <v>13</v>
      </c>
    </row>
    <row r="200" spans="1:14" ht="15" customHeight="1" x14ac:dyDescent="0.25">
      <c r="A200" s="11">
        <v>17</v>
      </c>
      <c r="B200" s="11" t="s">
        <v>42</v>
      </c>
      <c r="C200" s="11" t="s">
        <v>81</v>
      </c>
      <c r="D200" s="11" t="s">
        <v>158</v>
      </c>
      <c r="E200" s="11" t="s">
        <v>68</v>
      </c>
      <c r="F200" s="11" t="s">
        <v>159</v>
      </c>
      <c r="G200" s="11" t="s">
        <v>73</v>
      </c>
      <c r="H200" s="11" t="s">
        <v>160</v>
      </c>
      <c r="I200" s="11" t="s">
        <v>69</v>
      </c>
      <c r="J200" s="11">
        <v>1</v>
      </c>
      <c r="K200" s="11">
        <v>3</v>
      </c>
      <c r="L200" s="11">
        <v>3</v>
      </c>
      <c r="M200" s="11">
        <v>3</v>
      </c>
      <c r="N200" s="11">
        <v>9</v>
      </c>
    </row>
    <row r="201" spans="1:14" ht="15" customHeight="1" x14ac:dyDescent="0.25">
      <c r="A201" s="11">
        <v>17</v>
      </c>
      <c r="B201" s="11" t="s">
        <v>42</v>
      </c>
      <c r="C201" s="11" t="s">
        <v>82</v>
      </c>
      <c r="D201" s="11" t="s">
        <v>161</v>
      </c>
      <c r="E201" s="11" t="s">
        <v>66</v>
      </c>
      <c r="F201" s="11" t="s">
        <v>162</v>
      </c>
      <c r="G201" s="11" t="s">
        <v>70</v>
      </c>
      <c r="H201" s="11" t="s">
        <v>184</v>
      </c>
      <c r="I201" s="11" t="s">
        <v>71</v>
      </c>
      <c r="J201" s="11">
        <v>1</v>
      </c>
      <c r="K201" s="11">
        <v>7</v>
      </c>
      <c r="L201" s="11">
        <v>6</v>
      </c>
      <c r="M201" s="11">
        <v>5</v>
      </c>
      <c r="N201" s="11">
        <v>18</v>
      </c>
    </row>
    <row r="202" spans="1:14" ht="15" customHeight="1" x14ac:dyDescent="0.25">
      <c r="A202" s="11">
        <v>17</v>
      </c>
      <c r="B202" s="11" t="s">
        <v>42</v>
      </c>
      <c r="C202" s="11" t="s">
        <v>83</v>
      </c>
      <c r="D202" s="11" t="s">
        <v>164</v>
      </c>
      <c r="E202" s="11" t="s">
        <v>35</v>
      </c>
      <c r="F202" s="11" t="s">
        <v>165</v>
      </c>
      <c r="G202" s="11" t="s">
        <v>44</v>
      </c>
      <c r="H202" s="11" t="s">
        <v>166</v>
      </c>
      <c r="I202" s="11" t="s">
        <v>45</v>
      </c>
      <c r="J202" s="11">
        <v>1</v>
      </c>
      <c r="K202" s="11">
        <v>7</v>
      </c>
      <c r="L202" s="11">
        <v>6</v>
      </c>
      <c r="M202" s="11">
        <v>0</v>
      </c>
      <c r="N202" s="11">
        <v>13</v>
      </c>
    </row>
    <row r="203" spans="1:14" ht="15" customHeight="1" x14ac:dyDescent="0.25">
      <c r="A203" s="11">
        <v>17</v>
      </c>
      <c r="B203" s="11" t="s">
        <v>42</v>
      </c>
      <c r="C203" s="11" t="s">
        <v>84</v>
      </c>
      <c r="D203" s="11" t="s">
        <v>167</v>
      </c>
      <c r="E203" s="11" t="s">
        <v>23</v>
      </c>
      <c r="F203" s="11" t="s">
        <v>168</v>
      </c>
      <c r="G203" s="11" t="s">
        <v>24</v>
      </c>
      <c r="H203" s="11" t="s">
        <v>169</v>
      </c>
      <c r="I203" s="11" t="s">
        <v>57</v>
      </c>
      <c r="J203" s="11">
        <v>1</v>
      </c>
      <c r="K203" s="11">
        <v>7</v>
      </c>
      <c r="L203" s="11">
        <v>6</v>
      </c>
      <c r="M203" s="11">
        <v>0</v>
      </c>
      <c r="N203" s="11">
        <v>13</v>
      </c>
    </row>
    <row r="204" spans="1:14" ht="15" customHeight="1" x14ac:dyDescent="0.25">
      <c r="A204" s="11">
        <v>17</v>
      </c>
      <c r="B204" s="11" t="s">
        <v>42</v>
      </c>
      <c r="C204" s="11" t="s">
        <v>85</v>
      </c>
      <c r="D204" s="11" t="s">
        <v>170</v>
      </c>
      <c r="E204" s="11" t="s">
        <v>107</v>
      </c>
      <c r="F204" s="11" t="s">
        <v>171</v>
      </c>
      <c r="G204" s="11" t="s">
        <v>106</v>
      </c>
      <c r="H204" s="11" t="s">
        <v>172</v>
      </c>
      <c r="I204" s="11" t="s">
        <v>117</v>
      </c>
      <c r="J204" s="11">
        <v>1</v>
      </c>
      <c r="K204" s="11">
        <v>3</v>
      </c>
      <c r="L204" s="11">
        <v>3</v>
      </c>
      <c r="M204" s="11">
        <v>5</v>
      </c>
      <c r="N204" s="11">
        <v>11</v>
      </c>
    </row>
    <row r="205" spans="1:14" ht="15" customHeight="1" x14ac:dyDescent="0.25">
      <c r="A205" s="11">
        <v>17</v>
      </c>
      <c r="B205" s="11" t="s">
        <v>42</v>
      </c>
      <c r="C205" s="11" t="s">
        <v>86</v>
      </c>
      <c r="D205" s="11" t="s">
        <v>173</v>
      </c>
      <c r="E205" s="11" t="s">
        <v>108</v>
      </c>
      <c r="F205" s="11" t="s">
        <v>174</v>
      </c>
      <c r="G205" s="11" t="s">
        <v>118</v>
      </c>
      <c r="H205" s="11" t="s">
        <v>175</v>
      </c>
      <c r="I205" s="11" t="s">
        <v>109</v>
      </c>
      <c r="J205" s="11">
        <v>1</v>
      </c>
      <c r="K205" s="11">
        <v>7</v>
      </c>
      <c r="L205" s="11">
        <v>0</v>
      </c>
      <c r="M205" s="11">
        <v>3</v>
      </c>
      <c r="N205" s="11">
        <v>10</v>
      </c>
    </row>
    <row r="206" spans="1:14" ht="15" customHeight="1" x14ac:dyDescent="0.25">
      <c r="A206" s="11">
        <v>18</v>
      </c>
      <c r="B206" s="11" t="s">
        <v>14</v>
      </c>
      <c r="C206" s="11" t="s">
        <v>75</v>
      </c>
      <c r="D206" s="11" t="s">
        <v>141</v>
      </c>
      <c r="E206" s="11" t="s">
        <v>95</v>
      </c>
      <c r="F206" s="11" t="s">
        <v>176</v>
      </c>
      <c r="G206" s="11" t="s">
        <v>119</v>
      </c>
      <c r="H206" s="11" t="s">
        <v>140</v>
      </c>
      <c r="I206" s="11" t="s">
        <v>94</v>
      </c>
      <c r="J206" s="11">
        <v>1</v>
      </c>
      <c r="K206" s="11">
        <v>3</v>
      </c>
      <c r="L206" s="11">
        <v>3</v>
      </c>
      <c r="M206" s="11">
        <v>3</v>
      </c>
      <c r="N206" s="11">
        <v>9</v>
      </c>
    </row>
    <row r="207" spans="1:14" ht="15" customHeight="1" x14ac:dyDescent="0.25">
      <c r="A207" s="11">
        <v>18</v>
      </c>
      <c r="B207" s="11" t="s">
        <v>14</v>
      </c>
      <c r="C207" s="11" t="s">
        <v>76</v>
      </c>
      <c r="D207" s="11" t="s">
        <v>143</v>
      </c>
      <c r="E207" s="11" t="s">
        <v>97</v>
      </c>
      <c r="F207" s="11" t="s">
        <v>144</v>
      </c>
      <c r="G207" s="11" t="s">
        <v>96</v>
      </c>
      <c r="H207" s="11" t="s">
        <v>145</v>
      </c>
      <c r="I207" s="11" t="s">
        <v>111</v>
      </c>
      <c r="J207" s="11">
        <v>1</v>
      </c>
      <c r="K207" s="11">
        <v>3</v>
      </c>
      <c r="L207" s="11">
        <v>3</v>
      </c>
      <c r="M207" s="11">
        <v>0</v>
      </c>
      <c r="N207" s="11">
        <v>6</v>
      </c>
    </row>
    <row r="208" spans="1:14" ht="15" customHeight="1" x14ac:dyDescent="0.25">
      <c r="A208" s="11">
        <v>18</v>
      </c>
      <c r="B208" s="11" t="s">
        <v>14</v>
      </c>
      <c r="C208" s="11" t="s">
        <v>77</v>
      </c>
      <c r="D208" s="11" t="s">
        <v>146</v>
      </c>
      <c r="E208" s="11" t="s">
        <v>99</v>
      </c>
      <c r="F208" s="11" t="s">
        <v>147</v>
      </c>
      <c r="G208" s="11" t="s">
        <v>98</v>
      </c>
      <c r="H208" s="11" t="s">
        <v>187</v>
      </c>
      <c r="I208" s="11" t="s">
        <v>125</v>
      </c>
      <c r="J208" s="11">
        <v>1</v>
      </c>
      <c r="K208" s="11">
        <v>3</v>
      </c>
      <c r="L208" s="11">
        <v>3</v>
      </c>
      <c r="M208" s="11">
        <v>0</v>
      </c>
      <c r="N208" s="11">
        <v>6</v>
      </c>
    </row>
    <row r="209" spans="1:14" ht="15" customHeight="1" x14ac:dyDescent="0.25">
      <c r="A209" s="11">
        <v>18</v>
      </c>
      <c r="B209" s="11" t="s">
        <v>14</v>
      </c>
      <c r="C209" s="11" t="s">
        <v>78</v>
      </c>
      <c r="D209" s="11" t="s">
        <v>149</v>
      </c>
      <c r="E209" s="11" t="s">
        <v>113</v>
      </c>
      <c r="F209" s="11" t="s">
        <v>150</v>
      </c>
      <c r="G209" s="11" t="s">
        <v>114</v>
      </c>
      <c r="H209" s="11" t="s">
        <v>151</v>
      </c>
      <c r="I209" s="11" t="s">
        <v>100</v>
      </c>
      <c r="J209" s="11">
        <v>1</v>
      </c>
      <c r="K209" s="11">
        <v>3</v>
      </c>
      <c r="L209" s="11">
        <v>0</v>
      </c>
      <c r="M209" s="11">
        <v>3</v>
      </c>
      <c r="N209" s="11">
        <v>6</v>
      </c>
    </row>
    <row r="210" spans="1:14" ht="15" customHeight="1" x14ac:dyDescent="0.25">
      <c r="A210" s="11">
        <v>18</v>
      </c>
      <c r="B210" s="11" t="s">
        <v>14</v>
      </c>
      <c r="C210" s="11" t="s">
        <v>79</v>
      </c>
      <c r="D210" s="11" t="s">
        <v>152</v>
      </c>
      <c r="E210" s="11" t="s">
        <v>102</v>
      </c>
      <c r="F210" s="11" t="s">
        <v>154</v>
      </c>
      <c r="G210" s="11" t="s">
        <v>103</v>
      </c>
      <c r="H210" s="11" t="s">
        <v>153</v>
      </c>
      <c r="I210" s="11" t="s">
        <v>115</v>
      </c>
      <c r="J210" s="11">
        <v>1</v>
      </c>
      <c r="K210" s="11">
        <v>7</v>
      </c>
      <c r="L210" s="11">
        <v>6</v>
      </c>
      <c r="M210" s="11">
        <v>5</v>
      </c>
      <c r="N210" s="11">
        <v>18</v>
      </c>
    </row>
    <row r="211" spans="1:14" ht="15" customHeight="1" x14ac:dyDescent="0.25">
      <c r="A211" s="11">
        <v>18</v>
      </c>
      <c r="B211" s="11" t="s">
        <v>14</v>
      </c>
      <c r="C211" s="11" t="s">
        <v>80</v>
      </c>
      <c r="D211" s="11" t="s">
        <v>156</v>
      </c>
      <c r="E211" s="11" t="s">
        <v>105</v>
      </c>
      <c r="F211" s="11" t="s">
        <v>155</v>
      </c>
      <c r="G211" s="11" t="s">
        <v>104</v>
      </c>
      <c r="H211" s="11" t="s">
        <v>157</v>
      </c>
      <c r="I211" s="11" t="s">
        <v>116</v>
      </c>
      <c r="J211" s="11">
        <v>1</v>
      </c>
      <c r="K211" s="11">
        <v>3</v>
      </c>
      <c r="L211" s="11">
        <v>3</v>
      </c>
      <c r="M211" s="11">
        <v>5</v>
      </c>
      <c r="N211" s="11">
        <v>11</v>
      </c>
    </row>
    <row r="212" spans="1:14" ht="15" customHeight="1" x14ac:dyDescent="0.25">
      <c r="A212" s="11">
        <v>18</v>
      </c>
      <c r="B212" s="11" t="s">
        <v>14</v>
      </c>
      <c r="C212" s="11" t="s">
        <v>81</v>
      </c>
      <c r="D212" s="11" t="s">
        <v>158</v>
      </c>
      <c r="E212" s="11" t="s">
        <v>68</v>
      </c>
      <c r="F212" s="11" t="s">
        <v>159</v>
      </c>
      <c r="G212" s="11" t="s">
        <v>73</v>
      </c>
      <c r="H212" s="11" t="s">
        <v>182</v>
      </c>
      <c r="I212" s="11" t="s">
        <v>72</v>
      </c>
      <c r="J212" s="11">
        <v>1</v>
      </c>
      <c r="K212" s="11">
        <v>3</v>
      </c>
      <c r="L212" s="11">
        <v>3</v>
      </c>
      <c r="M212" s="11">
        <v>0</v>
      </c>
      <c r="N212" s="11">
        <v>6</v>
      </c>
    </row>
    <row r="213" spans="1:14" ht="15" customHeight="1" x14ac:dyDescent="0.25">
      <c r="A213" s="11">
        <v>18</v>
      </c>
      <c r="B213" s="11" t="s">
        <v>14</v>
      </c>
      <c r="C213" s="11" t="s">
        <v>82</v>
      </c>
      <c r="D213" s="11" t="s">
        <v>161</v>
      </c>
      <c r="E213" s="11" t="s">
        <v>66</v>
      </c>
      <c r="F213" s="11" t="s">
        <v>162</v>
      </c>
      <c r="G213" s="11" t="s">
        <v>70</v>
      </c>
      <c r="H213" s="11" t="s">
        <v>163</v>
      </c>
      <c r="I213" s="11" t="s">
        <v>67</v>
      </c>
      <c r="J213" s="11">
        <v>1</v>
      </c>
      <c r="K213" s="11">
        <v>7</v>
      </c>
      <c r="L213" s="11">
        <v>6</v>
      </c>
      <c r="M213" s="11">
        <v>0</v>
      </c>
      <c r="N213" s="11">
        <v>13</v>
      </c>
    </row>
    <row r="214" spans="1:14" ht="15" customHeight="1" x14ac:dyDescent="0.25">
      <c r="A214" s="11">
        <v>18</v>
      </c>
      <c r="B214" s="11" t="s">
        <v>14</v>
      </c>
      <c r="C214" s="11" t="s">
        <v>83</v>
      </c>
      <c r="D214" s="11" t="s">
        <v>164</v>
      </c>
      <c r="E214" s="11" t="s">
        <v>35</v>
      </c>
      <c r="F214" s="11" t="s">
        <v>165</v>
      </c>
      <c r="G214" s="11" t="s">
        <v>44</v>
      </c>
      <c r="H214" s="11" t="s">
        <v>166</v>
      </c>
      <c r="I214" s="11" t="s">
        <v>45</v>
      </c>
      <c r="J214" s="11">
        <v>1</v>
      </c>
      <c r="K214" s="11">
        <v>7</v>
      </c>
      <c r="L214" s="11">
        <v>6</v>
      </c>
      <c r="M214" s="11">
        <v>0</v>
      </c>
      <c r="N214" s="11">
        <v>13</v>
      </c>
    </row>
    <row r="215" spans="1:14" ht="15" customHeight="1" x14ac:dyDescent="0.25">
      <c r="A215" s="11">
        <v>18</v>
      </c>
      <c r="B215" s="11" t="s">
        <v>14</v>
      </c>
      <c r="C215" s="11" t="s">
        <v>84</v>
      </c>
      <c r="D215" s="11" t="s">
        <v>167</v>
      </c>
      <c r="E215" s="11" t="s">
        <v>23</v>
      </c>
      <c r="F215" s="11" t="s">
        <v>168</v>
      </c>
      <c r="G215" s="11" t="s">
        <v>24</v>
      </c>
      <c r="H215" s="11" t="s">
        <v>169</v>
      </c>
      <c r="I215" s="11" t="s">
        <v>57</v>
      </c>
      <c r="J215" s="11">
        <v>1</v>
      </c>
      <c r="K215" s="11">
        <v>7</v>
      </c>
      <c r="L215" s="11">
        <v>6</v>
      </c>
      <c r="M215" s="11">
        <v>0</v>
      </c>
      <c r="N215" s="11">
        <v>13</v>
      </c>
    </row>
    <row r="216" spans="1:14" ht="15" customHeight="1" x14ac:dyDescent="0.25">
      <c r="A216" s="11">
        <v>18</v>
      </c>
      <c r="B216" s="11" t="s">
        <v>14</v>
      </c>
      <c r="C216" s="11" t="s">
        <v>85</v>
      </c>
      <c r="D216" s="11" t="s">
        <v>170</v>
      </c>
      <c r="E216" s="11" t="s">
        <v>107</v>
      </c>
      <c r="F216" s="11" t="s">
        <v>171</v>
      </c>
      <c r="G216" s="11" t="s">
        <v>106</v>
      </c>
      <c r="H216" s="11" t="s">
        <v>172</v>
      </c>
      <c r="I216" s="11" t="s">
        <v>117</v>
      </c>
      <c r="J216" s="11">
        <v>1</v>
      </c>
      <c r="K216" s="11">
        <v>3</v>
      </c>
      <c r="L216" s="11">
        <v>3</v>
      </c>
      <c r="M216" s="11">
        <v>5</v>
      </c>
      <c r="N216" s="11">
        <v>11</v>
      </c>
    </row>
    <row r="217" spans="1:14" ht="15" customHeight="1" x14ac:dyDescent="0.25">
      <c r="A217" s="11">
        <v>18</v>
      </c>
      <c r="B217" s="11" t="s">
        <v>14</v>
      </c>
      <c r="C217" s="11" t="s">
        <v>86</v>
      </c>
      <c r="D217" s="11" t="s">
        <v>173</v>
      </c>
      <c r="E217" s="11" t="s">
        <v>108</v>
      </c>
      <c r="F217" s="11" t="s">
        <v>174</v>
      </c>
      <c r="G217" s="11" t="s">
        <v>118</v>
      </c>
      <c r="H217" s="11" t="s">
        <v>175</v>
      </c>
      <c r="I217" s="11" t="s">
        <v>109</v>
      </c>
      <c r="J217" s="11">
        <v>1</v>
      </c>
      <c r="K217" s="11">
        <v>7</v>
      </c>
      <c r="L217" s="11">
        <v>0</v>
      </c>
      <c r="M217" s="11">
        <v>3</v>
      </c>
      <c r="N217" s="11">
        <v>10</v>
      </c>
    </row>
    <row r="218" spans="1:14" ht="15" customHeight="1" x14ac:dyDescent="0.25">
      <c r="A218" s="11">
        <v>19</v>
      </c>
      <c r="B218" s="11" t="s">
        <v>32</v>
      </c>
      <c r="C218" s="11" t="s">
        <v>75</v>
      </c>
      <c r="D218" s="11" t="s">
        <v>140</v>
      </c>
      <c r="E218" s="11" t="s">
        <v>94</v>
      </c>
      <c r="F218" s="11" t="s">
        <v>141</v>
      </c>
      <c r="G218" s="11" t="s">
        <v>95</v>
      </c>
      <c r="H218" s="11" t="s">
        <v>142</v>
      </c>
      <c r="I218" s="11" t="s">
        <v>110</v>
      </c>
      <c r="J218" s="11">
        <v>1</v>
      </c>
      <c r="K218" s="11">
        <v>7</v>
      </c>
      <c r="L218" s="11">
        <v>6</v>
      </c>
      <c r="M218" s="11">
        <v>0</v>
      </c>
      <c r="N218" s="11">
        <v>13</v>
      </c>
    </row>
    <row r="219" spans="1:14" ht="15" customHeight="1" x14ac:dyDescent="0.25">
      <c r="A219" s="11">
        <v>19</v>
      </c>
      <c r="B219" s="11" t="s">
        <v>32</v>
      </c>
      <c r="C219" s="11" t="s">
        <v>76</v>
      </c>
      <c r="D219" s="11" t="s">
        <v>143</v>
      </c>
      <c r="E219" s="11" t="s">
        <v>97</v>
      </c>
      <c r="F219" s="11" t="s">
        <v>144</v>
      </c>
      <c r="G219" s="11" t="s">
        <v>96</v>
      </c>
      <c r="H219" s="11" t="s">
        <v>178</v>
      </c>
      <c r="I219" s="11" t="s">
        <v>121</v>
      </c>
      <c r="J219" s="11">
        <v>1</v>
      </c>
      <c r="K219" s="11">
        <v>3</v>
      </c>
      <c r="L219" s="11">
        <v>3</v>
      </c>
      <c r="M219" s="11">
        <v>0</v>
      </c>
      <c r="N219" s="11">
        <v>6</v>
      </c>
    </row>
    <row r="220" spans="1:14" ht="15" customHeight="1" x14ac:dyDescent="0.25">
      <c r="A220" s="11">
        <v>19</v>
      </c>
      <c r="B220" s="11" t="s">
        <v>32</v>
      </c>
      <c r="C220" s="11" t="s">
        <v>77</v>
      </c>
      <c r="D220" s="11" t="s">
        <v>147</v>
      </c>
      <c r="E220" s="11" t="s">
        <v>98</v>
      </c>
      <c r="F220" s="11" t="s">
        <v>146</v>
      </c>
      <c r="G220" s="11" t="s">
        <v>99</v>
      </c>
      <c r="H220" s="11" t="s">
        <v>148</v>
      </c>
      <c r="I220" s="11" t="s">
        <v>112</v>
      </c>
      <c r="J220" s="11">
        <v>1</v>
      </c>
      <c r="K220" s="11">
        <v>7</v>
      </c>
      <c r="L220" s="11">
        <v>6</v>
      </c>
      <c r="M220" s="11">
        <v>5</v>
      </c>
      <c r="N220" s="11">
        <v>18</v>
      </c>
    </row>
    <row r="221" spans="1:14" ht="15" customHeight="1" x14ac:dyDescent="0.25">
      <c r="A221" s="11">
        <v>19</v>
      </c>
      <c r="B221" s="11" t="s">
        <v>32</v>
      </c>
      <c r="C221" s="11" t="s">
        <v>78</v>
      </c>
      <c r="D221" s="11" t="s">
        <v>151</v>
      </c>
      <c r="E221" s="11" t="s">
        <v>100</v>
      </c>
      <c r="F221" s="11" t="s">
        <v>150</v>
      </c>
      <c r="G221" s="11" t="s">
        <v>114</v>
      </c>
      <c r="H221" s="11" t="s">
        <v>149</v>
      </c>
      <c r="I221" s="11" t="s">
        <v>113</v>
      </c>
      <c r="J221" s="11">
        <v>1</v>
      </c>
      <c r="K221" s="11">
        <v>7</v>
      </c>
      <c r="L221" s="11">
        <v>0</v>
      </c>
      <c r="M221" s="11">
        <v>5</v>
      </c>
      <c r="N221" s="11">
        <v>12</v>
      </c>
    </row>
    <row r="222" spans="1:14" ht="15" customHeight="1" x14ac:dyDescent="0.25">
      <c r="A222" s="11">
        <v>19</v>
      </c>
      <c r="B222" s="11" t="s">
        <v>32</v>
      </c>
      <c r="C222" s="11" t="s">
        <v>79</v>
      </c>
      <c r="D222" s="11" t="s">
        <v>152</v>
      </c>
      <c r="E222" s="11" t="s">
        <v>102</v>
      </c>
      <c r="F222" s="11" t="s">
        <v>154</v>
      </c>
      <c r="G222" s="11" t="s">
        <v>103</v>
      </c>
      <c r="H222" s="11" t="s">
        <v>153</v>
      </c>
      <c r="I222" s="11" t="s">
        <v>115</v>
      </c>
      <c r="J222" s="11">
        <v>1</v>
      </c>
      <c r="K222" s="11">
        <v>7</v>
      </c>
      <c r="L222" s="11">
        <v>6</v>
      </c>
      <c r="M222" s="11">
        <v>5</v>
      </c>
      <c r="N222" s="11">
        <v>18</v>
      </c>
    </row>
    <row r="223" spans="1:14" ht="15" customHeight="1" x14ac:dyDescent="0.25">
      <c r="A223" s="11">
        <v>19</v>
      </c>
      <c r="B223" s="11" t="s">
        <v>32</v>
      </c>
      <c r="C223" s="11" t="s">
        <v>80</v>
      </c>
      <c r="D223" s="11" t="s">
        <v>155</v>
      </c>
      <c r="E223" s="11" t="s">
        <v>104</v>
      </c>
      <c r="F223" s="11" t="s">
        <v>157</v>
      </c>
      <c r="G223" s="11" t="s">
        <v>116</v>
      </c>
      <c r="H223" s="11" t="s">
        <v>156</v>
      </c>
      <c r="I223" s="11" t="s">
        <v>105</v>
      </c>
      <c r="J223" s="11">
        <v>1</v>
      </c>
      <c r="K223" s="11">
        <v>7</v>
      </c>
      <c r="L223" s="11">
        <v>3</v>
      </c>
      <c r="M223" s="11">
        <v>3</v>
      </c>
      <c r="N223" s="11">
        <v>13</v>
      </c>
    </row>
    <row r="224" spans="1:14" ht="15" customHeight="1" x14ac:dyDescent="0.25">
      <c r="A224" s="11">
        <v>19</v>
      </c>
      <c r="B224" s="11" t="s">
        <v>32</v>
      </c>
      <c r="C224" s="11" t="s">
        <v>81</v>
      </c>
      <c r="D224" s="11" t="s">
        <v>158</v>
      </c>
      <c r="E224" s="11" t="s">
        <v>68</v>
      </c>
      <c r="F224" s="11" t="s">
        <v>160</v>
      </c>
      <c r="G224" s="11" t="s">
        <v>69</v>
      </c>
      <c r="H224" s="11" t="s">
        <v>159</v>
      </c>
      <c r="I224" s="11" t="s">
        <v>73</v>
      </c>
      <c r="J224" s="11">
        <v>1</v>
      </c>
      <c r="K224" s="11">
        <v>3</v>
      </c>
      <c r="L224" s="11">
        <v>6</v>
      </c>
      <c r="M224" s="11">
        <v>3</v>
      </c>
      <c r="N224" s="11">
        <v>12</v>
      </c>
    </row>
    <row r="225" spans="1:14" ht="15" customHeight="1" x14ac:dyDescent="0.25">
      <c r="A225" s="11">
        <v>19</v>
      </c>
      <c r="B225" s="11" t="s">
        <v>32</v>
      </c>
      <c r="C225" s="11" t="s">
        <v>82</v>
      </c>
      <c r="D225" s="11" t="s">
        <v>161</v>
      </c>
      <c r="E225" s="11" t="s">
        <v>66</v>
      </c>
      <c r="F225" s="11" t="s">
        <v>162</v>
      </c>
      <c r="G225" s="11" t="s">
        <v>70</v>
      </c>
      <c r="H225" s="11" t="s">
        <v>163</v>
      </c>
      <c r="I225" s="11" t="s">
        <v>67</v>
      </c>
      <c r="J225" s="11">
        <v>1</v>
      </c>
      <c r="K225" s="11">
        <v>7</v>
      </c>
      <c r="L225" s="11">
        <v>6</v>
      </c>
      <c r="M225" s="11">
        <v>0</v>
      </c>
      <c r="N225" s="11">
        <v>13</v>
      </c>
    </row>
    <row r="226" spans="1:14" ht="15" customHeight="1" x14ac:dyDescent="0.25">
      <c r="A226" s="11">
        <v>19</v>
      </c>
      <c r="B226" s="11" t="s">
        <v>32</v>
      </c>
      <c r="C226" s="11" t="s">
        <v>83</v>
      </c>
      <c r="D226" s="11" t="s">
        <v>164</v>
      </c>
      <c r="E226" s="11" t="s">
        <v>35</v>
      </c>
      <c r="F226" s="11" t="s">
        <v>166</v>
      </c>
      <c r="G226" s="11" t="s">
        <v>45</v>
      </c>
      <c r="H226" s="11" t="s">
        <v>165</v>
      </c>
      <c r="I226" s="11" t="s">
        <v>44</v>
      </c>
      <c r="J226" s="11">
        <v>1</v>
      </c>
      <c r="K226" s="11">
        <v>7</v>
      </c>
      <c r="L226" s="11">
        <v>0</v>
      </c>
      <c r="M226" s="11">
        <v>3</v>
      </c>
      <c r="N226" s="11">
        <v>10</v>
      </c>
    </row>
    <row r="227" spans="1:14" ht="15" customHeight="1" x14ac:dyDescent="0.25">
      <c r="A227" s="11">
        <v>19</v>
      </c>
      <c r="B227" s="11" t="s">
        <v>32</v>
      </c>
      <c r="C227" s="11" t="s">
        <v>84</v>
      </c>
      <c r="D227" s="11" t="s">
        <v>167</v>
      </c>
      <c r="E227" s="11" t="s">
        <v>23</v>
      </c>
      <c r="F227" s="11" t="s">
        <v>168</v>
      </c>
      <c r="G227" s="11" t="s">
        <v>24</v>
      </c>
      <c r="H227" s="11" t="s">
        <v>169</v>
      </c>
      <c r="I227" s="11" t="s">
        <v>57</v>
      </c>
      <c r="J227" s="11">
        <v>1</v>
      </c>
      <c r="K227" s="11">
        <v>7</v>
      </c>
      <c r="L227" s="11">
        <v>6</v>
      </c>
      <c r="M227" s="11">
        <v>0</v>
      </c>
      <c r="N227" s="11">
        <v>13</v>
      </c>
    </row>
    <row r="228" spans="1:14" ht="15" customHeight="1" x14ac:dyDescent="0.25">
      <c r="A228" s="11">
        <v>19</v>
      </c>
      <c r="B228" s="11" t="s">
        <v>32</v>
      </c>
      <c r="C228" s="11" t="s">
        <v>85</v>
      </c>
      <c r="D228" s="11" t="s">
        <v>170</v>
      </c>
      <c r="E228" s="11" t="s">
        <v>107</v>
      </c>
      <c r="F228" s="11" t="s">
        <v>171</v>
      </c>
      <c r="G228" s="11" t="s">
        <v>106</v>
      </c>
      <c r="H228" s="11" t="s">
        <v>180</v>
      </c>
      <c r="I228" s="11" t="s">
        <v>123</v>
      </c>
      <c r="J228" s="11">
        <v>1</v>
      </c>
      <c r="K228" s="11">
        <v>3</v>
      </c>
      <c r="L228" s="11">
        <v>3</v>
      </c>
      <c r="M228" s="11">
        <v>0</v>
      </c>
      <c r="N228" s="11">
        <v>6</v>
      </c>
    </row>
    <row r="229" spans="1:14" ht="15" customHeight="1" x14ac:dyDescent="0.25">
      <c r="A229" s="11">
        <v>19</v>
      </c>
      <c r="B229" s="11" t="s">
        <v>32</v>
      </c>
      <c r="C229" s="11" t="s">
        <v>86</v>
      </c>
      <c r="D229" s="11" t="s">
        <v>173</v>
      </c>
      <c r="E229" s="11" t="s">
        <v>108</v>
      </c>
      <c r="F229" s="11" t="s">
        <v>174</v>
      </c>
      <c r="G229" s="11" t="s">
        <v>118</v>
      </c>
      <c r="H229" s="11" t="s">
        <v>177</v>
      </c>
      <c r="I229" s="11" t="s">
        <v>120</v>
      </c>
      <c r="J229" s="11">
        <v>1</v>
      </c>
      <c r="K229" s="11">
        <v>7</v>
      </c>
      <c r="L229" s="11">
        <v>0</v>
      </c>
      <c r="M229" s="11">
        <v>0</v>
      </c>
      <c r="N229" s="11">
        <v>7</v>
      </c>
    </row>
    <row r="230" spans="1:14" ht="15" customHeight="1" x14ac:dyDescent="0.25">
      <c r="A230" s="11">
        <v>20</v>
      </c>
      <c r="B230" s="11" t="s">
        <v>46</v>
      </c>
      <c r="C230" s="11" t="s">
        <v>75</v>
      </c>
      <c r="D230" s="11" t="s">
        <v>140</v>
      </c>
      <c r="E230" s="11" t="s">
        <v>94</v>
      </c>
      <c r="F230" s="11" t="s">
        <v>141</v>
      </c>
      <c r="G230" s="11" t="s">
        <v>95</v>
      </c>
      <c r="H230" s="11" t="s">
        <v>176</v>
      </c>
      <c r="I230" s="11" t="s">
        <v>119</v>
      </c>
      <c r="J230" s="11">
        <v>1</v>
      </c>
      <c r="K230" s="11">
        <v>7</v>
      </c>
      <c r="L230" s="11">
        <v>6</v>
      </c>
      <c r="M230" s="11">
        <v>5</v>
      </c>
      <c r="N230" s="11">
        <v>18</v>
      </c>
    </row>
    <row r="231" spans="1:14" ht="15" customHeight="1" x14ac:dyDescent="0.25">
      <c r="A231" s="11">
        <v>20</v>
      </c>
      <c r="B231" s="11" t="s">
        <v>46</v>
      </c>
      <c r="C231" s="11" t="s">
        <v>76</v>
      </c>
      <c r="D231" s="11" t="s">
        <v>143</v>
      </c>
      <c r="E231" s="11" t="s">
        <v>97</v>
      </c>
      <c r="F231" s="11" t="s">
        <v>144</v>
      </c>
      <c r="G231" s="11" t="s">
        <v>96</v>
      </c>
      <c r="H231" s="11" t="s">
        <v>178</v>
      </c>
      <c r="I231" s="11" t="s">
        <v>121</v>
      </c>
      <c r="J231" s="11">
        <v>1</v>
      </c>
      <c r="K231" s="11">
        <v>3</v>
      </c>
      <c r="L231" s="11">
        <v>3</v>
      </c>
      <c r="M231" s="11">
        <v>0</v>
      </c>
      <c r="N231" s="11">
        <v>6</v>
      </c>
    </row>
    <row r="232" spans="1:14" ht="15" customHeight="1" x14ac:dyDescent="0.25">
      <c r="A232" s="11">
        <v>20</v>
      </c>
      <c r="B232" s="11" t="s">
        <v>46</v>
      </c>
      <c r="C232" s="11" t="s">
        <v>77</v>
      </c>
      <c r="D232" s="11" t="s">
        <v>147</v>
      </c>
      <c r="E232" s="11" t="s">
        <v>98</v>
      </c>
      <c r="F232" s="11" t="s">
        <v>146</v>
      </c>
      <c r="G232" s="11" t="s">
        <v>99</v>
      </c>
      <c r="H232" s="11" t="s">
        <v>148</v>
      </c>
      <c r="I232" s="11" t="s">
        <v>112</v>
      </c>
      <c r="J232" s="11">
        <v>1</v>
      </c>
      <c r="K232" s="11">
        <v>7</v>
      </c>
      <c r="L232" s="11">
        <v>6</v>
      </c>
      <c r="M232" s="11">
        <v>5</v>
      </c>
      <c r="N232" s="11">
        <v>18</v>
      </c>
    </row>
    <row r="233" spans="1:14" ht="15" customHeight="1" x14ac:dyDescent="0.25">
      <c r="A233" s="11">
        <v>20</v>
      </c>
      <c r="B233" s="11" t="s">
        <v>46</v>
      </c>
      <c r="C233" s="11" t="s">
        <v>78</v>
      </c>
      <c r="D233" s="11" t="s">
        <v>181</v>
      </c>
      <c r="E233" s="11" t="s">
        <v>101</v>
      </c>
      <c r="F233" s="11" t="s">
        <v>149</v>
      </c>
      <c r="G233" s="11" t="s">
        <v>113</v>
      </c>
      <c r="H233" s="11" t="s">
        <v>151</v>
      </c>
      <c r="I233" s="11" t="s">
        <v>100</v>
      </c>
      <c r="J233" s="11">
        <v>1</v>
      </c>
      <c r="K233" s="11">
        <v>3</v>
      </c>
      <c r="L233" s="11">
        <v>3</v>
      </c>
      <c r="M233" s="11">
        <v>3</v>
      </c>
      <c r="N233" s="11">
        <v>9</v>
      </c>
    </row>
    <row r="234" spans="1:14" ht="15" customHeight="1" x14ac:dyDescent="0.25">
      <c r="A234" s="11">
        <v>20</v>
      </c>
      <c r="B234" s="11" t="s">
        <v>46</v>
      </c>
      <c r="C234" s="11" t="s">
        <v>79</v>
      </c>
      <c r="D234" s="11" t="s">
        <v>152</v>
      </c>
      <c r="E234" s="11" t="s">
        <v>102</v>
      </c>
      <c r="F234" s="11" t="s">
        <v>153</v>
      </c>
      <c r="G234" s="11" t="s">
        <v>115</v>
      </c>
      <c r="H234" s="11" t="s">
        <v>154</v>
      </c>
      <c r="I234" s="11" t="s">
        <v>103</v>
      </c>
      <c r="J234" s="11">
        <v>1</v>
      </c>
      <c r="K234" s="11">
        <v>7</v>
      </c>
      <c r="L234" s="11">
        <v>3</v>
      </c>
      <c r="M234" s="11">
        <v>3</v>
      </c>
      <c r="N234" s="11">
        <v>13</v>
      </c>
    </row>
    <row r="235" spans="1:14" ht="15" customHeight="1" x14ac:dyDescent="0.25">
      <c r="A235" s="11">
        <v>20</v>
      </c>
      <c r="B235" s="11" t="s">
        <v>46</v>
      </c>
      <c r="C235" s="11" t="s">
        <v>80</v>
      </c>
      <c r="D235" s="11" t="s">
        <v>155</v>
      </c>
      <c r="E235" s="11" t="s">
        <v>104</v>
      </c>
      <c r="F235" s="11" t="s">
        <v>157</v>
      </c>
      <c r="G235" s="11" t="s">
        <v>116</v>
      </c>
      <c r="H235" s="11" t="s">
        <v>156</v>
      </c>
      <c r="I235" s="11" t="s">
        <v>105</v>
      </c>
      <c r="J235" s="11">
        <v>1</v>
      </c>
      <c r="K235" s="11">
        <v>7</v>
      </c>
      <c r="L235" s="11">
        <v>3</v>
      </c>
      <c r="M235" s="11">
        <v>3</v>
      </c>
      <c r="N235" s="11">
        <v>13</v>
      </c>
    </row>
    <row r="236" spans="1:14" ht="15" customHeight="1" x14ac:dyDescent="0.25">
      <c r="A236" s="11">
        <v>20</v>
      </c>
      <c r="B236" s="11" t="s">
        <v>46</v>
      </c>
      <c r="C236" s="11" t="s">
        <v>81</v>
      </c>
      <c r="D236" s="11" t="s">
        <v>158</v>
      </c>
      <c r="E236" s="11" t="s">
        <v>68</v>
      </c>
      <c r="F236" s="11" t="s">
        <v>160</v>
      </c>
      <c r="G236" s="11" t="s">
        <v>69</v>
      </c>
      <c r="H236" s="11" t="s">
        <v>159</v>
      </c>
      <c r="I236" s="11" t="s">
        <v>73</v>
      </c>
      <c r="J236" s="11">
        <v>1</v>
      </c>
      <c r="K236" s="11">
        <v>3</v>
      </c>
      <c r="L236" s="11">
        <v>6</v>
      </c>
      <c r="M236" s="11">
        <v>3</v>
      </c>
      <c r="N236" s="11">
        <v>12</v>
      </c>
    </row>
    <row r="237" spans="1:14" ht="15" customHeight="1" x14ac:dyDescent="0.25">
      <c r="A237" s="11">
        <v>20</v>
      </c>
      <c r="B237" s="11" t="s">
        <v>46</v>
      </c>
      <c r="C237" s="11" t="s">
        <v>82</v>
      </c>
      <c r="D237" s="11" t="s">
        <v>161</v>
      </c>
      <c r="E237" s="11" t="s">
        <v>66</v>
      </c>
      <c r="F237" s="11" t="s">
        <v>162</v>
      </c>
      <c r="G237" s="11" t="s">
        <v>70</v>
      </c>
      <c r="H237" s="11" t="s">
        <v>163</v>
      </c>
      <c r="I237" s="11" t="s">
        <v>67</v>
      </c>
      <c r="J237" s="11">
        <v>1</v>
      </c>
      <c r="K237" s="11">
        <v>7</v>
      </c>
      <c r="L237" s="11">
        <v>6</v>
      </c>
      <c r="M237" s="11">
        <v>0</v>
      </c>
      <c r="N237" s="11">
        <v>13</v>
      </c>
    </row>
    <row r="238" spans="1:14" ht="15" customHeight="1" x14ac:dyDescent="0.25">
      <c r="A238" s="11">
        <v>20</v>
      </c>
      <c r="B238" s="11" t="s">
        <v>46</v>
      </c>
      <c r="C238" s="11" t="s">
        <v>83</v>
      </c>
      <c r="D238" s="11" t="s">
        <v>164</v>
      </c>
      <c r="E238" s="11" t="s">
        <v>35</v>
      </c>
      <c r="F238" s="11" t="s">
        <v>166</v>
      </c>
      <c r="G238" s="11" t="s">
        <v>45</v>
      </c>
      <c r="H238" s="11" t="s">
        <v>165</v>
      </c>
      <c r="I238" s="11" t="s">
        <v>44</v>
      </c>
      <c r="J238" s="11">
        <v>1</v>
      </c>
      <c r="K238" s="11">
        <v>7</v>
      </c>
      <c r="L238" s="11">
        <v>0</v>
      </c>
      <c r="M238" s="11">
        <v>3</v>
      </c>
      <c r="N238" s="11">
        <v>10</v>
      </c>
    </row>
    <row r="239" spans="1:14" ht="15" customHeight="1" x14ac:dyDescent="0.25">
      <c r="A239" s="11">
        <v>20</v>
      </c>
      <c r="B239" s="11" t="s">
        <v>46</v>
      </c>
      <c r="C239" s="11" t="s">
        <v>84</v>
      </c>
      <c r="D239" s="11" t="s">
        <v>167</v>
      </c>
      <c r="E239" s="11" t="s">
        <v>23</v>
      </c>
      <c r="F239" s="11" t="s">
        <v>168</v>
      </c>
      <c r="G239" s="11" t="s">
        <v>24</v>
      </c>
      <c r="H239" s="11" t="s">
        <v>169</v>
      </c>
      <c r="I239" s="11" t="s">
        <v>57</v>
      </c>
      <c r="J239" s="11">
        <v>1</v>
      </c>
      <c r="K239" s="11">
        <v>7</v>
      </c>
      <c r="L239" s="11">
        <v>6</v>
      </c>
      <c r="M239" s="11">
        <v>0</v>
      </c>
      <c r="N239" s="11">
        <v>13</v>
      </c>
    </row>
    <row r="240" spans="1:14" ht="15" customHeight="1" x14ac:dyDescent="0.25">
      <c r="A240" s="11">
        <v>20</v>
      </c>
      <c r="B240" s="11" t="s">
        <v>46</v>
      </c>
      <c r="C240" s="11" t="s">
        <v>85</v>
      </c>
      <c r="D240" s="11" t="s">
        <v>170</v>
      </c>
      <c r="E240" s="11" t="s">
        <v>107</v>
      </c>
      <c r="F240" s="11" t="s">
        <v>171</v>
      </c>
      <c r="G240" s="11" t="s">
        <v>106</v>
      </c>
      <c r="H240" s="11" t="s">
        <v>172</v>
      </c>
      <c r="I240" s="11" t="s">
        <v>117</v>
      </c>
      <c r="J240" s="11">
        <v>1</v>
      </c>
      <c r="K240" s="11">
        <v>3</v>
      </c>
      <c r="L240" s="11">
        <v>3</v>
      </c>
      <c r="M240" s="11">
        <v>5</v>
      </c>
      <c r="N240" s="11">
        <v>11</v>
      </c>
    </row>
    <row r="241" spans="1:14" ht="15" customHeight="1" x14ac:dyDescent="0.25">
      <c r="A241" s="11">
        <v>20</v>
      </c>
      <c r="B241" s="11" t="s">
        <v>46</v>
      </c>
      <c r="C241" s="11" t="s">
        <v>86</v>
      </c>
      <c r="D241" s="11" t="s">
        <v>174</v>
      </c>
      <c r="E241" s="11" t="s">
        <v>118</v>
      </c>
      <c r="F241" s="11" t="s">
        <v>173</v>
      </c>
      <c r="G241" s="11" t="s">
        <v>108</v>
      </c>
      <c r="H241" s="11" t="s">
        <v>177</v>
      </c>
      <c r="I241" s="11" t="s">
        <v>120</v>
      </c>
      <c r="J241" s="11">
        <v>1</v>
      </c>
      <c r="K241" s="11">
        <v>0</v>
      </c>
      <c r="L241" s="11">
        <v>3</v>
      </c>
      <c r="M241" s="11">
        <v>0</v>
      </c>
      <c r="N241" s="11">
        <v>3</v>
      </c>
    </row>
    <row r="242" spans="1:14" ht="15" customHeight="1" x14ac:dyDescent="0.25">
      <c r="A242" s="11">
        <v>21</v>
      </c>
      <c r="B242" s="11" t="s">
        <v>34</v>
      </c>
      <c r="C242" s="11" t="s">
        <v>75</v>
      </c>
      <c r="D242" s="11" t="s">
        <v>140</v>
      </c>
      <c r="E242" s="11" t="s">
        <v>94</v>
      </c>
      <c r="F242" s="11" t="s">
        <v>141</v>
      </c>
      <c r="G242" s="11" t="s">
        <v>95</v>
      </c>
      <c r="H242" s="11" t="s">
        <v>176</v>
      </c>
      <c r="I242" s="11" t="s">
        <v>119</v>
      </c>
      <c r="J242" s="11">
        <v>1</v>
      </c>
      <c r="K242" s="11">
        <v>7</v>
      </c>
      <c r="L242" s="11">
        <v>6</v>
      </c>
      <c r="M242" s="11">
        <v>5</v>
      </c>
      <c r="N242" s="11">
        <v>18</v>
      </c>
    </row>
    <row r="243" spans="1:14" ht="15" customHeight="1" x14ac:dyDescent="0.25">
      <c r="A243" s="11">
        <v>21</v>
      </c>
      <c r="B243" s="11" t="s">
        <v>34</v>
      </c>
      <c r="C243" s="11" t="s">
        <v>76</v>
      </c>
      <c r="D243" s="11" t="s">
        <v>144</v>
      </c>
      <c r="E243" s="11" t="s">
        <v>96</v>
      </c>
      <c r="F243" s="11" t="s">
        <v>143</v>
      </c>
      <c r="G243" s="11" t="s">
        <v>97</v>
      </c>
      <c r="H243" s="11" t="s">
        <v>178</v>
      </c>
      <c r="I243" s="11" t="s">
        <v>121</v>
      </c>
      <c r="J243" s="11">
        <v>1</v>
      </c>
      <c r="K243" s="11">
        <v>7</v>
      </c>
      <c r="L243" s="11">
        <v>6</v>
      </c>
      <c r="M243" s="11">
        <v>0</v>
      </c>
      <c r="N243" s="11">
        <v>13</v>
      </c>
    </row>
    <row r="244" spans="1:14" ht="15" customHeight="1" x14ac:dyDescent="0.25">
      <c r="A244" s="11">
        <v>21</v>
      </c>
      <c r="B244" s="11" t="s">
        <v>34</v>
      </c>
      <c r="C244" s="11" t="s">
        <v>77</v>
      </c>
      <c r="D244" s="11" t="s">
        <v>147</v>
      </c>
      <c r="E244" s="11" t="s">
        <v>98</v>
      </c>
      <c r="F244" s="11" t="s">
        <v>146</v>
      </c>
      <c r="G244" s="11" t="s">
        <v>99</v>
      </c>
      <c r="H244" s="11" t="s">
        <v>148</v>
      </c>
      <c r="I244" s="11" t="s">
        <v>112</v>
      </c>
      <c r="J244" s="11">
        <v>1</v>
      </c>
      <c r="K244" s="11">
        <v>7</v>
      </c>
      <c r="L244" s="11">
        <v>6</v>
      </c>
      <c r="M244" s="11">
        <v>5</v>
      </c>
      <c r="N244" s="11">
        <v>18</v>
      </c>
    </row>
    <row r="245" spans="1:14" ht="15" customHeight="1" x14ac:dyDescent="0.25">
      <c r="A245" s="11">
        <v>21</v>
      </c>
      <c r="B245" s="11" t="s">
        <v>34</v>
      </c>
      <c r="C245" s="11" t="s">
        <v>78</v>
      </c>
      <c r="D245" s="11" t="s">
        <v>151</v>
      </c>
      <c r="E245" s="11" t="s">
        <v>100</v>
      </c>
      <c r="F245" s="11" t="s">
        <v>181</v>
      </c>
      <c r="G245" s="11" t="s">
        <v>101</v>
      </c>
      <c r="H245" s="11" t="s">
        <v>149</v>
      </c>
      <c r="I245" s="11" t="s">
        <v>113</v>
      </c>
      <c r="J245" s="11">
        <v>1</v>
      </c>
      <c r="K245" s="11">
        <v>7</v>
      </c>
      <c r="L245" s="11">
        <v>6</v>
      </c>
      <c r="M245" s="11">
        <v>5</v>
      </c>
      <c r="N245" s="11">
        <v>18</v>
      </c>
    </row>
    <row r="246" spans="1:14" ht="15" customHeight="1" x14ac:dyDescent="0.25">
      <c r="A246" s="11">
        <v>21</v>
      </c>
      <c r="B246" s="11" t="s">
        <v>34</v>
      </c>
      <c r="C246" s="11" t="s">
        <v>79</v>
      </c>
      <c r="D246" s="11" t="s">
        <v>152</v>
      </c>
      <c r="E246" s="11" t="s">
        <v>102</v>
      </c>
      <c r="F246" s="11" t="s">
        <v>153</v>
      </c>
      <c r="G246" s="11" t="s">
        <v>115</v>
      </c>
      <c r="H246" s="11" t="s">
        <v>154</v>
      </c>
      <c r="I246" s="11" t="s">
        <v>103</v>
      </c>
      <c r="J246" s="11">
        <v>1</v>
      </c>
      <c r="K246" s="11">
        <v>7</v>
      </c>
      <c r="L246" s="11">
        <v>3</v>
      </c>
      <c r="M246" s="11">
        <v>3</v>
      </c>
      <c r="N246" s="11">
        <v>13</v>
      </c>
    </row>
    <row r="247" spans="1:14" ht="15" customHeight="1" x14ac:dyDescent="0.25">
      <c r="A247" s="11">
        <v>21</v>
      </c>
      <c r="B247" s="11" t="s">
        <v>34</v>
      </c>
      <c r="C247" s="11" t="s">
        <v>80</v>
      </c>
      <c r="D247" s="11" t="s">
        <v>155</v>
      </c>
      <c r="E247" s="11" t="s">
        <v>104</v>
      </c>
      <c r="F247" s="11" t="s">
        <v>157</v>
      </c>
      <c r="G247" s="11" t="s">
        <v>116</v>
      </c>
      <c r="H247" s="11" t="s">
        <v>156</v>
      </c>
      <c r="I247" s="11" t="s">
        <v>105</v>
      </c>
      <c r="J247" s="11">
        <v>1</v>
      </c>
      <c r="K247" s="11">
        <v>7</v>
      </c>
      <c r="L247" s="11">
        <v>3</v>
      </c>
      <c r="M247" s="11">
        <v>3</v>
      </c>
      <c r="N247" s="11">
        <v>13</v>
      </c>
    </row>
    <row r="248" spans="1:14" ht="15" customHeight="1" x14ac:dyDescent="0.25">
      <c r="A248" s="11">
        <v>21</v>
      </c>
      <c r="B248" s="11" t="s">
        <v>34</v>
      </c>
      <c r="C248" s="11" t="s">
        <v>81</v>
      </c>
      <c r="D248" s="11" t="s">
        <v>160</v>
      </c>
      <c r="E248" s="11" t="s">
        <v>69</v>
      </c>
      <c r="F248" s="11" t="s">
        <v>158</v>
      </c>
      <c r="G248" s="11" t="s">
        <v>68</v>
      </c>
      <c r="H248" s="11" t="s">
        <v>182</v>
      </c>
      <c r="I248" s="11" t="s">
        <v>72</v>
      </c>
      <c r="J248" s="11">
        <v>1</v>
      </c>
      <c r="K248" s="11">
        <v>3</v>
      </c>
      <c r="L248" s="11">
        <v>3</v>
      </c>
      <c r="M248" s="11">
        <v>0</v>
      </c>
      <c r="N248" s="11">
        <v>6</v>
      </c>
    </row>
    <row r="249" spans="1:14" ht="15" customHeight="1" x14ac:dyDescent="0.25">
      <c r="A249" s="11">
        <v>21</v>
      </c>
      <c r="B249" s="11" t="s">
        <v>34</v>
      </c>
      <c r="C249" s="11" t="s">
        <v>82</v>
      </c>
      <c r="D249" s="11" t="s">
        <v>161</v>
      </c>
      <c r="E249" s="11" t="s">
        <v>66</v>
      </c>
      <c r="F249" s="11" t="s">
        <v>162</v>
      </c>
      <c r="G249" s="11" t="s">
        <v>70</v>
      </c>
      <c r="H249" s="11" t="s">
        <v>163</v>
      </c>
      <c r="I249" s="11" t="s">
        <v>67</v>
      </c>
      <c r="J249" s="11">
        <v>1</v>
      </c>
      <c r="K249" s="11">
        <v>7</v>
      </c>
      <c r="L249" s="11">
        <v>6</v>
      </c>
      <c r="M249" s="11">
        <v>0</v>
      </c>
      <c r="N249" s="11">
        <v>13</v>
      </c>
    </row>
    <row r="250" spans="1:14" ht="15" customHeight="1" x14ac:dyDescent="0.25">
      <c r="A250" s="11">
        <v>21</v>
      </c>
      <c r="B250" s="11" t="s">
        <v>34</v>
      </c>
      <c r="C250" s="11" t="s">
        <v>83</v>
      </c>
      <c r="D250" s="11" t="s">
        <v>164</v>
      </c>
      <c r="E250" s="11" t="s">
        <v>35</v>
      </c>
      <c r="F250" s="11" t="s">
        <v>165</v>
      </c>
      <c r="G250" s="11" t="s">
        <v>44</v>
      </c>
      <c r="H250" s="11" t="s">
        <v>166</v>
      </c>
      <c r="I250" s="11" t="s">
        <v>45</v>
      </c>
      <c r="J250" s="11">
        <v>1</v>
      </c>
      <c r="K250" s="11">
        <v>7</v>
      </c>
      <c r="L250" s="11">
        <v>6</v>
      </c>
      <c r="M250" s="11">
        <v>0</v>
      </c>
      <c r="N250" s="11">
        <v>13</v>
      </c>
    </row>
    <row r="251" spans="1:14" ht="15" customHeight="1" x14ac:dyDescent="0.25">
      <c r="A251" s="11">
        <v>21</v>
      </c>
      <c r="B251" s="11" t="s">
        <v>34</v>
      </c>
      <c r="C251" s="11" t="s">
        <v>84</v>
      </c>
      <c r="D251" s="11" t="s">
        <v>167</v>
      </c>
      <c r="E251" s="11" t="s">
        <v>23</v>
      </c>
      <c r="F251" s="11" t="s">
        <v>169</v>
      </c>
      <c r="G251" s="11" t="s">
        <v>57</v>
      </c>
      <c r="H251" s="11" t="s">
        <v>168</v>
      </c>
      <c r="I251" s="11" t="s">
        <v>24</v>
      </c>
      <c r="J251" s="11">
        <v>1</v>
      </c>
      <c r="K251" s="11">
        <v>7</v>
      </c>
      <c r="L251" s="11">
        <v>0</v>
      </c>
      <c r="M251" s="11">
        <v>3</v>
      </c>
      <c r="N251" s="11">
        <v>10</v>
      </c>
    </row>
    <row r="252" spans="1:14" ht="15" customHeight="1" x14ac:dyDescent="0.25">
      <c r="A252" s="11">
        <v>21</v>
      </c>
      <c r="B252" s="11" t="s">
        <v>34</v>
      </c>
      <c r="C252" s="11" t="s">
        <v>85</v>
      </c>
      <c r="D252" s="11" t="s">
        <v>170</v>
      </c>
      <c r="E252" s="11" t="s">
        <v>107</v>
      </c>
      <c r="F252" s="11" t="s">
        <v>171</v>
      </c>
      <c r="G252" s="11" t="s">
        <v>106</v>
      </c>
      <c r="H252" s="11" t="s">
        <v>172</v>
      </c>
      <c r="I252" s="11" t="s">
        <v>117</v>
      </c>
      <c r="J252" s="11">
        <v>1</v>
      </c>
      <c r="K252" s="11">
        <v>3</v>
      </c>
      <c r="L252" s="11">
        <v>3</v>
      </c>
      <c r="M252" s="11">
        <v>5</v>
      </c>
      <c r="N252" s="11">
        <v>11</v>
      </c>
    </row>
    <row r="253" spans="1:14" ht="15" customHeight="1" x14ac:dyDescent="0.25">
      <c r="A253" s="11">
        <v>21</v>
      </c>
      <c r="B253" s="11" t="s">
        <v>34</v>
      </c>
      <c r="C253" s="11" t="s">
        <v>86</v>
      </c>
      <c r="D253" s="11" t="s">
        <v>173</v>
      </c>
      <c r="E253" s="11" t="s">
        <v>108</v>
      </c>
      <c r="F253" s="11" t="s">
        <v>174</v>
      </c>
      <c r="G253" s="11" t="s">
        <v>118</v>
      </c>
      <c r="H253" s="11" t="s">
        <v>177</v>
      </c>
      <c r="I253" s="11" t="s">
        <v>120</v>
      </c>
      <c r="J253" s="11">
        <v>1</v>
      </c>
      <c r="K253" s="11">
        <v>7</v>
      </c>
      <c r="L253" s="11">
        <v>0</v>
      </c>
      <c r="M253" s="11">
        <v>0</v>
      </c>
      <c r="N253" s="11">
        <v>7</v>
      </c>
    </row>
    <row r="254" spans="1:14" ht="15" customHeight="1" x14ac:dyDescent="0.25">
      <c r="A254" s="11">
        <v>22</v>
      </c>
      <c r="B254" s="11" t="s">
        <v>48</v>
      </c>
      <c r="C254" s="11" t="s">
        <v>75</v>
      </c>
      <c r="D254" s="11" t="s">
        <v>140</v>
      </c>
      <c r="E254" s="11" t="s">
        <v>94</v>
      </c>
      <c r="F254" s="11" t="s">
        <v>141</v>
      </c>
      <c r="G254" s="11" t="s">
        <v>95</v>
      </c>
      <c r="H254" s="11" t="s">
        <v>176</v>
      </c>
      <c r="I254" s="11" t="s">
        <v>119</v>
      </c>
      <c r="J254" s="11">
        <v>1</v>
      </c>
      <c r="K254" s="11">
        <v>7</v>
      </c>
      <c r="L254" s="11">
        <v>6</v>
      </c>
      <c r="M254" s="11">
        <v>5</v>
      </c>
      <c r="N254" s="11">
        <v>18</v>
      </c>
    </row>
    <row r="255" spans="1:14" ht="15" customHeight="1" x14ac:dyDescent="0.25">
      <c r="A255" s="11">
        <v>22</v>
      </c>
      <c r="B255" s="11" t="s">
        <v>48</v>
      </c>
      <c r="C255" s="11" t="s">
        <v>76</v>
      </c>
      <c r="D255" s="11" t="s">
        <v>144</v>
      </c>
      <c r="E255" s="11" t="s">
        <v>96</v>
      </c>
      <c r="F255" s="11" t="s">
        <v>143</v>
      </c>
      <c r="G255" s="11" t="s">
        <v>97</v>
      </c>
      <c r="H255" s="11" t="s">
        <v>145</v>
      </c>
      <c r="I255" s="11" t="s">
        <v>111</v>
      </c>
      <c r="J255" s="11">
        <v>1</v>
      </c>
      <c r="K255" s="11">
        <v>7</v>
      </c>
      <c r="L255" s="11">
        <v>6</v>
      </c>
      <c r="M255" s="11">
        <v>0</v>
      </c>
      <c r="N255" s="11">
        <v>13</v>
      </c>
    </row>
    <row r="256" spans="1:14" ht="15" customHeight="1" x14ac:dyDescent="0.25">
      <c r="A256" s="11">
        <v>22</v>
      </c>
      <c r="B256" s="11" t="s">
        <v>48</v>
      </c>
      <c r="C256" s="11" t="s">
        <v>77</v>
      </c>
      <c r="D256" s="11" t="s">
        <v>146</v>
      </c>
      <c r="E256" s="11" t="s">
        <v>99</v>
      </c>
      <c r="F256" s="11" t="s">
        <v>148</v>
      </c>
      <c r="G256" s="11" t="s">
        <v>112</v>
      </c>
      <c r="H256" s="11" t="s">
        <v>147</v>
      </c>
      <c r="I256" s="11" t="s">
        <v>98</v>
      </c>
      <c r="J256" s="11">
        <v>1</v>
      </c>
      <c r="K256" s="11">
        <v>3</v>
      </c>
      <c r="L256" s="11">
        <v>3</v>
      </c>
      <c r="M256" s="11">
        <v>3</v>
      </c>
      <c r="N256" s="11">
        <v>9</v>
      </c>
    </row>
    <row r="257" spans="1:14" ht="15" customHeight="1" x14ac:dyDescent="0.25">
      <c r="A257" s="11">
        <v>22</v>
      </c>
      <c r="B257" s="11" t="s">
        <v>48</v>
      </c>
      <c r="C257" s="11" t="s">
        <v>78</v>
      </c>
      <c r="D257" s="11" t="s">
        <v>150</v>
      </c>
      <c r="E257" s="11" t="s">
        <v>114</v>
      </c>
      <c r="F257" s="11" t="s">
        <v>151</v>
      </c>
      <c r="G257" s="11" t="s">
        <v>100</v>
      </c>
      <c r="H257" s="11" t="s">
        <v>149</v>
      </c>
      <c r="I257" s="11" t="s">
        <v>113</v>
      </c>
      <c r="J257" s="11">
        <v>1</v>
      </c>
      <c r="K257" s="11">
        <v>0</v>
      </c>
      <c r="L257" s="11">
        <v>3</v>
      </c>
      <c r="M257" s="11">
        <v>5</v>
      </c>
      <c r="N257" s="11">
        <v>8</v>
      </c>
    </row>
    <row r="258" spans="1:14" ht="15" customHeight="1" x14ac:dyDescent="0.25">
      <c r="A258" s="11">
        <v>22</v>
      </c>
      <c r="B258" s="11" t="s">
        <v>48</v>
      </c>
      <c r="C258" s="11" t="s">
        <v>79</v>
      </c>
      <c r="D258" s="11" t="s">
        <v>152</v>
      </c>
      <c r="E258" s="11" t="s">
        <v>102</v>
      </c>
      <c r="F258" s="11" t="s">
        <v>153</v>
      </c>
      <c r="G258" s="11" t="s">
        <v>115</v>
      </c>
      <c r="H258" s="11" t="s">
        <v>154</v>
      </c>
      <c r="I258" s="11" t="s">
        <v>103</v>
      </c>
      <c r="J258" s="11">
        <v>1</v>
      </c>
      <c r="K258" s="11">
        <v>7</v>
      </c>
      <c r="L258" s="11">
        <v>3</v>
      </c>
      <c r="M258" s="11">
        <v>3</v>
      </c>
      <c r="N258" s="11">
        <v>13</v>
      </c>
    </row>
    <row r="259" spans="1:14" ht="15" customHeight="1" x14ac:dyDescent="0.25">
      <c r="A259" s="11">
        <v>22</v>
      </c>
      <c r="B259" s="11" t="s">
        <v>48</v>
      </c>
      <c r="C259" s="11" t="s">
        <v>80</v>
      </c>
      <c r="D259" s="11" t="s">
        <v>157</v>
      </c>
      <c r="E259" s="11" t="s">
        <v>116</v>
      </c>
      <c r="F259" s="11" t="s">
        <v>155</v>
      </c>
      <c r="G259" s="11" t="s">
        <v>104</v>
      </c>
      <c r="H259" s="11" t="s">
        <v>156</v>
      </c>
      <c r="I259" s="11" t="s">
        <v>105</v>
      </c>
      <c r="J259" s="11">
        <v>1</v>
      </c>
      <c r="K259" s="11">
        <v>3</v>
      </c>
      <c r="L259" s="11">
        <v>3</v>
      </c>
      <c r="M259" s="11">
        <v>3</v>
      </c>
      <c r="N259" s="11">
        <v>9</v>
      </c>
    </row>
    <row r="260" spans="1:14" ht="15" customHeight="1" x14ac:dyDescent="0.25">
      <c r="A260" s="11">
        <v>22</v>
      </c>
      <c r="B260" s="11" t="s">
        <v>48</v>
      </c>
      <c r="C260" s="11" t="s">
        <v>81</v>
      </c>
      <c r="D260" s="11" t="s">
        <v>158</v>
      </c>
      <c r="E260" s="11" t="s">
        <v>68</v>
      </c>
      <c r="F260" s="11" t="s">
        <v>159</v>
      </c>
      <c r="G260" s="11" t="s">
        <v>73</v>
      </c>
      <c r="H260" s="11" t="s">
        <v>160</v>
      </c>
      <c r="I260" s="11" t="s">
        <v>69</v>
      </c>
      <c r="J260" s="11">
        <v>1</v>
      </c>
      <c r="K260" s="11">
        <v>3</v>
      </c>
      <c r="L260" s="11">
        <v>3</v>
      </c>
      <c r="M260" s="11">
        <v>3</v>
      </c>
      <c r="N260" s="11">
        <v>9</v>
      </c>
    </row>
    <row r="261" spans="1:14" ht="15" customHeight="1" x14ac:dyDescent="0.25">
      <c r="A261" s="11">
        <v>22</v>
      </c>
      <c r="B261" s="11" t="s">
        <v>48</v>
      </c>
      <c r="C261" s="11" t="s">
        <v>82</v>
      </c>
      <c r="D261" s="11" t="s">
        <v>161</v>
      </c>
      <c r="E261" s="11" t="s">
        <v>66</v>
      </c>
      <c r="F261" s="11" t="s">
        <v>162</v>
      </c>
      <c r="G261" s="11" t="s">
        <v>70</v>
      </c>
      <c r="H261" s="11" t="s">
        <v>184</v>
      </c>
      <c r="I261" s="11" t="s">
        <v>71</v>
      </c>
      <c r="J261" s="11">
        <v>1</v>
      </c>
      <c r="K261" s="11">
        <v>7</v>
      </c>
      <c r="L261" s="11">
        <v>6</v>
      </c>
      <c r="M261" s="11">
        <v>5</v>
      </c>
      <c r="N261" s="11">
        <v>18</v>
      </c>
    </row>
    <row r="262" spans="1:14" ht="15" customHeight="1" x14ac:dyDescent="0.25">
      <c r="A262" s="11">
        <v>22</v>
      </c>
      <c r="B262" s="11" t="s">
        <v>48</v>
      </c>
      <c r="C262" s="11" t="s">
        <v>83</v>
      </c>
      <c r="D262" s="11" t="s">
        <v>164</v>
      </c>
      <c r="E262" s="11" t="s">
        <v>35</v>
      </c>
      <c r="F262" s="11" t="s">
        <v>165</v>
      </c>
      <c r="G262" s="11" t="s">
        <v>44</v>
      </c>
      <c r="H262" s="11" t="s">
        <v>166</v>
      </c>
      <c r="I262" s="11" t="s">
        <v>45</v>
      </c>
      <c r="J262" s="11">
        <v>1</v>
      </c>
      <c r="K262" s="11">
        <v>7</v>
      </c>
      <c r="L262" s="11">
        <v>6</v>
      </c>
      <c r="M262" s="11">
        <v>0</v>
      </c>
      <c r="N262" s="11">
        <v>13</v>
      </c>
    </row>
    <row r="263" spans="1:14" ht="15" customHeight="1" x14ac:dyDescent="0.25">
      <c r="A263" s="11">
        <v>22</v>
      </c>
      <c r="B263" s="11" t="s">
        <v>48</v>
      </c>
      <c r="C263" s="11" t="s">
        <v>84</v>
      </c>
      <c r="D263" s="11" t="s">
        <v>167</v>
      </c>
      <c r="E263" s="11" t="s">
        <v>23</v>
      </c>
      <c r="F263" s="11" t="s">
        <v>169</v>
      </c>
      <c r="G263" s="11" t="s">
        <v>57</v>
      </c>
      <c r="H263" s="11" t="s">
        <v>168</v>
      </c>
      <c r="I263" s="11" t="s">
        <v>24</v>
      </c>
      <c r="J263" s="11">
        <v>1</v>
      </c>
      <c r="K263" s="11">
        <v>7</v>
      </c>
      <c r="L263" s="11">
        <v>0</v>
      </c>
      <c r="M263" s="11">
        <v>3</v>
      </c>
      <c r="N263" s="11">
        <v>10</v>
      </c>
    </row>
    <row r="264" spans="1:14" ht="15" customHeight="1" x14ac:dyDescent="0.25">
      <c r="A264" s="11">
        <v>22</v>
      </c>
      <c r="B264" s="11" t="s">
        <v>48</v>
      </c>
      <c r="C264" s="11" t="s">
        <v>85</v>
      </c>
      <c r="D264" s="11" t="s">
        <v>170</v>
      </c>
      <c r="E264" s="11" t="s">
        <v>107</v>
      </c>
      <c r="F264" s="11" t="s">
        <v>171</v>
      </c>
      <c r="G264" s="11" t="s">
        <v>106</v>
      </c>
      <c r="H264" s="11" t="s">
        <v>180</v>
      </c>
      <c r="I264" s="11" t="s">
        <v>123</v>
      </c>
      <c r="J264" s="11">
        <v>1</v>
      </c>
      <c r="K264" s="11">
        <v>3</v>
      </c>
      <c r="L264" s="11">
        <v>3</v>
      </c>
      <c r="M264" s="11">
        <v>0</v>
      </c>
      <c r="N264" s="11">
        <v>6</v>
      </c>
    </row>
    <row r="265" spans="1:14" ht="15" customHeight="1" x14ac:dyDescent="0.25">
      <c r="A265" s="11">
        <v>22</v>
      </c>
      <c r="B265" s="11" t="s">
        <v>48</v>
      </c>
      <c r="C265" s="11" t="s">
        <v>86</v>
      </c>
      <c r="D265" s="11" t="s">
        <v>173</v>
      </c>
      <c r="E265" s="11" t="s">
        <v>108</v>
      </c>
      <c r="F265" s="11" t="s">
        <v>174</v>
      </c>
      <c r="G265" s="11" t="s">
        <v>118</v>
      </c>
      <c r="H265" s="11" t="s">
        <v>175</v>
      </c>
      <c r="I265" s="11" t="s">
        <v>109</v>
      </c>
      <c r="J265" s="11">
        <v>1</v>
      </c>
      <c r="K265" s="11">
        <v>7</v>
      </c>
      <c r="L265" s="11">
        <v>0</v>
      </c>
      <c r="M265" s="11">
        <v>3</v>
      </c>
      <c r="N265" s="11">
        <v>10</v>
      </c>
    </row>
    <row r="266" spans="1:14" ht="15" customHeight="1" x14ac:dyDescent="0.25">
      <c r="A266" s="11">
        <v>23</v>
      </c>
      <c r="B266" s="11" t="s">
        <v>50</v>
      </c>
      <c r="C266" s="11" t="s">
        <v>75</v>
      </c>
      <c r="D266" s="11" t="s">
        <v>176</v>
      </c>
      <c r="E266" s="11" t="s">
        <v>119</v>
      </c>
      <c r="F266" s="11" t="s">
        <v>140</v>
      </c>
      <c r="G266" s="11" t="s">
        <v>94</v>
      </c>
      <c r="H266" s="11" t="s">
        <v>141</v>
      </c>
      <c r="I266" s="11" t="s">
        <v>95</v>
      </c>
      <c r="J266" s="11">
        <v>1</v>
      </c>
      <c r="K266" s="11">
        <v>3</v>
      </c>
      <c r="L266" s="11">
        <v>3</v>
      </c>
      <c r="M266" s="11">
        <v>3</v>
      </c>
      <c r="N266" s="11">
        <v>9</v>
      </c>
    </row>
    <row r="267" spans="1:14" ht="15" customHeight="1" x14ac:dyDescent="0.25">
      <c r="A267" s="11">
        <v>23</v>
      </c>
      <c r="B267" s="11" t="s">
        <v>50</v>
      </c>
      <c r="C267" s="11" t="s">
        <v>76</v>
      </c>
      <c r="D267" s="11" t="s">
        <v>143</v>
      </c>
      <c r="E267" s="11" t="s">
        <v>97</v>
      </c>
      <c r="F267" s="11" t="s">
        <v>145</v>
      </c>
      <c r="G267" s="11" t="s">
        <v>111</v>
      </c>
      <c r="H267" s="11" t="s">
        <v>144</v>
      </c>
      <c r="I267" s="11" t="s">
        <v>96</v>
      </c>
      <c r="J267" s="11">
        <v>1</v>
      </c>
      <c r="K267" s="11">
        <v>3</v>
      </c>
      <c r="L267" s="11">
        <v>0</v>
      </c>
      <c r="M267" s="11">
        <v>3</v>
      </c>
      <c r="N267" s="11">
        <v>6</v>
      </c>
    </row>
    <row r="268" spans="1:14" ht="15" customHeight="1" x14ac:dyDescent="0.25">
      <c r="A268" s="11">
        <v>23</v>
      </c>
      <c r="B268" s="11" t="s">
        <v>50</v>
      </c>
      <c r="C268" s="11" t="s">
        <v>77</v>
      </c>
      <c r="D268" s="11" t="s">
        <v>147</v>
      </c>
      <c r="E268" s="11" t="s">
        <v>98</v>
      </c>
      <c r="F268" s="11" t="s">
        <v>146</v>
      </c>
      <c r="G268" s="11" t="s">
        <v>99</v>
      </c>
      <c r="H268" s="11" t="s">
        <v>148</v>
      </c>
      <c r="I268" s="11" t="s">
        <v>112</v>
      </c>
      <c r="J268" s="11">
        <v>1</v>
      </c>
      <c r="K268" s="11">
        <v>7</v>
      </c>
      <c r="L268" s="11">
        <v>6</v>
      </c>
      <c r="M268" s="11">
        <v>5</v>
      </c>
      <c r="N268" s="11">
        <v>18</v>
      </c>
    </row>
    <row r="269" spans="1:14" ht="15" customHeight="1" x14ac:dyDescent="0.25">
      <c r="A269" s="11">
        <v>23</v>
      </c>
      <c r="B269" s="11" t="s">
        <v>50</v>
      </c>
      <c r="C269" s="11" t="s">
        <v>78</v>
      </c>
      <c r="D269" s="11" t="s">
        <v>151</v>
      </c>
      <c r="E269" s="11" t="s">
        <v>100</v>
      </c>
      <c r="F269" s="11" t="s">
        <v>150</v>
      </c>
      <c r="G269" s="11" t="s">
        <v>114</v>
      </c>
      <c r="H269" s="11" t="s">
        <v>181</v>
      </c>
      <c r="I269" s="11" t="s">
        <v>101</v>
      </c>
      <c r="J269" s="11">
        <v>1</v>
      </c>
      <c r="K269" s="11">
        <v>7</v>
      </c>
      <c r="L269" s="11">
        <v>0</v>
      </c>
      <c r="M269" s="11">
        <v>3</v>
      </c>
      <c r="N269" s="11">
        <v>10</v>
      </c>
    </row>
    <row r="270" spans="1:14" ht="15" customHeight="1" x14ac:dyDescent="0.25">
      <c r="A270" s="11">
        <v>23</v>
      </c>
      <c r="B270" s="11" t="s">
        <v>50</v>
      </c>
      <c r="C270" s="11" t="s">
        <v>79</v>
      </c>
      <c r="D270" s="11" t="s">
        <v>152</v>
      </c>
      <c r="E270" s="11" t="s">
        <v>102</v>
      </c>
      <c r="F270" s="11" t="s">
        <v>154</v>
      </c>
      <c r="G270" s="11" t="s">
        <v>103</v>
      </c>
      <c r="H270" s="11" t="s">
        <v>153</v>
      </c>
      <c r="I270" s="11" t="s">
        <v>115</v>
      </c>
      <c r="J270" s="11">
        <v>1</v>
      </c>
      <c r="K270" s="11">
        <v>7</v>
      </c>
      <c r="L270" s="11">
        <v>6</v>
      </c>
      <c r="M270" s="11">
        <v>5</v>
      </c>
      <c r="N270" s="11">
        <v>18</v>
      </c>
    </row>
    <row r="271" spans="1:14" ht="15" customHeight="1" x14ac:dyDescent="0.25">
      <c r="A271" s="11">
        <v>23</v>
      </c>
      <c r="B271" s="11" t="s">
        <v>50</v>
      </c>
      <c r="C271" s="11" t="s">
        <v>80</v>
      </c>
      <c r="D271" s="11" t="s">
        <v>156</v>
      </c>
      <c r="E271" s="11" t="s">
        <v>105</v>
      </c>
      <c r="F271" s="11" t="s">
        <v>155</v>
      </c>
      <c r="G271" s="11" t="s">
        <v>104</v>
      </c>
      <c r="H271" s="11" t="s">
        <v>157</v>
      </c>
      <c r="I271" s="11" t="s">
        <v>116</v>
      </c>
      <c r="J271" s="11">
        <v>1</v>
      </c>
      <c r="K271" s="11">
        <v>3</v>
      </c>
      <c r="L271" s="11">
        <v>3</v>
      </c>
      <c r="M271" s="11">
        <v>5</v>
      </c>
      <c r="N271" s="11">
        <v>11</v>
      </c>
    </row>
    <row r="272" spans="1:14" ht="15" customHeight="1" x14ac:dyDescent="0.25">
      <c r="A272" s="11">
        <v>23</v>
      </c>
      <c r="B272" s="11" t="s">
        <v>50</v>
      </c>
      <c r="C272" s="11" t="s">
        <v>81</v>
      </c>
      <c r="D272" s="11" t="s">
        <v>158</v>
      </c>
      <c r="E272" s="11" t="s">
        <v>68</v>
      </c>
      <c r="F272" s="11" t="s">
        <v>159</v>
      </c>
      <c r="G272" s="11" t="s">
        <v>73</v>
      </c>
      <c r="H272" s="11" t="s">
        <v>182</v>
      </c>
      <c r="I272" s="11" t="s">
        <v>72</v>
      </c>
      <c r="J272" s="11">
        <v>1</v>
      </c>
      <c r="K272" s="11">
        <v>3</v>
      </c>
      <c r="L272" s="11">
        <v>3</v>
      </c>
      <c r="M272" s="11">
        <v>0</v>
      </c>
      <c r="N272" s="11">
        <v>6</v>
      </c>
    </row>
    <row r="273" spans="1:14" ht="15" customHeight="1" x14ac:dyDescent="0.25">
      <c r="A273" s="11">
        <v>23</v>
      </c>
      <c r="B273" s="11" t="s">
        <v>50</v>
      </c>
      <c r="C273" s="11" t="s">
        <v>82</v>
      </c>
      <c r="D273" s="11" t="s">
        <v>161</v>
      </c>
      <c r="E273" s="11" t="s">
        <v>66</v>
      </c>
      <c r="F273" s="11" t="s">
        <v>163</v>
      </c>
      <c r="G273" s="11" t="s">
        <v>67</v>
      </c>
      <c r="H273" s="11" t="s">
        <v>162</v>
      </c>
      <c r="I273" s="11" t="s">
        <v>70</v>
      </c>
      <c r="J273" s="11">
        <v>1</v>
      </c>
      <c r="K273" s="11">
        <v>7</v>
      </c>
      <c r="L273" s="11">
        <v>0</v>
      </c>
      <c r="M273" s="11">
        <v>3</v>
      </c>
      <c r="N273" s="11">
        <v>10</v>
      </c>
    </row>
    <row r="274" spans="1:14" ht="15" customHeight="1" x14ac:dyDescent="0.25">
      <c r="A274" s="11">
        <v>23</v>
      </c>
      <c r="B274" s="11" t="s">
        <v>50</v>
      </c>
      <c r="C274" s="11" t="s">
        <v>83</v>
      </c>
      <c r="D274" s="11" t="s">
        <v>164</v>
      </c>
      <c r="E274" s="11" t="s">
        <v>35</v>
      </c>
      <c r="F274" s="11" t="s">
        <v>165</v>
      </c>
      <c r="G274" s="11" t="s">
        <v>44</v>
      </c>
      <c r="H274" s="11" t="s">
        <v>166</v>
      </c>
      <c r="I274" s="11" t="s">
        <v>45</v>
      </c>
      <c r="J274" s="11">
        <v>1</v>
      </c>
      <c r="K274" s="11">
        <v>7</v>
      </c>
      <c r="L274" s="11">
        <v>6</v>
      </c>
      <c r="M274" s="11">
        <v>0</v>
      </c>
      <c r="N274" s="11">
        <v>13</v>
      </c>
    </row>
    <row r="275" spans="1:14" ht="15" customHeight="1" x14ac:dyDescent="0.25">
      <c r="A275" s="11">
        <v>23</v>
      </c>
      <c r="B275" s="11" t="s">
        <v>50</v>
      </c>
      <c r="C275" s="11" t="s">
        <v>84</v>
      </c>
      <c r="D275" s="11" t="s">
        <v>167</v>
      </c>
      <c r="E275" s="11" t="s">
        <v>23</v>
      </c>
      <c r="F275" s="11" t="s">
        <v>168</v>
      </c>
      <c r="G275" s="11" t="s">
        <v>24</v>
      </c>
      <c r="H275" s="11" t="s">
        <v>169</v>
      </c>
      <c r="I275" s="11" t="s">
        <v>57</v>
      </c>
      <c r="J275" s="11">
        <v>1</v>
      </c>
      <c r="K275" s="11">
        <v>7</v>
      </c>
      <c r="L275" s="11">
        <v>6</v>
      </c>
      <c r="M275" s="11">
        <v>0</v>
      </c>
      <c r="N275" s="11">
        <v>13</v>
      </c>
    </row>
    <row r="276" spans="1:14" ht="15" customHeight="1" x14ac:dyDescent="0.25">
      <c r="A276" s="11">
        <v>23</v>
      </c>
      <c r="B276" s="11" t="s">
        <v>50</v>
      </c>
      <c r="C276" s="11" t="s">
        <v>85</v>
      </c>
      <c r="D276" s="11" t="s">
        <v>171</v>
      </c>
      <c r="E276" s="11" t="s">
        <v>106</v>
      </c>
      <c r="F276" s="11" t="s">
        <v>170</v>
      </c>
      <c r="G276" s="11" t="s">
        <v>107</v>
      </c>
      <c r="H276" s="11" t="s">
        <v>172</v>
      </c>
      <c r="I276" s="11" t="s">
        <v>117</v>
      </c>
      <c r="J276" s="11">
        <v>1</v>
      </c>
      <c r="K276" s="11">
        <v>7</v>
      </c>
      <c r="L276" s="11">
        <v>6</v>
      </c>
      <c r="M276" s="11">
        <v>5</v>
      </c>
      <c r="N276" s="11">
        <v>18</v>
      </c>
    </row>
    <row r="277" spans="1:14" ht="15" customHeight="1" x14ac:dyDescent="0.25">
      <c r="A277" s="11">
        <v>23</v>
      </c>
      <c r="B277" s="11" t="s">
        <v>50</v>
      </c>
      <c r="C277" s="11" t="s">
        <v>86</v>
      </c>
      <c r="D277" s="11" t="s">
        <v>174</v>
      </c>
      <c r="E277" s="11" t="s">
        <v>118</v>
      </c>
      <c r="F277" s="11" t="s">
        <v>173</v>
      </c>
      <c r="G277" s="11" t="s">
        <v>108</v>
      </c>
      <c r="H277" s="11" t="s">
        <v>177</v>
      </c>
      <c r="I277" s="11" t="s">
        <v>120</v>
      </c>
      <c r="J277" s="11">
        <v>1</v>
      </c>
      <c r="K277" s="11">
        <v>0</v>
      </c>
      <c r="L277" s="11">
        <v>3</v>
      </c>
      <c r="M277" s="11">
        <v>0</v>
      </c>
      <c r="N277" s="11">
        <v>3</v>
      </c>
    </row>
    <row r="278" spans="1:14" ht="15" customHeight="1" x14ac:dyDescent="0.25">
      <c r="A278" s="11">
        <v>24</v>
      </c>
      <c r="B278" s="11" t="s">
        <v>52</v>
      </c>
      <c r="C278" s="11" t="s">
        <v>75</v>
      </c>
      <c r="D278" s="11" t="s">
        <v>140</v>
      </c>
      <c r="E278" s="11" t="s">
        <v>94</v>
      </c>
      <c r="F278" s="11" t="s">
        <v>176</v>
      </c>
      <c r="G278" s="11" t="s">
        <v>119</v>
      </c>
      <c r="H278" s="11" t="s">
        <v>142</v>
      </c>
      <c r="I278" s="11" t="s">
        <v>110</v>
      </c>
      <c r="J278" s="11">
        <v>1</v>
      </c>
      <c r="K278" s="11">
        <v>7</v>
      </c>
      <c r="L278" s="11">
        <v>3</v>
      </c>
      <c r="M278" s="11">
        <v>0</v>
      </c>
      <c r="N278" s="11">
        <v>10</v>
      </c>
    </row>
    <row r="279" spans="1:14" ht="15" customHeight="1" x14ac:dyDescent="0.25">
      <c r="A279" s="11">
        <v>24</v>
      </c>
      <c r="B279" s="11" t="s">
        <v>52</v>
      </c>
      <c r="C279" s="11" t="s">
        <v>76</v>
      </c>
      <c r="D279" s="11" t="s">
        <v>144</v>
      </c>
      <c r="E279" s="11" t="s">
        <v>96</v>
      </c>
      <c r="F279" s="11" t="s">
        <v>143</v>
      </c>
      <c r="G279" s="11" t="s">
        <v>97</v>
      </c>
      <c r="H279" s="11" t="s">
        <v>145</v>
      </c>
      <c r="I279" s="11" t="s">
        <v>111</v>
      </c>
      <c r="J279" s="11">
        <v>1</v>
      </c>
      <c r="K279" s="11">
        <v>7</v>
      </c>
      <c r="L279" s="11">
        <v>6</v>
      </c>
      <c r="M279" s="11">
        <v>0</v>
      </c>
      <c r="N279" s="11">
        <v>13</v>
      </c>
    </row>
    <row r="280" spans="1:14" ht="15" customHeight="1" x14ac:dyDescent="0.25">
      <c r="A280" s="11">
        <v>24</v>
      </c>
      <c r="B280" s="11" t="s">
        <v>52</v>
      </c>
      <c r="C280" s="11" t="s">
        <v>77</v>
      </c>
      <c r="D280" s="11" t="s">
        <v>147</v>
      </c>
      <c r="E280" s="11" t="s">
        <v>98</v>
      </c>
      <c r="F280" s="11" t="s">
        <v>148</v>
      </c>
      <c r="G280" s="11" t="s">
        <v>112</v>
      </c>
      <c r="H280" s="11" t="s">
        <v>146</v>
      </c>
      <c r="I280" s="11" t="s">
        <v>99</v>
      </c>
      <c r="J280" s="11">
        <v>1</v>
      </c>
      <c r="K280" s="11">
        <v>7</v>
      </c>
      <c r="L280" s="11">
        <v>3</v>
      </c>
      <c r="M280" s="11">
        <v>3</v>
      </c>
      <c r="N280" s="11">
        <v>13</v>
      </c>
    </row>
    <row r="281" spans="1:14" ht="15" customHeight="1" x14ac:dyDescent="0.25">
      <c r="A281" s="11">
        <v>24</v>
      </c>
      <c r="B281" s="11" t="s">
        <v>52</v>
      </c>
      <c r="C281" s="11" t="s">
        <v>78</v>
      </c>
      <c r="D281" s="11" t="s">
        <v>151</v>
      </c>
      <c r="E281" s="11" t="s">
        <v>100</v>
      </c>
      <c r="F281" s="11" t="s">
        <v>149</v>
      </c>
      <c r="G281" s="11" t="s">
        <v>113</v>
      </c>
      <c r="H281" s="11" t="s">
        <v>181</v>
      </c>
      <c r="I281" s="11" t="s">
        <v>101</v>
      </c>
      <c r="J281" s="11">
        <v>1</v>
      </c>
      <c r="K281" s="11">
        <v>7</v>
      </c>
      <c r="L281" s="11">
        <v>3</v>
      </c>
      <c r="M281" s="11">
        <v>3</v>
      </c>
      <c r="N281" s="11">
        <v>13</v>
      </c>
    </row>
    <row r="282" spans="1:14" ht="15" customHeight="1" x14ac:dyDescent="0.25">
      <c r="A282" s="11">
        <v>24</v>
      </c>
      <c r="B282" s="11" t="s">
        <v>52</v>
      </c>
      <c r="C282" s="11" t="s">
        <v>79</v>
      </c>
      <c r="D282" s="11" t="s">
        <v>153</v>
      </c>
      <c r="E282" s="11" t="s">
        <v>115</v>
      </c>
      <c r="F282" s="11" t="s">
        <v>152</v>
      </c>
      <c r="G282" s="11" t="s">
        <v>102</v>
      </c>
      <c r="H282" s="11" t="s">
        <v>154</v>
      </c>
      <c r="I282" s="11" t="s">
        <v>103</v>
      </c>
      <c r="J282" s="11">
        <v>1</v>
      </c>
      <c r="K282" s="11">
        <v>3</v>
      </c>
      <c r="L282" s="11">
        <v>3</v>
      </c>
      <c r="M282" s="11">
        <v>3</v>
      </c>
      <c r="N282" s="11">
        <v>9</v>
      </c>
    </row>
    <row r="283" spans="1:14" ht="15" customHeight="1" x14ac:dyDescent="0.25">
      <c r="A283" s="11">
        <v>24</v>
      </c>
      <c r="B283" s="11" t="s">
        <v>52</v>
      </c>
      <c r="C283" s="11" t="s">
        <v>80</v>
      </c>
      <c r="D283" s="11" t="s">
        <v>155</v>
      </c>
      <c r="E283" s="11" t="s">
        <v>104</v>
      </c>
      <c r="F283" s="11" t="s">
        <v>157</v>
      </c>
      <c r="G283" s="11" t="s">
        <v>116</v>
      </c>
      <c r="H283" s="11" t="s">
        <v>183</v>
      </c>
      <c r="I283" s="11" t="s">
        <v>124</v>
      </c>
      <c r="J283" s="11">
        <v>1</v>
      </c>
      <c r="K283" s="11">
        <v>7</v>
      </c>
      <c r="L283" s="11">
        <v>3</v>
      </c>
      <c r="M283" s="11">
        <v>0</v>
      </c>
      <c r="N283" s="11">
        <v>10</v>
      </c>
    </row>
    <row r="284" spans="1:14" ht="15" customHeight="1" x14ac:dyDescent="0.25">
      <c r="A284" s="11">
        <v>24</v>
      </c>
      <c r="B284" s="11" t="s">
        <v>52</v>
      </c>
      <c r="C284" s="11" t="s">
        <v>81</v>
      </c>
      <c r="D284" s="11" t="s">
        <v>158</v>
      </c>
      <c r="E284" s="11" t="s">
        <v>68</v>
      </c>
      <c r="F284" s="11" t="s">
        <v>159</v>
      </c>
      <c r="G284" s="11" t="s">
        <v>73</v>
      </c>
      <c r="H284" s="11" t="s">
        <v>160</v>
      </c>
      <c r="I284" s="11" t="s">
        <v>69</v>
      </c>
      <c r="J284" s="11">
        <v>1</v>
      </c>
      <c r="K284" s="11">
        <v>3</v>
      </c>
      <c r="L284" s="11">
        <v>3</v>
      </c>
      <c r="M284" s="11">
        <v>3</v>
      </c>
      <c r="N284" s="11">
        <v>9</v>
      </c>
    </row>
    <row r="285" spans="1:14" ht="15" customHeight="1" x14ac:dyDescent="0.25">
      <c r="A285" s="11">
        <v>24</v>
      </c>
      <c r="B285" s="11" t="s">
        <v>52</v>
      </c>
      <c r="C285" s="11" t="s">
        <v>82</v>
      </c>
      <c r="D285" s="11" t="s">
        <v>161</v>
      </c>
      <c r="E285" s="11" t="s">
        <v>66</v>
      </c>
      <c r="F285" s="11" t="s">
        <v>162</v>
      </c>
      <c r="G285" s="11" t="s">
        <v>70</v>
      </c>
      <c r="H285" s="11" t="s">
        <v>163</v>
      </c>
      <c r="I285" s="11" t="s">
        <v>67</v>
      </c>
      <c r="J285" s="11">
        <v>1</v>
      </c>
      <c r="K285" s="11">
        <v>7</v>
      </c>
      <c r="L285" s="11">
        <v>6</v>
      </c>
      <c r="M285" s="11">
        <v>0</v>
      </c>
      <c r="N285" s="11">
        <v>13</v>
      </c>
    </row>
    <row r="286" spans="1:14" ht="15" customHeight="1" x14ac:dyDescent="0.25">
      <c r="A286" s="11">
        <v>24</v>
      </c>
      <c r="B286" s="11" t="s">
        <v>52</v>
      </c>
      <c r="C286" s="11" t="s">
        <v>83</v>
      </c>
      <c r="D286" s="11" t="s">
        <v>164</v>
      </c>
      <c r="E286" s="11" t="s">
        <v>35</v>
      </c>
      <c r="F286" s="11" t="s">
        <v>165</v>
      </c>
      <c r="G286" s="11" t="s">
        <v>44</v>
      </c>
      <c r="H286" s="11" t="s">
        <v>166</v>
      </c>
      <c r="I286" s="11" t="s">
        <v>45</v>
      </c>
      <c r="J286" s="11">
        <v>1</v>
      </c>
      <c r="K286" s="11">
        <v>7</v>
      </c>
      <c r="L286" s="11">
        <v>6</v>
      </c>
      <c r="M286" s="11">
        <v>0</v>
      </c>
      <c r="N286" s="11">
        <v>13</v>
      </c>
    </row>
    <row r="287" spans="1:14" ht="15" customHeight="1" x14ac:dyDescent="0.25">
      <c r="A287" s="11">
        <v>24</v>
      </c>
      <c r="B287" s="11" t="s">
        <v>52</v>
      </c>
      <c r="C287" s="11" t="s">
        <v>84</v>
      </c>
      <c r="D287" s="11" t="s">
        <v>167</v>
      </c>
      <c r="E287" s="11" t="s">
        <v>23</v>
      </c>
      <c r="F287" s="11" t="s">
        <v>169</v>
      </c>
      <c r="G287" s="11" t="s">
        <v>57</v>
      </c>
      <c r="H287" s="11" t="s">
        <v>168</v>
      </c>
      <c r="I287" s="11" t="s">
        <v>24</v>
      </c>
      <c r="J287" s="11">
        <v>1</v>
      </c>
      <c r="K287" s="11">
        <v>7</v>
      </c>
      <c r="L287" s="11">
        <v>0</v>
      </c>
      <c r="M287" s="11">
        <v>3</v>
      </c>
      <c r="N287" s="11">
        <v>10</v>
      </c>
    </row>
    <row r="288" spans="1:14" ht="15" customHeight="1" x14ac:dyDescent="0.25">
      <c r="A288" s="11">
        <v>24</v>
      </c>
      <c r="B288" s="11" t="s">
        <v>52</v>
      </c>
      <c r="C288" s="11" t="s">
        <v>85</v>
      </c>
      <c r="D288" s="11" t="s">
        <v>170</v>
      </c>
      <c r="E288" s="11" t="s">
        <v>107</v>
      </c>
      <c r="F288" s="11" t="s">
        <v>171</v>
      </c>
      <c r="G288" s="11" t="s">
        <v>106</v>
      </c>
      <c r="H288" s="11" t="s">
        <v>180</v>
      </c>
      <c r="I288" s="11" t="s">
        <v>123</v>
      </c>
      <c r="J288" s="11">
        <v>1</v>
      </c>
      <c r="K288" s="11">
        <v>3</v>
      </c>
      <c r="L288" s="11">
        <v>3</v>
      </c>
      <c r="M288" s="11">
        <v>0</v>
      </c>
      <c r="N288" s="11">
        <v>6</v>
      </c>
    </row>
    <row r="289" spans="1:14" ht="15" customHeight="1" x14ac:dyDescent="0.25">
      <c r="A289" s="11">
        <v>24</v>
      </c>
      <c r="B289" s="11" t="s">
        <v>52</v>
      </c>
      <c r="C289" s="11" t="s">
        <v>86</v>
      </c>
      <c r="D289" s="11" t="s">
        <v>173</v>
      </c>
      <c r="E289" s="11" t="s">
        <v>108</v>
      </c>
      <c r="F289" s="11" t="s">
        <v>174</v>
      </c>
      <c r="G289" s="11" t="s">
        <v>118</v>
      </c>
      <c r="H289" s="11" t="s">
        <v>177</v>
      </c>
      <c r="I289" s="11" t="s">
        <v>120</v>
      </c>
      <c r="J289" s="11">
        <v>1</v>
      </c>
      <c r="K289" s="11">
        <v>7</v>
      </c>
      <c r="L289" s="11">
        <v>0</v>
      </c>
      <c r="M289" s="11">
        <v>0</v>
      </c>
      <c r="N289" s="11">
        <v>7</v>
      </c>
    </row>
    <row r="290" spans="1:14" ht="15" customHeight="1" x14ac:dyDescent="0.25">
      <c r="A290" s="11">
        <v>25</v>
      </c>
      <c r="B290" s="11" t="s">
        <v>54</v>
      </c>
      <c r="C290" s="11" t="s">
        <v>75</v>
      </c>
      <c r="D290" s="11" t="s">
        <v>140</v>
      </c>
      <c r="E290" s="11" t="s">
        <v>94</v>
      </c>
      <c r="F290" s="11" t="s">
        <v>142</v>
      </c>
      <c r="G290" s="11" t="s">
        <v>110</v>
      </c>
      <c r="H290" s="11" t="s">
        <v>141</v>
      </c>
      <c r="I290" s="11" t="s">
        <v>95</v>
      </c>
      <c r="J290" s="11">
        <v>1</v>
      </c>
      <c r="K290" s="11">
        <v>7</v>
      </c>
      <c r="L290" s="11">
        <v>0</v>
      </c>
      <c r="M290" s="11">
        <v>3</v>
      </c>
      <c r="N290" s="11">
        <v>10</v>
      </c>
    </row>
    <row r="291" spans="1:14" ht="15" customHeight="1" x14ac:dyDescent="0.25">
      <c r="A291" s="11">
        <v>25</v>
      </c>
      <c r="B291" s="11" t="s">
        <v>54</v>
      </c>
      <c r="C291" s="11" t="s">
        <v>76</v>
      </c>
      <c r="D291" s="11" t="s">
        <v>144</v>
      </c>
      <c r="E291" s="11" t="s">
        <v>96</v>
      </c>
      <c r="F291" s="11" t="s">
        <v>143</v>
      </c>
      <c r="G291" s="11" t="s">
        <v>97</v>
      </c>
      <c r="H291" s="11" t="s">
        <v>178</v>
      </c>
      <c r="I291" s="11" t="s">
        <v>121</v>
      </c>
      <c r="J291" s="11">
        <v>1</v>
      </c>
      <c r="K291" s="11">
        <v>7</v>
      </c>
      <c r="L291" s="11">
        <v>6</v>
      </c>
      <c r="M291" s="11">
        <v>0</v>
      </c>
      <c r="N291" s="11">
        <v>13</v>
      </c>
    </row>
    <row r="292" spans="1:14" ht="15" customHeight="1" x14ac:dyDescent="0.25">
      <c r="A292" s="11">
        <v>25</v>
      </c>
      <c r="B292" s="11" t="s">
        <v>54</v>
      </c>
      <c r="C292" s="11" t="s">
        <v>77</v>
      </c>
      <c r="D292" s="11" t="s">
        <v>147</v>
      </c>
      <c r="E292" s="11" t="s">
        <v>98</v>
      </c>
      <c r="F292" s="11" t="s">
        <v>146</v>
      </c>
      <c r="G292" s="11" t="s">
        <v>99</v>
      </c>
      <c r="H292" s="11" t="s">
        <v>148</v>
      </c>
      <c r="I292" s="11" t="s">
        <v>112</v>
      </c>
      <c r="J292" s="11">
        <v>1</v>
      </c>
      <c r="K292" s="11">
        <v>7</v>
      </c>
      <c r="L292" s="11">
        <v>6</v>
      </c>
      <c r="M292" s="11">
        <v>5</v>
      </c>
      <c r="N292" s="11">
        <v>18</v>
      </c>
    </row>
    <row r="293" spans="1:14" ht="15" customHeight="1" x14ac:dyDescent="0.25">
      <c r="A293" s="11">
        <v>25</v>
      </c>
      <c r="B293" s="11" t="s">
        <v>54</v>
      </c>
      <c r="C293" s="11" t="s">
        <v>78</v>
      </c>
      <c r="D293" s="11" t="s">
        <v>151</v>
      </c>
      <c r="E293" s="11" t="s">
        <v>100</v>
      </c>
      <c r="F293" s="11" t="s">
        <v>181</v>
      </c>
      <c r="G293" s="11" t="s">
        <v>101</v>
      </c>
      <c r="H293" s="11" t="s">
        <v>149</v>
      </c>
      <c r="I293" s="11" t="s">
        <v>113</v>
      </c>
      <c r="J293" s="11">
        <v>1</v>
      </c>
      <c r="K293" s="11">
        <v>7</v>
      </c>
      <c r="L293" s="11">
        <v>6</v>
      </c>
      <c r="M293" s="11">
        <v>5</v>
      </c>
      <c r="N293" s="11">
        <v>18</v>
      </c>
    </row>
    <row r="294" spans="1:14" ht="15" customHeight="1" x14ac:dyDescent="0.25">
      <c r="A294" s="11">
        <v>25</v>
      </c>
      <c r="B294" s="11" t="s">
        <v>54</v>
      </c>
      <c r="C294" s="11" t="s">
        <v>79</v>
      </c>
      <c r="D294" s="11" t="s">
        <v>152</v>
      </c>
      <c r="E294" s="11" t="s">
        <v>102</v>
      </c>
      <c r="F294" s="11" t="s">
        <v>154</v>
      </c>
      <c r="G294" s="11" t="s">
        <v>103</v>
      </c>
      <c r="H294" s="11" t="s">
        <v>153</v>
      </c>
      <c r="I294" s="11" t="s">
        <v>115</v>
      </c>
      <c r="J294" s="11">
        <v>1</v>
      </c>
      <c r="K294" s="11">
        <v>7</v>
      </c>
      <c r="L294" s="11">
        <v>6</v>
      </c>
      <c r="M294" s="11">
        <v>5</v>
      </c>
      <c r="N294" s="11">
        <v>18</v>
      </c>
    </row>
    <row r="295" spans="1:14" ht="15" customHeight="1" x14ac:dyDescent="0.25">
      <c r="A295" s="11">
        <v>25</v>
      </c>
      <c r="B295" s="11" t="s">
        <v>54</v>
      </c>
      <c r="C295" s="11" t="s">
        <v>80</v>
      </c>
      <c r="D295" s="11" t="s">
        <v>155</v>
      </c>
      <c r="E295" s="11" t="s">
        <v>104</v>
      </c>
      <c r="F295" s="11" t="s">
        <v>157</v>
      </c>
      <c r="G295" s="11" t="s">
        <v>116</v>
      </c>
      <c r="H295" s="11" t="s">
        <v>156</v>
      </c>
      <c r="I295" s="11" t="s">
        <v>105</v>
      </c>
      <c r="J295" s="11">
        <v>1</v>
      </c>
      <c r="K295" s="11">
        <v>7</v>
      </c>
      <c r="L295" s="11">
        <v>3</v>
      </c>
      <c r="M295" s="11">
        <v>3</v>
      </c>
      <c r="N295" s="11">
        <v>13</v>
      </c>
    </row>
    <row r="296" spans="1:14" ht="15" customHeight="1" x14ac:dyDescent="0.25">
      <c r="A296" s="11">
        <v>25</v>
      </c>
      <c r="B296" s="11" t="s">
        <v>54</v>
      </c>
      <c r="C296" s="11" t="s">
        <v>81</v>
      </c>
      <c r="D296" s="11" t="s">
        <v>182</v>
      </c>
      <c r="E296" s="11" t="s">
        <v>72</v>
      </c>
      <c r="F296" s="11" t="s">
        <v>158</v>
      </c>
      <c r="G296" s="11" t="s">
        <v>68</v>
      </c>
      <c r="H296" s="11" t="s">
        <v>159</v>
      </c>
      <c r="I296" s="11" t="s">
        <v>73</v>
      </c>
      <c r="J296" s="11">
        <v>1</v>
      </c>
      <c r="K296" s="11">
        <v>0</v>
      </c>
      <c r="L296" s="11">
        <v>3</v>
      </c>
      <c r="M296" s="11">
        <v>3</v>
      </c>
      <c r="N296" s="11">
        <v>6</v>
      </c>
    </row>
    <row r="297" spans="1:14" ht="15" customHeight="1" x14ac:dyDescent="0.25">
      <c r="A297" s="11">
        <v>25</v>
      </c>
      <c r="B297" s="11" t="s">
        <v>54</v>
      </c>
      <c r="C297" s="11" t="s">
        <v>82</v>
      </c>
      <c r="D297" s="11" t="s">
        <v>161</v>
      </c>
      <c r="E297" s="11" t="s">
        <v>66</v>
      </c>
      <c r="F297" s="11" t="s">
        <v>162</v>
      </c>
      <c r="G297" s="11" t="s">
        <v>70</v>
      </c>
      <c r="H297" s="11" t="s">
        <v>163</v>
      </c>
      <c r="I297" s="11" t="s">
        <v>67</v>
      </c>
      <c r="J297" s="11">
        <v>1</v>
      </c>
      <c r="K297" s="11">
        <v>7</v>
      </c>
      <c r="L297" s="11">
        <v>6</v>
      </c>
      <c r="M297" s="11">
        <v>0</v>
      </c>
      <c r="N297" s="11">
        <v>13</v>
      </c>
    </row>
    <row r="298" spans="1:14" ht="15" customHeight="1" x14ac:dyDescent="0.25">
      <c r="A298" s="11">
        <v>25</v>
      </c>
      <c r="B298" s="11" t="s">
        <v>54</v>
      </c>
      <c r="C298" s="11" t="s">
        <v>83</v>
      </c>
      <c r="D298" s="11" t="s">
        <v>164</v>
      </c>
      <c r="E298" s="11" t="s">
        <v>35</v>
      </c>
      <c r="F298" s="11" t="s">
        <v>165</v>
      </c>
      <c r="G298" s="11" t="s">
        <v>44</v>
      </c>
      <c r="H298" s="11" t="s">
        <v>166</v>
      </c>
      <c r="I298" s="11" t="s">
        <v>45</v>
      </c>
      <c r="J298" s="11">
        <v>1</v>
      </c>
      <c r="K298" s="11">
        <v>7</v>
      </c>
      <c r="L298" s="11">
        <v>6</v>
      </c>
      <c r="M298" s="11">
        <v>0</v>
      </c>
      <c r="N298" s="11">
        <v>13</v>
      </c>
    </row>
    <row r="299" spans="1:14" ht="15" customHeight="1" x14ac:dyDescent="0.25">
      <c r="A299" s="11">
        <v>25</v>
      </c>
      <c r="B299" s="11" t="s">
        <v>54</v>
      </c>
      <c r="C299" s="11" t="s">
        <v>84</v>
      </c>
      <c r="D299" s="11" t="s">
        <v>167</v>
      </c>
      <c r="E299" s="11" t="s">
        <v>23</v>
      </c>
      <c r="F299" s="11" t="s">
        <v>168</v>
      </c>
      <c r="G299" s="11" t="s">
        <v>24</v>
      </c>
      <c r="H299" s="11" t="s">
        <v>169</v>
      </c>
      <c r="I299" s="11" t="s">
        <v>57</v>
      </c>
      <c r="J299" s="11">
        <v>1</v>
      </c>
      <c r="K299" s="11">
        <v>7</v>
      </c>
      <c r="L299" s="11">
        <v>6</v>
      </c>
      <c r="M299" s="11">
        <v>0</v>
      </c>
      <c r="N299" s="11">
        <v>13</v>
      </c>
    </row>
    <row r="300" spans="1:14" ht="15" customHeight="1" x14ac:dyDescent="0.25">
      <c r="A300" s="11">
        <v>25</v>
      </c>
      <c r="B300" s="11" t="s">
        <v>54</v>
      </c>
      <c r="C300" s="11" t="s">
        <v>85</v>
      </c>
      <c r="D300" s="11" t="s">
        <v>170</v>
      </c>
      <c r="E300" s="11" t="s">
        <v>107</v>
      </c>
      <c r="F300" s="11" t="s">
        <v>171</v>
      </c>
      <c r="G300" s="11" t="s">
        <v>106</v>
      </c>
      <c r="H300" s="11" t="s">
        <v>180</v>
      </c>
      <c r="I300" s="11" t="s">
        <v>123</v>
      </c>
      <c r="J300" s="11">
        <v>1</v>
      </c>
      <c r="K300" s="11">
        <v>3</v>
      </c>
      <c r="L300" s="11">
        <v>3</v>
      </c>
      <c r="M300" s="11">
        <v>0</v>
      </c>
      <c r="N300" s="11">
        <v>6</v>
      </c>
    </row>
    <row r="301" spans="1:14" ht="15" customHeight="1" x14ac:dyDescent="0.25">
      <c r="A301" s="11">
        <v>25</v>
      </c>
      <c r="B301" s="11" t="s">
        <v>54</v>
      </c>
      <c r="C301" s="11" t="s">
        <v>86</v>
      </c>
      <c r="D301" s="11" t="s">
        <v>174</v>
      </c>
      <c r="E301" s="11" t="s">
        <v>118</v>
      </c>
      <c r="F301" s="11" t="s">
        <v>173</v>
      </c>
      <c r="G301" s="11" t="s">
        <v>108</v>
      </c>
      <c r="H301" s="11" t="s">
        <v>175</v>
      </c>
      <c r="I301" s="11" t="s">
        <v>109</v>
      </c>
      <c r="J301" s="11">
        <v>1</v>
      </c>
      <c r="K301" s="11">
        <v>0</v>
      </c>
      <c r="L301" s="11">
        <v>3</v>
      </c>
      <c r="M301" s="11">
        <v>3</v>
      </c>
      <c r="N301" s="11">
        <v>6</v>
      </c>
    </row>
    <row r="302" spans="1:14" ht="15" customHeight="1" x14ac:dyDescent="0.25">
      <c r="A302" s="11">
        <v>26</v>
      </c>
      <c r="B302" s="11" t="s">
        <v>26</v>
      </c>
      <c r="C302" s="11" t="s">
        <v>75</v>
      </c>
      <c r="D302" s="11" t="s">
        <v>140</v>
      </c>
      <c r="E302" s="11" t="s">
        <v>94</v>
      </c>
      <c r="F302" s="11" t="s">
        <v>141</v>
      </c>
      <c r="G302" s="11" t="s">
        <v>95</v>
      </c>
      <c r="H302" s="11" t="s">
        <v>176</v>
      </c>
      <c r="I302" s="11" t="s">
        <v>119</v>
      </c>
      <c r="J302" s="11">
        <v>1</v>
      </c>
      <c r="K302" s="11">
        <v>7</v>
      </c>
      <c r="L302" s="11">
        <v>6</v>
      </c>
      <c r="M302" s="11">
        <v>5</v>
      </c>
      <c r="N302" s="11">
        <v>18</v>
      </c>
    </row>
    <row r="303" spans="1:14" ht="15" customHeight="1" x14ac:dyDescent="0.25">
      <c r="A303" s="11">
        <v>26</v>
      </c>
      <c r="B303" s="11" t="s">
        <v>26</v>
      </c>
      <c r="C303" s="11" t="s">
        <v>76</v>
      </c>
      <c r="D303" s="11" t="s">
        <v>144</v>
      </c>
      <c r="E303" s="11" t="s">
        <v>96</v>
      </c>
      <c r="F303" s="11" t="s">
        <v>143</v>
      </c>
      <c r="G303" s="11" t="s">
        <v>97</v>
      </c>
      <c r="H303" s="11" t="s">
        <v>145</v>
      </c>
      <c r="I303" s="11" t="s">
        <v>111</v>
      </c>
      <c r="J303" s="11">
        <v>1</v>
      </c>
      <c r="K303" s="11">
        <v>7</v>
      </c>
      <c r="L303" s="11">
        <v>6</v>
      </c>
      <c r="M303" s="11">
        <v>0</v>
      </c>
      <c r="N303" s="11">
        <v>13</v>
      </c>
    </row>
    <row r="304" spans="1:14" ht="15" customHeight="1" x14ac:dyDescent="0.25">
      <c r="A304" s="11">
        <v>26</v>
      </c>
      <c r="B304" s="11" t="s">
        <v>26</v>
      </c>
      <c r="C304" s="11" t="s">
        <v>77</v>
      </c>
      <c r="D304" s="11" t="s">
        <v>147</v>
      </c>
      <c r="E304" s="11" t="s">
        <v>98</v>
      </c>
      <c r="F304" s="11" t="s">
        <v>146</v>
      </c>
      <c r="G304" s="11" t="s">
        <v>99</v>
      </c>
      <c r="H304" s="11" t="s">
        <v>148</v>
      </c>
      <c r="I304" s="11" t="s">
        <v>112</v>
      </c>
      <c r="J304" s="11">
        <v>1</v>
      </c>
      <c r="K304" s="11">
        <v>7</v>
      </c>
      <c r="L304" s="11">
        <v>6</v>
      </c>
      <c r="M304" s="11">
        <v>5</v>
      </c>
      <c r="N304" s="11">
        <v>18</v>
      </c>
    </row>
    <row r="305" spans="1:14" ht="15" customHeight="1" x14ac:dyDescent="0.25">
      <c r="A305" s="11">
        <v>26</v>
      </c>
      <c r="B305" s="11" t="s">
        <v>26</v>
      </c>
      <c r="C305" s="11" t="s">
        <v>78</v>
      </c>
      <c r="D305" s="11" t="s">
        <v>151</v>
      </c>
      <c r="E305" s="11" t="s">
        <v>100</v>
      </c>
      <c r="F305" s="11" t="s">
        <v>149</v>
      </c>
      <c r="G305" s="11" t="s">
        <v>113</v>
      </c>
      <c r="H305" s="11" t="s">
        <v>150</v>
      </c>
      <c r="I305" s="11" t="s">
        <v>114</v>
      </c>
      <c r="J305" s="11">
        <v>1</v>
      </c>
      <c r="K305" s="11">
        <v>7</v>
      </c>
      <c r="L305" s="11">
        <v>3</v>
      </c>
      <c r="M305" s="11">
        <v>0</v>
      </c>
      <c r="N305" s="11">
        <v>10</v>
      </c>
    </row>
    <row r="306" spans="1:14" ht="15" customHeight="1" x14ac:dyDescent="0.25">
      <c r="A306" s="11">
        <v>26</v>
      </c>
      <c r="B306" s="11" t="s">
        <v>26</v>
      </c>
      <c r="C306" s="11" t="s">
        <v>79</v>
      </c>
      <c r="D306" s="11" t="s">
        <v>152</v>
      </c>
      <c r="E306" s="11" t="s">
        <v>102</v>
      </c>
      <c r="F306" s="11" t="s">
        <v>153</v>
      </c>
      <c r="G306" s="11" t="s">
        <v>115</v>
      </c>
      <c r="H306" s="11" t="s">
        <v>154</v>
      </c>
      <c r="I306" s="11" t="s">
        <v>103</v>
      </c>
      <c r="J306" s="11">
        <v>1</v>
      </c>
      <c r="K306" s="11">
        <v>7</v>
      </c>
      <c r="L306" s="11">
        <v>3</v>
      </c>
      <c r="M306" s="11">
        <v>3</v>
      </c>
      <c r="N306" s="11">
        <v>13</v>
      </c>
    </row>
    <row r="307" spans="1:14" ht="15" customHeight="1" x14ac:dyDescent="0.25">
      <c r="A307" s="11">
        <v>26</v>
      </c>
      <c r="B307" s="11" t="s">
        <v>26</v>
      </c>
      <c r="C307" s="11" t="s">
        <v>80</v>
      </c>
      <c r="D307" s="11" t="s">
        <v>155</v>
      </c>
      <c r="E307" s="11" t="s">
        <v>104</v>
      </c>
      <c r="F307" s="11" t="s">
        <v>156</v>
      </c>
      <c r="G307" s="11" t="s">
        <v>105</v>
      </c>
      <c r="H307" s="11" t="s">
        <v>157</v>
      </c>
      <c r="I307" s="11" t="s">
        <v>116</v>
      </c>
      <c r="J307" s="11">
        <v>1</v>
      </c>
      <c r="K307" s="11">
        <v>7</v>
      </c>
      <c r="L307" s="11">
        <v>6</v>
      </c>
      <c r="M307" s="11">
        <v>5</v>
      </c>
      <c r="N307" s="11">
        <v>18</v>
      </c>
    </row>
    <row r="308" spans="1:14" ht="15" customHeight="1" x14ac:dyDescent="0.25">
      <c r="A308" s="11">
        <v>26</v>
      </c>
      <c r="B308" s="11" t="s">
        <v>26</v>
      </c>
      <c r="C308" s="11" t="s">
        <v>81</v>
      </c>
      <c r="D308" s="11" t="s">
        <v>158</v>
      </c>
      <c r="E308" s="11" t="s">
        <v>68</v>
      </c>
      <c r="F308" s="11" t="s">
        <v>160</v>
      </c>
      <c r="G308" s="11" t="s">
        <v>69</v>
      </c>
      <c r="H308" s="11" t="s">
        <v>159</v>
      </c>
      <c r="I308" s="11" t="s">
        <v>73</v>
      </c>
      <c r="J308" s="11">
        <v>1</v>
      </c>
      <c r="K308" s="11">
        <v>3</v>
      </c>
      <c r="L308" s="11">
        <v>6</v>
      </c>
      <c r="M308" s="11">
        <v>3</v>
      </c>
      <c r="N308" s="11">
        <v>12</v>
      </c>
    </row>
    <row r="309" spans="1:14" ht="15" customHeight="1" x14ac:dyDescent="0.25">
      <c r="A309" s="11">
        <v>26</v>
      </c>
      <c r="B309" s="11" t="s">
        <v>26</v>
      </c>
      <c r="C309" s="11" t="s">
        <v>82</v>
      </c>
      <c r="D309" s="11" t="s">
        <v>161</v>
      </c>
      <c r="E309" s="11" t="s">
        <v>66</v>
      </c>
      <c r="F309" s="11" t="s">
        <v>162</v>
      </c>
      <c r="G309" s="11" t="s">
        <v>70</v>
      </c>
      <c r="H309" s="11" t="s">
        <v>163</v>
      </c>
      <c r="I309" s="11" t="s">
        <v>67</v>
      </c>
      <c r="J309" s="11">
        <v>1</v>
      </c>
      <c r="K309" s="11">
        <v>7</v>
      </c>
      <c r="L309" s="11">
        <v>6</v>
      </c>
      <c r="M309" s="11">
        <v>0</v>
      </c>
      <c r="N309" s="11">
        <v>13</v>
      </c>
    </row>
    <row r="310" spans="1:14" ht="15" customHeight="1" x14ac:dyDescent="0.25">
      <c r="A310" s="11">
        <v>26</v>
      </c>
      <c r="B310" s="11" t="s">
        <v>26</v>
      </c>
      <c r="C310" s="11" t="s">
        <v>83</v>
      </c>
      <c r="D310" s="11" t="s">
        <v>164</v>
      </c>
      <c r="E310" s="11" t="s">
        <v>35</v>
      </c>
      <c r="F310" s="11" t="s">
        <v>165</v>
      </c>
      <c r="G310" s="11" t="s">
        <v>44</v>
      </c>
      <c r="H310" s="11" t="s">
        <v>166</v>
      </c>
      <c r="I310" s="11" t="s">
        <v>45</v>
      </c>
      <c r="J310" s="11">
        <v>1</v>
      </c>
      <c r="K310" s="11">
        <v>7</v>
      </c>
      <c r="L310" s="11">
        <v>6</v>
      </c>
      <c r="M310" s="11">
        <v>0</v>
      </c>
      <c r="N310" s="11">
        <v>13</v>
      </c>
    </row>
    <row r="311" spans="1:14" ht="15" customHeight="1" x14ac:dyDescent="0.25">
      <c r="A311" s="11">
        <v>26</v>
      </c>
      <c r="B311" s="11" t="s">
        <v>26</v>
      </c>
      <c r="C311" s="11" t="s">
        <v>84</v>
      </c>
      <c r="D311" s="11" t="s">
        <v>167</v>
      </c>
      <c r="E311" s="11" t="s">
        <v>23</v>
      </c>
      <c r="F311" s="11" t="s">
        <v>168</v>
      </c>
      <c r="G311" s="11" t="s">
        <v>24</v>
      </c>
      <c r="H311" s="11" t="s">
        <v>169</v>
      </c>
      <c r="I311" s="11" t="s">
        <v>57</v>
      </c>
      <c r="J311" s="11">
        <v>1</v>
      </c>
      <c r="K311" s="11">
        <v>7</v>
      </c>
      <c r="L311" s="11">
        <v>6</v>
      </c>
      <c r="M311" s="11">
        <v>0</v>
      </c>
      <c r="N311" s="11">
        <v>13</v>
      </c>
    </row>
    <row r="312" spans="1:14" ht="15" customHeight="1" x14ac:dyDescent="0.25">
      <c r="A312" s="11">
        <v>26</v>
      </c>
      <c r="B312" s="11" t="s">
        <v>26</v>
      </c>
      <c r="C312" s="11" t="s">
        <v>85</v>
      </c>
      <c r="D312" s="11" t="s">
        <v>170</v>
      </c>
      <c r="E312" s="11" t="s">
        <v>107</v>
      </c>
      <c r="F312" s="11" t="s">
        <v>171</v>
      </c>
      <c r="G312" s="11" t="s">
        <v>106</v>
      </c>
      <c r="H312" s="11" t="s">
        <v>172</v>
      </c>
      <c r="I312" s="11" t="s">
        <v>117</v>
      </c>
      <c r="J312" s="11">
        <v>1</v>
      </c>
      <c r="K312" s="11">
        <v>3</v>
      </c>
      <c r="L312" s="11">
        <v>3</v>
      </c>
      <c r="M312" s="11">
        <v>5</v>
      </c>
      <c r="N312" s="11">
        <v>11</v>
      </c>
    </row>
    <row r="313" spans="1:14" ht="15" customHeight="1" x14ac:dyDescent="0.25">
      <c r="A313" s="11">
        <v>26</v>
      </c>
      <c r="B313" s="11" t="s">
        <v>26</v>
      </c>
      <c r="C313" s="11" t="s">
        <v>86</v>
      </c>
      <c r="D313" s="11" t="s">
        <v>173</v>
      </c>
      <c r="E313" s="11" t="s">
        <v>108</v>
      </c>
      <c r="F313" s="11" t="s">
        <v>174</v>
      </c>
      <c r="G313" s="11" t="s">
        <v>118</v>
      </c>
      <c r="H313" s="11" t="s">
        <v>175</v>
      </c>
      <c r="I313" s="11" t="s">
        <v>109</v>
      </c>
      <c r="J313" s="11">
        <v>1</v>
      </c>
      <c r="K313" s="11">
        <v>7</v>
      </c>
      <c r="L313" s="11">
        <v>0</v>
      </c>
      <c r="M313" s="11">
        <v>3</v>
      </c>
      <c r="N313" s="11">
        <v>10</v>
      </c>
    </row>
    <row r="314" spans="1:14" ht="15" customHeight="1" x14ac:dyDescent="0.25">
      <c r="A314" s="11">
        <v>27</v>
      </c>
      <c r="B314" s="11" t="s">
        <v>47</v>
      </c>
      <c r="C314" s="11" t="s">
        <v>75</v>
      </c>
      <c r="D314" s="11" t="s">
        <v>140</v>
      </c>
      <c r="E314" s="11" t="s">
        <v>94</v>
      </c>
      <c r="F314" s="11" t="s">
        <v>176</v>
      </c>
      <c r="G314" s="11" t="s">
        <v>119</v>
      </c>
      <c r="H314" s="11" t="s">
        <v>142</v>
      </c>
      <c r="I314" s="11" t="s">
        <v>110</v>
      </c>
      <c r="J314" s="11">
        <v>1</v>
      </c>
      <c r="K314" s="11">
        <v>7</v>
      </c>
      <c r="L314" s="11">
        <v>3</v>
      </c>
      <c r="M314" s="11">
        <v>0</v>
      </c>
      <c r="N314" s="11">
        <v>10</v>
      </c>
    </row>
    <row r="315" spans="1:14" ht="15" customHeight="1" x14ac:dyDescent="0.25">
      <c r="A315" s="11">
        <v>27</v>
      </c>
      <c r="B315" s="11" t="s">
        <v>47</v>
      </c>
      <c r="C315" s="11" t="s">
        <v>76</v>
      </c>
      <c r="D315" s="11" t="s">
        <v>143</v>
      </c>
      <c r="E315" s="11" t="s">
        <v>97</v>
      </c>
      <c r="F315" s="11" t="s">
        <v>145</v>
      </c>
      <c r="G315" s="11" t="s">
        <v>111</v>
      </c>
      <c r="H315" s="11" t="s">
        <v>144</v>
      </c>
      <c r="I315" s="11" t="s">
        <v>96</v>
      </c>
      <c r="J315" s="11">
        <v>1</v>
      </c>
      <c r="K315" s="11">
        <v>3</v>
      </c>
      <c r="L315" s="11">
        <v>0</v>
      </c>
      <c r="M315" s="11">
        <v>3</v>
      </c>
      <c r="N315" s="11">
        <v>6</v>
      </c>
    </row>
    <row r="316" spans="1:14" ht="15" customHeight="1" x14ac:dyDescent="0.25">
      <c r="A316" s="11">
        <v>27</v>
      </c>
      <c r="B316" s="11" t="s">
        <v>47</v>
      </c>
      <c r="C316" s="11" t="s">
        <v>77</v>
      </c>
      <c r="D316" s="11" t="s">
        <v>147</v>
      </c>
      <c r="E316" s="11" t="s">
        <v>98</v>
      </c>
      <c r="F316" s="11" t="s">
        <v>146</v>
      </c>
      <c r="G316" s="11" t="s">
        <v>99</v>
      </c>
      <c r="H316" s="11" t="s">
        <v>148</v>
      </c>
      <c r="I316" s="11" t="s">
        <v>112</v>
      </c>
      <c r="J316" s="11">
        <v>1</v>
      </c>
      <c r="K316" s="11">
        <v>7</v>
      </c>
      <c r="L316" s="11">
        <v>6</v>
      </c>
      <c r="M316" s="11">
        <v>5</v>
      </c>
      <c r="N316" s="11">
        <v>18</v>
      </c>
    </row>
    <row r="317" spans="1:14" ht="15" customHeight="1" x14ac:dyDescent="0.25">
      <c r="A317" s="11">
        <v>27</v>
      </c>
      <c r="B317" s="11" t="s">
        <v>47</v>
      </c>
      <c r="C317" s="11" t="s">
        <v>78</v>
      </c>
      <c r="D317" s="11" t="s">
        <v>151</v>
      </c>
      <c r="E317" s="11" t="s">
        <v>100</v>
      </c>
      <c r="F317" s="11" t="s">
        <v>150</v>
      </c>
      <c r="G317" s="11" t="s">
        <v>114</v>
      </c>
      <c r="H317" s="11" t="s">
        <v>149</v>
      </c>
      <c r="I317" s="11" t="s">
        <v>113</v>
      </c>
      <c r="J317" s="11">
        <v>1</v>
      </c>
      <c r="K317" s="11">
        <v>7</v>
      </c>
      <c r="L317" s="11">
        <v>0</v>
      </c>
      <c r="M317" s="11">
        <v>5</v>
      </c>
      <c r="N317" s="11">
        <v>12</v>
      </c>
    </row>
    <row r="318" spans="1:14" ht="15" customHeight="1" x14ac:dyDescent="0.25">
      <c r="A318" s="11">
        <v>27</v>
      </c>
      <c r="B318" s="11" t="s">
        <v>47</v>
      </c>
      <c r="C318" s="11" t="s">
        <v>79</v>
      </c>
      <c r="D318" s="11" t="s">
        <v>152</v>
      </c>
      <c r="E318" s="11" t="s">
        <v>102</v>
      </c>
      <c r="F318" s="11" t="s">
        <v>153</v>
      </c>
      <c r="G318" s="11" t="s">
        <v>115</v>
      </c>
      <c r="H318" s="11" t="s">
        <v>179</v>
      </c>
      <c r="I318" s="11" t="s">
        <v>122</v>
      </c>
      <c r="J318" s="11">
        <v>1</v>
      </c>
      <c r="K318" s="11">
        <v>7</v>
      </c>
      <c r="L318" s="11">
        <v>3</v>
      </c>
      <c r="M318" s="11">
        <v>0</v>
      </c>
      <c r="N318" s="11">
        <v>10</v>
      </c>
    </row>
    <row r="319" spans="1:14" ht="15" customHeight="1" x14ac:dyDescent="0.25">
      <c r="A319" s="11">
        <v>27</v>
      </c>
      <c r="B319" s="11" t="s">
        <v>47</v>
      </c>
      <c r="C319" s="11" t="s">
        <v>80</v>
      </c>
      <c r="D319" s="11" t="s">
        <v>155</v>
      </c>
      <c r="E319" s="11" t="s">
        <v>104</v>
      </c>
      <c r="F319" s="11" t="s">
        <v>156</v>
      </c>
      <c r="G319" s="11" t="s">
        <v>105</v>
      </c>
      <c r="H319" s="11" t="s">
        <v>157</v>
      </c>
      <c r="I319" s="11" t="s">
        <v>116</v>
      </c>
      <c r="J319" s="11">
        <v>1</v>
      </c>
      <c r="K319" s="11">
        <v>7</v>
      </c>
      <c r="L319" s="11">
        <v>6</v>
      </c>
      <c r="M319" s="11">
        <v>5</v>
      </c>
      <c r="N319" s="11">
        <v>18</v>
      </c>
    </row>
    <row r="320" spans="1:14" ht="15" customHeight="1" x14ac:dyDescent="0.25">
      <c r="A320" s="11">
        <v>27</v>
      </c>
      <c r="B320" s="11" t="s">
        <v>47</v>
      </c>
      <c r="C320" s="11" t="s">
        <v>81</v>
      </c>
      <c r="D320" s="11" t="s">
        <v>158</v>
      </c>
      <c r="E320" s="11" t="s">
        <v>68</v>
      </c>
      <c r="F320" s="11" t="s">
        <v>182</v>
      </c>
      <c r="G320" s="11" t="s">
        <v>72</v>
      </c>
      <c r="H320" s="11" t="s">
        <v>159</v>
      </c>
      <c r="I320" s="11" t="s">
        <v>73</v>
      </c>
      <c r="J320" s="11">
        <v>1</v>
      </c>
      <c r="K320" s="11">
        <v>3</v>
      </c>
      <c r="L320" s="11">
        <v>0</v>
      </c>
      <c r="M320" s="11">
        <v>3</v>
      </c>
      <c r="N320" s="11">
        <v>6</v>
      </c>
    </row>
    <row r="321" spans="1:14" ht="15" customHeight="1" x14ac:dyDescent="0.25">
      <c r="A321" s="11">
        <v>27</v>
      </c>
      <c r="B321" s="11" t="s">
        <v>47</v>
      </c>
      <c r="C321" s="11" t="s">
        <v>82</v>
      </c>
      <c r="D321" s="11" t="s">
        <v>161</v>
      </c>
      <c r="E321" s="11" t="s">
        <v>66</v>
      </c>
      <c r="F321" s="11" t="s">
        <v>162</v>
      </c>
      <c r="G321" s="11" t="s">
        <v>70</v>
      </c>
      <c r="H321" s="11" t="s">
        <v>184</v>
      </c>
      <c r="I321" s="11" t="s">
        <v>71</v>
      </c>
      <c r="J321" s="11">
        <v>1</v>
      </c>
      <c r="K321" s="11">
        <v>7</v>
      </c>
      <c r="L321" s="11">
        <v>6</v>
      </c>
      <c r="M321" s="11">
        <v>5</v>
      </c>
      <c r="N321" s="11">
        <v>18</v>
      </c>
    </row>
    <row r="322" spans="1:14" ht="15" customHeight="1" x14ac:dyDescent="0.25">
      <c r="A322" s="11">
        <v>27</v>
      </c>
      <c r="B322" s="11" t="s">
        <v>47</v>
      </c>
      <c r="C322" s="11" t="s">
        <v>83</v>
      </c>
      <c r="D322" s="11" t="s">
        <v>165</v>
      </c>
      <c r="E322" s="11" t="s">
        <v>44</v>
      </c>
      <c r="F322" s="11" t="s">
        <v>164</v>
      </c>
      <c r="G322" s="11" t="s">
        <v>35</v>
      </c>
      <c r="H322" s="11" t="s">
        <v>166</v>
      </c>
      <c r="I322" s="11" t="s">
        <v>45</v>
      </c>
      <c r="J322" s="11">
        <v>1</v>
      </c>
      <c r="K322" s="11">
        <v>3</v>
      </c>
      <c r="L322" s="11">
        <v>3</v>
      </c>
      <c r="M322" s="11">
        <v>0</v>
      </c>
      <c r="N322" s="11">
        <v>6</v>
      </c>
    </row>
    <row r="323" spans="1:14" ht="15" customHeight="1" x14ac:dyDescent="0.25">
      <c r="A323" s="11">
        <v>27</v>
      </c>
      <c r="B323" s="11" t="s">
        <v>47</v>
      </c>
      <c r="C323" s="11" t="s">
        <v>84</v>
      </c>
      <c r="D323" s="11" t="s">
        <v>167</v>
      </c>
      <c r="E323" s="11" t="s">
        <v>23</v>
      </c>
      <c r="F323" s="11" t="s">
        <v>169</v>
      </c>
      <c r="G323" s="11" t="s">
        <v>57</v>
      </c>
      <c r="H323" s="11" t="s">
        <v>168</v>
      </c>
      <c r="I323" s="11" t="s">
        <v>24</v>
      </c>
      <c r="J323" s="11">
        <v>1</v>
      </c>
      <c r="K323" s="11">
        <v>7</v>
      </c>
      <c r="L323" s="11">
        <v>0</v>
      </c>
      <c r="M323" s="11">
        <v>3</v>
      </c>
      <c r="N323" s="11">
        <v>10</v>
      </c>
    </row>
    <row r="324" spans="1:14" ht="15" customHeight="1" x14ac:dyDescent="0.25">
      <c r="A324" s="11">
        <v>27</v>
      </c>
      <c r="B324" s="11" t="s">
        <v>47</v>
      </c>
      <c r="C324" s="11" t="s">
        <v>85</v>
      </c>
      <c r="D324" s="11" t="s">
        <v>170</v>
      </c>
      <c r="E324" s="11" t="s">
        <v>107</v>
      </c>
      <c r="F324" s="11" t="s">
        <v>171</v>
      </c>
      <c r="G324" s="11" t="s">
        <v>106</v>
      </c>
      <c r="H324" s="11" t="s">
        <v>172</v>
      </c>
      <c r="I324" s="11" t="s">
        <v>117</v>
      </c>
      <c r="J324" s="11">
        <v>1</v>
      </c>
      <c r="K324" s="11">
        <v>3</v>
      </c>
      <c r="L324" s="11">
        <v>3</v>
      </c>
      <c r="M324" s="11">
        <v>5</v>
      </c>
      <c r="N324" s="11">
        <v>11</v>
      </c>
    </row>
    <row r="325" spans="1:14" ht="15" customHeight="1" x14ac:dyDescent="0.25">
      <c r="A325" s="11">
        <v>27</v>
      </c>
      <c r="B325" s="11" t="s">
        <v>47</v>
      </c>
      <c r="C325" s="11" t="s">
        <v>86</v>
      </c>
      <c r="D325" s="11" t="s">
        <v>175</v>
      </c>
      <c r="E325" s="11" t="s">
        <v>109</v>
      </c>
      <c r="F325" s="11" t="s">
        <v>174</v>
      </c>
      <c r="G325" s="11" t="s">
        <v>118</v>
      </c>
      <c r="H325" s="11" t="s">
        <v>173</v>
      </c>
      <c r="I325" s="11" t="s">
        <v>108</v>
      </c>
      <c r="J325" s="11">
        <v>1</v>
      </c>
      <c r="K325" s="11">
        <v>3</v>
      </c>
      <c r="L325" s="11">
        <v>0</v>
      </c>
      <c r="M325" s="11">
        <v>3</v>
      </c>
      <c r="N325" s="11">
        <v>6</v>
      </c>
    </row>
    <row r="326" spans="1:14" ht="15" customHeight="1" x14ac:dyDescent="0.25">
      <c r="A326" s="11">
        <v>28</v>
      </c>
      <c r="B326" s="11" t="s">
        <v>58</v>
      </c>
      <c r="C326" s="11" t="s">
        <v>75</v>
      </c>
      <c r="D326" s="11" t="s">
        <v>176</v>
      </c>
      <c r="E326" s="11" t="s">
        <v>119</v>
      </c>
      <c r="F326" s="11" t="s">
        <v>140</v>
      </c>
      <c r="G326" s="11" t="s">
        <v>94</v>
      </c>
      <c r="H326" s="11" t="s">
        <v>141</v>
      </c>
      <c r="I326" s="11" t="s">
        <v>95</v>
      </c>
      <c r="J326" s="11">
        <v>1</v>
      </c>
      <c r="K326" s="11">
        <v>3</v>
      </c>
      <c r="L326" s="11">
        <v>3</v>
      </c>
      <c r="M326" s="11">
        <v>3</v>
      </c>
      <c r="N326" s="11">
        <v>9</v>
      </c>
    </row>
    <row r="327" spans="1:14" ht="15" customHeight="1" x14ac:dyDescent="0.25">
      <c r="A327" s="11">
        <v>28</v>
      </c>
      <c r="B327" s="11" t="s">
        <v>58</v>
      </c>
      <c r="C327" s="11" t="s">
        <v>76</v>
      </c>
      <c r="D327" s="11" t="s">
        <v>144</v>
      </c>
      <c r="E327" s="11" t="s">
        <v>96</v>
      </c>
      <c r="F327" s="11" t="s">
        <v>143</v>
      </c>
      <c r="G327" s="11" t="s">
        <v>97</v>
      </c>
      <c r="H327" s="11" t="s">
        <v>145</v>
      </c>
      <c r="I327" s="11" t="s">
        <v>111</v>
      </c>
      <c r="J327" s="11">
        <v>1</v>
      </c>
      <c r="K327" s="11">
        <v>7</v>
      </c>
      <c r="L327" s="11">
        <v>6</v>
      </c>
      <c r="M327" s="11">
        <v>0</v>
      </c>
      <c r="N327" s="11">
        <v>13</v>
      </c>
    </row>
    <row r="328" spans="1:14" ht="15" customHeight="1" x14ac:dyDescent="0.25">
      <c r="A328" s="11">
        <v>28</v>
      </c>
      <c r="B328" s="11" t="s">
        <v>58</v>
      </c>
      <c r="C328" s="11" t="s">
        <v>77</v>
      </c>
      <c r="D328" s="11" t="s">
        <v>147</v>
      </c>
      <c r="E328" s="11" t="s">
        <v>98</v>
      </c>
      <c r="F328" s="11" t="s">
        <v>146</v>
      </c>
      <c r="G328" s="11" t="s">
        <v>99</v>
      </c>
      <c r="H328" s="11" t="s">
        <v>148</v>
      </c>
      <c r="I328" s="11" t="s">
        <v>112</v>
      </c>
      <c r="J328" s="11">
        <v>1</v>
      </c>
      <c r="K328" s="11">
        <v>7</v>
      </c>
      <c r="L328" s="11">
        <v>6</v>
      </c>
      <c r="M328" s="11">
        <v>5</v>
      </c>
      <c r="N328" s="11">
        <v>18</v>
      </c>
    </row>
    <row r="329" spans="1:14" ht="15" customHeight="1" x14ac:dyDescent="0.25">
      <c r="A329" s="11">
        <v>28</v>
      </c>
      <c r="B329" s="11" t="s">
        <v>58</v>
      </c>
      <c r="C329" s="11" t="s">
        <v>78</v>
      </c>
      <c r="D329" s="11" t="s">
        <v>151</v>
      </c>
      <c r="E329" s="11" t="s">
        <v>100</v>
      </c>
      <c r="F329" s="11" t="s">
        <v>150</v>
      </c>
      <c r="G329" s="11" t="s">
        <v>114</v>
      </c>
      <c r="H329" s="11" t="s">
        <v>149</v>
      </c>
      <c r="I329" s="11" t="s">
        <v>113</v>
      </c>
      <c r="J329" s="11">
        <v>1</v>
      </c>
      <c r="K329" s="11">
        <v>7</v>
      </c>
      <c r="L329" s="11">
        <v>0</v>
      </c>
      <c r="M329" s="11">
        <v>5</v>
      </c>
      <c r="N329" s="11">
        <v>12</v>
      </c>
    </row>
    <row r="330" spans="1:14" ht="15" customHeight="1" x14ac:dyDescent="0.25">
      <c r="A330" s="11">
        <v>28</v>
      </c>
      <c r="B330" s="11" t="s">
        <v>58</v>
      </c>
      <c r="C330" s="11" t="s">
        <v>79</v>
      </c>
      <c r="D330" s="11" t="s">
        <v>152</v>
      </c>
      <c r="E330" s="11" t="s">
        <v>102</v>
      </c>
      <c r="F330" s="11" t="s">
        <v>153</v>
      </c>
      <c r="G330" s="11" t="s">
        <v>115</v>
      </c>
      <c r="H330" s="11" t="s">
        <v>154</v>
      </c>
      <c r="I330" s="11" t="s">
        <v>103</v>
      </c>
      <c r="J330" s="11">
        <v>1</v>
      </c>
      <c r="K330" s="11">
        <v>7</v>
      </c>
      <c r="L330" s="11">
        <v>3</v>
      </c>
      <c r="M330" s="11">
        <v>3</v>
      </c>
      <c r="N330" s="11">
        <v>13</v>
      </c>
    </row>
    <row r="331" spans="1:14" ht="15" customHeight="1" x14ac:dyDescent="0.25">
      <c r="A331" s="11">
        <v>28</v>
      </c>
      <c r="B331" s="11" t="s">
        <v>58</v>
      </c>
      <c r="C331" s="11" t="s">
        <v>80</v>
      </c>
      <c r="D331" s="11" t="s">
        <v>155</v>
      </c>
      <c r="E331" s="11" t="s">
        <v>104</v>
      </c>
      <c r="F331" s="11" t="s">
        <v>156</v>
      </c>
      <c r="G331" s="11" t="s">
        <v>105</v>
      </c>
      <c r="H331" s="11" t="s">
        <v>157</v>
      </c>
      <c r="I331" s="11" t="s">
        <v>116</v>
      </c>
      <c r="J331" s="11">
        <v>1</v>
      </c>
      <c r="K331" s="11">
        <v>7</v>
      </c>
      <c r="L331" s="11">
        <v>6</v>
      </c>
      <c r="M331" s="11">
        <v>5</v>
      </c>
      <c r="N331" s="11">
        <v>18</v>
      </c>
    </row>
    <row r="332" spans="1:14" ht="15" customHeight="1" x14ac:dyDescent="0.25">
      <c r="A332" s="11">
        <v>28</v>
      </c>
      <c r="B332" s="11" t="s">
        <v>58</v>
      </c>
      <c r="C332" s="11" t="s">
        <v>81</v>
      </c>
      <c r="D332" s="11" t="s">
        <v>158</v>
      </c>
      <c r="E332" s="11" t="s">
        <v>68</v>
      </c>
      <c r="F332" s="11" t="s">
        <v>160</v>
      </c>
      <c r="G332" s="11" t="s">
        <v>69</v>
      </c>
      <c r="H332" s="11" t="s">
        <v>159</v>
      </c>
      <c r="I332" s="11" t="s">
        <v>73</v>
      </c>
      <c r="J332" s="11">
        <v>1</v>
      </c>
      <c r="K332" s="11">
        <v>3</v>
      </c>
      <c r="L332" s="11">
        <v>6</v>
      </c>
      <c r="M332" s="11">
        <v>3</v>
      </c>
      <c r="N332" s="11">
        <v>12</v>
      </c>
    </row>
    <row r="333" spans="1:14" ht="15" customHeight="1" x14ac:dyDescent="0.25">
      <c r="A333" s="11">
        <v>28</v>
      </c>
      <c r="B333" s="11" t="s">
        <v>58</v>
      </c>
      <c r="C333" s="11" t="s">
        <v>82</v>
      </c>
      <c r="D333" s="11" t="s">
        <v>161</v>
      </c>
      <c r="E333" s="11" t="s">
        <v>66</v>
      </c>
      <c r="F333" s="11" t="s">
        <v>162</v>
      </c>
      <c r="G333" s="11" t="s">
        <v>70</v>
      </c>
      <c r="H333" s="11" t="s">
        <v>163</v>
      </c>
      <c r="I333" s="11" t="s">
        <v>67</v>
      </c>
      <c r="J333" s="11">
        <v>1</v>
      </c>
      <c r="K333" s="11">
        <v>7</v>
      </c>
      <c r="L333" s="11">
        <v>6</v>
      </c>
      <c r="M333" s="11">
        <v>0</v>
      </c>
      <c r="N333" s="11">
        <v>13</v>
      </c>
    </row>
    <row r="334" spans="1:14" ht="15" customHeight="1" x14ac:dyDescent="0.25">
      <c r="A334" s="11">
        <v>28</v>
      </c>
      <c r="B334" s="11" t="s">
        <v>58</v>
      </c>
      <c r="C334" s="11" t="s">
        <v>83</v>
      </c>
      <c r="D334" s="11" t="s">
        <v>165</v>
      </c>
      <c r="E334" s="11" t="s">
        <v>44</v>
      </c>
      <c r="F334" s="11" t="s">
        <v>164</v>
      </c>
      <c r="G334" s="11" t="s">
        <v>35</v>
      </c>
      <c r="H334" s="11" t="s">
        <v>185</v>
      </c>
      <c r="I334" s="11" t="s">
        <v>36</v>
      </c>
      <c r="J334" s="11">
        <v>1</v>
      </c>
      <c r="K334" s="11">
        <v>3</v>
      </c>
      <c r="L334" s="11">
        <v>3</v>
      </c>
      <c r="M334" s="11">
        <v>0</v>
      </c>
      <c r="N334" s="11">
        <v>6</v>
      </c>
    </row>
    <row r="335" spans="1:14" ht="15" customHeight="1" x14ac:dyDescent="0.25">
      <c r="A335" s="11">
        <v>28</v>
      </c>
      <c r="B335" s="11" t="s">
        <v>58</v>
      </c>
      <c r="C335" s="11" t="s">
        <v>84</v>
      </c>
      <c r="D335" s="11" t="s">
        <v>167</v>
      </c>
      <c r="E335" s="11" t="s">
        <v>23</v>
      </c>
      <c r="F335" s="11" t="s">
        <v>168</v>
      </c>
      <c r="G335" s="11" t="s">
        <v>24</v>
      </c>
      <c r="H335" s="11" t="s">
        <v>186</v>
      </c>
      <c r="I335" s="11" t="s">
        <v>56</v>
      </c>
      <c r="J335" s="11">
        <v>1</v>
      </c>
      <c r="K335" s="11">
        <v>7</v>
      </c>
      <c r="L335" s="11">
        <v>6</v>
      </c>
      <c r="M335" s="11">
        <v>0</v>
      </c>
      <c r="N335" s="11">
        <v>13</v>
      </c>
    </row>
    <row r="336" spans="1:14" ht="15" customHeight="1" x14ac:dyDescent="0.25">
      <c r="A336" s="11">
        <v>28</v>
      </c>
      <c r="B336" s="11" t="s">
        <v>58</v>
      </c>
      <c r="C336" s="11" t="s">
        <v>85</v>
      </c>
      <c r="D336" s="11" t="s">
        <v>171</v>
      </c>
      <c r="E336" s="11" t="s">
        <v>106</v>
      </c>
      <c r="F336" s="11" t="s">
        <v>170</v>
      </c>
      <c r="G336" s="11" t="s">
        <v>107</v>
      </c>
      <c r="H336" s="11" t="s">
        <v>180</v>
      </c>
      <c r="I336" s="11" t="s">
        <v>123</v>
      </c>
      <c r="J336" s="11">
        <v>1</v>
      </c>
      <c r="K336" s="11">
        <v>7</v>
      </c>
      <c r="L336" s="11">
        <v>6</v>
      </c>
      <c r="M336" s="11">
        <v>0</v>
      </c>
      <c r="N336" s="11">
        <v>13</v>
      </c>
    </row>
    <row r="337" spans="1:14" ht="15" customHeight="1" x14ac:dyDescent="0.25">
      <c r="A337" s="11">
        <v>28</v>
      </c>
      <c r="B337" s="11" t="s">
        <v>58</v>
      </c>
      <c r="C337" s="11" t="s">
        <v>86</v>
      </c>
      <c r="D337" s="11" t="s">
        <v>173</v>
      </c>
      <c r="E337" s="11" t="s">
        <v>108</v>
      </c>
      <c r="F337" s="11" t="s">
        <v>177</v>
      </c>
      <c r="G337" s="11" t="s">
        <v>120</v>
      </c>
      <c r="H337" s="11" t="s">
        <v>174</v>
      </c>
      <c r="I337" s="11" t="s">
        <v>118</v>
      </c>
      <c r="J337" s="11">
        <v>1</v>
      </c>
      <c r="K337" s="11">
        <v>7</v>
      </c>
      <c r="L337" s="11">
        <v>0</v>
      </c>
      <c r="M337" s="11">
        <v>0</v>
      </c>
      <c r="N337" s="11">
        <v>7</v>
      </c>
    </row>
    <row r="338" spans="1:14" ht="15" customHeight="1" x14ac:dyDescent="0.25">
      <c r="A338" s="11">
        <v>29</v>
      </c>
      <c r="B338" s="11" t="s">
        <v>10</v>
      </c>
      <c r="C338" s="11" t="s">
        <v>75</v>
      </c>
      <c r="D338" s="11" t="s">
        <v>140</v>
      </c>
      <c r="E338" s="11" t="s">
        <v>94</v>
      </c>
      <c r="F338" s="11" t="s">
        <v>141</v>
      </c>
      <c r="G338" s="11" t="s">
        <v>95</v>
      </c>
      <c r="H338" s="11" t="s">
        <v>176</v>
      </c>
      <c r="I338" s="11" t="s">
        <v>119</v>
      </c>
      <c r="J338" s="11">
        <v>1</v>
      </c>
      <c r="K338" s="11">
        <v>7</v>
      </c>
      <c r="L338" s="11">
        <v>6</v>
      </c>
      <c r="M338" s="11">
        <v>5</v>
      </c>
      <c r="N338" s="11">
        <v>18</v>
      </c>
    </row>
    <row r="339" spans="1:14" ht="15" customHeight="1" x14ac:dyDescent="0.25">
      <c r="A339" s="11">
        <v>29</v>
      </c>
      <c r="B339" s="11" t="s">
        <v>10</v>
      </c>
      <c r="C339" s="11" t="s">
        <v>76</v>
      </c>
      <c r="D339" s="11" t="s">
        <v>143</v>
      </c>
      <c r="E339" s="11" t="s">
        <v>97</v>
      </c>
      <c r="F339" s="11" t="s">
        <v>144</v>
      </c>
      <c r="G339" s="11" t="s">
        <v>96</v>
      </c>
      <c r="H339" s="11" t="s">
        <v>145</v>
      </c>
      <c r="I339" s="11" t="s">
        <v>111</v>
      </c>
      <c r="J339" s="11">
        <v>1</v>
      </c>
      <c r="K339" s="11">
        <v>3</v>
      </c>
      <c r="L339" s="11">
        <v>3</v>
      </c>
      <c r="M339" s="11">
        <v>0</v>
      </c>
      <c r="N339" s="11">
        <v>6</v>
      </c>
    </row>
    <row r="340" spans="1:14" ht="15" customHeight="1" x14ac:dyDescent="0.25">
      <c r="A340" s="11">
        <v>29</v>
      </c>
      <c r="B340" s="11" t="s">
        <v>10</v>
      </c>
      <c r="C340" s="11" t="s">
        <v>77</v>
      </c>
      <c r="D340" s="11" t="s">
        <v>147</v>
      </c>
      <c r="E340" s="11" t="s">
        <v>98</v>
      </c>
      <c r="F340" s="11" t="s">
        <v>146</v>
      </c>
      <c r="G340" s="11" t="s">
        <v>99</v>
      </c>
      <c r="H340" s="11" t="s">
        <v>148</v>
      </c>
      <c r="I340" s="11" t="s">
        <v>112</v>
      </c>
      <c r="J340" s="11">
        <v>1</v>
      </c>
      <c r="K340" s="11">
        <v>7</v>
      </c>
      <c r="L340" s="11">
        <v>6</v>
      </c>
      <c r="M340" s="11">
        <v>5</v>
      </c>
      <c r="N340" s="11">
        <v>18</v>
      </c>
    </row>
    <row r="341" spans="1:14" ht="15" customHeight="1" x14ac:dyDescent="0.25">
      <c r="A341" s="11">
        <v>29</v>
      </c>
      <c r="B341" s="11" t="s">
        <v>10</v>
      </c>
      <c r="C341" s="11" t="s">
        <v>78</v>
      </c>
      <c r="D341" s="11" t="s">
        <v>151</v>
      </c>
      <c r="E341" s="11" t="s">
        <v>100</v>
      </c>
      <c r="F341" s="11" t="s">
        <v>150</v>
      </c>
      <c r="G341" s="11" t="s">
        <v>114</v>
      </c>
      <c r="H341" s="11" t="s">
        <v>149</v>
      </c>
      <c r="I341" s="11" t="s">
        <v>113</v>
      </c>
      <c r="J341" s="11">
        <v>1</v>
      </c>
      <c r="K341" s="11">
        <v>7</v>
      </c>
      <c r="L341" s="11">
        <v>0</v>
      </c>
      <c r="M341" s="11">
        <v>5</v>
      </c>
      <c r="N341" s="11">
        <v>12</v>
      </c>
    </row>
    <row r="342" spans="1:14" ht="15" customHeight="1" x14ac:dyDescent="0.25">
      <c r="A342" s="11">
        <v>29</v>
      </c>
      <c r="B342" s="11" t="s">
        <v>10</v>
      </c>
      <c r="C342" s="11" t="s">
        <v>79</v>
      </c>
      <c r="D342" s="11" t="s">
        <v>152</v>
      </c>
      <c r="E342" s="11" t="s">
        <v>102</v>
      </c>
      <c r="F342" s="11" t="s">
        <v>153</v>
      </c>
      <c r="G342" s="11" t="s">
        <v>115</v>
      </c>
      <c r="H342" s="11" t="s">
        <v>154</v>
      </c>
      <c r="I342" s="11" t="s">
        <v>103</v>
      </c>
      <c r="J342" s="11">
        <v>1</v>
      </c>
      <c r="K342" s="11">
        <v>7</v>
      </c>
      <c r="L342" s="11">
        <v>3</v>
      </c>
      <c r="M342" s="11">
        <v>3</v>
      </c>
      <c r="N342" s="11">
        <v>13</v>
      </c>
    </row>
    <row r="343" spans="1:14" ht="15" customHeight="1" x14ac:dyDescent="0.25">
      <c r="A343" s="11">
        <v>29</v>
      </c>
      <c r="B343" s="11" t="s">
        <v>10</v>
      </c>
      <c r="C343" s="11" t="s">
        <v>80</v>
      </c>
      <c r="D343" s="11" t="s">
        <v>156</v>
      </c>
      <c r="E343" s="11" t="s">
        <v>105</v>
      </c>
      <c r="F343" s="11" t="s">
        <v>155</v>
      </c>
      <c r="G343" s="11" t="s">
        <v>104</v>
      </c>
      <c r="H343" s="11" t="s">
        <v>157</v>
      </c>
      <c r="I343" s="11" t="s">
        <v>116</v>
      </c>
      <c r="J343" s="11">
        <v>1</v>
      </c>
      <c r="K343" s="11">
        <v>3</v>
      </c>
      <c r="L343" s="11">
        <v>3</v>
      </c>
      <c r="M343" s="11">
        <v>5</v>
      </c>
      <c r="N343" s="11">
        <v>11</v>
      </c>
    </row>
    <row r="344" spans="1:14" ht="15" customHeight="1" x14ac:dyDescent="0.25">
      <c r="A344" s="11">
        <v>29</v>
      </c>
      <c r="B344" s="11" t="s">
        <v>10</v>
      </c>
      <c r="C344" s="11" t="s">
        <v>81</v>
      </c>
      <c r="D344" s="11" t="s">
        <v>158</v>
      </c>
      <c r="E344" s="11" t="s">
        <v>68</v>
      </c>
      <c r="F344" s="11" t="s">
        <v>159</v>
      </c>
      <c r="G344" s="11" t="s">
        <v>73</v>
      </c>
      <c r="H344" s="11" t="s">
        <v>160</v>
      </c>
      <c r="I344" s="11" t="s">
        <v>69</v>
      </c>
      <c r="J344" s="11">
        <v>1</v>
      </c>
      <c r="K344" s="11">
        <v>3</v>
      </c>
      <c r="L344" s="11">
        <v>3</v>
      </c>
      <c r="M344" s="11">
        <v>3</v>
      </c>
      <c r="N344" s="11">
        <v>9</v>
      </c>
    </row>
    <row r="345" spans="1:14" ht="15" customHeight="1" x14ac:dyDescent="0.25">
      <c r="A345" s="11">
        <v>29</v>
      </c>
      <c r="B345" s="11" t="s">
        <v>10</v>
      </c>
      <c r="C345" s="11" t="s">
        <v>82</v>
      </c>
      <c r="D345" s="11" t="s">
        <v>161</v>
      </c>
      <c r="E345" s="11" t="s">
        <v>66</v>
      </c>
      <c r="F345" s="11" t="s">
        <v>162</v>
      </c>
      <c r="G345" s="11" t="s">
        <v>70</v>
      </c>
      <c r="H345" s="11" t="s">
        <v>163</v>
      </c>
      <c r="I345" s="11" t="s">
        <v>67</v>
      </c>
      <c r="J345" s="11">
        <v>1</v>
      </c>
      <c r="K345" s="11">
        <v>7</v>
      </c>
      <c r="L345" s="11">
        <v>6</v>
      </c>
      <c r="M345" s="11">
        <v>0</v>
      </c>
      <c r="N345" s="11">
        <v>13</v>
      </c>
    </row>
    <row r="346" spans="1:14" ht="15" customHeight="1" x14ac:dyDescent="0.25">
      <c r="A346" s="11">
        <v>29</v>
      </c>
      <c r="B346" s="11" t="s">
        <v>10</v>
      </c>
      <c r="C346" s="11" t="s">
        <v>83</v>
      </c>
      <c r="D346" s="11" t="s">
        <v>164</v>
      </c>
      <c r="E346" s="11" t="s">
        <v>35</v>
      </c>
      <c r="F346" s="11" t="s">
        <v>165</v>
      </c>
      <c r="G346" s="11" t="s">
        <v>44</v>
      </c>
      <c r="H346" s="11" t="s">
        <v>166</v>
      </c>
      <c r="I346" s="11" t="s">
        <v>45</v>
      </c>
      <c r="J346" s="11">
        <v>1</v>
      </c>
      <c r="K346" s="11">
        <v>7</v>
      </c>
      <c r="L346" s="11">
        <v>6</v>
      </c>
      <c r="M346" s="11">
        <v>0</v>
      </c>
      <c r="N346" s="11">
        <v>13</v>
      </c>
    </row>
    <row r="347" spans="1:14" ht="15" customHeight="1" x14ac:dyDescent="0.25">
      <c r="A347" s="11">
        <v>29</v>
      </c>
      <c r="B347" s="11" t="s">
        <v>10</v>
      </c>
      <c r="C347" s="11" t="s">
        <v>84</v>
      </c>
      <c r="D347" s="11" t="s">
        <v>167</v>
      </c>
      <c r="E347" s="11" t="s">
        <v>23</v>
      </c>
      <c r="F347" s="11" t="s">
        <v>169</v>
      </c>
      <c r="G347" s="11" t="s">
        <v>57</v>
      </c>
      <c r="H347" s="11" t="s">
        <v>168</v>
      </c>
      <c r="I347" s="11" t="s">
        <v>24</v>
      </c>
      <c r="J347" s="11">
        <v>1</v>
      </c>
      <c r="K347" s="11">
        <v>7</v>
      </c>
      <c r="L347" s="11">
        <v>0</v>
      </c>
      <c r="M347" s="11">
        <v>3</v>
      </c>
      <c r="N347" s="11">
        <v>10</v>
      </c>
    </row>
    <row r="348" spans="1:14" ht="15" customHeight="1" x14ac:dyDescent="0.25">
      <c r="A348" s="11">
        <v>29</v>
      </c>
      <c r="B348" s="11" t="s">
        <v>10</v>
      </c>
      <c r="C348" s="11" t="s">
        <v>85</v>
      </c>
      <c r="D348" s="11" t="s">
        <v>171</v>
      </c>
      <c r="E348" s="11" t="s">
        <v>106</v>
      </c>
      <c r="F348" s="11" t="s">
        <v>170</v>
      </c>
      <c r="G348" s="11" t="s">
        <v>107</v>
      </c>
      <c r="H348" s="11" t="s">
        <v>172</v>
      </c>
      <c r="I348" s="11" t="s">
        <v>117</v>
      </c>
      <c r="J348" s="11">
        <v>1</v>
      </c>
      <c r="K348" s="11">
        <v>7</v>
      </c>
      <c r="L348" s="11">
        <v>6</v>
      </c>
      <c r="M348" s="11">
        <v>5</v>
      </c>
      <c r="N348" s="11">
        <v>18</v>
      </c>
    </row>
    <row r="349" spans="1:14" ht="15" customHeight="1" x14ac:dyDescent="0.25">
      <c r="A349" s="11">
        <v>29</v>
      </c>
      <c r="B349" s="11" t="s">
        <v>10</v>
      </c>
      <c r="C349" s="11" t="s">
        <v>86</v>
      </c>
      <c r="D349" s="11" t="s">
        <v>173</v>
      </c>
      <c r="E349" s="11" t="s">
        <v>108</v>
      </c>
      <c r="F349" s="11" t="s">
        <v>177</v>
      </c>
      <c r="G349" s="11" t="s">
        <v>120</v>
      </c>
      <c r="H349" s="11" t="s">
        <v>174</v>
      </c>
      <c r="I349" s="11" t="s">
        <v>118</v>
      </c>
      <c r="J349" s="11">
        <v>1</v>
      </c>
      <c r="K349" s="11">
        <v>7</v>
      </c>
      <c r="L349" s="11">
        <v>0</v>
      </c>
      <c r="M349" s="11">
        <v>0</v>
      </c>
      <c r="N349" s="11">
        <v>7</v>
      </c>
    </row>
    <row r="350" spans="1:14" ht="15" customHeight="1" x14ac:dyDescent="0.25">
      <c r="A350" s="11">
        <v>30</v>
      </c>
      <c r="B350" s="11" t="s">
        <v>60</v>
      </c>
      <c r="C350" s="11" t="s">
        <v>75</v>
      </c>
      <c r="D350" s="11" t="s">
        <v>140</v>
      </c>
      <c r="E350" s="11" t="s">
        <v>94</v>
      </c>
      <c r="F350" s="11" t="s">
        <v>176</v>
      </c>
      <c r="G350" s="11" t="s">
        <v>119</v>
      </c>
      <c r="H350" s="11" t="s">
        <v>142</v>
      </c>
      <c r="I350" s="11" t="s">
        <v>110</v>
      </c>
      <c r="J350" s="11">
        <v>1</v>
      </c>
      <c r="K350" s="11">
        <v>7</v>
      </c>
      <c r="L350" s="11">
        <v>3</v>
      </c>
      <c r="M350" s="11">
        <v>0</v>
      </c>
      <c r="N350" s="11">
        <v>10</v>
      </c>
    </row>
    <row r="351" spans="1:14" ht="15" customHeight="1" x14ac:dyDescent="0.25">
      <c r="A351" s="11">
        <v>30</v>
      </c>
      <c r="B351" s="11" t="s">
        <v>60</v>
      </c>
      <c r="C351" s="11" t="s">
        <v>76</v>
      </c>
      <c r="D351" s="11" t="s">
        <v>143</v>
      </c>
      <c r="E351" s="11" t="s">
        <v>97</v>
      </c>
      <c r="F351" s="11" t="s">
        <v>144</v>
      </c>
      <c r="G351" s="11" t="s">
        <v>96</v>
      </c>
      <c r="H351" s="11" t="s">
        <v>145</v>
      </c>
      <c r="I351" s="11" t="s">
        <v>111</v>
      </c>
      <c r="J351" s="11">
        <v>1</v>
      </c>
      <c r="K351" s="11">
        <v>3</v>
      </c>
      <c r="L351" s="11">
        <v>3</v>
      </c>
      <c r="M351" s="11">
        <v>0</v>
      </c>
      <c r="N351" s="11">
        <v>6</v>
      </c>
    </row>
    <row r="352" spans="1:14" ht="15" customHeight="1" x14ac:dyDescent="0.25">
      <c r="A352" s="11">
        <v>30</v>
      </c>
      <c r="B352" s="11" t="s">
        <v>60</v>
      </c>
      <c r="C352" s="11" t="s">
        <v>77</v>
      </c>
      <c r="D352" s="11" t="s">
        <v>147</v>
      </c>
      <c r="E352" s="11" t="s">
        <v>98</v>
      </c>
      <c r="F352" s="11" t="s">
        <v>146</v>
      </c>
      <c r="G352" s="11" t="s">
        <v>99</v>
      </c>
      <c r="H352" s="11" t="s">
        <v>148</v>
      </c>
      <c r="I352" s="11" t="s">
        <v>112</v>
      </c>
      <c r="J352" s="11">
        <v>1</v>
      </c>
      <c r="K352" s="11">
        <v>7</v>
      </c>
      <c r="L352" s="11">
        <v>6</v>
      </c>
      <c r="M352" s="11">
        <v>5</v>
      </c>
      <c r="N352" s="11">
        <v>18</v>
      </c>
    </row>
    <row r="353" spans="1:14" ht="15" customHeight="1" x14ac:dyDescent="0.25">
      <c r="A353" s="11">
        <v>30</v>
      </c>
      <c r="B353" s="11" t="s">
        <v>60</v>
      </c>
      <c r="C353" s="11" t="s">
        <v>78</v>
      </c>
      <c r="D353" s="11" t="s">
        <v>151</v>
      </c>
      <c r="E353" s="11" t="s">
        <v>100</v>
      </c>
      <c r="F353" s="11" t="s">
        <v>149</v>
      </c>
      <c r="G353" s="11" t="s">
        <v>113</v>
      </c>
      <c r="H353" s="11" t="s">
        <v>150</v>
      </c>
      <c r="I353" s="11" t="s">
        <v>114</v>
      </c>
      <c r="J353" s="11">
        <v>1</v>
      </c>
      <c r="K353" s="11">
        <v>7</v>
      </c>
      <c r="L353" s="11">
        <v>3</v>
      </c>
      <c r="M353" s="11">
        <v>0</v>
      </c>
      <c r="N353" s="11">
        <v>10</v>
      </c>
    </row>
    <row r="354" spans="1:14" ht="15" customHeight="1" x14ac:dyDescent="0.25">
      <c r="A354" s="11">
        <v>30</v>
      </c>
      <c r="B354" s="11" t="s">
        <v>60</v>
      </c>
      <c r="C354" s="11" t="s">
        <v>79</v>
      </c>
      <c r="D354" s="11" t="s">
        <v>152</v>
      </c>
      <c r="E354" s="11" t="s">
        <v>102</v>
      </c>
      <c r="F354" s="11" t="s">
        <v>153</v>
      </c>
      <c r="G354" s="11" t="s">
        <v>115</v>
      </c>
      <c r="H354" s="11" t="s">
        <v>154</v>
      </c>
      <c r="I354" s="11" t="s">
        <v>103</v>
      </c>
      <c r="J354" s="11">
        <v>1</v>
      </c>
      <c r="K354" s="11">
        <v>7</v>
      </c>
      <c r="L354" s="11">
        <v>3</v>
      </c>
      <c r="M354" s="11">
        <v>3</v>
      </c>
      <c r="N354" s="11">
        <v>13</v>
      </c>
    </row>
    <row r="355" spans="1:14" ht="15" customHeight="1" x14ac:dyDescent="0.25">
      <c r="A355" s="11">
        <v>30</v>
      </c>
      <c r="B355" s="11" t="s">
        <v>60</v>
      </c>
      <c r="C355" s="11" t="s">
        <v>80</v>
      </c>
      <c r="D355" s="11" t="s">
        <v>155</v>
      </c>
      <c r="E355" s="11" t="s">
        <v>104</v>
      </c>
      <c r="F355" s="11" t="s">
        <v>156</v>
      </c>
      <c r="G355" s="11" t="s">
        <v>105</v>
      </c>
      <c r="H355" s="11" t="s">
        <v>157</v>
      </c>
      <c r="I355" s="11" t="s">
        <v>116</v>
      </c>
      <c r="J355" s="11">
        <v>1</v>
      </c>
      <c r="K355" s="11">
        <v>7</v>
      </c>
      <c r="L355" s="11">
        <v>6</v>
      </c>
      <c r="M355" s="11">
        <v>5</v>
      </c>
      <c r="N355" s="11">
        <v>18</v>
      </c>
    </row>
    <row r="356" spans="1:14" ht="15" customHeight="1" x14ac:dyDescent="0.25">
      <c r="A356" s="11">
        <v>30</v>
      </c>
      <c r="B356" s="11" t="s">
        <v>60</v>
      </c>
      <c r="C356" s="11" t="s">
        <v>81</v>
      </c>
      <c r="D356" s="11" t="s">
        <v>158</v>
      </c>
      <c r="E356" s="11" t="s">
        <v>68</v>
      </c>
      <c r="F356" s="11" t="s">
        <v>159</v>
      </c>
      <c r="G356" s="11" t="s">
        <v>73</v>
      </c>
      <c r="H356" s="11" t="s">
        <v>160</v>
      </c>
      <c r="I356" s="11" t="s">
        <v>69</v>
      </c>
      <c r="J356" s="11">
        <v>1</v>
      </c>
      <c r="K356" s="11">
        <v>3</v>
      </c>
      <c r="L356" s="11">
        <v>3</v>
      </c>
      <c r="M356" s="11">
        <v>3</v>
      </c>
      <c r="N356" s="11">
        <v>9</v>
      </c>
    </row>
    <row r="357" spans="1:14" ht="15" customHeight="1" x14ac:dyDescent="0.25">
      <c r="A357" s="11">
        <v>30</v>
      </c>
      <c r="B357" s="11" t="s">
        <v>60</v>
      </c>
      <c r="C357" s="11" t="s">
        <v>82</v>
      </c>
      <c r="D357" s="11" t="s">
        <v>161</v>
      </c>
      <c r="E357" s="11" t="s">
        <v>66</v>
      </c>
      <c r="F357" s="11" t="s">
        <v>162</v>
      </c>
      <c r="G357" s="11" t="s">
        <v>70</v>
      </c>
      <c r="H357" s="11" t="s">
        <v>163</v>
      </c>
      <c r="I357" s="11" t="s">
        <v>67</v>
      </c>
      <c r="J357" s="11">
        <v>1</v>
      </c>
      <c r="K357" s="11">
        <v>7</v>
      </c>
      <c r="L357" s="11">
        <v>6</v>
      </c>
      <c r="M357" s="11">
        <v>0</v>
      </c>
      <c r="N357" s="11">
        <v>13</v>
      </c>
    </row>
    <row r="358" spans="1:14" ht="15" customHeight="1" x14ac:dyDescent="0.25">
      <c r="A358" s="11">
        <v>30</v>
      </c>
      <c r="B358" s="11" t="s">
        <v>60</v>
      </c>
      <c r="C358" s="11" t="s">
        <v>83</v>
      </c>
      <c r="D358" s="11" t="s">
        <v>164</v>
      </c>
      <c r="E358" s="11" t="s">
        <v>35</v>
      </c>
      <c r="F358" s="11" t="s">
        <v>165</v>
      </c>
      <c r="G358" s="11" t="s">
        <v>44</v>
      </c>
      <c r="H358" s="11" t="s">
        <v>166</v>
      </c>
      <c r="I358" s="11" t="s">
        <v>45</v>
      </c>
      <c r="J358" s="11">
        <v>1</v>
      </c>
      <c r="K358" s="11">
        <v>7</v>
      </c>
      <c r="L358" s="11">
        <v>6</v>
      </c>
      <c r="M358" s="11">
        <v>0</v>
      </c>
      <c r="N358" s="11">
        <v>13</v>
      </c>
    </row>
    <row r="359" spans="1:14" ht="15" customHeight="1" x14ac:dyDescent="0.25">
      <c r="A359" s="11">
        <v>30</v>
      </c>
      <c r="B359" s="11" t="s">
        <v>60</v>
      </c>
      <c r="C359" s="11" t="s">
        <v>84</v>
      </c>
      <c r="D359" s="11" t="s">
        <v>167</v>
      </c>
      <c r="E359" s="11" t="s">
        <v>23</v>
      </c>
      <c r="F359" s="11" t="s">
        <v>169</v>
      </c>
      <c r="G359" s="11" t="s">
        <v>57</v>
      </c>
      <c r="H359" s="11" t="s">
        <v>168</v>
      </c>
      <c r="I359" s="11" t="s">
        <v>24</v>
      </c>
      <c r="J359" s="11">
        <v>1</v>
      </c>
      <c r="K359" s="11">
        <v>7</v>
      </c>
      <c r="L359" s="11">
        <v>0</v>
      </c>
      <c r="M359" s="11">
        <v>3</v>
      </c>
      <c r="N359" s="11">
        <v>10</v>
      </c>
    </row>
    <row r="360" spans="1:14" ht="15" customHeight="1" x14ac:dyDescent="0.25">
      <c r="A360" s="11">
        <v>30</v>
      </c>
      <c r="B360" s="11" t="s">
        <v>60</v>
      </c>
      <c r="C360" s="11" t="s">
        <v>85</v>
      </c>
      <c r="D360" s="11" t="s">
        <v>171</v>
      </c>
      <c r="E360" s="11" t="s">
        <v>106</v>
      </c>
      <c r="F360" s="11" t="s">
        <v>170</v>
      </c>
      <c r="G360" s="11" t="s">
        <v>107</v>
      </c>
      <c r="H360" s="11" t="s">
        <v>180</v>
      </c>
      <c r="I360" s="11" t="s">
        <v>123</v>
      </c>
      <c r="J360" s="11">
        <v>1</v>
      </c>
      <c r="K360" s="11">
        <v>7</v>
      </c>
      <c r="L360" s="11">
        <v>6</v>
      </c>
      <c r="M360" s="11">
        <v>0</v>
      </c>
      <c r="N360" s="11">
        <v>13</v>
      </c>
    </row>
    <row r="361" spans="1:14" ht="15" customHeight="1" x14ac:dyDescent="0.25">
      <c r="A361" s="11">
        <v>30</v>
      </c>
      <c r="B361" s="11" t="s">
        <v>60</v>
      </c>
      <c r="C361" s="11" t="s">
        <v>86</v>
      </c>
      <c r="D361" s="11" t="s">
        <v>173</v>
      </c>
      <c r="E361" s="11" t="s">
        <v>108</v>
      </c>
      <c r="F361" s="11" t="s">
        <v>174</v>
      </c>
      <c r="G361" s="11" t="s">
        <v>118</v>
      </c>
      <c r="H361" s="11" t="s">
        <v>177</v>
      </c>
      <c r="I361" s="11" t="s">
        <v>120</v>
      </c>
      <c r="J361" s="11">
        <v>1</v>
      </c>
      <c r="K361" s="11">
        <v>7</v>
      </c>
      <c r="L361" s="11">
        <v>0</v>
      </c>
      <c r="M361" s="11">
        <v>0</v>
      </c>
      <c r="N361" s="11">
        <v>7</v>
      </c>
    </row>
    <row r="362" spans="1:14" ht="15" customHeight="1" x14ac:dyDescent="0.25">
      <c r="A362" s="11">
        <v>31</v>
      </c>
      <c r="B362" s="11" t="s">
        <v>62</v>
      </c>
      <c r="C362" s="11" t="s">
        <v>75</v>
      </c>
      <c r="D362" s="11" t="s">
        <v>140</v>
      </c>
      <c r="E362" s="11" t="s">
        <v>94</v>
      </c>
      <c r="F362" s="11" t="s">
        <v>176</v>
      </c>
      <c r="G362" s="11" t="s">
        <v>119</v>
      </c>
      <c r="H362" s="11" t="s">
        <v>141</v>
      </c>
      <c r="I362" s="11" t="s">
        <v>95</v>
      </c>
      <c r="J362" s="11">
        <v>1</v>
      </c>
      <c r="K362" s="11">
        <v>7</v>
      </c>
      <c r="L362" s="11">
        <v>3</v>
      </c>
      <c r="M362" s="11">
        <v>3</v>
      </c>
      <c r="N362" s="11">
        <v>13</v>
      </c>
    </row>
    <row r="363" spans="1:14" ht="15" customHeight="1" x14ac:dyDescent="0.25">
      <c r="A363" s="11">
        <v>31</v>
      </c>
      <c r="B363" s="11" t="s">
        <v>62</v>
      </c>
      <c r="C363" s="11" t="s">
        <v>76</v>
      </c>
      <c r="D363" s="11" t="s">
        <v>144</v>
      </c>
      <c r="E363" s="11" t="s">
        <v>96</v>
      </c>
      <c r="F363" s="11" t="s">
        <v>143</v>
      </c>
      <c r="G363" s="11" t="s">
        <v>97</v>
      </c>
      <c r="H363" s="11" t="s">
        <v>145</v>
      </c>
      <c r="I363" s="11" t="s">
        <v>111</v>
      </c>
      <c r="J363" s="11">
        <v>1</v>
      </c>
      <c r="K363" s="11">
        <v>7</v>
      </c>
      <c r="L363" s="11">
        <v>6</v>
      </c>
      <c r="M363" s="11">
        <v>0</v>
      </c>
      <c r="N363" s="11">
        <v>13</v>
      </c>
    </row>
    <row r="364" spans="1:14" ht="15" customHeight="1" x14ac:dyDescent="0.25">
      <c r="A364" s="11">
        <v>31</v>
      </c>
      <c r="B364" s="11" t="s">
        <v>62</v>
      </c>
      <c r="C364" s="11" t="s">
        <v>77</v>
      </c>
      <c r="D364" s="11" t="s">
        <v>147</v>
      </c>
      <c r="E364" s="11" t="s">
        <v>98</v>
      </c>
      <c r="F364" s="11" t="s">
        <v>146</v>
      </c>
      <c r="G364" s="11" t="s">
        <v>99</v>
      </c>
      <c r="H364" s="11" t="s">
        <v>148</v>
      </c>
      <c r="I364" s="11" t="s">
        <v>112</v>
      </c>
      <c r="J364" s="11">
        <v>1</v>
      </c>
      <c r="K364" s="11">
        <v>7</v>
      </c>
      <c r="L364" s="11">
        <v>6</v>
      </c>
      <c r="M364" s="11">
        <v>5</v>
      </c>
      <c r="N364" s="11">
        <v>18</v>
      </c>
    </row>
    <row r="365" spans="1:14" ht="15" customHeight="1" x14ac:dyDescent="0.25">
      <c r="A365" s="11">
        <v>31</v>
      </c>
      <c r="B365" s="11" t="s">
        <v>62</v>
      </c>
      <c r="C365" s="11" t="s">
        <v>78</v>
      </c>
      <c r="D365" s="11" t="s">
        <v>150</v>
      </c>
      <c r="E365" s="11" t="s">
        <v>114</v>
      </c>
      <c r="F365" s="11" t="s">
        <v>151</v>
      </c>
      <c r="G365" s="11" t="s">
        <v>100</v>
      </c>
      <c r="H365" s="11" t="s">
        <v>149</v>
      </c>
      <c r="I365" s="11" t="s">
        <v>113</v>
      </c>
      <c r="J365" s="11">
        <v>1</v>
      </c>
      <c r="K365" s="11">
        <v>0</v>
      </c>
      <c r="L365" s="11">
        <v>3</v>
      </c>
      <c r="M365" s="11">
        <v>5</v>
      </c>
      <c r="N365" s="11">
        <v>8</v>
      </c>
    </row>
    <row r="366" spans="1:14" ht="15" customHeight="1" x14ac:dyDescent="0.25">
      <c r="A366" s="11">
        <v>31</v>
      </c>
      <c r="B366" s="11" t="s">
        <v>62</v>
      </c>
      <c r="C366" s="11" t="s">
        <v>79</v>
      </c>
      <c r="D366" s="11" t="s">
        <v>152</v>
      </c>
      <c r="E366" s="11" t="s">
        <v>102</v>
      </c>
      <c r="F366" s="11" t="s">
        <v>153</v>
      </c>
      <c r="G366" s="11" t="s">
        <v>115</v>
      </c>
      <c r="H366" s="11" t="s">
        <v>179</v>
      </c>
      <c r="I366" s="11" t="s">
        <v>122</v>
      </c>
      <c r="J366" s="11">
        <v>1</v>
      </c>
      <c r="K366" s="11">
        <v>7</v>
      </c>
      <c r="L366" s="11">
        <v>3</v>
      </c>
      <c r="M366" s="11">
        <v>0</v>
      </c>
      <c r="N366" s="11">
        <v>10</v>
      </c>
    </row>
    <row r="367" spans="1:14" ht="15" customHeight="1" x14ac:dyDescent="0.25">
      <c r="A367" s="11">
        <v>31</v>
      </c>
      <c r="B367" s="11" t="s">
        <v>62</v>
      </c>
      <c r="C367" s="11" t="s">
        <v>80</v>
      </c>
      <c r="D367" s="11" t="s">
        <v>155</v>
      </c>
      <c r="E367" s="11" t="s">
        <v>104</v>
      </c>
      <c r="F367" s="11" t="s">
        <v>156</v>
      </c>
      <c r="G367" s="11" t="s">
        <v>105</v>
      </c>
      <c r="H367" s="11" t="s">
        <v>157</v>
      </c>
      <c r="I367" s="11" t="s">
        <v>116</v>
      </c>
      <c r="J367" s="11">
        <v>1</v>
      </c>
      <c r="K367" s="11">
        <v>7</v>
      </c>
      <c r="L367" s="11">
        <v>6</v>
      </c>
      <c r="M367" s="11">
        <v>5</v>
      </c>
      <c r="N367" s="11">
        <v>18</v>
      </c>
    </row>
    <row r="368" spans="1:14" ht="15" customHeight="1" x14ac:dyDescent="0.25">
      <c r="A368" s="11">
        <v>31</v>
      </c>
      <c r="B368" s="11" t="s">
        <v>62</v>
      </c>
      <c r="C368" s="11" t="s">
        <v>81</v>
      </c>
      <c r="D368" s="11" t="s">
        <v>158</v>
      </c>
      <c r="E368" s="11" t="s">
        <v>68</v>
      </c>
      <c r="F368" s="11" t="s">
        <v>159</v>
      </c>
      <c r="G368" s="11" t="s">
        <v>73</v>
      </c>
      <c r="H368" s="11" t="s">
        <v>182</v>
      </c>
      <c r="I368" s="11" t="s">
        <v>72</v>
      </c>
      <c r="J368" s="11">
        <v>1</v>
      </c>
      <c r="K368" s="11">
        <v>3</v>
      </c>
      <c r="L368" s="11">
        <v>3</v>
      </c>
      <c r="M368" s="11">
        <v>0</v>
      </c>
      <c r="N368" s="11">
        <v>6</v>
      </c>
    </row>
    <row r="369" spans="1:14" ht="15" customHeight="1" x14ac:dyDescent="0.25">
      <c r="A369" s="11">
        <v>31</v>
      </c>
      <c r="B369" s="11" t="s">
        <v>62</v>
      </c>
      <c r="C369" s="11" t="s">
        <v>82</v>
      </c>
      <c r="D369" s="11" t="s">
        <v>161</v>
      </c>
      <c r="E369" s="11" t="s">
        <v>66</v>
      </c>
      <c r="F369" s="11" t="s">
        <v>162</v>
      </c>
      <c r="G369" s="11" t="s">
        <v>70</v>
      </c>
      <c r="H369" s="11" t="s">
        <v>163</v>
      </c>
      <c r="I369" s="11" t="s">
        <v>67</v>
      </c>
      <c r="J369" s="11">
        <v>1</v>
      </c>
      <c r="K369" s="11">
        <v>7</v>
      </c>
      <c r="L369" s="11">
        <v>6</v>
      </c>
      <c r="M369" s="11">
        <v>0</v>
      </c>
      <c r="N369" s="11">
        <v>13</v>
      </c>
    </row>
    <row r="370" spans="1:14" ht="15" customHeight="1" x14ac:dyDescent="0.25">
      <c r="A370" s="11">
        <v>31</v>
      </c>
      <c r="B370" s="11" t="s">
        <v>62</v>
      </c>
      <c r="C370" s="11" t="s">
        <v>83</v>
      </c>
      <c r="D370" s="11" t="s">
        <v>164</v>
      </c>
      <c r="E370" s="11" t="s">
        <v>35</v>
      </c>
      <c r="F370" s="11" t="s">
        <v>165</v>
      </c>
      <c r="G370" s="11" t="s">
        <v>44</v>
      </c>
      <c r="H370" s="11" t="s">
        <v>166</v>
      </c>
      <c r="I370" s="11" t="s">
        <v>45</v>
      </c>
      <c r="J370" s="11">
        <v>1</v>
      </c>
      <c r="K370" s="11">
        <v>7</v>
      </c>
      <c r="L370" s="11">
        <v>6</v>
      </c>
      <c r="M370" s="11">
        <v>0</v>
      </c>
      <c r="N370" s="11">
        <v>13</v>
      </c>
    </row>
    <row r="371" spans="1:14" ht="15" customHeight="1" x14ac:dyDescent="0.25">
      <c r="A371" s="11">
        <v>31</v>
      </c>
      <c r="B371" s="11" t="s">
        <v>62</v>
      </c>
      <c r="C371" s="11" t="s">
        <v>84</v>
      </c>
      <c r="D371" s="11" t="s">
        <v>167</v>
      </c>
      <c r="E371" s="11" t="s">
        <v>23</v>
      </c>
      <c r="F371" s="11" t="s">
        <v>169</v>
      </c>
      <c r="G371" s="11" t="s">
        <v>57</v>
      </c>
      <c r="H371" s="11" t="s">
        <v>168</v>
      </c>
      <c r="I371" s="11" t="s">
        <v>24</v>
      </c>
      <c r="J371" s="11">
        <v>1</v>
      </c>
      <c r="K371" s="11">
        <v>7</v>
      </c>
      <c r="L371" s="11">
        <v>0</v>
      </c>
      <c r="M371" s="11">
        <v>3</v>
      </c>
      <c r="N371" s="11">
        <v>10</v>
      </c>
    </row>
    <row r="372" spans="1:14" ht="15" customHeight="1" x14ac:dyDescent="0.25">
      <c r="A372" s="11">
        <v>31</v>
      </c>
      <c r="B372" s="11" t="s">
        <v>62</v>
      </c>
      <c r="C372" s="11" t="s">
        <v>85</v>
      </c>
      <c r="D372" s="11" t="s">
        <v>170</v>
      </c>
      <c r="E372" s="11" t="s">
        <v>107</v>
      </c>
      <c r="F372" s="11" t="s">
        <v>171</v>
      </c>
      <c r="G372" s="11" t="s">
        <v>106</v>
      </c>
      <c r="H372" s="11" t="s">
        <v>180</v>
      </c>
      <c r="I372" s="11" t="s">
        <v>123</v>
      </c>
      <c r="J372" s="11">
        <v>1</v>
      </c>
      <c r="K372" s="11">
        <v>3</v>
      </c>
      <c r="L372" s="11">
        <v>3</v>
      </c>
      <c r="M372" s="11">
        <v>0</v>
      </c>
      <c r="N372" s="11">
        <v>6</v>
      </c>
    </row>
    <row r="373" spans="1:14" ht="15" customHeight="1" x14ac:dyDescent="0.25">
      <c r="A373" s="11">
        <v>31</v>
      </c>
      <c r="B373" s="11" t="s">
        <v>62</v>
      </c>
      <c r="C373" s="11" t="s">
        <v>86</v>
      </c>
      <c r="D373" s="11" t="s">
        <v>173</v>
      </c>
      <c r="E373" s="11" t="s">
        <v>108</v>
      </c>
      <c r="F373" s="11" t="s">
        <v>174</v>
      </c>
      <c r="G373" s="11" t="s">
        <v>118</v>
      </c>
      <c r="H373" s="11" t="s">
        <v>177</v>
      </c>
      <c r="I373" s="11" t="s">
        <v>120</v>
      </c>
      <c r="J373" s="11">
        <v>1</v>
      </c>
      <c r="K373" s="11">
        <v>7</v>
      </c>
      <c r="L373" s="11">
        <v>0</v>
      </c>
      <c r="M373" s="11">
        <v>0</v>
      </c>
      <c r="N373" s="11">
        <v>7</v>
      </c>
    </row>
    <row r="374" spans="1:14" ht="15" customHeight="1" x14ac:dyDescent="0.25">
      <c r="A374" s="11">
        <v>32</v>
      </c>
      <c r="B374" s="11" t="s">
        <v>18</v>
      </c>
      <c r="C374" s="11" t="s">
        <v>75</v>
      </c>
      <c r="D374" s="11" t="s">
        <v>140</v>
      </c>
      <c r="E374" s="11" t="s">
        <v>94</v>
      </c>
      <c r="F374" s="11" t="s">
        <v>141</v>
      </c>
      <c r="G374" s="11" t="s">
        <v>95</v>
      </c>
      <c r="H374" s="11" t="s">
        <v>176</v>
      </c>
      <c r="I374" s="11" t="s">
        <v>119</v>
      </c>
      <c r="J374" s="11">
        <v>1</v>
      </c>
      <c r="K374" s="11">
        <v>7</v>
      </c>
      <c r="L374" s="11">
        <v>6</v>
      </c>
      <c r="M374" s="11">
        <v>5</v>
      </c>
      <c r="N374" s="11">
        <v>18</v>
      </c>
    </row>
    <row r="375" spans="1:14" ht="15" customHeight="1" x14ac:dyDescent="0.25">
      <c r="A375" s="11">
        <v>32</v>
      </c>
      <c r="B375" s="11" t="s">
        <v>18</v>
      </c>
      <c r="C375" s="11" t="s">
        <v>76</v>
      </c>
      <c r="D375" s="11" t="s">
        <v>144</v>
      </c>
      <c r="E375" s="11" t="s">
        <v>96</v>
      </c>
      <c r="F375" s="11" t="s">
        <v>143</v>
      </c>
      <c r="G375" s="11" t="s">
        <v>97</v>
      </c>
      <c r="H375" s="11" t="s">
        <v>178</v>
      </c>
      <c r="I375" s="11" t="s">
        <v>121</v>
      </c>
      <c r="J375" s="11">
        <v>1</v>
      </c>
      <c r="K375" s="11">
        <v>7</v>
      </c>
      <c r="L375" s="11">
        <v>6</v>
      </c>
      <c r="M375" s="11">
        <v>0</v>
      </c>
      <c r="N375" s="11">
        <v>13</v>
      </c>
    </row>
    <row r="376" spans="1:14" ht="15" customHeight="1" x14ac:dyDescent="0.25">
      <c r="A376" s="11">
        <v>32</v>
      </c>
      <c r="B376" s="11" t="s">
        <v>18</v>
      </c>
      <c r="C376" s="11" t="s">
        <v>77</v>
      </c>
      <c r="D376" s="11" t="s">
        <v>147</v>
      </c>
      <c r="E376" s="11" t="s">
        <v>98</v>
      </c>
      <c r="F376" s="11" t="s">
        <v>146</v>
      </c>
      <c r="G376" s="11" t="s">
        <v>99</v>
      </c>
      <c r="H376" s="11" t="s">
        <v>148</v>
      </c>
      <c r="I376" s="11" t="s">
        <v>112</v>
      </c>
      <c r="J376" s="11">
        <v>1</v>
      </c>
      <c r="K376" s="11">
        <v>7</v>
      </c>
      <c r="L376" s="11">
        <v>6</v>
      </c>
      <c r="M376" s="11">
        <v>5</v>
      </c>
      <c r="N376" s="11">
        <v>18</v>
      </c>
    </row>
    <row r="377" spans="1:14" ht="15" customHeight="1" x14ac:dyDescent="0.25">
      <c r="A377" s="11">
        <v>32</v>
      </c>
      <c r="B377" s="11" t="s">
        <v>18</v>
      </c>
      <c r="C377" s="11" t="s">
        <v>78</v>
      </c>
      <c r="D377" s="11" t="s">
        <v>151</v>
      </c>
      <c r="E377" s="11" t="s">
        <v>100</v>
      </c>
      <c r="F377" s="11" t="s">
        <v>149</v>
      </c>
      <c r="G377" s="11" t="s">
        <v>113</v>
      </c>
      <c r="H377" s="11" t="s">
        <v>181</v>
      </c>
      <c r="I377" s="11" t="s">
        <v>101</v>
      </c>
      <c r="J377" s="11">
        <v>1</v>
      </c>
      <c r="K377" s="11">
        <v>7</v>
      </c>
      <c r="L377" s="11">
        <v>3</v>
      </c>
      <c r="M377" s="11">
        <v>3</v>
      </c>
      <c r="N377" s="11">
        <v>13</v>
      </c>
    </row>
    <row r="378" spans="1:14" ht="15" customHeight="1" x14ac:dyDescent="0.25">
      <c r="A378" s="11">
        <v>32</v>
      </c>
      <c r="B378" s="11" t="s">
        <v>18</v>
      </c>
      <c r="C378" s="11" t="s">
        <v>79</v>
      </c>
      <c r="D378" s="11" t="s">
        <v>152</v>
      </c>
      <c r="E378" s="11" t="s">
        <v>102</v>
      </c>
      <c r="F378" s="11" t="s">
        <v>154</v>
      </c>
      <c r="G378" s="11" t="s">
        <v>103</v>
      </c>
      <c r="H378" s="11" t="s">
        <v>179</v>
      </c>
      <c r="I378" s="11" t="s">
        <v>122</v>
      </c>
      <c r="J378" s="11">
        <v>1</v>
      </c>
      <c r="K378" s="11">
        <v>7</v>
      </c>
      <c r="L378" s="11">
        <v>6</v>
      </c>
      <c r="M378" s="11">
        <v>0</v>
      </c>
      <c r="N378" s="11">
        <v>13</v>
      </c>
    </row>
    <row r="379" spans="1:14" ht="15" customHeight="1" x14ac:dyDescent="0.25">
      <c r="A379" s="11">
        <v>32</v>
      </c>
      <c r="B379" s="11" t="s">
        <v>18</v>
      </c>
      <c r="C379" s="11" t="s">
        <v>80</v>
      </c>
      <c r="D379" s="11" t="s">
        <v>156</v>
      </c>
      <c r="E379" s="11" t="s">
        <v>105</v>
      </c>
      <c r="F379" s="11" t="s">
        <v>157</v>
      </c>
      <c r="G379" s="11" t="s">
        <v>116</v>
      </c>
      <c r="H379" s="11" t="s">
        <v>155</v>
      </c>
      <c r="I379" s="11" t="s">
        <v>104</v>
      </c>
      <c r="J379" s="11">
        <v>1</v>
      </c>
      <c r="K379" s="11">
        <v>3</v>
      </c>
      <c r="L379" s="11">
        <v>3</v>
      </c>
      <c r="M379" s="11">
        <v>3</v>
      </c>
      <c r="N379" s="11">
        <v>9</v>
      </c>
    </row>
    <row r="380" spans="1:14" ht="15" customHeight="1" x14ac:dyDescent="0.25">
      <c r="A380" s="11">
        <v>32</v>
      </c>
      <c r="B380" s="11" t="s">
        <v>18</v>
      </c>
      <c r="C380" s="11" t="s">
        <v>81</v>
      </c>
      <c r="D380" s="11" t="s">
        <v>182</v>
      </c>
      <c r="E380" s="11" t="s">
        <v>72</v>
      </c>
      <c r="F380" s="11" t="s">
        <v>158</v>
      </c>
      <c r="G380" s="11" t="s">
        <v>68</v>
      </c>
      <c r="H380" s="11" t="s">
        <v>160</v>
      </c>
      <c r="I380" s="11" t="s">
        <v>69</v>
      </c>
      <c r="J380" s="11">
        <v>1</v>
      </c>
      <c r="K380" s="11">
        <v>0</v>
      </c>
      <c r="L380" s="11">
        <v>3</v>
      </c>
      <c r="M380" s="11">
        <v>3</v>
      </c>
      <c r="N380" s="11">
        <v>6</v>
      </c>
    </row>
    <row r="381" spans="1:14" ht="15" customHeight="1" x14ac:dyDescent="0.25">
      <c r="A381" s="11">
        <v>32</v>
      </c>
      <c r="B381" s="11" t="s">
        <v>18</v>
      </c>
      <c r="C381" s="11" t="s">
        <v>82</v>
      </c>
      <c r="D381" s="11" t="s">
        <v>161</v>
      </c>
      <c r="E381" s="11" t="s">
        <v>66</v>
      </c>
      <c r="F381" s="11" t="s">
        <v>162</v>
      </c>
      <c r="G381" s="11" t="s">
        <v>70</v>
      </c>
      <c r="H381" s="11" t="s">
        <v>163</v>
      </c>
      <c r="I381" s="11" t="s">
        <v>67</v>
      </c>
      <c r="J381" s="11">
        <v>1</v>
      </c>
      <c r="K381" s="11">
        <v>7</v>
      </c>
      <c r="L381" s="11">
        <v>6</v>
      </c>
      <c r="M381" s="11">
        <v>0</v>
      </c>
      <c r="N381" s="11">
        <v>13</v>
      </c>
    </row>
    <row r="382" spans="1:14" ht="15" customHeight="1" x14ac:dyDescent="0.25">
      <c r="A382" s="11">
        <v>32</v>
      </c>
      <c r="B382" s="11" t="s">
        <v>18</v>
      </c>
      <c r="C382" s="11" t="s">
        <v>83</v>
      </c>
      <c r="D382" s="11" t="s">
        <v>164</v>
      </c>
      <c r="E382" s="11" t="s">
        <v>35</v>
      </c>
      <c r="F382" s="11" t="s">
        <v>166</v>
      </c>
      <c r="G382" s="11" t="s">
        <v>45</v>
      </c>
      <c r="H382" s="11" t="s">
        <v>165</v>
      </c>
      <c r="I382" s="11" t="s">
        <v>44</v>
      </c>
      <c r="J382" s="11">
        <v>1</v>
      </c>
      <c r="K382" s="11">
        <v>7</v>
      </c>
      <c r="L382" s="11">
        <v>0</v>
      </c>
      <c r="M382" s="11">
        <v>3</v>
      </c>
      <c r="N382" s="11">
        <v>10</v>
      </c>
    </row>
    <row r="383" spans="1:14" ht="15" customHeight="1" x14ac:dyDescent="0.25">
      <c r="A383" s="11">
        <v>32</v>
      </c>
      <c r="B383" s="11" t="s">
        <v>18</v>
      </c>
      <c r="C383" s="11" t="s">
        <v>84</v>
      </c>
      <c r="D383" s="11" t="s">
        <v>167</v>
      </c>
      <c r="E383" s="11" t="s">
        <v>23</v>
      </c>
      <c r="F383" s="11" t="s">
        <v>168</v>
      </c>
      <c r="G383" s="11" t="s">
        <v>24</v>
      </c>
      <c r="H383" s="11" t="s">
        <v>186</v>
      </c>
      <c r="I383" s="11" t="s">
        <v>56</v>
      </c>
      <c r="J383" s="11">
        <v>1</v>
      </c>
      <c r="K383" s="11">
        <v>7</v>
      </c>
      <c r="L383" s="11">
        <v>6</v>
      </c>
      <c r="M383" s="11">
        <v>0</v>
      </c>
      <c r="N383" s="11">
        <v>13</v>
      </c>
    </row>
    <row r="384" spans="1:14" ht="15" customHeight="1" x14ac:dyDescent="0.25">
      <c r="A384" s="11">
        <v>32</v>
      </c>
      <c r="B384" s="11" t="s">
        <v>18</v>
      </c>
      <c r="C384" s="11" t="s">
        <v>85</v>
      </c>
      <c r="D384" s="11" t="s">
        <v>170</v>
      </c>
      <c r="E384" s="11" t="s">
        <v>107</v>
      </c>
      <c r="F384" s="11" t="s">
        <v>171</v>
      </c>
      <c r="G384" s="11" t="s">
        <v>106</v>
      </c>
      <c r="H384" s="11" t="s">
        <v>172</v>
      </c>
      <c r="I384" s="11" t="s">
        <v>117</v>
      </c>
      <c r="J384" s="11">
        <v>1</v>
      </c>
      <c r="K384" s="11">
        <v>3</v>
      </c>
      <c r="L384" s="11">
        <v>3</v>
      </c>
      <c r="M384" s="11">
        <v>5</v>
      </c>
      <c r="N384" s="11">
        <v>11</v>
      </c>
    </row>
    <row r="385" spans="1:14" ht="15" customHeight="1" x14ac:dyDescent="0.25">
      <c r="A385" s="11">
        <v>32</v>
      </c>
      <c r="B385" s="11" t="s">
        <v>18</v>
      </c>
      <c r="C385" s="11" t="s">
        <v>86</v>
      </c>
      <c r="D385" s="11" t="s">
        <v>173</v>
      </c>
      <c r="E385" s="11" t="s">
        <v>108</v>
      </c>
      <c r="F385" s="11" t="s">
        <v>174</v>
      </c>
      <c r="G385" s="11" t="s">
        <v>118</v>
      </c>
      <c r="H385" s="11" t="s">
        <v>177</v>
      </c>
      <c r="I385" s="11" t="s">
        <v>120</v>
      </c>
      <c r="J385" s="11">
        <v>1</v>
      </c>
      <c r="K385" s="11">
        <v>7</v>
      </c>
      <c r="L385" s="11">
        <v>0</v>
      </c>
      <c r="M385" s="11">
        <v>0</v>
      </c>
      <c r="N385" s="11">
        <v>7</v>
      </c>
    </row>
    <row r="386" spans="1:14" ht="15" customHeight="1" x14ac:dyDescent="0.25">
      <c r="A386" s="11">
        <v>33</v>
      </c>
      <c r="B386" s="11" t="s">
        <v>8</v>
      </c>
      <c r="C386" s="11" t="s">
        <v>75</v>
      </c>
      <c r="D386" s="11" t="s">
        <v>140</v>
      </c>
      <c r="E386" s="11" t="s">
        <v>94</v>
      </c>
      <c r="F386" s="11" t="s">
        <v>141</v>
      </c>
      <c r="G386" s="11" t="s">
        <v>95</v>
      </c>
      <c r="H386" s="11" t="s">
        <v>142</v>
      </c>
      <c r="I386" s="11" t="s">
        <v>110</v>
      </c>
      <c r="J386" s="11">
        <v>1</v>
      </c>
      <c r="K386" s="11">
        <v>7</v>
      </c>
      <c r="L386" s="11">
        <v>6</v>
      </c>
      <c r="M386" s="11">
        <v>0</v>
      </c>
      <c r="N386" s="11">
        <v>13</v>
      </c>
    </row>
    <row r="387" spans="1:14" ht="15" customHeight="1" x14ac:dyDescent="0.25">
      <c r="A387" s="11">
        <v>33</v>
      </c>
      <c r="B387" s="11" t="s">
        <v>8</v>
      </c>
      <c r="C387" s="11" t="s">
        <v>76</v>
      </c>
      <c r="D387" s="11" t="s">
        <v>143</v>
      </c>
      <c r="E387" s="11" t="s">
        <v>97</v>
      </c>
      <c r="F387" s="11" t="s">
        <v>144</v>
      </c>
      <c r="G387" s="11" t="s">
        <v>96</v>
      </c>
      <c r="H387" s="11" t="s">
        <v>145</v>
      </c>
      <c r="I387" s="11" t="s">
        <v>111</v>
      </c>
      <c r="J387" s="11">
        <v>1</v>
      </c>
      <c r="K387" s="11">
        <v>3</v>
      </c>
      <c r="L387" s="11">
        <v>3</v>
      </c>
      <c r="M387" s="11">
        <v>0</v>
      </c>
      <c r="N387" s="11">
        <v>6</v>
      </c>
    </row>
    <row r="388" spans="1:14" ht="15" customHeight="1" x14ac:dyDescent="0.25">
      <c r="A388" s="11">
        <v>33</v>
      </c>
      <c r="B388" s="11" t="s">
        <v>8</v>
      </c>
      <c r="C388" s="11" t="s">
        <v>77</v>
      </c>
      <c r="D388" s="11" t="s">
        <v>147</v>
      </c>
      <c r="E388" s="11" t="s">
        <v>98</v>
      </c>
      <c r="F388" s="11" t="s">
        <v>146</v>
      </c>
      <c r="G388" s="11" t="s">
        <v>99</v>
      </c>
      <c r="H388" s="11" t="s">
        <v>148</v>
      </c>
      <c r="I388" s="11" t="s">
        <v>112</v>
      </c>
      <c r="J388" s="11">
        <v>1</v>
      </c>
      <c r="K388" s="11">
        <v>7</v>
      </c>
      <c r="L388" s="11">
        <v>6</v>
      </c>
      <c r="M388" s="11">
        <v>5</v>
      </c>
      <c r="N388" s="11">
        <v>18</v>
      </c>
    </row>
    <row r="389" spans="1:14" ht="15" customHeight="1" x14ac:dyDescent="0.25">
      <c r="A389" s="11">
        <v>33</v>
      </c>
      <c r="B389" s="11" t="s">
        <v>8</v>
      </c>
      <c r="C389" s="11" t="s">
        <v>78</v>
      </c>
      <c r="D389" s="11" t="s">
        <v>151</v>
      </c>
      <c r="E389" s="11" t="s">
        <v>100</v>
      </c>
      <c r="F389" s="11" t="s">
        <v>150</v>
      </c>
      <c r="G389" s="11" t="s">
        <v>114</v>
      </c>
      <c r="H389" s="11" t="s">
        <v>149</v>
      </c>
      <c r="I389" s="11" t="s">
        <v>113</v>
      </c>
      <c r="J389" s="11">
        <v>1</v>
      </c>
      <c r="K389" s="11">
        <v>7</v>
      </c>
      <c r="L389" s="11">
        <v>0</v>
      </c>
      <c r="M389" s="11">
        <v>5</v>
      </c>
      <c r="N389" s="11">
        <v>12</v>
      </c>
    </row>
    <row r="390" spans="1:14" ht="15" customHeight="1" x14ac:dyDescent="0.25">
      <c r="A390" s="11">
        <v>33</v>
      </c>
      <c r="B390" s="11" t="s">
        <v>8</v>
      </c>
      <c r="C390" s="11" t="s">
        <v>79</v>
      </c>
      <c r="D390" s="11" t="s">
        <v>152</v>
      </c>
      <c r="E390" s="11" t="s">
        <v>102</v>
      </c>
      <c r="F390" s="11" t="s">
        <v>154</v>
      </c>
      <c r="G390" s="11" t="s">
        <v>103</v>
      </c>
      <c r="H390" s="11" t="s">
        <v>153</v>
      </c>
      <c r="I390" s="11" t="s">
        <v>115</v>
      </c>
      <c r="J390" s="11">
        <v>1</v>
      </c>
      <c r="K390" s="11">
        <v>7</v>
      </c>
      <c r="L390" s="11">
        <v>6</v>
      </c>
      <c r="M390" s="11">
        <v>5</v>
      </c>
      <c r="N390" s="11">
        <v>18</v>
      </c>
    </row>
    <row r="391" spans="1:14" ht="15" customHeight="1" x14ac:dyDescent="0.25">
      <c r="A391" s="11">
        <v>33</v>
      </c>
      <c r="B391" s="11" t="s">
        <v>8</v>
      </c>
      <c r="C391" s="11" t="s">
        <v>80</v>
      </c>
      <c r="D391" s="11" t="s">
        <v>155</v>
      </c>
      <c r="E391" s="11" t="s">
        <v>104</v>
      </c>
      <c r="F391" s="11" t="s">
        <v>156</v>
      </c>
      <c r="G391" s="11" t="s">
        <v>105</v>
      </c>
      <c r="H391" s="11" t="s">
        <v>157</v>
      </c>
      <c r="I391" s="11" t="s">
        <v>116</v>
      </c>
      <c r="J391" s="11">
        <v>1</v>
      </c>
      <c r="K391" s="11">
        <v>7</v>
      </c>
      <c r="L391" s="11">
        <v>6</v>
      </c>
      <c r="M391" s="11">
        <v>5</v>
      </c>
      <c r="N391" s="11">
        <v>18</v>
      </c>
    </row>
    <row r="392" spans="1:14" ht="15" customHeight="1" x14ac:dyDescent="0.25">
      <c r="A392" s="11">
        <v>33</v>
      </c>
      <c r="B392" s="11" t="s">
        <v>8</v>
      </c>
      <c r="C392" s="11" t="s">
        <v>81</v>
      </c>
      <c r="D392" s="11" t="s">
        <v>158</v>
      </c>
      <c r="E392" s="11" t="s">
        <v>68</v>
      </c>
      <c r="F392" s="11" t="s">
        <v>159</v>
      </c>
      <c r="G392" s="11" t="s">
        <v>73</v>
      </c>
      <c r="H392" s="11" t="s">
        <v>182</v>
      </c>
      <c r="I392" s="11" t="s">
        <v>72</v>
      </c>
      <c r="J392" s="11">
        <v>1</v>
      </c>
      <c r="K392" s="11">
        <v>3</v>
      </c>
      <c r="L392" s="11">
        <v>3</v>
      </c>
      <c r="M392" s="11">
        <v>0</v>
      </c>
      <c r="N392" s="11">
        <v>6</v>
      </c>
    </row>
    <row r="393" spans="1:14" ht="15" customHeight="1" x14ac:dyDescent="0.25">
      <c r="A393" s="11">
        <v>33</v>
      </c>
      <c r="B393" s="11" t="s">
        <v>8</v>
      </c>
      <c r="C393" s="11" t="s">
        <v>82</v>
      </c>
      <c r="D393" s="11" t="s">
        <v>161</v>
      </c>
      <c r="E393" s="11" t="s">
        <v>66</v>
      </c>
      <c r="F393" s="11" t="s">
        <v>162</v>
      </c>
      <c r="G393" s="11" t="s">
        <v>70</v>
      </c>
      <c r="H393" s="11" t="s">
        <v>163</v>
      </c>
      <c r="I393" s="11" t="s">
        <v>67</v>
      </c>
      <c r="J393" s="11">
        <v>1</v>
      </c>
      <c r="K393" s="11">
        <v>7</v>
      </c>
      <c r="L393" s="11">
        <v>6</v>
      </c>
      <c r="M393" s="11">
        <v>0</v>
      </c>
      <c r="N393" s="11">
        <v>13</v>
      </c>
    </row>
    <row r="394" spans="1:14" ht="15" customHeight="1" x14ac:dyDescent="0.25">
      <c r="A394" s="11">
        <v>33</v>
      </c>
      <c r="B394" s="11" t="s">
        <v>8</v>
      </c>
      <c r="C394" s="11" t="s">
        <v>83</v>
      </c>
      <c r="D394" s="11" t="s">
        <v>165</v>
      </c>
      <c r="E394" s="11" t="s">
        <v>44</v>
      </c>
      <c r="F394" s="11" t="s">
        <v>164</v>
      </c>
      <c r="G394" s="11" t="s">
        <v>35</v>
      </c>
      <c r="H394" s="11" t="s">
        <v>166</v>
      </c>
      <c r="I394" s="11" t="s">
        <v>45</v>
      </c>
      <c r="J394" s="11">
        <v>1</v>
      </c>
      <c r="K394" s="11">
        <v>3</v>
      </c>
      <c r="L394" s="11">
        <v>3</v>
      </c>
      <c r="M394" s="11">
        <v>0</v>
      </c>
      <c r="N394" s="11">
        <v>6</v>
      </c>
    </row>
    <row r="395" spans="1:14" ht="15" customHeight="1" x14ac:dyDescent="0.25">
      <c r="A395" s="11">
        <v>33</v>
      </c>
      <c r="B395" s="11" t="s">
        <v>8</v>
      </c>
      <c r="C395" s="11" t="s">
        <v>84</v>
      </c>
      <c r="D395" s="11" t="s">
        <v>167</v>
      </c>
      <c r="E395" s="11" t="s">
        <v>23</v>
      </c>
      <c r="F395" s="11" t="s">
        <v>168</v>
      </c>
      <c r="G395" s="11" t="s">
        <v>24</v>
      </c>
      <c r="H395" s="11" t="s">
        <v>169</v>
      </c>
      <c r="I395" s="11" t="s">
        <v>57</v>
      </c>
      <c r="J395" s="11">
        <v>1</v>
      </c>
      <c r="K395" s="11">
        <v>7</v>
      </c>
      <c r="L395" s="11">
        <v>6</v>
      </c>
      <c r="M395" s="11">
        <v>0</v>
      </c>
      <c r="N395" s="11">
        <v>13</v>
      </c>
    </row>
    <row r="396" spans="1:14" ht="15" customHeight="1" x14ac:dyDescent="0.25">
      <c r="A396" s="11">
        <v>33</v>
      </c>
      <c r="B396" s="11" t="s">
        <v>8</v>
      </c>
      <c r="C396" s="11" t="s">
        <v>85</v>
      </c>
      <c r="D396" s="11" t="s">
        <v>170</v>
      </c>
      <c r="E396" s="11" t="s">
        <v>107</v>
      </c>
      <c r="F396" s="11" t="s">
        <v>171</v>
      </c>
      <c r="G396" s="11" t="s">
        <v>106</v>
      </c>
      <c r="H396" s="11" t="s">
        <v>180</v>
      </c>
      <c r="I396" s="11" t="s">
        <v>123</v>
      </c>
      <c r="J396" s="11">
        <v>1</v>
      </c>
      <c r="K396" s="11">
        <v>3</v>
      </c>
      <c r="L396" s="11">
        <v>3</v>
      </c>
      <c r="M396" s="11">
        <v>0</v>
      </c>
      <c r="N396" s="11">
        <v>6</v>
      </c>
    </row>
    <row r="397" spans="1:14" ht="15" customHeight="1" x14ac:dyDescent="0.25">
      <c r="A397" s="11">
        <v>33</v>
      </c>
      <c r="B397" s="11" t="s">
        <v>8</v>
      </c>
      <c r="C397" s="11" t="s">
        <v>86</v>
      </c>
      <c r="D397" s="11" t="s">
        <v>173</v>
      </c>
      <c r="E397" s="11" t="s">
        <v>108</v>
      </c>
      <c r="F397" s="11" t="s">
        <v>174</v>
      </c>
      <c r="G397" s="11" t="s">
        <v>118</v>
      </c>
      <c r="H397" s="11" t="s">
        <v>175</v>
      </c>
      <c r="I397" s="11" t="s">
        <v>109</v>
      </c>
      <c r="J397" s="11">
        <v>1</v>
      </c>
      <c r="K397" s="11">
        <v>7</v>
      </c>
      <c r="L397" s="11">
        <v>0</v>
      </c>
      <c r="M397" s="11">
        <v>3</v>
      </c>
      <c r="N397" s="11">
        <v>10</v>
      </c>
    </row>
    <row r="398" spans="1:14" ht="15" customHeight="1" x14ac:dyDescent="0.25">
      <c r="A398" s="11">
        <v>34</v>
      </c>
      <c r="B398" s="11" t="s">
        <v>28</v>
      </c>
      <c r="C398" s="11" t="s">
        <v>75</v>
      </c>
      <c r="D398" s="11" t="s">
        <v>140</v>
      </c>
      <c r="E398" s="11" t="s">
        <v>94</v>
      </c>
      <c r="F398" s="11" t="s">
        <v>141</v>
      </c>
      <c r="G398" s="11" t="s">
        <v>95</v>
      </c>
      <c r="H398" s="11" t="s">
        <v>142</v>
      </c>
      <c r="I398" s="11" t="s">
        <v>110</v>
      </c>
      <c r="J398" s="11">
        <v>1</v>
      </c>
      <c r="K398" s="11">
        <v>7</v>
      </c>
      <c r="L398" s="11">
        <v>6</v>
      </c>
      <c r="M398" s="11">
        <v>0</v>
      </c>
      <c r="N398" s="11">
        <v>13</v>
      </c>
    </row>
    <row r="399" spans="1:14" ht="15" customHeight="1" x14ac:dyDescent="0.25">
      <c r="A399" s="11">
        <v>34</v>
      </c>
      <c r="B399" s="11" t="s">
        <v>28</v>
      </c>
      <c r="C399" s="11" t="s">
        <v>76</v>
      </c>
      <c r="D399" s="11" t="s">
        <v>144</v>
      </c>
      <c r="E399" s="11" t="s">
        <v>96</v>
      </c>
      <c r="F399" s="11" t="s">
        <v>143</v>
      </c>
      <c r="G399" s="11" t="s">
        <v>97</v>
      </c>
      <c r="H399" s="11" t="s">
        <v>145</v>
      </c>
      <c r="I399" s="11" t="s">
        <v>111</v>
      </c>
      <c r="J399" s="11">
        <v>1</v>
      </c>
      <c r="K399" s="11">
        <v>7</v>
      </c>
      <c r="L399" s="11">
        <v>6</v>
      </c>
      <c r="M399" s="11">
        <v>0</v>
      </c>
      <c r="N399" s="11">
        <v>13</v>
      </c>
    </row>
    <row r="400" spans="1:14" ht="15" customHeight="1" x14ac:dyDescent="0.25">
      <c r="A400" s="11">
        <v>34</v>
      </c>
      <c r="B400" s="11" t="s">
        <v>28</v>
      </c>
      <c r="C400" s="11" t="s">
        <v>77</v>
      </c>
      <c r="D400" s="11" t="s">
        <v>147</v>
      </c>
      <c r="E400" s="11" t="s">
        <v>98</v>
      </c>
      <c r="F400" s="11" t="s">
        <v>146</v>
      </c>
      <c r="G400" s="11" t="s">
        <v>99</v>
      </c>
      <c r="H400" s="11" t="s">
        <v>148</v>
      </c>
      <c r="I400" s="11" t="s">
        <v>112</v>
      </c>
      <c r="J400" s="11">
        <v>1</v>
      </c>
      <c r="K400" s="11">
        <v>7</v>
      </c>
      <c r="L400" s="11">
        <v>6</v>
      </c>
      <c r="M400" s="11">
        <v>5</v>
      </c>
      <c r="N400" s="11">
        <v>18</v>
      </c>
    </row>
    <row r="401" spans="1:14" ht="15" customHeight="1" x14ac:dyDescent="0.25">
      <c r="A401" s="11">
        <v>34</v>
      </c>
      <c r="B401" s="11" t="s">
        <v>28</v>
      </c>
      <c r="C401" s="11" t="s">
        <v>78</v>
      </c>
      <c r="D401" s="11" t="s">
        <v>151</v>
      </c>
      <c r="E401" s="11" t="s">
        <v>100</v>
      </c>
      <c r="F401" s="11" t="s">
        <v>150</v>
      </c>
      <c r="G401" s="11" t="s">
        <v>114</v>
      </c>
      <c r="H401" s="11" t="s">
        <v>149</v>
      </c>
      <c r="I401" s="11" t="s">
        <v>113</v>
      </c>
      <c r="J401" s="11">
        <v>1</v>
      </c>
      <c r="K401" s="11">
        <v>7</v>
      </c>
      <c r="L401" s="11">
        <v>0</v>
      </c>
      <c r="M401" s="11">
        <v>5</v>
      </c>
      <c r="N401" s="11">
        <v>12</v>
      </c>
    </row>
    <row r="402" spans="1:14" ht="15" customHeight="1" x14ac:dyDescent="0.25">
      <c r="A402" s="11">
        <v>34</v>
      </c>
      <c r="B402" s="11" t="s">
        <v>28</v>
      </c>
      <c r="C402" s="11" t="s">
        <v>79</v>
      </c>
      <c r="D402" s="11" t="s">
        <v>152</v>
      </c>
      <c r="E402" s="11" t="s">
        <v>102</v>
      </c>
      <c r="F402" s="11" t="s">
        <v>154</v>
      </c>
      <c r="G402" s="11" t="s">
        <v>103</v>
      </c>
      <c r="H402" s="11" t="s">
        <v>153</v>
      </c>
      <c r="I402" s="11" t="s">
        <v>115</v>
      </c>
      <c r="J402" s="11">
        <v>1</v>
      </c>
      <c r="K402" s="11">
        <v>7</v>
      </c>
      <c r="L402" s="11">
        <v>6</v>
      </c>
      <c r="M402" s="11">
        <v>5</v>
      </c>
      <c r="N402" s="11">
        <v>18</v>
      </c>
    </row>
    <row r="403" spans="1:14" ht="15" customHeight="1" x14ac:dyDescent="0.25">
      <c r="A403" s="11">
        <v>34</v>
      </c>
      <c r="B403" s="11" t="s">
        <v>28</v>
      </c>
      <c r="C403" s="11" t="s">
        <v>80</v>
      </c>
      <c r="D403" s="11" t="s">
        <v>155</v>
      </c>
      <c r="E403" s="11" t="s">
        <v>104</v>
      </c>
      <c r="F403" s="11" t="s">
        <v>156</v>
      </c>
      <c r="G403" s="11" t="s">
        <v>105</v>
      </c>
      <c r="H403" s="11" t="s">
        <v>157</v>
      </c>
      <c r="I403" s="11" t="s">
        <v>116</v>
      </c>
      <c r="J403" s="11">
        <v>1</v>
      </c>
      <c r="K403" s="11">
        <v>7</v>
      </c>
      <c r="L403" s="11">
        <v>6</v>
      </c>
      <c r="M403" s="11">
        <v>5</v>
      </c>
      <c r="N403" s="11">
        <v>18</v>
      </c>
    </row>
    <row r="404" spans="1:14" ht="15" customHeight="1" x14ac:dyDescent="0.25">
      <c r="A404" s="11">
        <v>34</v>
      </c>
      <c r="B404" s="11" t="s">
        <v>28</v>
      </c>
      <c r="C404" s="11" t="s">
        <v>81</v>
      </c>
      <c r="D404" s="11" t="s">
        <v>158</v>
      </c>
      <c r="E404" s="11" t="s">
        <v>68</v>
      </c>
      <c r="F404" s="11" t="s">
        <v>182</v>
      </c>
      <c r="G404" s="11" t="s">
        <v>72</v>
      </c>
      <c r="H404" s="11" t="s">
        <v>159</v>
      </c>
      <c r="I404" s="11" t="s">
        <v>73</v>
      </c>
      <c r="J404" s="11">
        <v>1</v>
      </c>
      <c r="K404" s="11">
        <v>3</v>
      </c>
      <c r="L404" s="11">
        <v>0</v>
      </c>
      <c r="M404" s="11">
        <v>3</v>
      </c>
      <c r="N404" s="11">
        <v>6</v>
      </c>
    </row>
    <row r="405" spans="1:14" ht="15" customHeight="1" x14ac:dyDescent="0.25">
      <c r="A405" s="11">
        <v>34</v>
      </c>
      <c r="B405" s="11" t="s">
        <v>28</v>
      </c>
      <c r="C405" s="11" t="s">
        <v>82</v>
      </c>
      <c r="D405" s="11" t="s">
        <v>161</v>
      </c>
      <c r="E405" s="11" t="s">
        <v>66</v>
      </c>
      <c r="F405" s="11" t="s">
        <v>162</v>
      </c>
      <c r="G405" s="11" t="s">
        <v>70</v>
      </c>
      <c r="H405" s="11" t="s">
        <v>163</v>
      </c>
      <c r="I405" s="11" t="s">
        <v>67</v>
      </c>
      <c r="J405" s="11">
        <v>1</v>
      </c>
      <c r="K405" s="11">
        <v>7</v>
      </c>
      <c r="L405" s="11">
        <v>6</v>
      </c>
      <c r="M405" s="11">
        <v>0</v>
      </c>
      <c r="N405" s="11">
        <v>13</v>
      </c>
    </row>
    <row r="406" spans="1:14" ht="15" customHeight="1" x14ac:dyDescent="0.25">
      <c r="A406" s="11">
        <v>34</v>
      </c>
      <c r="B406" s="11" t="s">
        <v>28</v>
      </c>
      <c r="C406" s="11" t="s">
        <v>83</v>
      </c>
      <c r="D406" s="11" t="s">
        <v>164</v>
      </c>
      <c r="E406" s="11" t="s">
        <v>35</v>
      </c>
      <c r="F406" s="11" t="s">
        <v>166</v>
      </c>
      <c r="G406" s="11" t="s">
        <v>45</v>
      </c>
      <c r="H406" s="11" t="s">
        <v>165</v>
      </c>
      <c r="I406" s="11" t="s">
        <v>44</v>
      </c>
      <c r="J406" s="11">
        <v>1</v>
      </c>
      <c r="K406" s="11">
        <v>7</v>
      </c>
      <c r="L406" s="11">
        <v>0</v>
      </c>
      <c r="M406" s="11">
        <v>3</v>
      </c>
      <c r="N406" s="11">
        <v>10</v>
      </c>
    </row>
    <row r="407" spans="1:14" ht="15" customHeight="1" x14ac:dyDescent="0.25">
      <c r="A407" s="11">
        <v>34</v>
      </c>
      <c r="B407" s="11" t="s">
        <v>28</v>
      </c>
      <c r="C407" s="11" t="s">
        <v>84</v>
      </c>
      <c r="D407" s="11" t="s">
        <v>167</v>
      </c>
      <c r="E407" s="11" t="s">
        <v>23</v>
      </c>
      <c r="F407" s="11" t="s">
        <v>168</v>
      </c>
      <c r="G407" s="11" t="s">
        <v>24</v>
      </c>
      <c r="H407" s="11" t="s">
        <v>169</v>
      </c>
      <c r="I407" s="11" t="s">
        <v>57</v>
      </c>
      <c r="J407" s="11">
        <v>1</v>
      </c>
      <c r="K407" s="11">
        <v>7</v>
      </c>
      <c r="L407" s="11">
        <v>6</v>
      </c>
      <c r="M407" s="11">
        <v>0</v>
      </c>
      <c r="N407" s="11">
        <v>13</v>
      </c>
    </row>
    <row r="408" spans="1:14" ht="15" customHeight="1" x14ac:dyDescent="0.25">
      <c r="A408" s="11">
        <v>34</v>
      </c>
      <c r="B408" s="11" t="s">
        <v>28</v>
      </c>
      <c r="C408" s="11" t="s">
        <v>85</v>
      </c>
      <c r="D408" s="11" t="s">
        <v>170</v>
      </c>
      <c r="E408" s="11" t="s">
        <v>107</v>
      </c>
      <c r="F408" s="11" t="s">
        <v>171</v>
      </c>
      <c r="G408" s="11" t="s">
        <v>106</v>
      </c>
      <c r="H408" s="11" t="s">
        <v>172</v>
      </c>
      <c r="I408" s="11" t="s">
        <v>117</v>
      </c>
      <c r="J408" s="11">
        <v>1</v>
      </c>
      <c r="K408" s="11">
        <v>3</v>
      </c>
      <c r="L408" s="11">
        <v>3</v>
      </c>
      <c r="M408" s="11">
        <v>5</v>
      </c>
      <c r="N408" s="11">
        <v>11</v>
      </c>
    </row>
    <row r="409" spans="1:14" ht="15" customHeight="1" x14ac:dyDescent="0.25">
      <c r="A409" s="11">
        <v>34</v>
      </c>
      <c r="B409" s="11" t="s">
        <v>28</v>
      </c>
      <c r="C409" s="11" t="s">
        <v>86</v>
      </c>
      <c r="D409" s="11" t="s">
        <v>173</v>
      </c>
      <c r="E409" s="11" t="s">
        <v>108</v>
      </c>
      <c r="F409" s="11" t="s">
        <v>174</v>
      </c>
      <c r="G409" s="11" t="s">
        <v>118</v>
      </c>
      <c r="H409" s="11" t="s">
        <v>177</v>
      </c>
      <c r="I409" s="11" t="s">
        <v>120</v>
      </c>
      <c r="J409" s="11">
        <v>1</v>
      </c>
      <c r="K409" s="11">
        <v>7</v>
      </c>
      <c r="L409" s="11">
        <v>0</v>
      </c>
      <c r="M409" s="11">
        <v>0</v>
      </c>
      <c r="N409" s="11">
        <v>7</v>
      </c>
    </row>
    <row r="410" spans="1:14" ht="15" customHeight="1" x14ac:dyDescent="0.25">
      <c r="A410" s="11">
        <v>35</v>
      </c>
      <c r="B410" s="11" t="s">
        <v>38</v>
      </c>
      <c r="C410" s="11" t="s">
        <v>75</v>
      </c>
      <c r="D410" s="11" t="s">
        <v>140</v>
      </c>
      <c r="E410" s="11" t="s">
        <v>94</v>
      </c>
      <c r="F410" s="11" t="s">
        <v>141</v>
      </c>
      <c r="G410" s="11" t="s">
        <v>95</v>
      </c>
      <c r="H410" s="11" t="s">
        <v>142</v>
      </c>
      <c r="I410" s="11" t="s">
        <v>110</v>
      </c>
      <c r="J410" s="11">
        <v>1</v>
      </c>
      <c r="K410" s="11">
        <v>7</v>
      </c>
      <c r="L410" s="11">
        <v>6</v>
      </c>
      <c r="M410" s="11">
        <v>0</v>
      </c>
      <c r="N410" s="11">
        <v>13</v>
      </c>
    </row>
    <row r="411" spans="1:14" ht="15" customHeight="1" x14ac:dyDescent="0.25">
      <c r="A411" s="11">
        <v>35</v>
      </c>
      <c r="B411" s="11" t="s">
        <v>38</v>
      </c>
      <c r="C411" s="11" t="s">
        <v>76</v>
      </c>
      <c r="D411" s="11" t="s">
        <v>144</v>
      </c>
      <c r="E411" s="11" t="s">
        <v>96</v>
      </c>
      <c r="F411" s="11" t="s">
        <v>143</v>
      </c>
      <c r="G411" s="11" t="s">
        <v>97</v>
      </c>
      <c r="H411" s="11" t="s">
        <v>145</v>
      </c>
      <c r="I411" s="11" t="s">
        <v>111</v>
      </c>
      <c r="J411" s="11">
        <v>1</v>
      </c>
      <c r="K411" s="11">
        <v>7</v>
      </c>
      <c r="L411" s="11">
        <v>6</v>
      </c>
      <c r="M411" s="11">
        <v>0</v>
      </c>
      <c r="N411" s="11">
        <v>13</v>
      </c>
    </row>
    <row r="412" spans="1:14" ht="15" customHeight="1" x14ac:dyDescent="0.25">
      <c r="A412" s="11">
        <v>35</v>
      </c>
      <c r="B412" s="11" t="s">
        <v>38</v>
      </c>
      <c r="C412" s="11" t="s">
        <v>77</v>
      </c>
      <c r="D412" s="11" t="s">
        <v>146</v>
      </c>
      <c r="E412" s="11" t="s">
        <v>99</v>
      </c>
      <c r="F412" s="11" t="s">
        <v>147</v>
      </c>
      <c r="G412" s="11" t="s">
        <v>98</v>
      </c>
      <c r="H412" s="11" t="s">
        <v>148</v>
      </c>
      <c r="I412" s="11" t="s">
        <v>112</v>
      </c>
      <c r="J412" s="11">
        <v>1</v>
      </c>
      <c r="K412" s="11">
        <v>3</v>
      </c>
      <c r="L412" s="11">
        <v>3</v>
      </c>
      <c r="M412" s="11">
        <v>5</v>
      </c>
      <c r="N412" s="11">
        <v>11</v>
      </c>
    </row>
    <row r="413" spans="1:14" ht="15" customHeight="1" x14ac:dyDescent="0.25">
      <c r="A413" s="11">
        <v>35</v>
      </c>
      <c r="B413" s="11" t="s">
        <v>38</v>
      </c>
      <c r="C413" s="11" t="s">
        <v>78</v>
      </c>
      <c r="D413" s="11" t="s">
        <v>151</v>
      </c>
      <c r="E413" s="11" t="s">
        <v>100</v>
      </c>
      <c r="F413" s="11" t="s">
        <v>150</v>
      </c>
      <c r="G413" s="11" t="s">
        <v>114</v>
      </c>
      <c r="H413" s="11" t="s">
        <v>149</v>
      </c>
      <c r="I413" s="11" t="s">
        <v>113</v>
      </c>
      <c r="J413" s="11">
        <v>1</v>
      </c>
      <c r="K413" s="11">
        <v>7</v>
      </c>
      <c r="L413" s="11">
        <v>0</v>
      </c>
      <c r="M413" s="11">
        <v>5</v>
      </c>
      <c r="N413" s="11">
        <v>12</v>
      </c>
    </row>
    <row r="414" spans="1:14" ht="15" customHeight="1" x14ac:dyDescent="0.25">
      <c r="A414" s="11">
        <v>35</v>
      </c>
      <c r="B414" s="11" t="s">
        <v>38</v>
      </c>
      <c r="C414" s="11" t="s">
        <v>79</v>
      </c>
      <c r="D414" s="11" t="s">
        <v>153</v>
      </c>
      <c r="E414" s="11" t="s">
        <v>115</v>
      </c>
      <c r="F414" s="11" t="s">
        <v>152</v>
      </c>
      <c r="G414" s="11" t="s">
        <v>102</v>
      </c>
      <c r="H414" s="11" t="s">
        <v>154</v>
      </c>
      <c r="I414" s="11" t="s">
        <v>103</v>
      </c>
      <c r="J414" s="11">
        <v>1</v>
      </c>
      <c r="K414" s="11">
        <v>3</v>
      </c>
      <c r="L414" s="11">
        <v>3</v>
      </c>
      <c r="M414" s="11">
        <v>3</v>
      </c>
      <c r="N414" s="11">
        <v>9</v>
      </c>
    </row>
    <row r="415" spans="1:14" ht="15" customHeight="1" x14ac:dyDescent="0.25">
      <c r="A415" s="11">
        <v>35</v>
      </c>
      <c r="B415" s="11" t="s">
        <v>38</v>
      </c>
      <c r="C415" s="11" t="s">
        <v>80</v>
      </c>
      <c r="D415" s="11" t="s">
        <v>157</v>
      </c>
      <c r="E415" s="11" t="s">
        <v>116</v>
      </c>
      <c r="F415" s="11" t="s">
        <v>155</v>
      </c>
      <c r="G415" s="11" t="s">
        <v>104</v>
      </c>
      <c r="H415" s="11" t="s">
        <v>156</v>
      </c>
      <c r="I415" s="11" t="s">
        <v>105</v>
      </c>
      <c r="J415" s="11">
        <v>1</v>
      </c>
      <c r="K415" s="11">
        <v>3</v>
      </c>
      <c r="L415" s="11">
        <v>3</v>
      </c>
      <c r="M415" s="11">
        <v>3</v>
      </c>
      <c r="N415" s="11">
        <v>9</v>
      </c>
    </row>
    <row r="416" spans="1:14" ht="15" customHeight="1" x14ac:dyDescent="0.25">
      <c r="A416" s="11">
        <v>35</v>
      </c>
      <c r="B416" s="11" t="s">
        <v>38</v>
      </c>
      <c r="C416" s="11" t="s">
        <v>81</v>
      </c>
      <c r="D416" s="11" t="s">
        <v>158</v>
      </c>
      <c r="E416" s="11" t="s">
        <v>68</v>
      </c>
      <c r="F416" s="11" t="s">
        <v>159</v>
      </c>
      <c r="G416" s="11" t="s">
        <v>73</v>
      </c>
      <c r="H416" s="11" t="s">
        <v>182</v>
      </c>
      <c r="I416" s="11" t="s">
        <v>72</v>
      </c>
      <c r="J416" s="11">
        <v>1</v>
      </c>
      <c r="K416" s="11">
        <v>3</v>
      </c>
      <c r="L416" s="11">
        <v>3</v>
      </c>
      <c r="M416" s="11">
        <v>0</v>
      </c>
      <c r="N416" s="11">
        <v>6</v>
      </c>
    </row>
    <row r="417" spans="1:14" ht="15" customHeight="1" x14ac:dyDescent="0.25">
      <c r="A417" s="11">
        <v>35</v>
      </c>
      <c r="B417" s="11" t="s">
        <v>38</v>
      </c>
      <c r="C417" s="11" t="s">
        <v>82</v>
      </c>
      <c r="D417" s="11" t="s">
        <v>161</v>
      </c>
      <c r="E417" s="11" t="s">
        <v>66</v>
      </c>
      <c r="F417" s="11" t="s">
        <v>162</v>
      </c>
      <c r="G417" s="11" t="s">
        <v>70</v>
      </c>
      <c r="H417" s="11" t="s">
        <v>163</v>
      </c>
      <c r="I417" s="11" t="s">
        <v>67</v>
      </c>
      <c r="J417" s="11">
        <v>1</v>
      </c>
      <c r="K417" s="11">
        <v>7</v>
      </c>
      <c r="L417" s="11">
        <v>6</v>
      </c>
      <c r="M417" s="11">
        <v>0</v>
      </c>
      <c r="N417" s="11">
        <v>13</v>
      </c>
    </row>
    <row r="418" spans="1:14" ht="15" customHeight="1" x14ac:dyDescent="0.25">
      <c r="A418" s="11">
        <v>35</v>
      </c>
      <c r="B418" s="11" t="s">
        <v>38</v>
      </c>
      <c r="C418" s="11" t="s">
        <v>83</v>
      </c>
      <c r="D418" s="11" t="s">
        <v>164</v>
      </c>
      <c r="E418" s="11" t="s">
        <v>35</v>
      </c>
      <c r="F418" s="11" t="s">
        <v>166</v>
      </c>
      <c r="G418" s="11" t="s">
        <v>45</v>
      </c>
      <c r="H418" s="11" t="s">
        <v>165</v>
      </c>
      <c r="I418" s="11" t="s">
        <v>44</v>
      </c>
      <c r="J418" s="11">
        <v>1</v>
      </c>
      <c r="K418" s="11">
        <v>7</v>
      </c>
      <c r="L418" s="11">
        <v>0</v>
      </c>
      <c r="M418" s="11">
        <v>3</v>
      </c>
      <c r="N418" s="11">
        <v>10</v>
      </c>
    </row>
    <row r="419" spans="1:14" ht="15" customHeight="1" x14ac:dyDescent="0.25">
      <c r="A419" s="11">
        <v>35</v>
      </c>
      <c r="B419" s="11" t="s">
        <v>38</v>
      </c>
      <c r="C419" s="11" t="s">
        <v>84</v>
      </c>
      <c r="D419" s="11" t="s">
        <v>167</v>
      </c>
      <c r="E419" s="11" t="s">
        <v>23</v>
      </c>
      <c r="F419" s="11" t="s">
        <v>169</v>
      </c>
      <c r="G419" s="11" t="s">
        <v>57</v>
      </c>
      <c r="H419" s="11" t="s">
        <v>168</v>
      </c>
      <c r="I419" s="11" t="s">
        <v>24</v>
      </c>
      <c r="J419" s="11">
        <v>1</v>
      </c>
      <c r="K419" s="11">
        <v>7</v>
      </c>
      <c r="L419" s="11">
        <v>0</v>
      </c>
      <c r="M419" s="11">
        <v>3</v>
      </c>
      <c r="N419" s="11">
        <v>10</v>
      </c>
    </row>
    <row r="420" spans="1:14" ht="15" customHeight="1" x14ac:dyDescent="0.25">
      <c r="A420" s="11">
        <v>35</v>
      </c>
      <c r="B420" s="11" t="s">
        <v>38</v>
      </c>
      <c r="C420" s="11" t="s">
        <v>85</v>
      </c>
      <c r="D420" s="11" t="s">
        <v>170</v>
      </c>
      <c r="E420" s="11" t="s">
        <v>107</v>
      </c>
      <c r="F420" s="11" t="s">
        <v>171</v>
      </c>
      <c r="G420" s="11" t="s">
        <v>106</v>
      </c>
      <c r="H420" s="11" t="s">
        <v>172</v>
      </c>
      <c r="I420" s="11" t="s">
        <v>117</v>
      </c>
      <c r="J420" s="11">
        <v>1</v>
      </c>
      <c r="K420" s="11">
        <v>3</v>
      </c>
      <c r="L420" s="11">
        <v>3</v>
      </c>
      <c r="M420" s="11">
        <v>5</v>
      </c>
      <c r="N420" s="11">
        <v>11</v>
      </c>
    </row>
    <row r="421" spans="1:14" ht="15" customHeight="1" x14ac:dyDescent="0.25">
      <c r="A421" s="11">
        <v>35</v>
      </c>
      <c r="B421" s="11" t="s">
        <v>38</v>
      </c>
      <c r="C421" s="11" t="s">
        <v>86</v>
      </c>
      <c r="D421" s="11" t="s">
        <v>173</v>
      </c>
      <c r="E421" s="11" t="s">
        <v>108</v>
      </c>
      <c r="F421" s="11" t="s">
        <v>174</v>
      </c>
      <c r="G421" s="11" t="s">
        <v>118</v>
      </c>
      <c r="H421" s="11" t="s">
        <v>177</v>
      </c>
      <c r="I421" s="11" t="s">
        <v>120</v>
      </c>
      <c r="J421" s="11">
        <v>1</v>
      </c>
      <c r="K421" s="11">
        <v>7</v>
      </c>
      <c r="L421" s="11">
        <v>0</v>
      </c>
      <c r="M421" s="11">
        <v>0</v>
      </c>
      <c r="N421" s="11">
        <v>7</v>
      </c>
    </row>
    <row r="422" spans="1:14" ht="15" customHeight="1" x14ac:dyDescent="0.25">
      <c r="A422" s="11">
        <v>36</v>
      </c>
      <c r="B422" s="11" t="s">
        <v>63</v>
      </c>
      <c r="C422" s="11" t="s">
        <v>75</v>
      </c>
      <c r="D422" s="11" t="s">
        <v>140</v>
      </c>
      <c r="E422" s="11" t="s">
        <v>94</v>
      </c>
      <c r="F422" s="11" t="s">
        <v>141</v>
      </c>
      <c r="G422" s="11" t="s">
        <v>95</v>
      </c>
      <c r="H422" s="11" t="s">
        <v>142</v>
      </c>
      <c r="I422" s="11" t="s">
        <v>110</v>
      </c>
      <c r="J422" s="11">
        <v>1</v>
      </c>
      <c r="K422" s="11">
        <v>7</v>
      </c>
      <c r="L422" s="11">
        <v>6</v>
      </c>
      <c r="M422" s="11">
        <v>0</v>
      </c>
      <c r="N422" s="11">
        <v>13</v>
      </c>
    </row>
    <row r="423" spans="1:14" ht="15" customHeight="1" x14ac:dyDescent="0.25">
      <c r="A423" s="11">
        <v>36</v>
      </c>
      <c r="B423" s="11" t="s">
        <v>63</v>
      </c>
      <c r="C423" s="11" t="s">
        <v>76</v>
      </c>
      <c r="D423" s="11" t="s">
        <v>144</v>
      </c>
      <c r="E423" s="11" t="s">
        <v>96</v>
      </c>
      <c r="F423" s="11" t="s">
        <v>143</v>
      </c>
      <c r="G423" s="11" t="s">
        <v>97</v>
      </c>
      <c r="H423" s="11" t="s">
        <v>145</v>
      </c>
      <c r="I423" s="11" t="s">
        <v>111</v>
      </c>
      <c r="J423" s="11">
        <v>1</v>
      </c>
      <c r="K423" s="11">
        <v>7</v>
      </c>
      <c r="L423" s="11">
        <v>6</v>
      </c>
      <c r="M423" s="11">
        <v>0</v>
      </c>
      <c r="N423" s="11">
        <v>13</v>
      </c>
    </row>
    <row r="424" spans="1:14" ht="15" customHeight="1" x14ac:dyDescent="0.25">
      <c r="A424" s="11">
        <v>36</v>
      </c>
      <c r="B424" s="11" t="s">
        <v>63</v>
      </c>
      <c r="C424" s="11" t="s">
        <v>77</v>
      </c>
      <c r="D424" s="11" t="s">
        <v>147</v>
      </c>
      <c r="E424" s="11" t="s">
        <v>98</v>
      </c>
      <c r="F424" s="11" t="s">
        <v>146</v>
      </c>
      <c r="G424" s="11" t="s">
        <v>99</v>
      </c>
      <c r="H424" s="11" t="s">
        <v>148</v>
      </c>
      <c r="I424" s="11" t="s">
        <v>112</v>
      </c>
      <c r="J424" s="11">
        <v>1</v>
      </c>
      <c r="K424" s="11">
        <v>7</v>
      </c>
      <c r="L424" s="11">
        <v>6</v>
      </c>
      <c r="M424" s="11">
        <v>5</v>
      </c>
      <c r="N424" s="11">
        <v>18</v>
      </c>
    </row>
    <row r="425" spans="1:14" ht="15" customHeight="1" x14ac:dyDescent="0.25">
      <c r="A425" s="11">
        <v>36</v>
      </c>
      <c r="B425" s="11" t="s">
        <v>63</v>
      </c>
      <c r="C425" s="11" t="s">
        <v>78</v>
      </c>
      <c r="D425" s="11" t="s">
        <v>151</v>
      </c>
      <c r="E425" s="11" t="s">
        <v>100</v>
      </c>
      <c r="F425" s="11" t="s">
        <v>149</v>
      </c>
      <c r="G425" s="11" t="s">
        <v>113</v>
      </c>
      <c r="H425" s="11" t="s">
        <v>150</v>
      </c>
      <c r="I425" s="11" t="s">
        <v>114</v>
      </c>
      <c r="J425" s="11">
        <v>1</v>
      </c>
      <c r="K425" s="11">
        <v>7</v>
      </c>
      <c r="L425" s="11">
        <v>3</v>
      </c>
      <c r="M425" s="11">
        <v>0</v>
      </c>
      <c r="N425" s="11">
        <v>10</v>
      </c>
    </row>
    <row r="426" spans="1:14" ht="15" customHeight="1" x14ac:dyDescent="0.25">
      <c r="A426" s="11">
        <v>36</v>
      </c>
      <c r="B426" s="11" t="s">
        <v>63</v>
      </c>
      <c r="C426" s="11" t="s">
        <v>79</v>
      </c>
      <c r="D426" s="11" t="s">
        <v>152</v>
      </c>
      <c r="E426" s="11" t="s">
        <v>102</v>
      </c>
      <c r="F426" s="11" t="s">
        <v>153</v>
      </c>
      <c r="G426" s="11" t="s">
        <v>115</v>
      </c>
      <c r="H426" s="11" t="s">
        <v>154</v>
      </c>
      <c r="I426" s="11" t="s">
        <v>103</v>
      </c>
      <c r="J426" s="11">
        <v>1</v>
      </c>
      <c r="K426" s="11">
        <v>7</v>
      </c>
      <c r="L426" s="11">
        <v>3</v>
      </c>
      <c r="M426" s="11">
        <v>3</v>
      </c>
      <c r="N426" s="11">
        <v>13</v>
      </c>
    </row>
    <row r="427" spans="1:14" ht="15" customHeight="1" x14ac:dyDescent="0.25">
      <c r="A427" s="11">
        <v>36</v>
      </c>
      <c r="B427" s="11" t="s">
        <v>63</v>
      </c>
      <c r="C427" s="11" t="s">
        <v>80</v>
      </c>
      <c r="D427" s="11" t="s">
        <v>155</v>
      </c>
      <c r="E427" s="11" t="s">
        <v>104</v>
      </c>
      <c r="F427" s="11" t="s">
        <v>157</v>
      </c>
      <c r="G427" s="11" t="s">
        <v>116</v>
      </c>
      <c r="H427" s="11" t="s">
        <v>156</v>
      </c>
      <c r="I427" s="11" t="s">
        <v>105</v>
      </c>
      <c r="J427" s="11">
        <v>1</v>
      </c>
      <c r="K427" s="11">
        <v>7</v>
      </c>
      <c r="L427" s="11">
        <v>3</v>
      </c>
      <c r="M427" s="11">
        <v>3</v>
      </c>
      <c r="N427" s="11">
        <v>13</v>
      </c>
    </row>
    <row r="428" spans="1:14" ht="15" customHeight="1" x14ac:dyDescent="0.25">
      <c r="A428" s="11">
        <v>36</v>
      </c>
      <c r="B428" s="11" t="s">
        <v>63</v>
      </c>
      <c r="C428" s="11" t="s">
        <v>81</v>
      </c>
      <c r="D428" s="11" t="s">
        <v>158</v>
      </c>
      <c r="E428" s="11" t="s">
        <v>68</v>
      </c>
      <c r="F428" s="11" t="s">
        <v>159</v>
      </c>
      <c r="G428" s="11" t="s">
        <v>73</v>
      </c>
      <c r="H428" s="11" t="s">
        <v>160</v>
      </c>
      <c r="I428" s="11" t="s">
        <v>69</v>
      </c>
      <c r="J428" s="11">
        <v>1</v>
      </c>
      <c r="K428" s="11">
        <v>3</v>
      </c>
      <c r="L428" s="11">
        <v>3</v>
      </c>
      <c r="M428" s="11">
        <v>3</v>
      </c>
      <c r="N428" s="11">
        <v>9</v>
      </c>
    </row>
    <row r="429" spans="1:14" ht="15" customHeight="1" x14ac:dyDescent="0.25">
      <c r="A429" s="11">
        <v>36</v>
      </c>
      <c r="B429" s="11" t="s">
        <v>63</v>
      </c>
      <c r="C429" s="11" t="s">
        <v>82</v>
      </c>
      <c r="D429" s="11" t="s">
        <v>161</v>
      </c>
      <c r="E429" s="11" t="s">
        <v>66</v>
      </c>
      <c r="F429" s="11" t="s">
        <v>162</v>
      </c>
      <c r="G429" s="11" t="s">
        <v>70</v>
      </c>
      <c r="H429" s="11" t="s">
        <v>163</v>
      </c>
      <c r="I429" s="11" t="s">
        <v>67</v>
      </c>
      <c r="J429" s="11">
        <v>1</v>
      </c>
      <c r="K429" s="11">
        <v>7</v>
      </c>
      <c r="L429" s="11">
        <v>6</v>
      </c>
      <c r="M429" s="11">
        <v>0</v>
      </c>
      <c r="N429" s="11">
        <v>13</v>
      </c>
    </row>
    <row r="430" spans="1:14" ht="15" customHeight="1" x14ac:dyDescent="0.25">
      <c r="A430" s="11">
        <v>36</v>
      </c>
      <c r="B430" s="11" t="s">
        <v>63</v>
      </c>
      <c r="C430" s="11" t="s">
        <v>83</v>
      </c>
      <c r="D430" s="11" t="s">
        <v>164</v>
      </c>
      <c r="E430" s="11" t="s">
        <v>35</v>
      </c>
      <c r="F430" s="11" t="s">
        <v>165</v>
      </c>
      <c r="G430" s="11" t="s">
        <v>44</v>
      </c>
      <c r="H430" s="11" t="s">
        <v>166</v>
      </c>
      <c r="I430" s="11" t="s">
        <v>45</v>
      </c>
      <c r="J430" s="11">
        <v>1</v>
      </c>
      <c r="K430" s="11">
        <v>7</v>
      </c>
      <c r="L430" s="11">
        <v>6</v>
      </c>
      <c r="M430" s="11">
        <v>0</v>
      </c>
      <c r="N430" s="11">
        <v>13</v>
      </c>
    </row>
    <row r="431" spans="1:14" ht="15" customHeight="1" x14ac:dyDescent="0.25">
      <c r="A431" s="11">
        <v>36</v>
      </c>
      <c r="B431" s="11" t="s">
        <v>63</v>
      </c>
      <c r="C431" s="11" t="s">
        <v>84</v>
      </c>
      <c r="D431" s="11" t="s">
        <v>167</v>
      </c>
      <c r="E431" s="11" t="s">
        <v>23</v>
      </c>
      <c r="F431" s="11" t="s">
        <v>168</v>
      </c>
      <c r="G431" s="11" t="s">
        <v>24</v>
      </c>
      <c r="H431" s="11" t="s">
        <v>169</v>
      </c>
      <c r="I431" s="11" t="s">
        <v>57</v>
      </c>
      <c r="J431" s="11">
        <v>1</v>
      </c>
      <c r="K431" s="11">
        <v>7</v>
      </c>
      <c r="L431" s="11">
        <v>6</v>
      </c>
      <c r="M431" s="11">
        <v>0</v>
      </c>
      <c r="N431" s="11">
        <v>13</v>
      </c>
    </row>
    <row r="432" spans="1:14" ht="15" customHeight="1" x14ac:dyDescent="0.25">
      <c r="A432" s="11">
        <v>36</v>
      </c>
      <c r="B432" s="11" t="s">
        <v>63</v>
      </c>
      <c r="C432" s="11" t="s">
        <v>85</v>
      </c>
      <c r="D432" s="11" t="s">
        <v>170</v>
      </c>
      <c r="E432" s="11" t="s">
        <v>107</v>
      </c>
      <c r="F432" s="11" t="s">
        <v>171</v>
      </c>
      <c r="G432" s="11" t="s">
        <v>106</v>
      </c>
      <c r="H432" s="11" t="s">
        <v>180</v>
      </c>
      <c r="I432" s="11" t="s">
        <v>123</v>
      </c>
      <c r="J432" s="11">
        <v>1</v>
      </c>
      <c r="K432" s="11">
        <v>3</v>
      </c>
      <c r="L432" s="11">
        <v>3</v>
      </c>
      <c r="M432" s="11">
        <v>0</v>
      </c>
      <c r="N432" s="11">
        <v>6</v>
      </c>
    </row>
    <row r="433" spans="1:14" ht="15" customHeight="1" x14ac:dyDescent="0.25">
      <c r="A433" s="11">
        <v>36</v>
      </c>
      <c r="B433" s="11" t="s">
        <v>63</v>
      </c>
      <c r="C433" s="11" t="s">
        <v>86</v>
      </c>
      <c r="D433" s="11" t="s">
        <v>173</v>
      </c>
      <c r="E433" s="11" t="s">
        <v>108</v>
      </c>
      <c r="F433" s="11" t="s">
        <v>177</v>
      </c>
      <c r="G433" s="11" t="s">
        <v>120</v>
      </c>
      <c r="H433" s="11" t="s">
        <v>174</v>
      </c>
      <c r="I433" s="11" t="s">
        <v>118</v>
      </c>
      <c r="J433" s="11">
        <v>1</v>
      </c>
      <c r="K433" s="11">
        <v>7</v>
      </c>
      <c r="L433" s="11">
        <v>0</v>
      </c>
      <c r="M433" s="11">
        <v>0</v>
      </c>
      <c r="N433" s="11">
        <v>7</v>
      </c>
    </row>
    <row r="434" spans="1:14" ht="15" customHeight="1" x14ac:dyDescent="0.25">
      <c r="A434" s="11">
        <v>37</v>
      </c>
      <c r="B434" s="11" t="s">
        <v>39</v>
      </c>
      <c r="C434" s="11" t="s">
        <v>75</v>
      </c>
      <c r="D434" s="11" t="s">
        <v>140</v>
      </c>
      <c r="E434" s="11" t="s">
        <v>94</v>
      </c>
      <c r="F434" s="11" t="s">
        <v>141</v>
      </c>
      <c r="G434" s="11" t="s">
        <v>95</v>
      </c>
      <c r="H434" s="11" t="s">
        <v>176</v>
      </c>
      <c r="I434" s="11" t="s">
        <v>119</v>
      </c>
      <c r="J434" s="11">
        <v>1</v>
      </c>
      <c r="K434" s="11">
        <v>7</v>
      </c>
      <c r="L434" s="11">
        <v>6</v>
      </c>
      <c r="M434" s="11">
        <v>5</v>
      </c>
      <c r="N434" s="11">
        <v>18</v>
      </c>
    </row>
    <row r="435" spans="1:14" ht="15" customHeight="1" x14ac:dyDescent="0.25">
      <c r="A435" s="11">
        <v>37</v>
      </c>
      <c r="B435" s="11" t="s">
        <v>39</v>
      </c>
      <c r="C435" s="11" t="s">
        <v>76</v>
      </c>
      <c r="D435" s="11" t="s">
        <v>145</v>
      </c>
      <c r="E435" s="11" t="s">
        <v>111</v>
      </c>
      <c r="F435" s="11" t="s">
        <v>143</v>
      </c>
      <c r="G435" s="11" t="s">
        <v>97</v>
      </c>
      <c r="H435" s="11" t="s">
        <v>178</v>
      </c>
      <c r="I435" s="11" t="s">
        <v>121</v>
      </c>
      <c r="J435" s="11">
        <v>1</v>
      </c>
      <c r="K435" s="11">
        <v>0</v>
      </c>
      <c r="L435" s="11">
        <v>6</v>
      </c>
      <c r="M435" s="11">
        <v>0</v>
      </c>
      <c r="N435" s="11">
        <v>6</v>
      </c>
    </row>
    <row r="436" spans="1:14" ht="15" customHeight="1" x14ac:dyDescent="0.25">
      <c r="A436" s="11">
        <v>37</v>
      </c>
      <c r="B436" s="11" t="s">
        <v>39</v>
      </c>
      <c r="C436" s="11" t="s">
        <v>77</v>
      </c>
      <c r="D436" s="11" t="s">
        <v>147</v>
      </c>
      <c r="E436" s="11" t="s">
        <v>98</v>
      </c>
      <c r="F436" s="11" t="s">
        <v>148</v>
      </c>
      <c r="G436" s="11" t="s">
        <v>112</v>
      </c>
      <c r="H436" s="11" t="s">
        <v>187</v>
      </c>
      <c r="I436" s="11" t="s">
        <v>125</v>
      </c>
      <c r="J436" s="11">
        <v>1</v>
      </c>
      <c r="K436" s="11">
        <v>7</v>
      </c>
      <c r="L436" s="11">
        <v>3</v>
      </c>
      <c r="M436" s="11">
        <v>0</v>
      </c>
      <c r="N436" s="11">
        <v>10</v>
      </c>
    </row>
    <row r="437" spans="1:14" ht="15" customHeight="1" x14ac:dyDescent="0.25">
      <c r="A437" s="11">
        <v>37</v>
      </c>
      <c r="B437" s="11" t="s">
        <v>39</v>
      </c>
      <c r="C437" s="11" t="s">
        <v>78</v>
      </c>
      <c r="D437" s="11" t="s">
        <v>181</v>
      </c>
      <c r="E437" s="11" t="s">
        <v>101</v>
      </c>
      <c r="F437" s="11" t="s">
        <v>149</v>
      </c>
      <c r="G437" s="11" t="s">
        <v>113</v>
      </c>
      <c r="H437" s="11" t="s">
        <v>151</v>
      </c>
      <c r="I437" s="11" t="s">
        <v>100</v>
      </c>
      <c r="J437" s="11">
        <v>1</v>
      </c>
      <c r="K437" s="11">
        <v>3</v>
      </c>
      <c r="L437" s="11">
        <v>3</v>
      </c>
      <c r="M437" s="11">
        <v>3</v>
      </c>
      <c r="N437" s="11">
        <v>9</v>
      </c>
    </row>
    <row r="438" spans="1:14" ht="15" customHeight="1" x14ac:dyDescent="0.25">
      <c r="A438" s="11">
        <v>37</v>
      </c>
      <c r="B438" s="11" t="s">
        <v>39</v>
      </c>
      <c r="C438" s="11" t="s">
        <v>79</v>
      </c>
      <c r="D438" s="11" t="s">
        <v>152</v>
      </c>
      <c r="E438" s="11" t="s">
        <v>102</v>
      </c>
      <c r="F438" s="11" t="s">
        <v>154</v>
      </c>
      <c r="G438" s="11" t="s">
        <v>103</v>
      </c>
      <c r="H438" s="11" t="s">
        <v>153</v>
      </c>
      <c r="I438" s="11" t="s">
        <v>115</v>
      </c>
      <c r="J438" s="11">
        <v>1</v>
      </c>
      <c r="K438" s="11">
        <v>7</v>
      </c>
      <c r="L438" s="11">
        <v>6</v>
      </c>
      <c r="M438" s="11">
        <v>5</v>
      </c>
      <c r="N438" s="11">
        <v>18</v>
      </c>
    </row>
    <row r="439" spans="1:14" ht="15" customHeight="1" x14ac:dyDescent="0.25">
      <c r="A439" s="11">
        <v>37</v>
      </c>
      <c r="B439" s="11" t="s">
        <v>39</v>
      </c>
      <c r="C439" s="11" t="s">
        <v>80</v>
      </c>
      <c r="D439" s="11" t="s">
        <v>155</v>
      </c>
      <c r="E439" s="11" t="s">
        <v>104</v>
      </c>
      <c r="F439" s="11" t="s">
        <v>156</v>
      </c>
      <c r="G439" s="11" t="s">
        <v>105</v>
      </c>
      <c r="H439" s="11" t="s">
        <v>157</v>
      </c>
      <c r="I439" s="11" t="s">
        <v>116</v>
      </c>
      <c r="J439" s="11">
        <v>1</v>
      </c>
      <c r="K439" s="11">
        <v>7</v>
      </c>
      <c r="L439" s="11">
        <v>6</v>
      </c>
      <c r="M439" s="11">
        <v>5</v>
      </c>
      <c r="N439" s="11">
        <v>18</v>
      </c>
    </row>
    <row r="440" spans="1:14" ht="15" customHeight="1" x14ac:dyDescent="0.25">
      <c r="A440" s="11">
        <v>37</v>
      </c>
      <c r="B440" s="11" t="s">
        <v>39</v>
      </c>
      <c r="C440" s="11" t="s">
        <v>81</v>
      </c>
      <c r="D440" s="11" t="s">
        <v>159</v>
      </c>
      <c r="E440" s="11" t="s">
        <v>73</v>
      </c>
      <c r="F440" s="11" t="s">
        <v>160</v>
      </c>
      <c r="G440" s="11" t="s">
        <v>69</v>
      </c>
      <c r="H440" s="11" t="s">
        <v>158</v>
      </c>
      <c r="I440" s="11" t="s">
        <v>68</v>
      </c>
      <c r="J440" s="11">
        <v>1</v>
      </c>
      <c r="K440" s="11">
        <v>7</v>
      </c>
      <c r="L440" s="11">
        <v>6</v>
      </c>
      <c r="M440" s="11">
        <v>5</v>
      </c>
      <c r="N440" s="11">
        <v>18</v>
      </c>
    </row>
    <row r="441" spans="1:14" ht="15" customHeight="1" x14ac:dyDescent="0.25">
      <c r="A441" s="11">
        <v>37</v>
      </c>
      <c r="B441" s="11" t="s">
        <v>39</v>
      </c>
      <c r="C441" s="11" t="s">
        <v>82</v>
      </c>
      <c r="D441" s="11" t="s">
        <v>161</v>
      </c>
      <c r="E441" s="11" t="s">
        <v>66</v>
      </c>
      <c r="F441" s="11" t="s">
        <v>162</v>
      </c>
      <c r="G441" s="11" t="s">
        <v>70</v>
      </c>
      <c r="H441" s="11" t="s">
        <v>184</v>
      </c>
      <c r="I441" s="11" t="s">
        <v>71</v>
      </c>
      <c r="J441" s="11">
        <v>1</v>
      </c>
      <c r="K441" s="11">
        <v>7</v>
      </c>
      <c r="L441" s="11">
        <v>6</v>
      </c>
      <c r="M441" s="11">
        <v>5</v>
      </c>
      <c r="N441" s="11">
        <v>18</v>
      </c>
    </row>
    <row r="442" spans="1:14" ht="15" customHeight="1" x14ac:dyDescent="0.25">
      <c r="A442" s="11">
        <v>37</v>
      </c>
      <c r="B442" s="11" t="s">
        <v>39</v>
      </c>
      <c r="C442" s="11" t="s">
        <v>83</v>
      </c>
      <c r="D442" s="11" t="s">
        <v>164</v>
      </c>
      <c r="E442" s="11" t="s">
        <v>35</v>
      </c>
      <c r="F442" s="11" t="s">
        <v>185</v>
      </c>
      <c r="G442" s="11" t="s">
        <v>36</v>
      </c>
      <c r="H442" s="11" t="s">
        <v>165</v>
      </c>
      <c r="I442" s="11" t="s">
        <v>44</v>
      </c>
      <c r="J442" s="11">
        <v>1</v>
      </c>
      <c r="K442" s="11">
        <v>7</v>
      </c>
      <c r="L442" s="11">
        <v>0</v>
      </c>
      <c r="M442" s="11">
        <v>3</v>
      </c>
      <c r="N442" s="11">
        <v>10</v>
      </c>
    </row>
    <row r="443" spans="1:14" ht="15" customHeight="1" x14ac:dyDescent="0.25">
      <c r="A443" s="11">
        <v>37</v>
      </c>
      <c r="B443" s="11" t="s">
        <v>39</v>
      </c>
      <c r="C443" s="11" t="s">
        <v>84</v>
      </c>
      <c r="D443" s="11" t="s">
        <v>167</v>
      </c>
      <c r="E443" s="11" t="s">
        <v>23</v>
      </c>
      <c r="F443" s="11" t="s">
        <v>168</v>
      </c>
      <c r="G443" s="11" t="s">
        <v>24</v>
      </c>
      <c r="H443" s="11" t="s">
        <v>169</v>
      </c>
      <c r="I443" s="11" t="s">
        <v>57</v>
      </c>
      <c r="J443" s="11">
        <v>1</v>
      </c>
      <c r="K443" s="11">
        <v>7</v>
      </c>
      <c r="L443" s="11">
        <v>6</v>
      </c>
      <c r="M443" s="11">
        <v>0</v>
      </c>
      <c r="N443" s="11">
        <v>13</v>
      </c>
    </row>
    <row r="444" spans="1:14" ht="15" customHeight="1" x14ac:dyDescent="0.25">
      <c r="A444" s="11">
        <v>37</v>
      </c>
      <c r="B444" s="11" t="s">
        <v>39</v>
      </c>
      <c r="C444" s="11" t="s">
        <v>85</v>
      </c>
      <c r="D444" s="11" t="s">
        <v>170</v>
      </c>
      <c r="E444" s="11" t="s">
        <v>107</v>
      </c>
      <c r="F444" s="11" t="s">
        <v>171</v>
      </c>
      <c r="G444" s="11" t="s">
        <v>106</v>
      </c>
      <c r="H444" s="11" t="s">
        <v>172</v>
      </c>
      <c r="I444" s="11" t="s">
        <v>117</v>
      </c>
      <c r="J444" s="11">
        <v>1</v>
      </c>
      <c r="K444" s="11">
        <v>3</v>
      </c>
      <c r="L444" s="11">
        <v>3</v>
      </c>
      <c r="M444" s="11">
        <v>5</v>
      </c>
      <c r="N444" s="11">
        <v>11</v>
      </c>
    </row>
    <row r="445" spans="1:14" ht="15" customHeight="1" x14ac:dyDescent="0.25">
      <c r="A445" s="11">
        <v>37</v>
      </c>
      <c r="B445" s="11" t="s">
        <v>39</v>
      </c>
      <c r="C445" s="11" t="s">
        <v>86</v>
      </c>
      <c r="D445" s="11" t="s">
        <v>173</v>
      </c>
      <c r="E445" s="11" t="s">
        <v>108</v>
      </c>
      <c r="F445" s="11" t="s">
        <v>174</v>
      </c>
      <c r="G445" s="11" t="s">
        <v>118</v>
      </c>
      <c r="H445" s="11" t="s">
        <v>177</v>
      </c>
      <c r="I445" s="11" t="s">
        <v>120</v>
      </c>
      <c r="J445" s="11">
        <v>1</v>
      </c>
      <c r="K445" s="11">
        <v>7</v>
      </c>
      <c r="L445" s="11">
        <v>0</v>
      </c>
      <c r="M445" s="11">
        <v>0</v>
      </c>
      <c r="N445" s="11">
        <v>7</v>
      </c>
    </row>
    <row r="446" spans="1:14" ht="15" customHeight="1" x14ac:dyDescent="0.25">
      <c r="A446" s="11">
        <v>38</v>
      </c>
      <c r="B446" s="11" t="s">
        <v>49</v>
      </c>
      <c r="C446" s="11" t="s">
        <v>75</v>
      </c>
      <c r="D446" s="11" t="s">
        <v>140</v>
      </c>
      <c r="E446" s="11" t="s">
        <v>94</v>
      </c>
      <c r="F446" s="11" t="s">
        <v>176</v>
      </c>
      <c r="G446" s="11" t="s">
        <v>119</v>
      </c>
      <c r="H446" s="11" t="s">
        <v>141</v>
      </c>
      <c r="I446" s="11" t="s">
        <v>95</v>
      </c>
      <c r="J446" s="11">
        <v>1</v>
      </c>
      <c r="K446" s="11">
        <v>7</v>
      </c>
      <c r="L446" s="11">
        <v>3</v>
      </c>
      <c r="M446" s="11">
        <v>3</v>
      </c>
      <c r="N446" s="11">
        <v>13</v>
      </c>
    </row>
    <row r="447" spans="1:14" ht="15" customHeight="1" x14ac:dyDescent="0.25">
      <c r="A447" s="11">
        <v>38</v>
      </c>
      <c r="B447" s="11" t="s">
        <v>49</v>
      </c>
      <c r="C447" s="11" t="s">
        <v>76</v>
      </c>
      <c r="D447" s="11" t="s">
        <v>143</v>
      </c>
      <c r="E447" s="11" t="s">
        <v>97</v>
      </c>
      <c r="F447" s="11" t="s">
        <v>144</v>
      </c>
      <c r="G447" s="11" t="s">
        <v>96</v>
      </c>
      <c r="H447" s="11" t="s">
        <v>145</v>
      </c>
      <c r="I447" s="11" t="s">
        <v>111</v>
      </c>
      <c r="J447" s="11">
        <v>1</v>
      </c>
      <c r="K447" s="11">
        <v>3</v>
      </c>
      <c r="L447" s="11">
        <v>3</v>
      </c>
      <c r="M447" s="11">
        <v>0</v>
      </c>
      <c r="N447" s="11">
        <v>6</v>
      </c>
    </row>
    <row r="448" spans="1:14" ht="15" customHeight="1" x14ac:dyDescent="0.25">
      <c r="A448" s="11">
        <v>38</v>
      </c>
      <c r="B448" s="11" t="s">
        <v>49</v>
      </c>
      <c r="C448" s="11" t="s">
        <v>77</v>
      </c>
      <c r="D448" s="11" t="s">
        <v>147</v>
      </c>
      <c r="E448" s="11" t="s">
        <v>98</v>
      </c>
      <c r="F448" s="11" t="s">
        <v>146</v>
      </c>
      <c r="G448" s="11" t="s">
        <v>99</v>
      </c>
      <c r="H448" s="11" t="s">
        <v>148</v>
      </c>
      <c r="I448" s="11" t="s">
        <v>112</v>
      </c>
      <c r="J448" s="11">
        <v>1</v>
      </c>
      <c r="K448" s="11">
        <v>7</v>
      </c>
      <c r="L448" s="11">
        <v>6</v>
      </c>
      <c r="M448" s="11">
        <v>5</v>
      </c>
      <c r="N448" s="11">
        <v>18</v>
      </c>
    </row>
    <row r="449" spans="1:14" ht="15" customHeight="1" x14ac:dyDescent="0.25">
      <c r="A449" s="11">
        <v>38</v>
      </c>
      <c r="B449" s="11" t="s">
        <v>49</v>
      </c>
      <c r="C449" s="11" t="s">
        <v>78</v>
      </c>
      <c r="D449" s="11" t="s">
        <v>151</v>
      </c>
      <c r="E449" s="11" t="s">
        <v>100</v>
      </c>
      <c r="F449" s="11" t="s">
        <v>150</v>
      </c>
      <c r="G449" s="11" t="s">
        <v>114</v>
      </c>
      <c r="H449" s="11" t="s">
        <v>149</v>
      </c>
      <c r="I449" s="11" t="s">
        <v>113</v>
      </c>
      <c r="J449" s="11">
        <v>1</v>
      </c>
      <c r="K449" s="11">
        <v>7</v>
      </c>
      <c r="L449" s="11">
        <v>0</v>
      </c>
      <c r="M449" s="11">
        <v>5</v>
      </c>
      <c r="N449" s="11">
        <v>12</v>
      </c>
    </row>
    <row r="450" spans="1:14" ht="15" customHeight="1" x14ac:dyDescent="0.25">
      <c r="A450" s="11">
        <v>38</v>
      </c>
      <c r="B450" s="11" t="s">
        <v>49</v>
      </c>
      <c r="C450" s="11" t="s">
        <v>79</v>
      </c>
      <c r="D450" s="11" t="s">
        <v>152</v>
      </c>
      <c r="E450" s="11" t="s">
        <v>102</v>
      </c>
      <c r="F450" s="11" t="s">
        <v>154</v>
      </c>
      <c r="G450" s="11" t="s">
        <v>103</v>
      </c>
      <c r="H450" s="11" t="s">
        <v>153</v>
      </c>
      <c r="I450" s="11" t="s">
        <v>115</v>
      </c>
      <c r="J450" s="11">
        <v>1</v>
      </c>
      <c r="K450" s="11">
        <v>7</v>
      </c>
      <c r="L450" s="11">
        <v>6</v>
      </c>
      <c r="M450" s="11">
        <v>5</v>
      </c>
      <c r="N450" s="11">
        <v>18</v>
      </c>
    </row>
    <row r="451" spans="1:14" ht="15" customHeight="1" x14ac:dyDescent="0.25">
      <c r="A451" s="11">
        <v>38</v>
      </c>
      <c r="B451" s="11" t="s">
        <v>49</v>
      </c>
      <c r="C451" s="11" t="s">
        <v>80</v>
      </c>
      <c r="D451" s="11" t="s">
        <v>155</v>
      </c>
      <c r="E451" s="11" t="s">
        <v>104</v>
      </c>
      <c r="F451" s="11" t="s">
        <v>156</v>
      </c>
      <c r="G451" s="11" t="s">
        <v>105</v>
      </c>
      <c r="H451" s="11" t="s">
        <v>157</v>
      </c>
      <c r="I451" s="11" t="s">
        <v>116</v>
      </c>
      <c r="J451" s="11">
        <v>1</v>
      </c>
      <c r="K451" s="11">
        <v>7</v>
      </c>
      <c r="L451" s="11">
        <v>6</v>
      </c>
      <c r="M451" s="11">
        <v>5</v>
      </c>
      <c r="N451" s="11">
        <v>18</v>
      </c>
    </row>
    <row r="452" spans="1:14" ht="15" customHeight="1" x14ac:dyDescent="0.25">
      <c r="A452" s="11">
        <v>38</v>
      </c>
      <c r="B452" s="11" t="s">
        <v>49</v>
      </c>
      <c r="C452" s="11" t="s">
        <v>81</v>
      </c>
      <c r="D452" s="11" t="s">
        <v>158</v>
      </c>
      <c r="E452" s="11" t="s">
        <v>68</v>
      </c>
      <c r="F452" s="11" t="s">
        <v>160</v>
      </c>
      <c r="G452" s="11" t="s">
        <v>69</v>
      </c>
      <c r="H452" s="11" t="s">
        <v>159</v>
      </c>
      <c r="I452" s="11" t="s">
        <v>73</v>
      </c>
      <c r="J452" s="11">
        <v>1</v>
      </c>
      <c r="K452" s="11">
        <v>3</v>
      </c>
      <c r="L452" s="11">
        <v>6</v>
      </c>
      <c r="M452" s="11">
        <v>3</v>
      </c>
      <c r="N452" s="11">
        <v>12</v>
      </c>
    </row>
    <row r="453" spans="1:14" ht="15" customHeight="1" x14ac:dyDescent="0.25">
      <c r="A453" s="11">
        <v>38</v>
      </c>
      <c r="B453" s="11" t="s">
        <v>49</v>
      </c>
      <c r="C453" s="11" t="s">
        <v>82</v>
      </c>
      <c r="D453" s="11" t="s">
        <v>161</v>
      </c>
      <c r="E453" s="11" t="s">
        <v>66</v>
      </c>
      <c r="F453" s="11" t="s">
        <v>162</v>
      </c>
      <c r="G453" s="11" t="s">
        <v>70</v>
      </c>
      <c r="H453" s="11" t="s">
        <v>163</v>
      </c>
      <c r="I453" s="11" t="s">
        <v>67</v>
      </c>
      <c r="J453" s="11">
        <v>1</v>
      </c>
      <c r="K453" s="11">
        <v>7</v>
      </c>
      <c r="L453" s="11">
        <v>6</v>
      </c>
      <c r="M453" s="11">
        <v>0</v>
      </c>
      <c r="N453" s="11">
        <v>13</v>
      </c>
    </row>
    <row r="454" spans="1:14" ht="15" customHeight="1" x14ac:dyDescent="0.25">
      <c r="A454" s="11">
        <v>38</v>
      </c>
      <c r="B454" s="11" t="s">
        <v>49</v>
      </c>
      <c r="C454" s="11" t="s">
        <v>83</v>
      </c>
      <c r="D454" s="11" t="s">
        <v>164</v>
      </c>
      <c r="E454" s="11" t="s">
        <v>35</v>
      </c>
      <c r="F454" s="11" t="s">
        <v>165</v>
      </c>
      <c r="G454" s="11" t="s">
        <v>44</v>
      </c>
      <c r="H454" s="11" t="s">
        <v>166</v>
      </c>
      <c r="I454" s="11" t="s">
        <v>45</v>
      </c>
      <c r="J454" s="11">
        <v>1</v>
      </c>
      <c r="K454" s="11">
        <v>7</v>
      </c>
      <c r="L454" s="11">
        <v>6</v>
      </c>
      <c r="M454" s="11">
        <v>0</v>
      </c>
      <c r="N454" s="11">
        <v>13</v>
      </c>
    </row>
    <row r="455" spans="1:14" ht="15" customHeight="1" x14ac:dyDescent="0.25">
      <c r="A455" s="11">
        <v>38</v>
      </c>
      <c r="B455" s="11" t="s">
        <v>49</v>
      </c>
      <c r="C455" s="11" t="s">
        <v>84</v>
      </c>
      <c r="D455" s="11" t="s">
        <v>167</v>
      </c>
      <c r="E455" s="11" t="s">
        <v>23</v>
      </c>
      <c r="F455" s="11" t="s">
        <v>169</v>
      </c>
      <c r="G455" s="11" t="s">
        <v>57</v>
      </c>
      <c r="H455" s="11" t="s">
        <v>168</v>
      </c>
      <c r="I455" s="11" t="s">
        <v>24</v>
      </c>
      <c r="J455" s="11">
        <v>1</v>
      </c>
      <c r="K455" s="11">
        <v>7</v>
      </c>
      <c r="L455" s="11">
        <v>0</v>
      </c>
      <c r="M455" s="11">
        <v>3</v>
      </c>
      <c r="N455" s="11">
        <v>10</v>
      </c>
    </row>
    <row r="456" spans="1:14" ht="15" customHeight="1" x14ac:dyDescent="0.25">
      <c r="A456" s="11">
        <v>38</v>
      </c>
      <c r="B456" s="11" t="s">
        <v>49</v>
      </c>
      <c r="C456" s="11" t="s">
        <v>85</v>
      </c>
      <c r="D456" s="11" t="s">
        <v>170</v>
      </c>
      <c r="E456" s="11" t="s">
        <v>107</v>
      </c>
      <c r="F456" s="11" t="s">
        <v>171</v>
      </c>
      <c r="G456" s="11" t="s">
        <v>106</v>
      </c>
      <c r="H456" s="11" t="s">
        <v>172</v>
      </c>
      <c r="I456" s="11" t="s">
        <v>117</v>
      </c>
      <c r="J456" s="11">
        <v>1</v>
      </c>
      <c r="K456" s="11">
        <v>3</v>
      </c>
      <c r="L456" s="11">
        <v>3</v>
      </c>
      <c r="M456" s="11">
        <v>5</v>
      </c>
      <c r="N456" s="11">
        <v>11</v>
      </c>
    </row>
    <row r="457" spans="1:14" ht="15" customHeight="1" x14ac:dyDescent="0.25">
      <c r="A457" s="11">
        <v>38</v>
      </c>
      <c r="B457" s="11" t="s">
        <v>49</v>
      </c>
      <c r="C457" s="11" t="s">
        <v>86</v>
      </c>
      <c r="D457" s="11" t="s">
        <v>173</v>
      </c>
      <c r="E457" s="11" t="s">
        <v>108</v>
      </c>
      <c r="F457" s="11" t="s">
        <v>174</v>
      </c>
      <c r="G457" s="11" t="s">
        <v>118</v>
      </c>
      <c r="H457" s="11" t="s">
        <v>175</v>
      </c>
      <c r="I457" s="11" t="s">
        <v>109</v>
      </c>
      <c r="J457" s="11">
        <v>1</v>
      </c>
      <c r="K457" s="11">
        <v>7</v>
      </c>
      <c r="L457" s="11">
        <v>0</v>
      </c>
      <c r="M457" s="11">
        <v>3</v>
      </c>
      <c r="N457" s="11">
        <v>10</v>
      </c>
    </row>
    <row r="458" spans="1:14" ht="15" customHeight="1" x14ac:dyDescent="0.25">
      <c r="A458" s="11">
        <v>39</v>
      </c>
      <c r="B458" s="11" t="s">
        <v>43</v>
      </c>
      <c r="C458" s="11" t="s">
        <v>75</v>
      </c>
      <c r="D458" s="11" t="s">
        <v>140</v>
      </c>
      <c r="E458" s="11" t="s">
        <v>94</v>
      </c>
      <c r="F458" s="11" t="s">
        <v>176</v>
      </c>
      <c r="G458" s="11" t="s">
        <v>119</v>
      </c>
      <c r="H458" s="11" t="s">
        <v>142</v>
      </c>
      <c r="I458" s="11" t="s">
        <v>110</v>
      </c>
      <c r="J458" s="11">
        <v>1</v>
      </c>
      <c r="K458" s="11">
        <v>7</v>
      </c>
      <c r="L458" s="11">
        <v>3</v>
      </c>
      <c r="M458" s="11">
        <v>0</v>
      </c>
      <c r="N458" s="11">
        <v>10</v>
      </c>
    </row>
    <row r="459" spans="1:14" ht="15" customHeight="1" x14ac:dyDescent="0.25">
      <c r="A459" s="11">
        <v>39</v>
      </c>
      <c r="B459" s="11" t="s">
        <v>43</v>
      </c>
      <c r="C459" s="11" t="s">
        <v>76</v>
      </c>
      <c r="D459" s="11" t="s">
        <v>144</v>
      </c>
      <c r="E459" s="11" t="s">
        <v>96</v>
      </c>
      <c r="F459" s="11" t="s">
        <v>143</v>
      </c>
      <c r="G459" s="11" t="s">
        <v>97</v>
      </c>
      <c r="H459" s="11" t="s">
        <v>145</v>
      </c>
      <c r="I459" s="11" t="s">
        <v>111</v>
      </c>
      <c r="J459" s="11">
        <v>1</v>
      </c>
      <c r="K459" s="11">
        <v>7</v>
      </c>
      <c r="L459" s="11">
        <v>6</v>
      </c>
      <c r="M459" s="11">
        <v>0</v>
      </c>
      <c r="N459" s="11">
        <v>13</v>
      </c>
    </row>
    <row r="460" spans="1:14" ht="15" customHeight="1" x14ac:dyDescent="0.25">
      <c r="A460" s="11">
        <v>39</v>
      </c>
      <c r="B460" s="11" t="s">
        <v>43</v>
      </c>
      <c r="C460" s="11" t="s">
        <v>77</v>
      </c>
      <c r="D460" s="11" t="s">
        <v>147</v>
      </c>
      <c r="E460" s="11" t="s">
        <v>98</v>
      </c>
      <c r="F460" s="11" t="s">
        <v>146</v>
      </c>
      <c r="G460" s="11" t="s">
        <v>99</v>
      </c>
      <c r="H460" s="11" t="s">
        <v>148</v>
      </c>
      <c r="I460" s="11" t="s">
        <v>112</v>
      </c>
      <c r="J460" s="11">
        <v>1</v>
      </c>
      <c r="K460" s="11">
        <v>7</v>
      </c>
      <c r="L460" s="11">
        <v>6</v>
      </c>
      <c r="M460" s="11">
        <v>5</v>
      </c>
      <c r="N460" s="11">
        <v>18</v>
      </c>
    </row>
    <row r="461" spans="1:14" ht="15" customHeight="1" x14ac:dyDescent="0.25">
      <c r="A461" s="11">
        <v>39</v>
      </c>
      <c r="B461" s="11" t="s">
        <v>43</v>
      </c>
      <c r="C461" s="11" t="s">
        <v>78</v>
      </c>
      <c r="D461" s="11" t="s">
        <v>150</v>
      </c>
      <c r="E461" s="11" t="s">
        <v>114</v>
      </c>
      <c r="F461" s="11" t="s">
        <v>151</v>
      </c>
      <c r="G461" s="11" t="s">
        <v>100</v>
      </c>
      <c r="H461" s="11" t="s">
        <v>181</v>
      </c>
      <c r="I461" s="11" t="s">
        <v>101</v>
      </c>
      <c r="J461" s="11">
        <v>1</v>
      </c>
      <c r="K461" s="11">
        <v>0</v>
      </c>
      <c r="L461" s="11">
        <v>3</v>
      </c>
      <c r="M461" s="11">
        <v>3</v>
      </c>
      <c r="N461" s="11">
        <v>6</v>
      </c>
    </row>
    <row r="462" spans="1:14" ht="15" customHeight="1" x14ac:dyDescent="0.25">
      <c r="A462" s="11">
        <v>39</v>
      </c>
      <c r="B462" s="11" t="s">
        <v>43</v>
      </c>
      <c r="C462" s="11" t="s">
        <v>79</v>
      </c>
      <c r="D462" s="11" t="s">
        <v>152</v>
      </c>
      <c r="E462" s="11" t="s">
        <v>102</v>
      </c>
      <c r="F462" s="11" t="s">
        <v>153</v>
      </c>
      <c r="G462" s="11" t="s">
        <v>115</v>
      </c>
      <c r="H462" s="11" t="s">
        <v>154</v>
      </c>
      <c r="I462" s="11" t="s">
        <v>103</v>
      </c>
      <c r="J462" s="11">
        <v>1</v>
      </c>
      <c r="K462" s="11">
        <v>7</v>
      </c>
      <c r="L462" s="11">
        <v>3</v>
      </c>
      <c r="M462" s="11">
        <v>3</v>
      </c>
      <c r="N462" s="11">
        <v>13</v>
      </c>
    </row>
    <row r="463" spans="1:14" ht="15" customHeight="1" x14ac:dyDescent="0.25">
      <c r="A463" s="11">
        <v>39</v>
      </c>
      <c r="B463" s="11" t="s">
        <v>43</v>
      </c>
      <c r="C463" s="11" t="s">
        <v>80</v>
      </c>
      <c r="D463" s="11" t="s">
        <v>155</v>
      </c>
      <c r="E463" s="11" t="s">
        <v>104</v>
      </c>
      <c r="F463" s="11" t="s">
        <v>156</v>
      </c>
      <c r="G463" s="11" t="s">
        <v>105</v>
      </c>
      <c r="H463" s="11" t="s">
        <v>157</v>
      </c>
      <c r="I463" s="11" t="s">
        <v>116</v>
      </c>
      <c r="J463" s="11">
        <v>1</v>
      </c>
      <c r="K463" s="11">
        <v>7</v>
      </c>
      <c r="L463" s="11">
        <v>6</v>
      </c>
      <c r="M463" s="11">
        <v>5</v>
      </c>
      <c r="N463" s="11">
        <v>18</v>
      </c>
    </row>
    <row r="464" spans="1:14" ht="15" customHeight="1" x14ac:dyDescent="0.25">
      <c r="A464" s="11">
        <v>39</v>
      </c>
      <c r="B464" s="11" t="s">
        <v>43</v>
      </c>
      <c r="C464" s="11" t="s">
        <v>81</v>
      </c>
      <c r="D464" s="11" t="s">
        <v>158</v>
      </c>
      <c r="E464" s="11" t="s">
        <v>68</v>
      </c>
      <c r="F464" s="11" t="s">
        <v>159</v>
      </c>
      <c r="G464" s="11" t="s">
        <v>73</v>
      </c>
      <c r="H464" s="11" t="s">
        <v>160</v>
      </c>
      <c r="I464" s="11" t="s">
        <v>69</v>
      </c>
      <c r="J464" s="11">
        <v>1</v>
      </c>
      <c r="K464" s="11">
        <v>3</v>
      </c>
      <c r="L464" s="11">
        <v>3</v>
      </c>
      <c r="M464" s="11">
        <v>3</v>
      </c>
      <c r="N464" s="11">
        <v>9</v>
      </c>
    </row>
    <row r="465" spans="1:14" ht="15" customHeight="1" x14ac:dyDescent="0.25">
      <c r="A465" s="11">
        <v>39</v>
      </c>
      <c r="B465" s="11" t="s">
        <v>43</v>
      </c>
      <c r="C465" s="11" t="s">
        <v>82</v>
      </c>
      <c r="D465" s="11" t="s">
        <v>161</v>
      </c>
      <c r="E465" s="11" t="s">
        <v>66</v>
      </c>
      <c r="F465" s="11" t="s">
        <v>162</v>
      </c>
      <c r="G465" s="11" t="s">
        <v>70</v>
      </c>
      <c r="H465" s="11" t="s">
        <v>163</v>
      </c>
      <c r="I465" s="11" t="s">
        <v>67</v>
      </c>
      <c r="J465" s="11">
        <v>1</v>
      </c>
      <c r="K465" s="11">
        <v>7</v>
      </c>
      <c r="L465" s="11">
        <v>6</v>
      </c>
      <c r="M465" s="11">
        <v>0</v>
      </c>
      <c r="N465" s="11">
        <v>13</v>
      </c>
    </row>
    <row r="466" spans="1:14" ht="15" customHeight="1" x14ac:dyDescent="0.25">
      <c r="A466" s="11">
        <v>39</v>
      </c>
      <c r="B466" s="11" t="s">
        <v>43</v>
      </c>
      <c r="C466" s="11" t="s">
        <v>83</v>
      </c>
      <c r="D466" s="11" t="s">
        <v>164</v>
      </c>
      <c r="E466" s="11" t="s">
        <v>35</v>
      </c>
      <c r="F466" s="11" t="s">
        <v>165</v>
      </c>
      <c r="G466" s="11" t="s">
        <v>44</v>
      </c>
      <c r="H466" s="11" t="s">
        <v>166</v>
      </c>
      <c r="I466" s="11" t="s">
        <v>45</v>
      </c>
      <c r="J466" s="11">
        <v>1</v>
      </c>
      <c r="K466" s="11">
        <v>7</v>
      </c>
      <c r="L466" s="11">
        <v>6</v>
      </c>
      <c r="M466" s="11">
        <v>0</v>
      </c>
      <c r="N466" s="11">
        <v>13</v>
      </c>
    </row>
    <row r="467" spans="1:14" ht="15" customHeight="1" x14ac:dyDescent="0.25">
      <c r="A467" s="11">
        <v>39</v>
      </c>
      <c r="B467" s="11" t="s">
        <v>43</v>
      </c>
      <c r="C467" s="11" t="s">
        <v>84</v>
      </c>
      <c r="D467" s="11" t="s">
        <v>167</v>
      </c>
      <c r="E467" s="11" t="s">
        <v>23</v>
      </c>
      <c r="F467" s="11" t="s">
        <v>169</v>
      </c>
      <c r="G467" s="11" t="s">
        <v>57</v>
      </c>
      <c r="H467" s="11" t="s">
        <v>168</v>
      </c>
      <c r="I467" s="11" t="s">
        <v>24</v>
      </c>
      <c r="J467" s="11">
        <v>1</v>
      </c>
      <c r="K467" s="11">
        <v>7</v>
      </c>
      <c r="L467" s="11">
        <v>0</v>
      </c>
      <c r="M467" s="11">
        <v>3</v>
      </c>
      <c r="N467" s="11">
        <v>10</v>
      </c>
    </row>
    <row r="468" spans="1:14" ht="15" customHeight="1" x14ac:dyDescent="0.25">
      <c r="A468" s="11">
        <v>39</v>
      </c>
      <c r="B468" s="11" t="s">
        <v>43</v>
      </c>
      <c r="C468" s="11" t="s">
        <v>85</v>
      </c>
      <c r="D468" s="11" t="s">
        <v>170</v>
      </c>
      <c r="E468" s="11" t="s">
        <v>107</v>
      </c>
      <c r="F468" s="11" t="s">
        <v>171</v>
      </c>
      <c r="G468" s="11" t="s">
        <v>106</v>
      </c>
      <c r="H468" s="11" t="s">
        <v>172</v>
      </c>
      <c r="I468" s="11" t="s">
        <v>117</v>
      </c>
      <c r="J468" s="11">
        <v>1</v>
      </c>
      <c r="K468" s="11">
        <v>3</v>
      </c>
      <c r="L468" s="11">
        <v>3</v>
      </c>
      <c r="M468" s="11">
        <v>5</v>
      </c>
      <c r="N468" s="11">
        <v>11</v>
      </c>
    </row>
    <row r="469" spans="1:14" ht="15" customHeight="1" x14ac:dyDescent="0.25">
      <c r="A469" s="11">
        <v>39</v>
      </c>
      <c r="B469" s="11" t="s">
        <v>43</v>
      </c>
      <c r="C469" s="11" t="s">
        <v>86</v>
      </c>
      <c r="D469" s="11" t="s">
        <v>173</v>
      </c>
      <c r="E469" s="11" t="s">
        <v>108</v>
      </c>
      <c r="F469" s="11" t="s">
        <v>174</v>
      </c>
      <c r="G469" s="11" t="s">
        <v>118</v>
      </c>
      <c r="H469" s="11" t="s">
        <v>175</v>
      </c>
      <c r="I469" s="11" t="s">
        <v>109</v>
      </c>
      <c r="J469" s="11">
        <v>1</v>
      </c>
      <c r="K469" s="11">
        <v>7</v>
      </c>
      <c r="L469" s="11">
        <v>0</v>
      </c>
      <c r="M469" s="11">
        <v>3</v>
      </c>
      <c r="N469" s="11">
        <v>10</v>
      </c>
    </row>
    <row r="470" spans="1:14" ht="15" customHeight="1" x14ac:dyDescent="0.25">
      <c r="A470" s="11">
        <v>40</v>
      </c>
      <c r="B470" s="11" t="s">
        <v>51</v>
      </c>
      <c r="C470" s="11" t="s">
        <v>75</v>
      </c>
      <c r="D470" s="11" t="s">
        <v>141</v>
      </c>
      <c r="E470" s="11" t="s">
        <v>95</v>
      </c>
      <c r="F470" s="11" t="s">
        <v>142</v>
      </c>
      <c r="G470" s="11" t="s">
        <v>110</v>
      </c>
      <c r="H470" s="11" t="s">
        <v>140</v>
      </c>
      <c r="I470" s="11" t="s">
        <v>94</v>
      </c>
      <c r="J470" s="11">
        <v>1</v>
      </c>
      <c r="K470" s="11">
        <v>3</v>
      </c>
      <c r="L470" s="11">
        <v>0</v>
      </c>
      <c r="M470" s="11">
        <v>3</v>
      </c>
      <c r="N470" s="11">
        <v>6</v>
      </c>
    </row>
    <row r="471" spans="1:14" ht="15" customHeight="1" x14ac:dyDescent="0.25">
      <c r="A471" s="11">
        <v>40</v>
      </c>
      <c r="B471" s="11" t="s">
        <v>51</v>
      </c>
      <c r="C471" s="11" t="s">
        <v>76</v>
      </c>
      <c r="D471" s="11" t="s">
        <v>143</v>
      </c>
      <c r="E471" s="11" t="s">
        <v>97</v>
      </c>
      <c r="F471" s="11" t="s">
        <v>144</v>
      </c>
      <c r="G471" s="11" t="s">
        <v>96</v>
      </c>
      <c r="H471" s="11" t="s">
        <v>178</v>
      </c>
      <c r="I471" s="11" t="s">
        <v>121</v>
      </c>
      <c r="J471" s="11">
        <v>1</v>
      </c>
      <c r="K471" s="11">
        <v>3</v>
      </c>
      <c r="L471" s="11">
        <v>3</v>
      </c>
      <c r="M471" s="11">
        <v>0</v>
      </c>
      <c r="N471" s="11">
        <v>6</v>
      </c>
    </row>
    <row r="472" spans="1:14" ht="15" customHeight="1" x14ac:dyDescent="0.25">
      <c r="A472" s="11">
        <v>40</v>
      </c>
      <c r="B472" s="11" t="s">
        <v>51</v>
      </c>
      <c r="C472" s="11" t="s">
        <v>77</v>
      </c>
      <c r="D472" s="11" t="s">
        <v>146</v>
      </c>
      <c r="E472" s="11" t="s">
        <v>99</v>
      </c>
      <c r="F472" s="11" t="s">
        <v>148</v>
      </c>
      <c r="G472" s="11" t="s">
        <v>112</v>
      </c>
      <c r="H472" s="11" t="s">
        <v>147</v>
      </c>
      <c r="I472" s="11" t="s">
        <v>98</v>
      </c>
      <c r="J472" s="11">
        <v>1</v>
      </c>
      <c r="K472" s="11">
        <v>3</v>
      </c>
      <c r="L472" s="11">
        <v>3</v>
      </c>
      <c r="M472" s="11">
        <v>3</v>
      </c>
      <c r="N472" s="11">
        <v>9</v>
      </c>
    </row>
    <row r="473" spans="1:14" ht="15" customHeight="1" x14ac:dyDescent="0.25">
      <c r="A473" s="11">
        <v>40</v>
      </c>
      <c r="B473" s="11" t="s">
        <v>51</v>
      </c>
      <c r="C473" s="11" t="s">
        <v>78</v>
      </c>
      <c r="D473" s="11" t="s">
        <v>181</v>
      </c>
      <c r="E473" s="11" t="s">
        <v>101</v>
      </c>
      <c r="F473" s="11" t="s">
        <v>150</v>
      </c>
      <c r="G473" s="11" t="s">
        <v>114</v>
      </c>
      <c r="H473" s="11" t="s">
        <v>149</v>
      </c>
      <c r="I473" s="11" t="s">
        <v>113</v>
      </c>
      <c r="J473" s="11">
        <v>1</v>
      </c>
      <c r="K473" s="11">
        <v>3</v>
      </c>
      <c r="L473" s="11">
        <v>0</v>
      </c>
      <c r="M473" s="11">
        <v>5</v>
      </c>
      <c r="N473" s="11">
        <v>8</v>
      </c>
    </row>
    <row r="474" spans="1:14" ht="15" customHeight="1" x14ac:dyDescent="0.25">
      <c r="A474" s="11">
        <v>40</v>
      </c>
      <c r="B474" s="11" t="s">
        <v>51</v>
      </c>
      <c r="C474" s="11" t="s">
        <v>79</v>
      </c>
      <c r="D474" s="11" t="s">
        <v>152</v>
      </c>
      <c r="E474" s="11" t="s">
        <v>102</v>
      </c>
      <c r="F474" s="11" t="s">
        <v>154</v>
      </c>
      <c r="G474" s="11" t="s">
        <v>103</v>
      </c>
      <c r="H474" s="11" t="s">
        <v>179</v>
      </c>
      <c r="I474" s="11" t="s">
        <v>122</v>
      </c>
      <c r="J474" s="11">
        <v>1</v>
      </c>
      <c r="K474" s="11">
        <v>7</v>
      </c>
      <c r="L474" s="11">
        <v>6</v>
      </c>
      <c r="M474" s="11">
        <v>0</v>
      </c>
      <c r="N474" s="11">
        <v>13</v>
      </c>
    </row>
    <row r="475" spans="1:14" ht="15" customHeight="1" x14ac:dyDescent="0.25">
      <c r="A475" s="11">
        <v>40</v>
      </c>
      <c r="B475" s="11" t="s">
        <v>51</v>
      </c>
      <c r="C475" s="11" t="s">
        <v>80</v>
      </c>
      <c r="D475" s="11" t="s">
        <v>155</v>
      </c>
      <c r="E475" s="11" t="s">
        <v>104</v>
      </c>
      <c r="F475" s="11" t="s">
        <v>157</v>
      </c>
      <c r="G475" s="11" t="s">
        <v>116</v>
      </c>
      <c r="H475" s="11" t="s">
        <v>156</v>
      </c>
      <c r="I475" s="11" t="s">
        <v>105</v>
      </c>
      <c r="J475" s="11">
        <v>1</v>
      </c>
      <c r="K475" s="11">
        <v>7</v>
      </c>
      <c r="L475" s="11">
        <v>3</v>
      </c>
      <c r="M475" s="11">
        <v>3</v>
      </c>
      <c r="N475" s="11">
        <v>13</v>
      </c>
    </row>
    <row r="476" spans="1:14" ht="15" customHeight="1" x14ac:dyDescent="0.25">
      <c r="A476" s="11">
        <v>40</v>
      </c>
      <c r="B476" s="11" t="s">
        <v>51</v>
      </c>
      <c r="C476" s="11" t="s">
        <v>81</v>
      </c>
      <c r="D476" s="11" t="s">
        <v>158</v>
      </c>
      <c r="E476" s="11" t="s">
        <v>68</v>
      </c>
      <c r="F476" s="11" t="s">
        <v>182</v>
      </c>
      <c r="G476" s="11" t="s">
        <v>72</v>
      </c>
      <c r="H476" s="11" t="s">
        <v>159</v>
      </c>
      <c r="I476" s="11" t="s">
        <v>73</v>
      </c>
      <c r="J476" s="11">
        <v>1</v>
      </c>
      <c r="K476" s="11">
        <v>3</v>
      </c>
      <c r="L476" s="11">
        <v>0</v>
      </c>
      <c r="M476" s="11">
        <v>3</v>
      </c>
      <c r="N476" s="11">
        <v>6</v>
      </c>
    </row>
    <row r="477" spans="1:14" ht="15" customHeight="1" x14ac:dyDescent="0.25">
      <c r="A477" s="11">
        <v>40</v>
      </c>
      <c r="B477" s="11" t="s">
        <v>51</v>
      </c>
      <c r="C477" s="11" t="s">
        <v>82</v>
      </c>
      <c r="D477" s="11" t="s">
        <v>162</v>
      </c>
      <c r="E477" s="11" t="s">
        <v>70</v>
      </c>
      <c r="F477" s="11" t="s">
        <v>161</v>
      </c>
      <c r="G477" s="11" t="s">
        <v>66</v>
      </c>
      <c r="H477" s="11" t="s">
        <v>163</v>
      </c>
      <c r="I477" s="11" t="s">
        <v>67</v>
      </c>
      <c r="J477" s="11">
        <v>1</v>
      </c>
      <c r="K477" s="11">
        <v>3</v>
      </c>
      <c r="L477" s="11">
        <v>3</v>
      </c>
      <c r="M477" s="11">
        <v>0</v>
      </c>
      <c r="N477" s="11">
        <v>6</v>
      </c>
    </row>
    <row r="478" spans="1:14" ht="15" customHeight="1" x14ac:dyDescent="0.25">
      <c r="A478" s="11">
        <v>40</v>
      </c>
      <c r="B478" s="11" t="s">
        <v>51</v>
      </c>
      <c r="C478" s="11" t="s">
        <v>83</v>
      </c>
      <c r="D478" s="11" t="s">
        <v>164</v>
      </c>
      <c r="E478" s="11" t="s">
        <v>35</v>
      </c>
      <c r="F478" s="11" t="s">
        <v>165</v>
      </c>
      <c r="G478" s="11" t="s">
        <v>44</v>
      </c>
      <c r="H478" s="11" t="s">
        <v>166</v>
      </c>
      <c r="I478" s="11" t="s">
        <v>45</v>
      </c>
      <c r="J478" s="11">
        <v>1</v>
      </c>
      <c r="K478" s="11">
        <v>7</v>
      </c>
      <c r="L478" s="11">
        <v>6</v>
      </c>
      <c r="M478" s="11">
        <v>0</v>
      </c>
      <c r="N478" s="11">
        <v>13</v>
      </c>
    </row>
    <row r="479" spans="1:14" ht="15" customHeight="1" x14ac:dyDescent="0.25">
      <c r="A479" s="11">
        <v>40</v>
      </c>
      <c r="B479" s="11" t="s">
        <v>51</v>
      </c>
      <c r="C479" s="11" t="s">
        <v>84</v>
      </c>
      <c r="D479" s="11" t="s">
        <v>167</v>
      </c>
      <c r="E479" s="11" t="s">
        <v>23</v>
      </c>
      <c r="F479" s="11" t="s">
        <v>168</v>
      </c>
      <c r="G479" s="11" t="s">
        <v>24</v>
      </c>
      <c r="H479" s="11" t="s">
        <v>186</v>
      </c>
      <c r="I479" s="11" t="s">
        <v>56</v>
      </c>
      <c r="J479" s="11">
        <v>1</v>
      </c>
      <c r="K479" s="11">
        <v>7</v>
      </c>
      <c r="L479" s="11">
        <v>6</v>
      </c>
      <c r="M479" s="11">
        <v>0</v>
      </c>
      <c r="N479" s="11">
        <v>13</v>
      </c>
    </row>
    <row r="480" spans="1:14" ht="15" customHeight="1" x14ac:dyDescent="0.25">
      <c r="A480" s="11">
        <v>40</v>
      </c>
      <c r="B480" s="11" t="s">
        <v>51</v>
      </c>
      <c r="C480" s="11" t="s">
        <v>85</v>
      </c>
      <c r="D480" s="11" t="s">
        <v>170</v>
      </c>
      <c r="E480" s="11" t="s">
        <v>107</v>
      </c>
      <c r="F480" s="11" t="s">
        <v>171</v>
      </c>
      <c r="G480" s="11" t="s">
        <v>106</v>
      </c>
      <c r="H480" s="11" t="s">
        <v>172</v>
      </c>
      <c r="I480" s="11" t="s">
        <v>117</v>
      </c>
      <c r="J480" s="11">
        <v>1</v>
      </c>
      <c r="K480" s="11">
        <v>3</v>
      </c>
      <c r="L480" s="11">
        <v>3</v>
      </c>
      <c r="M480" s="11">
        <v>5</v>
      </c>
      <c r="N480" s="11">
        <v>11</v>
      </c>
    </row>
    <row r="481" spans="1:14" ht="15" customHeight="1" x14ac:dyDescent="0.25">
      <c r="A481" s="11">
        <v>40</v>
      </c>
      <c r="B481" s="11" t="s">
        <v>51</v>
      </c>
      <c r="C481" s="11" t="s">
        <v>86</v>
      </c>
      <c r="D481" s="11" t="s">
        <v>173</v>
      </c>
      <c r="E481" s="11" t="s">
        <v>108</v>
      </c>
      <c r="F481" s="11" t="s">
        <v>174</v>
      </c>
      <c r="G481" s="11" t="s">
        <v>118</v>
      </c>
      <c r="H481" s="11" t="s">
        <v>177</v>
      </c>
      <c r="I481" s="11" t="s">
        <v>120</v>
      </c>
      <c r="J481" s="11">
        <v>1</v>
      </c>
      <c r="K481" s="11">
        <v>7</v>
      </c>
      <c r="L481" s="11">
        <v>0</v>
      </c>
      <c r="M481" s="11">
        <v>0</v>
      </c>
      <c r="N481" s="11">
        <v>7</v>
      </c>
    </row>
    <row r="482" spans="1:14" ht="15" customHeight="1" x14ac:dyDescent="0.25">
      <c r="A482" s="11">
        <v>41</v>
      </c>
      <c r="B482" s="11" t="s">
        <v>65</v>
      </c>
      <c r="C482" s="11" t="s">
        <v>75</v>
      </c>
      <c r="D482" s="11" t="s">
        <v>141</v>
      </c>
      <c r="E482" s="11" t="s">
        <v>95</v>
      </c>
      <c r="F482" s="11" t="s">
        <v>176</v>
      </c>
      <c r="G482" s="11" t="s">
        <v>119</v>
      </c>
      <c r="H482" s="11" t="s">
        <v>140</v>
      </c>
      <c r="I482" s="11" t="s">
        <v>94</v>
      </c>
      <c r="J482" s="11">
        <v>1</v>
      </c>
      <c r="K482" s="11">
        <v>3</v>
      </c>
      <c r="L482" s="11">
        <v>3</v>
      </c>
      <c r="M482" s="11">
        <v>3</v>
      </c>
      <c r="N482" s="11">
        <v>9</v>
      </c>
    </row>
    <row r="483" spans="1:14" ht="15" customHeight="1" x14ac:dyDescent="0.25">
      <c r="A483" s="11">
        <v>41</v>
      </c>
      <c r="B483" s="11" t="s">
        <v>65</v>
      </c>
      <c r="C483" s="11" t="s">
        <v>76</v>
      </c>
      <c r="D483" s="11" t="s">
        <v>144</v>
      </c>
      <c r="E483" s="11" t="s">
        <v>96</v>
      </c>
      <c r="F483" s="11" t="s">
        <v>143</v>
      </c>
      <c r="G483" s="11" t="s">
        <v>97</v>
      </c>
      <c r="H483" s="11" t="s">
        <v>145</v>
      </c>
      <c r="I483" s="11" t="s">
        <v>111</v>
      </c>
      <c r="J483" s="11">
        <v>1</v>
      </c>
      <c r="K483" s="11">
        <v>7</v>
      </c>
      <c r="L483" s="11">
        <v>6</v>
      </c>
      <c r="M483" s="11">
        <v>0</v>
      </c>
      <c r="N483" s="11">
        <v>13</v>
      </c>
    </row>
    <row r="484" spans="1:14" ht="15" customHeight="1" x14ac:dyDescent="0.25">
      <c r="A484" s="11">
        <v>41</v>
      </c>
      <c r="B484" s="11" t="s">
        <v>65</v>
      </c>
      <c r="C484" s="11" t="s">
        <v>77</v>
      </c>
      <c r="D484" s="11" t="s">
        <v>147</v>
      </c>
      <c r="E484" s="11" t="s">
        <v>98</v>
      </c>
      <c r="F484" s="11" t="s">
        <v>146</v>
      </c>
      <c r="G484" s="11" t="s">
        <v>99</v>
      </c>
      <c r="H484" s="11" t="s">
        <v>148</v>
      </c>
      <c r="I484" s="11" t="s">
        <v>112</v>
      </c>
      <c r="J484" s="11">
        <v>1</v>
      </c>
      <c r="K484" s="11">
        <v>7</v>
      </c>
      <c r="L484" s="11">
        <v>6</v>
      </c>
      <c r="M484" s="11">
        <v>5</v>
      </c>
      <c r="N484" s="11">
        <v>18</v>
      </c>
    </row>
    <row r="485" spans="1:14" ht="15" customHeight="1" x14ac:dyDescent="0.25">
      <c r="A485" s="11">
        <v>41</v>
      </c>
      <c r="B485" s="11" t="s">
        <v>65</v>
      </c>
      <c r="C485" s="11" t="s">
        <v>78</v>
      </c>
      <c r="D485" s="11" t="s">
        <v>149</v>
      </c>
      <c r="E485" s="11" t="s">
        <v>113</v>
      </c>
      <c r="F485" s="11" t="s">
        <v>150</v>
      </c>
      <c r="G485" s="11" t="s">
        <v>114</v>
      </c>
      <c r="H485" s="11" t="s">
        <v>151</v>
      </c>
      <c r="I485" s="11" t="s">
        <v>100</v>
      </c>
      <c r="J485" s="11">
        <v>1</v>
      </c>
      <c r="K485" s="11">
        <v>3</v>
      </c>
      <c r="L485" s="11">
        <v>0</v>
      </c>
      <c r="M485" s="11">
        <v>3</v>
      </c>
      <c r="N485" s="11">
        <v>6</v>
      </c>
    </row>
    <row r="486" spans="1:14" ht="15" customHeight="1" x14ac:dyDescent="0.25">
      <c r="A486" s="11">
        <v>41</v>
      </c>
      <c r="B486" s="11" t="s">
        <v>65</v>
      </c>
      <c r="C486" s="11" t="s">
        <v>79</v>
      </c>
      <c r="D486" s="11" t="s">
        <v>152</v>
      </c>
      <c r="E486" s="11" t="s">
        <v>102</v>
      </c>
      <c r="F486" s="11" t="s">
        <v>153</v>
      </c>
      <c r="G486" s="11" t="s">
        <v>115</v>
      </c>
      <c r="H486" s="11" t="s">
        <v>154</v>
      </c>
      <c r="I486" s="11" t="s">
        <v>103</v>
      </c>
      <c r="J486" s="11">
        <v>1</v>
      </c>
      <c r="K486" s="11">
        <v>7</v>
      </c>
      <c r="L486" s="11">
        <v>3</v>
      </c>
      <c r="M486" s="11">
        <v>3</v>
      </c>
      <c r="N486" s="11">
        <v>13</v>
      </c>
    </row>
    <row r="487" spans="1:14" ht="15" customHeight="1" x14ac:dyDescent="0.25">
      <c r="A487" s="11">
        <v>41</v>
      </c>
      <c r="B487" s="11" t="s">
        <v>65</v>
      </c>
      <c r="C487" s="11" t="s">
        <v>80</v>
      </c>
      <c r="D487" s="11" t="s">
        <v>155</v>
      </c>
      <c r="E487" s="11" t="s">
        <v>104</v>
      </c>
      <c r="F487" s="11" t="s">
        <v>156</v>
      </c>
      <c r="G487" s="11" t="s">
        <v>105</v>
      </c>
      <c r="H487" s="11" t="s">
        <v>157</v>
      </c>
      <c r="I487" s="11" t="s">
        <v>116</v>
      </c>
      <c r="J487" s="11">
        <v>1</v>
      </c>
      <c r="K487" s="11">
        <v>7</v>
      </c>
      <c r="L487" s="11">
        <v>6</v>
      </c>
      <c r="M487" s="11">
        <v>5</v>
      </c>
      <c r="N487" s="11">
        <v>18</v>
      </c>
    </row>
    <row r="488" spans="1:14" ht="15" customHeight="1" x14ac:dyDescent="0.25">
      <c r="A488" s="11">
        <v>41</v>
      </c>
      <c r="B488" s="11" t="s">
        <v>65</v>
      </c>
      <c r="C488" s="11" t="s">
        <v>81</v>
      </c>
      <c r="D488" s="11" t="s">
        <v>158</v>
      </c>
      <c r="E488" s="11" t="s">
        <v>68</v>
      </c>
      <c r="F488" s="11" t="s">
        <v>159</v>
      </c>
      <c r="G488" s="11" t="s">
        <v>73</v>
      </c>
      <c r="H488" s="11" t="s">
        <v>160</v>
      </c>
      <c r="I488" s="11" t="s">
        <v>69</v>
      </c>
      <c r="J488" s="11">
        <v>1</v>
      </c>
      <c r="K488" s="11">
        <v>3</v>
      </c>
      <c r="L488" s="11">
        <v>3</v>
      </c>
      <c r="M488" s="11">
        <v>3</v>
      </c>
      <c r="N488" s="11">
        <v>9</v>
      </c>
    </row>
    <row r="489" spans="1:14" ht="15" customHeight="1" x14ac:dyDescent="0.25">
      <c r="A489" s="11">
        <v>41</v>
      </c>
      <c r="B489" s="11" t="s">
        <v>65</v>
      </c>
      <c r="C489" s="11" t="s">
        <v>82</v>
      </c>
      <c r="D489" s="11" t="s">
        <v>161</v>
      </c>
      <c r="E489" s="11" t="s">
        <v>66</v>
      </c>
      <c r="F489" s="11" t="s">
        <v>162</v>
      </c>
      <c r="G489" s="11" t="s">
        <v>70</v>
      </c>
      <c r="H489" s="11" t="s">
        <v>163</v>
      </c>
      <c r="I489" s="11" t="s">
        <v>67</v>
      </c>
      <c r="J489" s="11">
        <v>1</v>
      </c>
      <c r="K489" s="11">
        <v>7</v>
      </c>
      <c r="L489" s="11">
        <v>6</v>
      </c>
      <c r="M489" s="11">
        <v>0</v>
      </c>
      <c r="N489" s="11">
        <v>13</v>
      </c>
    </row>
    <row r="490" spans="1:14" ht="15" customHeight="1" x14ac:dyDescent="0.25">
      <c r="A490" s="11">
        <v>41</v>
      </c>
      <c r="B490" s="11" t="s">
        <v>65</v>
      </c>
      <c r="C490" s="11" t="s">
        <v>83</v>
      </c>
      <c r="D490" s="11" t="s">
        <v>164</v>
      </c>
      <c r="E490" s="11" t="s">
        <v>35</v>
      </c>
      <c r="F490" s="11" t="s">
        <v>165</v>
      </c>
      <c r="G490" s="11" t="s">
        <v>44</v>
      </c>
      <c r="H490" s="11" t="s">
        <v>166</v>
      </c>
      <c r="I490" s="11" t="s">
        <v>45</v>
      </c>
      <c r="J490" s="11">
        <v>1</v>
      </c>
      <c r="K490" s="11">
        <v>7</v>
      </c>
      <c r="L490" s="11">
        <v>6</v>
      </c>
      <c r="M490" s="11">
        <v>0</v>
      </c>
      <c r="N490" s="11">
        <v>13</v>
      </c>
    </row>
    <row r="491" spans="1:14" ht="15" customHeight="1" x14ac:dyDescent="0.25">
      <c r="A491" s="11">
        <v>41</v>
      </c>
      <c r="B491" s="11" t="s">
        <v>65</v>
      </c>
      <c r="C491" s="11" t="s">
        <v>84</v>
      </c>
      <c r="D491" s="11" t="s">
        <v>167</v>
      </c>
      <c r="E491" s="11" t="s">
        <v>23</v>
      </c>
      <c r="F491" s="11" t="s">
        <v>168</v>
      </c>
      <c r="G491" s="11" t="s">
        <v>24</v>
      </c>
      <c r="H491" s="11" t="s">
        <v>169</v>
      </c>
      <c r="I491" s="11" t="s">
        <v>57</v>
      </c>
      <c r="J491" s="11">
        <v>1</v>
      </c>
      <c r="K491" s="11">
        <v>7</v>
      </c>
      <c r="L491" s="11">
        <v>6</v>
      </c>
      <c r="M491" s="11">
        <v>0</v>
      </c>
      <c r="N491" s="11">
        <v>13</v>
      </c>
    </row>
    <row r="492" spans="1:14" ht="15" customHeight="1" x14ac:dyDescent="0.25">
      <c r="A492" s="11">
        <v>41</v>
      </c>
      <c r="B492" s="11" t="s">
        <v>65</v>
      </c>
      <c r="C492" s="11" t="s">
        <v>85</v>
      </c>
      <c r="D492" s="11" t="s">
        <v>170</v>
      </c>
      <c r="E492" s="11" t="s">
        <v>107</v>
      </c>
      <c r="F492" s="11" t="s">
        <v>171</v>
      </c>
      <c r="G492" s="11" t="s">
        <v>106</v>
      </c>
      <c r="H492" s="11" t="s">
        <v>180</v>
      </c>
      <c r="I492" s="11" t="s">
        <v>123</v>
      </c>
      <c r="J492" s="11">
        <v>1</v>
      </c>
      <c r="K492" s="11">
        <v>3</v>
      </c>
      <c r="L492" s="11">
        <v>3</v>
      </c>
      <c r="M492" s="11">
        <v>0</v>
      </c>
      <c r="N492" s="11">
        <v>6</v>
      </c>
    </row>
    <row r="493" spans="1:14" ht="15" customHeight="1" x14ac:dyDescent="0.25">
      <c r="A493" s="11">
        <v>41</v>
      </c>
      <c r="B493" s="11" t="s">
        <v>65</v>
      </c>
      <c r="C493" s="11" t="s">
        <v>86</v>
      </c>
      <c r="D493" s="11" t="s">
        <v>173</v>
      </c>
      <c r="E493" s="11" t="s">
        <v>108</v>
      </c>
      <c r="F493" s="11" t="s">
        <v>174</v>
      </c>
      <c r="G493" s="11" t="s">
        <v>118</v>
      </c>
      <c r="H493" s="11" t="s">
        <v>177</v>
      </c>
      <c r="I493" s="11" t="s">
        <v>120</v>
      </c>
      <c r="J493" s="11">
        <v>1</v>
      </c>
      <c r="K493" s="11">
        <v>7</v>
      </c>
      <c r="L493" s="11">
        <v>0</v>
      </c>
      <c r="M493" s="11">
        <v>0</v>
      </c>
      <c r="N493" s="11">
        <v>7</v>
      </c>
    </row>
    <row r="494" spans="1:14" ht="15" customHeight="1" x14ac:dyDescent="0.25">
      <c r="A494" s="11">
        <v>42</v>
      </c>
      <c r="B494" s="11" t="s">
        <v>12</v>
      </c>
      <c r="C494" s="11" t="s">
        <v>75</v>
      </c>
      <c r="D494" s="11" t="s">
        <v>140</v>
      </c>
      <c r="E494" s="11" t="s">
        <v>94</v>
      </c>
      <c r="F494" s="11" t="s">
        <v>141</v>
      </c>
      <c r="G494" s="11" t="s">
        <v>95</v>
      </c>
      <c r="H494" s="11" t="s">
        <v>176</v>
      </c>
      <c r="I494" s="11" t="s">
        <v>119</v>
      </c>
      <c r="J494" s="11">
        <v>1</v>
      </c>
      <c r="K494" s="11">
        <v>7</v>
      </c>
      <c r="L494" s="11">
        <v>6</v>
      </c>
      <c r="M494" s="11">
        <v>5</v>
      </c>
      <c r="N494" s="11">
        <v>18</v>
      </c>
    </row>
    <row r="495" spans="1:14" ht="15" customHeight="1" x14ac:dyDescent="0.25">
      <c r="A495" s="11">
        <v>42</v>
      </c>
      <c r="B495" s="11" t="s">
        <v>12</v>
      </c>
      <c r="C495" s="11" t="s">
        <v>76</v>
      </c>
      <c r="D495" s="11" t="s">
        <v>144</v>
      </c>
      <c r="E495" s="11" t="s">
        <v>96</v>
      </c>
      <c r="F495" s="11" t="s">
        <v>143</v>
      </c>
      <c r="G495" s="11" t="s">
        <v>97</v>
      </c>
      <c r="H495" s="11" t="s">
        <v>178</v>
      </c>
      <c r="I495" s="11" t="s">
        <v>121</v>
      </c>
      <c r="J495" s="11">
        <v>1</v>
      </c>
      <c r="K495" s="11">
        <v>7</v>
      </c>
      <c r="L495" s="11">
        <v>6</v>
      </c>
      <c r="M495" s="11">
        <v>0</v>
      </c>
      <c r="N495" s="11">
        <v>13</v>
      </c>
    </row>
    <row r="496" spans="1:14" ht="15" customHeight="1" x14ac:dyDescent="0.25">
      <c r="A496" s="11">
        <v>42</v>
      </c>
      <c r="B496" s="11" t="s">
        <v>12</v>
      </c>
      <c r="C496" s="11" t="s">
        <v>77</v>
      </c>
      <c r="D496" s="11" t="s">
        <v>147</v>
      </c>
      <c r="E496" s="11" t="s">
        <v>98</v>
      </c>
      <c r="F496" s="11" t="s">
        <v>146</v>
      </c>
      <c r="G496" s="11" t="s">
        <v>99</v>
      </c>
      <c r="H496" s="11" t="s">
        <v>148</v>
      </c>
      <c r="I496" s="11" t="s">
        <v>112</v>
      </c>
      <c r="J496" s="11">
        <v>1</v>
      </c>
      <c r="K496" s="11">
        <v>7</v>
      </c>
      <c r="L496" s="11">
        <v>6</v>
      </c>
      <c r="M496" s="11">
        <v>5</v>
      </c>
      <c r="N496" s="11">
        <v>18</v>
      </c>
    </row>
    <row r="497" spans="1:14" ht="15" customHeight="1" x14ac:dyDescent="0.25">
      <c r="A497" s="11">
        <v>42</v>
      </c>
      <c r="B497" s="11" t="s">
        <v>12</v>
      </c>
      <c r="C497" s="11" t="s">
        <v>78</v>
      </c>
      <c r="D497" s="11" t="s">
        <v>151</v>
      </c>
      <c r="E497" s="11" t="s">
        <v>100</v>
      </c>
      <c r="F497" s="11" t="s">
        <v>150</v>
      </c>
      <c r="G497" s="11" t="s">
        <v>114</v>
      </c>
      <c r="H497" s="11" t="s">
        <v>149</v>
      </c>
      <c r="I497" s="11" t="s">
        <v>113</v>
      </c>
      <c r="J497" s="11">
        <v>1</v>
      </c>
      <c r="K497" s="11">
        <v>7</v>
      </c>
      <c r="L497" s="11">
        <v>0</v>
      </c>
      <c r="M497" s="11">
        <v>5</v>
      </c>
      <c r="N497" s="11">
        <v>12</v>
      </c>
    </row>
    <row r="498" spans="1:14" ht="15" customHeight="1" x14ac:dyDescent="0.25">
      <c r="A498" s="11">
        <v>42</v>
      </c>
      <c r="B498" s="11" t="s">
        <v>12</v>
      </c>
      <c r="C498" s="11" t="s">
        <v>79</v>
      </c>
      <c r="D498" s="11" t="s">
        <v>153</v>
      </c>
      <c r="E498" s="11" t="s">
        <v>115</v>
      </c>
      <c r="F498" s="11" t="s">
        <v>152</v>
      </c>
      <c r="G498" s="11" t="s">
        <v>102</v>
      </c>
      <c r="H498" s="11" t="s">
        <v>154</v>
      </c>
      <c r="I498" s="11" t="s">
        <v>103</v>
      </c>
      <c r="J498" s="11">
        <v>1</v>
      </c>
      <c r="K498" s="11">
        <v>3</v>
      </c>
      <c r="L498" s="11">
        <v>3</v>
      </c>
      <c r="M498" s="11">
        <v>3</v>
      </c>
      <c r="N498" s="11">
        <v>9</v>
      </c>
    </row>
    <row r="499" spans="1:14" ht="15" customHeight="1" x14ac:dyDescent="0.25">
      <c r="A499" s="11">
        <v>42</v>
      </c>
      <c r="B499" s="11" t="s">
        <v>12</v>
      </c>
      <c r="C499" s="11" t="s">
        <v>80</v>
      </c>
      <c r="D499" s="11" t="s">
        <v>155</v>
      </c>
      <c r="E499" s="11" t="s">
        <v>104</v>
      </c>
      <c r="F499" s="11" t="s">
        <v>157</v>
      </c>
      <c r="G499" s="11" t="s">
        <v>116</v>
      </c>
      <c r="H499" s="11" t="s">
        <v>156</v>
      </c>
      <c r="I499" s="11" t="s">
        <v>105</v>
      </c>
      <c r="J499" s="11">
        <v>1</v>
      </c>
      <c r="K499" s="11">
        <v>7</v>
      </c>
      <c r="L499" s="11">
        <v>3</v>
      </c>
      <c r="M499" s="11">
        <v>3</v>
      </c>
      <c r="N499" s="11">
        <v>13</v>
      </c>
    </row>
    <row r="500" spans="1:14" ht="15" customHeight="1" x14ac:dyDescent="0.25">
      <c r="A500" s="11">
        <v>42</v>
      </c>
      <c r="B500" s="11" t="s">
        <v>12</v>
      </c>
      <c r="C500" s="11" t="s">
        <v>81</v>
      </c>
      <c r="D500" s="11" t="s">
        <v>158</v>
      </c>
      <c r="E500" s="11" t="s">
        <v>68</v>
      </c>
      <c r="F500" s="11" t="s">
        <v>159</v>
      </c>
      <c r="G500" s="11" t="s">
        <v>73</v>
      </c>
      <c r="H500" s="11" t="s">
        <v>182</v>
      </c>
      <c r="I500" s="11" t="s">
        <v>72</v>
      </c>
      <c r="J500" s="11">
        <v>1</v>
      </c>
      <c r="K500" s="11">
        <v>3</v>
      </c>
      <c r="L500" s="11">
        <v>3</v>
      </c>
      <c r="M500" s="11">
        <v>0</v>
      </c>
      <c r="N500" s="11">
        <v>6</v>
      </c>
    </row>
    <row r="501" spans="1:14" ht="15" customHeight="1" x14ac:dyDescent="0.25">
      <c r="A501" s="11">
        <v>42</v>
      </c>
      <c r="B501" s="11" t="s">
        <v>12</v>
      </c>
      <c r="C501" s="11" t="s">
        <v>82</v>
      </c>
      <c r="D501" s="11" t="s">
        <v>161</v>
      </c>
      <c r="E501" s="11" t="s">
        <v>66</v>
      </c>
      <c r="F501" s="11" t="s">
        <v>162</v>
      </c>
      <c r="G501" s="11" t="s">
        <v>70</v>
      </c>
      <c r="H501" s="11" t="s">
        <v>163</v>
      </c>
      <c r="I501" s="11" t="s">
        <v>67</v>
      </c>
      <c r="J501" s="11">
        <v>1</v>
      </c>
      <c r="K501" s="11">
        <v>7</v>
      </c>
      <c r="L501" s="11">
        <v>6</v>
      </c>
      <c r="M501" s="11">
        <v>0</v>
      </c>
      <c r="N501" s="11">
        <v>13</v>
      </c>
    </row>
    <row r="502" spans="1:14" ht="15" customHeight="1" x14ac:dyDescent="0.25">
      <c r="A502" s="11">
        <v>42</v>
      </c>
      <c r="B502" s="11" t="s">
        <v>12</v>
      </c>
      <c r="C502" s="11" t="s">
        <v>83</v>
      </c>
      <c r="D502" s="11" t="s">
        <v>164</v>
      </c>
      <c r="E502" s="11" t="s">
        <v>35</v>
      </c>
      <c r="F502" s="11" t="s">
        <v>165</v>
      </c>
      <c r="G502" s="11" t="s">
        <v>44</v>
      </c>
      <c r="H502" s="11" t="s">
        <v>166</v>
      </c>
      <c r="I502" s="11" t="s">
        <v>45</v>
      </c>
      <c r="J502" s="11">
        <v>1</v>
      </c>
      <c r="K502" s="11">
        <v>7</v>
      </c>
      <c r="L502" s="11">
        <v>6</v>
      </c>
      <c r="M502" s="11">
        <v>0</v>
      </c>
      <c r="N502" s="11">
        <v>13</v>
      </c>
    </row>
    <row r="503" spans="1:14" ht="15" customHeight="1" x14ac:dyDescent="0.25">
      <c r="A503" s="11">
        <v>42</v>
      </c>
      <c r="B503" s="11" t="s">
        <v>12</v>
      </c>
      <c r="C503" s="11" t="s">
        <v>84</v>
      </c>
      <c r="D503" s="11" t="s">
        <v>167</v>
      </c>
      <c r="E503" s="11" t="s">
        <v>23</v>
      </c>
      <c r="F503" s="11" t="s">
        <v>168</v>
      </c>
      <c r="G503" s="11" t="s">
        <v>24</v>
      </c>
      <c r="H503" s="11" t="s">
        <v>169</v>
      </c>
      <c r="I503" s="11" t="s">
        <v>57</v>
      </c>
      <c r="J503" s="11">
        <v>1</v>
      </c>
      <c r="K503" s="11">
        <v>7</v>
      </c>
      <c r="L503" s="11">
        <v>6</v>
      </c>
      <c r="M503" s="11">
        <v>0</v>
      </c>
      <c r="N503" s="11">
        <v>13</v>
      </c>
    </row>
    <row r="504" spans="1:14" ht="15" customHeight="1" x14ac:dyDescent="0.25">
      <c r="A504" s="11">
        <v>42</v>
      </c>
      <c r="B504" s="11" t="s">
        <v>12</v>
      </c>
      <c r="C504" s="11" t="s">
        <v>85</v>
      </c>
      <c r="D504" s="11" t="s">
        <v>170</v>
      </c>
      <c r="E504" s="11" t="s">
        <v>107</v>
      </c>
      <c r="F504" s="11" t="s">
        <v>171</v>
      </c>
      <c r="G504" s="11" t="s">
        <v>106</v>
      </c>
      <c r="H504" s="11" t="s">
        <v>180</v>
      </c>
      <c r="I504" s="11" t="s">
        <v>123</v>
      </c>
      <c r="J504" s="11">
        <v>1</v>
      </c>
      <c r="K504" s="11">
        <v>3</v>
      </c>
      <c r="L504" s="11">
        <v>3</v>
      </c>
      <c r="M504" s="11">
        <v>0</v>
      </c>
      <c r="N504" s="11">
        <v>6</v>
      </c>
    </row>
    <row r="505" spans="1:14" ht="15" customHeight="1" x14ac:dyDescent="0.25">
      <c r="A505" s="11">
        <v>42</v>
      </c>
      <c r="B505" s="11" t="s">
        <v>12</v>
      </c>
      <c r="C505" s="11" t="s">
        <v>86</v>
      </c>
      <c r="D505" s="11" t="s">
        <v>173</v>
      </c>
      <c r="E505" s="11" t="s">
        <v>108</v>
      </c>
      <c r="F505" s="11" t="s">
        <v>174</v>
      </c>
      <c r="G505" s="11" t="s">
        <v>118</v>
      </c>
      <c r="H505" s="11" t="s">
        <v>177</v>
      </c>
      <c r="I505" s="11" t="s">
        <v>120</v>
      </c>
      <c r="J505" s="11">
        <v>1</v>
      </c>
      <c r="K505" s="11">
        <v>7</v>
      </c>
      <c r="L505" s="11">
        <v>0</v>
      </c>
      <c r="M505" s="11">
        <v>0</v>
      </c>
      <c r="N505" s="11">
        <v>7</v>
      </c>
    </row>
    <row r="506" spans="1:14" ht="15" customHeight="1" x14ac:dyDescent="0.25">
      <c r="A506" s="11">
        <v>43</v>
      </c>
      <c r="B506" s="11" t="s">
        <v>16</v>
      </c>
      <c r="C506" s="11" t="s">
        <v>75</v>
      </c>
      <c r="D506" s="11" t="s">
        <v>140</v>
      </c>
      <c r="E506" s="11" t="s">
        <v>94</v>
      </c>
      <c r="F506" s="11" t="s">
        <v>141</v>
      </c>
      <c r="G506" s="11" t="s">
        <v>95</v>
      </c>
      <c r="H506" s="11" t="s">
        <v>176</v>
      </c>
      <c r="I506" s="11" t="s">
        <v>119</v>
      </c>
      <c r="J506" s="11">
        <v>1</v>
      </c>
      <c r="K506" s="11">
        <v>7</v>
      </c>
      <c r="L506" s="11">
        <v>6</v>
      </c>
      <c r="M506" s="11">
        <v>5</v>
      </c>
      <c r="N506" s="11">
        <v>18</v>
      </c>
    </row>
    <row r="507" spans="1:14" ht="15" customHeight="1" x14ac:dyDescent="0.25">
      <c r="A507" s="11">
        <v>43</v>
      </c>
      <c r="B507" s="11" t="s">
        <v>16</v>
      </c>
      <c r="C507" s="11" t="s">
        <v>76</v>
      </c>
      <c r="D507" s="11" t="s">
        <v>143</v>
      </c>
      <c r="E507" s="11" t="s">
        <v>97</v>
      </c>
      <c r="F507" s="11" t="s">
        <v>144</v>
      </c>
      <c r="G507" s="11" t="s">
        <v>96</v>
      </c>
      <c r="H507" s="11" t="s">
        <v>178</v>
      </c>
      <c r="I507" s="11" t="s">
        <v>121</v>
      </c>
      <c r="J507" s="11">
        <v>1</v>
      </c>
      <c r="K507" s="11">
        <v>3</v>
      </c>
      <c r="L507" s="11">
        <v>3</v>
      </c>
      <c r="M507" s="11">
        <v>0</v>
      </c>
      <c r="N507" s="11">
        <v>6</v>
      </c>
    </row>
    <row r="508" spans="1:14" ht="15" customHeight="1" x14ac:dyDescent="0.25">
      <c r="A508" s="11">
        <v>43</v>
      </c>
      <c r="B508" s="11" t="s">
        <v>16</v>
      </c>
      <c r="C508" s="11" t="s">
        <v>77</v>
      </c>
      <c r="D508" s="11" t="s">
        <v>146</v>
      </c>
      <c r="E508" s="11" t="s">
        <v>99</v>
      </c>
      <c r="F508" s="11" t="s">
        <v>147</v>
      </c>
      <c r="G508" s="11" t="s">
        <v>98</v>
      </c>
      <c r="H508" s="11" t="s">
        <v>148</v>
      </c>
      <c r="I508" s="11" t="s">
        <v>112</v>
      </c>
      <c r="J508" s="11">
        <v>1</v>
      </c>
      <c r="K508" s="11">
        <v>3</v>
      </c>
      <c r="L508" s="11">
        <v>3</v>
      </c>
      <c r="M508" s="11">
        <v>5</v>
      </c>
      <c r="N508" s="11">
        <v>11</v>
      </c>
    </row>
    <row r="509" spans="1:14" ht="15" customHeight="1" x14ac:dyDescent="0.25">
      <c r="A509" s="11">
        <v>43</v>
      </c>
      <c r="B509" s="11" t="s">
        <v>16</v>
      </c>
      <c r="C509" s="11" t="s">
        <v>78</v>
      </c>
      <c r="D509" s="11" t="s">
        <v>150</v>
      </c>
      <c r="E509" s="11" t="s">
        <v>114</v>
      </c>
      <c r="F509" s="11" t="s">
        <v>151</v>
      </c>
      <c r="G509" s="11" t="s">
        <v>100</v>
      </c>
      <c r="H509" s="11" t="s">
        <v>149</v>
      </c>
      <c r="I509" s="11" t="s">
        <v>113</v>
      </c>
      <c r="J509" s="11">
        <v>1</v>
      </c>
      <c r="K509" s="11">
        <v>0</v>
      </c>
      <c r="L509" s="11">
        <v>3</v>
      </c>
      <c r="M509" s="11">
        <v>5</v>
      </c>
      <c r="N509" s="11">
        <v>8</v>
      </c>
    </row>
    <row r="510" spans="1:14" ht="15" customHeight="1" x14ac:dyDescent="0.25">
      <c r="A510" s="11">
        <v>43</v>
      </c>
      <c r="B510" s="11" t="s">
        <v>16</v>
      </c>
      <c r="C510" s="11" t="s">
        <v>79</v>
      </c>
      <c r="D510" s="11" t="s">
        <v>152</v>
      </c>
      <c r="E510" s="11" t="s">
        <v>102</v>
      </c>
      <c r="F510" s="11" t="s">
        <v>153</v>
      </c>
      <c r="G510" s="11" t="s">
        <v>115</v>
      </c>
      <c r="H510" s="11" t="s">
        <v>154</v>
      </c>
      <c r="I510" s="11" t="s">
        <v>103</v>
      </c>
      <c r="J510" s="11">
        <v>1</v>
      </c>
      <c r="K510" s="11">
        <v>7</v>
      </c>
      <c r="L510" s="11">
        <v>3</v>
      </c>
      <c r="M510" s="11">
        <v>3</v>
      </c>
      <c r="N510" s="11">
        <v>13</v>
      </c>
    </row>
    <row r="511" spans="1:14" ht="15" customHeight="1" x14ac:dyDescent="0.25">
      <c r="A511" s="11">
        <v>43</v>
      </c>
      <c r="B511" s="11" t="s">
        <v>16</v>
      </c>
      <c r="C511" s="11" t="s">
        <v>80</v>
      </c>
      <c r="D511" s="11" t="s">
        <v>155</v>
      </c>
      <c r="E511" s="11" t="s">
        <v>104</v>
      </c>
      <c r="F511" s="11" t="s">
        <v>156</v>
      </c>
      <c r="G511" s="11" t="s">
        <v>105</v>
      </c>
      <c r="H511" s="11" t="s">
        <v>157</v>
      </c>
      <c r="I511" s="11" t="s">
        <v>116</v>
      </c>
      <c r="J511" s="11">
        <v>1</v>
      </c>
      <c r="K511" s="11">
        <v>7</v>
      </c>
      <c r="L511" s="11">
        <v>6</v>
      </c>
      <c r="M511" s="11">
        <v>5</v>
      </c>
      <c r="N511" s="11">
        <v>18</v>
      </c>
    </row>
    <row r="512" spans="1:14" ht="15" customHeight="1" x14ac:dyDescent="0.25">
      <c r="A512" s="11">
        <v>43</v>
      </c>
      <c r="B512" s="11" t="s">
        <v>16</v>
      </c>
      <c r="C512" s="11" t="s">
        <v>81</v>
      </c>
      <c r="D512" s="11" t="s">
        <v>158</v>
      </c>
      <c r="E512" s="11" t="s">
        <v>68</v>
      </c>
      <c r="F512" s="11" t="s">
        <v>159</v>
      </c>
      <c r="G512" s="11" t="s">
        <v>73</v>
      </c>
      <c r="H512" s="11" t="s">
        <v>160</v>
      </c>
      <c r="I512" s="11" t="s">
        <v>69</v>
      </c>
      <c r="J512" s="11">
        <v>1</v>
      </c>
      <c r="K512" s="11">
        <v>3</v>
      </c>
      <c r="L512" s="11">
        <v>3</v>
      </c>
      <c r="M512" s="11">
        <v>3</v>
      </c>
      <c r="N512" s="11">
        <v>9</v>
      </c>
    </row>
    <row r="513" spans="1:14" ht="15" customHeight="1" x14ac:dyDescent="0.25">
      <c r="A513" s="11">
        <v>43</v>
      </c>
      <c r="B513" s="11" t="s">
        <v>16</v>
      </c>
      <c r="C513" s="11" t="s">
        <v>82</v>
      </c>
      <c r="D513" s="11" t="s">
        <v>161</v>
      </c>
      <c r="E513" s="11" t="s">
        <v>66</v>
      </c>
      <c r="F513" s="11" t="s">
        <v>162</v>
      </c>
      <c r="G513" s="11" t="s">
        <v>70</v>
      </c>
      <c r="H513" s="11" t="s">
        <v>163</v>
      </c>
      <c r="I513" s="11" t="s">
        <v>67</v>
      </c>
      <c r="J513" s="11">
        <v>1</v>
      </c>
      <c r="K513" s="11">
        <v>7</v>
      </c>
      <c r="L513" s="11">
        <v>6</v>
      </c>
      <c r="M513" s="11">
        <v>0</v>
      </c>
      <c r="N513" s="11">
        <v>13</v>
      </c>
    </row>
    <row r="514" spans="1:14" ht="15" customHeight="1" x14ac:dyDescent="0.25">
      <c r="A514" s="11">
        <v>43</v>
      </c>
      <c r="B514" s="11" t="s">
        <v>16</v>
      </c>
      <c r="C514" s="11" t="s">
        <v>83</v>
      </c>
      <c r="D514" s="11" t="s">
        <v>165</v>
      </c>
      <c r="E514" s="11" t="s">
        <v>44</v>
      </c>
      <c r="F514" s="11" t="s">
        <v>164</v>
      </c>
      <c r="G514" s="11" t="s">
        <v>35</v>
      </c>
      <c r="H514" s="11" t="s">
        <v>166</v>
      </c>
      <c r="I514" s="11" t="s">
        <v>45</v>
      </c>
      <c r="J514" s="11">
        <v>1</v>
      </c>
      <c r="K514" s="11">
        <v>3</v>
      </c>
      <c r="L514" s="11">
        <v>3</v>
      </c>
      <c r="M514" s="11">
        <v>0</v>
      </c>
      <c r="N514" s="11">
        <v>6</v>
      </c>
    </row>
    <row r="515" spans="1:14" ht="15" customHeight="1" x14ac:dyDescent="0.25">
      <c r="A515" s="11">
        <v>43</v>
      </c>
      <c r="B515" s="11" t="s">
        <v>16</v>
      </c>
      <c r="C515" s="11" t="s">
        <v>84</v>
      </c>
      <c r="D515" s="11" t="s">
        <v>167</v>
      </c>
      <c r="E515" s="11" t="s">
        <v>23</v>
      </c>
      <c r="F515" s="11" t="s">
        <v>168</v>
      </c>
      <c r="G515" s="11" t="s">
        <v>24</v>
      </c>
      <c r="H515" s="11" t="s">
        <v>169</v>
      </c>
      <c r="I515" s="11" t="s">
        <v>57</v>
      </c>
      <c r="J515" s="11">
        <v>1</v>
      </c>
      <c r="K515" s="11">
        <v>7</v>
      </c>
      <c r="L515" s="11">
        <v>6</v>
      </c>
      <c r="M515" s="11">
        <v>0</v>
      </c>
      <c r="N515" s="11">
        <v>13</v>
      </c>
    </row>
    <row r="516" spans="1:14" ht="15" customHeight="1" x14ac:dyDescent="0.25">
      <c r="A516" s="11">
        <v>43</v>
      </c>
      <c r="B516" s="11" t="s">
        <v>16</v>
      </c>
      <c r="C516" s="11" t="s">
        <v>85</v>
      </c>
      <c r="D516" s="11" t="s">
        <v>170</v>
      </c>
      <c r="E516" s="11" t="s">
        <v>107</v>
      </c>
      <c r="F516" s="11" t="s">
        <v>171</v>
      </c>
      <c r="G516" s="11" t="s">
        <v>106</v>
      </c>
      <c r="H516" s="11" t="s">
        <v>172</v>
      </c>
      <c r="I516" s="11" t="s">
        <v>117</v>
      </c>
      <c r="J516" s="11">
        <v>1</v>
      </c>
      <c r="K516" s="11">
        <v>3</v>
      </c>
      <c r="L516" s="11">
        <v>3</v>
      </c>
      <c r="M516" s="11">
        <v>5</v>
      </c>
      <c r="N516" s="11">
        <v>11</v>
      </c>
    </row>
    <row r="517" spans="1:14" ht="15" customHeight="1" x14ac:dyDescent="0.25">
      <c r="A517" s="11">
        <v>43</v>
      </c>
      <c r="B517" s="11" t="s">
        <v>16</v>
      </c>
      <c r="C517" s="11" t="s">
        <v>86</v>
      </c>
      <c r="D517" s="11" t="s">
        <v>173</v>
      </c>
      <c r="E517" s="11" t="s">
        <v>108</v>
      </c>
      <c r="F517" s="11" t="s">
        <v>174</v>
      </c>
      <c r="G517" s="11" t="s">
        <v>118</v>
      </c>
      <c r="H517" s="11" t="s">
        <v>177</v>
      </c>
      <c r="I517" s="11" t="s">
        <v>120</v>
      </c>
      <c r="J517" s="11">
        <v>1</v>
      </c>
      <c r="K517" s="11">
        <v>7</v>
      </c>
      <c r="L517" s="11">
        <v>0</v>
      </c>
      <c r="M517" s="11">
        <v>0</v>
      </c>
      <c r="N517" s="11">
        <v>7</v>
      </c>
    </row>
    <row r="518" spans="1:14" ht="15" customHeight="1" x14ac:dyDescent="0.25">
      <c r="A518" s="11">
        <v>44</v>
      </c>
      <c r="B518" s="11" t="s">
        <v>41</v>
      </c>
      <c r="C518" s="11" t="s">
        <v>75</v>
      </c>
      <c r="D518" s="11" t="s">
        <v>140</v>
      </c>
      <c r="E518" s="11" t="s">
        <v>94</v>
      </c>
      <c r="F518" s="11" t="s">
        <v>176</v>
      </c>
      <c r="G518" s="11" t="s">
        <v>119</v>
      </c>
      <c r="H518" s="11" t="s">
        <v>141</v>
      </c>
      <c r="I518" s="11" t="s">
        <v>95</v>
      </c>
      <c r="J518" s="11">
        <v>1</v>
      </c>
      <c r="K518" s="11">
        <v>7</v>
      </c>
      <c r="L518" s="11">
        <v>3</v>
      </c>
      <c r="M518" s="11">
        <v>3</v>
      </c>
      <c r="N518" s="11">
        <v>13</v>
      </c>
    </row>
    <row r="519" spans="1:14" ht="15" customHeight="1" x14ac:dyDescent="0.25">
      <c r="A519" s="11">
        <v>44</v>
      </c>
      <c r="B519" s="11" t="s">
        <v>41</v>
      </c>
      <c r="C519" s="11" t="s">
        <v>76</v>
      </c>
      <c r="D519" s="11" t="s">
        <v>144</v>
      </c>
      <c r="E519" s="11" t="s">
        <v>96</v>
      </c>
      <c r="F519" s="11" t="s">
        <v>143</v>
      </c>
      <c r="G519" s="11" t="s">
        <v>97</v>
      </c>
      <c r="H519" s="11" t="s">
        <v>145</v>
      </c>
      <c r="I519" s="11" t="s">
        <v>111</v>
      </c>
      <c r="J519" s="11">
        <v>1</v>
      </c>
      <c r="K519" s="11">
        <v>7</v>
      </c>
      <c r="L519" s="11">
        <v>6</v>
      </c>
      <c r="M519" s="11">
        <v>0</v>
      </c>
      <c r="N519" s="11">
        <v>13</v>
      </c>
    </row>
    <row r="520" spans="1:14" ht="15" customHeight="1" x14ac:dyDescent="0.25">
      <c r="A520" s="11">
        <v>44</v>
      </c>
      <c r="B520" s="11" t="s">
        <v>41</v>
      </c>
      <c r="C520" s="11" t="s">
        <v>77</v>
      </c>
      <c r="D520" s="11" t="s">
        <v>147</v>
      </c>
      <c r="E520" s="11" t="s">
        <v>98</v>
      </c>
      <c r="F520" s="11" t="s">
        <v>146</v>
      </c>
      <c r="G520" s="11" t="s">
        <v>99</v>
      </c>
      <c r="H520" s="11" t="s">
        <v>148</v>
      </c>
      <c r="I520" s="11" t="s">
        <v>112</v>
      </c>
      <c r="J520" s="11">
        <v>1</v>
      </c>
      <c r="K520" s="11">
        <v>7</v>
      </c>
      <c r="L520" s="11">
        <v>6</v>
      </c>
      <c r="M520" s="11">
        <v>5</v>
      </c>
      <c r="N520" s="11">
        <v>18</v>
      </c>
    </row>
    <row r="521" spans="1:14" ht="15" customHeight="1" x14ac:dyDescent="0.25">
      <c r="A521" s="11">
        <v>44</v>
      </c>
      <c r="B521" s="11" t="s">
        <v>41</v>
      </c>
      <c r="C521" s="11" t="s">
        <v>78</v>
      </c>
      <c r="D521" s="11" t="s">
        <v>151</v>
      </c>
      <c r="E521" s="11" t="s">
        <v>100</v>
      </c>
      <c r="F521" s="11" t="s">
        <v>150</v>
      </c>
      <c r="G521" s="11" t="s">
        <v>114</v>
      </c>
      <c r="H521" s="11" t="s">
        <v>149</v>
      </c>
      <c r="I521" s="11" t="s">
        <v>113</v>
      </c>
      <c r="J521" s="11">
        <v>1</v>
      </c>
      <c r="K521" s="11">
        <v>7</v>
      </c>
      <c r="L521" s="11">
        <v>0</v>
      </c>
      <c r="M521" s="11">
        <v>5</v>
      </c>
      <c r="N521" s="11">
        <v>12</v>
      </c>
    </row>
    <row r="522" spans="1:14" ht="15" customHeight="1" x14ac:dyDescent="0.25">
      <c r="A522" s="11">
        <v>44</v>
      </c>
      <c r="B522" s="11" t="s">
        <v>41</v>
      </c>
      <c r="C522" s="11" t="s">
        <v>79</v>
      </c>
      <c r="D522" s="11" t="s">
        <v>152</v>
      </c>
      <c r="E522" s="11" t="s">
        <v>102</v>
      </c>
      <c r="F522" s="11" t="s">
        <v>153</v>
      </c>
      <c r="G522" s="11" t="s">
        <v>115</v>
      </c>
      <c r="H522" s="11" t="s">
        <v>154</v>
      </c>
      <c r="I522" s="11" t="s">
        <v>103</v>
      </c>
      <c r="J522" s="11">
        <v>1</v>
      </c>
      <c r="K522" s="11">
        <v>7</v>
      </c>
      <c r="L522" s="11">
        <v>3</v>
      </c>
      <c r="M522" s="11">
        <v>3</v>
      </c>
      <c r="N522" s="11">
        <v>13</v>
      </c>
    </row>
    <row r="523" spans="1:14" ht="15" customHeight="1" x14ac:dyDescent="0.25">
      <c r="A523" s="11">
        <v>44</v>
      </c>
      <c r="B523" s="11" t="s">
        <v>41</v>
      </c>
      <c r="C523" s="11" t="s">
        <v>80</v>
      </c>
      <c r="D523" s="11" t="s">
        <v>155</v>
      </c>
      <c r="E523" s="11" t="s">
        <v>104</v>
      </c>
      <c r="F523" s="11" t="s">
        <v>156</v>
      </c>
      <c r="G523" s="11" t="s">
        <v>105</v>
      </c>
      <c r="H523" s="11" t="s">
        <v>157</v>
      </c>
      <c r="I523" s="11" t="s">
        <v>116</v>
      </c>
      <c r="J523" s="11">
        <v>1</v>
      </c>
      <c r="K523" s="11">
        <v>7</v>
      </c>
      <c r="L523" s="11">
        <v>6</v>
      </c>
      <c r="M523" s="11">
        <v>5</v>
      </c>
      <c r="N523" s="11">
        <v>18</v>
      </c>
    </row>
    <row r="524" spans="1:14" ht="15" customHeight="1" x14ac:dyDescent="0.25">
      <c r="A524" s="11">
        <v>44</v>
      </c>
      <c r="B524" s="11" t="s">
        <v>41</v>
      </c>
      <c r="C524" s="11" t="s">
        <v>81</v>
      </c>
      <c r="D524" s="11" t="s">
        <v>158</v>
      </c>
      <c r="E524" s="11" t="s">
        <v>68</v>
      </c>
      <c r="F524" s="11" t="s">
        <v>159</v>
      </c>
      <c r="G524" s="11" t="s">
        <v>73</v>
      </c>
      <c r="H524" s="11" t="s">
        <v>160</v>
      </c>
      <c r="I524" s="11" t="s">
        <v>69</v>
      </c>
      <c r="J524" s="11">
        <v>1</v>
      </c>
      <c r="K524" s="11">
        <v>3</v>
      </c>
      <c r="L524" s="11">
        <v>3</v>
      </c>
      <c r="M524" s="11">
        <v>3</v>
      </c>
      <c r="N524" s="11">
        <v>9</v>
      </c>
    </row>
    <row r="525" spans="1:14" ht="15" customHeight="1" x14ac:dyDescent="0.25">
      <c r="A525" s="11">
        <v>44</v>
      </c>
      <c r="B525" s="11" t="s">
        <v>41</v>
      </c>
      <c r="C525" s="11" t="s">
        <v>82</v>
      </c>
      <c r="D525" s="11" t="s">
        <v>161</v>
      </c>
      <c r="E525" s="11" t="s">
        <v>66</v>
      </c>
      <c r="F525" s="11" t="s">
        <v>162</v>
      </c>
      <c r="G525" s="11" t="s">
        <v>70</v>
      </c>
      <c r="H525" s="11" t="s">
        <v>163</v>
      </c>
      <c r="I525" s="11" t="s">
        <v>67</v>
      </c>
      <c r="J525" s="11">
        <v>1</v>
      </c>
      <c r="K525" s="11">
        <v>7</v>
      </c>
      <c r="L525" s="11">
        <v>6</v>
      </c>
      <c r="M525" s="11">
        <v>0</v>
      </c>
      <c r="N525" s="11">
        <v>13</v>
      </c>
    </row>
    <row r="526" spans="1:14" ht="15" customHeight="1" x14ac:dyDescent="0.25">
      <c r="A526" s="11">
        <v>44</v>
      </c>
      <c r="B526" s="11" t="s">
        <v>41</v>
      </c>
      <c r="C526" s="11" t="s">
        <v>83</v>
      </c>
      <c r="D526" s="11" t="s">
        <v>164</v>
      </c>
      <c r="E526" s="11" t="s">
        <v>35</v>
      </c>
      <c r="F526" s="11" t="s">
        <v>165</v>
      </c>
      <c r="G526" s="11" t="s">
        <v>44</v>
      </c>
      <c r="H526" s="11" t="s">
        <v>166</v>
      </c>
      <c r="I526" s="11" t="s">
        <v>45</v>
      </c>
      <c r="J526" s="11">
        <v>1</v>
      </c>
      <c r="K526" s="11">
        <v>7</v>
      </c>
      <c r="L526" s="11">
        <v>6</v>
      </c>
      <c r="M526" s="11">
        <v>0</v>
      </c>
      <c r="N526" s="11">
        <v>13</v>
      </c>
    </row>
    <row r="527" spans="1:14" ht="15" customHeight="1" x14ac:dyDescent="0.25">
      <c r="A527" s="11">
        <v>44</v>
      </c>
      <c r="B527" s="11" t="s">
        <v>41</v>
      </c>
      <c r="C527" s="11" t="s">
        <v>84</v>
      </c>
      <c r="D527" s="11" t="s">
        <v>167</v>
      </c>
      <c r="E527" s="11" t="s">
        <v>23</v>
      </c>
      <c r="F527" s="11" t="s">
        <v>169</v>
      </c>
      <c r="G527" s="11" t="s">
        <v>57</v>
      </c>
      <c r="H527" s="11" t="s">
        <v>168</v>
      </c>
      <c r="I527" s="11" t="s">
        <v>24</v>
      </c>
      <c r="J527" s="11">
        <v>1</v>
      </c>
      <c r="K527" s="11">
        <v>7</v>
      </c>
      <c r="L527" s="11">
        <v>0</v>
      </c>
      <c r="M527" s="11">
        <v>3</v>
      </c>
      <c r="N527" s="11">
        <v>10</v>
      </c>
    </row>
    <row r="528" spans="1:14" ht="15" customHeight="1" x14ac:dyDescent="0.25">
      <c r="A528" s="11">
        <v>44</v>
      </c>
      <c r="B528" s="11" t="s">
        <v>41</v>
      </c>
      <c r="C528" s="11" t="s">
        <v>85</v>
      </c>
      <c r="D528" s="11" t="s">
        <v>170</v>
      </c>
      <c r="E528" s="11" t="s">
        <v>107</v>
      </c>
      <c r="F528" s="11" t="s">
        <v>171</v>
      </c>
      <c r="G528" s="11" t="s">
        <v>106</v>
      </c>
      <c r="H528" s="11" t="s">
        <v>180</v>
      </c>
      <c r="I528" s="11" t="s">
        <v>123</v>
      </c>
      <c r="J528" s="11">
        <v>1</v>
      </c>
      <c r="K528" s="11">
        <v>3</v>
      </c>
      <c r="L528" s="11">
        <v>3</v>
      </c>
      <c r="M528" s="11">
        <v>0</v>
      </c>
      <c r="N528" s="11">
        <v>6</v>
      </c>
    </row>
    <row r="529" spans="1:14" ht="15" customHeight="1" x14ac:dyDescent="0.25">
      <c r="A529" s="11">
        <v>44</v>
      </c>
      <c r="B529" s="11" t="s">
        <v>41</v>
      </c>
      <c r="C529" s="11" t="s">
        <v>86</v>
      </c>
      <c r="D529" s="11" t="s">
        <v>173</v>
      </c>
      <c r="E529" s="11" t="s">
        <v>108</v>
      </c>
      <c r="F529" s="11" t="s">
        <v>174</v>
      </c>
      <c r="G529" s="11" t="s">
        <v>118</v>
      </c>
      <c r="H529" s="11" t="s">
        <v>175</v>
      </c>
      <c r="I529" s="11" t="s">
        <v>109</v>
      </c>
      <c r="J529" s="11">
        <v>1</v>
      </c>
      <c r="K529" s="11">
        <v>7</v>
      </c>
      <c r="L529" s="11">
        <v>0</v>
      </c>
      <c r="M529" s="11">
        <v>3</v>
      </c>
      <c r="N529" s="11">
        <v>10</v>
      </c>
    </row>
    <row r="530" spans="1:14" ht="15" customHeight="1" x14ac:dyDescent="0.25">
      <c r="A530" s="11">
        <v>45</v>
      </c>
      <c r="B530" s="11" t="s">
        <v>64</v>
      </c>
      <c r="C530" s="11" t="s">
        <v>75</v>
      </c>
      <c r="D530" s="11" t="s">
        <v>140</v>
      </c>
      <c r="E530" s="11" t="s">
        <v>94</v>
      </c>
      <c r="F530" s="11" t="s">
        <v>176</v>
      </c>
      <c r="G530" s="11" t="s">
        <v>119</v>
      </c>
      <c r="H530" s="11" t="s">
        <v>141</v>
      </c>
      <c r="I530" s="11" t="s">
        <v>95</v>
      </c>
      <c r="J530" s="11">
        <v>1</v>
      </c>
      <c r="K530" s="11">
        <v>7</v>
      </c>
      <c r="L530" s="11">
        <v>3</v>
      </c>
      <c r="M530" s="11">
        <v>3</v>
      </c>
      <c r="N530" s="11">
        <v>13</v>
      </c>
    </row>
    <row r="531" spans="1:14" ht="15" customHeight="1" x14ac:dyDescent="0.25">
      <c r="A531" s="11">
        <v>45</v>
      </c>
      <c r="B531" s="11" t="s">
        <v>64</v>
      </c>
      <c r="C531" s="11" t="s">
        <v>76</v>
      </c>
      <c r="D531" s="11" t="s">
        <v>144</v>
      </c>
      <c r="E531" s="11" t="s">
        <v>96</v>
      </c>
      <c r="F531" s="11" t="s">
        <v>143</v>
      </c>
      <c r="G531" s="11" t="s">
        <v>97</v>
      </c>
      <c r="H531" s="11" t="s">
        <v>145</v>
      </c>
      <c r="I531" s="11" t="s">
        <v>111</v>
      </c>
      <c r="J531" s="11">
        <v>1</v>
      </c>
      <c r="K531" s="11">
        <v>7</v>
      </c>
      <c r="L531" s="11">
        <v>6</v>
      </c>
      <c r="M531" s="11">
        <v>0</v>
      </c>
      <c r="N531" s="11">
        <v>13</v>
      </c>
    </row>
    <row r="532" spans="1:14" ht="15" customHeight="1" x14ac:dyDescent="0.25">
      <c r="A532" s="11">
        <v>45</v>
      </c>
      <c r="B532" s="11" t="s">
        <v>64</v>
      </c>
      <c r="C532" s="11" t="s">
        <v>77</v>
      </c>
      <c r="D532" s="11" t="s">
        <v>147</v>
      </c>
      <c r="E532" s="11" t="s">
        <v>98</v>
      </c>
      <c r="F532" s="11" t="s">
        <v>146</v>
      </c>
      <c r="G532" s="11" t="s">
        <v>99</v>
      </c>
      <c r="H532" s="11" t="s">
        <v>148</v>
      </c>
      <c r="I532" s="11" t="s">
        <v>112</v>
      </c>
      <c r="J532" s="11">
        <v>1</v>
      </c>
      <c r="K532" s="11">
        <v>7</v>
      </c>
      <c r="L532" s="11">
        <v>6</v>
      </c>
      <c r="M532" s="11">
        <v>5</v>
      </c>
      <c r="N532" s="11">
        <v>18</v>
      </c>
    </row>
    <row r="533" spans="1:14" ht="15" customHeight="1" x14ac:dyDescent="0.25">
      <c r="A533" s="11">
        <v>45</v>
      </c>
      <c r="B533" s="11" t="s">
        <v>64</v>
      </c>
      <c r="C533" s="11" t="s">
        <v>78</v>
      </c>
      <c r="D533" s="11" t="s">
        <v>151</v>
      </c>
      <c r="E533" s="11" t="s">
        <v>100</v>
      </c>
      <c r="F533" s="11" t="s">
        <v>149</v>
      </c>
      <c r="G533" s="11" t="s">
        <v>113</v>
      </c>
      <c r="H533" s="11" t="s">
        <v>181</v>
      </c>
      <c r="I533" s="11" t="s">
        <v>101</v>
      </c>
      <c r="J533" s="11">
        <v>1</v>
      </c>
      <c r="K533" s="11">
        <v>7</v>
      </c>
      <c r="L533" s="11">
        <v>3</v>
      </c>
      <c r="M533" s="11">
        <v>3</v>
      </c>
      <c r="N533" s="11">
        <v>13</v>
      </c>
    </row>
    <row r="534" spans="1:14" ht="15" customHeight="1" x14ac:dyDescent="0.25">
      <c r="A534" s="11">
        <v>45</v>
      </c>
      <c r="B534" s="11" t="s">
        <v>64</v>
      </c>
      <c r="C534" s="11" t="s">
        <v>79</v>
      </c>
      <c r="D534" s="11" t="s">
        <v>152</v>
      </c>
      <c r="E534" s="11" t="s">
        <v>102</v>
      </c>
      <c r="F534" s="11" t="s">
        <v>154</v>
      </c>
      <c r="G534" s="11" t="s">
        <v>103</v>
      </c>
      <c r="H534" s="11" t="s">
        <v>153</v>
      </c>
      <c r="I534" s="11" t="s">
        <v>115</v>
      </c>
      <c r="J534" s="11">
        <v>1</v>
      </c>
      <c r="K534" s="11">
        <v>7</v>
      </c>
      <c r="L534" s="11">
        <v>6</v>
      </c>
      <c r="M534" s="11">
        <v>5</v>
      </c>
      <c r="N534" s="11">
        <v>18</v>
      </c>
    </row>
    <row r="535" spans="1:14" ht="15" customHeight="1" x14ac:dyDescent="0.25">
      <c r="A535" s="11">
        <v>45</v>
      </c>
      <c r="B535" s="11" t="s">
        <v>64</v>
      </c>
      <c r="C535" s="11" t="s">
        <v>80</v>
      </c>
      <c r="D535" s="11" t="s">
        <v>155</v>
      </c>
      <c r="E535" s="11" t="s">
        <v>104</v>
      </c>
      <c r="F535" s="11" t="s">
        <v>156</v>
      </c>
      <c r="G535" s="11" t="s">
        <v>105</v>
      </c>
      <c r="H535" s="11" t="s">
        <v>157</v>
      </c>
      <c r="I535" s="11" t="s">
        <v>116</v>
      </c>
      <c r="J535" s="11">
        <v>1</v>
      </c>
      <c r="K535" s="11">
        <v>7</v>
      </c>
      <c r="L535" s="11">
        <v>6</v>
      </c>
      <c r="M535" s="11">
        <v>5</v>
      </c>
      <c r="N535" s="11">
        <v>18</v>
      </c>
    </row>
    <row r="536" spans="1:14" ht="15" customHeight="1" x14ac:dyDescent="0.25">
      <c r="A536" s="11">
        <v>45</v>
      </c>
      <c r="B536" s="11" t="s">
        <v>64</v>
      </c>
      <c r="C536" s="11" t="s">
        <v>81</v>
      </c>
      <c r="D536" s="11" t="s">
        <v>158</v>
      </c>
      <c r="E536" s="11" t="s">
        <v>68</v>
      </c>
      <c r="F536" s="11" t="s">
        <v>159</v>
      </c>
      <c r="G536" s="11" t="s">
        <v>73</v>
      </c>
      <c r="H536" s="11" t="s">
        <v>182</v>
      </c>
      <c r="I536" s="11" t="s">
        <v>72</v>
      </c>
      <c r="J536" s="11">
        <v>1</v>
      </c>
      <c r="K536" s="11">
        <v>3</v>
      </c>
      <c r="L536" s="11">
        <v>3</v>
      </c>
      <c r="M536" s="11">
        <v>0</v>
      </c>
      <c r="N536" s="11">
        <v>6</v>
      </c>
    </row>
    <row r="537" spans="1:14" ht="15" customHeight="1" x14ac:dyDescent="0.25">
      <c r="A537" s="11">
        <v>45</v>
      </c>
      <c r="B537" s="11" t="s">
        <v>64</v>
      </c>
      <c r="C537" s="11" t="s">
        <v>82</v>
      </c>
      <c r="D537" s="11" t="s">
        <v>161</v>
      </c>
      <c r="E537" s="11" t="s">
        <v>66</v>
      </c>
      <c r="F537" s="11" t="s">
        <v>162</v>
      </c>
      <c r="G537" s="11" t="s">
        <v>70</v>
      </c>
      <c r="H537" s="11" t="s">
        <v>184</v>
      </c>
      <c r="I537" s="11" t="s">
        <v>71</v>
      </c>
      <c r="J537" s="11">
        <v>1</v>
      </c>
      <c r="K537" s="11">
        <v>7</v>
      </c>
      <c r="L537" s="11">
        <v>6</v>
      </c>
      <c r="M537" s="11">
        <v>5</v>
      </c>
      <c r="N537" s="11">
        <v>18</v>
      </c>
    </row>
    <row r="538" spans="1:14" ht="15" customHeight="1" x14ac:dyDescent="0.25">
      <c r="A538" s="11">
        <v>45</v>
      </c>
      <c r="B538" s="11" t="s">
        <v>64</v>
      </c>
      <c r="C538" s="11" t="s">
        <v>83</v>
      </c>
      <c r="D538" s="11" t="s">
        <v>164</v>
      </c>
      <c r="E538" s="11" t="s">
        <v>35</v>
      </c>
      <c r="F538" s="11" t="s">
        <v>165</v>
      </c>
      <c r="G538" s="11" t="s">
        <v>44</v>
      </c>
      <c r="H538" s="11" t="s">
        <v>166</v>
      </c>
      <c r="I538" s="11" t="s">
        <v>45</v>
      </c>
      <c r="J538" s="11">
        <v>1</v>
      </c>
      <c r="K538" s="11">
        <v>7</v>
      </c>
      <c r="L538" s="11">
        <v>6</v>
      </c>
      <c r="M538" s="11">
        <v>0</v>
      </c>
      <c r="N538" s="11">
        <v>13</v>
      </c>
    </row>
    <row r="539" spans="1:14" ht="15" customHeight="1" x14ac:dyDescent="0.25">
      <c r="A539" s="11">
        <v>45</v>
      </c>
      <c r="B539" s="11" t="s">
        <v>64</v>
      </c>
      <c r="C539" s="11" t="s">
        <v>84</v>
      </c>
      <c r="D539" s="11" t="s">
        <v>167</v>
      </c>
      <c r="E539" s="11" t="s">
        <v>23</v>
      </c>
      <c r="F539" s="11" t="s">
        <v>168</v>
      </c>
      <c r="G539" s="11" t="s">
        <v>24</v>
      </c>
      <c r="H539" s="11" t="s">
        <v>186</v>
      </c>
      <c r="I539" s="11" t="s">
        <v>56</v>
      </c>
      <c r="J539" s="11">
        <v>1</v>
      </c>
      <c r="K539" s="11">
        <v>7</v>
      </c>
      <c r="L539" s="11">
        <v>6</v>
      </c>
      <c r="M539" s="11">
        <v>0</v>
      </c>
      <c r="N539" s="11">
        <v>13</v>
      </c>
    </row>
    <row r="540" spans="1:14" ht="15" customHeight="1" x14ac:dyDescent="0.25">
      <c r="A540" s="11">
        <v>45</v>
      </c>
      <c r="B540" s="11" t="s">
        <v>64</v>
      </c>
      <c r="C540" s="11" t="s">
        <v>85</v>
      </c>
      <c r="D540" s="11" t="s">
        <v>170</v>
      </c>
      <c r="E540" s="11" t="s">
        <v>107</v>
      </c>
      <c r="F540" s="11" t="s">
        <v>171</v>
      </c>
      <c r="G540" s="11" t="s">
        <v>106</v>
      </c>
      <c r="H540" s="11" t="s">
        <v>172</v>
      </c>
      <c r="I540" s="11" t="s">
        <v>117</v>
      </c>
      <c r="J540" s="11">
        <v>1</v>
      </c>
      <c r="K540" s="11">
        <v>3</v>
      </c>
      <c r="L540" s="11">
        <v>3</v>
      </c>
      <c r="M540" s="11">
        <v>5</v>
      </c>
      <c r="N540" s="11">
        <v>11</v>
      </c>
    </row>
    <row r="541" spans="1:14" ht="15" customHeight="1" x14ac:dyDescent="0.25">
      <c r="A541" s="11">
        <v>45</v>
      </c>
      <c r="B541" s="11" t="s">
        <v>64</v>
      </c>
      <c r="C541" s="11" t="s">
        <v>86</v>
      </c>
      <c r="D541" s="11" t="s">
        <v>173</v>
      </c>
      <c r="E541" s="11" t="s">
        <v>108</v>
      </c>
      <c r="F541" s="11" t="s">
        <v>174</v>
      </c>
      <c r="G541" s="11" t="s">
        <v>118</v>
      </c>
      <c r="H541" s="11" t="s">
        <v>177</v>
      </c>
      <c r="I541" s="11" t="s">
        <v>120</v>
      </c>
      <c r="J541" s="11">
        <v>1</v>
      </c>
      <c r="K541" s="11">
        <v>7</v>
      </c>
      <c r="L541" s="11">
        <v>0</v>
      </c>
      <c r="M541" s="11">
        <v>0</v>
      </c>
      <c r="N541" s="11">
        <v>7</v>
      </c>
    </row>
    <row r="542" spans="1:14" ht="15" customHeight="1" x14ac:dyDescent="0.25">
      <c r="A542" s="11">
        <v>46</v>
      </c>
      <c r="B542" s="11" t="s">
        <v>55</v>
      </c>
      <c r="C542" s="11" t="s">
        <v>75</v>
      </c>
      <c r="D542" s="11" t="s">
        <v>140</v>
      </c>
      <c r="E542" s="11" t="s">
        <v>94</v>
      </c>
      <c r="F542" s="11" t="s">
        <v>176</v>
      </c>
      <c r="G542" s="11" t="s">
        <v>119</v>
      </c>
      <c r="H542" s="11" t="s">
        <v>141</v>
      </c>
      <c r="I542" s="11" t="s">
        <v>95</v>
      </c>
      <c r="J542" s="11">
        <v>1</v>
      </c>
      <c r="K542" s="11">
        <v>7</v>
      </c>
      <c r="L542" s="11">
        <v>3</v>
      </c>
      <c r="M542" s="11">
        <v>3</v>
      </c>
      <c r="N542" s="11">
        <v>13</v>
      </c>
    </row>
    <row r="543" spans="1:14" ht="15" customHeight="1" x14ac:dyDescent="0.25">
      <c r="A543" s="11">
        <v>46</v>
      </c>
      <c r="B543" s="11" t="s">
        <v>55</v>
      </c>
      <c r="C543" s="11" t="s">
        <v>76</v>
      </c>
      <c r="D543" s="11" t="s">
        <v>143</v>
      </c>
      <c r="E543" s="11" t="s">
        <v>97</v>
      </c>
      <c r="F543" s="11" t="s">
        <v>144</v>
      </c>
      <c r="G543" s="11" t="s">
        <v>96</v>
      </c>
      <c r="H543" s="11" t="s">
        <v>178</v>
      </c>
      <c r="I543" s="11" t="s">
        <v>121</v>
      </c>
      <c r="J543" s="11">
        <v>1</v>
      </c>
      <c r="K543" s="11">
        <v>3</v>
      </c>
      <c r="L543" s="11">
        <v>3</v>
      </c>
      <c r="M543" s="11">
        <v>0</v>
      </c>
      <c r="N543" s="11">
        <v>6</v>
      </c>
    </row>
    <row r="544" spans="1:14" ht="15" customHeight="1" x14ac:dyDescent="0.25">
      <c r="A544" s="11">
        <v>46</v>
      </c>
      <c r="B544" s="11" t="s">
        <v>55</v>
      </c>
      <c r="C544" s="11" t="s">
        <v>77</v>
      </c>
      <c r="D544" s="11" t="s">
        <v>147</v>
      </c>
      <c r="E544" s="11" t="s">
        <v>98</v>
      </c>
      <c r="F544" s="11" t="s">
        <v>146</v>
      </c>
      <c r="G544" s="11" t="s">
        <v>99</v>
      </c>
      <c r="H544" s="11" t="s">
        <v>148</v>
      </c>
      <c r="I544" s="11" t="s">
        <v>112</v>
      </c>
      <c r="J544" s="11">
        <v>1</v>
      </c>
      <c r="K544" s="11">
        <v>7</v>
      </c>
      <c r="L544" s="11">
        <v>6</v>
      </c>
      <c r="M544" s="11">
        <v>5</v>
      </c>
      <c r="N544" s="11">
        <v>18</v>
      </c>
    </row>
    <row r="545" spans="1:14" ht="15" customHeight="1" x14ac:dyDescent="0.25">
      <c r="A545" s="11">
        <v>46</v>
      </c>
      <c r="B545" s="11" t="s">
        <v>55</v>
      </c>
      <c r="C545" s="11" t="s">
        <v>78</v>
      </c>
      <c r="D545" s="11" t="s">
        <v>151</v>
      </c>
      <c r="E545" s="11" t="s">
        <v>100</v>
      </c>
      <c r="F545" s="11" t="s">
        <v>149</v>
      </c>
      <c r="G545" s="11" t="s">
        <v>113</v>
      </c>
      <c r="H545" s="11" t="s">
        <v>150</v>
      </c>
      <c r="I545" s="11" t="s">
        <v>114</v>
      </c>
      <c r="J545" s="11">
        <v>1</v>
      </c>
      <c r="K545" s="11">
        <v>7</v>
      </c>
      <c r="L545" s="11">
        <v>3</v>
      </c>
      <c r="M545" s="11">
        <v>0</v>
      </c>
      <c r="N545" s="11">
        <v>10</v>
      </c>
    </row>
    <row r="546" spans="1:14" ht="15" customHeight="1" x14ac:dyDescent="0.25">
      <c r="A546" s="11">
        <v>46</v>
      </c>
      <c r="B546" s="11" t="s">
        <v>55</v>
      </c>
      <c r="C546" s="11" t="s">
        <v>79</v>
      </c>
      <c r="D546" s="11" t="s">
        <v>152</v>
      </c>
      <c r="E546" s="11" t="s">
        <v>102</v>
      </c>
      <c r="F546" s="11" t="s">
        <v>153</v>
      </c>
      <c r="G546" s="11" t="s">
        <v>115</v>
      </c>
      <c r="H546" s="11" t="s">
        <v>154</v>
      </c>
      <c r="I546" s="11" t="s">
        <v>103</v>
      </c>
      <c r="J546" s="11">
        <v>1</v>
      </c>
      <c r="K546" s="11">
        <v>7</v>
      </c>
      <c r="L546" s="11">
        <v>3</v>
      </c>
      <c r="M546" s="11">
        <v>3</v>
      </c>
      <c r="N546" s="11">
        <v>13</v>
      </c>
    </row>
    <row r="547" spans="1:14" ht="15" customHeight="1" x14ac:dyDescent="0.25">
      <c r="A547" s="11">
        <v>46</v>
      </c>
      <c r="B547" s="11" t="s">
        <v>55</v>
      </c>
      <c r="C547" s="11" t="s">
        <v>80</v>
      </c>
      <c r="D547" s="11" t="s">
        <v>155</v>
      </c>
      <c r="E547" s="11" t="s">
        <v>104</v>
      </c>
      <c r="F547" s="11" t="s">
        <v>156</v>
      </c>
      <c r="G547" s="11" t="s">
        <v>105</v>
      </c>
      <c r="H547" s="11" t="s">
        <v>157</v>
      </c>
      <c r="I547" s="11" t="s">
        <v>116</v>
      </c>
      <c r="J547" s="11">
        <v>1</v>
      </c>
      <c r="K547" s="11">
        <v>7</v>
      </c>
      <c r="L547" s="11">
        <v>6</v>
      </c>
      <c r="M547" s="11">
        <v>5</v>
      </c>
      <c r="N547" s="11">
        <v>18</v>
      </c>
    </row>
    <row r="548" spans="1:14" ht="15" customHeight="1" x14ac:dyDescent="0.25">
      <c r="A548" s="11">
        <v>46</v>
      </c>
      <c r="B548" s="11" t="s">
        <v>55</v>
      </c>
      <c r="C548" s="11" t="s">
        <v>81</v>
      </c>
      <c r="D548" s="11" t="s">
        <v>158</v>
      </c>
      <c r="E548" s="11" t="s">
        <v>68</v>
      </c>
      <c r="F548" s="11" t="s">
        <v>159</v>
      </c>
      <c r="G548" s="11" t="s">
        <v>73</v>
      </c>
      <c r="H548" s="11" t="s">
        <v>160</v>
      </c>
      <c r="I548" s="11" t="s">
        <v>69</v>
      </c>
      <c r="J548" s="11">
        <v>1</v>
      </c>
      <c r="K548" s="11">
        <v>3</v>
      </c>
      <c r="L548" s="11">
        <v>3</v>
      </c>
      <c r="M548" s="11">
        <v>3</v>
      </c>
      <c r="N548" s="11">
        <v>9</v>
      </c>
    </row>
    <row r="549" spans="1:14" ht="15" customHeight="1" x14ac:dyDescent="0.25">
      <c r="A549" s="11">
        <v>46</v>
      </c>
      <c r="B549" s="11" t="s">
        <v>55</v>
      </c>
      <c r="C549" s="11" t="s">
        <v>82</v>
      </c>
      <c r="D549" s="11" t="s">
        <v>161</v>
      </c>
      <c r="E549" s="11" t="s">
        <v>66</v>
      </c>
      <c r="F549" s="11" t="s">
        <v>162</v>
      </c>
      <c r="G549" s="11" t="s">
        <v>70</v>
      </c>
      <c r="H549" s="11" t="s">
        <v>184</v>
      </c>
      <c r="I549" s="11" t="s">
        <v>71</v>
      </c>
      <c r="J549" s="11">
        <v>1</v>
      </c>
      <c r="K549" s="11">
        <v>7</v>
      </c>
      <c r="L549" s="11">
        <v>6</v>
      </c>
      <c r="M549" s="11">
        <v>5</v>
      </c>
      <c r="N549" s="11">
        <v>18</v>
      </c>
    </row>
    <row r="550" spans="1:14" ht="15" customHeight="1" x14ac:dyDescent="0.25">
      <c r="A550" s="11">
        <v>46</v>
      </c>
      <c r="B550" s="11" t="s">
        <v>55</v>
      </c>
      <c r="C550" s="11" t="s">
        <v>83</v>
      </c>
      <c r="D550" s="11" t="s">
        <v>164</v>
      </c>
      <c r="E550" s="11" t="s">
        <v>35</v>
      </c>
      <c r="F550" s="11" t="s">
        <v>165</v>
      </c>
      <c r="G550" s="11" t="s">
        <v>44</v>
      </c>
      <c r="H550" s="11" t="s">
        <v>166</v>
      </c>
      <c r="I550" s="11" t="s">
        <v>45</v>
      </c>
      <c r="J550" s="11">
        <v>1</v>
      </c>
      <c r="K550" s="11">
        <v>7</v>
      </c>
      <c r="L550" s="11">
        <v>6</v>
      </c>
      <c r="M550" s="11">
        <v>0</v>
      </c>
      <c r="N550" s="11">
        <v>13</v>
      </c>
    </row>
    <row r="551" spans="1:14" ht="15" customHeight="1" x14ac:dyDescent="0.25">
      <c r="A551" s="11">
        <v>46</v>
      </c>
      <c r="B551" s="11" t="s">
        <v>55</v>
      </c>
      <c r="C551" s="11" t="s">
        <v>84</v>
      </c>
      <c r="D551" s="11" t="s">
        <v>167</v>
      </c>
      <c r="E551" s="11" t="s">
        <v>23</v>
      </c>
      <c r="F551" s="11" t="s">
        <v>168</v>
      </c>
      <c r="G551" s="11" t="s">
        <v>24</v>
      </c>
      <c r="H551" s="11" t="s">
        <v>169</v>
      </c>
      <c r="I551" s="11" t="s">
        <v>57</v>
      </c>
      <c r="J551" s="11">
        <v>1</v>
      </c>
      <c r="K551" s="11">
        <v>7</v>
      </c>
      <c r="L551" s="11">
        <v>6</v>
      </c>
      <c r="M551" s="11">
        <v>0</v>
      </c>
      <c r="N551" s="11">
        <v>13</v>
      </c>
    </row>
    <row r="552" spans="1:14" ht="15" customHeight="1" x14ac:dyDescent="0.25">
      <c r="A552" s="11">
        <v>46</v>
      </c>
      <c r="B552" s="11" t="s">
        <v>55</v>
      </c>
      <c r="C552" s="11" t="s">
        <v>85</v>
      </c>
      <c r="D552" s="11" t="s">
        <v>170</v>
      </c>
      <c r="E552" s="11" t="s">
        <v>107</v>
      </c>
      <c r="F552" s="11" t="s">
        <v>171</v>
      </c>
      <c r="G552" s="11" t="s">
        <v>106</v>
      </c>
      <c r="H552" s="11" t="s">
        <v>180</v>
      </c>
      <c r="I552" s="11" t="s">
        <v>123</v>
      </c>
      <c r="J552" s="11">
        <v>1</v>
      </c>
      <c r="K552" s="11">
        <v>3</v>
      </c>
      <c r="L552" s="11">
        <v>3</v>
      </c>
      <c r="M552" s="11">
        <v>0</v>
      </c>
      <c r="N552" s="11">
        <v>6</v>
      </c>
    </row>
    <row r="553" spans="1:14" ht="15" customHeight="1" x14ac:dyDescent="0.25">
      <c r="A553" s="11">
        <v>46</v>
      </c>
      <c r="B553" s="11" t="s">
        <v>55</v>
      </c>
      <c r="C553" s="11" t="s">
        <v>86</v>
      </c>
      <c r="D553" s="11" t="s">
        <v>173</v>
      </c>
      <c r="E553" s="11" t="s">
        <v>108</v>
      </c>
      <c r="F553" s="11" t="s">
        <v>174</v>
      </c>
      <c r="G553" s="11" t="s">
        <v>118</v>
      </c>
      <c r="H553" s="11" t="s">
        <v>175</v>
      </c>
      <c r="I553" s="11" t="s">
        <v>109</v>
      </c>
      <c r="J553" s="11">
        <v>1</v>
      </c>
      <c r="K553" s="11">
        <v>7</v>
      </c>
      <c r="L553" s="11">
        <v>0</v>
      </c>
      <c r="M553" s="11">
        <v>3</v>
      </c>
      <c r="N553" s="11">
        <v>10</v>
      </c>
    </row>
    <row r="554" spans="1:14" ht="15" customHeight="1" x14ac:dyDescent="0.25">
      <c r="A554" s="11">
        <v>47</v>
      </c>
      <c r="B554" s="11" t="s">
        <v>53</v>
      </c>
      <c r="C554" s="11" t="s">
        <v>75</v>
      </c>
      <c r="D554" s="11" t="s">
        <v>140</v>
      </c>
      <c r="E554" s="11" t="s">
        <v>94</v>
      </c>
      <c r="F554" s="11" t="s">
        <v>176</v>
      </c>
      <c r="G554" s="11" t="s">
        <v>119</v>
      </c>
      <c r="H554" s="11" t="s">
        <v>141</v>
      </c>
      <c r="I554" s="11" t="s">
        <v>95</v>
      </c>
      <c r="J554" s="11">
        <v>1</v>
      </c>
      <c r="K554" s="11">
        <v>7</v>
      </c>
      <c r="L554" s="11">
        <v>3</v>
      </c>
      <c r="M554" s="11">
        <v>3</v>
      </c>
      <c r="N554" s="11">
        <v>13</v>
      </c>
    </row>
    <row r="555" spans="1:14" ht="15" customHeight="1" x14ac:dyDescent="0.25">
      <c r="A555" s="11">
        <v>47</v>
      </c>
      <c r="B555" s="11" t="s">
        <v>53</v>
      </c>
      <c r="C555" s="11" t="s">
        <v>76</v>
      </c>
      <c r="D555" s="11" t="s">
        <v>144</v>
      </c>
      <c r="E555" s="11" t="s">
        <v>96</v>
      </c>
      <c r="F555" s="11" t="s">
        <v>143</v>
      </c>
      <c r="G555" s="11" t="s">
        <v>97</v>
      </c>
      <c r="H555" s="11" t="s">
        <v>178</v>
      </c>
      <c r="I555" s="11" t="s">
        <v>121</v>
      </c>
      <c r="J555" s="11">
        <v>1</v>
      </c>
      <c r="K555" s="11">
        <v>7</v>
      </c>
      <c r="L555" s="11">
        <v>6</v>
      </c>
      <c r="M555" s="11">
        <v>0</v>
      </c>
      <c r="N555" s="11">
        <v>13</v>
      </c>
    </row>
    <row r="556" spans="1:14" ht="15" customHeight="1" x14ac:dyDescent="0.25">
      <c r="A556" s="11">
        <v>47</v>
      </c>
      <c r="B556" s="11" t="s">
        <v>53</v>
      </c>
      <c r="C556" s="11" t="s">
        <v>77</v>
      </c>
      <c r="D556" s="11" t="s">
        <v>147</v>
      </c>
      <c r="E556" s="11" t="s">
        <v>98</v>
      </c>
      <c r="F556" s="11" t="s">
        <v>146</v>
      </c>
      <c r="G556" s="11" t="s">
        <v>99</v>
      </c>
      <c r="H556" s="11" t="s">
        <v>148</v>
      </c>
      <c r="I556" s="11" t="s">
        <v>112</v>
      </c>
      <c r="J556" s="11">
        <v>1</v>
      </c>
      <c r="K556" s="11">
        <v>7</v>
      </c>
      <c r="L556" s="11">
        <v>6</v>
      </c>
      <c r="M556" s="11">
        <v>5</v>
      </c>
      <c r="N556" s="11">
        <v>18</v>
      </c>
    </row>
    <row r="557" spans="1:14" ht="15" customHeight="1" x14ac:dyDescent="0.25">
      <c r="A557" s="11">
        <v>47</v>
      </c>
      <c r="B557" s="11" t="s">
        <v>53</v>
      </c>
      <c r="C557" s="11" t="s">
        <v>78</v>
      </c>
      <c r="D557" s="11" t="s">
        <v>151</v>
      </c>
      <c r="E557" s="11" t="s">
        <v>100</v>
      </c>
      <c r="F557" s="11" t="s">
        <v>150</v>
      </c>
      <c r="G557" s="11" t="s">
        <v>114</v>
      </c>
      <c r="H557" s="11" t="s">
        <v>181</v>
      </c>
      <c r="I557" s="11" t="s">
        <v>101</v>
      </c>
      <c r="J557" s="11">
        <v>1</v>
      </c>
      <c r="K557" s="11">
        <v>7</v>
      </c>
      <c r="L557" s="11">
        <v>0</v>
      </c>
      <c r="M557" s="11">
        <v>3</v>
      </c>
      <c r="N557" s="11">
        <v>10</v>
      </c>
    </row>
    <row r="558" spans="1:14" ht="15" customHeight="1" x14ac:dyDescent="0.25">
      <c r="A558" s="11">
        <v>47</v>
      </c>
      <c r="B558" s="11" t="s">
        <v>53</v>
      </c>
      <c r="C558" s="11" t="s">
        <v>79</v>
      </c>
      <c r="D558" s="11" t="s">
        <v>152</v>
      </c>
      <c r="E558" s="11" t="s">
        <v>102</v>
      </c>
      <c r="F558" s="11" t="s">
        <v>154</v>
      </c>
      <c r="G558" s="11" t="s">
        <v>103</v>
      </c>
      <c r="H558" s="11" t="s">
        <v>179</v>
      </c>
      <c r="I558" s="11" t="s">
        <v>122</v>
      </c>
      <c r="J558" s="11">
        <v>1</v>
      </c>
      <c r="K558" s="11">
        <v>7</v>
      </c>
      <c r="L558" s="11">
        <v>6</v>
      </c>
      <c r="M558" s="11">
        <v>0</v>
      </c>
      <c r="N558" s="11">
        <v>13</v>
      </c>
    </row>
    <row r="559" spans="1:14" ht="15" customHeight="1" x14ac:dyDescent="0.25">
      <c r="A559" s="11">
        <v>47</v>
      </c>
      <c r="B559" s="11" t="s">
        <v>53</v>
      </c>
      <c r="C559" s="11" t="s">
        <v>80</v>
      </c>
      <c r="D559" s="11" t="s">
        <v>155</v>
      </c>
      <c r="E559" s="11" t="s">
        <v>104</v>
      </c>
      <c r="F559" s="11" t="s">
        <v>157</v>
      </c>
      <c r="G559" s="11" t="s">
        <v>116</v>
      </c>
      <c r="H559" s="11" t="s">
        <v>183</v>
      </c>
      <c r="I559" s="11" t="s">
        <v>124</v>
      </c>
      <c r="J559" s="11">
        <v>1</v>
      </c>
      <c r="K559" s="11">
        <v>7</v>
      </c>
      <c r="L559" s="11">
        <v>3</v>
      </c>
      <c r="M559" s="11">
        <v>0</v>
      </c>
      <c r="N559" s="11">
        <v>10</v>
      </c>
    </row>
    <row r="560" spans="1:14" ht="15" customHeight="1" x14ac:dyDescent="0.25">
      <c r="A560" s="11">
        <v>47</v>
      </c>
      <c r="B560" s="11" t="s">
        <v>53</v>
      </c>
      <c r="C560" s="11" t="s">
        <v>81</v>
      </c>
      <c r="D560" s="11" t="s">
        <v>158</v>
      </c>
      <c r="E560" s="11" t="s">
        <v>68</v>
      </c>
      <c r="F560" s="11" t="s">
        <v>159</v>
      </c>
      <c r="G560" s="11" t="s">
        <v>73</v>
      </c>
      <c r="H560" s="11" t="s">
        <v>160</v>
      </c>
      <c r="I560" s="11" t="s">
        <v>69</v>
      </c>
      <c r="J560" s="11">
        <v>1</v>
      </c>
      <c r="K560" s="11">
        <v>3</v>
      </c>
      <c r="L560" s="11">
        <v>3</v>
      </c>
      <c r="M560" s="11">
        <v>3</v>
      </c>
      <c r="N560" s="11">
        <v>9</v>
      </c>
    </row>
    <row r="561" spans="1:14" ht="15" customHeight="1" x14ac:dyDescent="0.25">
      <c r="A561" s="11">
        <v>47</v>
      </c>
      <c r="B561" s="11" t="s">
        <v>53</v>
      </c>
      <c r="C561" s="11" t="s">
        <v>82</v>
      </c>
      <c r="D561" s="11" t="s">
        <v>161</v>
      </c>
      <c r="E561" s="11" t="s">
        <v>66</v>
      </c>
      <c r="F561" s="11" t="s">
        <v>162</v>
      </c>
      <c r="G561" s="11" t="s">
        <v>70</v>
      </c>
      <c r="H561" s="11" t="s">
        <v>184</v>
      </c>
      <c r="I561" s="11" t="s">
        <v>71</v>
      </c>
      <c r="J561" s="11">
        <v>1</v>
      </c>
      <c r="K561" s="11">
        <v>7</v>
      </c>
      <c r="L561" s="11">
        <v>6</v>
      </c>
      <c r="M561" s="11">
        <v>5</v>
      </c>
      <c r="N561" s="11">
        <v>18</v>
      </c>
    </row>
    <row r="562" spans="1:14" ht="15" customHeight="1" x14ac:dyDescent="0.25">
      <c r="A562" s="11">
        <v>47</v>
      </c>
      <c r="B562" s="11" t="s">
        <v>53</v>
      </c>
      <c r="C562" s="11" t="s">
        <v>83</v>
      </c>
      <c r="D562" s="11" t="s">
        <v>164</v>
      </c>
      <c r="E562" s="11" t="s">
        <v>35</v>
      </c>
      <c r="F562" s="11" t="s">
        <v>165</v>
      </c>
      <c r="G562" s="11" t="s">
        <v>44</v>
      </c>
      <c r="H562" s="11" t="s">
        <v>166</v>
      </c>
      <c r="I562" s="11" t="s">
        <v>45</v>
      </c>
      <c r="J562" s="11">
        <v>1</v>
      </c>
      <c r="K562" s="11">
        <v>7</v>
      </c>
      <c r="L562" s="11">
        <v>6</v>
      </c>
      <c r="M562" s="11">
        <v>0</v>
      </c>
      <c r="N562" s="11">
        <v>13</v>
      </c>
    </row>
    <row r="563" spans="1:14" ht="15" customHeight="1" x14ac:dyDescent="0.25">
      <c r="A563" s="11">
        <v>47</v>
      </c>
      <c r="B563" s="11" t="s">
        <v>53</v>
      </c>
      <c r="C563" s="11" t="s">
        <v>84</v>
      </c>
      <c r="D563" s="11" t="s">
        <v>167</v>
      </c>
      <c r="E563" s="11" t="s">
        <v>23</v>
      </c>
      <c r="F563" s="11" t="s">
        <v>168</v>
      </c>
      <c r="G563" s="11" t="s">
        <v>24</v>
      </c>
      <c r="H563" s="11" t="s">
        <v>169</v>
      </c>
      <c r="I563" s="11" t="s">
        <v>57</v>
      </c>
      <c r="J563" s="11">
        <v>1</v>
      </c>
      <c r="K563" s="11">
        <v>7</v>
      </c>
      <c r="L563" s="11">
        <v>6</v>
      </c>
      <c r="M563" s="11">
        <v>0</v>
      </c>
      <c r="N563" s="11">
        <v>13</v>
      </c>
    </row>
    <row r="564" spans="1:14" ht="15" customHeight="1" x14ac:dyDescent="0.25">
      <c r="A564" s="11">
        <v>47</v>
      </c>
      <c r="B564" s="11" t="s">
        <v>53</v>
      </c>
      <c r="C564" s="11" t="s">
        <v>85</v>
      </c>
      <c r="D564" s="11" t="s">
        <v>170</v>
      </c>
      <c r="E564" s="11" t="s">
        <v>107</v>
      </c>
      <c r="F564" s="11" t="s">
        <v>171</v>
      </c>
      <c r="G564" s="11" t="s">
        <v>106</v>
      </c>
      <c r="H564" s="11" t="s">
        <v>180</v>
      </c>
      <c r="I564" s="11" t="s">
        <v>123</v>
      </c>
      <c r="J564" s="11">
        <v>1</v>
      </c>
      <c r="K564" s="11">
        <v>3</v>
      </c>
      <c r="L564" s="11">
        <v>3</v>
      </c>
      <c r="M564" s="11">
        <v>0</v>
      </c>
      <c r="N564" s="11">
        <v>6</v>
      </c>
    </row>
    <row r="565" spans="1:14" ht="15" customHeight="1" x14ac:dyDescent="0.25">
      <c r="A565" s="11">
        <v>47</v>
      </c>
      <c r="B565" s="11" t="s">
        <v>53</v>
      </c>
      <c r="C565" s="11" t="s">
        <v>86</v>
      </c>
      <c r="D565" s="11" t="s">
        <v>173</v>
      </c>
      <c r="E565" s="11" t="s">
        <v>108</v>
      </c>
      <c r="F565" s="11" t="s">
        <v>174</v>
      </c>
      <c r="G565" s="11" t="s">
        <v>118</v>
      </c>
      <c r="H565" s="11" t="s">
        <v>177</v>
      </c>
      <c r="I565" s="11" t="s">
        <v>120</v>
      </c>
      <c r="J565" s="11">
        <v>1</v>
      </c>
      <c r="K565" s="11">
        <v>7</v>
      </c>
      <c r="L565" s="11">
        <v>0</v>
      </c>
      <c r="M565" s="11">
        <v>0</v>
      </c>
      <c r="N565" s="11">
        <v>7</v>
      </c>
    </row>
    <row r="566" spans="1:14" ht="15" customHeight="1" x14ac:dyDescent="0.25">
      <c r="A566" s="11">
        <v>48</v>
      </c>
      <c r="B566" s="11" t="s">
        <v>59</v>
      </c>
      <c r="C566" s="11" t="s">
        <v>75</v>
      </c>
      <c r="D566" s="11" t="s">
        <v>141</v>
      </c>
      <c r="E566" s="11" t="s">
        <v>95</v>
      </c>
      <c r="F566" s="11" t="s">
        <v>140</v>
      </c>
      <c r="G566" s="11" t="s">
        <v>94</v>
      </c>
      <c r="H566" s="11" t="s">
        <v>176</v>
      </c>
      <c r="I566" s="11" t="s">
        <v>119</v>
      </c>
      <c r="J566" s="11">
        <v>1</v>
      </c>
      <c r="K566" s="11">
        <v>3</v>
      </c>
      <c r="L566" s="11">
        <v>3</v>
      </c>
      <c r="M566" s="11">
        <v>5</v>
      </c>
      <c r="N566" s="11">
        <v>11</v>
      </c>
    </row>
    <row r="567" spans="1:14" ht="15" customHeight="1" x14ac:dyDescent="0.25">
      <c r="A567" s="11">
        <v>48</v>
      </c>
      <c r="B567" s="11" t="s">
        <v>59</v>
      </c>
      <c r="C567" s="11" t="s">
        <v>76</v>
      </c>
      <c r="D567" s="11" t="s">
        <v>143</v>
      </c>
      <c r="E567" s="11" t="s">
        <v>97</v>
      </c>
      <c r="F567" s="11" t="s">
        <v>145</v>
      </c>
      <c r="G567" s="11" t="s">
        <v>111</v>
      </c>
      <c r="H567" s="11" t="s">
        <v>144</v>
      </c>
      <c r="I567" s="11" t="s">
        <v>96</v>
      </c>
      <c r="J567" s="11">
        <v>1</v>
      </c>
      <c r="K567" s="11">
        <v>3</v>
      </c>
      <c r="L567" s="11">
        <v>0</v>
      </c>
      <c r="M567" s="11">
        <v>3</v>
      </c>
      <c r="N567" s="11">
        <v>6</v>
      </c>
    </row>
    <row r="568" spans="1:14" ht="15" customHeight="1" x14ac:dyDescent="0.25">
      <c r="A568" s="11">
        <v>48</v>
      </c>
      <c r="B568" s="11" t="s">
        <v>59</v>
      </c>
      <c r="C568" s="11" t="s">
        <v>77</v>
      </c>
      <c r="D568" s="11" t="s">
        <v>147</v>
      </c>
      <c r="E568" s="11" t="s">
        <v>98</v>
      </c>
      <c r="F568" s="11" t="s">
        <v>146</v>
      </c>
      <c r="G568" s="11" t="s">
        <v>99</v>
      </c>
      <c r="H568" s="11" t="s">
        <v>148</v>
      </c>
      <c r="I568" s="11" t="s">
        <v>112</v>
      </c>
      <c r="J568" s="11">
        <v>1</v>
      </c>
      <c r="K568" s="11">
        <v>7</v>
      </c>
      <c r="L568" s="11">
        <v>6</v>
      </c>
      <c r="M568" s="11">
        <v>5</v>
      </c>
      <c r="N568" s="11">
        <v>18</v>
      </c>
    </row>
    <row r="569" spans="1:14" ht="15" customHeight="1" x14ac:dyDescent="0.25">
      <c r="A569" s="11">
        <v>48</v>
      </c>
      <c r="B569" s="11" t="s">
        <v>59</v>
      </c>
      <c r="C569" s="11" t="s">
        <v>78</v>
      </c>
      <c r="D569" s="11" t="s">
        <v>151</v>
      </c>
      <c r="E569" s="11" t="s">
        <v>100</v>
      </c>
      <c r="F569" s="11" t="s">
        <v>150</v>
      </c>
      <c r="G569" s="11" t="s">
        <v>114</v>
      </c>
      <c r="H569" s="11" t="s">
        <v>149</v>
      </c>
      <c r="I569" s="11" t="s">
        <v>113</v>
      </c>
      <c r="J569" s="11">
        <v>1</v>
      </c>
      <c r="K569" s="11">
        <v>7</v>
      </c>
      <c r="L569" s="11">
        <v>0</v>
      </c>
      <c r="M569" s="11">
        <v>5</v>
      </c>
      <c r="N569" s="11">
        <v>12</v>
      </c>
    </row>
    <row r="570" spans="1:14" ht="15" customHeight="1" x14ac:dyDescent="0.25">
      <c r="A570" s="11">
        <v>48</v>
      </c>
      <c r="B570" s="11" t="s">
        <v>59</v>
      </c>
      <c r="C570" s="11" t="s">
        <v>79</v>
      </c>
      <c r="D570" s="11" t="s">
        <v>152</v>
      </c>
      <c r="E570" s="11" t="s">
        <v>102</v>
      </c>
      <c r="F570" s="11" t="s">
        <v>153</v>
      </c>
      <c r="G570" s="11" t="s">
        <v>115</v>
      </c>
      <c r="H570" s="11" t="s">
        <v>154</v>
      </c>
      <c r="I570" s="11" t="s">
        <v>103</v>
      </c>
      <c r="J570" s="11">
        <v>1</v>
      </c>
      <c r="K570" s="11">
        <v>7</v>
      </c>
      <c r="L570" s="11">
        <v>3</v>
      </c>
      <c r="M570" s="11">
        <v>3</v>
      </c>
      <c r="N570" s="11">
        <v>13</v>
      </c>
    </row>
    <row r="571" spans="1:14" ht="15" customHeight="1" x14ac:dyDescent="0.25">
      <c r="A571" s="11">
        <v>48</v>
      </c>
      <c r="B571" s="11" t="s">
        <v>59</v>
      </c>
      <c r="C571" s="11" t="s">
        <v>80</v>
      </c>
      <c r="D571" s="11" t="s">
        <v>155</v>
      </c>
      <c r="E571" s="11" t="s">
        <v>104</v>
      </c>
      <c r="F571" s="11" t="s">
        <v>157</v>
      </c>
      <c r="G571" s="11" t="s">
        <v>116</v>
      </c>
      <c r="H571" s="11" t="s">
        <v>156</v>
      </c>
      <c r="I571" s="11" t="s">
        <v>105</v>
      </c>
      <c r="J571" s="11">
        <v>1</v>
      </c>
      <c r="K571" s="11">
        <v>7</v>
      </c>
      <c r="L571" s="11">
        <v>3</v>
      </c>
      <c r="M571" s="11">
        <v>3</v>
      </c>
      <c r="N571" s="11">
        <v>13</v>
      </c>
    </row>
    <row r="572" spans="1:14" ht="15" customHeight="1" x14ac:dyDescent="0.25">
      <c r="A572" s="11">
        <v>48</v>
      </c>
      <c r="B572" s="11" t="s">
        <v>59</v>
      </c>
      <c r="C572" s="11" t="s">
        <v>81</v>
      </c>
      <c r="D572" s="11" t="s">
        <v>158</v>
      </c>
      <c r="E572" s="11" t="s">
        <v>68</v>
      </c>
      <c r="F572" s="11" t="s">
        <v>159</v>
      </c>
      <c r="G572" s="11" t="s">
        <v>73</v>
      </c>
      <c r="H572" s="11" t="s">
        <v>160</v>
      </c>
      <c r="I572" s="11" t="s">
        <v>69</v>
      </c>
      <c r="J572" s="11">
        <v>1</v>
      </c>
      <c r="K572" s="11">
        <v>3</v>
      </c>
      <c r="L572" s="11">
        <v>3</v>
      </c>
      <c r="M572" s="11">
        <v>3</v>
      </c>
      <c r="N572" s="11">
        <v>9</v>
      </c>
    </row>
    <row r="573" spans="1:14" ht="15" customHeight="1" x14ac:dyDescent="0.25">
      <c r="A573" s="11">
        <v>48</v>
      </c>
      <c r="B573" s="11" t="s">
        <v>59</v>
      </c>
      <c r="C573" s="11" t="s">
        <v>82</v>
      </c>
      <c r="D573" s="11" t="s">
        <v>161</v>
      </c>
      <c r="E573" s="11" t="s">
        <v>66</v>
      </c>
      <c r="F573" s="11" t="s">
        <v>162</v>
      </c>
      <c r="G573" s="11" t="s">
        <v>70</v>
      </c>
      <c r="H573" s="11" t="s">
        <v>163</v>
      </c>
      <c r="I573" s="11" t="s">
        <v>67</v>
      </c>
      <c r="J573" s="11">
        <v>1</v>
      </c>
      <c r="K573" s="11">
        <v>7</v>
      </c>
      <c r="L573" s="11">
        <v>6</v>
      </c>
      <c r="M573" s="11">
        <v>0</v>
      </c>
      <c r="N573" s="11">
        <v>13</v>
      </c>
    </row>
    <row r="574" spans="1:14" ht="15" customHeight="1" x14ac:dyDescent="0.25">
      <c r="A574" s="11">
        <v>48</v>
      </c>
      <c r="B574" s="11" t="s">
        <v>59</v>
      </c>
      <c r="C574" s="11" t="s">
        <v>83</v>
      </c>
      <c r="D574" s="11" t="s">
        <v>165</v>
      </c>
      <c r="E574" s="11" t="s">
        <v>44</v>
      </c>
      <c r="F574" s="11" t="s">
        <v>164</v>
      </c>
      <c r="G574" s="11" t="s">
        <v>35</v>
      </c>
      <c r="H574" s="11" t="s">
        <v>166</v>
      </c>
      <c r="I574" s="11" t="s">
        <v>45</v>
      </c>
      <c r="J574" s="11">
        <v>1</v>
      </c>
      <c r="K574" s="11">
        <v>3</v>
      </c>
      <c r="L574" s="11">
        <v>3</v>
      </c>
      <c r="M574" s="11">
        <v>0</v>
      </c>
      <c r="N574" s="11">
        <v>6</v>
      </c>
    </row>
    <row r="575" spans="1:14" ht="15" customHeight="1" x14ac:dyDescent="0.25">
      <c r="A575" s="11">
        <v>48</v>
      </c>
      <c r="B575" s="11" t="s">
        <v>59</v>
      </c>
      <c r="C575" s="11" t="s">
        <v>84</v>
      </c>
      <c r="D575" s="11" t="s">
        <v>167</v>
      </c>
      <c r="E575" s="11" t="s">
        <v>23</v>
      </c>
      <c r="F575" s="11" t="s">
        <v>169</v>
      </c>
      <c r="G575" s="11" t="s">
        <v>57</v>
      </c>
      <c r="H575" s="11" t="s">
        <v>168</v>
      </c>
      <c r="I575" s="11" t="s">
        <v>24</v>
      </c>
      <c r="J575" s="11">
        <v>1</v>
      </c>
      <c r="K575" s="11">
        <v>7</v>
      </c>
      <c r="L575" s="11">
        <v>0</v>
      </c>
      <c r="M575" s="11">
        <v>3</v>
      </c>
      <c r="N575" s="11">
        <v>10</v>
      </c>
    </row>
    <row r="576" spans="1:14" ht="15" customHeight="1" x14ac:dyDescent="0.25">
      <c r="A576" s="11">
        <v>48</v>
      </c>
      <c r="B576" s="11" t="s">
        <v>59</v>
      </c>
      <c r="C576" s="11" t="s">
        <v>85</v>
      </c>
      <c r="D576" s="11" t="s">
        <v>170</v>
      </c>
      <c r="E576" s="11" t="s">
        <v>107</v>
      </c>
      <c r="F576" s="11" t="s">
        <v>171</v>
      </c>
      <c r="G576" s="11" t="s">
        <v>106</v>
      </c>
      <c r="H576" s="11" t="s">
        <v>180</v>
      </c>
      <c r="I576" s="11" t="s">
        <v>123</v>
      </c>
      <c r="J576" s="11">
        <v>1</v>
      </c>
      <c r="K576" s="11">
        <v>3</v>
      </c>
      <c r="L576" s="11">
        <v>3</v>
      </c>
      <c r="M576" s="11">
        <v>0</v>
      </c>
      <c r="N576" s="11">
        <v>6</v>
      </c>
    </row>
    <row r="577" spans="1:14" ht="15" customHeight="1" x14ac:dyDescent="0.25">
      <c r="A577" s="11">
        <v>48</v>
      </c>
      <c r="B577" s="11" t="s">
        <v>59</v>
      </c>
      <c r="C577" s="11" t="s">
        <v>86</v>
      </c>
      <c r="D577" s="11" t="s">
        <v>173</v>
      </c>
      <c r="E577" s="11" t="s">
        <v>108</v>
      </c>
      <c r="F577" s="11" t="s">
        <v>174</v>
      </c>
      <c r="G577" s="11" t="s">
        <v>118</v>
      </c>
      <c r="H577" s="11" t="s">
        <v>177</v>
      </c>
      <c r="I577" s="11" t="s">
        <v>120</v>
      </c>
      <c r="J577" s="11">
        <v>1</v>
      </c>
      <c r="K577" s="11">
        <v>7</v>
      </c>
      <c r="L577" s="11">
        <v>0</v>
      </c>
      <c r="M577" s="11">
        <v>0</v>
      </c>
      <c r="N577" s="11">
        <v>7</v>
      </c>
    </row>
    <row r="578" spans="1:14" ht="15" customHeight="1" x14ac:dyDescent="0.25">
      <c r="A578" s="11">
        <v>49</v>
      </c>
      <c r="B578" s="11" t="s">
        <v>61</v>
      </c>
      <c r="C578" s="11" t="s">
        <v>75</v>
      </c>
      <c r="D578" s="11" t="s">
        <v>141</v>
      </c>
      <c r="E578" s="11" t="s">
        <v>95</v>
      </c>
      <c r="F578" s="11" t="s">
        <v>140</v>
      </c>
      <c r="G578" s="11" t="s">
        <v>94</v>
      </c>
      <c r="H578" s="11" t="s">
        <v>176</v>
      </c>
      <c r="I578" s="11" t="s">
        <v>119</v>
      </c>
      <c r="J578" s="11">
        <v>1</v>
      </c>
      <c r="K578" s="11">
        <v>3</v>
      </c>
      <c r="L578" s="11">
        <v>3</v>
      </c>
      <c r="M578" s="11">
        <v>5</v>
      </c>
      <c r="N578" s="11">
        <v>11</v>
      </c>
    </row>
    <row r="579" spans="1:14" ht="15" customHeight="1" x14ac:dyDescent="0.25">
      <c r="A579" s="11">
        <v>49</v>
      </c>
      <c r="B579" s="11" t="s">
        <v>61</v>
      </c>
      <c r="C579" s="11" t="s">
        <v>76</v>
      </c>
      <c r="D579" s="11" t="s">
        <v>143</v>
      </c>
      <c r="E579" s="11" t="s">
        <v>97</v>
      </c>
      <c r="F579" s="11" t="s">
        <v>144</v>
      </c>
      <c r="G579" s="11" t="s">
        <v>96</v>
      </c>
      <c r="H579" s="11" t="s">
        <v>145</v>
      </c>
      <c r="I579" s="11" t="s">
        <v>111</v>
      </c>
      <c r="J579" s="11">
        <v>1</v>
      </c>
      <c r="K579" s="11">
        <v>3</v>
      </c>
      <c r="L579" s="11">
        <v>3</v>
      </c>
      <c r="M579" s="11">
        <v>0</v>
      </c>
      <c r="N579" s="11">
        <v>6</v>
      </c>
    </row>
    <row r="580" spans="1:14" ht="15" customHeight="1" x14ac:dyDescent="0.25">
      <c r="A580" s="11">
        <v>49</v>
      </c>
      <c r="B580" s="11" t="s">
        <v>61</v>
      </c>
      <c r="C580" s="11" t="s">
        <v>77</v>
      </c>
      <c r="D580" s="11" t="s">
        <v>146</v>
      </c>
      <c r="E580" s="11" t="s">
        <v>99</v>
      </c>
      <c r="F580" s="11" t="s">
        <v>147</v>
      </c>
      <c r="G580" s="11" t="s">
        <v>98</v>
      </c>
      <c r="H580" s="11" t="s">
        <v>148</v>
      </c>
      <c r="I580" s="11" t="s">
        <v>112</v>
      </c>
      <c r="J580" s="11">
        <v>1</v>
      </c>
      <c r="K580" s="11">
        <v>3</v>
      </c>
      <c r="L580" s="11">
        <v>3</v>
      </c>
      <c r="M580" s="11">
        <v>5</v>
      </c>
      <c r="N580" s="11">
        <v>11</v>
      </c>
    </row>
    <row r="581" spans="1:14" ht="15" customHeight="1" x14ac:dyDescent="0.25">
      <c r="A581" s="11">
        <v>49</v>
      </c>
      <c r="B581" s="11" t="s">
        <v>61</v>
      </c>
      <c r="C581" s="11" t="s">
        <v>78</v>
      </c>
      <c r="D581" s="11" t="s">
        <v>151</v>
      </c>
      <c r="E581" s="11" t="s">
        <v>100</v>
      </c>
      <c r="F581" s="11" t="s">
        <v>150</v>
      </c>
      <c r="G581" s="11" t="s">
        <v>114</v>
      </c>
      <c r="H581" s="11" t="s">
        <v>149</v>
      </c>
      <c r="I581" s="11" t="s">
        <v>113</v>
      </c>
      <c r="J581" s="11">
        <v>1</v>
      </c>
      <c r="K581" s="11">
        <v>7</v>
      </c>
      <c r="L581" s="11">
        <v>0</v>
      </c>
      <c r="M581" s="11">
        <v>5</v>
      </c>
      <c r="N581" s="11">
        <v>12</v>
      </c>
    </row>
    <row r="582" spans="1:14" ht="15" customHeight="1" x14ac:dyDescent="0.25">
      <c r="A582" s="11">
        <v>49</v>
      </c>
      <c r="B582" s="11" t="s">
        <v>61</v>
      </c>
      <c r="C582" s="11" t="s">
        <v>79</v>
      </c>
      <c r="D582" s="11" t="s">
        <v>152</v>
      </c>
      <c r="E582" s="11" t="s">
        <v>102</v>
      </c>
      <c r="F582" s="11" t="s">
        <v>154</v>
      </c>
      <c r="G582" s="11" t="s">
        <v>103</v>
      </c>
      <c r="H582" s="11" t="s">
        <v>153</v>
      </c>
      <c r="I582" s="11" t="s">
        <v>115</v>
      </c>
      <c r="J582" s="11">
        <v>1</v>
      </c>
      <c r="K582" s="11">
        <v>7</v>
      </c>
      <c r="L582" s="11">
        <v>6</v>
      </c>
      <c r="M582" s="11">
        <v>5</v>
      </c>
      <c r="N582" s="11">
        <v>18</v>
      </c>
    </row>
    <row r="583" spans="1:14" ht="15" customHeight="1" x14ac:dyDescent="0.25">
      <c r="A583" s="11">
        <v>49</v>
      </c>
      <c r="B583" s="11" t="s">
        <v>61</v>
      </c>
      <c r="C583" s="11" t="s">
        <v>80</v>
      </c>
      <c r="D583" s="11" t="s">
        <v>155</v>
      </c>
      <c r="E583" s="11" t="s">
        <v>104</v>
      </c>
      <c r="F583" s="11" t="s">
        <v>156</v>
      </c>
      <c r="G583" s="11" t="s">
        <v>105</v>
      </c>
      <c r="H583" s="11" t="s">
        <v>157</v>
      </c>
      <c r="I583" s="11" t="s">
        <v>116</v>
      </c>
      <c r="J583" s="11">
        <v>1</v>
      </c>
      <c r="K583" s="11">
        <v>7</v>
      </c>
      <c r="L583" s="11">
        <v>6</v>
      </c>
      <c r="M583" s="11">
        <v>5</v>
      </c>
      <c r="N583" s="11">
        <v>18</v>
      </c>
    </row>
    <row r="584" spans="1:14" ht="15" customHeight="1" x14ac:dyDescent="0.25">
      <c r="A584" s="11">
        <v>49</v>
      </c>
      <c r="B584" s="11" t="s">
        <v>61</v>
      </c>
      <c r="C584" s="11" t="s">
        <v>81</v>
      </c>
      <c r="D584" s="11" t="s">
        <v>158</v>
      </c>
      <c r="E584" s="11" t="s">
        <v>68</v>
      </c>
      <c r="F584" s="11" t="s">
        <v>159</v>
      </c>
      <c r="G584" s="11" t="s">
        <v>73</v>
      </c>
      <c r="H584" s="11" t="s">
        <v>160</v>
      </c>
      <c r="I584" s="11" t="s">
        <v>69</v>
      </c>
      <c r="J584" s="11">
        <v>1</v>
      </c>
      <c r="K584" s="11">
        <v>3</v>
      </c>
      <c r="L584" s="11">
        <v>3</v>
      </c>
      <c r="M584" s="11">
        <v>3</v>
      </c>
      <c r="N584" s="11">
        <v>9</v>
      </c>
    </row>
    <row r="585" spans="1:14" ht="15" customHeight="1" x14ac:dyDescent="0.25">
      <c r="A585" s="11">
        <v>49</v>
      </c>
      <c r="B585" s="11" t="s">
        <v>61</v>
      </c>
      <c r="C585" s="11" t="s">
        <v>82</v>
      </c>
      <c r="D585" s="11" t="s">
        <v>161</v>
      </c>
      <c r="E585" s="11" t="s">
        <v>66</v>
      </c>
      <c r="F585" s="11" t="s">
        <v>162</v>
      </c>
      <c r="G585" s="11" t="s">
        <v>70</v>
      </c>
      <c r="H585" s="11" t="s">
        <v>184</v>
      </c>
      <c r="I585" s="11" t="s">
        <v>71</v>
      </c>
      <c r="J585" s="11">
        <v>1</v>
      </c>
      <c r="K585" s="11">
        <v>7</v>
      </c>
      <c r="L585" s="11">
        <v>6</v>
      </c>
      <c r="M585" s="11">
        <v>5</v>
      </c>
      <c r="N585" s="11">
        <v>18</v>
      </c>
    </row>
    <row r="586" spans="1:14" ht="15" customHeight="1" x14ac:dyDescent="0.25">
      <c r="A586" s="11">
        <v>49</v>
      </c>
      <c r="B586" s="11" t="s">
        <v>61</v>
      </c>
      <c r="C586" s="11" t="s">
        <v>83</v>
      </c>
      <c r="D586" s="11" t="s">
        <v>164</v>
      </c>
      <c r="E586" s="11" t="s">
        <v>35</v>
      </c>
      <c r="F586" s="11" t="s">
        <v>165</v>
      </c>
      <c r="G586" s="11" t="s">
        <v>44</v>
      </c>
      <c r="H586" s="11" t="s">
        <v>166</v>
      </c>
      <c r="I586" s="11" t="s">
        <v>45</v>
      </c>
      <c r="J586" s="11">
        <v>1</v>
      </c>
      <c r="K586" s="11">
        <v>7</v>
      </c>
      <c r="L586" s="11">
        <v>6</v>
      </c>
      <c r="M586" s="11">
        <v>0</v>
      </c>
      <c r="N586" s="11">
        <v>13</v>
      </c>
    </row>
    <row r="587" spans="1:14" ht="15" customHeight="1" x14ac:dyDescent="0.25">
      <c r="A587" s="11">
        <v>49</v>
      </c>
      <c r="B587" s="11" t="s">
        <v>61</v>
      </c>
      <c r="C587" s="11" t="s">
        <v>84</v>
      </c>
      <c r="D587" s="11" t="s">
        <v>167</v>
      </c>
      <c r="E587" s="11" t="s">
        <v>23</v>
      </c>
      <c r="F587" s="11" t="s">
        <v>168</v>
      </c>
      <c r="G587" s="11" t="s">
        <v>24</v>
      </c>
      <c r="H587" s="11" t="s">
        <v>169</v>
      </c>
      <c r="I587" s="11" t="s">
        <v>57</v>
      </c>
      <c r="J587" s="11">
        <v>1</v>
      </c>
      <c r="K587" s="11">
        <v>7</v>
      </c>
      <c r="L587" s="11">
        <v>6</v>
      </c>
      <c r="M587" s="11">
        <v>0</v>
      </c>
      <c r="N587" s="11">
        <v>13</v>
      </c>
    </row>
    <row r="588" spans="1:14" ht="15" customHeight="1" x14ac:dyDescent="0.25">
      <c r="A588" s="11">
        <v>49</v>
      </c>
      <c r="B588" s="11" t="s">
        <v>61</v>
      </c>
      <c r="C588" s="11" t="s">
        <v>85</v>
      </c>
      <c r="D588" s="11" t="s">
        <v>170</v>
      </c>
      <c r="E588" s="11" t="s">
        <v>107</v>
      </c>
      <c r="F588" s="11" t="s">
        <v>171</v>
      </c>
      <c r="G588" s="11" t="s">
        <v>106</v>
      </c>
      <c r="H588" s="11" t="s">
        <v>172</v>
      </c>
      <c r="I588" s="11" t="s">
        <v>117</v>
      </c>
      <c r="J588" s="11">
        <v>1</v>
      </c>
      <c r="K588" s="11">
        <v>3</v>
      </c>
      <c r="L588" s="11">
        <v>3</v>
      </c>
      <c r="M588" s="11">
        <v>5</v>
      </c>
      <c r="N588" s="11">
        <v>11</v>
      </c>
    </row>
    <row r="589" spans="1:14" ht="15" customHeight="1" x14ac:dyDescent="0.25">
      <c r="A589" s="11">
        <v>49</v>
      </c>
      <c r="B589" s="11" t="s">
        <v>61</v>
      </c>
      <c r="C589" s="11" t="s">
        <v>86</v>
      </c>
      <c r="D589" s="11" t="s">
        <v>173</v>
      </c>
      <c r="E589" s="11" t="s">
        <v>108</v>
      </c>
      <c r="F589" s="11" t="s">
        <v>174</v>
      </c>
      <c r="G589" s="11" t="s">
        <v>118</v>
      </c>
      <c r="H589" s="11" t="s">
        <v>177</v>
      </c>
      <c r="I589" s="11" t="s">
        <v>120</v>
      </c>
      <c r="J589" s="11">
        <v>1</v>
      </c>
      <c r="K589" s="11">
        <v>7</v>
      </c>
      <c r="L589" s="11">
        <v>0</v>
      </c>
      <c r="M589" s="11">
        <v>0</v>
      </c>
      <c r="N589" s="11">
        <v>7</v>
      </c>
    </row>
    <row r="590" spans="1:14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spans="1:14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spans="1:14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spans="1:14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spans="1:14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spans="1:14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spans="1:14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spans="1:14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spans="1:14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spans="1:14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spans="1:14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spans="1:14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spans="1:14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spans="1:14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spans="1:14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spans="1:14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spans="1:14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spans="1:14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spans="1:14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spans="1:14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spans="1:14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spans="1:14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spans="1:14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spans="1:14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spans="1:14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spans="1:14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spans="1:14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spans="1:14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spans="1:14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spans="1:14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1:14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spans="1:14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spans="1:14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spans="1:14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spans="1:14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spans="1:14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spans="1:14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spans="1:14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1:14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1:14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spans="1:14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spans="1:14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spans="1:14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spans="1:14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spans="1:14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spans="1:14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spans="1:14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spans="1:14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spans="1:14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spans="1:14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spans="1:14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spans="1:14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spans="1:14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spans="1:14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spans="1:14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spans="1:14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spans="1:14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spans="1:14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spans="1:14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spans="1:14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spans="1:14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spans="1:14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spans="1:14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spans="1:14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spans="1:14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spans="1:14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spans="1:14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spans="1:14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spans="1:14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spans="1:14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spans="1:14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spans="1:14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spans="1:14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spans="1:14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spans="1:14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spans="1:14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spans="1:14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spans="1:14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spans="1:14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spans="1:14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spans="1:14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spans="1:14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spans="1:14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spans="1:14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spans="1:14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spans="1:14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spans="1:14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spans="1:14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spans="1:14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spans="1:14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spans="1:14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spans="1:14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spans="1:14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spans="1:14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spans="1:14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spans="1:14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spans="1:14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spans="1:14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spans="1:14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spans="1:14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spans="1:14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spans="1:14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1:14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spans="1:14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spans="1:14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spans="1:14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spans="1:14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spans="1:14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spans="1:14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spans="1:14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1:14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spans="1:14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spans="1:14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spans="1:14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spans="1:14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spans="1:14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spans="1:14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spans="1:14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spans="1:14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pans="1:14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pans="1:14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pans="1:14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pans="1:14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pans="1:14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pans="1:14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pans="1:14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pans="1:14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pans="1:14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pans="1:14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pans="1:14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pans="1:14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spans="1:14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spans="1:14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spans="1:14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spans="1:14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spans="1:14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spans="1:14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spans="1:14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spans="1:14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spans="1:14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spans="1:14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spans="1:14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spans="1:14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spans="1:14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spans="1:14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spans="1:14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spans="1:14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spans="1:14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spans="1:14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spans="1:14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spans="1:14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spans="1:14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spans="1:14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spans="1:14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spans="1:14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spans="1:14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spans="1:14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spans="1:14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spans="1:14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spans="1:14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spans="1:14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spans="1:14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spans="1:14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1:14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spans="1:14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spans="1:14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spans="1:14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spans="1:14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spans="1:14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spans="1:14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spans="1:14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spans="1:14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spans="1:14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spans="1:14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spans="1:14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spans="1:14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spans="1:14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spans="1:14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spans="1:14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spans="1:14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spans="1:14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spans="1:14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spans="1:14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spans="1:14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spans="1:14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spans="1:14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spans="1:14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spans="1:14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spans="1:14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spans="1:14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spans="1:14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spans="1:14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spans="1:14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spans="1:14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spans="1:14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spans="1:14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spans="1:14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spans="1:14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spans="1:14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spans="1:14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spans="1:14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spans="1:14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spans="1:14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spans="1:14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spans="1:14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spans="1:14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spans="1:14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spans="1:14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spans="1:14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spans="1:14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spans="1:14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spans="1:14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spans="1:14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spans="1:14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spans="1:14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spans="1:14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spans="1:14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spans="1:14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spans="1:14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spans="1:14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spans="1:14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spans="1:14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spans="1:14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spans="1:14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spans="1:14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spans="1:14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spans="1:14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spans="1:14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spans="1:14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spans="1:14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spans="1:14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spans="1:14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spans="1:14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spans="1:14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spans="1:14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1:14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spans="1:14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pans="1:14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pans="1:14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pans="1:14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1:14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pans="1:14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pans="1:14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pans="1:14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pans="1:14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pans="1:14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pans="1:14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pans="1:14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pans="1:14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spans="1:14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spans="1:14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spans="1:14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spans="1:14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spans="1:14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spans="1:14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1:14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spans="1:14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spans="1:14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spans="1:14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spans="1:14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spans="1:14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spans="1:14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spans="1:14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spans="1:14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spans="1:14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spans="1:14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spans="1:14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spans="1:14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spans="1:14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spans="1:14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spans="1:14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spans="1:14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spans="1:14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spans="1:14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spans="1:14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spans="1:14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1:14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spans="1:14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spans="1:14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spans="1:14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spans="1:14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spans="1:14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spans="1:14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spans="1:14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spans="1:14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spans="1:14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spans="1:14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spans="1:14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spans="1:14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spans="1:14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spans="1:14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spans="1:14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spans="1:14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spans="1:14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spans="1:14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spans="1:14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spans="1:14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spans="1:14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spans="1:14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spans="1:14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spans="1:14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spans="1:14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spans="1:14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spans="1:14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spans="1:14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spans="1:14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spans="1:14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spans="1:14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spans="1:14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spans="1:14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spans="1:14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spans="1:14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spans="1:14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spans="1:14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spans="1:14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spans="1:14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spans="1:14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spans="1:14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spans="1:14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spans="1:14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spans="1:14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spans="1:14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spans="1:14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spans="1:14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spans="1:14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spans="1:14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spans="1:14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spans="1:14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spans="1:14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spans="1:14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spans="1:14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spans="1:14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spans="1:14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spans="1:14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spans="1:14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spans="1:14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spans="1:14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1:14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spans="1:14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spans="1:14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spans="1:14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spans="1:14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spans="1:14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1:14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spans="1:14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spans="1:14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spans="1:14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spans="1:14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spans="1:14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spans="1:14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spans="1:14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spans="1:14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spans="1:14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spans="1:14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spans="1:14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spans="1:14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spans="1:14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spans="1:14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spans="1:14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spans="1:14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spans="1:14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spans="1:14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spans="1:14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spans="1:14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spans="1:14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spans="1:14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spans="1:14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spans="1:14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1:14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1:14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1:14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1:14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spans="1:14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spans="1:14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spans="1:14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spans="1:14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spans="1:14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spans="1:14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spans="1:14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spans="1:14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spans="1:14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spans="1:14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spans="1:14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spans="1:14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spans="1:14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spans="1:14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spans="1:14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spans="1:14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spans="1:14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spans="1:14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spans="1:14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spans="1:14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spans="1:14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spans="1:14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spans="1:14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spans="1:14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spans="1:14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spans="1:14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spans="1:14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spans="1:14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spans="1:14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P50"/>
  <sheetViews>
    <sheetView showGridLines="0" topLeftCell="A13" workbookViewId="0">
      <selection sqref="A1:L50"/>
    </sheetView>
  </sheetViews>
  <sheetFormatPr baseColWidth="10" defaultRowHeight="15" x14ac:dyDescent="0.25"/>
  <cols>
    <col min="1" max="1" width="11.42578125" style="1"/>
    <col min="2" max="2" width="11.42578125" style="2"/>
    <col min="3" max="4" width="11.42578125" style="1"/>
    <col min="5" max="5" width="8.5703125" style="1" customWidth="1"/>
    <col min="6" max="146" width="11.42578125" style="1"/>
  </cols>
  <sheetData>
    <row r="1" spans="1:146" ht="15" customHeight="1" x14ac:dyDescent="0.25">
      <c r="A1" s="12"/>
      <c r="B1" s="13" t="s">
        <v>2</v>
      </c>
      <c r="C1" s="14" t="s">
        <v>94</v>
      </c>
      <c r="D1" s="14" t="s">
        <v>110</v>
      </c>
      <c r="E1" s="14" t="s">
        <v>188</v>
      </c>
      <c r="F1" s="14" t="s">
        <v>119</v>
      </c>
      <c r="G1" s="14" t="s">
        <v>96</v>
      </c>
      <c r="H1" s="14" t="s">
        <v>189</v>
      </c>
      <c r="I1" s="14" t="s">
        <v>100</v>
      </c>
      <c r="J1" s="14" t="s">
        <v>113</v>
      </c>
      <c r="K1" s="14" t="s">
        <v>125</v>
      </c>
      <c r="L1" s="14" t="s">
        <v>112</v>
      </c>
      <c r="M1" s="14" t="s">
        <v>101</v>
      </c>
      <c r="N1" s="14" t="s">
        <v>114</v>
      </c>
      <c r="O1" s="14" t="s">
        <v>98</v>
      </c>
      <c r="P1" s="14" t="s">
        <v>99</v>
      </c>
      <c r="Q1" s="14" t="s">
        <v>121</v>
      </c>
      <c r="R1" s="14" t="s">
        <v>97</v>
      </c>
      <c r="S1" s="14" t="s">
        <v>103</v>
      </c>
      <c r="T1" s="14" t="s">
        <v>115</v>
      </c>
      <c r="U1" s="14" t="s">
        <v>102</v>
      </c>
      <c r="V1" s="14" t="s">
        <v>122</v>
      </c>
      <c r="W1" s="14" t="s">
        <v>104</v>
      </c>
      <c r="X1" s="14" t="s">
        <v>105</v>
      </c>
      <c r="Y1" s="14" t="s">
        <v>116</v>
      </c>
      <c r="Z1" s="14" t="s">
        <v>124</v>
      </c>
      <c r="AA1" s="14" t="s">
        <v>67</v>
      </c>
      <c r="AB1" s="14" t="s">
        <v>70</v>
      </c>
      <c r="AC1" s="14" t="s">
        <v>66</v>
      </c>
      <c r="AD1" s="14" t="s">
        <v>71</v>
      </c>
      <c r="AE1" s="14" t="s">
        <v>69</v>
      </c>
      <c r="AF1" s="14" t="s">
        <v>72</v>
      </c>
      <c r="AG1" s="14" t="s">
        <v>68</v>
      </c>
      <c r="AH1" s="14" t="s">
        <v>73</v>
      </c>
      <c r="AI1" s="14" t="s">
        <v>35</v>
      </c>
      <c r="AJ1" s="14" t="s">
        <v>45</v>
      </c>
      <c r="AK1" s="14" t="s">
        <v>36</v>
      </c>
      <c r="AL1" s="14" t="s">
        <v>44</v>
      </c>
      <c r="AM1" s="14" t="s">
        <v>23</v>
      </c>
      <c r="AN1" s="14" t="s">
        <v>57</v>
      </c>
      <c r="AO1" s="14" t="s">
        <v>24</v>
      </c>
      <c r="AP1" s="14" t="s">
        <v>56</v>
      </c>
      <c r="AQ1" s="14" t="s">
        <v>109</v>
      </c>
      <c r="AR1" s="14" t="s">
        <v>120</v>
      </c>
      <c r="AS1" s="14" t="s">
        <v>108</v>
      </c>
      <c r="AT1" s="14" t="s">
        <v>118</v>
      </c>
      <c r="AU1" s="14" t="s">
        <v>107</v>
      </c>
      <c r="AV1" s="14" t="s">
        <v>117</v>
      </c>
      <c r="AW1" s="14" t="s">
        <v>123</v>
      </c>
      <c r="AX1" s="14" t="s">
        <v>106</v>
      </c>
      <c r="AY1" s="14" t="s">
        <v>119</v>
      </c>
      <c r="AZ1" s="14" t="s">
        <v>110</v>
      </c>
      <c r="BA1" s="14" t="s">
        <v>97</v>
      </c>
      <c r="BB1" s="14" t="s">
        <v>189</v>
      </c>
      <c r="BC1" s="14" t="s">
        <v>96</v>
      </c>
      <c r="BD1" s="14" t="s">
        <v>121</v>
      </c>
      <c r="BE1" s="14" t="s">
        <v>94</v>
      </c>
      <c r="BF1" s="14" t="s">
        <v>95</v>
      </c>
      <c r="BG1" s="14" t="s">
        <v>98</v>
      </c>
      <c r="BH1" s="14" t="s">
        <v>125</v>
      </c>
      <c r="BI1" s="14" t="s">
        <v>112</v>
      </c>
      <c r="BJ1" s="14" t="s">
        <v>99</v>
      </c>
      <c r="BK1" s="14" t="s">
        <v>114</v>
      </c>
      <c r="BL1" s="14" t="s">
        <v>113</v>
      </c>
      <c r="BM1" s="14" t="s">
        <v>100</v>
      </c>
      <c r="BN1" s="14" t="s">
        <v>101</v>
      </c>
      <c r="BO1" s="14" t="s">
        <v>102</v>
      </c>
      <c r="BP1" s="14" t="s">
        <v>103</v>
      </c>
      <c r="BQ1" s="14" t="s">
        <v>115</v>
      </c>
      <c r="BR1" s="14" t="s">
        <v>122</v>
      </c>
      <c r="BS1" s="14" t="s">
        <v>104</v>
      </c>
      <c r="BT1" s="14" t="s">
        <v>116</v>
      </c>
      <c r="BU1" s="14" t="s">
        <v>124</v>
      </c>
      <c r="BV1" s="14" t="s">
        <v>105</v>
      </c>
      <c r="BW1" s="14" t="s">
        <v>70</v>
      </c>
      <c r="BX1" s="14" t="s">
        <v>71</v>
      </c>
      <c r="BY1" s="14" t="s">
        <v>66</v>
      </c>
      <c r="BZ1" s="14" t="s">
        <v>67</v>
      </c>
      <c r="CA1" s="14" t="s">
        <v>68</v>
      </c>
      <c r="CB1" s="14" t="s">
        <v>69</v>
      </c>
      <c r="CC1" s="14" t="s">
        <v>72</v>
      </c>
      <c r="CD1" s="14" t="s">
        <v>73</v>
      </c>
      <c r="CE1" s="14" t="s">
        <v>44</v>
      </c>
      <c r="CF1" s="14" t="s">
        <v>45</v>
      </c>
      <c r="CG1" s="14" t="s">
        <v>35</v>
      </c>
      <c r="CH1" s="14" t="s">
        <v>36</v>
      </c>
      <c r="CI1" s="14" t="s">
        <v>23</v>
      </c>
      <c r="CJ1" s="14" t="s">
        <v>24</v>
      </c>
      <c r="CK1" s="14" t="s">
        <v>56</v>
      </c>
      <c r="CL1" s="14" t="s">
        <v>57</v>
      </c>
      <c r="CM1" s="14" t="s">
        <v>108</v>
      </c>
      <c r="CN1" s="14" t="s">
        <v>109</v>
      </c>
      <c r="CO1" s="14" t="s">
        <v>120</v>
      </c>
      <c r="CP1" s="14" t="s">
        <v>118</v>
      </c>
      <c r="CQ1" s="14" t="s">
        <v>107</v>
      </c>
      <c r="CR1" s="14" t="s">
        <v>123</v>
      </c>
      <c r="CS1" s="14" t="s">
        <v>106</v>
      </c>
      <c r="CT1" s="14" t="s">
        <v>117</v>
      </c>
      <c r="CU1" s="14" t="s">
        <v>112</v>
      </c>
      <c r="CV1" s="14" t="s">
        <v>98</v>
      </c>
      <c r="CW1" s="14" t="s">
        <v>99</v>
      </c>
      <c r="CX1" s="14" t="s">
        <v>125</v>
      </c>
      <c r="CY1" s="14" t="s">
        <v>97</v>
      </c>
      <c r="CZ1" s="14" t="s">
        <v>96</v>
      </c>
      <c r="DA1" s="14" t="s">
        <v>189</v>
      </c>
      <c r="DB1" s="14" t="s">
        <v>121</v>
      </c>
      <c r="DC1" s="14" t="s">
        <v>119</v>
      </c>
      <c r="DD1" s="14" t="s">
        <v>94</v>
      </c>
      <c r="DE1" s="14" t="s">
        <v>110</v>
      </c>
      <c r="DF1" s="14" t="s">
        <v>95</v>
      </c>
      <c r="DG1" s="14" t="s">
        <v>122</v>
      </c>
      <c r="DH1" s="14" t="s">
        <v>103</v>
      </c>
      <c r="DI1" s="14" t="s">
        <v>115</v>
      </c>
      <c r="DJ1" s="14" t="s">
        <v>102</v>
      </c>
      <c r="DK1" s="14" t="s">
        <v>105</v>
      </c>
      <c r="DL1" s="14" t="s">
        <v>116</v>
      </c>
      <c r="DM1" s="14" t="s">
        <v>124</v>
      </c>
      <c r="DN1" s="14" t="s">
        <v>104</v>
      </c>
      <c r="DO1" s="14" t="s">
        <v>114</v>
      </c>
      <c r="DP1" s="14" t="s">
        <v>100</v>
      </c>
      <c r="DQ1" s="14" t="s">
        <v>113</v>
      </c>
      <c r="DR1" s="14" t="s">
        <v>101</v>
      </c>
      <c r="DS1" s="14" t="s">
        <v>44</v>
      </c>
      <c r="DT1" s="14" t="s">
        <v>35</v>
      </c>
      <c r="DU1" s="14" t="s">
        <v>45</v>
      </c>
      <c r="DV1" s="14" t="s">
        <v>36</v>
      </c>
      <c r="DW1" s="14" t="s">
        <v>73</v>
      </c>
      <c r="DX1" s="14" t="s">
        <v>69</v>
      </c>
      <c r="DY1" s="14" t="s">
        <v>72</v>
      </c>
      <c r="DZ1" s="14" t="s">
        <v>68</v>
      </c>
      <c r="EA1" s="14" t="s">
        <v>71</v>
      </c>
      <c r="EB1" s="14" t="s">
        <v>67</v>
      </c>
      <c r="EC1" s="14" t="s">
        <v>70</v>
      </c>
      <c r="ED1" s="14" t="s">
        <v>66</v>
      </c>
      <c r="EE1" s="14" t="s">
        <v>120</v>
      </c>
      <c r="EF1" s="14" t="s">
        <v>108</v>
      </c>
      <c r="EG1" s="14" t="s">
        <v>118</v>
      </c>
      <c r="EH1" s="14" t="s">
        <v>109</v>
      </c>
      <c r="EI1" s="14" t="s">
        <v>57</v>
      </c>
      <c r="EJ1" s="14" t="s">
        <v>24</v>
      </c>
      <c r="EK1" s="14" t="s">
        <v>56</v>
      </c>
      <c r="EL1" s="14" t="s">
        <v>23</v>
      </c>
      <c r="EM1" s="14" t="s">
        <v>106</v>
      </c>
      <c r="EN1" s="14" t="s">
        <v>107</v>
      </c>
      <c r="EO1" s="14" t="s">
        <v>117</v>
      </c>
      <c r="EP1" s="14" t="s">
        <v>123</v>
      </c>
    </row>
    <row r="2" spans="1:146" ht="14.25" customHeight="1" x14ac:dyDescent="0.25">
      <c r="A2" s="15">
        <v>1</v>
      </c>
      <c r="B2" s="4" t="s">
        <v>9</v>
      </c>
      <c r="C2" s="3">
        <v>1</v>
      </c>
      <c r="D2" s="3">
        <v>1</v>
      </c>
      <c r="E2" s="3">
        <v>2</v>
      </c>
      <c r="F2" s="3">
        <v>0</v>
      </c>
      <c r="G2" s="3">
        <v>2</v>
      </c>
      <c r="H2" s="3">
        <v>1</v>
      </c>
      <c r="I2" s="3">
        <v>1</v>
      </c>
      <c r="J2" s="3">
        <v>3</v>
      </c>
      <c r="K2" s="3">
        <v>0</v>
      </c>
      <c r="L2" s="3">
        <v>2</v>
      </c>
      <c r="M2" s="3">
        <v>0</v>
      </c>
      <c r="N2" s="3">
        <v>1</v>
      </c>
      <c r="O2" s="3">
        <v>1</v>
      </c>
      <c r="P2" s="3">
        <v>2</v>
      </c>
      <c r="Q2" s="3">
        <v>0</v>
      </c>
      <c r="R2" s="3">
        <v>2</v>
      </c>
      <c r="S2" s="3">
        <v>1</v>
      </c>
      <c r="T2" s="3">
        <v>2</v>
      </c>
      <c r="U2" s="3">
        <v>5</v>
      </c>
      <c r="V2" s="3">
        <v>0</v>
      </c>
      <c r="W2" s="3">
        <v>3</v>
      </c>
      <c r="X2" s="3">
        <v>0</v>
      </c>
      <c r="Y2" s="3">
        <v>1</v>
      </c>
      <c r="Z2" s="3">
        <v>1</v>
      </c>
      <c r="AA2" s="3">
        <v>0</v>
      </c>
      <c r="AB2" s="3">
        <v>2</v>
      </c>
      <c r="AC2" s="3">
        <v>6</v>
      </c>
      <c r="AD2" s="3">
        <v>0</v>
      </c>
      <c r="AE2" s="3">
        <v>0</v>
      </c>
      <c r="AF2" s="3">
        <v>0</v>
      </c>
      <c r="AG2" s="3">
        <v>2</v>
      </c>
      <c r="AH2" s="3">
        <v>0</v>
      </c>
      <c r="AI2" s="3">
        <v>4</v>
      </c>
      <c r="AJ2" s="3">
        <v>0</v>
      </c>
      <c r="AK2" s="3">
        <v>0</v>
      </c>
      <c r="AL2" s="3">
        <v>4</v>
      </c>
      <c r="AM2" s="3">
        <v>4</v>
      </c>
      <c r="AN2" s="3">
        <v>0</v>
      </c>
      <c r="AO2" s="3">
        <v>1</v>
      </c>
      <c r="AP2" s="3">
        <v>0</v>
      </c>
      <c r="AQ2" s="3">
        <v>2</v>
      </c>
      <c r="AR2" s="3">
        <v>1</v>
      </c>
      <c r="AS2" s="3">
        <v>4</v>
      </c>
      <c r="AT2" s="3">
        <v>2</v>
      </c>
      <c r="AU2" s="3">
        <v>5</v>
      </c>
      <c r="AV2" s="3">
        <v>0</v>
      </c>
      <c r="AW2" s="3">
        <v>0</v>
      </c>
      <c r="AX2" s="3">
        <v>3</v>
      </c>
      <c r="AY2" s="3">
        <v>0</v>
      </c>
      <c r="AZ2" s="3">
        <v>1</v>
      </c>
      <c r="BA2" s="3">
        <v>1</v>
      </c>
      <c r="BB2" s="3">
        <v>0</v>
      </c>
      <c r="BC2" s="3">
        <v>3</v>
      </c>
      <c r="BD2" s="3">
        <v>1</v>
      </c>
      <c r="BE2" s="3">
        <v>1</v>
      </c>
      <c r="BF2" s="3">
        <v>0</v>
      </c>
      <c r="BG2" s="3">
        <v>5</v>
      </c>
      <c r="BH2" s="3">
        <v>0</v>
      </c>
      <c r="BI2" s="3">
        <v>0</v>
      </c>
      <c r="BJ2" s="3">
        <v>3</v>
      </c>
      <c r="BK2" s="3">
        <v>2</v>
      </c>
      <c r="BL2" s="3">
        <v>3</v>
      </c>
      <c r="BM2" s="3">
        <v>2</v>
      </c>
      <c r="BN2" s="3">
        <v>1</v>
      </c>
      <c r="BO2" s="3">
        <v>4</v>
      </c>
      <c r="BP2" s="3">
        <v>0</v>
      </c>
      <c r="BQ2" s="3">
        <v>4</v>
      </c>
      <c r="BR2" s="3">
        <v>0</v>
      </c>
      <c r="BS2" s="3">
        <v>3</v>
      </c>
      <c r="BT2" s="3">
        <v>1</v>
      </c>
      <c r="BU2" s="3">
        <v>0</v>
      </c>
      <c r="BV2" s="3">
        <v>2</v>
      </c>
      <c r="BW2" s="3">
        <v>4</v>
      </c>
      <c r="BX2" s="3">
        <v>0</v>
      </c>
      <c r="BY2" s="3">
        <v>5</v>
      </c>
      <c r="BZ2" s="3">
        <v>0</v>
      </c>
      <c r="CA2" s="3">
        <v>3</v>
      </c>
      <c r="CB2" s="3">
        <v>0</v>
      </c>
      <c r="CC2" s="3">
        <v>1</v>
      </c>
      <c r="CD2" s="3">
        <v>2</v>
      </c>
      <c r="CE2" s="3">
        <v>2</v>
      </c>
      <c r="CF2" s="3">
        <v>2</v>
      </c>
      <c r="CG2" s="3">
        <v>5</v>
      </c>
      <c r="CH2" s="3">
        <v>0</v>
      </c>
      <c r="CI2" s="3">
        <v>3</v>
      </c>
      <c r="CJ2" s="3">
        <v>0</v>
      </c>
      <c r="CK2" s="3">
        <v>0</v>
      </c>
      <c r="CL2" s="3">
        <v>0</v>
      </c>
      <c r="CM2" s="3">
        <v>5</v>
      </c>
      <c r="CN2" s="3">
        <v>0</v>
      </c>
      <c r="CO2" s="3">
        <v>0</v>
      </c>
      <c r="CP2" s="3">
        <v>4</v>
      </c>
      <c r="CQ2" s="3">
        <v>5</v>
      </c>
      <c r="CR2" s="3">
        <v>0</v>
      </c>
      <c r="CS2" s="3">
        <v>2</v>
      </c>
      <c r="CT2" s="3">
        <v>1</v>
      </c>
      <c r="CU2" s="3">
        <v>0</v>
      </c>
      <c r="CV2" s="3">
        <v>4</v>
      </c>
      <c r="CW2" s="3">
        <v>4</v>
      </c>
      <c r="CX2" s="3">
        <v>0</v>
      </c>
      <c r="CY2" s="3">
        <v>3</v>
      </c>
      <c r="CZ2" s="3">
        <v>2</v>
      </c>
      <c r="DA2" s="3">
        <v>1</v>
      </c>
      <c r="DB2" s="3">
        <v>1</v>
      </c>
      <c r="DC2" s="3">
        <v>1</v>
      </c>
      <c r="DD2" s="3">
        <v>3</v>
      </c>
      <c r="DE2" s="3">
        <v>0</v>
      </c>
      <c r="DF2" s="3">
        <v>1</v>
      </c>
      <c r="DG2" s="3">
        <v>0</v>
      </c>
      <c r="DH2" s="3">
        <v>2</v>
      </c>
      <c r="DI2" s="3">
        <v>2</v>
      </c>
      <c r="DJ2" s="3">
        <v>4</v>
      </c>
      <c r="DK2" s="3">
        <v>2</v>
      </c>
      <c r="DL2" s="3">
        <v>2</v>
      </c>
      <c r="DM2" s="3">
        <v>0</v>
      </c>
      <c r="DN2" s="3">
        <v>3</v>
      </c>
      <c r="DO2" s="3">
        <v>1</v>
      </c>
      <c r="DP2" s="3">
        <v>0</v>
      </c>
      <c r="DQ2" s="3">
        <v>1</v>
      </c>
      <c r="DR2" s="3">
        <v>0</v>
      </c>
      <c r="DS2" s="3">
        <v>1</v>
      </c>
      <c r="DT2" s="3">
        <v>3</v>
      </c>
      <c r="DU2" s="3">
        <v>2</v>
      </c>
      <c r="DV2" s="3">
        <v>0</v>
      </c>
      <c r="DW2" s="3">
        <v>2</v>
      </c>
      <c r="DX2" s="3">
        <v>1</v>
      </c>
      <c r="DY2" s="3">
        <v>0</v>
      </c>
      <c r="DZ2" s="3">
        <v>4</v>
      </c>
      <c r="EA2" s="3">
        <v>0</v>
      </c>
      <c r="EB2" s="3">
        <v>1</v>
      </c>
      <c r="EC2" s="3">
        <v>1</v>
      </c>
      <c r="ED2" s="3">
        <v>2</v>
      </c>
      <c r="EE2" s="3">
        <v>0</v>
      </c>
      <c r="EF2" s="3">
        <v>6</v>
      </c>
      <c r="EG2" s="3">
        <v>3</v>
      </c>
      <c r="EH2" s="3">
        <v>0</v>
      </c>
      <c r="EI2" s="3">
        <v>0</v>
      </c>
      <c r="EJ2" s="3">
        <v>0</v>
      </c>
      <c r="EK2" s="3">
        <v>0</v>
      </c>
      <c r="EL2" s="3">
        <v>4</v>
      </c>
      <c r="EM2" s="3">
        <v>0</v>
      </c>
      <c r="EN2" s="3">
        <v>2</v>
      </c>
      <c r="EO2" s="3">
        <v>1</v>
      </c>
      <c r="EP2" s="3">
        <v>1</v>
      </c>
    </row>
    <row r="3" spans="1:146" ht="14.25" customHeight="1" x14ac:dyDescent="0.25">
      <c r="A3" s="16">
        <v>2</v>
      </c>
      <c r="B3" s="17" t="s">
        <v>11</v>
      </c>
      <c r="C3" s="16">
        <v>2</v>
      </c>
      <c r="D3" s="16">
        <v>0</v>
      </c>
      <c r="E3" s="16">
        <v>1</v>
      </c>
      <c r="F3" s="16">
        <v>1</v>
      </c>
      <c r="G3" s="16">
        <v>1</v>
      </c>
      <c r="H3" s="16">
        <v>1</v>
      </c>
      <c r="I3" s="16">
        <v>2</v>
      </c>
      <c r="J3" s="16">
        <v>0</v>
      </c>
      <c r="K3" s="16">
        <v>0</v>
      </c>
      <c r="L3" s="16">
        <v>2</v>
      </c>
      <c r="M3" s="16">
        <v>1</v>
      </c>
      <c r="N3" s="16">
        <v>1</v>
      </c>
      <c r="O3" s="16">
        <v>2</v>
      </c>
      <c r="P3" s="16">
        <v>0</v>
      </c>
      <c r="Q3" s="16">
        <v>0</v>
      </c>
      <c r="R3" s="16">
        <v>1</v>
      </c>
      <c r="S3" s="16">
        <v>1</v>
      </c>
      <c r="T3" s="16">
        <v>1</v>
      </c>
      <c r="U3" s="16">
        <v>3</v>
      </c>
      <c r="V3" s="16">
        <v>0</v>
      </c>
      <c r="W3" s="16">
        <v>2</v>
      </c>
      <c r="X3" s="16">
        <v>1</v>
      </c>
      <c r="Y3" s="16">
        <v>1</v>
      </c>
      <c r="Z3" s="16">
        <v>0</v>
      </c>
      <c r="AA3" s="16">
        <v>1</v>
      </c>
      <c r="AB3" s="16">
        <v>2</v>
      </c>
      <c r="AC3" s="16">
        <v>3</v>
      </c>
      <c r="AD3" s="16">
        <v>0</v>
      </c>
      <c r="AE3" s="16">
        <v>1</v>
      </c>
      <c r="AF3" s="16">
        <v>0</v>
      </c>
      <c r="AG3" s="16">
        <v>2</v>
      </c>
      <c r="AH3" s="16">
        <v>0</v>
      </c>
      <c r="AI3" s="16">
        <v>2</v>
      </c>
      <c r="AJ3" s="16">
        <v>1</v>
      </c>
      <c r="AK3" s="16">
        <v>0</v>
      </c>
      <c r="AL3" s="16">
        <v>2</v>
      </c>
      <c r="AM3" s="16">
        <v>2</v>
      </c>
      <c r="AN3" s="16">
        <v>0</v>
      </c>
      <c r="AO3" s="16">
        <v>1</v>
      </c>
      <c r="AP3" s="16">
        <v>0</v>
      </c>
      <c r="AQ3" s="16">
        <v>1</v>
      </c>
      <c r="AR3" s="16">
        <v>2</v>
      </c>
      <c r="AS3" s="16">
        <v>1</v>
      </c>
      <c r="AT3" s="16">
        <v>0</v>
      </c>
      <c r="AU3" s="16">
        <v>2</v>
      </c>
      <c r="AV3" s="16">
        <v>0</v>
      </c>
      <c r="AW3" s="16">
        <v>1</v>
      </c>
      <c r="AX3" s="16">
        <v>1</v>
      </c>
      <c r="AY3" s="16">
        <v>1</v>
      </c>
      <c r="AZ3" s="16">
        <v>0</v>
      </c>
      <c r="BA3" s="16">
        <v>1</v>
      </c>
      <c r="BB3" s="16">
        <v>1</v>
      </c>
      <c r="BC3" s="16">
        <v>2</v>
      </c>
      <c r="BD3" s="16">
        <v>0</v>
      </c>
      <c r="BE3" s="16">
        <v>2</v>
      </c>
      <c r="BF3" s="16">
        <v>1</v>
      </c>
      <c r="BG3" s="16">
        <v>3</v>
      </c>
      <c r="BH3" s="16">
        <v>1</v>
      </c>
      <c r="BI3" s="16">
        <v>0</v>
      </c>
      <c r="BJ3" s="16">
        <v>1</v>
      </c>
      <c r="BK3" s="16">
        <v>0</v>
      </c>
      <c r="BL3" s="16">
        <v>1</v>
      </c>
      <c r="BM3" s="16">
        <v>2</v>
      </c>
      <c r="BN3" s="16">
        <v>1</v>
      </c>
      <c r="BO3" s="16">
        <v>2</v>
      </c>
      <c r="BP3" s="16">
        <v>1</v>
      </c>
      <c r="BQ3" s="16">
        <v>2</v>
      </c>
      <c r="BR3" s="16">
        <v>0</v>
      </c>
      <c r="BS3" s="16">
        <v>2</v>
      </c>
      <c r="BT3" s="16">
        <v>0</v>
      </c>
      <c r="BU3" s="16">
        <v>1</v>
      </c>
      <c r="BV3" s="16">
        <v>1</v>
      </c>
      <c r="BW3" s="16">
        <v>2</v>
      </c>
      <c r="BX3" s="16">
        <v>0</v>
      </c>
      <c r="BY3" s="16">
        <v>2</v>
      </c>
      <c r="BZ3" s="16">
        <v>0</v>
      </c>
      <c r="CA3" s="16">
        <v>3</v>
      </c>
      <c r="CB3" s="16">
        <v>1</v>
      </c>
      <c r="CC3" s="16">
        <v>0</v>
      </c>
      <c r="CD3" s="16">
        <v>2</v>
      </c>
      <c r="CE3" s="16">
        <v>1</v>
      </c>
      <c r="CF3" s="16">
        <v>2</v>
      </c>
      <c r="CG3" s="16">
        <v>3</v>
      </c>
      <c r="CH3" s="16">
        <v>0</v>
      </c>
      <c r="CI3" s="16">
        <v>3</v>
      </c>
      <c r="CJ3" s="16">
        <v>1</v>
      </c>
      <c r="CK3" s="16">
        <v>1</v>
      </c>
      <c r="CL3" s="16">
        <v>2</v>
      </c>
      <c r="CM3" s="16">
        <v>2</v>
      </c>
      <c r="CN3" s="16">
        <v>0</v>
      </c>
      <c r="CO3" s="16">
        <v>1</v>
      </c>
      <c r="CP3" s="16">
        <v>1</v>
      </c>
      <c r="CQ3" s="16">
        <v>3</v>
      </c>
      <c r="CR3" s="16">
        <v>0</v>
      </c>
      <c r="CS3" s="16">
        <v>2</v>
      </c>
      <c r="CT3" s="16">
        <v>1</v>
      </c>
      <c r="CU3" s="16">
        <v>1</v>
      </c>
      <c r="CV3" s="16">
        <v>2</v>
      </c>
      <c r="CW3" s="16">
        <v>2</v>
      </c>
      <c r="CX3" s="16">
        <v>0</v>
      </c>
      <c r="CY3" s="16">
        <v>0</v>
      </c>
      <c r="CZ3" s="16">
        <v>1</v>
      </c>
      <c r="DA3" s="16">
        <v>2</v>
      </c>
      <c r="DB3" s="16">
        <v>1</v>
      </c>
      <c r="DC3" s="16">
        <v>0</v>
      </c>
      <c r="DD3" s="16">
        <v>1</v>
      </c>
      <c r="DE3" s="16">
        <v>1</v>
      </c>
      <c r="DF3" s="16">
        <v>2</v>
      </c>
      <c r="DG3" s="16">
        <v>1</v>
      </c>
      <c r="DH3" s="16">
        <v>2</v>
      </c>
      <c r="DI3" s="16">
        <v>0</v>
      </c>
      <c r="DJ3" s="16">
        <v>2</v>
      </c>
      <c r="DK3" s="16">
        <v>2</v>
      </c>
      <c r="DL3" s="16">
        <v>1</v>
      </c>
      <c r="DM3" s="16">
        <v>1</v>
      </c>
      <c r="DN3" s="16">
        <v>3</v>
      </c>
      <c r="DO3" s="16">
        <v>1</v>
      </c>
      <c r="DP3" s="16">
        <v>1</v>
      </c>
      <c r="DQ3" s="16">
        <v>3</v>
      </c>
      <c r="DR3" s="16">
        <v>0</v>
      </c>
      <c r="DS3" s="16">
        <v>0</v>
      </c>
      <c r="DT3" s="16">
        <v>2</v>
      </c>
      <c r="DU3" s="16">
        <v>2</v>
      </c>
      <c r="DV3" s="16">
        <v>0</v>
      </c>
      <c r="DW3" s="16">
        <v>1</v>
      </c>
      <c r="DX3" s="16">
        <v>1</v>
      </c>
      <c r="DY3" s="16">
        <v>0</v>
      </c>
      <c r="DZ3" s="16">
        <v>2</v>
      </c>
      <c r="EA3" s="16">
        <v>0</v>
      </c>
      <c r="EB3" s="16">
        <v>2</v>
      </c>
      <c r="EC3" s="16">
        <v>1</v>
      </c>
      <c r="ED3" s="16">
        <v>2</v>
      </c>
      <c r="EE3" s="16">
        <v>1</v>
      </c>
      <c r="EF3" s="16">
        <v>2</v>
      </c>
      <c r="EG3" s="16">
        <v>2</v>
      </c>
      <c r="EH3" s="16">
        <v>0</v>
      </c>
      <c r="EI3" s="16">
        <v>1</v>
      </c>
      <c r="EJ3" s="16">
        <v>1</v>
      </c>
      <c r="EK3" s="16">
        <v>1</v>
      </c>
      <c r="EL3" s="16">
        <v>0</v>
      </c>
      <c r="EM3" s="16">
        <v>2</v>
      </c>
      <c r="EN3" s="16">
        <v>1</v>
      </c>
      <c r="EO3" s="16">
        <v>2</v>
      </c>
      <c r="EP3" s="16">
        <v>1</v>
      </c>
    </row>
    <row r="4" spans="1:146" ht="14.25" customHeight="1" x14ac:dyDescent="0.25">
      <c r="A4" s="15">
        <v>3</v>
      </c>
      <c r="B4" s="4" t="s">
        <v>13</v>
      </c>
      <c r="C4" s="3">
        <v>2</v>
      </c>
      <c r="D4" s="3">
        <v>1</v>
      </c>
      <c r="E4" s="3">
        <v>1</v>
      </c>
      <c r="F4" s="3">
        <v>1</v>
      </c>
      <c r="G4" s="3">
        <v>1</v>
      </c>
      <c r="H4" s="3">
        <v>0</v>
      </c>
      <c r="I4" s="3">
        <v>2</v>
      </c>
      <c r="J4" s="3">
        <v>1</v>
      </c>
      <c r="K4" s="3">
        <v>1</v>
      </c>
      <c r="L4" s="3">
        <v>1</v>
      </c>
      <c r="M4" s="3">
        <v>1</v>
      </c>
      <c r="N4" s="3">
        <v>2</v>
      </c>
      <c r="O4" s="3">
        <v>2</v>
      </c>
      <c r="P4" s="3">
        <v>0</v>
      </c>
      <c r="Q4" s="3">
        <v>0</v>
      </c>
      <c r="R4" s="3">
        <v>2</v>
      </c>
      <c r="S4" s="3">
        <v>1</v>
      </c>
      <c r="T4" s="3">
        <v>1</v>
      </c>
      <c r="U4" s="3">
        <v>4</v>
      </c>
      <c r="V4" s="3">
        <v>0</v>
      </c>
      <c r="W4" s="3">
        <v>2</v>
      </c>
      <c r="X4" s="3">
        <v>1</v>
      </c>
      <c r="Y4" s="3">
        <v>2</v>
      </c>
      <c r="Z4" s="3">
        <v>0</v>
      </c>
      <c r="AA4" s="3">
        <v>0</v>
      </c>
      <c r="AB4" s="3">
        <v>1</v>
      </c>
      <c r="AC4" s="3">
        <v>2</v>
      </c>
      <c r="AD4" s="3">
        <v>0</v>
      </c>
      <c r="AE4" s="3">
        <v>1</v>
      </c>
      <c r="AF4" s="3">
        <v>0</v>
      </c>
      <c r="AG4" s="3">
        <v>2</v>
      </c>
      <c r="AH4" s="3">
        <v>1</v>
      </c>
      <c r="AI4" s="3">
        <v>3</v>
      </c>
      <c r="AJ4" s="3">
        <v>1</v>
      </c>
      <c r="AK4" s="3">
        <v>0</v>
      </c>
      <c r="AL4" s="3">
        <v>3</v>
      </c>
      <c r="AM4" s="3">
        <v>2</v>
      </c>
      <c r="AN4" s="3">
        <v>0</v>
      </c>
      <c r="AO4" s="3">
        <v>2</v>
      </c>
      <c r="AP4" s="3">
        <v>0</v>
      </c>
      <c r="AQ4" s="3">
        <v>1</v>
      </c>
      <c r="AR4" s="3">
        <v>1</v>
      </c>
      <c r="AS4" s="3">
        <v>2</v>
      </c>
      <c r="AT4" s="3">
        <v>1</v>
      </c>
      <c r="AU4" s="3">
        <v>3</v>
      </c>
      <c r="AV4" s="3">
        <v>0</v>
      </c>
      <c r="AW4" s="3">
        <v>0</v>
      </c>
      <c r="AX4" s="3">
        <v>2</v>
      </c>
      <c r="AY4" s="3">
        <v>2</v>
      </c>
      <c r="AZ4" s="3">
        <v>0</v>
      </c>
      <c r="BA4" s="3">
        <v>2</v>
      </c>
      <c r="BB4" s="3">
        <v>1</v>
      </c>
      <c r="BC4" s="3">
        <v>1</v>
      </c>
      <c r="BD4" s="3">
        <v>0</v>
      </c>
      <c r="BE4" s="3">
        <v>2</v>
      </c>
      <c r="BF4" s="3">
        <v>1</v>
      </c>
      <c r="BG4" s="3">
        <v>3</v>
      </c>
      <c r="BH4" s="3">
        <v>0</v>
      </c>
      <c r="BI4" s="3">
        <v>1</v>
      </c>
      <c r="BJ4" s="3">
        <v>2</v>
      </c>
      <c r="BK4" s="3">
        <v>2</v>
      </c>
      <c r="BL4" s="3">
        <v>0</v>
      </c>
      <c r="BM4" s="3">
        <v>2</v>
      </c>
      <c r="BN4" s="3">
        <v>0</v>
      </c>
      <c r="BO4" s="3">
        <v>3</v>
      </c>
      <c r="BP4" s="3">
        <v>1</v>
      </c>
      <c r="BQ4" s="3">
        <v>3</v>
      </c>
      <c r="BR4" s="3">
        <v>0</v>
      </c>
      <c r="BS4" s="3">
        <v>2</v>
      </c>
      <c r="BT4" s="3">
        <v>1</v>
      </c>
      <c r="BU4" s="3">
        <v>0</v>
      </c>
      <c r="BV4" s="3">
        <v>2</v>
      </c>
      <c r="BW4" s="3">
        <v>2</v>
      </c>
      <c r="BX4" s="3">
        <v>1</v>
      </c>
      <c r="BY4" s="3">
        <v>3</v>
      </c>
      <c r="BZ4" s="3">
        <v>1</v>
      </c>
      <c r="CA4" s="3">
        <v>3</v>
      </c>
      <c r="CB4" s="3">
        <v>0</v>
      </c>
      <c r="CC4" s="3">
        <v>0</v>
      </c>
      <c r="CD4" s="3">
        <v>2</v>
      </c>
      <c r="CE4" s="3">
        <v>2</v>
      </c>
      <c r="CF4" s="3">
        <v>1</v>
      </c>
      <c r="CG4" s="3">
        <v>3</v>
      </c>
      <c r="CH4" s="3">
        <v>0</v>
      </c>
      <c r="CI4" s="3">
        <v>2</v>
      </c>
      <c r="CJ4" s="3">
        <v>1</v>
      </c>
      <c r="CK4" s="3">
        <v>0</v>
      </c>
      <c r="CL4" s="3">
        <v>1</v>
      </c>
      <c r="CM4" s="3">
        <v>3</v>
      </c>
      <c r="CN4" s="3">
        <v>1</v>
      </c>
      <c r="CO4" s="3">
        <v>1</v>
      </c>
      <c r="CP4" s="3">
        <v>2</v>
      </c>
      <c r="CQ4" s="3">
        <v>3</v>
      </c>
      <c r="CR4" s="3">
        <v>0</v>
      </c>
      <c r="CS4" s="3">
        <v>2</v>
      </c>
      <c r="CT4" s="3">
        <v>0</v>
      </c>
      <c r="CU4" s="3">
        <v>1</v>
      </c>
      <c r="CV4" s="3">
        <v>3</v>
      </c>
      <c r="CW4" s="3">
        <v>2</v>
      </c>
      <c r="CX4" s="3">
        <v>1</v>
      </c>
      <c r="CY4" s="3">
        <v>2</v>
      </c>
      <c r="CZ4" s="3">
        <v>1</v>
      </c>
      <c r="DA4" s="3">
        <v>2</v>
      </c>
      <c r="DB4" s="3">
        <v>0</v>
      </c>
      <c r="DC4" s="3">
        <v>0</v>
      </c>
      <c r="DD4" s="3">
        <v>2</v>
      </c>
      <c r="DE4" s="3">
        <v>1</v>
      </c>
      <c r="DF4" s="3">
        <v>1</v>
      </c>
      <c r="DG4" s="3">
        <v>0</v>
      </c>
      <c r="DH4" s="3">
        <v>2</v>
      </c>
      <c r="DI4" s="3">
        <v>1</v>
      </c>
      <c r="DJ4" s="3">
        <v>3</v>
      </c>
      <c r="DK4" s="3">
        <v>2</v>
      </c>
      <c r="DL4" s="3">
        <v>2</v>
      </c>
      <c r="DM4" s="3">
        <v>0</v>
      </c>
      <c r="DN4" s="3">
        <v>3</v>
      </c>
      <c r="DO4" s="3">
        <v>2</v>
      </c>
      <c r="DP4" s="3">
        <v>1</v>
      </c>
      <c r="DQ4" s="3">
        <v>1</v>
      </c>
      <c r="DR4" s="3">
        <v>1</v>
      </c>
      <c r="DS4" s="3">
        <v>2</v>
      </c>
      <c r="DT4" s="3">
        <v>2</v>
      </c>
      <c r="DU4" s="3">
        <v>1</v>
      </c>
      <c r="DV4" s="3">
        <v>1</v>
      </c>
      <c r="DW4" s="3">
        <v>3</v>
      </c>
      <c r="DX4" s="3">
        <v>0</v>
      </c>
      <c r="DY4" s="3">
        <v>0</v>
      </c>
      <c r="DZ4" s="3">
        <v>3</v>
      </c>
      <c r="EA4" s="3">
        <v>0</v>
      </c>
      <c r="EB4" s="3">
        <v>1</v>
      </c>
      <c r="EC4" s="3">
        <v>1</v>
      </c>
      <c r="ED4" s="3">
        <v>2</v>
      </c>
      <c r="EE4" s="3">
        <v>0</v>
      </c>
      <c r="EF4" s="3">
        <v>3</v>
      </c>
      <c r="EG4" s="3">
        <v>2</v>
      </c>
      <c r="EH4" s="3">
        <v>0</v>
      </c>
      <c r="EI4" s="3">
        <v>1</v>
      </c>
      <c r="EJ4" s="3">
        <v>2</v>
      </c>
      <c r="EK4" s="3">
        <v>0</v>
      </c>
      <c r="EL4" s="3">
        <v>2</v>
      </c>
      <c r="EM4" s="3">
        <v>1</v>
      </c>
      <c r="EN4" s="3">
        <v>1</v>
      </c>
      <c r="EO4" s="3">
        <v>1</v>
      </c>
      <c r="EP4" s="3">
        <v>1</v>
      </c>
    </row>
    <row r="5" spans="1:146" ht="14.25" customHeight="1" x14ac:dyDescent="0.25">
      <c r="A5" s="16">
        <v>4</v>
      </c>
      <c r="B5" s="17" t="s">
        <v>15</v>
      </c>
      <c r="C5" s="16">
        <v>2</v>
      </c>
      <c r="D5" s="16">
        <v>0</v>
      </c>
      <c r="E5" s="16">
        <v>0</v>
      </c>
      <c r="F5" s="16">
        <v>1</v>
      </c>
      <c r="G5" s="16">
        <v>2</v>
      </c>
      <c r="H5" s="16">
        <v>0</v>
      </c>
      <c r="I5" s="16">
        <v>2</v>
      </c>
      <c r="J5" s="16">
        <v>0</v>
      </c>
      <c r="K5" s="16">
        <v>0</v>
      </c>
      <c r="L5" s="16">
        <v>1</v>
      </c>
      <c r="M5" s="16">
        <v>0</v>
      </c>
      <c r="N5" s="16">
        <v>2</v>
      </c>
      <c r="O5" s="16">
        <v>2</v>
      </c>
      <c r="P5" s="16">
        <v>1</v>
      </c>
      <c r="Q5" s="16">
        <v>0</v>
      </c>
      <c r="R5" s="16">
        <v>2</v>
      </c>
      <c r="S5" s="16">
        <v>0</v>
      </c>
      <c r="T5" s="16">
        <v>1</v>
      </c>
      <c r="U5" s="16">
        <v>3</v>
      </c>
      <c r="V5" s="16">
        <v>0</v>
      </c>
      <c r="W5" s="16">
        <v>2</v>
      </c>
      <c r="X5" s="16">
        <v>2</v>
      </c>
      <c r="Y5" s="16">
        <v>2</v>
      </c>
      <c r="Z5" s="16">
        <v>1</v>
      </c>
      <c r="AA5" s="16">
        <v>1</v>
      </c>
      <c r="AB5" s="16">
        <v>1</v>
      </c>
      <c r="AC5" s="16">
        <v>3</v>
      </c>
      <c r="AD5" s="16">
        <v>0</v>
      </c>
      <c r="AE5" s="16">
        <v>0</v>
      </c>
      <c r="AF5" s="16">
        <v>0</v>
      </c>
      <c r="AG5" s="16">
        <v>3</v>
      </c>
      <c r="AH5" s="16">
        <v>1</v>
      </c>
      <c r="AI5" s="16">
        <v>3</v>
      </c>
      <c r="AJ5" s="16">
        <v>0</v>
      </c>
      <c r="AK5" s="16">
        <v>0</v>
      </c>
      <c r="AL5" s="16">
        <v>2</v>
      </c>
      <c r="AM5" s="16">
        <v>2</v>
      </c>
      <c r="AN5" s="16">
        <v>1</v>
      </c>
      <c r="AO5" s="16">
        <v>1</v>
      </c>
      <c r="AP5" s="16">
        <v>0</v>
      </c>
      <c r="AQ5" s="16">
        <v>1</v>
      </c>
      <c r="AR5" s="16">
        <v>2</v>
      </c>
      <c r="AS5" s="16">
        <v>1</v>
      </c>
      <c r="AT5" s="16">
        <v>1</v>
      </c>
      <c r="AU5" s="16">
        <v>2</v>
      </c>
      <c r="AV5" s="16">
        <v>0</v>
      </c>
      <c r="AW5" s="16">
        <v>0</v>
      </c>
      <c r="AX5" s="16">
        <v>3</v>
      </c>
      <c r="AY5" s="16">
        <v>2</v>
      </c>
      <c r="AZ5" s="16">
        <v>1</v>
      </c>
      <c r="BA5" s="16">
        <v>2</v>
      </c>
      <c r="BB5" s="16">
        <v>2</v>
      </c>
      <c r="BC5" s="16">
        <v>2</v>
      </c>
      <c r="BD5" s="16">
        <v>0</v>
      </c>
      <c r="BE5" s="16">
        <v>2</v>
      </c>
      <c r="BF5" s="16">
        <v>0</v>
      </c>
      <c r="BG5" s="16">
        <v>3</v>
      </c>
      <c r="BH5" s="16">
        <v>1</v>
      </c>
      <c r="BI5" s="16">
        <v>0</v>
      </c>
      <c r="BJ5" s="16">
        <v>2</v>
      </c>
      <c r="BK5" s="16">
        <v>2</v>
      </c>
      <c r="BL5" s="16">
        <v>1</v>
      </c>
      <c r="BM5" s="16">
        <v>3</v>
      </c>
      <c r="BN5" s="16">
        <v>0</v>
      </c>
      <c r="BO5" s="16">
        <v>4</v>
      </c>
      <c r="BP5" s="16">
        <v>1</v>
      </c>
      <c r="BQ5" s="16">
        <v>2</v>
      </c>
      <c r="BR5" s="16">
        <v>0</v>
      </c>
      <c r="BS5" s="16">
        <v>1</v>
      </c>
      <c r="BT5" s="16">
        <v>1</v>
      </c>
      <c r="BU5" s="16">
        <v>0</v>
      </c>
      <c r="BV5" s="16">
        <v>2</v>
      </c>
      <c r="BW5" s="16">
        <v>2</v>
      </c>
      <c r="BX5" s="16">
        <v>0</v>
      </c>
      <c r="BY5" s="16">
        <v>3</v>
      </c>
      <c r="BZ5" s="16">
        <v>1</v>
      </c>
      <c r="CA5" s="16">
        <v>3</v>
      </c>
      <c r="CB5" s="16">
        <v>0</v>
      </c>
      <c r="CC5" s="16">
        <v>0</v>
      </c>
      <c r="CD5" s="16">
        <v>3</v>
      </c>
      <c r="CE5" s="16">
        <v>4</v>
      </c>
      <c r="CF5" s="16">
        <v>1</v>
      </c>
      <c r="CG5" s="16">
        <v>3</v>
      </c>
      <c r="CH5" s="16">
        <v>0</v>
      </c>
      <c r="CI5" s="16">
        <v>2</v>
      </c>
      <c r="CJ5" s="16">
        <v>1</v>
      </c>
      <c r="CK5" s="16">
        <v>0</v>
      </c>
      <c r="CL5" s="16">
        <v>2</v>
      </c>
      <c r="CM5" s="16">
        <v>3</v>
      </c>
      <c r="CN5" s="16">
        <v>0</v>
      </c>
      <c r="CO5" s="16">
        <v>1</v>
      </c>
      <c r="CP5" s="16">
        <v>1</v>
      </c>
      <c r="CQ5" s="16">
        <v>3</v>
      </c>
      <c r="CR5" s="16">
        <v>0</v>
      </c>
      <c r="CS5" s="16">
        <v>3</v>
      </c>
      <c r="CT5" s="16">
        <v>0</v>
      </c>
      <c r="CU5" s="16">
        <v>0</v>
      </c>
      <c r="CV5" s="16">
        <v>3</v>
      </c>
      <c r="CW5" s="16">
        <v>2</v>
      </c>
      <c r="CX5" s="16">
        <v>0</v>
      </c>
      <c r="CY5" s="16">
        <v>1</v>
      </c>
      <c r="CZ5" s="16">
        <v>1</v>
      </c>
      <c r="DA5" s="16">
        <v>1</v>
      </c>
      <c r="DB5" s="16">
        <v>0</v>
      </c>
      <c r="DC5" s="16">
        <v>1</v>
      </c>
      <c r="DD5" s="16">
        <v>2</v>
      </c>
      <c r="DE5" s="16">
        <v>0</v>
      </c>
      <c r="DF5" s="16">
        <v>1</v>
      </c>
      <c r="DG5" s="16">
        <v>0</v>
      </c>
      <c r="DH5" s="16">
        <v>1</v>
      </c>
      <c r="DI5" s="16">
        <v>1</v>
      </c>
      <c r="DJ5" s="16">
        <v>2</v>
      </c>
      <c r="DK5" s="16">
        <v>2</v>
      </c>
      <c r="DL5" s="16">
        <v>2</v>
      </c>
      <c r="DM5" s="16">
        <v>0</v>
      </c>
      <c r="DN5" s="16">
        <v>2</v>
      </c>
      <c r="DO5" s="16">
        <v>1</v>
      </c>
      <c r="DP5" s="16">
        <v>1</v>
      </c>
      <c r="DQ5" s="16">
        <v>1</v>
      </c>
      <c r="DR5" s="16">
        <v>0</v>
      </c>
      <c r="DS5" s="16">
        <v>2</v>
      </c>
      <c r="DT5" s="16">
        <v>2</v>
      </c>
      <c r="DU5" s="16">
        <v>1</v>
      </c>
      <c r="DV5" s="16">
        <v>0</v>
      </c>
      <c r="DW5" s="16">
        <v>2</v>
      </c>
      <c r="DX5" s="16">
        <v>0</v>
      </c>
      <c r="DY5" s="16">
        <v>0</v>
      </c>
      <c r="DZ5" s="16">
        <v>4</v>
      </c>
      <c r="EA5" s="16">
        <v>0</v>
      </c>
      <c r="EB5" s="16">
        <v>2</v>
      </c>
      <c r="EC5" s="16">
        <v>1</v>
      </c>
      <c r="ED5" s="16">
        <v>3</v>
      </c>
      <c r="EE5" s="16">
        <v>1</v>
      </c>
      <c r="EF5" s="16">
        <v>4</v>
      </c>
      <c r="EG5" s="16">
        <v>2</v>
      </c>
      <c r="EH5" s="16">
        <v>1</v>
      </c>
      <c r="EI5" s="16">
        <v>1</v>
      </c>
      <c r="EJ5" s="16">
        <v>1</v>
      </c>
      <c r="EK5" s="16">
        <v>0</v>
      </c>
      <c r="EL5" s="16">
        <v>3</v>
      </c>
      <c r="EM5" s="16">
        <v>2</v>
      </c>
      <c r="EN5" s="16">
        <v>2</v>
      </c>
      <c r="EO5" s="16">
        <v>0</v>
      </c>
      <c r="EP5" s="16">
        <v>0</v>
      </c>
    </row>
    <row r="6" spans="1:146" ht="14.25" customHeight="1" x14ac:dyDescent="0.25">
      <c r="A6" s="15">
        <v>5</v>
      </c>
      <c r="B6" s="4" t="s">
        <v>17</v>
      </c>
      <c r="C6" s="3">
        <v>2</v>
      </c>
      <c r="D6" s="3">
        <v>0</v>
      </c>
      <c r="E6" s="3">
        <v>1</v>
      </c>
      <c r="F6" s="3">
        <v>1</v>
      </c>
      <c r="G6" s="3">
        <v>2</v>
      </c>
      <c r="H6" s="3">
        <v>1</v>
      </c>
      <c r="I6" s="3">
        <v>2</v>
      </c>
      <c r="J6" s="3">
        <v>1</v>
      </c>
      <c r="K6" s="3">
        <v>2</v>
      </c>
      <c r="L6" s="3">
        <v>0</v>
      </c>
      <c r="M6" s="3">
        <v>1</v>
      </c>
      <c r="N6" s="3">
        <v>1</v>
      </c>
      <c r="O6" s="3">
        <v>2</v>
      </c>
      <c r="P6" s="3">
        <v>1</v>
      </c>
      <c r="Q6" s="3">
        <v>2</v>
      </c>
      <c r="R6" s="3">
        <v>0</v>
      </c>
      <c r="S6" s="3">
        <v>1</v>
      </c>
      <c r="T6" s="3">
        <v>1</v>
      </c>
      <c r="U6" s="3">
        <v>4</v>
      </c>
      <c r="V6" s="3">
        <v>0</v>
      </c>
      <c r="W6" s="3">
        <v>2</v>
      </c>
      <c r="X6" s="3">
        <v>1</v>
      </c>
      <c r="Y6" s="3">
        <v>1</v>
      </c>
      <c r="Z6" s="3">
        <v>0</v>
      </c>
      <c r="AA6" s="3">
        <v>3</v>
      </c>
      <c r="AB6" s="3">
        <v>0</v>
      </c>
      <c r="AC6" s="3">
        <v>3</v>
      </c>
      <c r="AD6" s="3">
        <v>0</v>
      </c>
      <c r="AE6" s="3">
        <v>2</v>
      </c>
      <c r="AF6" s="3">
        <v>0</v>
      </c>
      <c r="AG6" s="3">
        <v>2</v>
      </c>
      <c r="AH6" s="3">
        <v>1</v>
      </c>
      <c r="AI6" s="3">
        <v>2</v>
      </c>
      <c r="AJ6" s="3">
        <v>1</v>
      </c>
      <c r="AK6" s="3">
        <v>2</v>
      </c>
      <c r="AL6" s="3">
        <v>0</v>
      </c>
      <c r="AM6" s="3">
        <v>3</v>
      </c>
      <c r="AN6" s="3">
        <v>0</v>
      </c>
      <c r="AO6" s="3">
        <v>2</v>
      </c>
      <c r="AP6" s="3">
        <v>0</v>
      </c>
      <c r="AQ6" s="3">
        <v>1</v>
      </c>
      <c r="AR6" s="3">
        <v>1</v>
      </c>
      <c r="AS6" s="3">
        <v>2</v>
      </c>
      <c r="AT6" s="3">
        <v>1</v>
      </c>
      <c r="AU6" s="3">
        <v>3</v>
      </c>
      <c r="AV6" s="3">
        <v>0</v>
      </c>
      <c r="AW6" s="3">
        <v>2</v>
      </c>
      <c r="AX6" s="3">
        <v>0</v>
      </c>
      <c r="AY6" s="3">
        <v>2</v>
      </c>
      <c r="AZ6" s="3">
        <v>1</v>
      </c>
      <c r="BA6" s="3">
        <v>2</v>
      </c>
      <c r="BB6" s="3">
        <v>0</v>
      </c>
      <c r="BC6" s="3">
        <v>1</v>
      </c>
      <c r="BD6" s="3">
        <v>1</v>
      </c>
      <c r="BE6" s="3">
        <v>2</v>
      </c>
      <c r="BF6" s="3">
        <v>1</v>
      </c>
      <c r="BG6" s="3">
        <v>4</v>
      </c>
      <c r="BH6" s="3">
        <v>0</v>
      </c>
      <c r="BI6" s="3">
        <v>1</v>
      </c>
      <c r="BJ6" s="3">
        <v>2</v>
      </c>
      <c r="BK6" s="3">
        <v>2</v>
      </c>
      <c r="BL6" s="3">
        <v>1</v>
      </c>
      <c r="BM6" s="3">
        <v>2</v>
      </c>
      <c r="BN6" s="3">
        <v>0</v>
      </c>
      <c r="BO6" s="3">
        <v>2</v>
      </c>
      <c r="BP6" s="3">
        <v>1</v>
      </c>
      <c r="BQ6" s="3">
        <v>3</v>
      </c>
      <c r="BR6" s="3">
        <v>0</v>
      </c>
      <c r="BS6" s="3">
        <v>2</v>
      </c>
      <c r="BT6" s="3">
        <v>1</v>
      </c>
      <c r="BU6" s="3">
        <v>1</v>
      </c>
      <c r="BV6" s="3">
        <v>2</v>
      </c>
      <c r="BW6" s="3">
        <v>3</v>
      </c>
      <c r="BX6" s="3">
        <v>0</v>
      </c>
      <c r="BY6" s="3">
        <v>3</v>
      </c>
      <c r="BZ6" s="3">
        <v>0</v>
      </c>
      <c r="CA6" s="3">
        <v>2</v>
      </c>
      <c r="CB6" s="3">
        <v>1</v>
      </c>
      <c r="CC6" s="3">
        <v>1</v>
      </c>
      <c r="CD6" s="3">
        <v>2</v>
      </c>
      <c r="CE6" s="3">
        <v>1</v>
      </c>
      <c r="CF6" s="3">
        <v>1</v>
      </c>
      <c r="CG6" s="3">
        <v>3</v>
      </c>
      <c r="CH6" s="3">
        <v>0</v>
      </c>
      <c r="CI6" s="3">
        <v>2</v>
      </c>
      <c r="CJ6" s="3">
        <v>0</v>
      </c>
      <c r="CK6" s="3">
        <v>1</v>
      </c>
      <c r="CL6" s="3">
        <v>2</v>
      </c>
      <c r="CM6" s="3">
        <v>2</v>
      </c>
      <c r="CN6" s="3">
        <v>0</v>
      </c>
      <c r="CO6" s="3">
        <v>0</v>
      </c>
      <c r="CP6" s="3">
        <v>2</v>
      </c>
      <c r="CQ6" s="3">
        <v>3</v>
      </c>
      <c r="CR6" s="3">
        <v>1</v>
      </c>
      <c r="CS6" s="3">
        <v>3</v>
      </c>
      <c r="CT6" s="3">
        <v>0</v>
      </c>
      <c r="CU6" s="3">
        <v>3</v>
      </c>
      <c r="CV6" s="3">
        <v>1</v>
      </c>
      <c r="CW6" s="3">
        <v>2</v>
      </c>
      <c r="CX6" s="3">
        <v>0</v>
      </c>
      <c r="CY6" s="3">
        <v>1</v>
      </c>
      <c r="CZ6" s="3">
        <v>1</v>
      </c>
      <c r="DA6" s="3">
        <v>2</v>
      </c>
      <c r="DB6" s="3">
        <v>1</v>
      </c>
      <c r="DC6" s="3">
        <v>1</v>
      </c>
      <c r="DD6" s="3">
        <v>1</v>
      </c>
      <c r="DE6" s="3">
        <v>2</v>
      </c>
      <c r="DF6" s="3">
        <v>1</v>
      </c>
      <c r="DG6" s="3">
        <v>3</v>
      </c>
      <c r="DH6" s="3">
        <v>0</v>
      </c>
      <c r="DI6" s="3">
        <v>2</v>
      </c>
      <c r="DJ6" s="3">
        <v>1</v>
      </c>
      <c r="DK6" s="3">
        <v>1</v>
      </c>
      <c r="DL6" s="3">
        <v>1</v>
      </c>
      <c r="DM6" s="3">
        <v>2</v>
      </c>
      <c r="DN6" s="3">
        <v>0</v>
      </c>
      <c r="DO6" s="3">
        <v>1</v>
      </c>
      <c r="DP6" s="3">
        <v>1</v>
      </c>
      <c r="DQ6" s="3">
        <v>2</v>
      </c>
      <c r="DR6" s="3">
        <v>1</v>
      </c>
      <c r="DS6" s="3">
        <v>2</v>
      </c>
      <c r="DT6" s="3">
        <v>1</v>
      </c>
      <c r="DU6" s="3">
        <v>2</v>
      </c>
      <c r="DV6" s="3">
        <v>0</v>
      </c>
      <c r="DW6" s="3">
        <v>1</v>
      </c>
      <c r="DX6" s="3">
        <v>1</v>
      </c>
      <c r="DY6" s="3">
        <v>3</v>
      </c>
      <c r="DZ6" s="3">
        <v>0</v>
      </c>
      <c r="EA6" s="3">
        <v>1</v>
      </c>
      <c r="EB6" s="3">
        <v>1</v>
      </c>
      <c r="EC6" s="3">
        <v>2</v>
      </c>
      <c r="ED6" s="3">
        <v>2</v>
      </c>
      <c r="EE6" s="3">
        <v>2</v>
      </c>
      <c r="EF6" s="3">
        <v>1</v>
      </c>
      <c r="EG6" s="3">
        <v>2</v>
      </c>
      <c r="EH6" s="3">
        <v>1</v>
      </c>
      <c r="EI6" s="3">
        <v>1</v>
      </c>
      <c r="EJ6" s="3">
        <v>1</v>
      </c>
      <c r="EK6" s="3">
        <v>2</v>
      </c>
      <c r="EL6" s="3">
        <v>3</v>
      </c>
      <c r="EM6" s="3">
        <v>1</v>
      </c>
      <c r="EN6" s="3">
        <v>1</v>
      </c>
      <c r="EO6" s="3">
        <v>2</v>
      </c>
      <c r="EP6" s="3">
        <v>1</v>
      </c>
    </row>
    <row r="7" spans="1:146" ht="14.25" customHeight="1" x14ac:dyDescent="0.25">
      <c r="A7" s="16">
        <v>6</v>
      </c>
      <c r="B7" s="17" t="s">
        <v>20</v>
      </c>
      <c r="C7" s="16">
        <v>2</v>
      </c>
      <c r="D7" s="16">
        <v>0</v>
      </c>
      <c r="E7" s="16">
        <v>1</v>
      </c>
      <c r="F7" s="16">
        <v>1</v>
      </c>
      <c r="G7" s="16">
        <v>3</v>
      </c>
      <c r="H7" s="16">
        <v>1</v>
      </c>
      <c r="I7" s="16">
        <v>2</v>
      </c>
      <c r="J7" s="16">
        <v>0</v>
      </c>
      <c r="K7" s="16">
        <v>0</v>
      </c>
      <c r="L7" s="16">
        <v>3</v>
      </c>
      <c r="M7" s="16">
        <v>1</v>
      </c>
      <c r="N7" s="16">
        <v>2</v>
      </c>
      <c r="O7" s="16">
        <v>2</v>
      </c>
      <c r="P7" s="16">
        <v>2</v>
      </c>
      <c r="Q7" s="16">
        <v>0</v>
      </c>
      <c r="R7" s="16">
        <v>2</v>
      </c>
      <c r="S7" s="16">
        <v>1</v>
      </c>
      <c r="T7" s="16">
        <v>1</v>
      </c>
      <c r="U7" s="16">
        <v>4</v>
      </c>
      <c r="V7" s="16">
        <v>0</v>
      </c>
      <c r="W7" s="16">
        <v>3</v>
      </c>
      <c r="X7" s="16">
        <v>0</v>
      </c>
      <c r="Y7" s="16">
        <v>2</v>
      </c>
      <c r="Z7" s="16">
        <v>1</v>
      </c>
      <c r="AA7" s="16">
        <v>0</v>
      </c>
      <c r="AB7" s="16">
        <v>1</v>
      </c>
      <c r="AC7" s="16">
        <v>3</v>
      </c>
      <c r="AD7" s="16">
        <v>0</v>
      </c>
      <c r="AE7" s="16">
        <v>0</v>
      </c>
      <c r="AF7" s="16">
        <v>2</v>
      </c>
      <c r="AG7" s="16">
        <v>3</v>
      </c>
      <c r="AH7" s="16">
        <v>1</v>
      </c>
      <c r="AI7" s="16">
        <v>4</v>
      </c>
      <c r="AJ7" s="16">
        <v>0</v>
      </c>
      <c r="AK7" s="16">
        <v>0</v>
      </c>
      <c r="AL7" s="16">
        <v>1</v>
      </c>
      <c r="AM7" s="16">
        <v>3</v>
      </c>
      <c r="AN7" s="16">
        <v>1</v>
      </c>
      <c r="AO7" s="16">
        <v>2</v>
      </c>
      <c r="AP7" s="16">
        <v>1</v>
      </c>
      <c r="AQ7" s="16">
        <v>0</v>
      </c>
      <c r="AR7" s="16">
        <v>1</v>
      </c>
      <c r="AS7" s="16">
        <v>3</v>
      </c>
      <c r="AT7" s="16">
        <v>2</v>
      </c>
      <c r="AU7" s="16">
        <v>4</v>
      </c>
      <c r="AV7" s="16">
        <v>0</v>
      </c>
      <c r="AW7" s="16">
        <v>0</v>
      </c>
      <c r="AX7" s="16">
        <v>4</v>
      </c>
      <c r="AY7" s="16">
        <v>0</v>
      </c>
      <c r="AZ7" s="16">
        <v>1</v>
      </c>
      <c r="BA7" s="16">
        <v>3</v>
      </c>
      <c r="BB7" s="16">
        <v>2</v>
      </c>
      <c r="BC7" s="16">
        <v>2</v>
      </c>
      <c r="BD7" s="16">
        <v>1</v>
      </c>
      <c r="BE7" s="16">
        <v>3</v>
      </c>
      <c r="BF7" s="16">
        <v>1</v>
      </c>
      <c r="BG7" s="16">
        <v>5</v>
      </c>
      <c r="BH7" s="16">
        <v>0</v>
      </c>
      <c r="BI7" s="16">
        <v>0</v>
      </c>
      <c r="BJ7" s="16">
        <v>2</v>
      </c>
      <c r="BK7" s="16">
        <v>1</v>
      </c>
      <c r="BL7" s="16">
        <v>0</v>
      </c>
      <c r="BM7" s="16">
        <v>2</v>
      </c>
      <c r="BN7" s="16">
        <v>1</v>
      </c>
      <c r="BO7" s="16">
        <v>4</v>
      </c>
      <c r="BP7" s="16">
        <v>0</v>
      </c>
      <c r="BQ7" s="16">
        <v>2</v>
      </c>
      <c r="BR7" s="16">
        <v>0</v>
      </c>
      <c r="BS7" s="16">
        <v>3</v>
      </c>
      <c r="BT7" s="16">
        <v>0</v>
      </c>
      <c r="BU7" s="16">
        <v>1</v>
      </c>
      <c r="BV7" s="16">
        <v>1</v>
      </c>
      <c r="BW7" s="16">
        <v>3</v>
      </c>
      <c r="BX7" s="16">
        <v>1</v>
      </c>
      <c r="BY7" s="16">
        <v>3</v>
      </c>
      <c r="BZ7" s="16">
        <v>0</v>
      </c>
      <c r="CA7" s="16">
        <v>4</v>
      </c>
      <c r="CB7" s="16">
        <v>1</v>
      </c>
      <c r="CC7" s="16">
        <v>1</v>
      </c>
      <c r="CD7" s="16">
        <v>0</v>
      </c>
      <c r="CE7" s="16">
        <v>2</v>
      </c>
      <c r="CF7" s="16">
        <v>1</v>
      </c>
      <c r="CG7" s="16">
        <v>4</v>
      </c>
      <c r="CH7" s="16">
        <v>1</v>
      </c>
      <c r="CI7" s="16">
        <v>2</v>
      </c>
      <c r="CJ7" s="16">
        <v>0</v>
      </c>
      <c r="CK7" s="16">
        <v>1</v>
      </c>
      <c r="CL7" s="16">
        <v>1</v>
      </c>
      <c r="CM7" s="16">
        <v>4</v>
      </c>
      <c r="CN7" s="16">
        <v>2</v>
      </c>
      <c r="CO7" s="16">
        <v>2</v>
      </c>
      <c r="CP7" s="16">
        <v>2</v>
      </c>
      <c r="CQ7" s="16">
        <v>5</v>
      </c>
      <c r="CR7" s="16">
        <v>0</v>
      </c>
      <c r="CS7" s="16">
        <v>3</v>
      </c>
      <c r="CT7" s="16">
        <v>0</v>
      </c>
      <c r="CU7" s="16">
        <v>2</v>
      </c>
      <c r="CV7" s="16">
        <v>2</v>
      </c>
      <c r="CW7" s="16">
        <v>3</v>
      </c>
      <c r="CX7" s="16">
        <v>0</v>
      </c>
      <c r="CY7" s="16">
        <v>2</v>
      </c>
      <c r="CZ7" s="16">
        <v>2</v>
      </c>
      <c r="DA7" s="16">
        <v>2</v>
      </c>
      <c r="DB7" s="16">
        <v>1</v>
      </c>
      <c r="DC7" s="16">
        <v>1</v>
      </c>
      <c r="DD7" s="16">
        <v>3</v>
      </c>
      <c r="DE7" s="16">
        <v>1</v>
      </c>
      <c r="DF7" s="16">
        <v>2</v>
      </c>
      <c r="DG7" s="16">
        <v>1</v>
      </c>
      <c r="DH7" s="16">
        <v>1</v>
      </c>
      <c r="DI7" s="16">
        <v>1</v>
      </c>
      <c r="DJ7" s="16">
        <v>2</v>
      </c>
      <c r="DK7" s="16">
        <v>2</v>
      </c>
      <c r="DL7" s="16">
        <v>1</v>
      </c>
      <c r="DM7" s="16">
        <v>0</v>
      </c>
      <c r="DN7" s="16">
        <v>2</v>
      </c>
      <c r="DO7" s="16">
        <v>1</v>
      </c>
      <c r="DP7" s="16">
        <v>2</v>
      </c>
      <c r="DQ7" s="16">
        <v>0</v>
      </c>
      <c r="DR7" s="16">
        <v>1</v>
      </c>
      <c r="DS7" s="16">
        <v>1</v>
      </c>
      <c r="DT7" s="16">
        <v>3</v>
      </c>
      <c r="DU7" s="16">
        <v>1</v>
      </c>
      <c r="DV7" s="16">
        <v>0</v>
      </c>
      <c r="DW7" s="16">
        <v>2</v>
      </c>
      <c r="DX7" s="16">
        <v>0</v>
      </c>
      <c r="DY7" s="16">
        <v>1</v>
      </c>
      <c r="DZ7" s="16">
        <v>3</v>
      </c>
      <c r="EA7" s="16">
        <v>0</v>
      </c>
      <c r="EB7" s="16">
        <v>1</v>
      </c>
      <c r="EC7" s="16">
        <v>1</v>
      </c>
      <c r="ED7" s="16">
        <v>1</v>
      </c>
      <c r="EE7" s="16">
        <v>1</v>
      </c>
      <c r="EF7" s="16">
        <v>2</v>
      </c>
      <c r="EG7" s="16">
        <v>2</v>
      </c>
      <c r="EH7" s="16">
        <v>1</v>
      </c>
      <c r="EI7" s="16">
        <v>0</v>
      </c>
      <c r="EJ7" s="16">
        <v>1</v>
      </c>
      <c r="EK7" s="16">
        <v>0</v>
      </c>
      <c r="EL7" s="16">
        <v>3</v>
      </c>
      <c r="EM7" s="16">
        <v>1</v>
      </c>
      <c r="EN7" s="16">
        <v>2</v>
      </c>
      <c r="EO7" s="16">
        <v>0</v>
      </c>
      <c r="EP7" s="16">
        <v>0</v>
      </c>
    </row>
    <row r="8" spans="1:146" ht="14.25" customHeight="1" x14ac:dyDescent="0.25">
      <c r="A8" s="15">
        <v>7</v>
      </c>
      <c r="B8" s="4" t="s">
        <v>21</v>
      </c>
      <c r="C8" s="3">
        <v>2</v>
      </c>
      <c r="D8" s="3">
        <v>1</v>
      </c>
      <c r="E8" s="3">
        <v>1</v>
      </c>
      <c r="F8" s="3">
        <v>1</v>
      </c>
      <c r="G8" s="3">
        <v>2</v>
      </c>
      <c r="H8" s="3">
        <v>1</v>
      </c>
      <c r="I8" s="3">
        <v>2</v>
      </c>
      <c r="J8" s="3">
        <v>0</v>
      </c>
      <c r="K8" s="3">
        <v>0</v>
      </c>
      <c r="L8" s="3">
        <v>2</v>
      </c>
      <c r="M8" s="3">
        <v>1</v>
      </c>
      <c r="N8" s="3">
        <v>2</v>
      </c>
      <c r="O8" s="3">
        <v>2</v>
      </c>
      <c r="P8" s="3">
        <v>1</v>
      </c>
      <c r="Q8" s="3">
        <v>0</v>
      </c>
      <c r="R8" s="3">
        <v>2</v>
      </c>
      <c r="S8" s="3">
        <v>1</v>
      </c>
      <c r="T8" s="3">
        <v>1</v>
      </c>
      <c r="U8" s="3">
        <v>5</v>
      </c>
      <c r="V8" s="3">
        <v>0</v>
      </c>
      <c r="W8" s="3">
        <v>2</v>
      </c>
      <c r="X8" s="3">
        <v>1</v>
      </c>
      <c r="Y8" s="3">
        <v>2</v>
      </c>
      <c r="Z8" s="3">
        <v>0</v>
      </c>
      <c r="AA8" s="3">
        <v>0</v>
      </c>
      <c r="AB8" s="3">
        <v>2</v>
      </c>
      <c r="AC8" s="3">
        <v>4</v>
      </c>
      <c r="AD8" s="3">
        <v>0</v>
      </c>
      <c r="AE8" s="3">
        <v>2</v>
      </c>
      <c r="AF8" s="3">
        <v>0</v>
      </c>
      <c r="AG8" s="3">
        <v>2</v>
      </c>
      <c r="AH8" s="3">
        <v>0</v>
      </c>
      <c r="AI8" s="3">
        <v>2</v>
      </c>
      <c r="AJ8" s="3">
        <v>1</v>
      </c>
      <c r="AK8" s="3">
        <v>0</v>
      </c>
      <c r="AL8" s="3">
        <v>3</v>
      </c>
      <c r="AM8" s="3">
        <v>3</v>
      </c>
      <c r="AN8" s="3">
        <v>0</v>
      </c>
      <c r="AO8" s="3">
        <v>2</v>
      </c>
      <c r="AP8" s="3">
        <v>0</v>
      </c>
      <c r="AQ8" s="3">
        <v>1</v>
      </c>
      <c r="AR8" s="3">
        <v>2</v>
      </c>
      <c r="AS8" s="3">
        <v>2</v>
      </c>
      <c r="AT8" s="3">
        <v>1</v>
      </c>
      <c r="AU8" s="3">
        <v>3</v>
      </c>
      <c r="AV8" s="3">
        <v>0</v>
      </c>
      <c r="AW8" s="3">
        <v>0</v>
      </c>
      <c r="AX8" s="3">
        <v>2</v>
      </c>
      <c r="AY8" s="3">
        <v>2</v>
      </c>
      <c r="AZ8" s="3">
        <v>1</v>
      </c>
      <c r="BA8" s="3">
        <v>1</v>
      </c>
      <c r="BB8" s="3">
        <v>1</v>
      </c>
      <c r="BC8" s="3">
        <v>3</v>
      </c>
      <c r="BD8" s="3">
        <v>1</v>
      </c>
      <c r="BE8" s="3">
        <v>2</v>
      </c>
      <c r="BF8" s="3">
        <v>1</v>
      </c>
      <c r="BG8" s="3">
        <v>4</v>
      </c>
      <c r="BH8" s="3">
        <v>0</v>
      </c>
      <c r="BI8" s="3">
        <v>1</v>
      </c>
      <c r="BJ8" s="3">
        <v>1</v>
      </c>
      <c r="BK8" s="3">
        <v>2</v>
      </c>
      <c r="BL8" s="3">
        <v>1</v>
      </c>
      <c r="BM8" s="3">
        <v>3</v>
      </c>
      <c r="BN8" s="3">
        <v>1</v>
      </c>
      <c r="BO8" s="3">
        <v>3</v>
      </c>
      <c r="BP8" s="3">
        <v>1</v>
      </c>
      <c r="BQ8" s="3">
        <v>2</v>
      </c>
      <c r="BR8" s="3">
        <v>0</v>
      </c>
      <c r="BS8" s="3">
        <v>2</v>
      </c>
      <c r="BT8" s="3">
        <v>1</v>
      </c>
      <c r="BU8" s="3">
        <v>0</v>
      </c>
      <c r="BV8" s="3">
        <v>2</v>
      </c>
      <c r="BW8" s="3">
        <v>2</v>
      </c>
      <c r="BX8" s="3">
        <v>0</v>
      </c>
      <c r="BY8" s="3">
        <v>3</v>
      </c>
      <c r="BZ8" s="3">
        <v>0</v>
      </c>
      <c r="CA8" s="3">
        <v>3</v>
      </c>
      <c r="CB8" s="3">
        <v>0</v>
      </c>
      <c r="CC8" s="3">
        <v>0</v>
      </c>
      <c r="CD8" s="3">
        <v>1</v>
      </c>
      <c r="CE8" s="3">
        <v>1</v>
      </c>
      <c r="CF8" s="3">
        <v>2</v>
      </c>
      <c r="CG8" s="3">
        <v>4</v>
      </c>
      <c r="CH8" s="3">
        <v>0</v>
      </c>
      <c r="CI8" s="3">
        <v>2</v>
      </c>
      <c r="CJ8" s="3">
        <v>0</v>
      </c>
      <c r="CK8" s="3">
        <v>0</v>
      </c>
      <c r="CL8" s="3">
        <v>1</v>
      </c>
      <c r="CM8" s="3">
        <v>3</v>
      </c>
      <c r="CN8" s="3">
        <v>1</v>
      </c>
      <c r="CO8" s="3">
        <v>1</v>
      </c>
      <c r="CP8" s="3">
        <v>1</v>
      </c>
      <c r="CQ8" s="3">
        <v>3</v>
      </c>
      <c r="CR8" s="3">
        <v>0</v>
      </c>
      <c r="CS8" s="3">
        <v>2</v>
      </c>
      <c r="CT8" s="3">
        <v>1</v>
      </c>
      <c r="CU8" s="1">
        <v>0</v>
      </c>
      <c r="CV8" s="15">
        <v>2</v>
      </c>
      <c r="CW8" s="3">
        <v>3</v>
      </c>
      <c r="CX8" s="3">
        <v>0</v>
      </c>
      <c r="CY8" s="3">
        <v>1</v>
      </c>
      <c r="CZ8" s="3">
        <v>2</v>
      </c>
      <c r="DA8" s="3">
        <v>2</v>
      </c>
      <c r="DB8" s="3">
        <v>0</v>
      </c>
      <c r="DC8" s="3">
        <v>0</v>
      </c>
      <c r="DD8" s="3">
        <v>1</v>
      </c>
      <c r="DE8" s="3">
        <v>0</v>
      </c>
      <c r="DF8" s="3">
        <v>2</v>
      </c>
      <c r="DG8" s="3">
        <v>0</v>
      </c>
      <c r="DH8" s="3">
        <v>2</v>
      </c>
      <c r="DI8" s="3">
        <v>0</v>
      </c>
      <c r="DJ8" s="3">
        <v>2</v>
      </c>
      <c r="DK8" s="3">
        <v>2</v>
      </c>
      <c r="DL8" s="3">
        <v>1</v>
      </c>
      <c r="DM8" s="3">
        <v>0</v>
      </c>
      <c r="DN8" s="3">
        <v>3</v>
      </c>
      <c r="DO8" s="3">
        <v>1</v>
      </c>
      <c r="DP8" s="3">
        <v>2</v>
      </c>
      <c r="DQ8" s="3">
        <v>1</v>
      </c>
      <c r="DR8" s="3">
        <v>1</v>
      </c>
      <c r="DS8" s="3">
        <v>1</v>
      </c>
      <c r="DT8" s="3">
        <v>2</v>
      </c>
      <c r="DU8" s="3">
        <v>2</v>
      </c>
      <c r="DV8" s="3">
        <v>0</v>
      </c>
      <c r="DW8" s="3">
        <v>1</v>
      </c>
      <c r="DX8" s="3">
        <v>1</v>
      </c>
      <c r="DY8" s="3">
        <v>0</v>
      </c>
      <c r="DZ8" s="3">
        <v>4</v>
      </c>
      <c r="EA8" s="3">
        <v>1</v>
      </c>
      <c r="EB8" s="3">
        <v>1</v>
      </c>
      <c r="EC8" s="3">
        <v>1</v>
      </c>
      <c r="ED8" s="3">
        <v>2</v>
      </c>
      <c r="EE8" s="3">
        <v>1</v>
      </c>
      <c r="EF8" s="3">
        <v>3</v>
      </c>
      <c r="EG8" s="3">
        <v>2</v>
      </c>
      <c r="EH8" s="3">
        <v>0</v>
      </c>
      <c r="EI8" s="3">
        <v>1</v>
      </c>
      <c r="EJ8" s="3">
        <v>2</v>
      </c>
      <c r="EK8" s="3">
        <v>0</v>
      </c>
      <c r="EL8" s="3">
        <v>4</v>
      </c>
      <c r="EM8" s="3">
        <v>1</v>
      </c>
      <c r="EN8" s="3">
        <v>2</v>
      </c>
      <c r="EO8" s="3">
        <v>1</v>
      </c>
      <c r="EP8" s="3">
        <v>1</v>
      </c>
    </row>
    <row r="9" spans="1:146" ht="14.25" customHeight="1" x14ac:dyDescent="0.25">
      <c r="A9" s="16">
        <v>8</v>
      </c>
      <c r="B9" s="17" t="s">
        <v>25</v>
      </c>
      <c r="C9" s="16">
        <v>2</v>
      </c>
      <c r="D9" s="16">
        <v>1</v>
      </c>
      <c r="E9" s="16">
        <v>2</v>
      </c>
      <c r="F9" s="16">
        <v>1</v>
      </c>
      <c r="G9" s="16">
        <v>1</v>
      </c>
      <c r="H9" s="16">
        <v>1</v>
      </c>
      <c r="I9" s="16">
        <v>2</v>
      </c>
      <c r="J9" s="16">
        <v>1</v>
      </c>
      <c r="K9" s="16">
        <v>0</v>
      </c>
      <c r="L9" s="16">
        <v>2</v>
      </c>
      <c r="M9" s="16">
        <v>1</v>
      </c>
      <c r="N9" s="16">
        <v>3</v>
      </c>
      <c r="O9" s="16">
        <v>2</v>
      </c>
      <c r="P9" s="16">
        <v>1</v>
      </c>
      <c r="Q9" s="16">
        <v>0</v>
      </c>
      <c r="R9" s="16">
        <v>3</v>
      </c>
      <c r="S9" s="16">
        <v>1</v>
      </c>
      <c r="T9" s="16">
        <v>1</v>
      </c>
      <c r="U9" s="16">
        <v>4</v>
      </c>
      <c r="V9" s="16">
        <v>0</v>
      </c>
      <c r="W9" s="16">
        <v>2</v>
      </c>
      <c r="X9" s="16">
        <v>2</v>
      </c>
      <c r="Y9" s="16">
        <v>2</v>
      </c>
      <c r="Z9" s="16">
        <v>11</v>
      </c>
      <c r="AA9" s="16">
        <v>0</v>
      </c>
      <c r="AB9" s="16">
        <v>2</v>
      </c>
      <c r="AC9" s="16">
        <v>4</v>
      </c>
      <c r="AD9" s="16">
        <v>0</v>
      </c>
      <c r="AE9" s="16">
        <v>2</v>
      </c>
      <c r="AF9" s="16">
        <v>0</v>
      </c>
      <c r="AG9" s="16">
        <v>3</v>
      </c>
      <c r="AH9" s="16">
        <v>1</v>
      </c>
      <c r="AI9" s="16">
        <v>2</v>
      </c>
      <c r="AJ9" s="16">
        <v>1</v>
      </c>
      <c r="AK9" s="16">
        <v>0</v>
      </c>
      <c r="AL9" s="16">
        <v>3</v>
      </c>
      <c r="AM9" s="16">
        <v>3</v>
      </c>
      <c r="AN9" s="16">
        <v>0</v>
      </c>
      <c r="AO9" s="16">
        <v>2</v>
      </c>
      <c r="AP9" s="16">
        <v>1</v>
      </c>
      <c r="AQ9" s="16">
        <v>2</v>
      </c>
      <c r="AR9" s="16">
        <v>1</v>
      </c>
      <c r="AS9" s="16">
        <v>2</v>
      </c>
      <c r="AT9" s="16">
        <v>2</v>
      </c>
      <c r="AU9" s="16">
        <v>3</v>
      </c>
      <c r="AV9" s="16">
        <v>0</v>
      </c>
      <c r="AW9" s="16">
        <v>1</v>
      </c>
      <c r="AX9" s="16">
        <v>1</v>
      </c>
      <c r="AY9" s="16">
        <v>3</v>
      </c>
      <c r="AZ9" s="16">
        <v>0</v>
      </c>
      <c r="BA9" s="16">
        <v>2</v>
      </c>
      <c r="BB9" s="16">
        <v>0</v>
      </c>
      <c r="BC9" s="16">
        <v>3</v>
      </c>
      <c r="BD9" s="16">
        <v>1</v>
      </c>
      <c r="BE9" s="16">
        <v>1</v>
      </c>
      <c r="BF9" s="16">
        <v>2</v>
      </c>
      <c r="BG9" s="16">
        <v>4</v>
      </c>
      <c r="BH9" s="16">
        <v>0</v>
      </c>
      <c r="BI9" s="16">
        <v>1</v>
      </c>
      <c r="BJ9" s="16">
        <v>2</v>
      </c>
      <c r="BK9" s="16">
        <v>2</v>
      </c>
      <c r="BL9" s="16">
        <v>2</v>
      </c>
      <c r="BM9" s="16">
        <v>3</v>
      </c>
      <c r="BN9" s="16">
        <v>1</v>
      </c>
      <c r="BO9" s="16">
        <v>2</v>
      </c>
      <c r="BP9" s="16">
        <v>1</v>
      </c>
      <c r="BQ9" s="16">
        <v>3</v>
      </c>
      <c r="BR9" s="16">
        <v>0</v>
      </c>
      <c r="BS9" s="16">
        <v>3</v>
      </c>
      <c r="BT9" s="16">
        <v>1</v>
      </c>
      <c r="BU9" s="16">
        <v>1</v>
      </c>
      <c r="BV9" s="16">
        <v>2</v>
      </c>
      <c r="BW9" s="16">
        <v>2</v>
      </c>
      <c r="BX9" s="16">
        <v>0</v>
      </c>
      <c r="BY9" s="16">
        <v>3</v>
      </c>
      <c r="BZ9" s="16">
        <v>1</v>
      </c>
      <c r="CA9" s="16">
        <v>2</v>
      </c>
      <c r="CB9" s="16">
        <v>1</v>
      </c>
      <c r="CC9" s="16">
        <v>1</v>
      </c>
      <c r="CD9" s="16">
        <v>4</v>
      </c>
      <c r="CE9" s="16">
        <v>1</v>
      </c>
      <c r="CF9" s="16">
        <v>2</v>
      </c>
      <c r="CG9" s="16">
        <v>3</v>
      </c>
      <c r="CH9" s="16">
        <v>0</v>
      </c>
      <c r="CI9" s="16">
        <v>2</v>
      </c>
      <c r="CJ9" s="16">
        <v>2</v>
      </c>
      <c r="CK9" s="16">
        <v>1</v>
      </c>
      <c r="CL9" s="16">
        <v>2</v>
      </c>
      <c r="CM9" s="16">
        <v>3</v>
      </c>
      <c r="CN9" s="16">
        <v>1</v>
      </c>
      <c r="CO9" s="16">
        <v>0</v>
      </c>
      <c r="CP9" s="16">
        <v>2</v>
      </c>
      <c r="CQ9" s="16">
        <v>2</v>
      </c>
      <c r="CR9" s="16">
        <v>0</v>
      </c>
      <c r="CS9" s="16">
        <v>2</v>
      </c>
      <c r="CT9" s="16">
        <v>1</v>
      </c>
      <c r="CU9" s="16">
        <v>1</v>
      </c>
      <c r="CV9" s="16">
        <v>3</v>
      </c>
      <c r="CW9" s="16">
        <v>3</v>
      </c>
      <c r="CX9" s="16">
        <v>0</v>
      </c>
      <c r="CY9" s="16">
        <v>2</v>
      </c>
      <c r="CZ9" s="16">
        <v>2</v>
      </c>
      <c r="DA9" s="16">
        <v>0</v>
      </c>
      <c r="DB9" s="16">
        <v>1</v>
      </c>
      <c r="DC9" s="16">
        <v>1</v>
      </c>
      <c r="DD9" s="16">
        <v>1</v>
      </c>
      <c r="DE9" s="16">
        <v>1</v>
      </c>
      <c r="DF9" s="16">
        <v>3</v>
      </c>
      <c r="DG9" s="16">
        <v>1</v>
      </c>
      <c r="DH9" s="16">
        <v>2</v>
      </c>
      <c r="DI9" s="16">
        <v>1</v>
      </c>
      <c r="DJ9" s="16">
        <v>2</v>
      </c>
      <c r="DK9" s="16">
        <v>2</v>
      </c>
      <c r="DL9" s="16">
        <v>1</v>
      </c>
      <c r="DM9" s="16">
        <v>0</v>
      </c>
      <c r="DN9" s="16">
        <v>2</v>
      </c>
      <c r="DO9" s="16">
        <v>1</v>
      </c>
      <c r="DP9" s="16">
        <v>1</v>
      </c>
      <c r="DQ9" s="16">
        <v>2</v>
      </c>
      <c r="DR9" s="16">
        <v>0</v>
      </c>
      <c r="DS9" s="16">
        <v>1</v>
      </c>
      <c r="DT9" s="16">
        <v>2</v>
      </c>
      <c r="DU9" s="16">
        <v>2</v>
      </c>
      <c r="DV9" s="16">
        <v>0</v>
      </c>
      <c r="DW9" s="16">
        <v>2</v>
      </c>
      <c r="DX9" s="16">
        <v>2</v>
      </c>
      <c r="DY9" s="16">
        <v>0</v>
      </c>
      <c r="DZ9" s="16">
        <v>3</v>
      </c>
      <c r="EA9" s="16">
        <v>1</v>
      </c>
      <c r="EB9" s="16">
        <v>2</v>
      </c>
      <c r="EC9" s="16">
        <v>1</v>
      </c>
      <c r="ED9" s="16">
        <v>2</v>
      </c>
      <c r="EE9" s="16">
        <v>1</v>
      </c>
      <c r="EF9" s="16">
        <v>3</v>
      </c>
      <c r="EG9" s="16">
        <v>2</v>
      </c>
      <c r="EH9" s="16">
        <v>1</v>
      </c>
      <c r="EI9" s="16">
        <v>1</v>
      </c>
      <c r="EJ9" s="16">
        <v>1</v>
      </c>
      <c r="EK9" s="16">
        <v>0</v>
      </c>
      <c r="EL9" s="16">
        <v>3</v>
      </c>
      <c r="EM9" s="16">
        <v>2</v>
      </c>
      <c r="EN9" s="16">
        <v>2</v>
      </c>
      <c r="EO9" s="16">
        <v>1</v>
      </c>
      <c r="EP9" s="16">
        <v>1</v>
      </c>
    </row>
    <row r="10" spans="1:146" ht="14.25" customHeight="1" x14ac:dyDescent="0.25">
      <c r="A10" s="15">
        <v>9</v>
      </c>
      <c r="B10" s="4" t="s">
        <v>27</v>
      </c>
      <c r="C10" s="3">
        <v>2</v>
      </c>
      <c r="D10" s="3">
        <v>3</v>
      </c>
      <c r="E10" s="3">
        <v>1</v>
      </c>
      <c r="F10" s="3">
        <v>1</v>
      </c>
      <c r="G10" s="3">
        <v>1</v>
      </c>
      <c r="H10" s="3">
        <v>2</v>
      </c>
      <c r="I10" s="3">
        <v>2</v>
      </c>
      <c r="J10" s="3">
        <v>4</v>
      </c>
      <c r="K10" s="3">
        <v>3</v>
      </c>
      <c r="L10" s="3">
        <v>4</v>
      </c>
      <c r="M10" s="3">
        <v>2</v>
      </c>
      <c r="N10" s="3">
        <v>1</v>
      </c>
      <c r="O10" s="3">
        <v>5</v>
      </c>
      <c r="P10" s="3">
        <v>1</v>
      </c>
      <c r="Q10" s="3">
        <v>2</v>
      </c>
      <c r="R10" s="3">
        <v>1</v>
      </c>
      <c r="S10" s="3">
        <v>0</v>
      </c>
      <c r="T10" s="3">
        <v>3</v>
      </c>
      <c r="U10" s="3">
        <v>2</v>
      </c>
      <c r="V10" s="3">
        <v>2</v>
      </c>
      <c r="W10" s="3">
        <v>2</v>
      </c>
      <c r="X10" s="3">
        <v>5</v>
      </c>
      <c r="Y10" s="3">
        <v>4</v>
      </c>
      <c r="Z10" s="3">
        <v>1</v>
      </c>
      <c r="AA10" s="3">
        <v>1</v>
      </c>
      <c r="AB10" s="3">
        <v>2</v>
      </c>
      <c r="AC10" s="3">
        <v>3</v>
      </c>
      <c r="AD10" s="3">
        <v>1</v>
      </c>
      <c r="AE10" s="3">
        <v>1</v>
      </c>
      <c r="AF10" s="3">
        <v>1</v>
      </c>
      <c r="AG10" s="3">
        <v>2</v>
      </c>
      <c r="AH10" s="3">
        <v>0</v>
      </c>
      <c r="AI10" s="3">
        <v>1</v>
      </c>
      <c r="AJ10" s="3">
        <v>3</v>
      </c>
      <c r="AK10" s="3">
        <v>1</v>
      </c>
      <c r="AL10" s="3">
        <v>4</v>
      </c>
      <c r="AM10" s="3">
        <v>3</v>
      </c>
      <c r="AN10" s="3">
        <v>2</v>
      </c>
      <c r="AO10" s="3">
        <v>1</v>
      </c>
      <c r="AP10" s="3">
        <v>1</v>
      </c>
      <c r="AQ10" s="3">
        <v>1</v>
      </c>
      <c r="AR10" s="3">
        <v>3</v>
      </c>
      <c r="AS10" s="3">
        <v>2</v>
      </c>
      <c r="AT10" s="3">
        <v>1</v>
      </c>
      <c r="AU10" s="3">
        <v>7</v>
      </c>
      <c r="AV10" s="3">
        <v>4</v>
      </c>
      <c r="AW10" s="3">
        <v>1</v>
      </c>
      <c r="AX10" s="3">
        <v>2</v>
      </c>
      <c r="AY10" s="3">
        <v>2</v>
      </c>
      <c r="AZ10" s="3">
        <v>2</v>
      </c>
      <c r="BA10" s="3">
        <v>3</v>
      </c>
      <c r="BB10" s="3">
        <v>4</v>
      </c>
      <c r="BC10" s="3">
        <v>2</v>
      </c>
      <c r="BD10" s="3">
        <v>3</v>
      </c>
      <c r="BE10" s="3">
        <v>1</v>
      </c>
      <c r="BF10" s="3">
        <v>2</v>
      </c>
      <c r="BG10" s="3">
        <v>7</v>
      </c>
      <c r="BH10" s="3">
        <v>2</v>
      </c>
      <c r="BI10" s="3">
        <v>4</v>
      </c>
      <c r="BJ10" s="3">
        <v>6</v>
      </c>
      <c r="BK10" s="3">
        <v>1</v>
      </c>
      <c r="BL10" s="3">
        <v>1</v>
      </c>
      <c r="BM10" s="3">
        <v>0</v>
      </c>
      <c r="BN10" s="3">
        <v>2</v>
      </c>
      <c r="BO10" s="3">
        <v>3</v>
      </c>
      <c r="BP10" s="3">
        <v>1</v>
      </c>
      <c r="BQ10" s="3">
        <v>1</v>
      </c>
      <c r="BR10" s="3">
        <v>4</v>
      </c>
      <c r="BS10" s="3">
        <v>2</v>
      </c>
      <c r="BT10" s="3">
        <v>3</v>
      </c>
      <c r="BU10" s="3">
        <v>3</v>
      </c>
      <c r="BV10" s="3">
        <v>2</v>
      </c>
      <c r="BW10" s="3">
        <v>4</v>
      </c>
      <c r="BX10" s="3">
        <v>3</v>
      </c>
      <c r="BY10" s="3">
        <v>3</v>
      </c>
      <c r="BZ10" s="3">
        <v>1</v>
      </c>
      <c r="CA10" s="3">
        <v>4</v>
      </c>
      <c r="CB10" s="3">
        <v>1</v>
      </c>
      <c r="CC10" s="3">
        <v>2</v>
      </c>
      <c r="CD10" s="3">
        <v>0</v>
      </c>
      <c r="CE10" s="3">
        <v>2</v>
      </c>
      <c r="CF10" s="3">
        <v>3</v>
      </c>
      <c r="CG10" s="3">
        <v>0</v>
      </c>
      <c r="CH10" s="3">
        <v>1</v>
      </c>
      <c r="CI10" s="3">
        <v>4</v>
      </c>
      <c r="CJ10" s="3">
        <v>2</v>
      </c>
      <c r="CK10" s="3">
        <v>1</v>
      </c>
      <c r="CL10" s="3">
        <v>0</v>
      </c>
      <c r="CM10" s="3">
        <v>2</v>
      </c>
      <c r="CN10" s="3">
        <v>1</v>
      </c>
      <c r="CO10" s="3">
        <v>3</v>
      </c>
      <c r="CP10" s="3">
        <v>1</v>
      </c>
      <c r="CQ10" s="3">
        <v>6</v>
      </c>
      <c r="CR10" s="3">
        <v>1</v>
      </c>
      <c r="CS10" s="3">
        <v>4</v>
      </c>
      <c r="CT10" s="3">
        <v>2</v>
      </c>
      <c r="CU10" s="3">
        <v>2</v>
      </c>
      <c r="CV10" s="3">
        <v>5</v>
      </c>
      <c r="CW10" s="3">
        <v>1</v>
      </c>
      <c r="CX10" s="3">
        <v>1</v>
      </c>
      <c r="CY10" s="3">
        <v>7</v>
      </c>
      <c r="CZ10" s="3">
        <v>1</v>
      </c>
      <c r="DA10" s="3">
        <v>4</v>
      </c>
      <c r="DB10" s="3">
        <v>2</v>
      </c>
      <c r="DC10" s="3">
        <v>2</v>
      </c>
      <c r="DD10" s="3">
        <v>0</v>
      </c>
      <c r="DE10" s="3">
        <v>1</v>
      </c>
      <c r="DF10" s="3">
        <v>1</v>
      </c>
      <c r="DG10" s="3">
        <v>1</v>
      </c>
      <c r="DH10" s="3">
        <v>2</v>
      </c>
      <c r="DI10" s="3">
        <v>3</v>
      </c>
      <c r="DJ10" s="3">
        <v>2</v>
      </c>
      <c r="DK10" s="3">
        <v>4</v>
      </c>
      <c r="DL10" s="3">
        <v>7</v>
      </c>
      <c r="DM10" s="3">
        <v>1</v>
      </c>
      <c r="DN10" s="3">
        <v>2</v>
      </c>
      <c r="DO10" s="3">
        <v>3</v>
      </c>
      <c r="DP10" s="3">
        <v>2</v>
      </c>
      <c r="DQ10" s="3">
        <v>2</v>
      </c>
      <c r="DR10" s="3">
        <v>1</v>
      </c>
      <c r="DS10" s="3">
        <v>4</v>
      </c>
      <c r="DT10" s="3">
        <v>0</v>
      </c>
      <c r="DU10" s="3">
        <v>5</v>
      </c>
      <c r="DV10" s="3">
        <v>2</v>
      </c>
      <c r="DW10" s="3">
        <v>1</v>
      </c>
      <c r="DX10" s="3">
        <v>1</v>
      </c>
      <c r="DY10" s="3">
        <v>2</v>
      </c>
      <c r="DZ10" s="3">
        <v>1</v>
      </c>
      <c r="EA10" s="3">
        <v>4</v>
      </c>
      <c r="EB10" s="3">
        <v>3</v>
      </c>
      <c r="EC10" s="3">
        <v>1</v>
      </c>
      <c r="ED10" s="3">
        <v>2</v>
      </c>
      <c r="EE10" s="3">
        <v>2</v>
      </c>
      <c r="EF10" s="3">
        <v>3</v>
      </c>
      <c r="EG10" s="3">
        <v>1</v>
      </c>
      <c r="EH10" s="3">
        <v>0</v>
      </c>
      <c r="EI10" s="3">
        <v>1</v>
      </c>
      <c r="EJ10" s="3">
        <v>1</v>
      </c>
      <c r="EK10" s="3">
        <v>2</v>
      </c>
      <c r="EL10" s="3">
        <v>3</v>
      </c>
      <c r="EM10" s="3">
        <v>1</v>
      </c>
      <c r="EN10" s="3">
        <v>4</v>
      </c>
      <c r="EO10" s="3">
        <v>0</v>
      </c>
      <c r="EP10" s="3">
        <v>4</v>
      </c>
    </row>
    <row r="11" spans="1:146" ht="14.25" customHeight="1" x14ac:dyDescent="0.25">
      <c r="A11" s="16">
        <v>10</v>
      </c>
      <c r="B11" s="17" t="s">
        <v>29</v>
      </c>
      <c r="C11" s="16">
        <v>1</v>
      </c>
      <c r="D11" s="16">
        <v>2</v>
      </c>
      <c r="E11" s="16">
        <v>1</v>
      </c>
      <c r="F11" s="16">
        <v>0</v>
      </c>
      <c r="G11" s="16">
        <v>2</v>
      </c>
      <c r="H11" s="16">
        <v>1</v>
      </c>
      <c r="I11" s="16">
        <v>0</v>
      </c>
      <c r="J11" s="16">
        <v>0</v>
      </c>
      <c r="K11" s="16">
        <v>1</v>
      </c>
      <c r="L11" s="16">
        <v>3</v>
      </c>
      <c r="M11" s="16">
        <v>1</v>
      </c>
      <c r="N11" s="16">
        <v>1</v>
      </c>
      <c r="O11" s="16">
        <v>2</v>
      </c>
      <c r="P11" s="16">
        <v>2</v>
      </c>
      <c r="Q11" s="16">
        <v>0</v>
      </c>
      <c r="R11" s="16">
        <v>1</v>
      </c>
      <c r="S11" s="16">
        <v>0</v>
      </c>
      <c r="T11" s="16">
        <v>1</v>
      </c>
      <c r="U11" s="16">
        <v>3</v>
      </c>
      <c r="V11" s="16">
        <v>1</v>
      </c>
      <c r="W11" s="16">
        <v>2</v>
      </c>
      <c r="X11" s="16">
        <v>2</v>
      </c>
      <c r="Y11" s="16">
        <v>3</v>
      </c>
      <c r="Z11" s="16">
        <v>1</v>
      </c>
      <c r="AA11" s="16">
        <v>2</v>
      </c>
      <c r="AB11" s="16">
        <v>2</v>
      </c>
      <c r="AC11" s="16">
        <v>3</v>
      </c>
      <c r="AD11" s="16">
        <v>1</v>
      </c>
      <c r="AE11" s="16">
        <v>1</v>
      </c>
      <c r="AF11" s="16">
        <v>1</v>
      </c>
      <c r="AG11" s="16">
        <v>0</v>
      </c>
      <c r="AH11" s="16">
        <v>0</v>
      </c>
      <c r="AI11" s="16">
        <v>2</v>
      </c>
      <c r="AJ11" s="16">
        <v>1</v>
      </c>
      <c r="AK11" s="16">
        <v>1</v>
      </c>
      <c r="AL11" s="16">
        <v>0</v>
      </c>
      <c r="AM11" s="16">
        <v>3</v>
      </c>
      <c r="AN11" s="16">
        <v>1</v>
      </c>
      <c r="AO11" s="16">
        <v>2</v>
      </c>
      <c r="AP11" s="16">
        <v>1</v>
      </c>
      <c r="AQ11" s="16">
        <v>0</v>
      </c>
      <c r="AR11" s="16">
        <v>1</v>
      </c>
      <c r="AS11" s="16">
        <v>3</v>
      </c>
      <c r="AT11" s="16">
        <v>1</v>
      </c>
      <c r="AU11" s="16">
        <v>2</v>
      </c>
      <c r="AV11" s="16">
        <v>1</v>
      </c>
      <c r="AW11" s="16">
        <v>1</v>
      </c>
      <c r="AX11" s="16">
        <v>3</v>
      </c>
      <c r="AY11" s="16">
        <v>1</v>
      </c>
      <c r="AZ11" s="16">
        <v>2</v>
      </c>
      <c r="BA11" s="16">
        <v>1</v>
      </c>
      <c r="BB11" s="16">
        <v>0</v>
      </c>
      <c r="BC11" s="16">
        <v>1</v>
      </c>
      <c r="BD11" s="16">
        <v>1</v>
      </c>
      <c r="BE11" s="16">
        <v>1</v>
      </c>
      <c r="BF11" s="16">
        <v>1</v>
      </c>
      <c r="BG11" s="16">
        <v>2</v>
      </c>
      <c r="BH11" s="16">
        <v>1</v>
      </c>
      <c r="BI11" s="16">
        <v>1</v>
      </c>
      <c r="BJ11" s="16">
        <v>1</v>
      </c>
      <c r="BK11" s="16">
        <v>0</v>
      </c>
      <c r="BL11" s="16">
        <v>0</v>
      </c>
      <c r="BM11" s="16">
        <v>1</v>
      </c>
      <c r="BN11" s="16">
        <v>1</v>
      </c>
      <c r="BO11" s="16">
        <v>3</v>
      </c>
      <c r="BP11" s="16">
        <v>1</v>
      </c>
      <c r="BQ11" s="16">
        <v>1</v>
      </c>
      <c r="BR11" s="16">
        <v>0</v>
      </c>
      <c r="BS11" s="16">
        <v>2</v>
      </c>
      <c r="BT11" s="16">
        <v>1</v>
      </c>
      <c r="BU11" s="16">
        <v>0</v>
      </c>
      <c r="BV11" s="16">
        <v>1</v>
      </c>
      <c r="BW11" s="16">
        <v>1</v>
      </c>
      <c r="BX11" s="16">
        <v>0</v>
      </c>
      <c r="BY11" s="16">
        <v>2</v>
      </c>
      <c r="BZ11" s="16">
        <v>2</v>
      </c>
      <c r="CA11" s="16">
        <v>1</v>
      </c>
      <c r="CB11" s="16">
        <v>1</v>
      </c>
      <c r="CC11" s="16">
        <v>0</v>
      </c>
      <c r="CD11" s="16">
        <v>1</v>
      </c>
      <c r="CE11" s="16">
        <v>0</v>
      </c>
      <c r="CF11" s="16">
        <v>1</v>
      </c>
      <c r="CG11" s="16">
        <v>2</v>
      </c>
      <c r="CH11" s="16">
        <v>0</v>
      </c>
      <c r="CI11" s="16">
        <v>2</v>
      </c>
      <c r="CJ11" s="16">
        <v>0</v>
      </c>
      <c r="CK11" s="16">
        <v>0</v>
      </c>
      <c r="CL11" s="16">
        <v>1</v>
      </c>
      <c r="CM11" s="16">
        <v>3</v>
      </c>
      <c r="CN11" s="16">
        <v>1</v>
      </c>
      <c r="CO11" s="16">
        <v>1</v>
      </c>
      <c r="CP11" s="16">
        <v>1</v>
      </c>
      <c r="CQ11" s="16">
        <v>2</v>
      </c>
      <c r="CR11" s="16">
        <v>1</v>
      </c>
      <c r="CS11" s="16">
        <v>3</v>
      </c>
      <c r="CT11" s="16">
        <v>1</v>
      </c>
      <c r="CU11" s="16">
        <v>0</v>
      </c>
      <c r="CV11" s="16">
        <v>3</v>
      </c>
      <c r="CW11" s="16">
        <v>1</v>
      </c>
      <c r="CX11" s="16">
        <v>0</v>
      </c>
      <c r="CY11" s="16">
        <v>1</v>
      </c>
      <c r="CZ11" s="16">
        <v>2</v>
      </c>
      <c r="DA11" s="16">
        <v>0</v>
      </c>
      <c r="DB11" s="16">
        <v>0</v>
      </c>
      <c r="DC11" s="16">
        <v>1</v>
      </c>
      <c r="DD11" s="16">
        <v>2</v>
      </c>
      <c r="DE11" s="16">
        <v>2</v>
      </c>
      <c r="DF11" s="16">
        <v>1</v>
      </c>
      <c r="DG11" s="16">
        <v>0</v>
      </c>
      <c r="DH11" s="16">
        <v>1</v>
      </c>
      <c r="DI11" s="16">
        <v>1</v>
      </c>
      <c r="DJ11" s="16">
        <v>2</v>
      </c>
      <c r="DK11" s="16">
        <v>0</v>
      </c>
      <c r="DL11" s="16">
        <v>1</v>
      </c>
      <c r="DM11" s="16">
        <v>1</v>
      </c>
      <c r="DN11" s="16">
        <v>2</v>
      </c>
      <c r="DO11" s="16">
        <v>1</v>
      </c>
      <c r="DP11" s="16">
        <v>1</v>
      </c>
      <c r="DQ11" s="16">
        <v>0</v>
      </c>
      <c r="DR11" s="16">
        <v>0</v>
      </c>
      <c r="DS11" s="16">
        <v>1</v>
      </c>
      <c r="DT11" s="16">
        <v>2</v>
      </c>
      <c r="DU11" s="16">
        <v>1</v>
      </c>
      <c r="DV11" s="16">
        <v>1</v>
      </c>
      <c r="DW11" s="16">
        <v>1</v>
      </c>
      <c r="DX11" s="16">
        <v>1</v>
      </c>
      <c r="DY11" s="16">
        <v>0</v>
      </c>
      <c r="DZ11" s="16">
        <v>1</v>
      </c>
      <c r="EA11" s="16">
        <v>0</v>
      </c>
      <c r="EB11" s="16">
        <v>3</v>
      </c>
      <c r="EC11" s="16">
        <v>1</v>
      </c>
      <c r="ED11" s="16">
        <v>1</v>
      </c>
      <c r="EE11" s="16">
        <v>0</v>
      </c>
      <c r="EF11" s="16">
        <v>1</v>
      </c>
      <c r="EG11" s="16">
        <v>1</v>
      </c>
      <c r="EH11" s="16">
        <v>1</v>
      </c>
      <c r="EI11" s="16">
        <v>0</v>
      </c>
      <c r="EJ11" s="16">
        <v>0</v>
      </c>
      <c r="EK11" s="16">
        <v>0</v>
      </c>
      <c r="EL11" s="16">
        <v>3</v>
      </c>
      <c r="EM11" s="16">
        <v>1</v>
      </c>
      <c r="EN11" s="16">
        <v>1</v>
      </c>
      <c r="EO11" s="16">
        <v>0</v>
      </c>
      <c r="EP11" s="16">
        <v>0</v>
      </c>
    </row>
    <row r="12" spans="1:146" ht="14.25" customHeight="1" x14ac:dyDescent="0.25">
      <c r="A12" s="15">
        <v>11</v>
      </c>
      <c r="B12" s="4" t="s">
        <v>30</v>
      </c>
      <c r="C12" s="3">
        <v>2</v>
      </c>
      <c r="D12" s="3">
        <v>0</v>
      </c>
      <c r="E12" s="3">
        <v>2</v>
      </c>
      <c r="F12" s="3">
        <v>1</v>
      </c>
      <c r="G12" s="3">
        <v>2</v>
      </c>
      <c r="H12" s="3">
        <v>1</v>
      </c>
      <c r="I12" s="3">
        <v>2</v>
      </c>
      <c r="J12" s="3">
        <v>1</v>
      </c>
      <c r="K12" s="3">
        <v>0</v>
      </c>
      <c r="L12" s="3">
        <v>2</v>
      </c>
      <c r="M12" s="3">
        <v>0</v>
      </c>
      <c r="N12" s="3">
        <v>1</v>
      </c>
      <c r="O12" s="3">
        <v>2</v>
      </c>
      <c r="P12" s="3">
        <v>1</v>
      </c>
      <c r="Q12" s="3">
        <v>0</v>
      </c>
      <c r="R12" s="3">
        <v>2</v>
      </c>
      <c r="S12" s="3">
        <v>1</v>
      </c>
      <c r="T12" s="3">
        <v>1</v>
      </c>
      <c r="U12" s="3">
        <v>3</v>
      </c>
      <c r="V12" s="3">
        <v>0</v>
      </c>
      <c r="W12" s="3">
        <v>2</v>
      </c>
      <c r="X12" s="3">
        <v>1</v>
      </c>
      <c r="Y12" s="3">
        <v>2</v>
      </c>
      <c r="Z12" s="3">
        <v>0</v>
      </c>
      <c r="AA12" s="3">
        <v>1</v>
      </c>
      <c r="AB12" s="3">
        <v>2</v>
      </c>
      <c r="AC12" s="3">
        <v>4</v>
      </c>
      <c r="AD12" s="3">
        <v>0</v>
      </c>
      <c r="AE12" s="3">
        <v>1</v>
      </c>
      <c r="AF12" s="3">
        <v>0</v>
      </c>
      <c r="AG12" s="3">
        <v>2</v>
      </c>
      <c r="AH12" s="3">
        <v>1</v>
      </c>
      <c r="AI12" s="3">
        <v>2</v>
      </c>
      <c r="AJ12" s="3">
        <v>1</v>
      </c>
      <c r="AK12" s="3">
        <v>0</v>
      </c>
      <c r="AL12" s="3">
        <v>2</v>
      </c>
      <c r="AM12" s="3">
        <v>2</v>
      </c>
      <c r="AN12" s="3">
        <v>0</v>
      </c>
      <c r="AO12" s="3">
        <v>2</v>
      </c>
      <c r="AP12" s="3">
        <v>0</v>
      </c>
      <c r="AQ12" s="3">
        <v>1</v>
      </c>
      <c r="AR12" s="3">
        <v>2</v>
      </c>
      <c r="AS12" s="3">
        <v>2</v>
      </c>
      <c r="AT12" s="3">
        <v>1</v>
      </c>
      <c r="AU12" s="3">
        <v>2</v>
      </c>
      <c r="AV12" s="3">
        <v>1</v>
      </c>
      <c r="AW12" s="3">
        <v>1</v>
      </c>
      <c r="AX12" s="3">
        <v>2</v>
      </c>
      <c r="AY12" s="3">
        <v>2</v>
      </c>
      <c r="AZ12" s="3">
        <v>0</v>
      </c>
      <c r="BA12" s="3">
        <v>2</v>
      </c>
      <c r="BB12" s="3">
        <v>1</v>
      </c>
      <c r="BC12" s="3">
        <v>2</v>
      </c>
      <c r="BD12" s="3">
        <v>0</v>
      </c>
      <c r="BE12" s="3">
        <v>1</v>
      </c>
      <c r="BF12" s="3">
        <v>1</v>
      </c>
      <c r="BG12" s="3">
        <v>3</v>
      </c>
      <c r="BH12" s="3">
        <v>0</v>
      </c>
      <c r="BI12" s="3">
        <v>0</v>
      </c>
      <c r="BJ12" s="3">
        <v>2</v>
      </c>
      <c r="BK12" s="3">
        <v>1</v>
      </c>
      <c r="BL12" s="3">
        <v>1</v>
      </c>
      <c r="BM12" s="3">
        <v>2</v>
      </c>
      <c r="BN12" s="3">
        <v>0</v>
      </c>
      <c r="BO12" s="3">
        <v>2</v>
      </c>
      <c r="BP12" s="3">
        <v>0</v>
      </c>
      <c r="BQ12" s="3">
        <v>2</v>
      </c>
      <c r="BR12" s="3">
        <v>0</v>
      </c>
      <c r="BS12" s="3">
        <v>1</v>
      </c>
      <c r="BT12" s="3">
        <v>1</v>
      </c>
      <c r="BU12" s="3">
        <v>0</v>
      </c>
      <c r="BV12" s="3">
        <v>2</v>
      </c>
      <c r="BW12" s="3">
        <v>3</v>
      </c>
      <c r="BX12" s="3">
        <v>0</v>
      </c>
      <c r="BY12" s="3">
        <v>3</v>
      </c>
      <c r="BZ12" s="3">
        <v>0</v>
      </c>
      <c r="CA12" s="3">
        <v>1</v>
      </c>
      <c r="CB12" s="3">
        <v>1</v>
      </c>
      <c r="CC12" s="3">
        <v>0</v>
      </c>
      <c r="CD12" s="3">
        <v>2</v>
      </c>
      <c r="CE12" s="3">
        <v>1</v>
      </c>
      <c r="CF12" s="3">
        <v>1</v>
      </c>
      <c r="CG12" s="3">
        <v>3</v>
      </c>
      <c r="CH12" s="3">
        <v>0</v>
      </c>
      <c r="CI12" s="3">
        <v>2</v>
      </c>
      <c r="CJ12" s="3">
        <v>1</v>
      </c>
      <c r="CK12" s="3">
        <v>0</v>
      </c>
      <c r="CL12" s="3">
        <v>2</v>
      </c>
      <c r="CM12" s="3">
        <v>3</v>
      </c>
      <c r="CN12" s="3">
        <v>1</v>
      </c>
      <c r="CO12" s="3">
        <v>0</v>
      </c>
      <c r="CP12" s="3">
        <v>2</v>
      </c>
      <c r="CQ12" s="3">
        <v>3</v>
      </c>
      <c r="CR12" s="3">
        <v>0</v>
      </c>
      <c r="CS12" s="3">
        <v>2</v>
      </c>
      <c r="CT12" s="3">
        <v>0</v>
      </c>
      <c r="CU12" s="3">
        <v>0</v>
      </c>
      <c r="CV12" s="3">
        <v>2</v>
      </c>
      <c r="CW12" s="3">
        <v>2</v>
      </c>
      <c r="CX12" s="3">
        <v>0</v>
      </c>
      <c r="CY12" s="3">
        <v>1</v>
      </c>
      <c r="CZ12" s="3">
        <v>1</v>
      </c>
      <c r="DA12" s="3">
        <v>2</v>
      </c>
      <c r="DB12" s="3">
        <v>1</v>
      </c>
      <c r="DC12" s="3">
        <v>1</v>
      </c>
      <c r="DD12" s="3">
        <v>2</v>
      </c>
      <c r="DE12" s="3">
        <v>1</v>
      </c>
      <c r="DF12" s="3">
        <v>2</v>
      </c>
      <c r="DG12" s="3">
        <v>0</v>
      </c>
      <c r="DH12" s="3">
        <v>2</v>
      </c>
      <c r="DI12" s="3">
        <v>1</v>
      </c>
      <c r="DJ12" s="3">
        <v>2</v>
      </c>
      <c r="DK12" s="3">
        <v>1</v>
      </c>
      <c r="DL12" s="3">
        <v>1</v>
      </c>
      <c r="DM12" s="3">
        <v>0</v>
      </c>
      <c r="DN12" s="3">
        <v>2</v>
      </c>
      <c r="DO12" s="3">
        <v>2</v>
      </c>
      <c r="DP12" s="3">
        <v>0</v>
      </c>
      <c r="DQ12" s="3">
        <v>2</v>
      </c>
      <c r="DR12" s="3">
        <v>0</v>
      </c>
      <c r="DS12" s="3">
        <v>2</v>
      </c>
      <c r="DT12" s="3">
        <v>1</v>
      </c>
      <c r="DU12" s="3">
        <v>2</v>
      </c>
      <c r="DV12" s="3">
        <v>0</v>
      </c>
      <c r="DW12" s="3">
        <v>1</v>
      </c>
      <c r="DX12" s="3">
        <v>1</v>
      </c>
      <c r="DY12" s="3">
        <v>0</v>
      </c>
      <c r="DZ12" s="3">
        <v>2</v>
      </c>
      <c r="EA12" s="3">
        <v>1</v>
      </c>
      <c r="EB12" s="3">
        <v>1</v>
      </c>
      <c r="EC12" s="3">
        <v>1</v>
      </c>
      <c r="ED12" s="3">
        <v>2</v>
      </c>
      <c r="EE12" s="3">
        <v>1</v>
      </c>
      <c r="EF12" s="3">
        <v>3</v>
      </c>
      <c r="EG12" s="3">
        <v>2</v>
      </c>
      <c r="EH12" s="3">
        <v>1</v>
      </c>
      <c r="EI12" s="3">
        <v>1</v>
      </c>
      <c r="EJ12" s="3">
        <v>1</v>
      </c>
      <c r="EK12" s="3">
        <v>0</v>
      </c>
      <c r="EL12" s="3">
        <v>2</v>
      </c>
      <c r="EM12" s="3">
        <v>1</v>
      </c>
      <c r="EN12" s="3">
        <v>2</v>
      </c>
      <c r="EO12" s="3">
        <v>1</v>
      </c>
      <c r="EP12" s="3">
        <v>1</v>
      </c>
    </row>
    <row r="13" spans="1:146" ht="14.25" customHeight="1" x14ac:dyDescent="0.25">
      <c r="A13" s="16">
        <v>12</v>
      </c>
      <c r="B13" s="17" t="s">
        <v>31</v>
      </c>
      <c r="C13" s="16">
        <v>2</v>
      </c>
      <c r="D13" s="16">
        <v>1</v>
      </c>
      <c r="E13" s="16">
        <v>1</v>
      </c>
      <c r="F13" s="16">
        <v>0</v>
      </c>
      <c r="G13" s="16">
        <v>3</v>
      </c>
      <c r="H13" s="16">
        <v>0</v>
      </c>
      <c r="I13" s="16">
        <v>2</v>
      </c>
      <c r="J13" s="16">
        <v>1</v>
      </c>
      <c r="K13" s="16">
        <v>3</v>
      </c>
      <c r="L13" s="16">
        <v>1</v>
      </c>
      <c r="M13" s="16">
        <v>1</v>
      </c>
      <c r="N13" s="16">
        <v>1</v>
      </c>
      <c r="O13" s="16">
        <v>2</v>
      </c>
      <c r="P13" s="16">
        <v>0</v>
      </c>
      <c r="Q13" s="16">
        <v>0</v>
      </c>
      <c r="R13" s="16">
        <v>0</v>
      </c>
      <c r="S13" s="16">
        <v>1</v>
      </c>
      <c r="T13" s="16">
        <v>2</v>
      </c>
      <c r="U13" s="16">
        <v>3</v>
      </c>
      <c r="V13" s="16">
        <v>0</v>
      </c>
      <c r="W13" s="16">
        <v>0</v>
      </c>
      <c r="X13" s="16">
        <v>2</v>
      </c>
      <c r="Y13" s="16">
        <v>1</v>
      </c>
      <c r="Z13" s="16">
        <v>1</v>
      </c>
      <c r="AA13" s="16">
        <v>0</v>
      </c>
      <c r="AB13" s="16">
        <v>1</v>
      </c>
      <c r="AC13" s="16">
        <v>2</v>
      </c>
      <c r="AD13" s="16">
        <v>0</v>
      </c>
      <c r="AE13" s="16">
        <v>2</v>
      </c>
      <c r="AF13" s="16">
        <v>0</v>
      </c>
      <c r="AG13" s="16">
        <v>1</v>
      </c>
      <c r="AH13" s="16">
        <v>0</v>
      </c>
      <c r="AI13" s="16">
        <v>3</v>
      </c>
      <c r="AJ13" s="16">
        <v>0</v>
      </c>
      <c r="AK13" s="16">
        <v>1</v>
      </c>
      <c r="AL13" s="16">
        <v>1</v>
      </c>
      <c r="AM13" s="16">
        <v>2</v>
      </c>
      <c r="AN13" s="16">
        <v>0</v>
      </c>
      <c r="AO13" s="16">
        <v>1</v>
      </c>
      <c r="AP13" s="16">
        <v>1</v>
      </c>
      <c r="AQ13" s="16">
        <v>0</v>
      </c>
      <c r="AR13" s="16">
        <v>1</v>
      </c>
      <c r="AS13" s="16">
        <v>1</v>
      </c>
      <c r="AT13" s="16">
        <v>0</v>
      </c>
      <c r="AU13" s="16">
        <v>2</v>
      </c>
      <c r="AV13" s="16">
        <v>0</v>
      </c>
      <c r="AW13" s="16">
        <v>1</v>
      </c>
      <c r="AX13" s="16">
        <v>2</v>
      </c>
      <c r="AY13" s="16">
        <v>1</v>
      </c>
      <c r="AZ13" s="16">
        <v>1</v>
      </c>
      <c r="BA13" s="16">
        <v>0</v>
      </c>
      <c r="BB13" s="16">
        <v>1</v>
      </c>
      <c r="BC13" s="16">
        <v>2</v>
      </c>
      <c r="BD13" s="16">
        <v>0</v>
      </c>
      <c r="BE13" s="16">
        <v>2</v>
      </c>
      <c r="BF13" s="16">
        <v>0</v>
      </c>
      <c r="BG13" s="16">
        <v>4</v>
      </c>
      <c r="BH13" s="16">
        <v>1</v>
      </c>
      <c r="BI13" s="16">
        <v>0</v>
      </c>
      <c r="BJ13" s="16">
        <v>2</v>
      </c>
      <c r="BK13" s="16">
        <v>1</v>
      </c>
      <c r="BL13" s="16">
        <v>1</v>
      </c>
      <c r="BM13" s="16">
        <v>0</v>
      </c>
      <c r="BN13" s="16">
        <v>0</v>
      </c>
      <c r="BO13" s="16">
        <v>2</v>
      </c>
      <c r="BP13" s="16">
        <v>0</v>
      </c>
      <c r="BQ13" s="16">
        <v>2</v>
      </c>
      <c r="BR13" s="16">
        <v>0</v>
      </c>
      <c r="BS13" s="16">
        <v>1</v>
      </c>
      <c r="BT13" s="16">
        <v>1</v>
      </c>
      <c r="BU13" s="16">
        <v>0</v>
      </c>
      <c r="BV13" s="16">
        <v>3</v>
      </c>
      <c r="BW13" s="16">
        <v>1</v>
      </c>
      <c r="BX13" s="16">
        <v>0</v>
      </c>
      <c r="BY13" s="16">
        <v>2</v>
      </c>
      <c r="BZ13" s="16">
        <v>0</v>
      </c>
      <c r="CA13" s="16">
        <v>1</v>
      </c>
      <c r="CB13" s="16">
        <v>1</v>
      </c>
      <c r="CC13" s="16">
        <v>0</v>
      </c>
      <c r="CD13" s="16">
        <v>0</v>
      </c>
      <c r="CE13" s="16">
        <v>1</v>
      </c>
      <c r="CF13" s="16">
        <v>0</v>
      </c>
      <c r="CG13" s="16">
        <v>2</v>
      </c>
      <c r="CH13" s="16">
        <v>0</v>
      </c>
      <c r="CI13" s="16">
        <v>1</v>
      </c>
      <c r="CJ13" s="16">
        <v>0</v>
      </c>
      <c r="CK13" s="16">
        <v>1</v>
      </c>
      <c r="CL13" s="16">
        <v>1</v>
      </c>
      <c r="CM13" s="16">
        <v>2</v>
      </c>
      <c r="CN13" s="16">
        <v>0</v>
      </c>
      <c r="CO13" s="16">
        <v>1</v>
      </c>
      <c r="CP13" s="16">
        <v>0</v>
      </c>
      <c r="CQ13" s="16">
        <v>3</v>
      </c>
      <c r="CR13" s="16">
        <v>0</v>
      </c>
      <c r="CS13" s="16">
        <v>2</v>
      </c>
      <c r="CT13" s="16">
        <v>0</v>
      </c>
      <c r="CU13" s="16">
        <v>1</v>
      </c>
      <c r="CV13" s="16">
        <v>2</v>
      </c>
      <c r="CW13" s="16">
        <v>2</v>
      </c>
      <c r="CX13" s="16">
        <v>1</v>
      </c>
      <c r="CY13" s="16">
        <v>0</v>
      </c>
      <c r="CZ13" s="16">
        <v>1</v>
      </c>
      <c r="DA13" s="16">
        <v>1</v>
      </c>
      <c r="DB13" s="16">
        <v>0</v>
      </c>
      <c r="DC13" s="16">
        <v>1</v>
      </c>
      <c r="DD13" s="16">
        <v>0</v>
      </c>
      <c r="DE13" s="16">
        <v>0</v>
      </c>
      <c r="DF13" s="16">
        <v>0</v>
      </c>
      <c r="DG13" s="16">
        <v>0</v>
      </c>
      <c r="DH13" s="16">
        <v>1</v>
      </c>
      <c r="DI13" s="16">
        <v>1</v>
      </c>
      <c r="DJ13" s="16">
        <v>3</v>
      </c>
      <c r="DK13" s="16">
        <v>2</v>
      </c>
      <c r="DL13" s="16">
        <v>0</v>
      </c>
      <c r="DM13" s="16">
        <v>1</v>
      </c>
      <c r="DN13" s="16">
        <v>1</v>
      </c>
      <c r="DO13" s="16">
        <v>0</v>
      </c>
      <c r="DP13" s="16">
        <v>1</v>
      </c>
      <c r="DQ13" s="16">
        <v>1</v>
      </c>
      <c r="DR13" s="16">
        <v>1</v>
      </c>
      <c r="DS13" s="16">
        <v>1</v>
      </c>
      <c r="DT13" s="16">
        <v>2</v>
      </c>
      <c r="DU13" s="16">
        <v>0</v>
      </c>
      <c r="DV13" s="16">
        <v>1</v>
      </c>
      <c r="DW13" s="16">
        <v>1</v>
      </c>
      <c r="DX13" s="16">
        <v>1</v>
      </c>
      <c r="DY13" s="16">
        <v>0</v>
      </c>
      <c r="DZ13" s="16">
        <v>1</v>
      </c>
      <c r="EA13" s="16">
        <v>0</v>
      </c>
      <c r="EB13" s="16">
        <v>1</v>
      </c>
      <c r="EC13" s="16">
        <v>1</v>
      </c>
      <c r="ED13" s="16">
        <v>3</v>
      </c>
      <c r="EE13" s="16">
        <v>0</v>
      </c>
      <c r="EF13" s="16">
        <v>0</v>
      </c>
      <c r="EG13" s="16">
        <v>1</v>
      </c>
      <c r="EH13" s="16">
        <v>0</v>
      </c>
      <c r="EI13" s="16">
        <v>0</v>
      </c>
      <c r="EJ13" s="16">
        <v>0</v>
      </c>
      <c r="EK13" s="16">
        <v>0</v>
      </c>
      <c r="EL13" s="16">
        <v>2</v>
      </c>
      <c r="EM13" s="16">
        <v>1</v>
      </c>
      <c r="EN13" s="16">
        <v>2</v>
      </c>
      <c r="EO13" s="16">
        <v>1</v>
      </c>
      <c r="EP13" s="16">
        <v>1</v>
      </c>
    </row>
    <row r="14" spans="1:146" ht="14.25" customHeight="1" x14ac:dyDescent="0.25">
      <c r="A14" s="15">
        <v>13</v>
      </c>
      <c r="B14" s="4" t="s">
        <v>33</v>
      </c>
      <c r="C14" s="3">
        <v>3</v>
      </c>
      <c r="D14" s="3">
        <v>1</v>
      </c>
      <c r="E14" s="3">
        <v>1</v>
      </c>
      <c r="F14" s="3">
        <v>1</v>
      </c>
      <c r="G14" s="3">
        <v>3</v>
      </c>
      <c r="H14" s="3">
        <v>1</v>
      </c>
      <c r="I14" s="3">
        <v>2</v>
      </c>
      <c r="J14" s="3">
        <v>0</v>
      </c>
      <c r="K14" s="3">
        <v>0</v>
      </c>
      <c r="L14" s="3">
        <v>1</v>
      </c>
      <c r="M14" s="3">
        <v>1</v>
      </c>
      <c r="N14" s="3">
        <v>2</v>
      </c>
      <c r="O14" s="3">
        <v>2</v>
      </c>
      <c r="P14" s="3">
        <v>2</v>
      </c>
      <c r="Q14" s="3">
        <v>1</v>
      </c>
      <c r="R14" s="3">
        <v>2</v>
      </c>
      <c r="S14" s="3">
        <v>0</v>
      </c>
      <c r="T14" s="3">
        <v>1</v>
      </c>
      <c r="U14" s="3">
        <v>6</v>
      </c>
      <c r="V14" s="3">
        <v>0</v>
      </c>
      <c r="W14" s="3">
        <v>1</v>
      </c>
      <c r="X14" s="3">
        <v>0</v>
      </c>
      <c r="Y14" s="3">
        <v>3</v>
      </c>
      <c r="Z14" s="3">
        <v>0</v>
      </c>
      <c r="AA14" s="3">
        <v>0</v>
      </c>
      <c r="AB14" s="3">
        <v>2</v>
      </c>
      <c r="AC14" s="3">
        <v>5</v>
      </c>
      <c r="AD14" s="3">
        <v>0</v>
      </c>
      <c r="AE14" s="3">
        <v>0</v>
      </c>
      <c r="AF14" s="3">
        <v>1</v>
      </c>
      <c r="AG14" s="3">
        <v>4</v>
      </c>
      <c r="AH14" s="3">
        <v>1</v>
      </c>
      <c r="AI14" s="3">
        <v>4</v>
      </c>
      <c r="AJ14" s="3">
        <v>0</v>
      </c>
      <c r="AK14" s="3">
        <v>0</v>
      </c>
      <c r="AL14" s="3">
        <v>3</v>
      </c>
      <c r="AM14" s="3">
        <v>4</v>
      </c>
      <c r="AN14" s="3">
        <v>1</v>
      </c>
      <c r="AO14" s="3">
        <v>3</v>
      </c>
      <c r="AP14" s="3">
        <v>0</v>
      </c>
      <c r="AQ14" s="3">
        <v>1</v>
      </c>
      <c r="AR14" s="3">
        <v>1</v>
      </c>
      <c r="AS14" s="3">
        <v>2</v>
      </c>
      <c r="AT14" s="3">
        <v>1</v>
      </c>
      <c r="AU14" s="3">
        <v>5</v>
      </c>
      <c r="AV14" s="3">
        <v>0</v>
      </c>
      <c r="AW14" s="3">
        <v>1</v>
      </c>
      <c r="AX14" s="3">
        <v>2</v>
      </c>
      <c r="AY14" s="3">
        <v>0</v>
      </c>
      <c r="AZ14" s="3">
        <v>0</v>
      </c>
      <c r="BA14" s="3">
        <v>1</v>
      </c>
      <c r="BB14" s="3">
        <v>0</v>
      </c>
      <c r="BC14" s="3">
        <v>2</v>
      </c>
      <c r="BD14" s="3">
        <v>0</v>
      </c>
      <c r="BE14" s="3">
        <v>1</v>
      </c>
      <c r="BF14" s="3">
        <v>1</v>
      </c>
      <c r="BG14" s="3">
        <v>7</v>
      </c>
      <c r="BH14" s="3">
        <v>1</v>
      </c>
      <c r="BI14" s="3">
        <v>1</v>
      </c>
      <c r="BJ14" s="3">
        <v>3</v>
      </c>
      <c r="BK14" s="3">
        <v>2</v>
      </c>
      <c r="BL14" s="3">
        <v>0</v>
      </c>
      <c r="BM14" s="3">
        <v>1</v>
      </c>
      <c r="BN14" s="3">
        <v>0</v>
      </c>
      <c r="BO14" s="3">
        <v>4</v>
      </c>
      <c r="BP14" s="3">
        <v>1</v>
      </c>
      <c r="BQ14" s="3">
        <v>3</v>
      </c>
      <c r="BR14" s="3">
        <v>0</v>
      </c>
      <c r="BS14" s="3">
        <v>0</v>
      </c>
      <c r="BT14" s="3">
        <v>0</v>
      </c>
      <c r="BU14" s="3">
        <v>0</v>
      </c>
      <c r="BV14" s="3">
        <v>1</v>
      </c>
      <c r="BW14" s="3">
        <v>3</v>
      </c>
      <c r="BX14" s="3">
        <v>0</v>
      </c>
      <c r="BY14" s="3">
        <v>4</v>
      </c>
      <c r="BZ14" s="3">
        <v>0</v>
      </c>
      <c r="CA14" s="3">
        <v>2</v>
      </c>
      <c r="CB14" s="3">
        <v>1</v>
      </c>
      <c r="CC14" s="3">
        <v>2</v>
      </c>
      <c r="CD14" s="3">
        <v>2</v>
      </c>
      <c r="CE14" s="3">
        <v>2</v>
      </c>
      <c r="CF14" s="3">
        <v>0</v>
      </c>
      <c r="CG14" s="3">
        <v>5</v>
      </c>
      <c r="CH14" s="3">
        <v>0</v>
      </c>
      <c r="CI14" s="3">
        <v>1</v>
      </c>
      <c r="CJ14" s="3">
        <v>1</v>
      </c>
      <c r="CK14" s="3">
        <v>0</v>
      </c>
      <c r="CL14" s="3">
        <v>0</v>
      </c>
      <c r="CM14" s="3">
        <v>1</v>
      </c>
      <c r="CN14" s="3">
        <v>0</v>
      </c>
      <c r="CO14" s="3">
        <v>1</v>
      </c>
      <c r="CP14" s="3">
        <v>0</v>
      </c>
      <c r="CQ14" s="3">
        <v>4</v>
      </c>
      <c r="CR14" s="3">
        <v>0</v>
      </c>
      <c r="CS14" s="3">
        <v>2</v>
      </c>
      <c r="CT14" s="3">
        <v>0</v>
      </c>
      <c r="CU14" s="3">
        <v>1</v>
      </c>
      <c r="CV14" s="3">
        <v>2</v>
      </c>
      <c r="CW14" s="3">
        <v>5</v>
      </c>
      <c r="CX14" s="3">
        <v>0</v>
      </c>
      <c r="CY14" s="3">
        <v>1</v>
      </c>
      <c r="CZ14" s="3">
        <v>2</v>
      </c>
      <c r="DA14" s="3">
        <v>1</v>
      </c>
      <c r="DB14" s="3">
        <v>1</v>
      </c>
      <c r="DC14" s="3">
        <v>1</v>
      </c>
      <c r="DD14" s="3">
        <v>3</v>
      </c>
      <c r="DE14" s="3">
        <v>1</v>
      </c>
      <c r="DF14" s="3">
        <v>3</v>
      </c>
      <c r="DG14" s="3">
        <v>0</v>
      </c>
      <c r="DH14" s="3">
        <v>3</v>
      </c>
      <c r="DI14" s="3">
        <v>1</v>
      </c>
      <c r="DJ14" s="3">
        <v>3</v>
      </c>
      <c r="DK14" s="3">
        <v>1</v>
      </c>
      <c r="DL14" s="3">
        <v>2</v>
      </c>
      <c r="DM14" s="3">
        <v>1</v>
      </c>
      <c r="DN14" s="3">
        <v>2</v>
      </c>
      <c r="DO14" s="3">
        <v>2</v>
      </c>
      <c r="DP14" s="3">
        <v>2</v>
      </c>
      <c r="DQ14" s="3">
        <v>1</v>
      </c>
      <c r="DR14" s="3">
        <v>1</v>
      </c>
      <c r="DS14" s="3">
        <v>0</v>
      </c>
      <c r="DT14" s="3">
        <v>2</v>
      </c>
      <c r="DU14" s="3">
        <v>1</v>
      </c>
      <c r="DV14" s="3">
        <v>0</v>
      </c>
      <c r="DW14" s="3">
        <v>2</v>
      </c>
      <c r="DX14" s="3">
        <v>1</v>
      </c>
      <c r="DY14" s="3">
        <v>0</v>
      </c>
      <c r="DZ14" s="3">
        <v>3</v>
      </c>
      <c r="EA14" s="3">
        <v>0</v>
      </c>
      <c r="EB14" s="3">
        <v>0</v>
      </c>
      <c r="EC14" s="3">
        <v>1</v>
      </c>
      <c r="ED14" s="3">
        <v>2</v>
      </c>
      <c r="EE14" s="3">
        <v>1</v>
      </c>
      <c r="EF14" s="3">
        <v>5</v>
      </c>
      <c r="EG14" s="3">
        <v>2</v>
      </c>
      <c r="EH14" s="3">
        <v>1</v>
      </c>
      <c r="EI14" s="3">
        <v>1</v>
      </c>
      <c r="EJ14" s="3">
        <v>1</v>
      </c>
      <c r="EK14" s="3">
        <v>0</v>
      </c>
      <c r="EL14" s="3">
        <v>4</v>
      </c>
      <c r="EM14" s="3">
        <v>1</v>
      </c>
      <c r="EN14" s="3">
        <v>3</v>
      </c>
      <c r="EO14" s="3">
        <v>1</v>
      </c>
      <c r="EP14" s="3">
        <v>1</v>
      </c>
    </row>
    <row r="15" spans="1:146" ht="14.25" customHeight="1" x14ac:dyDescent="0.25">
      <c r="A15" s="16">
        <v>15</v>
      </c>
      <c r="B15" s="17" t="s">
        <v>37</v>
      </c>
      <c r="C15" s="16">
        <v>3</v>
      </c>
      <c r="D15" s="16">
        <v>1</v>
      </c>
      <c r="E15" s="16">
        <v>1</v>
      </c>
      <c r="F15" s="16">
        <v>1</v>
      </c>
      <c r="G15" s="16">
        <v>2</v>
      </c>
      <c r="H15" s="16">
        <v>1</v>
      </c>
      <c r="I15" s="16">
        <v>2</v>
      </c>
      <c r="J15" s="16">
        <v>2</v>
      </c>
      <c r="K15" s="16">
        <v>1</v>
      </c>
      <c r="L15" s="16">
        <v>3</v>
      </c>
      <c r="M15" s="16">
        <v>1</v>
      </c>
      <c r="N15" s="16">
        <v>2</v>
      </c>
      <c r="O15" s="16">
        <v>3</v>
      </c>
      <c r="P15" s="16">
        <v>2</v>
      </c>
      <c r="Q15" s="16">
        <v>0</v>
      </c>
      <c r="R15" s="16">
        <v>2</v>
      </c>
      <c r="S15" s="16">
        <v>1</v>
      </c>
      <c r="T15" s="16">
        <v>2</v>
      </c>
      <c r="U15" s="16">
        <v>5</v>
      </c>
      <c r="V15" s="16">
        <v>1</v>
      </c>
      <c r="W15" s="16">
        <v>2</v>
      </c>
      <c r="X15" s="16">
        <v>2</v>
      </c>
      <c r="Y15" s="16">
        <v>1</v>
      </c>
      <c r="Z15" s="16">
        <v>1</v>
      </c>
      <c r="AA15" s="16">
        <v>1</v>
      </c>
      <c r="AB15" s="16">
        <v>2</v>
      </c>
      <c r="AC15" s="16">
        <v>4</v>
      </c>
      <c r="AD15" s="16">
        <v>0</v>
      </c>
      <c r="AE15" s="16">
        <v>2</v>
      </c>
      <c r="AF15" s="16">
        <v>0</v>
      </c>
      <c r="AG15" s="16">
        <v>2</v>
      </c>
      <c r="AH15" s="16">
        <v>2</v>
      </c>
      <c r="AI15" s="16">
        <v>3</v>
      </c>
      <c r="AJ15" s="16">
        <v>1</v>
      </c>
      <c r="AK15" s="16">
        <v>0</v>
      </c>
      <c r="AL15" s="16">
        <v>2</v>
      </c>
      <c r="AM15" s="16">
        <v>3</v>
      </c>
      <c r="AN15" s="16">
        <v>1</v>
      </c>
      <c r="AO15" s="16">
        <v>2</v>
      </c>
      <c r="AP15" s="16">
        <v>0</v>
      </c>
      <c r="AQ15" s="16">
        <v>1</v>
      </c>
      <c r="AR15" s="16">
        <v>1</v>
      </c>
      <c r="AS15" s="16">
        <v>1</v>
      </c>
      <c r="AT15" s="16">
        <v>2</v>
      </c>
      <c r="AU15" s="16">
        <v>3</v>
      </c>
      <c r="AV15" s="16">
        <v>1</v>
      </c>
      <c r="AW15" s="16">
        <v>1</v>
      </c>
      <c r="AX15" s="16">
        <v>2</v>
      </c>
      <c r="AY15" s="16">
        <v>1</v>
      </c>
      <c r="AZ15" s="16">
        <v>1</v>
      </c>
      <c r="BA15" s="16">
        <v>2</v>
      </c>
      <c r="BB15" s="16">
        <v>1</v>
      </c>
      <c r="BC15" s="16">
        <v>2</v>
      </c>
      <c r="BD15" s="16">
        <v>1</v>
      </c>
      <c r="BE15" s="16">
        <v>2</v>
      </c>
      <c r="BF15" s="16">
        <v>2</v>
      </c>
      <c r="BG15" s="16">
        <v>3</v>
      </c>
      <c r="BH15" s="16">
        <v>1</v>
      </c>
      <c r="BI15" s="16">
        <v>2</v>
      </c>
      <c r="BJ15" s="16">
        <v>2</v>
      </c>
      <c r="BK15" s="16">
        <v>2</v>
      </c>
      <c r="BL15" s="16">
        <v>1</v>
      </c>
      <c r="BM15" s="16">
        <v>3</v>
      </c>
      <c r="BN15" s="16">
        <v>2</v>
      </c>
      <c r="BO15" s="16">
        <v>2</v>
      </c>
      <c r="BP15" s="16">
        <v>1</v>
      </c>
      <c r="BQ15" s="16">
        <v>3</v>
      </c>
      <c r="BR15" s="16">
        <v>1</v>
      </c>
      <c r="BS15" s="16">
        <v>2</v>
      </c>
      <c r="BT15" s="16">
        <v>2</v>
      </c>
      <c r="BU15" s="16">
        <v>1</v>
      </c>
      <c r="BV15" s="16">
        <v>2</v>
      </c>
      <c r="BW15" s="16">
        <v>3</v>
      </c>
      <c r="BX15" s="16">
        <v>0</v>
      </c>
      <c r="BY15" s="16">
        <v>3</v>
      </c>
      <c r="BZ15" s="16">
        <v>1</v>
      </c>
      <c r="CA15" s="16">
        <v>2</v>
      </c>
      <c r="CB15" s="16">
        <v>2</v>
      </c>
      <c r="CC15" s="16">
        <v>1</v>
      </c>
      <c r="CD15" s="16">
        <v>2</v>
      </c>
      <c r="CE15" s="16">
        <v>2</v>
      </c>
      <c r="CF15" s="16">
        <v>3</v>
      </c>
      <c r="CG15" s="16">
        <v>4</v>
      </c>
      <c r="CH15" s="16">
        <v>1</v>
      </c>
      <c r="CI15" s="16">
        <v>2</v>
      </c>
      <c r="CJ15" s="16">
        <v>1</v>
      </c>
      <c r="CK15" s="16">
        <v>1</v>
      </c>
      <c r="CL15" s="16">
        <v>1</v>
      </c>
      <c r="CM15" s="16">
        <v>3</v>
      </c>
      <c r="CN15" s="16">
        <v>1</v>
      </c>
      <c r="CO15" s="16">
        <v>1</v>
      </c>
      <c r="CP15" s="16">
        <v>2</v>
      </c>
      <c r="CQ15" s="16">
        <v>3</v>
      </c>
      <c r="CR15" s="16">
        <v>0</v>
      </c>
      <c r="CS15" s="16">
        <v>2</v>
      </c>
      <c r="CT15" s="16">
        <v>1</v>
      </c>
      <c r="CU15" s="16">
        <v>1</v>
      </c>
      <c r="CV15" s="16">
        <v>2</v>
      </c>
      <c r="CW15" s="16">
        <v>2</v>
      </c>
      <c r="CX15" s="16">
        <v>0</v>
      </c>
      <c r="CY15" s="16">
        <v>2</v>
      </c>
      <c r="CZ15" s="16">
        <v>2</v>
      </c>
      <c r="DA15" s="16">
        <v>1</v>
      </c>
      <c r="DB15" s="16">
        <v>1</v>
      </c>
      <c r="DC15" s="16">
        <v>0</v>
      </c>
      <c r="DD15" s="16">
        <v>1</v>
      </c>
      <c r="DE15" s="16">
        <v>0</v>
      </c>
      <c r="DF15" s="16">
        <v>2</v>
      </c>
      <c r="DG15" s="16">
        <v>0</v>
      </c>
      <c r="DH15" s="16">
        <v>1</v>
      </c>
      <c r="DI15" s="16">
        <v>2</v>
      </c>
      <c r="DJ15" s="16">
        <v>2</v>
      </c>
      <c r="DK15" s="16">
        <v>1</v>
      </c>
      <c r="DL15" s="16">
        <v>0</v>
      </c>
      <c r="DM15" s="16">
        <v>0</v>
      </c>
      <c r="DN15" s="16">
        <v>1</v>
      </c>
      <c r="DO15" s="16">
        <v>1</v>
      </c>
      <c r="DP15" s="16">
        <v>1</v>
      </c>
      <c r="DQ15" s="16">
        <v>1</v>
      </c>
      <c r="DR15" s="16">
        <v>0</v>
      </c>
      <c r="DS15" s="16">
        <v>1</v>
      </c>
      <c r="DT15" s="16">
        <v>2</v>
      </c>
      <c r="DU15" s="16">
        <v>2</v>
      </c>
      <c r="DV15" s="16">
        <v>1</v>
      </c>
      <c r="DW15" s="16">
        <v>0</v>
      </c>
      <c r="DX15" s="16">
        <v>0</v>
      </c>
      <c r="DY15" s="16">
        <v>0</v>
      </c>
      <c r="DZ15" s="16">
        <v>2</v>
      </c>
      <c r="EA15" s="16">
        <v>0</v>
      </c>
      <c r="EB15" s="16">
        <v>1</v>
      </c>
      <c r="EC15" s="16">
        <v>1</v>
      </c>
      <c r="ED15" s="16">
        <v>2</v>
      </c>
      <c r="EE15" s="16">
        <v>2</v>
      </c>
      <c r="EF15" s="16">
        <v>4</v>
      </c>
      <c r="EG15" s="16">
        <v>3</v>
      </c>
      <c r="EH15" s="16">
        <v>0</v>
      </c>
      <c r="EI15" s="16">
        <v>1</v>
      </c>
      <c r="EJ15" s="16">
        <v>2</v>
      </c>
      <c r="EK15" s="16">
        <v>1</v>
      </c>
      <c r="EL15" s="16">
        <v>3</v>
      </c>
      <c r="EM15" s="16">
        <v>2</v>
      </c>
      <c r="EN15" s="16">
        <v>2</v>
      </c>
      <c r="EO15" s="16">
        <v>1</v>
      </c>
      <c r="EP15" s="16">
        <v>2</v>
      </c>
    </row>
    <row r="16" spans="1:146" ht="14.25" customHeight="1" x14ac:dyDescent="0.25">
      <c r="A16" s="15">
        <v>16</v>
      </c>
      <c r="B16" s="4" t="s">
        <v>22</v>
      </c>
      <c r="C16" s="3">
        <v>1</v>
      </c>
      <c r="D16" s="3">
        <v>0</v>
      </c>
      <c r="E16" s="3">
        <v>2</v>
      </c>
      <c r="F16" s="3">
        <v>0</v>
      </c>
      <c r="G16" s="3">
        <v>2</v>
      </c>
      <c r="H16" s="3">
        <v>1</v>
      </c>
      <c r="I16" s="3">
        <v>3</v>
      </c>
      <c r="J16" s="3">
        <v>1</v>
      </c>
      <c r="K16" s="3">
        <v>0</v>
      </c>
      <c r="L16" s="3">
        <v>2</v>
      </c>
      <c r="M16" s="3">
        <v>0</v>
      </c>
      <c r="N16" s="3">
        <v>3</v>
      </c>
      <c r="O16" s="3">
        <v>4</v>
      </c>
      <c r="P16" s="3">
        <v>1</v>
      </c>
      <c r="Q16" s="3">
        <v>0</v>
      </c>
      <c r="R16" s="3">
        <v>1</v>
      </c>
      <c r="S16" s="3">
        <v>1</v>
      </c>
      <c r="T16" s="3">
        <v>1</v>
      </c>
      <c r="U16" s="3">
        <v>4</v>
      </c>
      <c r="V16" s="3">
        <v>0</v>
      </c>
      <c r="W16" s="3">
        <v>2</v>
      </c>
      <c r="X16" s="3">
        <v>1</v>
      </c>
      <c r="Y16" s="3">
        <v>3</v>
      </c>
      <c r="Z16" s="3">
        <v>0</v>
      </c>
      <c r="AA16" s="3">
        <v>0</v>
      </c>
      <c r="AB16" s="3">
        <v>1</v>
      </c>
      <c r="AC16" s="3">
        <v>5</v>
      </c>
      <c r="AD16" s="3">
        <v>0</v>
      </c>
      <c r="AE16" s="3">
        <v>1</v>
      </c>
      <c r="AF16" s="3">
        <v>0</v>
      </c>
      <c r="AG16" s="3">
        <v>2</v>
      </c>
      <c r="AH16" s="3">
        <v>0</v>
      </c>
      <c r="AI16" s="3">
        <v>3</v>
      </c>
      <c r="AJ16" s="3">
        <v>1</v>
      </c>
      <c r="AK16" s="3">
        <v>0</v>
      </c>
      <c r="AL16" s="3">
        <v>2</v>
      </c>
      <c r="AM16" s="3">
        <v>2</v>
      </c>
      <c r="AN16" s="3">
        <v>0</v>
      </c>
      <c r="AO16" s="3">
        <v>1</v>
      </c>
      <c r="AP16" s="3">
        <v>0</v>
      </c>
      <c r="AQ16" s="3">
        <v>1</v>
      </c>
      <c r="AR16" s="3">
        <v>2</v>
      </c>
      <c r="AS16" s="3">
        <v>3</v>
      </c>
      <c r="AT16" s="3">
        <v>2</v>
      </c>
      <c r="AU16" s="3">
        <v>3</v>
      </c>
      <c r="AV16" s="3">
        <v>0</v>
      </c>
      <c r="AW16" s="3">
        <v>0</v>
      </c>
      <c r="AX16" s="3">
        <v>4</v>
      </c>
      <c r="AY16" s="3">
        <v>1</v>
      </c>
      <c r="AZ16" s="3">
        <v>1</v>
      </c>
      <c r="BA16" s="3">
        <v>2</v>
      </c>
      <c r="BB16" s="3">
        <v>1</v>
      </c>
      <c r="BC16" s="3">
        <v>2</v>
      </c>
      <c r="BD16" s="3">
        <v>1</v>
      </c>
      <c r="BE16" s="3">
        <v>1</v>
      </c>
      <c r="BF16" s="3">
        <v>1</v>
      </c>
      <c r="BG16" s="3">
        <v>3</v>
      </c>
      <c r="BH16" s="3">
        <v>0</v>
      </c>
      <c r="BI16" s="3">
        <v>1</v>
      </c>
      <c r="BJ16" s="3">
        <v>2</v>
      </c>
      <c r="BK16" s="3">
        <v>1</v>
      </c>
      <c r="BL16" s="3">
        <v>0</v>
      </c>
      <c r="BM16" s="3">
        <v>2</v>
      </c>
      <c r="BN16" s="3">
        <v>0</v>
      </c>
      <c r="BO16" s="3">
        <v>3</v>
      </c>
      <c r="BP16" s="3">
        <v>1</v>
      </c>
      <c r="BQ16" s="3">
        <v>2</v>
      </c>
      <c r="BR16" s="3">
        <v>0</v>
      </c>
      <c r="BS16" s="3">
        <v>1</v>
      </c>
      <c r="BT16" s="3">
        <v>0</v>
      </c>
      <c r="BU16" s="3">
        <v>0</v>
      </c>
      <c r="BV16" s="3">
        <v>1</v>
      </c>
      <c r="BW16" s="3">
        <v>3</v>
      </c>
      <c r="BX16" s="3">
        <v>0</v>
      </c>
      <c r="BY16" s="3">
        <v>4</v>
      </c>
      <c r="BZ16" s="3">
        <v>1</v>
      </c>
      <c r="CA16" s="3">
        <v>2</v>
      </c>
      <c r="CB16" s="3">
        <v>0</v>
      </c>
      <c r="CC16" s="3">
        <v>0</v>
      </c>
      <c r="CD16" s="3">
        <v>1</v>
      </c>
      <c r="CE16" s="3">
        <v>2</v>
      </c>
      <c r="CF16" s="3">
        <v>1</v>
      </c>
      <c r="CG16" s="3">
        <v>4</v>
      </c>
      <c r="CH16" s="3">
        <v>0</v>
      </c>
      <c r="CI16" s="3">
        <v>2</v>
      </c>
      <c r="CJ16" s="3">
        <v>0</v>
      </c>
      <c r="CK16" s="3">
        <v>0</v>
      </c>
      <c r="CL16" s="3">
        <v>1</v>
      </c>
      <c r="CM16" s="3">
        <v>3</v>
      </c>
      <c r="CN16" s="3">
        <v>0</v>
      </c>
      <c r="CO16" s="3">
        <v>0</v>
      </c>
      <c r="CP16" s="3">
        <v>2</v>
      </c>
      <c r="CQ16" s="3">
        <v>5</v>
      </c>
      <c r="CR16" s="3">
        <v>1</v>
      </c>
      <c r="CS16" s="3">
        <v>2</v>
      </c>
      <c r="CT16" s="3">
        <v>0</v>
      </c>
      <c r="CU16" s="3">
        <v>1</v>
      </c>
      <c r="CV16" s="3">
        <v>2</v>
      </c>
      <c r="CW16" s="3">
        <v>3</v>
      </c>
      <c r="CX16" s="3">
        <v>1</v>
      </c>
      <c r="CY16" s="3">
        <v>2</v>
      </c>
      <c r="CZ16" s="3">
        <v>1</v>
      </c>
      <c r="DA16" s="3">
        <v>0</v>
      </c>
      <c r="DB16" s="3">
        <v>0</v>
      </c>
      <c r="DC16" s="3">
        <v>0</v>
      </c>
      <c r="DD16" s="3">
        <v>1</v>
      </c>
      <c r="DE16" s="3">
        <v>1</v>
      </c>
      <c r="DF16" s="3">
        <v>1</v>
      </c>
      <c r="DG16" s="3">
        <v>1</v>
      </c>
      <c r="DH16" s="3">
        <v>2</v>
      </c>
      <c r="DI16" s="3">
        <v>2</v>
      </c>
      <c r="DJ16" s="3">
        <v>2</v>
      </c>
      <c r="DK16" s="3">
        <v>0</v>
      </c>
      <c r="DL16" s="3">
        <v>1</v>
      </c>
      <c r="DM16" s="3">
        <v>0</v>
      </c>
      <c r="DN16" s="3">
        <v>2</v>
      </c>
      <c r="DO16" s="3">
        <v>2</v>
      </c>
      <c r="DP16" s="3">
        <v>2</v>
      </c>
      <c r="DQ16" s="3">
        <v>1</v>
      </c>
      <c r="DR16" s="3">
        <v>0</v>
      </c>
      <c r="DS16" s="3">
        <v>1</v>
      </c>
      <c r="DT16" s="3">
        <v>3</v>
      </c>
      <c r="DU16" s="3">
        <v>1</v>
      </c>
      <c r="DV16" s="3">
        <v>0</v>
      </c>
      <c r="DW16" s="3">
        <v>0</v>
      </c>
      <c r="DX16" s="3">
        <v>0</v>
      </c>
      <c r="DY16" s="3">
        <v>0</v>
      </c>
      <c r="DZ16" s="3">
        <v>3</v>
      </c>
      <c r="EA16" s="3">
        <v>0</v>
      </c>
      <c r="EB16" s="3">
        <v>2</v>
      </c>
      <c r="EC16" s="3">
        <v>2</v>
      </c>
      <c r="ED16" s="3">
        <v>3</v>
      </c>
      <c r="EE16" s="3">
        <v>0</v>
      </c>
      <c r="EF16" s="3">
        <v>3</v>
      </c>
      <c r="EG16" s="3">
        <v>2</v>
      </c>
      <c r="EH16" s="3">
        <v>1</v>
      </c>
      <c r="EI16" s="3">
        <v>0</v>
      </c>
      <c r="EJ16" s="3">
        <v>0</v>
      </c>
      <c r="EK16" s="18">
        <v>0</v>
      </c>
      <c r="EL16" s="18">
        <v>4</v>
      </c>
      <c r="EM16" s="18">
        <v>2</v>
      </c>
      <c r="EN16" s="18">
        <v>2</v>
      </c>
      <c r="EO16" s="18">
        <v>0</v>
      </c>
      <c r="EP16" s="18">
        <v>1</v>
      </c>
    </row>
    <row r="17" spans="1:146" ht="14.25" customHeight="1" x14ac:dyDescent="0.25">
      <c r="A17" s="16">
        <v>17</v>
      </c>
      <c r="B17" s="17" t="s">
        <v>40</v>
      </c>
      <c r="C17" s="16">
        <v>2</v>
      </c>
      <c r="D17" s="16">
        <v>0</v>
      </c>
      <c r="E17" s="16">
        <v>3</v>
      </c>
      <c r="F17" s="16">
        <v>1</v>
      </c>
      <c r="G17" s="16">
        <v>2</v>
      </c>
      <c r="H17" s="16">
        <v>1</v>
      </c>
      <c r="I17" s="16">
        <v>2</v>
      </c>
      <c r="J17" s="16">
        <v>1</v>
      </c>
      <c r="K17" s="16">
        <v>1</v>
      </c>
      <c r="L17" s="16">
        <v>1</v>
      </c>
      <c r="M17" s="16">
        <v>1</v>
      </c>
      <c r="N17" s="16">
        <v>2</v>
      </c>
      <c r="O17" s="16">
        <v>2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3</v>
      </c>
      <c r="V17" s="16">
        <v>1</v>
      </c>
      <c r="W17" s="16">
        <v>2</v>
      </c>
      <c r="X17" s="16">
        <v>1</v>
      </c>
      <c r="Y17" s="16">
        <v>1</v>
      </c>
      <c r="Z17" s="16">
        <v>1</v>
      </c>
      <c r="AA17" s="16">
        <v>5</v>
      </c>
      <c r="AB17" s="16">
        <v>2</v>
      </c>
      <c r="AC17" s="16">
        <v>3</v>
      </c>
      <c r="AD17" s="16">
        <v>0</v>
      </c>
      <c r="AE17" s="16">
        <v>1</v>
      </c>
      <c r="AF17" s="16">
        <v>2</v>
      </c>
      <c r="AG17" s="16">
        <v>2</v>
      </c>
      <c r="AH17" s="16">
        <v>1</v>
      </c>
      <c r="AI17" s="16">
        <v>2</v>
      </c>
      <c r="AJ17" s="16">
        <v>1</v>
      </c>
      <c r="AK17" s="16">
        <v>3</v>
      </c>
      <c r="AL17" s="16">
        <v>2</v>
      </c>
      <c r="AM17" s="16">
        <v>3</v>
      </c>
      <c r="AN17" s="16">
        <v>0</v>
      </c>
      <c r="AO17" s="16">
        <v>3</v>
      </c>
      <c r="AP17" s="16">
        <v>1</v>
      </c>
      <c r="AQ17" s="16">
        <v>1</v>
      </c>
      <c r="AR17" s="16">
        <v>2</v>
      </c>
      <c r="AS17" s="16">
        <v>3</v>
      </c>
      <c r="AT17" s="16">
        <v>2</v>
      </c>
      <c r="AU17" s="16">
        <v>4</v>
      </c>
      <c r="AV17" s="16">
        <v>0</v>
      </c>
      <c r="AW17" s="16">
        <v>5</v>
      </c>
      <c r="AX17" s="16">
        <v>2</v>
      </c>
      <c r="AY17" s="16">
        <v>1</v>
      </c>
      <c r="AZ17" s="16">
        <v>1</v>
      </c>
      <c r="BA17" s="16">
        <v>4</v>
      </c>
      <c r="BB17" s="16">
        <v>1</v>
      </c>
      <c r="BC17" s="16">
        <v>2</v>
      </c>
      <c r="BD17" s="16">
        <v>1</v>
      </c>
      <c r="BE17" s="16">
        <v>1</v>
      </c>
      <c r="BF17" s="16">
        <v>2</v>
      </c>
      <c r="BG17" s="16">
        <v>3</v>
      </c>
      <c r="BH17" s="16">
        <v>1</v>
      </c>
      <c r="BI17" s="16">
        <v>4</v>
      </c>
      <c r="BJ17" s="16">
        <v>2</v>
      </c>
      <c r="BK17" s="16">
        <v>5</v>
      </c>
      <c r="BL17" s="16">
        <v>2</v>
      </c>
      <c r="BM17" s="16">
        <v>3</v>
      </c>
      <c r="BN17" s="16">
        <v>2</v>
      </c>
      <c r="BO17" s="16">
        <v>0</v>
      </c>
      <c r="BP17" s="16">
        <v>2</v>
      </c>
      <c r="BQ17" s="16">
        <v>2</v>
      </c>
      <c r="BR17" s="16">
        <v>3</v>
      </c>
      <c r="BS17" s="16">
        <v>1</v>
      </c>
      <c r="BT17" s="16">
        <v>2</v>
      </c>
      <c r="BU17" s="16">
        <v>1</v>
      </c>
      <c r="BV17" s="16">
        <v>5</v>
      </c>
      <c r="BW17" s="16">
        <v>2</v>
      </c>
      <c r="BX17" s="16">
        <v>4</v>
      </c>
      <c r="BY17" s="16">
        <v>3</v>
      </c>
      <c r="BZ17" s="16">
        <v>2</v>
      </c>
      <c r="CA17" s="16">
        <v>2</v>
      </c>
      <c r="CB17" s="16">
        <v>1</v>
      </c>
      <c r="CC17" s="16">
        <v>1</v>
      </c>
      <c r="CD17" s="16">
        <v>0</v>
      </c>
      <c r="CE17" s="16">
        <v>2</v>
      </c>
      <c r="CF17" s="16">
        <v>1</v>
      </c>
      <c r="CG17" s="16">
        <v>3</v>
      </c>
      <c r="CH17" s="16">
        <v>3</v>
      </c>
      <c r="CI17" s="16">
        <v>2</v>
      </c>
      <c r="CJ17" s="16">
        <v>2</v>
      </c>
      <c r="CK17" s="16">
        <v>1</v>
      </c>
      <c r="CL17" s="16">
        <v>3</v>
      </c>
      <c r="CM17" s="16">
        <v>2</v>
      </c>
      <c r="CN17" s="16">
        <v>2</v>
      </c>
      <c r="CO17" s="16">
        <v>3</v>
      </c>
      <c r="CP17" s="16">
        <v>3</v>
      </c>
      <c r="CQ17" s="16">
        <v>0</v>
      </c>
      <c r="CR17" s="16">
        <v>0</v>
      </c>
      <c r="CS17" s="16">
        <v>2</v>
      </c>
      <c r="CT17" s="16">
        <v>1</v>
      </c>
      <c r="CU17" s="16">
        <v>1</v>
      </c>
      <c r="CV17" s="16">
        <v>3</v>
      </c>
      <c r="CW17" s="16">
        <v>2</v>
      </c>
      <c r="CX17" s="16">
        <v>0</v>
      </c>
      <c r="CY17" s="16">
        <v>1</v>
      </c>
      <c r="CZ17" s="16">
        <v>1</v>
      </c>
      <c r="DA17" s="16">
        <v>2</v>
      </c>
      <c r="DB17" s="16">
        <v>1</v>
      </c>
      <c r="DC17" s="16">
        <v>1</v>
      </c>
      <c r="DD17" s="16">
        <v>2</v>
      </c>
      <c r="DE17" s="16">
        <v>2</v>
      </c>
      <c r="DF17" s="16">
        <v>2</v>
      </c>
      <c r="DG17" s="16">
        <v>1</v>
      </c>
      <c r="DH17" s="16">
        <v>2</v>
      </c>
      <c r="DI17" s="16">
        <v>1</v>
      </c>
      <c r="DJ17" s="16">
        <v>2</v>
      </c>
      <c r="DK17" s="16">
        <v>1</v>
      </c>
      <c r="DL17" s="16">
        <v>1</v>
      </c>
      <c r="DM17" s="16">
        <v>0</v>
      </c>
      <c r="DN17" s="16">
        <v>2</v>
      </c>
      <c r="DO17" s="16">
        <v>1</v>
      </c>
      <c r="DP17" s="16">
        <v>1</v>
      </c>
      <c r="DQ17" s="16">
        <v>1</v>
      </c>
      <c r="DR17" s="16">
        <v>1</v>
      </c>
      <c r="DS17" s="16">
        <v>1</v>
      </c>
      <c r="DT17" s="16">
        <v>2</v>
      </c>
      <c r="DU17" s="16">
        <v>2</v>
      </c>
      <c r="DV17" s="16">
        <v>0</v>
      </c>
      <c r="DW17" s="16">
        <v>1</v>
      </c>
      <c r="DX17" s="16">
        <v>1</v>
      </c>
      <c r="DY17" s="16">
        <v>0</v>
      </c>
      <c r="DZ17" s="16">
        <v>2</v>
      </c>
      <c r="EA17" s="16">
        <v>1</v>
      </c>
      <c r="EB17" s="16">
        <v>2</v>
      </c>
      <c r="EC17" s="16">
        <v>1</v>
      </c>
      <c r="ED17" s="16">
        <v>1</v>
      </c>
      <c r="EE17" s="16">
        <v>1</v>
      </c>
      <c r="EF17" s="16">
        <v>3</v>
      </c>
      <c r="EG17" s="16">
        <v>3</v>
      </c>
      <c r="EH17" s="16">
        <v>1</v>
      </c>
      <c r="EI17" s="16">
        <v>1</v>
      </c>
      <c r="EJ17" s="16">
        <v>1</v>
      </c>
      <c r="EK17" s="16">
        <v>0</v>
      </c>
      <c r="EL17" s="16">
        <v>2</v>
      </c>
      <c r="EM17" s="16">
        <v>1</v>
      </c>
      <c r="EN17" s="16">
        <v>2</v>
      </c>
      <c r="EO17" s="16">
        <v>1</v>
      </c>
      <c r="EP17" s="16">
        <v>1</v>
      </c>
    </row>
    <row r="18" spans="1:146" ht="14.25" customHeight="1" x14ac:dyDescent="0.25">
      <c r="A18" s="15">
        <v>18</v>
      </c>
      <c r="B18" s="4" t="s">
        <v>42</v>
      </c>
      <c r="C18" s="3">
        <v>0</v>
      </c>
      <c r="D18" s="3">
        <v>1</v>
      </c>
      <c r="E18" s="3">
        <v>1</v>
      </c>
      <c r="F18" s="3">
        <v>1</v>
      </c>
      <c r="G18" s="3">
        <v>2</v>
      </c>
      <c r="H18" s="3">
        <v>1</v>
      </c>
      <c r="I18" s="3">
        <v>2</v>
      </c>
      <c r="J18" s="3">
        <v>2</v>
      </c>
      <c r="K18" s="3">
        <v>1</v>
      </c>
      <c r="L18" s="3">
        <v>0</v>
      </c>
      <c r="M18" s="3">
        <v>0</v>
      </c>
      <c r="N18" s="3">
        <v>2</v>
      </c>
      <c r="O18" s="3">
        <v>3</v>
      </c>
      <c r="P18" s="3">
        <v>2</v>
      </c>
      <c r="Q18" s="3">
        <v>0</v>
      </c>
      <c r="R18" s="3">
        <v>2</v>
      </c>
      <c r="S18" s="3">
        <v>1</v>
      </c>
      <c r="T18" s="3">
        <v>1</v>
      </c>
      <c r="U18" s="3">
        <v>3</v>
      </c>
      <c r="V18" s="3">
        <v>0</v>
      </c>
      <c r="W18" s="3">
        <v>2</v>
      </c>
      <c r="X18" s="3">
        <v>1</v>
      </c>
      <c r="Y18" s="3">
        <v>2</v>
      </c>
      <c r="Z18" s="3">
        <v>0</v>
      </c>
      <c r="AA18" s="3">
        <v>0</v>
      </c>
      <c r="AB18" s="3">
        <v>2</v>
      </c>
      <c r="AC18" s="3">
        <v>3</v>
      </c>
      <c r="AD18" s="3">
        <v>0</v>
      </c>
      <c r="AE18" s="3">
        <v>1</v>
      </c>
      <c r="AF18" s="3">
        <v>0</v>
      </c>
      <c r="AG18" s="3">
        <v>2</v>
      </c>
      <c r="AH18" s="3">
        <v>1</v>
      </c>
      <c r="AI18" s="3">
        <v>3</v>
      </c>
      <c r="AJ18" s="3">
        <v>1</v>
      </c>
      <c r="AK18" s="3">
        <v>0</v>
      </c>
      <c r="AL18" s="3">
        <v>3</v>
      </c>
      <c r="AM18" s="3">
        <v>2</v>
      </c>
      <c r="AN18" s="3">
        <v>0</v>
      </c>
      <c r="AO18" s="3">
        <v>2</v>
      </c>
      <c r="AP18" s="3">
        <v>0</v>
      </c>
      <c r="AQ18" s="3">
        <v>2</v>
      </c>
      <c r="AR18" s="3">
        <v>1</v>
      </c>
      <c r="AS18" s="3">
        <v>3</v>
      </c>
      <c r="AT18" s="3">
        <v>1</v>
      </c>
      <c r="AU18" s="3">
        <v>3</v>
      </c>
      <c r="AV18" s="3">
        <v>0</v>
      </c>
      <c r="AW18" s="3">
        <v>0</v>
      </c>
      <c r="AX18" s="3">
        <v>3</v>
      </c>
      <c r="AY18" s="3">
        <v>1</v>
      </c>
      <c r="AZ18" s="3">
        <v>0</v>
      </c>
      <c r="BA18" s="3">
        <v>2</v>
      </c>
      <c r="BB18" s="3">
        <v>1</v>
      </c>
      <c r="BC18" s="3">
        <v>3</v>
      </c>
      <c r="BD18" s="3">
        <v>0</v>
      </c>
      <c r="BE18" s="3">
        <v>2</v>
      </c>
      <c r="BF18" s="3">
        <v>2</v>
      </c>
      <c r="BG18" s="3">
        <v>2</v>
      </c>
      <c r="BH18" s="3">
        <v>1</v>
      </c>
      <c r="BI18" s="3">
        <v>0</v>
      </c>
      <c r="BJ18" s="3">
        <v>3</v>
      </c>
      <c r="BK18" s="3">
        <v>0</v>
      </c>
      <c r="BL18" s="3">
        <v>0</v>
      </c>
      <c r="BM18" s="3">
        <v>2</v>
      </c>
      <c r="BN18" s="3">
        <v>1</v>
      </c>
      <c r="BO18" s="3">
        <v>3</v>
      </c>
      <c r="BP18" s="3">
        <v>1</v>
      </c>
      <c r="BQ18" s="3">
        <v>1</v>
      </c>
      <c r="BR18" s="3">
        <v>1</v>
      </c>
      <c r="BS18" s="3">
        <v>2</v>
      </c>
      <c r="BT18" s="3">
        <v>2</v>
      </c>
      <c r="BU18" s="3">
        <v>0</v>
      </c>
      <c r="BV18" s="3">
        <v>3</v>
      </c>
      <c r="BW18" s="3">
        <v>3</v>
      </c>
      <c r="BX18" s="3">
        <v>0</v>
      </c>
      <c r="BY18" s="3">
        <v>4</v>
      </c>
      <c r="BZ18" s="3">
        <v>0</v>
      </c>
      <c r="CA18" s="3">
        <v>3</v>
      </c>
      <c r="CB18" s="3">
        <v>0</v>
      </c>
      <c r="CC18" s="3">
        <v>0</v>
      </c>
      <c r="CD18" s="3">
        <v>2</v>
      </c>
      <c r="CE18" s="3">
        <v>3</v>
      </c>
      <c r="CF18" s="3">
        <v>1</v>
      </c>
      <c r="CG18" s="3">
        <v>5</v>
      </c>
      <c r="CH18" s="3">
        <v>0</v>
      </c>
      <c r="CI18" s="3">
        <v>2</v>
      </c>
      <c r="CJ18" s="3">
        <v>1</v>
      </c>
      <c r="CK18" s="3">
        <v>0</v>
      </c>
      <c r="CL18" s="3">
        <v>0</v>
      </c>
      <c r="CM18" s="3">
        <v>3</v>
      </c>
      <c r="CN18" s="3">
        <v>1</v>
      </c>
      <c r="CO18" s="3">
        <v>1</v>
      </c>
      <c r="CP18" s="3">
        <v>4</v>
      </c>
      <c r="CQ18" s="3">
        <v>5</v>
      </c>
      <c r="CR18" s="3">
        <v>0</v>
      </c>
      <c r="CS18" s="3">
        <v>2</v>
      </c>
      <c r="CT18" s="3">
        <v>0</v>
      </c>
      <c r="CU18" s="3">
        <v>0</v>
      </c>
      <c r="CV18" s="3">
        <v>4</v>
      </c>
      <c r="CW18" s="3">
        <v>4</v>
      </c>
      <c r="CX18" s="3">
        <v>2</v>
      </c>
      <c r="CY18" s="3">
        <v>1</v>
      </c>
      <c r="CZ18" s="3">
        <v>3</v>
      </c>
      <c r="DA18" s="3">
        <v>2</v>
      </c>
      <c r="DB18" s="3">
        <v>1</v>
      </c>
      <c r="DC18" s="3">
        <v>2</v>
      </c>
      <c r="DD18" s="3">
        <v>1</v>
      </c>
      <c r="DE18" s="3">
        <v>1</v>
      </c>
      <c r="DF18" s="3">
        <v>2</v>
      </c>
      <c r="DG18" s="3">
        <v>1</v>
      </c>
      <c r="DH18" s="3">
        <v>2</v>
      </c>
      <c r="DI18" s="3">
        <v>1</v>
      </c>
      <c r="DJ18" s="3">
        <v>4</v>
      </c>
      <c r="DK18" s="3">
        <v>2</v>
      </c>
      <c r="DL18" s="3">
        <v>2</v>
      </c>
      <c r="DM18" s="3">
        <v>0</v>
      </c>
      <c r="DN18" s="3">
        <v>3</v>
      </c>
      <c r="DO18" s="3">
        <v>1</v>
      </c>
      <c r="DP18" s="3">
        <v>2</v>
      </c>
      <c r="DQ18" s="3">
        <v>1</v>
      </c>
      <c r="DR18" s="3">
        <v>0</v>
      </c>
      <c r="DS18" s="3">
        <v>2</v>
      </c>
      <c r="DT18" s="3">
        <v>3</v>
      </c>
      <c r="DU18" s="3">
        <v>2</v>
      </c>
      <c r="DV18" s="3">
        <v>0</v>
      </c>
      <c r="DW18" s="3">
        <v>2</v>
      </c>
      <c r="DX18" s="3">
        <v>0</v>
      </c>
      <c r="DY18" s="3">
        <v>0</v>
      </c>
      <c r="DZ18" s="3">
        <v>2</v>
      </c>
      <c r="EA18" s="3">
        <v>0</v>
      </c>
      <c r="EB18" s="3">
        <v>0</v>
      </c>
      <c r="EC18" s="3">
        <v>1</v>
      </c>
      <c r="ED18" s="3">
        <v>2</v>
      </c>
      <c r="EE18" s="3">
        <v>0</v>
      </c>
      <c r="EF18" s="3">
        <v>6</v>
      </c>
      <c r="EG18" s="3">
        <v>2</v>
      </c>
      <c r="EH18" s="3">
        <v>1</v>
      </c>
      <c r="EI18" s="3">
        <v>0</v>
      </c>
      <c r="EJ18" s="3">
        <v>2</v>
      </c>
      <c r="EK18" s="3">
        <v>0</v>
      </c>
      <c r="EL18" s="3">
        <v>3</v>
      </c>
      <c r="EM18" s="3">
        <v>1</v>
      </c>
      <c r="EN18" s="3">
        <v>3</v>
      </c>
      <c r="EO18" s="3">
        <v>1</v>
      </c>
      <c r="EP18" s="3">
        <v>1</v>
      </c>
    </row>
    <row r="19" spans="1:146" ht="14.25" customHeight="1" x14ac:dyDescent="0.25">
      <c r="A19" s="16">
        <v>19</v>
      </c>
      <c r="B19" s="17" t="s">
        <v>14</v>
      </c>
      <c r="C19" s="16">
        <v>1</v>
      </c>
      <c r="D19" s="16">
        <v>0</v>
      </c>
      <c r="E19" s="16">
        <v>2</v>
      </c>
      <c r="F19" s="16">
        <v>1</v>
      </c>
      <c r="G19" s="16">
        <v>1</v>
      </c>
      <c r="H19" s="16">
        <v>1</v>
      </c>
      <c r="I19" s="16">
        <v>2</v>
      </c>
      <c r="J19" s="16">
        <v>2</v>
      </c>
      <c r="K19" s="16">
        <v>2</v>
      </c>
      <c r="L19" s="16">
        <v>0</v>
      </c>
      <c r="M19" s="16">
        <v>1</v>
      </c>
      <c r="N19" s="16">
        <v>2</v>
      </c>
      <c r="O19" s="16">
        <v>1</v>
      </c>
      <c r="P19" s="16">
        <v>2</v>
      </c>
      <c r="Q19" s="16">
        <v>1</v>
      </c>
      <c r="R19" s="16">
        <v>1</v>
      </c>
      <c r="S19" s="16">
        <v>2</v>
      </c>
      <c r="T19" s="16">
        <v>1</v>
      </c>
      <c r="U19" s="16">
        <v>4</v>
      </c>
      <c r="V19" s="16">
        <v>1</v>
      </c>
      <c r="W19" s="16">
        <v>2</v>
      </c>
      <c r="X19" s="16">
        <v>2</v>
      </c>
      <c r="Y19" s="16">
        <v>1</v>
      </c>
      <c r="Z19" s="16">
        <v>0</v>
      </c>
      <c r="AA19" s="16">
        <v>0</v>
      </c>
      <c r="AB19" s="16">
        <v>3</v>
      </c>
      <c r="AC19" s="16">
        <v>5</v>
      </c>
      <c r="AD19" s="16">
        <v>1</v>
      </c>
      <c r="AE19" s="16">
        <v>1</v>
      </c>
      <c r="AF19" s="16">
        <v>1</v>
      </c>
      <c r="AG19" s="16">
        <v>3</v>
      </c>
      <c r="AH19" s="16">
        <v>1</v>
      </c>
      <c r="AI19" s="16">
        <v>4</v>
      </c>
      <c r="AJ19" s="16">
        <v>2</v>
      </c>
      <c r="AK19" s="16">
        <v>0</v>
      </c>
      <c r="AL19" s="16">
        <v>4</v>
      </c>
      <c r="AM19" s="16">
        <v>3</v>
      </c>
      <c r="AN19" s="16">
        <v>0</v>
      </c>
      <c r="AO19" s="16">
        <v>3</v>
      </c>
      <c r="AP19" s="16">
        <v>0</v>
      </c>
      <c r="AQ19" s="16">
        <v>1</v>
      </c>
      <c r="AR19" s="16">
        <v>1</v>
      </c>
      <c r="AS19" s="16">
        <v>2</v>
      </c>
      <c r="AT19" s="16">
        <v>1</v>
      </c>
      <c r="AU19" s="16">
        <v>5</v>
      </c>
      <c r="AV19" s="16">
        <v>0</v>
      </c>
      <c r="AW19" s="16">
        <v>0</v>
      </c>
      <c r="AX19" s="16">
        <v>4</v>
      </c>
      <c r="AY19" s="16">
        <v>2</v>
      </c>
      <c r="AZ19" s="16">
        <v>0</v>
      </c>
      <c r="BA19" s="16">
        <v>1</v>
      </c>
      <c r="BB19" s="16">
        <v>1</v>
      </c>
      <c r="BC19" s="16">
        <v>2</v>
      </c>
      <c r="BD19" s="16">
        <v>0</v>
      </c>
      <c r="BE19" s="16">
        <v>2</v>
      </c>
      <c r="BF19" s="16">
        <v>3</v>
      </c>
      <c r="BG19" s="16">
        <v>3</v>
      </c>
      <c r="BH19" s="16">
        <v>1</v>
      </c>
      <c r="BI19" s="16">
        <v>0</v>
      </c>
      <c r="BJ19" s="16">
        <v>2</v>
      </c>
      <c r="BK19" s="16">
        <v>1</v>
      </c>
      <c r="BL19" s="16">
        <v>2</v>
      </c>
      <c r="BM19" s="16">
        <v>1</v>
      </c>
      <c r="BN19" s="16">
        <v>1</v>
      </c>
      <c r="BO19" s="16">
        <v>2</v>
      </c>
      <c r="BP19" s="16">
        <v>1</v>
      </c>
      <c r="BQ19" s="16">
        <v>2</v>
      </c>
      <c r="BR19" s="16">
        <v>1</v>
      </c>
      <c r="BS19" s="16">
        <v>1</v>
      </c>
      <c r="BT19" s="16">
        <v>0</v>
      </c>
      <c r="BU19" s="16">
        <v>0</v>
      </c>
      <c r="BV19" s="16">
        <v>2</v>
      </c>
      <c r="BW19" s="16">
        <v>2</v>
      </c>
      <c r="BX19" s="16">
        <v>0</v>
      </c>
      <c r="BY19" s="16">
        <v>5</v>
      </c>
      <c r="BZ19" s="16">
        <v>0</v>
      </c>
      <c r="CA19" s="16">
        <v>4</v>
      </c>
      <c r="CB19" s="16">
        <v>0</v>
      </c>
      <c r="CC19" s="16">
        <v>1</v>
      </c>
      <c r="CD19" s="16">
        <v>2</v>
      </c>
      <c r="CE19" s="16">
        <v>4</v>
      </c>
      <c r="CF19" s="16">
        <v>2</v>
      </c>
      <c r="CG19" s="16">
        <v>6</v>
      </c>
      <c r="CH19" s="16">
        <v>0</v>
      </c>
      <c r="CI19" s="16">
        <v>1</v>
      </c>
      <c r="CJ19" s="16">
        <v>1</v>
      </c>
      <c r="CK19" s="16">
        <v>0</v>
      </c>
      <c r="CL19" s="16">
        <v>1</v>
      </c>
      <c r="CM19" s="16">
        <v>4</v>
      </c>
      <c r="CN19" s="16">
        <v>0</v>
      </c>
      <c r="CO19" s="16">
        <v>0</v>
      </c>
      <c r="CP19" s="16">
        <v>3</v>
      </c>
      <c r="CQ19" s="16">
        <v>4</v>
      </c>
      <c r="CR19" s="16">
        <v>0</v>
      </c>
      <c r="CS19" s="16">
        <v>3</v>
      </c>
      <c r="CT19" s="16">
        <v>1</v>
      </c>
      <c r="CU19" s="16">
        <v>0</v>
      </c>
      <c r="CV19" s="16">
        <v>5</v>
      </c>
      <c r="CW19" s="16">
        <v>3</v>
      </c>
      <c r="CX19" s="16">
        <v>2</v>
      </c>
      <c r="CY19" s="16">
        <v>2</v>
      </c>
      <c r="CZ19" s="16">
        <v>1</v>
      </c>
      <c r="DA19" s="16">
        <v>1</v>
      </c>
      <c r="DB19" s="16">
        <v>1</v>
      </c>
      <c r="DC19" s="16">
        <v>1</v>
      </c>
      <c r="DD19" s="16">
        <v>1</v>
      </c>
      <c r="DE19" s="16">
        <v>1</v>
      </c>
      <c r="DF19" s="16">
        <v>3</v>
      </c>
      <c r="DG19" s="16">
        <v>0</v>
      </c>
      <c r="DH19" s="16">
        <v>1</v>
      </c>
      <c r="DI19" s="16">
        <v>1</v>
      </c>
      <c r="DJ19" s="16">
        <v>3</v>
      </c>
      <c r="DK19" s="16">
        <v>2</v>
      </c>
      <c r="DL19" s="16">
        <v>1</v>
      </c>
      <c r="DM19" s="16">
        <v>0</v>
      </c>
      <c r="DN19" s="16">
        <v>2</v>
      </c>
      <c r="DO19" s="16">
        <v>1</v>
      </c>
      <c r="DP19" s="16">
        <v>1</v>
      </c>
      <c r="DQ19" s="16">
        <v>1</v>
      </c>
      <c r="DR19" s="16">
        <v>1</v>
      </c>
      <c r="DS19" s="16">
        <v>2</v>
      </c>
      <c r="DT19" s="16">
        <v>2</v>
      </c>
      <c r="DU19" s="16">
        <v>2</v>
      </c>
      <c r="DV19" s="16">
        <v>1</v>
      </c>
      <c r="DW19" s="16">
        <v>3</v>
      </c>
      <c r="DX19" s="16">
        <v>0</v>
      </c>
      <c r="DY19" s="16">
        <v>0</v>
      </c>
      <c r="DZ19" s="16">
        <v>3</v>
      </c>
      <c r="EA19" s="16">
        <v>0</v>
      </c>
      <c r="EB19" s="16">
        <v>1</v>
      </c>
      <c r="EC19" s="16">
        <v>2</v>
      </c>
      <c r="ED19" s="16">
        <v>2</v>
      </c>
      <c r="EE19" s="16">
        <v>0</v>
      </c>
      <c r="EF19" s="16">
        <v>4</v>
      </c>
      <c r="EG19" s="16">
        <v>2</v>
      </c>
      <c r="EH19" s="16">
        <v>0</v>
      </c>
      <c r="EI19" s="16">
        <v>0</v>
      </c>
      <c r="EJ19" s="16">
        <v>1</v>
      </c>
      <c r="EK19" s="16">
        <v>0</v>
      </c>
      <c r="EL19" s="16">
        <v>2</v>
      </c>
      <c r="EM19" s="16">
        <v>0</v>
      </c>
      <c r="EN19" s="16">
        <v>2</v>
      </c>
      <c r="EO19" s="16">
        <v>1</v>
      </c>
      <c r="EP19" s="16">
        <v>0</v>
      </c>
    </row>
    <row r="20" spans="1:146" ht="14.25" customHeight="1" x14ac:dyDescent="0.25">
      <c r="A20" s="15">
        <v>20</v>
      </c>
      <c r="B20" s="4" t="s">
        <v>32</v>
      </c>
      <c r="C20" s="3">
        <v>2</v>
      </c>
      <c r="D20" s="3">
        <v>1</v>
      </c>
      <c r="E20" s="3">
        <v>2</v>
      </c>
      <c r="F20" s="3">
        <v>1</v>
      </c>
      <c r="G20" s="3">
        <v>2</v>
      </c>
      <c r="H20" s="3">
        <v>0</v>
      </c>
      <c r="I20" s="3">
        <v>3</v>
      </c>
      <c r="J20" s="3">
        <v>1</v>
      </c>
      <c r="K20" s="3">
        <v>0</v>
      </c>
      <c r="L20" s="3">
        <v>2</v>
      </c>
      <c r="M20" s="3">
        <v>1</v>
      </c>
      <c r="N20" s="3">
        <v>2</v>
      </c>
      <c r="O20" s="3">
        <v>2</v>
      </c>
      <c r="P20" s="3">
        <v>0</v>
      </c>
      <c r="Q20" s="3">
        <v>1</v>
      </c>
      <c r="R20" s="3">
        <v>2</v>
      </c>
      <c r="S20" s="3">
        <v>1</v>
      </c>
      <c r="T20" s="3">
        <v>1</v>
      </c>
      <c r="U20" s="3">
        <v>3</v>
      </c>
      <c r="V20" s="3">
        <v>0</v>
      </c>
      <c r="W20" s="3">
        <v>2</v>
      </c>
      <c r="X20" s="3">
        <v>0</v>
      </c>
      <c r="Y20" s="3">
        <v>2</v>
      </c>
      <c r="Z20" s="3">
        <v>1</v>
      </c>
      <c r="AA20" s="3">
        <v>0</v>
      </c>
      <c r="AB20" s="3">
        <v>2</v>
      </c>
      <c r="AC20" s="3">
        <v>3</v>
      </c>
      <c r="AD20" s="3">
        <v>0</v>
      </c>
      <c r="AE20" s="3">
        <v>2</v>
      </c>
      <c r="AF20" s="3">
        <v>1</v>
      </c>
      <c r="AG20" s="3">
        <v>2</v>
      </c>
      <c r="AH20" s="3">
        <v>0</v>
      </c>
      <c r="AI20" s="3">
        <v>2</v>
      </c>
      <c r="AJ20" s="3">
        <v>1</v>
      </c>
      <c r="AK20" s="3">
        <v>1</v>
      </c>
      <c r="AL20" s="3">
        <v>2</v>
      </c>
      <c r="AM20" s="3">
        <v>3</v>
      </c>
      <c r="AN20" s="3">
        <v>0</v>
      </c>
      <c r="AO20" s="3">
        <v>2</v>
      </c>
      <c r="AP20" s="3">
        <v>0</v>
      </c>
      <c r="AQ20" s="3">
        <v>1</v>
      </c>
      <c r="AR20" s="3">
        <v>2</v>
      </c>
      <c r="AS20" s="3">
        <v>2</v>
      </c>
      <c r="AT20" s="3">
        <v>0</v>
      </c>
      <c r="AU20" s="3">
        <v>3</v>
      </c>
      <c r="AV20" s="3">
        <v>0</v>
      </c>
      <c r="AW20" s="3">
        <v>1</v>
      </c>
      <c r="AX20" s="3">
        <v>2</v>
      </c>
      <c r="AY20" s="3">
        <v>1</v>
      </c>
      <c r="AZ20" s="3">
        <v>2</v>
      </c>
      <c r="BA20" s="3">
        <v>2</v>
      </c>
      <c r="BB20" s="3">
        <v>0</v>
      </c>
      <c r="BC20" s="3">
        <v>1</v>
      </c>
      <c r="BD20" s="3">
        <v>1</v>
      </c>
      <c r="BE20" s="3">
        <v>2</v>
      </c>
      <c r="BF20" s="3">
        <v>1</v>
      </c>
      <c r="BG20" s="3">
        <v>3</v>
      </c>
      <c r="BH20" s="3">
        <v>0</v>
      </c>
      <c r="BI20" s="3">
        <v>1</v>
      </c>
      <c r="BJ20" s="3">
        <v>1</v>
      </c>
      <c r="BK20" s="3">
        <v>2</v>
      </c>
      <c r="BL20" s="3">
        <v>1</v>
      </c>
      <c r="BM20" s="3">
        <v>2</v>
      </c>
      <c r="BN20" s="3">
        <v>0</v>
      </c>
      <c r="BO20" s="3">
        <v>2</v>
      </c>
      <c r="BP20" s="3">
        <v>1</v>
      </c>
      <c r="BQ20" s="3">
        <v>2</v>
      </c>
      <c r="BR20" s="3">
        <v>0</v>
      </c>
      <c r="BS20" s="3">
        <v>2</v>
      </c>
      <c r="BT20" s="3">
        <v>0</v>
      </c>
      <c r="BU20" s="3">
        <v>1</v>
      </c>
      <c r="BV20" s="3">
        <v>1</v>
      </c>
      <c r="BW20" s="3">
        <v>2</v>
      </c>
      <c r="BX20" s="3">
        <v>0</v>
      </c>
      <c r="BY20" s="3">
        <v>2</v>
      </c>
      <c r="BZ20" s="3">
        <v>0</v>
      </c>
      <c r="CA20" s="3">
        <v>2</v>
      </c>
      <c r="CB20" s="3">
        <v>1</v>
      </c>
      <c r="CC20" s="3">
        <v>1</v>
      </c>
      <c r="CD20" s="3">
        <v>1</v>
      </c>
      <c r="CE20" s="3">
        <v>1</v>
      </c>
      <c r="CF20" s="3">
        <v>2</v>
      </c>
      <c r="CG20" s="3">
        <v>3</v>
      </c>
      <c r="CH20" s="3">
        <v>0</v>
      </c>
      <c r="CI20" s="3">
        <v>2</v>
      </c>
      <c r="CJ20" s="3">
        <v>0</v>
      </c>
      <c r="CK20" s="3">
        <v>1</v>
      </c>
      <c r="CL20" s="3">
        <v>1</v>
      </c>
      <c r="CM20" s="3">
        <v>2</v>
      </c>
      <c r="CN20" s="3">
        <v>0</v>
      </c>
      <c r="CO20" s="3">
        <v>1</v>
      </c>
      <c r="CP20" s="3">
        <v>2</v>
      </c>
      <c r="CQ20" s="3">
        <v>2</v>
      </c>
      <c r="CR20" s="3">
        <v>0</v>
      </c>
      <c r="CS20" s="3">
        <v>2</v>
      </c>
      <c r="CT20" s="3">
        <v>0</v>
      </c>
      <c r="CU20" s="3">
        <v>0</v>
      </c>
      <c r="CV20" s="3">
        <v>2</v>
      </c>
      <c r="CW20" s="3">
        <v>2</v>
      </c>
      <c r="CX20" s="3">
        <v>0</v>
      </c>
      <c r="CY20" s="3">
        <v>1</v>
      </c>
      <c r="CZ20" s="3">
        <v>1</v>
      </c>
      <c r="DA20" s="3">
        <v>1</v>
      </c>
      <c r="DB20" s="3">
        <v>1</v>
      </c>
      <c r="DC20" s="3">
        <v>1</v>
      </c>
      <c r="DD20" s="3">
        <v>2</v>
      </c>
      <c r="DE20" s="3">
        <v>1</v>
      </c>
      <c r="DF20" s="3">
        <v>2</v>
      </c>
      <c r="DG20" s="3">
        <v>0</v>
      </c>
      <c r="DH20" s="3">
        <v>2</v>
      </c>
      <c r="DI20" s="3">
        <v>1</v>
      </c>
      <c r="DJ20" s="3">
        <v>2</v>
      </c>
      <c r="DK20" s="3">
        <v>1</v>
      </c>
      <c r="DL20" s="3">
        <v>1</v>
      </c>
      <c r="DM20" s="3">
        <v>0</v>
      </c>
      <c r="DN20" s="3">
        <v>2</v>
      </c>
      <c r="DO20" s="3">
        <v>1</v>
      </c>
      <c r="DP20" s="3">
        <v>2</v>
      </c>
      <c r="DQ20" s="3">
        <v>1</v>
      </c>
      <c r="DR20" s="3">
        <v>1</v>
      </c>
      <c r="DS20" s="3">
        <v>0</v>
      </c>
      <c r="DT20" s="3">
        <v>2</v>
      </c>
      <c r="DU20" s="3">
        <v>2</v>
      </c>
      <c r="DV20" s="3">
        <v>1</v>
      </c>
      <c r="DW20" s="3">
        <v>1</v>
      </c>
      <c r="DX20" s="3">
        <v>1</v>
      </c>
      <c r="DY20" s="3">
        <v>0</v>
      </c>
      <c r="DZ20" s="3">
        <v>2</v>
      </c>
      <c r="EA20" s="3">
        <v>1</v>
      </c>
      <c r="EB20" s="3">
        <v>2</v>
      </c>
      <c r="EC20" s="3">
        <v>1</v>
      </c>
      <c r="ED20" s="3">
        <v>1</v>
      </c>
      <c r="EE20" s="3">
        <v>0</v>
      </c>
      <c r="EF20" s="3">
        <v>2</v>
      </c>
      <c r="EG20" s="3">
        <v>2</v>
      </c>
      <c r="EH20" s="3">
        <v>1</v>
      </c>
      <c r="EI20" s="3">
        <v>1</v>
      </c>
      <c r="EJ20" s="3">
        <v>1</v>
      </c>
      <c r="EK20" s="3">
        <v>0</v>
      </c>
      <c r="EL20" s="3">
        <v>3</v>
      </c>
      <c r="EM20" s="3">
        <v>1</v>
      </c>
      <c r="EN20" s="3">
        <v>1</v>
      </c>
      <c r="EO20" s="3">
        <v>1</v>
      </c>
      <c r="EP20" s="3">
        <v>1</v>
      </c>
    </row>
    <row r="21" spans="1:146" ht="14.25" customHeight="1" x14ac:dyDescent="0.25">
      <c r="A21" s="16">
        <v>21</v>
      </c>
      <c r="B21" s="17" t="s">
        <v>46</v>
      </c>
      <c r="C21" s="16">
        <v>4</v>
      </c>
      <c r="D21" s="16">
        <v>2</v>
      </c>
      <c r="E21" s="16">
        <v>3</v>
      </c>
      <c r="F21" s="16">
        <v>1</v>
      </c>
      <c r="G21" s="16">
        <v>4</v>
      </c>
      <c r="H21" s="16">
        <v>0</v>
      </c>
      <c r="I21" s="16">
        <v>1</v>
      </c>
      <c r="J21" s="16">
        <v>2</v>
      </c>
      <c r="K21" s="16">
        <v>1</v>
      </c>
      <c r="L21" s="16">
        <v>1</v>
      </c>
      <c r="M21" s="16">
        <v>2</v>
      </c>
      <c r="N21" s="16">
        <v>1</v>
      </c>
      <c r="O21" s="16">
        <v>2</v>
      </c>
      <c r="P21" s="16">
        <v>0</v>
      </c>
      <c r="Q21" s="16">
        <v>0</v>
      </c>
      <c r="R21" s="16">
        <v>2</v>
      </c>
      <c r="S21" s="16">
        <v>2</v>
      </c>
      <c r="T21" s="16">
        <v>3</v>
      </c>
      <c r="U21" s="16">
        <v>6</v>
      </c>
      <c r="V21" s="16">
        <v>0</v>
      </c>
      <c r="W21" s="16">
        <v>3</v>
      </c>
      <c r="X21" s="16">
        <v>1</v>
      </c>
      <c r="Y21" s="16">
        <v>2</v>
      </c>
      <c r="Z21" s="16">
        <v>1</v>
      </c>
      <c r="AA21" s="16">
        <v>1</v>
      </c>
      <c r="AB21" s="16">
        <v>3</v>
      </c>
      <c r="AC21" s="16">
        <v>7</v>
      </c>
      <c r="AD21" s="16">
        <v>0</v>
      </c>
      <c r="AE21" s="16">
        <v>2</v>
      </c>
      <c r="AF21" s="16">
        <v>1</v>
      </c>
      <c r="AG21" s="16">
        <v>2</v>
      </c>
      <c r="AH21" s="16">
        <v>2</v>
      </c>
      <c r="AI21" s="16">
        <v>3</v>
      </c>
      <c r="AJ21" s="16">
        <v>1</v>
      </c>
      <c r="AK21" s="16">
        <v>1</v>
      </c>
      <c r="AL21" s="16">
        <v>2</v>
      </c>
      <c r="AM21" s="16">
        <v>3</v>
      </c>
      <c r="AN21" s="16">
        <v>2</v>
      </c>
      <c r="AO21" s="16">
        <v>2</v>
      </c>
      <c r="AP21" s="16">
        <v>1</v>
      </c>
      <c r="AQ21" s="16">
        <v>2</v>
      </c>
      <c r="AR21" s="16">
        <v>3</v>
      </c>
      <c r="AS21" s="16">
        <v>3</v>
      </c>
      <c r="AT21" s="16">
        <v>4</v>
      </c>
      <c r="AU21" s="16">
        <v>3</v>
      </c>
      <c r="AV21" s="16">
        <v>0</v>
      </c>
      <c r="AW21" s="16">
        <v>1</v>
      </c>
      <c r="AX21" s="16">
        <v>4</v>
      </c>
      <c r="AY21" s="16">
        <v>1</v>
      </c>
      <c r="AZ21" s="16">
        <v>0</v>
      </c>
      <c r="BA21" s="16">
        <v>2</v>
      </c>
      <c r="BB21" s="16">
        <v>0</v>
      </c>
      <c r="BC21" s="16">
        <v>2</v>
      </c>
      <c r="BD21" s="16">
        <v>0</v>
      </c>
      <c r="BE21" s="16">
        <v>3</v>
      </c>
      <c r="BF21" s="16">
        <v>2</v>
      </c>
      <c r="BG21" s="16">
        <v>4</v>
      </c>
      <c r="BH21" s="16">
        <v>0</v>
      </c>
      <c r="BI21" s="16">
        <v>1</v>
      </c>
      <c r="BJ21" s="16">
        <v>2</v>
      </c>
      <c r="BK21" s="16">
        <v>2</v>
      </c>
      <c r="BL21" s="16">
        <v>2</v>
      </c>
      <c r="BM21" s="16">
        <v>2</v>
      </c>
      <c r="BN21" s="16">
        <v>1</v>
      </c>
      <c r="BO21" s="16">
        <v>5</v>
      </c>
      <c r="BP21" s="16">
        <v>1</v>
      </c>
      <c r="BQ21" s="16">
        <v>3</v>
      </c>
      <c r="BR21" s="16">
        <v>0</v>
      </c>
      <c r="BS21" s="16">
        <v>2</v>
      </c>
      <c r="BT21" s="16">
        <v>1</v>
      </c>
      <c r="BU21" s="16">
        <v>1</v>
      </c>
      <c r="BV21" s="16">
        <v>2</v>
      </c>
      <c r="BW21" s="16">
        <v>3</v>
      </c>
      <c r="BX21" s="16">
        <v>0</v>
      </c>
      <c r="BY21" s="16">
        <v>4</v>
      </c>
      <c r="BZ21" s="16">
        <v>2</v>
      </c>
      <c r="CA21" s="16">
        <v>1</v>
      </c>
      <c r="CB21" s="16">
        <v>0</v>
      </c>
      <c r="CC21" s="16">
        <v>2</v>
      </c>
      <c r="CD21" s="16">
        <v>2</v>
      </c>
      <c r="CE21" s="16">
        <v>1</v>
      </c>
      <c r="CF21" s="16">
        <v>2</v>
      </c>
      <c r="CG21" s="16">
        <v>4</v>
      </c>
      <c r="CH21" s="16">
        <v>0</v>
      </c>
      <c r="CI21" s="16">
        <v>2</v>
      </c>
      <c r="CJ21" s="16">
        <v>0</v>
      </c>
      <c r="CK21" s="16">
        <v>1</v>
      </c>
      <c r="CL21" s="16">
        <v>2</v>
      </c>
      <c r="CM21" s="16">
        <v>3</v>
      </c>
      <c r="CN21" s="16">
        <v>0</v>
      </c>
      <c r="CO21" s="16">
        <v>1</v>
      </c>
      <c r="CP21" s="16">
        <v>3</v>
      </c>
      <c r="CQ21" s="16">
        <v>3</v>
      </c>
      <c r="CR21" s="16">
        <v>0</v>
      </c>
      <c r="CS21" s="16">
        <v>3</v>
      </c>
      <c r="CT21" s="16">
        <v>1</v>
      </c>
      <c r="CU21" s="16">
        <v>1</v>
      </c>
      <c r="CV21" s="16">
        <v>4</v>
      </c>
      <c r="CW21" s="16">
        <v>5</v>
      </c>
      <c r="CX21" s="16">
        <v>1</v>
      </c>
      <c r="CY21" s="16">
        <v>1</v>
      </c>
      <c r="CZ21" s="16">
        <v>0</v>
      </c>
      <c r="DA21" s="16">
        <v>1</v>
      </c>
      <c r="DB21" s="16">
        <v>1</v>
      </c>
      <c r="DC21" s="16">
        <v>1</v>
      </c>
      <c r="DD21" s="16">
        <v>3</v>
      </c>
      <c r="DE21" s="16">
        <v>1</v>
      </c>
      <c r="DF21" s="16">
        <v>2</v>
      </c>
      <c r="DG21" s="16">
        <v>0</v>
      </c>
      <c r="DH21" s="16">
        <v>2</v>
      </c>
      <c r="DI21" s="16">
        <v>1</v>
      </c>
      <c r="DJ21" s="16">
        <v>2</v>
      </c>
      <c r="DK21" s="16">
        <v>2</v>
      </c>
      <c r="DL21" s="16">
        <v>2</v>
      </c>
      <c r="DM21" s="16">
        <v>0</v>
      </c>
      <c r="DN21" s="16">
        <v>3</v>
      </c>
      <c r="DO21" s="16">
        <v>1</v>
      </c>
      <c r="DP21" s="16">
        <v>1</v>
      </c>
      <c r="DQ21" s="16">
        <v>1</v>
      </c>
      <c r="DR21" s="16">
        <v>2</v>
      </c>
      <c r="DS21" s="16">
        <v>1</v>
      </c>
      <c r="DT21" s="16">
        <v>4</v>
      </c>
      <c r="DU21" s="16">
        <v>0</v>
      </c>
      <c r="DV21" s="16">
        <v>0</v>
      </c>
      <c r="DW21" s="16">
        <v>1</v>
      </c>
      <c r="DX21" s="16">
        <v>2</v>
      </c>
      <c r="DY21" s="16">
        <v>0</v>
      </c>
      <c r="DZ21" s="16">
        <v>4</v>
      </c>
      <c r="EA21" s="16">
        <v>2</v>
      </c>
      <c r="EB21" s="16">
        <v>3</v>
      </c>
      <c r="EC21" s="16">
        <v>3</v>
      </c>
      <c r="ED21" s="16">
        <v>4</v>
      </c>
      <c r="EE21" s="16">
        <v>2</v>
      </c>
      <c r="EF21" s="16">
        <v>4</v>
      </c>
      <c r="EG21" s="16">
        <v>3</v>
      </c>
      <c r="EH21" s="16">
        <v>0</v>
      </c>
      <c r="EI21" s="16">
        <v>1</v>
      </c>
      <c r="EJ21" s="16">
        <v>2</v>
      </c>
      <c r="EK21" s="16">
        <v>0</v>
      </c>
      <c r="EL21" s="16">
        <v>3</v>
      </c>
      <c r="EM21" s="16">
        <v>3</v>
      </c>
      <c r="EN21" s="16">
        <v>5</v>
      </c>
      <c r="EO21" s="16">
        <v>2</v>
      </c>
      <c r="EP21" s="16">
        <v>2</v>
      </c>
    </row>
    <row r="22" spans="1:146" ht="14.25" customHeight="1" x14ac:dyDescent="0.25">
      <c r="A22" s="15">
        <v>22</v>
      </c>
      <c r="B22" s="4" t="s">
        <v>34</v>
      </c>
      <c r="C22" s="3">
        <v>3</v>
      </c>
      <c r="D22" s="3">
        <v>2</v>
      </c>
      <c r="E22" s="3">
        <v>2</v>
      </c>
      <c r="F22" s="3">
        <v>2</v>
      </c>
      <c r="G22" s="3">
        <v>3</v>
      </c>
      <c r="H22" s="3">
        <v>1</v>
      </c>
      <c r="I22" s="3">
        <v>3</v>
      </c>
      <c r="J22" s="3">
        <v>2</v>
      </c>
      <c r="K22" s="3">
        <v>1</v>
      </c>
      <c r="L22" s="3">
        <v>1</v>
      </c>
      <c r="M22" s="3">
        <v>2</v>
      </c>
      <c r="N22" s="3">
        <v>1</v>
      </c>
      <c r="O22" s="3">
        <v>3</v>
      </c>
      <c r="P22" s="3">
        <v>0</v>
      </c>
      <c r="Q22" s="3">
        <v>1</v>
      </c>
      <c r="R22" s="3">
        <v>2</v>
      </c>
      <c r="S22" s="3">
        <v>2</v>
      </c>
      <c r="T22" s="3">
        <v>2</v>
      </c>
      <c r="U22" s="3">
        <v>4</v>
      </c>
      <c r="V22" s="3">
        <v>0</v>
      </c>
      <c r="W22" s="3">
        <v>2</v>
      </c>
      <c r="X22" s="3">
        <v>0</v>
      </c>
      <c r="Y22" s="3">
        <v>3</v>
      </c>
      <c r="Z22" s="3">
        <v>1</v>
      </c>
      <c r="AA22" s="3">
        <v>0</v>
      </c>
      <c r="AB22" s="3">
        <v>2</v>
      </c>
      <c r="AC22" s="3">
        <v>5</v>
      </c>
      <c r="AD22" s="3">
        <v>0</v>
      </c>
      <c r="AE22" s="3">
        <v>2</v>
      </c>
      <c r="AF22" s="3">
        <v>1</v>
      </c>
      <c r="AG22" s="3">
        <v>2</v>
      </c>
      <c r="AH22" s="3">
        <v>1</v>
      </c>
      <c r="AI22" s="3">
        <v>3</v>
      </c>
      <c r="AJ22" s="3">
        <v>1</v>
      </c>
      <c r="AK22" s="3">
        <v>1</v>
      </c>
      <c r="AL22" s="3">
        <v>2</v>
      </c>
      <c r="AM22" s="3">
        <v>3</v>
      </c>
      <c r="AN22" s="3">
        <v>2</v>
      </c>
      <c r="AO22" s="3">
        <v>1</v>
      </c>
      <c r="AP22" s="3">
        <v>1</v>
      </c>
      <c r="AQ22" s="3">
        <v>1</v>
      </c>
      <c r="AR22" s="3">
        <v>1</v>
      </c>
      <c r="AS22" s="3">
        <v>3</v>
      </c>
      <c r="AT22" s="3">
        <v>2</v>
      </c>
      <c r="AU22" s="3">
        <v>3</v>
      </c>
      <c r="AV22" s="3">
        <v>1</v>
      </c>
      <c r="AW22" s="3">
        <v>1</v>
      </c>
      <c r="AX22" s="3">
        <v>3</v>
      </c>
      <c r="AY22" s="3">
        <v>1</v>
      </c>
      <c r="AZ22" s="3">
        <v>1</v>
      </c>
      <c r="BA22" s="3">
        <v>2</v>
      </c>
      <c r="BB22" s="3">
        <v>0</v>
      </c>
      <c r="BC22" s="3">
        <v>2</v>
      </c>
      <c r="BD22" s="3">
        <v>1</v>
      </c>
      <c r="BE22" s="3">
        <v>3</v>
      </c>
      <c r="BF22" s="3">
        <v>2</v>
      </c>
      <c r="BG22" s="3">
        <v>4</v>
      </c>
      <c r="BH22" s="3">
        <v>1</v>
      </c>
      <c r="BI22" s="3">
        <v>1</v>
      </c>
      <c r="BJ22" s="3">
        <v>2</v>
      </c>
      <c r="BK22" s="3">
        <v>2</v>
      </c>
      <c r="BL22" s="3">
        <v>2</v>
      </c>
      <c r="BM22" s="3">
        <v>2</v>
      </c>
      <c r="BN22" s="3">
        <v>0</v>
      </c>
      <c r="BO22" s="3">
        <v>4</v>
      </c>
      <c r="BP22" s="3">
        <v>1</v>
      </c>
      <c r="BQ22" s="3">
        <v>2</v>
      </c>
      <c r="BR22" s="3">
        <v>0</v>
      </c>
      <c r="BS22" s="3">
        <v>2</v>
      </c>
      <c r="BT22" s="3">
        <v>1</v>
      </c>
      <c r="BU22" s="3">
        <v>1</v>
      </c>
      <c r="BV22" s="3">
        <v>2</v>
      </c>
      <c r="BW22" s="3">
        <v>2</v>
      </c>
      <c r="BX22" s="3">
        <v>0</v>
      </c>
      <c r="BY22" s="3">
        <v>4</v>
      </c>
      <c r="BZ22" s="3">
        <v>1</v>
      </c>
      <c r="CA22" s="3">
        <v>2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3</v>
      </c>
      <c r="CH22" s="3">
        <v>0</v>
      </c>
      <c r="CI22" s="3">
        <v>2</v>
      </c>
      <c r="CJ22" s="3">
        <v>0</v>
      </c>
      <c r="CK22" s="3">
        <v>1</v>
      </c>
      <c r="CL22" s="3">
        <v>1</v>
      </c>
      <c r="CM22" s="3">
        <v>3</v>
      </c>
      <c r="CN22" s="3">
        <v>0</v>
      </c>
      <c r="CO22" s="3">
        <v>1</v>
      </c>
      <c r="CP22" s="3">
        <v>2</v>
      </c>
      <c r="CQ22" s="3">
        <v>3</v>
      </c>
      <c r="CR22" s="3">
        <v>0</v>
      </c>
      <c r="CS22" s="3">
        <v>3</v>
      </c>
      <c r="CT22" s="3">
        <v>1</v>
      </c>
      <c r="CU22" s="3">
        <v>0</v>
      </c>
      <c r="CV22" s="3">
        <v>3</v>
      </c>
      <c r="CW22" s="3">
        <v>3</v>
      </c>
      <c r="CX22" s="3">
        <v>1</v>
      </c>
      <c r="CY22" s="3">
        <v>1</v>
      </c>
      <c r="CZ22" s="3">
        <v>1</v>
      </c>
      <c r="DA22" s="3">
        <v>1</v>
      </c>
      <c r="DB22" s="3">
        <v>1</v>
      </c>
      <c r="DC22" s="3">
        <v>1</v>
      </c>
      <c r="DD22" s="3">
        <v>3</v>
      </c>
      <c r="DE22" s="3">
        <v>1</v>
      </c>
      <c r="DF22" s="3">
        <v>2</v>
      </c>
      <c r="DG22" s="3">
        <v>0</v>
      </c>
      <c r="DH22" s="3">
        <v>2</v>
      </c>
      <c r="DI22" s="3">
        <v>1</v>
      </c>
      <c r="DJ22" s="3">
        <v>2</v>
      </c>
      <c r="DK22" s="3">
        <v>1</v>
      </c>
      <c r="DL22" s="3">
        <v>1</v>
      </c>
      <c r="DM22" s="3">
        <v>1</v>
      </c>
      <c r="DN22" s="3">
        <v>2</v>
      </c>
      <c r="DO22" s="3">
        <v>1</v>
      </c>
      <c r="DP22" s="3">
        <v>2</v>
      </c>
      <c r="DQ22" s="3">
        <v>1</v>
      </c>
      <c r="DR22" s="3">
        <v>1</v>
      </c>
      <c r="DS22" s="3">
        <v>1</v>
      </c>
      <c r="DT22" s="3">
        <v>3</v>
      </c>
      <c r="DU22" s="3">
        <v>1</v>
      </c>
      <c r="DV22" s="3">
        <v>1</v>
      </c>
      <c r="DW22" s="3">
        <v>1</v>
      </c>
      <c r="DX22" s="3">
        <v>2</v>
      </c>
      <c r="DY22" s="3">
        <v>1</v>
      </c>
      <c r="DZ22" s="3">
        <v>0</v>
      </c>
      <c r="EA22" s="3">
        <v>1</v>
      </c>
      <c r="EB22" s="3">
        <v>3</v>
      </c>
      <c r="EC22" s="3">
        <v>1</v>
      </c>
      <c r="ED22" s="3">
        <v>3</v>
      </c>
      <c r="EE22" s="3">
        <v>1</v>
      </c>
      <c r="EF22" s="3">
        <v>3</v>
      </c>
      <c r="EG22" s="3">
        <v>3</v>
      </c>
      <c r="EH22" s="3">
        <v>1</v>
      </c>
      <c r="EI22" s="3">
        <v>1</v>
      </c>
      <c r="EJ22" s="3">
        <v>1</v>
      </c>
      <c r="EK22" s="3">
        <v>0</v>
      </c>
      <c r="EL22" s="3">
        <v>3</v>
      </c>
      <c r="EM22" s="3">
        <v>1</v>
      </c>
      <c r="EN22" s="3">
        <v>2</v>
      </c>
      <c r="EO22" s="3">
        <v>1</v>
      </c>
      <c r="EP22" s="3">
        <v>1</v>
      </c>
    </row>
    <row r="23" spans="1:146" ht="14.25" customHeight="1" x14ac:dyDescent="0.25">
      <c r="A23" s="16">
        <v>23</v>
      </c>
      <c r="B23" s="17" t="s">
        <v>48</v>
      </c>
      <c r="C23" s="16">
        <v>2</v>
      </c>
      <c r="D23" s="16">
        <v>1</v>
      </c>
      <c r="E23" s="16">
        <v>2</v>
      </c>
      <c r="F23" s="16">
        <v>1</v>
      </c>
      <c r="G23" s="16">
        <v>1</v>
      </c>
      <c r="H23" s="16">
        <v>0</v>
      </c>
      <c r="I23" s="16">
        <v>3</v>
      </c>
      <c r="J23" s="16">
        <v>0</v>
      </c>
      <c r="K23" s="16">
        <v>0</v>
      </c>
      <c r="L23" s="16">
        <v>3</v>
      </c>
      <c r="M23" s="16">
        <v>1</v>
      </c>
      <c r="N23" s="16">
        <v>3</v>
      </c>
      <c r="O23" s="16">
        <v>0</v>
      </c>
      <c r="P23" s="16">
        <v>2</v>
      </c>
      <c r="Q23" s="16">
        <v>1</v>
      </c>
      <c r="R23" s="16">
        <v>2</v>
      </c>
      <c r="S23" s="16">
        <v>1</v>
      </c>
      <c r="T23" s="16">
        <v>2</v>
      </c>
      <c r="U23" s="16">
        <v>4</v>
      </c>
      <c r="V23" s="16">
        <v>0</v>
      </c>
      <c r="W23" s="16">
        <v>1</v>
      </c>
      <c r="X23" s="16">
        <v>1</v>
      </c>
      <c r="Y23" s="16">
        <v>1</v>
      </c>
      <c r="Z23" s="16">
        <v>0</v>
      </c>
      <c r="AA23" s="16">
        <v>0</v>
      </c>
      <c r="AB23" s="16">
        <v>1</v>
      </c>
      <c r="AC23" s="16">
        <v>4</v>
      </c>
      <c r="AD23" s="16">
        <v>0</v>
      </c>
      <c r="AE23" s="16">
        <v>2</v>
      </c>
      <c r="AF23" s="16">
        <v>1</v>
      </c>
      <c r="AG23" s="16">
        <v>2</v>
      </c>
      <c r="AH23" s="16">
        <v>1</v>
      </c>
      <c r="AI23" s="16">
        <v>2</v>
      </c>
      <c r="AJ23" s="16">
        <v>0</v>
      </c>
      <c r="AK23" s="16">
        <v>0</v>
      </c>
      <c r="AL23" s="16">
        <v>2</v>
      </c>
      <c r="AM23" s="16">
        <v>2</v>
      </c>
      <c r="AN23" s="16">
        <v>1</v>
      </c>
      <c r="AO23" s="16">
        <v>3</v>
      </c>
      <c r="AP23" s="16">
        <v>0</v>
      </c>
      <c r="AQ23" s="16">
        <v>2</v>
      </c>
      <c r="AR23" s="16">
        <v>0</v>
      </c>
      <c r="AS23" s="16">
        <v>1</v>
      </c>
      <c r="AT23" s="16">
        <v>0</v>
      </c>
      <c r="AU23" s="16">
        <v>3</v>
      </c>
      <c r="AV23" s="16">
        <v>0</v>
      </c>
      <c r="AW23" s="16">
        <v>0</v>
      </c>
      <c r="AX23" s="16">
        <v>1</v>
      </c>
      <c r="AY23" s="16">
        <v>3</v>
      </c>
      <c r="AZ23" s="16">
        <v>1</v>
      </c>
      <c r="BA23" s="16">
        <v>1</v>
      </c>
      <c r="BB23" s="16">
        <v>1</v>
      </c>
      <c r="BC23" s="16">
        <v>1</v>
      </c>
      <c r="BD23" s="16">
        <v>0</v>
      </c>
      <c r="BE23" s="16">
        <v>2</v>
      </c>
      <c r="BF23" s="16">
        <v>0</v>
      </c>
      <c r="BG23" s="16">
        <v>4</v>
      </c>
      <c r="BH23" s="16">
        <v>0</v>
      </c>
      <c r="BI23" s="16">
        <v>2</v>
      </c>
      <c r="BJ23" s="16">
        <v>2</v>
      </c>
      <c r="BK23" s="16">
        <v>2</v>
      </c>
      <c r="BL23" s="16">
        <v>0</v>
      </c>
      <c r="BM23" s="16">
        <v>1</v>
      </c>
      <c r="BN23" s="16">
        <v>0</v>
      </c>
      <c r="BO23" s="16">
        <v>3</v>
      </c>
      <c r="BP23" s="16">
        <v>2</v>
      </c>
      <c r="BQ23" s="16">
        <v>2</v>
      </c>
      <c r="BR23" s="16">
        <v>0</v>
      </c>
      <c r="BS23" s="16">
        <v>2</v>
      </c>
      <c r="BT23" s="16">
        <v>2</v>
      </c>
      <c r="BU23" s="16">
        <v>0</v>
      </c>
      <c r="BV23" s="16">
        <v>1</v>
      </c>
      <c r="BW23" s="16">
        <v>1</v>
      </c>
      <c r="BX23" s="16">
        <v>0</v>
      </c>
      <c r="BY23" s="16">
        <v>3</v>
      </c>
      <c r="BZ23" s="16">
        <v>0</v>
      </c>
      <c r="CA23" s="16">
        <v>2</v>
      </c>
      <c r="CB23" s="16">
        <v>1</v>
      </c>
      <c r="CC23" s="16">
        <v>0</v>
      </c>
      <c r="CD23" s="16">
        <v>2</v>
      </c>
      <c r="CE23" s="16">
        <v>2</v>
      </c>
      <c r="CF23" s="16">
        <v>2</v>
      </c>
      <c r="CG23" s="16">
        <v>3</v>
      </c>
      <c r="CH23" s="16">
        <v>0</v>
      </c>
      <c r="CI23" s="16">
        <v>2</v>
      </c>
      <c r="CJ23" s="16">
        <v>0</v>
      </c>
      <c r="CK23" s="16">
        <v>0</v>
      </c>
      <c r="CL23" s="16">
        <v>2</v>
      </c>
      <c r="CM23" s="16">
        <v>2</v>
      </c>
      <c r="CN23" s="16">
        <v>1</v>
      </c>
      <c r="CO23" s="16">
        <v>0</v>
      </c>
      <c r="CP23" s="16">
        <v>2</v>
      </c>
      <c r="CQ23" s="16">
        <v>3</v>
      </c>
      <c r="CR23" s="16">
        <v>0</v>
      </c>
      <c r="CS23" s="16">
        <v>2</v>
      </c>
      <c r="CT23" s="16">
        <v>0</v>
      </c>
      <c r="CU23" s="16">
        <v>2</v>
      </c>
      <c r="CV23" s="16">
        <v>2</v>
      </c>
      <c r="CW23" s="16">
        <v>2</v>
      </c>
      <c r="CX23" s="16">
        <v>0</v>
      </c>
      <c r="CY23" s="16">
        <v>1</v>
      </c>
      <c r="CZ23" s="16">
        <v>1</v>
      </c>
      <c r="DA23" s="16">
        <v>1</v>
      </c>
      <c r="DB23" s="16">
        <v>0</v>
      </c>
      <c r="DC23" s="16">
        <v>2</v>
      </c>
      <c r="DD23" s="16">
        <v>2</v>
      </c>
      <c r="DE23" s="16">
        <v>0</v>
      </c>
      <c r="DF23" s="16">
        <v>1</v>
      </c>
      <c r="DG23" s="16">
        <v>0</v>
      </c>
      <c r="DH23" s="16">
        <v>2</v>
      </c>
      <c r="DI23" s="16">
        <v>1</v>
      </c>
      <c r="DJ23" s="16">
        <v>2</v>
      </c>
      <c r="DK23" s="16">
        <v>1</v>
      </c>
      <c r="DL23" s="16">
        <v>2</v>
      </c>
      <c r="DM23" s="16">
        <v>0</v>
      </c>
      <c r="DN23" s="16">
        <v>2</v>
      </c>
      <c r="DO23" s="16">
        <v>2</v>
      </c>
      <c r="DP23" s="16">
        <v>1</v>
      </c>
      <c r="DQ23" s="16">
        <v>2</v>
      </c>
      <c r="DR23" s="16">
        <v>0</v>
      </c>
      <c r="DS23" s="16">
        <v>1</v>
      </c>
      <c r="DT23" s="16">
        <v>3</v>
      </c>
      <c r="DU23" s="16">
        <v>2</v>
      </c>
      <c r="DV23" s="16">
        <v>0</v>
      </c>
      <c r="DW23" s="16">
        <v>1</v>
      </c>
      <c r="DX23" s="16">
        <v>0</v>
      </c>
      <c r="DY23" s="16">
        <v>0</v>
      </c>
      <c r="DZ23" s="16">
        <v>4</v>
      </c>
      <c r="EA23" s="16">
        <v>1</v>
      </c>
      <c r="EB23" s="16">
        <v>0</v>
      </c>
      <c r="EC23" s="16">
        <v>0</v>
      </c>
      <c r="ED23" s="16">
        <v>2</v>
      </c>
      <c r="EE23" s="16">
        <v>0</v>
      </c>
      <c r="EF23" s="16">
        <v>4</v>
      </c>
      <c r="EG23" s="16">
        <v>2</v>
      </c>
      <c r="EH23" s="16">
        <v>1</v>
      </c>
      <c r="EI23" s="16">
        <v>1</v>
      </c>
      <c r="EJ23" s="16">
        <v>1</v>
      </c>
      <c r="EK23" s="16">
        <v>0</v>
      </c>
      <c r="EL23" s="16">
        <v>3</v>
      </c>
      <c r="EM23" s="16">
        <v>1</v>
      </c>
      <c r="EN23" s="16">
        <v>2</v>
      </c>
      <c r="EO23" s="16">
        <v>0</v>
      </c>
      <c r="EP23" s="16">
        <v>0</v>
      </c>
    </row>
    <row r="24" spans="1:146" ht="14.25" customHeight="1" x14ac:dyDescent="0.25">
      <c r="A24" s="15">
        <v>24</v>
      </c>
      <c r="B24" s="4" t="s">
        <v>50</v>
      </c>
      <c r="C24" s="3">
        <v>5</v>
      </c>
      <c r="D24" s="3">
        <v>2</v>
      </c>
      <c r="E24" s="3">
        <v>1</v>
      </c>
      <c r="F24" s="3">
        <v>3</v>
      </c>
      <c r="G24" s="3">
        <v>0</v>
      </c>
      <c r="H24" s="3">
        <v>2</v>
      </c>
      <c r="I24" s="3">
        <v>1</v>
      </c>
      <c r="J24" s="3">
        <v>1</v>
      </c>
      <c r="K24" s="3">
        <v>0</v>
      </c>
      <c r="L24" s="3">
        <v>3</v>
      </c>
      <c r="M24" s="3">
        <v>0</v>
      </c>
      <c r="N24" s="3">
        <v>1</v>
      </c>
      <c r="O24" s="3">
        <v>3</v>
      </c>
      <c r="P24" s="3">
        <v>2</v>
      </c>
      <c r="Q24" s="3">
        <v>0</v>
      </c>
      <c r="R24" s="3">
        <v>4</v>
      </c>
      <c r="S24" s="3">
        <v>2</v>
      </c>
      <c r="T24" s="3">
        <v>1</v>
      </c>
      <c r="U24" s="3">
        <v>6</v>
      </c>
      <c r="V24" s="3">
        <v>1</v>
      </c>
      <c r="W24" s="3">
        <v>0</v>
      </c>
      <c r="X24" s="3">
        <v>2</v>
      </c>
      <c r="Y24" s="3">
        <v>3</v>
      </c>
      <c r="Z24" s="3">
        <v>1</v>
      </c>
      <c r="AA24" s="3">
        <v>1</v>
      </c>
      <c r="AB24" s="3">
        <v>0</v>
      </c>
      <c r="AC24" s="3">
        <v>2</v>
      </c>
      <c r="AD24" s="3">
        <v>0</v>
      </c>
      <c r="AE24" s="3">
        <v>0</v>
      </c>
      <c r="AF24" s="3">
        <v>1</v>
      </c>
      <c r="AG24" s="3">
        <v>3</v>
      </c>
      <c r="AH24" s="3">
        <v>3</v>
      </c>
      <c r="AI24" s="3">
        <v>1</v>
      </c>
      <c r="AJ24" s="3">
        <v>1</v>
      </c>
      <c r="AK24" s="3">
        <v>0</v>
      </c>
      <c r="AL24" s="3">
        <v>3</v>
      </c>
      <c r="AM24" s="3">
        <v>1</v>
      </c>
      <c r="AN24" s="3">
        <v>2</v>
      </c>
      <c r="AO24" s="3">
        <v>4</v>
      </c>
      <c r="AP24" s="3">
        <v>1</v>
      </c>
      <c r="AQ24" s="3">
        <v>0</v>
      </c>
      <c r="AR24" s="3">
        <v>1</v>
      </c>
      <c r="AS24" s="3">
        <v>3</v>
      </c>
      <c r="AT24" s="3">
        <v>5</v>
      </c>
      <c r="AU24" s="3">
        <v>2</v>
      </c>
      <c r="AV24" s="3">
        <v>0</v>
      </c>
      <c r="AW24" s="3">
        <v>2</v>
      </c>
      <c r="AX24" s="3">
        <v>4</v>
      </c>
      <c r="AY24" s="3">
        <v>2</v>
      </c>
      <c r="AZ24" s="3">
        <v>1</v>
      </c>
      <c r="BA24" s="3">
        <v>2</v>
      </c>
      <c r="BB24" s="3">
        <v>0</v>
      </c>
      <c r="BC24" s="3">
        <v>3</v>
      </c>
      <c r="BD24" s="3">
        <v>0</v>
      </c>
      <c r="BE24" s="3">
        <v>1</v>
      </c>
      <c r="BF24" s="3">
        <v>1</v>
      </c>
      <c r="BG24" s="3">
        <v>4</v>
      </c>
      <c r="BH24" s="3">
        <v>0</v>
      </c>
      <c r="BI24" s="3">
        <v>1</v>
      </c>
      <c r="BJ24" s="3">
        <v>2</v>
      </c>
      <c r="BK24" s="3">
        <v>2</v>
      </c>
      <c r="BL24" s="3">
        <v>2</v>
      </c>
      <c r="BM24" s="3">
        <v>4</v>
      </c>
      <c r="BN24" s="3">
        <v>2</v>
      </c>
      <c r="BO24" s="3">
        <v>1</v>
      </c>
      <c r="BP24" s="3">
        <v>1</v>
      </c>
      <c r="BQ24" s="3">
        <v>6</v>
      </c>
      <c r="BR24" s="3">
        <v>2</v>
      </c>
      <c r="BS24" s="3">
        <v>2</v>
      </c>
      <c r="BT24" s="3">
        <v>0</v>
      </c>
      <c r="BU24" s="3">
        <v>0</v>
      </c>
      <c r="BV24" s="3">
        <v>3</v>
      </c>
      <c r="BW24" s="3">
        <v>3</v>
      </c>
      <c r="BX24" s="3">
        <v>1</v>
      </c>
      <c r="BY24" s="3">
        <v>3</v>
      </c>
      <c r="BZ24" s="3">
        <v>2</v>
      </c>
      <c r="CA24" s="3">
        <v>1</v>
      </c>
      <c r="CB24" s="3">
        <v>0</v>
      </c>
      <c r="CC24" s="3">
        <v>0</v>
      </c>
      <c r="CD24" s="3">
        <v>2</v>
      </c>
      <c r="CE24" s="3">
        <v>3</v>
      </c>
      <c r="CF24" s="3">
        <v>2</v>
      </c>
      <c r="CG24" s="3">
        <v>4</v>
      </c>
      <c r="CH24" s="3">
        <v>1</v>
      </c>
      <c r="CI24" s="3">
        <v>2</v>
      </c>
      <c r="CJ24" s="3">
        <v>0</v>
      </c>
      <c r="CK24" s="3">
        <v>0</v>
      </c>
      <c r="CL24" s="3">
        <v>2</v>
      </c>
      <c r="CM24" s="3">
        <v>3</v>
      </c>
      <c r="CN24" s="3">
        <v>0</v>
      </c>
      <c r="CO24" s="3">
        <v>1</v>
      </c>
      <c r="CP24" s="3">
        <v>3</v>
      </c>
      <c r="CQ24" s="3">
        <v>2</v>
      </c>
      <c r="CR24" s="3">
        <v>1</v>
      </c>
      <c r="CS24" s="3">
        <v>2</v>
      </c>
      <c r="CT24" s="3">
        <v>0</v>
      </c>
      <c r="CU24" s="3">
        <v>2</v>
      </c>
      <c r="CV24" s="3">
        <v>5</v>
      </c>
      <c r="CW24" s="3">
        <v>3</v>
      </c>
      <c r="CX24" s="3">
        <v>0</v>
      </c>
      <c r="CY24" s="3">
        <v>1</v>
      </c>
      <c r="CZ24" s="3">
        <v>0</v>
      </c>
      <c r="DA24" s="3">
        <v>3</v>
      </c>
      <c r="DB24" s="3">
        <v>1</v>
      </c>
      <c r="DC24" s="3">
        <v>1</v>
      </c>
      <c r="DD24" s="3">
        <v>0</v>
      </c>
      <c r="DE24" s="3">
        <v>0</v>
      </c>
      <c r="DF24" s="3">
        <v>2</v>
      </c>
      <c r="DG24" s="3">
        <v>1</v>
      </c>
      <c r="DH24" s="3">
        <v>4</v>
      </c>
      <c r="DI24" s="3">
        <v>2</v>
      </c>
      <c r="DJ24" s="3">
        <v>3</v>
      </c>
      <c r="DK24" s="3">
        <v>2</v>
      </c>
      <c r="DL24" s="3">
        <v>0</v>
      </c>
      <c r="DM24" s="3">
        <v>0</v>
      </c>
      <c r="DN24" s="3">
        <v>3</v>
      </c>
      <c r="DO24" s="3">
        <v>2</v>
      </c>
      <c r="DP24" s="3">
        <v>2</v>
      </c>
      <c r="DQ24" s="3">
        <v>1</v>
      </c>
      <c r="DR24" s="3">
        <v>2</v>
      </c>
      <c r="DS24" s="3">
        <v>1</v>
      </c>
      <c r="DT24" s="3">
        <v>3</v>
      </c>
      <c r="DU24" s="3">
        <v>2</v>
      </c>
      <c r="DV24" s="3">
        <v>0</v>
      </c>
      <c r="DW24" s="3">
        <v>2</v>
      </c>
      <c r="DX24" s="3">
        <v>2</v>
      </c>
      <c r="DY24" s="3">
        <v>1</v>
      </c>
      <c r="DZ24" s="3">
        <v>5</v>
      </c>
      <c r="EA24" s="3">
        <v>0</v>
      </c>
      <c r="EB24" s="3">
        <v>1</v>
      </c>
      <c r="EC24" s="3">
        <v>0</v>
      </c>
      <c r="ED24" s="3">
        <v>2</v>
      </c>
      <c r="EE24" s="3">
        <v>0</v>
      </c>
      <c r="EF24" s="3">
        <v>3</v>
      </c>
      <c r="EG24" s="3">
        <v>5</v>
      </c>
      <c r="EH24" s="3">
        <v>0</v>
      </c>
      <c r="EI24" s="3">
        <v>1</v>
      </c>
      <c r="EJ24" s="3">
        <v>2</v>
      </c>
      <c r="EK24" s="3">
        <v>0</v>
      </c>
      <c r="EL24" s="3">
        <v>3</v>
      </c>
      <c r="EM24" s="3">
        <v>1</v>
      </c>
      <c r="EN24" s="3">
        <v>0</v>
      </c>
      <c r="EO24" s="3">
        <v>2</v>
      </c>
      <c r="EP24" s="3">
        <v>1</v>
      </c>
    </row>
    <row r="25" spans="1:146" ht="14.25" customHeight="1" x14ac:dyDescent="0.25">
      <c r="A25" s="16">
        <v>25</v>
      </c>
      <c r="B25" s="17" t="s">
        <v>52</v>
      </c>
      <c r="C25" s="16">
        <v>3</v>
      </c>
      <c r="D25" s="16">
        <v>1</v>
      </c>
      <c r="E25" s="16">
        <v>1</v>
      </c>
      <c r="F25" s="16">
        <v>2</v>
      </c>
      <c r="G25" s="16">
        <v>2</v>
      </c>
      <c r="H25" s="16">
        <v>1</v>
      </c>
      <c r="I25" s="16">
        <v>2</v>
      </c>
      <c r="J25" s="16">
        <v>1</v>
      </c>
      <c r="K25" s="16">
        <v>1</v>
      </c>
      <c r="L25" s="16">
        <v>3</v>
      </c>
      <c r="M25" s="16">
        <v>1</v>
      </c>
      <c r="N25" s="16">
        <v>1</v>
      </c>
      <c r="O25" s="16">
        <v>3</v>
      </c>
      <c r="P25" s="16">
        <v>2</v>
      </c>
      <c r="Q25" s="16">
        <v>1</v>
      </c>
      <c r="R25" s="16">
        <v>2</v>
      </c>
      <c r="S25" s="16">
        <v>2</v>
      </c>
      <c r="T25" s="16">
        <v>2</v>
      </c>
      <c r="U25" s="16">
        <v>3</v>
      </c>
      <c r="V25" s="16">
        <v>1</v>
      </c>
      <c r="W25" s="16">
        <v>3</v>
      </c>
      <c r="X25" s="16">
        <v>1</v>
      </c>
      <c r="Y25" s="16">
        <v>2</v>
      </c>
      <c r="Z25" s="16">
        <v>1</v>
      </c>
      <c r="AA25" s="16">
        <v>1</v>
      </c>
      <c r="AB25" s="16">
        <v>3</v>
      </c>
      <c r="AC25" s="16">
        <v>5</v>
      </c>
      <c r="AD25" s="16">
        <v>1</v>
      </c>
      <c r="AE25" s="16">
        <v>2</v>
      </c>
      <c r="AF25" s="16">
        <v>1</v>
      </c>
      <c r="AG25" s="16">
        <v>3</v>
      </c>
      <c r="AH25" s="16">
        <v>2</v>
      </c>
      <c r="AI25" s="16">
        <v>4</v>
      </c>
      <c r="AJ25" s="16">
        <v>1</v>
      </c>
      <c r="AK25" s="16">
        <v>1</v>
      </c>
      <c r="AL25" s="16">
        <v>3</v>
      </c>
      <c r="AM25" s="16">
        <v>3</v>
      </c>
      <c r="AN25" s="16">
        <v>1</v>
      </c>
      <c r="AO25" s="16">
        <v>2</v>
      </c>
      <c r="AP25" s="16">
        <v>1</v>
      </c>
      <c r="AQ25" s="16">
        <v>1</v>
      </c>
      <c r="AR25" s="16">
        <v>2</v>
      </c>
      <c r="AS25" s="16">
        <v>3</v>
      </c>
      <c r="AT25" s="16">
        <v>1</v>
      </c>
      <c r="AU25" s="16">
        <v>5</v>
      </c>
      <c r="AV25" s="16">
        <v>1</v>
      </c>
      <c r="AW25" s="16">
        <v>2</v>
      </c>
      <c r="AX25" s="16">
        <v>3</v>
      </c>
      <c r="AY25" s="16">
        <v>2</v>
      </c>
      <c r="AZ25" s="16">
        <v>1</v>
      </c>
      <c r="BA25" s="16">
        <v>2</v>
      </c>
      <c r="BB25" s="16">
        <v>1</v>
      </c>
      <c r="BC25" s="16">
        <v>2</v>
      </c>
      <c r="BD25" s="16">
        <v>0</v>
      </c>
      <c r="BE25" s="16">
        <v>3</v>
      </c>
      <c r="BF25" s="16">
        <v>1</v>
      </c>
      <c r="BG25" s="16">
        <v>4</v>
      </c>
      <c r="BH25" s="16">
        <v>1</v>
      </c>
      <c r="BI25" s="16">
        <v>2</v>
      </c>
      <c r="BJ25" s="16">
        <v>1</v>
      </c>
      <c r="BK25" s="16">
        <v>1</v>
      </c>
      <c r="BL25" s="16">
        <v>2</v>
      </c>
      <c r="BM25" s="16">
        <v>2</v>
      </c>
      <c r="BN25" s="16">
        <v>0</v>
      </c>
      <c r="BO25" s="16">
        <v>3</v>
      </c>
      <c r="BP25" s="16">
        <v>1</v>
      </c>
      <c r="BQ25" s="16">
        <v>2</v>
      </c>
      <c r="BR25" s="16">
        <v>1</v>
      </c>
      <c r="BS25" s="16">
        <v>3</v>
      </c>
      <c r="BT25" s="16">
        <v>2</v>
      </c>
      <c r="BU25" s="16">
        <v>2</v>
      </c>
      <c r="BV25" s="16">
        <v>1</v>
      </c>
      <c r="BW25" s="16">
        <v>3</v>
      </c>
      <c r="BX25" s="16">
        <v>1</v>
      </c>
      <c r="BY25" s="16">
        <v>4</v>
      </c>
      <c r="BZ25" s="16">
        <v>1</v>
      </c>
      <c r="CA25" s="16">
        <v>3</v>
      </c>
      <c r="CB25" s="16">
        <v>1</v>
      </c>
      <c r="CC25" s="16">
        <v>0</v>
      </c>
      <c r="CD25" s="16">
        <v>2</v>
      </c>
      <c r="CE25" s="16">
        <v>3</v>
      </c>
      <c r="CF25" s="16">
        <v>1</v>
      </c>
      <c r="CG25" s="16">
        <v>3</v>
      </c>
      <c r="CH25" s="16">
        <v>0</v>
      </c>
      <c r="CI25" s="16">
        <v>3</v>
      </c>
      <c r="CJ25" s="16">
        <v>1</v>
      </c>
      <c r="CK25" s="16">
        <v>1</v>
      </c>
      <c r="CL25" s="16">
        <v>2</v>
      </c>
      <c r="CM25" s="16">
        <v>3</v>
      </c>
      <c r="CN25" s="16">
        <v>1</v>
      </c>
      <c r="CO25" s="16">
        <v>2</v>
      </c>
      <c r="CP25" s="16">
        <v>2</v>
      </c>
      <c r="CQ25" s="16">
        <v>3</v>
      </c>
      <c r="CR25" s="16">
        <v>1</v>
      </c>
      <c r="CS25" s="16">
        <v>3</v>
      </c>
      <c r="CT25" s="16">
        <v>1</v>
      </c>
      <c r="CU25" s="16">
        <v>1</v>
      </c>
      <c r="CV25" s="16">
        <v>3</v>
      </c>
      <c r="CW25" s="16">
        <v>4</v>
      </c>
      <c r="CX25" s="16">
        <v>1</v>
      </c>
      <c r="CY25" s="16">
        <v>1</v>
      </c>
      <c r="CZ25" s="16">
        <v>2</v>
      </c>
      <c r="DA25" s="16">
        <v>2</v>
      </c>
      <c r="DB25" s="16">
        <v>1</v>
      </c>
      <c r="DC25" s="16">
        <v>2</v>
      </c>
      <c r="DD25" s="16">
        <v>3</v>
      </c>
      <c r="DE25" s="16">
        <v>1</v>
      </c>
      <c r="DF25" s="16">
        <v>1</v>
      </c>
      <c r="DG25" s="16">
        <v>1</v>
      </c>
      <c r="DH25" s="16">
        <v>2</v>
      </c>
      <c r="DI25" s="16">
        <v>2</v>
      </c>
      <c r="DJ25" s="16">
        <v>1</v>
      </c>
      <c r="DK25" s="16">
        <v>2</v>
      </c>
      <c r="DL25" s="16">
        <v>1</v>
      </c>
      <c r="DM25" s="16">
        <v>0</v>
      </c>
      <c r="DN25" s="16">
        <v>1</v>
      </c>
      <c r="DO25" s="16">
        <v>0</v>
      </c>
      <c r="DP25" s="16">
        <v>2</v>
      </c>
      <c r="DQ25" s="16">
        <v>2</v>
      </c>
      <c r="DR25" s="16">
        <v>2</v>
      </c>
      <c r="DS25" s="16">
        <v>2</v>
      </c>
      <c r="DT25" s="16">
        <v>3</v>
      </c>
      <c r="DU25" s="16">
        <v>2</v>
      </c>
      <c r="DV25" s="16">
        <v>1</v>
      </c>
      <c r="DW25" s="16">
        <v>2</v>
      </c>
      <c r="DX25" s="16">
        <v>1</v>
      </c>
      <c r="DY25" s="16">
        <v>1</v>
      </c>
      <c r="DZ25" s="16">
        <v>3</v>
      </c>
      <c r="EA25" s="16">
        <v>0</v>
      </c>
      <c r="EB25" s="16">
        <v>3</v>
      </c>
      <c r="EC25" s="16">
        <v>2</v>
      </c>
      <c r="ED25" s="16">
        <v>3</v>
      </c>
      <c r="EE25" s="16">
        <v>1</v>
      </c>
      <c r="EF25" s="16">
        <v>5</v>
      </c>
      <c r="EG25" s="16">
        <v>3</v>
      </c>
      <c r="EH25" s="16">
        <v>1</v>
      </c>
      <c r="EI25" s="16">
        <v>1</v>
      </c>
      <c r="EJ25" s="16">
        <v>1</v>
      </c>
      <c r="EK25" s="16">
        <v>1</v>
      </c>
      <c r="EL25" s="16">
        <v>4</v>
      </c>
      <c r="EM25" s="16">
        <v>2</v>
      </c>
      <c r="EN25" s="16">
        <v>3</v>
      </c>
      <c r="EO25" s="16">
        <v>1</v>
      </c>
      <c r="EP25" s="16">
        <v>3</v>
      </c>
    </row>
    <row r="26" spans="1:146" ht="14.25" customHeight="1" x14ac:dyDescent="0.25">
      <c r="A26" s="15">
        <v>26</v>
      </c>
      <c r="B26" s="4" t="s">
        <v>54</v>
      </c>
      <c r="C26" s="3">
        <v>2</v>
      </c>
      <c r="D26" s="3">
        <v>1</v>
      </c>
      <c r="E26" s="3">
        <v>2</v>
      </c>
      <c r="F26" s="3">
        <v>0</v>
      </c>
      <c r="G26" s="3">
        <v>3</v>
      </c>
      <c r="H26" s="3">
        <v>0</v>
      </c>
      <c r="I26" s="3">
        <v>2</v>
      </c>
      <c r="J26" s="3">
        <v>1</v>
      </c>
      <c r="K26" s="3">
        <v>0</v>
      </c>
      <c r="L26" s="3">
        <v>2</v>
      </c>
      <c r="M26" s="3">
        <v>2</v>
      </c>
      <c r="N26" s="3">
        <v>0</v>
      </c>
      <c r="O26" s="3">
        <v>2</v>
      </c>
      <c r="P26" s="3">
        <v>2</v>
      </c>
      <c r="Q26" s="3">
        <v>0</v>
      </c>
      <c r="R26" s="3">
        <v>2</v>
      </c>
      <c r="S26" s="3">
        <v>2</v>
      </c>
      <c r="T26" s="3">
        <v>1</v>
      </c>
      <c r="U26" s="3">
        <v>3</v>
      </c>
      <c r="V26" s="3">
        <v>1</v>
      </c>
      <c r="W26" s="3">
        <v>4</v>
      </c>
      <c r="X26" s="3">
        <v>0</v>
      </c>
      <c r="Y26" s="3">
        <v>2</v>
      </c>
      <c r="Z26" s="3">
        <v>0</v>
      </c>
      <c r="AA26" s="3">
        <v>1</v>
      </c>
      <c r="AB26" s="3">
        <v>3</v>
      </c>
      <c r="AC26" s="3">
        <v>3</v>
      </c>
      <c r="AD26" s="3">
        <v>1</v>
      </c>
      <c r="AE26" s="3">
        <v>0</v>
      </c>
      <c r="AF26" s="3">
        <v>2</v>
      </c>
      <c r="AG26" s="3">
        <v>3</v>
      </c>
      <c r="AH26" s="3">
        <v>1</v>
      </c>
      <c r="AI26" s="3">
        <v>3</v>
      </c>
      <c r="AJ26" s="3">
        <v>1</v>
      </c>
      <c r="AK26" s="3">
        <v>1</v>
      </c>
      <c r="AL26" s="3">
        <v>2</v>
      </c>
      <c r="AM26" s="3">
        <v>3</v>
      </c>
      <c r="AN26" s="3">
        <v>1</v>
      </c>
      <c r="AO26" s="3">
        <v>1</v>
      </c>
      <c r="AP26" s="3">
        <v>0</v>
      </c>
      <c r="AQ26" s="3">
        <v>3</v>
      </c>
      <c r="AR26" s="3">
        <v>2</v>
      </c>
      <c r="AS26" s="3">
        <v>1</v>
      </c>
      <c r="AT26" s="3">
        <v>1</v>
      </c>
      <c r="AU26" s="3">
        <v>2</v>
      </c>
      <c r="AV26" s="3">
        <v>0</v>
      </c>
      <c r="AW26" s="3">
        <v>0</v>
      </c>
      <c r="AX26" s="3">
        <v>2</v>
      </c>
      <c r="AY26" s="3">
        <v>0</v>
      </c>
      <c r="AZ26" s="3">
        <v>1</v>
      </c>
      <c r="BA26" s="3">
        <v>2</v>
      </c>
      <c r="BB26" s="3">
        <v>1</v>
      </c>
      <c r="BC26" s="3">
        <v>3</v>
      </c>
      <c r="BD26" s="3">
        <v>1</v>
      </c>
      <c r="BE26" s="3">
        <v>4</v>
      </c>
      <c r="BF26" s="3">
        <v>0</v>
      </c>
      <c r="BG26" s="3">
        <v>4</v>
      </c>
      <c r="BH26" s="3">
        <v>1</v>
      </c>
      <c r="BI26" s="3">
        <v>1</v>
      </c>
      <c r="BJ26" s="3">
        <v>1</v>
      </c>
      <c r="BK26" s="3">
        <v>0</v>
      </c>
      <c r="BL26" s="3">
        <v>2</v>
      </c>
      <c r="BM26" s="3">
        <v>1</v>
      </c>
      <c r="BN26" s="3">
        <v>1</v>
      </c>
      <c r="BO26" s="3">
        <v>2</v>
      </c>
      <c r="BP26" s="3">
        <v>1</v>
      </c>
      <c r="BQ26" s="3">
        <v>2</v>
      </c>
      <c r="BR26" s="3">
        <v>1</v>
      </c>
      <c r="BS26" s="3">
        <v>1</v>
      </c>
      <c r="BT26" s="3">
        <v>1</v>
      </c>
      <c r="BU26" s="3">
        <v>1</v>
      </c>
      <c r="BV26" s="3">
        <v>2</v>
      </c>
      <c r="BW26" s="3">
        <v>1</v>
      </c>
      <c r="BX26" s="3">
        <v>0</v>
      </c>
      <c r="BY26" s="3">
        <v>3</v>
      </c>
      <c r="BZ26" s="3">
        <v>0</v>
      </c>
      <c r="CA26" s="3">
        <v>2</v>
      </c>
      <c r="CB26" s="3">
        <v>0</v>
      </c>
      <c r="CC26" s="3">
        <v>3</v>
      </c>
      <c r="CD26" s="3">
        <v>1</v>
      </c>
      <c r="CE26" s="3">
        <v>1</v>
      </c>
      <c r="CF26" s="3">
        <v>1</v>
      </c>
      <c r="CG26" s="3">
        <v>2</v>
      </c>
      <c r="CH26" s="3">
        <v>0</v>
      </c>
      <c r="CI26" s="3">
        <v>1</v>
      </c>
      <c r="CJ26" s="3">
        <v>1</v>
      </c>
      <c r="CK26" s="3">
        <v>1</v>
      </c>
      <c r="CL26" s="3">
        <v>1</v>
      </c>
      <c r="CM26" s="3">
        <v>1</v>
      </c>
      <c r="CN26" s="3">
        <v>1</v>
      </c>
      <c r="CO26" s="3">
        <v>0</v>
      </c>
      <c r="CP26" s="3">
        <v>4</v>
      </c>
      <c r="CQ26" s="3">
        <v>3</v>
      </c>
      <c r="CR26" s="3">
        <v>0</v>
      </c>
      <c r="CS26" s="3">
        <v>2</v>
      </c>
      <c r="CT26" s="3">
        <v>0</v>
      </c>
      <c r="CU26" s="3">
        <v>2</v>
      </c>
      <c r="CV26" s="3">
        <v>4</v>
      </c>
      <c r="CW26" s="3">
        <v>2</v>
      </c>
      <c r="CX26" s="3">
        <v>0</v>
      </c>
      <c r="CY26" s="3">
        <v>1</v>
      </c>
      <c r="CZ26" s="3">
        <v>1</v>
      </c>
      <c r="DA26" s="3">
        <v>1</v>
      </c>
      <c r="DB26" s="3">
        <v>2</v>
      </c>
      <c r="DC26" s="3">
        <v>0</v>
      </c>
      <c r="DD26" s="3">
        <v>3</v>
      </c>
      <c r="DE26" s="3">
        <v>1</v>
      </c>
      <c r="DF26" s="3">
        <v>0</v>
      </c>
      <c r="DG26" s="3">
        <v>1</v>
      </c>
      <c r="DH26" s="3">
        <v>3</v>
      </c>
      <c r="DI26" s="3">
        <v>1</v>
      </c>
      <c r="DJ26" s="3">
        <v>2</v>
      </c>
      <c r="DK26" s="3">
        <v>0</v>
      </c>
      <c r="DL26" s="3">
        <v>1</v>
      </c>
      <c r="DM26" s="3">
        <v>0</v>
      </c>
      <c r="DN26" s="3">
        <v>2</v>
      </c>
      <c r="DO26" s="3">
        <v>0</v>
      </c>
      <c r="DP26" s="3">
        <v>2</v>
      </c>
      <c r="DQ26" s="3">
        <v>1</v>
      </c>
      <c r="DR26" s="3">
        <v>2</v>
      </c>
      <c r="DS26" s="3">
        <v>3</v>
      </c>
      <c r="DT26" s="3">
        <v>3</v>
      </c>
      <c r="DU26" s="3">
        <v>2</v>
      </c>
      <c r="DV26" s="3">
        <v>1</v>
      </c>
      <c r="DW26" s="3">
        <v>1</v>
      </c>
      <c r="DX26" s="3">
        <v>1</v>
      </c>
      <c r="DY26" s="3">
        <v>3</v>
      </c>
      <c r="DZ26" s="3">
        <v>1</v>
      </c>
      <c r="EA26" s="3">
        <v>1</v>
      </c>
      <c r="EB26" s="3">
        <v>2</v>
      </c>
      <c r="EC26" s="3">
        <v>1</v>
      </c>
      <c r="ED26" s="3">
        <v>3</v>
      </c>
      <c r="EE26" s="3">
        <v>0</v>
      </c>
      <c r="EF26" s="3">
        <v>3</v>
      </c>
      <c r="EG26" s="3">
        <v>1</v>
      </c>
      <c r="EH26" s="3">
        <v>1</v>
      </c>
      <c r="EI26" s="3">
        <v>1</v>
      </c>
      <c r="EJ26" s="3">
        <v>2</v>
      </c>
      <c r="EK26" s="3">
        <v>0</v>
      </c>
      <c r="EL26" s="3">
        <v>2</v>
      </c>
      <c r="EM26" s="3">
        <v>1</v>
      </c>
      <c r="EN26" s="3">
        <v>1</v>
      </c>
      <c r="EO26" s="3">
        <v>1</v>
      </c>
      <c r="EP26" s="3">
        <v>2</v>
      </c>
    </row>
    <row r="27" spans="1:146" ht="14.25" customHeight="1" x14ac:dyDescent="0.25">
      <c r="A27" s="16">
        <v>27</v>
      </c>
      <c r="B27" s="17" t="s">
        <v>26</v>
      </c>
      <c r="C27" s="16">
        <v>2</v>
      </c>
      <c r="D27" s="16">
        <v>0</v>
      </c>
      <c r="E27" s="16">
        <v>1</v>
      </c>
      <c r="F27" s="16">
        <v>1</v>
      </c>
      <c r="G27" s="16">
        <v>2</v>
      </c>
      <c r="H27" s="16">
        <v>1</v>
      </c>
      <c r="I27" s="16">
        <v>2</v>
      </c>
      <c r="J27" s="16">
        <v>1</v>
      </c>
      <c r="K27" s="16">
        <v>0</v>
      </c>
      <c r="L27" s="16">
        <v>3</v>
      </c>
      <c r="M27" s="16">
        <v>1</v>
      </c>
      <c r="N27" s="16">
        <v>1</v>
      </c>
      <c r="O27" s="16">
        <v>3</v>
      </c>
      <c r="P27" s="16">
        <v>2</v>
      </c>
      <c r="Q27" s="16">
        <v>0</v>
      </c>
      <c r="R27" s="16">
        <v>2</v>
      </c>
      <c r="S27" s="16">
        <v>2</v>
      </c>
      <c r="T27" s="16">
        <v>2</v>
      </c>
      <c r="U27" s="16">
        <v>4</v>
      </c>
      <c r="V27" s="16">
        <v>0</v>
      </c>
      <c r="W27" s="16">
        <v>2</v>
      </c>
      <c r="X27" s="16">
        <v>2</v>
      </c>
      <c r="Y27" s="16">
        <v>2</v>
      </c>
      <c r="Z27" s="16">
        <v>0</v>
      </c>
      <c r="AA27" s="16">
        <v>0</v>
      </c>
      <c r="AB27" s="16">
        <v>2</v>
      </c>
      <c r="AC27" s="16">
        <v>3</v>
      </c>
      <c r="AD27" s="16">
        <v>0</v>
      </c>
      <c r="AE27" s="16">
        <v>1</v>
      </c>
      <c r="AF27" s="16">
        <v>1</v>
      </c>
      <c r="AG27" s="16">
        <v>2</v>
      </c>
      <c r="AH27" s="16">
        <v>0</v>
      </c>
      <c r="AI27" s="16">
        <v>2</v>
      </c>
      <c r="AJ27" s="16">
        <v>1</v>
      </c>
      <c r="AK27" s="16">
        <v>0</v>
      </c>
      <c r="AL27" s="16">
        <v>2</v>
      </c>
      <c r="AM27" s="16">
        <v>3</v>
      </c>
      <c r="AN27" s="16">
        <v>0</v>
      </c>
      <c r="AO27" s="16">
        <v>2</v>
      </c>
      <c r="AP27" s="16">
        <v>0</v>
      </c>
      <c r="AQ27" s="16">
        <v>1</v>
      </c>
      <c r="AR27" s="16">
        <v>1</v>
      </c>
      <c r="AS27" s="16">
        <v>2</v>
      </c>
      <c r="AT27" s="16">
        <v>1</v>
      </c>
      <c r="AU27" s="16">
        <v>3</v>
      </c>
      <c r="AV27" s="16">
        <v>0</v>
      </c>
      <c r="AW27" s="16">
        <v>0</v>
      </c>
      <c r="AX27" s="16">
        <v>2</v>
      </c>
      <c r="AY27" s="16">
        <v>2</v>
      </c>
      <c r="AZ27" s="16">
        <v>1</v>
      </c>
      <c r="BA27" s="16">
        <v>2</v>
      </c>
      <c r="BB27" s="16">
        <v>0</v>
      </c>
      <c r="BC27" s="16">
        <v>2</v>
      </c>
      <c r="BD27" s="16">
        <v>0</v>
      </c>
      <c r="BE27" s="16">
        <v>2</v>
      </c>
      <c r="BF27" s="16">
        <v>1</v>
      </c>
      <c r="BG27" s="16">
        <v>5</v>
      </c>
      <c r="BH27" s="16">
        <v>0</v>
      </c>
      <c r="BI27" s="16">
        <v>1</v>
      </c>
      <c r="BJ27" s="16">
        <v>1</v>
      </c>
      <c r="BK27" s="16">
        <v>1</v>
      </c>
      <c r="BL27" s="16">
        <v>2</v>
      </c>
      <c r="BM27" s="16">
        <v>2</v>
      </c>
      <c r="BN27" s="16">
        <v>0</v>
      </c>
      <c r="BO27" s="16">
        <v>2</v>
      </c>
      <c r="BP27" s="16">
        <v>0</v>
      </c>
      <c r="BQ27" s="16">
        <v>2</v>
      </c>
      <c r="BR27" s="16">
        <v>0</v>
      </c>
      <c r="BS27" s="16">
        <v>2</v>
      </c>
      <c r="BT27" s="16">
        <v>1</v>
      </c>
      <c r="BU27" s="16">
        <v>1</v>
      </c>
      <c r="BV27" s="16">
        <v>2</v>
      </c>
      <c r="BW27" s="16">
        <v>3</v>
      </c>
      <c r="BX27" s="16">
        <v>0</v>
      </c>
      <c r="BY27" s="16">
        <v>2</v>
      </c>
      <c r="BZ27" s="16">
        <v>0</v>
      </c>
      <c r="CA27" s="16">
        <v>2</v>
      </c>
      <c r="CB27" s="16">
        <v>1</v>
      </c>
      <c r="CC27" s="16">
        <v>1</v>
      </c>
      <c r="CD27" s="16">
        <v>1</v>
      </c>
      <c r="CE27" s="16">
        <v>2</v>
      </c>
      <c r="CF27" s="16">
        <v>0</v>
      </c>
      <c r="CG27" s="16">
        <v>3</v>
      </c>
      <c r="CH27" s="16">
        <v>0</v>
      </c>
      <c r="CI27" s="16">
        <v>3</v>
      </c>
      <c r="CJ27" s="16">
        <v>0</v>
      </c>
      <c r="CK27" s="16">
        <v>1</v>
      </c>
      <c r="CL27" s="16">
        <v>1</v>
      </c>
      <c r="CM27" s="16">
        <v>3</v>
      </c>
      <c r="CN27" s="16">
        <v>1</v>
      </c>
      <c r="CO27" s="16">
        <v>1</v>
      </c>
      <c r="CP27" s="16">
        <v>2</v>
      </c>
      <c r="CQ27" s="16">
        <v>2</v>
      </c>
      <c r="CR27" s="16">
        <v>0</v>
      </c>
      <c r="CS27" s="16">
        <v>3</v>
      </c>
      <c r="CT27" s="16">
        <v>0</v>
      </c>
      <c r="CU27" s="16">
        <v>0</v>
      </c>
      <c r="CV27" s="16">
        <v>3</v>
      </c>
      <c r="CW27" s="16">
        <v>3</v>
      </c>
      <c r="CX27" s="16">
        <v>0</v>
      </c>
      <c r="CY27" s="16">
        <v>1</v>
      </c>
      <c r="CZ27" s="16">
        <v>2</v>
      </c>
      <c r="DA27" s="16">
        <v>1</v>
      </c>
      <c r="DB27" s="16">
        <v>1</v>
      </c>
      <c r="DC27" s="16">
        <v>1</v>
      </c>
      <c r="DD27" s="16">
        <v>2</v>
      </c>
      <c r="DE27" s="16">
        <v>0</v>
      </c>
      <c r="DF27" s="16">
        <v>2</v>
      </c>
      <c r="DG27" s="16">
        <v>0</v>
      </c>
      <c r="DH27" s="16">
        <v>2</v>
      </c>
      <c r="DI27" s="16">
        <v>1</v>
      </c>
      <c r="DJ27" s="16">
        <v>2</v>
      </c>
      <c r="DK27" s="16">
        <v>2</v>
      </c>
      <c r="DL27" s="16">
        <v>1</v>
      </c>
      <c r="DM27" s="16">
        <v>1</v>
      </c>
      <c r="DN27" s="16">
        <v>3</v>
      </c>
      <c r="DO27" s="16">
        <v>1</v>
      </c>
      <c r="DP27" s="16">
        <v>1</v>
      </c>
      <c r="DQ27" s="16">
        <v>2</v>
      </c>
      <c r="DR27" s="16">
        <v>1</v>
      </c>
      <c r="DS27" s="16">
        <v>1</v>
      </c>
      <c r="DT27" s="16">
        <v>2</v>
      </c>
      <c r="DU27" s="16">
        <v>2</v>
      </c>
      <c r="DV27" s="16">
        <v>0</v>
      </c>
      <c r="DW27" s="16">
        <v>1</v>
      </c>
      <c r="DX27" s="16">
        <v>1</v>
      </c>
      <c r="DY27" s="16">
        <v>0</v>
      </c>
      <c r="DZ27" s="16">
        <v>2</v>
      </c>
      <c r="EA27" s="16">
        <v>1</v>
      </c>
      <c r="EB27" s="16">
        <v>1</v>
      </c>
      <c r="EC27" s="16">
        <v>1</v>
      </c>
      <c r="ED27" s="16">
        <v>2</v>
      </c>
      <c r="EE27" s="16">
        <v>0</v>
      </c>
      <c r="EF27" s="16">
        <v>3</v>
      </c>
      <c r="EG27" s="16">
        <v>2</v>
      </c>
      <c r="EH27" s="16">
        <v>1</v>
      </c>
      <c r="EI27" s="16">
        <v>1</v>
      </c>
      <c r="EJ27" s="16">
        <v>2</v>
      </c>
      <c r="EK27" s="16">
        <v>0</v>
      </c>
      <c r="EL27" s="16">
        <v>3</v>
      </c>
      <c r="EM27" s="16">
        <v>1</v>
      </c>
      <c r="EN27" s="16">
        <v>2</v>
      </c>
      <c r="EO27" s="16">
        <v>2</v>
      </c>
      <c r="EP27" s="16">
        <v>1</v>
      </c>
    </row>
    <row r="28" spans="1:146" ht="14.25" customHeight="1" x14ac:dyDescent="0.25">
      <c r="A28" s="15">
        <v>28</v>
      </c>
      <c r="B28" s="4" t="s">
        <v>47</v>
      </c>
      <c r="C28" s="3">
        <v>2</v>
      </c>
      <c r="D28" s="3">
        <v>0</v>
      </c>
      <c r="E28" s="3">
        <v>1</v>
      </c>
      <c r="F28" s="3">
        <v>1</v>
      </c>
      <c r="G28" s="3">
        <v>1</v>
      </c>
      <c r="H28" s="3">
        <v>2</v>
      </c>
      <c r="I28" s="3">
        <v>2</v>
      </c>
      <c r="J28" s="3">
        <v>1</v>
      </c>
      <c r="K28" s="3">
        <v>0</v>
      </c>
      <c r="L28" s="3">
        <v>2</v>
      </c>
      <c r="M28" s="3">
        <v>1</v>
      </c>
      <c r="N28" s="3">
        <v>1</v>
      </c>
      <c r="O28" s="3">
        <v>3</v>
      </c>
      <c r="P28" s="3">
        <v>1</v>
      </c>
      <c r="Q28" s="3">
        <v>0</v>
      </c>
      <c r="R28" s="3">
        <v>2</v>
      </c>
      <c r="S28" s="3">
        <v>2</v>
      </c>
      <c r="T28" s="3">
        <v>2</v>
      </c>
      <c r="U28" s="3">
        <v>4</v>
      </c>
      <c r="V28" s="3">
        <v>0</v>
      </c>
      <c r="W28" s="3">
        <v>2</v>
      </c>
      <c r="X28" s="3">
        <v>1</v>
      </c>
      <c r="Y28" s="3">
        <v>1</v>
      </c>
      <c r="Z28" s="3">
        <v>0</v>
      </c>
      <c r="AA28" s="3">
        <v>0</v>
      </c>
      <c r="AB28" s="3">
        <v>2</v>
      </c>
      <c r="AC28" s="3">
        <v>3</v>
      </c>
      <c r="AD28" s="3">
        <v>0</v>
      </c>
      <c r="AE28" s="3">
        <v>1</v>
      </c>
      <c r="AF28" s="3">
        <v>1</v>
      </c>
      <c r="AG28" s="3">
        <v>2</v>
      </c>
      <c r="AH28" s="3">
        <v>0</v>
      </c>
      <c r="AI28" s="3">
        <v>2</v>
      </c>
      <c r="AJ28" s="3">
        <v>1</v>
      </c>
      <c r="AK28" s="3">
        <v>0</v>
      </c>
      <c r="AL28" s="3">
        <v>2</v>
      </c>
      <c r="AM28" s="3">
        <v>2</v>
      </c>
      <c r="AN28" s="3">
        <v>0</v>
      </c>
      <c r="AO28" s="3">
        <v>2</v>
      </c>
      <c r="AP28" s="3">
        <v>1</v>
      </c>
      <c r="AQ28" s="3">
        <v>1</v>
      </c>
      <c r="AR28" s="3">
        <v>0</v>
      </c>
      <c r="AS28" s="3">
        <v>2</v>
      </c>
      <c r="AT28" s="3">
        <v>2</v>
      </c>
      <c r="AU28" s="3">
        <v>3</v>
      </c>
      <c r="AV28" s="3">
        <v>1</v>
      </c>
      <c r="AW28" s="3">
        <v>1</v>
      </c>
      <c r="AX28" s="3">
        <v>2</v>
      </c>
      <c r="AY28" s="3">
        <v>2</v>
      </c>
      <c r="AZ28" s="3">
        <v>1</v>
      </c>
      <c r="BA28" s="3">
        <v>1</v>
      </c>
      <c r="BB28" s="3">
        <v>1</v>
      </c>
      <c r="BC28" s="3">
        <v>2</v>
      </c>
      <c r="BD28" s="3">
        <v>0</v>
      </c>
      <c r="BE28" s="3">
        <v>2</v>
      </c>
      <c r="BF28" s="3">
        <v>1</v>
      </c>
      <c r="BG28" s="3">
        <v>4</v>
      </c>
      <c r="BH28" s="3">
        <v>0</v>
      </c>
      <c r="BI28" s="3">
        <v>2</v>
      </c>
      <c r="BJ28" s="3">
        <v>2</v>
      </c>
      <c r="BK28" s="3">
        <v>1</v>
      </c>
      <c r="BL28" s="3">
        <v>1</v>
      </c>
      <c r="BM28" s="3">
        <v>2</v>
      </c>
      <c r="BN28" s="3">
        <v>0</v>
      </c>
      <c r="BO28" s="3">
        <v>2</v>
      </c>
      <c r="BP28" s="3">
        <v>1</v>
      </c>
      <c r="BQ28" s="3">
        <v>2</v>
      </c>
      <c r="BR28" s="3">
        <v>0</v>
      </c>
      <c r="BS28" s="3">
        <v>2</v>
      </c>
      <c r="BT28" s="3">
        <v>2</v>
      </c>
      <c r="BU28" s="3">
        <v>1</v>
      </c>
      <c r="BV28" s="3">
        <v>2</v>
      </c>
      <c r="BW28" s="3">
        <v>2</v>
      </c>
      <c r="BX28" s="3">
        <v>0</v>
      </c>
      <c r="BY28" s="3">
        <v>2</v>
      </c>
      <c r="BZ28" s="3">
        <v>1</v>
      </c>
      <c r="CA28" s="3">
        <v>2</v>
      </c>
      <c r="CB28" s="3">
        <v>1</v>
      </c>
      <c r="CC28" s="3">
        <v>1</v>
      </c>
      <c r="CD28" s="3">
        <v>2</v>
      </c>
      <c r="CE28" s="3">
        <v>1</v>
      </c>
      <c r="CF28" s="3">
        <v>1</v>
      </c>
      <c r="CG28" s="3">
        <v>3</v>
      </c>
      <c r="CH28" s="3">
        <v>0</v>
      </c>
      <c r="CI28" s="3">
        <v>2</v>
      </c>
      <c r="CJ28" s="3">
        <v>1</v>
      </c>
      <c r="CK28" s="3">
        <v>1</v>
      </c>
      <c r="CL28" s="3">
        <v>1</v>
      </c>
      <c r="CM28" s="3">
        <v>2</v>
      </c>
      <c r="CN28" s="3">
        <v>1</v>
      </c>
      <c r="CO28" s="3">
        <v>1</v>
      </c>
      <c r="CP28" s="3">
        <v>2</v>
      </c>
      <c r="CQ28" s="3">
        <v>2</v>
      </c>
      <c r="CR28" s="3">
        <v>0</v>
      </c>
      <c r="CS28" s="3">
        <v>2</v>
      </c>
      <c r="CT28" s="3">
        <v>1</v>
      </c>
      <c r="CU28" s="3">
        <v>0</v>
      </c>
      <c r="CV28" s="3">
        <v>2</v>
      </c>
      <c r="CW28" s="3">
        <v>2</v>
      </c>
      <c r="CX28" s="3">
        <v>0</v>
      </c>
      <c r="CY28" s="3">
        <v>2</v>
      </c>
      <c r="CZ28" s="3">
        <v>1</v>
      </c>
      <c r="DA28" s="3">
        <v>1</v>
      </c>
      <c r="DB28" s="3">
        <v>0</v>
      </c>
      <c r="DC28" s="3">
        <v>0</v>
      </c>
      <c r="DD28" s="3">
        <v>2</v>
      </c>
      <c r="DE28" s="3">
        <v>1</v>
      </c>
      <c r="DF28" s="3">
        <v>0</v>
      </c>
      <c r="DG28" s="3">
        <v>2</v>
      </c>
      <c r="DH28" s="3">
        <v>0</v>
      </c>
      <c r="DI28" s="3">
        <v>1</v>
      </c>
      <c r="DJ28" s="3">
        <v>2</v>
      </c>
      <c r="DK28" s="3">
        <v>2</v>
      </c>
      <c r="DL28" s="3">
        <v>1</v>
      </c>
      <c r="DM28" s="3">
        <v>0</v>
      </c>
      <c r="DN28" s="3">
        <v>2</v>
      </c>
      <c r="DO28" s="3">
        <v>2</v>
      </c>
      <c r="DP28" s="3">
        <v>1</v>
      </c>
      <c r="DQ28" s="3">
        <v>1</v>
      </c>
      <c r="DR28" s="3">
        <v>0</v>
      </c>
      <c r="DS28" s="3">
        <v>2</v>
      </c>
      <c r="DT28" s="3">
        <v>1</v>
      </c>
      <c r="DU28" s="3">
        <v>2</v>
      </c>
      <c r="DV28" s="3">
        <v>0</v>
      </c>
      <c r="DW28" s="3">
        <v>0</v>
      </c>
      <c r="DX28" s="3">
        <v>0</v>
      </c>
      <c r="DY28" s="3">
        <v>2</v>
      </c>
      <c r="DZ28" s="3">
        <v>0</v>
      </c>
      <c r="EA28" s="3">
        <v>1</v>
      </c>
      <c r="EB28" s="3">
        <v>0</v>
      </c>
      <c r="EC28" s="3">
        <v>1</v>
      </c>
      <c r="ED28" s="3">
        <v>2</v>
      </c>
      <c r="EE28" s="3">
        <v>3</v>
      </c>
      <c r="EF28" s="3">
        <v>1</v>
      </c>
      <c r="EG28" s="3">
        <v>0</v>
      </c>
      <c r="EH28" s="3">
        <v>1</v>
      </c>
      <c r="EI28" s="3">
        <v>2</v>
      </c>
      <c r="EJ28" s="3">
        <v>1</v>
      </c>
      <c r="EK28" s="3">
        <v>1</v>
      </c>
      <c r="EL28" s="3">
        <v>3</v>
      </c>
      <c r="EM28" s="3">
        <v>0</v>
      </c>
      <c r="EN28" s="3">
        <v>2</v>
      </c>
      <c r="EO28" s="3">
        <v>1</v>
      </c>
      <c r="EP28" s="3">
        <v>1</v>
      </c>
    </row>
    <row r="29" spans="1:146" ht="14.25" customHeight="1" x14ac:dyDescent="0.25">
      <c r="A29" s="16">
        <v>29</v>
      </c>
      <c r="B29" s="17" t="s">
        <v>58</v>
      </c>
      <c r="C29" s="16">
        <v>2</v>
      </c>
      <c r="D29" s="16">
        <v>0</v>
      </c>
      <c r="E29" s="16">
        <v>1</v>
      </c>
      <c r="F29" s="16">
        <v>1</v>
      </c>
      <c r="G29" s="16">
        <v>2</v>
      </c>
      <c r="H29" s="16">
        <v>1</v>
      </c>
      <c r="I29" s="16">
        <v>2</v>
      </c>
      <c r="J29" s="16">
        <v>1</v>
      </c>
      <c r="K29" s="16">
        <v>1</v>
      </c>
      <c r="L29" s="16">
        <v>2</v>
      </c>
      <c r="M29" s="16">
        <v>1</v>
      </c>
      <c r="N29" s="16">
        <v>2</v>
      </c>
      <c r="O29" s="16">
        <v>2</v>
      </c>
      <c r="P29" s="16">
        <v>1</v>
      </c>
      <c r="Q29" s="16">
        <v>0</v>
      </c>
      <c r="R29" s="16">
        <v>2</v>
      </c>
      <c r="S29" s="16">
        <v>1</v>
      </c>
      <c r="T29" s="16">
        <v>1</v>
      </c>
      <c r="U29" s="16">
        <v>3</v>
      </c>
      <c r="V29" s="16">
        <v>1</v>
      </c>
      <c r="W29" s="16">
        <v>2</v>
      </c>
      <c r="X29" s="16">
        <v>1</v>
      </c>
      <c r="Y29" s="16">
        <v>2</v>
      </c>
      <c r="Z29" s="16">
        <v>1</v>
      </c>
      <c r="AA29" s="16">
        <v>0</v>
      </c>
      <c r="AB29" s="16">
        <v>3</v>
      </c>
      <c r="AC29" s="16">
        <v>4</v>
      </c>
      <c r="AD29" s="16">
        <v>0</v>
      </c>
      <c r="AE29" s="16">
        <v>2</v>
      </c>
      <c r="AF29" s="16">
        <v>0</v>
      </c>
      <c r="AG29" s="16">
        <v>2</v>
      </c>
      <c r="AH29" s="16">
        <v>0</v>
      </c>
      <c r="AI29" s="16">
        <v>2</v>
      </c>
      <c r="AJ29" s="16">
        <v>2</v>
      </c>
      <c r="AK29" s="16">
        <v>0</v>
      </c>
      <c r="AL29" s="16">
        <v>2</v>
      </c>
      <c r="AM29" s="16">
        <v>3</v>
      </c>
      <c r="AN29" s="16">
        <v>0</v>
      </c>
      <c r="AO29" s="16">
        <v>2</v>
      </c>
      <c r="AP29" s="16">
        <v>0</v>
      </c>
      <c r="AQ29" s="16">
        <v>1</v>
      </c>
      <c r="AR29" s="16">
        <v>2</v>
      </c>
      <c r="AS29" s="16">
        <v>2</v>
      </c>
      <c r="AT29" s="16">
        <v>1</v>
      </c>
      <c r="AU29" s="16">
        <v>3</v>
      </c>
      <c r="AV29" s="16">
        <v>0</v>
      </c>
      <c r="AW29" s="16">
        <v>0</v>
      </c>
      <c r="AX29" s="16">
        <v>2</v>
      </c>
      <c r="AY29" s="16">
        <v>2</v>
      </c>
      <c r="AZ29" s="16">
        <v>1</v>
      </c>
      <c r="BA29" s="16">
        <v>2</v>
      </c>
      <c r="BB29" s="16">
        <v>0</v>
      </c>
      <c r="BC29" s="16">
        <v>2</v>
      </c>
      <c r="BD29" s="16">
        <v>0</v>
      </c>
      <c r="BE29" s="16">
        <v>2</v>
      </c>
      <c r="BF29" s="16">
        <v>1</v>
      </c>
      <c r="BG29" s="16">
        <v>5</v>
      </c>
      <c r="BH29" s="16">
        <v>0</v>
      </c>
      <c r="BI29" s="16">
        <v>0</v>
      </c>
      <c r="BJ29" s="16">
        <v>2</v>
      </c>
      <c r="BK29" s="16">
        <v>2</v>
      </c>
      <c r="BL29" s="16">
        <v>1</v>
      </c>
      <c r="BM29" s="16">
        <v>2</v>
      </c>
      <c r="BN29" s="16">
        <v>1</v>
      </c>
      <c r="BO29" s="16">
        <v>3</v>
      </c>
      <c r="BP29" s="16">
        <v>1</v>
      </c>
      <c r="BQ29" s="16">
        <v>3</v>
      </c>
      <c r="BR29" s="16">
        <v>2</v>
      </c>
      <c r="BS29" s="16">
        <v>2</v>
      </c>
      <c r="BT29" s="16">
        <v>2</v>
      </c>
      <c r="BU29" s="16">
        <v>1</v>
      </c>
      <c r="BV29" s="16">
        <v>2</v>
      </c>
      <c r="BW29" s="16">
        <v>3</v>
      </c>
      <c r="BX29" s="16">
        <v>1</v>
      </c>
      <c r="BY29" s="16">
        <v>4</v>
      </c>
      <c r="BZ29" s="16">
        <v>0</v>
      </c>
      <c r="CA29" s="16">
        <v>2</v>
      </c>
      <c r="CB29" s="16">
        <v>0</v>
      </c>
      <c r="CC29" s="16">
        <v>0</v>
      </c>
      <c r="CD29" s="16">
        <v>2</v>
      </c>
      <c r="CE29" s="16">
        <v>2</v>
      </c>
      <c r="CF29" s="16">
        <v>2</v>
      </c>
      <c r="CG29" s="16">
        <v>2</v>
      </c>
      <c r="CH29" s="16">
        <v>0</v>
      </c>
      <c r="CI29" s="16">
        <v>3</v>
      </c>
      <c r="CJ29" s="16">
        <v>1</v>
      </c>
      <c r="CK29" s="16">
        <v>1</v>
      </c>
      <c r="CL29" s="16">
        <v>1</v>
      </c>
      <c r="CM29" s="16">
        <v>3</v>
      </c>
      <c r="CN29" s="16">
        <v>1</v>
      </c>
      <c r="CO29" s="16">
        <v>2</v>
      </c>
      <c r="CP29" s="16">
        <v>2</v>
      </c>
      <c r="CQ29" s="16">
        <v>2</v>
      </c>
      <c r="CR29" s="16">
        <v>1</v>
      </c>
      <c r="CS29" s="16">
        <v>2</v>
      </c>
      <c r="CT29" s="16">
        <v>0</v>
      </c>
      <c r="CU29" s="16">
        <v>1</v>
      </c>
      <c r="CV29" s="16">
        <v>3</v>
      </c>
      <c r="CW29" s="16">
        <v>3</v>
      </c>
      <c r="CX29" s="16">
        <v>1</v>
      </c>
      <c r="CY29" s="16">
        <v>1</v>
      </c>
      <c r="CZ29" s="16">
        <v>2</v>
      </c>
      <c r="DA29" s="16">
        <v>2</v>
      </c>
      <c r="DB29" s="16">
        <v>1</v>
      </c>
      <c r="DC29" s="16">
        <v>2</v>
      </c>
      <c r="DD29" s="16">
        <v>1</v>
      </c>
      <c r="DE29" s="16">
        <v>1</v>
      </c>
      <c r="DF29" s="16">
        <v>2</v>
      </c>
      <c r="DG29" s="16">
        <v>2</v>
      </c>
      <c r="DH29" s="16">
        <v>2</v>
      </c>
      <c r="DI29" s="16">
        <v>2</v>
      </c>
      <c r="DJ29" s="16">
        <v>2</v>
      </c>
      <c r="DK29" s="16">
        <v>2</v>
      </c>
      <c r="DL29" s="16">
        <v>1</v>
      </c>
      <c r="DM29" s="16">
        <v>2</v>
      </c>
      <c r="DN29" s="16">
        <v>3</v>
      </c>
      <c r="DO29" s="16">
        <v>1</v>
      </c>
      <c r="DP29" s="16">
        <v>2</v>
      </c>
      <c r="DQ29" s="16">
        <v>2</v>
      </c>
      <c r="DR29" s="16">
        <v>2</v>
      </c>
      <c r="DS29" s="16">
        <v>2</v>
      </c>
      <c r="DT29" s="16">
        <v>1</v>
      </c>
      <c r="DU29" s="16">
        <v>2</v>
      </c>
      <c r="DV29" s="16">
        <v>3</v>
      </c>
      <c r="DW29" s="16">
        <v>1</v>
      </c>
      <c r="DX29" s="16">
        <v>2</v>
      </c>
      <c r="DY29" s="16">
        <v>2</v>
      </c>
      <c r="DZ29" s="16">
        <v>2</v>
      </c>
      <c r="EA29" s="16">
        <v>0</v>
      </c>
      <c r="EB29" s="16">
        <v>1</v>
      </c>
      <c r="EC29" s="16">
        <v>3</v>
      </c>
      <c r="ED29" s="16">
        <v>3</v>
      </c>
      <c r="EE29" s="16">
        <v>2</v>
      </c>
      <c r="EF29" s="16">
        <v>3</v>
      </c>
      <c r="EG29" s="16">
        <v>2</v>
      </c>
      <c r="EH29" s="16">
        <v>2</v>
      </c>
      <c r="EI29" s="16">
        <v>1</v>
      </c>
      <c r="EJ29" s="16">
        <v>3</v>
      </c>
      <c r="EK29" s="16">
        <v>1</v>
      </c>
      <c r="EL29" s="16">
        <v>3</v>
      </c>
      <c r="EM29" s="16">
        <v>2</v>
      </c>
      <c r="EN29" s="16">
        <v>1</v>
      </c>
      <c r="EO29" s="16">
        <v>1</v>
      </c>
      <c r="EP29" s="16">
        <v>1</v>
      </c>
    </row>
    <row r="30" spans="1:146" ht="14.25" customHeight="1" x14ac:dyDescent="0.25">
      <c r="A30" s="15">
        <v>30</v>
      </c>
      <c r="B30" s="4" t="s">
        <v>10</v>
      </c>
      <c r="C30" s="3">
        <v>2</v>
      </c>
      <c r="D30" s="3">
        <v>0</v>
      </c>
      <c r="E30" s="3">
        <v>2</v>
      </c>
      <c r="F30" s="3">
        <v>1</v>
      </c>
      <c r="G30" s="3">
        <v>1</v>
      </c>
      <c r="H30" s="3">
        <v>0</v>
      </c>
      <c r="I30" s="3">
        <v>2</v>
      </c>
      <c r="J30" s="3">
        <v>1</v>
      </c>
      <c r="K30" s="3">
        <v>1</v>
      </c>
      <c r="L30" s="3">
        <v>3</v>
      </c>
      <c r="M30" s="3">
        <v>0</v>
      </c>
      <c r="N30" s="3">
        <v>2</v>
      </c>
      <c r="O30" s="3">
        <v>2</v>
      </c>
      <c r="P30" s="3">
        <v>1</v>
      </c>
      <c r="Q30" s="3">
        <v>0</v>
      </c>
      <c r="R30" s="3">
        <v>4</v>
      </c>
      <c r="S30" s="3">
        <v>0</v>
      </c>
      <c r="T30" s="3">
        <v>2</v>
      </c>
      <c r="U30" s="3">
        <v>4</v>
      </c>
      <c r="V30" s="3">
        <v>0</v>
      </c>
      <c r="W30" s="3">
        <v>2</v>
      </c>
      <c r="X30" s="3">
        <v>2</v>
      </c>
      <c r="Y30" s="3">
        <v>2</v>
      </c>
      <c r="Z30" s="3">
        <v>0</v>
      </c>
      <c r="AA30" s="3">
        <v>0</v>
      </c>
      <c r="AB30" s="3">
        <v>2</v>
      </c>
      <c r="AC30" s="3">
        <v>7</v>
      </c>
      <c r="AD30" s="3">
        <v>0</v>
      </c>
      <c r="AE30" s="3">
        <v>2</v>
      </c>
      <c r="AF30" s="3">
        <v>0</v>
      </c>
      <c r="AG30" s="3">
        <v>2</v>
      </c>
      <c r="AH30" s="3">
        <v>1</v>
      </c>
      <c r="AI30" s="3">
        <v>3</v>
      </c>
      <c r="AJ30" s="3">
        <v>1</v>
      </c>
      <c r="AK30" s="3">
        <v>0</v>
      </c>
      <c r="AL30" s="3">
        <v>3</v>
      </c>
      <c r="AM30" s="3">
        <v>2</v>
      </c>
      <c r="AN30" s="3">
        <v>0</v>
      </c>
      <c r="AO30" s="3">
        <v>2</v>
      </c>
      <c r="AP30" s="3">
        <v>0</v>
      </c>
      <c r="AQ30" s="3">
        <v>1</v>
      </c>
      <c r="AR30" s="3">
        <v>2</v>
      </c>
      <c r="AS30" s="3">
        <v>4</v>
      </c>
      <c r="AT30" s="3">
        <v>2</v>
      </c>
      <c r="AU30" s="3">
        <v>3</v>
      </c>
      <c r="AV30" s="3">
        <v>1</v>
      </c>
      <c r="AW30" s="3">
        <v>0</v>
      </c>
      <c r="AX30" s="3">
        <v>5</v>
      </c>
      <c r="AY30" s="3">
        <v>0</v>
      </c>
      <c r="AZ30" s="3">
        <v>0</v>
      </c>
      <c r="BA30" s="3">
        <v>3</v>
      </c>
      <c r="BB30" s="3">
        <v>1</v>
      </c>
      <c r="BC30" s="3">
        <v>2</v>
      </c>
      <c r="BD30" s="3">
        <v>0</v>
      </c>
      <c r="BE30" s="3">
        <v>2</v>
      </c>
      <c r="BF30" s="3">
        <v>1</v>
      </c>
      <c r="BG30" s="3">
        <v>7</v>
      </c>
      <c r="BH30" s="3">
        <v>1</v>
      </c>
      <c r="BI30" s="3">
        <v>1</v>
      </c>
      <c r="BJ30" s="3">
        <v>3</v>
      </c>
      <c r="BK30" s="3">
        <v>2</v>
      </c>
      <c r="BL30" s="3">
        <v>2</v>
      </c>
      <c r="BM30" s="3">
        <v>2</v>
      </c>
      <c r="BN30" s="3">
        <v>0</v>
      </c>
      <c r="BO30" s="3">
        <v>3</v>
      </c>
      <c r="BP30" s="3">
        <v>1</v>
      </c>
      <c r="BQ30" s="3">
        <v>2</v>
      </c>
      <c r="BR30" s="3">
        <v>0</v>
      </c>
      <c r="BS30" s="3">
        <v>2</v>
      </c>
      <c r="BT30" s="3">
        <v>1</v>
      </c>
      <c r="BU30" s="3">
        <v>1</v>
      </c>
      <c r="BV30" s="3">
        <v>3</v>
      </c>
      <c r="BW30" s="3">
        <v>3</v>
      </c>
      <c r="BX30" s="3">
        <v>1</v>
      </c>
      <c r="BY30" s="3">
        <v>4</v>
      </c>
      <c r="BZ30" s="3">
        <v>0</v>
      </c>
      <c r="CA30" s="3">
        <v>2</v>
      </c>
      <c r="CB30" s="3">
        <v>1</v>
      </c>
      <c r="CC30" s="3">
        <v>0</v>
      </c>
      <c r="CD30" s="3">
        <v>3</v>
      </c>
      <c r="CE30" s="3">
        <v>2</v>
      </c>
      <c r="CF30" s="3">
        <v>2</v>
      </c>
      <c r="CG30" s="3">
        <v>4</v>
      </c>
      <c r="CH30" s="3">
        <v>0</v>
      </c>
      <c r="CI30" s="3">
        <v>2</v>
      </c>
      <c r="CJ30" s="3">
        <v>0</v>
      </c>
      <c r="CK30" s="3">
        <v>1</v>
      </c>
      <c r="CL30" s="3">
        <v>3</v>
      </c>
      <c r="CM30" s="3">
        <v>4</v>
      </c>
      <c r="CN30" s="3">
        <v>2</v>
      </c>
      <c r="CO30" s="3">
        <v>1</v>
      </c>
      <c r="CP30" s="3">
        <v>1</v>
      </c>
      <c r="CQ30" s="3">
        <v>5</v>
      </c>
      <c r="CR30" s="3">
        <v>0</v>
      </c>
      <c r="CS30" s="3">
        <v>3</v>
      </c>
      <c r="CT30" s="3">
        <v>0</v>
      </c>
      <c r="CU30" s="3">
        <v>0</v>
      </c>
      <c r="CV30" s="3">
        <v>3</v>
      </c>
      <c r="CW30" s="3">
        <v>4</v>
      </c>
      <c r="CX30" s="3">
        <v>0</v>
      </c>
      <c r="CY30" s="3">
        <v>2</v>
      </c>
      <c r="CZ30" s="3">
        <v>0</v>
      </c>
      <c r="DA30" s="3">
        <v>2</v>
      </c>
      <c r="DB30" s="3">
        <v>0</v>
      </c>
      <c r="DC30" s="3">
        <v>1</v>
      </c>
      <c r="DD30" s="3">
        <v>3</v>
      </c>
      <c r="DE30" s="3">
        <v>1</v>
      </c>
      <c r="DF30" s="3">
        <v>2</v>
      </c>
      <c r="DG30" s="3">
        <v>1</v>
      </c>
      <c r="DH30" s="3">
        <v>4</v>
      </c>
      <c r="DI30" s="3">
        <v>2</v>
      </c>
      <c r="DJ30" s="3">
        <v>3</v>
      </c>
      <c r="DK30" s="3">
        <v>3</v>
      </c>
      <c r="DL30" s="3">
        <v>1</v>
      </c>
      <c r="DM30" s="3">
        <v>0</v>
      </c>
      <c r="DN30" s="3">
        <v>3</v>
      </c>
      <c r="DO30" s="3">
        <v>2</v>
      </c>
      <c r="DP30" s="3">
        <v>3</v>
      </c>
      <c r="DQ30" s="3">
        <v>1</v>
      </c>
      <c r="DR30" s="3">
        <v>0</v>
      </c>
      <c r="DS30" s="3">
        <v>1</v>
      </c>
      <c r="DT30" s="3">
        <v>2</v>
      </c>
      <c r="DU30" s="3">
        <v>3</v>
      </c>
      <c r="DV30" s="3">
        <v>1</v>
      </c>
      <c r="DW30" s="3">
        <v>0</v>
      </c>
      <c r="DX30" s="3">
        <v>0</v>
      </c>
      <c r="DY30" s="3">
        <v>0</v>
      </c>
      <c r="DZ30" s="3">
        <v>3</v>
      </c>
      <c r="EA30" s="3">
        <v>1</v>
      </c>
      <c r="EB30" s="3">
        <v>1</v>
      </c>
      <c r="EC30" s="3">
        <v>1</v>
      </c>
      <c r="ED30" s="3">
        <v>3</v>
      </c>
      <c r="EE30" s="3">
        <v>1</v>
      </c>
      <c r="EF30" s="3">
        <v>4</v>
      </c>
      <c r="EG30" s="3">
        <v>2</v>
      </c>
      <c r="EH30" s="3">
        <v>2</v>
      </c>
      <c r="EI30" s="3">
        <v>1</v>
      </c>
      <c r="EJ30" s="3">
        <v>1</v>
      </c>
      <c r="EK30" s="3">
        <v>0</v>
      </c>
      <c r="EL30" s="3">
        <v>4</v>
      </c>
      <c r="EM30" s="3">
        <v>2</v>
      </c>
      <c r="EN30" s="3">
        <v>2</v>
      </c>
      <c r="EO30" s="3">
        <v>0</v>
      </c>
      <c r="EP30" s="3">
        <v>0</v>
      </c>
    </row>
    <row r="31" spans="1:146" ht="14.25" customHeight="1" x14ac:dyDescent="0.25">
      <c r="A31" s="16">
        <v>31</v>
      </c>
      <c r="B31" s="17" t="s">
        <v>60</v>
      </c>
      <c r="C31" s="16">
        <v>2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2</v>
      </c>
      <c r="J31" s="16">
        <v>1</v>
      </c>
      <c r="K31" s="16">
        <v>1</v>
      </c>
      <c r="L31" s="16">
        <v>2</v>
      </c>
      <c r="M31" s="16">
        <v>0</v>
      </c>
      <c r="N31" s="16">
        <v>1</v>
      </c>
      <c r="O31" s="16">
        <v>2</v>
      </c>
      <c r="P31" s="16">
        <v>1</v>
      </c>
      <c r="Q31" s="16">
        <v>0</v>
      </c>
      <c r="R31" s="16">
        <v>2</v>
      </c>
      <c r="S31" s="16">
        <v>1</v>
      </c>
      <c r="T31" s="16">
        <v>1</v>
      </c>
      <c r="U31" s="16">
        <v>4</v>
      </c>
      <c r="V31" s="16">
        <v>0</v>
      </c>
      <c r="W31" s="16">
        <v>1</v>
      </c>
      <c r="X31" s="16">
        <v>1</v>
      </c>
      <c r="Y31" s="16">
        <v>1</v>
      </c>
      <c r="Z31" s="16">
        <v>1</v>
      </c>
      <c r="AA31" s="16">
        <v>0</v>
      </c>
      <c r="AB31" s="16">
        <v>2</v>
      </c>
      <c r="AC31" s="16">
        <v>4</v>
      </c>
      <c r="AD31" s="16">
        <v>0</v>
      </c>
      <c r="AE31" s="16">
        <v>2</v>
      </c>
      <c r="AF31" s="16">
        <v>0</v>
      </c>
      <c r="AG31" s="16">
        <v>2</v>
      </c>
      <c r="AH31" s="16">
        <v>1</v>
      </c>
      <c r="AI31" s="16">
        <v>3</v>
      </c>
      <c r="AJ31" s="16">
        <v>0</v>
      </c>
      <c r="AK31" s="16">
        <v>1</v>
      </c>
      <c r="AL31" s="16">
        <v>3</v>
      </c>
      <c r="AM31" s="16">
        <v>3</v>
      </c>
      <c r="AN31" s="16">
        <v>0</v>
      </c>
      <c r="AO31" s="16">
        <v>1</v>
      </c>
      <c r="AP31" s="16">
        <v>0</v>
      </c>
      <c r="AQ31" s="16">
        <v>1</v>
      </c>
      <c r="AR31" s="16">
        <v>2</v>
      </c>
      <c r="AS31" s="16">
        <v>3</v>
      </c>
      <c r="AT31" s="16">
        <v>1</v>
      </c>
      <c r="AU31" s="16">
        <v>2</v>
      </c>
      <c r="AV31" s="16">
        <v>1</v>
      </c>
      <c r="AW31" s="16">
        <v>0</v>
      </c>
      <c r="AX31" s="16">
        <v>2</v>
      </c>
      <c r="AY31" s="16">
        <v>2</v>
      </c>
      <c r="AZ31" s="16">
        <v>0</v>
      </c>
      <c r="BA31" s="16">
        <v>2</v>
      </c>
      <c r="BB31" s="16">
        <v>1</v>
      </c>
      <c r="BC31" s="16">
        <v>2</v>
      </c>
      <c r="BD31" s="16">
        <v>0</v>
      </c>
      <c r="BE31" s="16">
        <v>2</v>
      </c>
      <c r="BF31" s="16">
        <v>1</v>
      </c>
      <c r="BG31" s="16">
        <v>4</v>
      </c>
      <c r="BH31" s="16">
        <v>1</v>
      </c>
      <c r="BI31" s="16">
        <v>1</v>
      </c>
      <c r="BJ31" s="16">
        <v>2</v>
      </c>
      <c r="BK31" s="16">
        <v>1</v>
      </c>
      <c r="BL31" s="16">
        <v>1</v>
      </c>
      <c r="BM31" s="16">
        <v>2</v>
      </c>
      <c r="BN31" s="16">
        <v>1</v>
      </c>
      <c r="BO31" s="16">
        <v>3</v>
      </c>
      <c r="BP31" s="16">
        <v>1</v>
      </c>
      <c r="BQ31" s="16">
        <v>2</v>
      </c>
      <c r="BR31" s="16">
        <v>0</v>
      </c>
      <c r="BS31" s="16">
        <v>2</v>
      </c>
      <c r="BT31" s="16">
        <v>1</v>
      </c>
      <c r="BU31" s="16">
        <v>0</v>
      </c>
      <c r="BV31" s="16">
        <v>2</v>
      </c>
      <c r="BW31" s="16">
        <v>2</v>
      </c>
      <c r="BX31" s="16">
        <v>0</v>
      </c>
      <c r="BY31" s="16">
        <v>3</v>
      </c>
      <c r="BZ31" s="16">
        <v>0</v>
      </c>
      <c r="CA31" s="16">
        <v>2</v>
      </c>
      <c r="CB31" s="16">
        <v>0</v>
      </c>
      <c r="CC31" s="16">
        <v>0</v>
      </c>
      <c r="CD31" s="16">
        <v>2</v>
      </c>
      <c r="CE31" s="16">
        <v>2</v>
      </c>
      <c r="CF31" s="16">
        <v>2</v>
      </c>
      <c r="CG31" s="16">
        <v>5</v>
      </c>
      <c r="CH31" s="16">
        <v>0</v>
      </c>
      <c r="CI31" s="16">
        <v>3</v>
      </c>
      <c r="CJ31" s="16">
        <v>0</v>
      </c>
      <c r="CK31" s="16">
        <v>1</v>
      </c>
      <c r="CL31" s="16">
        <v>2</v>
      </c>
      <c r="CM31" s="16">
        <v>3</v>
      </c>
      <c r="CN31" s="16">
        <v>1</v>
      </c>
      <c r="CO31" s="16">
        <v>1</v>
      </c>
      <c r="CP31" s="16">
        <v>1</v>
      </c>
      <c r="CQ31" s="16">
        <v>2</v>
      </c>
      <c r="CR31" s="16">
        <v>1</v>
      </c>
      <c r="CS31" s="16">
        <v>3</v>
      </c>
      <c r="CT31" s="16">
        <v>0</v>
      </c>
      <c r="CU31" s="16">
        <v>0</v>
      </c>
      <c r="CV31" s="16">
        <v>4</v>
      </c>
      <c r="CW31" s="16">
        <v>3</v>
      </c>
      <c r="CX31" s="16">
        <v>1</v>
      </c>
      <c r="CY31" s="16">
        <v>1</v>
      </c>
      <c r="CZ31" s="16">
        <v>1</v>
      </c>
      <c r="DA31" s="16">
        <v>2</v>
      </c>
      <c r="DB31" s="16">
        <v>0</v>
      </c>
      <c r="DC31" s="16">
        <v>1</v>
      </c>
      <c r="DD31" s="16">
        <v>1</v>
      </c>
      <c r="DE31" s="16">
        <v>2</v>
      </c>
      <c r="DF31" s="16">
        <v>1</v>
      </c>
      <c r="DG31" s="16">
        <v>0</v>
      </c>
      <c r="DH31" s="16">
        <v>2</v>
      </c>
      <c r="DI31" s="16">
        <v>2</v>
      </c>
      <c r="DJ31" s="16">
        <v>4</v>
      </c>
      <c r="DK31" s="16">
        <v>1</v>
      </c>
      <c r="DL31" s="16">
        <v>1</v>
      </c>
      <c r="DM31" s="16">
        <v>0</v>
      </c>
      <c r="DN31" s="16">
        <v>3</v>
      </c>
      <c r="DO31" s="16">
        <v>2</v>
      </c>
      <c r="DP31" s="16">
        <v>3</v>
      </c>
      <c r="DQ31" s="16">
        <v>2</v>
      </c>
      <c r="DR31" s="16">
        <v>1</v>
      </c>
      <c r="DS31" s="16">
        <v>1</v>
      </c>
      <c r="DT31" s="16">
        <v>2</v>
      </c>
      <c r="DU31" s="16">
        <v>2</v>
      </c>
      <c r="DV31" s="16">
        <v>0</v>
      </c>
      <c r="DW31" s="16">
        <v>1</v>
      </c>
      <c r="DX31" s="16">
        <v>1</v>
      </c>
      <c r="DY31" s="16">
        <v>0</v>
      </c>
      <c r="DZ31" s="16">
        <v>3</v>
      </c>
      <c r="EA31" s="16">
        <v>1</v>
      </c>
      <c r="EB31" s="16">
        <v>1</v>
      </c>
      <c r="EC31" s="16">
        <v>1</v>
      </c>
      <c r="ED31" s="16">
        <v>2</v>
      </c>
      <c r="EE31" s="16">
        <v>1</v>
      </c>
      <c r="EF31" s="16">
        <v>4</v>
      </c>
      <c r="EG31" s="16">
        <v>3</v>
      </c>
      <c r="EH31" s="16">
        <v>1</v>
      </c>
      <c r="EI31" s="16">
        <v>1</v>
      </c>
      <c r="EJ31" s="16">
        <v>1</v>
      </c>
      <c r="EK31" s="16">
        <v>0</v>
      </c>
      <c r="EL31" s="16">
        <v>4</v>
      </c>
      <c r="EM31" s="16">
        <v>1</v>
      </c>
      <c r="EN31" s="16">
        <v>1</v>
      </c>
      <c r="EO31" s="16">
        <v>1</v>
      </c>
      <c r="EP31" s="16">
        <v>1</v>
      </c>
    </row>
    <row r="32" spans="1:146" ht="14.25" customHeight="1" x14ac:dyDescent="0.25">
      <c r="A32" s="15">
        <v>32</v>
      </c>
      <c r="B32" s="4" t="s">
        <v>62</v>
      </c>
      <c r="C32" s="3">
        <v>3</v>
      </c>
      <c r="D32" s="3">
        <v>1</v>
      </c>
      <c r="E32" s="3">
        <v>2</v>
      </c>
      <c r="F32" s="3">
        <v>2</v>
      </c>
      <c r="G32" s="3">
        <v>3</v>
      </c>
      <c r="H32" s="3">
        <v>1</v>
      </c>
      <c r="I32" s="3">
        <v>2</v>
      </c>
      <c r="J32" s="3">
        <v>1</v>
      </c>
      <c r="K32" s="3">
        <v>0</v>
      </c>
      <c r="L32" s="3">
        <v>3</v>
      </c>
      <c r="M32" s="3">
        <v>1</v>
      </c>
      <c r="N32" s="3">
        <v>3</v>
      </c>
      <c r="O32" s="3">
        <v>4</v>
      </c>
      <c r="P32" s="3">
        <v>2</v>
      </c>
      <c r="Q32" s="3">
        <v>1</v>
      </c>
      <c r="R32" s="3">
        <v>2</v>
      </c>
      <c r="S32" s="3">
        <v>1</v>
      </c>
      <c r="T32" s="3">
        <v>3</v>
      </c>
      <c r="U32" s="3">
        <v>5</v>
      </c>
      <c r="V32" s="3">
        <v>0</v>
      </c>
      <c r="W32" s="3">
        <v>4</v>
      </c>
      <c r="X32" s="3">
        <v>1</v>
      </c>
      <c r="Y32" s="3">
        <v>2</v>
      </c>
      <c r="Z32" s="3">
        <v>2</v>
      </c>
      <c r="AA32" s="3">
        <v>1</v>
      </c>
      <c r="AB32" s="3">
        <v>3</v>
      </c>
      <c r="AC32" s="3">
        <v>5</v>
      </c>
      <c r="AD32" s="3">
        <v>0</v>
      </c>
      <c r="AE32" s="3">
        <v>1</v>
      </c>
      <c r="AF32" s="3">
        <v>2</v>
      </c>
      <c r="AG32" s="3">
        <v>2</v>
      </c>
      <c r="AH32" s="3">
        <v>2</v>
      </c>
      <c r="AI32" s="3">
        <v>4</v>
      </c>
      <c r="AJ32" s="3">
        <v>1</v>
      </c>
      <c r="AK32" s="3">
        <v>0</v>
      </c>
      <c r="AL32" s="3">
        <v>2</v>
      </c>
      <c r="AM32" s="3">
        <v>4</v>
      </c>
      <c r="AN32" s="3">
        <v>0</v>
      </c>
      <c r="AO32" s="3">
        <v>2</v>
      </c>
      <c r="AP32" s="3">
        <v>0</v>
      </c>
      <c r="AQ32" s="3">
        <v>1</v>
      </c>
      <c r="AR32" s="3">
        <v>3</v>
      </c>
      <c r="AS32" s="3">
        <v>3</v>
      </c>
      <c r="AT32" s="3">
        <v>1</v>
      </c>
      <c r="AU32" s="3">
        <v>4</v>
      </c>
      <c r="AV32" s="3">
        <v>0</v>
      </c>
      <c r="AW32" s="3">
        <v>2</v>
      </c>
      <c r="AX32" s="3">
        <v>4</v>
      </c>
      <c r="AY32" s="3">
        <v>2</v>
      </c>
      <c r="AZ32" s="3">
        <v>1</v>
      </c>
      <c r="BA32" s="3">
        <v>2</v>
      </c>
      <c r="BB32" s="3">
        <v>2</v>
      </c>
      <c r="BC32" s="3">
        <v>3</v>
      </c>
      <c r="BD32" s="3">
        <v>1</v>
      </c>
      <c r="BE32" s="3">
        <v>3</v>
      </c>
      <c r="BF32" s="3">
        <v>1</v>
      </c>
      <c r="BG32" s="3">
        <v>4</v>
      </c>
      <c r="BH32" s="3">
        <v>0</v>
      </c>
      <c r="BI32" s="3">
        <v>1</v>
      </c>
      <c r="BJ32" s="3">
        <v>3</v>
      </c>
      <c r="BK32" s="3">
        <v>2</v>
      </c>
      <c r="BL32" s="3">
        <v>1</v>
      </c>
      <c r="BM32" s="3">
        <v>2</v>
      </c>
      <c r="BN32" s="3">
        <v>1</v>
      </c>
      <c r="BO32" s="3">
        <v>3</v>
      </c>
      <c r="BP32" s="3">
        <v>0</v>
      </c>
      <c r="BQ32" s="3">
        <v>3</v>
      </c>
      <c r="BR32" s="3">
        <v>0</v>
      </c>
      <c r="BS32" s="3">
        <v>2</v>
      </c>
      <c r="BT32" s="3">
        <v>1</v>
      </c>
      <c r="BU32" s="3">
        <v>0</v>
      </c>
      <c r="BV32" s="3">
        <v>2</v>
      </c>
      <c r="BW32" s="3">
        <v>3</v>
      </c>
      <c r="BX32" s="3">
        <v>0</v>
      </c>
      <c r="BY32" s="3">
        <v>3</v>
      </c>
      <c r="BZ32" s="3">
        <v>0</v>
      </c>
      <c r="CA32" s="3">
        <v>3</v>
      </c>
      <c r="CB32" s="3">
        <v>0</v>
      </c>
      <c r="CC32" s="3">
        <v>2</v>
      </c>
      <c r="CD32" s="3">
        <v>3</v>
      </c>
      <c r="CE32" s="3">
        <v>2</v>
      </c>
      <c r="CF32" s="3">
        <v>1</v>
      </c>
      <c r="CG32" s="3">
        <v>4</v>
      </c>
      <c r="CH32" s="3">
        <v>1</v>
      </c>
      <c r="CI32" s="3">
        <v>3</v>
      </c>
      <c r="CJ32" s="3">
        <v>1</v>
      </c>
      <c r="CK32" s="3">
        <v>1</v>
      </c>
      <c r="CL32" s="3">
        <v>2</v>
      </c>
      <c r="CM32" s="3">
        <v>4</v>
      </c>
      <c r="CN32" s="3">
        <v>0</v>
      </c>
      <c r="CO32" s="3">
        <v>2</v>
      </c>
      <c r="CP32" s="3">
        <v>2</v>
      </c>
      <c r="CQ32" s="3">
        <v>4</v>
      </c>
      <c r="CR32" s="3">
        <v>2</v>
      </c>
      <c r="CS32" s="3">
        <v>3</v>
      </c>
      <c r="CT32" s="3">
        <v>1</v>
      </c>
      <c r="CU32" s="3">
        <v>1</v>
      </c>
      <c r="CV32" s="3">
        <v>3</v>
      </c>
      <c r="CW32" s="3">
        <v>2</v>
      </c>
      <c r="CX32" s="3">
        <v>0</v>
      </c>
      <c r="CY32" s="3">
        <v>1</v>
      </c>
      <c r="CZ32" s="3">
        <v>1</v>
      </c>
      <c r="DA32" s="3">
        <v>2</v>
      </c>
      <c r="DB32" s="3">
        <v>1</v>
      </c>
      <c r="DC32" s="3">
        <v>1</v>
      </c>
      <c r="DD32" s="3">
        <v>1</v>
      </c>
      <c r="DE32" s="3">
        <v>2</v>
      </c>
      <c r="DF32" s="3">
        <v>2</v>
      </c>
      <c r="DG32" s="3">
        <v>2</v>
      </c>
      <c r="DH32" s="3">
        <v>1</v>
      </c>
      <c r="DI32" s="3">
        <v>2</v>
      </c>
      <c r="DJ32" s="3">
        <v>3</v>
      </c>
      <c r="DK32" s="3">
        <v>2</v>
      </c>
      <c r="DL32" s="3">
        <v>1</v>
      </c>
      <c r="DM32" s="3">
        <v>1</v>
      </c>
      <c r="DN32" s="3">
        <v>4</v>
      </c>
      <c r="DO32" s="3">
        <v>2</v>
      </c>
      <c r="DP32" s="3">
        <v>2</v>
      </c>
      <c r="DQ32" s="3">
        <v>1</v>
      </c>
      <c r="DR32" s="3">
        <v>1</v>
      </c>
      <c r="DS32" s="3">
        <v>2</v>
      </c>
      <c r="DT32" s="3">
        <v>4</v>
      </c>
      <c r="DU32" s="3">
        <v>2</v>
      </c>
      <c r="DV32" s="3">
        <v>1</v>
      </c>
      <c r="DW32" s="3">
        <v>3</v>
      </c>
      <c r="DX32" s="3">
        <v>2</v>
      </c>
      <c r="DY32" s="3">
        <v>1</v>
      </c>
      <c r="DZ32" s="3">
        <v>2</v>
      </c>
      <c r="EA32" s="3">
        <v>1</v>
      </c>
      <c r="EB32" s="3">
        <v>1</v>
      </c>
      <c r="EC32" s="3">
        <v>1</v>
      </c>
      <c r="ED32" s="3">
        <v>3</v>
      </c>
      <c r="EE32" s="3">
        <v>1</v>
      </c>
      <c r="EF32" s="3">
        <v>4</v>
      </c>
      <c r="EG32" s="3">
        <v>2</v>
      </c>
      <c r="EH32" s="3">
        <v>0</v>
      </c>
      <c r="EI32" s="3">
        <v>2</v>
      </c>
      <c r="EJ32" s="3">
        <v>1</v>
      </c>
      <c r="EK32" s="3">
        <v>1</v>
      </c>
      <c r="EL32" s="3">
        <v>5</v>
      </c>
      <c r="EM32" s="3">
        <v>2</v>
      </c>
      <c r="EN32" s="3">
        <v>2</v>
      </c>
      <c r="EO32" s="3">
        <v>1</v>
      </c>
      <c r="EP32" s="3">
        <v>2</v>
      </c>
    </row>
    <row r="33" spans="1:146" ht="14.25" customHeight="1" x14ac:dyDescent="0.25">
      <c r="A33" s="16">
        <v>33</v>
      </c>
      <c r="B33" s="17" t="s">
        <v>18</v>
      </c>
      <c r="C33" s="16">
        <v>2</v>
      </c>
      <c r="D33" s="16">
        <v>0</v>
      </c>
      <c r="E33" s="16">
        <v>2</v>
      </c>
      <c r="F33" s="16">
        <v>1</v>
      </c>
      <c r="G33" s="16">
        <v>3</v>
      </c>
      <c r="H33" s="16">
        <v>0</v>
      </c>
      <c r="I33" s="16">
        <v>2</v>
      </c>
      <c r="J33" s="16">
        <v>0</v>
      </c>
      <c r="K33" s="16">
        <v>0</v>
      </c>
      <c r="L33" s="16">
        <v>2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2</v>
      </c>
      <c r="S33" s="16">
        <v>3</v>
      </c>
      <c r="T33" s="16">
        <v>0</v>
      </c>
      <c r="U33" s="16">
        <v>2</v>
      </c>
      <c r="V33" s="16">
        <v>1</v>
      </c>
      <c r="W33" s="16">
        <v>2</v>
      </c>
      <c r="X33" s="16">
        <v>2</v>
      </c>
      <c r="Y33" s="16">
        <v>3</v>
      </c>
      <c r="Z33" s="16">
        <v>1</v>
      </c>
      <c r="AA33" s="16">
        <v>1</v>
      </c>
      <c r="AB33" s="16">
        <v>2</v>
      </c>
      <c r="AC33" s="16">
        <v>3</v>
      </c>
      <c r="AD33" s="16">
        <v>0</v>
      </c>
      <c r="AE33" s="16">
        <v>1</v>
      </c>
      <c r="AF33" s="16">
        <v>1</v>
      </c>
      <c r="AG33" s="16">
        <v>2</v>
      </c>
      <c r="AH33" s="16">
        <v>1</v>
      </c>
      <c r="AI33" s="16">
        <v>2</v>
      </c>
      <c r="AJ33" s="16">
        <v>1</v>
      </c>
      <c r="AK33" s="16">
        <v>0</v>
      </c>
      <c r="AL33" s="16">
        <v>2</v>
      </c>
      <c r="AM33" s="16">
        <v>2</v>
      </c>
      <c r="AN33" s="16">
        <v>0</v>
      </c>
      <c r="AO33" s="16">
        <v>1</v>
      </c>
      <c r="AP33" s="16">
        <v>1</v>
      </c>
      <c r="AQ33" s="16">
        <v>1</v>
      </c>
      <c r="AR33" s="16">
        <v>2</v>
      </c>
      <c r="AS33" s="16">
        <v>2</v>
      </c>
      <c r="AT33" s="16">
        <v>1</v>
      </c>
      <c r="AU33" s="16">
        <v>2</v>
      </c>
      <c r="AV33" s="16">
        <v>0</v>
      </c>
      <c r="AW33" s="16">
        <v>0</v>
      </c>
      <c r="AX33" s="16">
        <v>2</v>
      </c>
      <c r="AY33" s="16">
        <v>3</v>
      </c>
      <c r="AZ33" s="16">
        <v>1</v>
      </c>
      <c r="BA33" s="16">
        <v>4</v>
      </c>
      <c r="BB33" s="16">
        <v>1</v>
      </c>
      <c r="BC33" s="16">
        <v>3</v>
      </c>
      <c r="BD33" s="16">
        <v>0</v>
      </c>
      <c r="BE33" s="16">
        <v>3</v>
      </c>
      <c r="BF33" s="16">
        <v>2</v>
      </c>
      <c r="BG33" s="16">
        <v>5</v>
      </c>
      <c r="BH33" s="16">
        <v>0</v>
      </c>
      <c r="BI33" s="16">
        <v>2</v>
      </c>
      <c r="BJ33" s="16">
        <v>2</v>
      </c>
      <c r="BK33" s="16">
        <v>1</v>
      </c>
      <c r="BL33" s="16">
        <v>2</v>
      </c>
      <c r="BM33" s="16">
        <v>2</v>
      </c>
      <c r="BN33" s="16">
        <v>1</v>
      </c>
      <c r="BO33" s="16">
        <v>3</v>
      </c>
      <c r="BP33" s="16">
        <v>1</v>
      </c>
      <c r="BQ33" s="16">
        <v>0</v>
      </c>
      <c r="BR33" s="16">
        <v>2</v>
      </c>
      <c r="BS33" s="16">
        <v>2</v>
      </c>
      <c r="BT33" s="16">
        <v>2</v>
      </c>
      <c r="BU33" s="16">
        <v>1</v>
      </c>
      <c r="BV33" s="16">
        <v>3</v>
      </c>
      <c r="BW33" s="16">
        <v>2</v>
      </c>
      <c r="BX33" s="16">
        <v>0</v>
      </c>
      <c r="BY33" s="16">
        <v>4</v>
      </c>
      <c r="BZ33" s="16">
        <v>1</v>
      </c>
      <c r="CA33" s="16">
        <v>1</v>
      </c>
      <c r="CB33" s="16">
        <v>1</v>
      </c>
      <c r="CC33" s="16">
        <v>2</v>
      </c>
      <c r="CD33" s="16">
        <v>0</v>
      </c>
      <c r="CE33" s="16">
        <v>2</v>
      </c>
      <c r="CF33" s="16">
        <v>2</v>
      </c>
      <c r="CG33" s="16">
        <v>3</v>
      </c>
      <c r="CH33" s="16">
        <v>1</v>
      </c>
      <c r="CI33" s="16">
        <v>2</v>
      </c>
      <c r="CJ33" s="16">
        <v>1</v>
      </c>
      <c r="CK33" s="16">
        <v>1</v>
      </c>
      <c r="CL33" s="16">
        <v>1</v>
      </c>
      <c r="CM33" s="16">
        <v>4</v>
      </c>
      <c r="CN33" s="16">
        <v>0</v>
      </c>
      <c r="CO33" s="16">
        <v>1</v>
      </c>
      <c r="CP33" s="16">
        <v>1</v>
      </c>
      <c r="CQ33" s="16">
        <v>3</v>
      </c>
      <c r="CR33" s="16">
        <v>1</v>
      </c>
      <c r="CS33" s="16">
        <v>3</v>
      </c>
      <c r="CT33" s="16">
        <v>1</v>
      </c>
      <c r="CU33" s="16">
        <v>1</v>
      </c>
      <c r="CV33" s="16">
        <v>2</v>
      </c>
      <c r="CW33" s="16">
        <v>3</v>
      </c>
      <c r="CX33" s="16">
        <v>1</v>
      </c>
      <c r="CY33" s="16">
        <v>2</v>
      </c>
      <c r="CZ33" s="16">
        <v>2</v>
      </c>
      <c r="DA33" s="16">
        <v>1</v>
      </c>
      <c r="DB33" s="16">
        <v>1</v>
      </c>
      <c r="DC33" s="16">
        <v>0</v>
      </c>
      <c r="DD33" s="16">
        <v>1</v>
      </c>
      <c r="DE33" s="16">
        <v>0</v>
      </c>
      <c r="DF33" s="16">
        <v>2</v>
      </c>
      <c r="DG33" s="16">
        <v>1</v>
      </c>
      <c r="DH33" s="16">
        <v>1</v>
      </c>
      <c r="DI33" s="16">
        <v>0</v>
      </c>
      <c r="DJ33" s="16">
        <v>5</v>
      </c>
      <c r="DK33" s="16">
        <v>2</v>
      </c>
      <c r="DL33" s="16">
        <v>1</v>
      </c>
      <c r="DM33" s="16">
        <v>1</v>
      </c>
      <c r="DN33" s="16">
        <v>1</v>
      </c>
      <c r="DO33" s="16">
        <v>1</v>
      </c>
      <c r="DP33" s="16">
        <v>2</v>
      </c>
      <c r="DQ33" s="16">
        <v>2</v>
      </c>
      <c r="DR33" s="16">
        <v>2</v>
      </c>
      <c r="DS33" s="16">
        <v>0</v>
      </c>
      <c r="DT33" s="16">
        <v>2</v>
      </c>
      <c r="DU33" s="16">
        <v>1</v>
      </c>
      <c r="DV33" s="16">
        <v>0</v>
      </c>
      <c r="DW33" s="16">
        <v>1</v>
      </c>
      <c r="DX33" s="16">
        <v>1</v>
      </c>
      <c r="DY33" s="16">
        <v>0</v>
      </c>
      <c r="DZ33" s="16">
        <v>0</v>
      </c>
      <c r="EA33" s="16">
        <v>0</v>
      </c>
      <c r="EB33" s="16">
        <v>1</v>
      </c>
      <c r="EC33" s="16">
        <v>1</v>
      </c>
      <c r="ED33" s="16">
        <v>2</v>
      </c>
      <c r="EE33" s="16">
        <v>0</v>
      </c>
      <c r="EF33" s="16">
        <v>3</v>
      </c>
      <c r="EG33" s="16">
        <v>3</v>
      </c>
      <c r="EH33" s="16">
        <v>0</v>
      </c>
      <c r="EI33" s="16">
        <v>2</v>
      </c>
      <c r="EJ33" s="16">
        <v>2</v>
      </c>
      <c r="EK33" s="16">
        <v>0</v>
      </c>
      <c r="EL33" s="16">
        <v>1</v>
      </c>
      <c r="EM33" s="16">
        <v>2</v>
      </c>
      <c r="EN33" s="16">
        <v>3</v>
      </c>
      <c r="EO33" s="16">
        <v>1</v>
      </c>
      <c r="EP33" s="16">
        <v>1</v>
      </c>
    </row>
    <row r="34" spans="1:146" ht="14.25" customHeight="1" x14ac:dyDescent="0.25">
      <c r="A34" s="15">
        <v>34</v>
      </c>
      <c r="B34" s="4" t="s">
        <v>8</v>
      </c>
      <c r="C34" s="3">
        <v>2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0</v>
      </c>
      <c r="K34" s="3">
        <v>0</v>
      </c>
      <c r="L34" s="3">
        <v>3</v>
      </c>
      <c r="M34" s="3">
        <v>0</v>
      </c>
      <c r="N34" s="3">
        <v>1</v>
      </c>
      <c r="O34" s="3">
        <v>2</v>
      </c>
      <c r="P34" s="3">
        <v>2</v>
      </c>
      <c r="Q34" s="3">
        <v>0</v>
      </c>
      <c r="R34" s="3">
        <v>2</v>
      </c>
      <c r="S34" s="3">
        <v>1</v>
      </c>
      <c r="T34" s="3">
        <v>1</v>
      </c>
      <c r="U34" s="3">
        <v>3</v>
      </c>
      <c r="V34" s="3">
        <v>1</v>
      </c>
      <c r="W34" s="3">
        <v>2</v>
      </c>
      <c r="X34" s="3">
        <v>2</v>
      </c>
      <c r="Y34" s="3">
        <v>2</v>
      </c>
      <c r="Z34" s="3">
        <v>0</v>
      </c>
      <c r="AA34" s="3">
        <v>0</v>
      </c>
      <c r="AB34" s="3">
        <v>1</v>
      </c>
      <c r="AC34" s="3">
        <v>4</v>
      </c>
      <c r="AD34" s="3">
        <v>0</v>
      </c>
      <c r="AE34" s="3">
        <v>1</v>
      </c>
      <c r="AF34" s="3">
        <v>1</v>
      </c>
      <c r="AG34" s="3">
        <v>2</v>
      </c>
      <c r="AH34" s="3">
        <v>2</v>
      </c>
      <c r="AI34" s="3">
        <v>3</v>
      </c>
      <c r="AJ34" s="3">
        <v>1</v>
      </c>
      <c r="AK34" s="3">
        <v>0</v>
      </c>
      <c r="AL34" s="3">
        <v>5</v>
      </c>
      <c r="AM34" s="3">
        <v>2</v>
      </c>
      <c r="AN34" s="3">
        <v>0</v>
      </c>
      <c r="AO34" s="3">
        <v>2</v>
      </c>
      <c r="AP34" s="3">
        <v>0</v>
      </c>
      <c r="AQ34" s="3">
        <v>1</v>
      </c>
      <c r="AR34" s="3">
        <v>1</v>
      </c>
      <c r="AS34" s="3">
        <v>2</v>
      </c>
      <c r="AT34" s="3">
        <v>2</v>
      </c>
      <c r="AU34" s="3">
        <v>3</v>
      </c>
      <c r="AV34" s="3">
        <v>0</v>
      </c>
      <c r="AW34" s="3">
        <v>0</v>
      </c>
      <c r="AX34" s="3">
        <v>2</v>
      </c>
      <c r="AY34" s="3">
        <v>1</v>
      </c>
      <c r="AZ34" s="3">
        <v>1</v>
      </c>
      <c r="BA34" s="3">
        <v>2</v>
      </c>
      <c r="BB34" s="3">
        <v>0</v>
      </c>
      <c r="BC34" s="3">
        <v>2</v>
      </c>
      <c r="BD34" s="3">
        <v>0</v>
      </c>
      <c r="BE34" s="3">
        <v>2</v>
      </c>
      <c r="BF34" s="3">
        <v>2</v>
      </c>
      <c r="BG34" s="3">
        <v>3</v>
      </c>
      <c r="BH34" s="3">
        <v>1</v>
      </c>
      <c r="BI34" s="3">
        <v>0</v>
      </c>
      <c r="BJ34" s="3">
        <v>1</v>
      </c>
      <c r="BK34" s="3">
        <v>1</v>
      </c>
      <c r="BL34" s="3">
        <v>1</v>
      </c>
      <c r="BM34" s="3">
        <v>1</v>
      </c>
      <c r="BN34" s="3">
        <v>0</v>
      </c>
      <c r="BO34" s="3">
        <v>2</v>
      </c>
      <c r="BP34" s="3">
        <v>1</v>
      </c>
      <c r="BQ34" s="3">
        <v>2</v>
      </c>
      <c r="BR34" s="3">
        <v>1</v>
      </c>
      <c r="BS34" s="3">
        <v>2</v>
      </c>
      <c r="BT34" s="3">
        <v>1</v>
      </c>
      <c r="BU34" s="3">
        <v>0</v>
      </c>
      <c r="BV34" s="3">
        <v>1</v>
      </c>
      <c r="BW34" s="3">
        <v>2</v>
      </c>
      <c r="BX34" s="3">
        <v>0</v>
      </c>
      <c r="BY34" s="3">
        <v>3</v>
      </c>
      <c r="BZ34" s="3">
        <v>0</v>
      </c>
      <c r="CA34" s="3">
        <v>3</v>
      </c>
      <c r="CB34" s="3">
        <v>0</v>
      </c>
      <c r="CC34" s="3">
        <v>0</v>
      </c>
      <c r="CD34" s="3">
        <v>2</v>
      </c>
      <c r="CE34" s="3">
        <v>3</v>
      </c>
      <c r="CF34" s="3">
        <v>1</v>
      </c>
      <c r="CG34" s="3">
        <v>3</v>
      </c>
      <c r="CH34" s="3">
        <v>0</v>
      </c>
      <c r="CI34" s="3">
        <v>2</v>
      </c>
      <c r="CJ34" s="3">
        <v>0</v>
      </c>
      <c r="CK34" s="3">
        <v>1</v>
      </c>
      <c r="CL34" s="3">
        <v>1</v>
      </c>
      <c r="CM34" s="3">
        <v>1</v>
      </c>
      <c r="CN34" s="3">
        <v>1</v>
      </c>
      <c r="CO34" s="3">
        <v>1</v>
      </c>
      <c r="CP34" s="3">
        <v>1</v>
      </c>
      <c r="CQ34" s="3">
        <v>3</v>
      </c>
      <c r="CR34" s="3">
        <v>0</v>
      </c>
      <c r="CS34" s="3">
        <v>3</v>
      </c>
      <c r="CT34" s="3">
        <v>0</v>
      </c>
      <c r="CU34" s="3">
        <v>0</v>
      </c>
      <c r="CV34" s="3">
        <v>2</v>
      </c>
      <c r="CW34" s="3">
        <v>2</v>
      </c>
      <c r="CX34" s="3">
        <v>0</v>
      </c>
      <c r="CY34" s="3">
        <v>1</v>
      </c>
      <c r="CZ34" s="3">
        <v>1</v>
      </c>
      <c r="DA34" s="3">
        <v>1</v>
      </c>
      <c r="DB34" s="3">
        <v>0</v>
      </c>
      <c r="DC34" s="3">
        <v>0</v>
      </c>
      <c r="DD34" s="3">
        <v>1</v>
      </c>
      <c r="DE34" s="3">
        <v>2</v>
      </c>
      <c r="DF34" s="3">
        <v>2</v>
      </c>
      <c r="DG34" s="3">
        <v>1</v>
      </c>
      <c r="DH34" s="3">
        <v>2</v>
      </c>
      <c r="DI34" s="3">
        <v>1</v>
      </c>
      <c r="DJ34" s="3">
        <v>2</v>
      </c>
      <c r="DK34" s="3">
        <v>1</v>
      </c>
      <c r="DL34" s="3">
        <v>1</v>
      </c>
      <c r="DM34" s="3">
        <v>0</v>
      </c>
      <c r="DN34" s="3">
        <v>2</v>
      </c>
      <c r="DO34" s="3">
        <v>1</v>
      </c>
      <c r="DP34" s="3">
        <v>1</v>
      </c>
      <c r="DQ34" s="3">
        <v>2</v>
      </c>
      <c r="DR34" s="3">
        <v>0</v>
      </c>
      <c r="DS34" s="3">
        <v>3</v>
      </c>
      <c r="DT34" s="3">
        <v>3</v>
      </c>
      <c r="DU34" s="3">
        <v>1</v>
      </c>
      <c r="DV34" s="3">
        <v>1</v>
      </c>
      <c r="DW34" s="3">
        <v>2</v>
      </c>
      <c r="DX34" s="3">
        <v>0</v>
      </c>
      <c r="DY34" s="3">
        <v>0</v>
      </c>
      <c r="DZ34" s="3">
        <v>2</v>
      </c>
      <c r="EA34" s="3">
        <v>0</v>
      </c>
      <c r="EB34" s="3">
        <v>1</v>
      </c>
      <c r="EC34" s="3">
        <v>1</v>
      </c>
      <c r="ED34" s="3">
        <v>3</v>
      </c>
      <c r="EE34" s="3">
        <v>1</v>
      </c>
      <c r="EF34" s="3">
        <v>3</v>
      </c>
      <c r="EG34" s="3">
        <v>1</v>
      </c>
      <c r="EH34" s="3">
        <v>1</v>
      </c>
      <c r="EI34" s="3">
        <v>0</v>
      </c>
      <c r="EJ34" s="3">
        <v>1</v>
      </c>
      <c r="EK34" s="3">
        <v>0</v>
      </c>
      <c r="EL34" s="3">
        <v>3</v>
      </c>
      <c r="EM34" s="3">
        <v>2</v>
      </c>
      <c r="EN34" s="3">
        <v>2</v>
      </c>
      <c r="EO34" s="3">
        <v>1</v>
      </c>
      <c r="EP34" s="3">
        <v>1</v>
      </c>
    </row>
    <row r="35" spans="1:146" ht="14.25" customHeight="1" x14ac:dyDescent="0.25">
      <c r="A35" s="16">
        <v>35</v>
      </c>
      <c r="B35" s="17" t="s">
        <v>28</v>
      </c>
      <c r="C35" s="16">
        <v>2</v>
      </c>
      <c r="D35" s="16">
        <v>0</v>
      </c>
      <c r="E35" s="16">
        <v>3</v>
      </c>
      <c r="F35" s="16">
        <v>1</v>
      </c>
      <c r="G35" s="16">
        <v>2</v>
      </c>
      <c r="H35" s="16">
        <v>1</v>
      </c>
      <c r="I35" s="16">
        <v>2</v>
      </c>
      <c r="J35" s="16">
        <v>1</v>
      </c>
      <c r="K35" s="16">
        <v>1</v>
      </c>
      <c r="L35" s="16">
        <v>1</v>
      </c>
      <c r="M35" s="16">
        <v>1</v>
      </c>
      <c r="N35" s="16">
        <v>2</v>
      </c>
      <c r="O35" s="16">
        <v>2</v>
      </c>
      <c r="P35" s="16">
        <v>1</v>
      </c>
      <c r="Q35" s="16">
        <v>1</v>
      </c>
      <c r="R35" s="16">
        <v>1</v>
      </c>
      <c r="S35" s="16">
        <v>1</v>
      </c>
      <c r="T35" s="16">
        <v>1</v>
      </c>
      <c r="U35" s="16">
        <v>3</v>
      </c>
      <c r="V35" s="16">
        <v>1</v>
      </c>
      <c r="W35" s="16">
        <v>2</v>
      </c>
      <c r="X35" s="16">
        <v>1</v>
      </c>
      <c r="Y35" s="16">
        <v>1</v>
      </c>
      <c r="Z35" s="16">
        <v>1</v>
      </c>
      <c r="AA35" s="16">
        <v>1</v>
      </c>
      <c r="AB35" s="16">
        <v>2</v>
      </c>
      <c r="AC35" s="16">
        <v>3</v>
      </c>
      <c r="AD35" s="16">
        <v>0</v>
      </c>
      <c r="AE35" s="16">
        <v>1</v>
      </c>
      <c r="AF35" s="16">
        <v>2</v>
      </c>
      <c r="AG35" s="16">
        <v>2</v>
      </c>
      <c r="AH35" s="16">
        <v>1</v>
      </c>
      <c r="AI35" s="16">
        <v>2</v>
      </c>
      <c r="AJ35" s="16">
        <v>1</v>
      </c>
      <c r="AK35" s="16">
        <v>0</v>
      </c>
      <c r="AL35" s="16">
        <v>2</v>
      </c>
      <c r="AM35" s="16">
        <v>3</v>
      </c>
      <c r="AN35" s="16">
        <v>0</v>
      </c>
      <c r="AO35" s="16">
        <v>3</v>
      </c>
      <c r="AP35" s="16">
        <v>1</v>
      </c>
      <c r="AQ35" s="16">
        <v>1</v>
      </c>
      <c r="AR35" s="16">
        <v>2</v>
      </c>
      <c r="AS35" s="16">
        <v>3</v>
      </c>
      <c r="AT35" s="16">
        <v>2</v>
      </c>
      <c r="AU35" s="16">
        <v>2</v>
      </c>
      <c r="AV35" s="16">
        <v>0</v>
      </c>
      <c r="AW35" s="16">
        <v>0</v>
      </c>
      <c r="AX35" s="16">
        <v>2</v>
      </c>
      <c r="AY35" s="16">
        <v>1</v>
      </c>
      <c r="AZ35" s="16">
        <v>1</v>
      </c>
      <c r="BA35" s="16">
        <v>2</v>
      </c>
      <c r="BB35" s="16">
        <v>1</v>
      </c>
      <c r="BC35" s="16">
        <v>2</v>
      </c>
      <c r="BD35" s="16">
        <v>1</v>
      </c>
      <c r="BE35" s="16">
        <v>3</v>
      </c>
      <c r="BF35" s="16">
        <v>2</v>
      </c>
      <c r="BG35" s="16">
        <v>3</v>
      </c>
      <c r="BH35" s="16">
        <v>1</v>
      </c>
      <c r="BI35" s="16">
        <v>1</v>
      </c>
      <c r="BJ35" s="16">
        <v>2</v>
      </c>
      <c r="BK35" s="16">
        <v>2</v>
      </c>
      <c r="BL35" s="16">
        <v>2</v>
      </c>
      <c r="BM35" s="16">
        <v>3</v>
      </c>
      <c r="BN35" s="16">
        <v>2</v>
      </c>
      <c r="BO35" s="16">
        <v>3</v>
      </c>
      <c r="BP35" s="16">
        <v>2</v>
      </c>
      <c r="BQ35" s="16">
        <v>2</v>
      </c>
      <c r="BR35" s="16">
        <v>1</v>
      </c>
      <c r="BS35" s="16">
        <v>2</v>
      </c>
      <c r="BT35" s="16">
        <v>1</v>
      </c>
      <c r="BU35" s="16">
        <v>1</v>
      </c>
      <c r="BV35" s="16">
        <v>2</v>
      </c>
      <c r="BW35" s="16">
        <v>2</v>
      </c>
      <c r="BX35" s="16">
        <v>0</v>
      </c>
      <c r="BY35" s="16">
        <v>3</v>
      </c>
      <c r="BZ35" s="16">
        <v>1</v>
      </c>
      <c r="CA35" s="16">
        <v>2</v>
      </c>
      <c r="CB35" s="16">
        <v>0</v>
      </c>
      <c r="CC35" s="16">
        <v>2</v>
      </c>
      <c r="CD35" s="16">
        <v>1</v>
      </c>
      <c r="CE35" s="16">
        <v>1</v>
      </c>
      <c r="CF35" s="16">
        <v>1</v>
      </c>
      <c r="CG35" s="16">
        <v>3</v>
      </c>
      <c r="CH35" s="16">
        <v>0</v>
      </c>
      <c r="CI35" s="16">
        <v>2</v>
      </c>
      <c r="CJ35" s="16">
        <v>1</v>
      </c>
      <c r="CK35" s="16">
        <v>1</v>
      </c>
      <c r="CL35" s="16">
        <v>1</v>
      </c>
      <c r="CM35" s="16">
        <v>2</v>
      </c>
      <c r="CN35" s="16">
        <v>0</v>
      </c>
      <c r="CO35" s="16">
        <v>1</v>
      </c>
      <c r="CP35" s="16">
        <v>3</v>
      </c>
      <c r="CQ35" s="16">
        <v>2</v>
      </c>
      <c r="CR35" s="16">
        <v>0</v>
      </c>
      <c r="CS35" s="16">
        <v>2</v>
      </c>
      <c r="CT35" s="16">
        <v>0</v>
      </c>
      <c r="CU35" s="16">
        <v>1</v>
      </c>
      <c r="CV35" s="16">
        <v>3</v>
      </c>
      <c r="CW35" s="16">
        <v>2</v>
      </c>
      <c r="CX35" s="16">
        <v>0</v>
      </c>
      <c r="CY35" s="16">
        <v>1</v>
      </c>
      <c r="CZ35" s="16">
        <v>1</v>
      </c>
      <c r="DA35" s="16">
        <v>2</v>
      </c>
      <c r="DB35" s="16">
        <v>1</v>
      </c>
      <c r="DC35" s="16">
        <v>1</v>
      </c>
      <c r="DD35" s="16">
        <v>2</v>
      </c>
      <c r="DE35" s="16">
        <v>2</v>
      </c>
      <c r="DF35" s="16">
        <v>2</v>
      </c>
      <c r="DG35" s="16">
        <v>1</v>
      </c>
      <c r="DH35" s="16">
        <v>2</v>
      </c>
      <c r="DI35" s="16">
        <v>1</v>
      </c>
      <c r="DJ35" s="16">
        <v>2</v>
      </c>
      <c r="DK35" s="16">
        <v>1</v>
      </c>
      <c r="DL35" s="16">
        <v>1</v>
      </c>
      <c r="DM35" s="16">
        <v>0</v>
      </c>
      <c r="DN35" s="16">
        <v>2</v>
      </c>
      <c r="DO35" s="16">
        <v>1</v>
      </c>
      <c r="DP35" s="16">
        <v>1</v>
      </c>
      <c r="DQ35" s="16">
        <v>1</v>
      </c>
      <c r="DR35" s="16">
        <v>1</v>
      </c>
      <c r="DS35" s="16">
        <v>1</v>
      </c>
      <c r="DT35" s="16">
        <v>2</v>
      </c>
      <c r="DU35" s="16">
        <v>2</v>
      </c>
      <c r="DV35" s="16">
        <v>0</v>
      </c>
      <c r="DW35" s="16">
        <v>1</v>
      </c>
      <c r="DX35" s="16">
        <v>1</v>
      </c>
      <c r="DY35" s="16">
        <v>0</v>
      </c>
      <c r="DZ35" s="16">
        <v>2</v>
      </c>
      <c r="EA35" s="16">
        <v>1</v>
      </c>
      <c r="EB35" s="16">
        <v>2</v>
      </c>
      <c r="EC35" s="16">
        <v>1</v>
      </c>
      <c r="ED35" s="16">
        <v>1</v>
      </c>
      <c r="EE35" s="16">
        <v>1</v>
      </c>
      <c r="EF35" s="16">
        <v>3</v>
      </c>
      <c r="EG35" s="16">
        <v>3</v>
      </c>
      <c r="EH35" s="16">
        <v>1</v>
      </c>
      <c r="EI35" s="16">
        <v>1</v>
      </c>
      <c r="EJ35" s="16">
        <v>1</v>
      </c>
      <c r="EK35" s="16">
        <v>0</v>
      </c>
      <c r="EL35" s="16">
        <v>2</v>
      </c>
      <c r="EM35" s="16">
        <v>1</v>
      </c>
      <c r="EN35" s="16">
        <v>2</v>
      </c>
      <c r="EO35" s="16">
        <v>1</v>
      </c>
      <c r="EP35" s="16">
        <v>1</v>
      </c>
    </row>
    <row r="36" spans="1:146" ht="14.25" customHeight="1" x14ac:dyDescent="0.25">
      <c r="A36" s="15">
        <v>36</v>
      </c>
      <c r="B36" s="4" t="s">
        <v>38</v>
      </c>
      <c r="C36" s="3">
        <v>3</v>
      </c>
      <c r="D36" s="3">
        <v>1</v>
      </c>
      <c r="E36" s="3">
        <v>2</v>
      </c>
      <c r="F36" s="3">
        <v>1</v>
      </c>
      <c r="G36" s="3">
        <v>2</v>
      </c>
      <c r="H36" s="3">
        <v>2</v>
      </c>
      <c r="I36" s="3">
        <v>3</v>
      </c>
      <c r="J36" s="3">
        <v>2</v>
      </c>
      <c r="K36" s="3">
        <v>2</v>
      </c>
      <c r="L36" s="3">
        <v>3</v>
      </c>
      <c r="M36" s="3">
        <v>3</v>
      </c>
      <c r="N36" s="3">
        <v>4</v>
      </c>
      <c r="O36" s="3">
        <v>4</v>
      </c>
      <c r="P36" s="3">
        <v>4</v>
      </c>
      <c r="Q36" s="3">
        <v>1</v>
      </c>
      <c r="R36" s="3">
        <v>2</v>
      </c>
      <c r="S36" s="3">
        <v>1</v>
      </c>
      <c r="T36" s="3">
        <v>3</v>
      </c>
      <c r="U36" s="3">
        <v>3</v>
      </c>
      <c r="V36" s="3">
        <v>1</v>
      </c>
      <c r="W36" s="3">
        <v>2</v>
      </c>
      <c r="X36" s="3">
        <v>2</v>
      </c>
      <c r="Y36" s="3">
        <v>2</v>
      </c>
      <c r="Z36" s="3">
        <v>1</v>
      </c>
      <c r="AA36" s="3">
        <v>2</v>
      </c>
      <c r="AB36" s="3">
        <v>2</v>
      </c>
      <c r="AC36" s="3">
        <v>3</v>
      </c>
      <c r="AD36" s="3">
        <v>1</v>
      </c>
      <c r="AE36" s="3">
        <v>1</v>
      </c>
      <c r="AF36" s="3">
        <v>1</v>
      </c>
      <c r="AG36" s="3">
        <v>2</v>
      </c>
      <c r="AH36" s="3">
        <v>2</v>
      </c>
      <c r="AI36" s="3">
        <v>3</v>
      </c>
      <c r="AJ36" s="3">
        <v>3</v>
      </c>
      <c r="AK36" s="3">
        <v>1</v>
      </c>
      <c r="AL36" s="3">
        <v>2</v>
      </c>
      <c r="AM36" s="3">
        <v>3</v>
      </c>
      <c r="AN36" s="3">
        <v>2</v>
      </c>
      <c r="AO36" s="3">
        <v>1</v>
      </c>
      <c r="AP36" s="3">
        <v>1</v>
      </c>
      <c r="AQ36" s="3">
        <v>1</v>
      </c>
      <c r="AR36" s="3">
        <v>3</v>
      </c>
      <c r="AS36" s="3">
        <v>2</v>
      </c>
      <c r="AT36" s="3">
        <v>2</v>
      </c>
      <c r="AU36" s="3">
        <v>3</v>
      </c>
      <c r="AV36" s="3">
        <v>0</v>
      </c>
      <c r="AW36" s="3">
        <v>0</v>
      </c>
      <c r="AX36" s="3">
        <v>3</v>
      </c>
      <c r="AY36" s="3">
        <v>1</v>
      </c>
      <c r="AZ36" s="3">
        <v>1</v>
      </c>
      <c r="BA36" s="3">
        <v>2</v>
      </c>
      <c r="BB36" s="3">
        <v>1</v>
      </c>
      <c r="BC36" s="3">
        <v>3</v>
      </c>
      <c r="BD36" s="3">
        <v>1</v>
      </c>
      <c r="BE36" s="3">
        <v>3</v>
      </c>
      <c r="BF36" s="3">
        <v>2</v>
      </c>
      <c r="BG36" s="3">
        <v>4</v>
      </c>
      <c r="BH36" s="3">
        <v>2</v>
      </c>
      <c r="BI36" s="3">
        <v>1</v>
      </c>
      <c r="BJ36" s="3">
        <v>3</v>
      </c>
      <c r="BK36" s="3">
        <v>2</v>
      </c>
      <c r="BL36" s="3">
        <v>2</v>
      </c>
      <c r="BM36" s="3">
        <v>3</v>
      </c>
      <c r="BN36" s="3">
        <v>2</v>
      </c>
      <c r="BO36" s="3">
        <v>2</v>
      </c>
      <c r="BP36" s="3">
        <v>2</v>
      </c>
      <c r="BQ36" s="3">
        <v>3</v>
      </c>
      <c r="BR36" s="3">
        <v>0</v>
      </c>
      <c r="BS36" s="3">
        <v>2</v>
      </c>
      <c r="BT36" s="3">
        <v>2</v>
      </c>
      <c r="BU36" s="3">
        <v>0</v>
      </c>
      <c r="BV36" s="3">
        <v>1</v>
      </c>
      <c r="BW36" s="3">
        <v>2</v>
      </c>
      <c r="BX36" s="3">
        <v>0</v>
      </c>
      <c r="BY36" s="3">
        <v>3</v>
      </c>
      <c r="BZ36" s="3">
        <v>1</v>
      </c>
      <c r="CA36" s="3">
        <v>4</v>
      </c>
      <c r="CB36" s="3">
        <v>1</v>
      </c>
      <c r="CC36" s="3">
        <v>1</v>
      </c>
      <c r="CD36" s="3">
        <v>2</v>
      </c>
      <c r="CE36" s="3">
        <v>2</v>
      </c>
      <c r="CF36" s="3">
        <v>2</v>
      </c>
      <c r="CG36" s="3">
        <v>3</v>
      </c>
      <c r="CH36" s="3">
        <v>0</v>
      </c>
      <c r="CI36" s="3">
        <v>3</v>
      </c>
      <c r="CJ36" s="3">
        <v>1</v>
      </c>
      <c r="CK36" s="3">
        <v>1</v>
      </c>
      <c r="CL36" s="3">
        <v>3</v>
      </c>
      <c r="CM36" s="3">
        <v>4</v>
      </c>
      <c r="CN36" s="3">
        <v>1</v>
      </c>
      <c r="CO36" s="3">
        <v>2</v>
      </c>
      <c r="CP36" s="3">
        <v>2</v>
      </c>
      <c r="CQ36" s="3">
        <v>3</v>
      </c>
      <c r="CR36" s="3">
        <v>0</v>
      </c>
      <c r="CS36" s="3">
        <v>3</v>
      </c>
      <c r="CT36" s="3">
        <v>0</v>
      </c>
      <c r="CU36" s="3">
        <v>2</v>
      </c>
      <c r="CV36" s="3">
        <v>4</v>
      </c>
      <c r="CW36" s="3">
        <v>4</v>
      </c>
      <c r="CX36" s="3">
        <v>1</v>
      </c>
      <c r="CY36" s="3">
        <v>1</v>
      </c>
      <c r="CZ36" s="3">
        <v>3</v>
      </c>
      <c r="DA36" s="3">
        <v>2</v>
      </c>
      <c r="DB36" s="3">
        <v>0</v>
      </c>
      <c r="DC36" s="3">
        <v>0</v>
      </c>
      <c r="DD36" s="3">
        <v>3</v>
      </c>
      <c r="DE36" s="3">
        <v>1</v>
      </c>
      <c r="DF36" s="3">
        <v>3</v>
      </c>
      <c r="DG36" s="3">
        <v>0</v>
      </c>
      <c r="DH36" s="3">
        <v>3</v>
      </c>
      <c r="DI36" s="3">
        <v>3</v>
      </c>
      <c r="DJ36" s="3">
        <v>2</v>
      </c>
      <c r="DK36" s="3">
        <v>2</v>
      </c>
      <c r="DL36" s="3">
        <v>4</v>
      </c>
      <c r="DM36" s="3">
        <v>0</v>
      </c>
      <c r="DN36" s="3">
        <v>3</v>
      </c>
      <c r="DO36" s="3">
        <v>2</v>
      </c>
      <c r="DP36" s="3">
        <v>2</v>
      </c>
      <c r="DQ36" s="3">
        <v>2</v>
      </c>
      <c r="DR36" s="3">
        <v>1</v>
      </c>
      <c r="DS36" s="3">
        <v>1</v>
      </c>
      <c r="DT36" s="3">
        <v>3</v>
      </c>
      <c r="DU36" s="3">
        <v>3</v>
      </c>
      <c r="DV36" s="3">
        <v>2</v>
      </c>
      <c r="DW36" s="3">
        <v>3</v>
      </c>
      <c r="DX36" s="3">
        <v>0</v>
      </c>
      <c r="DY36" s="3">
        <v>0</v>
      </c>
      <c r="DZ36" s="3">
        <v>3</v>
      </c>
      <c r="EA36" s="3">
        <v>0</v>
      </c>
      <c r="EB36" s="3">
        <v>2</v>
      </c>
      <c r="EC36" s="3">
        <v>3</v>
      </c>
      <c r="ED36" s="3">
        <v>3</v>
      </c>
      <c r="EE36" s="3">
        <v>3</v>
      </c>
      <c r="EF36" s="3">
        <v>4</v>
      </c>
      <c r="EG36" s="3">
        <v>3</v>
      </c>
      <c r="EH36" s="3">
        <v>0</v>
      </c>
      <c r="EI36" s="3">
        <v>0</v>
      </c>
      <c r="EJ36" s="3">
        <v>0</v>
      </c>
      <c r="EK36" s="3">
        <v>0</v>
      </c>
      <c r="EL36" s="3">
        <v>3</v>
      </c>
      <c r="EM36" s="3">
        <v>3</v>
      </c>
      <c r="EN36" s="3">
        <v>4</v>
      </c>
      <c r="EO36" s="3">
        <v>0</v>
      </c>
      <c r="EP36" s="3">
        <v>0</v>
      </c>
    </row>
    <row r="37" spans="1:146" ht="14.25" customHeight="1" x14ac:dyDescent="0.25">
      <c r="A37" s="16">
        <v>37</v>
      </c>
      <c r="B37" s="17" t="s">
        <v>63</v>
      </c>
      <c r="C37" s="16">
        <v>2</v>
      </c>
      <c r="D37" s="16">
        <v>1</v>
      </c>
      <c r="E37" s="16">
        <v>2</v>
      </c>
      <c r="F37" s="16">
        <v>0</v>
      </c>
      <c r="G37" s="16">
        <v>1</v>
      </c>
      <c r="H37" s="16">
        <v>0</v>
      </c>
      <c r="I37" s="16">
        <v>2</v>
      </c>
      <c r="J37" s="16">
        <v>1</v>
      </c>
      <c r="K37" s="16">
        <v>1</v>
      </c>
      <c r="L37" s="16">
        <v>1</v>
      </c>
      <c r="M37" s="16">
        <v>1</v>
      </c>
      <c r="N37" s="16">
        <v>2</v>
      </c>
      <c r="O37" s="16">
        <v>2</v>
      </c>
      <c r="P37" s="16">
        <v>1</v>
      </c>
      <c r="Q37" s="16">
        <v>0</v>
      </c>
      <c r="R37" s="16">
        <v>1</v>
      </c>
      <c r="S37" s="16">
        <v>2</v>
      </c>
      <c r="T37" s="16">
        <v>3</v>
      </c>
      <c r="U37" s="16">
        <v>3</v>
      </c>
      <c r="V37" s="16">
        <v>1</v>
      </c>
      <c r="W37" s="16">
        <v>2</v>
      </c>
      <c r="X37" s="16">
        <v>1</v>
      </c>
      <c r="Y37" s="16">
        <v>1</v>
      </c>
      <c r="Z37" s="16">
        <v>1</v>
      </c>
      <c r="AA37" s="16">
        <v>1</v>
      </c>
      <c r="AB37" s="16">
        <v>2</v>
      </c>
      <c r="AC37" s="16">
        <v>3</v>
      </c>
      <c r="AD37" s="16">
        <v>0</v>
      </c>
      <c r="AE37" s="16">
        <v>1</v>
      </c>
      <c r="AF37" s="16">
        <v>0</v>
      </c>
      <c r="AG37" s="16">
        <v>2</v>
      </c>
      <c r="AH37" s="16">
        <v>0</v>
      </c>
      <c r="AI37" s="16">
        <v>2</v>
      </c>
      <c r="AJ37" s="16">
        <v>1</v>
      </c>
      <c r="AK37" s="16">
        <v>0</v>
      </c>
      <c r="AL37" s="16">
        <v>2</v>
      </c>
      <c r="AM37" s="16">
        <v>2</v>
      </c>
      <c r="AN37" s="16">
        <v>0</v>
      </c>
      <c r="AO37" s="16">
        <v>1</v>
      </c>
      <c r="AP37" s="16">
        <v>0</v>
      </c>
      <c r="AQ37" s="16">
        <v>1</v>
      </c>
      <c r="AR37" s="16">
        <v>2</v>
      </c>
      <c r="AS37" s="16">
        <v>2</v>
      </c>
      <c r="AT37" s="16">
        <v>2</v>
      </c>
      <c r="AU37" s="16">
        <v>3</v>
      </c>
      <c r="AV37" s="16">
        <v>0</v>
      </c>
      <c r="AW37" s="16">
        <v>1</v>
      </c>
      <c r="AX37" s="16">
        <v>2</v>
      </c>
      <c r="AY37" s="16">
        <v>0</v>
      </c>
      <c r="AZ37" s="16">
        <v>1</v>
      </c>
      <c r="BA37" s="16">
        <v>1</v>
      </c>
      <c r="BB37" s="16">
        <v>1</v>
      </c>
      <c r="BC37" s="16">
        <v>2</v>
      </c>
      <c r="BD37" s="16">
        <v>1</v>
      </c>
      <c r="BE37" s="16">
        <v>2</v>
      </c>
      <c r="BF37" s="16">
        <v>1</v>
      </c>
      <c r="BG37" s="16">
        <v>3</v>
      </c>
      <c r="BH37" s="16">
        <v>0</v>
      </c>
      <c r="BI37" s="16">
        <v>2</v>
      </c>
      <c r="BJ37" s="16">
        <v>2</v>
      </c>
      <c r="BK37" s="16">
        <v>1</v>
      </c>
      <c r="BL37" s="16">
        <v>1</v>
      </c>
      <c r="BM37" s="16">
        <v>3</v>
      </c>
      <c r="BN37" s="16">
        <v>1</v>
      </c>
      <c r="BO37" s="16">
        <v>2</v>
      </c>
      <c r="BP37" s="16">
        <v>1</v>
      </c>
      <c r="BQ37" s="16">
        <v>2</v>
      </c>
      <c r="BR37" s="16">
        <v>1</v>
      </c>
      <c r="BS37" s="16">
        <v>2</v>
      </c>
      <c r="BT37" s="16">
        <v>1</v>
      </c>
      <c r="BU37" s="16">
        <v>1</v>
      </c>
      <c r="BV37" s="16">
        <v>2</v>
      </c>
      <c r="BW37" s="16">
        <v>1</v>
      </c>
      <c r="BX37" s="16">
        <v>0</v>
      </c>
      <c r="BY37" s="16">
        <v>3</v>
      </c>
      <c r="BZ37" s="16">
        <v>1</v>
      </c>
      <c r="CA37" s="16">
        <v>2</v>
      </c>
      <c r="CB37" s="16">
        <v>0</v>
      </c>
      <c r="CC37" s="16">
        <v>0</v>
      </c>
      <c r="CD37" s="16">
        <v>1</v>
      </c>
      <c r="CE37" s="16">
        <v>2</v>
      </c>
      <c r="CF37" s="16">
        <v>0</v>
      </c>
      <c r="CG37" s="16">
        <v>2</v>
      </c>
      <c r="CH37" s="16">
        <v>0</v>
      </c>
      <c r="CI37" s="16">
        <v>2</v>
      </c>
      <c r="CJ37" s="16">
        <v>0</v>
      </c>
      <c r="CK37" s="16">
        <v>1</v>
      </c>
      <c r="CL37" s="16">
        <v>1</v>
      </c>
      <c r="CM37" s="16">
        <v>3</v>
      </c>
      <c r="CN37" s="16">
        <v>0</v>
      </c>
      <c r="CO37" s="16">
        <v>1</v>
      </c>
      <c r="CP37" s="16">
        <v>0</v>
      </c>
      <c r="CQ37" s="16">
        <v>2</v>
      </c>
      <c r="CR37" s="16">
        <v>0</v>
      </c>
      <c r="CS37" s="16">
        <v>3</v>
      </c>
      <c r="CT37" s="16">
        <v>0</v>
      </c>
      <c r="CU37" s="16">
        <v>0</v>
      </c>
      <c r="CV37" s="16">
        <v>2</v>
      </c>
      <c r="CW37" s="16">
        <v>2</v>
      </c>
      <c r="CX37" s="16">
        <v>0</v>
      </c>
      <c r="CY37" s="16">
        <v>1</v>
      </c>
      <c r="CZ37" s="16">
        <v>1</v>
      </c>
      <c r="DA37" s="16">
        <v>2</v>
      </c>
      <c r="DB37" s="16">
        <v>1</v>
      </c>
      <c r="DC37" s="16">
        <v>1</v>
      </c>
      <c r="DD37" s="16">
        <v>2</v>
      </c>
      <c r="DE37" s="16">
        <v>2</v>
      </c>
      <c r="DF37" s="16">
        <v>2</v>
      </c>
      <c r="DG37" s="16">
        <v>1</v>
      </c>
      <c r="DH37" s="16">
        <v>1</v>
      </c>
      <c r="DI37" s="16">
        <v>2</v>
      </c>
      <c r="DJ37" s="16">
        <v>3</v>
      </c>
      <c r="DK37" s="16">
        <v>1</v>
      </c>
      <c r="DL37" s="16">
        <v>2</v>
      </c>
      <c r="DM37" s="16">
        <v>1</v>
      </c>
      <c r="DN37" s="16">
        <v>3</v>
      </c>
      <c r="DO37" s="16">
        <v>1</v>
      </c>
      <c r="DP37" s="16">
        <v>2</v>
      </c>
      <c r="DQ37" s="16">
        <v>2</v>
      </c>
      <c r="DR37" s="16">
        <v>1</v>
      </c>
      <c r="DS37" s="16">
        <v>2</v>
      </c>
      <c r="DT37" s="16">
        <v>3</v>
      </c>
      <c r="DU37" s="16">
        <v>1</v>
      </c>
      <c r="DV37" s="16">
        <v>0</v>
      </c>
      <c r="DW37" s="16">
        <v>2</v>
      </c>
      <c r="DX37" s="16">
        <v>0</v>
      </c>
      <c r="DY37" s="16">
        <v>0</v>
      </c>
      <c r="DZ37" s="16">
        <v>3</v>
      </c>
      <c r="EA37" s="16">
        <v>2</v>
      </c>
      <c r="EB37" s="16">
        <v>2</v>
      </c>
      <c r="EC37" s="16">
        <v>1</v>
      </c>
      <c r="ED37" s="16">
        <v>2</v>
      </c>
      <c r="EE37" s="16">
        <v>1</v>
      </c>
      <c r="EF37" s="16">
        <v>3</v>
      </c>
      <c r="EG37" s="16">
        <v>2</v>
      </c>
      <c r="EH37" s="16">
        <v>0</v>
      </c>
      <c r="EI37" s="16">
        <v>1</v>
      </c>
      <c r="EJ37" s="16">
        <v>2</v>
      </c>
      <c r="EK37" s="16">
        <v>1</v>
      </c>
      <c r="EL37" s="16">
        <v>3</v>
      </c>
      <c r="EM37" s="16">
        <v>1</v>
      </c>
      <c r="EN37" s="16">
        <v>2</v>
      </c>
      <c r="EO37" s="16">
        <v>0</v>
      </c>
      <c r="EP37" s="16">
        <v>0</v>
      </c>
    </row>
    <row r="38" spans="1:146" ht="14.25" customHeight="1" x14ac:dyDescent="0.25">
      <c r="A38" s="15">
        <v>14</v>
      </c>
      <c r="B38" s="4" t="s">
        <v>39</v>
      </c>
      <c r="C38" s="3">
        <v>2</v>
      </c>
      <c r="D38" s="3">
        <v>0</v>
      </c>
      <c r="E38" s="3">
        <v>1</v>
      </c>
      <c r="F38" s="3">
        <v>1</v>
      </c>
      <c r="G38" s="3">
        <v>0</v>
      </c>
      <c r="H38" s="3">
        <v>1</v>
      </c>
      <c r="I38" s="3">
        <v>0</v>
      </c>
      <c r="J38" s="3">
        <v>1</v>
      </c>
      <c r="K38" s="3">
        <v>0</v>
      </c>
      <c r="L38" s="3">
        <v>1</v>
      </c>
      <c r="M38" s="3">
        <v>1</v>
      </c>
      <c r="N38" s="3">
        <v>0</v>
      </c>
      <c r="O38" s="3">
        <v>3</v>
      </c>
      <c r="P38" s="3">
        <v>1</v>
      </c>
      <c r="Q38" s="3">
        <v>0</v>
      </c>
      <c r="R38" s="3">
        <v>1</v>
      </c>
      <c r="S38" s="3">
        <v>1</v>
      </c>
      <c r="T38" s="3">
        <v>0</v>
      </c>
      <c r="U38" s="3">
        <v>2</v>
      </c>
      <c r="V38" s="3">
        <v>0</v>
      </c>
      <c r="W38" s="3">
        <v>2</v>
      </c>
      <c r="X38" s="3">
        <v>1</v>
      </c>
      <c r="Y38" s="3">
        <v>2</v>
      </c>
      <c r="Z38" s="3">
        <v>1</v>
      </c>
      <c r="AA38" s="3">
        <v>1</v>
      </c>
      <c r="AB38" s="3">
        <v>2</v>
      </c>
      <c r="AC38" s="3">
        <v>2</v>
      </c>
      <c r="AD38" s="3">
        <v>0</v>
      </c>
      <c r="AE38" s="3">
        <v>1</v>
      </c>
      <c r="AF38" s="3">
        <v>0</v>
      </c>
      <c r="AG38" s="3">
        <v>0</v>
      </c>
      <c r="AH38" s="3">
        <v>1</v>
      </c>
      <c r="AI38" s="3">
        <v>3</v>
      </c>
      <c r="AJ38" s="3">
        <v>1</v>
      </c>
      <c r="AK38" s="3">
        <v>1</v>
      </c>
      <c r="AL38" s="3">
        <v>0</v>
      </c>
      <c r="AM38" s="3">
        <v>2</v>
      </c>
      <c r="AN38" s="3">
        <v>0</v>
      </c>
      <c r="AO38" s="3">
        <v>2</v>
      </c>
      <c r="AP38" s="3">
        <v>0</v>
      </c>
      <c r="AQ38" s="3">
        <v>1</v>
      </c>
      <c r="AR38" s="3">
        <v>2</v>
      </c>
      <c r="AS38" s="3">
        <v>2</v>
      </c>
      <c r="AT38" s="3">
        <v>1</v>
      </c>
      <c r="AU38" s="3">
        <v>2</v>
      </c>
      <c r="AV38" s="3">
        <v>0</v>
      </c>
      <c r="AW38" s="3">
        <v>1</v>
      </c>
      <c r="AX38" s="3">
        <v>2</v>
      </c>
      <c r="AY38" s="3">
        <v>1</v>
      </c>
      <c r="AZ38" s="3">
        <v>0</v>
      </c>
      <c r="BA38" s="3">
        <v>1</v>
      </c>
      <c r="BB38" s="3">
        <v>1</v>
      </c>
      <c r="BC38" s="3">
        <v>0</v>
      </c>
      <c r="BD38" s="3">
        <v>1</v>
      </c>
      <c r="BE38" s="3">
        <v>1</v>
      </c>
      <c r="BF38" s="3">
        <v>1</v>
      </c>
      <c r="BG38" s="3">
        <v>2</v>
      </c>
      <c r="BH38" s="3">
        <v>1</v>
      </c>
      <c r="BI38" s="3">
        <v>2</v>
      </c>
      <c r="BJ38" s="3">
        <v>0</v>
      </c>
      <c r="BK38" s="3">
        <v>0</v>
      </c>
      <c r="BL38" s="3">
        <v>1</v>
      </c>
      <c r="BM38" s="3">
        <v>1</v>
      </c>
      <c r="BN38" s="3">
        <v>2</v>
      </c>
      <c r="BO38" s="3">
        <v>2</v>
      </c>
      <c r="BP38" s="3">
        <v>0</v>
      </c>
      <c r="BQ38" s="3">
        <v>2</v>
      </c>
      <c r="BR38" s="3">
        <v>0</v>
      </c>
      <c r="BS38" s="3">
        <v>1</v>
      </c>
      <c r="BT38" s="3">
        <v>0</v>
      </c>
      <c r="BU38" s="3">
        <v>0</v>
      </c>
      <c r="BV38" s="3">
        <v>1</v>
      </c>
      <c r="BW38" s="3">
        <v>2</v>
      </c>
      <c r="BX38" s="3">
        <v>1</v>
      </c>
      <c r="BY38" s="3">
        <v>2</v>
      </c>
      <c r="BZ38" s="3">
        <v>0</v>
      </c>
      <c r="CA38" s="3">
        <v>0</v>
      </c>
      <c r="CB38" s="3">
        <v>1</v>
      </c>
      <c r="CC38" s="3">
        <v>0</v>
      </c>
      <c r="CD38" s="3">
        <v>2</v>
      </c>
      <c r="CE38" s="3">
        <v>1</v>
      </c>
      <c r="CF38" s="3">
        <v>0</v>
      </c>
      <c r="CG38" s="3">
        <v>3</v>
      </c>
      <c r="CH38" s="3">
        <v>0</v>
      </c>
      <c r="CI38" s="3">
        <v>2</v>
      </c>
      <c r="CJ38" s="3">
        <v>1</v>
      </c>
      <c r="CK38" s="3">
        <v>0</v>
      </c>
      <c r="CL38" s="3">
        <v>0</v>
      </c>
      <c r="CM38" s="3">
        <v>2</v>
      </c>
      <c r="CN38" s="3">
        <v>0</v>
      </c>
      <c r="CO38" s="3">
        <v>0</v>
      </c>
      <c r="CP38" s="3">
        <v>1</v>
      </c>
      <c r="CQ38" s="3">
        <v>3</v>
      </c>
      <c r="CR38" s="3">
        <v>0</v>
      </c>
      <c r="CS38" s="3">
        <v>1</v>
      </c>
      <c r="CT38" s="3">
        <v>0</v>
      </c>
      <c r="CU38" s="3">
        <v>1</v>
      </c>
      <c r="CV38" s="3">
        <v>2</v>
      </c>
      <c r="CW38" s="3">
        <v>0</v>
      </c>
      <c r="CX38" s="3">
        <v>1</v>
      </c>
      <c r="CY38" s="3">
        <v>1</v>
      </c>
      <c r="CZ38" s="3">
        <v>0</v>
      </c>
      <c r="DA38" s="3">
        <v>1</v>
      </c>
      <c r="DB38" s="3">
        <v>0</v>
      </c>
      <c r="DC38" s="3">
        <v>0</v>
      </c>
      <c r="DD38" s="3">
        <v>1</v>
      </c>
      <c r="DE38" s="3">
        <v>0</v>
      </c>
      <c r="DF38" s="3">
        <v>1</v>
      </c>
      <c r="DG38" s="3">
        <v>0</v>
      </c>
      <c r="DH38" s="3">
        <v>1</v>
      </c>
      <c r="DI38" s="3">
        <v>0</v>
      </c>
      <c r="DJ38" s="3">
        <v>2</v>
      </c>
      <c r="DK38" s="3">
        <v>1</v>
      </c>
      <c r="DL38" s="3">
        <v>1</v>
      </c>
      <c r="DM38" s="3">
        <v>0</v>
      </c>
      <c r="DN38" s="3">
        <v>2</v>
      </c>
      <c r="DO38" s="3">
        <v>0</v>
      </c>
      <c r="DP38" s="3">
        <v>1</v>
      </c>
      <c r="DQ38" s="3">
        <v>1</v>
      </c>
      <c r="DR38" s="3">
        <v>2</v>
      </c>
      <c r="DS38" s="3">
        <v>0</v>
      </c>
      <c r="DT38" s="3">
        <v>2</v>
      </c>
      <c r="DU38" s="3">
        <v>1</v>
      </c>
      <c r="DV38" s="3">
        <v>2</v>
      </c>
      <c r="DW38" s="3">
        <v>2</v>
      </c>
      <c r="DX38" s="3">
        <v>1</v>
      </c>
      <c r="DY38" s="3">
        <v>0</v>
      </c>
      <c r="DZ38" s="3">
        <v>2</v>
      </c>
      <c r="EA38" s="3">
        <v>1</v>
      </c>
      <c r="EB38" s="3">
        <v>0</v>
      </c>
      <c r="EC38" s="3">
        <v>1</v>
      </c>
      <c r="ED38" s="3">
        <v>2</v>
      </c>
      <c r="EE38" s="3">
        <v>0</v>
      </c>
      <c r="EF38" s="3">
        <v>2</v>
      </c>
      <c r="EG38" s="3">
        <v>2</v>
      </c>
      <c r="EH38" s="3">
        <v>0</v>
      </c>
      <c r="EI38" s="3">
        <v>0</v>
      </c>
      <c r="EJ38" s="3">
        <v>1</v>
      </c>
      <c r="EK38" s="3">
        <v>0</v>
      </c>
      <c r="EL38" s="3">
        <v>2</v>
      </c>
      <c r="EM38" s="3">
        <v>1</v>
      </c>
      <c r="EN38" s="3">
        <v>2</v>
      </c>
      <c r="EO38" s="3">
        <v>1</v>
      </c>
      <c r="EP38" s="3">
        <v>1</v>
      </c>
    </row>
    <row r="39" spans="1:146" ht="14.25" customHeight="1" x14ac:dyDescent="0.25">
      <c r="A39" s="16">
        <v>38</v>
      </c>
      <c r="B39" s="17" t="s">
        <v>49</v>
      </c>
      <c r="C39" s="16">
        <v>2</v>
      </c>
      <c r="D39" s="16">
        <v>0</v>
      </c>
      <c r="E39" s="16">
        <v>1</v>
      </c>
      <c r="F39" s="16">
        <v>1</v>
      </c>
      <c r="G39" s="16">
        <v>2</v>
      </c>
      <c r="H39" s="16">
        <v>1</v>
      </c>
      <c r="I39" s="16">
        <v>2</v>
      </c>
      <c r="J39" s="16">
        <v>0</v>
      </c>
      <c r="K39" s="16">
        <v>0</v>
      </c>
      <c r="L39" s="16">
        <v>0</v>
      </c>
      <c r="M39" s="16">
        <v>1</v>
      </c>
      <c r="N39" s="16">
        <v>2</v>
      </c>
      <c r="O39" s="16">
        <v>2</v>
      </c>
      <c r="P39" s="16">
        <v>1</v>
      </c>
      <c r="Q39" s="16">
        <v>0</v>
      </c>
      <c r="R39" s="16">
        <v>2</v>
      </c>
      <c r="S39" s="16">
        <v>1</v>
      </c>
      <c r="T39" s="16">
        <v>1</v>
      </c>
      <c r="U39" s="16">
        <v>3</v>
      </c>
      <c r="V39" s="16">
        <v>0</v>
      </c>
      <c r="W39" s="16">
        <v>2</v>
      </c>
      <c r="X39" s="16">
        <v>1</v>
      </c>
      <c r="Y39" s="16">
        <v>1</v>
      </c>
      <c r="Z39" s="16">
        <v>0</v>
      </c>
      <c r="AA39" s="16">
        <v>1</v>
      </c>
      <c r="AB39" s="16">
        <v>2</v>
      </c>
      <c r="AC39" s="16">
        <v>3</v>
      </c>
      <c r="AD39" s="16">
        <v>0</v>
      </c>
      <c r="AE39" s="16">
        <v>2</v>
      </c>
      <c r="AF39" s="16">
        <v>1</v>
      </c>
      <c r="AG39" s="16">
        <v>2</v>
      </c>
      <c r="AH39" s="16">
        <v>0</v>
      </c>
      <c r="AI39" s="16">
        <v>2</v>
      </c>
      <c r="AJ39" s="16">
        <v>0</v>
      </c>
      <c r="AK39" s="16">
        <v>1</v>
      </c>
      <c r="AL39" s="16">
        <v>1</v>
      </c>
      <c r="AM39" s="16">
        <v>3</v>
      </c>
      <c r="AN39" s="16">
        <v>1</v>
      </c>
      <c r="AO39" s="16">
        <v>2</v>
      </c>
      <c r="AP39" s="16">
        <v>0</v>
      </c>
      <c r="AQ39" s="16">
        <v>1</v>
      </c>
      <c r="AR39" s="16">
        <v>1</v>
      </c>
      <c r="AS39" s="16">
        <v>1</v>
      </c>
      <c r="AT39" s="16">
        <v>1</v>
      </c>
      <c r="AU39" s="16">
        <v>2</v>
      </c>
      <c r="AV39" s="16">
        <v>0</v>
      </c>
      <c r="AW39" s="16">
        <v>0</v>
      </c>
      <c r="AX39" s="16">
        <v>2</v>
      </c>
      <c r="AY39" s="16">
        <v>2</v>
      </c>
      <c r="AZ39" s="16">
        <v>0</v>
      </c>
      <c r="BA39" s="16">
        <v>1</v>
      </c>
      <c r="BB39" s="16">
        <v>0</v>
      </c>
      <c r="BC39" s="16">
        <v>2</v>
      </c>
      <c r="BD39" s="16">
        <v>1</v>
      </c>
      <c r="BE39" s="16">
        <v>2</v>
      </c>
      <c r="BF39" s="16">
        <v>0</v>
      </c>
      <c r="BG39" s="16">
        <v>3</v>
      </c>
      <c r="BH39" s="16">
        <v>0</v>
      </c>
      <c r="BI39" s="16">
        <v>1</v>
      </c>
      <c r="BJ39" s="16">
        <v>2</v>
      </c>
      <c r="BK39" s="16">
        <v>2</v>
      </c>
      <c r="BL39" s="16">
        <v>1</v>
      </c>
      <c r="BM39" s="16">
        <v>2</v>
      </c>
      <c r="BN39" s="16">
        <v>0</v>
      </c>
      <c r="BO39" s="16">
        <v>3</v>
      </c>
      <c r="BP39" s="16">
        <v>1</v>
      </c>
      <c r="BQ39" s="16">
        <v>2</v>
      </c>
      <c r="BR39" s="16">
        <v>0</v>
      </c>
      <c r="BS39" s="16">
        <v>1</v>
      </c>
      <c r="BT39" s="16">
        <v>1</v>
      </c>
      <c r="BU39" s="16">
        <v>0</v>
      </c>
      <c r="BV39" s="16">
        <v>2</v>
      </c>
      <c r="BW39" s="16">
        <v>2</v>
      </c>
      <c r="BX39" s="16">
        <v>0</v>
      </c>
      <c r="BY39" s="16">
        <v>2</v>
      </c>
      <c r="BZ39" s="16">
        <v>0</v>
      </c>
      <c r="CA39" s="16">
        <v>1</v>
      </c>
      <c r="CB39" s="16">
        <v>1</v>
      </c>
      <c r="CC39" s="16">
        <v>0</v>
      </c>
      <c r="CD39" s="16">
        <v>1</v>
      </c>
      <c r="CE39" s="16">
        <v>2</v>
      </c>
      <c r="CF39" s="16">
        <v>1</v>
      </c>
      <c r="CG39" s="16">
        <v>3</v>
      </c>
      <c r="CH39" s="16">
        <v>0</v>
      </c>
      <c r="CI39" s="16">
        <v>2</v>
      </c>
      <c r="CJ39" s="16">
        <v>0</v>
      </c>
      <c r="CK39" s="16">
        <v>0</v>
      </c>
      <c r="CL39" s="16">
        <v>1</v>
      </c>
      <c r="CM39" s="16">
        <v>2</v>
      </c>
      <c r="CN39" s="16">
        <v>1</v>
      </c>
      <c r="CO39" s="16">
        <v>1</v>
      </c>
      <c r="CP39" s="16">
        <v>2</v>
      </c>
      <c r="CQ39" s="16">
        <v>2</v>
      </c>
      <c r="CR39" s="16">
        <v>0</v>
      </c>
      <c r="CS39" s="16">
        <v>1</v>
      </c>
      <c r="CT39" s="16">
        <v>1</v>
      </c>
      <c r="CU39" s="16">
        <v>1</v>
      </c>
      <c r="CV39" s="16">
        <v>3</v>
      </c>
      <c r="CW39" s="16">
        <v>2</v>
      </c>
      <c r="CX39" s="16">
        <v>0</v>
      </c>
      <c r="CY39" s="16">
        <v>1</v>
      </c>
      <c r="CZ39" s="16">
        <v>1</v>
      </c>
      <c r="DA39" s="16">
        <v>2</v>
      </c>
      <c r="DB39" s="16">
        <v>1</v>
      </c>
      <c r="DC39" s="16">
        <v>1</v>
      </c>
      <c r="DD39" s="16">
        <v>2</v>
      </c>
      <c r="DE39" s="16">
        <v>1</v>
      </c>
      <c r="DF39" s="16">
        <v>1</v>
      </c>
      <c r="DG39" s="16">
        <v>0</v>
      </c>
      <c r="DH39" s="16">
        <v>3</v>
      </c>
      <c r="DI39" s="16">
        <v>1</v>
      </c>
      <c r="DJ39" s="16">
        <v>2</v>
      </c>
      <c r="DK39" s="16">
        <v>2</v>
      </c>
      <c r="DL39" s="16">
        <v>1</v>
      </c>
      <c r="DM39" s="16">
        <v>0</v>
      </c>
      <c r="DN39" s="16">
        <v>1</v>
      </c>
      <c r="DO39" s="16">
        <v>1</v>
      </c>
      <c r="DP39" s="16">
        <v>2</v>
      </c>
      <c r="DQ39" s="16">
        <v>2</v>
      </c>
      <c r="DR39" s="16">
        <v>1</v>
      </c>
      <c r="DS39" s="16">
        <v>1</v>
      </c>
      <c r="DT39" s="16">
        <v>2</v>
      </c>
      <c r="DU39" s="16">
        <v>2</v>
      </c>
      <c r="DV39" s="16">
        <v>0</v>
      </c>
      <c r="DW39" s="16">
        <v>1</v>
      </c>
      <c r="DX39" s="16">
        <v>1</v>
      </c>
      <c r="DY39" s="16">
        <v>0</v>
      </c>
      <c r="DZ39" s="16">
        <v>2</v>
      </c>
      <c r="EA39" s="16">
        <v>1</v>
      </c>
      <c r="EB39" s="16">
        <v>2</v>
      </c>
      <c r="EC39" s="16">
        <v>1</v>
      </c>
      <c r="ED39" s="16">
        <v>1</v>
      </c>
      <c r="EE39" s="16">
        <v>0</v>
      </c>
      <c r="EF39" s="16">
        <v>2</v>
      </c>
      <c r="EG39" s="16">
        <v>2</v>
      </c>
      <c r="EH39" s="16">
        <v>1</v>
      </c>
      <c r="EI39" s="16">
        <v>1</v>
      </c>
      <c r="EJ39" s="16">
        <v>0</v>
      </c>
      <c r="EK39" s="16">
        <v>0</v>
      </c>
      <c r="EL39" s="16">
        <v>3</v>
      </c>
      <c r="EM39" s="16">
        <v>2</v>
      </c>
      <c r="EN39" s="16">
        <v>2</v>
      </c>
      <c r="EO39" s="16">
        <v>1</v>
      </c>
      <c r="EP39" s="16">
        <v>1</v>
      </c>
    </row>
    <row r="40" spans="1:146" ht="14.25" customHeight="1" x14ac:dyDescent="0.25">
      <c r="A40" s="15">
        <v>39</v>
      </c>
      <c r="B40" s="4" t="s">
        <v>43</v>
      </c>
      <c r="C40" s="3">
        <v>3</v>
      </c>
      <c r="D40" s="3">
        <v>1</v>
      </c>
      <c r="E40" s="3">
        <v>2</v>
      </c>
      <c r="F40" s="3">
        <v>2</v>
      </c>
      <c r="G40" s="3">
        <v>3</v>
      </c>
      <c r="H40" s="3">
        <v>1</v>
      </c>
      <c r="I40" s="3">
        <v>3</v>
      </c>
      <c r="J40" s="3">
        <v>0</v>
      </c>
      <c r="K40" s="3">
        <v>0</v>
      </c>
      <c r="L40" s="3">
        <v>1</v>
      </c>
      <c r="M40" s="3">
        <v>2</v>
      </c>
      <c r="N40" s="3">
        <v>3</v>
      </c>
      <c r="O40" s="3">
        <v>3</v>
      </c>
      <c r="P40" s="3">
        <v>1</v>
      </c>
      <c r="Q40" s="3">
        <v>0</v>
      </c>
      <c r="R40" s="3">
        <v>3</v>
      </c>
      <c r="S40" s="3">
        <v>1</v>
      </c>
      <c r="T40" s="3">
        <v>2</v>
      </c>
      <c r="U40" s="3">
        <v>4</v>
      </c>
      <c r="V40" s="3">
        <v>0</v>
      </c>
      <c r="W40" s="3">
        <v>3</v>
      </c>
      <c r="X40" s="3">
        <v>1</v>
      </c>
      <c r="Y40" s="3">
        <v>2</v>
      </c>
      <c r="Z40" s="3">
        <v>1</v>
      </c>
      <c r="AA40" s="3">
        <v>2</v>
      </c>
      <c r="AB40" s="3">
        <v>3</v>
      </c>
      <c r="AC40" s="3">
        <v>4</v>
      </c>
      <c r="AD40" s="3">
        <v>1</v>
      </c>
      <c r="AE40" s="3">
        <v>3</v>
      </c>
      <c r="AF40" s="3">
        <v>1</v>
      </c>
      <c r="AG40" s="3">
        <v>3</v>
      </c>
      <c r="AH40" s="3">
        <v>0</v>
      </c>
      <c r="AI40" s="3">
        <v>3</v>
      </c>
      <c r="AJ40" s="3">
        <v>1</v>
      </c>
      <c r="AK40" s="3">
        <v>2</v>
      </c>
      <c r="AL40" s="3">
        <v>2</v>
      </c>
      <c r="AM40" s="3">
        <v>3</v>
      </c>
      <c r="AN40" s="3">
        <v>0</v>
      </c>
      <c r="AO40" s="3">
        <v>2</v>
      </c>
      <c r="AP40" s="3">
        <v>1</v>
      </c>
      <c r="AQ40" s="3">
        <v>2</v>
      </c>
      <c r="AR40" s="3">
        <v>2</v>
      </c>
      <c r="AS40" s="3">
        <v>1</v>
      </c>
      <c r="AT40" s="3">
        <v>1</v>
      </c>
      <c r="AU40" s="3">
        <v>3</v>
      </c>
      <c r="AV40" s="3">
        <v>0</v>
      </c>
      <c r="AW40" s="3">
        <v>0</v>
      </c>
      <c r="AX40" s="3">
        <v>3</v>
      </c>
      <c r="AY40" s="3">
        <v>3</v>
      </c>
      <c r="AZ40" s="3">
        <v>1</v>
      </c>
      <c r="BA40" s="3">
        <v>2</v>
      </c>
      <c r="BB40" s="3">
        <v>0</v>
      </c>
      <c r="BC40" s="3">
        <v>2</v>
      </c>
      <c r="BD40" s="3">
        <v>1</v>
      </c>
      <c r="BE40" s="3">
        <v>3</v>
      </c>
      <c r="BF40" s="3">
        <v>1</v>
      </c>
      <c r="BG40" s="3">
        <v>3</v>
      </c>
      <c r="BH40" s="3">
        <v>0</v>
      </c>
      <c r="BI40" s="3">
        <v>1</v>
      </c>
      <c r="BJ40" s="3">
        <v>3</v>
      </c>
      <c r="BK40" s="3">
        <v>3</v>
      </c>
      <c r="BL40" s="3">
        <v>2</v>
      </c>
      <c r="BM40" s="3">
        <v>2</v>
      </c>
      <c r="BN40" s="3">
        <v>1</v>
      </c>
      <c r="BO40" s="3">
        <v>4</v>
      </c>
      <c r="BP40" s="3">
        <v>1</v>
      </c>
      <c r="BQ40" s="3">
        <v>3</v>
      </c>
      <c r="BR40" s="3">
        <v>0</v>
      </c>
      <c r="BS40" s="3">
        <v>2</v>
      </c>
      <c r="BT40" s="3">
        <v>1</v>
      </c>
      <c r="BU40" s="3">
        <v>1</v>
      </c>
      <c r="BV40" s="3">
        <v>2</v>
      </c>
      <c r="BW40" s="3">
        <v>3</v>
      </c>
      <c r="BX40" s="3">
        <v>0</v>
      </c>
      <c r="BY40" s="3">
        <v>3</v>
      </c>
      <c r="BZ40" s="3">
        <v>1</v>
      </c>
      <c r="CA40" s="3">
        <v>2</v>
      </c>
      <c r="CB40" s="3">
        <v>1</v>
      </c>
      <c r="CC40" s="3">
        <v>0</v>
      </c>
      <c r="CD40" s="3">
        <v>2</v>
      </c>
      <c r="CE40" s="3">
        <v>3</v>
      </c>
      <c r="CF40" s="3">
        <v>1</v>
      </c>
      <c r="CG40" s="3">
        <v>3</v>
      </c>
      <c r="CH40" s="3">
        <v>0</v>
      </c>
      <c r="CI40" s="3">
        <v>3</v>
      </c>
      <c r="CJ40" s="3">
        <v>1</v>
      </c>
      <c r="CK40" s="3">
        <v>1</v>
      </c>
      <c r="CL40" s="3">
        <v>2</v>
      </c>
      <c r="CM40" s="3">
        <v>3</v>
      </c>
      <c r="CN40" s="3">
        <v>0</v>
      </c>
      <c r="CO40" s="3">
        <v>1</v>
      </c>
      <c r="CP40" s="3">
        <v>3</v>
      </c>
      <c r="CQ40" s="3">
        <v>3</v>
      </c>
      <c r="CR40" s="3">
        <v>0</v>
      </c>
      <c r="CS40" s="3">
        <v>2</v>
      </c>
      <c r="CT40" s="3">
        <v>1</v>
      </c>
      <c r="CU40" s="3">
        <v>0</v>
      </c>
      <c r="CV40" s="3">
        <v>4</v>
      </c>
      <c r="CW40" s="3">
        <v>2</v>
      </c>
      <c r="CX40" s="3">
        <v>1</v>
      </c>
      <c r="CY40" s="3">
        <v>1</v>
      </c>
      <c r="CZ40" s="3">
        <v>2</v>
      </c>
      <c r="DA40" s="3">
        <v>1</v>
      </c>
      <c r="DB40" s="3">
        <v>1</v>
      </c>
      <c r="DC40" s="3">
        <v>1</v>
      </c>
      <c r="DD40" s="3">
        <v>3</v>
      </c>
      <c r="DE40" s="3">
        <v>2</v>
      </c>
      <c r="DF40" s="3">
        <v>1</v>
      </c>
      <c r="DG40" s="3">
        <v>1</v>
      </c>
      <c r="DH40" s="3">
        <v>3</v>
      </c>
      <c r="DI40" s="3">
        <v>1</v>
      </c>
      <c r="DJ40" s="3">
        <v>4</v>
      </c>
      <c r="DK40" s="3">
        <v>2</v>
      </c>
      <c r="DL40" s="3">
        <v>0</v>
      </c>
      <c r="DM40" s="3">
        <v>0</v>
      </c>
      <c r="DN40" s="3">
        <v>2</v>
      </c>
      <c r="DO40" s="3">
        <v>2</v>
      </c>
      <c r="DP40" s="3">
        <v>1</v>
      </c>
      <c r="DQ40" s="3">
        <v>1</v>
      </c>
      <c r="DR40" s="3">
        <v>2</v>
      </c>
      <c r="DS40" s="3">
        <v>1</v>
      </c>
      <c r="DT40" s="3">
        <v>3</v>
      </c>
      <c r="DU40" s="3">
        <v>2</v>
      </c>
      <c r="DV40" s="3">
        <v>1</v>
      </c>
      <c r="DW40" s="3">
        <v>2</v>
      </c>
      <c r="DX40" s="3">
        <v>0</v>
      </c>
      <c r="DY40" s="3">
        <v>1</v>
      </c>
      <c r="DZ40" s="3">
        <v>4</v>
      </c>
      <c r="EA40" s="3">
        <v>0</v>
      </c>
      <c r="EB40" s="3">
        <v>2</v>
      </c>
      <c r="EC40" s="3">
        <v>1</v>
      </c>
      <c r="ED40" s="3">
        <v>2</v>
      </c>
      <c r="EE40" s="3">
        <v>0</v>
      </c>
      <c r="EF40" s="3">
        <v>3</v>
      </c>
      <c r="EG40" s="3">
        <v>3</v>
      </c>
      <c r="EH40" s="3">
        <v>1</v>
      </c>
      <c r="EI40" s="3">
        <v>2</v>
      </c>
      <c r="EJ40" s="3">
        <v>1</v>
      </c>
      <c r="EK40" s="3">
        <v>0</v>
      </c>
      <c r="EL40" s="3">
        <v>2</v>
      </c>
      <c r="EM40" s="3">
        <v>2</v>
      </c>
      <c r="EN40" s="3">
        <v>3</v>
      </c>
      <c r="EO40" s="3">
        <v>1</v>
      </c>
      <c r="EP40" s="3">
        <v>0</v>
      </c>
    </row>
    <row r="41" spans="1:146" ht="14.25" customHeight="1" x14ac:dyDescent="0.25">
      <c r="A41" s="16">
        <v>40</v>
      </c>
      <c r="B41" s="17" t="s">
        <v>51</v>
      </c>
      <c r="C41" s="16">
        <v>1</v>
      </c>
      <c r="D41" s="16">
        <v>2</v>
      </c>
      <c r="E41" s="16">
        <v>3</v>
      </c>
      <c r="F41" s="16">
        <v>0</v>
      </c>
      <c r="G41" s="16">
        <v>2</v>
      </c>
      <c r="H41" s="16">
        <v>0</v>
      </c>
      <c r="I41" s="16">
        <v>1</v>
      </c>
      <c r="J41" s="16">
        <v>2</v>
      </c>
      <c r="K41" s="16">
        <v>0</v>
      </c>
      <c r="L41" s="16">
        <v>1</v>
      </c>
      <c r="M41" s="16">
        <v>2</v>
      </c>
      <c r="N41" s="16">
        <v>2</v>
      </c>
      <c r="O41" s="16">
        <v>1</v>
      </c>
      <c r="P41" s="16">
        <v>1</v>
      </c>
      <c r="Q41" s="16">
        <v>0</v>
      </c>
      <c r="R41" s="16">
        <v>2</v>
      </c>
      <c r="S41" s="16">
        <v>2</v>
      </c>
      <c r="T41" s="16">
        <v>1</v>
      </c>
      <c r="U41" s="16">
        <v>3</v>
      </c>
      <c r="V41" s="16">
        <v>0</v>
      </c>
      <c r="W41" s="16">
        <v>2</v>
      </c>
      <c r="X41" s="16">
        <v>1</v>
      </c>
      <c r="Y41" s="16">
        <v>2</v>
      </c>
      <c r="Z41" s="16">
        <v>0</v>
      </c>
      <c r="AA41" s="16">
        <v>1</v>
      </c>
      <c r="AB41" s="16">
        <v>3</v>
      </c>
      <c r="AC41" s="16">
        <v>3</v>
      </c>
      <c r="AD41" s="16">
        <v>0</v>
      </c>
      <c r="AE41" s="16">
        <v>1</v>
      </c>
      <c r="AF41" s="16">
        <v>2</v>
      </c>
      <c r="AG41" s="16">
        <v>2</v>
      </c>
      <c r="AH41" s="16">
        <v>1</v>
      </c>
      <c r="AI41" s="16">
        <v>3</v>
      </c>
      <c r="AJ41" s="16">
        <v>1</v>
      </c>
      <c r="AK41" s="16">
        <v>0</v>
      </c>
      <c r="AL41" s="16">
        <v>2</v>
      </c>
      <c r="AM41" s="16">
        <v>4</v>
      </c>
      <c r="AN41" s="16">
        <v>0</v>
      </c>
      <c r="AO41" s="16">
        <v>3</v>
      </c>
      <c r="AP41" s="16">
        <v>1</v>
      </c>
      <c r="AQ41" s="16">
        <v>1</v>
      </c>
      <c r="AR41" s="16">
        <v>1</v>
      </c>
      <c r="AS41" s="16">
        <v>2</v>
      </c>
      <c r="AT41" s="16">
        <v>1</v>
      </c>
      <c r="AU41" s="16">
        <v>3</v>
      </c>
      <c r="AV41" s="16">
        <v>1</v>
      </c>
      <c r="AW41" s="16">
        <v>0</v>
      </c>
      <c r="AX41" s="16">
        <v>2</v>
      </c>
      <c r="AY41" s="16">
        <v>0</v>
      </c>
      <c r="AZ41" s="16">
        <v>1</v>
      </c>
      <c r="BA41" s="16">
        <v>3</v>
      </c>
      <c r="BB41" s="16">
        <v>1</v>
      </c>
      <c r="BC41" s="16">
        <v>1</v>
      </c>
      <c r="BD41" s="16">
        <v>0</v>
      </c>
      <c r="BE41" s="16">
        <v>1</v>
      </c>
      <c r="BF41" s="16">
        <v>3</v>
      </c>
      <c r="BG41" s="16">
        <v>3</v>
      </c>
      <c r="BH41" s="16">
        <v>1</v>
      </c>
      <c r="BI41" s="16">
        <v>1</v>
      </c>
      <c r="BJ41" s="16">
        <v>2</v>
      </c>
      <c r="BK41" s="16">
        <v>1</v>
      </c>
      <c r="BL41" s="16">
        <v>0</v>
      </c>
      <c r="BM41" s="16">
        <v>1</v>
      </c>
      <c r="BN41" s="16">
        <v>2</v>
      </c>
      <c r="BO41" s="16">
        <v>3</v>
      </c>
      <c r="BP41" s="16">
        <v>0</v>
      </c>
      <c r="BQ41" s="16">
        <v>1</v>
      </c>
      <c r="BR41" s="16">
        <v>1</v>
      </c>
      <c r="BS41" s="16">
        <v>3</v>
      </c>
      <c r="BT41" s="16">
        <v>2</v>
      </c>
      <c r="BU41" s="16">
        <v>0</v>
      </c>
      <c r="BV41" s="16">
        <v>2</v>
      </c>
      <c r="BW41" s="16">
        <v>4</v>
      </c>
      <c r="BX41" s="16">
        <v>0</v>
      </c>
      <c r="BY41" s="16">
        <v>2</v>
      </c>
      <c r="BZ41" s="16">
        <v>0</v>
      </c>
      <c r="CA41" s="16">
        <v>2</v>
      </c>
      <c r="CB41" s="16">
        <v>0</v>
      </c>
      <c r="CC41" s="16">
        <v>1</v>
      </c>
      <c r="CD41" s="16">
        <v>1</v>
      </c>
      <c r="CE41" s="16">
        <v>2</v>
      </c>
      <c r="CF41" s="16">
        <v>1</v>
      </c>
      <c r="CG41" s="16">
        <v>2</v>
      </c>
      <c r="CH41" s="16">
        <v>0</v>
      </c>
      <c r="CI41" s="16">
        <v>4</v>
      </c>
      <c r="CJ41" s="16">
        <v>2</v>
      </c>
      <c r="CK41" s="16">
        <v>2</v>
      </c>
      <c r="CL41" s="16">
        <v>1</v>
      </c>
      <c r="CM41" s="16">
        <v>3</v>
      </c>
      <c r="CN41" s="16">
        <v>0</v>
      </c>
      <c r="CO41" s="16">
        <v>1</v>
      </c>
      <c r="CP41" s="16">
        <v>1</v>
      </c>
      <c r="CQ41" s="16">
        <v>2</v>
      </c>
      <c r="CR41" s="16">
        <v>0</v>
      </c>
      <c r="CS41" s="16">
        <v>3</v>
      </c>
      <c r="CT41" s="16">
        <v>1</v>
      </c>
      <c r="CU41" s="16">
        <v>2</v>
      </c>
      <c r="CV41" s="16">
        <v>1</v>
      </c>
      <c r="CW41" s="16">
        <v>3</v>
      </c>
      <c r="CX41" s="16">
        <v>1</v>
      </c>
      <c r="CY41" s="16">
        <v>2</v>
      </c>
      <c r="CZ41" s="16">
        <v>1</v>
      </c>
      <c r="DA41" s="16">
        <v>0</v>
      </c>
      <c r="DB41" s="16">
        <v>0</v>
      </c>
      <c r="DC41" s="16">
        <v>0</v>
      </c>
      <c r="DD41" s="16">
        <v>1</v>
      </c>
      <c r="DE41" s="16">
        <v>1</v>
      </c>
      <c r="DF41" s="16">
        <v>3</v>
      </c>
      <c r="DG41" s="16">
        <v>0</v>
      </c>
      <c r="DH41" s="16">
        <v>0</v>
      </c>
      <c r="DI41" s="16">
        <v>1</v>
      </c>
      <c r="DJ41" s="16">
        <v>3</v>
      </c>
      <c r="DK41" s="16">
        <v>2</v>
      </c>
      <c r="DL41" s="16">
        <v>2</v>
      </c>
      <c r="DM41" s="16">
        <v>1</v>
      </c>
      <c r="DN41" s="16">
        <v>2</v>
      </c>
      <c r="DO41" s="16">
        <v>2</v>
      </c>
      <c r="DP41" s="16">
        <v>2</v>
      </c>
      <c r="DQ41" s="16">
        <v>1</v>
      </c>
      <c r="DR41" s="16">
        <v>2</v>
      </c>
      <c r="DS41" s="16">
        <v>2</v>
      </c>
      <c r="DT41" s="16">
        <v>2</v>
      </c>
      <c r="DU41" s="16">
        <v>1</v>
      </c>
      <c r="DV41" s="16">
        <v>1</v>
      </c>
      <c r="DW41" s="16">
        <v>1</v>
      </c>
      <c r="DX41" s="16">
        <v>0</v>
      </c>
      <c r="DY41" s="16">
        <v>2</v>
      </c>
      <c r="DZ41" s="16">
        <v>2</v>
      </c>
      <c r="EA41" s="16">
        <v>1</v>
      </c>
      <c r="EB41" s="16">
        <v>2</v>
      </c>
      <c r="EC41" s="16">
        <v>2</v>
      </c>
      <c r="ED41" s="16">
        <v>2</v>
      </c>
      <c r="EE41" s="16">
        <v>1</v>
      </c>
      <c r="EF41" s="16">
        <v>3</v>
      </c>
      <c r="EG41" s="16">
        <v>4</v>
      </c>
      <c r="EH41" s="16">
        <v>0</v>
      </c>
      <c r="EI41" s="16">
        <v>0</v>
      </c>
      <c r="EJ41" s="16">
        <v>2</v>
      </c>
      <c r="EK41" s="16">
        <v>1</v>
      </c>
      <c r="EL41" s="16">
        <v>4</v>
      </c>
      <c r="EM41" s="16">
        <v>1</v>
      </c>
      <c r="EN41" s="16">
        <v>3</v>
      </c>
      <c r="EO41" s="16">
        <v>1</v>
      </c>
      <c r="EP41" s="16">
        <v>1</v>
      </c>
    </row>
    <row r="42" spans="1:146" ht="14.25" customHeight="1" x14ac:dyDescent="0.25">
      <c r="A42" s="15">
        <v>41</v>
      </c>
      <c r="B42" s="4" t="s">
        <v>65</v>
      </c>
      <c r="C42" s="3">
        <v>2</v>
      </c>
      <c r="D42" s="3">
        <v>1</v>
      </c>
      <c r="E42" s="3">
        <v>1</v>
      </c>
      <c r="F42" s="3">
        <v>1</v>
      </c>
      <c r="G42" s="3">
        <v>2</v>
      </c>
      <c r="H42" s="3">
        <v>0</v>
      </c>
      <c r="I42" s="3">
        <v>1</v>
      </c>
      <c r="J42" s="3">
        <v>2</v>
      </c>
      <c r="K42" s="3">
        <v>0</v>
      </c>
      <c r="L42" s="3">
        <v>2</v>
      </c>
      <c r="M42" s="3">
        <v>1</v>
      </c>
      <c r="N42" s="3">
        <v>2</v>
      </c>
      <c r="O42" s="3">
        <v>3</v>
      </c>
      <c r="P42" s="3">
        <v>1</v>
      </c>
      <c r="Q42" s="3">
        <v>0</v>
      </c>
      <c r="R42" s="3">
        <v>2</v>
      </c>
      <c r="S42" s="3">
        <v>1</v>
      </c>
      <c r="T42" s="3">
        <v>1</v>
      </c>
      <c r="U42" s="3">
        <v>4</v>
      </c>
      <c r="V42" s="3">
        <v>0</v>
      </c>
      <c r="W42" s="3">
        <v>2</v>
      </c>
      <c r="X42" s="3">
        <v>1</v>
      </c>
      <c r="Y42" s="3">
        <v>2</v>
      </c>
      <c r="Z42" s="3">
        <v>0</v>
      </c>
      <c r="AA42" s="3">
        <v>0</v>
      </c>
      <c r="AB42" s="3">
        <v>2</v>
      </c>
      <c r="AC42" s="3">
        <v>3</v>
      </c>
      <c r="AD42" s="3">
        <v>0</v>
      </c>
      <c r="AE42" s="3">
        <v>1</v>
      </c>
      <c r="AF42" s="3">
        <v>0</v>
      </c>
      <c r="AG42" s="3">
        <v>2</v>
      </c>
      <c r="AH42" s="3">
        <v>1</v>
      </c>
      <c r="AI42" s="3">
        <v>3</v>
      </c>
      <c r="AJ42" s="3">
        <v>0</v>
      </c>
      <c r="AK42" s="3">
        <v>0</v>
      </c>
      <c r="AL42" s="3">
        <v>2</v>
      </c>
      <c r="AM42" s="3">
        <v>3</v>
      </c>
      <c r="AN42" s="3">
        <v>1</v>
      </c>
      <c r="AO42" s="3">
        <v>2</v>
      </c>
      <c r="AP42" s="3">
        <v>0</v>
      </c>
      <c r="AQ42" s="3">
        <v>1</v>
      </c>
      <c r="AR42" s="3">
        <v>2</v>
      </c>
      <c r="AS42" s="3">
        <v>2</v>
      </c>
      <c r="AT42" s="3">
        <v>1</v>
      </c>
      <c r="AU42" s="3">
        <v>3</v>
      </c>
      <c r="AV42" s="3">
        <v>0</v>
      </c>
      <c r="AW42" s="3">
        <v>0</v>
      </c>
      <c r="AX42" s="3">
        <v>2</v>
      </c>
      <c r="AY42" s="3">
        <v>2</v>
      </c>
      <c r="AZ42" s="3">
        <v>0</v>
      </c>
      <c r="BA42" s="3">
        <v>2</v>
      </c>
      <c r="BB42" s="3">
        <v>1</v>
      </c>
      <c r="BC42" s="3">
        <v>3</v>
      </c>
      <c r="BD42" s="3">
        <v>1</v>
      </c>
      <c r="BE42" s="3">
        <v>1</v>
      </c>
      <c r="BF42" s="3">
        <v>3</v>
      </c>
      <c r="BG42" s="3">
        <v>5</v>
      </c>
      <c r="BH42" s="3">
        <v>0</v>
      </c>
      <c r="BI42" s="3">
        <v>1</v>
      </c>
      <c r="BJ42" s="3">
        <v>2</v>
      </c>
      <c r="BK42" s="3">
        <v>1</v>
      </c>
      <c r="BL42" s="3">
        <v>1</v>
      </c>
      <c r="BM42" s="3">
        <v>2</v>
      </c>
      <c r="BN42" s="3">
        <v>0</v>
      </c>
      <c r="BO42" s="3">
        <v>2</v>
      </c>
      <c r="BP42" s="3">
        <v>1</v>
      </c>
      <c r="BQ42" s="3">
        <v>3</v>
      </c>
      <c r="BR42" s="3">
        <v>0</v>
      </c>
      <c r="BS42" s="3">
        <v>1</v>
      </c>
      <c r="BT42" s="3">
        <v>1</v>
      </c>
      <c r="BU42" s="3">
        <v>0</v>
      </c>
      <c r="BV42" s="3">
        <v>2</v>
      </c>
      <c r="BW42" s="3">
        <v>3</v>
      </c>
      <c r="BX42" s="3">
        <v>0</v>
      </c>
      <c r="BY42" s="3">
        <v>2</v>
      </c>
      <c r="BZ42" s="3">
        <v>0</v>
      </c>
      <c r="CA42" s="3">
        <v>3</v>
      </c>
      <c r="CB42" s="3">
        <v>1</v>
      </c>
      <c r="CC42" s="3">
        <v>0</v>
      </c>
      <c r="CD42" s="3">
        <v>2</v>
      </c>
      <c r="CE42" s="3">
        <v>1</v>
      </c>
      <c r="CF42" s="3">
        <v>1</v>
      </c>
      <c r="CG42" s="3">
        <v>4</v>
      </c>
      <c r="CH42" s="3">
        <v>0</v>
      </c>
      <c r="CI42" s="3">
        <v>3</v>
      </c>
      <c r="CJ42" s="3">
        <v>0</v>
      </c>
      <c r="CK42" s="3">
        <v>1</v>
      </c>
      <c r="CL42" s="3">
        <v>2</v>
      </c>
      <c r="CM42" s="3">
        <v>3</v>
      </c>
      <c r="CN42" s="3">
        <v>0</v>
      </c>
      <c r="CO42" s="3">
        <v>1</v>
      </c>
      <c r="CP42" s="3">
        <v>2</v>
      </c>
      <c r="CQ42" s="3">
        <v>3</v>
      </c>
      <c r="CR42" s="3">
        <v>1</v>
      </c>
      <c r="CS42" s="3">
        <v>2</v>
      </c>
      <c r="CT42" s="3">
        <v>0</v>
      </c>
      <c r="CU42" s="3">
        <v>1</v>
      </c>
      <c r="CV42" s="3">
        <v>3</v>
      </c>
      <c r="CW42" s="3">
        <v>3</v>
      </c>
      <c r="CX42" s="3">
        <v>1</v>
      </c>
      <c r="CY42" s="3">
        <v>1</v>
      </c>
      <c r="CZ42" s="3">
        <v>1</v>
      </c>
      <c r="DA42" s="3">
        <v>2</v>
      </c>
      <c r="DB42" s="3">
        <v>1</v>
      </c>
      <c r="DC42" s="3">
        <v>2</v>
      </c>
      <c r="DD42" s="3">
        <v>2</v>
      </c>
      <c r="DE42" s="3">
        <v>0</v>
      </c>
      <c r="DF42" s="3">
        <v>2</v>
      </c>
      <c r="DG42" s="3">
        <v>1</v>
      </c>
      <c r="DH42" s="3">
        <v>2</v>
      </c>
      <c r="DI42" s="3">
        <v>1</v>
      </c>
      <c r="DJ42" s="3">
        <v>3</v>
      </c>
      <c r="DK42" s="3">
        <v>2</v>
      </c>
      <c r="DL42" s="3">
        <v>1</v>
      </c>
      <c r="DM42" s="3">
        <v>1</v>
      </c>
      <c r="DN42" s="3">
        <v>3</v>
      </c>
      <c r="DO42" s="3">
        <v>2</v>
      </c>
      <c r="DP42" s="3">
        <v>2</v>
      </c>
      <c r="DQ42" s="3">
        <v>2</v>
      </c>
      <c r="DR42" s="3">
        <v>1</v>
      </c>
      <c r="DS42" s="3">
        <v>1</v>
      </c>
      <c r="DT42" s="3">
        <v>3</v>
      </c>
      <c r="DU42" s="3">
        <v>2</v>
      </c>
      <c r="DV42" s="3">
        <v>1</v>
      </c>
      <c r="DW42" s="3">
        <v>3</v>
      </c>
      <c r="DX42" s="3">
        <v>1</v>
      </c>
      <c r="DY42" s="3">
        <v>0</v>
      </c>
      <c r="DZ42" s="3">
        <v>3</v>
      </c>
      <c r="EA42" s="3">
        <v>0</v>
      </c>
      <c r="EB42" s="3">
        <v>2</v>
      </c>
      <c r="EC42" s="3">
        <v>1</v>
      </c>
      <c r="ED42" s="3">
        <v>2</v>
      </c>
      <c r="EE42" s="3">
        <v>2</v>
      </c>
      <c r="EF42" s="3">
        <v>4</v>
      </c>
      <c r="EG42" s="3">
        <v>3</v>
      </c>
      <c r="EH42" s="3">
        <v>1</v>
      </c>
      <c r="EI42" s="3">
        <v>1</v>
      </c>
      <c r="EJ42" s="3">
        <v>2</v>
      </c>
      <c r="EK42" s="3">
        <v>1</v>
      </c>
      <c r="EL42" s="3">
        <v>3</v>
      </c>
      <c r="EM42" s="3">
        <v>1</v>
      </c>
      <c r="EN42" s="3">
        <v>2</v>
      </c>
      <c r="EO42" s="3">
        <v>0</v>
      </c>
      <c r="EP42" s="3">
        <v>2</v>
      </c>
    </row>
    <row r="43" spans="1:146" ht="14.25" customHeight="1" x14ac:dyDescent="0.25">
      <c r="A43" s="16">
        <v>42</v>
      </c>
      <c r="B43" s="17" t="s">
        <v>12</v>
      </c>
      <c r="C43" s="16">
        <v>2</v>
      </c>
      <c r="D43" s="16">
        <v>1</v>
      </c>
      <c r="E43" s="16">
        <v>2</v>
      </c>
      <c r="F43" s="16">
        <v>1</v>
      </c>
      <c r="G43" s="16">
        <v>2</v>
      </c>
      <c r="H43" s="16">
        <v>1</v>
      </c>
      <c r="I43" s="16">
        <v>2</v>
      </c>
      <c r="J43" s="16">
        <v>1</v>
      </c>
      <c r="K43" s="16">
        <v>1</v>
      </c>
      <c r="L43" s="16">
        <v>1</v>
      </c>
      <c r="M43" s="16">
        <v>0</v>
      </c>
      <c r="N43" s="16">
        <v>2</v>
      </c>
      <c r="O43" s="16">
        <v>3</v>
      </c>
      <c r="P43" s="16">
        <v>2</v>
      </c>
      <c r="Q43" s="16">
        <v>1</v>
      </c>
      <c r="R43" s="16">
        <v>1</v>
      </c>
      <c r="S43" s="16">
        <v>1</v>
      </c>
      <c r="T43" s="16">
        <v>3</v>
      </c>
      <c r="U43" s="16">
        <v>3</v>
      </c>
      <c r="V43" s="16">
        <v>1</v>
      </c>
      <c r="W43" s="16">
        <v>2</v>
      </c>
      <c r="X43" s="16">
        <v>0</v>
      </c>
      <c r="Y43" s="16">
        <v>3</v>
      </c>
      <c r="Z43" s="16">
        <v>1</v>
      </c>
      <c r="AA43" s="16">
        <v>0</v>
      </c>
      <c r="AB43" s="16">
        <v>1</v>
      </c>
      <c r="AC43" s="16">
        <v>4</v>
      </c>
      <c r="AD43" s="16">
        <v>0</v>
      </c>
      <c r="AE43" s="16">
        <v>1</v>
      </c>
      <c r="AF43" s="16">
        <v>1</v>
      </c>
      <c r="AG43" s="16">
        <v>3</v>
      </c>
      <c r="AH43" s="16">
        <v>1</v>
      </c>
      <c r="AI43" s="16">
        <v>3</v>
      </c>
      <c r="AJ43" s="16">
        <v>1</v>
      </c>
      <c r="AK43" s="16">
        <v>0</v>
      </c>
      <c r="AL43" s="16">
        <v>4</v>
      </c>
      <c r="AM43" s="16">
        <v>2</v>
      </c>
      <c r="AN43" s="16">
        <v>0</v>
      </c>
      <c r="AO43" s="16">
        <v>0</v>
      </c>
      <c r="AP43" s="16">
        <v>0</v>
      </c>
      <c r="AQ43" s="16">
        <v>1</v>
      </c>
      <c r="AR43" s="16">
        <v>1</v>
      </c>
      <c r="AS43" s="16">
        <v>2</v>
      </c>
      <c r="AT43" s="16">
        <v>1</v>
      </c>
      <c r="AU43" s="16">
        <v>4</v>
      </c>
      <c r="AV43" s="16">
        <v>0</v>
      </c>
      <c r="AW43" s="16">
        <v>1</v>
      </c>
      <c r="AX43" s="16">
        <v>3</v>
      </c>
      <c r="AY43" s="16">
        <v>1</v>
      </c>
      <c r="AZ43" s="16">
        <v>1</v>
      </c>
      <c r="BA43" s="16">
        <v>2</v>
      </c>
      <c r="BB43" s="16">
        <v>0</v>
      </c>
      <c r="BC43" s="16">
        <v>2</v>
      </c>
      <c r="BD43" s="16">
        <v>1</v>
      </c>
      <c r="BE43" s="16">
        <v>2</v>
      </c>
      <c r="BF43" s="16">
        <v>0</v>
      </c>
      <c r="BG43" s="16">
        <v>4</v>
      </c>
      <c r="BH43" s="16">
        <v>0</v>
      </c>
      <c r="BI43" s="16">
        <v>0</v>
      </c>
      <c r="BJ43" s="16">
        <v>2</v>
      </c>
      <c r="BK43" s="16">
        <v>1</v>
      </c>
      <c r="BL43" s="16">
        <v>1</v>
      </c>
      <c r="BM43" s="16">
        <v>3</v>
      </c>
      <c r="BN43" s="16">
        <v>1</v>
      </c>
      <c r="BO43" s="16">
        <v>2</v>
      </c>
      <c r="BP43" s="16">
        <v>0</v>
      </c>
      <c r="BQ43" s="16">
        <v>4</v>
      </c>
      <c r="BR43" s="16">
        <v>1</v>
      </c>
      <c r="BS43" s="16">
        <v>2</v>
      </c>
      <c r="BT43" s="16">
        <v>2</v>
      </c>
      <c r="BU43" s="16">
        <v>0</v>
      </c>
      <c r="BV43" s="16">
        <v>2</v>
      </c>
      <c r="BW43" s="16">
        <v>2</v>
      </c>
      <c r="BX43" s="16">
        <v>0</v>
      </c>
      <c r="BY43" s="16">
        <v>4</v>
      </c>
      <c r="BZ43" s="16">
        <v>0</v>
      </c>
      <c r="CA43" s="16">
        <v>4</v>
      </c>
      <c r="CB43" s="16">
        <v>0</v>
      </c>
      <c r="CC43" s="16">
        <v>2</v>
      </c>
      <c r="CD43" s="16">
        <v>2</v>
      </c>
      <c r="CE43" s="16">
        <v>2</v>
      </c>
      <c r="CF43" s="16">
        <v>1</v>
      </c>
      <c r="CG43" s="16">
        <v>3</v>
      </c>
      <c r="CH43" s="16">
        <v>0</v>
      </c>
      <c r="CI43" s="16">
        <v>2</v>
      </c>
      <c r="CJ43" s="16">
        <v>1</v>
      </c>
      <c r="CK43" s="16">
        <v>0</v>
      </c>
      <c r="CL43" s="16">
        <v>0</v>
      </c>
      <c r="CM43" s="16">
        <v>2</v>
      </c>
      <c r="CN43" s="16">
        <v>0</v>
      </c>
      <c r="CO43" s="16">
        <v>1</v>
      </c>
      <c r="CP43" s="16">
        <v>1</v>
      </c>
      <c r="CQ43" s="16">
        <v>3</v>
      </c>
      <c r="CR43" s="16">
        <v>1</v>
      </c>
      <c r="CS43" s="16">
        <v>3</v>
      </c>
      <c r="CT43" s="16">
        <v>1</v>
      </c>
      <c r="CU43" s="16">
        <v>1</v>
      </c>
      <c r="CV43" s="16">
        <v>4</v>
      </c>
      <c r="CW43" s="16">
        <v>2</v>
      </c>
      <c r="CX43" s="16">
        <v>0</v>
      </c>
      <c r="CY43" s="16">
        <v>2</v>
      </c>
      <c r="CZ43" s="16">
        <v>2</v>
      </c>
      <c r="DA43" s="16">
        <v>2</v>
      </c>
      <c r="DB43" s="16">
        <v>2</v>
      </c>
      <c r="DC43" s="16">
        <v>2</v>
      </c>
      <c r="DD43" s="16">
        <v>2</v>
      </c>
      <c r="DE43" s="16">
        <v>1</v>
      </c>
      <c r="DF43" s="16">
        <v>2</v>
      </c>
      <c r="DG43" s="16">
        <v>1</v>
      </c>
      <c r="DH43" s="16">
        <v>1</v>
      </c>
      <c r="DI43" s="16">
        <v>2</v>
      </c>
      <c r="DJ43" s="16">
        <v>2</v>
      </c>
      <c r="DK43" s="16">
        <v>2</v>
      </c>
      <c r="DL43" s="16">
        <v>2</v>
      </c>
      <c r="DM43" s="16">
        <v>0</v>
      </c>
      <c r="DN43" s="16">
        <v>4</v>
      </c>
      <c r="DO43" s="16">
        <v>2</v>
      </c>
      <c r="DP43" s="16">
        <v>2</v>
      </c>
      <c r="DQ43" s="16">
        <v>3</v>
      </c>
      <c r="DR43" s="16">
        <v>2</v>
      </c>
      <c r="DS43" s="16">
        <v>2</v>
      </c>
      <c r="DT43" s="16">
        <v>4</v>
      </c>
      <c r="DU43" s="16">
        <v>2</v>
      </c>
      <c r="DV43" s="16">
        <v>2</v>
      </c>
      <c r="DW43" s="16">
        <v>1</v>
      </c>
      <c r="DX43" s="16">
        <v>0</v>
      </c>
      <c r="DY43" s="16">
        <v>1</v>
      </c>
      <c r="DZ43" s="16">
        <v>4</v>
      </c>
      <c r="EA43" s="16">
        <v>0</v>
      </c>
      <c r="EB43" s="16">
        <v>0</v>
      </c>
      <c r="EC43" s="16">
        <v>1</v>
      </c>
      <c r="ED43" s="16">
        <v>3</v>
      </c>
      <c r="EE43" s="16">
        <v>0</v>
      </c>
      <c r="EF43" s="16">
        <v>4</v>
      </c>
      <c r="EG43" s="16">
        <v>2</v>
      </c>
      <c r="EH43" s="16">
        <v>1</v>
      </c>
      <c r="EI43" s="16">
        <v>1</v>
      </c>
      <c r="EJ43" s="16">
        <v>1</v>
      </c>
      <c r="EK43" s="16">
        <v>1</v>
      </c>
      <c r="EL43" s="16">
        <v>3</v>
      </c>
      <c r="EM43" s="16">
        <v>3</v>
      </c>
      <c r="EN43" s="16">
        <v>3</v>
      </c>
      <c r="EO43" s="16">
        <v>1</v>
      </c>
      <c r="EP43" s="16">
        <v>2</v>
      </c>
    </row>
    <row r="44" spans="1:146" ht="14.25" customHeight="1" x14ac:dyDescent="0.25">
      <c r="A44" s="15">
        <v>43</v>
      </c>
      <c r="B44" s="4" t="s">
        <v>16</v>
      </c>
      <c r="C44" s="3">
        <v>2</v>
      </c>
      <c r="D44" s="3">
        <v>0</v>
      </c>
      <c r="E44" s="3">
        <v>1</v>
      </c>
      <c r="F44" s="3">
        <v>0</v>
      </c>
      <c r="G44" s="3">
        <v>1</v>
      </c>
      <c r="H44" s="3">
        <v>1</v>
      </c>
      <c r="I44" s="3">
        <v>2</v>
      </c>
      <c r="J44" s="3">
        <v>2</v>
      </c>
      <c r="K44" s="3">
        <v>0</v>
      </c>
      <c r="L44" s="3">
        <v>3</v>
      </c>
      <c r="M44" s="3">
        <v>1</v>
      </c>
      <c r="N44" s="3">
        <v>2</v>
      </c>
      <c r="O44" s="3">
        <v>1</v>
      </c>
      <c r="P44" s="3">
        <v>2</v>
      </c>
      <c r="Q44" s="3">
        <v>1</v>
      </c>
      <c r="R44" s="3">
        <v>2</v>
      </c>
      <c r="S44" s="3">
        <v>0</v>
      </c>
      <c r="T44" s="3">
        <v>2</v>
      </c>
      <c r="U44" s="3">
        <v>4</v>
      </c>
      <c r="V44" s="3">
        <v>0</v>
      </c>
      <c r="W44" s="3">
        <v>2</v>
      </c>
      <c r="X44" s="3">
        <v>2</v>
      </c>
      <c r="Y44" s="3">
        <v>2</v>
      </c>
      <c r="Z44" s="3">
        <v>0</v>
      </c>
      <c r="AA44" s="3">
        <v>1</v>
      </c>
      <c r="AB44" s="3">
        <v>3</v>
      </c>
      <c r="AC44" s="3">
        <v>3</v>
      </c>
      <c r="AD44" s="3">
        <v>0</v>
      </c>
      <c r="AE44" s="3">
        <v>2</v>
      </c>
      <c r="AF44" s="3">
        <v>0</v>
      </c>
      <c r="AG44" s="3">
        <v>2</v>
      </c>
      <c r="AH44" s="3">
        <v>0</v>
      </c>
      <c r="AI44" s="3">
        <v>3</v>
      </c>
      <c r="AJ44" s="3">
        <v>1</v>
      </c>
      <c r="AK44" s="3">
        <v>1</v>
      </c>
      <c r="AL44" s="3">
        <v>5</v>
      </c>
      <c r="AM44" s="3">
        <v>2</v>
      </c>
      <c r="AN44" s="3">
        <v>0</v>
      </c>
      <c r="AO44" s="3">
        <v>3</v>
      </c>
      <c r="AP44" s="3">
        <v>0</v>
      </c>
      <c r="AQ44" s="3">
        <v>1</v>
      </c>
      <c r="AR44" s="3">
        <v>2</v>
      </c>
      <c r="AS44" s="3">
        <v>2</v>
      </c>
      <c r="AT44" s="3">
        <v>1</v>
      </c>
      <c r="AU44" s="3">
        <v>6</v>
      </c>
      <c r="AV44" s="3">
        <v>0</v>
      </c>
      <c r="AW44" s="3">
        <v>0</v>
      </c>
      <c r="AX44" s="3">
        <v>3</v>
      </c>
      <c r="AY44" s="3">
        <v>2</v>
      </c>
      <c r="AZ44" s="3">
        <v>1</v>
      </c>
      <c r="BA44" s="3">
        <v>2</v>
      </c>
      <c r="BB44" s="3">
        <v>1</v>
      </c>
      <c r="BC44" s="3">
        <v>2</v>
      </c>
      <c r="BD44" s="3">
        <v>2</v>
      </c>
      <c r="BE44" s="3">
        <v>1</v>
      </c>
      <c r="BF44" s="3">
        <v>1</v>
      </c>
      <c r="BG44" s="3">
        <v>3</v>
      </c>
      <c r="BH44" s="3">
        <v>0</v>
      </c>
      <c r="BI44" s="3">
        <v>1</v>
      </c>
      <c r="BJ44" s="3">
        <v>1</v>
      </c>
      <c r="BK44" s="3">
        <v>1</v>
      </c>
      <c r="BL44" s="3">
        <v>0</v>
      </c>
      <c r="BM44" s="3">
        <v>2</v>
      </c>
      <c r="BN44" s="3">
        <v>0</v>
      </c>
      <c r="BO44" s="3">
        <v>2</v>
      </c>
      <c r="BP44" s="3">
        <v>0</v>
      </c>
      <c r="BQ44" s="3">
        <v>3</v>
      </c>
      <c r="BR44" s="3">
        <v>1</v>
      </c>
      <c r="BS44" s="3">
        <v>2</v>
      </c>
      <c r="BT44" s="3">
        <v>1</v>
      </c>
      <c r="BU44" s="3">
        <v>0</v>
      </c>
      <c r="BV44" s="3">
        <v>2</v>
      </c>
      <c r="BW44" s="3">
        <v>1</v>
      </c>
      <c r="BX44" s="3">
        <v>0</v>
      </c>
      <c r="BY44" s="3">
        <v>2</v>
      </c>
      <c r="BZ44" s="3">
        <v>1</v>
      </c>
      <c r="CA44" s="3">
        <v>1</v>
      </c>
      <c r="CB44" s="3">
        <v>0</v>
      </c>
      <c r="CC44" s="3">
        <v>0</v>
      </c>
      <c r="CD44" s="3">
        <v>3</v>
      </c>
      <c r="CE44" s="3">
        <v>4</v>
      </c>
      <c r="CF44" s="3">
        <v>0</v>
      </c>
      <c r="CG44" s="3">
        <v>2</v>
      </c>
      <c r="CH44" s="3">
        <v>0</v>
      </c>
      <c r="CI44" s="3">
        <v>2</v>
      </c>
      <c r="CJ44" s="3">
        <v>0</v>
      </c>
      <c r="CK44" s="3">
        <v>0</v>
      </c>
      <c r="CL44" s="3">
        <v>2</v>
      </c>
      <c r="CM44" s="3">
        <v>2</v>
      </c>
      <c r="CN44" s="3">
        <v>0</v>
      </c>
      <c r="CO44" s="3">
        <v>1</v>
      </c>
      <c r="CP44" s="3">
        <v>3</v>
      </c>
      <c r="CQ44" s="3">
        <v>4</v>
      </c>
      <c r="CR44" s="3">
        <v>0</v>
      </c>
      <c r="CS44" s="3">
        <v>3</v>
      </c>
      <c r="CT44" s="3">
        <v>1</v>
      </c>
      <c r="CU44" s="3">
        <v>1</v>
      </c>
      <c r="CV44" s="3">
        <v>3</v>
      </c>
      <c r="CW44" s="3">
        <v>3</v>
      </c>
      <c r="CX44" s="3">
        <v>0</v>
      </c>
      <c r="CY44" s="3">
        <v>0</v>
      </c>
      <c r="CZ44" s="3">
        <v>1</v>
      </c>
      <c r="DA44" s="3">
        <v>1</v>
      </c>
      <c r="DB44" s="3">
        <v>1</v>
      </c>
      <c r="DC44" s="3">
        <v>1</v>
      </c>
      <c r="DD44" s="3">
        <v>2</v>
      </c>
      <c r="DE44" s="3">
        <v>0</v>
      </c>
      <c r="DF44" s="3">
        <v>2</v>
      </c>
      <c r="DG44" s="3">
        <v>1</v>
      </c>
      <c r="DH44" s="3">
        <v>2</v>
      </c>
      <c r="DI44" s="3">
        <v>2</v>
      </c>
      <c r="DJ44" s="3">
        <v>2</v>
      </c>
      <c r="DK44" s="3">
        <v>2</v>
      </c>
      <c r="DL44" s="3">
        <v>1</v>
      </c>
      <c r="DM44" s="3">
        <v>1</v>
      </c>
      <c r="DN44" s="3">
        <v>3</v>
      </c>
      <c r="DO44" s="3">
        <v>1</v>
      </c>
      <c r="DP44" s="3">
        <v>1</v>
      </c>
      <c r="DQ44" s="3">
        <v>1</v>
      </c>
      <c r="DR44" s="3">
        <v>0</v>
      </c>
      <c r="DS44" s="3">
        <v>2</v>
      </c>
      <c r="DT44" s="3">
        <v>1</v>
      </c>
      <c r="DU44" s="3">
        <v>1</v>
      </c>
      <c r="DV44" s="3">
        <v>0</v>
      </c>
      <c r="DW44" s="3">
        <v>2</v>
      </c>
      <c r="DX44" s="3">
        <v>1</v>
      </c>
      <c r="DY44" s="3">
        <v>0</v>
      </c>
      <c r="DZ44" s="3">
        <v>5</v>
      </c>
      <c r="EA44" s="3">
        <v>1</v>
      </c>
      <c r="EB44" s="3">
        <v>1</v>
      </c>
      <c r="EC44" s="3">
        <v>2</v>
      </c>
      <c r="ED44" s="3">
        <v>2</v>
      </c>
      <c r="EE44" s="3">
        <v>2</v>
      </c>
      <c r="EF44" s="3">
        <v>4</v>
      </c>
      <c r="EG44" s="3">
        <v>1</v>
      </c>
      <c r="EH44" s="3">
        <v>1</v>
      </c>
      <c r="EI44" s="3">
        <v>1</v>
      </c>
      <c r="EJ44" s="3">
        <v>1</v>
      </c>
      <c r="EK44" s="3">
        <v>0</v>
      </c>
      <c r="EL44" s="3">
        <v>4</v>
      </c>
      <c r="EM44" s="3">
        <v>2</v>
      </c>
      <c r="EN44" s="3">
        <v>2</v>
      </c>
      <c r="EO44" s="3">
        <v>2</v>
      </c>
      <c r="EP44" s="3">
        <v>1</v>
      </c>
    </row>
    <row r="45" spans="1:146" ht="14.25" customHeight="1" x14ac:dyDescent="0.25">
      <c r="A45" s="16">
        <v>44</v>
      </c>
      <c r="B45" s="17" t="s">
        <v>41</v>
      </c>
      <c r="C45" s="16">
        <v>2</v>
      </c>
      <c r="D45" s="16">
        <v>0</v>
      </c>
      <c r="E45" s="16">
        <v>1</v>
      </c>
      <c r="F45" s="16">
        <v>1</v>
      </c>
      <c r="G45" s="16">
        <v>2</v>
      </c>
      <c r="H45" s="16">
        <v>1</v>
      </c>
      <c r="I45" s="16">
        <v>1</v>
      </c>
      <c r="J45" s="16">
        <v>1</v>
      </c>
      <c r="K45" s="16">
        <v>0</v>
      </c>
      <c r="L45" s="16">
        <v>2</v>
      </c>
      <c r="M45" s="16">
        <v>1</v>
      </c>
      <c r="N45" s="16">
        <v>2</v>
      </c>
      <c r="O45" s="16">
        <v>2</v>
      </c>
      <c r="P45" s="16">
        <v>1</v>
      </c>
      <c r="Q45" s="16">
        <v>0</v>
      </c>
      <c r="R45" s="16">
        <v>2</v>
      </c>
      <c r="S45" s="16">
        <v>1</v>
      </c>
      <c r="T45" s="16">
        <v>1</v>
      </c>
      <c r="U45" s="16">
        <v>5</v>
      </c>
      <c r="V45" s="16">
        <v>0</v>
      </c>
      <c r="W45" s="16">
        <v>2</v>
      </c>
      <c r="X45" s="16">
        <v>2</v>
      </c>
      <c r="Y45" s="16">
        <v>3</v>
      </c>
      <c r="Z45" s="16">
        <v>0</v>
      </c>
      <c r="AA45" s="16">
        <v>0</v>
      </c>
      <c r="AB45" s="16">
        <v>2</v>
      </c>
      <c r="AC45" s="16">
        <v>5</v>
      </c>
      <c r="AD45" s="16">
        <v>0</v>
      </c>
      <c r="AE45" s="16">
        <v>2</v>
      </c>
      <c r="AF45" s="16">
        <v>0</v>
      </c>
      <c r="AG45" s="16">
        <v>3</v>
      </c>
      <c r="AH45" s="16">
        <v>1</v>
      </c>
      <c r="AI45" s="16">
        <v>3</v>
      </c>
      <c r="AJ45" s="16">
        <v>1</v>
      </c>
      <c r="AK45" s="16">
        <v>0</v>
      </c>
      <c r="AL45" s="16">
        <v>3</v>
      </c>
      <c r="AM45" s="16">
        <v>2</v>
      </c>
      <c r="AN45" s="16">
        <v>1</v>
      </c>
      <c r="AO45" s="16">
        <v>2</v>
      </c>
      <c r="AP45" s="16">
        <v>0</v>
      </c>
      <c r="AQ45" s="16">
        <v>1</v>
      </c>
      <c r="AR45" s="16">
        <v>1</v>
      </c>
      <c r="AS45" s="16">
        <v>2</v>
      </c>
      <c r="AT45" s="16">
        <v>1</v>
      </c>
      <c r="AU45" s="16">
        <v>3</v>
      </c>
      <c r="AV45" s="16">
        <v>0</v>
      </c>
      <c r="AW45" s="16">
        <v>0</v>
      </c>
      <c r="AX45" s="16">
        <v>2</v>
      </c>
      <c r="AY45" s="16">
        <v>1</v>
      </c>
      <c r="AZ45" s="16">
        <v>0</v>
      </c>
      <c r="BA45" s="16">
        <v>2</v>
      </c>
      <c r="BB45" s="16">
        <v>1</v>
      </c>
      <c r="BC45" s="16">
        <v>2</v>
      </c>
      <c r="BD45" s="16">
        <v>0</v>
      </c>
      <c r="BE45" s="16">
        <v>2</v>
      </c>
      <c r="BF45" s="16">
        <v>1</v>
      </c>
      <c r="BG45" s="16">
        <v>4</v>
      </c>
      <c r="BH45" s="16">
        <v>0</v>
      </c>
      <c r="BI45" s="16">
        <v>1</v>
      </c>
      <c r="BJ45" s="16">
        <v>2</v>
      </c>
      <c r="BK45" s="16">
        <v>1</v>
      </c>
      <c r="BL45" s="16">
        <v>1</v>
      </c>
      <c r="BM45" s="16">
        <v>2</v>
      </c>
      <c r="BN45" s="16">
        <v>1</v>
      </c>
      <c r="BO45" s="16">
        <v>3</v>
      </c>
      <c r="BP45" s="16">
        <v>0</v>
      </c>
      <c r="BQ45" s="16">
        <v>3</v>
      </c>
      <c r="BR45" s="16">
        <v>0</v>
      </c>
      <c r="BS45" s="16">
        <v>2</v>
      </c>
      <c r="BT45" s="16">
        <v>1</v>
      </c>
      <c r="BU45" s="16">
        <v>0</v>
      </c>
      <c r="BV45" s="16">
        <v>2</v>
      </c>
      <c r="BW45" s="16">
        <v>3</v>
      </c>
      <c r="BX45" s="16">
        <v>0</v>
      </c>
      <c r="BY45" s="16">
        <v>4</v>
      </c>
      <c r="BZ45" s="16">
        <v>0</v>
      </c>
      <c r="CA45" s="16">
        <v>3</v>
      </c>
      <c r="CB45" s="16">
        <v>1</v>
      </c>
      <c r="CC45" s="16">
        <v>0</v>
      </c>
      <c r="CD45" s="16">
        <v>2</v>
      </c>
      <c r="CE45" s="16">
        <v>3</v>
      </c>
      <c r="CF45" s="16">
        <v>1</v>
      </c>
      <c r="CG45" s="16">
        <v>4</v>
      </c>
      <c r="CH45" s="16">
        <v>0</v>
      </c>
      <c r="CI45" s="16">
        <v>2</v>
      </c>
      <c r="CJ45" s="16">
        <v>0</v>
      </c>
      <c r="CK45" s="16">
        <v>0</v>
      </c>
      <c r="CL45" s="16">
        <v>2</v>
      </c>
      <c r="CM45" s="16">
        <v>3</v>
      </c>
      <c r="CN45" s="16">
        <v>0</v>
      </c>
      <c r="CO45" s="16">
        <v>0</v>
      </c>
      <c r="CP45" s="16">
        <v>3</v>
      </c>
      <c r="CQ45" s="16">
        <v>3</v>
      </c>
      <c r="CR45" s="16">
        <v>0</v>
      </c>
      <c r="CS45" s="16">
        <v>3</v>
      </c>
      <c r="CT45" s="16">
        <v>0</v>
      </c>
      <c r="CU45" s="16">
        <v>1</v>
      </c>
      <c r="CV45" s="16">
        <v>3</v>
      </c>
      <c r="CW45" s="16">
        <v>3</v>
      </c>
      <c r="CX45" s="16">
        <v>0</v>
      </c>
      <c r="CY45" s="16">
        <v>1</v>
      </c>
      <c r="CZ45" s="16">
        <v>1</v>
      </c>
      <c r="DA45" s="16">
        <v>2</v>
      </c>
      <c r="DB45" s="16">
        <v>1</v>
      </c>
      <c r="DC45" s="16">
        <v>1</v>
      </c>
      <c r="DD45" s="16">
        <v>2</v>
      </c>
      <c r="DE45" s="16">
        <v>1</v>
      </c>
      <c r="DF45" s="16">
        <v>1</v>
      </c>
      <c r="DG45" s="16">
        <v>0</v>
      </c>
      <c r="DH45" s="16">
        <v>2</v>
      </c>
      <c r="DI45" s="16">
        <v>2</v>
      </c>
      <c r="DJ45" s="16">
        <v>2</v>
      </c>
      <c r="DK45" s="16">
        <v>1</v>
      </c>
      <c r="DL45" s="16">
        <v>1</v>
      </c>
      <c r="DM45" s="16">
        <v>0</v>
      </c>
      <c r="DN45" s="16">
        <v>3</v>
      </c>
      <c r="DO45" s="16">
        <v>2</v>
      </c>
      <c r="DP45" s="16">
        <v>2</v>
      </c>
      <c r="DQ45" s="16">
        <v>1</v>
      </c>
      <c r="DR45" s="16">
        <v>0</v>
      </c>
      <c r="DS45" s="16">
        <v>1</v>
      </c>
      <c r="DT45" s="16">
        <v>2</v>
      </c>
      <c r="DU45" s="16">
        <v>1</v>
      </c>
      <c r="DV45" s="16">
        <v>0</v>
      </c>
      <c r="DW45" s="16">
        <v>1</v>
      </c>
      <c r="DX45" s="16">
        <v>1</v>
      </c>
      <c r="DY45" s="16">
        <v>0</v>
      </c>
      <c r="DZ45" s="16">
        <v>4</v>
      </c>
      <c r="EA45" s="16">
        <v>1</v>
      </c>
      <c r="EB45" s="16">
        <v>2</v>
      </c>
      <c r="EC45" s="16">
        <v>1</v>
      </c>
      <c r="ED45" s="16">
        <v>3</v>
      </c>
      <c r="EE45" s="16">
        <v>0</v>
      </c>
      <c r="EF45" s="16">
        <v>5</v>
      </c>
      <c r="EG45" s="16">
        <v>3</v>
      </c>
      <c r="EH45" s="16">
        <v>1</v>
      </c>
      <c r="EI45" s="16">
        <v>2</v>
      </c>
      <c r="EJ45" s="16">
        <v>2</v>
      </c>
      <c r="EK45" s="16">
        <v>0</v>
      </c>
      <c r="EL45" s="16">
        <v>3</v>
      </c>
      <c r="EM45" s="16">
        <v>2</v>
      </c>
      <c r="EN45" s="16">
        <v>2</v>
      </c>
      <c r="EO45" s="16">
        <v>0</v>
      </c>
      <c r="EP45" s="16">
        <v>0</v>
      </c>
    </row>
    <row r="46" spans="1:146" ht="14.25" customHeight="1" x14ac:dyDescent="0.25">
      <c r="A46" s="15">
        <v>45</v>
      </c>
      <c r="B46" s="4" t="s">
        <v>64</v>
      </c>
      <c r="C46" s="3">
        <v>2</v>
      </c>
      <c r="D46" s="3">
        <v>0</v>
      </c>
      <c r="E46" s="3">
        <v>0</v>
      </c>
      <c r="F46" s="3">
        <v>1</v>
      </c>
      <c r="G46" s="3">
        <v>1</v>
      </c>
      <c r="H46" s="3">
        <v>0</v>
      </c>
      <c r="I46" s="3">
        <v>2</v>
      </c>
      <c r="J46" s="3">
        <v>0</v>
      </c>
      <c r="K46" s="3">
        <v>1</v>
      </c>
      <c r="L46" s="3">
        <v>3</v>
      </c>
      <c r="M46" s="3">
        <v>2</v>
      </c>
      <c r="N46" s="3">
        <v>2</v>
      </c>
      <c r="O46" s="3">
        <v>3</v>
      </c>
      <c r="P46" s="3">
        <v>0</v>
      </c>
      <c r="Q46" s="3">
        <v>1</v>
      </c>
      <c r="R46" s="3">
        <v>2</v>
      </c>
      <c r="S46" s="3">
        <v>1</v>
      </c>
      <c r="T46" s="3">
        <v>1</v>
      </c>
      <c r="U46" s="3">
        <v>4</v>
      </c>
      <c r="V46" s="3">
        <v>0</v>
      </c>
      <c r="W46" s="3">
        <v>3</v>
      </c>
      <c r="X46" s="3">
        <v>2</v>
      </c>
      <c r="Y46" s="3">
        <v>2</v>
      </c>
      <c r="Z46" s="3">
        <v>0</v>
      </c>
      <c r="AA46" s="3">
        <v>1</v>
      </c>
      <c r="AB46" s="3">
        <v>2</v>
      </c>
      <c r="AC46" s="3">
        <v>3</v>
      </c>
      <c r="AD46" s="3">
        <v>1</v>
      </c>
      <c r="AE46" s="3">
        <v>2</v>
      </c>
      <c r="AF46" s="3">
        <v>2</v>
      </c>
      <c r="AG46" s="3">
        <v>3</v>
      </c>
      <c r="AH46" s="3">
        <v>2</v>
      </c>
      <c r="AI46" s="3">
        <v>2</v>
      </c>
      <c r="AJ46" s="3">
        <v>0</v>
      </c>
      <c r="AK46" s="3">
        <v>0</v>
      </c>
      <c r="AL46" s="3">
        <v>1</v>
      </c>
      <c r="AM46" s="3">
        <v>4</v>
      </c>
      <c r="AN46" s="3">
        <v>1</v>
      </c>
      <c r="AO46" s="3">
        <v>2</v>
      </c>
      <c r="AP46" s="3">
        <v>2</v>
      </c>
      <c r="AQ46" s="3">
        <v>1</v>
      </c>
      <c r="AR46" s="3">
        <v>2</v>
      </c>
      <c r="AS46" s="3">
        <v>3</v>
      </c>
      <c r="AT46" s="3">
        <v>2</v>
      </c>
      <c r="AU46" s="3">
        <v>3</v>
      </c>
      <c r="AV46" s="3">
        <v>1</v>
      </c>
      <c r="AW46" s="3">
        <v>0</v>
      </c>
      <c r="AX46" s="3">
        <v>2</v>
      </c>
      <c r="AY46" s="3">
        <v>2</v>
      </c>
      <c r="AZ46" s="3">
        <v>2</v>
      </c>
      <c r="BA46" s="3">
        <v>0</v>
      </c>
      <c r="BB46" s="3">
        <v>0</v>
      </c>
      <c r="BC46" s="3">
        <v>1</v>
      </c>
      <c r="BD46" s="3">
        <v>0</v>
      </c>
      <c r="BE46" s="3">
        <v>2</v>
      </c>
      <c r="BF46" s="3">
        <v>0</v>
      </c>
      <c r="BG46" s="3">
        <v>4</v>
      </c>
      <c r="BH46" s="3">
        <v>1</v>
      </c>
      <c r="BI46" s="3">
        <v>1</v>
      </c>
      <c r="BJ46" s="3">
        <v>2</v>
      </c>
      <c r="BK46" s="3">
        <v>2</v>
      </c>
      <c r="BL46" s="3">
        <v>3</v>
      </c>
      <c r="BM46" s="3">
        <v>1</v>
      </c>
      <c r="BN46" s="3">
        <v>1</v>
      </c>
      <c r="BO46" s="3">
        <v>2</v>
      </c>
      <c r="BP46" s="3">
        <v>0</v>
      </c>
      <c r="BQ46" s="3">
        <v>2</v>
      </c>
      <c r="BR46" s="3">
        <v>0</v>
      </c>
      <c r="BS46" s="3">
        <v>2</v>
      </c>
      <c r="BT46" s="3">
        <v>0</v>
      </c>
      <c r="BU46" s="3">
        <v>0</v>
      </c>
      <c r="BV46" s="3">
        <v>2</v>
      </c>
      <c r="BW46" s="3">
        <v>1</v>
      </c>
      <c r="BX46" s="3">
        <v>0</v>
      </c>
      <c r="BY46" s="3">
        <v>3</v>
      </c>
      <c r="BZ46" s="3">
        <v>1</v>
      </c>
      <c r="CA46" s="3">
        <v>2</v>
      </c>
      <c r="CB46" s="3">
        <v>1</v>
      </c>
      <c r="CC46" s="3">
        <v>2</v>
      </c>
      <c r="CD46" s="3">
        <v>2</v>
      </c>
      <c r="CE46" s="3">
        <v>2</v>
      </c>
      <c r="CF46" s="3">
        <v>0</v>
      </c>
      <c r="CG46" s="3">
        <v>3</v>
      </c>
      <c r="CH46" s="3">
        <v>1</v>
      </c>
      <c r="CI46" s="3">
        <v>2</v>
      </c>
      <c r="CJ46" s="3">
        <v>1</v>
      </c>
      <c r="CK46" s="3">
        <v>0</v>
      </c>
      <c r="CL46" s="3">
        <v>0</v>
      </c>
      <c r="CM46" s="3">
        <v>3</v>
      </c>
      <c r="CN46" s="3">
        <v>0</v>
      </c>
      <c r="CO46" s="3">
        <v>1</v>
      </c>
      <c r="CP46" s="3">
        <v>1</v>
      </c>
      <c r="CQ46" s="3">
        <v>2</v>
      </c>
      <c r="CR46" s="3">
        <v>1</v>
      </c>
      <c r="CS46" s="3">
        <v>2</v>
      </c>
      <c r="CT46" s="3">
        <v>0</v>
      </c>
      <c r="CU46" s="3">
        <v>0</v>
      </c>
      <c r="CV46" s="3">
        <v>3</v>
      </c>
      <c r="CW46" s="3">
        <v>1</v>
      </c>
      <c r="CX46" s="3">
        <v>1</v>
      </c>
      <c r="CY46" s="3">
        <v>2</v>
      </c>
      <c r="CZ46" s="3">
        <v>2</v>
      </c>
      <c r="DA46" s="3">
        <v>2</v>
      </c>
      <c r="DB46" s="3">
        <v>1</v>
      </c>
      <c r="DC46" s="3">
        <v>1</v>
      </c>
      <c r="DD46" s="3">
        <v>2</v>
      </c>
      <c r="DE46" s="3">
        <v>0</v>
      </c>
      <c r="DF46" s="3">
        <v>2</v>
      </c>
      <c r="DG46" s="3">
        <v>0</v>
      </c>
      <c r="DH46" s="3">
        <v>2</v>
      </c>
      <c r="DI46" s="3">
        <v>0</v>
      </c>
      <c r="DJ46" s="3">
        <v>2</v>
      </c>
      <c r="DK46" s="3">
        <v>0</v>
      </c>
      <c r="DL46" s="3">
        <v>0</v>
      </c>
      <c r="DM46" s="3">
        <v>1</v>
      </c>
      <c r="DN46" s="3">
        <v>2</v>
      </c>
      <c r="DO46" s="3">
        <v>1</v>
      </c>
      <c r="DP46" s="3">
        <v>2</v>
      </c>
      <c r="DQ46" s="3">
        <v>2</v>
      </c>
      <c r="DR46" s="3">
        <v>1</v>
      </c>
      <c r="DS46" s="3">
        <v>2</v>
      </c>
      <c r="DT46" s="3">
        <v>3</v>
      </c>
      <c r="DU46" s="3">
        <v>2</v>
      </c>
      <c r="DV46" s="3">
        <v>1</v>
      </c>
      <c r="DW46" s="3">
        <v>2</v>
      </c>
      <c r="DX46" s="3">
        <v>1</v>
      </c>
      <c r="DY46" s="3">
        <v>0</v>
      </c>
      <c r="DZ46" s="3">
        <v>2</v>
      </c>
      <c r="EA46" s="3">
        <v>2</v>
      </c>
      <c r="EB46" s="3">
        <v>1</v>
      </c>
      <c r="EC46" s="3">
        <v>2</v>
      </c>
      <c r="ED46" s="3">
        <v>3</v>
      </c>
      <c r="EE46" s="3">
        <v>1</v>
      </c>
      <c r="EF46" s="3">
        <v>4</v>
      </c>
      <c r="EG46" s="3">
        <v>2</v>
      </c>
      <c r="EH46" s="3">
        <v>0</v>
      </c>
      <c r="EI46" s="3">
        <v>0</v>
      </c>
      <c r="EJ46" s="3">
        <v>2</v>
      </c>
      <c r="EK46" s="3">
        <v>1</v>
      </c>
      <c r="EL46" s="3">
        <v>3</v>
      </c>
      <c r="EM46" s="3">
        <v>1</v>
      </c>
      <c r="EN46" s="3">
        <v>2</v>
      </c>
      <c r="EO46" s="3">
        <v>1</v>
      </c>
      <c r="EP46" s="3">
        <v>0</v>
      </c>
    </row>
    <row r="47" spans="1:146" ht="14.25" customHeight="1" x14ac:dyDescent="0.25">
      <c r="A47" s="16">
        <v>46</v>
      </c>
      <c r="B47" s="17" t="s">
        <v>55</v>
      </c>
      <c r="C47" s="16">
        <v>2</v>
      </c>
      <c r="D47" s="16">
        <v>0</v>
      </c>
      <c r="E47" s="16">
        <v>1</v>
      </c>
      <c r="F47" s="16">
        <v>1</v>
      </c>
      <c r="G47" s="16">
        <v>1</v>
      </c>
      <c r="H47" s="16">
        <v>0</v>
      </c>
      <c r="I47" s="16">
        <v>2</v>
      </c>
      <c r="J47" s="16">
        <v>1</v>
      </c>
      <c r="K47" s="16">
        <v>0</v>
      </c>
      <c r="L47" s="16">
        <v>1</v>
      </c>
      <c r="M47" s="16">
        <v>1</v>
      </c>
      <c r="N47" s="16">
        <v>2</v>
      </c>
      <c r="O47" s="16">
        <v>3</v>
      </c>
      <c r="P47" s="16">
        <v>1</v>
      </c>
      <c r="Q47" s="16">
        <v>0</v>
      </c>
      <c r="R47" s="16">
        <v>2</v>
      </c>
      <c r="S47" s="16">
        <v>1</v>
      </c>
      <c r="T47" s="16">
        <v>1</v>
      </c>
      <c r="U47" s="16">
        <v>2</v>
      </c>
      <c r="V47" s="16">
        <v>0</v>
      </c>
      <c r="W47" s="16">
        <v>2</v>
      </c>
      <c r="X47" s="16">
        <v>1</v>
      </c>
      <c r="Y47" s="16">
        <v>1</v>
      </c>
      <c r="Z47" s="16">
        <v>0</v>
      </c>
      <c r="AA47" s="16">
        <v>0</v>
      </c>
      <c r="AB47" s="16">
        <v>2</v>
      </c>
      <c r="AC47" s="16">
        <v>3</v>
      </c>
      <c r="AD47" s="16">
        <v>0</v>
      </c>
      <c r="AE47" s="16">
        <v>1</v>
      </c>
      <c r="AF47" s="16">
        <v>0</v>
      </c>
      <c r="AG47" s="16">
        <v>2</v>
      </c>
      <c r="AH47" s="16">
        <v>0</v>
      </c>
      <c r="AI47" s="16">
        <v>2</v>
      </c>
      <c r="AJ47" s="16">
        <v>1</v>
      </c>
      <c r="AK47" s="16">
        <v>0</v>
      </c>
      <c r="AL47" s="16">
        <v>2</v>
      </c>
      <c r="AM47" s="16">
        <v>2</v>
      </c>
      <c r="AN47" s="16">
        <v>0</v>
      </c>
      <c r="AO47" s="16">
        <v>1</v>
      </c>
      <c r="AP47" s="16">
        <v>0</v>
      </c>
      <c r="AQ47" s="16">
        <v>1</v>
      </c>
      <c r="AR47" s="16">
        <v>1</v>
      </c>
      <c r="AS47" s="16">
        <v>2</v>
      </c>
      <c r="AT47" s="16">
        <v>1</v>
      </c>
      <c r="AU47" s="16">
        <v>3</v>
      </c>
      <c r="AV47" s="16">
        <v>0</v>
      </c>
      <c r="AW47" s="16">
        <v>0</v>
      </c>
      <c r="AX47" s="16">
        <v>1</v>
      </c>
      <c r="AY47" s="16">
        <v>1</v>
      </c>
      <c r="AZ47" s="16">
        <v>0</v>
      </c>
      <c r="BA47" s="16">
        <v>2</v>
      </c>
      <c r="BB47" s="16">
        <v>0</v>
      </c>
      <c r="BC47" s="16">
        <v>2</v>
      </c>
      <c r="BD47" s="16">
        <v>1</v>
      </c>
      <c r="BE47" s="16">
        <v>1</v>
      </c>
      <c r="BF47" s="16">
        <v>1</v>
      </c>
      <c r="BG47" s="16">
        <v>3</v>
      </c>
      <c r="BH47" s="16">
        <v>1</v>
      </c>
      <c r="BI47" s="16">
        <v>0</v>
      </c>
      <c r="BJ47" s="16">
        <v>1</v>
      </c>
      <c r="BK47" s="16">
        <v>1</v>
      </c>
      <c r="BL47" s="16">
        <v>2</v>
      </c>
      <c r="BM47" s="16">
        <v>2</v>
      </c>
      <c r="BN47" s="16">
        <v>1</v>
      </c>
      <c r="BO47" s="16">
        <v>3</v>
      </c>
      <c r="BP47" s="16">
        <v>0</v>
      </c>
      <c r="BQ47" s="16">
        <v>1</v>
      </c>
      <c r="BR47" s="16">
        <v>0</v>
      </c>
      <c r="BS47" s="16">
        <v>2</v>
      </c>
      <c r="BT47" s="16">
        <v>0</v>
      </c>
      <c r="BU47" s="16">
        <v>1</v>
      </c>
      <c r="BV47" s="16">
        <v>1</v>
      </c>
      <c r="BW47" s="16">
        <v>1</v>
      </c>
      <c r="BX47" s="16">
        <v>0</v>
      </c>
      <c r="BY47" s="16">
        <v>2</v>
      </c>
      <c r="BZ47" s="16">
        <v>0</v>
      </c>
      <c r="CA47" s="16">
        <v>2</v>
      </c>
      <c r="CB47" s="16">
        <v>1</v>
      </c>
      <c r="CC47" s="16">
        <v>0</v>
      </c>
      <c r="CD47" s="16">
        <v>1</v>
      </c>
      <c r="CE47" s="16">
        <v>0</v>
      </c>
      <c r="CF47" s="16">
        <v>0</v>
      </c>
      <c r="CG47" s="16">
        <v>2</v>
      </c>
      <c r="CH47" s="16">
        <v>0</v>
      </c>
      <c r="CI47" s="16">
        <v>2</v>
      </c>
      <c r="CJ47" s="16">
        <v>0</v>
      </c>
      <c r="CK47" s="16">
        <v>1</v>
      </c>
      <c r="CL47" s="16">
        <v>1</v>
      </c>
      <c r="CM47" s="16">
        <v>3</v>
      </c>
      <c r="CN47" s="16">
        <v>1</v>
      </c>
      <c r="CO47" s="16">
        <v>1</v>
      </c>
      <c r="CP47" s="16">
        <v>2</v>
      </c>
      <c r="CQ47" s="16">
        <v>2</v>
      </c>
      <c r="CR47" s="16">
        <v>0</v>
      </c>
      <c r="CS47" s="16">
        <v>1</v>
      </c>
      <c r="CT47" s="16">
        <v>0</v>
      </c>
      <c r="CU47" s="16">
        <v>0</v>
      </c>
      <c r="CV47" s="16">
        <v>3</v>
      </c>
      <c r="CW47" s="16">
        <v>1</v>
      </c>
      <c r="CX47" s="16">
        <v>1</v>
      </c>
      <c r="CY47" s="16">
        <v>1</v>
      </c>
      <c r="CZ47" s="16">
        <v>1</v>
      </c>
      <c r="DA47" s="16">
        <v>0</v>
      </c>
      <c r="DB47" s="16">
        <v>0</v>
      </c>
      <c r="DC47" s="16">
        <v>0</v>
      </c>
      <c r="DD47" s="16">
        <v>1</v>
      </c>
      <c r="DE47" s="16">
        <v>1</v>
      </c>
      <c r="DF47" s="16">
        <v>1</v>
      </c>
      <c r="DG47" s="16">
        <v>0</v>
      </c>
      <c r="DH47" s="16">
        <v>1</v>
      </c>
      <c r="DI47" s="16">
        <v>1</v>
      </c>
      <c r="DJ47" s="16">
        <v>3</v>
      </c>
      <c r="DK47" s="16">
        <v>2</v>
      </c>
      <c r="DL47" s="16">
        <v>1</v>
      </c>
      <c r="DM47" s="16">
        <v>0</v>
      </c>
      <c r="DN47" s="16">
        <v>2</v>
      </c>
      <c r="DO47" s="16">
        <v>0</v>
      </c>
      <c r="DP47" s="16">
        <v>1</v>
      </c>
      <c r="DQ47" s="16">
        <v>2</v>
      </c>
      <c r="DR47" s="16">
        <v>1</v>
      </c>
      <c r="DS47" s="16">
        <v>0</v>
      </c>
      <c r="DT47" s="16">
        <v>2</v>
      </c>
      <c r="DU47" s="16">
        <v>1</v>
      </c>
      <c r="DV47" s="16">
        <v>1</v>
      </c>
      <c r="DW47" s="16">
        <v>2</v>
      </c>
      <c r="DX47" s="16">
        <v>1</v>
      </c>
      <c r="DY47" s="16">
        <v>0</v>
      </c>
      <c r="DZ47" s="16">
        <v>2</v>
      </c>
      <c r="EA47" s="16">
        <v>1</v>
      </c>
      <c r="EB47" s="16">
        <v>1</v>
      </c>
      <c r="EC47" s="16">
        <v>1</v>
      </c>
      <c r="ED47" s="16">
        <v>2</v>
      </c>
      <c r="EE47" s="16">
        <v>1</v>
      </c>
      <c r="EF47" s="16">
        <v>3</v>
      </c>
      <c r="EG47" s="16">
        <v>2</v>
      </c>
      <c r="EH47" s="16">
        <v>1</v>
      </c>
      <c r="EI47" s="16">
        <v>1</v>
      </c>
      <c r="EJ47" s="16">
        <v>1</v>
      </c>
      <c r="EK47" s="16">
        <v>0</v>
      </c>
      <c r="EL47" s="16">
        <v>3</v>
      </c>
      <c r="EM47" s="16">
        <v>1</v>
      </c>
      <c r="EN47" s="16">
        <v>2</v>
      </c>
      <c r="EO47" s="16">
        <v>0</v>
      </c>
      <c r="EP47" s="16">
        <v>0</v>
      </c>
    </row>
    <row r="48" spans="1:146" ht="14.25" customHeight="1" x14ac:dyDescent="0.25">
      <c r="A48" s="15">
        <v>47</v>
      </c>
      <c r="B48" s="4" t="s">
        <v>53</v>
      </c>
      <c r="C48" s="3">
        <v>2</v>
      </c>
      <c r="D48" s="3">
        <v>0</v>
      </c>
      <c r="E48" s="3">
        <v>1</v>
      </c>
      <c r="F48" s="3">
        <v>1</v>
      </c>
      <c r="G48" s="3">
        <v>2</v>
      </c>
      <c r="H48" s="3">
        <v>0</v>
      </c>
      <c r="I48" s="3">
        <v>2</v>
      </c>
      <c r="J48" s="3">
        <v>1</v>
      </c>
      <c r="K48" s="3">
        <v>1</v>
      </c>
      <c r="L48" s="3">
        <v>2</v>
      </c>
      <c r="M48" s="3">
        <v>1</v>
      </c>
      <c r="N48" s="3">
        <v>1</v>
      </c>
      <c r="O48" s="3">
        <v>2</v>
      </c>
      <c r="P48" s="3">
        <v>1</v>
      </c>
      <c r="Q48" s="3">
        <v>1</v>
      </c>
      <c r="R48" s="3">
        <v>2</v>
      </c>
      <c r="S48" s="3">
        <v>1</v>
      </c>
      <c r="T48" s="3">
        <v>1</v>
      </c>
      <c r="U48" s="3">
        <v>3</v>
      </c>
      <c r="V48" s="3">
        <v>0</v>
      </c>
      <c r="W48" s="3">
        <v>2</v>
      </c>
      <c r="X48" s="3">
        <v>1</v>
      </c>
      <c r="Y48" s="3">
        <v>2</v>
      </c>
      <c r="Z48" s="3">
        <v>0</v>
      </c>
      <c r="AA48" s="3">
        <v>0</v>
      </c>
      <c r="AB48" s="3">
        <v>2</v>
      </c>
      <c r="AC48" s="3">
        <v>3</v>
      </c>
      <c r="AD48" s="3">
        <v>0</v>
      </c>
      <c r="AE48" s="3">
        <v>1</v>
      </c>
      <c r="AF48" s="3">
        <v>1</v>
      </c>
      <c r="AG48" s="3">
        <v>2</v>
      </c>
      <c r="AH48" s="3">
        <v>0</v>
      </c>
      <c r="AI48" s="3">
        <v>2</v>
      </c>
      <c r="AJ48" s="3">
        <v>1</v>
      </c>
      <c r="AK48" s="3">
        <v>0</v>
      </c>
      <c r="AL48" s="3">
        <v>2</v>
      </c>
      <c r="AM48" s="3">
        <v>3</v>
      </c>
      <c r="AN48" s="3">
        <v>0</v>
      </c>
      <c r="AO48" s="3">
        <v>2</v>
      </c>
      <c r="AP48" s="3">
        <v>0</v>
      </c>
      <c r="AQ48" s="3">
        <v>1</v>
      </c>
      <c r="AR48" s="3">
        <v>1</v>
      </c>
      <c r="AS48" s="3">
        <v>2</v>
      </c>
      <c r="AT48" s="3">
        <v>1</v>
      </c>
      <c r="AU48" s="3">
        <v>3</v>
      </c>
      <c r="AV48" s="3">
        <v>0</v>
      </c>
      <c r="AW48" s="3">
        <v>1</v>
      </c>
      <c r="AX48" s="3">
        <v>2</v>
      </c>
      <c r="AY48" s="3">
        <v>1</v>
      </c>
      <c r="AZ48" s="3">
        <v>0</v>
      </c>
      <c r="BA48" s="3">
        <v>2</v>
      </c>
      <c r="BB48" s="3">
        <v>0</v>
      </c>
      <c r="BC48" s="3">
        <v>2</v>
      </c>
      <c r="BD48" s="3">
        <v>1</v>
      </c>
      <c r="BE48" s="3">
        <v>2</v>
      </c>
      <c r="BF48" s="3">
        <v>1</v>
      </c>
      <c r="BG48" s="3">
        <v>2</v>
      </c>
      <c r="BH48" s="3">
        <v>1</v>
      </c>
      <c r="BI48" s="3">
        <v>1</v>
      </c>
      <c r="BJ48" s="3">
        <v>1</v>
      </c>
      <c r="BK48" s="3">
        <v>2</v>
      </c>
      <c r="BL48" s="3">
        <v>1</v>
      </c>
      <c r="BM48" s="3">
        <v>2</v>
      </c>
      <c r="BN48" s="3">
        <v>0</v>
      </c>
      <c r="BO48" s="3">
        <v>2</v>
      </c>
      <c r="BP48" s="3">
        <v>1</v>
      </c>
      <c r="BQ48" s="3">
        <v>0</v>
      </c>
      <c r="BR48" s="3">
        <v>2</v>
      </c>
      <c r="BS48" s="3">
        <v>2</v>
      </c>
      <c r="BT48" s="3">
        <v>1</v>
      </c>
      <c r="BU48" s="3">
        <v>1</v>
      </c>
      <c r="BV48" s="3">
        <v>0</v>
      </c>
      <c r="BW48" s="3">
        <v>2</v>
      </c>
      <c r="BX48" s="3">
        <v>0</v>
      </c>
      <c r="BY48" s="3">
        <v>2</v>
      </c>
      <c r="BZ48" s="3">
        <v>0</v>
      </c>
      <c r="CA48" s="3">
        <v>2</v>
      </c>
      <c r="CB48" s="3">
        <v>0</v>
      </c>
      <c r="CC48" s="3">
        <v>0</v>
      </c>
      <c r="CD48" s="3">
        <v>1</v>
      </c>
      <c r="CE48" s="3">
        <v>3</v>
      </c>
      <c r="CF48" s="3">
        <v>0</v>
      </c>
      <c r="CG48" s="3">
        <v>2</v>
      </c>
      <c r="CH48" s="3">
        <v>0</v>
      </c>
      <c r="CI48" s="3">
        <v>3</v>
      </c>
      <c r="CJ48" s="3">
        <v>0</v>
      </c>
      <c r="CK48" s="3">
        <v>0</v>
      </c>
      <c r="CL48" s="3">
        <v>2</v>
      </c>
      <c r="CM48" s="3">
        <v>3</v>
      </c>
      <c r="CN48" s="3">
        <v>1</v>
      </c>
      <c r="CO48" s="3">
        <v>1</v>
      </c>
      <c r="CP48" s="3">
        <v>1</v>
      </c>
      <c r="CQ48" s="3">
        <v>3</v>
      </c>
      <c r="CR48" s="3">
        <v>0</v>
      </c>
      <c r="CS48" s="3">
        <v>2</v>
      </c>
      <c r="CT48" s="3">
        <v>0</v>
      </c>
      <c r="CU48" s="3">
        <v>1</v>
      </c>
      <c r="CV48" s="3">
        <v>2</v>
      </c>
      <c r="CW48" s="3">
        <v>2</v>
      </c>
      <c r="CX48" s="3">
        <v>0</v>
      </c>
      <c r="CY48" s="3">
        <v>1</v>
      </c>
      <c r="CZ48" s="3">
        <v>1</v>
      </c>
      <c r="DA48" s="3">
        <v>1</v>
      </c>
      <c r="DB48" s="3">
        <v>1</v>
      </c>
      <c r="DC48" s="3">
        <v>1</v>
      </c>
      <c r="DD48" s="3">
        <v>2</v>
      </c>
      <c r="DE48" s="3">
        <v>1</v>
      </c>
      <c r="DF48" s="3">
        <v>1</v>
      </c>
      <c r="DG48" s="3">
        <v>0</v>
      </c>
      <c r="DH48" s="3">
        <v>1</v>
      </c>
      <c r="DI48" s="3">
        <v>1</v>
      </c>
      <c r="DJ48" s="3">
        <v>2</v>
      </c>
      <c r="DK48" s="3">
        <v>1</v>
      </c>
      <c r="DL48" s="3">
        <v>1</v>
      </c>
      <c r="DM48" s="3">
        <v>0</v>
      </c>
      <c r="DN48" s="3">
        <v>2</v>
      </c>
      <c r="DO48" s="3">
        <v>1</v>
      </c>
      <c r="DP48" s="3">
        <v>1</v>
      </c>
      <c r="DQ48" s="3">
        <v>1</v>
      </c>
      <c r="DR48" s="3">
        <v>2</v>
      </c>
      <c r="DS48" s="3">
        <v>1</v>
      </c>
      <c r="DT48" s="3">
        <v>2</v>
      </c>
      <c r="DU48" s="3">
        <v>2</v>
      </c>
      <c r="DV48" s="3">
        <v>0</v>
      </c>
      <c r="DW48" s="3">
        <v>1</v>
      </c>
      <c r="DX48" s="3">
        <v>1</v>
      </c>
      <c r="DY48" s="3">
        <v>0</v>
      </c>
      <c r="DZ48" s="3">
        <v>2</v>
      </c>
      <c r="EA48" s="3">
        <v>1</v>
      </c>
      <c r="EB48" s="3">
        <v>0</v>
      </c>
      <c r="EC48" s="3">
        <v>1</v>
      </c>
      <c r="ED48" s="3">
        <v>1</v>
      </c>
      <c r="EE48" s="3">
        <v>0</v>
      </c>
      <c r="EF48" s="3">
        <v>2</v>
      </c>
      <c r="EG48" s="3">
        <v>2</v>
      </c>
      <c r="EH48" s="3">
        <v>1</v>
      </c>
      <c r="EI48" s="3">
        <v>0</v>
      </c>
      <c r="EJ48" s="3">
        <v>2</v>
      </c>
      <c r="EK48" s="3">
        <v>0</v>
      </c>
      <c r="EL48" s="3">
        <v>3</v>
      </c>
      <c r="EM48" s="3">
        <v>1</v>
      </c>
      <c r="EN48" s="3">
        <v>1</v>
      </c>
      <c r="EO48" s="3">
        <v>1</v>
      </c>
      <c r="EP48" s="3">
        <v>1</v>
      </c>
    </row>
    <row r="49" spans="1:146" ht="14.25" customHeight="1" x14ac:dyDescent="0.25">
      <c r="A49" s="16">
        <v>48</v>
      </c>
      <c r="B49" s="17" t="s">
        <v>59</v>
      </c>
      <c r="C49" s="16">
        <v>3</v>
      </c>
      <c r="D49" s="16">
        <v>1</v>
      </c>
      <c r="E49" s="16">
        <v>2</v>
      </c>
      <c r="F49" s="16">
        <v>2</v>
      </c>
      <c r="G49" s="16">
        <v>1</v>
      </c>
      <c r="H49" s="16">
        <v>2</v>
      </c>
      <c r="I49" s="16">
        <v>1</v>
      </c>
      <c r="J49" s="16">
        <v>0</v>
      </c>
      <c r="K49" s="16">
        <v>0</v>
      </c>
      <c r="L49" s="16">
        <v>1</v>
      </c>
      <c r="M49" s="16">
        <v>1</v>
      </c>
      <c r="N49" s="16">
        <v>2</v>
      </c>
      <c r="O49" s="16">
        <v>2</v>
      </c>
      <c r="P49" s="16">
        <v>2</v>
      </c>
      <c r="Q49" s="16">
        <v>0</v>
      </c>
      <c r="R49" s="16">
        <v>3</v>
      </c>
      <c r="S49" s="16">
        <v>1</v>
      </c>
      <c r="T49" s="16">
        <v>1</v>
      </c>
      <c r="U49" s="16">
        <v>4</v>
      </c>
      <c r="V49" s="16">
        <v>0</v>
      </c>
      <c r="W49" s="16">
        <v>2</v>
      </c>
      <c r="X49" s="16">
        <v>1</v>
      </c>
      <c r="Y49" s="16">
        <v>3</v>
      </c>
      <c r="Z49" s="16">
        <v>1</v>
      </c>
      <c r="AA49" s="16">
        <v>0</v>
      </c>
      <c r="AB49" s="16">
        <v>3</v>
      </c>
      <c r="AC49" s="16">
        <v>8</v>
      </c>
      <c r="AD49" s="16">
        <v>0</v>
      </c>
      <c r="AE49" s="16">
        <v>2</v>
      </c>
      <c r="AF49" s="16">
        <v>0</v>
      </c>
      <c r="AG49" s="16">
        <v>2</v>
      </c>
      <c r="AH49" s="16">
        <v>1</v>
      </c>
      <c r="AI49" s="16">
        <v>2</v>
      </c>
      <c r="AJ49" s="16">
        <v>0</v>
      </c>
      <c r="AK49" s="16">
        <v>0</v>
      </c>
      <c r="AL49" s="16">
        <v>4</v>
      </c>
      <c r="AM49" s="16">
        <v>3</v>
      </c>
      <c r="AN49" s="16">
        <v>0</v>
      </c>
      <c r="AO49" s="16">
        <v>2</v>
      </c>
      <c r="AP49" s="16">
        <v>0</v>
      </c>
      <c r="AQ49" s="16">
        <v>1</v>
      </c>
      <c r="AR49" s="16">
        <v>1</v>
      </c>
      <c r="AS49" s="16">
        <v>2</v>
      </c>
      <c r="AT49" s="16">
        <v>1</v>
      </c>
      <c r="AU49" s="16">
        <v>3</v>
      </c>
      <c r="AV49" s="16">
        <v>0</v>
      </c>
      <c r="AW49" s="16">
        <v>1</v>
      </c>
      <c r="AX49" s="16">
        <v>2</v>
      </c>
      <c r="AY49" s="16">
        <v>2</v>
      </c>
      <c r="AZ49" s="16">
        <v>1</v>
      </c>
      <c r="BA49" s="16">
        <v>2</v>
      </c>
      <c r="BB49" s="16">
        <v>0</v>
      </c>
      <c r="BC49" s="16">
        <v>1</v>
      </c>
      <c r="BD49" s="16">
        <v>0</v>
      </c>
      <c r="BE49" s="16">
        <v>0</v>
      </c>
      <c r="BF49" s="16">
        <v>2</v>
      </c>
      <c r="BG49" s="16">
        <v>4</v>
      </c>
      <c r="BH49" s="16">
        <v>0</v>
      </c>
      <c r="BI49" s="16">
        <v>0</v>
      </c>
      <c r="BJ49" s="16">
        <v>2</v>
      </c>
      <c r="BK49" s="16">
        <v>1</v>
      </c>
      <c r="BL49" s="16">
        <v>1</v>
      </c>
      <c r="BM49" s="16">
        <v>3</v>
      </c>
      <c r="BN49" s="16">
        <v>0</v>
      </c>
      <c r="BO49" s="16">
        <v>4</v>
      </c>
      <c r="BP49" s="16">
        <v>2</v>
      </c>
      <c r="BQ49" s="16">
        <v>4</v>
      </c>
      <c r="BR49" s="16">
        <v>0</v>
      </c>
      <c r="BS49" s="16">
        <v>1</v>
      </c>
      <c r="BT49" s="16">
        <v>1</v>
      </c>
      <c r="BU49" s="16">
        <v>0</v>
      </c>
      <c r="BV49" s="16">
        <v>2</v>
      </c>
      <c r="BW49" s="16">
        <v>6</v>
      </c>
      <c r="BX49" s="16">
        <v>0</v>
      </c>
      <c r="BY49" s="16">
        <v>4</v>
      </c>
      <c r="BZ49" s="16">
        <v>0</v>
      </c>
      <c r="CA49" s="16">
        <v>3</v>
      </c>
      <c r="CB49" s="16">
        <v>0</v>
      </c>
      <c r="CC49" s="16">
        <v>0</v>
      </c>
      <c r="CD49" s="16">
        <v>2</v>
      </c>
      <c r="CE49" s="16">
        <v>3</v>
      </c>
      <c r="CF49" s="16">
        <v>1</v>
      </c>
      <c r="CG49" s="16">
        <v>5</v>
      </c>
      <c r="CH49" s="16">
        <v>2</v>
      </c>
      <c r="CI49" s="16">
        <v>4</v>
      </c>
      <c r="CJ49" s="16">
        <v>1</v>
      </c>
      <c r="CK49" s="16">
        <v>0</v>
      </c>
      <c r="CL49" s="16">
        <v>3</v>
      </c>
      <c r="CM49" s="16">
        <v>3</v>
      </c>
      <c r="CN49" s="16">
        <v>1</v>
      </c>
      <c r="CO49" s="16">
        <v>1</v>
      </c>
      <c r="CP49" s="16">
        <v>1</v>
      </c>
      <c r="CQ49" s="16">
        <v>5</v>
      </c>
      <c r="CR49" s="16">
        <v>1</v>
      </c>
      <c r="CS49" s="16">
        <v>4</v>
      </c>
      <c r="CT49" s="16">
        <v>1</v>
      </c>
      <c r="CU49" s="16">
        <v>0</v>
      </c>
      <c r="CV49" s="16">
        <v>3</v>
      </c>
      <c r="CW49" s="16">
        <v>3</v>
      </c>
      <c r="CX49" s="16">
        <v>0</v>
      </c>
      <c r="CY49" s="16">
        <v>4</v>
      </c>
      <c r="CZ49" s="16">
        <v>1</v>
      </c>
      <c r="DA49" s="16">
        <v>2</v>
      </c>
      <c r="DB49" s="16">
        <v>2</v>
      </c>
      <c r="DC49" s="16">
        <v>1</v>
      </c>
      <c r="DD49" s="16">
        <v>3</v>
      </c>
      <c r="DE49" s="16">
        <v>0</v>
      </c>
      <c r="DF49" s="16">
        <v>4</v>
      </c>
      <c r="DG49" s="16">
        <v>0</v>
      </c>
      <c r="DH49" s="16">
        <v>3</v>
      </c>
      <c r="DI49" s="16">
        <v>1</v>
      </c>
      <c r="DJ49" s="16">
        <v>3</v>
      </c>
      <c r="DK49" s="16">
        <v>2</v>
      </c>
      <c r="DL49" s="16">
        <v>2</v>
      </c>
      <c r="DM49" s="16">
        <v>1</v>
      </c>
      <c r="DN49" s="16">
        <v>4</v>
      </c>
      <c r="DO49" s="16">
        <v>2</v>
      </c>
      <c r="DP49" s="16">
        <v>2</v>
      </c>
      <c r="DQ49" s="16">
        <v>1</v>
      </c>
      <c r="DR49" s="16">
        <v>0</v>
      </c>
      <c r="DS49" s="16">
        <v>2</v>
      </c>
      <c r="DT49" s="16">
        <v>2</v>
      </c>
      <c r="DU49" s="16">
        <v>3</v>
      </c>
      <c r="DV49" s="16">
        <v>1</v>
      </c>
      <c r="DW49" s="16">
        <v>4</v>
      </c>
      <c r="DX49" s="16">
        <v>2</v>
      </c>
      <c r="DY49" s="16">
        <v>0</v>
      </c>
      <c r="DZ49" s="16">
        <v>5</v>
      </c>
      <c r="EA49" s="16">
        <v>1</v>
      </c>
      <c r="EB49" s="16">
        <v>3</v>
      </c>
      <c r="EC49" s="16">
        <v>2</v>
      </c>
      <c r="ED49" s="16">
        <v>4</v>
      </c>
      <c r="EE49" s="16">
        <v>1</v>
      </c>
      <c r="EF49" s="16">
        <v>1</v>
      </c>
      <c r="EG49" s="16">
        <v>3</v>
      </c>
      <c r="EH49" s="16">
        <v>2</v>
      </c>
      <c r="EI49" s="16">
        <v>1</v>
      </c>
      <c r="EJ49" s="16">
        <v>1</v>
      </c>
      <c r="EK49" s="16">
        <v>0</v>
      </c>
      <c r="EL49" s="16">
        <v>5</v>
      </c>
      <c r="EM49" s="16">
        <v>3</v>
      </c>
      <c r="EN49" s="16">
        <v>3</v>
      </c>
      <c r="EO49" s="16">
        <v>1</v>
      </c>
      <c r="EP49" s="16">
        <v>2</v>
      </c>
    </row>
    <row r="50" spans="1:146" ht="14.25" customHeight="1" x14ac:dyDescent="0.25">
      <c r="A50" s="15">
        <v>49</v>
      </c>
      <c r="B50" s="4" t="s">
        <v>61</v>
      </c>
      <c r="C50" s="3">
        <v>2</v>
      </c>
      <c r="D50" s="3">
        <v>0</v>
      </c>
      <c r="E50" s="3">
        <v>1</v>
      </c>
      <c r="F50" s="3">
        <v>1</v>
      </c>
      <c r="G50" s="3">
        <v>2</v>
      </c>
      <c r="H50" s="3">
        <v>1</v>
      </c>
      <c r="I50" s="3">
        <v>1</v>
      </c>
      <c r="J50" s="3">
        <v>1</v>
      </c>
      <c r="K50" s="3">
        <v>1</v>
      </c>
      <c r="L50" s="3">
        <v>2</v>
      </c>
      <c r="M50" s="3">
        <v>1</v>
      </c>
      <c r="N50" s="3">
        <v>2</v>
      </c>
      <c r="O50" s="3">
        <v>1</v>
      </c>
      <c r="P50" s="3">
        <v>2</v>
      </c>
      <c r="Q50" s="3">
        <v>0</v>
      </c>
      <c r="R50" s="3">
        <v>3</v>
      </c>
      <c r="S50" s="3">
        <v>2</v>
      </c>
      <c r="T50" s="3">
        <v>1</v>
      </c>
      <c r="U50" s="3">
        <v>4</v>
      </c>
      <c r="V50" s="3">
        <v>0</v>
      </c>
      <c r="W50" s="3">
        <v>2</v>
      </c>
      <c r="X50" s="3">
        <v>2</v>
      </c>
      <c r="Y50" s="3">
        <v>2</v>
      </c>
      <c r="Z50" s="3">
        <v>1</v>
      </c>
      <c r="AA50" s="3">
        <v>0</v>
      </c>
      <c r="AB50" s="3">
        <v>2</v>
      </c>
      <c r="AC50" s="3">
        <v>3</v>
      </c>
      <c r="AD50" s="3">
        <v>0</v>
      </c>
      <c r="AE50" s="3">
        <v>2</v>
      </c>
      <c r="AF50" s="3">
        <v>0</v>
      </c>
      <c r="AG50" s="3">
        <v>3</v>
      </c>
      <c r="AH50" s="3">
        <v>2</v>
      </c>
      <c r="AI50" s="3">
        <v>2</v>
      </c>
      <c r="AJ50" s="3">
        <v>1</v>
      </c>
      <c r="AK50" s="3">
        <v>0</v>
      </c>
      <c r="AL50" s="3">
        <v>4</v>
      </c>
      <c r="AM50" s="3">
        <v>3</v>
      </c>
      <c r="AN50" s="3">
        <v>1</v>
      </c>
      <c r="AO50" s="3">
        <v>3</v>
      </c>
      <c r="AP50" s="3">
        <v>0</v>
      </c>
      <c r="AQ50" s="3">
        <v>1</v>
      </c>
      <c r="AR50" s="3">
        <v>2</v>
      </c>
      <c r="AS50" s="3">
        <v>1</v>
      </c>
      <c r="AT50" s="3">
        <v>1</v>
      </c>
      <c r="AU50" s="3">
        <v>8</v>
      </c>
      <c r="AV50" s="3">
        <v>0</v>
      </c>
      <c r="AW50" s="3">
        <v>0</v>
      </c>
      <c r="AX50" s="3">
        <v>4</v>
      </c>
      <c r="AY50" s="3">
        <v>3</v>
      </c>
      <c r="AZ50" s="3">
        <v>2</v>
      </c>
      <c r="BA50" s="3">
        <v>4</v>
      </c>
      <c r="BB50" s="3">
        <v>2</v>
      </c>
      <c r="BC50" s="3">
        <v>3</v>
      </c>
      <c r="BD50" s="3">
        <v>1</v>
      </c>
      <c r="BE50" s="3">
        <v>2</v>
      </c>
      <c r="BF50" s="3">
        <v>2</v>
      </c>
      <c r="BG50" s="3">
        <v>3</v>
      </c>
      <c r="BH50" s="3">
        <v>0</v>
      </c>
      <c r="BI50" s="3">
        <v>1</v>
      </c>
      <c r="BJ50" s="3">
        <v>3</v>
      </c>
      <c r="BK50" s="3">
        <v>2</v>
      </c>
      <c r="BL50" s="3">
        <v>1</v>
      </c>
      <c r="BM50" s="3">
        <v>2</v>
      </c>
      <c r="BN50" s="3">
        <v>1</v>
      </c>
      <c r="BO50" s="3">
        <v>2</v>
      </c>
      <c r="BP50" s="3">
        <v>2</v>
      </c>
      <c r="BQ50" s="3">
        <v>2</v>
      </c>
      <c r="BR50" s="3">
        <v>0</v>
      </c>
      <c r="BS50" s="3">
        <v>2</v>
      </c>
      <c r="BT50" s="3">
        <v>0</v>
      </c>
      <c r="BU50" s="3">
        <v>1</v>
      </c>
      <c r="BV50" s="3">
        <v>2</v>
      </c>
      <c r="BW50" s="3">
        <v>3</v>
      </c>
      <c r="BX50" s="3">
        <v>0</v>
      </c>
      <c r="BY50" s="3">
        <v>3</v>
      </c>
      <c r="BZ50" s="3">
        <v>0</v>
      </c>
      <c r="CA50" s="3">
        <v>2</v>
      </c>
      <c r="CB50" s="3">
        <v>1</v>
      </c>
      <c r="CC50" s="3">
        <v>1</v>
      </c>
      <c r="CD50" s="3">
        <v>3</v>
      </c>
      <c r="CE50" s="3">
        <v>1</v>
      </c>
      <c r="CF50" s="3">
        <v>1</v>
      </c>
      <c r="CG50" s="3">
        <v>4</v>
      </c>
      <c r="CH50" s="3">
        <v>0</v>
      </c>
      <c r="CI50" s="3">
        <v>2</v>
      </c>
      <c r="CJ50" s="3">
        <v>1</v>
      </c>
      <c r="CK50" s="3">
        <v>0</v>
      </c>
      <c r="CL50" s="3">
        <v>2</v>
      </c>
      <c r="CM50" s="3">
        <v>2</v>
      </c>
      <c r="CN50" s="3">
        <v>0</v>
      </c>
      <c r="CO50" s="3">
        <v>0</v>
      </c>
      <c r="CP50" s="3">
        <v>2</v>
      </c>
      <c r="CQ50" s="3">
        <v>2</v>
      </c>
      <c r="CR50" s="3">
        <v>0</v>
      </c>
      <c r="CS50" s="3">
        <v>2</v>
      </c>
      <c r="CT50" s="3">
        <v>1</v>
      </c>
      <c r="CU50" s="3">
        <v>0</v>
      </c>
      <c r="CV50" s="3">
        <v>4</v>
      </c>
      <c r="CW50" s="3">
        <v>3</v>
      </c>
      <c r="CX50" s="3">
        <v>0</v>
      </c>
      <c r="CY50" s="3">
        <v>3</v>
      </c>
      <c r="CZ50" s="3">
        <v>1</v>
      </c>
      <c r="DA50" s="3">
        <v>2</v>
      </c>
      <c r="DB50" s="3">
        <v>0</v>
      </c>
      <c r="DC50" s="3">
        <v>2</v>
      </c>
      <c r="DD50" s="3">
        <v>2</v>
      </c>
      <c r="DE50" s="3">
        <v>0</v>
      </c>
      <c r="DF50" s="3">
        <v>3</v>
      </c>
      <c r="DG50" s="3">
        <v>1</v>
      </c>
      <c r="DH50" s="3">
        <v>3</v>
      </c>
      <c r="DI50" s="3">
        <v>2</v>
      </c>
      <c r="DJ50" s="3">
        <v>3</v>
      </c>
      <c r="DK50" s="3">
        <v>2</v>
      </c>
      <c r="DL50" s="3">
        <v>1</v>
      </c>
      <c r="DM50" s="3">
        <v>0</v>
      </c>
      <c r="DN50" s="3">
        <v>4</v>
      </c>
      <c r="DO50" s="3">
        <v>2</v>
      </c>
      <c r="DP50" s="3">
        <v>3</v>
      </c>
      <c r="DQ50" s="3">
        <v>4</v>
      </c>
      <c r="DR50" s="3">
        <v>1</v>
      </c>
      <c r="DS50" s="3">
        <v>2</v>
      </c>
      <c r="DT50" s="3">
        <v>2</v>
      </c>
      <c r="DU50" s="3">
        <v>3</v>
      </c>
      <c r="DV50" s="3">
        <v>0</v>
      </c>
      <c r="DW50" s="3">
        <v>4</v>
      </c>
      <c r="DX50" s="3">
        <v>1</v>
      </c>
      <c r="DY50" s="3">
        <v>1</v>
      </c>
      <c r="DZ50" s="3">
        <v>4</v>
      </c>
      <c r="EA50" s="3">
        <v>2</v>
      </c>
      <c r="EB50" s="3">
        <v>1</v>
      </c>
      <c r="EC50" s="3">
        <v>1</v>
      </c>
      <c r="ED50" s="3">
        <v>2</v>
      </c>
      <c r="EE50" s="3">
        <v>0</v>
      </c>
      <c r="EF50" s="3">
        <v>4</v>
      </c>
      <c r="EG50" s="3">
        <v>2</v>
      </c>
      <c r="EH50" s="3">
        <v>0</v>
      </c>
      <c r="EI50" s="3">
        <v>1</v>
      </c>
      <c r="EJ50" s="3">
        <v>3</v>
      </c>
      <c r="EK50" s="3">
        <v>1</v>
      </c>
      <c r="EL50" s="3">
        <v>2</v>
      </c>
      <c r="EM50" s="3">
        <v>1</v>
      </c>
      <c r="EN50" s="3">
        <v>1</v>
      </c>
      <c r="EO50" s="3">
        <v>3</v>
      </c>
      <c r="EP50" s="3">
        <v>0</v>
      </c>
    </row>
  </sheetData>
  <pageMargins left="0.7" right="0.7" top="0.75" bottom="0.75" header="0.51" footer="0.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Z105"/>
  <sheetViews>
    <sheetView showGridLines="0" topLeftCell="A43" workbookViewId="0">
      <selection activeCell="I69" sqref="I69"/>
    </sheetView>
  </sheetViews>
  <sheetFormatPr baseColWidth="10" defaultRowHeight="15" x14ac:dyDescent="0.25"/>
  <cols>
    <col min="1" max="1" width="7" customWidth="1"/>
    <col min="2" max="2" width="12" style="19" customWidth="1"/>
    <col min="3" max="3" width="10" style="20" customWidth="1"/>
    <col min="4" max="4" width="14" customWidth="1"/>
    <col min="6" max="7" width="22" customWidth="1"/>
    <col min="8" max="8" width="12" customWidth="1"/>
    <col min="9" max="9" width="14" customWidth="1"/>
    <col min="10" max="11" width="24" customWidth="1"/>
    <col min="12" max="13" width="12" customWidth="1"/>
    <col min="14" max="14" width="14" customWidth="1"/>
    <col min="15" max="15" width="16" customWidth="1"/>
    <col min="16" max="16" width="18" customWidth="1"/>
    <col min="17" max="17" width="38" customWidth="1"/>
  </cols>
  <sheetData>
    <row r="1" spans="1:26" ht="24" customHeight="1" x14ac:dyDescent="0.25">
      <c r="A1" s="21" t="s">
        <v>190</v>
      </c>
      <c r="B1" s="22" t="s">
        <v>191</v>
      </c>
      <c r="C1" s="21" t="s">
        <v>192</v>
      </c>
      <c r="D1" s="21" t="s">
        <v>193</v>
      </c>
      <c r="E1" s="21" t="s">
        <v>128</v>
      </c>
      <c r="F1" s="21" t="s">
        <v>194</v>
      </c>
      <c r="G1" s="21" t="s">
        <v>195</v>
      </c>
      <c r="H1" s="21" t="s">
        <v>196</v>
      </c>
      <c r="I1" s="21" t="s">
        <v>197</v>
      </c>
      <c r="J1" s="21" t="s">
        <v>198</v>
      </c>
      <c r="K1" s="21" t="s">
        <v>199</v>
      </c>
      <c r="L1" s="21" t="s">
        <v>200</v>
      </c>
      <c r="M1" s="21" t="s">
        <v>201</v>
      </c>
      <c r="N1" s="21" t="s">
        <v>202</v>
      </c>
      <c r="O1" s="21" t="s">
        <v>203</v>
      </c>
      <c r="P1" s="21" t="s">
        <v>204</v>
      </c>
      <c r="Q1" s="21" t="s">
        <v>205</v>
      </c>
      <c r="R1" s="21"/>
      <c r="S1" s="21"/>
      <c r="T1" s="21"/>
      <c r="U1" s="21"/>
      <c r="V1" s="21"/>
      <c r="W1" s="21"/>
      <c r="X1" s="21"/>
      <c r="Y1" s="21"/>
      <c r="Z1" s="21"/>
    </row>
    <row r="2" spans="1:26" ht="23.25" customHeight="1" x14ac:dyDescent="0.25">
      <c r="A2">
        <v>1</v>
      </c>
      <c r="B2" s="19">
        <v>46184</v>
      </c>
      <c r="C2" s="23">
        <v>0.58333333333333337</v>
      </c>
      <c r="D2" t="s">
        <v>128</v>
      </c>
      <c r="E2" t="s">
        <v>75</v>
      </c>
      <c r="F2" t="s">
        <v>94</v>
      </c>
      <c r="G2" t="s">
        <v>110</v>
      </c>
      <c r="H2">
        <v>2</v>
      </c>
      <c r="I2">
        <v>0</v>
      </c>
      <c r="J2" t="s">
        <v>94</v>
      </c>
      <c r="K2" t="s">
        <v>206</v>
      </c>
      <c r="L2" t="s">
        <v>140</v>
      </c>
      <c r="M2" t="s">
        <v>142</v>
      </c>
      <c r="N2" t="s">
        <v>207</v>
      </c>
      <c r="O2" t="s">
        <v>208</v>
      </c>
      <c r="P2" t="s">
        <v>209</v>
      </c>
      <c r="Q2" s="24" t="s">
        <v>210</v>
      </c>
    </row>
    <row r="3" spans="1:26" ht="14.25" customHeight="1" x14ac:dyDescent="0.25">
      <c r="A3">
        <v>2</v>
      </c>
      <c r="B3" s="19">
        <v>46184</v>
      </c>
      <c r="C3" s="23">
        <v>0.875</v>
      </c>
      <c r="D3" t="s">
        <v>128</v>
      </c>
      <c r="E3" t="s">
        <v>75</v>
      </c>
      <c r="F3" t="s">
        <v>95</v>
      </c>
      <c r="G3" t="s">
        <v>119</v>
      </c>
      <c r="H3">
        <v>2</v>
      </c>
      <c r="I3">
        <v>1</v>
      </c>
      <c r="J3" t="s">
        <v>95</v>
      </c>
      <c r="K3" t="s">
        <v>211</v>
      </c>
      <c r="L3" t="s">
        <v>141</v>
      </c>
      <c r="M3" t="s">
        <v>176</v>
      </c>
      <c r="N3" t="s">
        <v>212</v>
      </c>
      <c r="O3" t="s">
        <v>213</v>
      </c>
      <c r="P3" t="s">
        <v>209</v>
      </c>
    </row>
    <row r="4" spans="1:26" ht="14.25" customHeight="1" x14ac:dyDescent="0.25">
      <c r="A4">
        <v>3</v>
      </c>
      <c r="B4" s="19">
        <v>46185</v>
      </c>
      <c r="C4" s="23">
        <v>0.58333333333333337</v>
      </c>
      <c r="D4" t="s">
        <v>128</v>
      </c>
      <c r="E4" t="s">
        <v>76</v>
      </c>
      <c r="F4" t="s">
        <v>96</v>
      </c>
      <c r="G4" t="s">
        <v>111</v>
      </c>
      <c r="H4">
        <v>1</v>
      </c>
      <c r="I4">
        <v>1</v>
      </c>
      <c r="J4" t="s">
        <v>214</v>
      </c>
      <c r="K4" t="s">
        <v>215</v>
      </c>
      <c r="L4" t="s">
        <v>144</v>
      </c>
      <c r="M4" t="s">
        <v>145</v>
      </c>
      <c r="N4" t="s">
        <v>216</v>
      </c>
      <c r="O4" t="s">
        <v>217</v>
      </c>
      <c r="P4" t="s">
        <v>209</v>
      </c>
    </row>
    <row r="5" spans="1:26" ht="14.25" customHeight="1" x14ac:dyDescent="0.25">
      <c r="A5">
        <v>4</v>
      </c>
      <c r="B5" s="19">
        <v>46185</v>
      </c>
      <c r="C5" s="23">
        <v>0.83333333333333337</v>
      </c>
      <c r="D5" t="s">
        <v>128</v>
      </c>
      <c r="E5" t="s">
        <v>78</v>
      </c>
      <c r="F5" t="s">
        <v>100</v>
      </c>
      <c r="G5" t="s">
        <v>113</v>
      </c>
      <c r="H5">
        <v>4</v>
      </c>
      <c r="I5">
        <v>1</v>
      </c>
      <c r="J5" t="s">
        <v>100</v>
      </c>
      <c r="K5" t="s">
        <v>218</v>
      </c>
      <c r="L5" t="s">
        <v>151</v>
      </c>
      <c r="M5" t="s">
        <v>149</v>
      </c>
      <c r="N5" t="s">
        <v>219</v>
      </c>
      <c r="O5" t="s">
        <v>220</v>
      </c>
      <c r="P5" t="s">
        <v>209</v>
      </c>
    </row>
    <row r="6" spans="1:26" ht="14.25" customHeight="1" x14ac:dyDescent="0.25">
      <c r="A6">
        <v>5</v>
      </c>
      <c r="B6" s="19">
        <v>46186</v>
      </c>
      <c r="C6" s="23">
        <v>0.83333333333333337</v>
      </c>
      <c r="D6" t="s">
        <v>128</v>
      </c>
      <c r="E6" t="s">
        <v>77</v>
      </c>
      <c r="F6" t="s">
        <v>125</v>
      </c>
      <c r="G6" t="s">
        <v>112</v>
      </c>
      <c r="H6">
        <v>0</v>
      </c>
      <c r="I6">
        <v>1</v>
      </c>
      <c r="J6" t="s">
        <v>112</v>
      </c>
      <c r="K6" t="s">
        <v>221</v>
      </c>
      <c r="L6" t="s">
        <v>187</v>
      </c>
      <c r="M6" t="s">
        <v>148</v>
      </c>
      <c r="N6" t="s">
        <v>222</v>
      </c>
      <c r="O6" t="s">
        <v>223</v>
      </c>
      <c r="P6" t="s">
        <v>209</v>
      </c>
    </row>
    <row r="7" spans="1:26" ht="14.25" customHeight="1" x14ac:dyDescent="0.25">
      <c r="A7">
        <v>6</v>
      </c>
      <c r="B7" s="19">
        <v>46186</v>
      </c>
      <c r="C7" s="23">
        <v>0.5</v>
      </c>
      <c r="D7" t="s">
        <v>128</v>
      </c>
      <c r="E7" t="s">
        <v>78</v>
      </c>
      <c r="F7" t="s">
        <v>101</v>
      </c>
      <c r="G7" t="s">
        <v>114</v>
      </c>
      <c r="H7">
        <v>2</v>
      </c>
      <c r="I7">
        <v>0</v>
      </c>
      <c r="J7" t="s">
        <v>101</v>
      </c>
      <c r="K7" t="s">
        <v>224</v>
      </c>
      <c r="L7" t="s">
        <v>181</v>
      </c>
      <c r="M7" t="s">
        <v>150</v>
      </c>
      <c r="N7" t="s">
        <v>225</v>
      </c>
      <c r="O7" t="s">
        <v>226</v>
      </c>
      <c r="P7" t="s">
        <v>209</v>
      </c>
    </row>
    <row r="8" spans="1:26" ht="14.25" customHeight="1" x14ac:dyDescent="0.25">
      <c r="A8">
        <v>7</v>
      </c>
      <c r="B8" s="19">
        <v>46186</v>
      </c>
      <c r="C8" s="23">
        <v>0.70833333333333337</v>
      </c>
      <c r="D8" t="s">
        <v>128</v>
      </c>
      <c r="E8" t="s">
        <v>77</v>
      </c>
      <c r="F8" t="s">
        <v>98</v>
      </c>
      <c r="G8" t="s">
        <v>99</v>
      </c>
      <c r="H8">
        <v>1</v>
      </c>
      <c r="I8">
        <v>1</v>
      </c>
      <c r="J8" t="s">
        <v>214</v>
      </c>
      <c r="K8" t="s">
        <v>227</v>
      </c>
      <c r="L8" t="s">
        <v>147</v>
      </c>
      <c r="M8" t="s">
        <v>146</v>
      </c>
      <c r="N8" t="s">
        <v>228</v>
      </c>
      <c r="O8" t="s">
        <v>229</v>
      </c>
      <c r="P8" t="s">
        <v>209</v>
      </c>
    </row>
    <row r="9" spans="1:26" ht="14.25" customHeight="1" x14ac:dyDescent="0.25">
      <c r="A9">
        <v>8</v>
      </c>
      <c r="B9" s="19">
        <v>46186</v>
      </c>
      <c r="C9" s="23">
        <v>0.58333333333333337</v>
      </c>
      <c r="D9" t="s">
        <v>128</v>
      </c>
      <c r="E9" t="s">
        <v>76</v>
      </c>
      <c r="F9" t="s">
        <v>121</v>
      </c>
      <c r="G9" t="s">
        <v>97</v>
      </c>
      <c r="H9">
        <v>1</v>
      </c>
      <c r="I9">
        <v>1</v>
      </c>
      <c r="J9" t="s">
        <v>214</v>
      </c>
      <c r="K9" t="s">
        <v>230</v>
      </c>
      <c r="L9" t="s">
        <v>178</v>
      </c>
      <c r="M9" t="s">
        <v>143</v>
      </c>
      <c r="N9" t="s">
        <v>231</v>
      </c>
      <c r="O9" t="s">
        <v>232</v>
      </c>
      <c r="P9" t="s">
        <v>209</v>
      </c>
    </row>
    <row r="10" spans="1:26" ht="14.25" customHeight="1" x14ac:dyDescent="0.25">
      <c r="A10">
        <v>9</v>
      </c>
      <c r="B10" s="19">
        <v>46187</v>
      </c>
      <c r="C10" s="23">
        <v>0.75</v>
      </c>
      <c r="D10" t="s">
        <v>128</v>
      </c>
      <c r="E10" t="s">
        <v>79</v>
      </c>
      <c r="F10" t="s">
        <v>103</v>
      </c>
      <c r="G10" t="s">
        <v>115</v>
      </c>
      <c r="H10">
        <v>1</v>
      </c>
      <c r="I10">
        <v>0</v>
      </c>
      <c r="J10" t="s">
        <v>103</v>
      </c>
      <c r="K10" t="s">
        <v>233</v>
      </c>
      <c r="L10" t="s">
        <v>154</v>
      </c>
      <c r="M10" t="s">
        <v>153</v>
      </c>
      <c r="N10" t="s">
        <v>234</v>
      </c>
      <c r="O10" t="s">
        <v>235</v>
      </c>
      <c r="P10" t="s">
        <v>209</v>
      </c>
    </row>
    <row r="11" spans="1:26" ht="14.25" customHeight="1" x14ac:dyDescent="0.25">
      <c r="A11">
        <v>10</v>
      </c>
      <c r="B11" s="19">
        <v>46187</v>
      </c>
      <c r="C11" s="23">
        <v>0.5</v>
      </c>
      <c r="D11" t="s">
        <v>128</v>
      </c>
      <c r="E11" t="s">
        <v>79</v>
      </c>
      <c r="F11" t="s">
        <v>102</v>
      </c>
      <c r="G11" t="s">
        <v>122</v>
      </c>
      <c r="H11">
        <v>7</v>
      </c>
      <c r="I11">
        <v>1</v>
      </c>
      <c r="J11" t="s">
        <v>102</v>
      </c>
      <c r="K11" t="s">
        <v>236</v>
      </c>
      <c r="L11" t="s">
        <v>152</v>
      </c>
      <c r="M11" t="s">
        <v>179</v>
      </c>
      <c r="N11" t="s">
        <v>237</v>
      </c>
      <c r="O11" t="s">
        <v>238</v>
      </c>
      <c r="P11" t="s">
        <v>209</v>
      </c>
    </row>
    <row r="12" spans="1:26" ht="14.25" customHeight="1" x14ac:dyDescent="0.25">
      <c r="A12">
        <v>11</v>
      </c>
      <c r="B12" s="19">
        <v>46187</v>
      </c>
      <c r="C12" s="23">
        <v>0.625</v>
      </c>
      <c r="D12" t="s">
        <v>128</v>
      </c>
      <c r="E12" t="s">
        <v>80</v>
      </c>
      <c r="F12" t="s">
        <v>104</v>
      </c>
      <c r="G12" t="s">
        <v>105</v>
      </c>
      <c r="H12">
        <v>2</v>
      </c>
      <c r="I12">
        <v>2</v>
      </c>
      <c r="J12" t="s">
        <v>214</v>
      </c>
      <c r="K12" t="s">
        <v>239</v>
      </c>
      <c r="L12" t="s">
        <v>155</v>
      </c>
      <c r="M12" t="s">
        <v>156</v>
      </c>
      <c r="N12" t="s">
        <v>240</v>
      </c>
      <c r="O12" t="s">
        <v>241</v>
      </c>
      <c r="P12" t="s">
        <v>209</v>
      </c>
    </row>
    <row r="13" spans="1:26" ht="14.25" customHeight="1" x14ac:dyDescent="0.25">
      <c r="A13">
        <v>12</v>
      </c>
      <c r="B13" s="19">
        <v>46187</v>
      </c>
      <c r="C13" s="23">
        <v>0.875</v>
      </c>
      <c r="D13" t="s">
        <v>128</v>
      </c>
      <c r="E13" t="s">
        <v>80</v>
      </c>
      <c r="F13" t="s">
        <v>116</v>
      </c>
      <c r="G13" t="s">
        <v>124</v>
      </c>
      <c r="H13">
        <v>5</v>
      </c>
      <c r="I13">
        <v>1</v>
      </c>
      <c r="J13" t="s">
        <v>116</v>
      </c>
      <c r="K13" t="s">
        <v>242</v>
      </c>
      <c r="L13" t="s">
        <v>157</v>
      </c>
      <c r="M13" t="s">
        <v>183</v>
      </c>
      <c r="N13" t="s">
        <v>243</v>
      </c>
      <c r="O13" t="s">
        <v>244</v>
      </c>
      <c r="P13" t="s">
        <v>209</v>
      </c>
    </row>
    <row r="14" spans="1:26" ht="14.25" customHeight="1" x14ac:dyDescent="0.25">
      <c r="A14">
        <v>13</v>
      </c>
      <c r="B14" s="19">
        <v>46188</v>
      </c>
      <c r="C14" s="23">
        <v>0.70833333333333337</v>
      </c>
      <c r="D14" t="s">
        <v>128</v>
      </c>
      <c r="E14" t="s">
        <v>82</v>
      </c>
      <c r="F14" t="s">
        <v>67</v>
      </c>
      <c r="G14" t="s">
        <v>70</v>
      </c>
      <c r="H14">
        <v>1</v>
      </c>
      <c r="I14">
        <v>1</v>
      </c>
      <c r="J14" t="s">
        <v>214</v>
      </c>
      <c r="K14" t="s">
        <v>245</v>
      </c>
      <c r="L14" t="s">
        <v>163</v>
      </c>
      <c r="M14" t="s">
        <v>162</v>
      </c>
      <c r="N14" t="s">
        <v>246</v>
      </c>
      <c r="O14" t="s">
        <v>247</v>
      </c>
      <c r="P14" t="s">
        <v>209</v>
      </c>
    </row>
    <row r="15" spans="1:26" ht="14.25" customHeight="1" x14ac:dyDescent="0.25">
      <c r="A15">
        <v>14</v>
      </c>
      <c r="B15" s="19">
        <v>46188</v>
      </c>
      <c r="C15" s="23">
        <v>0.45833333333333331</v>
      </c>
      <c r="D15" t="s">
        <v>128</v>
      </c>
      <c r="E15" t="s">
        <v>82</v>
      </c>
      <c r="F15" t="s">
        <v>66</v>
      </c>
      <c r="G15" t="s">
        <v>71</v>
      </c>
      <c r="H15">
        <v>0</v>
      </c>
      <c r="I15">
        <v>0</v>
      </c>
      <c r="J15" t="s">
        <v>214</v>
      </c>
      <c r="K15" t="s">
        <v>248</v>
      </c>
      <c r="L15" t="s">
        <v>161</v>
      </c>
      <c r="M15" t="s">
        <v>184</v>
      </c>
      <c r="N15" t="s">
        <v>249</v>
      </c>
      <c r="O15" t="s">
        <v>250</v>
      </c>
      <c r="P15" t="s">
        <v>209</v>
      </c>
    </row>
    <row r="16" spans="1:26" ht="14.25" customHeight="1" x14ac:dyDescent="0.25">
      <c r="A16">
        <v>15</v>
      </c>
      <c r="B16" s="19">
        <v>46188</v>
      </c>
      <c r="C16" s="23">
        <v>0.83333333333333337</v>
      </c>
      <c r="D16" t="s">
        <v>128</v>
      </c>
      <c r="E16" t="s">
        <v>81</v>
      </c>
      <c r="F16" t="s">
        <v>69</v>
      </c>
      <c r="G16" t="s">
        <v>72</v>
      </c>
      <c r="H16">
        <v>2</v>
      </c>
      <c r="I16">
        <v>2</v>
      </c>
      <c r="J16" t="s">
        <v>214</v>
      </c>
      <c r="K16" t="s">
        <v>218</v>
      </c>
      <c r="L16" t="s">
        <v>160</v>
      </c>
      <c r="M16" t="s">
        <v>182</v>
      </c>
      <c r="N16" t="s">
        <v>251</v>
      </c>
      <c r="O16" t="s">
        <v>252</v>
      </c>
      <c r="P16" t="s">
        <v>209</v>
      </c>
    </row>
    <row r="17" spans="1:16" ht="14.25" customHeight="1" x14ac:dyDescent="0.25">
      <c r="A17">
        <v>16</v>
      </c>
      <c r="B17" s="19">
        <v>46188</v>
      </c>
      <c r="C17" s="23">
        <v>0.58333333333333337</v>
      </c>
      <c r="D17" t="s">
        <v>128</v>
      </c>
      <c r="E17" t="s">
        <v>81</v>
      </c>
      <c r="F17" t="s">
        <v>68</v>
      </c>
      <c r="G17" t="s">
        <v>73</v>
      </c>
      <c r="H17">
        <v>1</v>
      </c>
      <c r="I17">
        <v>1</v>
      </c>
      <c r="J17" t="s">
        <v>214</v>
      </c>
      <c r="K17" t="s">
        <v>253</v>
      </c>
      <c r="L17" t="s">
        <v>158</v>
      </c>
      <c r="M17" t="s">
        <v>159</v>
      </c>
      <c r="N17" t="s">
        <v>254</v>
      </c>
      <c r="O17" t="s">
        <v>255</v>
      </c>
      <c r="P17" t="s">
        <v>209</v>
      </c>
    </row>
    <row r="18" spans="1:16" ht="14.25" customHeight="1" x14ac:dyDescent="0.25">
      <c r="A18">
        <v>17</v>
      </c>
      <c r="B18" s="19">
        <v>46189</v>
      </c>
      <c r="C18" s="23">
        <v>0.58333333333333337</v>
      </c>
      <c r="D18" t="s">
        <v>128</v>
      </c>
      <c r="E18" t="s">
        <v>83</v>
      </c>
      <c r="F18" t="s">
        <v>35</v>
      </c>
      <c r="G18" t="s">
        <v>45</v>
      </c>
      <c r="H18">
        <v>3</v>
      </c>
      <c r="I18">
        <v>1</v>
      </c>
      <c r="J18" t="s">
        <v>35</v>
      </c>
      <c r="K18" t="s">
        <v>227</v>
      </c>
      <c r="L18" t="s">
        <v>164</v>
      </c>
      <c r="M18" t="s">
        <v>166</v>
      </c>
      <c r="N18" t="s">
        <v>256</v>
      </c>
      <c r="O18" t="s">
        <v>257</v>
      </c>
      <c r="P18" t="s">
        <v>209</v>
      </c>
    </row>
    <row r="19" spans="1:16" ht="14.25" customHeight="1" x14ac:dyDescent="0.25">
      <c r="A19">
        <v>18</v>
      </c>
      <c r="B19" s="19">
        <v>46189</v>
      </c>
      <c r="C19" s="23">
        <v>0.70833333333333337</v>
      </c>
      <c r="D19" t="s">
        <v>128</v>
      </c>
      <c r="E19" t="s">
        <v>83</v>
      </c>
      <c r="F19" t="s">
        <v>36</v>
      </c>
      <c r="G19" t="s">
        <v>44</v>
      </c>
      <c r="H19">
        <v>1</v>
      </c>
      <c r="I19">
        <v>4</v>
      </c>
      <c r="J19" t="s">
        <v>44</v>
      </c>
      <c r="K19" t="s">
        <v>221</v>
      </c>
      <c r="L19" t="s">
        <v>185</v>
      </c>
      <c r="M19" t="s">
        <v>165</v>
      </c>
      <c r="N19" t="s">
        <v>258</v>
      </c>
      <c r="O19" t="s">
        <v>259</v>
      </c>
      <c r="P19" t="s">
        <v>209</v>
      </c>
    </row>
    <row r="20" spans="1:16" ht="14.25" customHeight="1" x14ac:dyDescent="0.25">
      <c r="A20">
        <v>19</v>
      </c>
      <c r="B20" s="19">
        <v>46189</v>
      </c>
      <c r="C20" s="23">
        <v>0.83333333333333337</v>
      </c>
      <c r="D20" t="s">
        <v>128</v>
      </c>
      <c r="E20" t="s">
        <v>84</v>
      </c>
      <c r="F20" t="s">
        <v>23</v>
      </c>
      <c r="G20" t="s">
        <v>57</v>
      </c>
      <c r="H20">
        <v>3</v>
      </c>
      <c r="I20">
        <v>0</v>
      </c>
      <c r="J20" t="s">
        <v>23</v>
      </c>
      <c r="K20" t="s">
        <v>260</v>
      </c>
      <c r="L20" t="s">
        <v>167</v>
      </c>
      <c r="M20" t="s">
        <v>169</v>
      </c>
      <c r="N20" t="s">
        <v>261</v>
      </c>
      <c r="O20" t="s">
        <v>262</v>
      </c>
      <c r="P20" t="s">
        <v>209</v>
      </c>
    </row>
    <row r="21" spans="1:16" ht="14.25" customHeight="1" x14ac:dyDescent="0.25">
      <c r="A21">
        <v>20</v>
      </c>
      <c r="B21" s="19">
        <v>46189</v>
      </c>
      <c r="C21" s="23">
        <v>0.95833333333333337</v>
      </c>
      <c r="D21" t="s">
        <v>128</v>
      </c>
      <c r="E21" t="s">
        <v>84</v>
      </c>
      <c r="F21" t="s">
        <v>24</v>
      </c>
      <c r="G21" t="s">
        <v>56</v>
      </c>
      <c r="H21">
        <v>3</v>
      </c>
      <c r="I21">
        <v>1</v>
      </c>
      <c r="J21" t="s">
        <v>24</v>
      </c>
      <c r="K21" t="s">
        <v>230</v>
      </c>
      <c r="L21" t="s">
        <v>168</v>
      </c>
      <c r="M21" t="s">
        <v>186</v>
      </c>
      <c r="N21" t="s">
        <v>263</v>
      </c>
      <c r="O21" t="s">
        <v>264</v>
      </c>
      <c r="P21" t="s">
        <v>209</v>
      </c>
    </row>
    <row r="22" spans="1:16" ht="14.25" customHeight="1" x14ac:dyDescent="0.25">
      <c r="A22">
        <v>21</v>
      </c>
      <c r="B22" s="19">
        <v>46190</v>
      </c>
      <c r="C22" s="23">
        <v>0.75</v>
      </c>
      <c r="D22" t="s">
        <v>128</v>
      </c>
      <c r="E22" t="s">
        <v>86</v>
      </c>
      <c r="F22" t="s">
        <v>109</v>
      </c>
      <c r="G22" t="s">
        <v>120</v>
      </c>
      <c r="H22">
        <v>1</v>
      </c>
      <c r="I22">
        <v>0</v>
      </c>
      <c r="J22" t="s">
        <v>109</v>
      </c>
      <c r="K22" t="s">
        <v>215</v>
      </c>
      <c r="L22" t="s">
        <v>175</v>
      </c>
      <c r="M22" t="s">
        <v>177</v>
      </c>
      <c r="N22" t="s">
        <v>265</v>
      </c>
      <c r="O22" t="s">
        <v>266</v>
      </c>
      <c r="P22" t="s">
        <v>209</v>
      </c>
    </row>
    <row r="23" spans="1:16" ht="14.25" customHeight="1" x14ac:dyDescent="0.25">
      <c r="A23">
        <v>22</v>
      </c>
      <c r="B23" s="19">
        <v>46190</v>
      </c>
      <c r="C23" s="23">
        <v>0.625</v>
      </c>
      <c r="D23" t="s">
        <v>128</v>
      </c>
      <c r="E23" t="s">
        <v>86</v>
      </c>
      <c r="F23" t="s">
        <v>108</v>
      </c>
      <c r="G23" t="s">
        <v>118</v>
      </c>
      <c r="H23">
        <v>4</v>
      </c>
      <c r="I23">
        <v>2</v>
      </c>
      <c r="J23" t="s">
        <v>108</v>
      </c>
      <c r="K23" t="s">
        <v>239</v>
      </c>
      <c r="L23" t="s">
        <v>173</v>
      </c>
      <c r="M23" t="s">
        <v>174</v>
      </c>
      <c r="N23" t="s">
        <v>267</v>
      </c>
      <c r="O23" t="s">
        <v>268</v>
      </c>
      <c r="P23" t="s">
        <v>209</v>
      </c>
    </row>
    <row r="24" spans="1:16" ht="14.25" customHeight="1" x14ac:dyDescent="0.25">
      <c r="A24">
        <v>23</v>
      </c>
      <c r="B24" s="19">
        <v>46190</v>
      </c>
      <c r="C24" s="23">
        <v>0.5</v>
      </c>
      <c r="D24" t="s">
        <v>128</v>
      </c>
      <c r="E24" t="s">
        <v>85</v>
      </c>
      <c r="F24" t="s">
        <v>107</v>
      </c>
      <c r="G24" t="s">
        <v>117</v>
      </c>
      <c r="H24">
        <v>1</v>
      </c>
      <c r="I24">
        <v>1</v>
      </c>
      <c r="J24" t="s">
        <v>214</v>
      </c>
      <c r="K24" t="s">
        <v>236</v>
      </c>
      <c r="L24" t="s">
        <v>170</v>
      </c>
      <c r="M24" t="s">
        <v>172</v>
      </c>
      <c r="N24" t="s">
        <v>269</v>
      </c>
      <c r="O24" t="s">
        <v>270</v>
      </c>
      <c r="P24" t="s">
        <v>209</v>
      </c>
    </row>
    <row r="25" spans="1:16" ht="14.25" customHeight="1" x14ac:dyDescent="0.25">
      <c r="A25">
        <v>24</v>
      </c>
      <c r="B25" s="19">
        <v>46190</v>
      </c>
      <c r="C25" s="23">
        <v>0.875</v>
      </c>
      <c r="D25" t="s">
        <v>128</v>
      </c>
      <c r="E25" t="s">
        <v>85</v>
      </c>
      <c r="F25" t="s">
        <v>123</v>
      </c>
      <c r="G25" t="s">
        <v>106</v>
      </c>
      <c r="H25">
        <v>1</v>
      </c>
      <c r="I25">
        <v>3</v>
      </c>
      <c r="J25" t="s">
        <v>106</v>
      </c>
      <c r="K25" t="s">
        <v>206</v>
      </c>
      <c r="L25" t="s">
        <v>180</v>
      </c>
      <c r="M25" t="s">
        <v>171</v>
      </c>
      <c r="N25" t="s">
        <v>271</v>
      </c>
      <c r="O25" t="s">
        <v>272</v>
      </c>
      <c r="P25" t="s">
        <v>209</v>
      </c>
    </row>
    <row r="26" spans="1:16" ht="14.25" customHeight="1" x14ac:dyDescent="0.25">
      <c r="A26">
        <v>25</v>
      </c>
      <c r="B26" s="19">
        <v>46191</v>
      </c>
      <c r="C26" s="23">
        <v>0.45833333333333331</v>
      </c>
      <c r="D26" t="s">
        <v>128</v>
      </c>
      <c r="E26" t="s">
        <v>75</v>
      </c>
      <c r="F26" t="s">
        <v>119</v>
      </c>
      <c r="G26" t="s">
        <v>110</v>
      </c>
      <c r="H26">
        <v>1</v>
      </c>
      <c r="I26">
        <v>1</v>
      </c>
      <c r="J26" t="s">
        <v>214</v>
      </c>
      <c r="K26" t="s">
        <v>248</v>
      </c>
      <c r="L26" t="s">
        <v>176</v>
      </c>
      <c r="M26" t="s">
        <v>142</v>
      </c>
      <c r="N26" t="s">
        <v>213</v>
      </c>
      <c r="O26" t="s">
        <v>208</v>
      </c>
      <c r="P26" t="s">
        <v>209</v>
      </c>
    </row>
    <row r="27" spans="1:16" ht="14.25" customHeight="1" x14ac:dyDescent="0.25">
      <c r="A27">
        <v>26</v>
      </c>
      <c r="B27" s="19">
        <v>46191</v>
      </c>
      <c r="C27" s="23">
        <v>0.58333333333333337</v>
      </c>
      <c r="D27" t="s">
        <v>128</v>
      </c>
      <c r="E27" t="s">
        <v>76</v>
      </c>
      <c r="F27" t="s">
        <v>97</v>
      </c>
      <c r="G27" t="s">
        <v>111</v>
      </c>
      <c r="H27">
        <v>4</v>
      </c>
      <c r="I27">
        <v>1</v>
      </c>
      <c r="J27" t="s">
        <v>97</v>
      </c>
      <c r="K27" t="s">
        <v>218</v>
      </c>
      <c r="L27" t="s">
        <v>143</v>
      </c>
      <c r="M27" t="s">
        <v>145</v>
      </c>
      <c r="N27" t="s">
        <v>232</v>
      </c>
      <c r="O27" t="s">
        <v>217</v>
      </c>
      <c r="P27" t="s">
        <v>209</v>
      </c>
    </row>
    <row r="28" spans="1:16" ht="14.25" customHeight="1" x14ac:dyDescent="0.25">
      <c r="A28">
        <v>27</v>
      </c>
      <c r="B28" s="19">
        <v>46191</v>
      </c>
      <c r="C28" s="23">
        <v>0.70833333333333337</v>
      </c>
      <c r="D28" t="s">
        <v>128</v>
      </c>
      <c r="E28" t="s">
        <v>76</v>
      </c>
      <c r="F28" t="s">
        <v>96</v>
      </c>
      <c r="G28" t="s">
        <v>121</v>
      </c>
      <c r="H28">
        <v>6</v>
      </c>
      <c r="I28">
        <v>0</v>
      </c>
      <c r="J28" t="s">
        <v>96</v>
      </c>
      <c r="K28" t="s">
        <v>224</v>
      </c>
      <c r="L28" t="s">
        <v>144</v>
      </c>
      <c r="M28" t="s">
        <v>178</v>
      </c>
      <c r="N28" t="s">
        <v>216</v>
      </c>
      <c r="O28" t="s">
        <v>231</v>
      </c>
      <c r="P28" t="s">
        <v>209</v>
      </c>
    </row>
    <row r="29" spans="1:16" ht="14.25" customHeight="1" x14ac:dyDescent="0.25">
      <c r="A29">
        <v>28</v>
      </c>
      <c r="B29" s="19">
        <v>46191</v>
      </c>
      <c r="C29" s="23">
        <v>0.83333333333333337</v>
      </c>
      <c r="D29" t="s">
        <v>128</v>
      </c>
      <c r="E29" t="s">
        <v>75</v>
      </c>
      <c r="F29" t="s">
        <v>94</v>
      </c>
      <c r="G29" t="s">
        <v>95</v>
      </c>
      <c r="H29">
        <v>1</v>
      </c>
      <c r="I29">
        <v>0</v>
      </c>
      <c r="J29" t="s">
        <v>94</v>
      </c>
      <c r="K29" t="s">
        <v>211</v>
      </c>
      <c r="L29" t="s">
        <v>140</v>
      </c>
      <c r="M29" t="s">
        <v>141</v>
      </c>
      <c r="N29" t="s">
        <v>207</v>
      </c>
      <c r="O29" t="s">
        <v>212</v>
      </c>
      <c r="P29" t="s">
        <v>209</v>
      </c>
    </row>
    <row r="30" spans="1:16" ht="14.25" customHeight="1" x14ac:dyDescent="0.25">
      <c r="A30">
        <v>29</v>
      </c>
      <c r="B30" s="19">
        <v>46192</v>
      </c>
      <c r="C30" s="23">
        <v>0.8125</v>
      </c>
      <c r="D30" t="s">
        <v>128</v>
      </c>
      <c r="E30" t="s">
        <v>77</v>
      </c>
      <c r="F30" t="s">
        <v>98</v>
      </c>
      <c r="G30" t="s">
        <v>125</v>
      </c>
      <c r="H30">
        <v>3</v>
      </c>
      <c r="I30">
        <v>0</v>
      </c>
      <c r="J30" t="s">
        <v>98</v>
      </c>
      <c r="K30" t="s">
        <v>233</v>
      </c>
      <c r="L30" t="s">
        <v>147</v>
      </c>
      <c r="M30" t="s">
        <v>187</v>
      </c>
      <c r="N30" t="s">
        <v>228</v>
      </c>
      <c r="O30" t="s">
        <v>222</v>
      </c>
      <c r="P30" t="s">
        <v>209</v>
      </c>
    </row>
    <row r="31" spans="1:16" ht="14.25" customHeight="1" x14ac:dyDescent="0.25">
      <c r="A31">
        <v>30</v>
      </c>
      <c r="B31" s="19">
        <v>46192</v>
      </c>
      <c r="C31" s="23">
        <v>0.70833333333333337</v>
      </c>
      <c r="D31" t="s">
        <v>128</v>
      </c>
      <c r="E31" t="s">
        <v>77</v>
      </c>
      <c r="F31" t="s">
        <v>112</v>
      </c>
      <c r="G31" t="s">
        <v>99</v>
      </c>
      <c r="H31">
        <v>0</v>
      </c>
      <c r="I31">
        <v>1</v>
      </c>
      <c r="J31" t="s">
        <v>99</v>
      </c>
      <c r="K31" t="s">
        <v>221</v>
      </c>
      <c r="L31" t="s">
        <v>148</v>
      </c>
      <c r="M31" t="s">
        <v>146</v>
      </c>
      <c r="N31" t="s">
        <v>223</v>
      </c>
      <c r="O31" t="s">
        <v>229</v>
      </c>
      <c r="P31" t="s">
        <v>209</v>
      </c>
    </row>
    <row r="32" spans="1:16" ht="14.25" customHeight="1" x14ac:dyDescent="0.25">
      <c r="A32">
        <v>31</v>
      </c>
      <c r="B32" s="19">
        <v>46192</v>
      </c>
      <c r="C32" s="23">
        <v>0.91666666666666663</v>
      </c>
      <c r="D32" t="s">
        <v>128</v>
      </c>
      <c r="E32" t="s">
        <v>78</v>
      </c>
      <c r="F32" t="s">
        <v>114</v>
      </c>
      <c r="G32" t="s">
        <v>113</v>
      </c>
      <c r="H32">
        <v>0</v>
      </c>
      <c r="I32">
        <v>1</v>
      </c>
      <c r="J32" t="s">
        <v>113</v>
      </c>
      <c r="K32" t="s">
        <v>230</v>
      </c>
      <c r="L32" t="s">
        <v>150</v>
      </c>
      <c r="M32" t="s">
        <v>149</v>
      </c>
      <c r="N32" t="s">
        <v>226</v>
      </c>
      <c r="O32" t="s">
        <v>220</v>
      </c>
      <c r="P32" t="s">
        <v>209</v>
      </c>
    </row>
    <row r="33" spans="1:16" ht="14.25" customHeight="1" x14ac:dyDescent="0.25">
      <c r="A33">
        <v>32</v>
      </c>
      <c r="B33" s="19">
        <v>46192</v>
      </c>
      <c r="C33" s="23">
        <v>0.58333333333333337</v>
      </c>
      <c r="D33" t="s">
        <v>128</v>
      </c>
      <c r="E33" t="s">
        <v>78</v>
      </c>
      <c r="F33" t="s">
        <v>100</v>
      </c>
      <c r="G33" t="s">
        <v>101</v>
      </c>
      <c r="H33">
        <v>2</v>
      </c>
      <c r="I33">
        <v>0</v>
      </c>
      <c r="J33" t="s">
        <v>100</v>
      </c>
      <c r="K33" t="s">
        <v>253</v>
      </c>
      <c r="L33" t="s">
        <v>151</v>
      </c>
      <c r="M33" t="s">
        <v>181</v>
      </c>
      <c r="N33" t="s">
        <v>219</v>
      </c>
      <c r="O33" t="s">
        <v>225</v>
      </c>
      <c r="P33" t="s">
        <v>209</v>
      </c>
    </row>
    <row r="34" spans="1:16" ht="14.25" customHeight="1" x14ac:dyDescent="0.25">
      <c r="A34">
        <v>33</v>
      </c>
      <c r="B34" s="19">
        <v>46193</v>
      </c>
      <c r="C34" s="23">
        <v>0.625</v>
      </c>
      <c r="D34" t="s">
        <v>128</v>
      </c>
      <c r="E34" t="s">
        <v>79</v>
      </c>
      <c r="F34" t="s">
        <v>102</v>
      </c>
      <c r="G34" t="s">
        <v>103</v>
      </c>
      <c r="H34">
        <v>2</v>
      </c>
      <c r="I34">
        <v>1</v>
      </c>
      <c r="J34" t="s">
        <v>102</v>
      </c>
      <c r="K34" t="s">
        <v>215</v>
      </c>
      <c r="L34" t="s">
        <v>152</v>
      </c>
      <c r="M34" t="s">
        <v>154</v>
      </c>
      <c r="N34" t="s">
        <v>237</v>
      </c>
      <c r="O34" t="s">
        <v>234</v>
      </c>
      <c r="P34" t="s">
        <v>209</v>
      </c>
    </row>
    <row r="35" spans="1:16" ht="14.25" customHeight="1" x14ac:dyDescent="0.25">
      <c r="A35">
        <v>34</v>
      </c>
      <c r="B35" s="19">
        <v>46193</v>
      </c>
      <c r="C35" s="23">
        <v>0.79166666666666663</v>
      </c>
      <c r="D35" t="s">
        <v>128</v>
      </c>
      <c r="E35" t="s">
        <v>79</v>
      </c>
      <c r="F35" t="s">
        <v>115</v>
      </c>
      <c r="G35" t="s">
        <v>122</v>
      </c>
      <c r="H35">
        <v>0</v>
      </c>
      <c r="I35">
        <v>0</v>
      </c>
      <c r="J35" t="s">
        <v>214</v>
      </c>
      <c r="K35" t="s">
        <v>260</v>
      </c>
      <c r="L35" t="s">
        <v>153</v>
      </c>
      <c r="M35" t="s">
        <v>179</v>
      </c>
      <c r="N35" t="s">
        <v>235</v>
      </c>
      <c r="O35" t="s">
        <v>238</v>
      </c>
      <c r="P35" t="s">
        <v>209</v>
      </c>
    </row>
    <row r="36" spans="1:16" ht="14.25" customHeight="1" x14ac:dyDescent="0.25">
      <c r="A36">
        <v>35</v>
      </c>
      <c r="B36" s="19">
        <v>46193</v>
      </c>
      <c r="C36" s="23">
        <v>0.5</v>
      </c>
      <c r="D36" t="s">
        <v>128</v>
      </c>
      <c r="E36" t="s">
        <v>80</v>
      </c>
      <c r="F36" t="s">
        <v>104</v>
      </c>
      <c r="G36" t="s">
        <v>116</v>
      </c>
      <c r="H36">
        <v>5</v>
      </c>
      <c r="I36">
        <v>1</v>
      </c>
      <c r="J36" t="s">
        <v>104</v>
      </c>
      <c r="K36" t="s">
        <v>236</v>
      </c>
      <c r="L36" t="s">
        <v>155</v>
      </c>
      <c r="M36" t="s">
        <v>157</v>
      </c>
      <c r="N36" t="s">
        <v>240</v>
      </c>
      <c r="O36" t="s">
        <v>243</v>
      </c>
      <c r="P36" t="s">
        <v>209</v>
      </c>
    </row>
    <row r="37" spans="1:16" ht="14.25" customHeight="1" x14ac:dyDescent="0.25">
      <c r="A37">
        <v>36</v>
      </c>
      <c r="B37" s="19">
        <v>46193</v>
      </c>
      <c r="C37" s="23">
        <v>0.95833333333333337</v>
      </c>
      <c r="D37" t="s">
        <v>128</v>
      </c>
      <c r="E37" t="s">
        <v>80</v>
      </c>
      <c r="F37" t="s">
        <v>124</v>
      </c>
      <c r="G37" t="s">
        <v>105</v>
      </c>
      <c r="H37">
        <v>0</v>
      </c>
      <c r="I37">
        <v>4</v>
      </c>
      <c r="J37" t="s">
        <v>105</v>
      </c>
      <c r="K37" t="s">
        <v>242</v>
      </c>
      <c r="L37" t="s">
        <v>183</v>
      </c>
      <c r="M37" t="s">
        <v>156</v>
      </c>
      <c r="N37" t="s">
        <v>244</v>
      </c>
      <c r="O37" t="s">
        <v>241</v>
      </c>
      <c r="P37" t="s">
        <v>209</v>
      </c>
    </row>
    <row r="38" spans="1:16" ht="14.25" customHeight="1" x14ac:dyDescent="0.25">
      <c r="A38">
        <v>37</v>
      </c>
      <c r="B38" s="19">
        <v>46194</v>
      </c>
      <c r="C38" s="23">
        <v>0.70833333333333337</v>
      </c>
      <c r="D38" t="s">
        <v>128</v>
      </c>
      <c r="E38" t="s">
        <v>82</v>
      </c>
      <c r="F38" t="s">
        <v>70</v>
      </c>
      <c r="G38" t="s">
        <v>71</v>
      </c>
      <c r="H38">
        <v>2</v>
      </c>
      <c r="I38">
        <v>2</v>
      </c>
      <c r="J38" t="s">
        <v>214</v>
      </c>
      <c r="K38" t="s">
        <v>245</v>
      </c>
      <c r="L38" t="s">
        <v>162</v>
      </c>
      <c r="M38" t="s">
        <v>184</v>
      </c>
      <c r="N38" t="s">
        <v>247</v>
      </c>
      <c r="O38" t="s">
        <v>250</v>
      </c>
      <c r="P38" t="s">
        <v>209</v>
      </c>
    </row>
    <row r="39" spans="1:16" ht="14.25" customHeight="1" x14ac:dyDescent="0.25">
      <c r="A39">
        <v>38</v>
      </c>
      <c r="B39" s="19">
        <v>46194</v>
      </c>
      <c r="C39" s="23">
        <v>0.45833333333333331</v>
      </c>
      <c r="D39" t="s">
        <v>128</v>
      </c>
      <c r="E39" t="s">
        <v>82</v>
      </c>
      <c r="F39" t="s">
        <v>66</v>
      </c>
      <c r="G39" t="s">
        <v>67</v>
      </c>
      <c r="H39">
        <v>4</v>
      </c>
      <c r="I39">
        <v>0</v>
      </c>
      <c r="J39" t="s">
        <v>66</v>
      </c>
      <c r="K39" t="s">
        <v>248</v>
      </c>
      <c r="L39" t="s">
        <v>161</v>
      </c>
      <c r="M39" t="s">
        <v>163</v>
      </c>
      <c r="N39" t="s">
        <v>249</v>
      </c>
      <c r="O39" t="s">
        <v>246</v>
      </c>
      <c r="P39" t="s">
        <v>209</v>
      </c>
    </row>
    <row r="40" spans="1:16" ht="14.25" customHeight="1" x14ac:dyDescent="0.25">
      <c r="A40">
        <v>39</v>
      </c>
      <c r="B40" s="19">
        <v>46194</v>
      </c>
      <c r="C40" s="23">
        <v>0.58333333333333337</v>
      </c>
      <c r="D40" t="s">
        <v>128</v>
      </c>
      <c r="E40" t="s">
        <v>81</v>
      </c>
      <c r="F40" t="s">
        <v>68</v>
      </c>
      <c r="G40" t="s">
        <v>69</v>
      </c>
      <c r="H40">
        <v>0</v>
      </c>
      <c r="I40">
        <v>0</v>
      </c>
      <c r="J40" t="s">
        <v>214</v>
      </c>
      <c r="K40" t="s">
        <v>218</v>
      </c>
      <c r="L40" t="s">
        <v>158</v>
      </c>
      <c r="M40" t="s">
        <v>160</v>
      </c>
      <c r="N40" t="s">
        <v>254</v>
      </c>
      <c r="O40" t="s">
        <v>251</v>
      </c>
      <c r="P40" t="s">
        <v>209</v>
      </c>
    </row>
    <row r="41" spans="1:16" ht="14.25" customHeight="1" x14ac:dyDescent="0.25">
      <c r="A41">
        <v>40</v>
      </c>
      <c r="B41" s="19">
        <v>46194</v>
      </c>
      <c r="C41" s="23">
        <v>0.83333333333333337</v>
      </c>
      <c r="D41" t="s">
        <v>128</v>
      </c>
      <c r="E41" t="s">
        <v>81</v>
      </c>
      <c r="F41" t="s">
        <v>72</v>
      </c>
      <c r="G41" t="s">
        <v>73</v>
      </c>
      <c r="H41">
        <v>1</v>
      </c>
      <c r="I41">
        <v>3</v>
      </c>
      <c r="J41" t="s">
        <v>73</v>
      </c>
      <c r="K41" t="s">
        <v>224</v>
      </c>
      <c r="L41" t="s">
        <v>182</v>
      </c>
      <c r="M41" t="s">
        <v>159</v>
      </c>
      <c r="N41" t="s">
        <v>252</v>
      </c>
      <c r="O41" t="s">
        <v>255</v>
      </c>
      <c r="P41" t="s">
        <v>209</v>
      </c>
    </row>
    <row r="42" spans="1:16" ht="14.25" customHeight="1" x14ac:dyDescent="0.25">
      <c r="A42">
        <v>41</v>
      </c>
      <c r="B42" s="19">
        <v>46195</v>
      </c>
      <c r="C42" s="23">
        <v>0.79166666666666663</v>
      </c>
      <c r="D42" t="s">
        <v>128</v>
      </c>
      <c r="E42" t="s">
        <v>83</v>
      </c>
      <c r="F42" t="s">
        <v>44</v>
      </c>
      <c r="G42" t="s">
        <v>45</v>
      </c>
      <c r="H42">
        <v>3</v>
      </c>
      <c r="I42">
        <v>2</v>
      </c>
      <c r="J42" t="s">
        <v>44</v>
      </c>
      <c r="K42" t="s">
        <v>227</v>
      </c>
      <c r="L42" t="s">
        <v>165</v>
      </c>
      <c r="M42" t="s">
        <v>166</v>
      </c>
      <c r="N42" t="s">
        <v>259</v>
      </c>
      <c r="O42" t="s">
        <v>257</v>
      </c>
      <c r="P42" t="s">
        <v>209</v>
      </c>
    </row>
    <row r="43" spans="1:16" ht="14.25" customHeight="1" x14ac:dyDescent="0.25">
      <c r="A43">
        <v>42</v>
      </c>
      <c r="B43" s="19">
        <v>46195</v>
      </c>
      <c r="C43" s="23">
        <v>0.66666666666666663</v>
      </c>
      <c r="D43" t="s">
        <v>128</v>
      </c>
      <c r="E43" t="s">
        <v>83</v>
      </c>
      <c r="F43" t="s">
        <v>35</v>
      </c>
      <c r="G43" t="s">
        <v>36</v>
      </c>
      <c r="H43">
        <v>3</v>
      </c>
      <c r="I43">
        <v>0</v>
      </c>
      <c r="J43" t="s">
        <v>35</v>
      </c>
      <c r="K43" t="s">
        <v>233</v>
      </c>
      <c r="L43" t="s">
        <v>164</v>
      </c>
      <c r="M43" t="s">
        <v>185</v>
      </c>
      <c r="N43" t="s">
        <v>256</v>
      </c>
      <c r="O43" t="s">
        <v>258</v>
      </c>
      <c r="P43" t="s">
        <v>209</v>
      </c>
    </row>
    <row r="44" spans="1:16" ht="14.25" customHeight="1" x14ac:dyDescent="0.25">
      <c r="A44">
        <v>43</v>
      </c>
      <c r="B44" s="19">
        <v>46195</v>
      </c>
      <c r="C44" s="23">
        <v>0.5</v>
      </c>
      <c r="D44" t="s">
        <v>128</v>
      </c>
      <c r="E44" t="s">
        <v>84</v>
      </c>
      <c r="F44" t="s">
        <v>23</v>
      </c>
      <c r="G44" t="s">
        <v>24</v>
      </c>
      <c r="H44">
        <v>2</v>
      </c>
      <c r="I44">
        <v>0</v>
      </c>
      <c r="J44" t="s">
        <v>23</v>
      </c>
      <c r="K44" t="s">
        <v>239</v>
      </c>
      <c r="L44" t="s">
        <v>167</v>
      </c>
      <c r="M44" t="s">
        <v>168</v>
      </c>
      <c r="N44" t="s">
        <v>261</v>
      </c>
      <c r="O44" t="s">
        <v>263</v>
      </c>
      <c r="P44" t="s">
        <v>209</v>
      </c>
    </row>
    <row r="45" spans="1:16" ht="14.25" customHeight="1" x14ac:dyDescent="0.25">
      <c r="A45">
        <v>44</v>
      </c>
      <c r="B45" s="19">
        <v>46195</v>
      </c>
      <c r="C45" s="23">
        <v>0.91666666666666663</v>
      </c>
      <c r="D45" t="s">
        <v>128</v>
      </c>
      <c r="E45" t="s">
        <v>84</v>
      </c>
      <c r="F45" t="s">
        <v>56</v>
      </c>
      <c r="G45" t="s">
        <v>57</v>
      </c>
      <c r="H45">
        <v>1</v>
      </c>
      <c r="I45">
        <v>2</v>
      </c>
      <c r="J45" t="str">
        <f>IF(OR(H45="",I45=""),"",IF(H45&gt;I45,F45,IF(I45&gt;H45,G45,"Empate")))</f>
        <v>Argelia</v>
      </c>
      <c r="K45" t="s">
        <v>230</v>
      </c>
      <c r="L45" t="s">
        <v>186</v>
      </c>
      <c r="M45" t="s">
        <v>169</v>
      </c>
      <c r="N45" t="s">
        <v>264</v>
      </c>
      <c r="O45" t="s">
        <v>262</v>
      </c>
      <c r="P45" t="s">
        <v>209</v>
      </c>
    </row>
    <row r="46" spans="1:16" ht="14.25" customHeight="1" x14ac:dyDescent="0.25">
      <c r="A46">
        <v>45</v>
      </c>
      <c r="B46" s="19">
        <v>46196</v>
      </c>
      <c r="C46" s="23">
        <v>0.625</v>
      </c>
      <c r="D46" t="s">
        <v>128</v>
      </c>
      <c r="E46" t="s">
        <v>86</v>
      </c>
      <c r="F46" t="s">
        <v>108</v>
      </c>
      <c r="G46" t="s">
        <v>109</v>
      </c>
      <c r="H46">
        <v>0</v>
      </c>
      <c r="I46">
        <v>0</v>
      </c>
      <c r="J46" t="str">
        <f t="shared" ref="J46:J105" si="0">IF(OR(H46="",I46=""),"",IF(H46&gt;I46,F46,IF(I46&gt;H46,G46,"Empate")))</f>
        <v>Empate</v>
      </c>
      <c r="K46" t="s">
        <v>221</v>
      </c>
      <c r="L46" t="s">
        <v>173</v>
      </c>
      <c r="M46" t="s">
        <v>175</v>
      </c>
      <c r="N46" t="s">
        <v>267</v>
      </c>
      <c r="O46" t="s">
        <v>265</v>
      </c>
      <c r="P46" t="s">
        <v>209</v>
      </c>
    </row>
    <row r="47" spans="1:16" ht="14.25" customHeight="1" x14ac:dyDescent="0.25">
      <c r="A47">
        <v>46</v>
      </c>
      <c r="B47" s="19">
        <v>46196</v>
      </c>
      <c r="C47" s="23">
        <v>0.75</v>
      </c>
      <c r="D47" t="s">
        <v>128</v>
      </c>
      <c r="E47" t="s">
        <v>86</v>
      </c>
      <c r="F47" t="s">
        <v>120</v>
      </c>
      <c r="G47" t="s">
        <v>118</v>
      </c>
      <c r="H47">
        <v>0</v>
      </c>
      <c r="I47">
        <v>1</v>
      </c>
      <c r="J47" t="str">
        <f t="shared" si="0"/>
        <v>Croacia</v>
      </c>
      <c r="K47" t="s">
        <v>215</v>
      </c>
      <c r="L47" t="s">
        <v>177</v>
      </c>
      <c r="M47" t="s">
        <v>174</v>
      </c>
      <c r="N47" t="s">
        <v>266</v>
      </c>
      <c r="O47" t="s">
        <v>268</v>
      </c>
      <c r="P47" t="s">
        <v>209</v>
      </c>
    </row>
    <row r="48" spans="1:16" ht="14.25" customHeight="1" x14ac:dyDescent="0.25">
      <c r="A48">
        <v>47</v>
      </c>
      <c r="B48" s="19">
        <v>46196</v>
      </c>
      <c r="C48" s="23">
        <v>0.5</v>
      </c>
      <c r="D48" t="s">
        <v>128</v>
      </c>
      <c r="E48" t="s">
        <v>85</v>
      </c>
      <c r="F48" t="s">
        <v>107</v>
      </c>
      <c r="G48" t="s">
        <v>123</v>
      </c>
      <c r="H48">
        <v>5</v>
      </c>
      <c r="I48">
        <v>0</v>
      </c>
      <c r="J48" t="str">
        <f t="shared" si="0"/>
        <v>Portugal</v>
      </c>
      <c r="K48" t="s">
        <v>236</v>
      </c>
      <c r="L48" t="s">
        <v>170</v>
      </c>
      <c r="M48" t="s">
        <v>180</v>
      </c>
      <c r="N48" t="s">
        <v>269</v>
      </c>
      <c r="O48" t="s">
        <v>271</v>
      </c>
      <c r="P48" t="s">
        <v>209</v>
      </c>
    </row>
    <row r="49" spans="1:16" ht="14.25" customHeight="1" x14ac:dyDescent="0.25">
      <c r="A49">
        <v>48</v>
      </c>
      <c r="B49" s="19">
        <v>46196</v>
      </c>
      <c r="C49" s="23">
        <v>0.875</v>
      </c>
      <c r="D49" t="s">
        <v>128</v>
      </c>
      <c r="E49" t="s">
        <v>85</v>
      </c>
      <c r="F49" t="s">
        <v>106</v>
      </c>
      <c r="G49" t="s">
        <v>117</v>
      </c>
      <c r="H49">
        <v>1</v>
      </c>
      <c r="I49">
        <v>0</v>
      </c>
      <c r="J49" t="str">
        <f t="shared" si="0"/>
        <v>Colombia</v>
      </c>
      <c r="K49" t="s">
        <v>211</v>
      </c>
      <c r="L49" t="s">
        <v>171</v>
      </c>
      <c r="M49" t="s">
        <v>172</v>
      </c>
      <c r="N49" t="s">
        <v>272</v>
      </c>
      <c r="O49" t="s">
        <v>270</v>
      </c>
      <c r="P49" t="s">
        <v>209</v>
      </c>
    </row>
    <row r="50" spans="1:16" ht="14.25" customHeight="1" x14ac:dyDescent="0.25">
      <c r="A50">
        <v>49</v>
      </c>
      <c r="B50" s="19">
        <v>46197</v>
      </c>
      <c r="C50" s="23">
        <v>0.70833333333333337</v>
      </c>
      <c r="D50" t="s">
        <v>128</v>
      </c>
      <c r="E50" t="s">
        <v>77</v>
      </c>
      <c r="F50" t="s">
        <v>112</v>
      </c>
      <c r="G50" t="s">
        <v>98</v>
      </c>
      <c r="H50">
        <v>0</v>
      </c>
      <c r="I50">
        <v>3</v>
      </c>
      <c r="J50" t="str">
        <f t="shared" si="0"/>
        <v>Brasil</v>
      </c>
      <c r="K50" t="s">
        <v>245</v>
      </c>
      <c r="L50" t="s">
        <v>148</v>
      </c>
      <c r="M50" t="s">
        <v>147</v>
      </c>
      <c r="N50" t="s">
        <v>223</v>
      </c>
      <c r="O50" t="s">
        <v>228</v>
      </c>
      <c r="P50" t="s">
        <v>209</v>
      </c>
    </row>
    <row r="51" spans="1:16" ht="14.25" customHeight="1" x14ac:dyDescent="0.25">
      <c r="A51">
        <v>50</v>
      </c>
      <c r="B51" s="19">
        <v>46197</v>
      </c>
      <c r="C51" s="23">
        <v>0.70833333333333337</v>
      </c>
      <c r="D51" t="s">
        <v>128</v>
      </c>
      <c r="E51" t="s">
        <v>77</v>
      </c>
      <c r="F51" t="s">
        <v>99</v>
      </c>
      <c r="G51" t="s">
        <v>125</v>
      </c>
      <c r="H51">
        <v>4</v>
      </c>
      <c r="I51">
        <v>2</v>
      </c>
      <c r="J51" t="str">
        <f t="shared" si="0"/>
        <v>Marruecos</v>
      </c>
      <c r="K51" t="s">
        <v>248</v>
      </c>
      <c r="L51" t="s">
        <v>146</v>
      </c>
      <c r="M51" t="s">
        <v>187</v>
      </c>
      <c r="N51" t="s">
        <v>229</v>
      </c>
      <c r="O51" t="s">
        <v>222</v>
      </c>
      <c r="P51" t="s">
        <v>209</v>
      </c>
    </row>
    <row r="52" spans="1:16" ht="14.25" customHeight="1" x14ac:dyDescent="0.25">
      <c r="A52">
        <v>51</v>
      </c>
      <c r="B52" s="19">
        <v>46197</v>
      </c>
      <c r="C52" s="23">
        <v>0.58333333333333337</v>
      </c>
      <c r="D52" t="s">
        <v>128</v>
      </c>
      <c r="E52" t="s">
        <v>76</v>
      </c>
      <c r="F52" t="s">
        <v>97</v>
      </c>
      <c r="G52" t="s">
        <v>96</v>
      </c>
      <c r="H52">
        <v>2</v>
      </c>
      <c r="I52">
        <v>1</v>
      </c>
      <c r="J52" t="str">
        <f t="shared" si="0"/>
        <v>Suiza</v>
      </c>
      <c r="K52" t="s">
        <v>224</v>
      </c>
      <c r="L52" t="s">
        <v>143</v>
      </c>
      <c r="M52" t="s">
        <v>144</v>
      </c>
      <c r="N52" t="s">
        <v>232</v>
      </c>
      <c r="O52" t="s">
        <v>216</v>
      </c>
      <c r="P52" t="s">
        <v>209</v>
      </c>
    </row>
    <row r="53" spans="1:16" ht="14.25" customHeight="1" x14ac:dyDescent="0.25">
      <c r="A53">
        <v>52</v>
      </c>
      <c r="B53" s="19">
        <v>46197</v>
      </c>
      <c r="C53" s="23">
        <v>0.58333333333333337</v>
      </c>
      <c r="D53" t="s">
        <v>128</v>
      </c>
      <c r="E53" t="s">
        <v>76</v>
      </c>
      <c r="F53" t="s">
        <v>111</v>
      </c>
      <c r="G53" t="s">
        <v>121</v>
      </c>
      <c r="H53">
        <v>3</v>
      </c>
      <c r="I53">
        <v>1</v>
      </c>
      <c r="J53" t="str">
        <f t="shared" si="0"/>
        <v>Bosnia y Herzegovina</v>
      </c>
      <c r="K53" t="s">
        <v>253</v>
      </c>
      <c r="L53" t="s">
        <v>145</v>
      </c>
      <c r="M53" t="s">
        <v>178</v>
      </c>
      <c r="N53" t="s">
        <v>217</v>
      </c>
      <c r="O53" t="s">
        <v>231</v>
      </c>
      <c r="P53" t="s">
        <v>209</v>
      </c>
    </row>
    <row r="54" spans="1:16" ht="14.25" customHeight="1" x14ac:dyDescent="0.25">
      <c r="A54">
        <v>53</v>
      </c>
      <c r="B54" s="19">
        <v>46197</v>
      </c>
      <c r="C54" s="23">
        <v>0.83333333333333337</v>
      </c>
      <c r="D54" t="s">
        <v>128</v>
      </c>
      <c r="E54" t="s">
        <v>75</v>
      </c>
      <c r="F54" t="s">
        <v>119</v>
      </c>
      <c r="G54" t="s">
        <v>94</v>
      </c>
      <c r="H54">
        <v>0</v>
      </c>
      <c r="I54">
        <v>3</v>
      </c>
      <c r="J54" t="str">
        <f t="shared" si="0"/>
        <v>México</v>
      </c>
      <c r="K54" t="s">
        <v>206</v>
      </c>
      <c r="L54" t="s">
        <v>176</v>
      </c>
      <c r="M54" t="s">
        <v>140</v>
      </c>
      <c r="N54" t="s">
        <v>213</v>
      </c>
      <c r="O54" t="s">
        <v>207</v>
      </c>
      <c r="P54" t="s">
        <v>209</v>
      </c>
    </row>
    <row r="55" spans="1:16" ht="14.25" customHeight="1" x14ac:dyDescent="0.25">
      <c r="A55">
        <v>54</v>
      </c>
      <c r="B55" s="19">
        <v>46197</v>
      </c>
      <c r="C55" s="23">
        <v>0.83333333333333337</v>
      </c>
      <c r="D55" t="s">
        <v>128</v>
      </c>
      <c r="E55" t="s">
        <v>75</v>
      </c>
      <c r="F55" t="s">
        <v>110</v>
      </c>
      <c r="G55" t="s">
        <v>95</v>
      </c>
      <c r="H55">
        <v>1</v>
      </c>
      <c r="I55">
        <v>0</v>
      </c>
      <c r="J55" t="str">
        <f t="shared" si="0"/>
        <v>Sudáfrica</v>
      </c>
      <c r="K55" t="s">
        <v>242</v>
      </c>
      <c r="L55" t="s">
        <v>142</v>
      </c>
      <c r="M55" t="s">
        <v>141</v>
      </c>
      <c r="N55" t="s">
        <v>208</v>
      </c>
      <c r="O55" t="s">
        <v>212</v>
      </c>
      <c r="P55" t="s">
        <v>209</v>
      </c>
    </row>
    <row r="56" spans="1:16" ht="14.25" customHeight="1" x14ac:dyDescent="0.25">
      <c r="A56">
        <v>55</v>
      </c>
      <c r="B56" s="19">
        <v>46198</v>
      </c>
      <c r="C56" s="23">
        <v>0.625</v>
      </c>
      <c r="D56" t="s">
        <v>128</v>
      </c>
      <c r="E56" t="s">
        <v>79</v>
      </c>
      <c r="F56" t="s">
        <v>122</v>
      </c>
      <c r="G56" t="s">
        <v>103</v>
      </c>
      <c r="H56">
        <v>0</v>
      </c>
      <c r="I56">
        <v>2</v>
      </c>
      <c r="J56" t="str">
        <f t="shared" si="0"/>
        <v>Costa de Marfil</v>
      </c>
      <c r="K56" t="s">
        <v>233</v>
      </c>
      <c r="L56" t="s">
        <v>179</v>
      </c>
      <c r="M56" t="s">
        <v>154</v>
      </c>
      <c r="N56" t="s">
        <v>238</v>
      </c>
      <c r="O56" t="s">
        <v>234</v>
      </c>
      <c r="P56" t="s">
        <v>209</v>
      </c>
    </row>
    <row r="57" spans="1:16" ht="14.25" customHeight="1" x14ac:dyDescent="0.25">
      <c r="A57">
        <v>56</v>
      </c>
      <c r="B57" s="19">
        <v>46198</v>
      </c>
      <c r="C57" s="23">
        <v>0.625</v>
      </c>
      <c r="D57" t="s">
        <v>128</v>
      </c>
      <c r="E57" t="s">
        <v>79</v>
      </c>
      <c r="F57" t="s">
        <v>115</v>
      </c>
      <c r="G57" t="s">
        <v>102</v>
      </c>
      <c r="H57">
        <v>2</v>
      </c>
      <c r="I57">
        <v>1</v>
      </c>
      <c r="J57" t="str">
        <f t="shared" si="0"/>
        <v>Ecuador</v>
      </c>
      <c r="K57" t="s">
        <v>227</v>
      </c>
      <c r="L57" t="s">
        <v>153</v>
      </c>
      <c r="M57" t="s">
        <v>152</v>
      </c>
      <c r="N57" t="s">
        <v>235</v>
      </c>
      <c r="O57" t="s">
        <v>237</v>
      </c>
      <c r="P57" t="s">
        <v>209</v>
      </c>
    </row>
    <row r="58" spans="1:16" ht="14.25" customHeight="1" x14ac:dyDescent="0.25">
      <c r="A58">
        <v>57</v>
      </c>
      <c r="B58" s="19">
        <v>46198</v>
      </c>
      <c r="C58" s="23">
        <v>0.75</v>
      </c>
      <c r="D58" t="s">
        <v>128</v>
      </c>
      <c r="E58" t="s">
        <v>80</v>
      </c>
      <c r="F58" t="s">
        <v>105</v>
      </c>
      <c r="G58" t="s">
        <v>116</v>
      </c>
      <c r="H58">
        <v>1</v>
      </c>
      <c r="I58">
        <v>1</v>
      </c>
      <c r="J58" t="str">
        <f t="shared" si="0"/>
        <v>Empate</v>
      </c>
      <c r="K58" t="s">
        <v>239</v>
      </c>
      <c r="L58" t="s">
        <v>156</v>
      </c>
      <c r="M58" t="s">
        <v>157</v>
      </c>
      <c r="N58" t="s">
        <v>241</v>
      </c>
      <c r="O58" t="s">
        <v>243</v>
      </c>
      <c r="P58" t="s">
        <v>209</v>
      </c>
    </row>
    <row r="59" spans="1:16" ht="14.25" customHeight="1" x14ac:dyDescent="0.25">
      <c r="A59">
        <v>58</v>
      </c>
      <c r="B59" s="19">
        <v>46198</v>
      </c>
      <c r="C59" s="23">
        <v>0.75</v>
      </c>
      <c r="D59" t="s">
        <v>128</v>
      </c>
      <c r="E59" t="s">
        <v>80</v>
      </c>
      <c r="F59" t="s">
        <v>124</v>
      </c>
      <c r="G59" t="s">
        <v>104</v>
      </c>
      <c r="H59">
        <v>1</v>
      </c>
      <c r="I59">
        <v>3</v>
      </c>
      <c r="J59" t="str">
        <f t="shared" si="0"/>
        <v>Países Bajos</v>
      </c>
      <c r="K59" t="s">
        <v>260</v>
      </c>
      <c r="L59" t="s">
        <v>183</v>
      </c>
      <c r="M59" t="s">
        <v>155</v>
      </c>
      <c r="N59" t="s">
        <v>244</v>
      </c>
      <c r="O59" t="s">
        <v>240</v>
      </c>
      <c r="P59" t="s">
        <v>209</v>
      </c>
    </row>
    <row r="60" spans="1:16" ht="14.25" customHeight="1" x14ac:dyDescent="0.25">
      <c r="A60">
        <v>59</v>
      </c>
      <c r="B60" s="19">
        <v>46198</v>
      </c>
      <c r="C60" s="23">
        <v>0.875</v>
      </c>
      <c r="D60" t="s">
        <v>128</v>
      </c>
      <c r="E60" t="s">
        <v>78</v>
      </c>
      <c r="F60" t="s">
        <v>114</v>
      </c>
      <c r="G60" t="s">
        <v>100</v>
      </c>
      <c r="H60">
        <v>3</v>
      </c>
      <c r="I60">
        <v>2</v>
      </c>
      <c r="J60" t="str">
        <f t="shared" si="0"/>
        <v>Türkiye</v>
      </c>
      <c r="K60" t="s">
        <v>218</v>
      </c>
      <c r="L60" t="s">
        <v>150</v>
      </c>
      <c r="M60" t="s">
        <v>151</v>
      </c>
      <c r="N60" t="s">
        <v>226</v>
      </c>
      <c r="O60" t="s">
        <v>219</v>
      </c>
      <c r="P60" t="s">
        <v>209</v>
      </c>
    </row>
    <row r="61" spans="1:16" ht="14.25" customHeight="1" x14ac:dyDescent="0.25">
      <c r="A61">
        <v>60</v>
      </c>
      <c r="B61" s="19">
        <v>46198</v>
      </c>
      <c r="C61" s="23">
        <v>0.875</v>
      </c>
      <c r="D61" t="s">
        <v>128</v>
      </c>
      <c r="E61" t="s">
        <v>78</v>
      </c>
      <c r="F61" t="s">
        <v>113</v>
      </c>
      <c r="G61" t="s">
        <v>101</v>
      </c>
      <c r="H61">
        <v>0</v>
      </c>
      <c r="I61">
        <v>0</v>
      </c>
      <c r="J61" t="str">
        <f t="shared" si="0"/>
        <v>Empate</v>
      </c>
      <c r="K61" t="s">
        <v>230</v>
      </c>
      <c r="L61" t="s">
        <v>149</v>
      </c>
      <c r="M61" t="s">
        <v>181</v>
      </c>
      <c r="N61" t="s">
        <v>220</v>
      </c>
      <c r="O61" t="s">
        <v>225</v>
      </c>
      <c r="P61" t="s">
        <v>209</v>
      </c>
    </row>
    <row r="62" spans="1:16" ht="14.25" customHeight="1" x14ac:dyDescent="0.25">
      <c r="A62">
        <v>61</v>
      </c>
      <c r="B62" s="19">
        <v>46199</v>
      </c>
      <c r="C62" s="23">
        <v>0.58333333333333337</v>
      </c>
      <c r="D62" t="s">
        <v>128</v>
      </c>
      <c r="E62" t="s">
        <v>83</v>
      </c>
      <c r="F62" t="s">
        <v>44</v>
      </c>
      <c r="G62" t="s">
        <v>35</v>
      </c>
      <c r="H62">
        <f>[1]Partidos!$H62</f>
        <v>1</v>
      </c>
      <c r="I62">
        <f>[1]Partidos!$I62</f>
        <v>4</v>
      </c>
      <c r="J62" t="str">
        <f t="shared" si="0"/>
        <v>Francia</v>
      </c>
      <c r="K62" t="s">
        <v>221</v>
      </c>
      <c r="L62" t="s">
        <v>165</v>
      </c>
      <c r="M62" t="s">
        <v>164</v>
      </c>
      <c r="N62" t="s">
        <v>259</v>
      </c>
      <c r="O62" t="s">
        <v>256</v>
      </c>
      <c r="P62" t="s">
        <v>209</v>
      </c>
    </row>
    <row r="63" spans="1:16" ht="14.25" customHeight="1" x14ac:dyDescent="0.25">
      <c r="A63">
        <v>62</v>
      </c>
      <c r="B63" s="19">
        <v>46199</v>
      </c>
      <c r="C63" s="23">
        <v>0.58333333333333337</v>
      </c>
      <c r="D63" t="s">
        <v>128</v>
      </c>
      <c r="E63" t="s">
        <v>83</v>
      </c>
      <c r="F63" t="s">
        <v>45</v>
      </c>
      <c r="G63" t="s">
        <v>36</v>
      </c>
      <c r="H63">
        <f>[1]Partidos!$H63</f>
        <v>5</v>
      </c>
      <c r="I63">
        <f>[1]Partidos!$I63</f>
        <v>0</v>
      </c>
      <c r="J63" t="str">
        <f t="shared" si="0"/>
        <v>Senegal</v>
      </c>
      <c r="K63" t="s">
        <v>215</v>
      </c>
      <c r="L63" t="s">
        <v>166</v>
      </c>
      <c r="M63" t="s">
        <v>185</v>
      </c>
      <c r="N63" t="s">
        <v>257</v>
      </c>
      <c r="O63" t="s">
        <v>258</v>
      </c>
      <c r="P63" t="s">
        <v>209</v>
      </c>
    </row>
    <row r="64" spans="1:16" ht="14.25" customHeight="1" x14ac:dyDescent="0.25">
      <c r="A64">
        <v>63</v>
      </c>
      <c r="B64" s="19">
        <v>46199</v>
      </c>
      <c r="C64" s="23">
        <v>0.91666666666666663</v>
      </c>
      <c r="D64" t="s">
        <v>128</v>
      </c>
      <c r="E64" t="s">
        <v>81</v>
      </c>
      <c r="F64" t="s">
        <v>73</v>
      </c>
      <c r="G64" t="s">
        <v>69</v>
      </c>
      <c r="H64">
        <f>[1]Partidos!$H64</f>
        <v>1</v>
      </c>
      <c r="I64">
        <f>[1]Partidos!$I64</f>
        <v>1</v>
      </c>
      <c r="J64" t="str">
        <f t="shared" si="0"/>
        <v>Empate</v>
      </c>
      <c r="K64" t="s">
        <v>253</v>
      </c>
      <c r="L64" t="s">
        <v>159</v>
      </c>
      <c r="M64" t="s">
        <v>160</v>
      </c>
      <c r="N64" t="s">
        <v>255</v>
      </c>
      <c r="O64" t="s">
        <v>251</v>
      </c>
      <c r="P64" t="s">
        <v>209</v>
      </c>
    </row>
    <row r="65" spans="1:16" ht="14.25" customHeight="1" x14ac:dyDescent="0.25">
      <c r="A65">
        <v>64</v>
      </c>
      <c r="B65" s="19">
        <v>46199</v>
      </c>
      <c r="C65" s="23">
        <v>0.91666666666666663</v>
      </c>
      <c r="D65" t="s">
        <v>128</v>
      </c>
      <c r="E65" t="s">
        <v>81</v>
      </c>
      <c r="F65" t="s">
        <v>72</v>
      </c>
      <c r="G65" t="s">
        <v>68</v>
      </c>
      <c r="H65">
        <f>[1]Partidos!$H65</f>
        <v>1</v>
      </c>
      <c r="I65">
        <f>[1]Partidos!$I65</f>
        <v>5</v>
      </c>
      <c r="J65" t="str">
        <f t="shared" si="0"/>
        <v>Bélgica</v>
      </c>
      <c r="K65" t="s">
        <v>224</v>
      </c>
      <c r="L65" t="s">
        <v>182</v>
      </c>
      <c r="M65" t="s">
        <v>158</v>
      </c>
      <c r="N65" t="s">
        <v>252</v>
      </c>
      <c r="O65" t="s">
        <v>254</v>
      </c>
      <c r="P65" t="s">
        <v>209</v>
      </c>
    </row>
    <row r="66" spans="1:16" ht="14.25" customHeight="1" x14ac:dyDescent="0.25">
      <c r="A66">
        <v>65</v>
      </c>
      <c r="B66" s="19">
        <v>46199</v>
      </c>
      <c r="C66" s="23">
        <v>0.79166666666666663</v>
      </c>
      <c r="D66" t="s">
        <v>128</v>
      </c>
      <c r="E66" t="s">
        <v>82</v>
      </c>
      <c r="F66" t="s">
        <v>71</v>
      </c>
      <c r="G66" t="s">
        <v>67</v>
      </c>
      <c r="H66">
        <f>[1]Partidos!$H66</f>
        <v>0</v>
      </c>
      <c r="I66">
        <f>[1]Partidos!$I66</f>
        <v>0</v>
      </c>
      <c r="J66" t="str">
        <f t="shared" si="0"/>
        <v>Empate</v>
      </c>
      <c r="K66" t="s">
        <v>236</v>
      </c>
      <c r="L66" t="s">
        <v>184</v>
      </c>
      <c r="M66" t="s">
        <v>163</v>
      </c>
      <c r="N66" t="s">
        <v>250</v>
      </c>
      <c r="O66" t="s">
        <v>246</v>
      </c>
      <c r="P66" t="s">
        <v>209</v>
      </c>
    </row>
    <row r="67" spans="1:16" ht="14.25" customHeight="1" x14ac:dyDescent="0.25">
      <c r="A67">
        <v>66</v>
      </c>
      <c r="B67" s="19">
        <v>46199</v>
      </c>
      <c r="C67" s="23">
        <v>0.79166666666666663</v>
      </c>
      <c r="D67" t="s">
        <v>128</v>
      </c>
      <c r="E67" t="s">
        <v>82</v>
      </c>
      <c r="F67" t="s">
        <v>70</v>
      </c>
      <c r="G67" t="s">
        <v>66</v>
      </c>
      <c r="H67">
        <f>[1]Partidos!$H67</f>
        <v>0</v>
      </c>
      <c r="I67">
        <f>[1]Partidos!$I67</f>
        <v>1</v>
      </c>
      <c r="J67" t="str">
        <f t="shared" si="0"/>
        <v>España</v>
      </c>
      <c r="K67" t="s">
        <v>211</v>
      </c>
      <c r="L67" t="s">
        <v>162</v>
      </c>
      <c r="M67" t="s">
        <v>161</v>
      </c>
      <c r="N67" t="s">
        <v>247</v>
      </c>
      <c r="O67" t="s">
        <v>249</v>
      </c>
      <c r="P67" t="s">
        <v>209</v>
      </c>
    </row>
    <row r="68" spans="1:16" ht="14.25" customHeight="1" x14ac:dyDescent="0.25">
      <c r="A68">
        <v>67</v>
      </c>
      <c r="B68" s="19">
        <v>46200</v>
      </c>
      <c r="C68" s="23">
        <v>0.66666666666666663</v>
      </c>
      <c r="D68" t="s">
        <v>128</v>
      </c>
      <c r="E68" t="s">
        <v>86</v>
      </c>
      <c r="F68" t="s">
        <v>120</v>
      </c>
      <c r="G68" t="s">
        <v>108</v>
      </c>
      <c r="H68" t="str">
        <f>[1]Partidos!$H68</f>
        <v/>
      </c>
      <c r="I68" t="str">
        <f>[1]Partidos!$I68</f>
        <v/>
      </c>
      <c r="J68" t="str">
        <f t="shared" si="0"/>
        <v/>
      </c>
      <c r="K68" t="s">
        <v>227</v>
      </c>
      <c r="L68" t="s">
        <v>177</v>
      </c>
      <c r="M68" t="s">
        <v>173</v>
      </c>
      <c r="N68" t="s">
        <v>266</v>
      </c>
      <c r="O68" t="s">
        <v>267</v>
      </c>
      <c r="P68" t="s">
        <v>209</v>
      </c>
    </row>
    <row r="69" spans="1:16" ht="14.25" customHeight="1" x14ac:dyDescent="0.25">
      <c r="A69">
        <v>68</v>
      </c>
      <c r="B69" s="19">
        <v>46200</v>
      </c>
      <c r="C69" s="23">
        <v>0.66666666666666663</v>
      </c>
      <c r="D69" t="s">
        <v>128</v>
      </c>
      <c r="E69" t="s">
        <v>86</v>
      </c>
      <c r="F69" t="s">
        <v>118</v>
      </c>
      <c r="G69" t="s">
        <v>109</v>
      </c>
      <c r="H69" t="str">
        <f>[1]Partidos!$H69</f>
        <v/>
      </c>
      <c r="I69" t="str">
        <f>[1]Partidos!$I69</f>
        <v/>
      </c>
      <c r="J69" t="str">
        <f t="shared" si="0"/>
        <v/>
      </c>
      <c r="K69" t="s">
        <v>233</v>
      </c>
      <c r="L69" t="s">
        <v>174</v>
      </c>
      <c r="M69" t="s">
        <v>175</v>
      </c>
      <c r="N69" t="s">
        <v>268</v>
      </c>
      <c r="O69" t="s">
        <v>265</v>
      </c>
      <c r="P69" t="s">
        <v>209</v>
      </c>
    </row>
    <row r="70" spans="1:16" ht="14.25" customHeight="1" x14ac:dyDescent="0.25">
      <c r="A70">
        <v>69</v>
      </c>
      <c r="B70" s="19">
        <v>46200</v>
      </c>
      <c r="C70" s="23">
        <v>0.875</v>
      </c>
      <c r="D70" t="s">
        <v>128</v>
      </c>
      <c r="E70" t="s">
        <v>84</v>
      </c>
      <c r="F70" t="s">
        <v>57</v>
      </c>
      <c r="G70" t="s">
        <v>24</v>
      </c>
      <c r="H70" t="str">
        <f>[1]Partidos!$H70</f>
        <v/>
      </c>
      <c r="I70" t="str">
        <f>[1]Partidos!$I70</f>
        <v/>
      </c>
      <c r="J70" t="str">
        <f t="shared" si="0"/>
        <v/>
      </c>
      <c r="K70" t="s">
        <v>260</v>
      </c>
      <c r="L70" t="s">
        <v>169</v>
      </c>
      <c r="M70" t="s">
        <v>168</v>
      </c>
      <c r="N70" t="s">
        <v>262</v>
      </c>
      <c r="O70" t="s">
        <v>263</v>
      </c>
      <c r="P70" t="s">
        <v>209</v>
      </c>
    </row>
    <row r="71" spans="1:16" ht="14.25" customHeight="1" x14ac:dyDescent="0.25">
      <c r="A71">
        <v>70</v>
      </c>
      <c r="B71" s="19">
        <v>46200</v>
      </c>
      <c r="C71" s="23">
        <v>0.875</v>
      </c>
      <c r="D71" t="s">
        <v>128</v>
      </c>
      <c r="E71" t="s">
        <v>84</v>
      </c>
      <c r="F71" t="s">
        <v>56</v>
      </c>
      <c r="G71" t="s">
        <v>23</v>
      </c>
      <c r="H71" t="str">
        <f>[1]Partidos!$H71</f>
        <v/>
      </c>
      <c r="I71" t="str">
        <f>[1]Partidos!$I71</f>
        <v/>
      </c>
      <c r="J71" t="str">
        <f t="shared" si="0"/>
        <v/>
      </c>
      <c r="K71" t="s">
        <v>239</v>
      </c>
      <c r="L71" t="s">
        <v>186</v>
      </c>
      <c r="M71" t="s">
        <v>167</v>
      </c>
      <c r="N71" t="s">
        <v>264</v>
      </c>
      <c r="O71" t="s">
        <v>261</v>
      </c>
      <c r="P71" t="s">
        <v>209</v>
      </c>
    </row>
    <row r="72" spans="1:16" ht="14.25" customHeight="1" x14ac:dyDescent="0.25">
      <c r="A72">
        <v>71</v>
      </c>
      <c r="B72" s="19">
        <v>46200</v>
      </c>
      <c r="C72" s="23">
        <v>0.77083333333333337</v>
      </c>
      <c r="D72" t="s">
        <v>128</v>
      </c>
      <c r="E72" t="s">
        <v>85</v>
      </c>
      <c r="F72" t="s">
        <v>106</v>
      </c>
      <c r="G72" t="s">
        <v>107</v>
      </c>
      <c r="H72" t="str">
        <f>[1]Partidos!$H72</f>
        <v/>
      </c>
      <c r="I72" t="str">
        <f>[1]Partidos!$I72</f>
        <v/>
      </c>
      <c r="J72" t="str">
        <f t="shared" si="0"/>
        <v/>
      </c>
      <c r="K72" t="s">
        <v>245</v>
      </c>
      <c r="L72" t="s">
        <v>171</v>
      </c>
      <c r="M72" t="s">
        <v>170</v>
      </c>
      <c r="N72" t="s">
        <v>272</v>
      </c>
      <c r="O72" t="s">
        <v>269</v>
      </c>
      <c r="P72" t="s">
        <v>209</v>
      </c>
    </row>
    <row r="73" spans="1:16" ht="14.25" customHeight="1" x14ac:dyDescent="0.25">
      <c r="A73">
        <v>72</v>
      </c>
      <c r="B73" s="19">
        <v>46200</v>
      </c>
      <c r="C73" s="23">
        <v>0.77083333333333337</v>
      </c>
      <c r="D73" t="s">
        <v>128</v>
      </c>
      <c r="E73" t="s">
        <v>85</v>
      </c>
      <c r="F73" t="s">
        <v>117</v>
      </c>
      <c r="G73" t="s">
        <v>123</v>
      </c>
      <c r="H73" t="str">
        <f>[1]Partidos!$H73</f>
        <v/>
      </c>
      <c r="I73" t="str">
        <f>[1]Partidos!$I73</f>
        <v/>
      </c>
      <c r="J73" t="str">
        <f t="shared" si="0"/>
        <v/>
      </c>
      <c r="K73" t="s">
        <v>248</v>
      </c>
      <c r="L73" t="s">
        <v>172</v>
      </c>
      <c r="M73" t="s">
        <v>180</v>
      </c>
      <c r="N73" t="s">
        <v>270</v>
      </c>
      <c r="O73" t="s">
        <v>271</v>
      </c>
      <c r="P73" t="s">
        <v>209</v>
      </c>
    </row>
    <row r="74" spans="1:16" ht="14.25" customHeight="1" x14ac:dyDescent="0.25">
      <c r="A74">
        <v>73</v>
      </c>
      <c r="B74" s="19">
        <v>46201</v>
      </c>
      <c r="C74" s="23">
        <v>0.58333333333333337</v>
      </c>
      <c r="D74" t="s">
        <v>273</v>
      </c>
      <c r="F74" t="s">
        <v>95</v>
      </c>
      <c r="G74" t="s">
        <v>97</v>
      </c>
      <c r="J74" t="str">
        <f t="shared" si="0"/>
        <v/>
      </c>
      <c r="K74" t="s">
        <v>218</v>
      </c>
      <c r="L74" t="s">
        <v>141</v>
      </c>
      <c r="M74" t="s">
        <v>143</v>
      </c>
      <c r="N74" t="s">
        <v>274</v>
      </c>
      <c r="O74" t="s">
        <v>275</v>
      </c>
      <c r="P74" t="s">
        <v>209</v>
      </c>
    </row>
    <row r="75" spans="1:16" ht="14.25" customHeight="1" x14ac:dyDescent="0.25">
      <c r="A75">
        <v>74</v>
      </c>
      <c r="B75" s="19">
        <v>46201</v>
      </c>
      <c r="C75" s="23">
        <v>0.64583333333333337</v>
      </c>
      <c r="D75" t="s">
        <v>273</v>
      </c>
      <c r="F75" t="s">
        <v>102</v>
      </c>
      <c r="G75" t="s">
        <v>276</v>
      </c>
      <c r="J75" t="str">
        <f t="shared" si="0"/>
        <v/>
      </c>
      <c r="K75" t="s">
        <v>221</v>
      </c>
      <c r="L75" t="s">
        <v>152</v>
      </c>
      <c r="M75" t="s">
        <v>276</v>
      </c>
      <c r="N75" t="s">
        <v>277</v>
      </c>
      <c r="O75" t="s">
        <v>276</v>
      </c>
      <c r="P75" t="s">
        <v>209</v>
      </c>
    </row>
    <row r="76" spans="1:16" ht="14.25" customHeight="1" x14ac:dyDescent="0.25">
      <c r="A76">
        <v>75</v>
      </c>
      <c r="B76" s="19">
        <v>46202</v>
      </c>
      <c r="C76" s="23">
        <v>0.83333333333333337</v>
      </c>
      <c r="D76" t="s">
        <v>273</v>
      </c>
      <c r="F76" t="s">
        <v>104</v>
      </c>
      <c r="G76" t="s">
        <v>99</v>
      </c>
      <c r="J76" t="str">
        <f t="shared" si="0"/>
        <v/>
      </c>
      <c r="K76" t="s">
        <v>242</v>
      </c>
      <c r="L76" t="s">
        <v>155</v>
      </c>
      <c r="M76" t="s">
        <v>146</v>
      </c>
      <c r="N76" t="s">
        <v>278</v>
      </c>
      <c r="O76" t="s">
        <v>279</v>
      </c>
      <c r="P76" t="s">
        <v>209</v>
      </c>
    </row>
    <row r="77" spans="1:16" ht="14.25" customHeight="1" x14ac:dyDescent="0.25">
      <c r="A77">
        <v>76</v>
      </c>
      <c r="B77" s="19">
        <v>46202</v>
      </c>
      <c r="C77" s="23">
        <v>0.5</v>
      </c>
      <c r="D77" t="s">
        <v>273</v>
      </c>
      <c r="F77" t="s">
        <v>98</v>
      </c>
      <c r="G77" t="s">
        <v>105</v>
      </c>
      <c r="J77" t="str">
        <f t="shared" si="0"/>
        <v/>
      </c>
      <c r="K77" t="s">
        <v>236</v>
      </c>
      <c r="L77" t="s">
        <v>147</v>
      </c>
      <c r="M77" t="s">
        <v>156</v>
      </c>
      <c r="N77" t="s">
        <v>280</v>
      </c>
      <c r="O77" t="s">
        <v>281</v>
      </c>
      <c r="P77" t="s">
        <v>209</v>
      </c>
    </row>
    <row r="78" spans="1:16" ht="14.25" customHeight="1" x14ac:dyDescent="0.25">
      <c r="A78">
        <v>77</v>
      </c>
      <c r="B78" s="19">
        <v>46202</v>
      </c>
      <c r="C78" s="23">
        <v>0.66666666666666663</v>
      </c>
      <c r="D78" t="s">
        <v>273</v>
      </c>
      <c r="F78" t="s">
        <v>35</v>
      </c>
      <c r="G78" t="s">
        <v>282</v>
      </c>
      <c r="J78" t="str">
        <f t="shared" si="0"/>
        <v/>
      </c>
      <c r="K78" t="s">
        <v>227</v>
      </c>
      <c r="L78" t="s">
        <v>164</v>
      </c>
      <c r="M78" t="s">
        <v>282</v>
      </c>
      <c r="N78" t="s">
        <v>283</v>
      </c>
      <c r="O78" t="s">
        <v>282</v>
      </c>
      <c r="P78" t="s">
        <v>209</v>
      </c>
    </row>
    <row r="79" spans="1:16" ht="14.25" customHeight="1" x14ac:dyDescent="0.25">
      <c r="A79">
        <v>78</v>
      </c>
      <c r="B79" s="19">
        <v>46203</v>
      </c>
      <c r="C79" s="23">
        <v>0.5</v>
      </c>
      <c r="D79" t="s">
        <v>273</v>
      </c>
      <c r="F79" t="s">
        <v>103</v>
      </c>
      <c r="G79" t="s">
        <v>44</v>
      </c>
      <c r="J79" t="str">
        <f t="shared" si="0"/>
        <v/>
      </c>
      <c r="K79" t="s">
        <v>239</v>
      </c>
      <c r="L79" t="s">
        <v>154</v>
      </c>
      <c r="M79" t="s">
        <v>165</v>
      </c>
      <c r="N79" t="s">
        <v>284</v>
      </c>
      <c r="O79" t="s">
        <v>285</v>
      </c>
      <c r="P79" t="s">
        <v>209</v>
      </c>
    </row>
    <row r="80" spans="1:16" ht="14.25" customHeight="1" x14ac:dyDescent="0.25">
      <c r="A80">
        <v>79</v>
      </c>
      <c r="B80" s="19">
        <v>46203</v>
      </c>
      <c r="C80" s="23">
        <v>0.83333333333333337</v>
      </c>
      <c r="D80" t="s">
        <v>273</v>
      </c>
      <c r="F80" t="s">
        <v>94</v>
      </c>
      <c r="G80" t="s">
        <v>286</v>
      </c>
      <c r="J80" t="str">
        <f t="shared" si="0"/>
        <v/>
      </c>
      <c r="K80" t="s">
        <v>206</v>
      </c>
      <c r="L80" t="s">
        <v>140</v>
      </c>
      <c r="M80" t="s">
        <v>286</v>
      </c>
      <c r="N80" t="s">
        <v>287</v>
      </c>
      <c r="O80" t="s">
        <v>286</v>
      </c>
      <c r="P80" t="s">
        <v>209</v>
      </c>
    </row>
    <row r="81" spans="1:16" ht="14.25" customHeight="1" x14ac:dyDescent="0.25">
      <c r="A81">
        <v>80</v>
      </c>
      <c r="B81" s="19">
        <v>46203</v>
      </c>
      <c r="C81" s="23">
        <v>0.45833333333333331</v>
      </c>
      <c r="D81" t="s">
        <v>273</v>
      </c>
      <c r="F81" t="s">
        <v>108</v>
      </c>
      <c r="G81" t="s">
        <v>288</v>
      </c>
      <c r="J81" t="str">
        <f t="shared" si="0"/>
        <v/>
      </c>
      <c r="K81" t="s">
        <v>248</v>
      </c>
      <c r="L81" t="s">
        <v>173</v>
      </c>
      <c r="M81" t="s">
        <v>288</v>
      </c>
      <c r="N81" t="s">
        <v>289</v>
      </c>
      <c r="O81" t="s">
        <v>288</v>
      </c>
      <c r="P81" t="s">
        <v>209</v>
      </c>
    </row>
    <row r="82" spans="1:16" ht="14.25" customHeight="1" x14ac:dyDescent="0.25">
      <c r="A82">
        <v>81</v>
      </c>
      <c r="B82" s="19">
        <v>46204</v>
      </c>
      <c r="C82" s="23">
        <v>0.79166666666666663</v>
      </c>
      <c r="D82" t="s">
        <v>273</v>
      </c>
      <c r="F82" t="s">
        <v>100</v>
      </c>
      <c r="G82" t="s">
        <v>290</v>
      </c>
      <c r="J82" t="str">
        <f t="shared" si="0"/>
        <v/>
      </c>
      <c r="K82" t="s">
        <v>230</v>
      </c>
      <c r="L82" t="s">
        <v>151</v>
      </c>
      <c r="M82" t="s">
        <v>290</v>
      </c>
      <c r="N82" t="s">
        <v>291</v>
      </c>
      <c r="O82" t="s">
        <v>290</v>
      </c>
      <c r="P82" t="s">
        <v>209</v>
      </c>
    </row>
    <row r="83" spans="1:16" ht="14.25" customHeight="1" x14ac:dyDescent="0.25">
      <c r="A83">
        <v>82</v>
      </c>
      <c r="B83" s="19">
        <v>46204</v>
      </c>
      <c r="C83" s="23">
        <v>0.625</v>
      </c>
      <c r="D83" t="s">
        <v>273</v>
      </c>
      <c r="F83" t="s">
        <v>73</v>
      </c>
      <c r="G83" t="s">
        <v>292</v>
      </c>
      <c r="J83" t="str">
        <f t="shared" si="0"/>
        <v/>
      </c>
      <c r="K83" t="s">
        <v>253</v>
      </c>
      <c r="L83" t="s">
        <v>159</v>
      </c>
      <c r="M83" t="s">
        <v>292</v>
      </c>
      <c r="N83" t="s">
        <v>293</v>
      </c>
      <c r="O83" t="s">
        <v>292</v>
      </c>
      <c r="P83" t="s">
        <v>209</v>
      </c>
    </row>
    <row r="84" spans="1:16" ht="14.25" customHeight="1" x14ac:dyDescent="0.25">
      <c r="A84">
        <v>83</v>
      </c>
      <c r="B84" s="19">
        <v>46205</v>
      </c>
      <c r="C84" s="23">
        <v>0.75</v>
      </c>
      <c r="D84" t="s">
        <v>273</v>
      </c>
      <c r="F84" t="s">
        <v>107</v>
      </c>
      <c r="G84" t="s">
        <v>109</v>
      </c>
      <c r="J84" t="str">
        <f t="shared" si="0"/>
        <v/>
      </c>
      <c r="K84" t="s">
        <v>215</v>
      </c>
      <c r="L84" t="s">
        <v>170</v>
      </c>
      <c r="M84" t="s">
        <v>175</v>
      </c>
      <c r="N84" t="s">
        <v>294</v>
      </c>
      <c r="O84" t="s">
        <v>295</v>
      </c>
      <c r="P84" t="s">
        <v>209</v>
      </c>
    </row>
    <row r="85" spans="1:16" ht="14.25" customHeight="1" x14ac:dyDescent="0.25">
      <c r="A85">
        <v>84</v>
      </c>
      <c r="B85" s="19">
        <v>46205</v>
      </c>
      <c r="C85" s="23">
        <v>0.58333333333333337</v>
      </c>
      <c r="D85" t="s">
        <v>273</v>
      </c>
      <c r="F85" t="s">
        <v>66</v>
      </c>
      <c r="G85" t="s">
        <v>24</v>
      </c>
      <c r="J85" t="str">
        <f t="shared" si="0"/>
        <v/>
      </c>
      <c r="K85" t="s">
        <v>218</v>
      </c>
      <c r="L85" t="s">
        <v>161</v>
      </c>
      <c r="M85" t="s">
        <v>168</v>
      </c>
      <c r="N85" t="s">
        <v>296</v>
      </c>
      <c r="O85" t="s">
        <v>297</v>
      </c>
      <c r="P85" t="s">
        <v>209</v>
      </c>
    </row>
    <row r="86" spans="1:16" ht="14.25" customHeight="1" x14ac:dyDescent="0.25">
      <c r="A86">
        <v>85</v>
      </c>
      <c r="B86" s="19">
        <v>46206</v>
      </c>
      <c r="C86" s="23">
        <v>0.91666666666666663</v>
      </c>
      <c r="D86" t="s">
        <v>273</v>
      </c>
      <c r="F86" t="s">
        <v>96</v>
      </c>
      <c r="G86" t="s">
        <v>298</v>
      </c>
      <c r="J86" t="str">
        <f t="shared" si="0"/>
        <v/>
      </c>
      <c r="K86" t="s">
        <v>224</v>
      </c>
      <c r="L86" t="s">
        <v>144</v>
      </c>
      <c r="M86" t="s">
        <v>298</v>
      </c>
      <c r="N86" t="s">
        <v>299</v>
      </c>
      <c r="O86" t="s">
        <v>298</v>
      </c>
      <c r="P86" t="s">
        <v>209</v>
      </c>
    </row>
    <row r="87" spans="1:16" ht="14.25" customHeight="1" x14ac:dyDescent="0.25">
      <c r="A87">
        <v>86</v>
      </c>
      <c r="B87" s="19">
        <v>46206</v>
      </c>
      <c r="C87" s="23">
        <v>0.70833333333333337</v>
      </c>
      <c r="D87" t="s">
        <v>273</v>
      </c>
      <c r="F87" t="s">
        <v>23</v>
      </c>
      <c r="G87" t="s">
        <v>70</v>
      </c>
      <c r="J87" t="str">
        <f t="shared" si="0"/>
        <v/>
      </c>
      <c r="K87" t="s">
        <v>245</v>
      </c>
      <c r="L87" t="s">
        <v>167</v>
      </c>
      <c r="M87" t="s">
        <v>162</v>
      </c>
      <c r="N87" t="s">
        <v>300</v>
      </c>
      <c r="O87" t="s">
        <v>301</v>
      </c>
      <c r="P87" t="s">
        <v>209</v>
      </c>
    </row>
    <row r="88" spans="1:16" ht="14.25" customHeight="1" x14ac:dyDescent="0.25">
      <c r="A88">
        <v>87</v>
      </c>
      <c r="B88" s="19">
        <v>46206</v>
      </c>
      <c r="C88" s="23">
        <v>0.85416666666666663</v>
      </c>
      <c r="D88" t="s">
        <v>273</v>
      </c>
      <c r="F88" t="s">
        <v>106</v>
      </c>
      <c r="G88" t="s">
        <v>302</v>
      </c>
      <c r="J88" t="str">
        <f t="shared" si="0"/>
        <v/>
      </c>
      <c r="K88" t="s">
        <v>260</v>
      </c>
      <c r="L88" t="s">
        <v>171</v>
      </c>
      <c r="M88" t="s">
        <v>302</v>
      </c>
      <c r="N88" t="s">
        <v>303</v>
      </c>
      <c r="O88" t="s">
        <v>302</v>
      </c>
      <c r="P88" t="s">
        <v>209</v>
      </c>
    </row>
    <row r="89" spans="1:16" ht="14.25" customHeight="1" x14ac:dyDescent="0.25">
      <c r="A89">
        <v>88</v>
      </c>
      <c r="B89" s="19">
        <v>46206</v>
      </c>
      <c r="C89" s="23">
        <v>0.54166666666666663</v>
      </c>
      <c r="D89" t="s">
        <v>273</v>
      </c>
      <c r="F89" t="s">
        <v>101</v>
      </c>
      <c r="G89" t="s">
        <v>69</v>
      </c>
      <c r="J89" t="str">
        <f t="shared" si="0"/>
        <v/>
      </c>
      <c r="K89" t="s">
        <v>239</v>
      </c>
      <c r="L89" t="s">
        <v>181</v>
      </c>
      <c r="M89" t="s">
        <v>160</v>
      </c>
      <c r="N89" t="s">
        <v>304</v>
      </c>
      <c r="O89" t="s">
        <v>305</v>
      </c>
      <c r="P89" t="s">
        <v>209</v>
      </c>
    </row>
    <row r="90" spans="1:16" ht="14.25" customHeight="1" x14ac:dyDescent="0.25">
      <c r="A90">
        <v>89</v>
      </c>
      <c r="B90" s="19">
        <v>46207</v>
      </c>
      <c r="C90" s="23">
        <v>0.66666666666666663</v>
      </c>
      <c r="D90" t="s">
        <v>306</v>
      </c>
      <c r="F90" t="s">
        <v>307</v>
      </c>
      <c r="G90" t="s">
        <v>308</v>
      </c>
      <c r="J90" t="str">
        <f t="shared" si="0"/>
        <v/>
      </c>
      <c r="K90" t="s">
        <v>233</v>
      </c>
      <c r="L90" t="s">
        <v>307</v>
      </c>
      <c r="M90" t="s">
        <v>308</v>
      </c>
      <c r="N90" t="s">
        <v>307</v>
      </c>
      <c r="O90" t="s">
        <v>308</v>
      </c>
      <c r="P90" t="s">
        <v>209</v>
      </c>
    </row>
    <row r="91" spans="1:16" ht="14.25" customHeight="1" x14ac:dyDescent="0.25">
      <c r="A91">
        <v>90</v>
      </c>
      <c r="B91" s="19">
        <v>46207</v>
      </c>
      <c r="C91" s="23">
        <v>0.5</v>
      </c>
      <c r="D91" t="s">
        <v>306</v>
      </c>
      <c r="F91" t="s">
        <v>309</v>
      </c>
      <c r="G91" t="s">
        <v>310</v>
      </c>
      <c r="J91" t="str">
        <f t="shared" si="0"/>
        <v/>
      </c>
      <c r="K91" t="s">
        <v>236</v>
      </c>
      <c r="L91" t="s">
        <v>309</v>
      </c>
      <c r="M91" t="s">
        <v>310</v>
      </c>
      <c r="N91" t="s">
        <v>309</v>
      </c>
      <c r="O91" t="s">
        <v>310</v>
      </c>
      <c r="P91" t="s">
        <v>209</v>
      </c>
    </row>
    <row r="92" spans="1:16" ht="14.25" customHeight="1" x14ac:dyDescent="0.25">
      <c r="A92">
        <v>91</v>
      </c>
      <c r="B92" s="19">
        <v>46208</v>
      </c>
      <c r="C92" s="23">
        <v>0.625</v>
      </c>
      <c r="D92" t="s">
        <v>306</v>
      </c>
      <c r="F92" t="s">
        <v>311</v>
      </c>
      <c r="G92" t="s">
        <v>312</v>
      </c>
      <c r="J92" t="str">
        <f t="shared" si="0"/>
        <v/>
      </c>
      <c r="K92" t="s">
        <v>227</v>
      </c>
      <c r="L92" t="s">
        <v>311</v>
      </c>
      <c r="M92" t="s">
        <v>312</v>
      </c>
      <c r="N92" t="s">
        <v>311</v>
      </c>
      <c r="O92" t="s">
        <v>312</v>
      </c>
      <c r="P92" t="s">
        <v>209</v>
      </c>
    </row>
    <row r="93" spans="1:16" ht="14.25" customHeight="1" x14ac:dyDescent="0.25">
      <c r="A93">
        <v>92</v>
      </c>
      <c r="B93" s="19">
        <v>46208</v>
      </c>
      <c r="C93" s="23">
        <v>0.79166666666666663</v>
      </c>
      <c r="D93" t="s">
        <v>306</v>
      </c>
      <c r="F93" t="s">
        <v>313</v>
      </c>
      <c r="G93" t="s">
        <v>314</v>
      </c>
      <c r="J93" t="str">
        <f t="shared" si="0"/>
        <v/>
      </c>
      <c r="K93" t="s">
        <v>206</v>
      </c>
      <c r="L93" t="s">
        <v>313</v>
      </c>
      <c r="M93" t="s">
        <v>314</v>
      </c>
      <c r="N93" t="s">
        <v>313</v>
      </c>
      <c r="O93" t="s">
        <v>314</v>
      </c>
      <c r="P93" t="s">
        <v>209</v>
      </c>
    </row>
    <row r="94" spans="1:16" ht="14.25" customHeight="1" x14ac:dyDescent="0.25">
      <c r="A94">
        <v>93</v>
      </c>
      <c r="B94" s="19">
        <v>46209</v>
      </c>
      <c r="C94" s="23">
        <v>0.58333333333333337</v>
      </c>
      <c r="D94" t="s">
        <v>306</v>
      </c>
      <c r="F94" t="s">
        <v>315</v>
      </c>
      <c r="G94" t="s">
        <v>316</v>
      </c>
      <c r="J94" t="str">
        <f t="shared" si="0"/>
        <v/>
      </c>
      <c r="K94" t="s">
        <v>239</v>
      </c>
      <c r="L94" t="s">
        <v>315</v>
      </c>
      <c r="M94" t="s">
        <v>316</v>
      </c>
      <c r="N94" t="s">
        <v>315</v>
      </c>
      <c r="O94" t="s">
        <v>316</v>
      </c>
      <c r="P94" t="s">
        <v>209</v>
      </c>
    </row>
    <row r="95" spans="1:16" ht="14.25" customHeight="1" x14ac:dyDescent="0.25">
      <c r="A95">
        <v>94</v>
      </c>
      <c r="B95" s="19">
        <v>46209</v>
      </c>
      <c r="C95" s="23">
        <v>0.79166666666666663</v>
      </c>
      <c r="D95" t="s">
        <v>306</v>
      </c>
      <c r="F95" t="s">
        <v>317</v>
      </c>
      <c r="G95" t="s">
        <v>318</v>
      </c>
      <c r="J95" t="str">
        <f t="shared" si="0"/>
        <v/>
      </c>
      <c r="K95" t="s">
        <v>253</v>
      </c>
      <c r="L95" t="s">
        <v>317</v>
      </c>
      <c r="M95" t="s">
        <v>318</v>
      </c>
      <c r="N95" t="s">
        <v>317</v>
      </c>
      <c r="O95" t="s">
        <v>318</v>
      </c>
      <c r="P95" t="s">
        <v>209</v>
      </c>
    </row>
    <row r="96" spans="1:16" ht="14.25" customHeight="1" x14ac:dyDescent="0.25">
      <c r="A96">
        <v>95</v>
      </c>
      <c r="B96" s="19">
        <v>46210</v>
      </c>
      <c r="C96" s="23">
        <v>0.45833333333333331</v>
      </c>
      <c r="D96" t="s">
        <v>306</v>
      </c>
      <c r="F96" t="s">
        <v>319</v>
      </c>
      <c r="G96" t="s">
        <v>320</v>
      </c>
      <c r="J96" t="str">
        <f t="shared" si="0"/>
        <v/>
      </c>
      <c r="K96" t="s">
        <v>248</v>
      </c>
      <c r="L96" t="s">
        <v>319</v>
      </c>
      <c r="M96" t="s">
        <v>320</v>
      </c>
      <c r="N96" t="s">
        <v>319</v>
      </c>
      <c r="O96" t="s">
        <v>320</v>
      </c>
      <c r="P96" t="s">
        <v>209</v>
      </c>
    </row>
    <row r="97" spans="1:16" ht="14.25" customHeight="1" x14ac:dyDescent="0.25">
      <c r="A97">
        <v>96</v>
      </c>
      <c r="B97" s="19">
        <v>46210</v>
      </c>
      <c r="C97" s="23">
        <v>0.625</v>
      </c>
      <c r="D97" t="s">
        <v>306</v>
      </c>
      <c r="F97" t="s">
        <v>321</v>
      </c>
      <c r="G97" t="s">
        <v>322</v>
      </c>
      <c r="J97" t="str">
        <f t="shared" si="0"/>
        <v/>
      </c>
      <c r="K97" t="s">
        <v>224</v>
      </c>
      <c r="L97" t="s">
        <v>321</v>
      </c>
      <c r="M97" t="s">
        <v>322</v>
      </c>
      <c r="N97" t="s">
        <v>321</v>
      </c>
      <c r="O97" t="s">
        <v>322</v>
      </c>
      <c r="P97" t="s">
        <v>209</v>
      </c>
    </row>
    <row r="98" spans="1:16" ht="14.25" customHeight="1" x14ac:dyDescent="0.25">
      <c r="A98">
        <v>97</v>
      </c>
      <c r="B98" s="19">
        <v>46212</v>
      </c>
      <c r="C98" s="23">
        <v>0.625</v>
      </c>
      <c r="D98" t="s">
        <v>323</v>
      </c>
      <c r="F98" t="s">
        <v>324</v>
      </c>
      <c r="G98" t="s">
        <v>325</v>
      </c>
      <c r="J98" t="str">
        <f t="shared" si="0"/>
        <v/>
      </c>
      <c r="K98" t="s">
        <v>221</v>
      </c>
      <c r="L98" t="s">
        <v>324</v>
      </c>
      <c r="M98" t="s">
        <v>325</v>
      </c>
      <c r="N98" t="s">
        <v>324</v>
      </c>
      <c r="O98" t="s">
        <v>325</v>
      </c>
      <c r="P98" t="s">
        <v>209</v>
      </c>
    </row>
    <row r="99" spans="1:16" ht="14.25" customHeight="1" x14ac:dyDescent="0.25">
      <c r="A99">
        <v>98</v>
      </c>
      <c r="B99" s="19">
        <v>46213</v>
      </c>
      <c r="C99" s="23">
        <v>0.58333333333333337</v>
      </c>
      <c r="D99" t="s">
        <v>323</v>
      </c>
      <c r="F99" t="s">
        <v>326</v>
      </c>
      <c r="G99" t="s">
        <v>327</v>
      </c>
      <c r="J99" t="str">
        <f t="shared" si="0"/>
        <v/>
      </c>
      <c r="K99" t="s">
        <v>218</v>
      </c>
      <c r="L99" t="s">
        <v>326</v>
      </c>
      <c r="M99" t="s">
        <v>327</v>
      </c>
      <c r="N99" t="s">
        <v>326</v>
      </c>
      <c r="O99" t="s">
        <v>327</v>
      </c>
      <c r="P99" t="s">
        <v>209</v>
      </c>
    </row>
    <row r="100" spans="1:16" ht="14.25" customHeight="1" x14ac:dyDescent="0.25">
      <c r="A100">
        <v>99</v>
      </c>
      <c r="B100" s="19">
        <v>46214</v>
      </c>
      <c r="C100" s="23">
        <v>0.66666666666666663</v>
      </c>
      <c r="D100" t="s">
        <v>323</v>
      </c>
      <c r="F100" t="s">
        <v>328</v>
      </c>
      <c r="G100" t="s">
        <v>329</v>
      </c>
      <c r="J100" t="str">
        <f t="shared" si="0"/>
        <v/>
      </c>
      <c r="K100" t="s">
        <v>245</v>
      </c>
      <c r="L100" t="s">
        <v>328</v>
      </c>
      <c r="M100" t="s">
        <v>329</v>
      </c>
      <c r="N100" t="s">
        <v>328</v>
      </c>
      <c r="O100" t="s">
        <v>329</v>
      </c>
      <c r="P100" t="s">
        <v>209</v>
      </c>
    </row>
    <row r="101" spans="1:16" ht="14.25" customHeight="1" x14ac:dyDescent="0.25">
      <c r="A101">
        <v>100</v>
      </c>
      <c r="B101" s="19">
        <v>46214</v>
      </c>
      <c r="C101" s="23">
        <v>0.83333333333333337</v>
      </c>
      <c r="D101" t="s">
        <v>323</v>
      </c>
      <c r="F101" t="s">
        <v>330</v>
      </c>
      <c r="G101" t="s">
        <v>331</v>
      </c>
      <c r="J101" t="str">
        <f t="shared" si="0"/>
        <v/>
      </c>
      <c r="K101" t="s">
        <v>260</v>
      </c>
      <c r="L101" t="s">
        <v>330</v>
      </c>
      <c r="M101" t="s">
        <v>331</v>
      </c>
      <c r="N101" t="s">
        <v>330</v>
      </c>
      <c r="O101" t="s">
        <v>331</v>
      </c>
      <c r="P101" t="s">
        <v>209</v>
      </c>
    </row>
    <row r="102" spans="1:16" ht="14.25" customHeight="1" x14ac:dyDescent="0.25">
      <c r="A102">
        <v>101</v>
      </c>
      <c r="B102" s="19">
        <v>46217</v>
      </c>
      <c r="C102" s="23">
        <v>0.58333333333333337</v>
      </c>
      <c r="D102" t="s">
        <v>332</v>
      </c>
      <c r="F102" t="s">
        <v>333</v>
      </c>
      <c r="G102" t="s">
        <v>334</v>
      </c>
      <c r="J102" t="str">
        <f t="shared" si="0"/>
        <v/>
      </c>
      <c r="K102" t="s">
        <v>239</v>
      </c>
      <c r="L102" t="s">
        <v>333</v>
      </c>
      <c r="M102" t="s">
        <v>334</v>
      </c>
      <c r="N102" t="s">
        <v>333</v>
      </c>
      <c r="O102" t="s">
        <v>334</v>
      </c>
      <c r="P102" t="s">
        <v>209</v>
      </c>
    </row>
    <row r="103" spans="1:16" ht="14.25" customHeight="1" x14ac:dyDescent="0.25">
      <c r="A103">
        <v>102</v>
      </c>
      <c r="B103" s="19">
        <v>46218</v>
      </c>
      <c r="C103" s="23">
        <v>0.58333333333333337</v>
      </c>
      <c r="D103" t="s">
        <v>332</v>
      </c>
      <c r="F103" t="s">
        <v>335</v>
      </c>
      <c r="G103" t="s">
        <v>336</v>
      </c>
      <c r="J103" t="str">
        <f t="shared" si="0"/>
        <v/>
      </c>
      <c r="K103" t="s">
        <v>248</v>
      </c>
      <c r="L103" t="s">
        <v>335</v>
      </c>
      <c r="M103" t="s">
        <v>336</v>
      </c>
      <c r="N103" t="s">
        <v>335</v>
      </c>
      <c r="O103" t="s">
        <v>336</v>
      </c>
      <c r="P103" t="s">
        <v>209</v>
      </c>
    </row>
    <row r="104" spans="1:16" ht="14.25" customHeight="1" x14ac:dyDescent="0.25">
      <c r="A104">
        <v>103</v>
      </c>
      <c r="B104" s="19">
        <v>46221</v>
      </c>
      <c r="C104" s="23">
        <v>0.66666666666666663</v>
      </c>
      <c r="D104" t="s">
        <v>337</v>
      </c>
      <c r="F104" t="s">
        <v>338</v>
      </c>
      <c r="G104" t="s">
        <v>339</v>
      </c>
      <c r="J104" t="str">
        <f t="shared" si="0"/>
        <v/>
      </c>
      <c r="K104" t="s">
        <v>245</v>
      </c>
      <c r="L104" t="s">
        <v>338</v>
      </c>
      <c r="M104" t="s">
        <v>339</v>
      </c>
      <c r="N104" t="s">
        <v>338</v>
      </c>
      <c r="O104" t="s">
        <v>339</v>
      </c>
      <c r="P104" t="s">
        <v>209</v>
      </c>
    </row>
    <row r="105" spans="1:16" ht="14.25" customHeight="1" x14ac:dyDescent="0.25">
      <c r="A105">
        <v>104</v>
      </c>
      <c r="B105" s="19">
        <v>46222</v>
      </c>
      <c r="C105" s="23">
        <v>0.58333333333333337</v>
      </c>
      <c r="D105" t="s">
        <v>340</v>
      </c>
      <c r="J105" t="str">
        <f t="shared" si="0"/>
        <v/>
      </c>
      <c r="K105" t="s">
        <v>227</v>
      </c>
      <c r="N105" t="s">
        <v>341</v>
      </c>
      <c r="O105" t="s">
        <v>342</v>
      </c>
      <c r="P105" t="s">
        <v>209</v>
      </c>
    </row>
  </sheetData>
  <pageMargins left="0.7" right="0.7" top="0.75" bottom="0.75" header="0.51" footer="0.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HL51"/>
  <sheetViews>
    <sheetView showGridLines="0" topLeftCell="GN1" zoomScale="85" zoomScaleNormal="85" workbookViewId="0">
      <selection activeCell="GX21" sqref="GX21"/>
    </sheetView>
  </sheetViews>
  <sheetFormatPr baseColWidth="10" defaultRowHeight="15" x14ac:dyDescent="0.25"/>
  <cols>
    <col min="1" max="1" width="24.28515625" style="25" customWidth="1"/>
    <col min="2" max="2" width="10.42578125" style="26" customWidth="1"/>
    <col min="3" max="3" width="15.5703125" style="26" customWidth="1"/>
    <col min="4" max="4" width="10.42578125" style="26" customWidth="1"/>
    <col min="5" max="5" width="14.140625" style="25" customWidth="1"/>
    <col min="6" max="6" width="11.5703125" style="25" customWidth="1"/>
    <col min="7" max="7" width="11.5703125" style="26" customWidth="1"/>
    <col min="8" max="9" width="16" style="25" customWidth="1"/>
    <col min="10" max="10" width="11.5703125" style="26" customWidth="1"/>
    <col min="11" max="11" width="12.7109375" style="25" customWidth="1"/>
    <col min="12" max="12" width="13.140625" style="25" customWidth="1"/>
    <col min="13" max="13" width="11.5703125" style="26" customWidth="1"/>
    <col min="14" max="14" width="12.7109375" style="25" customWidth="1"/>
    <col min="15" max="15" width="13.140625" style="25" customWidth="1"/>
    <col min="16" max="16" width="11.5703125" style="26" customWidth="1"/>
    <col min="17" max="17" width="12.7109375" style="25" customWidth="1"/>
    <col min="18" max="18" width="13.140625" style="25" customWidth="1"/>
    <col min="19" max="19" width="11.5703125" style="26" customWidth="1"/>
    <col min="20" max="20" width="12.7109375" style="25" customWidth="1"/>
    <col min="21" max="21" width="13.140625" style="25" customWidth="1"/>
    <col min="22" max="22" width="11.5703125" style="26" customWidth="1"/>
    <col min="23" max="23" width="12.7109375" style="25" customWidth="1"/>
    <col min="24" max="24" width="13.140625" style="25" customWidth="1"/>
    <col min="25" max="25" width="11.5703125" style="26" customWidth="1"/>
    <col min="26" max="26" width="12.7109375" style="25" customWidth="1"/>
    <col min="27" max="27" width="13.140625" style="25" customWidth="1"/>
    <col min="28" max="28" width="11.5703125" style="26" customWidth="1"/>
    <col min="29" max="29" width="12.7109375" style="25" customWidth="1"/>
    <col min="30" max="30" width="13.140625" style="25" customWidth="1"/>
    <col min="31" max="31" width="11.5703125" style="26" customWidth="1"/>
    <col min="32" max="32" width="12.7109375" style="25" customWidth="1"/>
    <col min="33" max="33" width="13.140625" style="25" customWidth="1"/>
    <col min="34" max="34" width="11.5703125" style="26" customWidth="1"/>
    <col min="35" max="35" width="12.7109375" style="25" customWidth="1"/>
    <col min="36" max="36" width="13.140625" style="25" customWidth="1"/>
    <col min="37" max="37" width="11.5703125" style="26" customWidth="1"/>
    <col min="38" max="38" width="12.7109375" style="25" customWidth="1"/>
    <col min="39" max="39" width="13.140625" style="25" customWidth="1"/>
    <col min="40" max="40" width="11.5703125" style="26" customWidth="1"/>
    <col min="41" max="41" width="12.7109375" style="25" customWidth="1"/>
    <col min="42" max="42" width="13.140625" style="25" customWidth="1"/>
    <col min="43" max="43" width="11.5703125" style="26" customWidth="1"/>
    <col min="44" max="44" width="12.7109375" style="25" customWidth="1"/>
    <col min="45" max="45" width="13.140625" style="25" customWidth="1"/>
    <col min="46" max="46" width="11.5703125" style="26" customWidth="1"/>
    <col min="47" max="47" width="12.7109375" style="25" customWidth="1"/>
    <col min="48" max="48" width="13.140625" style="25" customWidth="1"/>
    <col min="49" max="49" width="11.5703125" style="26" customWidth="1"/>
    <col min="50" max="50" width="11.42578125" style="25"/>
    <col min="51" max="51" width="18.5703125" style="25" customWidth="1"/>
    <col min="52" max="62" width="11.42578125" style="25"/>
    <col min="63" max="63" width="12.85546875" style="25" customWidth="1"/>
    <col min="64" max="74" width="11.42578125" style="25"/>
    <col min="75" max="75" width="14.7109375" style="25" customWidth="1"/>
    <col min="76" max="86" width="11.42578125" style="25"/>
    <col min="87" max="87" width="18.5703125" style="25" customWidth="1"/>
    <col min="88" max="98" width="11.42578125" style="25"/>
    <col min="99" max="99" width="18.5703125" style="25" customWidth="1"/>
    <col min="100" max="110" width="11.42578125" style="25"/>
    <col min="111" max="111" width="18.5703125" style="25" customWidth="1"/>
    <col min="112" max="121" width="11.42578125" style="25"/>
    <col min="122" max="122" width="11.42578125" style="77"/>
    <col min="123" max="125" width="11.42578125" style="25"/>
    <col min="126" max="126" width="18.5703125" style="25" customWidth="1"/>
    <col min="127" max="137" width="11.42578125" style="25"/>
    <col min="138" max="138" width="18.5703125" style="25" customWidth="1"/>
    <col min="139" max="145" width="11.42578125" style="25"/>
    <col min="146" max="155" width="11.42578125" style="77"/>
    <col min="156" max="156" width="18.5703125" style="77" customWidth="1"/>
    <col min="157" max="173" width="11.42578125" style="77"/>
    <col min="174" max="174" width="18.5703125" style="77" customWidth="1"/>
    <col min="175" max="185" width="11.42578125" style="77"/>
    <col min="186" max="186" width="9.28515625" style="77" customWidth="1"/>
    <col min="187" max="197" width="11.42578125" style="77"/>
    <col min="198" max="198" width="18.5703125" style="77" customWidth="1"/>
    <col min="199" max="209" width="11.42578125" style="77"/>
    <col min="210" max="210" width="18.5703125" style="77" customWidth="1"/>
    <col min="211" max="215" width="11.42578125" style="77"/>
    <col min="216" max="216" width="18.5703125" style="77" customWidth="1"/>
    <col min="217" max="217" width="11.42578125" style="77"/>
    <col min="218" max="16384" width="11.42578125" style="25"/>
  </cols>
  <sheetData>
    <row r="1" spans="1:220" ht="19.5" customHeight="1" thickBot="1" x14ac:dyDescent="0.35">
      <c r="A1" s="27"/>
      <c r="B1" s="28" t="str">
        <f>Grupo!B1</f>
        <v>México</v>
      </c>
      <c r="C1" s="28" t="str">
        <f>Grupo!C1</f>
        <v>Sudáfrica</v>
      </c>
      <c r="D1" s="28" t="str">
        <f>Grupo!D1</f>
        <v>Pts</v>
      </c>
      <c r="E1" s="28" t="str">
        <f>Grupo!E1</f>
        <v>Corea República</v>
      </c>
      <c r="F1" s="28" t="str">
        <f>Grupo!F1</f>
        <v>Chequia</v>
      </c>
      <c r="G1" s="28" t="str">
        <f>Grupo!G1</f>
        <v>Pts</v>
      </c>
      <c r="H1" s="28" t="str">
        <f>Grupo!H1</f>
        <v>Canadá</v>
      </c>
      <c r="I1" s="28" t="str">
        <f>Grupo!I1</f>
        <v>Bosnia y Herzegovina</v>
      </c>
      <c r="J1" s="28" t="str">
        <f>Grupo!J1</f>
        <v>Pts</v>
      </c>
      <c r="K1" s="28" t="str">
        <f>Grupo!K1</f>
        <v>Estados Unidos</v>
      </c>
      <c r="L1" s="28" t="str">
        <f>Grupo!L1</f>
        <v>Paraguay</v>
      </c>
      <c r="M1" s="28" t="str">
        <f>Grupo!M1</f>
        <v>Pts</v>
      </c>
      <c r="N1" s="28" t="str">
        <f>Grupo!N1</f>
        <v>Haití</v>
      </c>
      <c r="O1" s="28" t="str">
        <f>Grupo!O1</f>
        <v>Escocia</v>
      </c>
      <c r="P1" s="28" t="str">
        <f>Grupo!P1</f>
        <v>Pts</v>
      </c>
      <c r="Q1" s="28" t="str">
        <f>Grupo!Q1</f>
        <v>Australia</v>
      </c>
      <c r="R1" s="28" t="str">
        <f>Grupo!R1</f>
        <v>Türkiye</v>
      </c>
      <c r="S1" s="28" t="str">
        <f>Grupo!S1</f>
        <v>Pts</v>
      </c>
      <c r="T1" s="28" t="str">
        <f>Grupo!T1</f>
        <v>Brasil</v>
      </c>
      <c r="U1" s="28" t="str">
        <f>Grupo!U1</f>
        <v>Marruecos</v>
      </c>
      <c r="V1" s="28" t="str">
        <f>Grupo!V1</f>
        <v>Pts</v>
      </c>
      <c r="W1" s="28" t="str">
        <f>Grupo!W1</f>
        <v>Qatar</v>
      </c>
      <c r="X1" s="28" t="str">
        <f>Grupo!X1</f>
        <v>Suiza</v>
      </c>
      <c r="Y1" s="28" t="str">
        <f>Grupo!Y1</f>
        <v>Pts</v>
      </c>
      <c r="Z1" s="28" t="str">
        <f>Grupo!Z1</f>
        <v>Costa de Marfil</v>
      </c>
      <c r="AA1" s="28" t="str">
        <f>Grupo!AA1</f>
        <v>Ecuador</v>
      </c>
      <c r="AB1" s="28" t="str">
        <f>Grupo!AB1</f>
        <v>Pts</v>
      </c>
      <c r="AC1" s="28" t="str">
        <f>Grupo!AC1</f>
        <v>Alemania</v>
      </c>
      <c r="AD1" s="28" t="str">
        <f>Grupo!AD1</f>
        <v>Curazao</v>
      </c>
      <c r="AE1" s="28" t="str">
        <f>Grupo!AE1</f>
        <v>Pts</v>
      </c>
      <c r="AF1" s="28" t="str">
        <f>Grupo!AF1</f>
        <v>Países Bajos</v>
      </c>
      <c r="AG1" s="28" t="str">
        <f>Grupo!AG1</f>
        <v>Japón</v>
      </c>
      <c r="AH1" s="28" t="str">
        <f>Grupo!AH1</f>
        <v>Pts</v>
      </c>
      <c r="AI1" s="28" t="str">
        <f>Grupo!AI1</f>
        <v>Suecia</v>
      </c>
      <c r="AJ1" s="28" t="str">
        <f>Grupo!AJ1</f>
        <v>Túnez</v>
      </c>
      <c r="AK1" s="28" t="str">
        <f>Grupo!AK1</f>
        <v>Pts</v>
      </c>
      <c r="AL1" s="28" t="str">
        <f>Grupo!AL1</f>
        <v>Arabia Saudita</v>
      </c>
      <c r="AM1" s="28" t="str">
        <f>Grupo!AM1</f>
        <v>Uruguay</v>
      </c>
      <c r="AN1" s="28" t="str">
        <f>Grupo!AN1</f>
        <v>Pts</v>
      </c>
      <c r="AO1" s="28" t="str">
        <f>Grupo!AO1</f>
        <v>España</v>
      </c>
      <c r="AP1" s="28" t="str">
        <f>Grupo!AP1</f>
        <v>Cabo Verde</v>
      </c>
      <c r="AQ1" s="28" t="str">
        <f>Grupo!AQ1</f>
        <v>Pts</v>
      </c>
      <c r="AR1" s="28" t="str">
        <f>Grupo!AR1</f>
        <v>Irán</v>
      </c>
      <c r="AS1" s="28" t="str">
        <f>Grupo!AS1</f>
        <v>Nueva Zelanda</v>
      </c>
      <c r="AT1" s="28" t="str">
        <f>Grupo!AT1</f>
        <v>Pts</v>
      </c>
      <c r="AU1" s="28" t="str">
        <f>Grupo!AU1</f>
        <v>Bélgica</v>
      </c>
      <c r="AV1" s="28" t="str">
        <f>Grupo!AV1</f>
        <v>Egipto</v>
      </c>
      <c r="AW1" s="28" t="str">
        <f>Grupo!AW1</f>
        <v>Pts</v>
      </c>
      <c r="AX1" s="28" t="str">
        <f>Grupo!AX1</f>
        <v>Francia</v>
      </c>
      <c r="AY1" s="28" t="str">
        <f>Grupo!AY1</f>
        <v>Senegal</v>
      </c>
      <c r="AZ1" s="28" t="str">
        <f>Grupo!AZ1</f>
        <v>Pts</v>
      </c>
      <c r="BA1" s="28" t="str">
        <f>Grupo!BA1</f>
        <v>Irak</v>
      </c>
      <c r="BB1" s="28" t="str">
        <f>Grupo!BB1</f>
        <v>Noruega</v>
      </c>
      <c r="BC1" s="28" t="str">
        <f>Grupo!BC1</f>
        <v>Pts</v>
      </c>
      <c r="BD1" s="28" t="str">
        <f>Grupo!BD1</f>
        <v>Argentina</v>
      </c>
      <c r="BE1" s="28" t="str">
        <f>Grupo!BE1</f>
        <v>Argelia</v>
      </c>
      <c r="BF1" s="28" t="str">
        <f>Grupo!BF1</f>
        <v>Pts</v>
      </c>
      <c r="BG1" s="28" t="str">
        <f>Grupo!BG1</f>
        <v>Austria</v>
      </c>
      <c r="BH1" s="28" t="str">
        <f>Grupo!BH1</f>
        <v>Jordania</v>
      </c>
      <c r="BI1" s="28" t="str">
        <f>Grupo!BI1</f>
        <v>Pts</v>
      </c>
      <c r="BJ1" s="28" t="str">
        <f>Grupo!BJ1</f>
        <v>Ghana</v>
      </c>
      <c r="BK1" s="28" t="str">
        <f>Grupo!BK1</f>
        <v>Panamá</v>
      </c>
      <c r="BL1" s="28" t="str">
        <f>Grupo!BL1</f>
        <v>Pts</v>
      </c>
      <c r="BM1" s="28" t="str">
        <f>Grupo!BM1</f>
        <v>Inglaterra</v>
      </c>
      <c r="BN1" s="28" t="str">
        <f>Grupo!BN1</f>
        <v>Croacia</v>
      </c>
      <c r="BO1" s="28" t="str">
        <f>Grupo!BO1</f>
        <v>Pts</v>
      </c>
      <c r="BP1" s="28" t="str">
        <f>Grupo!BP1</f>
        <v>Portugal</v>
      </c>
      <c r="BQ1" s="28" t="str">
        <f>Grupo!BQ1</f>
        <v>RD Congo</v>
      </c>
      <c r="BR1" s="28" t="str">
        <f>Grupo!BR1</f>
        <v>Pts</v>
      </c>
      <c r="BS1" s="28" t="str">
        <f>Grupo!BS1</f>
        <v>Uzbekistán</v>
      </c>
      <c r="BT1" s="28" t="str">
        <f>Grupo!BT1</f>
        <v>Colombia</v>
      </c>
      <c r="BU1" s="28" t="str">
        <f>Grupo!BU1</f>
        <v>Pts</v>
      </c>
      <c r="BV1" s="28" t="str">
        <f>Grupo!BV1</f>
        <v>Chequia</v>
      </c>
      <c r="BW1" s="28" t="str">
        <f>Grupo!BW1</f>
        <v>Sudáfrica</v>
      </c>
      <c r="BX1" s="28" t="str">
        <f>Grupo!BX1</f>
        <v>Pts</v>
      </c>
      <c r="BY1" s="28" t="str">
        <f>Grupo!BY1</f>
        <v>Suiza</v>
      </c>
      <c r="BZ1" s="28" t="str">
        <f>Grupo!BZ1</f>
        <v>Bosnia y Herzegovina</v>
      </c>
      <c r="CA1" s="28" t="str">
        <f>Grupo!CA1</f>
        <v>Pts</v>
      </c>
      <c r="CB1" s="28" t="str">
        <f>Grupo!CB1</f>
        <v>Canadá</v>
      </c>
      <c r="CC1" s="28" t="str">
        <f>Grupo!CC1</f>
        <v>Qatar</v>
      </c>
      <c r="CD1" s="28" t="str">
        <f>Grupo!CD1</f>
        <v>Pts</v>
      </c>
      <c r="CE1" s="28" t="str">
        <f>Grupo!CE1</f>
        <v>México</v>
      </c>
      <c r="CF1" s="28" t="str">
        <f>Grupo!CF1</f>
        <v>Corea República</v>
      </c>
      <c r="CG1" s="28" t="str">
        <f>Grupo!CG1</f>
        <v>Pts</v>
      </c>
      <c r="CH1" s="28" t="str">
        <f>Grupo!CH1</f>
        <v>Brasil</v>
      </c>
      <c r="CI1" s="28" t="str">
        <f>Grupo!CI1</f>
        <v>Haití</v>
      </c>
      <c r="CJ1" s="28" t="str">
        <f>Grupo!CJ1</f>
        <v>Pts</v>
      </c>
      <c r="CK1" s="28" t="str">
        <f>Grupo!CK1</f>
        <v>Escocia</v>
      </c>
      <c r="CL1" s="28" t="str">
        <f>Grupo!CL1</f>
        <v>Marruecos</v>
      </c>
      <c r="CM1" s="28" t="str">
        <f>Grupo!CM1</f>
        <v>Pts</v>
      </c>
      <c r="CN1" s="28" t="str">
        <f>Grupo!CN1</f>
        <v>Türkiye</v>
      </c>
      <c r="CO1" s="28" t="str">
        <f>Grupo!CO1</f>
        <v>Paraguay</v>
      </c>
      <c r="CP1" s="28" t="str">
        <f>Grupo!CP1</f>
        <v>Pts</v>
      </c>
      <c r="CQ1" s="28" t="str">
        <f>Grupo!CQ1</f>
        <v>Estados Unidos</v>
      </c>
      <c r="CR1" s="28" t="str">
        <f>Grupo!CR1</f>
        <v>Australia</v>
      </c>
      <c r="CS1" s="28" t="str">
        <f>Grupo!CS1</f>
        <v>Pts</v>
      </c>
      <c r="CT1" s="28" t="str">
        <f>Grupo!CT1</f>
        <v>Alemania</v>
      </c>
      <c r="CU1" s="28" t="str">
        <f>Grupo!CU1</f>
        <v>Costa de Marfil</v>
      </c>
      <c r="CV1" s="28" t="str">
        <f>Grupo!CV1</f>
        <v>Pts</v>
      </c>
      <c r="CW1" s="28" t="str">
        <f>Grupo!CW1</f>
        <v>Ecuador</v>
      </c>
      <c r="CX1" s="28" t="str">
        <f>Grupo!CX1</f>
        <v>Curazao</v>
      </c>
      <c r="CY1" s="28" t="str">
        <f>Grupo!CY1</f>
        <v>Pts</v>
      </c>
      <c r="CZ1" s="28" t="str">
        <f>Grupo!CZ1</f>
        <v>Países Bajos</v>
      </c>
      <c r="DA1" s="28" t="str">
        <f>Grupo!DA1</f>
        <v>Suecia</v>
      </c>
      <c r="DB1" s="28" t="str">
        <f>Grupo!DB1</f>
        <v>Pts</v>
      </c>
      <c r="DC1" s="28" t="str">
        <f>Grupo!DC1</f>
        <v>Túnez</v>
      </c>
      <c r="DD1" s="28" t="str">
        <f>Grupo!DD1</f>
        <v>Japón</v>
      </c>
      <c r="DE1" s="28" t="str">
        <f>Grupo!DE1</f>
        <v>Pts</v>
      </c>
      <c r="DF1" s="28" t="str">
        <f>Grupo!DF1</f>
        <v>Uruguay</v>
      </c>
      <c r="DG1" s="28" t="str">
        <f>Grupo!DG1</f>
        <v>Cabo Verde</v>
      </c>
      <c r="DH1" s="28" t="str">
        <f>Grupo!DH1</f>
        <v>Pts</v>
      </c>
      <c r="DI1" s="28" t="str">
        <f>Grupo!DI1</f>
        <v>España</v>
      </c>
      <c r="DJ1" s="28" t="str">
        <f>Grupo!DJ1</f>
        <v>Arabia Saudita</v>
      </c>
      <c r="DK1" s="28" t="str">
        <f>Grupo!DK1</f>
        <v>Pts</v>
      </c>
      <c r="DL1" s="28" t="str">
        <f>Grupo!DL1</f>
        <v>Bélgica</v>
      </c>
      <c r="DM1" s="28" t="str">
        <f>Grupo!DM1</f>
        <v>Irán</v>
      </c>
      <c r="DN1" s="28" t="str">
        <f>Grupo!DN1</f>
        <v>Pts</v>
      </c>
      <c r="DO1" s="28" t="str">
        <f>Grupo!DO1</f>
        <v>Nueva Zelanda</v>
      </c>
      <c r="DP1" s="28" t="str">
        <f>Grupo!DP1</f>
        <v>Egipto</v>
      </c>
      <c r="DQ1" s="28" t="str">
        <f>Grupo!DQ1</f>
        <v>Pts</v>
      </c>
      <c r="DR1" s="78" t="str">
        <f>Grupo!DR1</f>
        <v>Noruega</v>
      </c>
      <c r="DS1" s="28" t="str">
        <f>Grupo!DS1</f>
        <v>Senegal</v>
      </c>
      <c r="DT1" s="28" t="str">
        <f>Grupo!DT1</f>
        <v>Pts</v>
      </c>
      <c r="DU1" s="28" t="str">
        <f>Grupo!DU1</f>
        <v>Francia</v>
      </c>
      <c r="DV1" s="28" t="str">
        <f>Grupo!DV1</f>
        <v>Irak</v>
      </c>
      <c r="DW1" s="28" t="str">
        <f>Grupo!DW1</f>
        <v>Pts</v>
      </c>
      <c r="DX1" s="28" t="str">
        <f>Grupo!DX1</f>
        <v>Argentina</v>
      </c>
      <c r="DY1" s="28" t="str">
        <f>Grupo!DY1</f>
        <v>Austria</v>
      </c>
      <c r="DZ1" s="28" t="str">
        <f>Grupo!DZ1</f>
        <v>Pts</v>
      </c>
      <c r="EA1" s="70" t="str">
        <f>Grupo!EA1</f>
        <v>Jordania</v>
      </c>
      <c r="EB1" s="70" t="str">
        <f>Grupo!EB1</f>
        <v>Argelia</v>
      </c>
      <c r="EC1" s="70" t="str">
        <f>Grupo!EC1</f>
        <v>Pts</v>
      </c>
      <c r="ED1" s="70" t="str">
        <f>Grupo!ED1</f>
        <v>Inglaterra</v>
      </c>
      <c r="EE1" s="70" t="str">
        <f>Grupo!EE1</f>
        <v>Ghana</v>
      </c>
      <c r="EF1" s="70" t="str">
        <f>Grupo!EF1</f>
        <v>Pts</v>
      </c>
      <c r="EG1" s="70" t="str">
        <f>Grupo!EG1</f>
        <v>Panamá</v>
      </c>
      <c r="EH1" s="70" t="str">
        <f>Grupo!EH1</f>
        <v>Croacia</v>
      </c>
      <c r="EI1" s="70" t="str">
        <f>Grupo!EI1</f>
        <v>Pts</v>
      </c>
      <c r="EJ1" s="70" t="str">
        <f>Grupo!EJ1</f>
        <v>Portugal</v>
      </c>
      <c r="EK1" s="70" t="str">
        <f>Grupo!EK1</f>
        <v>Uzbekistán</v>
      </c>
      <c r="EL1" s="70" t="str">
        <f>Grupo!EL1</f>
        <v>Pts</v>
      </c>
      <c r="EM1" s="70" t="str">
        <f>Grupo!EM1</f>
        <v>Colombia</v>
      </c>
      <c r="EN1" s="70" t="str">
        <f>Grupo!EN1</f>
        <v>RD Congo</v>
      </c>
      <c r="EO1" s="70" t="str">
        <f>Grupo!EO1</f>
        <v>Pts</v>
      </c>
      <c r="EP1" s="78" t="str">
        <f>Grupo!EP1</f>
        <v>Escocia</v>
      </c>
      <c r="EQ1" s="78" t="str">
        <f>Grupo!EQ1</f>
        <v>Brasil</v>
      </c>
      <c r="ER1" s="78" t="str">
        <f>Grupo!ER1</f>
        <v>Pts</v>
      </c>
      <c r="ES1" s="78" t="str">
        <f>Grupo!ES1</f>
        <v>Marruecos</v>
      </c>
      <c r="ET1" s="78" t="str">
        <f>Grupo!ET1</f>
        <v>Haití</v>
      </c>
      <c r="EU1" s="78" t="str">
        <f>Grupo!EU1</f>
        <v>Pts</v>
      </c>
      <c r="EV1" s="78" t="str">
        <f>Grupo!EV1</f>
        <v>Suiza</v>
      </c>
      <c r="EW1" s="78" t="str">
        <f>Grupo!EW1</f>
        <v>Canadá</v>
      </c>
      <c r="EX1" s="78" t="str">
        <f>Grupo!EX1</f>
        <v>Pts</v>
      </c>
      <c r="EY1" s="78" t="str">
        <f>Grupo!EY1</f>
        <v>Bosnia y Herzegovina</v>
      </c>
      <c r="EZ1" s="78" t="str">
        <f>Grupo!EZ1</f>
        <v>Qatar</v>
      </c>
      <c r="FA1" s="78" t="str">
        <f>Grupo!FA1</f>
        <v>Pts</v>
      </c>
      <c r="FB1" s="78" t="str">
        <f>Grupo!FB1</f>
        <v>Chequia</v>
      </c>
      <c r="FC1" s="78" t="str">
        <f>Grupo!FC1</f>
        <v>México</v>
      </c>
      <c r="FD1" s="78" t="str">
        <f>Grupo!FD1</f>
        <v>Pts</v>
      </c>
      <c r="FE1" s="78" t="str">
        <f>Grupo!FE1</f>
        <v>Sudáfrica</v>
      </c>
      <c r="FF1" s="78" t="str">
        <f>Grupo!FF1</f>
        <v>Corea República</v>
      </c>
      <c r="FG1" s="78" t="str">
        <f>Grupo!FG1</f>
        <v>Pts</v>
      </c>
      <c r="FH1" s="78" t="str">
        <f>Grupo!FH1</f>
        <v>Curazao</v>
      </c>
      <c r="FI1" s="78" t="str">
        <f>Grupo!FI1</f>
        <v>Costa de Marfil</v>
      </c>
      <c r="FJ1" s="78" t="str">
        <f>Grupo!FJ1</f>
        <v>Pts</v>
      </c>
      <c r="FK1" s="78" t="str">
        <f>Grupo!FK1</f>
        <v>Ecuador</v>
      </c>
      <c r="FL1" s="78" t="str">
        <f>Grupo!FL1</f>
        <v>Alemania</v>
      </c>
      <c r="FM1" s="78" t="str">
        <f>Grupo!FM1</f>
        <v>Pts</v>
      </c>
      <c r="FN1" s="78" t="str">
        <f>Grupo!FN1</f>
        <v>Japón</v>
      </c>
      <c r="FO1" s="78" t="str">
        <f>Grupo!FO1</f>
        <v>Suecia</v>
      </c>
      <c r="FP1" s="78" t="str">
        <f>Grupo!FP1</f>
        <v>Pts</v>
      </c>
      <c r="FQ1" s="78" t="str">
        <f>Grupo!FQ1</f>
        <v>Túnez</v>
      </c>
      <c r="FR1" s="78" t="str">
        <f>Grupo!FR1</f>
        <v>Países Bajos</v>
      </c>
      <c r="FS1" s="78" t="str">
        <f>Grupo!FS1</f>
        <v>Pts</v>
      </c>
      <c r="FT1" s="78" t="str">
        <f>Grupo!FT1</f>
        <v>Türkiye</v>
      </c>
      <c r="FU1" s="78" t="str">
        <f>Grupo!FU1</f>
        <v>Estados Unidos</v>
      </c>
      <c r="FV1" s="78" t="str">
        <f>Grupo!FV1</f>
        <v>Pts</v>
      </c>
      <c r="FW1" s="78" t="str">
        <f>Grupo!FW1</f>
        <v>Paraguay</v>
      </c>
      <c r="FX1" s="78" t="str">
        <f>Grupo!FX1</f>
        <v>Australia</v>
      </c>
      <c r="FY1" s="78" t="str">
        <f>Grupo!FY1</f>
        <v>Pts</v>
      </c>
      <c r="FZ1" s="78" t="str">
        <f>Grupo!FZ1</f>
        <v>Noruega</v>
      </c>
      <c r="GA1" s="78" t="str">
        <f>Grupo!GA1</f>
        <v>Francia</v>
      </c>
      <c r="GB1" s="78" t="str">
        <f>Grupo!GB1</f>
        <v>Pts</v>
      </c>
      <c r="GC1" s="78" t="str">
        <f>Grupo!GC1</f>
        <v>Senegal</v>
      </c>
      <c r="GD1" s="78" t="str">
        <f>Grupo!GD1</f>
        <v>Irak</v>
      </c>
      <c r="GE1" s="78" t="str">
        <f>Grupo!GE1</f>
        <v>Pts</v>
      </c>
      <c r="GF1" s="78" t="str">
        <f>Grupo!GF1</f>
        <v>Egipto</v>
      </c>
      <c r="GG1" s="78" t="str">
        <f>Grupo!GG1</f>
        <v>Irán</v>
      </c>
      <c r="GH1" s="78" t="str">
        <f>Grupo!GH1</f>
        <v>Pts</v>
      </c>
      <c r="GI1" s="78" t="str">
        <f>Grupo!GI1</f>
        <v>Nueva Zelanda</v>
      </c>
      <c r="GJ1" s="78" t="str">
        <f>Grupo!GJ1</f>
        <v>Bélgica</v>
      </c>
      <c r="GK1" s="78" t="str">
        <f>Grupo!GK1</f>
        <v>Pts</v>
      </c>
      <c r="GL1" s="78" t="str">
        <f>Grupo!GL1</f>
        <v>Cabo Verde</v>
      </c>
      <c r="GM1" s="78" t="str">
        <f>Grupo!GM1</f>
        <v>Arabia Saudita</v>
      </c>
      <c r="GN1" s="78" t="str">
        <f>Grupo!GN1</f>
        <v>Pts</v>
      </c>
      <c r="GO1" s="78" t="str">
        <f>Grupo!GO1</f>
        <v>Uruguay</v>
      </c>
      <c r="GP1" s="78" t="str">
        <f>Grupo!GP1</f>
        <v>España</v>
      </c>
      <c r="GQ1" s="78" t="str">
        <f>Grupo!GQ1</f>
        <v>Pts</v>
      </c>
      <c r="GR1" s="79" t="str">
        <f>Grupo!GR1</f>
        <v>Panamá</v>
      </c>
      <c r="GS1" s="79" t="str">
        <f>Grupo!GS1</f>
        <v>Inglaterra</v>
      </c>
      <c r="GT1" s="79" t="str">
        <f>Grupo!GT1</f>
        <v>Pts</v>
      </c>
      <c r="GU1" s="79" t="str">
        <f>Grupo!GU1</f>
        <v>Croacia</v>
      </c>
      <c r="GV1" s="79" t="str">
        <f>Grupo!GV1</f>
        <v>Ghana</v>
      </c>
      <c r="GW1" s="79" t="str">
        <f>Grupo!GW1</f>
        <v>Pts</v>
      </c>
      <c r="GX1" s="76" t="str">
        <f>Grupo!GX1</f>
        <v>Argelia</v>
      </c>
      <c r="GY1" s="76" t="str">
        <f>Grupo!GY1</f>
        <v>Austria</v>
      </c>
      <c r="GZ1" s="76" t="str">
        <f>Grupo!GZ1</f>
        <v>Pts</v>
      </c>
      <c r="HA1" s="76" t="str">
        <f>Grupo!HA1</f>
        <v>Jordania</v>
      </c>
      <c r="HB1" s="76" t="str">
        <f>Grupo!HB1</f>
        <v>Argentina</v>
      </c>
      <c r="HC1" s="76" t="str">
        <f>Grupo!HC1</f>
        <v>Pts</v>
      </c>
      <c r="HD1" s="76" t="str">
        <f>Grupo!HD1</f>
        <v>Colombia</v>
      </c>
      <c r="HE1" s="76" t="str">
        <f>Grupo!HE1</f>
        <v>Portugal</v>
      </c>
      <c r="HF1" s="76" t="str">
        <f>Grupo!HF1</f>
        <v>Pts</v>
      </c>
      <c r="HG1" s="76" t="str">
        <f>Grupo!HG1</f>
        <v>RD Congo</v>
      </c>
      <c r="HH1" s="76" t="str">
        <f>Grupo!HH1</f>
        <v>Uzbekistán</v>
      </c>
      <c r="HI1" s="76" t="str">
        <f>Grupo!HI1</f>
        <v>Pts</v>
      </c>
      <c r="HJ1" s="29" t="s">
        <v>92</v>
      </c>
    </row>
    <row r="2" spans="1:220" s="30" customFormat="1" ht="20.25" customHeight="1" thickBot="1" x14ac:dyDescent="0.35">
      <c r="A2" s="31" t="s">
        <v>127</v>
      </c>
      <c r="B2" s="28">
        <f>Grupo!B2</f>
        <v>2</v>
      </c>
      <c r="C2" s="28">
        <f>Grupo!C2</f>
        <v>0</v>
      </c>
      <c r="D2" s="28" t="str">
        <f>Grupo!D2</f>
        <v>—</v>
      </c>
      <c r="E2" s="28">
        <f>Grupo!E2</f>
        <v>2</v>
      </c>
      <c r="F2" s="28">
        <f>Grupo!F2</f>
        <v>1</v>
      </c>
      <c r="G2" s="28" t="str">
        <f>Grupo!G2</f>
        <v>—</v>
      </c>
      <c r="H2" s="28">
        <f>Grupo!H2</f>
        <v>1</v>
      </c>
      <c r="I2" s="28">
        <f>Grupo!I2</f>
        <v>1</v>
      </c>
      <c r="J2" s="28" t="str">
        <f>Grupo!J2</f>
        <v>—</v>
      </c>
      <c r="K2" s="28">
        <f>Grupo!K2</f>
        <v>4</v>
      </c>
      <c r="L2" s="28">
        <f>Grupo!L2</f>
        <v>1</v>
      </c>
      <c r="M2" s="28" t="str">
        <f>Grupo!M2</f>
        <v>—</v>
      </c>
      <c r="N2" s="28">
        <f>Grupo!N2</f>
        <v>0</v>
      </c>
      <c r="O2" s="28">
        <f>Grupo!O2</f>
        <v>1</v>
      </c>
      <c r="P2" s="28" t="str">
        <f>Grupo!P2</f>
        <v>—</v>
      </c>
      <c r="Q2" s="28">
        <f>Grupo!Q2</f>
        <v>2</v>
      </c>
      <c r="R2" s="28">
        <f>Grupo!R2</f>
        <v>0</v>
      </c>
      <c r="S2" s="28" t="str">
        <f>Grupo!S2</f>
        <v>—</v>
      </c>
      <c r="T2" s="28">
        <f>Grupo!T2</f>
        <v>1</v>
      </c>
      <c r="U2" s="28">
        <f>Grupo!U2</f>
        <v>1</v>
      </c>
      <c r="V2" s="28" t="str">
        <f>Grupo!V2</f>
        <v>—</v>
      </c>
      <c r="W2" s="28">
        <f>Grupo!W2</f>
        <v>1</v>
      </c>
      <c r="X2" s="28">
        <f>Grupo!X2</f>
        <v>1</v>
      </c>
      <c r="Y2" s="28" t="str">
        <f>Grupo!Y2</f>
        <v>—</v>
      </c>
      <c r="Z2" s="28">
        <f>Grupo!Z2</f>
        <v>1</v>
      </c>
      <c r="AA2" s="28">
        <f>Grupo!AA2</f>
        <v>0</v>
      </c>
      <c r="AB2" s="28" t="str">
        <f>Grupo!AB2</f>
        <v>—</v>
      </c>
      <c r="AC2" s="28">
        <f>Grupo!AC2</f>
        <v>7</v>
      </c>
      <c r="AD2" s="28">
        <f>Grupo!AD2</f>
        <v>1</v>
      </c>
      <c r="AE2" s="28" t="str">
        <f>Grupo!AE2</f>
        <v>—</v>
      </c>
      <c r="AF2" s="28">
        <f>Grupo!AF2</f>
        <v>2</v>
      </c>
      <c r="AG2" s="28">
        <f>Grupo!AG2</f>
        <v>2</v>
      </c>
      <c r="AH2" s="28" t="str">
        <f>Grupo!AH2</f>
        <v>—</v>
      </c>
      <c r="AI2" s="28">
        <f>Grupo!AI2</f>
        <v>5</v>
      </c>
      <c r="AJ2" s="28">
        <f>Grupo!AJ2</f>
        <v>1</v>
      </c>
      <c r="AK2" s="28" t="str">
        <f>Grupo!AK2</f>
        <v>—</v>
      </c>
      <c r="AL2" s="28">
        <f>Grupo!AL2</f>
        <v>1</v>
      </c>
      <c r="AM2" s="28">
        <f>Grupo!AM2</f>
        <v>1</v>
      </c>
      <c r="AN2" s="28" t="str">
        <f>Grupo!AN2</f>
        <v>—</v>
      </c>
      <c r="AO2" s="28">
        <f>Grupo!AO2</f>
        <v>0</v>
      </c>
      <c r="AP2" s="28">
        <f>Grupo!AP2</f>
        <v>0</v>
      </c>
      <c r="AQ2" s="28" t="str">
        <f>Grupo!AQ2</f>
        <v>—</v>
      </c>
      <c r="AR2" s="28">
        <f>Grupo!AR2</f>
        <v>2</v>
      </c>
      <c r="AS2" s="28">
        <f>Grupo!AS2</f>
        <v>2</v>
      </c>
      <c r="AT2" s="28" t="str">
        <f>Grupo!AT2</f>
        <v>—</v>
      </c>
      <c r="AU2" s="28">
        <f>Grupo!AU2</f>
        <v>1</v>
      </c>
      <c r="AV2" s="28">
        <f>Grupo!AV2</f>
        <v>1</v>
      </c>
      <c r="AW2" s="28" t="str">
        <f>Grupo!AW2</f>
        <v>—</v>
      </c>
      <c r="AX2" s="28">
        <f>Grupo!AX2</f>
        <v>3</v>
      </c>
      <c r="AY2" s="28">
        <f>Grupo!AY2</f>
        <v>1</v>
      </c>
      <c r="AZ2" s="28" t="str">
        <f>Grupo!AZ2</f>
        <v>—</v>
      </c>
      <c r="BA2" s="28">
        <f>Grupo!BA2</f>
        <v>1</v>
      </c>
      <c r="BB2" s="28">
        <f>Grupo!BB2</f>
        <v>4</v>
      </c>
      <c r="BC2" s="28" t="str">
        <f>Grupo!BC2</f>
        <v>—</v>
      </c>
      <c r="BD2" s="28">
        <f>Grupo!BD2</f>
        <v>3</v>
      </c>
      <c r="BE2" s="28">
        <f>Grupo!BE2</f>
        <v>0</v>
      </c>
      <c r="BF2" s="28" t="str">
        <f>Grupo!BF2</f>
        <v>—</v>
      </c>
      <c r="BG2" s="28">
        <f>Grupo!BG2</f>
        <v>3</v>
      </c>
      <c r="BH2" s="28">
        <f>Grupo!BH2</f>
        <v>1</v>
      </c>
      <c r="BI2" s="28" t="str">
        <f>Grupo!BI2</f>
        <v>—</v>
      </c>
      <c r="BJ2" s="28">
        <f>Grupo!BJ2</f>
        <v>1</v>
      </c>
      <c r="BK2" s="28">
        <f>Grupo!BK2</f>
        <v>0</v>
      </c>
      <c r="BL2" s="28" t="str">
        <f>Grupo!BL2</f>
        <v>—</v>
      </c>
      <c r="BM2" s="28">
        <f>Grupo!BM2</f>
        <v>4</v>
      </c>
      <c r="BN2" s="28">
        <f>Grupo!BN2</f>
        <v>2</v>
      </c>
      <c r="BO2" s="28" t="str">
        <f>Grupo!BO2</f>
        <v>—</v>
      </c>
      <c r="BP2" s="28">
        <f>Grupo!BP2</f>
        <v>1</v>
      </c>
      <c r="BQ2" s="28">
        <f>Grupo!BQ2</f>
        <v>1</v>
      </c>
      <c r="BR2" s="28" t="str">
        <f>Grupo!BR2</f>
        <v>—</v>
      </c>
      <c r="BS2" s="28">
        <f>Grupo!BS2</f>
        <v>1</v>
      </c>
      <c r="BT2" s="28">
        <f>Grupo!BT2</f>
        <v>3</v>
      </c>
      <c r="BU2" s="28" t="str">
        <f>Grupo!BU2</f>
        <v>—</v>
      </c>
      <c r="BV2" s="28">
        <f>Grupo!BV2</f>
        <v>1</v>
      </c>
      <c r="BW2" s="28">
        <f>Grupo!BW2</f>
        <v>1</v>
      </c>
      <c r="BX2" s="28" t="str">
        <f>Grupo!BX2</f>
        <v>—</v>
      </c>
      <c r="BY2" s="28">
        <f>Grupo!BY2</f>
        <v>4</v>
      </c>
      <c r="BZ2" s="28">
        <f>Grupo!BZ2</f>
        <v>1</v>
      </c>
      <c r="CA2" s="28" t="str">
        <f>Grupo!CA2</f>
        <v>—</v>
      </c>
      <c r="CB2" s="28">
        <f>Grupo!CB2</f>
        <v>6</v>
      </c>
      <c r="CC2" s="28">
        <f>Grupo!CC2</f>
        <v>0</v>
      </c>
      <c r="CD2" s="28" t="str">
        <f>Grupo!CD2</f>
        <v>—</v>
      </c>
      <c r="CE2" s="28">
        <f>Grupo!CE2</f>
        <v>1</v>
      </c>
      <c r="CF2" s="28">
        <f>Grupo!CF2</f>
        <v>0</v>
      </c>
      <c r="CG2" s="28" t="str">
        <f>Grupo!CG2</f>
        <v>—</v>
      </c>
      <c r="CH2" s="28">
        <f>Grupo!CH2</f>
        <v>3</v>
      </c>
      <c r="CI2" s="28">
        <f>Grupo!CI2</f>
        <v>0</v>
      </c>
      <c r="CJ2" s="28" t="str">
        <f>Grupo!CJ2</f>
        <v>—</v>
      </c>
      <c r="CK2" s="28">
        <f>Grupo!CK2</f>
        <v>0</v>
      </c>
      <c r="CL2" s="28">
        <f>Grupo!CL2</f>
        <v>1</v>
      </c>
      <c r="CM2" s="28" t="str">
        <f>Grupo!CM2</f>
        <v>—</v>
      </c>
      <c r="CN2" s="28">
        <f>Grupo!CN2</f>
        <v>0</v>
      </c>
      <c r="CO2" s="28">
        <f>Grupo!CO2</f>
        <v>1</v>
      </c>
      <c r="CP2" s="28" t="str">
        <f>Grupo!CP2</f>
        <v>—</v>
      </c>
      <c r="CQ2" s="28">
        <f>Grupo!CQ2</f>
        <v>2</v>
      </c>
      <c r="CR2" s="28">
        <f>Grupo!CR2</f>
        <v>0</v>
      </c>
      <c r="CS2" s="28" t="str">
        <f>Grupo!CS2</f>
        <v>—</v>
      </c>
      <c r="CT2" s="28">
        <f>Grupo!CT2</f>
        <v>2</v>
      </c>
      <c r="CU2" s="28">
        <f>Grupo!CU2</f>
        <v>1</v>
      </c>
      <c r="CV2" s="28" t="str">
        <f>Grupo!CV2</f>
        <v>—</v>
      </c>
      <c r="CW2" s="28">
        <f>Grupo!CW2</f>
        <v>0</v>
      </c>
      <c r="CX2" s="28">
        <f>Grupo!CX2</f>
        <v>0</v>
      </c>
      <c r="CY2" s="28" t="str">
        <f>Grupo!CY2</f>
        <v>—</v>
      </c>
      <c r="CZ2" s="28">
        <f>Grupo!CZ2</f>
        <v>5</v>
      </c>
      <c r="DA2" s="28">
        <f>Grupo!DA2</f>
        <v>1</v>
      </c>
      <c r="DB2" s="28" t="str">
        <f>Grupo!DB2</f>
        <v>—</v>
      </c>
      <c r="DC2" s="28">
        <f>Grupo!DC2</f>
        <v>0</v>
      </c>
      <c r="DD2" s="28">
        <f>Grupo!DD2</f>
        <v>4</v>
      </c>
      <c r="DE2" s="28" t="str">
        <f>Grupo!DE2</f>
        <v>—</v>
      </c>
      <c r="DF2" s="28">
        <f>Grupo!DF2</f>
        <v>2</v>
      </c>
      <c r="DG2" s="28">
        <f>Grupo!DG2</f>
        <v>2</v>
      </c>
      <c r="DH2" s="28" t="str">
        <f>Grupo!DH2</f>
        <v>—</v>
      </c>
      <c r="DI2" s="28">
        <f>Grupo!DI2</f>
        <v>4</v>
      </c>
      <c r="DJ2" s="28">
        <f>Grupo!DJ2</f>
        <v>0</v>
      </c>
      <c r="DK2" s="28" t="str">
        <f>Grupo!DK2</f>
        <v>—</v>
      </c>
      <c r="DL2" s="28">
        <f>Grupo!DL2</f>
        <v>0</v>
      </c>
      <c r="DM2" s="28">
        <f>Grupo!DM2</f>
        <v>0</v>
      </c>
      <c r="DN2" s="28" t="str">
        <f>Grupo!DN2</f>
        <v>—</v>
      </c>
      <c r="DO2" s="28">
        <f>Grupo!DO2</f>
        <v>1</v>
      </c>
      <c r="DP2" s="28">
        <f>Grupo!DP2</f>
        <v>3</v>
      </c>
      <c r="DQ2" s="28" t="str">
        <f>Grupo!DQ2</f>
        <v>—</v>
      </c>
      <c r="DR2" s="28">
        <f>Grupo!DR2</f>
        <v>3</v>
      </c>
      <c r="DS2" s="28">
        <f>Grupo!DS2</f>
        <v>2</v>
      </c>
      <c r="DT2" s="28" t="str">
        <f>Grupo!DT2</f>
        <v>—</v>
      </c>
      <c r="DU2" s="28">
        <f>Grupo!DU2</f>
        <v>3</v>
      </c>
      <c r="DV2" s="28">
        <f>Grupo!DV2</f>
        <v>0</v>
      </c>
      <c r="DW2" s="28" t="str">
        <f>Grupo!DW2</f>
        <v>—</v>
      </c>
      <c r="DX2" s="28">
        <f>Grupo!DX2</f>
        <v>2</v>
      </c>
      <c r="DY2" s="28">
        <f>Grupo!DY2</f>
        <v>0</v>
      </c>
      <c r="DZ2" s="28" t="str">
        <f>Grupo!DZ2</f>
        <v>—</v>
      </c>
      <c r="EA2" s="70">
        <f>Grupo!EA2</f>
        <v>1</v>
      </c>
      <c r="EB2" s="70">
        <f>Grupo!EB2</f>
        <v>2</v>
      </c>
      <c r="EC2" s="70" t="str">
        <f>Grupo!EC2</f>
        <v>—</v>
      </c>
      <c r="ED2" s="70">
        <f>Grupo!ED2</f>
        <v>0</v>
      </c>
      <c r="EE2" s="70">
        <f>Grupo!EE2</f>
        <v>0</v>
      </c>
      <c r="EF2" s="70" t="str">
        <f>Grupo!EF2</f>
        <v>—</v>
      </c>
      <c r="EG2" s="70">
        <f>Grupo!EG2</f>
        <v>0</v>
      </c>
      <c r="EH2" s="70">
        <f>Grupo!EH2</f>
        <v>1</v>
      </c>
      <c r="EI2" s="70" t="str">
        <f>Grupo!EI2</f>
        <v>—</v>
      </c>
      <c r="EJ2" s="70">
        <f>Grupo!EJ2</f>
        <v>5</v>
      </c>
      <c r="EK2" s="70">
        <f>Grupo!EK2</f>
        <v>0</v>
      </c>
      <c r="EL2" s="70" t="str">
        <f>Grupo!EL2</f>
        <v>—</v>
      </c>
      <c r="EM2" s="70">
        <f>Grupo!EM2</f>
        <v>1</v>
      </c>
      <c r="EN2" s="70">
        <f>Grupo!EN2</f>
        <v>0</v>
      </c>
      <c r="EO2" s="70" t="str">
        <f>Grupo!EO2</f>
        <v>—</v>
      </c>
      <c r="EP2" s="78">
        <f>Grupo!EP2</f>
        <v>0</v>
      </c>
      <c r="EQ2" s="78">
        <f>Grupo!EQ2</f>
        <v>3</v>
      </c>
      <c r="ER2" s="78" t="str">
        <f>Grupo!ER2</f>
        <v>—</v>
      </c>
      <c r="ES2" s="78">
        <f>Grupo!ES2</f>
        <v>4</v>
      </c>
      <c r="ET2" s="78">
        <f>Grupo!ET2</f>
        <v>2</v>
      </c>
      <c r="EU2" s="78" t="str">
        <f>Grupo!EU2</f>
        <v>—</v>
      </c>
      <c r="EV2" s="78">
        <f>Grupo!EV2</f>
        <v>2</v>
      </c>
      <c r="EW2" s="78">
        <f>Grupo!EW2</f>
        <v>1</v>
      </c>
      <c r="EX2" s="78" t="str">
        <f>Grupo!EX2</f>
        <v>—</v>
      </c>
      <c r="EY2" s="78">
        <f>Grupo!EY2</f>
        <v>3</v>
      </c>
      <c r="EZ2" s="78">
        <f>Grupo!EZ2</f>
        <v>1</v>
      </c>
      <c r="FA2" s="78" t="str">
        <f>Grupo!FA2</f>
        <v>—</v>
      </c>
      <c r="FB2" s="78">
        <f>Grupo!FB2</f>
        <v>0</v>
      </c>
      <c r="FC2" s="78">
        <f>Grupo!FC2</f>
        <v>3</v>
      </c>
      <c r="FD2" s="78" t="str">
        <f>Grupo!FD2</f>
        <v>—</v>
      </c>
      <c r="FE2" s="78">
        <f>Grupo!FE2</f>
        <v>1</v>
      </c>
      <c r="FF2" s="78">
        <f>Grupo!FF2</f>
        <v>0</v>
      </c>
      <c r="FG2" s="78" t="str">
        <f>Grupo!FG2</f>
        <v>—</v>
      </c>
      <c r="FH2" s="78">
        <f>Grupo!FH2</f>
        <v>0</v>
      </c>
      <c r="FI2" s="78">
        <f>Grupo!FI2</f>
        <v>2</v>
      </c>
      <c r="FJ2" s="78" t="str">
        <f>Grupo!FJ2</f>
        <v>—</v>
      </c>
      <c r="FK2" s="78">
        <f>Grupo!FK2</f>
        <v>2</v>
      </c>
      <c r="FL2" s="78">
        <f>Grupo!FL2</f>
        <v>1</v>
      </c>
      <c r="FM2" s="78" t="str">
        <f>Grupo!FM2</f>
        <v>—</v>
      </c>
      <c r="FN2" s="78">
        <f>Grupo!FN2</f>
        <v>1</v>
      </c>
      <c r="FO2" s="78">
        <f>Grupo!FO2</f>
        <v>1</v>
      </c>
      <c r="FP2" s="78" t="str">
        <f>Grupo!FP2</f>
        <v>—</v>
      </c>
      <c r="FQ2" s="78">
        <f>Grupo!FQ2</f>
        <v>1</v>
      </c>
      <c r="FR2" s="78">
        <f>Grupo!FR2</f>
        <v>3</v>
      </c>
      <c r="FS2" s="78" t="str">
        <f>Grupo!FS2</f>
        <v>—</v>
      </c>
      <c r="FT2" s="78">
        <f>Grupo!FT2</f>
        <v>3</v>
      </c>
      <c r="FU2" s="78">
        <f>Grupo!FU2</f>
        <v>2</v>
      </c>
      <c r="FV2" s="78" t="str">
        <f>Grupo!FV2</f>
        <v>—</v>
      </c>
      <c r="FW2" s="78">
        <f>Grupo!FW2</f>
        <v>0</v>
      </c>
      <c r="FX2" s="78">
        <f>Grupo!FX2</f>
        <v>0</v>
      </c>
      <c r="FY2" s="78" t="str">
        <f>Grupo!FY2</f>
        <v>—</v>
      </c>
      <c r="FZ2" s="78">
        <f>Grupo!FZ2</f>
        <v>1</v>
      </c>
      <c r="GA2" s="78">
        <f>Grupo!GA2</f>
        <v>4</v>
      </c>
      <c r="GB2" s="78" t="str">
        <f>Grupo!GB2</f>
        <v>—</v>
      </c>
      <c r="GC2" s="78">
        <f>Grupo!GC2</f>
        <v>5</v>
      </c>
      <c r="GD2" s="78">
        <f>Grupo!GD2</f>
        <v>0</v>
      </c>
      <c r="GE2" s="78" t="str">
        <f>Grupo!GE2</f>
        <v>—</v>
      </c>
      <c r="GF2" s="78">
        <f>Grupo!GF2</f>
        <v>1</v>
      </c>
      <c r="GG2" s="78">
        <f>Grupo!GG2</f>
        <v>1</v>
      </c>
      <c r="GH2" s="78" t="str">
        <f>Grupo!GH2</f>
        <v>—</v>
      </c>
      <c r="GI2" s="78">
        <f>Grupo!GI2</f>
        <v>1</v>
      </c>
      <c r="GJ2" s="78">
        <f>Grupo!GJ2</f>
        <v>5</v>
      </c>
      <c r="GK2" s="78" t="str">
        <f>Grupo!GK2</f>
        <v>—</v>
      </c>
      <c r="GL2" s="78">
        <f>Grupo!GL2</f>
        <v>0</v>
      </c>
      <c r="GM2" s="78">
        <f>Grupo!GM2</f>
        <v>0</v>
      </c>
      <c r="GN2" s="78" t="str">
        <f>Grupo!GN2</f>
        <v>—</v>
      </c>
      <c r="GO2" s="78">
        <f>Grupo!GO2</f>
        <v>0</v>
      </c>
      <c r="GP2" s="78">
        <f>Grupo!GP2</f>
        <v>1</v>
      </c>
      <c r="GQ2" s="78" t="str">
        <f>Grupo!GQ2</f>
        <v>—</v>
      </c>
      <c r="GR2" s="79" t="str">
        <f>Grupo!GR2</f>
        <v/>
      </c>
      <c r="GS2" s="79" t="str">
        <f>Grupo!GS2</f>
        <v/>
      </c>
      <c r="GT2" s="79" t="str">
        <f>Grupo!GT2</f>
        <v>—</v>
      </c>
      <c r="GU2" s="79" t="str">
        <f>Grupo!GU2</f>
        <v/>
      </c>
      <c r="GV2" s="79" t="str">
        <f>Grupo!GV2</f>
        <v/>
      </c>
      <c r="GW2" s="79" t="str">
        <f>Grupo!GW2</f>
        <v>—</v>
      </c>
      <c r="GX2" s="76" t="str">
        <f>Grupo!GX2</f>
        <v/>
      </c>
      <c r="GY2" s="76" t="str">
        <f>Grupo!GY2</f>
        <v/>
      </c>
      <c r="GZ2" s="76" t="str">
        <f>Grupo!GZ2</f>
        <v>—</v>
      </c>
      <c r="HA2" s="76" t="str">
        <f>Grupo!HA2</f>
        <v/>
      </c>
      <c r="HB2" s="76" t="str">
        <f>Grupo!HB2</f>
        <v/>
      </c>
      <c r="HC2" s="76" t="str">
        <f>Grupo!HC2</f>
        <v>—</v>
      </c>
      <c r="HD2" s="76" t="str">
        <f>Grupo!HD2</f>
        <v/>
      </c>
      <c r="HE2" s="76" t="str">
        <f>Grupo!HE2</f>
        <v/>
      </c>
      <c r="HF2" s="76" t="str">
        <f>Grupo!HF2</f>
        <v>—</v>
      </c>
      <c r="HG2" s="76" t="str">
        <f>Grupo!HG2</f>
        <v/>
      </c>
      <c r="HH2" s="76" t="str">
        <f>Grupo!HH2</f>
        <v/>
      </c>
      <c r="HI2" s="76" t="str">
        <f>Grupo!HI2</f>
        <v>—</v>
      </c>
      <c r="HJ2" s="32"/>
      <c r="HK2" s="33" t="s">
        <v>127</v>
      </c>
      <c r="HL2" s="33"/>
    </row>
    <row r="3" spans="1:220" ht="20.25" customHeight="1" thickBot="1" x14ac:dyDescent="0.35">
      <c r="A3" s="34" t="str">
        <f>Grupo!A3</f>
        <v>Alberto</v>
      </c>
      <c r="B3" s="28">
        <f>Grupo!B3</f>
        <v>1</v>
      </c>
      <c r="C3" s="28">
        <f>Grupo!C3</f>
        <v>1</v>
      </c>
      <c r="D3" s="28">
        <f>Grupo!D3</f>
        <v>0</v>
      </c>
      <c r="E3" s="28">
        <f>Grupo!E3</f>
        <v>2</v>
      </c>
      <c r="F3" s="28">
        <f>Grupo!F3</f>
        <v>0</v>
      </c>
      <c r="G3" s="28">
        <f>Grupo!G3</f>
        <v>1</v>
      </c>
      <c r="H3" s="28">
        <f>Grupo!H3</f>
        <v>2</v>
      </c>
      <c r="I3" s="28">
        <f>Grupo!I3</f>
        <v>1</v>
      </c>
      <c r="J3" s="28">
        <f>Grupo!J3</f>
        <v>0</v>
      </c>
      <c r="K3" s="28">
        <f>Grupo!K3</f>
        <v>1</v>
      </c>
      <c r="L3" s="28">
        <f>Grupo!L3</f>
        <v>3</v>
      </c>
      <c r="M3" s="28">
        <f>Grupo!M3</f>
        <v>0</v>
      </c>
      <c r="N3" s="28">
        <f>Grupo!N3</f>
        <v>0</v>
      </c>
      <c r="O3" s="28">
        <f>Grupo!O3</f>
        <v>2</v>
      </c>
      <c r="P3" s="28">
        <f>Grupo!P3</f>
        <v>1</v>
      </c>
      <c r="Q3" s="28">
        <f>Grupo!Q3</f>
        <v>0</v>
      </c>
      <c r="R3" s="28">
        <f>Grupo!R3</f>
        <v>1</v>
      </c>
      <c r="S3" s="28">
        <f>Grupo!S3</f>
        <v>0</v>
      </c>
      <c r="T3" s="28">
        <f>Grupo!T3</f>
        <v>1</v>
      </c>
      <c r="U3" s="28">
        <f>Grupo!U3</f>
        <v>2</v>
      </c>
      <c r="V3" s="28">
        <f>Grupo!V3</f>
        <v>0</v>
      </c>
      <c r="W3" s="28">
        <f>Grupo!W3</f>
        <v>0</v>
      </c>
      <c r="X3" s="28">
        <f>Grupo!X3</f>
        <v>2</v>
      </c>
      <c r="Y3" s="28">
        <f>Grupo!Y3</f>
        <v>0</v>
      </c>
      <c r="Z3" s="28">
        <f>Grupo!Z3</f>
        <v>1</v>
      </c>
      <c r="AA3" s="28">
        <f>Grupo!AA3</f>
        <v>2</v>
      </c>
      <c r="AB3" s="28">
        <f>Grupo!AB3</f>
        <v>0</v>
      </c>
      <c r="AC3" s="28">
        <f>Grupo!AC3</f>
        <v>5</v>
      </c>
      <c r="AD3" s="28">
        <f>Grupo!AD3</f>
        <v>0</v>
      </c>
      <c r="AE3" s="28">
        <f>Grupo!AE3</f>
        <v>1</v>
      </c>
      <c r="AF3" s="28">
        <f>Grupo!AF3</f>
        <v>3</v>
      </c>
      <c r="AG3" s="28">
        <f>Grupo!AG3</f>
        <v>0</v>
      </c>
      <c r="AH3" s="28">
        <f>Grupo!AH3</f>
        <v>0</v>
      </c>
      <c r="AI3" s="28">
        <f>Grupo!AI3</f>
        <v>1</v>
      </c>
      <c r="AJ3" s="28">
        <f>Grupo!AJ3</f>
        <v>1</v>
      </c>
      <c r="AK3" s="28">
        <f>Grupo!AK3</f>
        <v>0</v>
      </c>
      <c r="AL3" s="28">
        <f>Grupo!AL3</f>
        <v>0</v>
      </c>
      <c r="AM3" s="28">
        <f>Grupo!AM3</f>
        <v>2</v>
      </c>
      <c r="AN3" s="28">
        <f>Grupo!AN3</f>
        <v>0</v>
      </c>
      <c r="AO3" s="28">
        <f>Grupo!AO3</f>
        <v>6</v>
      </c>
      <c r="AP3" s="28">
        <f>Grupo!AP3</f>
        <v>0</v>
      </c>
      <c r="AQ3" s="28">
        <f>Grupo!AQ3</f>
        <v>0</v>
      </c>
      <c r="AR3" s="28">
        <f>Grupo!AR3</f>
        <v>0</v>
      </c>
      <c r="AS3" s="28">
        <f>Grupo!AS3</f>
        <v>0</v>
      </c>
      <c r="AT3" s="28">
        <f>Grupo!AT3</f>
        <v>1</v>
      </c>
      <c r="AU3" s="28">
        <f>Grupo!AU3</f>
        <v>2</v>
      </c>
      <c r="AV3" s="28">
        <f>Grupo!AV3</f>
        <v>0</v>
      </c>
      <c r="AW3" s="28">
        <f>Grupo!AW3</f>
        <v>0</v>
      </c>
      <c r="AX3" s="28">
        <f>Grupo!AX3</f>
        <v>4</v>
      </c>
      <c r="AY3" s="28">
        <f>Grupo!AY3</f>
        <v>0</v>
      </c>
      <c r="AZ3" s="28">
        <f>Grupo!AZ3</f>
        <v>1</v>
      </c>
      <c r="BA3" s="28">
        <f>Grupo!BA3</f>
        <v>0</v>
      </c>
      <c r="BB3" s="28">
        <f>Grupo!BB3</f>
        <v>4</v>
      </c>
      <c r="BC3" s="28">
        <f>Grupo!BC3</f>
        <v>1</v>
      </c>
      <c r="BD3" s="28">
        <f>Grupo!BD3</f>
        <v>4</v>
      </c>
      <c r="BE3" s="28">
        <f>Grupo!BE3</f>
        <v>0</v>
      </c>
      <c r="BF3" s="28">
        <f>Grupo!BF3</f>
        <v>1</v>
      </c>
      <c r="BG3" s="28">
        <f>Grupo!BG3</f>
        <v>1</v>
      </c>
      <c r="BH3" s="28">
        <f>Grupo!BH3</f>
        <v>0</v>
      </c>
      <c r="BI3" s="28">
        <f>Grupo!BI3</f>
        <v>1</v>
      </c>
      <c r="BJ3" s="28">
        <f>Grupo!BJ3</f>
        <v>2</v>
      </c>
      <c r="BK3" s="28">
        <f>Grupo!BK3</f>
        <v>1</v>
      </c>
      <c r="BL3" s="28">
        <f>Grupo!BL3</f>
        <v>1</v>
      </c>
      <c r="BM3" s="28">
        <f>Grupo!BM3</f>
        <v>4</v>
      </c>
      <c r="BN3" s="28">
        <f>Grupo!BN3</f>
        <v>2</v>
      </c>
      <c r="BO3" s="28">
        <f>Grupo!BO3</f>
        <v>3</v>
      </c>
      <c r="BP3" s="28">
        <f>Grupo!BP3</f>
        <v>5</v>
      </c>
      <c r="BQ3" s="28">
        <f>Grupo!BQ3</f>
        <v>0</v>
      </c>
      <c r="BR3" s="28">
        <f>Grupo!BR3</f>
        <v>0</v>
      </c>
      <c r="BS3" s="28">
        <f>Grupo!BS3</f>
        <v>0</v>
      </c>
      <c r="BT3" s="28">
        <f>Grupo!BT3</f>
        <v>3</v>
      </c>
      <c r="BU3" s="28">
        <f>Grupo!BU3</f>
        <v>1</v>
      </c>
      <c r="BV3" s="28">
        <f>Grupo!BV3</f>
        <v>0</v>
      </c>
      <c r="BW3" s="28">
        <f>Grupo!BW3</f>
        <v>1</v>
      </c>
      <c r="BX3" s="28">
        <f>Grupo!BX3</f>
        <v>0</v>
      </c>
      <c r="BY3" s="28">
        <f>Grupo!BY3</f>
        <v>1</v>
      </c>
      <c r="BZ3" s="28">
        <f>Grupo!BZ3</f>
        <v>0</v>
      </c>
      <c r="CA3" s="28">
        <f>Grupo!CA3</f>
        <v>1</v>
      </c>
      <c r="CB3" s="28">
        <f>Grupo!CB3</f>
        <v>3</v>
      </c>
      <c r="CC3" s="28">
        <f>Grupo!CC3</f>
        <v>1</v>
      </c>
      <c r="CD3" s="28">
        <f>Grupo!CD3</f>
        <v>1</v>
      </c>
      <c r="CE3" s="28">
        <f>Grupo!CE3</f>
        <v>1</v>
      </c>
      <c r="CF3" s="28">
        <f>Grupo!CF3</f>
        <v>0</v>
      </c>
      <c r="CG3" s="28">
        <f>Grupo!CG3</f>
        <v>3</v>
      </c>
      <c r="CH3" s="28">
        <f>Grupo!CH3</f>
        <v>5</v>
      </c>
      <c r="CI3" s="28">
        <f>Grupo!CI3</f>
        <v>0</v>
      </c>
      <c r="CJ3" s="28">
        <f>Grupo!CJ3</f>
        <v>1</v>
      </c>
      <c r="CK3" s="28">
        <f>Grupo!CK3</f>
        <v>0</v>
      </c>
      <c r="CL3" s="28">
        <f>Grupo!CL3</f>
        <v>3</v>
      </c>
      <c r="CM3" s="28">
        <f>Grupo!CM3</f>
        <v>1</v>
      </c>
      <c r="CN3" s="28">
        <f>Grupo!CN3</f>
        <v>2</v>
      </c>
      <c r="CO3" s="28">
        <f>Grupo!CO3</f>
        <v>3</v>
      </c>
      <c r="CP3" s="28">
        <f>Grupo!CP3</f>
        <v>1</v>
      </c>
      <c r="CQ3" s="28">
        <f>Grupo!CQ3</f>
        <v>2</v>
      </c>
      <c r="CR3" s="28">
        <f>Grupo!CR3</f>
        <v>1</v>
      </c>
      <c r="CS3" s="28">
        <f>Grupo!CS3</f>
        <v>1</v>
      </c>
      <c r="CT3" s="28">
        <f>Grupo!CT3</f>
        <v>4</v>
      </c>
      <c r="CU3" s="28">
        <f>Grupo!CU3</f>
        <v>0</v>
      </c>
      <c r="CV3" s="28">
        <f>Grupo!CV3</f>
        <v>1</v>
      </c>
      <c r="CW3" s="28">
        <f>Grupo!CW3</f>
        <v>4</v>
      </c>
      <c r="CX3" s="28">
        <f>Grupo!CX3</f>
        <v>0</v>
      </c>
      <c r="CY3" s="28">
        <f>Grupo!CY3</f>
        <v>0</v>
      </c>
      <c r="CZ3" s="28">
        <f>Grupo!CZ3</f>
        <v>3</v>
      </c>
      <c r="DA3" s="28">
        <f>Grupo!DA3</f>
        <v>1</v>
      </c>
      <c r="DB3" s="28">
        <f>Grupo!DB3</f>
        <v>1</v>
      </c>
      <c r="DC3" s="28">
        <f>Grupo!DC3</f>
        <v>0</v>
      </c>
      <c r="DD3" s="28">
        <f>Grupo!DD3</f>
        <v>2</v>
      </c>
      <c r="DE3" s="28">
        <f>Grupo!DE3</f>
        <v>1</v>
      </c>
      <c r="DF3" s="28">
        <f>Grupo!DF3</f>
        <v>4</v>
      </c>
      <c r="DG3" s="28">
        <f>Grupo!DG3</f>
        <v>0</v>
      </c>
      <c r="DH3" s="28">
        <f>Grupo!DH3</f>
        <v>0</v>
      </c>
      <c r="DI3" s="28">
        <f>Grupo!DI3</f>
        <v>5</v>
      </c>
      <c r="DJ3" s="28">
        <f>Grupo!DJ3</f>
        <v>0</v>
      </c>
      <c r="DK3" s="28">
        <f>Grupo!DK3</f>
        <v>1</v>
      </c>
      <c r="DL3" s="28">
        <f>Grupo!DL3</f>
        <v>3</v>
      </c>
      <c r="DM3" s="28">
        <f>Grupo!DM3</f>
        <v>0</v>
      </c>
      <c r="DN3" s="28">
        <f>Grupo!DN3</f>
        <v>0</v>
      </c>
      <c r="DO3" s="28">
        <f>Grupo!DO3</f>
        <v>1</v>
      </c>
      <c r="DP3" s="28">
        <f>Grupo!DP3</f>
        <v>2</v>
      </c>
      <c r="DQ3" s="28">
        <f>Grupo!DQ3</f>
        <v>1</v>
      </c>
      <c r="DR3" s="28">
        <f>Grupo!DR3</f>
        <v>2</v>
      </c>
      <c r="DS3" s="28">
        <f>Grupo!DS3</f>
        <v>2</v>
      </c>
      <c r="DT3" s="28">
        <f>Grupo!DT3</f>
        <v>0</v>
      </c>
      <c r="DU3" s="28">
        <f>Grupo!DU3</f>
        <v>5</v>
      </c>
      <c r="DV3" s="28">
        <f>Grupo!DV3</f>
        <v>0</v>
      </c>
      <c r="DW3" s="28">
        <f>Grupo!DW3</f>
        <v>1</v>
      </c>
      <c r="DX3" s="28">
        <f>Grupo!DX3</f>
        <v>3</v>
      </c>
      <c r="DY3" s="28">
        <f>Grupo!DY3</f>
        <v>0</v>
      </c>
      <c r="DZ3" s="28">
        <f>Grupo!DZ3</f>
        <v>1</v>
      </c>
      <c r="EA3" s="70">
        <f>Grupo!EA3</f>
        <v>0</v>
      </c>
      <c r="EB3" s="70">
        <f>Grupo!EB3</f>
        <v>0</v>
      </c>
      <c r="EC3" s="70">
        <f>Grupo!EC3</f>
        <v>0</v>
      </c>
      <c r="ED3" s="70">
        <f>Grupo!ED3</f>
        <v>5</v>
      </c>
      <c r="EE3" s="70">
        <f>Grupo!EE3</f>
        <v>0</v>
      </c>
      <c r="EF3" s="70">
        <f>Grupo!EF3</f>
        <v>0</v>
      </c>
      <c r="EG3" s="70">
        <f>Grupo!EG3</f>
        <v>0</v>
      </c>
      <c r="EH3" s="70">
        <f>Grupo!EH3</f>
        <v>4</v>
      </c>
      <c r="EI3" s="70">
        <f>Grupo!EI3</f>
        <v>1</v>
      </c>
      <c r="EJ3" s="70">
        <f>Grupo!EJ3</f>
        <v>5</v>
      </c>
      <c r="EK3" s="70">
        <f>Grupo!EK3</f>
        <v>0</v>
      </c>
      <c r="EL3" s="70">
        <f>Grupo!EL3</f>
        <v>3</v>
      </c>
      <c r="EM3" s="70">
        <f>Grupo!EM3</f>
        <v>2</v>
      </c>
      <c r="EN3" s="70">
        <f>Grupo!EN3</f>
        <v>1</v>
      </c>
      <c r="EO3" s="70">
        <f>Grupo!EO3</f>
        <v>1</v>
      </c>
      <c r="EP3" s="78">
        <f>Grupo!EP3</f>
        <v>0</v>
      </c>
      <c r="EQ3" s="78">
        <f>Grupo!EQ3</f>
        <v>4</v>
      </c>
      <c r="ER3" s="78">
        <f>Grupo!ER3</f>
        <v>1</v>
      </c>
      <c r="ES3" s="78">
        <f>Grupo!ES3</f>
        <v>4</v>
      </c>
      <c r="ET3" s="78">
        <f>Grupo!ET3</f>
        <v>0</v>
      </c>
      <c r="EU3" s="78">
        <f>Grupo!EU3</f>
        <v>1</v>
      </c>
      <c r="EV3" s="78">
        <f>Grupo!EV3</f>
        <v>3</v>
      </c>
      <c r="EW3" s="78">
        <f>Grupo!EW3</f>
        <v>2</v>
      </c>
      <c r="EX3" s="78">
        <f>Grupo!EX3</f>
        <v>1</v>
      </c>
      <c r="EY3" s="78">
        <f>Grupo!EY3</f>
        <v>1</v>
      </c>
      <c r="EZ3" s="78">
        <f>Grupo!EZ3</f>
        <v>1</v>
      </c>
      <c r="FA3" s="78">
        <f>Grupo!FA3</f>
        <v>0</v>
      </c>
      <c r="FB3" s="78">
        <f>Grupo!FB3</f>
        <v>1</v>
      </c>
      <c r="FC3" s="78">
        <f>Grupo!FC3</f>
        <v>3</v>
      </c>
      <c r="FD3" s="78">
        <f>Grupo!FD3</f>
        <v>1</v>
      </c>
      <c r="FE3" s="78">
        <f>Grupo!FE3</f>
        <v>0</v>
      </c>
      <c r="FF3" s="78">
        <f>Grupo!FF3</f>
        <v>1</v>
      </c>
      <c r="FG3" s="78">
        <f>Grupo!FG3</f>
        <v>0</v>
      </c>
      <c r="FH3" s="78">
        <f>Grupo!FH3</f>
        <v>0</v>
      </c>
      <c r="FI3" s="78">
        <f>Grupo!FI3</f>
        <v>2</v>
      </c>
      <c r="FJ3" s="78">
        <f>Grupo!FJ3</f>
        <v>3</v>
      </c>
      <c r="FK3" s="78">
        <f>Grupo!FK3</f>
        <v>2</v>
      </c>
      <c r="FL3" s="78">
        <f>Grupo!FL3</f>
        <v>4</v>
      </c>
      <c r="FM3" s="78">
        <f>Grupo!FM3</f>
        <v>0</v>
      </c>
      <c r="FN3" s="78">
        <f>Grupo!FN3</f>
        <v>2</v>
      </c>
      <c r="FO3" s="78">
        <f>Grupo!FO3</f>
        <v>2</v>
      </c>
      <c r="FP3" s="78">
        <f>Grupo!FP3</f>
        <v>1</v>
      </c>
      <c r="FQ3" s="78">
        <f>Grupo!FQ3</f>
        <v>0</v>
      </c>
      <c r="FR3" s="78">
        <f>Grupo!FR3</f>
        <v>3</v>
      </c>
      <c r="FS3" s="78">
        <f>Grupo!FS3</f>
        <v>1</v>
      </c>
      <c r="FT3" s="78">
        <f>Grupo!FT3</f>
        <v>1</v>
      </c>
      <c r="FU3" s="78">
        <f>Grupo!FU3</f>
        <v>0</v>
      </c>
      <c r="FV3" s="78">
        <f>Grupo!FV3</f>
        <v>1</v>
      </c>
      <c r="FW3" s="78">
        <f>Grupo!FW3</f>
        <v>1</v>
      </c>
      <c r="FX3" s="78">
        <f>Grupo!FX3</f>
        <v>0</v>
      </c>
      <c r="FY3" s="78">
        <f>Grupo!FY3</f>
        <v>0</v>
      </c>
      <c r="FZ3" s="78">
        <f>Grupo!FZ3</f>
        <v>1</v>
      </c>
      <c r="GA3" s="78">
        <f>Grupo!GA3</f>
        <v>3</v>
      </c>
      <c r="GB3" s="78">
        <f>Grupo!GB3</f>
        <v>1</v>
      </c>
      <c r="GC3" s="78">
        <f>Grupo!GC3</f>
        <v>2</v>
      </c>
      <c r="GD3" s="78">
        <f>Grupo!GD3</f>
        <v>0</v>
      </c>
      <c r="GE3" s="78">
        <f>Grupo!GE3</f>
        <v>1</v>
      </c>
      <c r="GF3" s="78">
        <f>Grupo!GF3</f>
        <v>2</v>
      </c>
      <c r="GG3" s="78">
        <f>Grupo!GG3</f>
        <v>1</v>
      </c>
      <c r="GH3" s="78">
        <f>Grupo!GH3</f>
        <v>0</v>
      </c>
      <c r="GI3" s="78">
        <f>Grupo!GI3</f>
        <v>0</v>
      </c>
      <c r="GJ3" s="78">
        <f>Grupo!GJ3</f>
        <v>4</v>
      </c>
      <c r="GK3" s="78">
        <f>Grupo!GK3</f>
        <v>1</v>
      </c>
      <c r="GL3" s="78">
        <f>Grupo!GL3</f>
        <v>0</v>
      </c>
      <c r="GM3" s="78">
        <f>Grupo!GM3</f>
        <v>1</v>
      </c>
      <c r="GN3" s="78">
        <f>Grupo!GN3</f>
        <v>0</v>
      </c>
      <c r="GO3" s="78">
        <f>Grupo!GO3</f>
        <v>1</v>
      </c>
      <c r="GP3" s="78">
        <f>Grupo!GP3</f>
        <v>2</v>
      </c>
      <c r="GQ3" s="78">
        <f>Grupo!GQ3</f>
        <v>1</v>
      </c>
      <c r="GR3" s="79">
        <f>Grupo!GR3</f>
        <v>0</v>
      </c>
      <c r="GS3" s="79">
        <f>Grupo!GS3</f>
        <v>6</v>
      </c>
      <c r="GT3" s="79" t="str">
        <f>Grupo!GT3</f>
        <v/>
      </c>
      <c r="GU3" s="79">
        <f>Grupo!GU3</f>
        <v>3</v>
      </c>
      <c r="GV3" s="79">
        <f>Grupo!GV3</f>
        <v>0</v>
      </c>
      <c r="GW3" s="79" t="str">
        <f>Grupo!GW3</f>
        <v/>
      </c>
      <c r="GX3" s="76">
        <f>Grupo!GX3</f>
        <v>0</v>
      </c>
      <c r="GY3" s="76">
        <f>Grupo!GY3</f>
        <v>0</v>
      </c>
      <c r="GZ3" s="76" t="str">
        <f>Grupo!GZ3</f>
        <v/>
      </c>
      <c r="HA3" s="76">
        <f>Grupo!HA3</f>
        <v>0</v>
      </c>
      <c r="HB3" s="76">
        <f>Grupo!HB3</f>
        <v>4</v>
      </c>
      <c r="HC3" s="76" t="str">
        <f>Grupo!HC3</f>
        <v/>
      </c>
      <c r="HD3" s="76">
        <f>Grupo!HD3</f>
        <v>0</v>
      </c>
      <c r="HE3" s="76">
        <f>Grupo!HE3</f>
        <v>2</v>
      </c>
      <c r="HF3" s="76" t="str">
        <f>Grupo!HF3</f>
        <v/>
      </c>
      <c r="HG3" s="76">
        <f>Grupo!HG3</f>
        <v>1</v>
      </c>
      <c r="HH3" s="76">
        <f>Grupo!HH3</f>
        <v>1</v>
      </c>
      <c r="HI3" s="76" t="str">
        <f>Grupo!HI3</f>
        <v/>
      </c>
      <c r="HJ3" s="32">
        <f>Grupo!HJ3</f>
        <v>48</v>
      </c>
      <c r="HK3" s="25" t="s">
        <v>9</v>
      </c>
    </row>
    <row r="4" spans="1:220" ht="20.25" customHeight="1" thickBot="1" x14ac:dyDescent="0.35">
      <c r="A4" s="34" t="str">
        <f>Grupo!A4</f>
        <v>Alexander</v>
      </c>
      <c r="B4" s="28">
        <f>Grupo!B4</f>
        <v>2</v>
      </c>
      <c r="C4" s="28">
        <f>Grupo!C4</f>
        <v>0</v>
      </c>
      <c r="D4" s="28">
        <f>Grupo!D4</f>
        <v>3</v>
      </c>
      <c r="E4" s="28">
        <f>Grupo!E4</f>
        <v>1</v>
      </c>
      <c r="F4" s="28">
        <f>Grupo!F4</f>
        <v>1</v>
      </c>
      <c r="G4" s="28">
        <f>Grupo!G4</f>
        <v>0</v>
      </c>
      <c r="H4" s="28">
        <f>Grupo!H4</f>
        <v>1</v>
      </c>
      <c r="I4" s="28">
        <f>Grupo!I4</f>
        <v>1</v>
      </c>
      <c r="J4" s="28">
        <f>Grupo!J4</f>
        <v>3</v>
      </c>
      <c r="K4" s="28">
        <f>Grupo!K4</f>
        <v>2</v>
      </c>
      <c r="L4" s="28">
        <f>Grupo!L4</f>
        <v>0</v>
      </c>
      <c r="M4" s="28">
        <f>Grupo!M4</f>
        <v>1</v>
      </c>
      <c r="N4" s="28">
        <f>Grupo!N4</f>
        <v>0</v>
      </c>
      <c r="O4" s="28">
        <f>Grupo!O4</f>
        <v>2</v>
      </c>
      <c r="P4" s="28">
        <f>Grupo!P4</f>
        <v>1</v>
      </c>
      <c r="Q4" s="28">
        <f>Grupo!Q4</f>
        <v>1</v>
      </c>
      <c r="R4" s="28">
        <f>Grupo!R4</f>
        <v>1</v>
      </c>
      <c r="S4" s="28">
        <f>Grupo!S4</f>
        <v>0</v>
      </c>
      <c r="T4" s="28">
        <f>Grupo!T4</f>
        <v>2</v>
      </c>
      <c r="U4" s="28">
        <f>Grupo!U4</f>
        <v>0</v>
      </c>
      <c r="V4" s="28">
        <f>Grupo!V4</f>
        <v>0</v>
      </c>
      <c r="W4" s="28">
        <f>Grupo!W4</f>
        <v>0</v>
      </c>
      <c r="X4" s="28">
        <f>Grupo!X4</f>
        <v>1</v>
      </c>
      <c r="Y4" s="28">
        <f>Grupo!Y4</f>
        <v>0</v>
      </c>
      <c r="Z4" s="28">
        <f>Grupo!Z4</f>
        <v>1</v>
      </c>
      <c r="AA4" s="28">
        <f>Grupo!AA4</f>
        <v>1</v>
      </c>
      <c r="AB4" s="28">
        <f>Grupo!AB4</f>
        <v>0</v>
      </c>
      <c r="AC4" s="28">
        <f>Grupo!AC4</f>
        <v>3</v>
      </c>
      <c r="AD4" s="28">
        <f>Grupo!AD4</f>
        <v>0</v>
      </c>
      <c r="AE4" s="28">
        <f>Grupo!AE4</f>
        <v>1</v>
      </c>
      <c r="AF4" s="28">
        <f>Grupo!AF4</f>
        <v>2</v>
      </c>
      <c r="AG4" s="28">
        <f>Grupo!AG4</f>
        <v>1</v>
      </c>
      <c r="AH4" s="28">
        <f>Grupo!AH4</f>
        <v>0</v>
      </c>
      <c r="AI4" s="28">
        <f>Grupo!AI4</f>
        <v>1</v>
      </c>
      <c r="AJ4" s="28">
        <f>Grupo!AJ4</f>
        <v>0</v>
      </c>
      <c r="AK4" s="28">
        <f>Grupo!AK4</f>
        <v>1</v>
      </c>
      <c r="AL4" s="28">
        <f>Grupo!AL4</f>
        <v>1</v>
      </c>
      <c r="AM4" s="28">
        <f>Grupo!AM4</f>
        <v>2</v>
      </c>
      <c r="AN4" s="28">
        <f>Grupo!AN4</f>
        <v>0</v>
      </c>
      <c r="AO4" s="28">
        <f>Grupo!AO4</f>
        <v>3</v>
      </c>
      <c r="AP4" s="28">
        <f>Grupo!AP4</f>
        <v>0</v>
      </c>
      <c r="AQ4" s="28">
        <f>Grupo!AQ4</f>
        <v>0</v>
      </c>
      <c r="AR4" s="28">
        <f>Grupo!AR4</f>
        <v>1</v>
      </c>
      <c r="AS4" s="28">
        <f>Grupo!AS4</f>
        <v>0</v>
      </c>
      <c r="AT4" s="28">
        <f>Grupo!AT4</f>
        <v>0</v>
      </c>
      <c r="AU4" s="28">
        <f>Grupo!AU4</f>
        <v>2</v>
      </c>
      <c r="AV4" s="28">
        <f>Grupo!AV4</f>
        <v>0</v>
      </c>
      <c r="AW4" s="28">
        <f>Grupo!AW4</f>
        <v>0</v>
      </c>
      <c r="AX4" s="28">
        <f>Grupo!AX4</f>
        <v>2</v>
      </c>
      <c r="AY4" s="28">
        <f>Grupo!AY4</f>
        <v>1</v>
      </c>
      <c r="AZ4" s="28">
        <f>Grupo!AZ4</f>
        <v>1</v>
      </c>
      <c r="BA4" s="28">
        <f>Grupo!BA4</f>
        <v>0</v>
      </c>
      <c r="BB4" s="28">
        <f>Grupo!BB4</f>
        <v>2</v>
      </c>
      <c r="BC4" s="28">
        <f>Grupo!BC4</f>
        <v>1</v>
      </c>
      <c r="BD4" s="28">
        <f>Grupo!BD4</f>
        <v>2</v>
      </c>
      <c r="BE4" s="28">
        <f>Grupo!BE4</f>
        <v>0</v>
      </c>
      <c r="BF4" s="28">
        <f>Grupo!BF4</f>
        <v>1</v>
      </c>
      <c r="BG4" s="28">
        <f>Grupo!BG4</f>
        <v>1</v>
      </c>
      <c r="BH4" s="28">
        <f>Grupo!BH4</f>
        <v>0</v>
      </c>
      <c r="BI4" s="28">
        <f>Grupo!BI4</f>
        <v>1</v>
      </c>
      <c r="BJ4" s="28">
        <f>Grupo!BJ4</f>
        <v>1</v>
      </c>
      <c r="BK4" s="28">
        <f>Grupo!BK4</f>
        <v>2</v>
      </c>
      <c r="BL4" s="28">
        <f>Grupo!BL4</f>
        <v>0</v>
      </c>
      <c r="BM4" s="28">
        <f>Grupo!BM4</f>
        <v>1</v>
      </c>
      <c r="BN4" s="28">
        <f>Grupo!BN4</f>
        <v>0</v>
      </c>
      <c r="BO4" s="28">
        <f>Grupo!BO4</f>
        <v>1</v>
      </c>
      <c r="BP4" s="28">
        <f>Grupo!BP4</f>
        <v>2</v>
      </c>
      <c r="BQ4" s="28">
        <f>Grupo!BQ4</f>
        <v>0</v>
      </c>
      <c r="BR4" s="28">
        <f>Grupo!BR4</f>
        <v>0</v>
      </c>
      <c r="BS4" s="28">
        <f>Grupo!BS4</f>
        <v>1</v>
      </c>
      <c r="BT4" s="28">
        <f>Grupo!BT4</f>
        <v>1</v>
      </c>
      <c r="BU4" s="28">
        <f>Grupo!BU4</f>
        <v>0</v>
      </c>
      <c r="BV4" s="28">
        <f>Grupo!BV4</f>
        <v>1</v>
      </c>
      <c r="BW4" s="28">
        <f>Grupo!BW4</f>
        <v>0</v>
      </c>
      <c r="BX4" s="28">
        <f>Grupo!BX4</f>
        <v>0</v>
      </c>
      <c r="BY4" s="28">
        <f>Grupo!BY4</f>
        <v>1</v>
      </c>
      <c r="BZ4" s="28">
        <f>Grupo!BZ4</f>
        <v>1</v>
      </c>
      <c r="CA4" s="28">
        <f>Grupo!CA4</f>
        <v>0</v>
      </c>
      <c r="CB4" s="28">
        <f>Grupo!CB4</f>
        <v>2</v>
      </c>
      <c r="CC4" s="28">
        <f>Grupo!CC4</f>
        <v>0</v>
      </c>
      <c r="CD4" s="28">
        <f>Grupo!CD4</f>
        <v>1</v>
      </c>
      <c r="CE4" s="28">
        <f>Grupo!CE4</f>
        <v>2</v>
      </c>
      <c r="CF4" s="28">
        <f>Grupo!CF4</f>
        <v>1</v>
      </c>
      <c r="CG4" s="28">
        <f>Grupo!CG4</f>
        <v>1</v>
      </c>
      <c r="CH4" s="28">
        <f>Grupo!CH4</f>
        <v>3</v>
      </c>
      <c r="CI4" s="28">
        <f>Grupo!CI4</f>
        <v>1</v>
      </c>
      <c r="CJ4" s="28">
        <f>Grupo!CJ4</f>
        <v>1</v>
      </c>
      <c r="CK4" s="28">
        <f>Grupo!CK4</f>
        <v>0</v>
      </c>
      <c r="CL4" s="28">
        <f>Grupo!CL4</f>
        <v>1</v>
      </c>
      <c r="CM4" s="28">
        <f>Grupo!CM4</f>
        <v>3</v>
      </c>
      <c r="CN4" s="28">
        <f>Grupo!CN4</f>
        <v>0</v>
      </c>
      <c r="CO4" s="28">
        <f>Grupo!CO4</f>
        <v>1</v>
      </c>
      <c r="CP4" s="28">
        <f>Grupo!CP4</f>
        <v>3</v>
      </c>
      <c r="CQ4" s="28">
        <f>Grupo!CQ4</f>
        <v>2</v>
      </c>
      <c r="CR4" s="28">
        <f>Grupo!CR4</f>
        <v>1</v>
      </c>
      <c r="CS4" s="28">
        <f>Grupo!CS4</f>
        <v>1</v>
      </c>
      <c r="CT4" s="28">
        <f>Grupo!CT4</f>
        <v>2</v>
      </c>
      <c r="CU4" s="28">
        <f>Grupo!CU4</f>
        <v>1</v>
      </c>
      <c r="CV4" s="28">
        <f>Grupo!CV4</f>
        <v>3</v>
      </c>
      <c r="CW4" s="28">
        <f>Grupo!CW4</f>
        <v>2</v>
      </c>
      <c r="CX4" s="28">
        <f>Grupo!CX4</f>
        <v>0</v>
      </c>
      <c r="CY4" s="28">
        <f>Grupo!CY4</f>
        <v>0</v>
      </c>
      <c r="CZ4" s="28">
        <f>Grupo!CZ4</f>
        <v>2</v>
      </c>
      <c r="DA4" s="28">
        <f>Grupo!DA4</f>
        <v>0</v>
      </c>
      <c r="DB4" s="28">
        <f>Grupo!DB4</f>
        <v>1</v>
      </c>
      <c r="DC4" s="28">
        <f>Grupo!DC4</f>
        <v>1</v>
      </c>
      <c r="DD4" s="28">
        <f>Grupo!DD4</f>
        <v>1</v>
      </c>
      <c r="DE4" s="28">
        <f>Grupo!DE4</f>
        <v>0</v>
      </c>
      <c r="DF4" s="28">
        <f>Grupo!DF4</f>
        <v>2</v>
      </c>
      <c r="DG4" s="28">
        <f>Grupo!DG4</f>
        <v>0</v>
      </c>
      <c r="DH4" s="28">
        <f>Grupo!DH4</f>
        <v>0</v>
      </c>
      <c r="DI4" s="28">
        <f>Grupo!DI4</f>
        <v>2</v>
      </c>
      <c r="DJ4" s="28">
        <f>Grupo!DJ4</f>
        <v>0</v>
      </c>
      <c r="DK4" s="28">
        <f>Grupo!DK4</f>
        <v>1</v>
      </c>
      <c r="DL4" s="28">
        <f>Grupo!DL4</f>
        <v>3</v>
      </c>
      <c r="DM4" s="28">
        <f>Grupo!DM4</f>
        <v>1</v>
      </c>
      <c r="DN4" s="28">
        <f>Grupo!DN4</f>
        <v>0</v>
      </c>
      <c r="DO4" s="28">
        <f>Grupo!DO4</f>
        <v>0</v>
      </c>
      <c r="DP4" s="28">
        <f>Grupo!DP4</f>
        <v>2</v>
      </c>
      <c r="DQ4" s="28">
        <f>Grupo!DQ4</f>
        <v>1</v>
      </c>
      <c r="DR4" s="28">
        <f>Grupo!DR4</f>
        <v>1</v>
      </c>
      <c r="DS4" s="28">
        <f>Grupo!DS4</f>
        <v>2</v>
      </c>
      <c r="DT4" s="28">
        <f>Grupo!DT4</f>
        <v>0</v>
      </c>
      <c r="DU4" s="28">
        <f>Grupo!DU4</f>
        <v>3</v>
      </c>
      <c r="DV4" s="28">
        <f>Grupo!DV4</f>
        <v>0</v>
      </c>
      <c r="DW4" s="28">
        <f>Grupo!DW4</f>
        <v>3</v>
      </c>
      <c r="DX4" s="28">
        <f>Grupo!DX4</f>
        <v>3</v>
      </c>
      <c r="DY4" s="28">
        <f>Grupo!DY4</f>
        <v>1</v>
      </c>
      <c r="DZ4" s="28">
        <f>Grupo!DZ4</f>
        <v>1</v>
      </c>
      <c r="EA4" s="70">
        <f>Grupo!EA4</f>
        <v>1</v>
      </c>
      <c r="EB4" s="70">
        <f>Grupo!EB4</f>
        <v>2</v>
      </c>
      <c r="EC4" s="70">
        <f>Grupo!EC4</f>
        <v>3</v>
      </c>
      <c r="ED4" s="70">
        <f>Grupo!ED4</f>
        <v>2</v>
      </c>
      <c r="EE4" s="70">
        <f>Grupo!EE4</f>
        <v>0</v>
      </c>
      <c r="EF4" s="70">
        <f>Grupo!EF4</f>
        <v>0</v>
      </c>
      <c r="EG4" s="70">
        <f>Grupo!EG4</f>
        <v>1</v>
      </c>
      <c r="EH4" s="70">
        <f>Grupo!EH4</f>
        <v>1</v>
      </c>
      <c r="EI4" s="70">
        <f>Grupo!EI4</f>
        <v>0</v>
      </c>
      <c r="EJ4" s="70">
        <f>Grupo!EJ4</f>
        <v>3</v>
      </c>
      <c r="EK4" s="70">
        <f>Grupo!EK4</f>
        <v>0</v>
      </c>
      <c r="EL4" s="70">
        <f>Grupo!EL4</f>
        <v>1</v>
      </c>
      <c r="EM4" s="70">
        <f>Grupo!EM4</f>
        <v>2</v>
      </c>
      <c r="EN4" s="70">
        <f>Grupo!EN4</f>
        <v>1</v>
      </c>
      <c r="EO4" s="70">
        <f>Grupo!EO4</f>
        <v>1</v>
      </c>
      <c r="EP4" s="78">
        <f>Grupo!EP4</f>
        <v>1</v>
      </c>
      <c r="EQ4" s="78">
        <f>Grupo!EQ4</f>
        <v>2</v>
      </c>
      <c r="ER4" s="78">
        <f>Grupo!ER4</f>
        <v>1</v>
      </c>
      <c r="ES4" s="78">
        <f>Grupo!ES4</f>
        <v>2</v>
      </c>
      <c r="ET4" s="78">
        <f>Grupo!ET4</f>
        <v>0</v>
      </c>
      <c r="EU4" s="78">
        <f>Grupo!EU4</f>
        <v>1</v>
      </c>
      <c r="EV4" s="78">
        <f>Grupo!EV4</f>
        <v>0</v>
      </c>
      <c r="EW4" s="78">
        <f>Grupo!EW4</f>
        <v>1</v>
      </c>
      <c r="EX4" s="78">
        <f>Grupo!EX4</f>
        <v>0</v>
      </c>
      <c r="EY4" s="78">
        <f>Grupo!EY4</f>
        <v>2</v>
      </c>
      <c r="EZ4" s="78">
        <f>Grupo!EZ4</f>
        <v>1</v>
      </c>
      <c r="FA4" s="78">
        <f>Grupo!FA4</f>
        <v>1</v>
      </c>
      <c r="FB4" s="78">
        <f>Grupo!FB4</f>
        <v>0</v>
      </c>
      <c r="FC4" s="78">
        <f>Grupo!FC4</f>
        <v>1</v>
      </c>
      <c r="FD4" s="78">
        <f>Grupo!FD4</f>
        <v>1</v>
      </c>
      <c r="FE4" s="78">
        <f>Grupo!FE4</f>
        <v>1</v>
      </c>
      <c r="FF4" s="78">
        <f>Grupo!FF4</f>
        <v>2</v>
      </c>
      <c r="FG4" s="78">
        <f>Grupo!FG4</f>
        <v>0</v>
      </c>
      <c r="FH4" s="78">
        <f>Grupo!FH4</f>
        <v>1</v>
      </c>
      <c r="FI4" s="78">
        <f>Grupo!FI4</f>
        <v>2</v>
      </c>
      <c r="FJ4" s="78">
        <f>Grupo!FJ4</f>
        <v>1</v>
      </c>
      <c r="FK4" s="78">
        <f>Grupo!FK4</f>
        <v>0</v>
      </c>
      <c r="FL4" s="78">
        <f>Grupo!FL4</f>
        <v>2</v>
      </c>
      <c r="FM4" s="78">
        <f>Grupo!FM4</f>
        <v>0</v>
      </c>
      <c r="FN4" s="78">
        <f>Grupo!FN4</f>
        <v>2</v>
      </c>
      <c r="FO4" s="78">
        <f>Grupo!FO4</f>
        <v>1</v>
      </c>
      <c r="FP4" s="78">
        <f>Grupo!FP4</f>
        <v>0</v>
      </c>
      <c r="FQ4" s="78">
        <f>Grupo!FQ4</f>
        <v>1</v>
      </c>
      <c r="FR4" s="78">
        <f>Grupo!FR4</f>
        <v>3</v>
      </c>
      <c r="FS4" s="78">
        <f>Grupo!FS4</f>
        <v>3</v>
      </c>
      <c r="FT4" s="78">
        <f>Grupo!FT4</f>
        <v>1</v>
      </c>
      <c r="FU4" s="78">
        <f>Grupo!FU4</f>
        <v>1</v>
      </c>
      <c r="FV4" s="78">
        <f>Grupo!FV4</f>
        <v>0</v>
      </c>
      <c r="FW4" s="78">
        <f>Grupo!FW4</f>
        <v>3</v>
      </c>
      <c r="FX4" s="78">
        <f>Grupo!FX4</f>
        <v>0</v>
      </c>
      <c r="FY4" s="78">
        <f>Grupo!FY4</f>
        <v>0</v>
      </c>
      <c r="FZ4" s="78">
        <f>Grupo!FZ4</f>
        <v>0</v>
      </c>
      <c r="GA4" s="78">
        <f>Grupo!GA4</f>
        <v>2</v>
      </c>
      <c r="GB4" s="78">
        <f>Grupo!GB4</f>
        <v>1</v>
      </c>
      <c r="GC4" s="78">
        <f>Grupo!GC4</f>
        <v>2</v>
      </c>
      <c r="GD4" s="78">
        <f>Grupo!GD4</f>
        <v>0</v>
      </c>
      <c r="GE4" s="78">
        <f>Grupo!GE4</f>
        <v>1</v>
      </c>
      <c r="GF4" s="78">
        <f>Grupo!GF4</f>
        <v>1</v>
      </c>
      <c r="GG4" s="78">
        <f>Grupo!GG4</f>
        <v>1</v>
      </c>
      <c r="GH4" s="78">
        <f>Grupo!GH4</f>
        <v>3</v>
      </c>
      <c r="GI4" s="78">
        <f>Grupo!GI4</f>
        <v>0</v>
      </c>
      <c r="GJ4" s="78">
        <f>Grupo!GJ4</f>
        <v>2</v>
      </c>
      <c r="GK4" s="78">
        <f>Grupo!GK4</f>
        <v>1</v>
      </c>
      <c r="GL4" s="78">
        <f>Grupo!GL4</f>
        <v>0</v>
      </c>
      <c r="GM4" s="78">
        <f>Grupo!GM4</f>
        <v>2</v>
      </c>
      <c r="GN4" s="78">
        <f>Grupo!GN4</f>
        <v>0</v>
      </c>
      <c r="GO4" s="78">
        <f>Grupo!GO4</f>
        <v>1</v>
      </c>
      <c r="GP4" s="78">
        <f>Grupo!GP4</f>
        <v>2</v>
      </c>
      <c r="GQ4" s="78">
        <f>Grupo!GQ4</f>
        <v>1</v>
      </c>
      <c r="GR4" s="79">
        <f>Grupo!GR4</f>
        <v>1</v>
      </c>
      <c r="GS4" s="79">
        <f>Grupo!GS4</f>
        <v>2</v>
      </c>
      <c r="GT4" s="79" t="str">
        <f>Grupo!GT4</f>
        <v/>
      </c>
      <c r="GU4" s="79">
        <f>Grupo!GU4</f>
        <v>2</v>
      </c>
      <c r="GV4" s="79">
        <f>Grupo!GV4</f>
        <v>0</v>
      </c>
      <c r="GW4" s="79" t="str">
        <f>Grupo!GW4</f>
        <v/>
      </c>
      <c r="GX4" s="76">
        <f>Grupo!GX4</f>
        <v>1</v>
      </c>
      <c r="GY4" s="76">
        <f>Grupo!GY4</f>
        <v>1</v>
      </c>
      <c r="GZ4" s="76" t="str">
        <f>Grupo!GZ4</f>
        <v/>
      </c>
      <c r="HA4" s="76">
        <f>Grupo!HA4</f>
        <v>1</v>
      </c>
      <c r="HB4" s="76">
        <f>Grupo!HB4</f>
        <v>0</v>
      </c>
      <c r="HC4" s="76" t="str">
        <f>Grupo!HC4</f>
        <v/>
      </c>
      <c r="HD4" s="76">
        <f>Grupo!HD4</f>
        <v>2</v>
      </c>
      <c r="HE4" s="76">
        <f>Grupo!HE4</f>
        <v>1</v>
      </c>
      <c r="HF4" s="76" t="str">
        <f>Grupo!HF4</f>
        <v/>
      </c>
      <c r="HG4" s="76">
        <f>Grupo!HG4</f>
        <v>2</v>
      </c>
      <c r="HH4" s="76">
        <f>Grupo!HH4</f>
        <v>1</v>
      </c>
      <c r="HI4" s="76" t="str">
        <f>Grupo!HI4</f>
        <v/>
      </c>
      <c r="HJ4" s="32">
        <f>Grupo!HJ4</f>
        <v>55</v>
      </c>
      <c r="HK4" s="25" t="s">
        <v>11</v>
      </c>
    </row>
    <row r="5" spans="1:220" ht="20.25" customHeight="1" thickBot="1" x14ac:dyDescent="0.35">
      <c r="A5" s="34" t="str">
        <f>Grupo!A5</f>
        <v>Alfredo 1</v>
      </c>
      <c r="B5" s="28">
        <f>Grupo!B5</f>
        <v>2</v>
      </c>
      <c r="C5" s="28">
        <f>Grupo!C5</f>
        <v>1</v>
      </c>
      <c r="D5" s="28">
        <f>Grupo!D5</f>
        <v>1</v>
      </c>
      <c r="E5" s="28">
        <f>Grupo!E5</f>
        <v>1</v>
      </c>
      <c r="F5" s="28">
        <f>Grupo!F5</f>
        <v>1</v>
      </c>
      <c r="G5" s="28">
        <f>Grupo!G5</f>
        <v>0</v>
      </c>
      <c r="H5" s="28">
        <f>Grupo!H5</f>
        <v>1</v>
      </c>
      <c r="I5" s="28">
        <f>Grupo!I5</f>
        <v>0</v>
      </c>
      <c r="J5" s="28">
        <f>Grupo!J5</f>
        <v>0</v>
      </c>
      <c r="K5" s="28">
        <f>Grupo!K5</f>
        <v>2</v>
      </c>
      <c r="L5" s="28">
        <f>Grupo!L5</f>
        <v>1</v>
      </c>
      <c r="M5" s="28">
        <f>Grupo!M5</f>
        <v>1</v>
      </c>
      <c r="N5" s="28">
        <f>Grupo!N5</f>
        <v>1</v>
      </c>
      <c r="O5" s="28">
        <f>Grupo!O5</f>
        <v>1</v>
      </c>
      <c r="P5" s="28">
        <f>Grupo!P5</f>
        <v>0</v>
      </c>
      <c r="Q5" s="28">
        <f>Grupo!Q5</f>
        <v>1</v>
      </c>
      <c r="R5" s="28">
        <f>Grupo!R5</f>
        <v>2</v>
      </c>
      <c r="S5" s="28">
        <f>Grupo!S5</f>
        <v>0</v>
      </c>
      <c r="T5" s="28">
        <f>Grupo!T5</f>
        <v>2</v>
      </c>
      <c r="U5" s="28">
        <f>Grupo!U5</f>
        <v>0</v>
      </c>
      <c r="V5" s="28">
        <f>Grupo!V5</f>
        <v>0</v>
      </c>
      <c r="W5" s="28">
        <f>Grupo!W5</f>
        <v>0</v>
      </c>
      <c r="X5" s="28">
        <f>Grupo!X5</f>
        <v>2</v>
      </c>
      <c r="Y5" s="28">
        <f>Grupo!Y5</f>
        <v>0</v>
      </c>
      <c r="Z5" s="28">
        <f>Grupo!Z5</f>
        <v>1</v>
      </c>
      <c r="AA5" s="28">
        <f>Grupo!AA5</f>
        <v>1</v>
      </c>
      <c r="AB5" s="28">
        <f>Grupo!AB5</f>
        <v>0</v>
      </c>
      <c r="AC5" s="28">
        <f>Grupo!AC5</f>
        <v>4</v>
      </c>
      <c r="AD5" s="28">
        <f>Grupo!AD5</f>
        <v>0</v>
      </c>
      <c r="AE5" s="28">
        <f>Grupo!AE5</f>
        <v>1</v>
      </c>
      <c r="AF5" s="28">
        <f>Grupo!AF5</f>
        <v>2</v>
      </c>
      <c r="AG5" s="28">
        <f>Grupo!AG5</f>
        <v>1</v>
      </c>
      <c r="AH5" s="28">
        <f>Grupo!AH5</f>
        <v>0</v>
      </c>
      <c r="AI5" s="28">
        <f>Grupo!AI5</f>
        <v>2</v>
      </c>
      <c r="AJ5" s="28">
        <f>Grupo!AJ5</f>
        <v>0</v>
      </c>
      <c r="AK5" s="28">
        <f>Grupo!AK5</f>
        <v>1</v>
      </c>
      <c r="AL5" s="28">
        <f>Grupo!AL5</f>
        <v>0</v>
      </c>
      <c r="AM5" s="28">
        <f>Grupo!AM5</f>
        <v>1</v>
      </c>
      <c r="AN5" s="28">
        <f>Grupo!AN5</f>
        <v>0</v>
      </c>
      <c r="AO5" s="28">
        <f>Grupo!AO5</f>
        <v>2</v>
      </c>
      <c r="AP5" s="28">
        <f>Grupo!AP5</f>
        <v>0</v>
      </c>
      <c r="AQ5" s="28">
        <f>Grupo!AQ5</f>
        <v>0</v>
      </c>
      <c r="AR5" s="28">
        <f>Grupo!AR5</f>
        <v>1</v>
      </c>
      <c r="AS5" s="28">
        <f>Grupo!AS5</f>
        <v>0</v>
      </c>
      <c r="AT5" s="28">
        <f>Grupo!AT5</f>
        <v>0</v>
      </c>
      <c r="AU5" s="28">
        <f>Grupo!AU5</f>
        <v>2</v>
      </c>
      <c r="AV5" s="28">
        <f>Grupo!AV5</f>
        <v>1</v>
      </c>
      <c r="AW5" s="28">
        <f>Grupo!AW5</f>
        <v>0</v>
      </c>
      <c r="AX5" s="28">
        <f>Grupo!AX5</f>
        <v>3</v>
      </c>
      <c r="AY5" s="28">
        <f>Grupo!AY5</f>
        <v>1</v>
      </c>
      <c r="AZ5" s="28">
        <f>Grupo!AZ5</f>
        <v>3</v>
      </c>
      <c r="BA5" s="28">
        <f>Grupo!BA5</f>
        <v>0</v>
      </c>
      <c r="BB5" s="28">
        <f>Grupo!BB5</f>
        <v>3</v>
      </c>
      <c r="BC5" s="28">
        <f>Grupo!BC5</f>
        <v>1</v>
      </c>
      <c r="BD5" s="28">
        <f>Grupo!BD5</f>
        <v>2</v>
      </c>
      <c r="BE5" s="28">
        <f>Grupo!BE5</f>
        <v>0</v>
      </c>
      <c r="BF5" s="28">
        <f>Grupo!BF5</f>
        <v>1</v>
      </c>
      <c r="BG5" s="28">
        <f>Grupo!BG5</f>
        <v>2</v>
      </c>
      <c r="BH5" s="28">
        <f>Grupo!BH5</f>
        <v>0</v>
      </c>
      <c r="BI5" s="28">
        <f>Grupo!BI5</f>
        <v>1</v>
      </c>
      <c r="BJ5" s="28">
        <f>Grupo!BJ5</f>
        <v>1</v>
      </c>
      <c r="BK5" s="28">
        <f>Grupo!BK5</f>
        <v>1</v>
      </c>
      <c r="BL5" s="28">
        <f>Grupo!BL5</f>
        <v>0</v>
      </c>
      <c r="BM5" s="28">
        <f>Grupo!BM5</f>
        <v>2</v>
      </c>
      <c r="BN5" s="28">
        <f>Grupo!BN5</f>
        <v>1</v>
      </c>
      <c r="BO5" s="28">
        <f>Grupo!BO5</f>
        <v>1</v>
      </c>
      <c r="BP5" s="28">
        <f>Grupo!BP5</f>
        <v>3</v>
      </c>
      <c r="BQ5" s="28">
        <f>Grupo!BQ5</f>
        <v>0</v>
      </c>
      <c r="BR5" s="28">
        <f>Grupo!BR5</f>
        <v>0</v>
      </c>
      <c r="BS5" s="28">
        <f>Grupo!BS5</f>
        <v>0</v>
      </c>
      <c r="BT5" s="28">
        <f>Grupo!BT5</f>
        <v>2</v>
      </c>
      <c r="BU5" s="28">
        <f>Grupo!BU5</f>
        <v>1</v>
      </c>
      <c r="BV5" s="28">
        <f>Grupo!BV5</f>
        <v>2</v>
      </c>
      <c r="BW5" s="28">
        <f>Grupo!BW5</f>
        <v>0</v>
      </c>
      <c r="BX5" s="28">
        <f>Grupo!BX5</f>
        <v>0</v>
      </c>
      <c r="BY5" s="28">
        <f>Grupo!BY5</f>
        <v>2</v>
      </c>
      <c r="BZ5" s="28">
        <f>Grupo!BZ5</f>
        <v>1</v>
      </c>
      <c r="CA5" s="28">
        <f>Grupo!CA5</f>
        <v>1</v>
      </c>
      <c r="CB5" s="28">
        <f>Grupo!CB5</f>
        <v>1</v>
      </c>
      <c r="CC5" s="28">
        <f>Grupo!CC5</f>
        <v>0</v>
      </c>
      <c r="CD5" s="28">
        <f>Grupo!CD5</f>
        <v>1</v>
      </c>
      <c r="CE5" s="28">
        <f>Grupo!CE5</f>
        <v>2</v>
      </c>
      <c r="CF5" s="28">
        <f>Grupo!CF5</f>
        <v>1</v>
      </c>
      <c r="CG5" s="28">
        <f>Grupo!CG5</f>
        <v>1</v>
      </c>
      <c r="CH5" s="28">
        <f>Grupo!CH5</f>
        <v>3</v>
      </c>
      <c r="CI5" s="28">
        <f>Grupo!CI5</f>
        <v>0</v>
      </c>
      <c r="CJ5" s="28">
        <f>Grupo!CJ5</f>
        <v>3</v>
      </c>
      <c r="CK5" s="28">
        <f>Grupo!CK5</f>
        <v>1</v>
      </c>
      <c r="CL5" s="28">
        <f>Grupo!CL5</f>
        <v>2</v>
      </c>
      <c r="CM5" s="28">
        <f>Grupo!CM5</f>
        <v>1</v>
      </c>
      <c r="CN5" s="28">
        <f>Grupo!CN5</f>
        <v>2</v>
      </c>
      <c r="CO5" s="28">
        <f>Grupo!CO5</f>
        <v>0</v>
      </c>
      <c r="CP5" s="28">
        <f>Grupo!CP5</f>
        <v>0</v>
      </c>
      <c r="CQ5" s="28">
        <f>Grupo!CQ5</f>
        <v>2</v>
      </c>
      <c r="CR5" s="28">
        <f>Grupo!CR5</f>
        <v>0</v>
      </c>
      <c r="CS5" s="28">
        <f>Grupo!CS5</f>
        <v>3</v>
      </c>
      <c r="CT5" s="28">
        <f>Grupo!CT5</f>
        <v>3</v>
      </c>
      <c r="CU5" s="28">
        <f>Grupo!CU5</f>
        <v>1</v>
      </c>
      <c r="CV5" s="28">
        <f>Grupo!CV5</f>
        <v>1</v>
      </c>
      <c r="CW5" s="28">
        <f>Grupo!CW5</f>
        <v>3</v>
      </c>
      <c r="CX5" s="28">
        <f>Grupo!CX5</f>
        <v>0</v>
      </c>
      <c r="CY5" s="28">
        <f>Grupo!CY5</f>
        <v>0</v>
      </c>
      <c r="CZ5" s="28">
        <f>Grupo!CZ5</f>
        <v>2</v>
      </c>
      <c r="DA5" s="28">
        <f>Grupo!DA5</f>
        <v>1</v>
      </c>
      <c r="DB5" s="28">
        <f>Grupo!DB5</f>
        <v>1</v>
      </c>
      <c r="DC5" s="28">
        <f>Grupo!DC5</f>
        <v>0</v>
      </c>
      <c r="DD5" s="28">
        <f>Grupo!DD5</f>
        <v>2</v>
      </c>
      <c r="DE5" s="28">
        <f>Grupo!DE5</f>
        <v>1</v>
      </c>
      <c r="DF5" s="28">
        <f>Grupo!DF5</f>
        <v>2</v>
      </c>
      <c r="DG5" s="28">
        <f>Grupo!DG5</f>
        <v>1</v>
      </c>
      <c r="DH5" s="28">
        <f>Grupo!DH5</f>
        <v>0</v>
      </c>
      <c r="DI5" s="28">
        <f>Grupo!DI5</f>
        <v>3</v>
      </c>
      <c r="DJ5" s="28">
        <f>Grupo!DJ5</f>
        <v>1</v>
      </c>
      <c r="DK5" s="28">
        <f>Grupo!DK5</f>
        <v>1</v>
      </c>
      <c r="DL5" s="28">
        <f>Grupo!DL5</f>
        <v>3</v>
      </c>
      <c r="DM5" s="28">
        <f>Grupo!DM5</f>
        <v>0</v>
      </c>
      <c r="DN5" s="28">
        <f>Grupo!DN5</f>
        <v>0</v>
      </c>
      <c r="DO5" s="28">
        <f>Grupo!DO5</f>
        <v>0</v>
      </c>
      <c r="DP5" s="28">
        <f>Grupo!DP5</f>
        <v>2</v>
      </c>
      <c r="DQ5" s="28">
        <f>Grupo!DQ5</f>
        <v>1</v>
      </c>
      <c r="DR5" s="28">
        <f>Grupo!DR5</f>
        <v>2</v>
      </c>
      <c r="DS5" s="28">
        <f>Grupo!DS5</f>
        <v>1</v>
      </c>
      <c r="DT5" s="28">
        <f>Grupo!DT5</f>
        <v>1</v>
      </c>
      <c r="DU5" s="28">
        <f>Grupo!DU5</f>
        <v>3</v>
      </c>
      <c r="DV5" s="28">
        <f>Grupo!DV5</f>
        <v>0</v>
      </c>
      <c r="DW5" s="28">
        <f>Grupo!DW5</f>
        <v>3</v>
      </c>
      <c r="DX5" s="28">
        <f>Grupo!DX5</f>
        <v>2</v>
      </c>
      <c r="DY5" s="28">
        <f>Grupo!DY5</f>
        <v>1</v>
      </c>
      <c r="DZ5" s="28">
        <f>Grupo!DZ5</f>
        <v>1</v>
      </c>
      <c r="EA5" s="70">
        <f>Grupo!EA5</f>
        <v>0</v>
      </c>
      <c r="EB5" s="70">
        <f>Grupo!EB5</f>
        <v>1</v>
      </c>
      <c r="EC5" s="70">
        <f>Grupo!EC5</f>
        <v>1</v>
      </c>
      <c r="ED5" s="70">
        <f>Grupo!ED5</f>
        <v>3</v>
      </c>
      <c r="EE5" s="70">
        <f>Grupo!EE5</f>
        <v>1</v>
      </c>
      <c r="EF5" s="70">
        <f>Grupo!EF5</f>
        <v>0</v>
      </c>
      <c r="EG5" s="70">
        <f>Grupo!EG5</f>
        <v>1</v>
      </c>
      <c r="EH5" s="70">
        <f>Grupo!EH5</f>
        <v>2</v>
      </c>
      <c r="EI5" s="70">
        <f>Grupo!EI5</f>
        <v>1</v>
      </c>
      <c r="EJ5" s="70">
        <f>Grupo!EJ5</f>
        <v>3</v>
      </c>
      <c r="EK5" s="70">
        <f>Grupo!EK5</f>
        <v>0</v>
      </c>
      <c r="EL5" s="70">
        <f>Grupo!EL5</f>
        <v>1</v>
      </c>
      <c r="EM5" s="70">
        <f>Grupo!EM5</f>
        <v>2</v>
      </c>
      <c r="EN5" s="70">
        <f>Grupo!EN5</f>
        <v>0</v>
      </c>
      <c r="EO5" s="70">
        <f>Grupo!EO5</f>
        <v>1</v>
      </c>
      <c r="EP5" s="78">
        <f>Grupo!EP5</f>
        <v>1</v>
      </c>
      <c r="EQ5" s="78">
        <f>Grupo!EQ5</f>
        <v>3</v>
      </c>
      <c r="ER5" s="78">
        <f>Grupo!ER5</f>
        <v>1</v>
      </c>
      <c r="ES5" s="78">
        <f>Grupo!ES5</f>
        <v>2</v>
      </c>
      <c r="ET5" s="78">
        <f>Grupo!ET5</f>
        <v>1</v>
      </c>
      <c r="EU5" s="78">
        <f>Grupo!EU5</f>
        <v>1</v>
      </c>
      <c r="EV5" s="78">
        <f>Grupo!EV5</f>
        <v>2</v>
      </c>
      <c r="EW5" s="78">
        <f>Grupo!EW5</f>
        <v>1</v>
      </c>
      <c r="EX5" s="78">
        <f>Grupo!EX5</f>
        <v>3</v>
      </c>
      <c r="EY5" s="78">
        <f>Grupo!EY5</f>
        <v>2</v>
      </c>
      <c r="EZ5" s="78">
        <f>Grupo!EZ5</f>
        <v>0</v>
      </c>
      <c r="FA5" s="78">
        <f>Grupo!FA5</f>
        <v>1</v>
      </c>
      <c r="FB5" s="78">
        <f>Grupo!FB5</f>
        <v>0</v>
      </c>
      <c r="FC5" s="78">
        <f>Grupo!FC5</f>
        <v>2</v>
      </c>
      <c r="FD5" s="78">
        <f>Grupo!FD5</f>
        <v>1</v>
      </c>
      <c r="FE5" s="78">
        <f>Grupo!FE5</f>
        <v>1</v>
      </c>
      <c r="FF5" s="78">
        <f>Grupo!FF5</f>
        <v>1</v>
      </c>
      <c r="FG5" s="78">
        <f>Grupo!FG5</f>
        <v>0</v>
      </c>
      <c r="FH5" s="78">
        <f>Grupo!FH5</f>
        <v>0</v>
      </c>
      <c r="FI5" s="78">
        <f>Grupo!FI5</f>
        <v>2</v>
      </c>
      <c r="FJ5" s="78">
        <f>Grupo!FJ5</f>
        <v>3</v>
      </c>
      <c r="FK5" s="78">
        <f>Grupo!FK5</f>
        <v>1</v>
      </c>
      <c r="FL5" s="78">
        <f>Grupo!FL5</f>
        <v>3</v>
      </c>
      <c r="FM5" s="78">
        <f>Grupo!FM5</f>
        <v>0</v>
      </c>
      <c r="FN5" s="78">
        <f>Grupo!FN5</f>
        <v>2</v>
      </c>
      <c r="FO5" s="78">
        <f>Grupo!FO5</f>
        <v>2</v>
      </c>
      <c r="FP5" s="78">
        <f>Grupo!FP5</f>
        <v>1</v>
      </c>
      <c r="FQ5" s="78">
        <f>Grupo!FQ5</f>
        <v>0</v>
      </c>
      <c r="FR5" s="78">
        <f>Grupo!FR5</f>
        <v>3</v>
      </c>
      <c r="FS5" s="78">
        <f>Grupo!FS5</f>
        <v>1</v>
      </c>
      <c r="FT5" s="78">
        <f>Grupo!FT5</f>
        <v>2</v>
      </c>
      <c r="FU5" s="78">
        <f>Grupo!FU5</f>
        <v>1</v>
      </c>
      <c r="FV5" s="78">
        <f>Grupo!FV5</f>
        <v>1</v>
      </c>
      <c r="FW5" s="78">
        <f>Grupo!FW5</f>
        <v>1</v>
      </c>
      <c r="FX5" s="78">
        <f>Grupo!FX5</f>
        <v>1</v>
      </c>
      <c r="FY5" s="78">
        <f>Grupo!FY5</f>
        <v>1</v>
      </c>
      <c r="FZ5" s="78">
        <f>Grupo!FZ5</f>
        <v>2</v>
      </c>
      <c r="GA5" s="78">
        <f>Grupo!GA5</f>
        <v>2</v>
      </c>
      <c r="GB5" s="78">
        <f>Grupo!GB5</f>
        <v>0</v>
      </c>
      <c r="GC5" s="78">
        <f>Grupo!GC5</f>
        <v>1</v>
      </c>
      <c r="GD5" s="78">
        <f>Grupo!GD5</f>
        <v>1</v>
      </c>
      <c r="GE5" s="78">
        <f>Grupo!GE5</f>
        <v>0</v>
      </c>
      <c r="GF5" s="78">
        <f>Grupo!GF5</f>
        <v>3</v>
      </c>
      <c r="GG5" s="78">
        <f>Grupo!GG5</f>
        <v>0</v>
      </c>
      <c r="GH5" s="78">
        <f>Grupo!GH5</f>
        <v>0</v>
      </c>
      <c r="GI5" s="78">
        <f>Grupo!GI5</f>
        <v>0</v>
      </c>
      <c r="GJ5" s="78">
        <f>Grupo!GJ5</f>
        <v>3</v>
      </c>
      <c r="GK5" s="78">
        <f>Grupo!GK5</f>
        <v>1</v>
      </c>
      <c r="GL5" s="78">
        <f>Grupo!GL5</f>
        <v>0</v>
      </c>
      <c r="GM5" s="78">
        <f>Grupo!GM5</f>
        <v>1</v>
      </c>
      <c r="GN5" s="78">
        <f>Grupo!GN5</f>
        <v>0</v>
      </c>
      <c r="GO5" s="78">
        <f>Grupo!GO5</f>
        <v>1</v>
      </c>
      <c r="GP5" s="78">
        <f>Grupo!GP5</f>
        <v>2</v>
      </c>
      <c r="GQ5" s="78">
        <f>Grupo!GQ5</f>
        <v>1</v>
      </c>
      <c r="GR5" s="79">
        <f>Grupo!GR5</f>
        <v>0</v>
      </c>
      <c r="GS5" s="79">
        <f>Grupo!GS5</f>
        <v>3</v>
      </c>
      <c r="GT5" s="79" t="str">
        <f>Grupo!GT5</f>
        <v/>
      </c>
      <c r="GU5" s="79">
        <f>Grupo!GU5</f>
        <v>2</v>
      </c>
      <c r="GV5" s="79">
        <f>Grupo!GV5</f>
        <v>0</v>
      </c>
      <c r="GW5" s="79" t="str">
        <f>Grupo!GW5</f>
        <v/>
      </c>
      <c r="GX5" s="76">
        <f>Grupo!GX5</f>
        <v>1</v>
      </c>
      <c r="GY5" s="76">
        <f>Grupo!GY5</f>
        <v>2</v>
      </c>
      <c r="GZ5" s="76" t="str">
        <f>Grupo!GZ5</f>
        <v/>
      </c>
      <c r="HA5" s="76">
        <f>Grupo!HA5</f>
        <v>0</v>
      </c>
      <c r="HB5" s="76">
        <f>Grupo!HB5</f>
        <v>2</v>
      </c>
      <c r="HC5" s="76" t="str">
        <f>Grupo!HC5</f>
        <v/>
      </c>
      <c r="HD5" s="76">
        <f>Grupo!HD5</f>
        <v>1</v>
      </c>
      <c r="HE5" s="76">
        <f>Grupo!HE5</f>
        <v>1</v>
      </c>
      <c r="HF5" s="76" t="str">
        <f>Grupo!HF5</f>
        <v/>
      </c>
      <c r="HG5" s="76">
        <f>Grupo!HG5</f>
        <v>1</v>
      </c>
      <c r="HH5" s="76">
        <f>Grupo!HH5</f>
        <v>1</v>
      </c>
      <c r="HI5" s="76" t="str">
        <f>Grupo!HI5</f>
        <v/>
      </c>
      <c r="HJ5" s="32">
        <f>Grupo!HJ5</f>
        <v>52</v>
      </c>
      <c r="HK5" s="25" t="s">
        <v>13</v>
      </c>
    </row>
    <row r="6" spans="1:220" ht="20.25" customHeight="1" thickBot="1" x14ac:dyDescent="0.35">
      <c r="A6" s="34" t="str">
        <f>Grupo!A6</f>
        <v>Alfredo 2</v>
      </c>
      <c r="B6" s="28">
        <f>Grupo!B6</f>
        <v>2</v>
      </c>
      <c r="C6" s="28">
        <f>Grupo!C6</f>
        <v>0</v>
      </c>
      <c r="D6" s="28">
        <f>Grupo!D6</f>
        <v>3</v>
      </c>
      <c r="E6" s="28">
        <f>Grupo!E6</f>
        <v>0</v>
      </c>
      <c r="F6" s="28">
        <f>Grupo!F6</f>
        <v>1</v>
      </c>
      <c r="G6" s="28">
        <f>Grupo!G6</f>
        <v>0</v>
      </c>
      <c r="H6" s="28">
        <f>Grupo!H6</f>
        <v>2</v>
      </c>
      <c r="I6" s="28">
        <f>Grupo!I6</f>
        <v>0</v>
      </c>
      <c r="J6" s="28">
        <f>Grupo!J6</f>
        <v>0</v>
      </c>
      <c r="K6" s="28">
        <f>Grupo!K6</f>
        <v>2</v>
      </c>
      <c r="L6" s="28">
        <f>Grupo!L6</f>
        <v>0</v>
      </c>
      <c r="M6" s="28">
        <f>Grupo!M6</f>
        <v>1</v>
      </c>
      <c r="N6" s="28">
        <f>Grupo!N6</f>
        <v>0</v>
      </c>
      <c r="O6" s="28">
        <f>Grupo!O6</f>
        <v>1</v>
      </c>
      <c r="P6" s="28">
        <f>Grupo!P6</f>
        <v>3</v>
      </c>
      <c r="Q6" s="28">
        <f>Grupo!Q6</f>
        <v>0</v>
      </c>
      <c r="R6" s="28">
        <f>Grupo!R6</f>
        <v>2</v>
      </c>
      <c r="S6" s="28">
        <f>Grupo!S6</f>
        <v>0</v>
      </c>
      <c r="T6" s="28">
        <f>Grupo!T6</f>
        <v>2</v>
      </c>
      <c r="U6" s="28">
        <f>Grupo!U6</f>
        <v>1</v>
      </c>
      <c r="V6" s="28">
        <f>Grupo!V6</f>
        <v>0</v>
      </c>
      <c r="W6" s="28">
        <f>Grupo!W6</f>
        <v>0</v>
      </c>
      <c r="X6" s="28">
        <f>Grupo!X6</f>
        <v>2</v>
      </c>
      <c r="Y6" s="28">
        <f>Grupo!Y6</f>
        <v>0</v>
      </c>
      <c r="Z6" s="28">
        <f>Grupo!Z6</f>
        <v>0</v>
      </c>
      <c r="AA6" s="28">
        <f>Grupo!AA6</f>
        <v>1</v>
      </c>
      <c r="AB6" s="28">
        <f>Grupo!AB6</f>
        <v>0</v>
      </c>
      <c r="AC6" s="28">
        <f>Grupo!AC6</f>
        <v>3</v>
      </c>
      <c r="AD6" s="28">
        <f>Grupo!AD6</f>
        <v>0</v>
      </c>
      <c r="AE6" s="28">
        <f>Grupo!AE6</f>
        <v>1</v>
      </c>
      <c r="AF6" s="28">
        <f>Grupo!AF6</f>
        <v>2</v>
      </c>
      <c r="AG6" s="28">
        <f>Grupo!AG6</f>
        <v>2</v>
      </c>
      <c r="AH6" s="28">
        <f>Grupo!AH6</f>
        <v>3</v>
      </c>
      <c r="AI6" s="28">
        <f>Grupo!AI6</f>
        <v>2</v>
      </c>
      <c r="AJ6" s="28">
        <f>Grupo!AJ6</f>
        <v>1</v>
      </c>
      <c r="AK6" s="28">
        <f>Grupo!AK6</f>
        <v>1</v>
      </c>
      <c r="AL6" s="28">
        <f>Grupo!AL6</f>
        <v>1</v>
      </c>
      <c r="AM6" s="28">
        <f>Grupo!AM6</f>
        <v>1</v>
      </c>
      <c r="AN6" s="28">
        <f>Grupo!AN6</f>
        <v>3</v>
      </c>
      <c r="AO6" s="28">
        <f>Grupo!AO6</f>
        <v>3</v>
      </c>
      <c r="AP6" s="28">
        <f>Grupo!AP6</f>
        <v>0</v>
      </c>
      <c r="AQ6" s="28">
        <f>Grupo!AQ6</f>
        <v>0</v>
      </c>
      <c r="AR6" s="28">
        <f>Grupo!AR6</f>
        <v>0</v>
      </c>
      <c r="AS6" s="28">
        <f>Grupo!AS6</f>
        <v>0</v>
      </c>
      <c r="AT6" s="28">
        <f>Grupo!AT6</f>
        <v>1</v>
      </c>
      <c r="AU6" s="28">
        <f>Grupo!AU6</f>
        <v>3</v>
      </c>
      <c r="AV6" s="28">
        <f>Grupo!AV6</f>
        <v>1</v>
      </c>
      <c r="AW6" s="28">
        <f>Grupo!AW6</f>
        <v>0</v>
      </c>
      <c r="AX6" s="28">
        <f>Grupo!AX6</f>
        <v>3</v>
      </c>
      <c r="AY6" s="28">
        <f>Grupo!AY6</f>
        <v>0</v>
      </c>
      <c r="AZ6" s="28">
        <f>Grupo!AZ6</f>
        <v>1</v>
      </c>
      <c r="BA6" s="28">
        <f>Grupo!BA6</f>
        <v>0</v>
      </c>
      <c r="BB6" s="28">
        <f>Grupo!BB6</f>
        <v>2</v>
      </c>
      <c r="BC6" s="28">
        <f>Grupo!BC6</f>
        <v>1</v>
      </c>
      <c r="BD6" s="28">
        <f>Grupo!BD6</f>
        <v>2</v>
      </c>
      <c r="BE6" s="28">
        <f>Grupo!BE6</f>
        <v>1</v>
      </c>
      <c r="BF6" s="28">
        <f>Grupo!BF6</f>
        <v>1</v>
      </c>
      <c r="BG6" s="28">
        <f>Grupo!BG6</f>
        <v>1</v>
      </c>
      <c r="BH6" s="28">
        <f>Grupo!BH6</f>
        <v>0</v>
      </c>
      <c r="BI6" s="28">
        <f>Grupo!BI6</f>
        <v>1</v>
      </c>
      <c r="BJ6" s="28">
        <f>Grupo!BJ6</f>
        <v>1</v>
      </c>
      <c r="BK6" s="28">
        <f>Grupo!BK6</f>
        <v>2</v>
      </c>
      <c r="BL6" s="28">
        <f>Grupo!BL6</f>
        <v>0</v>
      </c>
      <c r="BM6" s="28">
        <f>Grupo!BM6</f>
        <v>1</v>
      </c>
      <c r="BN6" s="28">
        <f>Grupo!BN6</f>
        <v>1</v>
      </c>
      <c r="BO6" s="28">
        <f>Grupo!BO6</f>
        <v>0</v>
      </c>
      <c r="BP6" s="28">
        <f>Grupo!BP6</f>
        <v>2</v>
      </c>
      <c r="BQ6" s="28">
        <f>Grupo!BQ6</f>
        <v>0</v>
      </c>
      <c r="BR6" s="28">
        <f>Grupo!BR6</f>
        <v>0</v>
      </c>
      <c r="BS6" s="28">
        <f>Grupo!BS6</f>
        <v>0</v>
      </c>
      <c r="BT6" s="28">
        <f>Grupo!BT6</f>
        <v>3</v>
      </c>
      <c r="BU6" s="28">
        <f>Grupo!BU6</f>
        <v>1</v>
      </c>
      <c r="BV6" s="28">
        <f>Grupo!BV6</f>
        <v>2</v>
      </c>
      <c r="BW6" s="28">
        <f>Grupo!BW6</f>
        <v>1</v>
      </c>
      <c r="BX6" s="28">
        <f>Grupo!BX6</f>
        <v>0</v>
      </c>
      <c r="BY6" s="28">
        <f>Grupo!BY6</f>
        <v>2</v>
      </c>
      <c r="BZ6" s="28">
        <f>Grupo!BZ6</f>
        <v>2</v>
      </c>
      <c r="CA6" s="28">
        <f>Grupo!CA6</f>
        <v>0</v>
      </c>
      <c r="CB6" s="28">
        <f>Grupo!CB6</f>
        <v>2</v>
      </c>
      <c r="CC6" s="28">
        <f>Grupo!CC6</f>
        <v>0</v>
      </c>
      <c r="CD6" s="28">
        <f>Grupo!CD6</f>
        <v>1</v>
      </c>
      <c r="CE6" s="28">
        <f>Grupo!CE6</f>
        <v>2</v>
      </c>
      <c r="CF6" s="28">
        <f>Grupo!CF6</f>
        <v>0</v>
      </c>
      <c r="CG6" s="28">
        <f>Grupo!CG6</f>
        <v>1</v>
      </c>
      <c r="CH6" s="28">
        <f>Grupo!CH6</f>
        <v>3</v>
      </c>
      <c r="CI6" s="28">
        <f>Grupo!CI6</f>
        <v>1</v>
      </c>
      <c r="CJ6" s="28">
        <f>Grupo!CJ6</f>
        <v>1</v>
      </c>
      <c r="CK6" s="28">
        <f>Grupo!CK6</f>
        <v>0</v>
      </c>
      <c r="CL6" s="28">
        <f>Grupo!CL6</f>
        <v>2</v>
      </c>
      <c r="CM6" s="28">
        <f>Grupo!CM6</f>
        <v>1</v>
      </c>
      <c r="CN6" s="28">
        <f>Grupo!CN6</f>
        <v>2</v>
      </c>
      <c r="CO6" s="28">
        <f>Grupo!CO6</f>
        <v>1</v>
      </c>
      <c r="CP6" s="28">
        <f>Grupo!CP6</f>
        <v>0</v>
      </c>
      <c r="CQ6" s="28">
        <f>Grupo!CQ6</f>
        <v>3</v>
      </c>
      <c r="CR6" s="28">
        <f>Grupo!CR6</f>
        <v>0</v>
      </c>
      <c r="CS6" s="28">
        <f>Grupo!CS6</f>
        <v>1</v>
      </c>
      <c r="CT6" s="28">
        <f>Grupo!CT6</f>
        <v>4</v>
      </c>
      <c r="CU6" s="28">
        <f>Grupo!CU6</f>
        <v>1</v>
      </c>
      <c r="CV6" s="28">
        <f>Grupo!CV6</f>
        <v>1</v>
      </c>
      <c r="CW6" s="28">
        <f>Grupo!CW6</f>
        <v>2</v>
      </c>
      <c r="CX6" s="28">
        <f>Grupo!CX6</f>
        <v>0</v>
      </c>
      <c r="CY6" s="28">
        <f>Grupo!CY6</f>
        <v>0</v>
      </c>
      <c r="CZ6" s="28">
        <f>Grupo!CZ6</f>
        <v>1</v>
      </c>
      <c r="DA6" s="28">
        <f>Grupo!DA6</f>
        <v>1</v>
      </c>
      <c r="DB6" s="28">
        <f>Grupo!DB6</f>
        <v>0</v>
      </c>
      <c r="DC6" s="28">
        <f>Grupo!DC6</f>
        <v>0</v>
      </c>
      <c r="DD6" s="28">
        <f>Grupo!DD6</f>
        <v>2</v>
      </c>
      <c r="DE6" s="28">
        <f>Grupo!DE6</f>
        <v>1</v>
      </c>
      <c r="DF6" s="28">
        <f>Grupo!DF6</f>
        <v>2</v>
      </c>
      <c r="DG6" s="28">
        <f>Grupo!DG6</f>
        <v>0</v>
      </c>
      <c r="DH6" s="28">
        <f>Grupo!DH6</f>
        <v>0</v>
      </c>
      <c r="DI6" s="28">
        <f>Grupo!DI6</f>
        <v>3</v>
      </c>
      <c r="DJ6" s="28">
        <f>Grupo!DJ6</f>
        <v>1</v>
      </c>
      <c r="DK6" s="28">
        <f>Grupo!DK6</f>
        <v>1</v>
      </c>
      <c r="DL6" s="28">
        <f>Grupo!DL6</f>
        <v>3</v>
      </c>
      <c r="DM6" s="28">
        <f>Grupo!DM6</f>
        <v>0</v>
      </c>
      <c r="DN6" s="28">
        <f>Grupo!DN6</f>
        <v>0</v>
      </c>
      <c r="DO6" s="28">
        <f>Grupo!DO6</f>
        <v>0</v>
      </c>
      <c r="DP6" s="28">
        <f>Grupo!DP6</f>
        <v>3</v>
      </c>
      <c r="DQ6" s="28">
        <f>Grupo!DQ6</f>
        <v>1</v>
      </c>
      <c r="DR6" s="28">
        <f>Grupo!DR6</f>
        <v>4</v>
      </c>
      <c r="DS6" s="28">
        <f>Grupo!DS6</f>
        <v>1</v>
      </c>
      <c r="DT6" s="28">
        <f>Grupo!DT6</f>
        <v>1</v>
      </c>
      <c r="DU6" s="28">
        <f>Grupo!DU6</f>
        <v>3</v>
      </c>
      <c r="DV6" s="28">
        <f>Grupo!DV6</f>
        <v>0</v>
      </c>
      <c r="DW6" s="28">
        <f>Grupo!DW6</f>
        <v>3</v>
      </c>
      <c r="DX6" s="28">
        <f>Grupo!DX6</f>
        <v>2</v>
      </c>
      <c r="DY6" s="28">
        <f>Grupo!DY6</f>
        <v>1</v>
      </c>
      <c r="DZ6" s="28">
        <f>Grupo!DZ6</f>
        <v>1</v>
      </c>
      <c r="EA6" s="70">
        <f>Grupo!EA6</f>
        <v>0</v>
      </c>
      <c r="EB6" s="70">
        <f>Grupo!EB6</f>
        <v>2</v>
      </c>
      <c r="EC6" s="70">
        <f>Grupo!EC6</f>
        <v>1</v>
      </c>
      <c r="ED6" s="70">
        <f>Grupo!ED6</f>
        <v>3</v>
      </c>
      <c r="EE6" s="70">
        <f>Grupo!EE6</f>
        <v>0</v>
      </c>
      <c r="EF6" s="70">
        <f>Grupo!EF6</f>
        <v>0</v>
      </c>
      <c r="EG6" s="70">
        <f>Grupo!EG6</f>
        <v>1</v>
      </c>
      <c r="EH6" s="70">
        <f>Grupo!EH6</f>
        <v>1</v>
      </c>
      <c r="EI6" s="70">
        <f>Grupo!EI6</f>
        <v>0</v>
      </c>
      <c r="EJ6" s="70">
        <f>Grupo!EJ6</f>
        <v>3</v>
      </c>
      <c r="EK6" s="70">
        <f>Grupo!EK6</f>
        <v>0</v>
      </c>
      <c r="EL6" s="70">
        <f>Grupo!EL6</f>
        <v>1</v>
      </c>
      <c r="EM6" s="70">
        <f>Grupo!EM6</f>
        <v>3</v>
      </c>
      <c r="EN6" s="70">
        <f>Grupo!EN6</f>
        <v>0</v>
      </c>
      <c r="EO6" s="70">
        <f>Grupo!EO6</f>
        <v>1</v>
      </c>
      <c r="EP6" s="78">
        <f>Grupo!EP6</f>
        <v>0</v>
      </c>
      <c r="EQ6" s="78">
        <f>Grupo!EQ6</f>
        <v>3</v>
      </c>
      <c r="ER6" s="78">
        <f>Grupo!ER6</f>
        <v>3</v>
      </c>
      <c r="ES6" s="78">
        <f>Grupo!ES6</f>
        <v>2</v>
      </c>
      <c r="ET6" s="78">
        <f>Grupo!ET6</f>
        <v>0</v>
      </c>
      <c r="EU6" s="78">
        <f>Grupo!EU6</f>
        <v>1</v>
      </c>
      <c r="EV6" s="78">
        <f>Grupo!EV6</f>
        <v>1</v>
      </c>
      <c r="EW6" s="78">
        <f>Grupo!EW6</f>
        <v>1</v>
      </c>
      <c r="EX6" s="78">
        <f>Grupo!EX6</f>
        <v>0</v>
      </c>
      <c r="EY6" s="78">
        <f>Grupo!EY6</f>
        <v>1</v>
      </c>
      <c r="EZ6" s="78">
        <f>Grupo!EZ6</f>
        <v>0</v>
      </c>
      <c r="FA6" s="78">
        <f>Grupo!FA6</f>
        <v>1</v>
      </c>
      <c r="FB6" s="78">
        <f>Grupo!FB6</f>
        <v>1</v>
      </c>
      <c r="FC6" s="78">
        <f>Grupo!FC6</f>
        <v>2</v>
      </c>
      <c r="FD6" s="78">
        <f>Grupo!FD6</f>
        <v>1</v>
      </c>
      <c r="FE6" s="78">
        <f>Grupo!FE6</f>
        <v>0</v>
      </c>
      <c r="FF6" s="78">
        <f>Grupo!FF6</f>
        <v>1</v>
      </c>
      <c r="FG6" s="78">
        <f>Grupo!FG6</f>
        <v>0</v>
      </c>
      <c r="FH6" s="78">
        <f>Grupo!FH6</f>
        <v>0</v>
      </c>
      <c r="FI6" s="78">
        <f>Grupo!FI6</f>
        <v>1</v>
      </c>
      <c r="FJ6" s="78">
        <f>Grupo!FJ6</f>
        <v>1</v>
      </c>
      <c r="FK6" s="78">
        <f>Grupo!FK6</f>
        <v>1</v>
      </c>
      <c r="FL6" s="78">
        <f>Grupo!FL6</f>
        <v>2</v>
      </c>
      <c r="FM6" s="78">
        <f>Grupo!FM6</f>
        <v>0</v>
      </c>
      <c r="FN6" s="78">
        <f>Grupo!FN6</f>
        <v>2</v>
      </c>
      <c r="FO6" s="78">
        <f>Grupo!FO6</f>
        <v>2</v>
      </c>
      <c r="FP6" s="78">
        <f>Grupo!FP6</f>
        <v>1</v>
      </c>
      <c r="FQ6" s="78">
        <f>Grupo!FQ6</f>
        <v>0</v>
      </c>
      <c r="FR6" s="78">
        <f>Grupo!FR6</f>
        <v>2</v>
      </c>
      <c r="FS6" s="78">
        <f>Grupo!FS6</f>
        <v>1</v>
      </c>
      <c r="FT6" s="78">
        <f>Grupo!FT6</f>
        <v>1</v>
      </c>
      <c r="FU6" s="78">
        <f>Grupo!FU6</f>
        <v>1</v>
      </c>
      <c r="FV6" s="78">
        <f>Grupo!FV6</f>
        <v>0</v>
      </c>
      <c r="FW6" s="78">
        <f>Grupo!FW6</f>
        <v>1</v>
      </c>
      <c r="FX6" s="78">
        <f>Grupo!FX6</f>
        <v>0</v>
      </c>
      <c r="FY6" s="78">
        <f>Grupo!FY6</f>
        <v>0</v>
      </c>
      <c r="FZ6" s="78">
        <f>Grupo!FZ6</f>
        <v>2</v>
      </c>
      <c r="GA6" s="78">
        <f>Grupo!GA6</f>
        <v>2</v>
      </c>
      <c r="GB6" s="78">
        <f>Grupo!GB6</f>
        <v>0</v>
      </c>
      <c r="GC6" s="78">
        <f>Grupo!GC6</f>
        <v>1</v>
      </c>
      <c r="GD6" s="78">
        <f>Grupo!GD6</f>
        <v>0</v>
      </c>
      <c r="GE6" s="78">
        <f>Grupo!GE6</f>
        <v>1</v>
      </c>
      <c r="GF6" s="78">
        <f>Grupo!GF6</f>
        <v>2</v>
      </c>
      <c r="GG6" s="78">
        <f>Grupo!GG6</f>
        <v>0</v>
      </c>
      <c r="GH6" s="78">
        <f>Grupo!GH6</f>
        <v>0</v>
      </c>
      <c r="GI6" s="78">
        <f>Grupo!GI6</f>
        <v>0</v>
      </c>
      <c r="GJ6" s="78">
        <f>Grupo!GJ6</f>
        <v>4</v>
      </c>
      <c r="GK6" s="78">
        <f>Grupo!GK6</f>
        <v>1</v>
      </c>
      <c r="GL6" s="78">
        <f>Grupo!GL6</f>
        <v>0</v>
      </c>
      <c r="GM6" s="78">
        <f>Grupo!GM6</f>
        <v>2</v>
      </c>
      <c r="GN6" s="78">
        <f>Grupo!GN6</f>
        <v>0</v>
      </c>
      <c r="GO6" s="78">
        <f>Grupo!GO6</f>
        <v>1</v>
      </c>
      <c r="GP6" s="78">
        <f>Grupo!GP6</f>
        <v>3</v>
      </c>
      <c r="GQ6" s="78">
        <f>Grupo!GQ6</f>
        <v>1</v>
      </c>
      <c r="GR6" s="79">
        <f>Grupo!GR6</f>
        <v>1</v>
      </c>
      <c r="GS6" s="79">
        <f>Grupo!GS6</f>
        <v>4</v>
      </c>
      <c r="GT6" s="79" t="str">
        <f>Grupo!GT6</f>
        <v/>
      </c>
      <c r="GU6" s="79">
        <f>Grupo!GU6</f>
        <v>2</v>
      </c>
      <c r="GV6" s="79">
        <f>Grupo!GV6</f>
        <v>1</v>
      </c>
      <c r="GW6" s="79" t="str">
        <f>Grupo!GW6</f>
        <v/>
      </c>
      <c r="GX6" s="76">
        <f>Grupo!GX6</f>
        <v>1</v>
      </c>
      <c r="GY6" s="76">
        <f>Grupo!GY6</f>
        <v>1</v>
      </c>
      <c r="GZ6" s="76" t="str">
        <f>Grupo!GZ6</f>
        <v/>
      </c>
      <c r="HA6" s="76">
        <f>Grupo!HA6</f>
        <v>0</v>
      </c>
      <c r="HB6" s="76">
        <f>Grupo!HB6</f>
        <v>3</v>
      </c>
      <c r="HC6" s="76" t="str">
        <f>Grupo!HC6</f>
        <v/>
      </c>
      <c r="HD6" s="76">
        <f>Grupo!HD6</f>
        <v>2</v>
      </c>
      <c r="HE6" s="76">
        <f>Grupo!HE6</f>
        <v>2</v>
      </c>
      <c r="HF6" s="76" t="str">
        <f>Grupo!HF6</f>
        <v/>
      </c>
      <c r="HG6" s="76">
        <f>Grupo!HG6</f>
        <v>0</v>
      </c>
      <c r="HH6" s="76">
        <f>Grupo!HH6</f>
        <v>0</v>
      </c>
      <c r="HI6" s="76" t="str">
        <f>Grupo!HI6</f>
        <v/>
      </c>
      <c r="HJ6" s="32">
        <f>Grupo!HJ6</f>
        <v>50</v>
      </c>
      <c r="HK6" s="25" t="s">
        <v>15</v>
      </c>
    </row>
    <row r="7" spans="1:220" ht="20.25" customHeight="1" thickBot="1" x14ac:dyDescent="0.35">
      <c r="A7" s="34" t="str">
        <f>Grupo!A7</f>
        <v>Aneth</v>
      </c>
      <c r="B7" s="28">
        <f>Grupo!B7</f>
        <v>2</v>
      </c>
      <c r="C7" s="28">
        <f>Grupo!C7</f>
        <v>0</v>
      </c>
      <c r="D7" s="28">
        <f>Grupo!D7</f>
        <v>3</v>
      </c>
      <c r="E7" s="28">
        <f>Grupo!E7</f>
        <v>1</v>
      </c>
      <c r="F7" s="28">
        <f>Grupo!F7</f>
        <v>1</v>
      </c>
      <c r="G7" s="28">
        <f>Grupo!G7</f>
        <v>0</v>
      </c>
      <c r="H7" s="28">
        <f>Grupo!H7</f>
        <v>2</v>
      </c>
      <c r="I7" s="28">
        <f>Grupo!I7</f>
        <v>1</v>
      </c>
      <c r="J7" s="28">
        <f>Grupo!J7</f>
        <v>0</v>
      </c>
      <c r="K7" s="28">
        <f>Grupo!K7</f>
        <v>2</v>
      </c>
      <c r="L7" s="28">
        <f>Grupo!L7</f>
        <v>1</v>
      </c>
      <c r="M7" s="28">
        <f>Grupo!M7</f>
        <v>1</v>
      </c>
      <c r="N7" s="28">
        <f>Grupo!N7</f>
        <v>2</v>
      </c>
      <c r="O7" s="28">
        <f>Grupo!O7</f>
        <v>0</v>
      </c>
      <c r="P7" s="28">
        <f>Grupo!P7</f>
        <v>0</v>
      </c>
      <c r="Q7" s="28">
        <f>Grupo!Q7</f>
        <v>1</v>
      </c>
      <c r="R7" s="28">
        <f>Grupo!R7</f>
        <v>1</v>
      </c>
      <c r="S7" s="28">
        <f>Grupo!S7</f>
        <v>0</v>
      </c>
      <c r="T7" s="28">
        <f>Grupo!T7</f>
        <v>2</v>
      </c>
      <c r="U7" s="28">
        <f>Grupo!U7</f>
        <v>1</v>
      </c>
      <c r="V7" s="28">
        <f>Grupo!V7</f>
        <v>0</v>
      </c>
      <c r="W7" s="28">
        <f>Grupo!W7</f>
        <v>2</v>
      </c>
      <c r="X7" s="28">
        <f>Grupo!X7</f>
        <v>0</v>
      </c>
      <c r="Y7" s="28">
        <f>Grupo!Y7</f>
        <v>0</v>
      </c>
      <c r="Z7" s="28">
        <f>Grupo!Z7</f>
        <v>1</v>
      </c>
      <c r="AA7" s="28">
        <f>Grupo!AA7</f>
        <v>1</v>
      </c>
      <c r="AB7" s="28">
        <f>Grupo!AB7</f>
        <v>0</v>
      </c>
      <c r="AC7" s="28">
        <f>Grupo!AC7</f>
        <v>4</v>
      </c>
      <c r="AD7" s="28">
        <f>Grupo!AD7</f>
        <v>0</v>
      </c>
      <c r="AE7" s="28">
        <f>Grupo!AE7</f>
        <v>1</v>
      </c>
      <c r="AF7" s="28">
        <f>Grupo!AF7</f>
        <v>2</v>
      </c>
      <c r="AG7" s="28">
        <f>Grupo!AG7</f>
        <v>1</v>
      </c>
      <c r="AH7" s="28">
        <f>Grupo!AH7</f>
        <v>0</v>
      </c>
      <c r="AI7" s="28">
        <f>Grupo!AI7</f>
        <v>1</v>
      </c>
      <c r="AJ7" s="28">
        <f>Grupo!AJ7</f>
        <v>0</v>
      </c>
      <c r="AK7" s="28">
        <f>Grupo!AK7</f>
        <v>1</v>
      </c>
      <c r="AL7" s="28">
        <f>Grupo!AL7</f>
        <v>3</v>
      </c>
      <c r="AM7" s="28">
        <f>Grupo!AM7</f>
        <v>0</v>
      </c>
      <c r="AN7" s="28">
        <f>Grupo!AN7</f>
        <v>0</v>
      </c>
      <c r="AO7" s="28">
        <f>Grupo!AO7</f>
        <v>3</v>
      </c>
      <c r="AP7" s="28">
        <f>Grupo!AP7</f>
        <v>0</v>
      </c>
      <c r="AQ7" s="28">
        <f>Grupo!AQ7</f>
        <v>0</v>
      </c>
      <c r="AR7" s="28">
        <f>Grupo!AR7</f>
        <v>2</v>
      </c>
      <c r="AS7" s="28">
        <f>Grupo!AS7</f>
        <v>0</v>
      </c>
      <c r="AT7" s="28">
        <f>Grupo!AT7</f>
        <v>0</v>
      </c>
      <c r="AU7" s="28">
        <f>Grupo!AU7</f>
        <v>2</v>
      </c>
      <c r="AV7" s="28">
        <f>Grupo!AV7</f>
        <v>1</v>
      </c>
      <c r="AW7" s="28">
        <f>Grupo!AW7</f>
        <v>0</v>
      </c>
      <c r="AX7" s="28">
        <f>Grupo!AX7</f>
        <v>2</v>
      </c>
      <c r="AY7" s="28">
        <f>Grupo!AY7</f>
        <v>1</v>
      </c>
      <c r="AZ7" s="28">
        <f>Grupo!AZ7</f>
        <v>1</v>
      </c>
      <c r="BA7" s="28">
        <f>Grupo!BA7</f>
        <v>2</v>
      </c>
      <c r="BB7" s="28">
        <f>Grupo!BB7</f>
        <v>0</v>
      </c>
      <c r="BC7" s="28">
        <f>Grupo!BC7</f>
        <v>0</v>
      </c>
      <c r="BD7" s="28">
        <f>Grupo!BD7</f>
        <v>3</v>
      </c>
      <c r="BE7" s="28">
        <f>Grupo!BE7</f>
        <v>0</v>
      </c>
      <c r="BF7" s="28">
        <f>Grupo!BF7</f>
        <v>3</v>
      </c>
      <c r="BG7" s="28">
        <f>Grupo!BG7</f>
        <v>2</v>
      </c>
      <c r="BH7" s="28">
        <f>Grupo!BH7</f>
        <v>0</v>
      </c>
      <c r="BI7" s="28">
        <f>Grupo!BI7</f>
        <v>1</v>
      </c>
      <c r="BJ7" s="28">
        <f>Grupo!BJ7</f>
        <v>1</v>
      </c>
      <c r="BK7" s="28">
        <f>Grupo!BK7</f>
        <v>1</v>
      </c>
      <c r="BL7" s="28">
        <f>Grupo!BL7</f>
        <v>0</v>
      </c>
      <c r="BM7" s="28">
        <f>Grupo!BM7</f>
        <v>2</v>
      </c>
      <c r="BN7" s="28">
        <f>Grupo!BN7</f>
        <v>1</v>
      </c>
      <c r="BO7" s="28">
        <f>Grupo!BO7</f>
        <v>1</v>
      </c>
      <c r="BP7" s="28">
        <f>Grupo!BP7</f>
        <v>3</v>
      </c>
      <c r="BQ7" s="28">
        <f>Grupo!BQ7</f>
        <v>0</v>
      </c>
      <c r="BR7" s="28">
        <f>Grupo!BR7</f>
        <v>0</v>
      </c>
      <c r="BS7" s="28">
        <f>Grupo!BS7</f>
        <v>2</v>
      </c>
      <c r="BT7" s="28">
        <f>Grupo!BT7</f>
        <v>0</v>
      </c>
      <c r="BU7" s="28">
        <f>Grupo!BU7</f>
        <v>0</v>
      </c>
      <c r="BV7" s="28">
        <f>Grupo!BV7</f>
        <v>2</v>
      </c>
      <c r="BW7" s="28">
        <f>Grupo!BW7</f>
        <v>1</v>
      </c>
      <c r="BX7" s="28">
        <f>Grupo!BX7</f>
        <v>0</v>
      </c>
      <c r="BY7" s="28">
        <f>Grupo!BY7</f>
        <v>2</v>
      </c>
      <c r="BZ7" s="28">
        <f>Grupo!BZ7</f>
        <v>0</v>
      </c>
      <c r="CA7" s="28">
        <f>Grupo!CA7</f>
        <v>1</v>
      </c>
      <c r="CB7" s="28">
        <f>Grupo!CB7</f>
        <v>1</v>
      </c>
      <c r="CC7" s="28">
        <f>Grupo!CC7</f>
        <v>1</v>
      </c>
      <c r="CD7" s="28">
        <f>Grupo!CD7</f>
        <v>0</v>
      </c>
      <c r="CE7" s="28">
        <f>Grupo!CE7</f>
        <v>2</v>
      </c>
      <c r="CF7" s="28">
        <f>Grupo!CF7</f>
        <v>1</v>
      </c>
      <c r="CG7" s="28">
        <f>Grupo!CG7</f>
        <v>1</v>
      </c>
      <c r="CH7" s="28">
        <f>Grupo!CH7</f>
        <v>4</v>
      </c>
      <c r="CI7" s="28">
        <f>Grupo!CI7</f>
        <v>0</v>
      </c>
      <c r="CJ7" s="28">
        <f>Grupo!CJ7</f>
        <v>1</v>
      </c>
      <c r="CK7" s="28">
        <f>Grupo!CK7</f>
        <v>1</v>
      </c>
      <c r="CL7" s="28">
        <f>Grupo!CL7</f>
        <v>2</v>
      </c>
      <c r="CM7" s="28">
        <f>Grupo!CM7</f>
        <v>1</v>
      </c>
      <c r="CN7" s="28">
        <f>Grupo!CN7</f>
        <v>2</v>
      </c>
      <c r="CO7" s="28">
        <f>Grupo!CO7</f>
        <v>1</v>
      </c>
      <c r="CP7" s="28">
        <f>Grupo!CP7</f>
        <v>0</v>
      </c>
      <c r="CQ7" s="28">
        <f>Grupo!CQ7</f>
        <v>2</v>
      </c>
      <c r="CR7" s="28">
        <f>Grupo!CR7</f>
        <v>0</v>
      </c>
      <c r="CS7" s="28">
        <f>Grupo!CS7</f>
        <v>3</v>
      </c>
      <c r="CT7" s="28">
        <f>Grupo!CT7</f>
        <v>2</v>
      </c>
      <c r="CU7" s="28">
        <f>Grupo!CU7</f>
        <v>1</v>
      </c>
      <c r="CV7" s="28">
        <f>Grupo!CV7</f>
        <v>3</v>
      </c>
      <c r="CW7" s="28">
        <f>Grupo!CW7</f>
        <v>3</v>
      </c>
      <c r="CX7" s="28">
        <f>Grupo!CX7</f>
        <v>0</v>
      </c>
      <c r="CY7" s="28">
        <f>Grupo!CY7</f>
        <v>0</v>
      </c>
      <c r="CZ7" s="28">
        <f>Grupo!CZ7</f>
        <v>2</v>
      </c>
      <c r="DA7" s="28">
        <f>Grupo!DA7</f>
        <v>1</v>
      </c>
      <c r="DB7" s="28">
        <f>Grupo!DB7</f>
        <v>1</v>
      </c>
      <c r="DC7" s="28">
        <f>Grupo!DC7</f>
        <v>1</v>
      </c>
      <c r="DD7" s="28">
        <f>Grupo!DD7</f>
        <v>2</v>
      </c>
      <c r="DE7" s="28">
        <f>Grupo!DE7</f>
        <v>1</v>
      </c>
      <c r="DF7" s="28">
        <f>Grupo!DF7</f>
        <v>3</v>
      </c>
      <c r="DG7" s="28">
        <f>Grupo!DG7</f>
        <v>0</v>
      </c>
      <c r="DH7" s="28">
        <f>Grupo!DH7</f>
        <v>0</v>
      </c>
      <c r="DI7" s="28">
        <f>Grupo!DI7</f>
        <v>3</v>
      </c>
      <c r="DJ7" s="28">
        <f>Grupo!DJ7</f>
        <v>0</v>
      </c>
      <c r="DK7" s="28">
        <f>Grupo!DK7</f>
        <v>1</v>
      </c>
      <c r="DL7" s="28">
        <f>Grupo!DL7</f>
        <v>2</v>
      </c>
      <c r="DM7" s="28">
        <f>Grupo!DM7</f>
        <v>1</v>
      </c>
      <c r="DN7" s="28">
        <f>Grupo!DN7</f>
        <v>0</v>
      </c>
      <c r="DO7" s="28">
        <f>Grupo!DO7</f>
        <v>1</v>
      </c>
      <c r="DP7" s="28">
        <f>Grupo!DP7</f>
        <v>2</v>
      </c>
      <c r="DQ7" s="28">
        <f>Grupo!DQ7</f>
        <v>1</v>
      </c>
      <c r="DR7" s="28">
        <f>Grupo!DR7</f>
        <v>1</v>
      </c>
      <c r="DS7" s="28">
        <f>Grupo!DS7</f>
        <v>1</v>
      </c>
      <c r="DT7" s="28">
        <f>Grupo!DT7</f>
        <v>0</v>
      </c>
      <c r="DU7" s="28">
        <f>Grupo!DU7</f>
        <v>3</v>
      </c>
      <c r="DV7" s="28">
        <f>Grupo!DV7</f>
        <v>0</v>
      </c>
      <c r="DW7" s="28">
        <f>Grupo!DW7</f>
        <v>3</v>
      </c>
      <c r="DX7" s="28">
        <f>Grupo!DX7</f>
        <v>2</v>
      </c>
      <c r="DY7" s="28">
        <f>Grupo!DY7</f>
        <v>0</v>
      </c>
      <c r="DZ7" s="28">
        <f>Grupo!DZ7</f>
        <v>3</v>
      </c>
      <c r="EA7" s="70">
        <f>Grupo!EA7</f>
        <v>1</v>
      </c>
      <c r="EB7" s="70">
        <f>Grupo!EB7</f>
        <v>2</v>
      </c>
      <c r="EC7" s="70">
        <f>Grupo!EC7</f>
        <v>3</v>
      </c>
      <c r="ED7" s="70">
        <f>Grupo!ED7</f>
        <v>2</v>
      </c>
      <c r="EE7" s="70">
        <f>Grupo!EE7</f>
        <v>0</v>
      </c>
      <c r="EF7" s="70">
        <f>Grupo!EF7</f>
        <v>0</v>
      </c>
      <c r="EG7" s="70">
        <f>Grupo!EG7</f>
        <v>0</v>
      </c>
      <c r="EH7" s="70">
        <f>Grupo!EH7</f>
        <v>2</v>
      </c>
      <c r="EI7" s="70">
        <f>Grupo!EI7</f>
        <v>1</v>
      </c>
      <c r="EJ7" s="70">
        <f>Grupo!EJ7</f>
        <v>3</v>
      </c>
      <c r="EK7" s="70">
        <f>Grupo!EK7</f>
        <v>1</v>
      </c>
      <c r="EL7" s="70">
        <f>Grupo!EL7</f>
        <v>1</v>
      </c>
      <c r="EM7" s="70">
        <f>Grupo!EM7</f>
        <v>3</v>
      </c>
      <c r="EN7" s="70">
        <f>Grupo!EN7</f>
        <v>0</v>
      </c>
      <c r="EO7" s="70">
        <f>Grupo!EO7</f>
        <v>1</v>
      </c>
      <c r="EP7" s="78">
        <f>Grupo!EP7</f>
        <v>3</v>
      </c>
      <c r="EQ7" s="78">
        <f>Grupo!EQ7</f>
        <v>1</v>
      </c>
      <c r="ER7" s="78">
        <f>Grupo!ER7</f>
        <v>0</v>
      </c>
      <c r="ES7" s="78">
        <f>Grupo!ES7</f>
        <v>2</v>
      </c>
      <c r="ET7" s="78">
        <f>Grupo!ET7</f>
        <v>0</v>
      </c>
      <c r="EU7" s="78">
        <f>Grupo!EU7</f>
        <v>1</v>
      </c>
      <c r="EV7" s="78">
        <f>Grupo!EV7</f>
        <v>1</v>
      </c>
      <c r="EW7" s="78">
        <f>Grupo!EW7</f>
        <v>1</v>
      </c>
      <c r="EX7" s="78">
        <f>Grupo!EX7</f>
        <v>0</v>
      </c>
      <c r="EY7" s="78">
        <f>Grupo!EY7</f>
        <v>2</v>
      </c>
      <c r="EZ7" s="78">
        <f>Grupo!EZ7</f>
        <v>1</v>
      </c>
      <c r="FA7" s="78">
        <f>Grupo!FA7</f>
        <v>1</v>
      </c>
      <c r="FB7" s="78">
        <f>Grupo!FB7</f>
        <v>1</v>
      </c>
      <c r="FC7" s="78">
        <f>Grupo!FC7</f>
        <v>1</v>
      </c>
      <c r="FD7" s="78">
        <f>Grupo!FD7</f>
        <v>0</v>
      </c>
      <c r="FE7" s="78">
        <f>Grupo!FE7</f>
        <v>2</v>
      </c>
      <c r="FF7" s="78">
        <f>Grupo!FF7</f>
        <v>1</v>
      </c>
      <c r="FG7" s="78">
        <f>Grupo!FG7</f>
        <v>1</v>
      </c>
      <c r="FH7" s="78">
        <f>Grupo!FH7</f>
        <v>3</v>
      </c>
      <c r="FI7" s="78">
        <f>Grupo!FI7</f>
        <v>0</v>
      </c>
      <c r="FJ7" s="78">
        <f>Grupo!FJ7</f>
        <v>0</v>
      </c>
      <c r="FK7" s="78">
        <f>Grupo!FK7</f>
        <v>2</v>
      </c>
      <c r="FL7" s="78">
        <f>Grupo!FL7</f>
        <v>1</v>
      </c>
      <c r="FM7" s="78">
        <f>Grupo!FM7</f>
        <v>3</v>
      </c>
      <c r="FN7" s="78">
        <f>Grupo!FN7</f>
        <v>1</v>
      </c>
      <c r="FO7" s="78">
        <f>Grupo!FO7</f>
        <v>1</v>
      </c>
      <c r="FP7" s="78">
        <f>Grupo!FP7</f>
        <v>3</v>
      </c>
      <c r="FQ7" s="78">
        <f>Grupo!FQ7</f>
        <v>2</v>
      </c>
      <c r="FR7" s="78">
        <f>Grupo!FR7</f>
        <v>0</v>
      </c>
      <c r="FS7" s="78">
        <f>Grupo!FS7</f>
        <v>0</v>
      </c>
      <c r="FT7" s="78">
        <f>Grupo!FT7</f>
        <v>1</v>
      </c>
      <c r="FU7" s="78">
        <f>Grupo!FU7</f>
        <v>1</v>
      </c>
      <c r="FV7" s="78">
        <f>Grupo!FV7</f>
        <v>0</v>
      </c>
      <c r="FW7" s="78">
        <f>Grupo!FW7</f>
        <v>2</v>
      </c>
      <c r="FX7" s="78">
        <f>Grupo!FX7</f>
        <v>1</v>
      </c>
      <c r="FY7" s="78">
        <f>Grupo!FY7</f>
        <v>0</v>
      </c>
      <c r="FZ7" s="78">
        <f>Grupo!FZ7</f>
        <v>2</v>
      </c>
      <c r="GA7" s="78">
        <f>Grupo!GA7</f>
        <v>1</v>
      </c>
      <c r="GB7" s="78">
        <f>Grupo!GB7</f>
        <v>0</v>
      </c>
      <c r="GC7" s="78">
        <f>Grupo!GC7</f>
        <v>2</v>
      </c>
      <c r="GD7" s="78">
        <f>Grupo!GD7</f>
        <v>0</v>
      </c>
      <c r="GE7" s="78">
        <f>Grupo!GE7</f>
        <v>1</v>
      </c>
      <c r="GF7" s="78">
        <f>Grupo!GF7</f>
        <v>1</v>
      </c>
      <c r="GG7" s="78">
        <f>Grupo!GG7</f>
        <v>1</v>
      </c>
      <c r="GH7" s="78">
        <f>Grupo!GH7</f>
        <v>3</v>
      </c>
      <c r="GI7" s="78">
        <f>Grupo!GI7</f>
        <v>3</v>
      </c>
      <c r="GJ7" s="78">
        <f>Grupo!GJ7</f>
        <v>0</v>
      </c>
      <c r="GK7" s="78">
        <f>Grupo!GK7</f>
        <v>0</v>
      </c>
      <c r="GL7" s="78">
        <f>Grupo!GL7</f>
        <v>1</v>
      </c>
      <c r="GM7" s="78">
        <f>Grupo!GM7</f>
        <v>1</v>
      </c>
      <c r="GN7" s="78">
        <f>Grupo!GN7</f>
        <v>1</v>
      </c>
      <c r="GO7" s="78">
        <f>Grupo!GO7</f>
        <v>2</v>
      </c>
      <c r="GP7" s="78">
        <f>Grupo!GP7</f>
        <v>2</v>
      </c>
      <c r="GQ7" s="78">
        <f>Grupo!GQ7</f>
        <v>0</v>
      </c>
      <c r="GR7" s="79">
        <f>Grupo!GR7</f>
        <v>2</v>
      </c>
      <c r="GS7" s="79">
        <f>Grupo!GS7</f>
        <v>1</v>
      </c>
      <c r="GT7" s="79" t="str">
        <f>Grupo!GT7</f>
        <v/>
      </c>
      <c r="GU7" s="79">
        <f>Grupo!GU7</f>
        <v>2</v>
      </c>
      <c r="GV7" s="79">
        <f>Grupo!GV7</f>
        <v>1</v>
      </c>
      <c r="GW7" s="79" t="str">
        <f>Grupo!GW7</f>
        <v/>
      </c>
      <c r="GX7" s="76">
        <f>Grupo!GX7</f>
        <v>1</v>
      </c>
      <c r="GY7" s="76">
        <f>Grupo!GY7</f>
        <v>1</v>
      </c>
      <c r="GZ7" s="76" t="str">
        <f>Grupo!GZ7</f>
        <v/>
      </c>
      <c r="HA7" s="76">
        <f>Grupo!HA7</f>
        <v>2</v>
      </c>
      <c r="HB7" s="76">
        <f>Grupo!HB7</f>
        <v>3</v>
      </c>
      <c r="HC7" s="76" t="str">
        <f>Grupo!HC7</f>
        <v/>
      </c>
      <c r="HD7" s="76">
        <f>Grupo!HD7</f>
        <v>1</v>
      </c>
      <c r="HE7" s="76">
        <f>Grupo!HE7</f>
        <v>1</v>
      </c>
      <c r="HF7" s="76" t="str">
        <f>Grupo!HF7</f>
        <v/>
      </c>
      <c r="HG7" s="76">
        <f>Grupo!HG7</f>
        <v>2</v>
      </c>
      <c r="HH7" s="76">
        <f>Grupo!HH7</f>
        <v>1</v>
      </c>
      <c r="HI7" s="76" t="str">
        <f>Grupo!HI7</f>
        <v/>
      </c>
      <c r="HJ7" s="32">
        <f>Grupo!HJ7</f>
        <v>52</v>
      </c>
      <c r="HK7" s="25" t="s">
        <v>17</v>
      </c>
    </row>
    <row r="8" spans="1:220" ht="20.25" customHeight="1" thickBot="1" x14ac:dyDescent="0.35">
      <c r="A8" s="34" t="str">
        <f>Grupo!A8</f>
        <v>Antonio</v>
      </c>
      <c r="B8" s="28">
        <f>Grupo!B8</f>
        <v>2</v>
      </c>
      <c r="C8" s="28">
        <f>Grupo!C8</f>
        <v>0</v>
      </c>
      <c r="D8" s="28">
        <f>Grupo!D8</f>
        <v>3</v>
      </c>
      <c r="E8" s="28">
        <f>Grupo!E8</f>
        <v>1</v>
      </c>
      <c r="F8" s="28">
        <f>Grupo!F8</f>
        <v>1</v>
      </c>
      <c r="G8" s="28">
        <f>Grupo!G8</f>
        <v>0</v>
      </c>
      <c r="H8" s="28">
        <f>Grupo!H8</f>
        <v>3</v>
      </c>
      <c r="I8" s="28">
        <f>Grupo!I8</f>
        <v>1</v>
      </c>
      <c r="J8" s="28">
        <f>Grupo!J8</f>
        <v>0</v>
      </c>
      <c r="K8" s="28">
        <f>Grupo!K8</f>
        <v>2</v>
      </c>
      <c r="L8" s="28">
        <f>Grupo!L8</f>
        <v>0</v>
      </c>
      <c r="M8" s="28">
        <f>Grupo!M8</f>
        <v>1</v>
      </c>
      <c r="N8" s="28">
        <f>Grupo!N8</f>
        <v>0</v>
      </c>
      <c r="O8" s="28">
        <f>Grupo!O8</f>
        <v>3</v>
      </c>
      <c r="P8" s="28">
        <f>Grupo!P8</f>
        <v>1</v>
      </c>
      <c r="Q8" s="28">
        <f>Grupo!Q8</f>
        <v>1</v>
      </c>
      <c r="R8" s="28">
        <f>Grupo!R8</f>
        <v>2</v>
      </c>
      <c r="S8" s="28">
        <f>Grupo!S8</f>
        <v>0</v>
      </c>
      <c r="T8" s="28">
        <f>Grupo!T8</f>
        <v>2</v>
      </c>
      <c r="U8" s="28">
        <f>Grupo!U8</f>
        <v>2</v>
      </c>
      <c r="V8" s="28">
        <f>Grupo!V8</f>
        <v>1</v>
      </c>
      <c r="W8" s="28">
        <f>Grupo!W8</f>
        <v>0</v>
      </c>
      <c r="X8" s="28">
        <f>Grupo!X8</f>
        <v>2</v>
      </c>
      <c r="Y8" s="28">
        <f>Grupo!Y8</f>
        <v>0</v>
      </c>
      <c r="Z8" s="28">
        <f>Grupo!Z8</f>
        <v>1</v>
      </c>
      <c r="AA8" s="28">
        <f>Grupo!AA8</f>
        <v>1</v>
      </c>
      <c r="AB8" s="28">
        <f>Grupo!AB8</f>
        <v>0</v>
      </c>
      <c r="AC8" s="28">
        <f>Grupo!AC8</f>
        <v>4</v>
      </c>
      <c r="AD8" s="28">
        <f>Grupo!AD8</f>
        <v>0</v>
      </c>
      <c r="AE8" s="28">
        <f>Grupo!AE8</f>
        <v>1</v>
      </c>
      <c r="AF8" s="28">
        <f>Grupo!AF8</f>
        <v>3</v>
      </c>
      <c r="AG8" s="28">
        <f>Grupo!AG8</f>
        <v>0</v>
      </c>
      <c r="AH8" s="28">
        <f>Grupo!AH8</f>
        <v>0</v>
      </c>
      <c r="AI8" s="28">
        <f>Grupo!AI8</f>
        <v>2</v>
      </c>
      <c r="AJ8" s="28">
        <f>Grupo!AJ8</f>
        <v>1</v>
      </c>
      <c r="AK8" s="28">
        <f>Grupo!AK8</f>
        <v>1</v>
      </c>
      <c r="AL8" s="28">
        <f>Grupo!AL8</f>
        <v>0</v>
      </c>
      <c r="AM8" s="28">
        <f>Grupo!AM8</f>
        <v>1</v>
      </c>
      <c r="AN8" s="28">
        <f>Grupo!AN8</f>
        <v>0</v>
      </c>
      <c r="AO8" s="28">
        <f>Grupo!AO8</f>
        <v>3</v>
      </c>
      <c r="AP8" s="28">
        <f>Grupo!AP8</f>
        <v>0</v>
      </c>
      <c r="AQ8" s="28">
        <f>Grupo!AQ8</f>
        <v>0</v>
      </c>
      <c r="AR8" s="28">
        <f>Grupo!AR8</f>
        <v>0</v>
      </c>
      <c r="AS8" s="28">
        <f>Grupo!AS8</f>
        <v>2</v>
      </c>
      <c r="AT8" s="28">
        <f>Grupo!AT8</f>
        <v>0</v>
      </c>
      <c r="AU8" s="28">
        <f>Grupo!AU8</f>
        <v>3</v>
      </c>
      <c r="AV8" s="28">
        <f>Grupo!AV8</f>
        <v>1</v>
      </c>
      <c r="AW8" s="28">
        <f>Grupo!AW8</f>
        <v>0</v>
      </c>
      <c r="AX8" s="28">
        <f>Grupo!AX8</f>
        <v>4</v>
      </c>
      <c r="AY8" s="28">
        <f>Grupo!AY8</f>
        <v>0</v>
      </c>
      <c r="AZ8" s="28">
        <f>Grupo!AZ8</f>
        <v>1</v>
      </c>
      <c r="BA8" s="28">
        <f>Grupo!BA8</f>
        <v>0</v>
      </c>
      <c r="BB8" s="28">
        <f>Grupo!BB8</f>
        <v>1</v>
      </c>
      <c r="BC8" s="28">
        <f>Grupo!BC8</f>
        <v>1</v>
      </c>
      <c r="BD8" s="28">
        <f>Grupo!BD8</f>
        <v>3</v>
      </c>
      <c r="BE8" s="28">
        <f>Grupo!BE8</f>
        <v>1</v>
      </c>
      <c r="BF8" s="28">
        <f>Grupo!BF8</f>
        <v>1</v>
      </c>
      <c r="BG8" s="28">
        <f>Grupo!BG8</f>
        <v>2</v>
      </c>
      <c r="BH8" s="28">
        <f>Grupo!BH8</f>
        <v>1</v>
      </c>
      <c r="BI8" s="28">
        <f>Grupo!BI8</f>
        <v>1</v>
      </c>
      <c r="BJ8" s="28">
        <f>Grupo!BJ8</f>
        <v>0</v>
      </c>
      <c r="BK8" s="28">
        <f>Grupo!BK8</f>
        <v>1</v>
      </c>
      <c r="BL8" s="28">
        <f>Grupo!BL8</f>
        <v>0</v>
      </c>
      <c r="BM8" s="28">
        <f>Grupo!BM8</f>
        <v>3</v>
      </c>
      <c r="BN8" s="28">
        <f>Grupo!BN8</f>
        <v>2</v>
      </c>
      <c r="BO8" s="28">
        <f>Grupo!BO8</f>
        <v>1</v>
      </c>
      <c r="BP8" s="28">
        <f>Grupo!BP8</f>
        <v>4</v>
      </c>
      <c r="BQ8" s="28">
        <f>Grupo!BQ8</f>
        <v>0</v>
      </c>
      <c r="BR8" s="28">
        <f>Grupo!BR8</f>
        <v>0</v>
      </c>
      <c r="BS8" s="28">
        <f>Grupo!BS8</f>
        <v>0</v>
      </c>
      <c r="BT8" s="28">
        <f>Grupo!BT8</f>
        <v>4</v>
      </c>
      <c r="BU8" s="28">
        <f>Grupo!BU8</f>
        <v>1</v>
      </c>
      <c r="BV8" s="28">
        <f>Grupo!BV8</f>
        <v>0</v>
      </c>
      <c r="BW8" s="28">
        <f>Grupo!BW8</f>
        <v>1</v>
      </c>
      <c r="BX8" s="28">
        <f>Grupo!BX8</f>
        <v>0</v>
      </c>
      <c r="BY8" s="28">
        <f>Grupo!BY8</f>
        <v>3</v>
      </c>
      <c r="BZ8" s="28">
        <f>Grupo!BZ8</f>
        <v>2</v>
      </c>
      <c r="CA8" s="28">
        <f>Grupo!CA8</f>
        <v>1</v>
      </c>
      <c r="CB8" s="28">
        <f>Grupo!CB8</f>
        <v>2</v>
      </c>
      <c r="CC8" s="28">
        <f>Grupo!CC8</f>
        <v>1</v>
      </c>
      <c r="CD8" s="28">
        <f>Grupo!CD8</f>
        <v>1</v>
      </c>
      <c r="CE8" s="28">
        <f>Grupo!CE8</f>
        <v>3</v>
      </c>
      <c r="CF8" s="28">
        <f>Grupo!CF8</f>
        <v>1</v>
      </c>
      <c r="CG8" s="28">
        <f>Grupo!CG8</f>
        <v>1</v>
      </c>
      <c r="CH8" s="28">
        <f>Grupo!CH8</f>
        <v>5</v>
      </c>
      <c r="CI8" s="28">
        <f>Grupo!CI8</f>
        <v>0</v>
      </c>
      <c r="CJ8" s="28">
        <f>Grupo!CJ8</f>
        <v>1</v>
      </c>
      <c r="CK8" s="28">
        <f>Grupo!CK8</f>
        <v>0</v>
      </c>
      <c r="CL8" s="28">
        <f>Grupo!CL8</f>
        <v>2</v>
      </c>
      <c r="CM8" s="28">
        <f>Grupo!CM8</f>
        <v>1</v>
      </c>
      <c r="CN8" s="28">
        <f>Grupo!CN8</f>
        <v>1</v>
      </c>
      <c r="CO8" s="28">
        <f>Grupo!CO8</f>
        <v>0</v>
      </c>
      <c r="CP8" s="28">
        <f>Grupo!CP8</f>
        <v>0</v>
      </c>
      <c r="CQ8" s="28">
        <f>Grupo!CQ8</f>
        <v>2</v>
      </c>
      <c r="CR8" s="28">
        <f>Grupo!CR8</f>
        <v>1</v>
      </c>
      <c r="CS8" s="28">
        <f>Grupo!CS8</f>
        <v>1</v>
      </c>
      <c r="CT8" s="28">
        <f>Grupo!CT8</f>
        <v>4</v>
      </c>
      <c r="CU8" s="28">
        <f>Grupo!CU8</f>
        <v>0</v>
      </c>
      <c r="CV8" s="28">
        <f>Grupo!CV8</f>
        <v>1</v>
      </c>
      <c r="CW8" s="28">
        <f>Grupo!CW8</f>
        <v>2</v>
      </c>
      <c r="CX8" s="28">
        <f>Grupo!CX8</f>
        <v>0</v>
      </c>
      <c r="CY8" s="28">
        <f>Grupo!CY8</f>
        <v>0</v>
      </c>
      <c r="CZ8" s="28">
        <f>Grupo!CZ8</f>
        <v>3</v>
      </c>
      <c r="DA8" s="28">
        <f>Grupo!DA8</f>
        <v>0</v>
      </c>
      <c r="DB8" s="28">
        <f>Grupo!DB8</f>
        <v>1</v>
      </c>
      <c r="DC8" s="28">
        <f>Grupo!DC8</f>
        <v>1</v>
      </c>
      <c r="DD8" s="28">
        <f>Grupo!DD8</f>
        <v>1</v>
      </c>
      <c r="DE8" s="28">
        <f>Grupo!DE8</f>
        <v>0</v>
      </c>
      <c r="DF8" s="28">
        <f>Grupo!DF8</f>
        <v>3</v>
      </c>
      <c r="DG8" s="28">
        <f>Grupo!DG8</f>
        <v>1</v>
      </c>
      <c r="DH8" s="28">
        <f>Grupo!DH8</f>
        <v>0</v>
      </c>
      <c r="DI8" s="28">
        <f>Grupo!DI8</f>
        <v>3</v>
      </c>
      <c r="DJ8" s="28">
        <f>Grupo!DJ8</f>
        <v>0</v>
      </c>
      <c r="DK8" s="28">
        <f>Grupo!DK8</f>
        <v>1</v>
      </c>
      <c r="DL8" s="28">
        <f>Grupo!DL8</f>
        <v>4</v>
      </c>
      <c r="DM8" s="28">
        <f>Grupo!DM8</f>
        <v>1</v>
      </c>
      <c r="DN8" s="28">
        <f>Grupo!DN8</f>
        <v>0</v>
      </c>
      <c r="DO8" s="28">
        <f>Grupo!DO8</f>
        <v>1</v>
      </c>
      <c r="DP8" s="28">
        <f>Grupo!DP8</f>
        <v>0</v>
      </c>
      <c r="DQ8" s="28">
        <f>Grupo!DQ8</f>
        <v>0</v>
      </c>
      <c r="DR8" s="28">
        <f>Grupo!DR8</f>
        <v>2</v>
      </c>
      <c r="DS8" s="28">
        <f>Grupo!DS8</f>
        <v>1</v>
      </c>
      <c r="DT8" s="28">
        <f>Grupo!DT8</f>
        <v>1</v>
      </c>
      <c r="DU8" s="28">
        <f>Grupo!DU8</f>
        <v>4</v>
      </c>
      <c r="DV8" s="28">
        <f>Grupo!DV8</f>
        <v>1</v>
      </c>
      <c r="DW8" s="28">
        <f>Grupo!DW8</f>
        <v>1</v>
      </c>
      <c r="DX8" s="28">
        <f>Grupo!DX8</f>
        <v>2</v>
      </c>
      <c r="DY8" s="28">
        <f>Grupo!DY8</f>
        <v>0</v>
      </c>
      <c r="DZ8" s="28">
        <f>Grupo!DZ8</f>
        <v>3</v>
      </c>
      <c r="EA8" s="70">
        <f>Grupo!EA8</f>
        <v>1</v>
      </c>
      <c r="EB8" s="70">
        <f>Grupo!EB8</f>
        <v>1</v>
      </c>
      <c r="EC8" s="70">
        <f>Grupo!EC8</f>
        <v>0</v>
      </c>
      <c r="ED8" s="70">
        <f>Grupo!ED8</f>
        <v>4</v>
      </c>
      <c r="EE8" s="70">
        <f>Grupo!EE8</f>
        <v>2</v>
      </c>
      <c r="EF8" s="70">
        <f>Grupo!EF8</f>
        <v>0</v>
      </c>
      <c r="EG8" s="70">
        <f>Grupo!EG8</f>
        <v>2</v>
      </c>
      <c r="EH8" s="70">
        <f>Grupo!EH8</f>
        <v>2</v>
      </c>
      <c r="EI8" s="70">
        <f>Grupo!EI8</f>
        <v>0</v>
      </c>
      <c r="EJ8" s="70">
        <f>Grupo!EJ8</f>
        <v>5</v>
      </c>
      <c r="EK8" s="70">
        <f>Grupo!EK8</f>
        <v>0</v>
      </c>
      <c r="EL8" s="70">
        <f>Grupo!EL8</f>
        <v>3</v>
      </c>
      <c r="EM8" s="70">
        <f>Grupo!EM8</f>
        <v>3</v>
      </c>
      <c r="EN8" s="70">
        <f>Grupo!EN8</f>
        <v>0</v>
      </c>
      <c r="EO8" s="70">
        <f>Grupo!EO8</f>
        <v>1</v>
      </c>
      <c r="EP8" s="78">
        <f>Grupo!EP8</f>
        <v>2</v>
      </c>
      <c r="EQ8" s="78">
        <f>Grupo!EQ8</f>
        <v>2</v>
      </c>
      <c r="ER8" s="78">
        <f>Grupo!ER8</f>
        <v>0</v>
      </c>
      <c r="ES8" s="78">
        <f>Grupo!ES8</f>
        <v>3</v>
      </c>
      <c r="ET8" s="78">
        <f>Grupo!ET8</f>
        <v>0</v>
      </c>
      <c r="EU8" s="78">
        <f>Grupo!EU8</f>
        <v>1</v>
      </c>
      <c r="EV8" s="78">
        <f>Grupo!EV8</f>
        <v>2</v>
      </c>
      <c r="EW8" s="78">
        <f>Grupo!EW8</f>
        <v>2</v>
      </c>
      <c r="EX8" s="78">
        <f>Grupo!EX8</f>
        <v>0</v>
      </c>
      <c r="EY8" s="78">
        <f>Grupo!EY8</f>
        <v>2</v>
      </c>
      <c r="EZ8" s="78">
        <f>Grupo!EZ8</f>
        <v>1</v>
      </c>
      <c r="FA8" s="78">
        <f>Grupo!FA8</f>
        <v>1</v>
      </c>
      <c r="FB8" s="78">
        <f>Grupo!FB8</f>
        <v>1</v>
      </c>
      <c r="FC8" s="78">
        <f>Grupo!FC8</f>
        <v>3</v>
      </c>
      <c r="FD8" s="78">
        <f>Grupo!FD8</f>
        <v>1</v>
      </c>
      <c r="FE8" s="78">
        <f>Grupo!FE8</f>
        <v>1</v>
      </c>
      <c r="FF8" s="78">
        <f>Grupo!FF8</f>
        <v>2</v>
      </c>
      <c r="FG8" s="78">
        <f>Grupo!FG8</f>
        <v>0</v>
      </c>
      <c r="FH8" s="78">
        <f>Grupo!FH8</f>
        <v>1</v>
      </c>
      <c r="FI8" s="78">
        <f>Grupo!FI8</f>
        <v>1</v>
      </c>
      <c r="FJ8" s="78">
        <f>Grupo!FJ8</f>
        <v>0</v>
      </c>
      <c r="FK8" s="78">
        <f>Grupo!FK8</f>
        <v>1</v>
      </c>
      <c r="FL8" s="78">
        <f>Grupo!FL8</f>
        <v>2</v>
      </c>
      <c r="FM8" s="78">
        <f>Grupo!FM8</f>
        <v>0</v>
      </c>
      <c r="FN8" s="78">
        <f>Grupo!FN8</f>
        <v>2</v>
      </c>
      <c r="FO8" s="78">
        <f>Grupo!FO8</f>
        <v>1</v>
      </c>
      <c r="FP8" s="78">
        <f>Grupo!FP8</f>
        <v>0</v>
      </c>
      <c r="FQ8" s="78">
        <f>Grupo!FQ8</f>
        <v>0</v>
      </c>
      <c r="FR8" s="78">
        <f>Grupo!FR8</f>
        <v>2</v>
      </c>
      <c r="FS8" s="78">
        <f>Grupo!FS8</f>
        <v>1</v>
      </c>
      <c r="FT8" s="78">
        <f>Grupo!FT8</f>
        <v>1</v>
      </c>
      <c r="FU8" s="78">
        <f>Grupo!FU8</f>
        <v>2</v>
      </c>
      <c r="FV8" s="78">
        <f>Grupo!FV8</f>
        <v>0</v>
      </c>
      <c r="FW8" s="78">
        <f>Grupo!FW8</f>
        <v>0</v>
      </c>
      <c r="FX8" s="78">
        <f>Grupo!FX8</f>
        <v>1</v>
      </c>
      <c r="FY8" s="78">
        <f>Grupo!FY8</f>
        <v>0</v>
      </c>
      <c r="FZ8" s="78">
        <f>Grupo!FZ8</f>
        <v>1</v>
      </c>
      <c r="GA8" s="78">
        <f>Grupo!GA8</f>
        <v>3</v>
      </c>
      <c r="GB8" s="78">
        <f>Grupo!GB8</f>
        <v>1</v>
      </c>
      <c r="GC8" s="78">
        <f>Grupo!GC8</f>
        <v>1</v>
      </c>
      <c r="GD8" s="78">
        <f>Grupo!GD8</f>
        <v>0</v>
      </c>
      <c r="GE8" s="78">
        <f>Grupo!GE8</f>
        <v>1</v>
      </c>
      <c r="GF8" s="78">
        <f>Grupo!GF8</f>
        <v>2</v>
      </c>
      <c r="GG8" s="78">
        <f>Grupo!GG8</f>
        <v>0</v>
      </c>
      <c r="GH8" s="78">
        <f>Grupo!GH8</f>
        <v>0</v>
      </c>
      <c r="GI8" s="78">
        <f>Grupo!GI8</f>
        <v>1</v>
      </c>
      <c r="GJ8" s="78">
        <f>Grupo!GJ8</f>
        <v>3</v>
      </c>
      <c r="GK8" s="78">
        <f>Grupo!GK8</f>
        <v>1</v>
      </c>
      <c r="GL8" s="78">
        <f>Grupo!GL8</f>
        <v>0</v>
      </c>
      <c r="GM8" s="78">
        <f>Grupo!GM8</f>
        <v>1</v>
      </c>
      <c r="GN8" s="78">
        <f>Grupo!GN8</f>
        <v>0</v>
      </c>
      <c r="GO8" s="78">
        <f>Grupo!GO8</f>
        <v>1</v>
      </c>
      <c r="GP8" s="78">
        <f>Grupo!GP8</f>
        <v>1</v>
      </c>
      <c r="GQ8" s="78">
        <f>Grupo!GQ8</f>
        <v>0</v>
      </c>
      <c r="GR8" s="79">
        <f>Grupo!GR8</f>
        <v>1</v>
      </c>
      <c r="GS8" s="79">
        <f>Grupo!GS8</f>
        <v>2</v>
      </c>
      <c r="GT8" s="79" t="str">
        <f>Grupo!GT8</f>
        <v/>
      </c>
      <c r="GU8" s="79">
        <f>Grupo!GU8</f>
        <v>2</v>
      </c>
      <c r="GV8" s="79">
        <f>Grupo!GV8</f>
        <v>1</v>
      </c>
      <c r="GW8" s="79" t="str">
        <f>Grupo!GW8</f>
        <v/>
      </c>
      <c r="GX8" s="76">
        <f>Grupo!GX8</f>
        <v>0</v>
      </c>
      <c r="GY8" s="76">
        <f>Grupo!GY8</f>
        <v>1</v>
      </c>
      <c r="GZ8" s="76" t="str">
        <f>Grupo!GZ8</f>
        <v/>
      </c>
      <c r="HA8" s="76">
        <f>Grupo!HA8</f>
        <v>0</v>
      </c>
      <c r="HB8" s="76">
        <f>Grupo!HB8</f>
        <v>3</v>
      </c>
      <c r="HC8" s="76" t="str">
        <f>Grupo!HC8</f>
        <v/>
      </c>
      <c r="HD8" s="76">
        <f>Grupo!HD8</f>
        <v>1</v>
      </c>
      <c r="HE8" s="76">
        <f>Grupo!HE8</f>
        <v>2</v>
      </c>
      <c r="HF8" s="76" t="str">
        <f>Grupo!HF8</f>
        <v/>
      </c>
      <c r="HG8" s="76">
        <f>Grupo!HG8</f>
        <v>0</v>
      </c>
      <c r="HH8" s="76">
        <f>Grupo!HH8</f>
        <v>0</v>
      </c>
      <c r="HI8" s="76" t="str">
        <f>Grupo!HI8</f>
        <v/>
      </c>
      <c r="HJ8" s="32">
        <f>Grupo!HJ8</f>
        <v>39</v>
      </c>
      <c r="HK8" s="25" t="s">
        <v>20</v>
      </c>
    </row>
    <row r="9" spans="1:220" ht="20.25" customHeight="1" thickBot="1" x14ac:dyDescent="0.35">
      <c r="A9" s="34" t="str">
        <f>Grupo!A9</f>
        <v>Carlos</v>
      </c>
      <c r="B9" s="28">
        <f>Grupo!B9</f>
        <v>2</v>
      </c>
      <c r="C9" s="28">
        <f>Grupo!C9</f>
        <v>1</v>
      </c>
      <c r="D9" s="28">
        <f>Grupo!D9</f>
        <v>1</v>
      </c>
      <c r="E9" s="28">
        <f>Grupo!E9</f>
        <v>1</v>
      </c>
      <c r="F9" s="28">
        <f>Grupo!F9</f>
        <v>1</v>
      </c>
      <c r="G9" s="28">
        <f>Grupo!G9</f>
        <v>0</v>
      </c>
      <c r="H9" s="28">
        <f>Grupo!H9</f>
        <v>2</v>
      </c>
      <c r="I9" s="28">
        <f>Grupo!I9</f>
        <v>1</v>
      </c>
      <c r="J9" s="28">
        <f>Grupo!J9</f>
        <v>0</v>
      </c>
      <c r="K9" s="28">
        <f>Grupo!K9</f>
        <v>2</v>
      </c>
      <c r="L9" s="28">
        <f>Grupo!L9</f>
        <v>0</v>
      </c>
      <c r="M9" s="28">
        <f>Grupo!M9</f>
        <v>1</v>
      </c>
      <c r="N9" s="28">
        <f>Grupo!N9</f>
        <v>0</v>
      </c>
      <c r="O9" s="28">
        <f>Grupo!O9</f>
        <v>2</v>
      </c>
      <c r="P9" s="28">
        <f>Grupo!P9</f>
        <v>1</v>
      </c>
      <c r="Q9" s="28">
        <f>Grupo!Q9</f>
        <v>1</v>
      </c>
      <c r="R9" s="28">
        <f>Grupo!R9</f>
        <v>2</v>
      </c>
      <c r="S9" s="28">
        <f>Grupo!S9</f>
        <v>0</v>
      </c>
      <c r="T9" s="28">
        <f>Grupo!T9</f>
        <v>2</v>
      </c>
      <c r="U9" s="28">
        <f>Grupo!U9</f>
        <v>1</v>
      </c>
      <c r="V9" s="28">
        <f>Grupo!V9</f>
        <v>0</v>
      </c>
      <c r="W9" s="28">
        <f>Grupo!W9</f>
        <v>0</v>
      </c>
      <c r="X9" s="28">
        <f>Grupo!X9</f>
        <v>2</v>
      </c>
      <c r="Y9" s="28">
        <f>Grupo!Y9</f>
        <v>0</v>
      </c>
      <c r="Z9" s="28">
        <f>Grupo!Z9</f>
        <v>1</v>
      </c>
      <c r="AA9" s="28">
        <f>Grupo!AA9</f>
        <v>1</v>
      </c>
      <c r="AB9" s="28">
        <f>Grupo!AB9</f>
        <v>0</v>
      </c>
      <c r="AC9" s="28">
        <f>Grupo!AC9</f>
        <v>5</v>
      </c>
      <c r="AD9" s="28">
        <f>Grupo!AD9</f>
        <v>0</v>
      </c>
      <c r="AE9" s="28">
        <f>Grupo!AE9</f>
        <v>1</v>
      </c>
      <c r="AF9" s="28">
        <f>Grupo!AF9</f>
        <v>2</v>
      </c>
      <c r="AG9" s="28">
        <f>Grupo!AG9</f>
        <v>1</v>
      </c>
      <c r="AH9" s="28">
        <f>Grupo!AH9</f>
        <v>0</v>
      </c>
      <c r="AI9" s="28">
        <f>Grupo!AI9</f>
        <v>2</v>
      </c>
      <c r="AJ9" s="28">
        <f>Grupo!AJ9</f>
        <v>0</v>
      </c>
      <c r="AK9" s="28">
        <f>Grupo!AK9</f>
        <v>1</v>
      </c>
      <c r="AL9" s="28">
        <f>Grupo!AL9</f>
        <v>0</v>
      </c>
      <c r="AM9" s="28">
        <f>Grupo!AM9</f>
        <v>2</v>
      </c>
      <c r="AN9" s="28">
        <f>Grupo!AN9</f>
        <v>0</v>
      </c>
      <c r="AO9" s="28">
        <f>Grupo!AO9</f>
        <v>4</v>
      </c>
      <c r="AP9" s="28">
        <f>Grupo!AP9</f>
        <v>0</v>
      </c>
      <c r="AQ9" s="28">
        <f>Grupo!AQ9</f>
        <v>0</v>
      </c>
      <c r="AR9" s="28">
        <f>Grupo!AR9</f>
        <v>2</v>
      </c>
      <c r="AS9" s="28">
        <f>Grupo!AS9</f>
        <v>0</v>
      </c>
      <c r="AT9" s="28">
        <f>Grupo!AT9</f>
        <v>0</v>
      </c>
      <c r="AU9" s="28">
        <f>Grupo!AU9</f>
        <v>2</v>
      </c>
      <c r="AV9" s="28">
        <f>Grupo!AV9</f>
        <v>0</v>
      </c>
      <c r="AW9" s="28">
        <f>Grupo!AW9</f>
        <v>0</v>
      </c>
      <c r="AX9" s="28">
        <f>Grupo!AX9</f>
        <v>2</v>
      </c>
      <c r="AY9" s="28">
        <f>Grupo!AY9</f>
        <v>1</v>
      </c>
      <c r="AZ9" s="28">
        <f>Grupo!AZ9</f>
        <v>1</v>
      </c>
      <c r="BA9" s="28">
        <f>Grupo!BA9</f>
        <v>0</v>
      </c>
      <c r="BB9" s="28">
        <f>Grupo!BB9</f>
        <v>3</v>
      </c>
      <c r="BC9" s="28">
        <f>Grupo!BC9</f>
        <v>1</v>
      </c>
      <c r="BD9" s="28">
        <f>Grupo!BD9</f>
        <v>3</v>
      </c>
      <c r="BE9" s="28">
        <f>Grupo!BE9</f>
        <v>0</v>
      </c>
      <c r="BF9" s="28">
        <f>Grupo!BF9</f>
        <v>3</v>
      </c>
      <c r="BG9" s="28">
        <f>Grupo!BG9</f>
        <v>2</v>
      </c>
      <c r="BH9" s="28">
        <f>Grupo!BH9</f>
        <v>0</v>
      </c>
      <c r="BI9" s="28">
        <f>Grupo!BI9</f>
        <v>1</v>
      </c>
      <c r="BJ9" s="28">
        <f>Grupo!BJ9</f>
        <v>1</v>
      </c>
      <c r="BK9" s="28">
        <f>Grupo!BK9</f>
        <v>2</v>
      </c>
      <c r="BL9" s="28">
        <f>Grupo!BL9</f>
        <v>0</v>
      </c>
      <c r="BM9" s="28">
        <f>Grupo!BM9</f>
        <v>2</v>
      </c>
      <c r="BN9" s="28">
        <f>Grupo!BN9</f>
        <v>1</v>
      </c>
      <c r="BO9" s="28">
        <f>Grupo!BO9</f>
        <v>1</v>
      </c>
      <c r="BP9" s="28">
        <f>Grupo!BP9</f>
        <v>3</v>
      </c>
      <c r="BQ9" s="28">
        <f>Grupo!BQ9</f>
        <v>0</v>
      </c>
      <c r="BR9" s="28">
        <f>Grupo!BR9</f>
        <v>0</v>
      </c>
      <c r="BS9" s="28">
        <f>Grupo!BS9</f>
        <v>0</v>
      </c>
      <c r="BT9" s="28">
        <f>Grupo!BT9</f>
        <v>2</v>
      </c>
      <c r="BU9" s="28">
        <f>Grupo!BU9</f>
        <v>1</v>
      </c>
      <c r="BV9" s="28">
        <f>Grupo!BV9</f>
        <v>2</v>
      </c>
      <c r="BW9" s="28">
        <f>Grupo!BW9</f>
        <v>1</v>
      </c>
      <c r="BX9" s="28">
        <f>Grupo!BX9</f>
        <v>0</v>
      </c>
      <c r="BY9" s="28">
        <f>Grupo!BY9</f>
        <v>1</v>
      </c>
      <c r="BZ9" s="28">
        <f>Grupo!BZ9</f>
        <v>1</v>
      </c>
      <c r="CA9" s="28">
        <f>Grupo!CA9</f>
        <v>0</v>
      </c>
      <c r="CB9" s="28">
        <f>Grupo!CB9</f>
        <v>3</v>
      </c>
      <c r="CC9" s="28">
        <f>Grupo!CC9</f>
        <v>1</v>
      </c>
      <c r="CD9" s="28">
        <f>Grupo!CD9</f>
        <v>1</v>
      </c>
      <c r="CE9" s="28">
        <f>Grupo!CE9</f>
        <v>2</v>
      </c>
      <c r="CF9" s="28">
        <f>Grupo!CF9</f>
        <v>1</v>
      </c>
      <c r="CG9" s="28">
        <f>Grupo!CG9</f>
        <v>1</v>
      </c>
      <c r="CH9" s="28">
        <f>Grupo!CH9</f>
        <v>4</v>
      </c>
      <c r="CI9" s="28">
        <f>Grupo!CI9</f>
        <v>0</v>
      </c>
      <c r="CJ9" s="28">
        <f>Grupo!CJ9</f>
        <v>1</v>
      </c>
      <c r="CK9" s="28">
        <f>Grupo!CK9</f>
        <v>1</v>
      </c>
      <c r="CL9" s="28">
        <f>Grupo!CL9</f>
        <v>1</v>
      </c>
      <c r="CM9" s="28">
        <f>Grupo!CM9</f>
        <v>0</v>
      </c>
      <c r="CN9" s="28">
        <f>Grupo!CN9</f>
        <v>2</v>
      </c>
      <c r="CO9" s="28">
        <f>Grupo!CO9</f>
        <v>1</v>
      </c>
      <c r="CP9" s="28">
        <f>Grupo!CP9</f>
        <v>0</v>
      </c>
      <c r="CQ9" s="28">
        <f>Grupo!CQ9</f>
        <v>3</v>
      </c>
      <c r="CR9" s="28">
        <f>Grupo!CR9</f>
        <v>1</v>
      </c>
      <c r="CS9" s="28">
        <f>Grupo!CS9</f>
        <v>1</v>
      </c>
      <c r="CT9" s="28">
        <f>Grupo!CT9</f>
        <v>3</v>
      </c>
      <c r="CU9" s="28">
        <f>Grupo!CU9</f>
        <v>1</v>
      </c>
      <c r="CV9" s="28">
        <f>Grupo!CV9</f>
        <v>1</v>
      </c>
      <c r="CW9" s="28">
        <f>Grupo!CW9</f>
        <v>2</v>
      </c>
      <c r="CX9" s="28">
        <f>Grupo!CX9</f>
        <v>0</v>
      </c>
      <c r="CY9" s="28">
        <f>Grupo!CY9</f>
        <v>0</v>
      </c>
      <c r="CZ9" s="28">
        <f>Grupo!CZ9</f>
        <v>2</v>
      </c>
      <c r="DA9" s="28">
        <f>Grupo!DA9</f>
        <v>1</v>
      </c>
      <c r="DB9" s="28">
        <f>Grupo!DB9</f>
        <v>1</v>
      </c>
      <c r="DC9" s="28">
        <f>Grupo!DC9</f>
        <v>0</v>
      </c>
      <c r="DD9" s="28">
        <f>Grupo!DD9</f>
        <v>2</v>
      </c>
      <c r="DE9" s="28">
        <f>Grupo!DE9</f>
        <v>1</v>
      </c>
      <c r="DF9" s="28">
        <f>Grupo!DF9</f>
        <v>2</v>
      </c>
      <c r="DG9" s="28">
        <f>Grupo!DG9</f>
        <v>0</v>
      </c>
      <c r="DH9" s="28">
        <f>Grupo!DH9</f>
        <v>0</v>
      </c>
      <c r="DI9" s="28">
        <f>Grupo!DI9</f>
        <v>3</v>
      </c>
      <c r="DJ9" s="28">
        <f>Grupo!DJ9</f>
        <v>0</v>
      </c>
      <c r="DK9" s="28">
        <f>Grupo!DK9</f>
        <v>1</v>
      </c>
      <c r="DL9" s="28">
        <f>Grupo!DL9</f>
        <v>3</v>
      </c>
      <c r="DM9" s="28">
        <f>Grupo!DM9</f>
        <v>0</v>
      </c>
      <c r="DN9" s="28">
        <f>Grupo!DN9</f>
        <v>0</v>
      </c>
      <c r="DO9" s="28">
        <f>Grupo!DO9</f>
        <v>0</v>
      </c>
      <c r="DP9" s="28">
        <f>Grupo!DP9</f>
        <v>1</v>
      </c>
      <c r="DQ9" s="28">
        <f>Grupo!DQ9</f>
        <v>1</v>
      </c>
      <c r="DR9" s="28">
        <f>Grupo!DR9</f>
        <v>1</v>
      </c>
      <c r="DS9" s="28">
        <f>Grupo!DS9</f>
        <v>2</v>
      </c>
      <c r="DT9" s="28">
        <f>Grupo!DT9</f>
        <v>0</v>
      </c>
      <c r="DU9" s="28">
        <f>Grupo!DU9</f>
        <v>4</v>
      </c>
      <c r="DV9" s="28">
        <f>Grupo!DV9</f>
        <v>0</v>
      </c>
      <c r="DW9" s="28">
        <f>Grupo!DW9</f>
        <v>1</v>
      </c>
      <c r="DX9" s="28">
        <f>Grupo!DX9</f>
        <v>2</v>
      </c>
      <c r="DY9" s="28">
        <f>Grupo!DY9</f>
        <v>0</v>
      </c>
      <c r="DZ9" s="28">
        <f>Grupo!DZ9</f>
        <v>3</v>
      </c>
      <c r="EA9" s="70">
        <f>Grupo!EA9</f>
        <v>0</v>
      </c>
      <c r="EB9" s="70">
        <f>Grupo!EB9</f>
        <v>1</v>
      </c>
      <c r="EC9" s="70">
        <f>Grupo!EC9</f>
        <v>1</v>
      </c>
      <c r="ED9" s="70">
        <f>Grupo!ED9</f>
        <v>3</v>
      </c>
      <c r="EE9" s="70">
        <f>Grupo!EE9</f>
        <v>1</v>
      </c>
      <c r="EF9" s="70">
        <f>Grupo!EF9</f>
        <v>0</v>
      </c>
      <c r="EG9" s="70">
        <f>Grupo!EG9</f>
        <v>1</v>
      </c>
      <c r="EH9" s="70">
        <f>Grupo!EH9</f>
        <v>1</v>
      </c>
      <c r="EI9" s="70">
        <f>Grupo!EI9</f>
        <v>0</v>
      </c>
      <c r="EJ9" s="70">
        <f>Grupo!EJ9</f>
        <v>3</v>
      </c>
      <c r="EK9" s="70">
        <f>Grupo!EK9</f>
        <v>0</v>
      </c>
      <c r="EL9" s="70">
        <f>Grupo!EL9</f>
        <v>1</v>
      </c>
      <c r="EM9" s="70">
        <f>Grupo!EM9</f>
        <v>2</v>
      </c>
      <c r="EN9" s="70">
        <f>Grupo!EN9</f>
        <v>1</v>
      </c>
      <c r="EO9" s="70">
        <f>Grupo!EO9</f>
        <v>1</v>
      </c>
      <c r="EP9" s="78">
        <f>Grupo!EP9</f>
        <v>0</v>
      </c>
      <c r="EQ9" s="78">
        <f>Grupo!EQ9</f>
        <v>2</v>
      </c>
      <c r="ER9" s="78">
        <f>Grupo!ER9</f>
        <v>1</v>
      </c>
      <c r="ES9" s="78">
        <f>Grupo!ES9</f>
        <v>3</v>
      </c>
      <c r="ET9" s="78">
        <f>Grupo!ET9</f>
        <v>0</v>
      </c>
      <c r="EU9" s="78">
        <f>Grupo!EU9</f>
        <v>1</v>
      </c>
      <c r="EV9" s="78">
        <f>Grupo!EV9</f>
        <v>1</v>
      </c>
      <c r="EW9" s="78">
        <f>Grupo!EW9</f>
        <v>2</v>
      </c>
      <c r="EX9" s="78">
        <f>Grupo!EX9</f>
        <v>0</v>
      </c>
      <c r="EY9" s="78">
        <f>Grupo!EY9</f>
        <v>2</v>
      </c>
      <c r="EZ9" s="78">
        <f>Grupo!EZ9</f>
        <v>0</v>
      </c>
      <c r="FA9" s="78">
        <f>Grupo!FA9</f>
        <v>1</v>
      </c>
      <c r="FB9" s="78">
        <f>Grupo!FB9</f>
        <v>0</v>
      </c>
      <c r="FC9" s="78">
        <f>Grupo!FC9</f>
        <v>1</v>
      </c>
      <c r="FD9" s="78">
        <f>Grupo!FD9</f>
        <v>1</v>
      </c>
      <c r="FE9" s="78">
        <f>Grupo!FE9</f>
        <v>0</v>
      </c>
      <c r="FF9" s="78">
        <f>Grupo!FF9</f>
        <v>2</v>
      </c>
      <c r="FG9" s="78">
        <f>Grupo!FG9</f>
        <v>0</v>
      </c>
      <c r="FH9" s="78">
        <f>Grupo!FH9</f>
        <v>0</v>
      </c>
      <c r="FI9" s="78">
        <f>Grupo!FI9</f>
        <v>2</v>
      </c>
      <c r="FJ9" s="78">
        <f>Grupo!FJ9</f>
        <v>3</v>
      </c>
      <c r="FK9" s="78">
        <f>Grupo!FK9</f>
        <v>0</v>
      </c>
      <c r="FL9" s="78">
        <f>Grupo!FL9</f>
        <v>2</v>
      </c>
      <c r="FM9" s="78">
        <f>Grupo!FM9</f>
        <v>0</v>
      </c>
      <c r="FN9" s="78">
        <f>Grupo!FN9</f>
        <v>2</v>
      </c>
      <c r="FO9" s="78">
        <f>Grupo!FO9</f>
        <v>1</v>
      </c>
      <c r="FP9" s="78">
        <f>Grupo!FP9</f>
        <v>0</v>
      </c>
      <c r="FQ9" s="78">
        <f>Grupo!FQ9</f>
        <v>0</v>
      </c>
      <c r="FR9" s="78">
        <f>Grupo!FR9</f>
        <v>3</v>
      </c>
      <c r="FS9" s="78">
        <f>Grupo!FS9</f>
        <v>1</v>
      </c>
      <c r="FT9" s="78">
        <f>Grupo!FT9</f>
        <v>1</v>
      </c>
      <c r="FU9" s="78">
        <f>Grupo!FU9</f>
        <v>2</v>
      </c>
      <c r="FV9" s="78">
        <f>Grupo!FV9</f>
        <v>0</v>
      </c>
      <c r="FW9" s="78">
        <f>Grupo!FW9</f>
        <v>1</v>
      </c>
      <c r="FX9" s="78">
        <f>Grupo!FX9</f>
        <v>1</v>
      </c>
      <c r="FY9" s="78">
        <f>Grupo!FY9</f>
        <v>1</v>
      </c>
      <c r="FZ9" s="78">
        <f>Grupo!FZ9</f>
        <v>1</v>
      </c>
      <c r="GA9" s="78">
        <f>Grupo!GA9</f>
        <v>2</v>
      </c>
      <c r="GB9" s="78">
        <f>Grupo!GB9</f>
        <v>1</v>
      </c>
      <c r="GC9" s="78">
        <f>Grupo!GC9</f>
        <v>2</v>
      </c>
      <c r="GD9" s="78">
        <f>Grupo!GD9</f>
        <v>0</v>
      </c>
      <c r="GE9" s="78">
        <f>Grupo!GE9</f>
        <v>1</v>
      </c>
      <c r="GF9" s="78">
        <f>Grupo!GF9</f>
        <v>1</v>
      </c>
      <c r="GG9" s="78">
        <f>Grupo!GG9</f>
        <v>1</v>
      </c>
      <c r="GH9" s="78">
        <f>Grupo!GH9</f>
        <v>3</v>
      </c>
      <c r="GI9" s="78">
        <f>Grupo!GI9</f>
        <v>0</v>
      </c>
      <c r="GJ9" s="78">
        <f>Grupo!GJ9</f>
        <v>4</v>
      </c>
      <c r="GK9" s="78">
        <f>Grupo!GK9</f>
        <v>1</v>
      </c>
      <c r="GL9" s="78">
        <f>Grupo!GL9</f>
        <v>1</v>
      </c>
      <c r="GM9" s="78">
        <f>Grupo!GM9</f>
        <v>1</v>
      </c>
      <c r="GN9" s="78">
        <f>Grupo!GN9</f>
        <v>1</v>
      </c>
      <c r="GO9" s="78">
        <f>Grupo!GO9</f>
        <v>1</v>
      </c>
      <c r="GP9" s="78">
        <f>Grupo!GP9</f>
        <v>2</v>
      </c>
      <c r="GQ9" s="78">
        <f>Grupo!GQ9</f>
        <v>1</v>
      </c>
      <c r="GR9" s="79">
        <f>Grupo!GR9</f>
        <v>1</v>
      </c>
      <c r="GS9" s="79">
        <f>Grupo!GS9</f>
        <v>3</v>
      </c>
      <c r="GT9" s="79" t="str">
        <f>Grupo!GT9</f>
        <v/>
      </c>
      <c r="GU9" s="79">
        <f>Grupo!GU9</f>
        <v>2</v>
      </c>
      <c r="GV9" s="79">
        <f>Grupo!GV9</f>
        <v>0</v>
      </c>
      <c r="GW9" s="79" t="str">
        <f>Grupo!GW9</f>
        <v/>
      </c>
      <c r="GX9" s="76">
        <f>Grupo!GX9</f>
        <v>1</v>
      </c>
      <c r="GY9" s="76">
        <f>Grupo!GY9</f>
        <v>2</v>
      </c>
      <c r="GZ9" s="76" t="str">
        <f>Grupo!GZ9</f>
        <v/>
      </c>
      <c r="HA9" s="76">
        <f>Grupo!HA9</f>
        <v>0</v>
      </c>
      <c r="HB9" s="76">
        <f>Grupo!HB9</f>
        <v>4</v>
      </c>
      <c r="HC9" s="76" t="str">
        <f>Grupo!HC9</f>
        <v/>
      </c>
      <c r="HD9" s="76">
        <f>Grupo!HD9</f>
        <v>1</v>
      </c>
      <c r="HE9" s="76">
        <f>Grupo!HE9</f>
        <v>2</v>
      </c>
      <c r="HF9" s="76" t="str">
        <f>Grupo!HF9</f>
        <v/>
      </c>
      <c r="HG9" s="76">
        <f>Grupo!HG9</f>
        <v>1</v>
      </c>
      <c r="HH9" s="76">
        <f>Grupo!HH9</f>
        <v>1</v>
      </c>
      <c r="HI9" s="76" t="str">
        <f>Grupo!HI9</f>
        <v/>
      </c>
      <c r="HJ9" s="32">
        <f>Grupo!HJ9</f>
        <v>46</v>
      </c>
      <c r="HK9" s="25" t="s">
        <v>21</v>
      </c>
    </row>
    <row r="10" spans="1:220" ht="20.25" customHeight="1" thickBot="1" x14ac:dyDescent="0.35">
      <c r="A10" s="34" t="str">
        <f>Grupo!A10</f>
        <v>Castillo L.</v>
      </c>
      <c r="B10" s="28">
        <f>Grupo!B10</f>
        <v>2</v>
      </c>
      <c r="C10" s="28">
        <f>Grupo!C10</f>
        <v>1</v>
      </c>
      <c r="D10" s="28">
        <f>Grupo!D10</f>
        <v>1</v>
      </c>
      <c r="E10" s="28">
        <f>Grupo!E10</f>
        <v>2</v>
      </c>
      <c r="F10" s="28">
        <f>Grupo!F10</f>
        <v>1</v>
      </c>
      <c r="G10" s="28">
        <f>Grupo!G10</f>
        <v>3</v>
      </c>
      <c r="H10" s="28">
        <f>Grupo!H10</f>
        <v>1</v>
      </c>
      <c r="I10" s="28">
        <f>Grupo!I10</f>
        <v>1</v>
      </c>
      <c r="J10" s="28">
        <f>Grupo!J10</f>
        <v>3</v>
      </c>
      <c r="K10" s="28">
        <f>Grupo!K10</f>
        <v>2</v>
      </c>
      <c r="L10" s="28">
        <f>Grupo!L10</f>
        <v>1</v>
      </c>
      <c r="M10" s="28">
        <f>Grupo!M10</f>
        <v>1</v>
      </c>
      <c r="N10" s="28">
        <f>Grupo!N10</f>
        <v>0</v>
      </c>
      <c r="O10" s="28">
        <f>Grupo!O10</f>
        <v>2</v>
      </c>
      <c r="P10" s="28">
        <f>Grupo!P10</f>
        <v>1</v>
      </c>
      <c r="Q10" s="28">
        <f>Grupo!Q10</f>
        <v>1</v>
      </c>
      <c r="R10" s="28">
        <f>Grupo!R10</f>
        <v>3</v>
      </c>
      <c r="S10" s="28">
        <f>Grupo!S10</f>
        <v>0</v>
      </c>
      <c r="T10" s="28">
        <f>Grupo!T10</f>
        <v>2</v>
      </c>
      <c r="U10" s="28">
        <f>Grupo!U10</f>
        <v>1</v>
      </c>
      <c r="V10" s="28">
        <f>Grupo!V10</f>
        <v>0</v>
      </c>
      <c r="W10" s="28">
        <f>Grupo!W10</f>
        <v>0</v>
      </c>
      <c r="X10" s="28">
        <f>Grupo!X10</f>
        <v>3</v>
      </c>
      <c r="Y10" s="28">
        <f>Grupo!Y10</f>
        <v>0</v>
      </c>
      <c r="Z10" s="28">
        <f>Grupo!Z10</f>
        <v>1</v>
      </c>
      <c r="AA10" s="28">
        <f>Grupo!AA10</f>
        <v>1</v>
      </c>
      <c r="AB10" s="28">
        <f>Grupo!AB10</f>
        <v>0</v>
      </c>
      <c r="AC10" s="28">
        <f>Grupo!AC10</f>
        <v>4</v>
      </c>
      <c r="AD10" s="28">
        <f>Grupo!AD10</f>
        <v>0</v>
      </c>
      <c r="AE10" s="28">
        <f>Grupo!AE10</f>
        <v>1</v>
      </c>
      <c r="AF10" s="28">
        <f>Grupo!AF10</f>
        <v>2</v>
      </c>
      <c r="AG10" s="28">
        <f>Grupo!AG10</f>
        <v>2</v>
      </c>
      <c r="AH10" s="28">
        <f>Grupo!AH10</f>
        <v>3</v>
      </c>
      <c r="AI10" s="28">
        <f>Grupo!AI10</f>
        <v>2</v>
      </c>
      <c r="AJ10" s="28">
        <f>Grupo!AJ10</f>
        <v>11</v>
      </c>
      <c r="AK10" s="28">
        <f>Grupo!AK10</f>
        <v>0</v>
      </c>
      <c r="AL10" s="28">
        <f>Grupo!AL10</f>
        <v>0</v>
      </c>
      <c r="AM10" s="28">
        <f>Grupo!AM10</f>
        <v>2</v>
      </c>
      <c r="AN10" s="28">
        <f>Grupo!AN10</f>
        <v>0</v>
      </c>
      <c r="AO10" s="28">
        <f>Grupo!AO10</f>
        <v>4</v>
      </c>
      <c r="AP10" s="28">
        <f>Grupo!AP10</f>
        <v>0</v>
      </c>
      <c r="AQ10" s="28">
        <f>Grupo!AQ10</f>
        <v>0</v>
      </c>
      <c r="AR10" s="28">
        <f>Grupo!AR10</f>
        <v>2</v>
      </c>
      <c r="AS10" s="28">
        <f>Grupo!AS10</f>
        <v>0</v>
      </c>
      <c r="AT10" s="28">
        <f>Grupo!AT10</f>
        <v>0</v>
      </c>
      <c r="AU10" s="28">
        <f>Grupo!AU10</f>
        <v>3</v>
      </c>
      <c r="AV10" s="28">
        <f>Grupo!AV10</f>
        <v>1</v>
      </c>
      <c r="AW10" s="28">
        <f>Grupo!AW10</f>
        <v>0</v>
      </c>
      <c r="AX10" s="28">
        <f>Grupo!AX10</f>
        <v>2</v>
      </c>
      <c r="AY10" s="28">
        <f>Grupo!AY10</f>
        <v>1</v>
      </c>
      <c r="AZ10" s="28">
        <f>Grupo!AZ10</f>
        <v>1</v>
      </c>
      <c r="BA10" s="28">
        <f>Grupo!BA10</f>
        <v>0</v>
      </c>
      <c r="BB10" s="28">
        <f>Grupo!BB10</f>
        <v>3</v>
      </c>
      <c r="BC10" s="28">
        <f>Grupo!BC10</f>
        <v>1</v>
      </c>
      <c r="BD10" s="28">
        <f>Grupo!BD10</f>
        <v>3</v>
      </c>
      <c r="BE10" s="28">
        <f>Grupo!BE10</f>
        <v>0</v>
      </c>
      <c r="BF10" s="28">
        <f>Grupo!BF10</f>
        <v>3</v>
      </c>
      <c r="BG10" s="28">
        <f>Grupo!BG10</f>
        <v>2</v>
      </c>
      <c r="BH10" s="28">
        <f>Grupo!BH10</f>
        <v>1</v>
      </c>
      <c r="BI10" s="28">
        <f>Grupo!BI10</f>
        <v>1</v>
      </c>
      <c r="BJ10" s="28">
        <f>Grupo!BJ10</f>
        <v>2</v>
      </c>
      <c r="BK10" s="28">
        <f>Grupo!BK10</f>
        <v>1</v>
      </c>
      <c r="BL10" s="28">
        <f>Grupo!BL10</f>
        <v>1</v>
      </c>
      <c r="BM10" s="28">
        <f>Grupo!BM10</f>
        <v>2</v>
      </c>
      <c r="BN10" s="28">
        <f>Grupo!BN10</f>
        <v>2</v>
      </c>
      <c r="BO10" s="28">
        <f>Grupo!BO10</f>
        <v>0</v>
      </c>
      <c r="BP10" s="28">
        <f>Grupo!BP10</f>
        <v>3</v>
      </c>
      <c r="BQ10" s="28">
        <f>Grupo!BQ10</f>
        <v>0</v>
      </c>
      <c r="BR10" s="28">
        <f>Grupo!BR10</f>
        <v>0</v>
      </c>
      <c r="BS10" s="28">
        <f>Grupo!BS10</f>
        <v>1</v>
      </c>
      <c r="BT10" s="28">
        <f>Grupo!BT10</f>
        <v>1</v>
      </c>
      <c r="BU10" s="28">
        <f>Grupo!BU10</f>
        <v>0</v>
      </c>
      <c r="BV10" s="28">
        <f>Grupo!BV10</f>
        <v>3</v>
      </c>
      <c r="BW10" s="28">
        <f>Grupo!BW10</f>
        <v>0</v>
      </c>
      <c r="BX10" s="28">
        <f>Grupo!BX10</f>
        <v>0</v>
      </c>
      <c r="BY10" s="28">
        <f>Grupo!BY10</f>
        <v>2</v>
      </c>
      <c r="BZ10" s="28">
        <f>Grupo!BZ10</f>
        <v>0</v>
      </c>
      <c r="CA10" s="28">
        <f>Grupo!CA10</f>
        <v>1</v>
      </c>
      <c r="CB10" s="28">
        <f>Grupo!CB10</f>
        <v>3</v>
      </c>
      <c r="CC10" s="28">
        <f>Grupo!CC10</f>
        <v>1</v>
      </c>
      <c r="CD10" s="28">
        <f>Grupo!CD10</f>
        <v>1</v>
      </c>
      <c r="CE10" s="28">
        <f>Grupo!CE10</f>
        <v>1</v>
      </c>
      <c r="CF10" s="28">
        <f>Grupo!CF10</f>
        <v>2</v>
      </c>
      <c r="CG10" s="28">
        <f>Grupo!CG10</f>
        <v>0</v>
      </c>
      <c r="CH10" s="28">
        <f>Grupo!CH10</f>
        <v>4</v>
      </c>
      <c r="CI10" s="28">
        <f>Grupo!CI10</f>
        <v>0</v>
      </c>
      <c r="CJ10" s="28">
        <f>Grupo!CJ10</f>
        <v>1</v>
      </c>
      <c r="CK10" s="28">
        <f>Grupo!CK10</f>
        <v>1</v>
      </c>
      <c r="CL10" s="28">
        <f>Grupo!CL10</f>
        <v>2</v>
      </c>
      <c r="CM10" s="28">
        <f>Grupo!CM10</f>
        <v>1</v>
      </c>
      <c r="CN10" s="28">
        <f>Grupo!CN10</f>
        <v>2</v>
      </c>
      <c r="CO10" s="28">
        <f>Grupo!CO10</f>
        <v>2</v>
      </c>
      <c r="CP10" s="28">
        <f>Grupo!CP10</f>
        <v>0</v>
      </c>
      <c r="CQ10" s="28">
        <f>Grupo!CQ10</f>
        <v>3</v>
      </c>
      <c r="CR10" s="28">
        <f>Grupo!CR10</f>
        <v>1</v>
      </c>
      <c r="CS10" s="28">
        <f>Grupo!CS10</f>
        <v>1</v>
      </c>
      <c r="CT10" s="28">
        <f>Grupo!CT10</f>
        <v>2</v>
      </c>
      <c r="CU10" s="28">
        <f>Grupo!CU10</f>
        <v>1</v>
      </c>
      <c r="CV10" s="28">
        <f>Grupo!CV10</f>
        <v>3</v>
      </c>
      <c r="CW10" s="28">
        <f>Grupo!CW10</f>
        <v>3</v>
      </c>
      <c r="CX10" s="28">
        <f>Grupo!CX10</f>
        <v>0</v>
      </c>
      <c r="CY10" s="28">
        <f>Grupo!CY10</f>
        <v>0</v>
      </c>
      <c r="CZ10" s="28">
        <f>Grupo!CZ10</f>
        <v>3</v>
      </c>
      <c r="DA10" s="28">
        <f>Grupo!DA10</f>
        <v>1</v>
      </c>
      <c r="DB10" s="28">
        <f>Grupo!DB10</f>
        <v>1</v>
      </c>
      <c r="DC10" s="28">
        <f>Grupo!DC10</f>
        <v>1</v>
      </c>
      <c r="DD10" s="28">
        <f>Grupo!DD10</f>
        <v>2</v>
      </c>
      <c r="DE10" s="28">
        <f>Grupo!DE10</f>
        <v>1</v>
      </c>
      <c r="DF10" s="28">
        <f>Grupo!DF10</f>
        <v>2</v>
      </c>
      <c r="DG10" s="28">
        <f>Grupo!DG10</f>
        <v>0</v>
      </c>
      <c r="DH10" s="28">
        <f>Grupo!DH10</f>
        <v>0</v>
      </c>
      <c r="DI10" s="28">
        <f>Grupo!DI10</f>
        <v>3</v>
      </c>
      <c r="DJ10" s="28">
        <f>Grupo!DJ10</f>
        <v>1</v>
      </c>
      <c r="DK10" s="28">
        <f>Grupo!DK10</f>
        <v>1</v>
      </c>
      <c r="DL10" s="28">
        <f>Grupo!DL10</f>
        <v>2</v>
      </c>
      <c r="DM10" s="28">
        <f>Grupo!DM10</f>
        <v>1</v>
      </c>
      <c r="DN10" s="28">
        <f>Grupo!DN10</f>
        <v>0</v>
      </c>
      <c r="DO10" s="28">
        <f>Grupo!DO10</f>
        <v>1</v>
      </c>
      <c r="DP10" s="28">
        <f>Grupo!DP10</f>
        <v>4</v>
      </c>
      <c r="DQ10" s="28">
        <f>Grupo!DQ10</f>
        <v>1</v>
      </c>
      <c r="DR10" s="28">
        <f>Grupo!DR10</f>
        <v>1</v>
      </c>
      <c r="DS10" s="28">
        <f>Grupo!DS10</f>
        <v>2</v>
      </c>
      <c r="DT10" s="28">
        <f>Grupo!DT10</f>
        <v>0</v>
      </c>
      <c r="DU10" s="28">
        <f>Grupo!DU10</f>
        <v>3</v>
      </c>
      <c r="DV10" s="28">
        <f>Grupo!DV10</f>
        <v>0</v>
      </c>
      <c r="DW10" s="28">
        <f>Grupo!DW10</f>
        <v>3</v>
      </c>
      <c r="DX10" s="28">
        <f>Grupo!DX10</f>
        <v>2</v>
      </c>
      <c r="DY10" s="28">
        <f>Grupo!DY10</f>
        <v>2</v>
      </c>
      <c r="DZ10" s="28">
        <f>Grupo!DZ10</f>
        <v>0</v>
      </c>
      <c r="EA10" s="70">
        <f>Grupo!EA10</f>
        <v>1</v>
      </c>
      <c r="EB10" s="70">
        <f>Grupo!EB10</f>
        <v>2</v>
      </c>
      <c r="EC10" s="70">
        <f>Grupo!EC10</f>
        <v>3</v>
      </c>
      <c r="ED10" s="70">
        <f>Grupo!ED10</f>
        <v>3</v>
      </c>
      <c r="EE10" s="70">
        <f>Grupo!EE10</f>
        <v>1</v>
      </c>
      <c r="EF10" s="70">
        <f>Grupo!EF10</f>
        <v>0</v>
      </c>
      <c r="EG10" s="70">
        <f>Grupo!EG10</f>
        <v>0</v>
      </c>
      <c r="EH10" s="70">
        <f>Grupo!EH10</f>
        <v>2</v>
      </c>
      <c r="EI10" s="70">
        <f>Grupo!EI10</f>
        <v>1</v>
      </c>
      <c r="EJ10" s="70">
        <f>Grupo!EJ10</f>
        <v>2</v>
      </c>
      <c r="EK10" s="70">
        <f>Grupo!EK10</f>
        <v>0</v>
      </c>
      <c r="EL10" s="70">
        <f>Grupo!EL10</f>
        <v>1</v>
      </c>
      <c r="EM10" s="70">
        <f>Grupo!EM10</f>
        <v>2</v>
      </c>
      <c r="EN10" s="70">
        <f>Grupo!EN10</f>
        <v>1</v>
      </c>
      <c r="EO10" s="70">
        <f>Grupo!EO10</f>
        <v>1</v>
      </c>
      <c r="EP10" s="78">
        <f>Grupo!EP10</f>
        <v>1</v>
      </c>
      <c r="EQ10" s="78">
        <f>Grupo!EQ10</f>
        <v>3</v>
      </c>
      <c r="ER10" s="78">
        <f>Grupo!ER10</f>
        <v>1</v>
      </c>
      <c r="ES10" s="78">
        <f>Grupo!ES10</f>
        <v>3</v>
      </c>
      <c r="ET10" s="78">
        <f>Grupo!ET10</f>
        <v>0</v>
      </c>
      <c r="EU10" s="78">
        <f>Grupo!EU10</f>
        <v>1</v>
      </c>
      <c r="EV10" s="78">
        <f>Grupo!EV10</f>
        <v>2</v>
      </c>
      <c r="EW10" s="78">
        <f>Grupo!EW10</f>
        <v>2</v>
      </c>
      <c r="EX10" s="78">
        <f>Grupo!EX10</f>
        <v>0</v>
      </c>
      <c r="EY10" s="78">
        <f>Grupo!EY10</f>
        <v>0</v>
      </c>
      <c r="EZ10" s="78">
        <f>Grupo!EZ10</f>
        <v>1</v>
      </c>
      <c r="FA10" s="78">
        <f>Grupo!FA10</f>
        <v>0</v>
      </c>
      <c r="FB10" s="78">
        <f>Grupo!FB10</f>
        <v>1</v>
      </c>
      <c r="FC10" s="78">
        <f>Grupo!FC10</f>
        <v>1</v>
      </c>
      <c r="FD10" s="78">
        <f>Grupo!FD10</f>
        <v>0</v>
      </c>
      <c r="FE10" s="78">
        <f>Grupo!FE10</f>
        <v>1</v>
      </c>
      <c r="FF10" s="78">
        <f>Grupo!FF10</f>
        <v>3</v>
      </c>
      <c r="FG10" s="78">
        <f>Grupo!FG10</f>
        <v>0</v>
      </c>
      <c r="FH10" s="78">
        <f>Grupo!FH10</f>
        <v>1</v>
      </c>
      <c r="FI10" s="78">
        <f>Grupo!FI10</f>
        <v>2</v>
      </c>
      <c r="FJ10" s="78">
        <f>Grupo!FJ10</f>
        <v>1</v>
      </c>
      <c r="FK10" s="78">
        <f>Grupo!FK10</f>
        <v>1</v>
      </c>
      <c r="FL10" s="78">
        <f>Grupo!FL10</f>
        <v>2</v>
      </c>
      <c r="FM10" s="78">
        <f>Grupo!FM10</f>
        <v>0</v>
      </c>
      <c r="FN10" s="78">
        <f>Grupo!FN10</f>
        <v>2</v>
      </c>
      <c r="FO10" s="78">
        <f>Grupo!FO10</f>
        <v>1</v>
      </c>
      <c r="FP10" s="78">
        <f>Grupo!FP10</f>
        <v>0</v>
      </c>
      <c r="FQ10" s="78">
        <f>Grupo!FQ10</f>
        <v>0</v>
      </c>
      <c r="FR10" s="78">
        <f>Grupo!FR10</f>
        <v>2</v>
      </c>
      <c r="FS10" s="78">
        <f>Grupo!FS10</f>
        <v>1</v>
      </c>
      <c r="FT10" s="78">
        <f>Grupo!FT10</f>
        <v>1</v>
      </c>
      <c r="FU10" s="78">
        <f>Grupo!FU10</f>
        <v>1</v>
      </c>
      <c r="FV10" s="78">
        <f>Grupo!FV10</f>
        <v>0</v>
      </c>
      <c r="FW10" s="78">
        <f>Grupo!FW10</f>
        <v>2</v>
      </c>
      <c r="FX10" s="78">
        <f>Grupo!FX10</f>
        <v>0</v>
      </c>
      <c r="FY10" s="78">
        <f>Grupo!FY10</f>
        <v>0</v>
      </c>
      <c r="FZ10" s="78">
        <f>Grupo!FZ10</f>
        <v>1</v>
      </c>
      <c r="GA10" s="78">
        <f>Grupo!GA10</f>
        <v>2</v>
      </c>
      <c r="GB10" s="78">
        <f>Grupo!GB10</f>
        <v>1</v>
      </c>
      <c r="GC10" s="78">
        <f>Grupo!GC10</f>
        <v>2</v>
      </c>
      <c r="GD10" s="78">
        <f>Grupo!GD10</f>
        <v>0</v>
      </c>
      <c r="GE10" s="78">
        <f>Grupo!GE10</f>
        <v>1</v>
      </c>
      <c r="GF10" s="78">
        <f>Grupo!GF10</f>
        <v>2</v>
      </c>
      <c r="GG10" s="78">
        <f>Grupo!GG10</f>
        <v>2</v>
      </c>
      <c r="GH10" s="78">
        <f>Grupo!GH10</f>
        <v>1</v>
      </c>
      <c r="GI10" s="78">
        <f>Grupo!GI10</f>
        <v>0</v>
      </c>
      <c r="GJ10" s="78">
        <f>Grupo!GJ10</f>
        <v>3</v>
      </c>
      <c r="GK10" s="78">
        <f>Grupo!GK10</f>
        <v>1</v>
      </c>
      <c r="GL10" s="78">
        <f>Grupo!GL10</f>
        <v>1</v>
      </c>
      <c r="GM10" s="78">
        <f>Grupo!GM10</f>
        <v>2</v>
      </c>
      <c r="GN10" s="78">
        <f>Grupo!GN10</f>
        <v>0</v>
      </c>
      <c r="GO10" s="78">
        <f>Grupo!GO10</f>
        <v>1</v>
      </c>
      <c r="GP10" s="78">
        <f>Grupo!GP10</f>
        <v>2</v>
      </c>
      <c r="GQ10" s="78">
        <f>Grupo!GQ10</f>
        <v>1</v>
      </c>
      <c r="GR10" s="79">
        <f>Grupo!GR10</f>
        <v>1</v>
      </c>
      <c r="GS10" s="79">
        <f>Grupo!GS10</f>
        <v>3</v>
      </c>
      <c r="GT10" s="79" t="str">
        <f>Grupo!GT10</f>
        <v/>
      </c>
      <c r="GU10" s="79">
        <f>Grupo!GU10</f>
        <v>2</v>
      </c>
      <c r="GV10" s="79">
        <f>Grupo!GV10</f>
        <v>1</v>
      </c>
      <c r="GW10" s="79" t="str">
        <f>Grupo!GW10</f>
        <v/>
      </c>
      <c r="GX10" s="76">
        <f>Grupo!GX10</f>
        <v>1</v>
      </c>
      <c r="GY10" s="76">
        <f>Grupo!GY10</f>
        <v>1</v>
      </c>
      <c r="GZ10" s="76" t="str">
        <f>Grupo!GZ10</f>
        <v/>
      </c>
      <c r="HA10" s="76">
        <f>Grupo!HA10</f>
        <v>0</v>
      </c>
      <c r="HB10" s="76">
        <f>Grupo!HB10</f>
        <v>3</v>
      </c>
      <c r="HC10" s="76" t="str">
        <f>Grupo!HC10</f>
        <v/>
      </c>
      <c r="HD10" s="76">
        <f>Grupo!HD10</f>
        <v>2</v>
      </c>
      <c r="HE10" s="76">
        <f>Grupo!HE10</f>
        <v>2</v>
      </c>
      <c r="HF10" s="76" t="str">
        <f>Grupo!HF10</f>
        <v/>
      </c>
      <c r="HG10" s="76">
        <f>Grupo!HG10</f>
        <v>1</v>
      </c>
      <c r="HH10" s="76">
        <f>Grupo!HH10</f>
        <v>1</v>
      </c>
      <c r="HI10" s="76" t="str">
        <f>Grupo!HI10</f>
        <v/>
      </c>
      <c r="HJ10" s="32">
        <f>Grupo!HJ10</f>
        <v>50</v>
      </c>
      <c r="HK10" s="25" t="s">
        <v>25</v>
      </c>
    </row>
    <row r="11" spans="1:220" ht="20.25" customHeight="1" thickBot="1" x14ac:dyDescent="0.35">
      <c r="A11" s="34" t="str">
        <f>Grupo!A11</f>
        <v>Christofer</v>
      </c>
      <c r="B11" s="28">
        <f>Grupo!B11</f>
        <v>2</v>
      </c>
      <c r="C11" s="28">
        <f>Grupo!C11</f>
        <v>3</v>
      </c>
      <c r="D11" s="28">
        <f>Grupo!D11</f>
        <v>0</v>
      </c>
      <c r="E11" s="28">
        <f>Grupo!E11</f>
        <v>1</v>
      </c>
      <c r="F11" s="28">
        <f>Grupo!F11</f>
        <v>1</v>
      </c>
      <c r="G11" s="28">
        <f>Grupo!G11</f>
        <v>0</v>
      </c>
      <c r="H11" s="28">
        <f>Grupo!H11</f>
        <v>1</v>
      </c>
      <c r="I11" s="28">
        <f>Grupo!I11</f>
        <v>2</v>
      </c>
      <c r="J11" s="28">
        <f>Grupo!J11</f>
        <v>0</v>
      </c>
      <c r="K11" s="28">
        <f>Grupo!K11</f>
        <v>2</v>
      </c>
      <c r="L11" s="28">
        <f>Grupo!L11</f>
        <v>4</v>
      </c>
      <c r="M11" s="28">
        <f>Grupo!M11</f>
        <v>0</v>
      </c>
      <c r="N11" s="28">
        <f>Grupo!N11</f>
        <v>3</v>
      </c>
      <c r="O11" s="28">
        <f>Grupo!O11</f>
        <v>4</v>
      </c>
      <c r="P11" s="28">
        <f>Grupo!P11</f>
        <v>1</v>
      </c>
      <c r="Q11" s="28">
        <f>Grupo!Q11</f>
        <v>2</v>
      </c>
      <c r="R11" s="28">
        <f>Grupo!R11</f>
        <v>1</v>
      </c>
      <c r="S11" s="28">
        <f>Grupo!S11</f>
        <v>1</v>
      </c>
      <c r="T11" s="28">
        <f>Grupo!T11</f>
        <v>5</v>
      </c>
      <c r="U11" s="28">
        <f>Grupo!U11</f>
        <v>1</v>
      </c>
      <c r="V11" s="28">
        <f>Grupo!V11</f>
        <v>0</v>
      </c>
      <c r="W11" s="28">
        <f>Grupo!W11</f>
        <v>2</v>
      </c>
      <c r="X11" s="28">
        <f>Grupo!X11</f>
        <v>1</v>
      </c>
      <c r="Y11" s="28">
        <f>Grupo!Y11</f>
        <v>0</v>
      </c>
      <c r="Z11" s="28">
        <f>Grupo!Z11</f>
        <v>0</v>
      </c>
      <c r="AA11" s="28">
        <f>Grupo!AA11</f>
        <v>3</v>
      </c>
      <c r="AB11" s="28">
        <f>Grupo!AB11</f>
        <v>0</v>
      </c>
      <c r="AC11" s="28">
        <f>Grupo!AC11</f>
        <v>2</v>
      </c>
      <c r="AD11" s="28">
        <f>Grupo!AD11</f>
        <v>2</v>
      </c>
      <c r="AE11" s="28">
        <f>Grupo!AE11</f>
        <v>0</v>
      </c>
      <c r="AF11" s="28">
        <f>Grupo!AF11</f>
        <v>2</v>
      </c>
      <c r="AG11" s="28">
        <f>Grupo!AG11</f>
        <v>5</v>
      </c>
      <c r="AH11" s="28">
        <f>Grupo!AH11</f>
        <v>0</v>
      </c>
      <c r="AI11" s="28">
        <f>Grupo!AI11</f>
        <v>4</v>
      </c>
      <c r="AJ11" s="28">
        <f>Grupo!AJ11</f>
        <v>1</v>
      </c>
      <c r="AK11" s="28">
        <f>Grupo!AK11</f>
        <v>1</v>
      </c>
      <c r="AL11" s="28">
        <f>Grupo!AL11</f>
        <v>1</v>
      </c>
      <c r="AM11" s="28">
        <f>Grupo!AM11</f>
        <v>2</v>
      </c>
      <c r="AN11" s="28">
        <f>Grupo!AN11</f>
        <v>0</v>
      </c>
      <c r="AO11" s="28">
        <f>Grupo!AO11</f>
        <v>3</v>
      </c>
      <c r="AP11" s="28">
        <f>Grupo!AP11</f>
        <v>1</v>
      </c>
      <c r="AQ11" s="28">
        <f>Grupo!AQ11</f>
        <v>0</v>
      </c>
      <c r="AR11" s="28">
        <f>Grupo!AR11</f>
        <v>1</v>
      </c>
      <c r="AS11" s="28">
        <f>Grupo!AS11</f>
        <v>1</v>
      </c>
      <c r="AT11" s="28">
        <f>Grupo!AT11</f>
        <v>1</v>
      </c>
      <c r="AU11" s="28">
        <f>Grupo!AU11</f>
        <v>2</v>
      </c>
      <c r="AV11" s="28">
        <f>Grupo!AV11</f>
        <v>0</v>
      </c>
      <c r="AW11" s="28">
        <f>Grupo!AW11</f>
        <v>0</v>
      </c>
      <c r="AX11" s="28">
        <f>Grupo!AX11</f>
        <v>1</v>
      </c>
      <c r="AY11" s="28">
        <f>Grupo!AY11</f>
        <v>3</v>
      </c>
      <c r="AZ11" s="28">
        <f>Grupo!AZ11</f>
        <v>0</v>
      </c>
      <c r="BA11" s="28">
        <f>Grupo!BA11</f>
        <v>1</v>
      </c>
      <c r="BB11" s="28">
        <f>Grupo!BB11</f>
        <v>4</v>
      </c>
      <c r="BC11" s="28">
        <f>Grupo!BC11</f>
        <v>3</v>
      </c>
      <c r="BD11" s="28">
        <f>Grupo!BD11</f>
        <v>3</v>
      </c>
      <c r="BE11" s="28">
        <f>Grupo!BE11</f>
        <v>2</v>
      </c>
      <c r="BF11" s="28">
        <f>Grupo!BF11</f>
        <v>1</v>
      </c>
      <c r="BG11" s="28">
        <f>Grupo!BG11</f>
        <v>1</v>
      </c>
      <c r="BH11" s="28">
        <f>Grupo!BH11</f>
        <v>1</v>
      </c>
      <c r="BI11" s="28">
        <f>Grupo!BI11</f>
        <v>0</v>
      </c>
      <c r="BJ11" s="28">
        <f>Grupo!BJ11</f>
        <v>1</v>
      </c>
      <c r="BK11" s="28">
        <f>Grupo!BK11</f>
        <v>3</v>
      </c>
      <c r="BL11" s="28">
        <f>Grupo!BL11</f>
        <v>0</v>
      </c>
      <c r="BM11" s="28">
        <f>Grupo!BM11</f>
        <v>2</v>
      </c>
      <c r="BN11" s="28">
        <f>Grupo!BN11</f>
        <v>1</v>
      </c>
      <c r="BO11" s="28">
        <f>Grupo!BO11</f>
        <v>1</v>
      </c>
      <c r="BP11" s="28">
        <f>Grupo!BP11</f>
        <v>7</v>
      </c>
      <c r="BQ11" s="28">
        <f>Grupo!BQ11</f>
        <v>4</v>
      </c>
      <c r="BR11" s="28">
        <f>Grupo!BR11</f>
        <v>0</v>
      </c>
      <c r="BS11" s="28">
        <f>Grupo!BS11</f>
        <v>1</v>
      </c>
      <c r="BT11" s="28">
        <f>Grupo!BT11</f>
        <v>2</v>
      </c>
      <c r="BU11" s="28">
        <f>Grupo!BU11</f>
        <v>1</v>
      </c>
      <c r="BV11" s="28">
        <f>Grupo!BV11</f>
        <v>2</v>
      </c>
      <c r="BW11" s="28">
        <f>Grupo!BW11</f>
        <v>2</v>
      </c>
      <c r="BX11" s="28">
        <f>Grupo!BX11</f>
        <v>1</v>
      </c>
      <c r="BY11" s="28">
        <f>Grupo!BY11</f>
        <v>3</v>
      </c>
      <c r="BZ11" s="28">
        <f>Grupo!BZ11</f>
        <v>4</v>
      </c>
      <c r="CA11" s="28">
        <f>Grupo!CA11</f>
        <v>0</v>
      </c>
      <c r="CB11" s="28">
        <f>Grupo!CB11</f>
        <v>2</v>
      </c>
      <c r="CC11" s="28">
        <f>Grupo!CC11</f>
        <v>3</v>
      </c>
      <c r="CD11" s="28">
        <f>Grupo!CD11</f>
        <v>0</v>
      </c>
      <c r="CE11" s="28">
        <f>Grupo!CE11</f>
        <v>1</v>
      </c>
      <c r="CF11" s="28">
        <f>Grupo!CF11</f>
        <v>2</v>
      </c>
      <c r="CG11" s="28">
        <f>Grupo!CG11</f>
        <v>0</v>
      </c>
      <c r="CH11" s="28">
        <f>Grupo!CH11</f>
        <v>7</v>
      </c>
      <c r="CI11" s="28">
        <f>Grupo!CI11</f>
        <v>2</v>
      </c>
      <c r="CJ11" s="28">
        <f>Grupo!CJ11</f>
        <v>1</v>
      </c>
      <c r="CK11" s="28">
        <f>Grupo!CK11</f>
        <v>4</v>
      </c>
      <c r="CL11" s="28">
        <f>Grupo!CL11</f>
        <v>6</v>
      </c>
      <c r="CM11" s="28">
        <f>Grupo!CM11</f>
        <v>1</v>
      </c>
      <c r="CN11" s="28">
        <f>Grupo!CN11</f>
        <v>1</v>
      </c>
      <c r="CO11" s="28">
        <f>Grupo!CO11</f>
        <v>1</v>
      </c>
      <c r="CP11" s="28">
        <f>Grupo!CP11</f>
        <v>0</v>
      </c>
      <c r="CQ11" s="28">
        <f>Grupo!CQ11</f>
        <v>0</v>
      </c>
      <c r="CR11" s="28">
        <f>Grupo!CR11</f>
        <v>2</v>
      </c>
      <c r="CS11" s="28">
        <f>Grupo!CS11</f>
        <v>0</v>
      </c>
      <c r="CT11" s="28">
        <f>Grupo!CT11</f>
        <v>3</v>
      </c>
      <c r="CU11" s="28">
        <f>Grupo!CU11</f>
        <v>1</v>
      </c>
      <c r="CV11" s="28">
        <f>Grupo!CV11</f>
        <v>1</v>
      </c>
      <c r="CW11" s="28">
        <f>Grupo!CW11</f>
        <v>1</v>
      </c>
      <c r="CX11" s="28">
        <f>Grupo!CX11</f>
        <v>4</v>
      </c>
      <c r="CY11" s="28">
        <f>Grupo!CY11</f>
        <v>0</v>
      </c>
      <c r="CZ11" s="28">
        <f>Grupo!CZ11</f>
        <v>2</v>
      </c>
      <c r="DA11" s="28">
        <f>Grupo!DA11</f>
        <v>3</v>
      </c>
      <c r="DB11" s="28">
        <f>Grupo!DB11</f>
        <v>0</v>
      </c>
      <c r="DC11" s="28">
        <f>Grupo!DC11</f>
        <v>3</v>
      </c>
      <c r="DD11" s="28">
        <f>Grupo!DD11</f>
        <v>2</v>
      </c>
      <c r="DE11" s="28">
        <f>Grupo!DE11</f>
        <v>0</v>
      </c>
      <c r="DF11" s="28">
        <f>Grupo!DF11</f>
        <v>4</v>
      </c>
      <c r="DG11" s="28">
        <f>Grupo!DG11</f>
        <v>3</v>
      </c>
      <c r="DH11" s="28">
        <f>Grupo!DH11</f>
        <v>0</v>
      </c>
      <c r="DI11" s="28">
        <f>Grupo!DI11</f>
        <v>3</v>
      </c>
      <c r="DJ11" s="28">
        <f>Grupo!DJ11</f>
        <v>1</v>
      </c>
      <c r="DK11" s="28">
        <f>Grupo!DK11</f>
        <v>1</v>
      </c>
      <c r="DL11" s="28">
        <f>Grupo!DL11</f>
        <v>4</v>
      </c>
      <c r="DM11" s="28">
        <f>Grupo!DM11</f>
        <v>1</v>
      </c>
      <c r="DN11" s="28">
        <f>Grupo!DN11</f>
        <v>0</v>
      </c>
      <c r="DO11" s="28">
        <f>Grupo!DO11</f>
        <v>2</v>
      </c>
      <c r="DP11" s="28">
        <f>Grupo!DP11</f>
        <v>0</v>
      </c>
      <c r="DQ11" s="28">
        <f>Grupo!DQ11</f>
        <v>0</v>
      </c>
      <c r="DR11" s="28">
        <f>Grupo!DR11</f>
        <v>2</v>
      </c>
      <c r="DS11" s="28">
        <f>Grupo!DS11</f>
        <v>3</v>
      </c>
      <c r="DT11" s="28">
        <f>Grupo!DT11</f>
        <v>0</v>
      </c>
      <c r="DU11" s="28">
        <f>Grupo!DU11</f>
        <v>0</v>
      </c>
      <c r="DV11" s="28">
        <f>Grupo!DV11</f>
        <v>1</v>
      </c>
      <c r="DW11" s="28">
        <f>Grupo!DW11</f>
        <v>0</v>
      </c>
      <c r="DX11" s="28">
        <f>Grupo!DX11</f>
        <v>4</v>
      </c>
      <c r="DY11" s="28">
        <f>Grupo!DY11</f>
        <v>2</v>
      </c>
      <c r="DZ11" s="28">
        <f>Grupo!DZ11</f>
        <v>1</v>
      </c>
      <c r="EA11" s="70">
        <f>Grupo!EA11</f>
        <v>1</v>
      </c>
      <c r="EB11" s="70">
        <f>Grupo!EB11</f>
        <v>0</v>
      </c>
      <c r="EC11" s="70">
        <f>Grupo!EC11</f>
        <v>0</v>
      </c>
      <c r="ED11" s="70">
        <f>Grupo!ED11</f>
        <v>2</v>
      </c>
      <c r="EE11" s="70">
        <f>Grupo!EE11</f>
        <v>1</v>
      </c>
      <c r="EF11" s="70">
        <f>Grupo!EF11</f>
        <v>0</v>
      </c>
      <c r="EG11" s="70">
        <f>Grupo!EG11</f>
        <v>3</v>
      </c>
      <c r="EH11" s="70">
        <f>Grupo!EH11</f>
        <v>1</v>
      </c>
      <c r="EI11" s="70">
        <f>Grupo!EI11</f>
        <v>0</v>
      </c>
      <c r="EJ11" s="70">
        <f>Grupo!EJ11</f>
        <v>6</v>
      </c>
      <c r="EK11" s="70">
        <f>Grupo!EK11</f>
        <v>1</v>
      </c>
      <c r="EL11" s="70">
        <f>Grupo!EL11</f>
        <v>1</v>
      </c>
      <c r="EM11" s="70">
        <f>Grupo!EM11</f>
        <v>4</v>
      </c>
      <c r="EN11" s="70">
        <f>Grupo!EN11</f>
        <v>2</v>
      </c>
      <c r="EO11" s="70">
        <f>Grupo!EO11</f>
        <v>1</v>
      </c>
      <c r="EP11" s="78">
        <f>Grupo!EP11</f>
        <v>2</v>
      </c>
      <c r="EQ11" s="78">
        <f>Grupo!EQ11</f>
        <v>5</v>
      </c>
      <c r="ER11" s="78">
        <f>Grupo!ER11</f>
        <v>1</v>
      </c>
      <c r="ES11" s="78">
        <f>Grupo!ES11</f>
        <v>1</v>
      </c>
      <c r="ET11" s="78">
        <f>Grupo!ET11</f>
        <v>1</v>
      </c>
      <c r="EU11" s="78">
        <f>Grupo!EU11</f>
        <v>0</v>
      </c>
      <c r="EV11" s="78">
        <f>Grupo!EV11</f>
        <v>7</v>
      </c>
      <c r="EW11" s="78">
        <f>Grupo!EW11</f>
        <v>1</v>
      </c>
      <c r="EX11" s="78">
        <f>Grupo!EX11</f>
        <v>1</v>
      </c>
      <c r="EY11" s="78">
        <f>Grupo!EY11</f>
        <v>4</v>
      </c>
      <c r="EZ11" s="78">
        <f>Grupo!EZ11</f>
        <v>2</v>
      </c>
      <c r="FA11" s="78">
        <f>Grupo!FA11</f>
        <v>1</v>
      </c>
      <c r="FB11" s="78">
        <f>Grupo!FB11</f>
        <v>2</v>
      </c>
      <c r="FC11" s="78">
        <f>Grupo!FC11</f>
        <v>0</v>
      </c>
      <c r="FD11" s="78">
        <f>Grupo!FD11</f>
        <v>0</v>
      </c>
      <c r="FE11" s="78">
        <f>Grupo!FE11</f>
        <v>1</v>
      </c>
      <c r="FF11" s="78">
        <f>Grupo!FF11</f>
        <v>1</v>
      </c>
      <c r="FG11" s="78">
        <f>Grupo!FG11</f>
        <v>0</v>
      </c>
      <c r="FH11" s="78">
        <f>Grupo!FH11</f>
        <v>1</v>
      </c>
      <c r="FI11" s="78">
        <f>Grupo!FI11</f>
        <v>2</v>
      </c>
      <c r="FJ11" s="78">
        <f>Grupo!FJ11</f>
        <v>1</v>
      </c>
      <c r="FK11" s="78">
        <f>Grupo!FK11</f>
        <v>3</v>
      </c>
      <c r="FL11" s="78">
        <f>Grupo!FL11</f>
        <v>2</v>
      </c>
      <c r="FM11" s="78">
        <f>Grupo!FM11</f>
        <v>1</v>
      </c>
      <c r="FN11" s="78">
        <f>Grupo!FN11</f>
        <v>4</v>
      </c>
      <c r="FO11" s="78">
        <f>Grupo!FO11</f>
        <v>7</v>
      </c>
      <c r="FP11" s="78">
        <f>Grupo!FP11</f>
        <v>0</v>
      </c>
      <c r="FQ11" s="78">
        <f>Grupo!FQ11</f>
        <v>1</v>
      </c>
      <c r="FR11" s="78">
        <f>Grupo!FR11</f>
        <v>2</v>
      </c>
      <c r="FS11" s="78">
        <f>Grupo!FS11</f>
        <v>1</v>
      </c>
      <c r="FT11" s="78">
        <f>Grupo!FT11</f>
        <v>3</v>
      </c>
      <c r="FU11" s="78">
        <f>Grupo!FU11</f>
        <v>2</v>
      </c>
      <c r="FV11" s="78">
        <f>Grupo!FV11</f>
        <v>3</v>
      </c>
      <c r="FW11" s="78">
        <f>Grupo!FW11</f>
        <v>2</v>
      </c>
      <c r="FX11" s="78">
        <f>Grupo!FX11</f>
        <v>1</v>
      </c>
      <c r="FY11" s="78">
        <f>Grupo!FY11</f>
        <v>0</v>
      </c>
      <c r="FZ11" s="78">
        <f>Grupo!FZ11</f>
        <v>4</v>
      </c>
      <c r="GA11" s="78">
        <f>Grupo!GA11</f>
        <v>0</v>
      </c>
      <c r="GB11" s="78">
        <f>Grupo!GB11</f>
        <v>0</v>
      </c>
      <c r="GC11" s="78">
        <f>Grupo!GC11</f>
        <v>5</v>
      </c>
      <c r="GD11" s="78">
        <f>Grupo!GD11</f>
        <v>2</v>
      </c>
      <c r="GE11" s="78">
        <f>Grupo!GE11</f>
        <v>1</v>
      </c>
      <c r="GF11" s="78">
        <f>Grupo!GF11</f>
        <v>1</v>
      </c>
      <c r="GG11" s="78">
        <f>Grupo!GG11</f>
        <v>1</v>
      </c>
      <c r="GH11" s="78">
        <f>Grupo!GH11</f>
        <v>3</v>
      </c>
      <c r="GI11" s="78">
        <f>Grupo!GI11</f>
        <v>2</v>
      </c>
      <c r="GJ11" s="78">
        <f>Grupo!GJ11</f>
        <v>1</v>
      </c>
      <c r="GK11" s="78">
        <f>Grupo!GK11</f>
        <v>0</v>
      </c>
      <c r="GL11" s="78">
        <f>Grupo!GL11</f>
        <v>4</v>
      </c>
      <c r="GM11" s="78">
        <f>Grupo!GM11</f>
        <v>3</v>
      </c>
      <c r="GN11" s="78">
        <f>Grupo!GN11</f>
        <v>0</v>
      </c>
      <c r="GO11" s="78">
        <f>Grupo!GO11</f>
        <v>1</v>
      </c>
      <c r="GP11" s="78">
        <f>Grupo!GP11</f>
        <v>2</v>
      </c>
      <c r="GQ11" s="78">
        <f>Grupo!GQ11</f>
        <v>1</v>
      </c>
      <c r="GR11" s="79">
        <f>Grupo!GR11</f>
        <v>2</v>
      </c>
      <c r="GS11" s="79">
        <f>Grupo!GS11</f>
        <v>3</v>
      </c>
      <c r="GT11" s="79" t="str">
        <f>Grupo!GT11</f>
        <v/>
      </c>
      <c r="GU11" s="79">
        <f>Grupo!GU11</f>
        <v>1</v>
      </c>
      <c r="GV11" s="79">
        <f>Grupo!GV11</f>
        <v>0</v>
      </c>
      <c r="GW11" s="79" t="str">
        <f>Grupo!GW11</f>
        <v/>
      </c>
      <c r="GX11" s="76">
        <f>Grupo!GX11</f>
        <v>1</v>
      </c>
      <c r="GY11" s="76">
        <f>Grupo!GY11</f>
        <v>1</v>
      </c>
      <c r="GZ11" s="76" t="str">
        <f>Grupo!GZ11</f>
        <v/>
      </c>
      <c r="HA11" s="76">
        <f>Grupo!HA11</f>
        <v>2</v>
      </c>
      <c r="HB11" s="76">
        <f>Grupo!HB11</f>
        <v>3</v>
      </c>
      <c r="HC11" s="76" t="str">
        <f>Grupo!HC11</f>
        <v/>
      </c>
      <c r="HD11" s="76">
        <f>Grupo!HD11</f>
        <v>1</v>
      </c>
      <c r="HE11" s="76">
        <f>Grupo!HE11</f>
        <v>4</v>
      </c>
      <c r="HF11" s="76" t="str">
        <f>Grupo!HF11</f>
        <v/>
      </c>
      <c r="HG11" s="76">
        <f>Grupo!HG11</f>
        <v>0</v>
      </c>
      <c r="HH11" s="76">
        <f>Grupo!HH11</f>
        <v>4</v>
      </c>
      <c r="HI11" s="76" t="str">
        <f>Grupo!HI11</f>
        <v/>
      </c>
      <c r="HJ11" s="32">
        <f>Grupo!HJ11</f>
        <v>32</v>
      </c>
      <c r="HK11" s="25" t="s">
        <v>27</v>
      </c>
    </row>
    <row r="12" spans="1:220" ht="20.25" customHeight="1" thickBot="1" x14ac:dyDescent="0.35">
      <c r="A12" s="34" t="str">
        <f>Grupo!A12</f>
        <v>Cynthia</v>
      </c>
      <c r="B12" s="28">
        <f>Grupo!B12</f>
        <v>1</v>
      </c>
      <c r="C12" s="28">
        <f>Grupo!C12</f>
        <v>2</v>
      </c>
      <c r="D12" s="28">
        <f>Grupo!D12</f>
        <v>0</v>
      </c>
      <c r="E12" s="28">
        <f>Grupo!E12</f>
        <v>1</v>
      </c>
      <c r="F12" s="28">
        <f>Grupo!F12</f>
        <v>0</v>
      </c>
      <c r="G12" s="28">
        <f>Grupo!G12</f>
        <v>1</v>
      </c>
      <c r="H12" s="28">
        <f>Grupo!H12</f>
        <v>2</v>
      </c>
      <c r="I12" s="28">
        <f>Grupo!I12</f>
        <v>1</v>
      </c>
      <c r="J12" s="28">
        <f>Grupo!J12</f>
        <v>0</v>
      </c>
      <c r="K12" s="28">
        <f>Grupo!K12</f>
        <v>0</v>
      </c>
      <c r="L12" s="28">
        <f>Grupo!L12</f>
        <v>0</v>
      </c>
      <c r="M12" s="28">
        <f>Grupo!M12</f>
        <v>0</v>
      </c>
      <c r="N12" s="28">
        <f>Grupo!N12</f>
        <v>1</v>
      </c>
      <c r="O12" s="28">
        <f>Grupo!O12</f>
        <v>3</v>
      </c>
      <c r="P12" s="28">
        <f>Grupo!P12</f>
        <v>1</v>
      </c>
      <c r="Q12" s="28">
        <f>Grupo!Q12</f>
        <v>1</v>
      </c>
      <c r="R12" s="28">
        <f>Grupo!R12</f>
        <v>1</v>
      </c>
      <c r="S12" s="28">
        <f>Grupo!S12</f>
        <v>0</v>
      </c>
      <c r="T12" s="28">
        <f>Grupo!T12</f>
        <v>2</v>
      </c>
      <c r="U12" s="28">
        <f>Grupo!U12</f>
        <v>2</v>
      </c>
      <c r="V12" s="28">
        <f>Grupo!V12</f>
        <v>1</v>
      </c>
      <c r="W12" s="28">
        <f>Grupo!W12</f>
        <v>0</v>
      </c>
      <c r="X12" s="28">
        <f>Grupo!X12</f>
        <v>1</v>
      </c>
      <c r="Y12" s="28">
        <f>Grupo!Y12</f>
        <v>0</v>
      </c>
      <c r="Z12" s="28">
        <f>Grupo!Z12</f>
        <v>0</v>
      </c>
      <c r="AA12" s="28">
        <f>Grupo!AA12</f>
        <v>1</v>
      </c>
      <c r="AB12" s="28">
        <f>Grupo!AB12</f>
        <v>0</v>
      </c>
      <c r="AC12" s="28">
        <f>Grupo!AC12</f>
        <v>3</v>
      </c>
      <c r="AD12" s="28">
        <f>Grupo!AD12</f>
        <v>1</v>
      </c>
      <c r="AE12" s="28">
        <f>Grupo!AE12</f>
        <v>1</v>
      </c>
      <c r="AF12" s="28">
        <f>Grupo!AF12</f>
        <v>2</v>
      </c>
      <c r="AG12" s="28">
        <f>Grupo!AG12</f>
        <v>2</v>
      </c>
      <c r="AH12" s="28">
        <f>Grupo!AH12</f>
        <v>3</v>
      </c>
      <c r="AI12" s="28">
        <f>Grupo!AI12</f>
        <v>3</v>
      </c>
      <c r="AJ12" s="28">
        <f>Grupo!AJ12</f>
        <v>1</v>
      </c>
      <c r="AK12" s="28">
        <f>Grupo!AK12</f>
        <v>1</v>
      </c>
      <c r="AL12" s="28">
        <f>Grupo!AL12</f>
        <v>2</v>
      </c>
      <c r="AM12" s="28">
        <f>Grupo!AM12</f>
        <v>2</v>
      </c>
      <c r="AN12" s="28">
        <f>Grupo!AN12</f>
        <v>1</v>
      </c>
      <c r="AO12" s="28">
        <f>Grupo!AO12</f>
        <v>3</v>
      </c>
      <c r="AP12" s="28">
        <f>Grupo!AP12</f>
        <v>1</v>
      </c>
      <c r="AQ12" s="28">
        <f>Grupo!AQ12</f>
        <v>0</v>
      </c>
      <c r="AR12" s="28">
        <f>Grupo!AR12</f>
        <v>1</v>
      </c>
      <c r="AS12" s="28">
        <f>Grupo!AS12</f>
        <v>1</v>
      </c>
      <c r="AT12" s="28">
        <f>Grupo!AT12</f>
        <v>1</v>
      </c>
      <c r="AU12" s="28">
        <f>Grupo!AU12</f>
        <v>0</v>
      </c>
      <c r="AV12" s="28">
        <f>Grupo!AV12</f>
        <v>0</v>
      </c>
      <c r="AW12" s="28">
        <f>Grupo!AW12</f>
        <v>1</v>
      </c>
      <c r="AX12" s="28">
        <f>Grupo!AX12</f>
        <v>2</v>
      </c>
      <c r="AY12" s="28">
        <f>Grupo!AY12</f>
        <v>1</v>
      </c>
      <c r="AZ12" s="28">
        <f>Grupo!AZ12</f>
        <v>1</v>
      </c>
      <c r="BA12" s="28">
        <f>Grupo!BA12</f>
        <v>1</v>
      </c>
      <c r="BB12" s="28">
        <f>Grupo!BB12</f>
        <v>0</v>
      </c>
      <c r="BC12" s="28">
        <f>Grupo!BC12</f>
        <v>0</v>
      </c>
      <c r="BD12" s="28">
        <f>Grupo!BD12</f>
        <v>3</v>
      </c>
      <c r="BE12" s="28">
        <f>Grupo!BE12</f>
        <v>1</v>
      </c>
      <c r="BF12" s="28">
        <f>Grupo!BF12</f>
        <v>1</v>
      </c>
      <c r="BG12" s="28">
        <f>Grupo!BG12</f>
        <v>2</v>
      </c>
      <c r="BH12" s="28">
        <f>Grupo!BH12</f>
        <v>1</v>
      </c>
      <c r="BI12" s="28">
        <f>Grupo!BI12</f>
        <v>1</v>
      </c>
      <c r="BJ12" s="28">
        <f>Grupo!BJ12</f>
        <v>0</v>
      </c>
      <c r="BK12" s="28">
        <f>Grupo!BK12</f>
        <v>1</v>
      </c>
      <c r="BL12" s="28">
        <f>Grupo!BL12</f>
        <v>0</v>
      </c>
      <c r="BM12" s="28">
        <f>Grupo!BM12</f>
        <v>3</v>
      </c>
      <c r="BN12" s="28">
        <f>Grupo!BN12</f>
        <v>1</v>
      </c>
      <c r="BO12" s="28">
        <f>Grupo!BO12</f>
        <v>1</v>
      </c>
      <c r="BP12" s="28">
        <f>Grupo!BP12</f>
        <v>2</v>
      </c>
      <c r="BQ12" s="28">
        <f>Grupo!BQ12</f>
        <v>1</v>
      </c>
      <c r="BR12" s="28">
        <f>Grupo!BR12</f>
        <v>0</v>
      </c>
      <c r="BS12" s="28">
        <f>Grupo!BS12</f>
        <v>1</v>
      </c>
      <c r="BT12" s="28">
        <f>Grupo!BT12</f>
        <v>3</v>
      </c>
      <c r="BU12" s="28">
        <f>Grupo!BU12</f>
        <v>3</v>
      </c>
      <c r="BV12" s="28">
        <f>Grupo!BV12</f>
        <v>1</v>
      </c>
      <c r="BW12" s="28">
        <f>Grupo!BW12</f>
        <v>2</v>
      </c>
      <c r="BX12" s="28">
        <f>Grupo!BX12</f>
        <v>0</v>
      </c>
      <c r="BY12" s="28">
        <f>Grupo!BY12</f>
        <v>1</v>
      </c>
      <c r="BZ12" s="28">
        <f>Grupo!BZ12</f>
        <v>0</v>
      </c>
      <c r="CA12" s="28">
        <f>Grupo!CA12</f>
        <v>1</v>
      </c>
      <c r="CB12" s="28">
        <f>Grupo!CB12</f>
        <v>1</v>
      </c>
      <c r="CC12" s="28">
        <f>Grupo!CC12</f>
        <v>1</v>
      </c>
      <c r="CD12" s="28">
        <f>Grupo!CD12</f>
        <v>0</v>
      </c>
      <c r="CE12" s="28">
        <f>Grupo!CE12</f>
        <v>1</v>
      </c>
      <c r="CF12" s="28">
        <f>Grupo!CF12</f>
        <v>1</v>
      </c>
      <c r="CG12" s="28">
        <f>Grupo!CG12</f>
        <v>0</v>
      </c>
      <c r="CH12" s="28">
        <f>Grupo!CH12</f>
        <v>2</v>
      </c>
      <c r="CI12" s="28">
        <f>Grupo!CI12</f>
        <v>1</v>
      </c>
      <c r="CJ12" s="28">
        <f>Grupo!CJ12</f>
        <v>1</v>
      </c>
      <c r="CK12" s="28">
        <f>Grupo!CK12</f>
        <v>1</v>
      </c>
      <c r="CL12" s="28">
        <f>Grupo!CL12</f>
        <v>1</v>
      </c>
      <c r="CM12" s="28">
        <f>Grupo!CM12</f>
        <v>0</v>
      </c>
      <c r="CN12" s="28">
        <f>Grupo!CN12</f>
        <v>0</v>
      </c>
      <c r="CO12" s="28">
        <f>Grupo!CO12</f>
        <v>0</v>
      </c>
      <c r="CP12" s="28">
        <f>Grupo!CP12</f>
        <v>0</v>
      </c>
      <c r="CQ12" s="28">
        <f>Grupo!CQ12</f>
        <v>1</v>
      </c>
      <c r="CR12" s="28">
        <f>Grupo!CR12</f>
        <v>1</v>
      </c>
      <c r="CS12" s="28">
        <f>Grupo!CS12</f>
        <v>0</v>
      </c>
      <c r="CT12" s="28">
        <f>Grupo!CT12</f>
        <v>3</v>
      </c>
      <c r="CU12" s="28">
        <f>Grupo!CU12</f>
        <v>1</v>
      </c>
      <c r="CV12" s="28">
        <f>Grupo!CV12</f>
        <v>1</v>
      </c>
      <c r="CW12" s="28">
        <f>Grupo!CW12</f>
        <v>1</v>
      </c>
      <c r="CX12" s="28">
        <f>Grupo!CX12</f>
        <v>0</v>
      </c>
      <c r="CY12" s="28">
        <f>Grupo!CY12</f>
        <v>0</v>
      </c>
      <c r="CZ12" s="28">
        <f>Grupo!CZ12</f>
        <v>2</v>
      </c>
      <c r="DA12" s="28">
        <f>Grupo!DA12</f>
        <v>1</v>
      </c>
      <c r="DB12" s="28">
        <f>Grupo!DB12</f>
        <v>1</v>
      </c>
      <c r="DC12" s="28">
        <f>Grupo!DC12</f>
        <v>0</v>
      </c>
      <c r="DD12" s="28">
        <f>Grupo!DD12</f>
        <v>1</v>
      </c>
      <c r="DE12" s="28">
        <f>Grupo!DE12</f>
        <v>1</v>
      </c>
      <c r="DF12" s="28">
        <f>Grupo!DF12</f>
        <v>1</v>
      </c>
      <c r="DG12" s="28">
        <f>Grupo!DG12</f>
        <v>0</v>
      </c>
      <c r="DH12" s="28">
        <f>Grupo!DH12</f>
        <v>0</v>
      </c>
      <c r="DI12" s="28">
        <f>Grupo!DI12</f>
        <v>2</v>
      </c>
      <c r="DJ12" s="28">
        <f>Grupo!DJ12</f>
        <v>2</v>
      </c>
      <c r="DK12" s="28">
        <f>Grupo!DK12</f>
        <v>0</v>
      </c>
      <c r="DL12" s="28">
        <f>Grupo!DL12</f>
        <v>1</v>
      </c>
      <c r="DM12" s="28">
        <f>Grupo!DM12</f>
        <v>1</v>
      </c>
      <c r="DN12" s="28">
        <f>Grupo!DN12</f>
        <v>1</v>
      </c>
      <c r="DO12" s="28">
        <f>Grupo!DO12</f>
        <v>0</v>
      </c>
      <c r="DP12" s="28">
        <f>Grupo!DP12</f>
        <v>1</v>
      </c>
      <c r="DQ12" s="28">
        <f>Grupo!DQ12</f>
        <v>1</v>
      </c>
      <c r="DR12" s="28">
        <f>Grupo!DR12</f>
        <v>0</v>
      </c>
      <c r="DS12" s="28">
        <f>Grupo!DS12</f>
        <v>1</v>
      </c>
      <c r="DT12" s="28">
        <f>Grupo!DT12</f>
        <v>0</v>
      </c>
      <c r="DU12" s="28">
        <f>Grupo!DU12</f>
        <v>2</v>
      </c>
      <c r="DV12" s="28">
        <f>Grupo!DV12</f>
        <v>0</v>
      </c>
      <c r="DW12" s="28">
        <f>Grupo!DW12</f>
        <v>1</v>
      </c>
      <c r="DX12" s="28">
        <f>Grupo!DX12</f>
        <v>2</v>
      </c>
      <c r="DY12" s="28">
        <f>Grupo!DY12</f>
        <v>0</v>
      </c>
      <c r="DZ12" s="28">
        <f>Grupo!DZ12</f>
        <v>3</v>
      </c>
      <c r="EA12" s="70">
        <f>Grupo!EA12</f>
        <v>0</v>
      </c>
      <c r="EB12" s="70">
        <f>Grupo!EB12</f>
        <v>1</v>
      </c>
      <c r="EC12" s="70">
        <f>Grupo!EC12</f>
        <v>1</v>
      </c>
      <c r="ED12" s="70">
        <f>Grupo!ED12</f>
        <v>3</v>
      </c>
      <c r="EE12" s="70">
        <f>Grupo!EE12</f>
        <v>1</v>
      </c>
      <c r="EF12" s="70">
        <f>Grupo!EF12</f>
        <v>0</v>
      </c>
      <c r="EG12" s="70">
        <f>Grupo!EG12</f>
        <v>1</v>
      </c>
      <c r="EH12" s="70">
        <f>Grupo!EH12</f>
        <v>1</v>
      </c>
      <c r="EI12" s="70">
        <f>Grupo!EI12</f>
        <v>0</v>
      </c>
      <c r="EJ12" s="70">
        <f>Grupo!EJ12</f>
        <v>2</v>
      </c>
      <c r="EK12" s="70">
        <f>Grupo!EK12</f>
        <v>1</v>
      </c>
      <c r="EL12" s="70">
        <f>Grupo!EL12</f>
        <v>1</v>
      </c>
      <c r="EM12" s="70">
        <f>Grupo!EM12</f>
        <v>3</v>
      </c>
      <c r="EN12" s="70">
        <f>Grupo!EN12</f>
        <v>1</v>
      </c>
      <c r="EO12" s="70">
        <f>Grupo!EO12</f>
        <v>1</v>
      </c>
      <c r="EP12" s="78">
        <f>Grupo!EP12</f>
        <v>0</v>
      </c>
      <c r="EQ12" s="78">
        <f>Grupo!EQ12</f>
        <v>3</v>
      </c>
      <c r="ER12" s="78">
        <f>Grupo!ER12</f>
        <v>3</v>
      </c>
      <c r="ES12" s="78">
        <f>Grupo!ES12</f>
        <v>1</v>
      </c>
      <c r="ET12" s="78">
        <f>Grupo!ET12</f>
        <v>0</v>
      </c>
      <c r="EU12" s="78">
        <f>Grupo!EU12</f>
        <v>1</v>
      </c>
      <c r="EV12" s="78">
        <f>Grupo!EV12</f>
        <v>1</v>
      </c>
      <c r="EW12" s="78">
        <f>Grupo!EW12</f>
        <v>2</v>
      </c>
      <c r="EX12" s="78">
        <f>Grupo!EX12</f>
        <v>0</v>
      </c>
      <c r="EY12" s="78">
        <f>Grupo!EY12</f>
        <v>0</v>
      </c>
      <c r="EZ12" s="78">
        <f>Grupo!EZ12</f>
        <v>0</v>
      </c>
      <c r="FA12" s="78">
        <f>Grupo!FA12</f>
        <v>0</v>
      </c>
      <c r="FB12" s="78">
        <f>Grupo!FB12</f>
        <v>1</v>
      </c>
      <c r="FC12" s="78">
        <f>Grupo!FC12</f>
        <v>2</v>
      </c>
      <c r="FD12" s="78">
        <f>Grupo!FD12</f>
        <v>1</v>
      </c>
      <c r="FE12" s="78">
        <f>Grupo!FE12</f>
        <v>2</v>
      </c>
      <c r="FF12" s="78">
        <f>Grupo!FF12</f>
        <v>1</v>
      </c>
      <c r="FG12" s="78">
        <f>Grupo!FG12</f>
        <v>1</v>
      </c>
      <c r="FH12" s="78">
        <f>Grupo!FH12</f>
        <v>0</v>
      </c>
      <c r="FI12" s="78">
        <f>Grupo!FI12</f>
        <v>1</v>
      </c>
      <c r="FJ12" s="78">
        <f>Grupo!FJ12</f>
        <v>1</v>
      </c>
      <c r="FK12" s="78">
        <f>Grupo!FK12</f>
        <v>1</v>
      </c>
      <c r="FL12" s="78">
        <f>Grupo!FL12</f>
        <v>2</v>
      </c>
      <c r="FM12" s="78">
        <f>Grupo!FM12</f>
        <v>0</v>
      </c>
      <c r="FN12" s="78">
        <f>Grupo!FN12</f>
        <v>0</v>
      </c>
      <c r="FO12" s="78">
        <f>Grupo!FO12</f>
        <v>1</v>
      </c>
      <c r="FP12" s="78">
        <f>Grupo!FP12</f>
        <v>0</v>
      </c>
      <c r="FQ12" s="78">
        <f>Grupo!FQ12</f>
        <v>1</v>
      </c>
      <c r="FR12" s="78">
        <f>Grupo!FR12</f>
        <v>2</v>
      </c>
      <c r="FS12" s="78">
        <f>Grupo!FS12</f>
        <v>1</v>
      </c>
      <c r="FT12" s="78">
        <f>Grupo!FT12</f>
        <v>1</v>
      </c>
      <c r="FU12" s="78">
        <f>Grupo!FU12</f>
        <v>1</v>
      </c>
      <c r="FV12" s="78">
        <f>Grupo!FV12</f>
        <v>0</v>
      </c>
      <c r="FW12" s="78">
        <f>Grupo!FW12</f>
        <v>0</v>
      </c>
      <c r="FX12" s="78">
        <f>Grupo!FX12</f>
        <v>0</v>
      </c>
      <c r="FY12" s="78">
        <f>Grupo!FY12</f>
        <v>3</v>
      </c>
      <c r="FZ12" s="78">
        <f>Grupo!FZ12</f>
        <v>1</v>
      </c>
      <c r="GA12" s="78">
        <f>Grupo!GA12</f>
        <v>2</v>
      </c>
      <c r="GB12" s="78">
        <f>Grupo!GB12</f>
        <v>1</v>
      </c>
      <c r="GC12" s="78">
        <f>Grupo!GC12</f>
        <v>1</v>
      </c>
      <c r="GD12" s="78">
        <f>Grupo!GD12</f>
        <v>1</v>
      </c>
      <c r="GE12" s="78">
        <f>Grupo!GE12</f>
        <v>0</v>
      </c>
      <c r="GF12" s="78">
        <f>Grupo!GF12</f>
        <v>1</v>
      </c>
      <c r="GG12" s="78">
        <f>Grupo!GG12</f>
        <v>1</v>
      </c>
      <c r="GH12" s="78">
        <f>Grupo!GH12</f>
        <v>3</v>
      </c>
      <c r="GI12" s="78">
        <f>Grupo!GI12</f>
        <v>0</v>
      </c>
      <c r="GJ12" s="78">
        <f>Grupo!GJ12</f>
        <v>1</v>
      </c>
      <c r="GK12" s="78">
        <f>Grupo!GK12</f>
        <v>1</v>
      </c>
      <c r="GL12" s="78">
        <f>Grupo!GL12</f>
        <v>0</v>
      </c>
      <c r="GM12" s="78">
        <f>Grupo!GM12</f>
        <v>3</v>
      </c>
      <c r="GN12" s="78">
        <f>Grupo!GN12</f>
        <v>0</v>
      </c>
      <c r="GO12" s="78">
        <f>Grupo!GO12</f>
        <v>1</v>
      </c>
      <c r="GP12" s="78">
        <f>Grupo!GP12</f>
        <v>1</v>
      </c>
      <c r="GQ12" s="78">
        <f>Grupo!GQ12</f>
        <v>0</v>
      </c>
      <c r="GR12" s="79">
        <f>Grupo!GR12</f>
        <v>0</v>
      </c>
      <c r="GS12" s="79">
        <f>Grupo!GS12</f>
        <v>1</v>
      </c>
      <c r="GT12" s="79" t="str">
        <f>Grupo!GT12</f>
        <v/>
      </c>
      <c r="GU12" s="79">
        <f>Grupo!GU12</f>
        <v>1</v>
      </c>
      <c r="GV12" s="79">
        <f>Grupo!GV12</f>
        <v>1</v>
      </c>
      <c r="GW12" s="79" t="str">
        <f>Grupo!GW12</f>
        <v/>
      </c>
      <c r="GX12" s="76">
        <f>Grupo!GX12</f>
        <v>0</v>
      </c>
      <c r="GY12" s="76">
        <f>Grupo!GY12</f>
        <v>0</v>
      </c>
      <c r="GZ12" s="76" t="str">
        <f>Grupo!GZ12</f>
        <v/>
      </c>
      <c r="HA12" s="76">
        <f>Grupo!HA12</f>
        <v>0</v>
      </c>
      <c r="HB12" s="76">
        <f>Grupo!HB12</f>
        <v>3</v>
      </c>
      <c r="HC12" s="76" t="str">
        <f>Grupo!HC12</f>
        <v/>
      </c>
      <c r="HD12" s="76">
        <f>Grupo!HD12</f>
        <v>1</v>
      </c>
      <c r="HE12" s="76">
        <f>Grupo!HE12</f>
        <v>1</v>
      </c>
      <c r="HF12" s="76" t="str">
        <f>Grupo!HF12</f>
        <v/>
      </c>
      <c r="HG12" s="76">
        <f>Grupo!HG12</f>
        <v>0</v>
      </c>
      <c r="HH12" s="76">
        <f>Grupo!HH12</f>
        <v>0</v>
      </c>
      <c r="HI12" s="76" t="str">
        <f>Grupo!HI12</f>
        <v/>
      </c>
      <c r="HJ12" s="32">
        <f>Grupo!HJ12</f>
        <v>48</v>
      </c>
      <c r="HK12" s="25" t="s">
        <v>29</v>
      </c>
    </row>
    <row r="13" spans="1:220" ht="20.25" customHeight="1" thickBot="1" x14ac:dyDescent="0.35">
      <c r="A13" s="34" t="str">
        <f>Grupo!A13</f>
        <v>Edward</v>
      </c>
      <c r="B13" s="28">
        <f>Grupo!B13</f>
        <v>2</v>
      </c>
      <c r="C13" s="28">
        <f>Grupo!C13</f>
        <v>0</v>
      </c>
      <c r="D13" s="28">
        <f>Grupo!D13</f>
        <v>3</v>
      </c>
      <c r="E13" s="28">
        <f>Grupo!E13</f>
        <v>2</v>
      </c>
      <c r="F13" s="28">
        <f>Grupo!F13</f>
        <v>1</v>
      </c>
      <c r="G13" s="28">
        <f>Grupo!G13</f>
        <v>3</v>
      </c>
      <c r="H13" s="28">
        <f>Grupo!H13</f>
        <v>2</v>
      </c>
      <c r="I13" s="28">
        <f>Grupo!I13</f>
        <v>1</v>
      </c>
      <c r="J13" s="28">
        <f>Grupo!J13</f>
        <v>0</v>
      </c>
      <c r="K13" s="28">
        <f>Grupo!K13</f>
        <v>2</v>
      </c>
      <c r="L13" s="28">
        <f>Grupo!L13</f>
        <v>1</v>
      </c>
      <c r="M13" s="28">
        <f>Grupo!M13</f>
        <v>1</v>
      </c>
      <c r="N13" s="28">
        <f>Grupo!N13</f>
        <v>0</v>
      </c>
      <c r="O13" s="28">
        <f>Grupo!O13</f>
        <v>2</v>
      </c>
      <c r="P13" s="28">
        <f>Grupo!P13</f>
        <v>1</v>
      </c>
      <c r="Q13" s="28">
        <f>Grupo!Q13</f>
        <v>0</v>
      </c>
      <c r="R13" s="28">
        <f>Grupo!R13</f>
        <v>1</v>
      </c>
      <c r="S13" s="28">
        <f>Grupo!S13</f>
        <v>0</v>
      </c>
      <c r="T13" s="28">
        <f>Grupo!T13</f>
        <v>2</v>
      </c>
      <c r="U13" s="28">
        <f>Grupo!U13</f>
        <v>1</v>
      </c>
      <c r="V13" s="28">
        <f>Grupo!V13</f>
        <v>0</v>
      </c>
      <c r="W13" s="28">
        <f>Grupo!W13</f>
        <v>0</v>
      </c>
      <c r="X13" s="28">
        <f>Grupo!X13</f>
        <v>2</v>
      </c>
      <c r="Y13" s="28">
        <f>Grupo!Y13</f>
        <v>0</v>
      </c>
      <c r="Z13" s="28">
        <f>Grupo!Z13</f>
        <v>1</v>
      </c>
      <c r="AA13" s="28">
        <f>Grupo!AA13</f>
        <v>1</v>
      </c>
      <c r="AB13" s="28">
        <f>Grupo!AB13</f>
        <v>0</v>
      </c>
      <c r="AC13" s="28">
        <f>Grupo!AC13</f>
        <v>3</v>
      </c>
      <c r="AD13" s="28">
        <f>Grupo!AD13</f>
        <v>0</v>
      </c>
      <c r="AE13" s="28">
        <f>Grupo!AE13</f>
        <v>1</v>
      </c>
      <c r="AF13" s="28">
        <f>Grupo!AF13</f>
        <v>2</v>
      </c>
      <c r="AG13" s="28">
        <f>Grupo!AG13</f>
        <v>1</v>
      </c>
      <c r="AH13" s="28">
        <f>Grupo!AH13</f>
        <v>0</v>
      </c>
      <c r="AI13" s="28">
        <f>Grupo!AI13</f>
        <v>2</v>
      </c>
      <c r="AJ13" s="28">
        <f>Grupo!AJ13</f>
        <v>0</v>
      </c>
      <c r="AK13" s="28">
        <f>Grupo!AK13</f>
        <v>1</v>
      </c>
      <c r="AL13" s="28">
        <f>Grupo!AL13</f>
        <v>1</v>
      </c>
      <c r="AM13" s="28">
        <f>Grupo!AM13</f>
        <v>2</v>
      </c>
      <c r="AN13" s="28">
        <f>Grupo!AN13</f>
        <v>0</v>
      </c>
      <c r="AO13" s="28">
        <f>Grupo!AO13</f>
        <v>4</v>
      </c>
      <c r="AP13" s="28">
        <f>Grupo!AP13</f>
        <v>0</v>
      </c>
      <c r="AQ13" s="28">
        <f>Grupo!AQ13</f>
        <v>0</v>
      </c>
      <c r="AR13" s="28">
        <f>Grupo!AR13</f>
        <v>1</v>
      </c>
      <c r="AS13" s="28">
        <f>Grupo!AS13</f>
        <v>0</v>
      </c>
      <c r="AT13" s="28">
        <f>Grupo!AT13</f>
        <v>0</v>
      </c>
      <c r="AU13" s="28">
        <f>Grupo!AU13</f>
        <v>2</v>
      </c>
      <c r="AV13" s="28">
        <f>Grupo!AV13</f>
        <v>1</v>
      </c>
      <c r="AW13" s="28">
        <f>Grupo!AW13</f>
        <v>0</v>
      </c>
      <c r="AX13" s="28">
        <f>Grupo!AX13</f>
        <v>2</v>
      </c>
      <c r="AY13" s="28">
        <f>Grupo!AY13</f>
        <v>1</v>
      </c>
      <c r="AZ13" s="28">
        <f>Grupo!AZ13</f>
        <v>1</v>
      </c>
      <c r="BA13" s="28">
        <f>Grupo!BA13</f>
        <v>0</v>
      </c>
      <c r="BB13" s="28">
        <f>Grupo!BB13</f>
        <v>2</v>
      </c>
      <c r="BC13" s="28">
        <f>Grupo!BC13</f>
        <v>1</v>
      </c>
      <c r="BD13" s="28">
        <f>Grupo!BD13</f>
        <v>2</v>
      </c>
      <c r="BE13" s="28">
        <f>Grupo!BE13</f>
        <v>0</v>
      </c>
      <c r="BF13" s="28">
        <f>Grupo!BF13</f>
        <v>1</v>
      </c>
      <c r="BG13" s="28">
        <f>Grupo!BG13</f>
        <v>2</v>
      </c>
      <c r="BH13" s="28">
        <f>Grupo!BH13</f>
        <v>0</v>
      </c>
      <c r="BI13" s="28">
        <f>Grupo!BI13</f>
        <v>1</v>
      </c>
      <c r="BJ13" s="28">
        <f>Grupo!BJ13</f>
        <v>1</v>
      </c>
      <c r="BK13" s="28">
        <f>Grupo!BK13</f>
        <v>2</v>
      </c>
      <c r="BL13" s="28">
        <f>Grupo!BL13</f>
        <v>0</v>
      </c>
      <c r="BM13" s="28">
        <f>Grupo!BM13</f>
        <v>2</v>
      </c>
      <c r="BN13" s="28">
        <f>Grupo!BN13</f>
        <v>1</v>
      </c>
      <c r="BO13" s="28">
        <f>Grupo!BO13</f>
        <v>1</v>
      </c>
      <c r="BP13" s="28">
        <f>Grupo!BP13</f>
        <v>2</v>
      </c>
      <c r="BQ13" s="28">
        <f>Grupo!BQ13</f>
        <v>1</v>
      </c>
      <c r="BR13" s="28">
        <f>Grupo!BR13</f>
        <v>0</v>
      </c>
      <c r="BS13" s="28">
        <f>Grupo!BS13</f>
        <v>1</v>
      </c>
      <c r="BT13" s="28">
        <f>Grupo!BT13</f>
        <v>2</v>
      </c>
      <c r="BU13" s="28">
        <f>Grupo!BU13</f>
        <v>1</v>
      </c>
      <c r="BV13" s="28">
        <f>Grupo!BV13</f>
        <v>2</v>
      </c>
      <c r="BW13" s="28">
        <f>Grupo!BW13</f>
        <v>0</v>
      </c>
      <c r="BX13" s="28">
        <f>Grupo!BX13</f>
        <v>0</v>
      </c>
      <c r="BY13" s="28">
        <f>Grupo!BY13</f>
        <v>2</v>
      </c>
      <c r="BZ13" s="28">
        <f>Grupo!BZ13</f>
        <v>1</v>
      </c>
      <c r="CA13" s="28">
        <f>Grupo!CA13</f>
        <v>1</v>
      </c>
      <c r="CB13" s="28">
        <f>Grupo!CB13</f>
        <v>2</v>
      </c>
      <c r="CC13" s="28">
        <f>Grupo!CC13</f>
        <v>0</v>
      </c>
      <c r="CD13" s="28">
        <f>Grupo!CD13</f>
        <v>1</v>
      </c>
      <c r="CE13" s="28">
        <f>Grupo!CE13</f>
        <v>1</v>
      </c>
      <c r="CF13" s="28">
        <f>Grupo!CF13</f>
        <v>1</v>
      </c>
      <c r="CG13" s="28">
        <f>Grupo!CG13</f>
        <v>0</v>
      </c>
      <c r="CH13" s="28">
        <f>Grupo!CH13</f>
        <v>3</v>
      </c>
      <c r="CI13" s="28">
        <f>Grupo!CI13</f>
        <v>0</v>
      </c>
      <c r="CJ13" s="28">
        <f>Grupo!CJ13</f>
        <v>3</v>
      </c>
      <c r="CK13" s="28">
        <f>Grupo!CK13</f>
        <v>0</v>
      </c>
      <c r="CL13" s="28">
        <f>Grupo!CL13</f>
        <v>2</v>
      </c>
      <c r="CM13" s="28">
        <f>Grupo!CM13</f>
        <v>1</v>
      </c>
      <c r="CN13" s="28">
        <f>Grupo!CN13</f>
        <v>1</v>
      </c>
      <c r="CO13" s="28">
        <f>Grupo!CO13</f>
        <v>1</v>
      </c>
      <c r="CP13" s="28">
        <f>Grupo!CP13</f>
        <v>0</v>
      </c>
      <c r="CQ13" s="28">
        <f>Grupo!CQ13</f>
        <v>2</v>
      </c>
      <c r="CR13" s="28">
        <f>Grupo!CR13</f>
        <v>0</v>
      </c>
      <c r="CS13" s="28">
        <f>Grupo!CS13</f>
        <v>3</v>
      </c>
      <c r="CT13" s="28">
        <f>Grupo!CT13</f>
        <v>2</v>
      </c>
      <c r="CU13" s="28">
        <f>Grupo!CU13</f>
        <v>0</v>
      </c>
      <c r="CV13" s="28">
        <f>Grupo!CV13</f>
        <v>1</v>
      </c>
      <c r="CW13" s="28">
        <f>Grupo!CW13</f>
        <v>2</v>
      </c>
      <c r="CX13" s="28">
        <f>Grupo!CX13</f>
        <v>0</v>
      </c>
      <c r="CY13" s="28">
        <f>Grupo!CY13</f>
        <v>0</v>
      </c>
      <c r="CZ13" s="28">
        <f>Grupo!CZ13</f>
        <v>1</v>
      </c>
      <c r="DA13" s="28">
        <f>Grupo!DA13</f>
        <v>1</v>
      </c>
      <c r="DB13" s="28">
        <f>Grupo!DB13</f>
        <v>0</v>
      </c>
      <c r="DC13" s="28">
        <f>Grupo!DC13</f>
        <v>0</v>
      </c>
      <c r="DD13" s="28">
        <f>Grupo!DD13</f>
        <v>2</v>
      </c>
      <c r="DE13" s="28">
        <f>Grupo!DE13</f>
        <v>1</v>
      </c>
      <c r="DF13" s="28">
        <f>Grupo!DF13</f>
        <v>3</v>
      </c>
      <c r="DG13" s="28">
        <f>Grupo!DG13</f>
        <v>0</v>
      </c>
      <c r="DH13" s="28">
        <f>Grupo!DH13</f>
        <v>0</v>
      </c>
      <c r="DI13" s="28">
        <f>Grupo!DI13</f>
        <v>3</v>
      </c>
      <c r="DJ13" s="28">
        <f>Grupo!DJ13</f>
        <v>0</v>
      </c>
      <c r="DK13" s="28">
        <f>Grupo!DK13</f>
        <v>1</v>
      </c>
      <c r="DL13" s="28">
        <f>Grupo!DL13</f>
        <v>1</v>
      </c>
      <c r="DM13" s="28">
        <f>Grupo!DM13</f>
        <v>1</v>
      </c>
      <c r="DN13" s="28">
        <f>Grupo!DN13</f>
        <v>1</v>
      </c>
      <c r="DO13" s="28">
        <f>Grupo!DO13</f>
        <v>0</v>
      </c>
      <c r="DP13" s="28">
        <f>Grupo!DP13</f>
        <v>2</v>
      </c>
      <c r="DQ13" s="28">
        <f>Grupo!DQ13</f>
        <v>1</v>
      </c>
      <c r="DR13" s="28">
        <f>Grupo!DR13</f>
        <v>1</v>
      </c>
      <c r="DS13" s="28">
        <f>Grupo!DS13</f>
        <v>1</v>
      </c>
      <c r="DT13" s="28">
        <f>Grupo!DT13</f>
        <v>0</v>
      </c>
      <c r="DU13" s="28">
        <f>Grupo!DU13</f>
        <v>3</v>
      </c>
      <c r="DV13" s="28">
        <f>Grupo!DV13</f>
        <v>0</v>
      </c>
      <c r="DW13" s="28">
        <f>Grupo!DW13</f>
        <v>3</v>
      </c>
      <c r="DX13" s="28">
        <f>Grupo!DX13</f>
        <v>2</v>
      </c>
      <c r="DY13" s="28">
        <f>Grupo!DY13</f>
        <v>1</v>
      </c>
      <c r="DZ13" s="28">
        <f>Grupo!DZ13</f>
        <v>1</v>
      </c>
      <c r="EA13" s="70">
        <f>Grupo!EA13</f>
        <v>0</v>
      </c>
      <c r="EB13" s="70">
        <f>Grupo!EB13</f>
        <v>2</v>
      </c>
      <c r="EC13" s="70">
        <f>Grupo!EC13</f>
        <v>1</v>
      </c>
      <c r="ED13" s="70">
        <f>Grupo!ED13</f>
        <v>3</v>
      </c>
      <c r="EE13" s="70">
        <f>Grupo!EE13</f>
        <v>1</v>
      </c>
      <c r="EF13" s="70">
        <f>Grupo!EF13</f>
        <v>0</v>
      </c>
      <c r="EG13" s="70">
        <f>Grupo!EG13</f>
        <v>0</v>
      </c>
      <c r="EH13" s="70">
        <f>Grupo!EH13</f>
        <v>2</v>
      </c>
      <c r="EI13" s="70">
        <f>Grupo!EI13</f>
        <v>1</v>
      </c>
      <c r="EJ13" s="70">
        <f>Grupo!EJ13</f>
        <v>3</v>
      </c>
      <c r="EK13" s="70">
        <f>Grupo!EK13</f>
        <v>0</v>
      </c>
      <c r="EL13" s="70">
        <f>Grupo!EL13</f>
        <v>1</v>
      </c>
      <c r="EM13" s="70">
        <f>Grupo!EM13</f>
        <v>2</v>
      </c>
      <c r="EN13" s="70">
        <f>Grupo!EN13</f>
        <v>0</v>
      </c>
      <c r="EO13" s="70">
        <f>Grupo!EO13</f>
        <v>1</v>
      </c>
      <c r="EP13" s="78">
        <f>Grupo!EP13</f>
        <v>0</v>
      </c>
      <c r="EQ13" s="78">
        <f>Grupo!EQ13</f>
        <v>2</v>
      </c>
      <c r="ER13" s="78">
        <f>Grupo!ER13</f>
        <v>1</v>
      </c>
      <c r="ES13" s="78">
        <f>Grupo!ES13</f>
        <v>2</v>
      </c>
      <c r="ET13" s="78">
        <f>Grupo!ET13</f>
        <v>0</v>
      </c>
      <c r="EU13" s="78">
        <f>Grupo!EU13</f>
        <v>1</v>
      </c>
      <c r="EV13" s="78">
        <f>Grupo!EV13</f>
        <v>1</v>
      </c>
      <c r="EW13" s="78">
        <f>Grupo!EW13</f>
        <v>1</v>
      </c>
      <c r="EX13" s="78">
        <f>Grupo!EX13</f>
        <v>0</v>
      </c>
      <c r="EY13" s="78">
        <f>Grupo!EY13</f>
        <v>2</v>
      </c>
      <c r="EZ13" s="78">
        <f>Grupo!EZ13</f>
        <v>1</v>
      </c>
      <c r="FA13" s="78">
        <f>Grupo!FA13</f>
        <v>1</v>
      </c>
      <c r="FB13" s="78">
        <f>Grupo!FB13</f>
        <v>1</v>
      </c>
      <c r="FC13" s="78">
        <f>Grupo!FC13</f>
        <v>2</v>
      </c>
      <c r="FD13" s="78">
        <f>Grupo!FD13</f>
        <v>1</v>
      </c>
      <c r="FE13" s="78">
        <f>Grupo!FE13</f>
        <v>1</v>
      </c>
      <c r="FF13" s="78">
        <f>Grupo!FF13</f>
        <v>2</v>
      </c>
      <c r="FG13" s="78">
        <f>Grupo!FG13</f>
        <v>0</v>
      </c>
      <c r="FH13" s="78">
        <f>Grupo!FH13</f>
        <v>0</v>
      </c>
      <c r="FI13" s="78">
        <f>Grupo!FI13</f>
        <v>2</v>
      </c>
      <c r="FJ13" s="78">
        <f>Grupo!FJ13</f>
        <v>3</v>
      </c>
      <c r="FK13" s="78">
        <f>Grupo!FK13</f>
        <v>1</v>
      </c>
      <c r="FL13" s="78">
        <f>Grupo!FL13</f>
        <v>2</v>
      </c>
      <c r="FM13" s="78">
        <f>Grupo!FM13</f>
        <v>0</v>
      </c>
      <c r="FN13" s="78">
        <f>Grupo!FN13</f>
        <v>1</v>
      </c>
      <c r="FO13" s="78">
        <f>Grupo!FO13</f>
        <v>1</v>
      </c>
      <c r="FP13" s="78">
        <f>Grupo!FP13</f>
        <v>3</v>
      </c>
      <c r="FQ13" s="78">
        <f>Grupo!FQ13</f>
        <v>0</v>
      </c>
      <c r="FR13" s="78">
        <f>Grupo!FR13</f>
        <v>2</v>
      </c>
      <c r="FS13" s="78">
        <f>Grupo!FS13</f>
        <v>1</v>
      </c>
      <c r="FT13" s="78">
        <f>Grupo!FT13</f>
        <v>2</v>
      </c>
      <c r="FU13" s="78">
        <f>Grupo!FU13</f>
        <v>0</v>
      </c>
      <c r="FV13" s="78">
        <f>Grupo!FV13</f>
        <v>1</v>
      </c>
      <c r="FW13" s="78">
        <f>Grupo!FW13</f>
        <v>2</v>
      </c>
      <c r="FX13" s="78">
        <f>Grupo!FX13</f>
        <v>0</v>
      </c>
      <c r="FY13" s="78">
        <f>Grupo!FY13</f>
        <v>0</v>
      </c>
      <c r="FZ13" s="78">
        <f>Grupo!FZ13</f>
        <v>2</v>
      </c>
      <c r="GA13" s="78">
        <f>Grupo!GA13</f>
        <v>1</v>
      </c>
      <c r="GB13" s="78">
        <f>Grupo!GB13</f>
        <v>0</v>
      </c>
      <c r="GC13" s="78">
        <f>Grupo!GC13</f>
        <v>2</v>
      </c>
      <c r="GD13" s="78">
        <f>Grupo!GD13</f>
        <v>0</v>
      </c>
      <c r="GE13" s="78">
        <f>Grupo!GE13</f>
        <v>1</v>
      </c>
      <c r="GF13" s="78">
        <f>Grupo!GF13</f>
        <v>1</v>
      </c>
      <c r="GG13" s="78">
        <f>Grupo!GG13</f>
        <v>1</v>
      </c>
      <c r="GH13" s="78">
        <f>Grupo!GH13</f>
        <v>3</v>
      </c>
      <c r="GI13" s="78">
        <f>Grupo!GI13</f>
        <v>0</v>
      </c>
      <c r="GJ13" s="78">
        <f>Grupo!GJ13</f>
        <v>2</v>
      </c>
      <c r="GK13" s="78">
        <f>Grupo!GK13</f>
        <v>1</v>
      </c>
      <c r="GL13" s="78">
        <f>Grupo!GL13</f>
        <v>1</v>
      </c>
      <c r="GM13" s="78">
        <f>Grupo!GM13</f>
        <v>1</v>
      </c>
      <c r="GN13" s="78">
        <f>Grupo!GN13</f>
        <v>1</v>
      </c>
      <c r="GO13" s="78">
        <f>Grupo!GO13</f>
        <v>1</v>
      </c>
      <c r="GP13" s="78">
        <f>Grupo!GP13</f>
        <v>2</v>
      </c>
      <c r="GQ13" s="78">
        <f>Grupo!GQ13</f>
        <v>1</v>
      </c>
      <c r="GR13" s="79">
        <f>Grupo!GR13</f>
        <v>1</v>
      </c>
      <c r="GS13" s="79">
        <f>Grupo!GS13</f>
        <v>3</v>
      </c>
      <c r="GT13" s="79" t="str">
        <f>Grupo!GT13</f>
        <v/>
      </c>
      <c r="GU13" s="79">
        <f>Grupo!GU13</f>
        <v>2</v>
      </c>
      <c r="GV13" s="79">
        <f>Grupo!GV13</f>
        <v>1</v>
      </c>
      <c r="GW13" s="79" t="str">
        <f>Grupo!GW13</f>
        <v/>
      </c>
      <c r="GX13" s="76">
        <f>Grupo!GX13</f>
        <v>1</v>
      </c>
      <c r="GY13" s="76">
        <f>Grupo!GY13</f>
        <v>1</v>
      </c>
      <c r="GZ13" s="76" t="str">
        <f>Grupo!GZ13</f>
        <v/>
      </c>
      <c r="HA13" s="76">
        <f>Grupo!HA13</f>
        <v>0</v>
      </c>
      <c r="HB13" s="76">
        <f>Grupo!HB13</f>
        <v>2</v>
      </c>
      <c r="HC13" s="76" t="str">
        <f>Grupo!HC13</f>
        <v/>
      </c>
      <c r="HD13" s="76">
        <f>Grupo!HD13</f>
        <v>1</v>
      </c>
      <c r="HE13" s="76">
        <f>Grupo!HE13</f>
        <v>2</v>
      </c>
      <c r="HF13" s="76" t="str">
        <f>Grupo!HF13</f>
        <v/>
      </c>
      <c r="HG13" s="76">
        <f>Grupo!HG13</f>
        <v>1</v>
      </c>
      <c r="HH13" s="76">
        <f>Grupo!HH13</f>
        <v>1</v>
      </c>
      <c r="HI13" s="76" t="str">
        <f>Grupo!HI13</f>
        <v/>
      </c>
      <c r="HJ13" s="32">
        <f>Grupo!HJ13</f>
        <v>57</v>
      </c>
      <c r="HK13" s="25" t="s">
        <v>30</v>
      </c>
    </row>
    <row r="14" spans="1:220" ht="20.25" customHeight="1" thickBot="1" x14ac:dyDescent="0.35">
      <c r="A14" s="34" t="str">
        <f>Grupo!A14</f>
        <v>Espinosa L.</v>
      </c>
      <c r="B14" s="28">
        <f>Grupo!B14</f>
        <v>2</v>
      </c>
      <c r="C14" s="28">
        <f>Grupo!C14</f>
        <v>1</v>
      </c>
      <c r="D14" s="28">
        <f>Grupo!D14</f>
        <v>1</v>
      </c>
      <c r="E14" s="28">
        <f>Grupo!E14</f>
        <v>1</v>
      </c>
      <c r="F14" s="28">
        <f>Grupo!F14</f>
        <v>0</v>
      </c>
      <c r="G14" s="28">
        <f>Grupo!G14</f>
        <v>1</v>
      </c>
      <c r="H14" s="28">
        <f>Grupo!H14</f>
        <v>3</v>
      </c>
      <c r="I14" s="28">
        <f>Grupo!I14</f>
        <v>0</v>
      </c>
      <c r="J14" s="28">
        <f>Grupo!J14</f>
        <v>0</v>
      </c>
      <c r="K14" s="28">
        <f>Grupo!K14</f>
        <v>2</v>
      </c>
      <c r="L14" s="28">
        <f>Grupo!L14</f>
        <v>1</v>
      </c>
      <c r="M14" s="28">
        <f>Grupo!M14</f>
        <v>1</v>
      </c>
      <c r="N14" s="28">
        <f>Grupo!N14</f>
        <v>3</v>
      </c>
      <c r="O14" s="28">
        <f>Grupo!O14</f>
        <v>1</v>
      </c>
      <c r="P14" s="28">
        <f>Grupo!P14</f>
        <v>0</v>
      </c>
      <c r="Q14" s="28">
        <f>Grupo!Q14</f>
        <v>1</v>
      </c>
      <c r="R14" s="28">
        <f>Grupo!R14</f>
        <v>1</v>
      </c>
      <c r="S14" s="28">
        <f>Grupo!S14</f>
        <v>0</v>
      </c>
      <c r="T14" s="28">
        <f>Grupo!T14</f>
        <v>2</v>
      </c>
      <c r="U14" s="28">
        <f>Grupo!U14</f>
        <v>0</v>
      </c>
      <c r="V14" s="28">
        <f>Grupo!V14</f>
        <v>0</v>
      </c>
      <c r="W14" s="28">
        <f>Grupo!W14</f>
        <v>0</v>
      </c>
      <c r="X14" s="28">
        <f>Grupo!X14</f>
        <v>0</v>
      </c>
      <c r="Y14" s="28">
        <f>Grupo!Y14</f>
        <v>1</v>
      </c>
      <c r="Z14" s="28">
        <f>Grupo!Z14</f>
        <v>1</v>
      </c>
      <c r="AA14" s="28">
        <f>Grupo!AA14</f>
        <v>2</v>
      </c>
      <c r="AB14" s="28">
        <f>Grupo!AB14</f>
        <v>0</v>
      </c>
      <c r="AC14" s="28">
        <f>Grupo!AC14</f>
        <v>3</v>
      </c>
      <c r="AD14" s="28">
        <f>Grupo!AD14</f>
        <v>0</v>
      </c>
      <c r="AE14" s="28">
        <f>Grupo!AE14</f>
        <v>1</v>
      </c>
      <c r="AF14" s="28">
        <f>Grupo!AF14</f>
        <v>0</v>
      </c>
      <c r="AG14" s="28">
        <f>Grupo!AG14</f>
        <v>2</v>
      </c>
      <c r="AH14" s="28">
        <f>Grupo!AH14</f>
        <v>0</v>
      </c>
      <c r="AI14" s="28">
        <f>Grupo!AI14</f>
        <v>1</v>
      </c>
      <c r="AJ14" s="28">
        <f>Grupo!AJ14</f>
        <v>1</v>
      </c>
      <c r="AK14" s="28">
        <f>Grupo!AK14</f>
        <v>0</v>
      </c>
      <c r="AL14" s="28">
        <f>Grupo!AL14</f>
        <v>0</v>
      </c>
      <c r="AM14" s="28">
        <f>Grupo!AM14</f>
        <v>1</v>
      </c>
      <c r="AN14" s="28">
        <f>Grupo!AN14</f>
        <v>0</v>
      </c>
      <c r="AO14" s="28">
        <f>Grupo!AO14</f>
        <v>2</v>
      </c>
      <c r="AP14" s="28">
        <f>Grupo!AP14</f>
        <v>0</v>
      </c>
      <c r="AQ14" s="28">
        <f>Grupo!AQ14</f>
        <v>0</v>
      </c>
      <c r="AR14" s="28">
        <f>Grupo!AR14</f>
        <v>2</v>
      </c>
      <c r="AS14" s="28">
        <f>Grupo!AS14</f>
        <v>0</v>
      </c>
      <c r="AT14" s="28">
        <f>Grupo!AT14</f>
        <v>0</v>
      </c>
      <c r="AU14" s="28">
        <f>Grupo!AU14</f>
        <v>1</v>
      </c>
      <c r="AV14" s="28">
        <f>Grupo!AV14</f>
        <v>0</v>
      </c>
      <c r="AW14" s="28">
        <f>Grupo!AW14</f>
        <v>0</v>
      </c>
      <c r="AX14" s="28">
        <f>Grupo!AX14</f>
        <v>3</v>
      </c>
      <c r="AY14" s="28">
        <f>Grupo!AY14</f>
        <v>0</v>
      </c>
      <c r="AZ14" s="28">
        <f>Grupo!AZ14</f>
        <v>1</v>
      </c>
      <c r="BA14" s="28">
        <f>Grupo!BA14</f>
        <v>1</v>
      </c>
      <c r="BB14" s="28">
        <f>Grupo!BB14</f>
        <v>1</v>
      </c>
      <c r="BC14" s="28">
        <f>Grupo!BC14</f>
        <v>0</v>
      </c>
      <c r="BD14" s="28">
        <f>Grupo!BD14</f>
        <v>2</v>
      </c>
      <c r="BE14" s="28">
        <f>Grupo!BE14</f>
        <v>0</v>
      </c>
      <c r="BF14" s="28">
        <f>Grupo!BF14</f>
        <v>1</v>
      </c>
      <c r="BG14" s="28">
        <f>Grupo!BG14</f>
        <v>1</v>
      </c>
      <c r="BH14" s="28">
        <f>Grupo!BH14</f>
        <v>1</v>
      </c>
      <c r="BI14" s="28">
        <f>Grupo!BI14</f>
        <v>0</v>
      </c>
      <c r="BJ14" s="28">
        <f>Grupo!BJ14</f>
        <v>0</v>
      </c>
      <c r="BK14" s="28">
        <f>Grupo!BK14</f>
        <v>1</v>
      </c>
      <c r="BL14" s="28">
        <f>Grupo!BL14</f>
        <v>0</v>
      </c>
      <c r="BM14" s="28">
        <f>Grupo!BM14</f>
        <v>1</v>
      </c>
      <c r="BN14" s="28">
        <f>Grupo!BN14</f>
        <v>0</v>
      </c>
      <c r="BO14" s="28">
        <f>Grupo!BO14</f>
        <v>1</v>
      </c>
      <c r="BP14" s="28">
        <f>Grupo!BP14</f>
        <v>2</v>
      </c>
      <c r="BQ14" s="28">
        <f>Grupo!BQ14</f>
        <v>0</v>
      </c>
      <c r="BR14" s="28">
        <f>Grupo!BR14</f>
        <v>0</v>
      </c>
      <c r="BS14" s="28">
        <f>Grupo!BS14</f>
        <v>1</v>
      </c>
      <c r="BT14" s="28">
        <f>Grupo!BT14</f>
        <v>2</v>
      </c>
      <c r="BU14" s="28">
        <f>Grupo!BU14</f>
        <v>1</v>
      </c>
      <c r="BV14" s="28">
        <f>Grupo!BV14</f>
        <v>1</v>
      </c>
      <c r="BW14" s="28">
        <f>Grupo!BW14</f>
        <v>1</v>
      </c>
      <c r="BX14" s="28">
        <f>Grupo!BX14</f>
        <v>3</v>
      </c>
      <c r="BY14" s="28">
        <f>Grupo!BY14</f>
        <v>0</v>
      </c>
      <c r="BZ14" s="28">
        <f>Grupo!BZ14</f>
        <v>1</v>
      </c>
      <c r="CA14" s="28">
        <f>Grupo!CA14</f>
        <v>0</v>
      </c>
      <c r="CB14" s="28">
        <f>Grupo!CB14</f>
        <v>2</v>
      </c>
      <c r="CC14" s="28">
        <f>Grupo!CC14</f>
        <v>0</v>
      </c>
      <c r="CD14" s="28">
        <f>Grupo!CD14</f>
        <v>1</v>
      </c>
      <c r="CE14" s="28">
        <f>Grupo!CE14</f>
        <v>2</v>
      </c>
      <c r="CF14" s="28">
        <f>Grupo!CF14</f>
        <v>0</v>
      </c>
      <c r="CG14" s="28">
        <f>Grupo!CG14</f>
        <v>1</v>
      </c>
      <c r="CH14" s="28">
        <f>Grupo!CH14</f>
        <v>4</v>
      </c>
      <c r="CI14" s="28">
        <f>Grupo!CI14</f>
        <v>1</v>
      </c>
      <c r="CJ14" s="28">
        <f>Grupo!CJ14</f>
        <v>1</v>
      </c>
      <c r="CK14" s="28">
        <f>Grupo!CK14</f>
        <v>0</v>
      </c>
      <c r="CL14" s="28">
        <f>Grupo!CL14</f>
        <v>2</v>
      </c>
      <c r="CM14" s="28">
        <f>Grupo!CM14</f>
        <v>1</v>
      </c>
      <c r="CN14" s="28">
        <f>Grupo!CN14</f>
        <v>1</v>
      </c>
      <c r="CO14" s="28">
        <f>Grupo!CO14</f>
        <v>1</v>
      </c>
      <c r="CP14" s="28">
        <f>Grupo!CP14</f>
        <v>0</v>
      </c>
      <c r="CQ14" s="28">
        <f>Grupo!CQ14</f>
        <v>0</v>
      </c>
      <c r="CR14" s="28">
        <f>Grupo!CR14</f>
        <v>0</v>
      </c>
      <c r="CS14" s="28">
        <f>Grupo!CS14</f>
        <v>0</v>
      </c>
      <c r="CT14" s="28">
        <f>Grupo!CT14</f>
        <v>2</v>
      </c>
      <c r="CU14" s="28">
        <f>Grupo!CU14</f>
        <v>0</v>
      </c>
      <c r="CV14" s="28">
        <f>Grupo!CV14</f>
        <v>1</v>
      </c>
      <c r="CW14" s="28">
        <f>Grupo!CW14</f>
        <v>2</v>
      </c>
      <c r="CX14" s="28">
        <f>Grupo!CX14</f>
        <v>0</v>
      </c>
      <c r="CY14" s="28">
        <f>Grupo!CY14</f>
        <v>0</v>
      </c>
      <c r="CZ14" s="28">
        <f>Grupo!CZ14</f>
        <v>1</v>
      </c>
      <c r="DA14" s="28">
        <f>Grupo!DA14</f>
        <v>1</v>
      </c>
      <c r="DB14" s="28">
        <f>Grupo!DB14</f>
        <v>0</v>
      </c>
      <c r="DC14" s="28">
        <f>Grupo!DC14</f>
        <v>0</v>
      </c>
      <c r="DD14" s="28">
        <f>Grupo!DD14</f>
        <v>3</v>
      </c>
      <c r="DE14" s="28">
        <f>Grupo!DE14</f>
        <v>1</v>
      </c>
      <c r="DF14" s="28">
        <f>Grupo!DF14</f>
        <v>1</v>
      </c>
      <c r="DG14" s="28">
        <f>Grupo!DG14</f>
        <v>0</v>
      </c>
      <c r="DH14" s="28">
        <f>Grupo!DH14</f>
        <v>0</v>
      </c>
      <c r="DI14" s="28">
        <f>Grupo!DI14</f>
        <v>2</v>
      </c>
      <c r="DJ14" s="28">
        <f>Grupo!DJ14</f>
        <v>0</v>
      </c>
      <c r="DK14" s="28">
        <f>Grupo!DK14</f>
        <v>1</v>
      </c>
      <c r="DL14" s="28">
        <f>Grupo!DL14</f>
        <v>1</v>
      </c>
      <c r="DM14" s="28">
        <f>Grupo!DM14</f>
        <v>1</v>
      </c>
      <c r="DN14" s="28">
        <f>Grupo!DN14</f>
        <v>1</v>
      </c>
      <c r="DO14" s="28">
        <f>Grupo!DO14</f>
        <v>0</v>
      </c>
      <c r="DP14" s="28">
        <f>Grupo!DP14</f>
        <v>0</v>
      </c>
      <c r="DQ14" s="28">
        <f>Grupo!DQ14</f>
        <v>0</v>
      </c>
      <c r="DR14" s="28">
        <f>Grupo!DR14</f>
        <v>1</v>
      </c>
      <c r="DS14" s="28">
        <f>Grupo!DS14</f>
        <v>0</v>
      </c>
      <c r="DT14" s="28">
        <f>Grupo!DT14</f>
        <v>1</v>
      </c>
      <c r="DU14" s="28">
        <f>Grupo!DU14</f>
        <v>2</v>
      </c>
      <c r="DV14" s="28">
        <f>Grupo!DV14</f>
        <v>0</v>
      </c>
      <c r="DW14" s="28">
        <f>Grupo!DW14</f>
        <v>1</v>
      </c>
      <c r="DX14" s="28">
        <f>Grupo!DX14</f>
        <v>1</v>
      </c>
      <c r="DY14" s="28">
        <f>Grupo!DY14</f>
        <v>0</v>
      </c>
      <c r="DZ14" s="28">
        <f>Grupo!DZ14</f>
        <v>1</v>
      </c>
      <c r="EA14" s="70">
        <f>Grupo!EA14</f>
        <v>1</v>
      </c>
      <c r="EB14" s="70">
        <f>Grupo!EB14</f>
        <v>1</v>
      </c>
      <c r="EC14" s="70">
        <f>Grupo!EC14</f>
        <v>0</v>
      </c>
      <c r="ED14" s="70">
        <f>Grupo!ED14</f>
        <v>2</v>
      </c>
      <c r="EE14" s="70">
        <f>Grupo!EE14</f>
        <v>0</v>
      </c>
      <c r="EF14" s="70">
        <f>Grupo!EF14</f>
        <v>0</v>
      </c>
      <c r="EG14" s="70">
        <f>Grupo!EG14</f>
        <v>1</v>
      </c>
      <c r="EH14" s="70">
        <f>Grupo!EH14</f>
        <v>0</v>
      </c>
      <c r="EI14" s="70">
        <f>Grupo!EI14</f>
        <v>0</v>
      </c>
      <c r="EJ14" s="70">
        <f>Grupo!EJ14</f>
        <v>3</v>
      </c>
      <c r="EK14" s="70">
        <f>Grupo!EK14</f>
        <v>0</v>
      </c>
      <c r="EL14" s="70">
        <f>Grupo!EL14</f>
        <v>1</v>
      </c>
      <c r="EM14" s="70">
        <f>Grupo!EM14</f>
        <v>2</v>
      </c>
      <c r="EN14" s="70">
        <f>Grupo!EN14</f>
        <v>0</v>
      </c>
      <c r="EO14" s="70">
        <f>Grupo!EO14</f>
        <v>1</v>
      </c>
      <c r="EP14" s="78">
        <f>Grupo!EP14</f>
        <v>1</v>
      </c>
      <c r="EQ14" s="78">
        <f>Grupo!EQ14</f>
        <v>2</v>
      </c>
      <c r="ER14" s="78">
        <f>Grupo!ER14</f>
        <v>1</v>
      </c>
      <c r="ES14" s="78">
        <f>Grupo!ES14</f>
        <v>2</v>
      </c>
      <c r="ET14" s="78">
        <f>Grupo!ET14</f>
        <v>1</v>
      </c>
      <c r="EU14" s="78">
        <f>Grupo!EU14</f>
        <v>1</v>
      </c>
      <c r="EV14" s="78">
        <f>Grupo!EV14</f>
        <v>0</v>
      </c>
      <c r="EW14" s="78">
        <f>Grupo!EW14</f>
        <v>1</v>
      </c>
      <c r="EX14" s="78">
        <f>Grupo!EX14</f>
        <v>0</v>
      </c>
      <c r="EY14" s="78">
        <f>Grupo!EY14</f>
        <v>1</v>
      </c>
      <c r="EZ14" s="78">
        <f>Grupo!EZ14</f>
        <v>0</v>
      </c>
      <c r="FA14" s="78">
        <f>Grupo!FA14</f>
        <v>1</v>
      </c>
      <c r="FB14" s="78">
        <f>Grupo!FB14</f>
        <v>1</v>
      </c>
      <c r="FC14" s="78">
        <f>Grupo!FC14</f>
        <v>0</v>
      </c>
      <c r="FD14" s="78">
        <f>Grupo!FD14</f>
        <v>0</v>
      </c>
      <c r="FE14" s="78">
        <f>Grupo!FE14</f>
        <v>0</v>
      </c>
      <c r="FF14" s="78">
        <f>Grupo!FF14</f>
        <v>0</v>
      </c>
      <c r="FG14" s="78">
        <f>Grupo!FG14</f>
        <v>0</v>
      </c>
      <c r="FH14" s="78">
        <f>Grupo!FH14</f>
        <v>0</v>
      </c>
      <c r="FI14" s="78">
        <f>Grupo!FI14</f>
        <v>1</v>
      </c>
      <c r="FJ14" s="78">
        <f>Grupo!FJ14</f>
        <v>1</v>
      </c>
      <c r="FK14" s="78">
        <f>Grupo!FK14</f>
        <v>1</v>
      </c>
      <c r="FL14" s="78">
        <f>Grupo!FL14</f>
        <v>3</v>
      </c>
      <c r="FM14" s="78">
        <f>Grupo!FM14</f>
        <v>0</v>
      </c>
      <c r="FN14" s="78">
        <f>Grupo!FN14</f>
        <v>2</v>
      </c>
      <c r="FO14" s="78">
        <f>Grupo!FO14</f>
        <v>0</v>
      </c>
      <c r="FP14" s="78">
        <f>Grupo!FP14</f>
        <v>0</v>
      </c>
      <c r="FQ14" s="78">
        <f>Grupo!FQ14</f>
        <v>1</v>
      </c>
      <c r="FR14" s="78">
        <f>Grupo!FR14</f>
        <v>1</v>
      </c>
      <c r="FS14" s="78">
        <f>Grupo!FS14</f>
        <v>0</v>
      </c>
      <c r="FT14" s="78">
        <f>Grupo!FT14</f>
        <v>0</v>
      </c>
      <c r="FU14" s="78">
        <f>Grupo!FU14</f>
        <v>1</v>
      </c>
      <c r="FV14" s="78">
        <f>Grupo!FV14</f>
        <v>0</v>
      </c>
      <c r="FW14" s="78">
        <f>Grupo!FW14</f>
        <v>1</v>
      </c>
      <c r="FX14" s="78">
        <f>Grupo!FX14</f>
        <v>1</v>
      </c>
      <c r="FY14" s="78">
        <f>Grupo!FY14</f>
        <v>1</v>
      </c>
      <c r="FZ14" s="78">
        <f>Grupo!FZ14</f>
        <v>1</v>
      </c>
      <c r="GA14" s="78">
        <f>Grupo!GA14</f>
        <v>2</v>
      </c>
      <c r="GB14" s="78">
        <f>Grupo!GB14</f>
        <v>1</v>
      </c>
      <c r="GC14" s="78">
        <f>Grupo!GC14</f>
        <v>0</v>
      </c>
      <c r="GD14" s="78">
        <f>Grupo!GD14</f>
        <v>1</v>
      </c>
      <c r="GE14" s="78">
        <f>Grupo!GE14</f>
        <v>0</v>
      </c>
      <c r="GF14" s="78">
        <f>Grupo!GF14</f>
        <v>1</v>
      </c>
      <c r="GG14" s="78">
        <f>Grupo!GG14</f>
        <v>1</v>
      </c>
      <c r="GH14" s="78">
        <f>Grupo!GH14</f>
        <v>3</v>
      </c>
      <c r="GI14" s="78">
        <f>Grupo!GI14</f>
        <v>0</v>
      </c>
      <c r="GJ14" s="78">
        <f>Grupo!GJ14</f>
        <v>1</v>
      </c>
      <c r="GK14" s="78">
        <f>Grupo!GK14</f>
        <v>1</v>
      </c>
      <c r="GL14" s="78">
        <f>Grupo!GL14</f>
        <v>0</v>
      </c>
      <c r="GM14" s="78">
        <f>Grupo!GM14</f>
        <v>1</v>
      </c>
      <c r="GN14" s="78">
        <f>Grupo!GN14</f>
        <v>0</v>
      </c>
      <c r="GO14" s="78">
        <f>Grupo!GO14</f>
        <v>1</v>
      </c>
      <c r="GP14" s="78">
        <f>Grupo!GP14</f>
        <v>3</v>
      </c>
      <c r="GQ14" s="78">
        <f>Grupo!GQ14</f>
        <v>1</v>
      </c>
      <c r="GR14" s="79">
        <f>Grupo!GR14</f>
        <v>0</v>
      </c>
      <c r="GS14" s="79">
        <f>Grupo!GS14</f>
        <v>0</v>
      </c>
      <c r="GT14" s="79" t="str">
        <f>Grupo!GT14</f>
        <v/>
      </c>
      <c r="GU14" s="79">
        <f>Grupo!GU14</f>
        <v>1</v>
      </c>
      <c r="GV14" s="79">
        <f>Grupo!GV14</f>
        <v>0</v>
      </c>
      <c r="GW14" s="79" t="str">
        <f>Grupo!GW14</f>
        <v/>
      </c>
      <c r="GX14" s="76">
        <f>Grupo!GX14</f>
        <v>0</v>
      </c>
      <c r="GY14" s="76">
        <f>Grupo!GY14</f>
        <v>0</v>
      </c>
      <c r="GZ14" s="76" t="str">
        <f>Grupo!GZ14</f>
        <v/>
      </c>
      <c r="HA14" s="76">
        <f>Grupo!HA14</f>
        <v>0</v>
      </c>
      <c r="HB14" s="76">
        <f>Grupo!HB14</f>
        <v>2</v>
      </c>
      <c r="HC14" s="76" t="str">
        <f>Grupo!HC14</f>
        <v/>
      </c>
      <c r="HD14" s="76">
        <f>Grupo!HD14</f>
        <v>1</v>
      </c>
      <c r="HE14" s="76">
        <f>Grupo!HE14</f>
        <v>2</v>
      </c>
      <c r="HF14" s="76" t="str">
        <f>Grupo!HF14</f>
        <v/>
      </c>
      <c r="HG14" s="76">
        <f>Grupo!HG14</f>
        <v>1</v>
      </c>
      <c r="HH14" s="76">
        <f>Grupo!HH14</f>
        <v>1</v>
      </c>
      <c r="HI14" s="76" t="str">
        <f>Grupo!HI14</f>
        <v/>
      </c>
      <c r="HJ14" s="32">
        <f>Grupo!HJ14</f>
        <v>36</v>
      </c>
      <c r="HK14" s="25" t="s">
        <v>31</v>
      </c>
    </row>
    <row r="15" spans="1:220" ht="20.25" customHeight="1" thickBot="1" x14ac:dyDescent="0.35">
      <c r="A15" s="34" t="str">
        <f>Grupo!A15</f>
        <v>Freddy</v>
      </c>
      <c r="B15" s="28">
        <f>Grupo!B15</f>
        <v>3</v>
      </c>
      <c r="C15" s="28">
        <f>Grupo!C15</f>
        <v>1</v>
      </c>
      <c r="D15" s="28">
        <f>Grupo!D15</f>
        <v>1</v>
      </c>
      <c r="E15" s="28">
        <f>Grupo!E15</f>
        <v>1</v>
      </c>
      <c r="F15" s="28">
        <f>Grupo!F15</f>
        <v>1</v>
      </c>
      <c r="G15" s="28">
        <f>Grupo!G15</f>
        <v>0</v>
      </c>
      <c r="H15" s="28">
        <f>Grupo!H15</f>
        <v>3</v>
      </c>
      <c r="I15" s="28">
        <f>Grupo!I15</f>
        <v>1</v>
      </c>
      <c r="J15" s="28">
        <f>Grupo!J15</f>
        <v>0</v>
      </c>
      <c r="K15" s="28">
        <f>Grupo!K15</f>
        <v>2</v>
      </c>
      <c r="L15" s="28">
        <f>Grupo!L15</f>
        <v>0</v>
      </c>
      <c r="M15" s="28">
        <f>Grupo!M15</f>
        <v>1</v>
      </c>
      <c r="N15" s="28">
        <f>Grupo!N15</f>
        <v>0</v>
      </c>
      <c r="O15" s="28">
        <f>Grupo!O15</f>
        <v>1</v>
      </c>
      <c r="P15" s="28">
        <f>Grupo!P15</f>
        <v>3</v>
      </c>
      <c r="Q15" s="28">
        <f>Grupo!Q15</f>
        <v>1</v>
      </c>
      <c r="R15" s="28">
        <f>Grupo!R15</f>
        <v>2</v>
      </c>
      <c r="S15" s="28">
        <f>Grupo!S15</f>
        <v>0</v>
      </c>
      <c r="T15" s="28">
        <f>Grupo!T15</f>
        <v>2</v>
      </c>
      <c r="U15" s="28">
        <f>Grupo!U15</f>
        <v>2</v>
      </c>
      <c r="V15" s="28">
        <f>Grupo!V15</f>
        <v>1</v>
      </c>
      <c r="W15" s="28">
        <f>Grupo!W15</f>
        <v>1</v>
      </c>
      <c r="X15" s="28">
        <f>Grupo!X15</f>
        <v>2</v>
      </c>
      <c r="Y15" s="28">
        <f>Grupo!Y15</f>
        <v>0</v>
      </c>
      <c r="Z15" s="28">
        <f>Grupo!Z15</f>
        <v>0</v>
      </c>
      <c r="AA15" s="28">
        <f>Grupo!AA15</f>
        <v>1</v>
      </c>
      <c r="AB15" s="28">
        <f>Grupo!AB15</f>
        <v>0</v>
      </c>
      <c r="AC15" s="28">
        <f>Grupo!AC15</f>
        <v>6</v>
      </c>
      <c r="AD15" s="28">
        <f>Grupo!AD15</f>
        <v>0</v>
      </c>
      <c r="AE15" s="28">
        <f>Grupo!AE15</f>
        <v>1</v>
      </c>
      <c r="AF15" s="28">
        <f>Grupo!AF15</f>
        <v>1</v>
      </c>
      <c r="AG15" s="28">
        <f>Grupo!AG15</f>
        <v>0</v>
      </c>
      <c r="AH15" s="28">
        <f>Grupo!AH15</f>
        <v>0</v>
      </c>
      <c r="AI15" s="28">
        <f>Grupo!AI15</f>
        <v>3</v>
      </c>
      <c r="AJ15" s="28">
        <f>Grupo!AJ15</f>
        <v>0</v>
      </c>
      <c r="AK15" s="28">
        <f>Grupo!AK15</f>
        <v>1</v>
      </c>
      <c r="AL15" s="28">
        <f>Grupo!AL15</f>
        <v>0</v>
      </c>
      <c r="AM15" s="28">
        <f>Grupo!AM15</f>
        <v>2</v>
      </c>
      <c r="AN15" s="28">
        <f>Grupo!AN15</f>
        <v>0</v>
      </c>
      <c r="AO15" s="28">
        <f>Grupo!AO15</f>
        <v>5</v>
      </c>
      <c r="AP15" s="28">
        <f>Grupo!AP15</f>
        <v>0</v>
      </c>
      <c r="AQ15" s="28">
        <f>Grupo!AQ15</f>
        <v>0</v>
      </c>
      <c r="AR15" s="28">
        <f>Grupo!AR15</f>
        <v>0</v>
      </c>
      <c r="AS15" s="28">
        <f>Grupo!AS15</f>
        <v>1</v>
      </c>
      <c r="AT15" s="28">
        <f>Grupo!AT15</f>
        <v>0</v>
      </c>
      <c r="AU15" s="28">
        <f>Grupo!AU15</f>
        <v>4</v>
      </c>
      <c r="AV15" s="28">
        <f>Grupo!AV15</f>
        <v>1</v>
      </c>
      <c r="AW15" s="28">
        <f>Grupo!AW15</f>
        <v>0</v>
      </c>
      <c r="AX15" s="28">
        <f>Grupo!AX15</f>
        <v>4</v>
      </c>
      <c r="AY15" s="28">
        <f>Grupo!AY15</f>
        <v>0</v>
      </c>
      <c r="AZ15" s="28">
        <f>Grupo!AZ15</f>
        <v>1</v>
      </c>
      <c r="BA15" s="28">
        <f>Grupo!BA15</f>
        <v>0</v>
      </c>
      <c r="BB15" s="28">
        <f>Grupo!BB15</f>
        <v>3</v>
      </c>
      <c r="BC15" s="28">
        <f>Grupo!BC15</f>
        <v>1</v>
      </c>
      <c r="BD15" s="28">
        <f>Grupo!BD15</f>
        <v>4</v>
      </c>
      <c r="BE15" s="28">
        <f>Grupo!BE15</f>
        <v>1</v>
      </c>
      <c r="BF15" s="28">
        <f>Grupo!BF15</f>
        <v>1</v>
      </c>
      <c r="BG15" s="28">
        <f>Grupo!BG15</f>
        <v>3</v>
      </c>
      <c r="BH15" s="28">
        <f>Grupo!BH15</f>
        <v>0</v>
      </c>
      <c r="BI15" s="28">
        <f>Grupo!BI15</f>
        <v>1</v>
      </c>
      <c r="BJ15" s="28">
        <f>Grupo!BJ15</f>
        <v>1</v>
      </c>
      <c r="BK15" s="28">
        <f>Grupo!BK15</f>
        <v>1</v>
      </c>
      <c r="BL15" s="28">
        <f>Grupo!BL15</f>
        <v>0</v>
      </c>
      <c r="BM15" s="28">
        <f>Grupo!BM15</f>
        <v>2</v>
      </c>
      <c r="BN15" s="28">
        <f>Grupo!BN15</f>
        <v>1</v>
      </c>
      <c r="BO15" s="28">
        <f>Grupo!BO15</f>
        <v>1</v>
      </c>
      <c r="BP15" s="28">
        <f>Grupo!BP15</f>
        <v>5</v>
      </c>
      <c r="BQ15" s="28">
        <f>Grupo!BQ15</f>
        <v>0</v>
      </c>
      <c r="BR15" s="28">
        <f>Grupo!BR15</f>
        <v>0</v>
      </c>
      <c r="BS15" s="28">
        <f>Grupo!BS15</f>
        <v>1</v>
      </c>
      <c r="BT15" s="28">
        <f>Grupo!BT15</f>
        <v>2</v>
      </c>
      <c r="BU15" s="28">
        <f>Grupo!BU15</f>
        <v>1</v>
      </c>
      <c r="BV15" s="28">
        <f>Grupo!BV15</f>
        <v>0</v>
      </c>
      <c r="BW15" s="28">
        <f>Grupo!BW15</f>
        <v>0</v>
      </c>
      <c r="BX15" s="28">
        <f>Grupo!BX15</f>
        <v>1</v>
      </c>
      <c r="BY15" s="28">
        <f>Grupo!BY15</f>
        <v>1</v>
      </c>
      <c r="BZ15" s="28">
        <f>Grupo!BZ15</f>
        <v>0</v>
      </c>
      <c r="CA15" s="28">
        <f>Grupo!CA15</f>
        <v>1</v>
      </c>
      <c r="CB15" s="28">
        <f>Grupo!CB15</f>
        <v>2</v>
      </c>
      <c r="CC15" s="28">
        <f>Grupo!CC15</f>
        <v>0</v>
      </c>
      <c r="CD15" s="28">
        <f>Grupo!CD15</f>
        <v>1</v>
      </c>
      <c r="CE15" s="28">
        <f>Grupo!CE15</f>
        <v>1</v>
      </c>
      <c r="CF15" s="28">
        <f>Grupo!CF15</f>
        <v>1</v>
      </c>
      <c r="CG15" s="28">
        <f>Grupo!CG15</f>
        <v>0</v>
      </c>
      <c r="CH15" s="28">
        <f>Grupo!CH15</f>
        <v>7</v>
      </c>
      <c r="CI15" s="28">
        <f>Grupo!CI15</f>
        <v>1</v>
      </c>
      <c r="CJ15" s="28">
        <f>Grupo!CJ15</f>
        <v>1</v>
      </c>
      <c r="CK15" s="28">
        <f>Grupo!CK15</f>
        <v>1</v>
      </c>
      <c r="CL15" s="28">
        <f>Grupo!CL15</f>
        <v>3</v>
      </c>
      <c r="CM15" s="28">
        <f>Grupo!CM15</f>
        <v>1</v>
      </c>
      <c r="CN15" s="28">
        <f>Grupo!CN15</f>
        <v>2</v>
      </c>
      <c r="CO15" s="28">
        <f>Grupo!CO15</f>
        <v>0</v>
      </c>
      <c r="CP15" s="28">
        <f>Grupo!CP15</f>
        <v>0</v>
      </c>
      <c r="CQ15" s="28">
        <f>Grupo!CQ15</f>
        <v>1</v>
      </c>
      <c r="CR15" s="28">
        <f>Grupo!CR15</f>
        <v>0</v>
      </c>
      <c r="CS15" s="28">
        <f>Grupo!CS15</f>
        <v>1</v>
      </c>
      <c r="CT15" s="28">
        <f>Grupo!CT15</f>
        <v>4</v>
      </c>
      <c r="CU15" s="28">
        <f>Grupo!CU15</f>
        <v>1</v>
      </c>
      <c r="CV15" s="28">
        <f>Grupo!CV15</f>
        <v>1</v>
      </c>
      <c r="CW15" s="28">
        <f>Grupo!CW15</f>
        <v>3</v>
      </c>
      <c r="CX15" s="28">
        <f>Grupo!CX15</f>
        <v>0</v>
      </c>
      <c r="CY15" s="28">
        <f>Grupo!CY15</f>
        <v>0</v>
      </c>
      <c r="CZ15" s="28">
        <f>Grupo!CZ15</f>
        <v>0</v>
      </c>
      <c r="DA15" s="28">
        <f>Grupo!DA15</f>
        <v>0</v>
      </c>
      <c r="DB15" s="28">
        <f>Grupo!DB15</f>
        <v>0</v>
      </c>
      <c r="DC15" s="28">
        <f>Grupo!DC15</f>
        <v>0</v>
      </c>
      <c r="DD15" s="28">
        <f>Grupo!DD15</f>
        <v>1</v>
      </c>
      <c r="DE15" s="28">
        <f>Grupo!DE15</f>
        <v>1</v>
      </c>
      <c r="DF15" s="28">
        <f>Grupo!DF15</f>
        <v>3</v>
      </c>
      <c r="DG15" s="28">
        <f>Grupo!DG15</f>
        <v>0</v>
      </c>
      <c r="DH15" s="28">
        <f>Grupo!DH15</f>
        <v>0</v>
      </c>
      <c r="DI15" s="28">
        <f>Grupo!DI15</f>
        <v>4</v>
      </c>
      <c r="DJ15" s="28">
        <f>Grupo!DJ15</f>
        <v>0</v>
      </c>
      <c r="DK15" s="28">
        <f>Grupo!DK15</f>
        <v>3</v>
      </c>
      <c r="DL15" s="28">
        <f>Grupo!DL15</f>
        <v>2</v>
      </c>
      <c r="DM15" s="28">
        <f>Grupo!DM15</f>
        <v>1</v>
      </c>
      <c r="DN15" s="28">
        <f>Grupo!DN15</f>
        <v>0</v>
      </c>
      <c r="DO15" s="28">
        <f>Grupo!DO15</f>
        <v>2</v>
      </c>
      <c r="DP15" s="28">
        <f>Grupo!DP15</f>
        <v>2</v>
      </c>
      <c r="DQ15" s="28">
        <f>Grupo!DQ15</f>
        <v>0</v>
      </c>
      <c r="DR15" s="28">
        <f>Grupo!DR15</f>
        <v>2</v>
      </c>
      <c r="DS15" s="28">
        <f>Grupo!DS15</f>
        <v>0</v>
      </c>
      <c r="DT15" s="28">
        <f>Grupo!DT15</f>
        <v>1</v>
      </c>
      <c r="DU15" s="28">
        <f>Grupo!DU15</f>
        <v>5</v>
      </c>
      <c r="DV15" s="28">
        <f>Grupo!DV15</f>
        <v>0</v>
      </c>
      <c r="DW15" s="28">
        <f>Grupo!DW15</f>
        <v>1</v>
      </c>
      <c r="DX15" s="28">
        <f>Grupo!DX15</f>
        <v>1</v>
      </c>
      <c r="DY15" s="28">
        <f>Grupo!DY15</f>
        <v>1</v>
      </c>
      <c r="DZ15" s="28">
        <f>Grupo!DZ15</f>
        <v>0</v>
      </c>
      <c r="EA15" s="70">
        <f>Grupo!EA15</f>
        <v>0</v>
      </c>
      <c r="EB15" s="70">
        <f>Grupo!EB15</f>
        <v>0</v>
      </c>
      <c r="EC15" s="70">
        <f>Grupo!EC15</f>
        <v>0</v>
      </c>
      <c r="ED15" s="70">
        <f>Grupo!ED15</f>
        <v>1</v>
      </c>
      <c r="EE15" s="70">
        <f>Grupo!EE15</f>
        <v>0</v>
      </c>
      <c r="EF15" s="70">
        <f>Grupo!EF15</f>
        <v>0</v>
      </c>
      <c r="EG15" s="70">
        <f>Grupo!EG15</f>
        <v>1</v>
      </c>
      <c r="EH15" s="70">
        <f>Grupo!EH15</f>
        <v>0</v>
      </c>
      <c r="EI15" s="70">
        <f>Grupo!EI15</f>
        <v>0</v>
      </c>
      <c r="EJ15" s="70">
        <f>Grupo!EJ15</f>
        <v>4</v>
      </c>
      <c r="EK15" s="70">
        <f>Grupo!EK15</f>
        <v>0</v>
      </c>
      <c r="EL15" s="70">
        <f>Grupo!EL15</f>
        <v>1</v>
      </c>
      <c r="EM15" s="70">
        <f>Grupo!EM15</f>
        <v>2</v>
      </c>
      <c r="EN15" s="70">
        <f>Grupo!EN15</f>
        <v>0</v>
      </c>
      <c r="EO15" s="70">
        <f>Grupo!EO15</f>
        <v>1</v>
      </c>
      <c r="EP15" s="78">
        <f>Grupo!EP15</f>
        <v>1</v>
      </c>
      <c r="EQ15" s="78">
        <f>Grupo!EQ15</f>
        <v>2</v>
      </c>
      <c r="ER15" s="78">
        <f>Grupo!ER15</f>
        <v>1</v>
      </c>
      <c r="ES15" s="78">
        <f>Grupo!ES15</f>
        <v>5</v>
      </c>
      <c r="ET15" s="78">
        <f>Grupo!ET15</f>
        <v>0</v>
      </c>
      <c r="EU15" s="78">
        <f>Grupo!EU15</f>
        <v>1</v>
      </c>
      <c r="EV15" s="78">
        <f>Grupo!EV15</f>
        <v>1</v>
      </c>
      <c r="EW15" s="78">
        <f>Grupo!EW15</f>
        <v>2</v>
      </c>
      <c r="EX15" s="78">
        <f>Grupo!EX15</f>
        <v>0</v>
      </c>
      <c r="EY15" s="78">
        <f>Grupo!EY15</f>
        <v>1</v>
      </c>
      <c r="EZ15" s="78">
        <f>Grupo!EZ15</f>
        <v>1</v>
      </c>
      <c r="FA15" s="78">
        <f>Grupo!FA15</f>
        <v>0</v>
      </c>
      <c r="FB15" s="78">
        <f>Grupo!FB15</f>
        <v>1</v>
      </c>
      <c r="FC15" s="78">
        <f>Grupo!FC15</f>
        <v>3</v>
      </c>
      <c r="FD15" s="78">
        <f>Grupo!FD15</f>
        <v>1</v>
      </c>
      <c r="FE15" s="78">
        <f>Grupo!FE15</f>
        <v>1</v>
      </c>
      <c r="FF15" s="78">
        <f>Grupo!FF15</f>
        <v>3</v>
      </c>
      <c r="FG15" s="78">
        <f>Grupo!FG15</f>
        <v>0</v>
      </c>
      <c r="FH15" s="78">
        <f>Grupo!FH15</f>
        <v>0</v>
      </c>
      <c r="FI15" s="78">
        <f>Grupo!FI15</f>
        <v>3</v>
      </c>
      <c r="FJ15" s="78">
        <f>Grupo!FJ15</f>
        <v>1</v>
      </c>
      <c r="FK15" s="78">
        <f>Grupo!FK15</f>
        <v>1</v>
      </c>
      <c r="FL15" s="78">
        <f>Grupo!FL15</f>
        <v>3</v>
      </c>
      <c r="FM15" s="78">
        <f>Grupo!FM15</f>
        <v>0</v>
      </c>
      <c r="FN15" s="78">
        <f>Grupo!FN15</f>
        <v>1</v>
      </c>
      <c r="FO15" s="78">
        <f>Grupo!FO15</f>
        <v>2</v>
      </c>
      <c r="FP15" s="78">
        <f>Grupo!FP15</f>
        <v>0</v>
      </c>
      <c r="FQ15" s="78">
        <f>Grupo!FQ15</f>
        <v>1</v>
      </c>
      <c r="FR15" s="78">
        <f>Grupo!FR15</f>
        <v>2</v>
      </c>
      <c r="FS15" s="78">
        <f>Grupo!FS15</f>
        <v>1</v>
      </c>
      <c r="FT15" s="78">
        <f>Grupo!FT15</f>
        <v>2</v>
      </c>
      <c r="FU15" s="78">
        <f>Grupo!FU15</f>
        <v>2</v>
      </c>
      <c r="FV15" s="78">
        <f>Grupo!FV15</f>
        <v>0</v>
      </c>
      <c r="FW15" s="78">
        <f>Grupo!FW15</f>
        <v>1</v>
      </c>
      <c r="FX15" s="78">
        <f>Grupo!FX15</f>
        <v>1</v>
      </c>
      <c r="FY15" s="78">
        <f>Grupo!FY15</f>
        <v>1</v>
      </c>
      <c r="FZ15" s="78">
        <f>Grupo!FZ15</f>
        <v>0</v>
      </c>
      <c r="GA15" s="78">
        <f>Grupo!GA15</f>
        <v>2</v>
      </c>
      <c r="GB15" s="78">
        <f>Grupo!GB15</f>
        <v>1</v>
      </c>
      <c r="GC15" s="78">
        <f>Grupo!GC15</f>
        <v>1</v>
      </c>
      <c r="GD15" s="78">
        <f>Grupo!GD15</f>
        <v>0</v>
      </c>
      <c r="GE15" s="78">
        <f>Grupo!GE15</f>
        <v>1</v>
      </c>
      <c r="GF15" s="78">
        <f>Grupo!GF15</f>
        <v>2</v>
      </c>
      <c r="GG15" s="78">
        <f>Grupo!GG15</f>
        <v>1</v>
      </c>
      <c r="GH15" s="78">
        <f>Grupo!GH15</f>
        <v>0</v>
      </c>
      <c r="GI15" s="78">
        <f>Grupo!GI15</f>
        <v>0</v>
      </c>
      <c r="GJ15" s="78">
        <f>Grupo!GJ15</f>
        <v>3</v>
      </c>
      <c r="GK15" s="78">
        <f>Grupo!GK15</f>
        <v>1</v>
      </c>
      <c r="GL15" s="78">
        <f>Grupo!GL15</f>
        <v>0</v>
      </c>
      <c r="GM15" s="78">
        <f>Grupo!GM15</f>
        <v>0</v>
      </c>
      <c r="GN15" s="78">
        <f>Grupo!GN15</f>
        <v>3</v>
      </c>
      <c r="GO15" s="78">
        <f>Grupo!GO15</f>
        <v>1</v>
      </c>
      <c r="GP15" s="78">
        <f>Grupo!GP15</f>
        <v>2</v>
      </c>
      <c r="GQ15" s="78">
        <f>Grupo!GQ15</f>
        <v>1</v>
      </c>
      <c r="GR15" s="79">
        <f>Grupo!GR15</f>
        <v>1</v>
      </c>
      <c r="GS15" s="79">
        <f>Grupo!GS15</f>
        <v>5</v>
      </c>
      <c r="GT15" s="79" t="str">
        <f>Grupo!GT15</f>
        <v/>
      </c>
      <c r="GU15" s="79">
        <f>Grupo!GU15</f>
        <v>2</v>
      </c>
      <c r="GV15" s="79">
        <f>Grupo!GV15</f>
        <v>1</v>
      </c>
      <c r="GW15" s="79" t="str">
        <f>Grupo!GW15</f>
        <v/>
      </c>
      <c r="GX15" s="76">
        <f>Grupo!GX15</f>
        <v>1</v>
      </c>
      <c r="GY15" s="76">
        <f>Grupo!GY15</f>
        <v>1</v>
      </c>
      <c r="GZ15" s="76" t="str">
        <f>Grupo!GZ15</f>
        <v/>
      </c>
      <c r="HA15" s="76">
        <f>Grupo!HA15</f>
        <v>0</v>
      </c>
      <c r="HB15" s="76">
        <f>Grupo!HB15</f>
        <v>4</v>
      </c>
      <c r="HC15" s="76" t="str">
        <f>Grupo!HC15</f>
        <v/>
      </c>
      <c r="HD15" s="76">
        <f>Grupo!HD15</f>
        <v>1</v>
      </c>
      <c r="HE15" s="76">
        <f>Grupo!HE15</f>
        <v>3</v>
      </c>
      <c r="HF15" s="76" t="str">
        <f>Grupo!HF15</f>
        <v/>
      </c>
      <c r="HG15" s="76">
        <f>Grupo!HG15</f>
        <v>1</v>
      </c>
      <c r="HH15" s="76">
        <f>Grupo!HH15</f>
        <v>1</v>
      </c>
      <c r="HI15" s="76" t="str">
        <f>Grupo!HI15</f>
        <v/>
      </c>
      <c r="HJ15" s="32">
        <f>Grupo!HJ15</f>
        <v>42</v>
      </c>
      <c r="HK15" s="25" t="s">
        <v>33</v>
      </c>
    </row>
    <row r="16" spans="1:220" ht="20.25" customHeight="1" thickBot="1" x14ac:dyDescent="0.35">
      <c r="A16" s="34" t="str">
        <f>Grupo!A16</f>
        <v>Isabel 1</v>
      </c>
      <c r="B16" s="28">
        <f>Grupo!B16</f>
        <v>3</v>
      </c>
      <c r="C16" s="28">
        <f>Grupo!C16</f>
        <v>1</v>
      </c>
      <c r="D16" s="28">
        <f>Grupo!D16</f>
        <v>1</v>
      </c>
      <c r="E16" s="28">
        <f>Grupo!E16</f>
        <v>1</v>
      </c>
      <c r="F16" s="28">
        <f>Grupo!F16</f>
        <v>1</v>
      </c>
      <c r="G16" s="28">
        <f>Grupo!G16</f>
        <v>0</v>
      </c>
      <c r="H16" s="28">
        <f>Grupo!H16</f>
        <v>2</v>
      </c>
      <c r="I16" s="28">
        <f>Grupo!I16</f>
        <v>1</v>
      </c>
      <c r="J16" s="28">
        <f>Grupo!J16</f>
        <v>0</v>
      </c>
      <c r="K16" s="28">
        <f>Grupo!K16</f>
        <v>2</v>
      </c>
      <c r="L16" s="28">
        <f>Grupo!L16</f>
        <v>2</v>
      </c>
      <c r="M16" s="28">
        <f>Grupo!M16</f>
        <v>0</v>
      </c>
      <c r="N16" s="28">
        <f>Grupo!N16</f>
        <v>1</v>
      </c>
      <c r="O16" s="28">
        <f>Grupo!O16</f>
        <v>3</v>
      </c>
      <c r="P16" s="28">
        <f>Grupo!P16</f>
        <v>1</v>
      </c>
      <c r="Q16" s="28">
        <f>Grupo!Q16</f>
        <v>1</v>
      </c>
      <c r="R16" s="28">
        <f>Grupo!R16</f>
        <v>2</v>
      </c>
      <c r="S16" s="28">
        <f>Grupo!S16</f>
        <v>0</v>
      </c>
      <c r="T16" s="28">
        <f>Grupo!T16</f>
        <v>3</v>
      </c>
      <c r="U16" s="28">
        <f>Grupo!U16</f>
        <v>2</v>
      </c>
      <c r="V16" s="28">
        <f>Grupo!V16</f>
        <v>0</v>
      </c>
      <c r="W16" s="28">
        <f>Grupo!W16</f>
        <v>0</v>
      </c>
      <c r="X16" s="28">
        <f>Grupo!X16</f>
        <v>2</v>
      </c>
      <c r="Y16" s="28">
        <f>Grupo!Y16</f>
        <v>0</v>
      </c>
      <c r="Z16" s="28">
        <f>Grupo!Z16</f>
        <v>1</v>
      </c>
      <c r="AA16" s="28">
        <f>Grupo!AA16</f>
        <v>2</v>
      </c>
      <c r="AB16" s="28">
        <f>Grupo!AB16</f>
        <v>0</v>
      </c>
      <c r="AC16" s="28">
        <f>Grupo!AC16</f>
        <v>5</v>
      </c>
      <c r="AD16" s="28">
        <f>Grupo!AD16</f>
        <v>1</v>
      </c>
      <c r="AE16" s="28">
        <f>Grupo!AE16</f>
        <v>1</v>
      </c>
      <c r="AF16" s="28">
        <f>Grupo!AF16</f>
        <v>2</v>
      </c>
      <c r="AG16" s="28">
        <f>Grupo!AG16</f>
        <v>2</v>
      </c>
      <c r="AH16" s="28">
        <f>Grupo!AH16</f>
        <v>3</v>
      </c>
      <c r="AI16" s="28">
        <f>Grupo!AI16</f>
        <v>1</v>
      </c>
      <c r="AJ16" s="28">
        <f>Grupo!AJ16</f>
        <v>1</v>
      </c>
      <c r="AK16" s="28">
        <f>Grupo!AK16</f>
        <v>0</v>
      </c>
      <c r="AL16" s="28">
        <f>Grupo!AL16</f>
        <v>1</v>
      </c>
      <c r="AM16" s="28">
        <f>Grupo!AM16</f>
        <v>2</v>
      </c>
      <c r="AN16" s="28">
        <f>Grupo!AN16</f>
        <v>0</v>
      </c>
      <c r="AO16" s="28">
        <f>Grupo!AO16</f>
        <v>4</v>
      </c>
      <c r="AP16" s="28">
        <f>Grupo!AP16</f>
        <v>0</v>
      </c>
      <c r="AQ16" s="28">
        <f>Grupo!AQ16</f>
        <v>0</v>
      </c>
      <c r="AR16" s="28">
        <f>Grupo!AR16</f>
        <v>2</v>
      </c>
      <c r="AS16" s="28">
        <f>Grupo!AS16</f>
        <v>0</v>
      </c>
      <c r="AT16" s="28">
        <f>Grupo!AT16</f>
        <v>0</v>
      </c>
      <c r="AU16" s="28">
        <f>Grupo!AU16</f>
        <v>2</v>
      </c>
      <c r="AV16" s="28">
        <f>Grupo!AV16</f>
        <v>2</v>
      </c>
      <c r="AW16" s="28">
        <f>Grupo!AW16</f>
        <v>1</v>
      </c>
      <c r="AX16" s="28">
        <f>Grupo!AX16</f>
        <v>3</v>
      </c>
      <c r="AY16" s="28">
        <f>Grupo!AY16</f>
        <v>1</v>
      </c>
      <c r="AZ16" s="28">
        <f>Grupo!AZ16</f>
        <v>3</v>
      </c>
      <c r="BA16" s="28">
        <f>Grupo!BA16</f>
        <v>0</v>
      </c>
      <c r="BB16" s="28">
        <f>Grupo!BB16</f>
        <v>2</v>
      </c>
      <c r="BC16" s="28">
        <f>Grupo!BC16</f>
        <v>1</v>
      </c>
      <c r="BD16" s="28">
        <f>Grupo!BD16</f>
        <v>3</v>
      </c>
      <c r="BE16" s="28">
        <f>Grupo!BE16</f>
        <v>1</v>
      </c>
      <c r="BF16" s="28">
        <f>Grupo!BF16</f>
        <v>1</v>
      </c>
      <c r="BG16" s="28">
        <f>Grupo!BG16</f>
        <v>2</v>
      </c>
      <c r="BH16" s="28">
        <f>Grupo!BH16</f>
        <v>0</v>
      </c>
      <c r="BI16" s="28">
        <f>Grupo!BI16</f>
        <v>1</v>
      </c>
      <c r="BJ16" s="28">
        <f>Grupo!BJ16</f>
        <v>1</v>
      </c>
      <c r="BK16" s="28">
        <f>Grupo!BK16</f>
        <v>1</v>
      </c>
      <c r="BL16" s="28">
        <f>Grupo!BL16</f>
        <v>0</v>
      </c>
      <c r="BM16" s="28">
        <f>Grupo!BM16</f>
        <v>1</v>
      </c>
      <c r="BN16" s="28">
        <f>Grupo!BN16</f>
        <v>2</v>
      </c>
      <c r="BO16" s="28">
        <f>Grupo!BO16</f>
        <v>0</v>
      </c>
      <c r="BP16" s="28">
        <f>Grupo!BP16</f>
        <v>3</v>
      </c>
      <c r="BQ16" s="28">
        <f>Grupo!BQ16</f>
        <v>1</v>
      </c>
      <c r="BR16" s="28">
        <f>Grupo!BR16</f>
        <v>0</v>
      </c>
      <c r="BS16" s="28">
        <f>Grupo!BS16</f>
        <v>1</v>
      </c>
      <c r="BT16" s="28">
        <f>Grupo!BT16</f>
        <v>2</v>
      </c>
      <c r="BU16" s="28">
        <f>Grupo!BU16</f>
        <v>1</v>
      </c>
      <c r="BV16" s="28">
        <f>Grupo!BV16</f>
        <v>1</v>
      </c>
      <c r="BW16" s="28">
        <f>Grupo!BW16</f>
        <v>1</v>
      </c>
      <c r="BX16" s="28">
        <f>Grupo!BX16</f>
        <v>3</v>
      </c>
      <c r="BY16" s="28">
        <f>Grupo!BY16</f>
        <v>2</v>
      </c>
      <c r="BZ16" s="28">
        <f>Grupo!BZ16</f>
        <v>1</v>
      </c>
      <c r="CA16" s="28">
        <f>Grupo!CA16</f>
        <v>1</v>
      </c>
      <c r="CB16" s="28">
        <f>Grupo!CB16</f>
        <v>2</v>
      </c>
      <c r="CC16" s="28">
        <f>Grupo!CC16</f>
        <v>1</v>
      </c>
      <c r="CD16" s="28">
        <f>Grupo!CD16</f>
        <v>1</v>
      </c>
      <c r="CE16" s="28">
        <f>Grupo!CE16</f>
        <v>2</v>
      </c>
      <c r="CF16" s="28">
        <f>Grupo!CF16</f>
        <v>2</v>
      </c>
      <c r="CG16" s="28">
        <f>Grupo!CG16</f>
        <v>0</v>
      </c>
      <c r="CH16" s="28">
        <f>Grupo!CH16</f>
        <v>3</v>
      </c>
      <c r="CI16" s="28">
        <f>Grupo!CI16</f>
        <v>1</v>
      </c>
      <c r="CJ16" s="28">
        <f>Grupo!CJ16</f>
        <v>1</v>
      </c>
      <c r="CK16" s="28">
        <f>Grupo!CK16</f>
        <v>2</v>
      </c>
      <c r="CL16" s="28">
        <f>Grupo!CL16</f>
        <v>2</v>
      </c>
      <c r="CM16" s="28">
        <f>Grupo!CM16</f>
        <v>0</v>
      </c>
      <c r="CN16" s="28">
        <f>Grupo!CN16</f>
        <v>2</v>
      </c>
      <c r="CO16" s="28">
        <f>Grupo!CO16</f>
        <v>1</v>
      </c>
      <c r="CP16" s="28">
        <f>Grupo!CP16</f>
        <v>0</v>
      </c>
      <c r="CQ16" s="28">
        <f>Grupo!CQ16</f>
        <v>3</v>
      </c>
      <c r="CR16" s="28">
        <f>Grupo!CR16</f>
        <v>2</v>
      </c>
      <c r="CS16" s="28">
        <f>Grupo!CS16</f>
        <v>1</v>
      </c>
      <c r="CT16" s="28">
        <f>Grupo!CT16</f>
        <v>2</v>
      </c>
      <c r="CU16" s="28">
        <f>Grupo!CU16</f>
        <v>1</v>
      </c>
      <c r="CV16" s="28">
        <f>Grupo!CV16</f>
        <v>3</v>
      </c>
      <c r="CW16" s="28">
        <f>Grupo!CW16</f>
        <v>3</v>
      </c>
      <c r="CX16" s="28">
        <f>Grupo!CX16</f>
        <v>1</v>
      </c>
      <c r="CY16" s="28">
        <f>Grupo!CY16</f>
        <v>0</v>
      </c>
      <c r="CZ16" s="28">
        <f>Grupo!CZ16</f>
        <v>2</v>
      </c>
      <c r="DA16" s="28">
        <f>Grupo!DA16</f>
        <v>2</v>
      </c>
      <c r="DB16" s="28">
        <f>Grupo!DB16</f>
        <v>0</v>
      </c>
      <c r="DC16" s="28">
        <f>Grupo!DC16</f>
        <v>1</v>
      </c>
      <c r="DD16" s="28">
        <f>Grupo!DD16</f>
        <v>2</v>
      </c>
      <c r="DE16" s="28">
        <f>Grupo!DE16</f>
        <v>1</v>
      </c>
      <c r="DF16" s="28">
        <f>Grupo!DF16</f>
        <v>3</v>
      </c>
      <c r="DG16" s="28">
        <f>Grupo!DG16</f>
        <v>0</v>
      </c>
      <c r="DH16" s="28">
        <f>Grupo!DH16</f>
        <v>0</v>
      </c>
      <c r="DI16" s="28">
        <f>Grupo!DI16</f>
        <v>3</v>
      </c>
      <c r="DJ16" s="28">
        <f>Grupo!DJ16</f>
        <v>1</v>
      </c>
      <c r="DK16" s="28">
        <f>Grupo!DK16</f>
        <v>1</v>
      </c>
      <c r="DL16" s="28">
        <f>Grupo!DL16</f>
        <v>2</v>
      </c>
      <c r="DM16" s="28">
        <f>Grupo!DM16</f>
        <v>2</v>
      </c>
      <c r="DN16" s="28">
        <f>Grupo!DN16</f>
        <v>1</v>
      </c>
      <c r="DO16" s="28">
        <f>Grupo!DO16</f>
        <v>1</v>
      </c>
      <c r="DP16" s="28">
        <f>Grupo!DP16</f>
        <v>2</v>
      </c>
      <c r="DQ16" s="28">
        <f>Grupo!DQ16</f>
        <v>1</v>
      </c>
      <c r="DR16" s="28">
        <f>Grupo!DR16</f>
        <v>2</v>
      </c>
      <c r="DS16" s="28">
        <f>Grupo!DS16</f>
        <v>3</v>
      </c>
      <c r="DT16" s="28">
        <f>Grupo!DT16</f>
        <v>0</v>
      </c>
      <c r="DU16" s="28">
        <f>Grupo!DU16</f>
        <v>4</v>
      </c>
      <c r="DV16" s="28">
        <f>Grupo!DV16</f>
        <v>1</v>
      </c>
      <c r="DW16" s="28">
        <f>Grupo!DW16</f>
        <v>1</v>
      </c>
      <c r="DX16" s="28">
        <f>Grupo!DX16</f>
        <v>2</v>
      </c>
      <c r="DY16" s="28">
        <f>Grupo!DY16</f>
        <v>1</v>
      </c>
      <c r="DZ16" s="28">
        <f>Grupo!DZ16</f>
        <v>1</v>
      </c>
      <c r="EA16" s="70">
        <f>Grupo!EA16</f>
        <v>1</v>
      </c>
      <c r="EB16" s="70">
        <f>Grupo!EB16</f>
        <v>1</v>
      </c>
      <c r="EC16" s="70">
        <f>Grupo!EC16</f>
        <v>0</v>
      </c>
      <c r="ED16" s="70">
        <f>Grupo!ED16</f>
        <v>3</v>
      </c>
      <c r="EE16" s="70">
        <f>Grupo!EE16</f>
        <v>1</v>
      </c>
      <c r="EF16" s="70">
        <f>Grupo!EF16</f>
        <v>0</v>
      </c>
      <c r="EG16" s="70">
        <f>Grupo!EG16</f>
        <v>1</v>
      </c>
      <c r="EH16" s="70">
        <f>Grupo!EH16</f>
        <v>2</v>
      </c>
      <c r="EI16" s="70">
        <f>Grupo!EI16</f>
        <v>1</v>
      </c>
      <c r="EJ16" s="70">
        <f>Grupo!EJ16</f>
        <v>3</v>
      </c>
      <c r="EK16" s="70">
        <f>Grupo!EK16</f>
        <v>0</v>
      </c>
      <c r="EL16" s="70">
        <f>Grupo!EL16</f>
        <v>1</v>
      </c>
      <c r="EM16" s="70">
        <f>Grupo!EM16</f>
        <v>2</v>
      </c>
      <c r="EN16" s="70">
        <f>Grupo!EN16</f>
        <v>1</v>
      </c>
      <c r="EO16" s="70">
        <f>Grupo!EO16</f>
        <v>1</v>
      </c>
      <c r="EP16" s="78">
        <f>Grupo!EP16</f>
        <v>1</v>
      </c>
      <c r="EQ16" s="78">
        <f>Grupo!EQ16</f>
        <v>2</v>
      </c>
      <c r="ER16" s="78">
        <f>Grupo!ER16</f>
        <v>1</v>
      </c>
      <c r="ES16" s="78">
        <f>Grupo!ES16</f>
        <v>2</v>
      </c>
      <c r="ET16" s="78">
        <f>Grupo!ET16</f>
        <v>0</v>
      </c>
      <c r="EU16" s="78">
        <f>Grupo!EU16</f>
        <v>1</v>
      </c>
      <c r="EV16" s="78">
        <f>Grupo!EV16</f>
        <v>2</v>
      </c>
      <c r="EW16" s="78">
        <f>Grupo!EW16</f>
        <v>2</v>
      </c>
      <c r="EX16" s="78">
        <f>Grupo!EX16</f>
        <v>0</v>
      </c>
      <c r="EY16" s="78">
        <f>Grupo!EY16</f>
        <v>1</v>
      </c>
      <c r="EZ16" s="78">
        <f>Grupo!EZ16</f>
        <v>1</v>
      </c>
      <c r="FA16" s="78">
        <f>Grupo!FA16</f>
        <v>0</v>
      </c>
      <c r="FB16" s="78">
        <f>Grupo!FB16</f>
        <v>0</v>
      </c>
      <c r="FC16" s="78">
        <f>Grupo!FC16</f>
        <v>1</v>
      </c>
      <c r="FD16" s="78">
        <f>Grupo!FD16</f>
        <v>1</v>
      </c>
      <c r="FE16" s="78">
        <f>Grupo!FE16</f>
        <v>0</v>
      </c>
      <c r="FF16" s="78">
        <f>Grupo!FF16</f>
        <v>2</v>
      </c>
      <c r="FG16" s="78">
        <f>Grupo!FG16</f>
        <v>0</v>
      </c>
      <c r="FH16" s="78">
        <f>Grupo!FH16</f>
        <v>0</v>
      </c>
      <c r="FI16" s="78">
        <f>Grupo!FI16</f>
        <v>1</v>
      </c>
      <c r="FJ16" s="78">
        <f>Grupo!FJ16</f>
        <v>1</v>
      </c>
      <c r="FK16" s="78">
        <f>Grupo!FK16</f>
        <v>2</v>
      </c>
      <c r="FL16" s="78">
        <f>Grupo!FL16</f>
        <v>2</v>
      </c>
      <c r="FM16" s="78">
        <f>Grupo!FM16</f>
        <v>0</v>
      </c>
      <c r="FN16" s="78">
        <f>Grupo!FN16</f>
        <v>1</v>
      </c>
      <c r="FO16" s="78">
        <f>Grupo!FO16</f>
        <v>0</v>
      </c>
      <c r="FP16" s="78">
        <f>Grupo!FP16</f>
        <v>0</v>
      </c>
      <c r="FQ16" s="78">
        <f>Grupo!FQ16</f>
        <v>0</v>
      </c>
      <c r="FR16" s="78">
        <f>Grupo!FR16</f>
        <v>1</v>
      </c>
      <c r="FS16" s="78">
        <f>Grupo!FS16</f>
        <v>1</v>
      </c>
      <c r="FT16" s="78">
        <f>Grupo!FT16</f>
        <v>1</v>
      </c>
      <c r="FU16" s="78">
        <f>Grupo!FU16</f>
        <v>1</v>
      </c>
      <c r="FV16" s="78">
        <f>Grupo!FV16</f>
        <v>0</v>
      </c>
      <c r="FW16" s="78">
        <f>Grupo!FW16</f>
        <v>1</v>
      </c>
      <c r="FX16" s="78">
        <f>Grupo!FX16</f>
        <v>0</v>
      </c>
      <c r="FY16" s="78">
        <f>Grupo!FY16</f>
        <v>0</v>
      </c>
      <c r="FZ16" s="78">
        <f>Grupo!FZ16</f>
        <v>1</v>
      </c>
      <c r="GA16" s="78">
        <f>Grupo!GA16</f>
        <v>2</v>
      </c>
      <c r="GB16" s="78">
        <f>Grupo!GB16</f>
        <v>1</v>
      </c>
      <c r="GC16" s="78">
        <f>Grupo!GC16</f>
        <v>2</v>
      </c>
      <c r="GD16" s="78">
        <f>Grupo!GD16</f>
        <v>1</v>
      </c>
      <c r="GE16" s="78">
        <f>Grupo!GE16</f>
        <v>1</v>
      </c>
      <c r="GF16" s="78">
        <f>Grupo!GF16</f>
        <v>0</v>
      </c>
      <c r="GG16" s="78">
        <f>Grupo!GG16</f>
        <v>0</v>
      </c>
      <c r="GH16" s="78">
        <f>Grupo!GH16</f>
        <v>1</v>
      </c>
      <c r="GI16" s="78">
        <f>Grupo!GI16</f>
        <v>0</v>
      </c>
      <c r="GJ16" s="78">
        <f>Grupo!GJ16</f>
        <v>2</v>
      </c>
      <c r="GK16" s="78">
        <f>Grupo!GK16</f>
        <v>1</v>
      </c>
      <c r="GL16" s="78">
        <f>Grupo!GL16</f>
        <v>0</v>
      </c>
      <c r="GM16" s="78">
        <f>Grupo!GM16</f>
        <v>1</v>
      </c>
      <c r="GN16" s="78">
        <f>Grupo!GN16</f>
        <v>0</v>
      </c>
      <c r="GO16" s="78">
        <f>Grupo!GO16</f>
        <v>1</v>
      </c>
      <c r="GP16" s="78">
        <f>Grupo!GP16</f>
        <v>2</v>
      </c>
      <c r="GQ16" s="78">
        <f>Grupo!GQ16</f>
        <v>1</v>
      </c>
      <c r="GR16" s="79">
        <f>Grupo!GR16</f>
        <v>2</v>
      </c>
      <c r="GS16" s="79">
        <f>Grupo!GS16</f>
        <v>4</v>
      </c>
      <c r="GT16" s="79" t="str">
        <f>Grupo!GT16</f>
        <v/>
      </c>
      <c r="GU16" s="79">
        <f>Grupo!GU16</f>
        <v>3</v>
      </c>
      <c r="GV16" s="79">
        <f>Grupo!GV16</f>
        <v>0</v>
      </c>
      <c r="GW16" s="79" t="str">
        <f>Grupo!GW16</f>
        <v/>
      </c>
      <c r="GX16" s="76">
        <f>Grupo!GX16</f>
        <v>1</v>
      </c>
      <c r="GY16" s="76">
        <f>Grupo!GY16</f>
        <v>2</v>
      </c>
      <c r="GZ16" s="76" t="str">
        <f>Grupo!GZ16</f>
        <v/>
      </c>
      <c r="HA16" s="76">
        <f>Grupo!HA16</f>
        <v>1</v>
      </c>
      <c r="HB16" s="76">
        <f>Grupo!HB16</f>
        <v>3</v>
      </c>
      <c r="HC16" s="76" t="str">
        <f>Grupo!HC16</f>
        <v/>
      </c>
      <c r="HD16" s="76">
        <f>Grupo!HD16</f>
        <v>2</v>
      </c>
      <c r="HE16" s="76">
        <f>Grupo!HE16</f>
        <v>2</v>
      </c>
      <c r="HF16" s="76" t="str">
        <f>Grupo!HF16</f>
        <v/>
      </c>
      <c r="HG16" s="76">
        <f>Grupo!HG16</f>
        <v>1</v>
      </c>
      <c r="HH16" s="76">
        <f>Grupo!HH16</f>
        <v>2</v>
      </c>
      <c r="HI16" s="76" t="str">
        <f>Grupo!HI16</f>
        <v/>
      </c>
      <c r="HJ16" s="32">
        <f>Grupo!HJ16</f>
        <v>43</v>
      </c>
      <c r="HK16" s="25" t="s">
        <v>37</v>
      </c>
    </row>
    <row r="17" spans="1:219" ht="20.25" customHeight="1" thickBot="1" x14ac:dyDescent="0.35">
      <c r="A17" s="34" t="str">
        <f>Grupo!A17</f>
        <v>Isabel 2</v>
      </c>
      <c r="B17" s="28">
        <f>Grupo!B17</f>
        <v>1</v>
      </c>
      <c r="C17" s="28">
        <f>Grupo!C17</f>
        <v>0</v>
      </c>
      <c r="D17" s="28">
        <f>Grupo!D17</f>
        <v>1</v>
      </c>
      <c r="E17" s="28">
        <f>Grupo!E17</f>
        <v>2</v>
      </c>
      <c r="F17" s="28">
        <f>Grupo!F17</f>
        <v>0</v>
      </c>
      <c r="G17" s="28">
        <f>Grupo!G17</f>
        <v>1</v>
      </c>
      <c r="H17" s="28">
        <f>Grupo!H17</f>
        <v>2</v>
      </c>
      <c r="I17" s="28">
        <f>Grupo!I17</f>
        <v>1</v>
      </c>
      <c r="J17" s="28">
        <f>Grupo!J17</f>
        <v>0</v>
      </c>
      <c r="K17" s="28">
        <f>Grupo!K17</f>
        <v>3</v>
      </c>
      <c r="L17" s="28">
        <f>Grupo!L17</f>
        <v>1</v>
      </c>
      <c r="M17" s="28">
        <f>Grupo!M17</f>
        <v>1</v>
      </c>
      <c r="N17" s="28">
        <f>Grupo!N17</f>
        <v>0</v>
      </c>
      <c r="O17" s="28">
        <f>Grupo!O17</f>
        <v>2</v>
      </c>
      <c r="P17" s="28">
        <f>Grupo!P17</f>
        <v>1</v>
      </c>
      <c r="Q17" s="28">
        <f>Grupo!Q17</f>
        <v>0</v>
      </c>
      <c r="R17" s="28">
        <f>Grupo!R17</f>
        <v>3</v>
      </c>
      <c r="S17" s="28">
        <f>Grupo!S17</f>
        <v>0</v>
      </c>
      <c r="T17" s="28">
        <f>Grupo!T17</f>
        <v>4</v>
      </c>
      <c r="U17" s="28">
        <f>Grupo!U17</f>
        <v>1</v>
      </c>
      <c r="V17" s="28">
        <f>Grupo!V17</f>
        <v>0</v>
      </c>
      <c r="W17" s="28">
        <f>Grupo!W17</f>
        <v>0</v>
      </c>
      <c r="X17" s="28">
        <f>Grupo!X17</f>
        <v>1</v>
      </c>
      <c r="Y17" s="28">
        <f>Grupo!Y17</f>
        <v>0</v>
      </c>
      <c r="Z17" s="28">
        <f>Grupo!Z17</f>
        <v>1</v>
      </c>
      <c r="AA17" s="28">
        <f>Grupo!AA17</f>
        <v>1</v>
      </c>
      <c r="AB17" s="28">
        <f>Grupo!AB17</f>
        <v>0</v>
      </c>
      <c r="AC17" s="28">
        <f>Grupo!AC17</f>
        <v>4</v>
      </c>
      <c r="AD17" s="28">
        <f>Grupo!AD17</f>
        <v>0</v>
      </c>
      <c r="AE17" s="28">
        <f>Grupo!AE17</f>
        <v>1</v>
      </c>
      <c r="AF17" s="28">
        <f>Grupo!AF17</f>
        <v>2</v>
      </c>
      <c r="AG17" s="28">
        <f>Grupo!AG17</f>
        <v>1</v>
      </c>
      <c r="AH17" s="28">
        <f>Grupo!AH17</f>
        <v>0</v>
      </c>
      <c r="AI17" s="28">
        <f>Grupo!AI17</f>
        <v>3</v>
      </c>
      <c r="AJ17" s="28">
        <f>Grupo!AJ17</f>
        <v>0</v>
      </c>
      <c r="AK17" s="28">
        <f>Grupo!AK17</f>
        <v>1</v>
      </c>
      <c r="AL17" s="28">
        <f>Grupo!AL17</f>
        <v>0</v>
      </c>
      <c r="AM17" s="28">
        <f>Grupo!AM17</f>
        <v>1</v>
      </c>
      <c r="AN17" s="28">
        <f>Grupo!AN17</f>
        <v>0</v>
      </c>
      <c r="AO17" s="28">
        <f>Grupo!AO17</f>
        <v>5</v>
      </c>
      <c r="AP17" s="28">
        <f>Grupo!AP17</f>
        <v>0</v>
      </c>
      <c r="AQ17" s="28">
        <f>Grupo!AQ17</f>
        <v>0</v>
      </c>
      <c r="AR17" s="28">
        <f>Grupo!AR17</f>
        <v>1</v>
      </c>
      <c r="AS17" s="28">
        <f>Grupo!AS17</f>
        <v>0</v>
      </c>
      <c r="AT17" s="28">
        <f>Grupo!AT17</f>
        <v>0</v>
      </c>
      <c r="AU17" s="28">
        <f>Grupo!AU17</f>
        <v>2</v>
      </c>
      <c r="AV17" s="28">
        <f>Grupo!AV17</f>
        <v>0</v>
      </c>
      <c r="AW17" s="28">
        <f>Grupo!AW17</f>
        <v>0</v>
      </c>
      <c r="AX17" s="28">
        <f>Grupo!AX17</f>
        <v>3</v>
      </c>
      <c r="AY17" s="28">
        <f>Grupo!AY17</f>
        <v>1</v>
      </c>
      <c r="AZ17" s="28">
        <f>Grupo!AZ17</f>
        <v>3</v>
      </c>
      <c r="BA17" s="28">
        <f>Grupo!BA17</f>
        <v>0</v>
      </c>
      <c r="BB17" s="28">
        <f>Grupo!BB17</f>
        <v>2</v>
      </c>
      <c r="BC17" s="28">
        <f>Grupo!BC17</f>
        <v>1</v>
      </c>
      <c r="BD17" s="28">
        <f>Grupo!BD17</f>
        <v>2</v>
      </c>
      <c r="BE17" s="28">
        <f>Grupo!BE17</f>
        <v>0</v>
      </c>
      <c r="BF17" s="28">
        <f>Grupo!BF17</f>
        <v>1</v>
      </c>
      <c r="BG17" s="28">
        <f>Grupo!BG17</f>
        <v>1</v>
      </c>
      <c r="BH17" s="28">
        <f>Grupo!BH17</f>
        <v>0</v>
      </c>
      <c r="BI17" s="28">
        <f>Grupo!BI17</f>
        <v>1</v>
      </c>
      <c r="BJ17" s="28">
        <f>Grupo!BJ17</f>
        <v>1</v>
      </c>
      <c r="BK17" s="28">
        <f>Grupo!BK17</f>
        <v>2</v>
      </c>
      <c r="BL17" s="28">
        <f>Grupo!BL17</f>
        <v>0</v>
      </c>
      <c r="BM17" s="28">
        <f>Grupo!BM17</f>
        <v>3</v>
      </c>
      <c r="BN17" s="28">
        <f>Grupo!BN17</f>
        <v>2</v>
      </c>
      <c r="BO17" s="28">
        <f>Grupo!BO17</f>
        <v>1</v>
      </c>
      <c r="BP17" s="28">
        <f>Grupo!BP17</f>
        <v>3</v>
      </c>
      <c r="BQ17" s="28">
        <f>Grupo!BQ17</f>
        <v>0</v>
      </c>
      <c r="BR17" s="28">
        <f>Grupo!BR17</f>
        <v>0</v>
      </c>
      <c r="BS17" s="28">
        <f>Grupo!BS17</f>
        <v>0</v>
      </c>
      <c r="BT17" s="28">
        <f>Grupo!BT17</f>
        <v>4</v>
      </c>
      <c r="BU17" s="28">
        <f>Grupo!BU17</f>
        <v>1</v>
      </c>
      <c r="BV17" s="28">
        <f>Grupo!BV17</f>
        <v>1</v>
      </c>
      <c r="BW17" s="28">
        <f>Grupo!BW17</f>
        <v>1</v>
      </c>
      <c r="BX17" s="28">
        <f>Grupo!BX17</f>
        <v>3</v>
      </c>
      <c r="BY17" s="28">
        <f>Grupo!BY17</f>
        <v>2</v>
      </c>
      <c r="BZ17" s="28">
        <f>Grupo!BZ17</f>
        <v>1</v>
      </c>
      <c r="CA17" s="28">
        <f>Grupo!CA17</f>
        <v>1</v>
      </c>
      <c r="CB17" s="28">
        <f>Grupo!CB17</f>
        <v>2</v>
      </c>
      <c r="CC17" s="28">
        <f>Grupo!CC17</f>
        <v>1</v>
      </c>
      <c r="CD17" s="28">
        <f>Grupo!CD17</f>
        <v>1</v>
      </c>
      <c r="CE17" s="28">
        <f>Grupo!CE17</f>
        <v>1</v>
      </c>
      <c r="CF17" s="28">
        <f>Grupo!CF17</f>
        <v>1</v>
      </c>
      <c r="CG17" s="28">
        <f>Grupo!CG17</f>
        <v>0</v>
      </c>
      <c r="CH17" s="28">
        <f>Grupo!CH17</f>
        <v>3</v>
      </c>
      <c r="CI17" s="28">
        <f>Grupo!CI17</f>
        <v>0</v>
      </c>
      <c r="CJ17" s="28">
        <f>Grupo!CJ17</f>
        <v>3</v>
      </c>
      <c r="CK17" s="28">
        <f>Grupo!CK17</f>
        <v>1</v>
      </c>
      <c r="CL17" s="28">
        <f>Grupo!CL17</f>
        <v>2</v>
      </c>
      <c r="CM17" s="28">
        <f>Grupo!CM17</f>
        <v>1</v>
      </c>
      <c r="CN17" s="28">
        <f>Grupo!CN17</f>
        <v>1</v>
      </c>
      <c r="CO17" s="28">
        <f>Grupo!CO17</f>
        <v>0</v>
      </c>
      <c r="CP17" s="28">
        <f>Grupo!CP17</f>
        <v>0</v>
      </c>
      <c r="CQ17" s="28">
        <f>Grupo!CQ17</f>
        <v>2</v>
      </c>
      <c r="CR17" s="28">
        <f>Grupo!CR17</f>
        <v>0</v>
      </c>
      <c r="CS17" s="28">
        <f>Grupo!CS17</f>
        <v>3</v>
      </c>
      <c r="CT17" s="28">
        <f>Grupo!CT17</f>
        <v>3</v>
      </c>
      <c r="CU17" s="28">
        <f>Grupo!CU17</f>
        <v>1</v>
      </c>
      <c r="CV17" s="28">
        <f>Grupo!CV17</f>
        <v>1</v>
      </c>
      <c r="CW17" s="28">
        <f>Grupo!CW17</f>
        <v>2</v>
      </c>
      <c r="CX17" s="28">
        <f>Grupo!CX17</f>
        <v>0</v>
      </c>
      <c r="CY17" s="28">
        <f>Grupo!CY17</f>
        <v>0</v>
      </c>
      <c r="CZ17" s="28">
        <f>Grupo!CZ17</f>
        <v>1</v>
      </c>
      <c r="DA17" s="28">
        <f>Grupo!DA17</f>
        <v>0</v>
      </c>
      <c r="DB17" s="28">
        <f>Grupo!DB17</f>
        <v>1</v>
      </c>
      <c r="DC17" s="28">
        <f>Grupo!DC17</f>
        <v>0</v>
      </c>
      <c r="DD17" s="28">
        <f>Grupo!DD17</f>
        <v>1</v>
      </c>
      <c r="DE17" s="28">
        <f>Grupo!DE17</f>
        <v>1</v>
      </c>
      <c r="DF17" s="28">
        <f>Grupo!DF17</f>
        <v>3</v>
      </c>
      <c r="DG17" s="28">
        <f>Grupo!DG17</f>
        <v>0</v>
      </c>
      <c r="DH17" s="28">
        <f>Grupo!DH17</f>
        <v>0</v>
      </c>
      <c r="DI17" s="28">
        <f>Grupo!DI17</f>
        <v>4</v>
      </c>
      <c r="DJ17" s="28">
        <f>Grupo!DJ17</f>
        <v>1</v>
      </c>
      <c r="DK17" s="28">
        <f>Grupo!DK17</f>
        <v>1</v>
      </c>
      <c r="DL17" s="28">
        <f>Grupo!DL17</f>
        <v>2</v>
      </c>
      <c r="DM17" s="28">
        <f>Grupo!DM17</f>
        <v>0</v>
      </c>
      <c r="DN17" s="28">
        <f>Grupo!DN17</f>
        <v>0</v>
      </c>
      <c r="DO17" s="28">
        <f>Grupo!DO17</f>
        <v>0</v>
      </c>
      <c r="DP17" s="28">
        <f>Grupo!DP17</f>
        <v>1</v>
      </c>
      <c r="DQ17" s="28">
        <f>Grupo!DQ17</f>
        <v>1</v>
      </c>
      <c r="DR17" s="28">
        <f>Grupo!DR17</f>
        <v>2</v>
      </c>
      <c r="DS17" s="28">
        <f>Grupo!DS17</f>
        <v>1</v>
      </c>
      <c r="DT17" s="28">
        <f>Grupo!DT17</f>
        <v>1</v>
      </c>
      <c r="DU17" s="28">
        <f>Grupo!DU17</f>
        <v>4</v>
      </c>
      <c r="DV17" s="28">
        <f>Grupo!DV17</f>
        <v>0</v>
      </c>
      <c r="DW17" s="28">
        <f>Grupo!DW17</f>
        <v>1</v>
      </c>
      <c r="DX17" s="28">
        <f>Grupo!DX17</f>
        <v>2</v>
      </c>
      <c r="DY17" s="28">
        <f>Grupo!DY17</f>
        <v>0</v>
      </c>
      <c r="DZ17" s="28">
        <f>Grupo!DZ17</f>
        <v>3</v>
      </c>
      <c r="EA17" s="70">
        <f>Grupo!EA17</f>
        <v>0</v>
      </c>
      <c r="EB17" s="70">
        <f>Grupo!EB17</f>
        <v>1</v>
      </c>
      <c r="EC17" s="70">
        <f>Grupo!EC17</f>
        <v>1</v>
      </c>
      <c r="ED17" s="70">
        <f>Grupo!ED17</f>
        <v>3</v>
      </c>
      <c r="EE17" s="70">
        <f>Grupo!EE17</f>
        <v>0</v>
      </c>
      <c r="EF17" s="70">
        <f>Grupo!EF17</f>
        <v>0</v>
      </c>
      <c r="EG17" s="70">
        <f>Grupo!EG17</f>
        <v>0</v>
      </c>
      <c r="EH17" s="70">
        <f>Grupo!EH17</f>
        <v>2</v>
      </c>
      <c r="EI17" s="70">
        <f>Grupo!EI17</f>
        <v>1</v>
      </c>
      <c r="EJ17" s="70">
        <f>Grupo!EJ17</f>
        <v>5</v>
      </c>
      <c r="EK17" s="70">
        <f>Grupo!EK17</f>
        <v>1</v>
      </c>
      <c r="EL17" s="70">
        <f>Grupo!EL17</f>
        <v>1</v>
      </c>
      <c r="EM17" s="70">
        <f>Grupo!EM17</f>
        <v>2</v>
      </c>
      <c r="EN17" s="70">
        <f>Grupo!EN17</f>
        <v>0</v>
      </c>
      <c r="EO17" s="70">
        <f>Grupo!EO17</f>
        <v>1</v>
      </c>
      <c r="EP17" s="78">
        <f>Grupo!EP17</f>
        <v>1</v>
      </c>
      <c r="EQ17" s="78">
        <f>Grupo!EQ17</f>
        <v>2</v>
      </c>
      <c r="ER17" s="78">
        <f>Grupo!ER17</f>
        <v>1</v>
      </c>
      <c r="ES17" s="78">
        <f>Grupo!ES17</f>
        <v>3</v>
      </c>
      <c r="ET17" s="78">
        <f>Grupo!ET17</f>
        <v>1</v>
      </c>
      <c r="EU17" s="78">
        <f>Grupo!EU17</f>
        <v>1</v>
      </c>
      <c r="EV17" s="78">
        <f>Grupo!EV17</f>
        <v>2</v>
      </c>
      <c r="EW17" s="78">
        <f>Grupo!EW17</f>
        <v>1</v>
      </c>
      <c r="EX17" s="78">
        <f>Grupo!EX17</f>
        <v>3</v>
      </c>
      <c r="EY17" s="78">
        <f>Grupo!EY17</f>
        <v>0</v>
      </c>
      <c r="EZ17" s="78">
        <f>Grupo!EZ17</f>
        <v>0</v>
      </c>
      <c r="FA17" s="78">
        <f>Grupo!FA17</f>
        <v>0</v>
      </c>
      <c r="FB17" s="78">
        <f>Grupo!FB17</f>
        <v>0</v>
      </c>
      <c r="FC17" s="78">
        <f>Grupo!FC17</f>
        <v>1</v>
      </c>
      <c r="FD17" s="78">
        <f>Grupo!FD17</f>
        <v>1</v>
      </c>
      <c r="FE17" s="78">
        <f>Grupo!FE17</f>
        <v>1</v>
      </c>
      <c r="FF17" s="78">
        <f>Grupo!FF17</f>
        <v>1</v>
      </c>
      <c r="FG17" s="78">
        <f>Grupo!FG17</f>
        <v>0</v>
      </c>
      <c r="FH17" s="78">
        <f>Grupo!FH17</f>
        <v>1</v>
      </c>
      <c r="FI17" s="78">
        <f>Grupo!FI17</f>
        <v>2</v>
      </c>
      <c r="FJ17" s="78">
        <f>Grupo!FJ17</f>
        <v>1</v>
      </c>
      <c r="FK17" s="78">
        <f>Grupo!FK17</f>
        <v>2</v>
      </c>
      <c r="FL17" s="78">
        <f>Grupo!FL17</f>
        <v>2</v>
      </c>
      <c r="FM17" s="78">
        <f>Grupo!FM17</f>
        <v>0</v>
      </c>
      <c r="FN17" s="78">
        <f>Grupo!FN17</f>
        <v>0</v>
      </c>
      <c r="FO17" s="78">
        <f>Grupo!FO17</f>
        <v>1</v>
      </c>
      <c r="FP17" s="78">
        <f>Grupo!FP17</f>
        <v>0</v>
      </c>
      <c r="FQ17" s="78">
        <f>Grupo!FQ17</f>
        <v>0</v>
      </c>
      <c r="FR17" s="78">
        <f>Grupo!FR17</f>
        <v>2</v>
      </c>
      <c r="FS17" s="78">
        <f>Grupo!FS17</f>
        <v>1</v>
      </c>
      <c r="FT17" s="78">
        <f>Grupo!FT17</f>
        <v>2</v>
      </c>
      <c r="FU17" s="78">
        <f>Grupo!FU17</f>
        <v>2</v>
      </c>
      <c r="FV17" s="78">
        <f>Grupo!FV17</f>
        <v>0</v>
      </c>
      <c r="FW17" s="78">
        <f>Grupo!FW17</f>
        <v>1</v>
      </c>
      <c r="FX17" s="78">
        <f>Grupo!FX17</f>
        <v>0</v>
      </c>
      <c r="FY17" s="78">
        <f>Grupo!FY17</f>
        <v>0</v>
      </c>
      <c r="FZ17" s="78">
        <f>Grupo!FZ17</f>
        <v>1</v>
      </c>
      <c r="GA17" s="78">
        <f>Grupo!GA17</f>
        <v>3</v>
      </c>
      <c r="GB17" s="78">
        <f>Grupo!GB17</f>
        <v>1</v>
      </c>
      <c r="GC17" s="78">
        <f>Grupo!GC17</f>
        <v>1</v>
      </c>
      <c r="GD17" s="78">
        <f>Grupo!GD17</f>
        <v>0</v>
      </c>
      <c r="GE17" s="78">
        <f>Grupo!GE17</f>
        <v>1</v>
      </c>
      <c r="GF17" s="78">
        <f>Grupo!GF17</f>
        <v>0</v>
      </c>
      <c r="GG17" s="78">
        <f>Grupo!GG17</f>
        <v>0</v>
      </c>
      <c r="GH17" s="78">
        <f>Grupo!GH17</f>
        <v>1</v>
      </c>
      <c r="GI17" s="78">
        <f>Grupo!GI17</f>
        <v>0</v>
      </c>
      <c r="GJ17" s="78">
        <f>Grupo!GJ17</f>
        <v>3</v>
      </c>
      <c r="GK17" s="78">
        <f>Grupo!GK17</f>
        <v>1</v>
      </c>
      <c r="GL17" s="78">
        <f>Grupo!GL17</f>
        <v>0</v>
      </c>
      <c r="GM17" s="78">
        <f>Grupo!GM17</f>
        <v>2</v>
      </c>
      <c r="GN17" s="78">
        <f>Grupo!GN17</f>
        <v>0</v>
      </c>
      <c r="GO17" s="78">
        <f>Grupo!GO17</f>
        <v>2</v>
      </c>
      <c r="GP17" s="78">
        <f>Grupo!GP17</f>
        <v>3</v>
      </c>
      <c r="GQ17" s="78">
        <f>Grupo!GQ17</f>
        <v>1</v>
      </c>
      <c r="GR17" s="79">
        <f>Grupo!GR17</f>
        <v>0</v>
      </c>
      <c r="GS17" s="79">
        <f>Grupo!GS17</f>
        <v>3</v>
      </c>
      <c r="GT17" s="79" t="str">
        <f>Grupo!GT17</f>
        <v/>
      </c>
      <c r="GU17" s="79">
        <f>Grupo!GU17</f>
        <v>2</v>
      </c>
      <c r="GV17" s="79">
        <f>Grupo!GV17</f>
        <v>1</v>
      </c>
      <c r="GW17" s="79" t="str">
        <f>Grupo!GW17</f>
        <v/>
      </c>
      <c r="GX17" s="76">
        <f>Grupo!GX17</f>
        <v>0</v>
      </c>
      <c r="GY17" s="76">
        <f>Grupo!GY17</f>
        <v>0</v>
      </c>
      <c r="GZ17" s="76" t="str">
        <f>Grupo!GZ17</f>
        <v/>
      </c>
      <c r="HA17" s="76">
        <f>Grupo!HA17</f>
        <v>0</v>
      </c>
      <c r="HB17" s="76">
        <f>Grupo!HB17</f>
        <v>4</v>
      </c>
      <c r="HC17" s="76" t="str">
        <f>Grupo!HC17</f>
        <v/>
      </c>
      <c r="HD17" s="76">
        <f>Grupo!HD17</f>
        <v>2</v>
      </c>
      <c r="HE17" s="76">
        <f>Grupo!HE17</f>
        <v>2</v>
      </c>
      <c r="HF17" s="76" t="str">
        <f>Grupo!HF17</f>
        <v/>
      </c>
      <c r="HG17" s="76">
        <f>Grupo!HG17</f>
        <v>0</v>
      </c>
      <c r="HH17" s="76">
        <f>Grupo!HH17</f>
        <v>1</v>
      </c>
      <c r="HI17" s="76" t="str">
        <f>Grupo!HI17</f>
        <v/>
      </c>
      <c r="HJ17" s="32">
        <f>Grupo!HJ17</f>
        <v>53</v>
      </c>
      <c r="HK17" s="25" t="s">
        <v>22</v>
      </c>
    </row>
    <row r="18" spans="1:219" ht="20.25" customHeight="1" thickBot="1" x14ac:dyDescent="0.35">
      <c r="A18" s="34" t="str">
        <f>Grupo!A18</f>
        <v>Javier</v>
      </c>
      <c r="B18" s="28">
        <f>Grupo!B18</f>
        <v>2</v>
      </c>
      <c r="C18" s="28">
        <f>Grupo!C18</f>
        <v>0</v>
      </c>
      <c r="D18" s="28">
        <f>Grupo!D18</f>
        <v>3</v>
      </c>
      <c r="E18" s="28">
        <f>Grupo!E18</f>
        <v>3</v>
      </c>
      <c r="F18" s="28">
        <f>Grupo!F18</f>
        <v>1</v>
      </c>
      <c r="G18" s="28">
        <f>Grupo!G18</f>
        <v>1</v>
      </c>
      <c r="H18" s="28">
        <f>Grupo!H18</f>
        <v>2</v>
      </c>
      <c r="I18" s="28">
        <f>Grupo!I18</f>
        <v>1</v>
      </c>
      <c r="J18" s="28">
        <f>Grupo!J18</f>
        <v>0</v>
      </c>
      <c r="K18" s="28">
        <f>Grupo!K18</f>
        <v>2</v>
      </c>
      <c r="L18" s="28">
        <f>Grupo!L18</f>
        <v>1</v>
      </c>
      <c r="M18" s="28">
        <f>Grupo!M18</f>
        <v>1</v>
      </c>
      <c r="N18" s="28">
        <f>Grupo!N18</f>
        <v>1</v>
      </c>
      <c r="O18" s="28">
        <f>Grupo!O18</f>
        <v>1</v>
      </c>
      <c r="P18" s="28">
        <f>Grupo!P18</f>
        <v>0</v>
      </c>
      <c r="Q18" s="28">
        <f>Grupo!Q18</f>
        <v>1</v>
      </c>
      <c r="R18" s="28">
        <f>Grupo!R18</f>
        <v>2</v>
      </c>
      <c r="S18" s="28">
        <f>Grupo!S18</f>
        <v>0</v>
      </c>
      <c r="T18" s="28">
        <f>Grupo!T18</f>
        <v>2</v>
      </c>
      <c r="U18" s="28">
        <f>Grupo!U18</f>
        <v>1</v>
      </c>
      <c r="V18" s="28">
        <f>Grupo!V18</f>
        <v>0</v>
      </c>
      <c r="W18" s="28">
        <f>Grupo!W18</f>
        <v>1</v>
      </c>
      <c r="X18" s="28">
        <f>Grupo!X18</f>
        <v>1</v>
      </c>
      <c r="Y18" s="28">
        <f>Grupo!Y18</f>
        <v>3</v>
      </c>
      <c r="Z18" s="28">
        <f>Grupo!Z18</f>
        <v>1</v>
      </c>
      <c r="AA18" s="28">
        <f>Grupo!AA18</f>
        <v>1</v>
      </c>
      <c r="AB18" s="28">
        <f>Grupo!AB18</f>
        <v>0</v>
      </c>
      <c r="AC18" s="28">
        <f>Grupo!AC18</f>
        <v>3</v>
      </c>
      <c r="AD18" s="28">
        <f>Grupo!AD18</f>
        <v>1</v>
      </c>
      <c r="AE18" s="28">
        <f>Grupo!AE18</f>
        <v>1</v>
      </c>
      <c r="AF18" s="28">
        <f>Grupo!AF18</f>
        <v>2</v>
      </c>
      <c r="AG18" s="28">
        <f>Grupo!AG18</f>
        <v>1</v>
      </c>
      <c r="AH18" s="28">
        <f>Grupo!AH18</f>
        <v>0</v>
      </c>
      <c r="AI18" s="28">
        <f>Grupo!AI18</f>
        <v>1</v>
      </c>
      <c r="AJ18" s="28">
        <f>Grupo!AJ18</f>
        <v>1</v>
      </c>
      <c r="AK18" s="28">
        <f>Grupo!AK18</f>
        <v>0</v>
      </c>
      <c r="AL18" s="28">
        <f>Grupo!AL18</f>
        <v>5</v>
      </c>
      <c r="AM18" s="28">
        <f>Grupo!AM18</f>
        <v>2</v>
      </c>
      <c r="AN18" s="28">
        <f>Grupo!AN18</f>
        <v>0</v>
      </c>
      <c r="AO18" s="28">
        <f>Grupo!AO18</f>
        <v>3</v>
      </c>
      <c r="AP18" s="28">
        <f>Grupo!AP18</f>
        <v>0</v>
      </c>
      <c r="AQ18" s="28">
        <f>Grupo!AQ18</f>
        <v>0</v>
      </c>
      <c r="AR18" s="28">
        <f>Grupo!AR18</f>
        <v>1</v>
      </c>
      <c r="AS18" s="28">
        <f>Grupo!AS18</f>
        <v>2</v>
      </c>
      <c r="AT18" s="28">
        <f>Grupo!AT18</f>
        <v>0</v>
      </c>
      <c r="AU18" s="28">
        <f>Grupo!AU18</f>
        <v>2</v>
      </c>
      <c r="AV18" s="28">
        <f>Grupo!AV18</f>
        <v>1</v>
      </c>
      <c r="AW18" s="28">
        <f>Grupo!AW18</f>
        <v>0</v>
      </c>
      <c r="AX18" s="28">
        <f>Grupo!AX18</f>
        <v>2</v>
      </c>
      <c r="AY18" s="28">
        <f>Grupo!AY18</f>
        <v>1</v>
      </c>
      <c r="AZ18" s="28">
        <f>Grupo!AZ18</f>
        <v>1</v>
      </c>
      <c r="BA18" s="28">
        <f>Grupo!BA18</f>
        <v>3</v>
      </c>
      <c r="BB18" s="28">
        <f>Grupo!BB18</f>
        <v>2</v>
      </c>
      <c r="BC18" s="28">
        <f>Grupo!BC18</f>
        <v>0</v>
      </c>
      <c r="BD18" s="28">
        <f>Grupo!BD18</f>
        <v>3</v>
      </c>
      <c r="BE18" s="28">
        <f>Grupo!BE18</f>
        <v>0</v>
      </c>
      <c r="BF18" s="28">
        <f>Grupo!BF18</f>
        <v>3</v>
      </c>
      <c r="BG18" s="28">
        <f>Grupo!BG18</f>
        <v>3</v>
      </c>
      <c r="BH18" s="28">
        <f>Grupo!BH18</f>
        <v>1</v>
      </c>
      <c r="BI18" s="28">
        <f>Grupo!BI18</f>
        <v>3</v>
      </c>
      <c r="BJ18" s="28">
        <f>Grupo!BJ18</f>
        <v>1</v>
      </c>
      <c r="BK18" s="28">
        <f>Grupo!BK18</f>
        <v>2</v>
      </c>
      <c r="BL18" s="28">
        <f>Grupo!BL18</f>
        <v>0</v>
      </c>
      <c r="BM18" s="28">
        <f>Grupo!BM18</f>
        <v>3</v>
      </c>
      <c r="BN18" s="28">
        <f>Grupo!BN18</f>
        <v>2</v>
      </c>
      <c r="BO18" s="28">
        <f>Grupo!BO18</f>
        <v>1</v>
      </c>
      <c r="BP18" s="28">
        <f>Grupo!BP18</f>
        <v>4</v>
      </c>
      <c r="BQ18" s="28">
        <f>Grupo!BQ18</f>
        <v>0</v>
      </c>
      <c r="BR18" s="28">
        <f>Grupo!BR18</f>
        <v>0</v>
      </c>
      <c r="BS18" s="28">
        <f>Grupo!BS18</f>
        <v>5</v>
      </c>
      <c r="BT18" s="28">
        <f>Grupo!BT18</f>
        <v>2</v>
      </c>
      <c r="BU18" s="28">
        <f>Grupo!BU18</f>
        <v>0</v>
      </c>
      <c r="BV18" s="28">
        <f>Grupo!BV18</f>
        <v>1</v>
      </c>
      <c r="BW18" s="28">
        <f>Grupo!BW18</f>
        <v>1</v>
      </c>
      <c r="BX18" s="28">
        <f>Grupo!BX18</f>
        <v>3</v>
      </c>
      <c r="BY18" s="28">
        <f>Grupo!BY18</f>
        <v>4</v>
      </c>
      <c r="BZ18" s="28">
        <f>Grupo!BZ18</f>
        <v>1</v>
      </c>
      <c r="CA18" s="28">
        <f>Grupo!CA18</f>
        <v>3</v>
      </c>
      <c r="CB18" s="28">
        <f>Grupo!CB18</f>
        <v>2</v>
      </c>
      <c r="CC18" s="28">
        <f>Grupo!CC18</f>
        <v>1</v>
      </c>
      <c r="CD18" s="28">
        <f>Grupo!CD18</f>
        <v>1</v>
      </c>
      <c r="CE18" s="28">
        <f>Grupo!CE18</f>
        <v>1</v>
      </c>
      <c r="CF18" s="28">
        <f>Grupo!CF18</f>
        <v>2</v>
      </c>
      <c r="CG18" s="28">
        <f>Grupo!CG18</f>
        <v>0</v>
      </c>
      <c r="CH18" s="28">
        <f>Grupo!CH18</f>
        <v>3</v>
      </c>
      <c r="CI18" s="28">
        <f>Grupo!CI18</f>
        <v>1</v>
      </c>
      <c r="CJ18" s="28">
        <f>Grupo!CJ18</f>
        <v>1</v>
      </c>
      <c r="CK18" s="28">
        <f>Grupo!CK18</f>
        <v>4</v>
      </c>
      <c r="CL18" s="28">
        <f>Grupo!CL18</f>
        <v>2</v>
      </c>
      <c r="CM18" s="28">
        <f>Grupo!CM18</f>
        <v>0</v>
      </c>
      <c r="CN18" s="28">
        <f>Grupo!CN18</f>
        <v>5</v>
      </c>
      <c r="CO18" s="28">
        <f>Grupo!CO18</f>
        <v>2</v>
      </c>
      <c r="CP18" s="28">
        <f>Grupo!CP18</f>
        <v>0</v>
      </c>
      <c r="CQ18" s="28">
        <f>Grupo!CQ18</f>
        <v>3</v>
      </c>
      <c r="CR18" s="28">
        <f>Grupo!CR18</f>
        <v>2</v>
      </c>
      <c r="CS18" s="28">
        <f>Grupo!CS18</f>
        <v>1</v>
      </c>
      <c r="CT18" s="28">
        <f>Grupo!CT18</f>
        <v>0</v>
      </c>
      <c r="CU18" s="28">
        <f>Grupo!CU18</f>
        <v>2</v>
      </c>
      <c r="CV18" s="28">
        <f>Grupo!CV18</f>
        <v>0</v>
      </c>
      <c r="CW18" s="28">
        <f>Grupo!CW18</f>
        <v>2</v>
      </c>
      <c r="CX18" s="28">
        <f>Grupo!CX18</f>
        <v>3</v>
      </c>
      <c r="CY18" s="28">
        <f>Grupo!CY18</f>
        <v>0</v>
      </c>
      <c r="CZ18" s="28">
        <f>Grupo!CZ18</f>
        <v>1</v>
      </c>
      <c r="DA18" s="28">
        <f>Grupo!DA18</f>
        <v>2</v>
      </c>
      <c r="DB18" s="28">
        <f>Grupo!DB18</f>
        <v>0</v>
      </c>
      <c r="DC18" s="28">
        <f>Grupo!DC18</f>
        <v>1</v>
      </c>
      <c r="DD18" s="28">
        <f>Grupo!DD18</f>
        <v>5</v>
      </c>
      <c r="DE18" s="28">
        <f>Grupo!DE18</f>
        <v>1</v>
      </c>
      <c r="DF18" s="28">
        <f>Grupo!DF18</f>
        <v>2</v>
      </c>
      <c r="DG18" s="28">
        <f>Grupo!DG18</f>
        <v>4</v>
      </c>
      <c r="DH18" s="28">
        <f>Grupo!DH18</f>
        <v>0</v>
      </c>
      <c r="DI18" s="28">
        <f>Grupo!DI18</f>
        <v>3</v>
      </c>
      <c r="DJ18" s="28">
        <f>Grupo!DJ18</f>
        <v>2</v>
      </c>
      <c r="DK18" s="28">
        <f>Grupo!DK18</f>
        <v>1</v>
      </c>
      <c r="DL18" s="28">
        <f>Grupo!DL18</f>
        <v>2</v>
      </c>
      <c r="DM18" s="28">
        <f>Grupo!DM18</f>
        <v>1</v>
      </c>
      <c r="DN18" s="28">
        <f>Grupo!DN18</f>
        <v>0</v>
      </c>
      <c r="DO18" s="28">
        <f>Grupo!DO18</f>
        <v>1</v>
      </c>
      <c r="DP18" s="28">
        <f>Grupo!DP18</f>
        <v>0</v>
      </c>
      <c r="DQ18" s="28">
        <f>Grupo!DQ18</f>
        <v>0</v>
      </c>
      <c r="DR18" s="28">
        <f>Grupo!DR18</f>
        <v>2</v>
      </c>
      <c r="DS18" s="28">
        <f>Grupo!DS18</f>
        <v>1</v>
      </c>
      <c r="DT18" s="28">
        <f>Grupo!DT18</f>
        <v>1</v>
      </c>
      <c r="DU18" s="28">
        <f>Grupo!DU18</f>
        <v>3</v>
      </c>
      <c r="DV18" s="28">
        <f>Grupo!DV18</f>
        <v>3</v>
      </c>
      <c r="DW18" s="28">
        <f>Grupo!DW18</f>
        <v>0</v>
      </c>
      <c r="DX18" s="28">
        <f>Grupo!DX18</f>
        <v>2</v>
      </c>
      <c r="DY18" s="28">
        <f>Grupo!DY18</f>
        <v>2</v>
      </c>
      <c r="DZ18" s="28">
        <f>Grupo!DZ18</f>
        <v>0</v>
      </c>
      <c r="EA18" s="70">
        <f>Grupo!EA18</f>
        <v>1</v>
      </c>
      <c r="EB18" s="70">
        <f>Grupo!EB18</f>
        <v>3</v>
      </c>
      <c r="EC18" s="70">
        <f>Grupo!EC18</f>
        <v>1</v>
      </c>
      <c r="ED18" s="70">
        <f>Grupo!ED18</f>
        <v>2</v>
      </c>
      <c r="EE18" s="70">
        <f>Grupo!EE18</f>
        <v>2</v>
      </c>
      <c r="EF18" s="70">
        <f>Grupo!EF18</f>
        <v>1</v>
      </c>
      <c r="EG18" s="70">
        <f>Grupo!EG18</f>
        <v>3</v>
      </c>
      <c r="EH18" s="70">
        <f>Grupo!EH18</f>
        <v>3</v>
      </c>
      <c r="EI18" s="70">
        <f>Grupo!EI18</f>
        <v>0</v>
      </c>
      <c r="EJ18" s="70">
        <f>Grupo!EJ18</f>
        <v>0</v>
      </c>
      <c r="EK18" s="70">
        <f>Grupo!EK18</f>
        <v>0</v>
      </c>
      <c r="EL18" s="70">
        <f>Grupo!EL18</f>
        <v>0</v>
      </c>
      <c r="EM18" s="70">
        <f>Grupo!EM18</f>
        <v>2</v>
      </c>
      <c r="EN18" s="70">
        <f>Grupo!EN18</f>
        <v>1</v>
      </c>
      <c r="EO18" s="70">
        <f>Grupo!EO18</f>
        <v>1</v>
      </c>
      <c r="EP18" s="78">
        <f>Grupo!EP18</f>
        <v>1</v>
      </c>
      <c r="EQ18" s="78">
        <f>Grupo!EQ18</f>
        <v>3</v>
      </c>
      <c r="ER18" s="78">
        <f>Grupo!ER18</f>
        <v>1</v>
      </c>
      <c r="ES18" s="78">
        <f>Grupo!ES18</f>
        <v>2</v>
      </c>
      <c r="ET18" s="78">
        <f>Grupo!ET18</f>
        <v>0</v>
      </c>
      <c r="EU18" s="78">
        <f>Grupo!EU18</f>
        <v>1</v>
      </c>
      <c r="EV18" s="78">
        <f>Grupo!EV18</f>
        <v>1</v>
      </c>
      <c r="EW18" s="78">
        <f>Grupo!EW18</f>
        <v>1</v>
      </c>
      <c r="EX18" s="78">
        <f>Grupo!EX18</f>
        <v>0</v>
      </c>
      <c r="EY18" s="78">
        <f>Grupo!EY18</f>
        <v>2</v>
      </c>
      <c r="EZ18" s="78">
        <f>Grupo!EZ18</f>
        <v>1</v>
      </c>
      <c r="FA18" s="78">
        <f>Grupo!FA18</f>
        <v>1</v>
      </c>
      <c r="FB18" s="78">
        <f>Grupo!FB18</f>
        <v>1</v>
      </c>
      <c r="FC18" s="78">
        <f>Grupo!FC18</f>
        <v>2</v>
      </c>
      <c r="FD18" s="78">
        <f>Grupo!FD18</f>
        <v>1</v>
      </c>
      <c r="FE18" s="78">
        <f>Grupo!FE18</f>
        <v>2</v>
      </c>
      <c r="FF18" s="78">
        <f>Grupo!FF18</f>
        <v>2</v>
      </c>
      <c r="FG18" s="78">
        <f>Grupo!FG18</f>
        <v>0</v>
      </c>
      <c r="FH18" s="78">
        <f>Grupo!FH18</f>
        <v>1</v>
      </c>
      <c r="FI18" s="78">
        <f>Grupo!FI18</f>
        <v>2</v>
      </c>
      <c r="FJ18" s="78">
        <f>Grupo!FJ18</f>
        <v>1</v>
      </c>
      <c r="FK18" s="78">
        <f>Grupo!FK18</f>
        <v>1</v>
      </c>
      <c r="FL18" s="78">
        <f>Grupo!FL18</f>
        <v>2</v>
      </c>
      <c r="FM18" s="78">
        <f>Grupo!FM18</f>
        <v>0</v>
      </c>
      <c r="FN18" s="78">
        <f>Grupo!FN18</f>
        <v>1</v>
      </c>
      <c r="FO18" s="78">
        <f>Grupo!FO18</f>
        <v>1</v>
      </c>
      <c r="FP18" s="78">
        <f>Grupo!FP18</f>
        <v>3</v>
      </c>
      <c r="FQ18" s="78">
        <f>Grupo!FQ18</f>
        <v>0</v>
      </c>
      <c r="FR18" s="78">
        <f>Grupo!FR18</f>
        <v>2</v>
      </c>
      <c r="FS18" s="78">
        <f>Grupo!FS18</f>
        <v>1</v>
      </c>
      <c r="FT18" s="78">
        <f>Grupo!FT18</f>
        <v>1</v>
      </c>
      <c r="FU18" s="78">
        <f>Grupo!FU18</f>
        <v>1</v>
      </c>
      <c r="FV18" s="78">
        <f>Grupo!FV18</f>
        <v>0</v>
      </c>
      <c r="FW18" s="78">
        <f>Grupo!FW18</f>
        <v>1</v>
      </c>
      <c r="FX18" s="78">
        <f>Grupo!FX18</f>
        <v>1</v>
      </c>
      <c r="FY18" s="78">
        <f>Grupo!FY18</f>
        <v>1</v>
      </c>
      <c r="FZ18" s="78">
        <f>Grupo!FZ18</f>
        <v>1</v>
      </c>
      <c r="GA18" s="78">
        <f>Grupo!GA18</f>
        <v>2</v>
      </c>
      <c r="GB18" s="78">
        <f>Grupo!GB18</f>
        <v>1</v>
      </c>
      <c r="GC18" s="78">
        <f>Grupo!GC18</f>
        <v>2</v>
      </c>
      <c r="GD18" s="78">
        <f>Grupo!GD18</f>
        <v>0</v>
      </c>
      <c r="GE18" s="78">
        <f>Grupo!GE18</f>
        <v>1</v>
      </c>
      <c r="GF18" s="78">
        <f>Grupo!GF18</f>
        <v>1</v>
      </c>
      <c r="GG18" s="78">
        <f>Grupo!GG18</f>
        <v>1</v>
      </c>
      <c r="GH18" s="78">
        <f>Grupo!GH18</f>
        <v>3</v>
      </c>
      <c r="GI18" s="78">
        <f>Grupo!GI18</f>
        <v>0</v>
      </c>
      <c r="GJ18" s="78">
        <f>Grupo!GJ18</f>
        <v>2</v>
      </c>
      <c r="GK18" s="78">
        <f>Grupo!GK18</f>
        <v>1</v>
      </c>
      <c r="GL18" s="78">
        <f>Grupo!GL18</f>
        <v>1</v>
      </c>
      <c r="GM18" s="78">
        <f>Grupo!GM18</f>
        <v>2</v>
      </c>
      <c r="GN18" s="78">
        <f>Grupo!GN18</f>
        <v>0</v>
      </c>
      <c r="GO18" s="78">
        <f>Grupo!GO18</f>
        <v>1</v>
      </c>
      <c r="GP18" s="78">
        <f>Grupo!GP18</f>
        <v>1</v>
      </c>
      <c r="GQ18" s="78">
        <f>Grupo!GQ18</f>
        <v>0</v>
      </c>
      <c r="GR18" s="79">
        <f>Grupo!GR18</f>
        <v>1</v>
      </c>
      <c r="GS18" s="79">
        <f>Grupo!GS18</f>
        <v>3</v>
      </c>
      <c r="GT18" s="79" t="str">
        <f>Grupo!GT18</f>
        <v/>
      </c>
      <c r="GU18" s="79">
        <f>Grupo!GU18</f>
        <v>3</v>
      </c>
      <c r="GV18" s="79">
        <f>Grupo!GV18</f>
        <v>1</v>
      </c>
      <c r="GW18" s="79" t="str">
        <f>Grupo!GW18</f>
        <v/>
      </c>
      <c r="GX18" s="76">
        <f>Grupo!GX18</f>
        <v>1</v>
      </c>
      <c r="GY18" s="76">
        <f>Grupo!GY18</f>
        <v>1</v>
      </c>
      <c r="GZ18" s="76" t="str">
        <f>Grupo!GZ18</f>
        <v/>
      </c>
      <c r="HA18" s="76">
        <f>Grupo!HA18</f>
        <v>0</v>
      </c>
      <c r="HB18" s="76">
        <f>Grupo!HB18</f>
        <v>2</v>
      </c>
      <c r="HC18" s="76" t="str">
        <f>Grupo!HC18</f>
        <v/>
      </c>
      <c r="HD18" s="76">
        <f>Grupo!HD18</f>
        <v>1</v>
      </c>
      <c r="HE18" s="76">
        <f>Grupo!HE18</f>
        <v>2</v>
      </c>
      <c r="HF18" s="76" t="str">
        <f>Grupo!HF18</f>
        <v/>
      </c>
      <c r="HG18" s="76">
        <f>Grupo!HG18</f>
        <v>1</v>
      </c>
      <c r="HH18" s="76">
        <f>Grupo!HH18</f>
        <v>1</v>
      </c>
      <c r="HI18" s="76" t="str">
        <f>Grupo!HI18</f>
        <v/>
      </c>
      <c r="HJ18" s="32">
        <f>Grupo!HJ18</f>
        <v>48</v>
      </c>
      <c r="HK18" s="25" t="s">
        <v>40</v>
      </c>
    </row>
    <row r="19" spans="1:219" ht="20.25" customHeight="1" thickBot="1" x14ac:dyDescent="0.35">
      <c r="A19" s="34" t="str">
        <f>Grupo!A19</f>
        <v>Jose C 1</v>
      </c>
      <c r="B19" s="28">
        <f>Grupo!B19</f>
        <v>0</v>
      </c>
      <c r="C19" s="28">
        <f>Grupo!C19</f>
        <v>1</v>
      </c>
      <c r="D19" s="28">
        <f>Grupo!D19</f>
        <v>0</v>
      </c>
      <c r="E19" s="28">
        <f>Grupo!E19</f>
        <v>1</v>
      </c>
      <c r="F19" s="28">
        <f>Grupo!F19</f>
        <v>1</v>
      </c>
      <c r="G19" s="28">
        <f>Grupo!G19</f>
        <v>0</v>
      </c>
      <c r="H19" s="28">
        <f>Grupo!H19</f>
        <v>2</v>
      </c>
      <c r="I19" s="28">
        <f>Grupo!I19</f>
        <v>1</v>
      </c>
      <c r="J19" s="28">
        <f>Grupo!J19</f>
        <v>0</v>
      </c>
      <c r="K19" s="28">
        <f>Grupo!K19</f>
        <v>2</v>
      </c>
      <c r="L19" s="28">
        <f>Grupo!L19</f>
        <v>2</v>
      </c>
      <c r="M19" s="28">
        <f>Grupo!M19</f>
        <v>0</v>
      </c>
      <c r="N19" s="28">
        <f>Grupo!N19</f>
        <v>1</v>
      </c>
      <c r="O19" s="28">
        <f>Grupo!O19</f>
        <v>0</v>
      </c>
      <c r="P19" s="28">
        <f>Grupo!P19</f>
        <v>0</v>
      </c>
      <c r="Q19" s="28">
        <f>Grupo!Q19</f>
        <v>0</v>
      </c>
      <c r="R19" s="28">
        <f>Grupo!R19</f>
        <v>2</v>
      </c>
      <c r="S19" s="28">
        <f>Grupo!S19</f>
        <v>0</v>
      </c>
      <c r="T19" s="28">
        <f>Grupo!T19</f>
        <v>3</v>
      </c>
      <c r="U19" s="28">
        <f>Grupo!U19</f>
        <v>2</v>
      </c>
      <c r="V19" s="28">
        <f>Grupo!V19</f>
        <v>0</v>
      </c>
      <c r="W19" s="28">
        <f>Grupo!W19</f>
        <v>0</v>
      </c>
      <c r="X19" s="28">
        <f>Grupo!X19</f>
        <v>2</v>
      </c>
      <c r="Y19" s="28">
        <f>Grupo!Y19</f>
        <v>0</v>
      </c>
      <c r="Z19" s="28">
        <f>Grupo!Z19</f>
        <v>1</v>
      </c>
      <c r="AA19" s="28">
        <f>Grupo!AA19</f>
        <v>1</v>
      </c>
      <c r="AB19" s="28">
        <f>Grupo!AB19</f>
        <v>0</v>
      </c>
      <c r="AC19" s="28">
        <f>Grupo!AC19</f>
        <v>3</v>
      </c>
      <c r="AD19" s="28">
        <f>Grupo!AD19</f>
        <v>0</v>
      </c>
      <c r="AE19" s="28">
        <f>Grupo!AE19</f>
        <v>1</v>
      </c>
      <c r="AF19" s="28">
        <f>Grupo!AF19</f>
        <v>2</v>
      </c>
      <c r="AG19" s="28">
        <f>Grupo!AG19</f>
        <v>1</v>
      </c>
      <c r="AH19" s="28">
        <f>Grupo!AH19</f>
        <v>0</v>
      </c>
      <c r="AI19" s="28">
        <f>Grupo!AI19</f>
        <v>2</v>
      </c>
      <c r="AJ19" s="28">
        <f>Grupo!AJ19</f>
        <v>0</v>
      </c>
      <c r="AK19" s="28">
        <f>Grupo!AK19</f>
        <v>1</v>
      </c>
      <c r="AL19" s="28">
        <f>Grupo!AL19</f>
        <v>0</v>
      </c>
      <c r="AM19" s="28">
        <f>Grupo!AM19</f>
        <v>2</v>
      </c>
      <c r="AN19" s="28">
        <f>Grupo!AN19</f>
        <v>0</v>
      </c>
      <c r="AO19" s="28">
        <f>Grupo!AO19</f>
        <v>3</v>
      </c>
      <c r="AP19" s="28">
        <f>Grupo!AP19</f>
        <v>0</v>
      </c>
      <c r="AQ19" s="28">
        <f>Grupo!AQ19</f>
        <v>0</v>
      </c>
      <c r="AR19" s="28">
        <f>Grupo!AR19</f>
        <v>1</v>
      </c>
      <c r="AS19" s="28">
        <f>Grupo!AS19</f>
        <v>0</v>
      </c>
      <c r="AT19" s="28">
        <f>Grupo!AT19</f>
        <v>0</v>
      </c>
      <c r="AU19" s="28">
        <f>Grupo!AU19</f>
        <v>2</v>
      </c>
      <c r="AV19" s="28">
        <f>Grupo!AV19</f>
        <v>1</v>
      </c>
      <c r="AW19" s="28">
        <f>Grupo!AW19</f>
        <v>0</v>
      </c>
      <c r="AX19" s="28">
        <f>Grupo!AX19</f>
        <v>3</v>
      </c>
      <c r="AY19" s="28">
        <f>Grupo!AY19</f>
        <v>1</v>
      </c>
      <c r="AZ19" s="28">
        <f>Grupo!AZ19</f>
        <v>3</v>
      </c>
      <c r="BA19" s="28">
        <f>Grupo!BA19</f>
        <v>0</v>
      </c>
      <c r="BB19" s="28">
        <f>Grupo!BB19</f>
        <v>3</v>
      </c>
      <c r="BC19" s="28">
        <f>Grupo!BC19</f>
        <v>1</v>
      </c>
      <c r="BD19" s="28">
        <f>Grupo!BD19</f>
        <v>2</v>
      </c>
      <c r="BE19" s="28">
        <f>Grupo!BE19</f>
        <v>0</v>
      </c>
      <c r="BF19" s="28">
        <f>Grupo!BF19</f>
        <v>1</v>
      </c>
      <c r="BG19" s="28">
        <f>Grupo!BG19</f>
        <v>2</v>
      </c>
      <c r="BH19" s="28">
        <f>Grupo!BH19</f>
        <v>0</v>
      </c>
      <c r="BI19" s="28">
        <f>Grupo!BI19</f>
        <v>1</v>
      </c>
      <c r="BJ19" s="28">
        <f>Grupo!BJ19</f>
        <v>2</v>
      </c>
      <c r="BK19" s="28">
        <f>Grupo!BK19</f>
        <v>1</v>
      </c>
      <c r="BL19" s="28">
        <f>Grupo!BL19</f>
        <v>1</v>
      </c>
      <c r="BM19" s="28">
        <f>Grupo!BM19</f>
        <v>3</v>
      </c>
      <c r="BN19" s="28">
        <f>Grupo!BN19</f>
        <v>1</v>
      </c>
      <c r="BO19" s="28">
        <f>Grupo!BO19</f>
        <v>1</v>
      </c>
      <c r="BP19" s="28">
        <f>Grupo!BP19</f>
        <v>3</v>
      </c>
      <c r="BQ19" s="28">
        <f>Grupo!BQ19</f>
        <v>0</v>
      </c>
      <c r="BR19" s="28">
        <f>Grupo!BR19</f>
        <v>0</v>
      </c>
      <c r="BS19" s="28">
        <f>Grupo!BS19</f>
        <v>0</v>
      </c>
      <c r="BT19" s="28">
        <f>Grupo!BT19</f>
        <v>3</v>
      </c>
      <c r="BU19" s="28">
        <f>Grupo!BU19</f>
        <v>1</v>
      </c>
      <c r="BV19" s="28">
        <f>Grupo!BV19</f>
        <v>1</v>
      </c>
      <c r="BW19" s="28">
        <f>Grupo!BW19</f>
        <v>0</v>
      </c>
      <c r="BX19" s="28">
        <f>Grupo!BX19</f>
        <v>0</v>
      </c>
      <c r="BY19" s="28">
        <f>Grupo!BY19</f>
        <v>2</v>
      </c>
      <c r="BZ19" s="28">
        <f>Grupo!BZ19</f>
        <v>1</v>
      </c>
      <c r="CA19" s="28">
        <f>Grupo!CA19</f>
        <v>1</v>
      </c>
      <c r="CB19" s="28">
        <f>Grupo!CB19</f>
        <v>3</v>
      </c>
      <c r="CC19" s="28">
        <f>Grupo!CC19</f>
        <v>0</v>
      </c>
      <c r="CD19" s="28">
        <f>Grupo!CD19</f>
        <v>1</v>
      </c>
      <c r="CE19" s="28">
        <f>Grupo!CE19</f>
        <v>2</v>
      </c>
      <c r="CF19" s="28">
        <f>Grupo!CF19</f>
        <v>2</v>
      </c>
      <c r="CG19" s="28">
        <f>Grupo!CG19</f>
        <v>0</v>
      </c>
      <c r="CH19" s="28">
        <f>Grupo!CH19</f>
        <v>2</v>
      </c>
      <c r="CI19" s="28">
        <f>Grupo!CI19</f>
        <v>1</v>
      </c>
      <c r="CJ19" s="28">
        <f>Grupo!CJ19</f>
        <v>1</v>
      </c>
      <c r="CK19" s="28">
        <f>Grupo!CK19</f>
        <v>0</v>
      </c>
      <c r="CL19" s="28">
        <f>Grupo!CL19</f>
        <v>3</v>
      </c>
      <c r="CM19" s="28">
        <f>Grupo!CM19</f>
        <v>1</v>
      </c>
      <c r="CN19" s="28">
        <f>Grupo!CN19</f>
        <v>0</v>
      </c>
      <c r="CO19" s="28">
        <f>Grupo!CO19</f>
        <v>0</v>
      </c>
      <c r="CP19" s="28">
        <f>Grupo!CP19</f>
        <v>0</v>
      </c>
      <c r="CQ19" s="28">
        <f>Grupo!CQ19</f>
        <v>2</v>
      </c>
      <c r="CR19" s="28">
        <f>Grupo!CR19</f>
        <v>1</v>
      </c>
      <c r="CS19" s="28">
        <f>Grupo!CS19</f>
        <v>1</v>
      </c>
      <c r="CT19" s="28">
        <f>Grupo!CT19</f>
        <v>3</v>
      </c>
      <c r="CU19" s="28">
        <f>Grupo!CU19</f>
        <v>1</v>
      </c>
      <c r="CV19" s="28">
        <f>Grupo!CV19</f>
        <v>1</v>
      </c>
      <c r="CW19" s="28">
        <f>Grupo!CW19</f>
        <v>1</v>
      </c>
      <c r="CX19" s="28">
        <f>Grupo!CX19</f>
        <v>1</v>
      </c>
      <c r="CY19" s="28">
        <f>Grupo!CY19</f>
        <v>1</v>
      </c>
      <c r="CZ19" s="28">
        <f>Grupo!CZ19</f>
        <v>2</v>
      </c>
      <c r="DA19" s="28">
        <f>Grupo!DA19</f>
        <v>2</v>
      </c>
      <c r="DB19" s="28">
        <f>Grupo!DB19</f>
        <v>0</v>
      </c>
      <c r="DC19" s="28">
        <f>Grupo!DC19</f>
        <v>0</v>
      </c>
      <c r="DD19" s="28">
        <f>Grupo!DD19</f>
        <v>3</v>
      </c>
      <c r="DE19" s="28">
        <f>Grupo!DE19</f>
        <v>1</v>
      </c>
      <c r="DF19" s="28">
        <f>Grupo!DF19</f>
        <v>3</v>
      </c>
      <c r="DG19" s="28">
        <f>Grupo!DG19</f>
        <v>0</v>
      </c>
      <c r="DH19" s="28">
        <f>Grupo!DH19</f>
        <v>0</v>
      </c>
      <c r="DI19" s="28">
        <f>Grupo!DI19</f>
        <v>4</v>
      </c>
      <c r="DJ19" s="28">
        <f>Grupo!DJ19</f>
        <v>0</v>
      </c>
      <c r="DK19" s="28">
        <f>Grupo!DK19</f>
        <v>3</v>
      </c>
      <c r="DL19" s="28">
        <f>Grupo!DL19</f>
        <v>3</v>
      </c>
      <c r="DM19" s="28">
        <f>Grupo!DM19</f>
        <v>0</v>
      </c>
      <c r="DN19" s="28">
        <f>Grupo!DN19</f>
        <v>0</v>
      </c>
      <c r="DO19" s="28">
        <f>Grupo!DO19</f>
        <v>0</v>
      </c>
      <c r="DP19" s="28">
        <f>Grupo!DP19</f>
        <v>2</v>
      </c>
      <c r="DQ19" s="28">
        <f>Grupo!DQ19</f>
        <v>1</v>
      </c>
      <c r="DR19" s="28">
        <f>Grupo!DR19</f>
        <v>3</v>
      </c>
      <c r="DS19" s="28">
        <f>Grupo!DS19</f>
        <v>1</v>
      </c>
      <c r="DT19" s="28">
        <f>Grupo!DT19</f>
        <v>1</v>
      </c>
      <c r="DU19" s="28">
        <f>Grupo!DU19</f>
        <v>5</v>
      </c>
      <c r="DV19" s="28">
        <f>Grupo!DV19</f>
        <v>0</v>
      </c>
      <c r="DW19" s="28">
        <f>Grupo!DW19</f>
        <v>1</v>
      </c>
      <c r="DX19" s="28">
        <f>Grupo!DX19</f>
        <v>2</v>
      </c>
      <c r="DY19" s="28">
        <f>Grupo!DY19</f>
        <v>1</v>
      </c>
      <c r="DZ19" s="28">
        <f>Grupo!DZ19</f>
        <v>1</v>
      </c>
      <c r="EA19" s="70">
        <f>Grupo!EA19</f>
        <v>0</v>
      </c>
      <c r="EB19" s="70">
        <f>Grupo!EB19</f>
        <v>0</v>
      </c>
      <c r="EC19" s="70">
        <f>Grupo!EC19</f>
        <v>0</v>
      </c>
      <c r="ED19" s="70">
        <f>Grupo!ED19</f>
        <v>3</v>
      </c>
      <c r="EE19" s="70">
        <f>Grupo!EE19</f>
        <v>1</v>
      </c>
      <c r="EF19" s="70">
        <f>Grupo!EF19</f>
        <v>0</v>
      </c>
      <c r="EG19" s="70">
        <f>Grupo!EG19</f>
        <v>1</v>
      </c>
      <c r="EH19" s="70">
        <f>Grupo!EH19</f>
        <v>4</v>
      </c>
      <c r="EI19" s="70">
        <f>Grupo!EI19</f>
        <v>1</v>
      </c>
      <c r="EJ19" s="70">
        <f>Grupo!EJ19</f>
        <v>5</v>
      </c>
      <c r="EK19" s="70">
        <f>Grupo!EK19</f>
        <v>0</v>
      </c>
      <c r="EL19" s="70">
        <f>Grupo!EL19</f>
        <v>3</v>
      </c>
      <c r="EM19" s="70">
        <f>Grupo!EM19</f>
        <v>2</v>
      </c>
      <c r="EN19" s="70">
        <f>Grupo!EN19</f>
        <v>0</v>
      </c>
      <c r="EO19" s="70">
        <f>Grupo!EO19</f>
        <v>1</v>
      </c>
      <c r="EP19" s="78">
        <f>Grupo!EP19</f>
        <v>0</v>
      </c>
      <c r="EQ19" s="78">
        <f>Grupo!EQ19</f>
        <v>4</v>
      </c>
      <c r="ER19" s="78">
        <f>Grupo!ER19</f>
        <v>1</v>
      </c>
      <c r="ES19" s="78">
        <f>Grupo!ES19</f>
        <v>4</v>
      </c>
      <c r="ET19" s="78">
        <f>Grupo!ET19</f>
        <v>2</v>
      </c>
      <c r="EU19" s="78">
        <f>Grupo!EU19</f>
        <v>3</v>
      </c>
      <c r="EV19" s="78">
        <f>Grupo!EV19</f>
        <v>1</v>
      </c>
      <c r="EW19" s="78">
        <f>Grupo!EW19</f>
        <v>3</v>
      </c>
      <c r="EX19" s="78">
        <f>Grupo!EX19</f>
        <v>0</v>
      </c>
      <c r="EY19" s="78">
        <f>Grupo!EY19</f>
        <v>2</v>
      </c>
      <c r="EZ19" s="78">
        <f>Grupo!EZ19</f>
        <v>1</v>
      </c>
      <c r="FA19" s="78">
        <f>Grupo!FA19</f>
        <v>1</v>
      </c>
      <c r="FB19" s="78">
        <f>Grupo!FB19</f>
        <v>2</v>
      </c>
      <c r="FC19" s="78">
        <f>Grupo!FC19</f>
        <v>1</v>
      </c>
      <c r="FD19" s="78">
        <f>Grupo!FD19</f>
        <v>0</v>
      </c>
      <c r="FE19" s="78">
        <f>Grupo!FE19</f>
        <v>1</v>
      </c>
      <c r="FF19" s="78">
        <f>Grupo!FF19</f>
        <v>2</v>
      </c>
      <c r="FG19" s="78">
        <f>Grupo!FG19</f>
        <v>0</v>
      </c>
      <c r="FH19" s="78">
        <f>Grupo!FH19</f>
        <v>1</v>
      </c>
      <c r="FI19" s="78">
        <f>Grupo!FI19</f>
        <v>2</v>
      </c>
      <c r="FJ19" s="78">
        <f>Grupo!FJ19</f>
        <v>1</v>
      </c>
      <c r="FK19" s="78">
        <f>Grupo!FK19</f>
        <v>1</v>
      </c>
      <c r="FL19" s="78">
        <f>Grupo!FL19</f>
        <v>4</v>
      </c>
      <c r="FM19" s="78">
        <f>Grupo!FM19</f>
        <v>0</v>
      </c>
      <c r="FN19" s="78">
        <f>Grupo!FN19</f>
        <v>2</v>
      </c>
      <c r="FO19" s="78">
        <f>Grupo!FO19</f>
        <v>2</v>
      </c>
      <c r="FP19" s="78">
        <f>Grupo!FP19</f>
        <v>1</v>
      </c>
      <c r="FQ19" s="78">
        <f>Grupo!FQ19</f>
        <v>0</v>
      </c>
      <c r="FR19" s="78">
        <f>Grupo!FR19</f>
        <v>3</v>
      </c>
      <c r="FS19" s="78">
        <f>Grupo!FS19</f>
        <v>1</v>
      </c>
      <c r="FT19" s="78">
        <f>Grupo!FT19</f>
        <v>1</v>
      </c>
      <c r="FU19" s="78">
        <f>Grupo!FU19</f>
        <v>2</v>
      </c>
      <c r="FV19" s="78">
        <f>Grupo!FV19</f>
        <v>0</v>
      </c>
      <c r="FW19" s="78">
        <f>Grupo!FW19</f>
        <v>1</v>
      </c>
      <c r="FX19" s="78">
        <f>Grupo!FX19</f>
        <v>0</v>
      </c>
      <c r="FY19" s="78">
        <f>Grupo!FY19</f>
        <v>0</v>
      </c>
      <c r="FZ19" s="78">
        <f>Grupo!FZ19</f>
        <v>2</v>
      </c>
      <c r="GA19" s="78">
        <f>Grupo!GA19</f>
        <v>3</v>
      </c>
      <c r="GB19" s="78">
        <f>Grupo!GB19</f>
        <v>1</v>
      </c>
      <c r="GC19" s="78">
        <f>Grupo!GC19</f>
        <v>2</v>
      </c>
      <c r="GD19" s="78">
        <f>Grupo!GD19</f>
        <v>0</v>
      </c>
      <c r="GE19" s="78">
        <f>Grupo!GE19</f>
        <v>1</v>
      </c>
      <c r="GF19" s="78">
        <f>Grupo!GF19</f>
        <v>2</v>
      </c>
      <c r="GG19" s="78">
        <f>Grupo!GG19</f>
        <v>0</v>
      </c>
      <c r="GH19" s="78">
        <f>Grupo!GH19</f>
        <v>0</v>
      </c>
      <c r="GI19" s="78">
        <f>Grupo!GI19</f>
        <v>0</v>
      </c>
      <c r="GJ19" s="78">
        <f>Grupo!GJ19</f>
        <v>2</v>
      </c>
      <c r="GK19" s="78">
        <f>Grupo!GK19</f>
        <v>1</v>
      </c>
      <c r="GL19" s="78">
        <f>Grupo!GL19</f>
        <v>0</v>
      </c>
      <c r="GM19" s="78">
        <f>Grupo!GM19</f>
        <v>0</v>
      </c>
      <c r="GN19" s="78">
        <f>Grupo!GN19</f>
        <v>3</v>
      </c>
      <c r="GO19" s="78">
        <f>Grupo!GO19</f>
        <v>1</v>
      </c>
      <c r="GP19" s="78">
        <f>Grupo!GP19</f>
        <v>2</v>
      </c>
      <c r="GQ19" s="78">
        <f>Grupo!GQ19</f>
        <v>1</v>
      </c>
      <c r="GR19" s="79">
        <f>Grupo!GR19</f>
        <v>0</v>
      </c>
      <c r="GS19" s="79">
        <f>Grupo!GS19</f>
        <v>6</v>
      </c>
      <c r="GT19" s="79" t="str">
        <f>Grupo!GT19</f>
        <v/>
      </c>
      <c r="GU19" s="79">
        <f>Grupo!GU19</f>
        <v>2</v>
      </c>
      <c r="GV19" s="79">
        <f>Grupo!GV19</f>
        <v>1</v>
      </c>
      <c r="GW19" s="79" t="str">
        <f>Grupo!GW19</f>
        <v/>
      </c>
      <c r="GX19" s="76">
        <f>Grupo!GX19</f>
        <v>0</v>
      </c>
      <c r="GY19" s="76">
        <f>Grupo!GY19</f>
        <v>2</v>
      </c>
      <c r="GZ19" s="76" t="str">
        <f>Grupo!GZ19</f>
        <v/>
      </c>
      <c r="HA19" s="76">
        <f>Grupo!HA19</f>
        <v>0</v>
      </c>
      <c r="HB19" s="76">
        <f>Grupo!HB19</f>
        <v>3</v>
      </c>
      <c r="HC19" s="76" t="str">
        <f>Grupo!HC19</f>
        <v/>
      </c>
      <c r="HD19" s="76">
        <f>Grupo!HD19</f>
        <v>1</v>
      </c>
      <c r="HE19" s="76">
        <f>Grupo!HE19</f>
        <v>3</v>
      </c>
      <c r="HF19" s="76" t="str">
        <f>Grupo!HF19</f>
        <v/>
      </c>
      <c r="HG19" s="76">
        <f>Grupo!HG19</f>
        <v>1</v>
      </c>
      <c r="HH19" s="76">
        <f>Grupo!HH19</f>
        <v>1</v>
      </c>
      <c r="HI19" s="76" t="str">
        <f>Grupo!HI19</f>
        <v/>
      </c>
      <c r="HJ19" s="32">
        <f>Grupo!HJ19</f>
        <v>46</v>
      </c>
      <c r="HK19" s="25" t="s">
        <v>42</v>
      </c>
    </row>
    <row r="20" spans="1:219" ht="20.25" customHeight="1" thickBot="1" x14ac:dyDescent="0.35">
      <c r="A20" s="34" t="str">
        <f>Grupo!A20</f>
        <v>Jose C 2</v>
      </c>
      <c r="B20" s="28">
        <f>Grupo!B20</f>
        <v>1</v>
      </c>
      <c r="C20" s="28">
        <f>Grupo!C20</f>
        <v>0</v>
      </c>
      <c r="D20" s="28">
        <f>Grupo!D20</f>
        <v>1</v>
      </c>
      <c r="E20" s="28">
        <f>Grupo!E20</f>
        <v>2</v>
      </c>
      <c r="F20" s="28">
        <f>Grupo!F20</f>
        <v>1</v>
      </c>
      <c r="G20" s="28">
        <f>Grupo!G20</f>
        <v>3</v>
      </c>
      <c r="H20" s="28">
        <f>Grupo!H20</f>
        <v>1</v>
      </c>
      <c r="I20" s="28">
        <f>Grupo!I20</f>
        <v>1</v>
      </c>
      <c r="J20" s="28">
        <f>Grupo!J20</f>
        <v>3</v>
      </c>
      <c r="K20" s="28">
        <f>Grupo!K20</f>
        <v>2</v>
      </c>
      <c r="L20" s="28">
        <f>Grupo!L20</f>
        <v>2</v>
      </c>
      <c r="M20" s="28">
        <f>Grupo!M20</f>
        <v>0</v>
      </c>
      <c r="N20" s="28">
        <f>Grupo!N20</f>
        <v>2</v>
      </c>
      <c r="O20" s="28">
        <f>Grupo!O20</f>
        <v>0</v>
      </c>
      <c r="P20" s="28">
        <f>Grupo!P20</f>
        <v>0</v>
      </c>
      <c r="Q20" s="28">
        <f>Grupo!Q20</f>
        <v>1</v>
      </c>
      <c r="R20" s="28">
        <f>Grupo!R20</f>
        <v>2</v>
      </c>
      <c r="S20" s="28">
        <f>Grupo!S20</f>
        <v>0</v>
      </c>
      <c r="T20" s="28">
        <f>Grupo!T20</f>
        <v>1</v>
      </c>
      <c r="U20" s="28">
        <f>Grupo!U20</f>
        <v>2</v>
      </c>
      <c r="V20" s="28">
        <f>Grupo!V20</f>
        <v>0</v>
      </c>
      <c r="W20" s="28">
        <f>Grupo!W20</f>
        <v>1</v>
      </c>
      <c r="X20" s="28">
        <f>Grupo!X20</f>
        <v>1</v>
      </c>
      <c r="Y20" s="28">
        <f>Grupo!Y20</f>
        <v>3</v>
      </c>
      <c r="Z20" s="28">
        <f>Grupo!Z20</f>
        <v>2</v>
      </c>
      <c r="AA20" s="28">
        <f>Grupo!AA20</f>
        <v>1</v>
      </c>
      <c r="AB20" s="28">
        <f>Grupo!AB20</f>
        <v>1</v>
      </c>
      <c r="AC20" s="28">
        <f>Grupo!AC20</f>
        <v>4</v>
      </c>
      <c r="AD20" s="28">
        <f>Grupo!AD20</f>
        <v>1</v>
      </c>
      <c r="AE20" s="28">
        <f>Grupo!AE20</f>
        <v>1</v>
      </c>
      <c r="AF20" s="28">
        <f>Grupo!AF20</f>
        <v>2</v>
      </c>
      <c r="AG20" s="28">
        <f>Grupo!AG20</f>
        <v>2</v>
      </c>
      <c r="AH20" s="28">
        <f>Grupo!AH20</f>
        <v>3</v>
      </c>
      <c r="AI20" s="28">
        <f>Grupo!AI20</f>
        <v>1</v>
      </c>
      <c r="AJ20" s="28">
        <f>Grupo!AJ20</f>
        <v>0</v>
      </c>
      <c r="AK20" s="28">
        <f>Grupo!AK20</f>
        <v>1</v>
      </c>
      <c r="AL20" s="28">
        <f>Grupo!AL20</f>
        <v>0</v>
      </c>
      <c r="AM20" s="28">
        <f>Grupo!AM20</f>
        <v>3</v>
      </c>
      <c r="AN20" s="28">
        <f>Grupo!AN20</f>
        <v>0</v>
      </c>
      <c r="AO20" s="28">
        <f>Grupo!AO20</f>
        <v>5</v>
      </c>
      <c r="AP20" s="28">
        <f>Grupo!AP20</f>
        <v>1</v>
      </c>
      <c r="AQ20" s="28">
        <f>Grupo!AQ20</f>
        <v>0</v>
      </c>
      <c r="AR20" s="28">
        <f>Grupo!AR20</f>
        <v>1</v>
      </c>
      <c r="AS20" s="28">
        <f>Grupo!AS20</f>
        <v>1</v>
      </c>
      <c r="AT20" s="28">
        <f>Grupo!AT20</f>
        <v>1</v>
      </c>
      <c r="AU20" s="28">
        <f>Grupo!AU20</f>
        <v>3</v>
      </c>
      <c r="AV20" s="28">
        <f>Grupo!AV20</f>
        <v>1</v>
      </c>
      <c r="AW20" s="28">
        <f>Grupo!AW20</f>
        <v>0</v>
      </c>
      <c r="AX20" s="28">
        <f>Grupo!AX20</f>
        <v>4</v>
      </c>
      <c r="AY20" s="28">
        <f>Grupo!AY20</f>
        <v>2</v>
      </c>
      <c r="AZ20" s="28">
        <f>Grupo!AZ20</f>
        <v>1</v>
      </c>
      <c r="BA20" s="28">
        <f>Grupo!BA20</f>
        <v>0</v>
      </c>
      <c r="BB20" s="28">
        <f>Grupo!BB20</f>
        <v>4</v>
      </c>
      <c r="BC20" s="28">
        <f>Grupo!BC20</f>
        <v>1</v>
      </c>
      <c r="BD20" s="28">
        <f>Grupo!BD20</f>
        <v>3</v>
      </c>
      <c r="BE20" s="28">
        <f>Grupo!BE20</f>
        <v>0</v>
      </c>
      <c r="BF20" s="28">
        <f>Grupo!BF20</f>
        <v>3</v>
      </c>
      <c r="BG20" s="28">
        <f>Grupo!BG20</f>
        <v>3</v>
      </c>
      <c r="BH20" s="28">
        <f>Grupo!BH20</f>
        <v>0</v>
      </c>
      <c r="BI20" s="28">
        <f>Grupo!BI20</f>
        <v>1</v>
      </c>
      <c r="BJ20" s="28">
        <f>Grupo!BJ20</f>
        <v>1</v>
      </c>
      <c r="BK20" s="28">
        <f>Grupo!BK20</f>
        <v>1</v>
      </c>
      <c r="BL20" s="28">
        <f>Grupo!BL20</f>
        <v>0</v>
      </c>
      <c r="BM20" s="28">
        <f>Grupo!BM20</f>
        <v>2</v>
      </c>
      <c r="BN20" s="28">
        <f>Grupo!BN20</f>
        <v>1</v>
      </c>
      <c r="BO20" s="28">
        <f>Grupo!BO20</f>
        <v>1</v>
      </c>
      <c r="BP20" s="28">
        <f>Grupo!BP20</f>
        <v>5</v>
      </c>
      <c r="BQ20" s="28">
        <f>Grupo!BQ20</f>
        <v>0</v>
      </c>
      <c r="BR20" s="28">
        <f>Grupo!BR20</f>
        <v>0</v>
      </c>
      <c r="BS20" s="28">
        <f>Grupo!BS20</f>
        <v>0</v>
      </c>
      <c r="BT20" s="28">
        <f>Grupo!BT20</f>
        <v>4</v>
      </c>
      <c r="BU20" s="28">
        <f>Grupo!BU20</f>
        <v>1</v>
      </c>
      <c r="BV20" s="28">
        <f>Grupo!BV20</f>
        <v>2</v>
      </c>
      <c r="BW20" s="28">
        <f>Grupo!BW20</f>
        <v>0</v>
      </c>
      <c r="BX20" s="28">
        <f>Grupo!BX20</f>
        <v>0</v>
      </c>
      <c r="BY20" s="28">
        <f>Grupo!BY20</f>
        <v>1</v>
      </c>
      <c r="BZ20" s="28">
        <f>Grupo!BZ20</f>
        <v>1</v>
      </c>
      <c r="CA20" s="28">
        <f>Grupo!CA20</f>
        <v>0</v>
      </c>
      <c r="CB20" s="28">
        <f>Grupo!CB20</f>
        <v>2</v>
      </c>
      <c r="CC20" s="28">
        <f>Grupo!CC20</f>
        <v>0</v>
      </c>
      <c r="CD20" s="28">
        <f>Grupo!CD20</f>
        <v>1</v>
      </c>
      <c r="CE20" s="28">
        <f>Grupo!CE20</f>
        <v>2</v>
      </c>
      <c r="CF20" s="28">
        <f>Grupo!CF20</f>
        <v>3</v>
      </c>
      <c r="CG20" s="28">
        <f>Grupo!CG20</f>
        <v>0</v>
      </c>
      <c r="CH20" s="28">
        <f>Grupo!CH20</f>
        <v>3</v>
      </c>
      <c r="CI20" s="28">
        <f>Grupo!CI20</f>
        <v>1</v>
      </c>
      <c r="CJ20" s="28">
        <f>Grupo!CJ20</f>
        <v>1</v>
      </c>
      <c r="CK20" s="28">
        <f>Grupo!CK20</f>
        <v>0</v>
      </c>
      <c r="CL20" s="28">
        <f>Grupo!CL20</f>
        <v>2</v>
      </c>
      <c r="CM20" s="28">
        <f>Grupo!CM20</f>
        <v>1</v>
      </c>
      <c r="CN20" s="28">
        <f>Grupo!CN20</f>
        <v>1</v>
      </c>
      <c r="CO20" s="28">
        <f>Grupo!CO20</f>
        <v>2</v>
      </c>
      <c r="CP20" s="28">
        <f>Grupo!CP20</f>
        <v>1</v>
      </c>
      <c r="CQ20" s="28">
        <f>Grupo!CQ20</f>
        <v>1</v>
      </c>
      <c r="CR20" s="28">
        <f>Grupo!CR20</f>
        <v>1</v>
      </c>
      <c r="CS20" s="28">
        <f>Grupo!CS20</f>
        <v>0</v>
      </c>
      <c r="CT20" s="28">
        <f>Grupo!CT20</f>
        <v>2</v>
      </c>
      <c r="CU20" s="28">
        <f>Grupo!CU20</f>
        <v>1</v>
      </c>
      <c r="CV20" s="28">
        <f>Grupo!CV20</f>
        <v>3</v>
      </c>
      <c r="CW20" s="28">
        <f>Grupo!CW20</f>
        <v>2</v>
      </c>
      <c r="CX20" s="28">
        <f>Grupo!CX20</f>
        <v>1</v>
      </c>
      <c r="CY20" s="28">
        <f>Grupo!CY20</f>
        <v>0</v>
      </c>
      <c r="CZ20" s="28">
        <f>Grupo!CZ20</f>
        <v>1</v>
      </c>
      <c r="DA20" s="28">
        <f>Grupo!DA20</f>
        <v>0</v>
      </c>
      <c r="DB20" s="28">
        <f>Grupo!DB20</f>
        <v>1</v>
      </c>
      <c r="DC20" s="28">
        <f>Grupo!DC20</f>
        <v>0</v>
      </c>
      <c r="DD20" s="28">
        <f>Grupo!DD20</f>
        <v>2</v>
      </c>
      <c r="DE20" s="28">
        <f>Grupo!DE20</f>
        <v>1</v>
      </c>
      <c r="DF20" s="28">
        <f>Grupo!DF20</f>
        <v>2</v>
      </c>
      <c r="DG20" s="28">
        <f>Grupo!DG20</f>
        <v>0</v>
      </c>
      <c r="DH20" s="28">
        <f>Grupo!DH20</f>
        <v>0</v>
      </c>
      <c r="DI20" s="28">
        <f>Grupo!DI20</f>
        <v>5</v>
      </c>
      <c r="DJ20" s="28">
        <f>Grupo!DJ20</f>
        <v>0</v>
      </c>
      <c r="DK20" s="28">
        <f>Grupo!DK20</f>
        <v>1</v>
      </c>
      <c r="DL20" s="28">
        <f>Grupo!DL20</f>
        <v>4</v>
      </c>
      <c r="DM20" s="28">
        <f>Grupo!DM20</f>
        <v>0</v>
      </c>
      <c r="DN20" s="28">
        <f>Grupo!DN20</f>
        <v>0</v>
      </c>
      <c r="DO20" s="28">
        <f>Grupo!DO20</f>
        <v>1</v>
      </c>
      <c r="DP20" s="28">
        <f>Grupo!DP20</f>
        <v>2</v>
      </c>
      <c r="DQ20" s="28">
        <f>Grupo!DQ20</f>
        <v>1</v>
      </c>
      <c r="DR20" s="28">
        <f>Grupo!DR20</f>
        <v>4</v>
      </c>
      <c r="DS20" s="28">
        <f>Grupo!DS20</f>
        <v>2</v>
      </c>
      <c r="DT20" s="28">
        <f>Grupo!DT20</f>
        <v>1</v>
      </c>
      <c r="DU20" s="28">
        <f>Grupo!DU20</f>
        <v>6</v>
      </c>
      <c r="DV20" s="28">
        <f>Grupo!DV20</f>
        <v>0</v>
      </c>
      <c r="DW20" s="28">
        <f>Grupo!DW20</f>
        <v>1</v>
      </c>
      <c r="DX20" s="28">
        <f>Grupo!DX20</f>
        <v>1</v>
      </c>
      <c r="DY20" s="28">
        <f>Grupo!DY20</f>
        <v>1</v>
      </c>
      <c r="DZ20" s="28">
        <f>Grupo!DZ20</f>
        <v>0</v>
      </c>
      <c r="EA20" s="70">
        <f>Grupo!EA20</f>
        <v>0</v>
      </c>
      <c r="EB20" s="70">
        <f>Grupo!EB20</f>
        <v>1</v>
      </c>
      <c r="EC20" s="70">
        <f>Grupo!EC20</f>
        <v>1</v>
      </c>
      <c r="ED20" s="70">
        <f>Grupo!ED20</f>
        <v>4</v>
      </c>
      <c r="EE20" s="70">
        <f>Grupo!EE20</f>
        <v>0</v>
      </c>
      <c r="EF20" s="70">
        <f>Grupo!EF20</f>
        <v>0</v>
      </c>
      <c r="EG20" s="70">
        <f>Grupo!EG20</f>
        <v>0</v>
      </c>
      <c r="EH20" s="70">
        <f>Grupo!EH20</f>
        <v>3</v>
      </c>
      <c r="EI20" s="70">
        <f>Grupo!EI20</f>
        <v>1</v>
      </c>
      <c r="EJ20" s="70">
        <f>Grupo!EJ20</f>
        <v>4</v>
      </c>
      <c r="EK20" s="70">
        <f>Grupo!EK20</f>
        <v>0</v>
      </c>
      <c r="EL20" s="70">
        <f>Grupo!EL20</f>
        <v>1</v>
      </c>
      <c r="EM20" s="70">
        <f>Grupo!EM20</f>
        <v>3</v>
      </c>
      <c r="EN20" s="70">
        <f>Grupo!EN20</f>
        <v>1</v>
      </c>
      <c r="EO20" s="70">
        <f>Grupo!EO20</f>
        <v>1</v>
      </c>
      <c r="EP20" s="78">
        <f>Grupo!EP20</f>
        <v>0</v>
      </c>
      <c r="EQ20" s="78">
        <f>Grupo!EQ20</f>
        <v>5</v>
      </c>
      <c r="ER20" s="78">
        <f>Grupo!ER20</f>
        <v>1</v>
      </c>
      <c r="ES20" s="78">
        <f>Grupo!ES20</f>
        <v>3</v>
      </c>
      <c r="ET20" s="78">
        <f>Grupo!ET20</f>
        <v>2</v>
      </c>
      <c r="EU20" s="78">
        <f>Grupo!EU20</f>
        <v>1</v>
      </c>
      <c r="EV20" s="78">
        <f>Grupo!EV20</f>
        <v>2</v>
      </c>
      <c r="EW20" s="78">
        <f>Grupo!EW20</f>
        <v>1</v>
      </c>
      <c r="EX20" s="78">
        <f>Grupo!EX20</f>
        <v>3</v>
      </c>
      <c r="EY20" s="78">
        <f>Grupo!EY20</f>
        <v>1</v>
      </c>
      <c r="EZ20" s="78">
        <f>Grupo!EZ20</f>
        <v>1</v>
      </c>
      <c r="FA20" s="78">
        <f>Grupo!FA20</f>
        <v>0</v>
      </c>
      <c r="FB20" s="78">
        <f>Grupo!FB20</f>
        <v>1</v>
      </c>
      <c r="FC20" s="78">
        <f>Grupo!FC20</f>
        <v>1</v>
      </c>
      <c r="FD20" s="78">
        <f>Grupo!FD20</f>
        <v>0</v>
      </c>
      <c r="FE20" s="78">
        <f>Grupo!FE20</f>
        <v>1</v>
      </c>
      <c r="FF20" s="78">
        <f>Grupo!FF20</f>
        <v>3</v>
      </c>
      <c r="FG20" s="78">
        <f>Grupo!FG20</f>
        <v>0</v>
      </c>
      <c r="FH20" s="78">
        <f>Grupo!FH20</f>
        <v>0</v>
      </c>
      <c r="FI20" s="78">
        <f>Grupo!FI20</f>
        <v>1</v>
      </c>
      <c r="FJ20" s="78">
        <f>Grupo!FJ20</f>
        <v>1</v>
      </c>
      <c r="FK20" s="78">
        <f>Grupo!FK20</f>
        <v>1</v>
      </c>
      <c r="FL20" s="78">
        <f>Grupo!FL20</f>
        <v>3</v>
      </c>
      <c r="FM20" s="78">
        <f>Grupo!FM20</f>
        <v>0</v>
      </c>
      <c r="FN20" s="78">
        <f>Grupo!FN20</f>
        <v>2</v>
      </c>
      <c r="FO20" s="78">
        <f>Grupo!FO20</f>
        <v>1</v>
      </c>
      <c r="FP20" s="78">
        <f>Grupo!FP20</f>
        <v>0</v>
      </c>
      <c r="FQ20" s="78">
        <f>Grupo!FQ20</f>
        <v>0</v>
      </c>
      <c r="FR20" s="78">
        <f>Grupo!FR20</f>
        <v>2</v>
      </c>
      <c r="FS20" s="78">
        <f>Grupo!FS20</f>
        <v>1</v>
      </c>
      <c r="FT20" s="78">
        <f>Grupo!FT20</f>
        <v>1</v>
      </c>
      <c r="FU20" s="78">
        <f>Grupo!FU20</f>
        <v>1</v>
      </c>
      <c r="FV20" s="78">
        <f>Grupo!FV20</f>
        <v>0</v>
      </c>
      <c r="FW20" s="78">
        <f>Grupo!FW20</f>
        <v>1</v>
      </c>
      <c r="FX20" s="78">
        <f>Grupo!FX20</f>
        <v>1</v>
      </c>
      <c r="FY20" s="78">
        <f>Grupo!FY20</f>
        <v>1</v>
      </c>
      <c r="FZ20" s="78">
        <f>Grupo!FZ20</f>
        <v>2</v>
      </c>
      <c r="GA20" s="78">
        <f>Grupo!GA20</f>
        <v>2</v>
      </c>
      <c r="GB20" s="78">
        <f>Grupo!GB20</f>
        <v>0</v>
      </c>
      <c r="GC20" s="78">
        <f>Grupo!GC20</f>
        <v>2</v>
      </c>
      <c r="GD20" s="78">
        <f>Grupo!GD20</f>
        <v>1</v>
      </c>
      <c r="GE20" s="78">
        <f>Grupo!GE20</f>
        <v>1</v>
      </c>
      <c r="GF20" s="78">
        <f>Grupo!GF20</f>
        <v>3</v>
      </c>
      <c r="GG20" s="78">
        <f>Grupo!GG20</f>
        <v>0</v>
      </c>
      <c r="GH20" s="78">
        <f>Grupo!GH20</f>
        <v>0</v>
      </c>
      <c r="GI20" s="78">
        <f>Grupo!GI20</f>
        <v>0</v>
      </c>
      <c r="GJ20" s="78">
        <f>Grupo!GJ20</f>
        <v>3</v>
      </c>
      <c r="GK20" s="78">
        <f>Grupo!GK20</f>
        <v>1</v>
      </c>
      <c r="GL20" s="78">
        <f>Grupo!GL20</f>
        <v>0</v>
      </c>
      <c r="GM20" s="78">
        <f>Grupo!GM20</f>
        <v>1</v>
      </c>
      <c r="GN20" s="78">
        <f>Grupo!GN20</f>
        <v>0</v>
      </c>
      <c r="GO20" s="78">
        <f>Grupo!GO20</f>
        <v>2</v>
      </c>
      <c r="GP20" s="78">
        <f>Grupo!GP20</f>
        <v>2</v>
      </c>
      <c r="GQ20" s="78">
        <f>Grupo!GQ20</f>
        <v>0</v>
      </c>
      <c r="GR20" s="79">
        <f>Grupo!GR20</f>
        <v>0</v>
      </c>
      <c r="GS20" s="79">
        <f>Grupo!GS20</f>
        <v>4</v>
      </c>
      <c r="GT20" s="79" t="str">
        <f>Grupo!GT20</f>
        <v/>
      </c>
      <c r="GU20" s="79">
        <f>Grupo!GU20</f>
        <v>2</v>
      </c>
      <c r="GV20" s="79">
        <f>Grupo!GV20</f>
        <v>0</v>
      </c>
      <c r="GW20" s="79" t="str">
        <f>Grupo!GW20</f>
        <v/>
      </c>
      <c r="GX20" s="76">
        <f>Grupo!GX20</f>
        <v>0</v>
      </c>
      <c r="GY20" s="76">
        <f>Grupo!GY20</f>
        <v>1</v>
      </c>
      <c r="GZ20" s="76" t="str">
        <f>Grupo!GZ20</f>
        <v/>
      </c>
      <c r="HA20" s="76">
        <f>Grupo!HA20</f>
        <v>0</v>
      </c>
      <c r="HB20" s="76">
        <f>Grupo!HB20</f>
        <v>2</v>
      </c>
      <c r="HC20" s="76" t="str">
        <f>Grupo!HC20</f>
        <v/>
      </c>
      <c r="HD20" s="76">
        <f>Grupo!HD20</f>
        <v>0</v>
      </c>
      <c r="HE20" s="76">
        <f>Grupo!HE20</f>
        <v>2</v>
      </c>
      <c r="HF20" s="76" t="str">
        <f>Grupo!HF20</f>
        <v/>
      </c>
      <c r="HG20" s="76">
        <f>Grupo!HG20</f>
        <v>1</v>
      </c>
      <c r="HH20" s="76">
        <f>Grupo!HH20</f>
        <v>0</v>
      </c>
      <c r="HI20" s="76" t="str">
        <f>Grupo!HI20</f>
        <v/>
      </c>
      <c r="HJ20" s="32">
        <f>Grupo!HJ20</f>
        <v>52</v>
      </c>
      <c r="HK20" s="25" t="s">
        <v>14</v>
      </c>
    </row>
    <row r="21" spans="1:219" ht="20.25" customHeight="1" thickBot="1" x14ac:dyDescent="0.35">
      <c r="A21" s="34" t="str">
        <f>Grupo!A21</f>
        <v>Jose C Ahiza</v>
      </c>
      <c r="B21" s="28">
        <f>Grupo!B21</f>
        <v>2</v>
      </c>
      <c r="C21" s="28">
        <f>Grupo!C21</f>
        <v>1</v>
      </c>
      <c r="D21" s="28">
        <f>Grupo!D21</f>
        <v>1</v>
      </c>
      <c r="E21" s="28">
        <f>Grupo!E21</f>
        <v>2</v>
      </c>
      <c r="F21" s="28">
        <f>Grupo!F21</f>
        <v>1</v>
      </c>
      <c r="G21" s="28">
        <f>Grupo!G21</f>
        <v>3</v>
      </c>
      <c r="H21" s="28">
        <f>Grupo!H21</f>
        <v>2</v>
      </c>
      <c r="I21" s="28">
        <f>Grupo!I21</f>
        <v>0</v>
      </c>
      <c r="J21" s="28">
        <f>Grupo!J21</f>
        <v>0</v>
      </c>
      <c r="K21" s="28">
        <f>Grupo!K21</f>
        <v>3</v>
      </c>
      <c r="L21" s="28">
        <f>Grupo!L21</f>
        <v>1</v>
      </c>
      <c r="M21" s="28">
        <f>Grupo!M21</f>
        <v>1</v>
      </c>
      <c r="N21" s="28">
        <f>Grupo!N21</f>
        <v>0</v>
      </c>
      <c r="O21" s="28">
        <f>Grupo!O21</f>
        <v>2</v>
      </c>
      <c r="P21" s="28">
        <f>Grupo!P21</f>
        <v>1</v>
      </c>
      <c r="Q21" s="28">
        <f>Grupo!Q21</f>
        <v>1</v>
      </c>
      <c r="R21" s="28">
        <f>Grupo!R21</f>
        <v>2</v>
      </c>
      <c r="S21" s="28">
        <f>Grupo!S21</f>
        <v>0</v>
      </c>
      <c r="T21" s="28">
        <f>Grupo!T21</f>
        <v>2</v>
      </c>
      <c r="U21" s="28">
        <f>Grupo!U21</f>
        <v>0</v>
      </c>
      <c r="V21" s="28">
        <f>Grupo!V21</f>
        <v>0</v>
      </c>
      <c r="W21" s="28">
        <f>Grupo!W21</f>
        <v>1</v>
      </c>
      <c r="X21" s="28">
        <f>Grupo!X21</f>
        <v>2</v>
      </c>
      <c r="Y21" s="28">
        <f>Grupo!Y21</f>
        <v>0</v>
      </c>
      <c r="Z21" s="28">
        <f>Grupo!Z21</f>
        <v>1</v>
      </c>
      <c r="AA21" s="28">
        <f>Grupo!AA21</f>
        <v>1</v>
      </c>
      <c r="AB21" s="28">
        <f>Grupo!AB21</f>
        <v>0</v>
      </c>
      <c r="AC21" s="28">
        <f>Grupo!AC21</f>
        <v>3</v>
      </c>
      <c r="AD21" s="28">
        <f>Grupo!AD21</f>
        <v>0</v>
      </c>
      <c r="AE21" s="28">
        <f>Grupo!AE21</f>
        <v>1</v>
      </c>
      <c r="AF21" s="28">
        <f>Grupo!AF21</f>
        <v>2</v>
      </c>
      <c r="AG21" s="28">
        <f>Grupo!AG21</f>
        <v>0</v>
      </c>
      <c r="AH21" s="28">
        <f>Grupo!AH21</f>
        <v>0</v>
      </c>
      <c r="AI21" s="28">
        <f>Grupo!AI21</f>
        <v>2</v>
      </c>
      <c r="AJ21" s="28">
        <f>Grupo!AJ21</f>
        <v>1</v>
      </c>
      <c r="AK21" s="28">
        <f>Grupo!AK21</f>
        <v>1</v>
      </c>
      <c r="AL21" s="28">
        <f>Grupo!AL21</f>
        <v>0</v>
      </c>
      <c r="AM21" s="28">
        <f>Grupo!AM21</f>
        <v>2</v>
      </c>
      <c r="AN21" s="28">
        <f>Grupo!AN21</f>
        <v>0</v>
      </c>
      <c r="AO21" s="28">
        <f>Grupo!AO21</f>
        <v>3</v>
      </c>
      <c r="AP21" s="28">
        <f>Grupo!AP21</f>
        <v>0</v>
      </c>
      <c r="AQ21" s="28">
        <f>Grupo!AQ21</f>
        <v>0</v>
      </c>
      <c r="AR21" s="28">
        <f>Grupo!AR21</f>
        <v>2</v>
      </c>
      <c r="AS21" s="28">
        <f>Grupo!AS21</f>
        <v>1</v>
      </c>
      <c r="AT21" s="28">
        <f>Grupo!AT21</f>
        <v>0</v>
      </c>
      <c r="AU21" s="28">
        <f>Grupo!AU21</f>
        <v>2</v>
      </c>
      <c r="AV21" s="28">
        <f>Grupo!AV21</f>
        <v>0</v>
      </c>
      <c r="AW21" s="28">
        <f>Grupo!AW21</f>
        <v>0</v>
      </c>
      <c r="AX21" s="28">
        <f>Grupo!AX21</f>
        <v>2</v>
      </c>
      <c r="AY21" s="28">
        <f>Grupo!AY21</f>
        <v>1</v>
      </c>
      <c r="AZ21" s="28">
        <f>Grupo!AZ21</f>
        <v>1</v>
      </c>
      <c r="BA21" s="28">
        <f>Grupo!BA21</f>
        <v>1</v>
      </c>
      <c r="BB21" s="28">
        <f>Grupo!BB21</f>
        <v>2</v>
      </c>
      <c r="BC21" s="28">
        <f>Grupo!BC21</f>
        <v>1</v>
      </c>
      <c r="BD21" s="28">
        <f>Grupo!BD21</f>
        <v>3</v>
      </c>
      <c r="BE21" s="28">
        <f>Grupo!BE21</f>
        <v>0</v>
      </c>
      <c r="BF21" s="28">
        <f>Grupo!BF21</f>
        <v>3</v>
      </c>
      <c r="BG21" s="28">
        <f>Grupo!BG21</f>
        <v>2</v>
      </c>
      <c r="BH21" s="28">
        <f>Grupo!BH21</f>
        <v>0</v>
      </c>
      <c r="BI21" s="28">
        <f>Grupo!BI21</f>
        <v>1</v>
      </c>
      <c r="BJ21" s="28">
        <f>Grupo!BJ21</f>
        <v>1</v>
      </c>
      <c r="BK21" s="28">
        <f>Grupo!BK21</f>
        <v>2</v>
      </c>
      <c r="BL21" s="28">
        <f>Grupo!BL21</f>
        <v>0</v>
      </c>
      <c r="BM21" s="28">
        <f>Grupo!BM21</f>
        <v>2</v>
      </c>
      <c r="BN21" s="28">
        <f>Grupo!BN21</f>
        <v>0</v>
      </c>
      <c r="BO21" s="28">
        <f>Grupo!BO21</f>
        <v>1</v>
      </c>
      <c r="BP21" s="28">
        <f>Grupo!BP21</f>
        <v>3</v>
      </c>
      <c r="BQ21" s="28">
        <f>Grupo!BQ21</f>
        <v>0</v>
      </c>
      <c r="BR21" s="28">
        <f>Grupo!BR21</f>
        <v>0</v>
      </c>
      <c r="BS21" s="28">
        <f>Grupo!BS21</f>
        <v>1</v>
      </c>
      <c r="BT21" s="28">
        <f>Grupo!BT21</f>
        <v>2</v>
      </c>
      <c r="BU21" s="28">
        <f>Grupo!BU21</f>
        <v>1</v>
      </c>
      <c r="BV21" s="28">
        <f>Grupo!BV21</f>
        <v>1</v>
      </c>
      <c r="BW21" s="28">
        <f>Grupo!BW21</f>
        <v>2</v>
      </c>
      <c r="BX21" s="28">
        <f>Grupo!BX21</f>
        <v>0</v>
      </c>
      <c r="BY21" s="28">
        <f>Grupo!BY21</f>
        <v>2</v>
      </c>
      <c r="BZ21" s="28">
        <f>Grupo!BZ21</f>
        <v>0</v>
      </c>
      <c r="CA21" s="28">
        <f>Grupo!CA21</f>
        <v>1</v>
      </c>
      <c r="CB21" s="28">
        <f>Grupo!CB21</f>
        <v>1</v>
      </c>
      <c r="CC21" s="28">
        <f>Grupo!CC21</f>
        <v>1</v>
      </c>
      <c r="CD21" s="28">
        <f>Grupo!CD21</f>
        <v>0</v>
      </c>
      <c r="CE21" s="28">
        <f>Grupo!CE21</f>
        <v>2</v>
      </c>
      <c r="CF21" s="28">
        <f>Grupo!CF21</f>
        <v>1</v>
      </c>
      <c r="CG21" s="28">
        <f>Grupo!CG21</f>
        <v>1</v>
      </c>
      <c r="CH21" s="28">
        <f>Grupo!CH21</f>
        <v>3</v>
      </c>
      <c r="CI21" s="28">
        <f>Grupo!CI21</f>
        <v>0</v>
      </c>
      <c r="CJ21" s="28">
        <f>Grupo!CJ21</f>
        <v>3</v>
      </c>
      <c r="CK21" s="28">
        <f>Grupo!CK21</f>
        <v>1</v>
      </c>
      <c r="CL21" s="28">
        <f>Grupo!CL21</f>
        <v>1</v>
      </c>
      <c r="CM21" s="28">
        <f>Grupo!CM21</f>
        <v>0</v>
      </c>
      <c r="CN21" s="28">
        <f>Grupo!CN21</f>
        <v>2</v>
      </c>
      <c r="CO21" s="28">
        <f>Grupo!CO21</f>
        <v>1</v>
      </c>
      <c r="CP21" s="28">
        <f>Grupo!CP21</f>
        <v>0</v>
      </c>
      <c r="CQ21" s="28">
        <f>Grupo!CQ21</f>
        <v>2</v>
      </c>
      <c r="CR21" s="28">
        <f>Grupo!CR21</f>
        <v>0</v>
      </c>
      <c r="CS21" s="28">
        <f>Grupo!CS21</f>
        <v>3</v>
      </c>
      <c r="CT21" s="28">
        <f>Grupo!CT21</f>
        <v>2</v>
      </c>
      <c r="CU21" s="28">
        <f>Grupo!CU21</f>
        <v>1</v>
      </c>
      <c r="CV21" s="28">
        <f>Grupo!CV21</f>
        <v>3</v>
      </c>
      <c r="CW21" s="28">
        <f>Grupo!CW21</f>
        <v>2</v>
      </c>
      <c r="CX21" s="28">
        <f>Grupo!CX21</f>
        <v>0</v>
      </c>
      <c r="CY21" s="28">
        <f>Grupo!CY21</f>
        <v>0</v>
      </c>
      <c r="CZ21" s="28">
        <f>Grupo!CZ21</f>
        <v>2</v>
      </c>
      <c r="DA21" s="28">
        <f>Grupo!DA21</f>
        <v>0</v>
      </c>
      <c r="DB21" s="28">
        <f>Grupo!DB21</f>
        <v>1</v>
      </c>
      <c r="DC21" s="28">
        <f>Grupo!DC21</f>
        <v>1</v>
      </c>
      <c r="DD21" s="28">
        <f>Grupo!DD21</f>
        <v>1</v>
      </c>
      <c r="DE21" s="28">
        <f>Grupo!DE21</f>
        <v>0</v>
      </c>
      <c r="DF21" s="28">
        <f>Grupo!DF21</f>
        <v>2</v>
      </c>
      <c r="DG21" s="28">
        <f>Grupo!DG21</f>
        <v>0</v>
      </c>
      <c r="DH21" s="28">
        <f>Grupo!DH21</f>
        <v>0</v>
      </c>
      <c r="DI21" s="28">
        <f>Grupo!DI21</f>
        <v>2</v>
      </c>
      <c r="DJ21" s="28">
        <f>Grupo!DJ21</f>
        <v>0</v>
      </c>
      <c r="DK21" s="28">
        <f>Grupo!DK21</f>
        <v>1</v>
      </c>
      <c r="DL21" s="28">
        <f>Grupo!DL21</f>
        <v>2</v>
      </c>
      <c r="DM21" s="28">
        <f>Grupo!DM21</f>
        <v>1</v>
      </c>
      <c r="DN21" s="28">
        <f>Grupo!DN21</f>
        <v>0</v>
      </c>
      <c r="DO21" s="28">
        <f>Grupo!DO21</f>
        <v>1</v>
      </c>
      <c r="DP21" s="28">
        <f>Grupo!DP21</f>
        <v>1</v>
      </c>
      <c r="DQ21" s="28">
        <f>Grupo!DQ21</f>
        <v>0</v>
      </c>
      <c r="DR21" s="28">
        <f>Grupo!DR21</f>
        <v>1</v>
      </c>
      <c r="DS21" s="28">
        <f>Grupo!DS21</f>
        <v>2</v>
      </c>
      <c r="DT21" s="28">
        <f>Grupo!DT21</f>
        <v>0</v>
      </c>
      <c r="DU21" s="28">
        <f>Grupo!DU21</f>
        <v>3</v>
      </c>
      <c r="DV21" s="28">
        <f>Grupo!DV21</f>
        <v>0</v>
      </c>
      <c r="DW21" s="28">
        <f>Grupo!DW21</f>
        <v>3</v>
      </c>
      <c r="DX21" s="28">
        <f>Grupo!DX21</f>
        <v>2</v>
      </c>
      <c r="DY21" s="28">
        <f>Grupo!DY21</f>
        <v>0</v>
      </c>
      <c r="DZ21" s="28">
        <f>Grupo!DZ21</f>
        <v>3</v>
      </c>
      <c r="EA21" s="70">
        <f>Grupo!EA21</f>
        <v>1</v>
      </c>
      <c r="EB21" s="70">
        <f>Grupo!EB21</f>
        <v>1</v>
      </c>
      <c r="EC21" s="70">
        <f>Grupo!EC21</f>
        <v>0</v>
      </c>
      <c r="ED21" s="70">
        <f>Grupo!ED21</f>
        <v>2</v>
      </c>
      <c r="EE21" s="70">
        <f>Grupo!EE21</f>
        <v>0</v>
      </c>
      <c r="EF21" s="70">
        <f>Grupo!EF21</f>
        <v>0</v>
      </c>
      <c r="EG21" s="70">
        <f>Grupo!EG21</f>
        <v>1</v>
      </c>
      <c r="EH21" s="70">
        <f>Grupo!EH21</f>
        <v>2</v>
      </c>
      <c r="EI21" s="70">
        <f>Grupo!EI21</f>
        <v>1</v>
      </c>
      <c r="EJ21" s="70">
        <f>Grupo!EJ21</f>
        <v>2</v>
      </c>
      <c r="EK21" s="70">
        <f>Grupo!EK21</f>
        <v>0</v>
      </c>
      <c r="EL21" s="70">
        <f>Grupo!EL21</f>
        <v>1</v>
      </c>
      <c r="EM21" s="70">
        <f>Grupo!EM21</f>
        <v>2</v>
      </c>
      <c r="EN21" s="70">
        <f>Grupo!EN21</f>
        <v>0</v>
      </c>
      <c r="EO21" s="70">
        <f>Grupo!EO21</f>
        <v>1</v>
      </c>
      <c r="EP21" s="78">
        <f>Grupo!EP21</f>
        <v>0</v>
      </c>
      <c r="EQ21" s="78">
        <f>Grupo!EQ21</f>
        <v>2</v>
      </c>
      <c r="ER21" s="78">
        <f>Grupo!ER21</f>
        <v>1</v>
      </c>
      <c r="ES21" s="78">
        <f>Grupo!ES21</f>
        <v>2</v>
      </c>
      <c r="ET21" s="78">
        <f>Grupo!ET21</f>
        <v>0</v>
      </c>
      <c r="EU21" s="78">
        <f>Grupo!EU21</f>
        <v>1</v>
      </c>
      <c r="EV21" s="78">
        <f>Grupo!EV21</f>
        <v>1</v>
      </c>
      <c r="EW21" s="78">
        <f>Grupo!EW21</f>
        <v>1</v>
      </c>
      <c r="EX21" s="78">
        <f>Grupo!EX21</f>
        <v>0</v>
      </c>
      <c r="EY21" s="78">
        <f>Grupo!EY21</f>
        <v>1</v>
      </c>
      <c r="EZ21" s="78">
        <f>Grupo!EZ21</f>
        <v>1</v>
      </c>
      <c r="FA21" s="78">
        <f>Grupo!FA21</f>
        <v>0</v>
      </c>
      <c r="FB21" s="78">
        <f>Grupo!FB21</f>
        <v>1</v>
      </c>
      <c r="FC21" s="78">
        <f>Grupo!FC21</f>
        <v>2</v>
      </c>
      <c r="FD21" s="78">
        <f>Grupo!FD21</f>
        <v>1</v>
      </c>
      <c r="FE21" s="78">
        <f>Grupo!FE21</f>
        <v>1</v>
      </c>
      <c r="FF21" s="78">
        <f>Grupo!FF21</f>
        <v>2</v>
      </c>
      <c r="FG21" s="78">
        <f>Grupo!FG21</f>
        <v>0</v>
      </c>
      <c r="FH21" s="78">
        <f>Grupo!FH21</f>
        <v>0</v>
      </c>
      <c r="FI21" s="78">
        <f>Grupo!FI21</f>
        <v>2</v>
      </c>
      <c r="FJ21" s="78">
        <f>Grupo!FJ21</f>
        <v>3</v>
      </c>
      <c r="FK21" s="78">
        <f>Grupo!FK21</f>
        <v>1</v>
      </c>
      <c r="FL21" s="78">
        <f>Grupo!FL21</f>
        <v>2</v>
      </c>
      <c r="FM21" s="78">
        <f>Grupo!FM21</f>
        <v>0</v>
      </c>
      <c r="FN21" s="78">
        <f>Grupo!FN21</f>
        <v>1</v>
      </c>
      <c r="FO21" s="78">
        <f>Grupo!FO21</f>
        <v>1</v>
      </c>
      <c r="FP21" s="78">
        <f>Grupo!FP21</f>
        <v>3</v>
      </c>
      <c r="FQ21" s="78">
        <f>Grupo!FQ21</f>
        <v>0</v>
      </c>
      <c r="FR21" s="78">
        <f>Grupo!FR21</f>
        <v>2</v>
      </c>
      <c r="FS21" s="78">
        <f>Grupo!FS21</f>
        <v>1</v>
      </c>
      <c r="FT21" s="78">
        <f>Grupo!FT21</f>
        <v>1</v>
      </c>
      <c r="FU21" s="78">
        <f>Grupo!FU21</f>
        <v>2</v>
      </c>
      <c r="FV21" s="78">
        <f>Grupo!FV21</f>
        <v>0</v>
      </c>
      <c r="FW21" s="78">
        <f>Grupo!FW21</f>
        <v>1</v>
      </c>
      <c r="FX21" s="78">
        <f>Grupo!FX21</f>
        <v>1</v>
      </c>
      <c r="FY21" s="78">
        <f>Grupo!FY21</f>
        <v>1</v>
      </c>
      <c r="FZ21" s="78">
        <f>Grupo!FZ21</f>
        <v>0</v>
      </c>
      <c r="GA21" s="78">
        <f>Grupo!GA21</f>
        <v>2</v>
      </c>
      <c r="GB21" s="78">
        <f>Grupo!GB21</f>
        <v>1</v>
      </c>
      <c r="GC21" s="78">
        <f>Grupo!GC21</f>
        <v>2</v>
      </c>
      <c r="GD21" s="78">
        <f>Grupo!GD21</f>
        <v>1</v>
      </c>
      <c r="GE21" s="78">
        <f>Grupo!GE21</f>
        <v>1</v>
      </c>
      <c r="GF21" s="78">
        <f>Grupo!GF21</f>
        <v>1</v>
      </c>
      <c r="GG21" s="78">
        <f>Grupo!GG21</f>
        <v>1</v>
      </c>
      <c r="GH21" s="78">
        <f>Grupo!GH21</f>
        <v>3</v>
      </c>
      <c r="GI21" s="78">
        <f>Grupo!GI21</f>
        <v>0</v>
      </c>
      <c r="GJ21" s="78">
        <f>Grupo!GJ21</f>
        <v>2</v>
      </c>
      <c r="GK21" s="78">
        <f>Grupo!GK21</f>
        <v>1</v>
      </c>
      <c r="GL21" s="78">
        <f>Grupo!GL21</f>
        <v>1</v>
      </c>
      <c r="GM21" s="78">
        <f>Grupo!GM21</f>
        <v>2</v>
      </c>
      <c r="GN21" s="78">
        <f>Grupo!GN21</f>
        <v>0</v>
      </c>
      <c r="GO21" s="78">
        <f>Grupo!GO21</f>
        <v>1</v>
      </c>
      <c r="GP21" s="78">
        <f>Grupo!GP21</f>
        <v>1</v>
      </c>
      <c r="GQ21" s="78">
        <f>Grupo!GQ21</f>
        <v>0</v>
      </c>
      <c r="GR21" s="79">
        <f>Grupo!GR21</f>
        <v>0</v>
      </c>
      <c r="GS21" s="79">
        <f>Grupo!GS21</f>
        <v>2</v>
      </c>
      <c r="GT21" s="79" t="str">
        <f>Grupo!GT21</f>
        <v/>
      </c>
      <c r="GU21" s="79">
        <f>Grupo!GU21</f>
        <v>2</v>
      </c>
      <c r="GV21" s="79">
        <f>Grupo!GV21</f>
        <v>1</v>
      </c>
      <c r="GW21" s="79" t="str">
        <f>Grupo!GW21</f>
        <v/>
      </c>
      <c r="GX21" s="76">
        <f>Grupo!GX21</f>
        <v>1</v>
      </c>
      <c r="GY21" s="76">
        <f>Grupo!GY21</f>
        <v>1</v>
      </c>
      <c r="GZ21" s="76" t="str">
        <f>Grupo!GZ21</f>
        <v/>
      </c>
      <c r="HA21" s="76">
        <f>Grupo!HA21</f>
        <v>0</v>
      </c>
      <c r="HB21" s="76">
        <f>Grupo!HB21</f>
        <v>3</v>
      </c>
      <c r="HC21" s="76" t="str">
        <f>Grupo!HC21</f>
        <v/>
      </c>
      <c r="HD21" s="76">
        <f>Grupo!HD21</f>
        <v>1</v>
      </c>
      <c r="HE21" s="76">
        <f>Grupo!HE21</f>
        <v>1</v>
      </c>
      <c r="HF21" s="76" t="str">
        <f>Grupo!HF21</f>
        <v/>
      </c>
      <c r="HG21" s="76">
        <f>Grupo!HG21</f>
        <v>1</v>
      </c>
      <c r="HH21" s="76">
        <f>Grupo!HH21</f>
        <v>1</v>
      </c>
      <c r="HI21" s="76" t="str">
        <f>Grupo!HI21</f>
        <v/>
      </c>
      <c r="HJ21" s="32">
        <f>Grupo!HJ21</f>
        <v>55</v>
      </c>
      <c r="HK21" s="25" t="s">
        <v>32</v>
      </c>
    </row>
    <row r="22" spans="1:219" ht="20.25" customHeight="1" thickBot="1" x14ac:dyDescent="0.35">
      <c r="A22" s="34" t="str">
        <f>Grupo!A22</f>
        <v>Jose C Ana</v>
      </c>
      <c r="B22" s="28">
        <f>Grupo!B22</f>
        <v>4</v>
      </c>
      <c r="C22" s="28">
        <f>Grupo!C22</f>
        <v>2</v>
      </c>
      <c r="D22" s="28">
        <f>Grupo!D22</f>
        <v>1</v>
      </c>
      <c r="E22" s="28">
        <f>Grupo!E22</f>
        <v>3</v>
      </c>
      <c r="F22" s="28">
        <f>Grupo!F22</f>
        <v>1</v>
      </c>
      <c r="G22" s="28">
        <f>Grupo!G22</f>
        <v>1</v>
      </c>
      <c r="H22" s="28">
        <f>Grupo!H22</f>
        <v>4</v>
      </c>
      <c r="I22" s="28">
        <f>Grupo!I22</f>
        <v>0</v>
      </c>
      <c r="J22" s="28">
        <f>Grupo!J22</f>
        <v>0</v>
      </c>
      <c r="K22" s="28">
        <f>Grupo!K22</f>
        <v>1</v>
      </c>
      <c r="L22" s="28">
        <f>Grupo!L22</f>
        <v>2</v>
      </c>
      <c r="M22" s="28">
        <f>Grupo!M22</f>
        <v>0</v>
      </c>
      <c r="N22" s="28">
        <f>Grupo!N22</f>
        <v>1</v>
      </c>
      <c r="O22" s="28">
        <f>Grupo!O22</f>
        <v>1</v>
      </c>
      <c r="P22" s="28">
        <f>Grupo!P22</f>
        <v>0</v>
      </c>
      <c r="Q22" s="28">
        <f>Grupo!Q22</f>
        <v>2</v>
      </c>
      <c r="R22" s="28">
        <f>Grupo!R22</f>
        <v>1</v>
      </c>
      <c r="S22" s="28">
        <f>Grupo!S22</f>
        <v>1</v>
      </c>
      <c r="T22" s="28">
        <f>Grupo!T22</f>
        <v>2</v>
      </c>
      <c r="U22" s="28">
        <f>Grupo!U22</f>
        <v>0</v>
      </c>
      <c r="V22" s="28">
        <f>Grupo!V22</f>
        <v>0</v>
      </c>
      <c r="W22" s="28">
        <f>Grupo!W22</f>
        <v>0</v>
      </c>
      <c r="X22" s="28">
        <f>Grupo!X22</f>
        <v>2</v>
      </c>
      <c r="Y22" s="28">
        <f>Grupo!Y22</f>
        <v>0</v>
      </c>
      <c r="Z22" s="28">
        <f>Grupo!Z22</f>
        <v>2</v>
      </c>
      <c r="AA22" s="28">
        <f>Grupo!AA22</f>
        <v>3</v>
      </c>
      <c r="AB22" s="28">
        <f>Grupo!AB22</f>
        <v>0</v>
      </c>
      <c r="AC22" s="28">
        <f>Grupo!AC22</f>
        <v>6</v>
      </c>
      <c r="AD22" s="28">
        <f>Grupo!AD22</f>
        <v>0</v>
      </c>
      <c r="AE22" s="28">
        <f>Grupo!AE22</f>
        <v>1</v>
      </c>
      <c r="AF22" s="28">
        <f>Grupo!AF22</f>
        <v>3</v>
      </c>
      <c r="AG22" s="28">
        <f>Grupo!AG22</f>
        <v>1</v>
      </c>
      <c r="AH22" s="28">
        <f>Grupo!AH22</f>
        <v>0</v>
      </c>
      <c r="AI22" s="28">
        <f>Grupo!AI22</f>
        <v>2</v>
      </c>
      <c r="AJ22" s="28">
        <f>Grupo!AJ22</f>
        <v>1</v>
      </c>
      <c r="AK22" s="28">
        <f>Grupo!AK22</f>
        <v>1</v>
      </c>
      <c r="AL22" s="28">
        <f>Grupo!AL22</f>
        <v>1</v>
      </c>
      <c r="AM22" s="28">
        <f>Grupo!AM22</f>
        <v>3</v>
      </c>
      <c r="AN22" s="28">
        <f>Grupo!AN22</f>
        <v>0</v>
      </c>
      <c r="AO22" s="28">
        <f>Grupo!AO22</f>
        <v>7</v>
      </c>
      <c r="AP22" s="28">
        <f>Grupo!AP22</f>
        <v>0</v>
      </c>
      <c r="AQ22" s="28">
        <f>Grupo!AQ22</f>
        <v>0</v>
      </c>
      <c r="AR22" s="28">
        <f>Grupo!AR22</f>
        <v>2</v>
      </c>
      <c r="AS22" s="28">
        <f>Grupo!AS22</f>
        <v>1</v>
      </c>
      <c r="AT22" s="28">
        <f>Grupo!AT22</f>
        <v>0</v>
      </c>
      <c r="AU22" s="28">
        <f>Grupo!AU22</f>
        <v>2</v>
      </c>
      <c r="AV22" s="28">
        <f>Grupo!AV22</f>
        <v>2</v>
      </c>
      <c r="AW22" s="28">
        <f>Grupo!AW22</f>
        <v>1</v>
      </c>
      <c r="AX22" s="28">
        <f>Grupo!AX22</f>
        <v>3</v>
      </c>
      <c r="AY22" s="28">
        <f>Grupo!AY22</f>
        <v>1</v>
      </c>
      <c r="AZ22" s="28">
        <f>Grupo!AZ22</f>
        <v>3</v>
      </c>
      <c r="BA22" s="28">
        <f>Grupo!BA22</f>
        <v>1</v>
      </c>
      <c r="BB22" s="28">
        <f>Grupo!BB22</f>
        <v>2</v>
      </c>
      <c r="BC22" s="28">
        <f>Grupo!BC22</f>
        <v>1</v>
      </c>
      <c r="BD22" s="28">
        <f>Grupo!BD22</f>
        <v>3</v>
      </c>
      <c r="BE22" s="28">
        <f>Grupo!BE22</f>
        <v>2</v>
      </c>
      <c r="BF22" s="28">
        <f>Grupo!BF22</f>
        <v>1</v>
      </c>
      <c r="BG22" s="28">
        <f>Grupo!BG22</f>
        <v>2</v>
      </c>
      <c r="BH22" s="28">
        <f>Grupo!BH22</f>
        <v>1</v>
      </c>
      <c r="BI22" s="28">
        <f>Grupo!BI22</f>
        <v>1</v>
      </c>
      <c r="BJ22" s="28">
        <f>Grupo!BJ22</f>
        <v>2</v>
      </c>
      <c r="BK22" s="28">
        <f>Grupo!BK22</f>
        <v>3</v>
      </c>
      <c r="BL22" s="28">
        <f>Grupo!BL22</f>
        <v>0</v>
      </c>
      <c r="BM22" s="28">
        <f>Grupo!BM22</f>
        <v>3</v>
      </c>
      <c r="BN22" s="28">
        <f>Grupo!BN22</f>
        <v>4</v>
      </c>
      <c r="BO22" s="28">
        <f>Grupo!BO22</f>
        <v>0</v>
      </c>
      <c r="BP22" s="28">
        <f>Grupo!BP22</f>
        <v>3</v>
      </c>
      <c r="BQ22" s="28">
        <f>Grupo!BQ22</f>
        <v>0</v>
      </c>
      <c r="BR22" s="28">
        <f>Grupo!BR22</f>
        <v>0</v>
      </c>
      <c r="BS22" s="28">
        <f>Grupo!BS22</f>
        <v>1</v>
      </c>
      <c r="BT22" s="28">
        <f>Grupo!BT22</f>
        <v>4</v>
      </c>
      <c r="BU22" s="28">
        <f>Grupo!BU22</f>
        <v>1</v>
      </c>
      <c r="BV22" s="28">
        <f>Grupo!BV22</f>
        <v>1</v>
      </c>
      <c r="BW22" s="28">
        <f>Grupo!BW22</f>
        <v>0</v>
      </c>
      <c r="BX22" s="28">
        <f>Grupo!BX22</f>
        <v>0</v>
      </c>
      <c r="BY22" s="28">
        <f>Grupo!BY22</f>
        <v>2</v>
      </c>
      <c r="BZ22" s="28">
        <f>Grupo!BZ22</f>
        <v>0</v>
      </c>
      <c r="CA22" s="28">
        <f>Grupo!CA22</f>
        <v>1</v>
      </c>
      <c r="CB22" s="28">
        <f>Grupo!CB22</f>
        <v>2</v>
      </c>
      <c r="CC22" s="28">
        <f>Grupo!CC22</f>
        <v>0</v>
      </c>
      <c r="CD22" s="28">
        <f>Grupo!CD22</f>
        <v>1</v>
      </c>
      <c r="CE22" s="28">
        <f>Grupo!CE22</f>
        <v>3</v>
      </c>
      <c r="CF22" s="28">
        <f>Grupo!CF22</f>
        <v>2</v>
      </c>
      <c r="CG22" s="28">
        <f>Grupo!CG22</f>
        <v>1</v>
      </c>
      <c r="CH22" s="28">
        <f>Grupo!CH22</f>
        <v>4</v>
      </c>
      <c r="CI22" s="28">
        <f>Grupo!CI22</f>
        <v>0</v>
      </c>
      <c r="CJ22" s="28">
        <f>Grupo!CJ22</f>
        <v>1</v>
      </c>
      <c r="CK22" s="28">
        <f>Grupo!CK22</f>
        <v>1</v>
      </c>
      <c r="CL22" s="28">
        <f>Grupo!CL22</f>
        <v>2</v>
      </c>
      <c r="CM22" s="28">
        <f>Grupo!CM22</f>
        <v>1</v>
      </c>
      <c r="CN22" s="28">
        <f>Grupo!CN22</f>
        <v>2</v>
      </c>
      <c r="CO22" s="28">
        <f>Grupo!CO22</f>
        <v>2</v>
      </c>
      <c r="CP22" s="28">
        <f>Grupo!CP22</f>
        <v>0</v>
      </c>
      <c r="CQ22" s="28">
        <f>Grupo!CQ22</f>
        <v>2</v>
      </c>
      <c r="CR22" s="28">
        <f>Grupo!CR22</f>
        <v>1</v>
      </c>
      <c r="CS22" s="28">
        <f>Grupo!CS22</f>
        <v>1</v>
      </c>
      <c r="CT22" s="28">
        <f>Grupo!CT22</f>
        <v>5</v>
      </c>
      <c r="CU22" s="28">
        <f>Grupo!CU22</f>
        <v>1</v>
      </c>
      <c r="CV22" s="28">
        <f>Grupo!CV22</f>
        <v>1</v>
      </c>
      <c r="CW22" s="28">
        <f>Grupo!CW22</f>
        <v>3</v>
      </c>
      <c r="CX22" s="28">
        <f>Grupo!CX22</f>
        <v>0</v>
      </c>
      <c r="CY22" s="28">
        <f>Grupo!CY22</f>
        <v>0</v>
      </c>
      <c r="CZ22" s="28">
        <f>Grupo!CZ22</f>
        <v>2</v>
      </c>
      <c r="DA22" s="28">
        <f>Grupo!DA22</f>
        <v>1</v>
      </c>
      <c r="DB22" s="28">
        <f>Grupo!DB22</f>
        <v>1</v>
      </c>
      <c r="DC22" s="28">
        <f>Grupo!DC22</f>
        <v>1</v>
      </c>
      <c r="DD22" s="28">
        <f>Grupo!DD22</f>
        <v>2</v>
      </c>
      <c r="DE22" s="28">
        <f>Grupo!DE22</f>
        <v>1</v>
      </c>
      <c r="DF22" s="28">
        <f>Grupo!DF22</f>
        <v>3</v>
      </c>
      <c r="DG22" s="28">
        <f>Grupo!DG22</f>
        <v>0</v>
      </c>
      <c r="DH22" s="28">
        <f>Grupo!DH22</f>
        <v>0</v>
      </c>
      <c r="DI22" s="28">
        <f>Grupo!DI22</f>
        <v>4</v>
      </c>
      <c r="DJ22" s="28">
        <f>Grupo!DJ22</f>
        <v>2</v>
      </c>
      <c r="DK22" s="28">
        <f>Grupo!DK22</f>
        <v>1</v>
      </c>
      <c r="DL22" s="28">
        <f>Grupo!DL22</f>
        <v>1</v>
      </c>
      <c r="DM22" s="28">
        <f>Grupo!DM22</f>
        <v>0</v>
      </c>
      <c r="DN22" s="28">
        <f>Grupo!DN22</f>
        <v>0</v>
      </c>
      <c r="DO22" s="28">
        <f>Grupo!DO22</f>
        <v>2</v>
      </c>
      <c r="DP22" s="28">
        <f>Grupo!DP22</f>
        <v>2</v>
      </c>
      <c r="DQ22" s="28">
        <f>Grupo!DQ22</f>
        <v>0</v>
      </c>
      <c r="DR22" s="28">
        <f>Grupo!DR22</f>
        <v>1</v>
      </c>
      <c r="DS22" s="28">
        <f>Grupo!DS22</f>
        <v>2</v>
      </c>
      <c r="DT22" s="28">
        <f>Grupo!DT22</f>
        <v>0</v>
      </c>
      <c r="DU22" s="28">
        <f>Grupo!DU22</f>
        <v>4</v>
      </c>
      <c r="DV22" s="28">
        <f>Grupo!DV22</f>
        <v>0</v>
      </c>
      <c r="DW22" s="28">
        <f>Grupo!DW22</f>
        <v>1</v>
      </c>
      <c r="DX22" s="28">
        <f>Grupo!DX22</f>
        <v>2</v>
      </c>
      <c r="DY22" s="28">
        <f>Grupo!DY22</f>
        <v>0</v>
      </c>
      <c r="DZ22" s="28">
        <f>Grupo!DZ22</f>
        <v>3</v>
      </c>
      <c r="EA22" s="70">
        <f>Grupo!EA22</f>
        <v>1</v>
      </c>
      <c r="EB22" s="70">
        <f>Grupo!EB22</f>
        <v>2</v>
      </c>
      <c r="EC22" s="70">
        <f>Grupo!EC22</f>
        <v>3</v>
      </c>
      <c r="ED22" s="70">
        <f>Grupo!ED22</f>
        <v>3</v>
      </c>
      <c r="EE22" s="70">
        <f>Grupo!EE22</f>
        <v>0</v>
      </c>
      <c r="EF22" s="70">
        <f>Grupo!EF22</f>
        <v>0</v>
      </c>
      <c r="EG22" s="70">
        <f>Grupo!EG22</f>
        <v>1</v>
      </c>
      <c r="EH22" s="70">
        <f>Grupo!EH22</f>
        <v>3</v>
      </c>
      <c r="EI22" s="70">
        <f>Grupo!EI22</f>
        <v>1</v>
      </c>
      <c r="EJ22" s="70">
        <f>Grupo!EJ22</f>
        <v>3</v>
      </c>
      <c r="EK22" s="70">
        <f>Grupo!EK22</f>
        <v>0</v>
      </c>
      <c r="EL22" s="70">
        <f>Grupo!EL22</f>
        <v>1</v>
      </c>
      <c r="EM22" s="70">
        <f>Grupo!EM22</f>
        <v>3</v>
      </c>
      <c r="EN22" s="70">
        <f>Grupo!EN22</f>
        <v>1</v>
      </c>
      <c r="EO22" s="70">
        <f>Grupo!EO22</f>
        <v>1</v>
      </c>
      <c r="EP22" s="78">
        <f>Grupo!EP22</f>
        <v>1</v>
      </c>
      <c r="EQ22" s="78">
        <f>Grupo!EQ22</f>
        <v>4</v>
      </c>
      <c r="ER22" s="78">
        <f>Grupo!ER22</f>
        <v>1</v>
      </c>
      <c r="ES22" s="78">
        <f>Grupo!ES22</f>
        <v>5</v>
      </c>
      <c r="ET22" s="78">
        <f>Grupo!ET22</f>
        <v>1</v>
      </c>
      <c r="EU22" s="78">
        <f>Grupo!EU22</f>
        <v>1</v>
      </c>
      <c r="EV22" s="78">
        <f>Grupo!EV22</f>
        <v>1</v>
      </c>
      <c r="EW22" s="78">
        <f>Grupo!EW22</f>
        <v>0</v>
      </c>
      <c r="EX22" s="78">
        <f>Grupo!EX22</f>
        <v>1</v>
      </c>
      <c r="EY22" s="78">
        <f>Grupo!EY22</f>
        <v>1</v>
      </c>
      <c r="EZ22" s="78">
        <f>Grupo!EZ22</f>
        <v>1</v>
      </c>
      <c r="FA22" s="78">
        <f>Grupo!FA22</f>
        <v>0</v>
      </c>
      <c r="FB22" s="78">
        <f>Grupo!FB22</f>
        <v>1</v>
      </c>
      <c r="FC22" s="78">
        <f>Grupo!FC22</f>
        <v>3</v>
      </c>
      <c r="FD22" s="78">
        <f>Grupo!FD22</f>
        <v>1</v>
      </c>
      <c r="FE22" s="78">
        <f>Grupo!FE22</f>
        <v>1</v>
      </c>
      <c r="FF22" s="78">
        <f>Grupo!FF22</f>
        <v>2</v>
      </c>
      <c r="FG22" s="78">
        <f>Grupo!FG22</f>
        <v>0</v>
      </c>
      <c r="FH22" s="78">
        <f>Grupo!FH22</f>
        <v>0</v>
      </c>
      <c r="FI22" s="78">
        <f>Grupo!FI22</f>
        <v>2</v>
      </c>
      <c r="FJ22" s="78">
        <f>Grupo!FJ22</f>
        <v>3</v>
      </c>
      <c r="FK22" s="78">
        <f>Grupo!FK22</f>
        <v>1</v>
      </c>
      <c r="FL22" s="78">
        <f>Grupo!FL22</f>
        <v>2</v>
      </c>
      <c r="FM22" s="78">
        <f>Grupo!FM22</f>
        <v>0</v>
      </c>
      <c r="FN22" s="78">
        <f>Grupo!FN22</f>
        <v>2</v>
      </c>
      <c r="FO22" s="78">
        <f>Grupo!FO22</f>
        <v>2</v>
      </c>
      <c r="FP22" s="78">
        <f>Grupo!FP22</f>
        <v>1</v>
      </c>
      <c r="FQ22" s="78">
        <f>Grupo!FQ22</f>
        <v>0</v>
      </c>
      <c r="FR22" s="78">
        <f>Grupo!FR22</f>
        <v>3</v>
      </c>
      <c r="FS22" s="78">
        <f>Grupo!FS22</f>
        <v>1</v>
      </c>
      <c r="FT22" s="78">
        <f>Grupo!FT22</f>
        <v>1</v>
      </c>
      <c r="FU22" s="78">
        <f>Grupo!FU22</f>
        <v>1</v>
      </c>
      <c r="FV22" s="78">
        <f>Grupo!FV22</f>
        <v>0</v>
      </c>
      <c r="FW22" s="78">
        <f>Grupo!FW22</f>
        <v>1</v>
      </c>
      <c r="FX22" s="78">
        <f>Grupo!FX22</f>
        <v>2</v>
      </c>
      <c r="FY22" s="78">
        <f>Grupo!FY22</f>
        <v>0</v>
      </c>
      <c r="FZ22" s="78">
        <f>Grupo!FZ22</f>
        <v>1</v>
      </c>
      <c r="GA22" s="78">
        <f>Grupo!GA22</f>
        <v>4</v>
      </c>
      <c r="GB22" s="78">
        <f>Grupo!GB22</f>
        <v>3</v>
      </c>
      <c r="GC22" s="78">
        <f>Grupo!GC22</f>
        <v>0</v>
      </c>
      <c r="GD22" s="78">
        <f>Grupo!GD22</f>
        <v>0</v>
      </c>
      <c r="GE22" s="78">
        <f>Grupo!GE22</f>
        <v>0</v>
      </c>
      <c r="GF22" s="78">
        <f>Grupo!GF22</f>
        <v>1</v>
      </c>
      <c r="GG22" s="78">
        <f>Grupo!GG22</f>
        <v>2</v>
      </c>
      <c r="GH22" s="78">
        <f>Grupo!GH22</f>
        <v>0</v>
      </c>
      <c r="GI22" s="78">
        <f>Grupo!GI22</f>
        <v>0</v>
      </c>
      <c r="GJ22" s="78">
        <f>Grupo!GJ22</f>
        <v>4</v>
      </c>
      <c r="GK22" s="78">
        <f>Grupo!GK22</f>
        <v>1</v>
      </c>
      <c r="GL22" s="78">
        <f>Grupo!GL22</f>
        <v>2</v>
      </c>
      <c r="GM22" s="78">
        <f>Grupo!GM22</f>
        <v>3</v>
      </c>
      <c r="GN22" s="78">
        <f>Grupo!GN22</f>
        <v>0</v>
      </c>
      <c r="GO22" s="78">
        <f>Grupo!GO22</f>
        <v>3</v>
      </c>
      <c r="GP22" s="78">
        <f>Grupo!GP22</f>
        <v>4</v>
      </c>
      <c r="GQ22" s="78">
        <f>Grupo!GQ22</f>
        <v>1</v>
      </c>
      <c r="GR22" s="79">
        <f>Grupo!GR22</f>
        <v>2</v>
      </c>
      <c r="GS22" s="79">
        <f>Grupo!GS22</f>
        <v>4</v>
      </c>
      <c r="GT22" s="79" t="str">
        <f>Grupo!GT22</f>
        <v/>
      </c>
      <c r="GU22" s="79">
        <f>Grupo!GU22</f>
        <v>3</v>
      </c>
      <c r="GV22" s="79">
        <f>Grupo!GV22</f>
        <v>0</v>
      </c>
      <c r="GW22" s="79" t="str">
        <f>Grupo!GW22</f>
        <v/>
      </c>
      <c r="GX22" s="76">
        <f>Grupo!GX22</f>
        <v>1</v>
      </c>
      <c r="GY22" s="76">
        <f>Grupo!GY22</f>
        <v>2</v>
      </c>
      <c r="GZ22" s="76" t="str">
        <f>Grupo!GZ22</f>
        <v/>
      </c>
      <c r="HA22" s="76">
        <f>Grupo!HA22</f>
        <v>0</v>
      </c>
      <c r="HB22" s="76">
        <f>Grupo!HB22</f>
        <v>3</v>
      </c>
      <c r="HC22" s="76" t="str">
        <f>Grupo!HC22</f>
        <v/>
      </c>
      <c r="HD22" s="76">
        <f>Grupo!HD22</f>
        <v>3</v>
      </c>
      <c r="HE22" s="76">
        <f>Grupo!HE22</f>
        <v>5</v>
      </c>
      <c r="HF22" s="76" t="str">
        <f>Grupo!HF22</f>
        <v/>
      </c>
      <c r="HG22" s="76">
        <f>Grupo!HG22</f>
        <v>2</v>
      </c>
      <c r="HH22" s="76">
        <f>Grupo!HH22</f>
        <v>2</v>
      </c>
      <c r="HI22" s="76" t="str">
        <f>Grupo!HI22</f>
        <v/>
      </c>
      <c r="HJ22" s="32">
        <f>Grupo!HJ22</f>
        <v>47</v>
      </c>
      <c r="HK22" s="25" t="s">
        <v>46</v>
      </c>
    </row>
    <row r="23" spans="1:219" ht="20.25" customHeight="1" thickBot="1" x14ac:dyDescent="0.35">
      <c r="A23" s="34" t="str">
        <f>Grupo!A23</f>
        <v>Jose C Judith</v>
      </c>
      <c r="B23" s="28">
        <f>Grupo!B23</f>
        <v>3</v>
      </c>
      <c r="C23" s="28">
        <f>Grupo!C23</f>
        <v>2</v>
      </c>
      <c r="D23" s="28">
        <f>Grupo!D23</f>
        <v>1</v>
      </c>
      <c r="E23" s="28">
        <f>Grupo!E23</f>
        <v>2</v>
      </c>
      <c r="F23" s="28">
        <f>Grupo!F23</f>
        <v>2</v>
      </c>
      <c r="G23" s="28">
        <f>Grupo!G23</f>
        <v>0</v>
      </c>
      <c r="H23" s="28">
        <f>Grupo!H23</f>
        <v>3</v>
      </c>
      <c r="I23" s="28">
        <f>Grupo!I23</f>
        <v>1</v>
      </c>
      <c r="J23" s="28">
        <f>Grupo!J23</f>
        <v>0</v>
      </c>
      <c r="K23" s="28">
        <f>Grupo!K23</f>
        <v>3</v>
      </c>
      <c r="L23" s="28">
        <f>Grupo!L23</f>
        <v>2</v>
      </c>
      <c r="M23" s="28">
        <f>Grupo!M23</f>
        <v>1</v>
      </c>
      <c r="N23" s="28">
        <f>Grupo!N23</f>
        <v>1</v>
      </c>
      <c r="O23" s="28">
        <f>Grupo!O23</f>
        <v>1</v>
      </c>
      <c r="P23" s="28">
        <f>Grupo!P23</f>
        <v>0</v>
      </c>
      <c r="Q23" s="28">
        <f>Grupo!Q23</f>
        <v>2</v>
      </c>
      <c r="R23" s="28">
        <f>Grupo!R23</f>
        <v>1</v>
      </c>
      <c r="S23" s="28">
        <f>Grupo!S23</f>
        <v>1</v>
      </c>
      <c r="T23" s="28">
        <f>Grupo!T23</f>
        <v>3</v>
      </c>
      <c r="U23" s="28">
        <f>Grupo!U23</f>
        <v>0</v>
      </c>
      <c r="V23" s="28">
        <f>Grupo!V23</f>
        <v>0</v>
      </c>
      <c r="W23" s="28">
        <f>Grupo!W23</f>
        <v>1</v>
      </c>
      <c r="X23" s="28">
        <f>Grupo!X23</f>
        <v>2</v>
      </c>
      <c r="Y23" s="28">
        <f>Grupo!Y23</f>
        <v>0</v>
      </c>
      <c r="Z23" s="28">
        <f>Grupo!Z23</f>
        <v>2</v>
      </c>
      <c r="AA23" s="28">
        <f>Grupo!AA23</f>
        <v>2</v>
      </c>
      <c r="AB23" s="28">
        <f>Grupo!AB23</f>
        <v>0</v>
      </c>
      <c r="AC23" s="28">
        <f>Grupo!AC23</f>
        <v>4</v>
      </c>
      <c r="AD23" s="28">
        <f>Grupo!AD23</f>
        <v>0</v>
      </c>
      <c r="AE23" s="28">
        <f>Grupo!AE23</f>
        <v>1</v>
      </c>
      <c r="AF23" s="28">
        <f>Grupo!AF23</f>
        <v>2</v>
      </c>
      <c r="AG23" s="28">
        <f>Grupo!AG23</f>
        <v>0</v>
      </c>
      <c r="AH23" s="28">
        <f>Grupo!AH23</f>
        <v>0</v>
      </c>
      <c r="AI23" s="28">
        <f>Grupo!AI23</f>
        <v>3</v>
      </c>
      <c r="AJ23" s="28">
        <f>Grupo!AJ23</f>
        <v>1</v>
      </c>
      <c r="AK23" s="28">
        <f>Grupo!AK23</f>
        <v>1</v>
      </c>
      <c r="AL23" s="28">
        <f>Grupo!AL23</f>
        <v>0</v>
      </c>
      <c r="AM23" s="28">
        <f>Grupo!AM23</f>
        <v>2</v>
      </c>
      <c r="AN23" s="28">
        <f>Grupo!AN23</f>
        <v>0</v>
      </c>
      <c r="AO23" s="28">
        <f>Grupo!AO23</f>
        <v>5</v>
      </c>
      <c r="AP23" s="28">
        <f>Grupo!AP23</f>
        <v>0</v>
      </c>
      <c r="AQ23" s="28">
        <f>Grupo!AQ23</f>
        <v>0</v>
      </c>
      <c r="AR23" s="28">
        <f>Grupo!AR23</f>
        <v>2</v>
      </c>
      <c r="AS23" s="28">
        <f>Grupo!AS23</f>
        <v>1</v>
      </c>
      <c r="AT23" s="28">
        <f>Grupo!AT23</f>
        <v>0</v>
      </c>
      <c r="AU23" s="28">
        <f>Grupo!AU23</f>
        <v>2</v>
      </c>
      <c r="AV23" s="28">
        <f>Grupo!AV23</f>
        <v>1</v>
      </c>
      <c r="AW23" s="28">
        <f>Grupo!AW23</f>
        <v>0</v>
      </c>
      <c r="AX23" s="28">
        <f>Grupo!AX23</f>
        <v>3</v>
      </c>
      <c r="AY23" s="28">
        <f>Grupo!AY23</f>
        <v>1</v>
      </c>
      <c r="AZ23" s="28">
        <f>Grupo!AZ23</f>
        <v>3</v>
      </c>
      <c r="BA23" s="28">
        <f>Grupo!BA23</f>
        <v>1</v>
      </c>
      <c r="BB23" s="28">
        <f>Grupo!BB23</f>
        <v>2</v>
      </c>
      <c r="BC23" s="28">
        <f>Grupo!BC23</f>
        <v>1</v>
      </c>
      <c r="BD23" s="28">
        <f>Grupo!BD23</f>
        <v>3</v>
      </c>
      <c r="BE23" s="28">
        <f>Grupo!BE23</f>
        <v>2</v>
      </c>
      <c r="BF23" s="28">
        <f>Grupo!BF23</f>
        <v>1</v>
      </c>
      <c r="BG23" s="28">
        <f>Grupo!BG23</f>
        <v>1</v>
      </c>
      <c r="BH23" s="28">
        <f>Grupo!BH23</f>
        <v>1</v>
      </c>
      <c r="BI23" s="28">
        <f>Grupo!BI23</f>
        <v>0</v>
      </c>
      <c r="BJ23" s="28">
        <f>Grupo!BJ23</f>
        <v>1</v>
      </c>
      <c r="BK23" s="28">
        <f>Grupo!BK23</f>
        <v>1</v>
      </c>
      <c r="BL23" s="28">
        <f>Grupo!BL23</f>
        <v>0</v>
      </c>
      <c r="BM23" s="28">
        <f>Grupo!BM23</f>
        <v>3</v>
      </c>
      <c r="BN23" s="28">
        <f>Grupo!BN23</f>
        <v>2</v>
      </c>
      <c r="BO23" s="28">
        <f>Grupo!BO23</f>
        <v>1</v>
      </c>
      <c r="BP23" s="28">
        <f>Grupo!BP23</f>
        <v>3</v>
      </c>
      <c r="BQ23" s="28">
        <f>Grupo!BQ23</f>
        <v>1</v>
      </c>
      <c r="BR23" s="28">
        <f>Grupo!BR23</f>
        <v>0</v>
      </c>
      <c r="BS23" s="28">
        <f>Grupo!BS23</f>
        <v>1</v>
      </c>
      <c r="BT23" s="28">
        <f>Grupo!BT23</f>
        <v>3</v>
      </c>
      <c r="BU23" s="28">
        <f>Grupo!BU23</f>
        <v>3</v>
      </c>
      <c r="BV23" s="28">
        <f>Grupo!BV23</f>
        <v>1</v>
      </c>
      <c r="BW23" s="28">
        <f>Grupo!BW23</f>
        <v>1</v>
      </c>
      <c r="BX23" s="28">
        <f>Grupo!BX23</f>
        <v>3</v>
      </c>
      <c r="BY23" s="28">
        <f>Grupo!BY23</f>
        <v>2</v>
      </c>
      <c r="BZ23" s="28">
        <f>Grupo!BZ23</f>
        <v>0</v>
      </c>
      <c r="CA23" s="28">
        <f>Grupo!CA23</f>
        <v>1</v>
      </c>
      <c r="CB23" s="28">
        <f>Grupo!CB23</f>
        <v>2</v>
      </c>
      <c r="CC23" s="28">
        <f>Grupo!CC23</f>
        <v>1</v>
      </c>
      <c r="CD23" s="28">
        <f>Grupo!CD23</f>
        <v>1</v>
      </c>
      <c r="CE23" s="28">
        <f>Grupo!CE23</f>
        <v>3</v>
      </c>
      <c r="CF23" s="28">
        <f>Grupo!CF23</f>
        <v>2</v>
      </c>
      <c r="CG23" s="28">
        <f>Grupo!CG23</f>
        <v>1</v>
      </c>
      <c r="CH23" s="28">
        <f>Grupo!CH23</f>
        <v>4</v>
      </c>
      <c r="CI23" s="28">
        <f>Grupo!CI23</f>
        <v>1</v>
      </c>
      <c r="CJ23" s="28">
        <f>Grupo!CJ23</f>
        <v>1</v>
      </c>
      <c r="CK23" s="28">
        <f>Grupo!CK23</f>
        <v>1</v>
      </c>
      <c r="CL23" s="28">
        <f>Grupo!CL23</f>
        <v>2</v>
      </c>
      <c r="CM23" s="28">
        <f>Grupo!CM23</f>
        <v>1</v>
      </c>
      <c r="CN23" s="28">
        <f>Grupo!CN23</f>
        <v>2</v>
      </c>
      <c r="CO23" s="28">
        <f>Grupo!CO23</f>
        <v>2</v>
      </c>
      <c r="CP23" s="28">
        <f>Grupo!CP23</f>
        <v>0</v>
      </c>
      <c r="CQ23" s="28">
        <f>Grupo!CQ23</f>
        <v>2</v>
      </c>
      <c r="CR23" s="28">
        <f>Grupo!CR23</f>
        <v>0</v>
      </c>
      <c r="CS23" s="28">
        <f>Grupo!CS23</f>
        <v>3</v>
      </c>
      <c r="CT23" s="28">
        <f>Grupo!CT23</f>
        <v>4</v>
      </c>
      <c r="CU23" s="28">
        <f>Grupo!CU23</f>
        <v>1</v>
      </c>
      <c r="CV23" s="28">
        <f>Grupo!CV23</f>
        <v>1</v>
      </c>
      <c r="CW23" s="28">
        <f>Grupo!CW23</f>
        <v>2</v>
      </c>
      <c r="CX23" s="28">
        <f>Grupo!CX23</f>
        <v>0</v>
      </c>
      <c r="CY23" s="28">
        <f>Grupo!CY23</f>
        <v>0</v>
      </c>
      <c r="CZ23" s="28">
        <f>Grupo!CZ23</f>
        <v>2</v>
      </c>
      <c r="DA23" s="28">
        <f>Grupo!DA23</f>
        <v>1</v>
      </c>
      <c r="DB23" s="28">
        <f>Grupo!DB23</f>
        <v>1</v>
      </c>
      <c r="DC23" s="28">
        <f>Grupo!DC23</f>
        <v>1</v>
      </c>
      <c r="DD23" s="28">
        <f>Grupo!DD23</f>
        <v>2</v>
      </c>
      <c r="DE23" s="28">
        <f>Grupo!DE23</f>
        <v>1</v>
      </c>
      <c r="DF23" s="28">
        <f>Grupo!DF23</f>
        <v>2</v>
      </c>
      <c r="DG23" s="28">
        <f>Grupo!DG23</f>
        <v>0</v>
      </c>
      <c r="DH23" s="28">
        <f>Grupo!DH23</f>
        <v>0</v>
      </c>
      <c r="DI23" s="28">
        <f>Grupo!DI23</f>
        <v>4</v>
      </c>
      <c r="DJ23" s="28">
        <f>Grupo!DJ23</f>
        <v>1</v>
      </c>
      <c r="DK23" s="28">
        <f>Grupo!DK23</f>
        <v>1</v>
      </c>
      <c r="DL23" s="28">
        <f>Grupo!DL23</f>
        <v>2</v>
      </c>
      <c r="DM23" s="28">
        <f>Grupo!DM23</f>
        <v>1</v>
      </c>
      <c r="DN23" s="28">
        <f>Grupo!DN23</f>
        <v>0</v>
      </c>
      <c r="DO23" s="28">
        <f>Grupo!DO23</f>
        <v>1</v>
      </c>
      <c r="DP23" s="28">
        <f>Grupo!DP23</f>
        <v>1</v>
      </c>
      <c r="DQ23" s="28">
        <f>Grupo!DQ23</f>
        <v>0</v>
      </c>
      <c r="DR23" s="28">
        <f>Grupo!DR23</f>
        <v>1</v>
      </c>
      <c r="DS23" s="28">
        <f>Grupo!DS23</f>
        <v>1</v>
      </c>
      <c r="DT23" s="28">
        <f>Grupo!DT23</f>
        <v>0</v>
      </c>
      <c r="DU23" s="28">
        <f>Grupo!DU23</f>
        <v>3</v>
      </c>
      <c r="DV23" s="28">
        <f>Grupo!DV23</f>
        <v>0</v>
      </c>
      <c r="DW23" s="28">
        <f>Grupo!DW23</f>
        <v>3</v>
      </c>
      <c r="DX23" s="28">
        <f>Grupo!DX23</f>
        <v>2</v>
      </c>
      <c r="DY23" s="28">
        <f>Grupo!DY23</f>
        <v>0</v>
      </c>
      <c r="DZ23" s="28">
        <f>Grupo!DZ23</f>
        <v>3</v>
      </c>
      <c r="EA23" s="70">
        <f>Grupo!EA23</f>
        <v>1</v>
      </c>
      <c r="EB23" s="70">
        <f>Grupo!EB23</f>
        <v>1</v>
      </c>
      <c r="EC23" s="70">
        <f>Grupo!EC23</f>
        <v>0</v>
      </c>
      <c r="ED23" s="70">
        <f>Grupo!ED23</f>
        <v>3</v>
      </c>
      <c r="EE23" s="70">
        <f>Grupo!EE23</f>
        <v>0</v>
      </c>
      <c r="EF23" s="70">
        <f>Grupo!EF23</f>
        <v>0</v>
      </c>
      <c r="EG23" s="70">
        <f>Grupo!EG23</f>
        <v>1</v>
      </c>
      <c r="EH23" s="70">
        <f>Grupo!EH23</f>
        <v>2</v>
      </c>
      <c r="EI23" s="70">
        <f>Grupo!EI23</f>
        <v>1</v>
      </c>
      <c r="EJ23" s="70">
        <f>Grupo!EJ23</f>
        <v>3</v>
      </c>
      <c r="EK23" s="70">
        <f>Grupo!EK23</f>
        <v>0</v>
      </c>
      <c r="EL23" s="70">
        <f>Grupo!EL23</f>
        <v>1</v>
      </c>
      <c r="EM23" s="70">
        <f>Grupo!EM23</f>
        <v>3</v>
      </c>
      <c r="EN23" s="70">
        <f>Grupo!EN23</f>
        <v>1</v>
      </c>
      <c r="EO23" s="70">
        <f>Grupo!EO23</f>
        <v>1</v>
      </c>
      <c r="EP23" s="78">
        <f>Grupo!EP23</f>
        <v>0</v>
      </c>
      <c r="EQ23" s="78">
        <f>Grupo!EQ23</f>
        <v>3</v>
      </c>
      <c r="ER23" s="78">
        <f>Grupo!ER23</f>
        <v>3</v>
      </c>
      <c r="ES23" s="78">
        <f>Grupo!ES23</f>
        <v>3</v>
      </c>
      <c r="ET23" s="78">
        <f>Grupo!ET23</f>
        <v>1</v>
      </c>
      <c r="EU23" s="78">
        <f>Grupo!EU23</f>
        <v>1</v>
      </c>
      <c r="EV23" s="78">
        <f>Grupo!EV23</f>
        <v>1</v>
      </c>
      <c r="EW23" s="78">
        <f>Grupo!EW23</f>
        <v>1</v>
      </c>
      <c r="EX23" s="78">
        <f>Grupo!EX23</f>
        <v>0</v>
      </c>
      <c r="EY23" s="78">
        <f>Grupo!EY23</f>
        <v>1</v>
      </c>
      <c r="EZ23" s="78">
        <f>Grupo!EZ23</f>
        <v>1</v>
      </c>
      <c r="FA23" s="78">
        <f>Grupo!FA23</f>
        <v>0</v>
      </c>
      <c r="FB23" s="78">
        <f>Grupo!FB23</f>
        <v>1</v>
      </c>
      <c r="FC23" s="78">
        <f>Grupo!FC23</f>
        <v>3</v>
      </c>
      <c r="FD23" s="78">
        <f>Grupo!FD23</f>
        <v>1</v>
      </c>
      <c r="FE23" s="78">
        <f>Grupo!FE23</f>
        <v>1</v>
      </c>
      <c r="FF23" s="78">
        <f>Grupo!FF23</f>
        <v>2</v>
      </c>
      <c r="FG23" s="78">
        <f>Grupo!FG23</f>
        <v>0</v>
      </c>
      <c r="FH23" s="78">
        <f>Grupo!FH23</f>
        <v>0</v>
      </c>
      <c r="FI23" s="78">
        <f>Grupo!FI23</f>
        <v>2</v>
      </c>
      <c r="FJ23" s="78">
        <f>Grupo!FJ23</f>
        <v>3</v>
      </c>
      <c r="FK23" s="78">
        <f>Grupo!FK23</f>
        <v>1</v>
      </c>
      <c r="FL23" s="78">
        <f>Grupo!FL23</f>
        <v>2</v>
      </c>
      <c r="FM23" s="78">
        <f>Grupo!FM23</f>
        <v>0</v>
      </c>
      <c r="FN23" s="78">
        <f>Grupo!FN23</f>
        <v>1</v>
      </c>
      <c r="FO23" s="78">
        <f>Grupo!FO23</f>
        <v>1</v>
      </c>
      <c r="FP23" s="78">
        <f>Grupo!FP23</f>
        <v>3</v>
      </c>
      <c r="FQ23" s="78">
        <f>Grupo!FQ23</f>
        <v>1</v>
      </c>
      <c r="FR23" s="78">
        <f>Grupo!FR23</f>
        <v>2</v>
      </c>
      <c r="FS23" s="78">
        <f>Grupo!FS23</f>
        <v>1</v>
      </c>
      <c r="FT23" s="78">
        <f>Grupo!FT23</f>
        <v>1</v>
      </c>
      <c r="FU23" s="78">
        <f>Grupo!FU23</f>
        <v>2</v>
      </c>
      <c r="FV23" s="78">
        <f>Grupo!FV23</f>
        <v>0</v>
      </c>
      <c r="FW23" s="78">
        <f>Grupo!FW23</f>
        <v>1</v>
      </c>
      <c r="FX23" s="78">
        <f>Grupo!FX23</f>
        <v>1</v>
      </c>
      <c r="FY23" s="78">
        <f>Grupo!FY23</f>
        <v>1</v>
      </c>
      <c r="FZ23" s="78">
        <f>Grupo!FZ23</f>
        <v>1</v>
      </c>
      <c r="GA23" s="78">
        <f>Grupo!GA23</f>
        <v>3</v>
      </c>
      <c r="GB23" s="78">
        <f>Grupo!GB23</f>
        <v>1</v>
      </c>
      <c r="GC23" s="78">
        <f>Grupo!GC23</f>
        <v>1</v>
      </c>
      <c r="GD23" s="78">
        <f>Grupo!GD23</f>
        <v>1</v>
      </c>
      <c r="GE23" s="78">
        <f>Grupo!GE23</f>
        <v>0</v>
      </c>
      <c r="GF23" s="78">
        <f>Grupo!GF23</f>
        <v>1</v>
      </c>
      <c r="GG23" s="78">
        <f>Grupo!GG23</f>
        <v>2</v>
      </c>
      <c r="GH23" s="78">
        <f>Grupo!GH23</f>
        <v>0</v>
      </c>
      <c r="GI23" s="78">
        <f>Grupo!GI23</f>
        <v>1</v>
      </c>
      <c r="GJ23" s="78">
        <f>Grupo!GJ23</f>
        <v>0</v>
      </c>
      <c r="GK23" s="78">
        <f>Grupo!GK23</f>
        <v>0</v>
      </c>
      <c r="GL23" s="78">
        <f>Grupo!GL23</f>
        <v>1</v>
      </c>
      <c r="GM23" s="78">
        <f>Grupo!GM23</f>
        <v>3</v>
      </c>
      <c r="GN23" s="78">
        <f>Grupo!GN23</f>
        <v>0</v>
      </c>
      <c r="GO23" s="78">
        <f>Grupo!GO23</f>
        <v>1</v>
      </c>
      <c r="GP23" s="78">
        <f>Grupo!GP23</f>
        <v>3</v>
      </c>
      <c r="GQ23" s="78">
        <f>Grupo!GQ23</f>
        <v>1</v>
      </c>
      <c r="GR23" s="79">
        <f>Grupo!GR23</f>
        <v>1</v>
      </c>
      <c r="GS23" s="79">
        <f>Grupo!GS23</f>
        <v>3</v>
      </c>
      <c r="GT23" s="79" t="str">
        <f>Grupo!GT23</f>
        <v/>
      </c>
      <c r="GU23" s="79">
        <f>Grupo!GU23</f>
        <v>3</v>
      </c>
      <c r="GV23" s="79">
        <f>Grupo!GV23</f>
        <v>1</v>
      </c>
      <c r="GW23" s="79" t="str">
        <f>Grupo!GW23</f>
        <v/>
      </c>
      <c r="GX23" s="76">
        <f>Grupo!GX23</f>
        <v>1</v>
      </c>
      <c r="GY23" s="76">
        <f>Grupo!GY23</f>
        <v>1</v>
      </c>
      <c r="GZ23" s="76" t="str">
        <f>Grupo!GZ23</f>
        <v/>
      </c>
      <c r="HA23" s="76">
        <f>Grupo!HA23</f>
        <v>0</v>
      </c>
      <c r="HB23" s="76">
        <f>Grupo!HB23</f>
        <v>3</v>
      </c>
      <c r="HC23" s="76" t="str">
        <f>Grupo!HC23</f>
        <v/>
      </c>
      <c r="HD23" s="76">
        <f>Grupo!HD23</f>
        <v>1</v>
      </c>
      <c r="HE23" s="76">
        <f>Grupo!HE23</f>
        <v>2</v>
      </c>
      <c r="HF23" s="76" t="str">
        <f>Grupo!HF23</f>
        <v/>
      </c>
      <c r="HG23" s="76">
        <f>Grupo!HG23</f>
        <v>1</v>
      </c>
      <c r="HH23" s="76">
        <f>Grupo!HH23</f>
        <v>1</v>
      </c>
      <c r="HI23" s="76" t="str">
        <f>Grupo!HI23</f>
        <v/>
      </c>
      <c r="HJ23" s="32">
        <f>Grupo!HJ23</f>
        <v>53</v>
      </c>
      <c r="HK23" s="25" t="s">
        <v>34</v>
      </c>
    </row>
    <row r="24" spans="1:219" ht="20.25" customHeight="1" thickBot="1" x14ac:dyDescent="0.35">
      <c r="A24" s="34" t="str">
        <f>Grupo!A24</f>
        <v>José de León</v>
      </c>
      <c r="B24" s="28">
        <f>Grupo!B24</f>
        <v>2</v>
      </c>
      <c r="C24" s="28">
        <f>Grupo!C24</f>
        <v>1</v>
      </c>
      <c r="D24" s="28">
        <f>Grupo!D24</f>
        <v>1</v>
      </c>
      <c r="E24" s="28">
        <f>Grupo!E24</f>
        <v>2</v>
      </c>
      <c r="F24" s="28">
        <f>Grupo!F24</f>
        <v>1</v>
      </c>
      <c r="G24" s="28">
        <f>Grupo!G24</f>
        <v>3</v>
      </c>
      <c r="H24" s="28">
        <f>Grupo!H24</f>
        <v>1</v>
      </c>
      <c r="I24" s="28">
        <f>Grupo!I24</f>
        <v>0</v>
      </c>
      <c r="J24" s="28">
        <f>Grupo!J24</f>
        <v>0</v>
      </c>
      <c r="K24" s="28">
        <f>Grupo!K24</f>
        <v>3</v>
      </c>
      <c r="L24" s="28">
        <f>Grupo!L24</f>
        <v>0</v>
      </c>
      <c r="M24" s="28">
        <f>Grupo!M24</f>
        <v>1</v>
      </c>
      <c r="N24" s="28">
        <f>Grupo!N24</f>
        <v>0</v>
      </c>
      <c r="O24" s="28">
        <f>Grupo!O24</f>
        <v>3</v>
      </c>
      <c r="P24" s="28">
        <f>Grupo!P24</f>
        <v>1</v>
      </c>
      <c r="Q24" s="28">
        <f>Grupo!Q24</f>
        <v>1</v>
      </c>
      <c r="R24" s="28">
        <f>Grupo!R24</f>
        <v>3</v>
      </c>
      <c r="S24" s="28">
        <f>Grupo!S24</f>
        <v>0</v>
      </c>
      <c r="T24" s="28">
        <f>Grupo!T24</f>
        <v>0</v>
      </c>
      <c r="U24" s="28">
        <f>Grupo!U24</f>
        <v>2</v>
      </c>
      <c r="V24" s="28">
        <f>Grupo!V24</f>
        <v>0</v>
      </c>
      <c r="W24" s="28">
        <f>Grupo!W24</f>
        <v>1</v>
      </c>
      <c r="X24" s="28">
        <f>Grupo!X24</f>
        <v>2</v>
      </c>
      <c r="Y24" s="28">
        <f>Grupo!Y24</f>
        <v>0</v>
      </c>
      <c r="Z24" s="28">
        <f>Grupo!Z24</f>
        <v>1</v>
      </c>
      <c r="AA24" s="28">
        <f>Grupo!AA24</f>
        <v>2</v>
      </c>
      <c r="AB24" s="28">
        <f>Grupo!AB24</f>
        <v>0</v>
      </c>
      <c r="AC24" s="28">
        <f>Grupo!AC24</f>
        <v>4</v>
      </c>
      <c r="AD24" s="28">
        <f>Grupo!AD24</f>
        <v>0</v>
      </c>
      <c r="AE24" s="28">
        <f>Grupo!AE24</f>
        <v>1</v>
      </c>
      <c r="AF24" s="28">
        <f>Grupo!AF24</f>
        <v>1</v>
      </c>
      <c r="AG24" s="28">
        <f>Grupo!AG24</f>
        <v>1</v>
      </c>
      <c r="AH24" s="28">
        <f>Grupo!AH24</f>
        <v>1</v>
      </c>
      <c r="AI24" s="28">
        <f>Grupo!AI24</f>
        <v>1</v>
      </c>
      <c r="AJ24" s="28">
        <f>Grupo!AJ24</f>
        <v>0</v>
      </c>
      <c r="AK24" s="28">
        <f>Grupo!AK24</f>
        <v>1</v>
      </c>
      <c r="AL24" s="28">
        <f>Grupo!AL24</f>
        <v>0</v>
      </c>
      <c r="AM24" s="28">
        <f>Grupo!AM24</f>
        <v>1</v>
      </c>
      <c r="AN24" s="28">
        <f>Grupo!AN24</f>
        <v>0</v>
      </c>
      <c r="AO24" s="28">
        <f>Grupo!AO24</f>
        <v>4</v>
      </c>
      <c r="AP24" s="28">
        <f>Grupo!AP24</f>
        <v>0</v>
      </c>
      <c r="AQ24" s="28">
        <f>Grupo!AQ24</f>
        <v>0</v>
      </c>
      <c r="AR24" s="28">
        <f>Grupo!AR24</f>
        <v>2</v>
      </c>
      <c r="AS24" s="28">
        <f>Grupo!AS24</f>
        <v>1</v>
      </c>
      <c r="AT24" s="28">
        <f>Grupo!AT24</f>
        <v>0</v>
      </c>
      <c r="AU24" s="28">
        <f>Grupo!AU24</f>
        <v>2</v>
      </c>
      <c r="AV24" s="28">
        <f>Grupo!AV24</f>
        <v>1</v>
      </c>
      <c r="AW24" s="28">
        <f>Grupo!AW24</f>
        <v>0</v>
      </c>
      <c r="AX24" s="28">
        <f>Grupo!AX24</f>
        <v>2</v>
      </c>
      <c r="AY24" s="28">
        <f>Grupo!AY24</f>
        <v>0</v>
      </c>
      <c r="AZ24" s="28">
        <f>Grupo!AZ24</f>
        <v>1</v>
      </c>
      <c r="BA24" s="28">
        <f>Grupo!BA24</f>
        <v>0</v>
      </c>
      <c r="BB24" s="28">
        <f>Grupo!BB24</f>
        <v>2</v>
      </c>
      <c r="BC24" s="28">
        <f>Grupo!BC24</f>
        <v>1</v>
      </c>
      <c r="BD24" s="28">
        <f>Grupo!BD24</f>
        <v>2</v>
      </c>
      <c r="BE24" s="28">
        <f>Grupo!BE24</f>
        <v>1</v>
      </c>
      <c r="BF24" s="28">
        <f>Grupo!BF24</f>
        <v>1</v>
      </c>
      <c r="BG24" s="28">
        <f>Grupo!BG24</f>
        <v>3</v>
      </c>
      <c r="BH24" s="28">
        <f>Grupo!BH24</f>
        <v>0</v>
      </c>
      <c r="BI24" s="28">
        <f>Grupo!BI24</f>
        <v>1</v>
      </c>
      <c r="BJ24" s="28">
        <f>Grupo!BJ24</f>
        <v>2</v>
      </c>
      <c r="BK24" s="28">
        <f>Grupo!BK24</f>
        <v>0</v>
      </c>
      <c r="BL24" s="28">
        <f>Grupo!BL24</f>
        <v>1</v>
      </c>
      <c r="BM24" s="28">
        <f>Grupo!BM24</f>
        <v>1</v>
      </c>
      <c r="BN24" s="28">
        <f>Grupo!BN24</f>
        <v>0</v>
      </c>
      <c r="BO24" s="28">
        <f>Grupo!BO24</f>
        <v>1</v>
      </c>
      <c r="BP24" s="28">
        <f>Grupo!BP24</f>
        <v>3</v>
      </c>
      <c r="BQ24" s="28">
        <f>Grupo!BQ24</f>
        <v>0</v>
      </c>
      <c r="BR24" s="28">
        <f>Grupo!BR24</f>
        <v>0</v>
      </c>
      <c r="BS24" s="28">
        <f>Grupo!BS24</f>
        <v>0</v>
      </c>
      <c r="BT24" s="28">
        <f>Grupo!BT24</f>
        <v>1</v>
      </c>
      <c r="BU24" s="28">
        <f>Grupo!BU24</f>
        <v>1</v>
      </c>
      <c r="BV24" s="28">
        <f>Grupo!BV24</f>
        <v>3</v>
      </c>
      <c r="BW24" s="28">
        <f>Grupo!BW24</f>
        <v>1</v>
      </c>
      <c r="BX24" s="28">
        <f>Grupo!BX24</f>
        <v>0</v>
      </c>
      <c r="BY24" s="28">
        <f>Grupo!BY24</f>
        <v>1</v>
      </c>
      <c r="BZ24" s="28">
        <f>Grupo!BZ24</f>
        <v>1</v>
      </c>
      <c r="CA24" s="28">
        <f>Grupo!CA24</f>
        <v>0</v>
      </c>
      <c r="CB24" s="28">
        <f>Grupo!CB24</f>
        <v>1</v>
      </c>
      <c r="CC24" s="28">
        <f>Grupo!CC24</f>
        <v>0</v>
      </c>
      <c r="CD24" s="28">
        <f>Grupo!CD24</f>
        <v>1</v>
      </c>
      <c r="CE24" s="28">
        <f>Grupo!CE24</f>
        <v>2</v>
      </c>
      <c r="CF24" s="28">
        <f>Grupo!CF24</f>
        <v>0</v>
      </c>
      <c r="CG24" s="28">
        <f>Grupo!CG24</f>
        <v>1</v>
      </c>
      <c r="CH24" s="28">
        <f>Grupo!CH24</f>
        <v>4</v>
      </c>
      <c r="CI24" s="28">
        <f>Grupo!CI24</f>
        <v>0</v>
      </c>
      <c r="CJ24" s="28">
        <f>Grupo!CJ24</f>
        <v>1</v>
      </c>
      <c r="CK24" s="28">
        <f>Grupo!CK24</f>
        <v>2</v>
      </c>
      <c r="CL24" s="28">
        <f>Grupo!CL24</f>
        <v>2</v>
      </c>
      <c r="CM24" s="28">
        <f>Grupo!CM24</f>
        <v>0</v>
      </c>
      <c r="CN24" s="28">
        <f>Grupo!CN24</f>
        <v>2</v>
      </c>
      <c r="CO24" s="28">
        <f>Grupo!CO24</f>
        <v>0</v>
      </c>
      <c r="CP24" s="28">
        <f>Grupo!CP24</f>
        <v>0</v>
      </c>
      <c r="CQ24" s="28">
        <f>Grupo!CQ24</f>
        <v>1</v>
      </c>
      <c r="CR24" s="28">
        <f>Grupo!CR24</f>
        <v>0</v>
      </c>
      <c r="CS24" s="28">
        <f>Grupo!CS24</f>
        <v>1</v>
      </c>
      <c r="CT24" s="28">
        <f>Grupo!CT24</f>
        <v>3</v>
      </c>
      <c r="CU24" s="28">
        <f>Grupo!CU24</f>
        <v>2</v>
      </c>
      <c r="CV24" s="28">
        <f>Grupo!CV24</f>
        <v>1</v>
      </c>
      <c r="CW24" s="28">
        <f>Grupo!CW24</f>
        <v>2</v>
      </c>
      <c r="CX24" s="28">
        <f>Grupo!CX24</f>
        <v>0</v>
      </c>
      <c r="CY24" s="28">
        <f>Grupo!CY24</f>
        <v>0</v>
      </c>
      <c r="CZ24" s="28">
        <f>Grupo!CZ24</f>
        <v>2</v>
      </c>
      <c r="DA24" s="28">
        <f>Grupo!DA24</f>
        <v>2</v>
      </c>
      <c r="DB24" s="28">
        <f>Grupo!DB24</f>
        <v>0</v>
      </c>
      <c r="DC24" s="28">
        <f>Grupo!DC24</f>
        <v>0</v>
      </c>
      <c r="DD24" s="28">
        <f>Grupo!DD24</f>
        <v>1</v>
      </c>
      <c r="DE24" s="28">
        <f>Grupo!DE24</f>
        <v>1</v>
      </c>
      <c r="DF24" s="28">
        <f>Grupo!DF24</f>
        <v>1</v>
      </c>
      <c r="DG24" s="28">
        <f>Grupo!DG24</f>
        <v>0</v>
      </c>
      <c r="DH24" s="28">
        <f>Grupo!DH24</f>
        <v>0</v>
      </c>
      <c r="DI24" s="28">
        <f>Grupo!DI24</f>
        <v>3</v>
      </c>
      <c r="DJ24" s="28">
        <f>Grupo!DJ24</f>
        <v>0</v>
      </c>
      <c r="DK24" s="28">
        <f>Grupo!DK24</f>
        <v>1</v>
      </c>
      <c r="DL24" s="28">
        <f>Grupo!DL24</f>
        <v>2</v>
      </c>
      <c r="DM24" s="28">
        <f>Grupo!DM24</f>
        <v>1</v>
      </c>
      <c r="DN24" s="28">
        <f>Grupo!DN24</f>
        <v>0</v>
      </c>
      <c r="DO24" s="28">
        <f>Grupo!DO24</f>
        <v>0</v>
      </c>
      <c r="DP24" s="28">
        <f>Grupo!DP24</f>
        <v>2</v>
      </c>
      <c r="DQ24" s="28">
        <f>Grupo!DQ24</f>
        <v>1</v>
      </c>
      <c r="DR24" s="28">
        <f>Grupo!DR24</f>
        <v>2</v>
      </c>
      <c r="DS24" s="28">
        <f>Grupo!DS24</f>
        <v>2</v>
      </c>
      <c r="DT24" s="28">
        <f>Grupo!DT24</f>
        <v>0</v>
      </c>
      <c r="DU24" s="28">
        <f>Grupo!DU24</f>
        <v>3</v>
      </c>
      <c r="DV24" s="28">
        <f>Grupo!DV24</f>
        <v>0</v>
      </c>
      <c r="DW24" s="28">
        <f>Grupo!DW24</f>
        <v>3</v>
      </c>
      <c r="DX24" s="28">
        <f>Grupo!DX24</f>
        <v>2</v>
      </c>
      <c r="DY24" s="28">
        <f>Grupo!DY24</f>
        <v>0</v>
      </c>
      <c r="DZ24" s="28">
        <f>Grupo!DZ24</f>
        <v>3</v>
      </c>
      <c r="EA24" s="70">
        <f>Grupo!EA24</f>
        <v>0</v>
      </c>
      <c r="EB24" s="70">
        <f>Grupo!EB24</f>
        <v>2</v>
      </c>
      <c r="EC24" s="70">
        <f>Grupo!EC24</f>
        <v>1</v>
      </c>
      <c r="ED24" s="70">
        <f>Grupo!ED24</f>
        <v>2</v>
      </c>
      <c r="EE24" s="70">
        <f>Grupo!EE24</f>
        <v>1</v>
      </c>
      <c r="EF24" s="70">
        <f>Grupo!EF24</f>
        <v>0</v>
      </c>
      <c r="EG24" s="70">
        <f>Grupo!EG24</f>
        <v>0</v>
      </c>
      <c r="EH24" s="70">
        <f>Grupo!EH24</f>
        <v>2</v>
      </c>
      <c r="EI24" s="70">
        <f>Grupo!EI24</f>
        <v>1</v>
      </c>
      <c r="EJ24" s="70">
        <f>Grupo!EJ24</f>
        <v>3</v>
      </c>
      <c r="EK24" s="70">
        <f>Grupo!EK24</f>
        <v>0</v>
      </c>
      <c r="EL24" s="70">
        <f>Grupo!EL24</f>
        <v>1</v>
      </c>
      <c r="EM24" s="70">
        <f>Grupo!EM24</f>
        <v>2</v>
      </c>
      <c r="EN24" s="70">
        <f>Grupo!EN24</f>
        <v>0</v>
      </c>
      <c r="EO24" s="70">
        <f>Grupo!EO24</f>
        <v>1</v>
      </c>
      <c r="EP24" s="78">
        <f>Grupo!EP24</f>
        <v>2</v>
      </c>
      <c r="EQ24" s="78">
        <f>Grupo!EQ24</f>
        <v>2</v>
      </c>
      <c r="ER24" s="78">
        <f>Grupo!ER24</f>
        <v>0</v>
      </c>
      <c r="ES24" s="78">
        <f>Grupo!ES24</f>
        <v>2</v>
      </c>
      <c r="ET24" s="78">
        <f>Grupo!ET24</f>
        <v>0</v>
      </c>
      <c r="EU24" s="78">
        <f>Grupo!EU24</f>
        <v>1</v>
      </c>
      <c r="EV24" s="78">
        <f>Grupo!EV24</f>
        <v>1</v>
      </c>
      <c r="EW24" s="78">
        <f>Grupo!EW24</f>
        <v>1</v>
      </c>
      <c r="EX24" s="78">
        <f>Grupo!EX24</f>
        <v>0</v>
      </c>
      <c r="EY24" s="78">
        <f>Grupo!EY24</f>
        <v>1</v>
      </c>
      <c r="EZ24" s="78">
        <f>Grupo!EZ24</f>
        <v>0</v>
      </c>
      <c r="FA24" s="78">
        <f>Grupo!FA24</f>
        <v>1</v>
      </c>
      <c r="FB24" s="78">
        <f>Grupo!FB24</f>
        <v>2</v>
      </c>
      <c r="FC24" s="78">
        <f>Grupo!FC24</f>
        <v>2</v>
      </c>
      <c r="FD24" s="78">
        <f>Grupo!FD24</f>
        <v>0</v>
      </c>
      <c r="FE24" s="78">
        <f>Grupo!FE24</f>
        <v>0</v>
      </c>
      <c r="FF24" s="78">
        <f>Grupo!FF24</f>
        <v>1</v>
      </c>
      <c r="FG24" s="78">
        <f>Grupo!FG24</f>
        <v>0</v>
      </c>
      <c r="FH24" s="78">
        <f>Grupo!FH24</f>
        <v>0</v>
      </c>
      <c r="FI24" s="78">
        <f>Grupo!FI24</f>
        <v>2</v>
      </c>
      <c r="FJ24" s="78">
        <f>Grupo!FJ24</f>
        <v>3</v>
      </c>
      <c r="FK24" s="78">
        <f>Grupo!FK24</f>
        <v>1</v>
      </c>
      <c r="FL24" s="78">
        <f>Grupo!FL24</f>
        <v>2</v>
      </c>
      <c r="FM24" s="78">
        <f>Grupo!FM24</f>
        <v>0</v>
      </c>
      <c r="FN24" s="78">
        <f>Grupo!FN24</f>
        <v>1</v>
      </c>
      <c r="FO24" s="78">
        <f>Grupo!FO24</f>
        <v>2</v>
      </c>
      <c r="FP24" s="78">
        <f>Grupo!FP24</f>
        <v>0</v>
      </c>
      <c r="FQ24" s="78">
        <f>Grupo!FQ24</f>
        <v>0</v>
      </c>
      <c r="FR24" s="78">
        <f>Grupo!FR24</f>
        <v>2</v>
      </c>
      <c r="FS24" s="78">
        <f>Grupo!FS24</f>
        <v>1</v>
      </c>
      <c r="FT24" s="78">
        <f>Grupo!FT24</f>
        <v>2</v>
      </c>
      <c r="FU24" s="78">
        <f>Grupo!FU24</f>
        <v>1</v>
      </c>
      <c r="FV24" s="78">
        <f>Grupo!FV24</f>
        <v>1</v>
      </c>
      <c r="FW24" s="78">
        <f>Grupo!FW24</f>
        <v>2</v>
      </c>
      <c r="FX24" s="78">
        <f>Grupo!FX24</f>
        <v>0</v>
      </c>
      <c r="FY24" s="78">
        <f>Grupo!FY24</f>
        <v>0</v>
      </c>
      <c r="FZ24" s="78">
        <f>Grupo!FZ24</f>
        <v>1</v>
      </c>
      <c r="GA24" s="78">
        <f>Grupo!GA24</f>
        <v>3</v>
      </c>
      <c r="GB24" s="78">
        <f>Grupo!GB24</f>
        <v>1</v>
      </c>
      <c r="GC24" s="78">
        <f>Grupo!GC24</f>
        <v>2</v>
      </c>
      <c r="GD24" s="78">
        <f>Grupo!GD24</f>
        <v>0</v>
      </c>
      <c r="GE24" s="78">
        <f>Grupo!GE24</f>
        <v>1</v>
      </c>
      <c r="GF24" s="78">
        <f>Grupo!GF24</f>
        <v>1</v>
      </c>
      <c r="GG24" s="78">
        <f>Grupo!GG24</f>
        <v>0</v>
      </c>
      <c r="GH24" s="78">
        <f>Grupo!GH24</f>
        <v>0</v>
      </c>
      <c r="GI24" s="78">
        <f>Grupo!GI24</f>
        <v>0</v>
      </c>
      <c r="GJ24" s="78">
        <f>Grupo!GJ24</f>
        <v>4</v>
      </c>
      <c r="GK24" s="78">
        <f>Grupo!GK24</f>
        <v>1</v>
      </c>
      <c r="GL24" s="78">
        <f>Grupo!GL24</f>
        <v>1</v>
      </c>
      <c r="GM24" s="78">
        <f>Grupo!GM24</f>
        <v>0</v>
      </c>
      <c r="GN24" s="78">
        <f>Grupo!GN24</f>
        <v>0</v>
      </c>
      <c r="GO24" s="78">
        <f>Grupo!GO24</f>
        <v>0</v>
      </c>
      <c r="GP24" s="78">
        <f>Grupo!GP24</f>
        <v>2</v>
      </c>
      <c r="GQ24" s="78">
        <f>Grupo!GQ24</f>
        <v>1</v>
      </c>
      <c r="GR24" s="79">
        <f>Grupo!GR24</f>
        <v>0</v>
      </c>
      <c r="GS24" s="79">
        <f>Grupo!GS24</f>
        <v>4</v>
      </c>
      <c r="GT24" s="79" t="str">
        <f>Grupo!GT24</f>
        <v/>
      </c>
      <c r="GU24" s="79">
        <f>Grupo!GU24</f>
        <v>2</v>
      </c>
      <c r="GV24" s="79">
        <f>Grupo!GV24</f>
        <v>1</v>
      </c>
      <c r="GW24" s="79" t="str">
        <f>Grupo!GW24</f>
        <v/>
      </c>
      <c r="GX24" s="76">
        <f>Grupo!GX24</f>
        <v>1</v>
      </c>
      <c r="GY24" s="76">
        <f>Grupo!GY24</f>
        <v>1</v>
      </c>
      <c r="GZ24" s="76" t="str">
        <f>Grupo!GZ24</f>
        <v/>
      </c>
      <c r="HA24" s="76">
        <f>Grupo!HA24</f>
        <v>0</v>
      </c>
      <c r="HB24" s="76">
        <f>Grupo!HB24</f>
        <v>3</v>
      </c>
      <c r="HC24" s="76" t="str">
        <f>Grupo!HC24</f>
        <v/>
      </c>
      <c r="HD24" s="76">
        <f>Grupo!HD24</f>
        <v>1</v>
      </c>
      <c r="HE24" s="76">
        <f>Grupo!HE24</f>
        <v>2</v>
      </c>
      <c r="HF24" s="76" t="str">
        <f>Grupo!HF24</f>
        <v/>
      </c>
      <c r="HG24" s="76">
        <f>Grupo!HG24</f>
        <v>0</v>
      </c>
      <c r="HH24" s="76">
        <f>Grupo!HH24</f>
        <v>0</v>
      </c>
      <c r="HI24" s="76" t="str">
        <f>Grupo!HI24</f>
        <v/>
      </c>
      <c r="HJ24" s="32">
        <f>Grupo!HJ24</f>
        <v>45</v>
      </c>
      <c r="HK24" s="25" t="s">
        <v>48</v>
      </c>
    </row>
    <row r="25" spans="1:219" ht="20.25" customHeight="1" thickBot="1" x14ac:dyDescent="0.35">
      <c r="A25" s="34" t="str">
        <f>Grupo!A25</f>
        <v>Jovanna</v>
      </c>
      <c r="B25" s="28">
        <f>Grupo!B25</f>
        <v>5</v>
      </c>
      <c r="C25" s="28">
        <f>Grupo!C25</f>
        <v>2</v>
      </c>
      <c r="D25" s="28">
        <f>Grupo!D25</f>
        <v>1</v>
      </c>
      <c r="E25" s="28">
        <f>Grupo!E25</f>
        <v>1</v>
      </c>
      <c r="F25" s="28">
        <f>Grupo!F25</f>
        <v>3</v>
      </c>
      <c r="G25" s="28">
        <f>Grupo!G25</f>
        <v>0</v>
      </c>
      <c r="H25" s="28">
        <f>Grupo!H25</f>
        <v>0</v>
      </c>
      <c r="I25" s="28">
        <f>Grupo!I25</f>
        <v>2</v>
      </c>
      <c r="J25" s="28">
        <f>Grupo!J25</f>
        <v>0</v>
      </c>
      <c r="K25" s="28">
        <f>Grupo!K25</f>
        <v>1</v>
      </c>
      <c r="L25" s="28">
        <f>Grupo!L25</f>
        <v>1</v>
      </c>
      <c r="M25" s="28">
        <f>Grupo!M25</f>
        <v>0</v>
      </c>
      <c r="N25" s="28">
        <f>Grupo!N25</f>
        <v>0</v>
      </c>
      <c r="O25" s="28">
        <f>Grupo!O25</f>
        <v>3</v>
      </c>
      <c r="P25" s="28">
        <f>Grupo!P25</f>
        <v>1</v>
      </c>
      <c r="Q25" s="28">
        <f>Grupo!Q25</f>
        <v>0</v>
      </c>
      <c r="R25" s="28">
        <f>Grupo!R25</f>
        <v>1</v>
      </c>
      <c r="S25" s="28">
        <f>Grupo!S25</f>
        <v>0</v>
      </c>
      <c r="T25" s="28">
        <f>Grupo!T25</f>
        <v>3</v>
      </c>
      <c r="U25" s="28">
        <f>Grupo!U25</f>
        <v>2</v>
      </c>
      <c r="V25" s="28">
        <f>Grupo!V25</f>
        <v>0</v>
      </c>
      <c r="W25" s="28">
        <f>Grupo!W25</f>
        <v>0</v>
      </c>
      <c r="X25" s="28">
        <f>Grupo!X25</f>
        <v>4</v>
      </c>
      <c r="Y25" s="28">
        <f>Grupo!Y25</f>
        <v>0</v>
      </c>
      <c r="Z25" s="28">
        <f>Grupo!Z25</f>
        <v>2</v>
      </c>
      <c r="AA25" s="28">
        <f>Grupo!AA25</f>
        <v>1</v>
      </c>
      <c r="AB25" s="28">
        <f>Grupo!AB25</f>
        <v>1</v>
      </c>
      <c r="AC25" s="28">
        <f>Grupo!AC25</f>
        <v>6</v>
      </c>
      <c r="AD25" s="28">
        <f>Grupo!AD25</f>
        <v>1</v>
      </c>
      <c r="AE25" s="28">
        <f>Grupo!AE25</f>
        <v>1</v>
      </c>
      <c r="AF25" s="28">
        <f>Grupo!AF25</f>
        <v>0</v>
      </c>
      <c r="AG25" s="28">
        <f>Grupo!AG25</f>
        <v>2</v>
      </c>
      <c r="AH25" s="28">
        <f>Grupo!AH25</f>
        <v>0</v>
      </c>
      <c r="AI25" s="28">
        <f>Grupo!AI25</f>
        <v>3</v>
      </c>
      <c r="AJ25" s="28">
        <f>Grupo!AJ25</f>
        <v>1</v>
      </c>
      <c r="AK25" s="28">
        <f>Grupo!AK25</f>
        <v>1</v>
      </c>
      <c r="AL25" s="28">
        <f>Grupo!AL25</f>
        <v>1</v>
      </c>
      <c r="AM25" s="28">
        <f>Grupo!AM25</f>
        <v>0</v>
      </c>
      <c r="AN25" s="28">
        <f>Grupo!AN25</f>
        <v>0</v>
      </c>
      <c r="AO25" s="28">
        <f>Grupo!AO25</f>
        <v>2</v>
      </c>
      <c r="AP25" s="28">
        <f>Grupo!AP25</f>
        <v>0</v>
      </c>
      <c r="AQ25" s="28">
        <f>Grupo!AQ25</f>
        <v>0</v>
      </c>
      <c r="AR25" s="28">
        <f>Grupo!AR25</f>
        <v>0</v>
      </c>
      <c r="AS25" s="28">
        <f>Grupo!AS25</f>
        <v>1</v>
      </c>
      <c r="AT25" s="28">
        <f>Grupo!AT25</f>
        <v>0</v>
      </c>
      <c r="AU25" s="28">
        <f>Grupo!AU25</f>
        <v>3</v>
      </c>
      <c r="AV25" s="28">
        <f>Grupo!AV25</f>
        <v>3</v>
      </c>
      <c r="AW25" s="28">
        <f>Grupo!AW25</f>
        <v>1</v>
      </c>
      <c r="AX25" s="28">
        <f>Grupo!AX25</f>
        <v>1</v>
      </c>
      <c r="AY25" s="28">
        <f>Grupo!AY25</f>
        <v>1</v>
      </c>
      <c r="AZ25" s="28">
        <f>Grupo!AZ25</f>
        <v>0</v>
      </c>
      <c r="BA25" s="28">
        <f>Grupo!BA25</f>
        <v>0</v>
      </c>
      <c r="BB25" s="28">
        <f>Grupo!BB25</f>
        <v>3</v>
      </c>
      <c r="BC25" s="28">
        <f>Grupo!BC25</f>
        <v>1</v>
      </c>
      <c r="BD25" s="28">
        <f>Grupo!BD25</f>
        <v>1</v>
      </c>
      <c r="BE25" s="28">
        <f>Grupo!BE25</f>
        <v>2</v>
      </c>
      <c r="BF25" s="28">
        <f>Grupo!BF25</f>
        <v>0</v>
      </c>
      <c r="BG25" s="28">
        <f>Grupo!BG25</f>
        <v>4</v>
      </c>
      <c r="BH25" s="28">
        <f>Grupo!BH25</f>
        <v>1</v>
      </c>
      <c r="BI25" s="28">
        <f>Grupo!BI25</f>
        <v>1</v>
      </c>
      <c r="BJ25" s="28">
        <f>Grupo!BJ25</f>
        <v>0</v>
      </c>
      <c r="BK25" s="28">
        <f>Grupo!BK25</f>
        <v>1</v>
      </c>
      <c r="BL25" s="28">
        <f>Grupo!BL25</f>
        <v>0</v>
      </c>
      <c r="BM25" s="28">
        <f>Grupo!BM25</f>
        <v>3</v>
      </c>
      <c r="BN25" s="28">
        <f>Grupo!BN25</f>
        <v>5</v>
      </c>
      <c r="BO25" s="28">
        <f>Grupo!BO25</f>
        <v>0</v>
      </c>
      <c r="BP25" s="28">
        <f>Grupo!BP25</f>
        <v>2</v>
      </c>
      <c r="BQ25" s="28">
        <f>Grupo!BQ25</f>
        <v>0</v>
      </c>
      <c r="BR25" s="28">
        <f>Grupo!BR25</f>
        <v>0</v>
      </c>
      <c r="BS25" s="28">
        <f>Grupo!BS25</f>
        <v>2</v>
      </c>
      <c r="BT25" s="28">
        <f>Grupo!BT25</f>
        <v>4</v>
      </c>
      <c r="BU25" s="28">
        <f>Grupo!BU25</f>
        <v>1</v>
      </c>
      <c r="BV25" s="28">
        <f>Grupo!BV25</f>
        <v>2</v>
      </c>
      <c r="BW25" s="28">
        <f>Grupo!BW25</f>
        <v>1</v>
      </c>
      <c r="BX25" s="28">
        <f>Grupo!BX25</f>
        <v>0</v>
      </c>
      <c r="BY25" s="28">
        <f>Grupo!BY25</f>
        <v>2</v>
      </c>
      <c r="BZ25" s="28">
        <f>Grupo!BZ25</f>
        <v>0</v>
      </c>
      <c r="CA25" s="28">
        <f>Grupo!CA25</f>
        <v>1</v>
      </c>
      <c r="CB25" s="28">
        <f>Grupo!CB25</f>
        <v>3</v>
      </c>
      <c r="CC25" s="28">
        <f>Grupo!CC25</f>
        <v>0</v>
      </c>
      <c r="CD25" s="28">
        <f>Grupo!CD25</f>
        <v>1</v>
      </c>
      <c r="CE25" s="28">
        <f>Grupo!CE25</f>
        <v>1</v>
      </c>
      <c r="CF25" s="28">
        <f>Grupo!CF25</f>
        <v>1</v>
      </c>
      <c r="CG25" s="28">
        <f>Grupo!CG25</f>
        <v>0</v>
      </c>
      <c r="CH25" s="28">
        <f>Grupo!CH25</f>
        <v>4</v>
      </c>
      <c r="CI25" s="28">
        <f>Grupo!CI25</f>
        <v>0</v>
      </c>
      <c r="CJ25" s="28">
        <f>Grupo!CJ25</f>
        <v>1</v>
      </c>
      <c r="CK25" s="28">
        <f>Grupo!CK25</f>
        <v>1</v>
      </c>
      <c r="CL25" s="28">
        <f>Grupo!CL25</f>
        <v>2</v>
      </c>
      <c r="CM25" s="28">
        <f>Grupo!CM25</f>
        <v>1</v>
      </c>
      <c r="CN25" s="28">
        <f>Grupo!CN25</f>
        <v>2</v>
      </c>
      <c r="CO25" s="28">
        <f>Grupo!CO25</f>
        <v>2</v>
      </c>
      <c r="CP25" s="28">
        <f>Grupo!CP25</f>
        <v>0</v>
      </c>
      <c r="CQ25" s="28">
        <f>Grupo!CQ25</f>
        <v>4</v>
      </c>
      <c r="CR25" s="28">
        <f>Grupo!CR25</f>
        <v>2</v>
      </c>
      <c r="CS25" s="28">
        <f>Grupo!CS25</f>
        <v>1</v>
      </c>
      <c r="CT25" s="28">
        <f>Grupo!CT25</f>
        <v>1</v>
      </c>
      <c r="CU25" s="28">
        <f>Grupo!CU25</f>
        <v>1</v>
      </c>
      <c r="CV25" s="28">
        <f>Grupo!CV25</f>
        <v>0</v>
      </c>
      <c r="CW25" s="28">
        <f>Grupo!CW25</f>
        <v>6</v>
      </c>
      <c r="CX25" s="28">
        <f>Grupo!CX25</f>
        <v>2</v>
      </c>
      <c r="CY25" s="28">
        <f>Grupo!CY25</f>
        <v>0</v>
      </c>
      <c r="CZ25" s="28">
        <f>Grupo!CZ25</f>
        <v>2</v>
      </c>
      <c r="DA25" s="28">
        <f>Grupo!DA25</f>
        <v>0</v>
      </c>
      <c r="DB25" s="28">
        <f>Grupo!DB25</f>
        <v>1</v>
      </c>
      <c r="DC25" s="28">
        <f>Grupo!DC25</f>
        <v>0</v>
      </c>
      <c r="DD25" s="28">
        <f>Grupo!DD25</f>
        <v>3</v>
      </c>
      <c r="DE25" s="28">
        <f>Grupo!DE25</f>
        <v>1</v>
      </c>
      <c r="DF25" s="28">
        <f>Grupo!DF25</f>
        <v>3</v>
      </c>
      <c r="DG25" s="28">
        <f>Grupo!DG25</f>
        <v>1</v>
      </c>
      <c r="DH25" s="28">
        <f>Grupo!DH25</f>
        <v>0</v>
      </c>
      <c r="DI25" s="28">
        <f>Grupo!DI25</f>
        <v>3</v>
      </c>
      <c r="DJ25" s="28">
        <f>Grupo!DJ25</f>
        <v>2</v>
      </c>
      <c r="DK25" s="28">
        <f>Grupo!DK25</f>
        <v>1</v>
      </c>
      <c r="DL25" s="28">
        <f>Grupo!DL25</f>
        <v>1</v>
      </c>
      <c r="DM25" s="28">
        <f>Grupo!DM25</f>
        <v>0</v>
      </c>
      <c r="DN25" s="28">
        <f>Grupo!DN25</f>
        <v>0</v>
      </c>
      <c r="DO25" s="28">
        <f>Grupo!DO25</f>
        <v>0</v>
      </c>
      <c r="DP25" s="28">
        <f>Grupo!DP25</f>
        <v>2</v>
      </c>
      <c r="DQ25" s="28">
        <f>Grupo!DQ25</f>
        <v>1</v>
      </c>
      <c r="DR25" s="28">
        <f>Grupo!DR25</f>
        <v>3</v>
      </c>
      <c r="DS25" s="28">
        <f>Grupo!DS25</f>
        <v>2</v>
      </c>
      <c r="DT25" s="28">
        <f>Grupo!DT25</f>
        <v>3</v>
      </c>
      <c r="DU25" s="28">
        <f>Grupo!DU25</f>
        <v>4</v>
      </c>
      <c r="DV25" s="28">
        <f>Grupo!DV25</f>
        <v>1</v>
      </c>
      <c r="DW25" s="28">
        <f>Grupo!DW25</f>
        <v>1</v>
      </c>
      <c r="DX25" s="28">
        <f>Grupo!DX25</f>
        <v>2</v>
      </c>
      <c r="DY25" s="28">
        <f>Grupo!DY25</f>
        <v>0</v>
      </c>
      <c r="DZ25" s="28">
        <f>Grupo!DZ25</f>
        <v>3</v>
      </c>
      <c r="EA25" s="70">
        <f>Grupo!EA25</f>
        <v>0</v>
      </c>
      <c r="EB25" s="70">
        <f>Grupo!EB25</f>
        <v>2</v>
      </c>
      <c r="EC25" s="70">
        <f>Grupo!EC25</f>
        <v>1</v>
      </c>
      <c r="ED25" s="70">
        <f>Grupo!ED25</f>
        <v>3</v>
      </c>
      <c r="EE25" s="70">
        <f>Grupo!EE25</f>
        <v>0</v>
      </c>
      <c r="EF25" s="70">
        <f>Grupo!EF25</f>
        <v>0</v>
      </c>
      <c r="EG25" s="70">
        <f>Grupo!EG25</f>
        <v>1</v>
      </c>
      <c r="EH25" s="70">
        <f>Grupo!EH25</f>
        <v>3</v>
      </c>
      <c r="EI25" s="70">
        <f>Grupo!EI25</f>
        <v>1</v>
      </c>
      <c r="EJ25" s="70">
        <f>Grupo!EJ25</f>
        <v>2</v>
      </c>
      <c r="EK25" s="70">
        <f>Grupo!EK25</f>
        <v>1</v>
      </c>
      <c r="EL25" s="70">
        <f>Grupo!EL25</f>
        <v>1</v>
      </c>
      <c r="EM25" s="70">
        <f>Grupo!EM25</f>
        <v>2</v>
      </c>
      <c r="EN25" s="70">
        <f>Grupo!EN25</f>
        <v>0</v>
      </c>
      <c r="EO25" s="70">
        <f>Grupo!EO25</f>
        <v>1</v>
      </c>
      <c r="EP25" s="78">
        <f>Grupo!EP25</f>
        <v>2</v>
      </c>
      <c r="EQ25" s="78">
        <f>Grupo!EQ25</f>
        <v>5</v>
      </c>
      <c r="ER25" s="78">
        <f>Grupo!ER25</f>
        <v>1</v>
      </c>
      <c r="ES25" s="78">
        <f>Grupo!ES25</f>
        <v>3</v>
      </c>
      <c r="ET25" s="78">
        <f>Grupo!ET25</f>
        <v>0</v>
      </c>
      <c r="EU25" s="78">
        <f>Grupo!EU25</f>
        <v>1</v>
      </c>
      <c r="EV25" s="78">
        <f>Grupo!EV25</f>
        <v>1</v>
      </c>
      <c r="EW25" s="78">
        <f>Grupo!EW25</f>
        <v>0</v>
      </c>
      <c r="EX25" s="78">
        <f>Grupo!EX25</f>
        <v>1</v>
      </c>
      <c r="EY25" s="78">
        <f>Grupo!EY25</f>
        <v>3</v>
      </c>
      <c r="EZ25" s="78">
        <f>Grupo!EZ25</f>
        <v>1</v>
      </c>
      <c r="FA25" s="78">
        <f>Grupo!FA25</f>
        <v>3</v>
      </c>
      <c r="FB25" s="78">
        <f>Grupo!FB25</f>
        <v>1</v>
      </c>
      <c r="FC25" s="78">
        <f>Grupo!FC25</f>
        <v>0</v>
      </c>
      <c r="FD25" s="78">
        <f>Grupo!FD25</f>
        <v>0</v>
      </c>
      <c r="FE25" s="78">
        <f>Grupo!FE25</f>
        <v>0</v>
      </c>
      <c r="FF25" s="78">
        <f>Grupo!FF25</f>
        <v>2</v>
      </c>
      <c r="FG25" s="78">
        <f>Grupo!FG25</f>
        <v>0</v>
      </c>
      <c r="FH25" s="78">
        <f>Grupo!FH25</f>
        <v>1</v>
      </c>
      <c r="FI25" s="78">
        <f>Grupo!FI25</f>
        <v>4</v>
      </c>
      <c r="FJ25" s="78">
        <f>Grupo!FJ25</f>
        <v>1</v>
      </c>
      <c r="FK25" s="78">
        <f>Grupo!FK25</f>
        <v>2</v>
      </c>
      <c r="FL25" s="78">
        <f>Grupo!FL25</f>
        <v>3</v>
      </c>
      <c r="FM25" s="78">
        <f>Grupo!FM25</f>
        <v>0</v>
      </c>
      <c r="FN25" s="78">
        <f>Grupo!FN25</f>
        <v>2</v>
      </c>
      <c r="FO25" s="78">
        <f>Grupo!FO25</f>
        <v>0</v>
      </c>
      <c r="FP25" s="78">
        <f>Grupo!FP25</f>
        <v>0</v>
      </c>
      <c r="FQ25" s="78">
        <f>Grupo!FQ25</f>
        <v>0</v>
      </c>
      <c r="FR25" s="78">
        <f>Grupo!FR25</f>
        <v>3</v>
      </c>
      <c r="FS25" s="78">
        <f>Grupo!FS25</f>
        <v>1</v>
      </c>
      <c r="FT25" s="78">
        <f>Grupo!FT25</f>
        <v>2</v>
      </c>
      <c r="FU25" s="78">
        <f>Grupo!FU25</f>
        <v>2</v>
      </c>
      <c r="FV25" s="78">
        <f>Grupo!FV25</f>
        <v>0</v>
      </c>
      <c r="FW25" s="78">
        <f>Grupo!FW25</f>
        <v>1</v>
      </c>
      <c r="FX25" s="78">
        <f>Grupo!FX25</f>
        <v>2</v>
      </c>
      <c r="FY25" s="78">
        <f>Grupo!FY25</f>
        <v>0</v>
      </c>
      <c r="FZ25" s="78">
        <f>Grupo!FZ25</f>
        <v>1</v>
      </c>
      <c r="GA25" s="78">
        <f>Grupo!GA25</f>
        <v>3</v>
      </c>
      <c r="GB25" s="78">
        <f>Grupo!GB25</f>
        <v>1</v>
      </c>
      <c r="GC25" s="78">
        <f>Grupo!GC25</f>
        <v>2</v>
      </c>
      <c r="GD25" s="78">
        <f>Grupo!GD25</f>
        <v>0</v>
      </c>
      <c r="GE25" s="78">
        <f>Grupo!GE25</f>
        <v>1</v>
      </c>
      <c r="GF25" s="78">
        <f>Grupo!GF25</f>
        <v>2</v>
      </c>
      <c r="GG25" s="78">
        <f>Grupo!GG25</f>
        <v>2</v>
      </c>
      <c r="GH25" s="78">
        <f>Grupo!GH25</f>
        <v>1</v>
      </c>
      <c r="GI25" s="78">
        <f>Grupo!GI25</f>
        <v>1</v>
      </c>
      <c r="GJ25" s="78">
        <f>Grupo!GJ25</f>
        <v>5</v>
      </c>
      <c r="GK25" s="78">
        <f>Grupo!GK25</f>
        <v>3</v>
      </c>
      <c r="GL25" s="78">
        <f>Grupo!GL25</f>
        <v>0</v>
      </c>
      <c r="GM25" s="78">
        <f>Grupo!GM25</f>
        <v>1</v>
      </c>
      <c r="GN25" s="78">
        <f>Grupo!GN25</f>
        <v>0</v>
      </c>
      <c r="GO25" s="78">
        <f>Grupo!GO25</f>
        <v>0</v>
      </c>
      <c r="GP25" s="78">
        <f>Grupo!GP25</f>
        <v>2</v>
      </c>
      <c r="GQ25" s="78">
        <f>Grupo!GQ25</f>
        <v>1</v>
      </c>
      <c r="GR25" s="79">
        <f>Grupo!GR25</f>
        <v>0</v>
      </c>
      <c r="GS25" s="79">
        <f>Grupo!GS25</f>
        <v>3</v>
      </c>
      <c r="GT25" s="79" t="str">
        <f>Grupo!GT25</f>
        <v/>
      </c>
      <c r="GU25" s="79">
        <f>Grupo!GU25</f>
        <v>5</v>
      </c>
      <c r="GV25" s="79">
        <f>Grupo!GV25</f>
        <v>0</v>
      </c>
      <c r="GW25" s="79" t="str">
        <f>Grupo!GW25</f>
        <v/>
      </c>
      <c r="GX25" s="76">
        <f>Grupo!GX25</f>
        <v>1</v>
      </c>
      <c r="GY25" s="76">
        <f>Grupo!GY25</f>
        <v>2</v>
      </c>
      <c r="GZ25" s="76" t="str">
        <f>Grupo!GZ25</f>
        <v/>
      </c>
      <c r="HA25" s="76">
        <f>Grupo!HA25</f>
        <v>0</v>
      </c>
      <c r="HB25" s="76">
        <f>Grupo!HB25</f>
        <v>3</v>
      </c>
      <c r="HC25" s="76" t="str">
        <f>Grupo!HC25</f>
        <v/>
      </c>
      <c r="HD25" s="76">
        <f>Grupo!HD25</f>
        <v>1</v>
      </c>
      <c r="HE25" s="76">
        <f>Grupo!HE25</f>
        <v>0</v>
      </c>
      <c r="HF25" s="76" t="str">
        <f>Grupo!HF25</f>
        <v/>
      </c>
      <c r="HG25" s="76">
        <f>Grupo!HG25</f>
        <v>2</v>
      </c>
      <c r="HH25" s="76">
        <f>Grupo!HH25</f>
        <v>1</v>
      </c>
      <c r="HI25" s="76" t="str">
        <f>Grupo!HI25</f>
        <v/>
      </c>
      <c r="HJ25" s="32">
        <f>Grupo!HJ25</f>
        <v>44</v>
      </c>
      <c r="HK25" s="25" t="s">
        <v>50</v>
      </c>
    </row>
    <row r="26" spans="1:219" ht="20.25" customHeight="1" thickBot="1" x14ac:dyDescent="0.35">
      <c r="A26" s="34" t="str">
        <f>Grupo!A26</f>
        <v>Karina</v>
      </c>
      <c r="B26" s="28">
        <f>Grupo!B26</f>
        <v>3</v>
      </c>
      <c r="C26" s="28">
        <f>Grupo!C26</f>
        <v>1</v>
      </c>
      <c r="D26" s="28">
        <f>Grupo!D26</f>
        <v>1</v>
      </c>
      <c r="E26" s="28">
        <f>Grupo!E26</f>
        <v>1</v>
      </c>
      <c r="F26" s="28">
        <f>Grupo!F26</f>
        <v>2</v>
      </c>
      <c r="G26" s="28">
        <f>Grupo!G26</f>
        <v>0</v>
      </c>
      <c r="H26" s="28">
        <f>Grupo!H26</f>
        <v>2</v>
      </c>
      <c r="I26" s="28">
        <f>Grupo!I26</f>
        <v>1</v>
      </c>
      <c r="J26" s="28">
        <f>Grupo!J26</f>
        <v>0</v>
      </c>
      <c r="K26" s="28">
        <f>Grupo!K26</f>
        <v>2</v>
      </c>
      <c r="L26" s="28">
        <f>Grupo!L26</f>
        <v>1</v>
      </c>
      <c r="M26" s="28">
        <f>Grupo!M26</f>
        <v>1</v>
      </c>
      <c r="N26" s="28">
        <f>Grupo!N26</f>
        <v>1</v>
      </c>
      <c r="O26" s="28">
        <f>Grupo!O26</f>
        <v>3</v>
      </c>
      <c r="P26" s="28">
        <f>Grupo!P26</f>
        <v>1</v>
      </c>
      <c r="Q26" s="28">
        <f>Grupo!Q26</f>
        <v>1</v>
      </c>
      <c r="R26" s="28">
        <f>Grupo!R26</f>
        <v>1</v>
      </c>
      <c r="S26" s="28">
        <f>Grupo!S26</f>
        <v>0</v>
      </c>
      <c r="T26" s="28">
        <f>Grupo!T26</f>
        <v>3</v>
      </c>
      <c r="U26" s="28">
        <f>Grupo!U26</f>
        <v>2</v>
      </c>
      <c r="V26" s="28">
        <f>Grupo!V26</f>
        <v>0</v>
      </c>
      <c r="W26" s="28">
        <f>Grupo!W26</f>
        <v>1</v>
      </c>
      <c r="X26" s="28">
        <f>Grupo!X26</f>
        <v>2</v>
      </c>
      <c r="Y26" s="28">
        <f>Grupo!Y26</f>
        <v>0</v>
      </c>
      <c r="Z26" s="28">
        <f>Grupo!Z26</f>
        <v>2</v>
      </c>
      <c r="AA26" s="28">
        <f>Grupo!AA26</f>
        <v>2</v>
      </c>
      <c r="AB26" s="28">
        <f>Grupo!AB26</f>
        <v>0</v>
      </c>
      <c r="AC26" s="28">
        <f>Grupo!AC26</f>
        <v>3</v>
      </c>
      <c r="AD26" s="28">
        <f>Grupo!AD26</f>
        <v>1</v>
      </c>
      <c r="AE26" s="28">
        <f>Grupo!AE26</f>
        <v>1</v>
      </c>
      <c r="AF26" s="28">
        <f>Grupo!AF26</f>
        <v>3</v>
      </c>
      <c r="AG26" s="28">
        <f>Grupo!AG26</f>
        <v>1</v>
      </c>
      <c r="AH26" s="28">
        <f>Grupo!AH26</f>
        <v>0</v>
      </c>
      <c r="AI26" s="28">
        <f>Grupo!AI26</f>
        <v>2</v>
      </c>
      <c r="AJ26" s="28">
        <f>Grupo!AJ26</f>
        <v>1</v>
      </c>
      <c r="AK26" s="28">
        <f>Grupo!AK26</f>
        <v>1</v>
      </c>
      <c r="AL26" s="28">
        <f>Grupo!AL26</f>
        <v>1</v>
      </c>
      <c r="AM26" s="28">
        <f>Grupo!AM26</f>
        <v>3</v>
      </c>
      <c r="AN26" s="28">
        <f>Grupo!AN26</f>
        <v>0</v>
      </c>
      <c r="AO26" s="28">
        <f>Grupo!AO26</f>
        <v>5</v>
      </c>
      <c r="AP26" s="28">
        <f>Grupo!AP26</f>
        <v>1</v>
      </c>
      <c r="AQ26" s="28">
        <f>Grupo!AQ26</f>
        <v>0</v>
      </c>
      <c r="AR26" s="28">
        <f>Grupo!AR26</f>
        <v>2</v>
      </c>
      <c r="AS26" s="28">
        <f>Grupo!AS26</f>
        <v>1</v>
      </c>
      <c r="AT26" s="28">
        <f>Grupo!AT26</f>
        <v>0</v>
      </c>
      <c r="AU26" s="28">
        <f>Grupo!AU26</f>
        <v>3</v>
      </c>
      <c r="AV26" s="28">
        <f>Grupo!AV26</f>
        <v>2</v>
      </c>
      <c r="AW26" s="28">
        <f>Grupo!AW26</f>
        <v>0</v>
      </c>
      <c r="AX26" s="28">
        <f>Grupo!AX26</f>
        <v>4</v>
      </c>
      <c r="AY26" s="28">
        <f>Grupo!AY26</f>
        <v>1</v>
      </c>
      <c r="AZ26" s="28">
        <f>Grupo!AZ26</f>
        <v>1</v>
      </c>
      <c r="BA26" s="28">
        <f>Grupo!BA26</f>
        <v>1</v>
      </c>
      <c r="BB26" s="28">
        <f>Grupo!BB26</f>
        <v>3</v>
      </c>
      <c r="BC26" s="28">
        <f>Grupo!BC26</f>
        <v>1</v>
      </c>
      <c r="BD26" s="28">
        <f>Grupo!BD26</f>
        <v>3</v>
      </c>
      <c r="BE26" s="28">
        <f>Grupo!BE26</f>
        <v>1</v>
      </c>
      <c r="BF26" s="28">
        <f>Grupo!BF26</f>
        <v>1</v>
      </c>
      <c r="BG26" s="28">
        <f>Grupo!BG26</f>
        <v>2</v>
      </c>
      <c r="BH26" s="28">
        <f>Grupo!BH26</f>
        <v>1</v>
      </c>
      <c r="BI26" s="28">
        <f>Grupo!BI26</f>
        <v>1</v>
      </c>
      <c r="BJ26" s="28">
        <f>Grupo!BJ26</f>
        <v>1</v>
      </c>
      <c r="BK26" s="28">
        <f>Grupo!BK26</f>
        <v>2</v>
      </c>
      <c r="BL26" s="28">
        <f>Grupo!BL26</f>
        <v>0</v>
      </c>
      <c r="BM26" s="28">
        <f>Grupo!BM26</f>
        <v>3</v>
      </c>
      <c r="BN26" s="28">
        <f>Grupo!BN26</f>
        <v>1</v>
      </c>
      <c r="BO26" s="28">
        <f>Grupo!BO26</f>
        <v>1</v>
      </c>
      <c r="BP26" s="28">
        <f>Grupo!BP26</f>
        <v>5</v>
      </c>
      <c r="BQ26" s="28">
        <f>Grupo!BQ26</f>
        <v>1</v>
      </c>
      <c r="BR26" s="28">
        <f>Grupo!BR26</f>
        <v>0</v>
      </c>
      <c r="BS26" s="28">
        <f>Grupo!BS26</f>
        <v>2</v>
      </c>
      <c r="BT26" s="28">
        <f>Grupo!BT26</f>
        <v>3</v>
      </c>
      <c r="BU26" s="28">
        <f>Grupo!BU26</f>
        <v>1</v>
      </c>
      <c r="BV26" s="28">
        <f>Grupo!BV26</f>
        <v>2</v>
      </c>
      <c r="BW26" s="28">
        <f>Grupo!BW26</f>
        <v>1</v>
      </c>
      <c r="BX26" s="28">
        <f>Grupo!BX26</f>
        <v>0</v>
      </c>
      <c r="BY26" s="28">
        <f>Grupo!BY26</f>
        <v>2</v>
      </c>
      <c r="BZ26" s="28">
        <f>Grupo!BZ26</f>
        <v>1</v>
      </c>
      <c r="CA26" s="28">
        <f>Grupo!CA26</f>
        <v>1</v>
      </c>
      <c r="CB26" s="28">
        <f>Grupo!CB26</f>
        <v>2</v>
      </c>
      <c r="CC26" s="28">
        <f>Grupo!CC26</f>
        <v>0</v>
      </c>
      <c r="CD26" s="28">
        <f>Grupo!CD26</f>
        <v>1</v>
      </c>
      <c r="CE26" s="28">
        <f>Grupo!CE26</f>
        <v>3</v>
      </c>
      <c r="CF26" s="28">
        <f>Grupo!CF26</f>
        <v>1</v>
      </c>
      <c r="CG26" s="28">
        <f>Grupo!CG26</f>
        <v>1</v>
      </c>
      <c r="CH26" s="28">
        <f>Grupo!CH26</f>
        <v>4</v>
      </c>
      <c r="CI26" s="28">
        <f>Grupo!CI26</f>
        <v>1</v>
      </c>
      <c r="CJ26" s="28">
        <f>Grupo!CJ26</f>
        <v>1</v>
      </c>
      <c r="CK26" s="28">
        <f>Grupo!CK26</f>
        <v>2</v>
      </c>
      <c r="CL26" s="28">
        <f>Grupo!CL26</f>
        <v>1</v>
      </c>
      <c r="CM26" s="28">
        <f>Grupo!CM26</f>
        <v>0</v>
      </c>
      <c r="CN26" s="28">
        <f>Grupo!CN26</f>
        <v>1</v>
      </c>
      <c r="CO26" s="28">
        <f>Grupo!CO26</f>
        <v>2</v>
      </c>
      <c r="CP26" s="28">
        <f>Grupo!CP26</f>
        <v>1</v>
      </c>
      <c r="CQ26" s="28">
        <f>Grupo!CQ26</f>
        <v>2</v>
      </c>
      <c r="CR26" s="28">
        <f>Grupo!CR26</f>
        <v>0</v>
      </c>
      <c r="CS26" s="28">
        <f>Grupo!CS26</f>
        <v>3</v>
      </c>
      <c r="CT26" s="28">
        <f>Grupo!CT26</f>
        <v>3</v>
      </c>
      <c r="CU26" s="28">
        <f>Grupo!CU26</f>
        <v>1</v>
      </c>
      <c r="CV26" s="28">
        <f>Grupo!CV26</f>
        <v>1</v>
      </c>
      <c r="CW26" s="28">
        <f>Grupo!CW26</f>
        <v>2</v>
      </c>
      <c r="CX26" s="28">
        <f>Grupo!CX26</f>
        <v>1</v>
      </c>
      <c r="CY26" s="28">
        <f>Grupo!CY26</f>
        <v>0</v>
      </c>
      <c r="CZ26" s="28">
        <f>Grupo!CZ26</f>
        <v>3</v>
      </c>
      <c r="DA26" s="28">
        <f>Grupo!DA26</f>
        <v>2</v>
      </c>
      <c r="DB26" s="28">
        <f>Grupo!DB26</f>
        <v>1</v>
      </c>
      <c r="DC26" s="28">
        <f>Grupo!DC26</f>
        <v>2</v>
      </c>
      <c r="DD26" s="28">
        <f>Grupo!DD26</f>
        <v>1</v>
      </c>
      <c r="DE26" s="28">
        <f>Grupo!DE26</f>
        <v>0</v>
      </c>
      <c r="DF26" s="28">
        <f>Grupo!DF26</f>
        <v>3</v>
      </c>
      <c r="DG26" s="28">
        <f>Grupo!DG26</f>
        <v>1</v>
      </c>
      <c r="DH26" s="28">
        <f>Grupo!DH26</f>
        <v>0</v>
      </c>
      <c r="DI26" s="28">
        <f>Grupo!DI26</f>
        <v>4</v>
      </c>
      <c r="DJ26" s="28">
        <f>Grupo!DJ26</f>
        <v>1</v>
      </c>
      <c r="DK26" s="28">
        <f>Grupo!DK26</f>
        <v>1</v>
      </c>
      <c r="DL26" s="28">
        <f>Grupo!DL26</f>
        <v>3</v>
      </c>
      <c r="DM26" s="28">
        <f>Grupo!DM26</f>
        <v>1</v>
      </c>
      <c r="DN26" s="28">
        <f>Grupo!DN26</f>
        <v>0</v>
      </c>
      <c r="DO26" s="28">
        <f>Grupo!DO26</f>
        <v>0</v>
      </c>
      <c r="DP26" s="28">
        <f>Grupo!DP26</f>
        <v>2</v>
      </c>
      <c r="DQ26" s="28">
        <f>Grupo!DQ26</f>
        <v>1</v>
      </c>
      <c r="DR26" s="28">
        <f>Grupo!DR26</f>
        <v>3</v>
      </c>
      <c r="DS26" s="28">
        <f>Grupo!DS26</f>
        <v>1</v>
      </c>
      <c r="DT26" s="28">
        <f>Grupo!DT26</f>
        <v>1</v>
      </c>
      <c r="DU26" s="28">
        <f>Grupo!DU26</f>
        <v>3</v>
      </c>
      <c r="DV26" s="28">
        <f>Grupo!DV26</f>
        <v>0</v>
      </c>
      <c r="DW26" s="28">
        <f>Grupo!DW26</f>
        <v>3</v>
      </c>
      <c r="DX26" s="28">
        <f>Grupo!DX26</f>
        <v>3</v>
      </c>
      <c r="DY26" s="28">
        <f>Grupo!DY26</f>
        <v>1</v>
      </c>
      <c r="DZ26" s="28">
        <f>Grupo!DZ26</f>
        <v>1</v>
      </c>
      <c r="EA26" s="70">
        <f>Grupo!EA26</f>
        <v>1</v>
      </c>
      <c r="EB26" s="70">
        <f>Grupo!EB26</f>
        <v>2</v>
      </c>
      <c r="EC26" s="70">
        <f>Grupo!EC26</f>
        <v>3</v>
      </c>
      <c r="ED26" s="70">
        <f>Grupo!ED26</f>
        <v>3</v>
      </c>
      <c r="EE26" s="70">
        <f>Grupo!EE26</f>
        <v>1</v>
      </c>
      <c r="EF26" s="70">
        <f>Grupo!EF26</f>
        <v>0</v>
      </c>
      <c r="EG26" s="70">
        <f>Grupo!EG26</f>
        <v>2</v>
      </c>
      <c r="EH26" s="70">
        <f>Grupo!EH26</f>
        <v>2</v>
      </c>
      <c r="EI26" s="70">
        <f>Grupo!EI26</f>
        <v>0</v>
      </c>
      <c r="EJ26" s="70">
        <f>Grupo!EJ26</f>
        <v>3</v>
      </c>
      <c r="EK26" s="70">
        <f>Grupo!EK26</f>
        <v>1</v>
      </c>
      <c r="EL26" s="70">
        <f>Grupo!EL26</f>
        <v>1</v>
      </c>
      <c r="EM26" s="70">
        <f>Grupo!EM26</f>
        <v>3</v>
      </c>
      <c r="EN26" s="70">
        <f>Grupo!EN26</f>
        <v>1</v>
      </c>
      <c r="EO26" s="70">
        <f>Grupo!EO26</f>
        <v>1</v>
      </c>
      <c r="EP26" s="78">
        <f>Grupo!EP26</f>
        <v>1</v>
      </c>
      <c r="EQ26" s="78">
        <f>Grupo!EQ26</f>
        <v>3</v>
      </c>
      <c r="ER26" s="78">
        <f>Grupo!ER26</f>
        <v>1</v>
      </c>
      <c r="ES26" s="78">
        <f>Grupo!ES26</f>
        <v>4</v>
      </c>
      <c r="ET26" s="78">
        <f>Grupo!ET26</f>
        <v>1</v>
      </c>
      <c r="EU26" s="78">
        <f>Grupo!EU26</f>
        <v>1</v>
      </c>
      <c r="EV26" s="78">
        <f>Grupo!EV26</f>
        <v>1</v>
      </c>
      <c r="EW26" s="78">
        <f>Grupo!EW26</f>
        <v>2</v>
      </c>
      <c r="EX26" s="78">
        <f>Grupo!EX26</f>
        <v>0</v>
      </c>
      <c r="EY26" s="78">
        <f>Grupo!EY26</f>
        <v>2</v>
      </c>
      <c r="EZ26" s="78">
        <f>Grupo!EZ26</f>
        <v>1</v>
      </c>
      <c r="FA26" s="78">
        <f>Grupo!FA26</f>
        <v>1</v>
      </c>
      <c r="FB26" s="78">
        <f>Grupo!FB26</f>
        <v>2</v>
      </c>
      <c r="FC26" s="78">
        <f>Grupo!FC26</f>
        <v>3</v>
      </c>
      <c r="FD26" s="78">
        <f>Grupo!FD26</f>
        <v>1</v>
      </c>
      <c r="FE26" s="78">
        <f>Grupo!FE26</f>
        <v>1</v>
      </c>
      <c r="FF26" s="78">
        <f>Grupo!FF26</f>
        <v>1</v>
      </c>
      <c r="FG26" s="78">
        <f>Grupo!FG26</f>
        <v>0</v>
      </c>
      <c r="FH26" s="78">
        <f>Grupo!FH26</f>
        <v>1</v>
      </c>
      <c r="FI26" s="78">
        <f>Grupo!FI26</f>
        <v>2</v>
      </c>
      <c r="FJ26" s="78">
        <f>Grupo!FJ26</f>
        <v>1</v>
      </c>
      <c r="FK26" s="78">
        <f>Grupo!FK26</f>
        <v>2</v>
      </c>
      <c r="FL26" s="78">
        <f>Grupo!FL26</f>
        <v>1</v>
      </c>
      <c r="FM26" s="78">
        <f>Grupo!FM26</f>
        <v>3</v>
      </c>
      <c r="FN26" s="78">
        <f>Grupo!FN26</f>
        <v>2</v>
      </c>
      <c r="FO26" s="78">
        <f>Grupo!FO26</f>
        <v>1</v>
      </c>
      <c r="FP26" s="78">
        <f>Grupo!FP26</f>
        <v>0</v>
      </c>
      <c r="FQ26" s="78">
        <f>Grupo!FQ26</f>
        <v>0</v>
      </c>
      <c r="FR26" s="78">
        <f>Grupo!FR26</f>
        <v>1</v>
      </c>
      <c r="FS26" s="78">
        <f>Grupo!FS26</f>
        <v>1</v>
      </c>
      <c r="FT26" s="78">
        <f>Grupo!FT26</f>
        <v>0</v>
      </c>
      <c r="FU26" s="78">
        <f>Grupo!FU26</f>
        <v>2</v>
      </c>
      <c r="FV26" s="78">
        <f>Grupo!FV26</f>
        <v>0</v>
      </c>
      <c r="FW26" s="78">
        <f>Grupo!FW26</f>
        <v>2</v>
      </c>
      <c r="FX26" s="78">
        <f>Grupo!FX26</f>
        <v>2</v>
      </c>
      <c r="FY26" s="78">
        <f>Grupo!FY26</f>
        <v>1</v>
      </c>
      <c r="FZ26" s="78">
        <f>Grupo!FZ26</f>
        <v>2</v>
      </c>
      <c r="GA26" s="78">
        <f>Grupo!GA26</f>
        <v>3</v>
      </c>
      <c r="GB26" s="78">
        <f>Grupo!GB26</f>
        <v>1</v>
      </c>
      <c r="GC26" s="78">
        <f>Grupo!GC26</f>
        <v>2</v>
      </c>
      <c r="GD26" s="78">
        <f>Grupo!GD26</f>
        <v>1</v>
      </c>
      <c r="GE26" s="78">
        <f>Grupo!GE26</f>
        <v>1</v>
      </c>
      <c r="GF26" s="78">
        <f>Grupo!GF26</f>
        <v>2</v>
      </c>
      <c r="GG26" s="78">
        <f>Grupo!GG26</f>
        <v>1</v>
      </c>
      <c r="GH26" s="78">
        <f>Grupo!GH26</f>
        <v>0</v>
      </c>
      <c r="GI26" s="78">
        <f>Grupo!GI26</f>
        <v>1</v>
      </c>
      <c r="GJ26" s="78">
        <f>Grupo!GJ26</f>
        <v>3</v>
      </c>
      <c r="GK26" s="78">
        <f>Grupo!GK26</f>
        <v>1</v>
      </c>
      <c r="GL26" s="78">
        <f>Grupo!GL26</f>
        <v>0</v>
      </c>
      <c r="GM26" s="78">
        <f>Grupo!GM26</f>
        <v>3</v>
      </c>
      <c r="GN26" s="78">
        <f>Grupo!GN26</f>
        <v>0</v>
      </c>
      <c r="GO26" s="78">
        <f>Grupo!GO26</f>
        <v>2</v>
      </c>
      <c r="GP26" s="78">
        <f>Grupo!GP26</f>
        <v>3</v>
      </c>
      <c r="GQ26" s="78">
        <f>Grupo!GQ26</f>
        <v>1</v>
      </c>
      <c r="GR26" s="79">
        <f>Grupo!GR26</f>
        <v>1</v>
      </c>
      <c r="GS26" s="79">
        <f>Grupo!GS26</f>
        <v>5</v>
      </c>
      <c r="GT26" s="79" t="str">
        <f>Grupo!GT26</f>
        <v/>
      </c>
      <c r="GU26" s="79">
        <f>Grupo!GU26</f>
        <v>3</v>
      </c>
      <c r="GV26" s="79">
        <f>Grupo!GV26</f>
        <v>1</v>
      </c>
      <c r="GW26" s="79" t="str">
        <f>Grupo!GW26</f>
        <v/>
      </c>
      <c r="GX26" s="76">
        <f>Grupo!GX26</f>
        <v>1</v>
      </c>
      <c r="GY26" s="76">
        <f>Grupo!GY26</f>
        <v>1</v>
      </c>
      <c r="GZ26" s="76" t="str">
        <f>Grupo!GZ26</f>
        <v/>
      </c>
      <c r="HA26" s="76">
        <f>Grupo!HA26</f>
        <v>1</v>
      </c>
      <c r="HB26" s="76">
        <f>Grupo!HB26</f>
        <v>4</v>
      </c>
      <c r="HC26" s="76" t="str">
        <f>Grupo!HC26</f>
        <v/>
      </c>
      <c r="HD26" s="76">
        <f>Grupo!HD26</f>
        <v>2</v>
      </c>
      <c r="HE26" s="76">
        <f>Grupo!HE26</f>
        <v>3</v>
      </c>
      <c r="HF26" s="76" t="str">
        <f>Grupo!HF26</f>
        <v/>
      </c>
      <c r="HG26" s="76">
        <f>Grupo!HG26</f>
        <v>1</v>
      </c>
      <c r="HH26" s="76">
        <f>Grupo!HH26</f>
        <v>3</v>
      </c>
      <c r="HI26" s="76" t="str">
        <f>Grupo!HI26</f>
        <v/>
      </c>
      <c r="HJ26" s="32">
        <f>Grupo!HJ26</f>
        <v>47</v>
      </c>
      <c r="HK26" s="25" t="s">
        <v>52</v>
      </c>
    </row>
    <row r="27" spans="1:219" ht="20.25" customHeight="1" thickBot="1" x14ac:dyDescent="0.35">
      <c r="A27" s="34" t="str">
        <f>Grupo!A27</f>
        <v>Kattia 1</v>
      </c>
      <c r="B27" s="28">
        <f>Grupo!B27</f>
        <v>2</v>
      </c>
      <c r="C27" s="28">
        <f>Grupo!C27</f>
        <v>1</v>
      </c>
      <c r="D27" s="28">
        <f>Grupo!D27</f>
        <v>1</v>
      </c>
      <c r="E27" s="28">
        <f>Grupo!E27</f>
        <v>2</v>
      </c>
      <c r="F27" s="28">
        <f>Grupo!F27</f>
        <v>0</v>
      </c>
      <c r="G27" s="28">
        <f>Grupo!G27</f>
        <v>1</v>
      </c>
      <c r="H27" s="28">
        <f>Grupo!H27</f>
        <v>3</v>
      </c>
      <c r="I27" s="28">
        <f>Grupo!I27</f>
        <v>0</v>
      </c>
      <c r="J27" s="28">
        <f>Grupo!J27</f>
        <v>0</v>
      </c>
      <c r="K27" s="28">
        <f>Grupo!K27</f>
        <v>2</v>
      </c>
      <c r="L27" s="28">
        <f>Grupo!L27</f>
        <v>1</v>
      </c>
      <c r="M27" s="28">
        <f>Grupo!M27</f>
        <v>1</v>
      </c>
      <c r="N27" s="28">
        <f>Grupo!N27</f>
        <v>0</v>
      </c>
      <c r="O27" s="28">
        <f>Grupo!O27</f>
        <v>2</v>
      </c>
      <c r="P27" s="28">
        <f>Grupo!P27</f>
        <v>1</v>
      </c>
      <c r="Q27" s="28">
        <f>Grupo!Q27</f>
        <v>2</v>
      </c>
      <c r="R27" s="28">
        <f>Grupo!R27</f>
        <v>0</v>
      </c>
      <c r="S27" s="28">
        <f>Grupo!S27</f>
        <v>3</v>
      </c>
      <c r="T27" s="28">
        <f>Grupo!T27</f>
        <v>2</v>
      </c>
      <c r="U27" s="28">
        <f>Grupo!U27</f>
        <v>2</v>
      </c>
      <c r="V27" s="28">
        <f>Grupo!V27</f>
        <v>1</v>
      </c>
      <c r="W27" s="28">
        <f>Grupo!W27</f>
        <v>0</v>
      </c>
      <c r="X27" s="28">
        <f>Grupo!X27</f>
        <v>2</v>
      </c>
      <c r="Y27" s="28">
        <f>Grupo!Y27</f>
        <v>0</v>
      </c>
      <c r="Z27" s="28">
        <f>Grupo!Z27</f>
        <v>2</v>
      </c>
      <c r="AA27" s="28">
        <f>Grupo!AA27</f>
        <v>1</v>
      </c>
      <c r="AB27" s="28">
        <f>Grupo!AB27</f>
        <v>1</v>
      </c>
      <c r="AC27" s="28">
        <f>Grupo!AC27</f>
        <v>3</v>
      </c>
      <c r="AD27" s="28">
        <f>Grupo!AD27</f>
        <v>1</v>
      </c>
      <c r="AE27" s="28">
        <f>Grupo!AE27</f>
        <v>1</v>
      </c>
      <c r="AF27" s="28">
        <f>Grupo!AF27</f>
        <v>4</v>
      </c>
      <c r="AG27" s="28">
        <f>Grupo!AG27</f>
        <v>0</v>
      </c>
      <c r="AH27" s="28">
        <f>Grupo!AH27</f>
        <v>0</v>
      </c>
      <c r="AI27" s="28">
        <f>Grupo!AI27</f>
        <v>2</v>
      </c>
      <c r="AJ27" s="28">
        <f>Grupo!AJ27</f>
        <v>0</v>
      </c>
      <c r="AK27" s="28">
        <f>Grupo!AK27</f>
        <v>1</v>
      </c>
      <c r="AL27" s="28">
        <f>Grupo!AL27</f>
        <v>1</v>
      </c>
      <c r="AM27" s="28">
        <f>Grupo!AM27</f>
        <v>3</v>
      </c>
      <c r="AN27" s="28">
        <f>Grupo!AN27</f>
        <v>0</v>
      </c>
      <c r="AO27" s="28">
        <f>Grupo!AO27</f>
        <v>3</v>
      </c>
      <c r="AP27" s="28">
        <f>Grupo!AP27</f>
        <v>1</v>
      </c>
      <c r="AQ27" s="28">
        <f>Grupo!AQ27</f>
        <v>0</v>
      </c>
      <c r="AR27" s="28">
        <f>Grupo!AR27</f>
        <v>0</v>
      </c>
      <c r="AS27" s="28">
        <f>Grupo!AS27</f>
        <v>2</v>
      </c>
      <c r="AT27" s="28">
        <f>Grupo!AT27</f>
        <v>0</v>
      </c>
      <c r="AU27" s="28">
        <f>Grupo!AU27</f>
        <v>3</v>
      </c>
      <c r="AV27" s="28">
        <f>Grupo!AV27</f>
        <v>1</v>
      </c>
      <c r="AW27" s="28">
        <f>Grupo!AW27</f>
        <v>0</v>
      </c>
      <c r="AX27" s="28">
        <f>Grupo!AX27</f>
        <v>3</v>
      </c>
      <c r="AY27" s="28">
        <f>Grupo!AY27</f>
        <v>1</v>
      </c>
      <c r="AZ27" s="28">
        <f>Grupo!AZ27</f>
        <v>3</v>
      </c>
      <c r="BA27" s="28">
        <f>Grupo!BA27</f>
        <v>1</v>
      </c>
      <c r="BB27" s="28">
        <f>Grupo!BB27</f>
        <v>2</v>
      </c>
      <c r="BC27" s="28">
        <f>Grupo!BC27</f>
        <v>1</v>
      </c>
      <c r="BD27" s="28">
        <f>Grupo!BD27</f>
        <v>3</v>
      </c>
      <c r="BE27" s="28">
        <f>Grupo!BE27</f>
        <v>1</v>
      </c>
      <c r="BF27" s="28">
        <f>Grupo!BF27</f>
        <v>1</v>
      </c>
      <c r="BG27" s="28">
        <f>Grupo!BG27</f>
        <v>1</v>
      </c>
      <c r="BH27" s="28">
        <f>Grupo!BH27</f>
        <v>0</v>
      </c>
      <c r="BI27" s="28">
        <f>Grupo!BI27</f>
        <v>1</v>
      </c>
      <c r="BJ27" s="28">
        <f>Grupo!BJ27</f>
        <v>3</v>
      </c>
      <c r="BK27" s="28">
        <f>Grupo!BK27</f>
        <v>2</v>
      </c>
      <c r="BL27" s="28">
        <f>Grupo!BL27</f>
        <v>1</v>
      </c>
      <c r="BM27" s="28">
        <f>Grupo!BM27</f>
        <v>1</v>
      </c>
      <c r="BN27" s="28">
        <f>Grupo!BN27</f>
        <v>1</v>
      </c>
      <c r="BO27" s="28">
        <f>Grupo!BO27</f>
        <v>0</v>
      </c>
      <c r="BP27" s="28">
        <f>Grupo!BP27</f>
        <v>2</v>
      </c>
      <c r="BQ27" s="28">
        <f>Grupo!BQ27</f>
        <v>0</v>
      </c>
      <c r="BR27" s="28">
        <f>Grupo!BR27</f>
        <v>0</v>
      </c>
      <c r="BS27" s="28">
        <f>Grupo!BS27</f>
        <v>0</v>
      </c>
      <c r="BT27" s="28">
        <f>Grupo!BT27</f>
        <v>2</v>
      </c>
      <c r="BU27" s="28">
        <f>Grupo!BU27</f>
        <v>1</v>
      </c>
      <c r="BV27" s="28">
        <f>Grupo!BV27</f>
        <v>0</v>
      </c>
      <c r="BW27" s="28">
        <f>Grupo!BW27</f>
        <v>1</v>
      </c>
      <c r="BX27" s="28">
        <f>Grupo!BX27</f>
        <v>0</v>
      </c>
      <c r="BY27" s="28">
        <f>Grupo!BY27</f>
        <v>2</v>
      </c>
      <c r="BZ27" s="28">
        <f>Grupo!BZ27</f>
        <v>1</v>
      </c>
      <c r="CA27" s="28">
        <f>Grupo!CA27</f>
        <v>1</v>
      </c>
      <c r="CB27" s="28">
        <f>Grupo!CB27</f>
        <v>3</v>
      </c>
      <c r="CC27" s="28">
        <f>Grupo!CC27</f>
        <v>1</v>
      </c>
      <c r="CD27" s="28">
        <f>Grupo!CD27</f>
        <v>1</v>
      </c>
      <c r="CE27" s="28">
        <f>Grupo!CE27</f>
        <v>4</v>
      </c>
      <c r="CF27" s="28">
        <f>Grupo!CF27</f>
        <v>0</v>
      </c>
      <c r="CG27" s="28">
        <f>Grupo!CG27</f>
        <v>1</v>
      </c>
      <c r="CH27" s="28">
        <f>Grupo!CH27</f>
        <v>4</v>
      </c>
      <c r="CI27" s="28">
        <f>Grupo!CI27</f>
        <v>1</v>
      </c>
      <c r="CJ27" s="28">
        <f>Grupo!CJ27</f>
        <v>1</v>
      </c>
      <c r="CK27" s="28">
        <f>Grupo!CK27</f>
        <v>1</v>
      </c>
      <c r="CL27" s="28">
        <f>Grupo!CL27</f>
        <v>1</v>
      </c>
      <c r="CM27" s="28">
        <f>Grupo!CM27</f>
        <v>0</v>
      </c>
      <c r="CN27" s="28">
        <f>Grupo!CN27</f>
        <v>0</v>
      </c>
      <c r="CO27" s="28">
        <f>Grupo!CO27</f>
        <v>2</v>
      </c>
      <c r="CP27" s="28">
        <f>Grupo!CP27</f>
        <v>1</v>
      </c>
      <c r="CQ27" s="28">
        <f>Grupo!CQ27</f>
        <v>1</v>
      </c>
      <c r="CR27" s="28">
        <f>Grupo!CR27</f>
        <v>1</v>
      </c>
      <c r="CS27" s="28">
        <f>Grupo!CS27</f>
        <v>0</v>
      </c>
      <c r="CT27" s="28">
        <f>Grupo!CT27</f>
        <v>2</v>
      </c>
      <c r="CU27" s="28">
        <f>Grupo!CU27</f>
        <v>1</v>
      </c>
      <c r="CV27" s="28">
        <f>Grupo!CV27</f>
        <v>3</v>
      </c>
      <c r="CW27" s="28">
        <f>Grupo!CW27</f>
        <v>2</v>
      </c>
      <c r="CX27" s="28">
        <f>Grupo!CX27</f>
        <v>1</v>
      </c>
      <c r="CY27" s="28">
        <f>Grupo!CY27</f>
        <v>0</v>
      </c>
      <c r="CZ27" s="28">
        <f>Grupo!CZ27</f>
        <v>1</v>
      </c>
      <c r="DA27" s="28">
        <f>Grupo!DA27</f>
        <v>1</v>
      </c>
      <c r="DB27" s="28">
        <f>Grupo!DB27</f>
        <v>0</v>
      </c>
      <c r="DC27" s="28">
        <f>Grupo!DC27</f>
        <v>1</v>
      </c>
      <c r="DD27" s="28">
        <f>Grupo!DD27</f>
        <v>2</v>
      </c>
      <c r="DE27" s="28">
        <f>Grupo!DE27</f>
        <v>1</v>
      </c>
      <c r="DF27" s="28">
        <f>Grupo!DF27</f>
        <v>1</v>
      </c>
      <c r="DG27" s="28">
        <f>Grupo!DG27</f>
        <v>0</v>
      </c>
      <c r="DH27" s="28">
        <f>Grupo!DH27</f>
        <v>0</v>
      </c>
      <c r="DI27" s="28">
        <f>Grupo!DI27</f>
        <v>3</v>
      </c>
      <c r="DJ27" s="28">
        <f>Grupo!DJ27</f>
        <v>0</v>
      </c>
      <c r="DK27" s="28">
        <f>Grupo!DK27</f>
        <v>1</v>
      </c>
      <c r="DL27" s="28">
        <f>Grupo!DL27</f>
        <v>2</v>
      </c>
      <c r="DM27" s="28">
        <f>Grupo!DM27</f>
        <v>0</v>
      </c>
      <c r="DN27" s="28">
        <f>Grupo!DN27</f>
        <v>0</v>
      </c>
      <c r="DO27" s="28">
        <f>Grupo!DO27</f>
        <v>3</v>
      </c>
      <c r="DP27" s="28">
        <f>Grupo!DP27</f>
        <v>1</v>
      </c>
      <c r="DQ27" s="28">
        <f>Grupo!DQ27</f>
        <v>0</v>
      </c>
      <c r="DR27" s="28">
        <f>Grupo!DR27</f>
        <v>1</v>
      </c>
      <c r="DS27" s="28">
        <f>Grupo!DS27</f>
        <v>1</v>
      </c>
      <c r="DT27" s="28">
        <f>Grupo!DT27</f>
        <v>0</v>
      </c>
      <c r="DU27" s="28">
        <f>Grupo!DU27</f>
        <v>2</v>
      </c>
      <c r="DV27" s="28">
        <f>Grupo!DV27</f>
        <v>0</v>
      </c>
      <c r="DW27" s="28">
        <f>Grupo!DW27</f>
        <v>1</v>
      </c>
      <c r="DX27" s="28">
        <f>Grupo!DX27</f>
        <v>1</v>
      </c>
      <c r="DY27" s="28">
        <f>Grupo!DY27</f>
        <v>1</v>
      </c>
      <c r="DZ27" s="28">
        <f>Grupo!DZ27</f>
        <v>0</v>
      </c>
      <c r="EA27" s="70">
        <f>Grupo!EA27</f>
        <v>1</v>
      </c>
      <c r="EB27" s="70">
        <f>Grupo!EB27</f>
        <v>1</v>
      </c>
      <c r="EC27" s="70">
        <f>Grupo!EC27</f>
        <v>0</v>
      </c>
      <c r="ED27" s="70">
        <f>Grupo!ED27</f>
        <v>1</v>
      </c>
      <c r="EE27" s="70">
        <f>Grupo!EE27</f>
        <v>1</v>
      </c>
      <c r="EF27" s="70">
        <f>Grupo!EF27</f>
        <v>1</v>
      </c>
      <c r="EG27" s="70">
        <f>Grupo!EG27</f>
        <v>0</v>
      </c>
      <c r="EH27" s="70">
        <f>Grupo!EH27</f>
        <v>4</v>
      </c>
      <c r="EI27" s="70">
        <f>Grupo!EI27</f>
        <v>1</v>
      </c>
      <c r="EJ27" s="70">
        <f>Grupo!EJ27</f>
        <v>3</v>
      </c>
      <c r="EK27" s="70">
        <f>Grupo!EK27</f>
        <v>0</v>
      </c>
      <c r="EL27" s="70">
        <f>Grupo!EL27</f>
        <v>1</v>
      </c>
      <c r="EM27" s="70">
        <f>Grupo!EM27</f>
        <v>2</v>
      </c>
      <c r="EN27" s="70">
        <f>Grupo!EN27</f>
        <v>0</v>
      </c>
      <c r="EO27" s="70">
        <f>Grupo!EO27</f>
        <v>1</v>
      </c>
      <c r="EP27" s="78">
        <f>Grupo!EP27</f>
        <v>2</v>
      </c>
      <c r="EQ27" s="78">
        <f>Grupo!EQ27</f>
        <v>4</v>
      </c>
      <c r="ER27" s="78">
        <f>Grupo!ER27</f>
        <v>1</v>
      </c>
      <c r="ES27" s="78">
        <f>Grupo!ES27</f>
        <v>2</v>
      </c>
      <c r="ET27" s="78">
        <f>Grupo!ET27</f>
        <v>0</v>
      </c>
      <c r="EU27" s="78">
        <f>Grupo!EU27</f>
        <v>1</v>
      </c>
      <c r="EV27" s="78">
        <f>Grupo!EV27</f>
        <v>1</v>
      </c>
      <c r="EW27" s="78">
        <f>Grupo!EW27</f>
        <v>1</v>
      </c>
      <c r="EX27" s="78">
        <f>Grupo!EX27</f>
        <v>0</v>
      </c>
      <c r="EY27" s="78">
        <f>Grupo!EY27</f>
        <v>1</v>
      </c>
      <c r="EZ27" s="78">
        <f>Grupo!EZ27</f>
        <v>2</v>
      </c>
      <c r="FA27" s="78">
        <f>Grupo!FA27</f>
        <v>0</v>
      </c>
      <c r="FB27" s="78">
        <f>Grupo!FB27</f>
        <v>0</v>
      </c>
      <c r="FC27" s="78">
        <f>Grupo!FC27</f>
        <v>3</v>
      </c>
      <c r="FD27" s="78">
        <f>Grupo!FD27</f>
        <v>3</v>
      </c>
      <c r="FE27" s="78">
        <f>Grupo!FE27</f>
        <v>1</v>
      </c>
      <c r="FF27" s="78">
        <f>Grupo!FF27</f>
        <v>0</v>
      </c>
      <c r="FG27" s="78">
        <f>Grupo!FG27</f>
        <v>3</v>
      </c>
      <c r="FH27" s="78">
        <f>Grupo!FH27</f>
        <v>1</v>
      </c>
      <c r="FI27" s="78">
        <f>Grupo!FI27</f>
        <v>3</v>
      </c>
      <c r="FJ27" s="78">
        <f>Grupo!FJ27</f>
        <v>1</v>
      </c>
      <c r="FK27" s="78">
        <f>Grupo!FK27</f>
        <v>1</v>
      </c>
      <c r="FL27" s="78">
        <f>Grupo!FL27</f>
        <v>2</v>
      </c>
      <c r="FM27" s="78">
        <f>Grupo!FM27</f>
        <v>0</v>
      </c>
      <c r="FN27" s="78">
        <f>Grupo!FN27</f>
        <v>0</v>
      </c>
      <c r="FO27" s="78">
        <f>Grupo!FO27</f>
        <v>1</v>
      </c>
      <c r="FP27" s="78">
        <f>Grupo!FP27</f>
        <v>0</v>
      </c>
      <c r="FQ27" s="78">
        <f>Grupo!FQ27</f>
        <v>0</v>
      </c>
      <c r="FR27" s="78">
        <f>Grupo!FR27</f>
        <v>2</v>
      </c>
      <c r="FS27" s="78">
        <f>Grupo!FS27</f>
        <v>1</v>
      </c>
      <c r="FT27" s="78">
        <f>Grupo!FT27</f>
        <v>0</v>
      </c>
      <c r="FU27" s="78">
        <f>Grupo!FU27</f>
        <v>2</v>
      </c>
      <c r="FV27" s="78">
        <f>Grupo!FV27</f>
        <v>0</v>
      </c>
      <c r="FW27" s="78">
        <f>Grupo!FW27</f>
        <v>1</v>
      </c>
      <c r="FX27" s="78">
        <f>Grupo!FX27</f>
        <v>2</v>
      </c>
      <c r="FY27" s="78">
        <f>Grupo!FY27</f>
        <v>0</v>
      </c>
      <c r="FZ27" s="78">
        <f>Grupo!FZ27</f>
        <v>3</v>
      </c>
      <c r="GA27" s="78">
        <f>Grupo!GA27</f>
        <v>3</v>
      </c>
      <c r="GB27" s="78">
        <f>Grupo!GB27</f>
        <v>0</v>
      </c>
      <c r="GC27" s="78">
        <f>Grupo!GC27</f>
        <v>2</v>
      </c>
      <c r="GD27" s="78">
        <f>Grupo!GD27</f>
        <v>1</v>
      </c>
      <c r="GE27" s="78">
        <f>Grupo!GE27</f>
        <v>1</v>
      </c>
      <c r="GF27" s="78">
        <f>Grupo!GF27</f>
        <v>1</v>
      </c>
      <c r="GG27" s="78">
        <f>Grupo!GG27</f>
        <v>1</v>
      </c>
      <c r="GH27" s="78">
        <f>Grupo!GH27</f>
        <v>3</v>
      </c>
      <c r="GI27" s="78">
        <f>Grupo!GI27</f>
        <v>3</v>
      </c>
      <c r="GJ27" s="78">
        <f>Grupo!GJ27</f>
        <v>1</v>
      </c>
      <c r="GK27" s="78">
        <f>Grupo!GK27</f>
        <v>0</v>
      </c>
      <c r="GL27" s="78">
        <f>Grupo!GL27</f>
        <v>1</v>
      </c>
      <c r="GM27" s="78">
        <f>Grupo!GM27</f>
        <v>2</v>
      </c>
      <c r="GN27" s="78">
        <f>Grupo!GN27</f>
        <v>0</v>
      </c>
      <c r="GO27" s="78">
        <f>Grupo!GO27</f>
        <v>1</v>
      </c>
      <c r="GP27" s="78">
        <f>Grupo!GP27</f>
        <v>3</v>
      </c>
      <c r="GQ27" s="78">
        <f>Grupo!GQ27</f>
        <v>1</v>
      </c>
      <c r="GR27" s="79">
        <f>Grupo!GR27</f>
        <v>0</v>
      </c>
      <c r="GS27" s="79">
        <f>Grupo!GS27</f>
        <v>3</v>
      </c>
      <c r="GT27" s="79" t="str">
        <f>Grupo!GT27</f>
        <v/>
      </c>
      <c r="GU27" s="79">
        <f>Grupo!GU27</f>
        <v>1</v>
      </c>
      <c r="GV27" s="79">
        <f>Grupo!GV27</f>
        <v>1</v>
      </c>
      <c r="GW27" s="79" t="str">
        <f>Grupo!GW27</f>
        <v/>
      </c>
      <c r="GX27" s="76">
        <f>Grupo!GX27</f>
        <v>1</v>
      </c>
      <c r="GY27" s="76">
        <f>Grupo!GY27</f>
        <v>2</v>
      </c>
      <c r="GZ27" s="76" t="str">
        <f>Grupo!GZ27</f>
        <v/>
      </c>
      <c r="HA27" s="76">
        <f>Grupo!HA27</f>
        <v>0</v>
      </c>
      <c r="HB27" s="76">
        <f>Grupo!HB27</f>
        <v>2</v>
      </c>
      <c r="HC27" s="76" t="str">
        <f>Grupo!HC27</f>
        <v/>
      </c>
      <c r="HD27" s="76">
        <f>Grupo!HD27</f>
        <v>1</v>
      </c>
      <c r="HE27" s="76">
        <f>Grupo!HE27</f>
        <v>1</v>
      </c>
      <c r="HF27" s="76" t="str">
        <f>Grupo!HF27</f>
        <v/>
      </c>
      <c r="HG27" s="76">
        <f>Grupo!HG27</f>
        <v>1</v>
      </c>
      <c r="HH27" s="76">
        <f>Grupo!HH27</f>
        <v>2</v>
      </c>
      <c r="HI27" s="76" t="str">
        <f>Grupo!HI27</f>
        <v/>
      </c>
      <c r="HJ27" s="32">
        <f>Grupo!HJ27</f>
        <v>49</v>
      </c>
      <c r="HK27" s="25" t="s">
        <v>54</v>
      </c>
    </row>
    <row r="28" spans="1:219" ht="20.25" customHeight="1" thickBot="1" x14ac:dyDescent="0.35">
      <c r="A28" s="34" t="str">
        <f>Grupo!A28</f>
        <v>Kattia 2</v>
      </c>
      <c r="B28" s="28">
        <f>Grupo!B28</f>
        <v>2</v>
      </c>
      <c r="C28" s="28">
        <f>Grupo!C28</f>
        <v>0</v>
      </c>
      <c r="D28" s="28">
        <f>Grupo!D28</f>
        <v>3</v>
      </c>
      <c r="E28" s="28">
        <f>Grupo!E28</f>
        <v>1</v>
      </c>
      <c r="F28" s="28">
        <f>Grupo!F28</f>
        <v>1</v>
      </c>
      <c r="G28" s="28">
        <f>Grupo!G28</f>
        <v>0</v>
      </c>
      <c r="H28" s="28">
        <f>Grupo!H28</f>
        <v>2</v>
      </c>
      <c r="I28" s="28">
        <f>Grupo!I28</f>
        <v>1</v>
      </c>
      <c r="J28" s="28">
        <f>Grupo!J28</f>
        <v>0</v>
      </c>
      <c r="K28" s="28">
        <f>Grupo!K28</f>
        <v>2</v>
      </c>
      <c r="L28" s="28">
        <f>Grupo!L28</f>
        <v>1</v>
      </c>
      <c r="M28" s="28">
        <f>Grupo!M28</f>
        <v>1</v>
      </c>
      <c r="N28" s="28">
        <f>Grupo!N28</f>
        <v>0</v>
      </c>
      <c r="O28" s="28">
        <f>Grupo!O28</f>
        <v>3</v>
      </c>
      <c r="P28" s="28">
        <f>Grupo!P28</f>
        <v>1</v>
      </c>
      <c r="Q28" s="28">
        <f>Grupo!Q28</f>
        <v>1</v>
      </c>
      <c r="R28" s="28">
        <f>Grupo!R28</f>
        <v>1</v>
      </c>
      <c r="S28" s="28">
        <f>Grupo!S28</f>
        <v>0</v>
      </c>
      <c r="T28" s="28">
        <f>Grupo!T28</f>
        <v>3</v>
      </c>
      <c r="U28" s="28">
        <f>Grupo!U28</f>
        <v>2</v>
      </c>
      <c r="V28" s="28">
        <f>Grupo!V28</f>
        <v>0</v>
      </c>
      <c r="W28" s="28">
        <f>Grupo!W28</f>
        <v>0</v>
      </c>
      <c r="X28" s="28">
        <f>Grupo!X28</f>
        <v>2</v>
      </c>
      <c r="Y28" s="28">
        <f>Grupo!Y28</f>
        <v>0</v>
      </c>
      <c r="Z28" s="28">
        <f>Grupo!Z28</f>
        <v>2</v>
      </c>
      <c r="AA28" s="28">
        <f>Grupo!AA28</f>
        <v>2</v>
      </c>
      <c r="AB28" s="28">
        <f>Grupo!AB28</f>
        <v>0</v>
      </c>
      <c r="AC28" s="28">
        <f>Grupo!AC28</f>
        <v>4</v>
      </c>
      <c r="AD28" s="28">
        <f>Grupo!AD28</f>
        <v>0</v>
      </c>
      <c r="AE28" s="28">
        <f>Grupo!AE28</f>
        <v>1</v>
      </c>
      <c r="AF28" s="28">
        <f>Grupo!AF28</f>
        <v>2</v>
      </c>
      <c r="AG28" s="28">
        <f>Grupo!AG28</f>
        <v>2</v>
      </c>
      <c r="AH28" s="28">
        <f>Grupo!AH28</f>
        <v>3</v>
      </c>
      <c r="AI28" s="28">
        <f>Grupo!AI28</f>
        <v>2</v>
      </c>
      <c r="AJ28" s="28">
        <f>Grupo!AJ28</f>
        <v>0</v>
      </c>
      <c r="AK28" s="28">
        <f>Grupo!AK28</f>
        <v>1</v>
      </c>
      <c r="AL28" s="28">
        <f>Grupo!AL28</f>
        <v>0</v>
      </c>
      <c r="AM28" s="28">
        <f>Grupo!AM28</f>
        <v>2</v>
      </c>
      <c r="AN28" s="28">
        <f>Grupo!AN28</f>
        <v>0</v>
      </c>
      <c r="AO28" s="28">
        <f>Grupo!AO28</f>
        <v>3</v>
      </c>
      <c r="AP28" s="28">
        <f>Grupo!AP28</f>
        <v>0</v>
      </c>
      <c r="AQ28" s="28">
        <f>Grupo!AQ28</f>
        <v>0</v>
      </c>
      <c r="AR28" s="28">
        <f>Grupo!AR28</f>
        <v>1</v>
      </c>
      <c r="AS28" s="28">
        <f>Grupo!AS28</f>
        <v>1</v>
      </c>
      <c r="AT28" s="28">
        <f>Grupo!AT28</f>
        <v>1</v>
      </c>
      <c r="AU28" s="28">
        <f>Grupo!AU28</f>
        <v>2</v>
      </c>
      <c r="AV28" s="28">
        <f>Grupo!AV28</f>
        <v>0</v>
      </c>
      <c r="AW28" s="28">
        <f>Grupo!AW28</f>
        <v>0</v>
      </c>
      <c r="AX28" s="28">
        <f>Grupo!AX28</f>
        <v>2</v>
      </c>
      <c r="AY28" s="28">
        <f>Grupo!AY28</f>
        <v>1</v>
      </c>
      <c r="AZ28" s="28">
        <f>Grupo!AZ28</f>
        <v>1</v>
      </c>
      <c r="BA28" s="28">
        <f>Grupo!BA28</f>
        <v>0</v>
      </c>
      <c r="BB28" s="28">
        <f>Grupo!BB28</f>
        <v>2</v>
      </c>
      <c r="BC28" s="28">
        <f>Grupo!BC28</f>
        <v>1</v>
      </c>
      <c r="BD28" s="28">
        <f>Grupo!BD28</f>
        <v>3</v>
      </c>
      <c r="BE28" s="28">
        <f>Grupo!BE28</f>
        <v>0</v>
      </c>
      <c r="BF28" s="28">
        <f>Grupo!BF28</f>
        <v>3</v>
      </c>
      <c r="BG28" s="28">
        <f>Grupo!BG28</f>
        <v>2</v>
      </c>
      <c r="BH28" s="28">
        <f>Grupo!BH28</f>
        <v>0</v>
      </c>
      <c r="BI28" s="28">
        <f>Grupo!BI28</f>
        <v>1</v>
      </c>
      <c r="BJ28" s="28">
        <f>Grupo!BJ28</f>
        <v>1</v>
      </c>
      <c r="BK28" s="28">
        <f>Grupo!BK28</f>
        <v>1</v>
      </c>
      <c r="BL28" s="28">
        <f>Grupo!BL28</f>
        <v>0</v>
      </c>
      <c r="BM28" s="28">
        <f>Grupo!BM28</f>
        <v>2</v>
      </c>
      <c r="BN28" s="28">
        <f>Grupo!BN28</f>
        <v>1</v>
      </c>
      <c r="BO28" s="28">
        <f>Grupo!BO28</f>
        <v>1</v>
      </c>
      <c r="BP28" s="28">
        <f>Grupo!BP28</f>
        <v>3</v>
      </c>
      <c r="BQ28" s="28">
        <f>Grupo!BQ28</f>
        <v>0</v>
      </c>
      <c r="BR28" s="28">
        <f>Grupo!BR28</f>
        <v>0</v>
      </c>
      <c r="BS28" s="28">
        <f>Grupo!BS28</f>
        <v>0</v>
      </c>
      <c r="BT28" s="28">
        <f>Grupo!BT28</f>
        <v>2</v>
      </c>
      <c r="BU28" s="28">
        <f>Grupo!BU28</f>
        <v>1</v>
      </c>
      <c r="BV28" s="28">
        <f>Grupo!BV28</f>
        <v>2</v>
      </c>
      <c r="BW28" s="28">
        <f>Grupo!BW28</f>
        <v>1</v>
      </c>
      <c r="BX28" s="28">
        <f>Grupo!BX28</f>
        <v>0</v>
      </c>
      <c r="BY28" s="28">
        <f>Grupo!BY28</f>
        <v>2</v>
      </c>
      <c r="BZ28" s="28">
        <f>Grupo!BZ28</f>
        <v>0</v>
      </c>
      <c r="CA28" s="28">
        <f>Grupo!CA28</f>
        <v>1</v>
      </c>
      <c r="CB28" s="28">
        <f>Grupo!CB28</f>
        <v>2</v>
      </c>
      <c r="CC28" s="28">
        <f>Grupo!CC28</f>
        <v>0</v>
      </c>
      <c r="CD28" s="28">
        <f>Grupo!CD28</f>
        <v>1</v>
      </c>
      <c r="CE28" s="28">
        <f>Grupo!CE28</f>
        <v>2</v>
      </c>
      <c r="CF28" s="28">
        <f>Grupo!CF28</f>
        <v>1</v>
      </c>
      <c r="CG28" s="28">
        <f>Grupo!CG28</f>
        <v>1</v>
      </c>
      <c r="CH28" s="28">
        <f>Grupo!CH28</f>
        <v>5</v>
      </c>
      <c r="CI28" s="28">
        <f>Grupo!CI28</f>
        <v>0</v>
      </c>
      <c r="CJ28" s="28">
        <f>Grupo!CJ28</f>
        <v>1</v>
      </c>
      <c r="CK28" s="28">
        <f>Grupo!CK28</f>
        <v>1</v>
      </c>
      <c r="CL28" s="28">
        <f>Grupo!CL28</f>
        <v>1</v>
      </c>
      <c r="CM28" s="28">
        <f>Grupo!CM28</f>
        <v>0</v>
      </c>
      <c r="CN28" s="28">
        <f>Grupo!CN28</f>
        <v>1</v>
      </c>
      <c r="CO28" s="28">
        <f>Grupo!CO28</f>
        <v>2</v>
      </c>
      <c r="CP28" s="28">
        <f>Grupo!CP28</f>
        <v>1</v>
      </c>
      <c r="CQ28" s="28">
        <f>Grupo!CQ28</f>
        <v>2</v>
      </c>
      <c r="CR28" s="28">
        <f>Grupo!CR28</f>
        <v>0</v>
      </c>
      <c r="CS28" s="28">
        <f>Grupo!CS28</f>
        <v>3</v>
      </c>
      <c r="CT28" s="28">
        <f>Grupo!CT28</f>
        <v>2</v>
      </c>
      <c r="CU28" s="28">
        <f>Grupo!CU28</f>
        <v>0</v>
      </c>
      <c r="CV28" s="28">
        <f>Grupo!CV28</f>
        <v>1</v>
      </c>
      <c r="CW28" s="28">
        <f>Grupo!CW28</f>
        <v>2</v>
      </c>
      <c r="CX28" s="28">
        <f>Grupo!CX28</f>
        <v>0</v>
      </c>
      <c r="CY28" s="28">
        <f>Grupo!CY28</f>
        <v>0</v>
      </c>
      <c r="CZ28" s="28">
        <f>Grupo!CZ28</f>
        <v>2</v>
      </c>
      <c r="DA28" s="28">
        <f>Grupo!DA28</f>
        <v>1</v>
      </c>
      <c r="DB28" s="28">
        <f>Grupo!DB28</f>
        <v>1</v>
      </c>
      <c r="DC28" s="28">
        <f>Grupo!DC28</f>
        <v>1</v>
      </c>
      <c r="DD28" s="28">
        <f>Grupo!DD28</f>
        <v>2</v>
      </c>
      <c r="DE28" s="28">
        <f>Grupo!DE28</f>
        <v>1</v>
      </c>
      <c r="DF28" s="28">
        <f>Grupo!DF28</f>
        <v>3</v>
      </c>
      <c r="DG28" s="28">
        <f>Grupo!DG28</f>
        <v>0</v>
      </c>
      <c r="DH28" s="28">
        <f>Grupo!DH28</f>
        <v>0</v>
      </c>
      <c r="DI28" s="28">
        <f>Grupo!DI28</f>
        <v>2</v>
      </c>
      <c r="DJ28" s="28">
        <f>Grupo!DJ28</f>
        <v>0</v>
      </c>
      <c r="DK28" s="28">
        <f>Grupo!DK28</f>
        <v>1</v>
      </c>
      <c r="DL28" s="28">
        <f>Grupo!DL28</f>
        <v>2</v>
      </c>
      <c r="DM28" s="28">
        <f>Grupo!DM28</f>
        <v>1</v>
      </c>
      <c r="DN28" s="28">
        <f>Grupo!DN28</f>
        <v>0</v>
      </c>
      <c r="DO28" s="28">
        <f>Grupo!DO28</f>
        <v>1</v>
      </c>
      <c r="DP28" s="28">
        <f>Grupo!DP28</f>
        <v>1</v>
      </c>
      <c r="DQ28" s="28">
        <f>Grupo!DQ28</f>
        <v>0</v>
      </c>
      <c r="DR28" s="28">
        <f>Grupo!DR28</f>
        <v>2</v>
      </c>
      <c r="DS28" s="28">
        <f>Grupo!DS28</f>
        <v>0</v>
      </c>
      <c r="DT28" s="28">
        <f>Grupo!DT28</f>
        <v>1</v>
      </c>
      <c r="DU28" s="28">
        <f>Grupo!DU28</f>
        <v>3</v>
      </c>
      <c r="DV28" s="28">
        <f>Grupo!DV28</f>
        <v>0</v>
      </c>
      <c r="DW28" s="28">
        <f>Grupo!DW28</f>
        <v>3</v>
      </c>
      <c r="DX28" s="28">
        <f>Grupo!DX28</f>
        <v>3</v>
      </c>
      <c r="DY28" s="28">
        <f>Grupo!DY28</f>
        <v>0</v>
      </c>
      <c r="DZ28" s="28">
        <f>Grupo!DZ28</f>
        <v>1</v>
      </c>
      <c r="EA28" s="70">
        <f>Grupo!EA28</f>
        <v>1</v>
      </c>
      <c r="EB28" s="70">
        <f>Grupo!EB28</f>
        <v>1</v>
      </c>
      <c r="EC28" s="70">
        <f>Grupo!EC28</f>
        <v>0</v>
      </c>
      <c r="ED28" s="70">
        <f>Grupo!ED28</f>
        <v>3</v>
      </c>
      <c r="EE28" s="70">
        <f>Grupo!EE28</f>
        <v>1</v>
      </c>
      <c r="EF28" s="70">
        <f>Grupo!EF28</f>
        <v>0</v>
      </c>
      <c r="EG28" s="70">
        <f>Grupo!EG28</f>
        <v>1</v>
      </c>
      <c r="EH28" s="70">
        <f>Grupo!EH28</f>
        <v>2</v>
      </c>
      <c r="EI28" s="70">
        <f>Grupo!EI28</f>
        <v>1</v>
      </c>
      <c r="EJ28" s="70">
        <f>Grupo!EJ28</f>
        <v>2</v>
      </c>
      <c r="EK28" s="70">
        <f>Grupo!EK28</f>
        <v>0</v>
      </c>
      <c r="EL28" s="70">
        <f>Grupo!EL28</f>
        <v>1</v>
      </c>
      <c r="EM28" s="70">
        <f>Grupo!EM28</f>
        <v>3</v>
      </c>
      <c r="EN28" s="70">
        <f>Grupo!EN28</f>
        <v>0</v>
      </c>
      <c r="EO28" s="70">
        <f>Grupo!EO28</f>
        <v>1</v>
      </c>
      <c r="EP28" s="78">
        <f>Grupo!EP28</f>
        <v>0</v>
      </c>
      <c r="EQ28" s="78">
        <f>Grupo!EQ28</f>
        <v>3</v>
      </c>
      <c r="ER28" s="78">
        <f>Grupo!ER28</f>
        <v>3</v>
      </c>
      <c r="ES28" s="78">
        <f>Grupo!ES28</f>
        <v>3</v>
      </c>
      <c r="ET28" s="78">
        <f>Grupo!ET28</f>
        <v>0</v>
      </c>
      <c r="EU28" s="78">
        <f>Grupo!EU28</f>
        <v>1</v>
      </c>
      <c r="EV28" s="78">
        <f>Grupo!EV28</f>
        <v>1</v>
      </c>
      <c r="EW28" s="78">
        <f>Grupo!EW28</f>
        <v>2</v>
      </c>
      <c r="EX28" s="78">
        <f>Grupo!EX28</f>
        <v>0</v>
      </c>
      <c r="EY28" s="78">
        <f>Grupo!EY28</f>
        <v>1</v>
      </c>
      <c r="EZ28" s="78">
        <f>Grupo!EZ28</f>
        <v>1</v>
      </c>
      <c r="FA28" s="78">
        <f>Grupo!FA28</f>
        <v>0</v>
      </c>
      <c r="FB28" s="78">
        <f>Grupo!FB28</f>
        <v>1</v>
      </c>
      <c r="FC28" s="78">
        <f>Grupo!FC28</f>
        <v>2</v>
      </c>
      <c r="FD28" s="78">
        <f>Grupo!FD28</f>
        <v>1</v>
      </c>
      <c r="FE28" s="78">
        <f>Grupo!FE28</f>
        <v>0</v>
      </c>
      <c r="FF28" s="78">
        <f>Grupo!FF28</f>
        <v>2</v>
      </c>
      <c r="FG28" s="78">
        <f>Grupo!FG28</f>
        <v>0</v>
      </c>
      <c r="FH28" s="78">
        <f>Grupo!FH28</f>
        <v>0</v>
      </c>
      <c r="FI28" s="78">
        <f>Grupo!FI28</f>
        <v>2</v>
      </c>
      <c r="FJ28" s="78">
        <f>Grupo!FJ28</f>
        <v>3</v>
      </c>
      <c r="FK28" s="78">
        <f>Grupo!FK28</f>
        <v>1</v>
      </c>
      <c r="FL28" s="78">
        <f>Grupo!FL28</f>
        <v>2</v>
      </c>
      <c r="FM28" s="78">
        <f>Grupo!FM28</f>
        <v>0</v>
      </c>
      <c r="FN28" s="78">
        <f>Grupo!FN28</f>
        <v>2</v>
      </c>
      <c r="FO28" s="78">
        <f>Grupo!FO28</f>
        <v>1</v>
      </c>
      <c r="FP28" s="78">
        <f>Grupo!FP28</f>
        <v>0</v>
      </c>
      <c r="FQ28" s="78">
        <f>Grupo!FQ28</f>
        <v>1</v>
      </c>
      <c r="FR28" s="78">
        <f>Grupo!FR28</f>
        <v>3</v>
      </c>
      <c r="FS28" s="78">
        <f>Grupo!FS28</f>
        <v>3</v>
      </c>
      <c r="FT28" s="78">
        <f>Grupo!FT28</f>
        <v>1</v>
      </c>
      <c r="FU28" s="78">
        <f>Grupo!FU28</f>
        <v>1</v>
      </c>
      <c r="FV28" s="78">
        <f>Grupo!FV28</f>
        <v>0</v>
      </c>
      <c r="FW28" s="78">
        <f>Grupo!FW28</f>
        <v>2</v>
      </c>
      <c r="FX28" s="78">
        <f>Grupo!FX28</f>
        <v>1</v>
      </c>
      <c r="FY28" s="78">
        <f>Grupo!FY28</f>
        <v>0</v>
      </c>
      <c r="FZ28" s="78">
        <f>Grupo!FZ28</f>
        <v>1</v>
      </c>
      <c r="GA28" s="78">
        <f>Grupo!GA28</f>
        <v>2</v>
      </c>
      <c r="GB28" s="78">
        <f>Grupo!GB28</f>
        <v>1</v>
      </c>
      <c r="GC28" s="78">
        <f>Grupo!GC28</f>
        <v>2</v>
      </c>
      <c r="GD28" s="78">
        <f>Grupo!GD28</f>
        <v>0</v>
      </c>
      <c r="GE28" s="78">
        <f>Grupo!GE28</f>
        <v>1</v>
      </c>
      <c r="GF28" s="78">
        <f>Grupo!GF28</f>
        <v>1</v>
      </c>
      <c r="GG28" s="78">
        <f>Grupo!GG28</f>
        <v>1</v>
      </c>
      <c r="GH28" s="78">
        <f>Grupo!GH28</f>
        <v>3</v>
      </c>
      <c r="GI28" s="78">
        <f>Grupo!GI28</f>
        <v>0</v>
      </c>
      <c r="GJ28" s="78">
        <f>Grupo!GJ28</f>
        <v>2</v>
      </c>
      <c r="GK28" s="78">
        <f>Grupo!GK28</f>
        <v>1</v>
      </c>
      <c r="GL28" s="78">
        <f>Grupo!GL28</f>
        <v>1</v>
      </c>
      <c r="GM28" s="78">
        <f>Grupo!GM28</f>
        <v>1</v>
      </c>
      <c r="GN28" s="78">
        <f>Grupo!GN28</f>
        <v>1</v>
      </c>
      <c r="GO28" s="78">
        <f>Grupo!GO28</f>
        <v>1</v>
      </c>
      <c r="GP28" s="78">
        <f>Grupo!GP28</f>
        <v>2</v>
      </c>
      <c r="GQ28" s="78">
        <f>Grupo!GQ28</f>
        <v>1</v>
      </c>
      <c r="GR28" s="79">
        <f>Grupo!GR28</f>
        <v>0</v>
      </c>
      <c r="GS28" s="79">
        <f>Grupo!GS28</f>
        <v>3</v>
      </c>
      <c r="GT28" s="79" t="str">
        <f>Grupo!GT28</f>
        <v/>
      </c>
      <c r="GU28" s="79">
        <f>Grupo!GU28</f>
        <v>2</v>
      </c>
      <c r="GV28" s="79">
        <f>Grupo!GV28</f>
        <v>1</v>
      </c>
      <c r="GW28" s="79" t="str">
        <f>Grupo!GW28</f>
        <v/>
      </c>
      <c r="GX28" s="76">
        <f>Grupo!GX28</f>
        <v>1</v>
      </c>
      <c r="GY28" s="76">
        <f>Grupo!GY28</f>
        <v>2</v>
      </c>
      <c r="GZ28" s="76" t="str">
        <f>Grupo!GZ28</f>
        <v/>
      </c>
      <c r="HA28" s="76">
        <f>Grupo!HA28</f>
        <v>0</v>
      </c>
      <c r="HB28" s="76">
        <f>Grupo!HB28</f>
        <v>3</v>
      </c>
      <c r="HC28" s="76" t="str">
        <f>Grupo!HC28</f>
        <v/>
      </c>
      <c r="HD28" s="76">
        <f>Grupo!HD28</f>
        <v>1</v>
      </c>
      <c r="HE28" s="76">
        <f>Grupo!HE28</f>
        <v>2</v>
      </c>
      <c r="HF28" s="76" t="str">
        <f>Grupo!HF28</f>
        <v/>
      </c>
      <c r="HG28" s="76">
        <f>Grupo!HG28</f>
        <v>2</v>
      </c>
      <c r="HH28" s="76">
        <f>Grupo!HH28</f>
        <v>1</v>
      </c>
      <c r="HI28" s="76" t="str">
        <f>Grupo!HI28</f>
        <v/>
      </c>
      <c r="HJ28" s="32">
        <f>Grupo!HJ28</f>
        <v>58</v>
      </c>
      <c r="HK28" s="25" t="s">
        <v>26</v>
      </c>
    </row>
    <row r="29" spans="1:219" ht="20.25" customHeight="1" thickBot="1" x14ac:dyDescent="0.35">
      <c r="A29" s="34" t="str">
        <f>Grupo!A29</f>
        <v>Kevin</v>
      </c>
      <c r="B29" s="28">
        <f>Grupo!B29</f>
        <v>2</v>
      </c>
      <c r="C29" s="28">
        <f>Grupo!C29</f>
        <v>0</v>
      </c>
      <c r="D29" s="28">
        <f>Grupo!D29</f>
        <v>3</v>
      </c>
      <c r="E29" s="28">
        <f>Grupo!E29</f>
        <v>1</v>
      </c>
      <c r="F29" s="28">
        <f>Grupo!F29</f>
        <v>1</v>
      </c>
      <c r="G29" s="28">
        <f>Grupo!G29</f>
        <v>0</v>
      </c>
      <c r="H29" s="28">
        <f>Grupo!H29</f>
        <v>1</v>
      </c>
      <c r="I29" s="28">
        <f>Grupo!I29</f>
        <v>2</v>
      </c>
      <c r="J29" s="28">
        <f>Grupo!J29</f>
        <v>0</v>
      </c>
      <c r="K29" s="28">
        <f>Grupo!K29</f>
        <v>2</v>
      </c>
      <c r="L29" s="28">
        <f>Grupo!L29</f>
        <v>1</v>
      </c>
      <c r="M29" s="28">
        <f>Grupo!M29</f>
        <v>1</v>
      </c>
      <c r="N29" s="28">
        <f>Grupo!N29</f>
        <v>0</v>
      </c>
      <c r="O29" s="28">
        <f>Grupo!O29</f>
        <v>2</v>
      </c>
      <c r="P29" s="28">
        <f>Grupo!P29</f>
        <v>1</v>
      </c>
      <c r="Q29" s="28">
        <f>Grupo!Q29</f>
        <v>1</v>
      </c>
      <c r="R29" s="28">
        <f>Grupo!R29</f>
        <v>1</v>
      </c>
      <c r="S29" s="28">
        <f>Grupo!S29</f>
        <v>0</v>
      </c>
      <c r="T29" s="28">
        <f>Grupo!T29</f>
        <v>3</v>
      </c>
      <c r="U29" s="28">
        <f>Grupo!U29</f>
        <v>1</v>
      </c>
      <c r="V29" s="28">
        <f>Grupo!V29</f>
        <v>0</v>
      </c>
      <c r="W29" s="28">
        <f>Grupo!W29</f>
        <v>0</v>
      </c>
      <c r="X29" s="28">
        <f>Grupo!X29</f>
        <v>2</v>
      </c>
      <c r="Y29" s="28">
        <f>Grupo!Y29</f>
        <v>0</v>
      </c>
      <c r="Z29" s="28">
        <f>Grupo!Z29</f>
        <v>2</v>
      </c>
      <c r="AA29" s="28">
        <f>Grupo!AA29</f>
        <v>2</v>
      </c>
      <c r="AB29" s="28">
        <f>Grupo!AB29</f>
        <v>0</v>
      </c>
      <c r="AC29" s="28">
        <f>Grupo!AC29</f>
        <v>4</v>
      </c>
      <c r="AD29" s="28">
        <f>Grupo!AD29</f>
        <v>0</v>
      </c>
      <c r="AE29" s="28">
        <f>Grupo!AE29</f>
        <v>1</v>
      </c>
      <c r="AF29" s="28">
        <f>Grupo!AF29</f>
        <v>2</v>
      </c>
      <c r="AG29" s="28">
        <f>Grupo!AG29</f>
        <v>1</v>
      </c>
      <c r="AH29" s="28">
        <f>Grupo!AH29</f>
        <v>0</v>
      </c>
      <c r="AI29" s="28">
        <f>Grupo!AI29</f>
        <v>1</v>
      </c>
      <c r="AJ29" s="28">
        <f>Grupo!AJ29</f>
        <v>0</v>
      </c>
      <c r="AK29" s="28">
        <f>Grupo!AK29</f>
        <v>1</v>
      </c>
      <c r="AL29" s="28">
        <f>Grupo!AL29</f>
        <v>0</v>
      </c>
      <c r="AM29" s="28">
        <f>Grupo!AM29</f>
        <v>2</v>
      </c>
      <c r="AN29" s="28">
        <f>Grupo!AN29</f>
        <v>0</v>
      </c>
      <c r="AO29" s="28">
        <f>Grupo!AO29</f>
        <v>3</v>
      </c>
      <c r="AP29" s="28">
        <f>Grupo!AP29</f>
        <v>0</v>
      </c>
      <c r="AQ29" s="28">
        <f>Grupo!AQ29</f>
        <v>0</v>
      </c>
      <c r="AR29" s="28">
        <f>Grupo!AR29</f>
        <v>1</v>
      </c>
      <c r="AS29" s="28">
        <f>Grupo!AS29</f>
        <v>1</v>
      </c>
      <c r="AT29" s="28">
        <f>Grupo!AT29</f>
        <v>1</v>
      </c>
      <c r="AU29" s="28">
        <f>Grupo!AU29</f>
        <v>2</v>
      </c>
      <c r="AV29" s="28">
        <f>Grupo!AV29</f>
        <v>0</v>
      </c>
      <c r="AW29" s="28">
        <f>Grupo!AW29</f>
        <v>0</v>
      </c>
      <c r="AX29" s="28">
        <f>Grupo!AX29</f>
        <v>2</v>
      </c>
      <c r="AY29" s="28">
        <f>Grupo!AY29</f>
        <v>1</v>
      </c>
      <c r="AZ29" s="28">
        <f>Grupo!AZ29</f>
        <v>1</v>
      </c>
      <c r="BA29" s="28">
        <f>Grupo!BA29</f>
        <v>0</v>
      </c>
      <c r="BB29" s="28">
        <f>Grupo!BB29</f>
        <v>2</v>
      </c>
      <c r="BC29" s="28">
        <f>Grupo!BC29</f>
        <v>1</v>
      </c>
      <c r="BD29" s="28">
        <f>Grupo!BD29</f>
        <v>2</v>
      </c>
      <c r="BE29" s="28">
        <f>Grupo!BE29</f>
        <v>0</v>
      </c>
      <c r="BF29" s="28">
        <f>Grupo!BF29</f>
        <v>1</v>
      </c>
      <c r="BG29" s="28">
        <f>Grupo!BG29</f>
        <v>2</v>
      </c>
      <c r="BH29" s="28">
        <f>Grupo!BH29</f>
        <v>1</v>
      </c>
      <c r="BI29" s="28">
        <f>Grupo!BI29</f>
        <v>1</v>
      </c>
      <c r="BJ29" s="28">
        <f>Grupo!BJ29</f>
        <v>1</v>
      </c>
      <c r="BK29" s="28">
        <f>Grupo!BK29</f>
        <v>0</v>
      </c>
      <c r="BL29" s="28">
        <f>Grupo!BL29</f>
        <v>3</v>
      </c>
      <c r="BM29" s="28">
        <f>Grupo!BM29</f>
        <v>2</v>
      </c>
      <c r="BN29" s="28">
        <f>Grupo!BN29</f>
        <v>2</v>
      </c>
      <c r="BO29" s="28">
        <f>Grupo!BO29</f>
        <v>0</v>
      </c>
      <c r="BP29" s="28">
        <f>Grupo!BP29</f>
        <v>3</v>
      </c>
      <c r="BQ29" s="28">
        <f>Grupo!BQ29</f>
        <v>1</v>
      </c>
      <c r="BR29" s="28">
        <f>Grupo!BR29</f>
        <v>0</v>
      </c>
      <c r="BS29" s="28">
        <f>Grupo!BS29</f>
        <v>1</v>
      </c>
      <c r="BT29" s="28">
        <f>Grupo!BT29</f>
        <v>2</v>
      </c>
      <c r="BU29" s="28">
        <f>Grupo!BU29</f>
        <v>1</v>
      </c>
      <c r="BV29" s="28">
        <f>Grupo!BV29</f>
        <v>2</v>
      </c>
      <c r="BW29" s="28">
        <f>Grupo!BW29</f>
        <v>1</v>
      </c>
      <c r="BX29" s="28">
        <f>Grupo!BX29</f>
        <v>0</v>
      </c>
      <c r="BY29" s="28">
        <f>Grupo!BY29</f>
        <v>1</v>
      </c>
      <c r="BZ29" s="28">
        <f>Grupo!BZ29</f>
        <v>1</v>
      </c>
      <c r="CA29" s="28">
        <f>Grupo!CA29</f>
        <v>0</v>
      </c>
      <c r="CB29" s="28">
        <f>Grupo!CB29</f>
        <v>2</v>
      </c>
      <c r="CC29" s="28">
        <f>Grupo!CC29</f>
        <v>0</v>
      </c>
      <c r="CD29" s="28">
        <f>Grupo!CD29</f>
        <v>1</v>
      </c>
      <c r="CE29" s="28">
        <f>Grupo!CE29</f>
        <v>2</v>
      </c>
      <c r="CF29" s="28">
        <f>Grupo!CF29</f>
        <v>1</v>
      </c>
      <c r="CG29" s="28">
        <f>Grupo!CG29</f>
        <v>1</v>
      </c>
      <c r="CH29" s="28">
        <f>Grupo!CH29</f>
        <v>4</v>
      </c>
      <c r="CI29" s="28">
        <f>Grupo!CI29</f>
        <v>0</v>
      </c>
      <c r="CJ29" s="28">
        <f>Grupo!CJ29</f>
        <v>1</v>
      </c>
      <c r="CK29" s="28">
        <f>Grupo!CK29</f>
        <v>2</v>
      </c>
      <c r="CL29" s="28">
        <f>Grupo!CL29</f>
        <v>2</v>
      </c>
      <c r="CM29" s="28">
        <f>Grupo!CM29</f>
        <v>0</v>
      </c>
      <c r="CN29" s="28">
        <f>Grupo!CN29</f>
        <v>1</v>
      </c>
      <c r="CO29" s="28">
        <f>Grupo!CO29</f>
        <v>1</v>
      </c>
      <c r="CP29" s="28">
        <f>Grupo!CP29</f>
        <v>0</v>
      </c>
      <c r="CQ29" s="28">
        <f>Grupo!CQ29</f>
        <v>2</v>
      </c>
      <c r="CR29" s="28">
        <f>Grupo!CR29</f>
        <v>0</v>
      </c>
      <c r="CS29" s="28">
        <f>Grupo!CS29</f>
        <v>3</v>
      </c>
      <c r="CT29" s="28">
        <f>Grupo!CT29</f>
        <v>2</v>
      </c>
      <c r="CU29" s="28">
        <f>Grupo!CU29</f>
        <v>1</v>
      </c>
      <c r="CV29" s="28">
        <f>Grupo!CV29</f>
        <v>3</v>
      </c>
      <c r="CW29" s="28">
        <f>Grupo!CW29</f>
        <v>2</v>
      </c>
      <c r="CX29" s="28">
        <f>Grupo!CX29</f>
        <v>0</v>
      </c>
      <c r="CY29" s="28">
        <f>Grupo!CY29</f>
        <v>0</v>
      </c>
      <c r="CZ29" s="28">
        <f>Grupo!CZ29</f>
        <v>2</v>
      </c>
      <c r="DA29" s="28">
        <f>Grupo!DA29</f>
        <v>2</v>
      </c>
      <c r="DB29" s="28">
        <f>Grupo!DB29</f>
        <v>0</v>
      </c>
      <c r="DC29" s="28">
        <f>Grupo!DC29</f>
        <v>1</v>
      </c>
      <c r="DD29" s="28">
        <f>Grupo!DD29</f>
        <v>2</v>
      </c>
      <c r="DE29" s="28">
        <f>Grupo!DE29</f>
        <v>1</v>
      </c>
      <c r="DF29" s="28">
        <f>Grupo!DF29</f>
        <v>2</v>
      </c>
      <c r="DG29" s="28">
        <f>Grupo!DG29</f>
        <v>0</v>
      </c>
      <c r="DH29" s="28">
        <f>Grupo!DH29</f>
        <v>0</v>
      </c>
      <c r="DI29" s="28">
        <f>Grupo!DI29</f>
        <v>2</v>
      </c>
      <c r="DJ29" s="28">
        <f>Grupo!DJ29</f>
        <v>1</v>
      </c>
      <c r="DK29" s="28">
        <f>Grupo!DK29</f>
        <v>1</v>
      </c>
      <c r="DL29" s="28">
        <f>Grupo!DL29</f>
        <v>2</v>
      </c>
      <c r="DM29" s="28">
        <f>Grupo!DM29</f>
        <v>1</v>
      </c>
      <c r="DN29" s="28">
        <f>Grupo!DN29</f>
        <v>0</v>
      </c>
      <c r="DO29" s="28">
        <f>Grupo!DO29</f>
        <v>1</v>
      </c>
      <c r="DP29" s="28">
        <f>Grupo!DP29</f>
        <v>2</v>
      </c>
      <c r="DQ29" s="28">
        <f>Grupo!DQ29</f>
        <v>1</v>
      </c>
      <c r="DR29" s="28">
        <f>Grupo!DR29</f>
        <v>1</v>
      </c>
      <c r="DS29" s="28">
        <f>Grupo!DS29</f>
        <v>1</v>
      </c>
      <c r="DT29" s="28">
        <f>Grupo!DT29</f>
        <v>0</v>
      </c>
      <c r="DU29" s="28">
        <f>Grupo!DU29</f>
        <v>3</v>
      </c>
      <c r="DV29" s="28">
        <f>Grupo!DV29</f>
        <v>0</v>
      </c>
      <c r="DW29" s="28">
        <f>Grupo!DW29</f>
        <v>3</v>
      </c>
      <c r="DX29" s="28">
        <f>Grupo!DX29</f>
        <v>2</v>
      </c>
      <c r="DY29" s="28">
        <f>Grupo!DY29</f>
        <v>1</v>
      </c>
      <c r="DZ29" s="28">
        <f>Grupo!DZ29</f>
        <v>1</v>
      </c>
      <c r="EA29" s="70">
        <f>Grupo!EA29</f>
        <v>1</v>
      </c>
      <c r="EB29" s="70">
        <f>Grupo!EB29</f>
        <v>1</v>
      </c>
      <c r="EC29" s="70">
        <f>Grupo!EC29</f>
        <v>0</v>
      </c>
      <c r="ED29" s="70">
        <f>Grupo!ED29</f>
        <v>2</v>
      </c>
      <c r="EE29" s="70">
        <f>Grupo!EE29</f>
        <v>1</v>
      </c>
      <c r="EF29" s="70">
        <f>Grupo!EF29</f>
        <v>0</v>
      </c>
      <c r="EG29" s="70">
        <f>Grupo!EG29</f>
        <v>1</v>
      </c>
      <c r="EH29" s="70">
        <f>Grupo!EH29</f>
        <v>2</v>
      </c>
      <c r="EI29" s="70">
        <f>Grupo!EI29</f>
        <v>1</v>
      </c>
      <c r="EJ29" s="70">
        <f>Grupo!EJ29</f>
        <v>2</v>
      </c>
      <c r="EK29" s="70">
        <f>Grupo!EK29</f>
        <v>0</v>
      </c>
      <c r="EL29" s="70">
        <f>Grupo!EL29</f>
        <v>1</v>
      </c>
      <c r="EM29" s="70">
        <f>Grupo!EM29</f>
        <v>2</v>
      </c>
      <c r="EN29" s="70">
        <f>Grupo!EN29</f>
        <v>1</v>
      </c>
      <c r="EO29" s="70">
        <f>Grupo!EO29</f>
        <v>1</v>
      </c>
      <c r="EP29" s="78">
        <f>Grupo!EP29</f>
        <v>0</v>
      </c>
      <c r="EQ29" s="78">
        <f>Grupo!EQ29</f>
        <v>2</v>
      </c>
      <c r="ER29" s="78">
        <f>Grupo!ER29</f>
        <v>1</v>
      </c>
      <c r="ES29" s="78">
        <f>Grupo!ES29</f>
        <v>2</v>
      </c>
      <c r="ET29" s="78">
        <f>Grupo!ET29</f>
        <v>0</v>
      </c>
      <c r="EU29" s="78">
        <f>Grupo!EU29</f>
        <v>1</v>
      </c>
      <c r="EV29" s="78">
        <f>Grupo!EV29</f>
        <v>2</v>
      </c>
      <c r="EW29" s="78">
        <f>Grupo!EW29</f>
        <v>1</v>
      </c>
      <c r="EX29" s="78">
        <f>Grupo!EX29</f>
        <v>3</v>
      </c>
      <c r="EY29" s="78">
        <f>Grupo!EY29</f>
        <v>1</v>
      </c>
      <c r="EZ29" s="78">
        <f>Grupo!EZ29</f>
        <v>0</v>
      </c>
      <c r="FA29" s="78">
        <f>Grupo!FA29</f>
        <v>1</v>
      </c>
      <c r="FB29" s="78">
        <f>Grupo!FB29</f>
        <v>0</v>
      </c>
      <c r="FC29" s="78">
        <f>Grupo!FC29</f>
        <v>2</v>
      </c>
      <c r="FD29" s="78">
        <f>Grupo!FD29</f>
        <v>1</v>
      </c>
      <c r="FE29" s="78">
        <f>Grupo!FE29</f>
        <v>1</v>
      </c>
      <c r="FF29" s="78">
        <f>Grupo!FF29</f>
        <v>0</v>
      </c>
      <c r="FG29" s="78">
        <f>Grupo!FG29</f>
        <v>3</v>
      </c>
      <c r="FH29" s="78">
        <f>Grupo!FH29</f>
        <v>2</v>
      </c>
      <c r="FI29" s="78">
        <f>Grupo!FI29</f>
        <v>0</v>
      </c>
      <c r="FJ29" s="78">
        <f>Grupo!FJ29</f>
        <v>0</v>
      </c>
      <c r="FK29" s="78">
        <f>Grupo!FK29</f>
        <v>1</v>
      </c>
      <c r="FL29" s="78">
        <f>Grupo!FL29</f>
        <v>2</v>
      </c>
      <c r="FM29" s="78">
        <f>Grupo!FM29</f>
        <v>0</v>
      </c>
      <c r="FN29" s="78">
        <f>Grupo!FN29</f>
        <v>2</v>
      </c>
      <c r="FO29" s="78">
        <f>Grupo!FO29</f>
        <v>1</v>
      </c>
      <c r="FP29" s="78">
        <f>Grupo!FP29</f>
        <v>0</v>
      </c>
      <c r="FQ29" s="78">
        <f>Grupo!FQ29</f>
        <v>0</v>
      </c>
      <c r="FR29" s="78">
        <f>Grupo!FR29</f>
        <v>2</v>
      </c>
      <c r="FS29" s="78">
        <f>Grupo!FS29</f>
        <v>1</v>
      </c>
      <c r="FT29" s="78">
        <f>Grupo!FT29</f>
        <v>2</v>
      </c>
      <c r="FU29" s="78">
        <f>Grupo!FU29</f>
        <v>1</v>
      </c>
      <c r="FV29" s="78">
        <f>Grupo!FV29</f>
        <v>1</v>
      </c>
      <c r="FW29" s="78">
        <f>Grupo!FW29</f>
        <v>1</v>
      </c>
      <c r="FX29" s="78">
        <f>Grupo!FX29</f>
        <v>0</v>
      </c>
      <c r="FY29" s="78">
        <f>Grupo!FY29</f>
        <v>0</v>
      </c>
      <c r="FZ29" s="78">
        <f>Grupo!FZ29</f>
        <v>2</v>
      </c>
      <c r="GA29" s="78">
        <f>Grupo!GA29</f>
        <v>1</v>
      </c>
      <c r="GB29" s="78">
        <f>Grupo!GB29</f>
        <v>0</v>
      </c>
      <c r="GC29" s="78">
        <f>Grupo!GC29</f>
        <v>2</v>
      </c>
      <c r="GD29" s="78">
        <f>Grupo!GD29</f>
        <v>0</v>
      </c>
      <c r="GE29" s="78">
        <f>Grupo!GE29</f>
        <v>1</v>
      </c>
      <c r="GF29" s="78">
        <f>Grupo!GF29</f>
        <v>0</v>
      </c>
      <c r="GG29" s="78">
        <f>Grupo!GG29</f>
        <v>0</v>
      </c>
      <c r="GH29" s="78">
        <f>Grupo!GH29</f>
        <v>1</v>
      </c>
      <c r="GI29" s="78">
        <f>Grupo!GI29</f>
        <v>2</v>
      </c>
      <c r="GJ29" s="78">
        <f>Grupo!GJ29</f>
        <v>0</v>
      </c>
      <c r="GK29" s="78">
        <f>Grupo!GK29</f>
        <v>0</v>
      </c>
      <c r="GL29" s="78">
        <f>Grupo!GL29</f>
        <v>1</v>
      </c>
      <c r="GM29" s="78">
        <f>Grupo!GM29</f>
        <v>0</v>
      </c>
      <c r="GN29" s="78">
        <f>Grupo!GN29</f>
        <v>0</v>
      </c>
      <c r="GO29" s="78">
        <f>Grupo!GO29</f>
        <v>1</v>
      </c>
      <c r="GP29" s="78">
        <f>Grupo!GP29</f>
        <v>2</v>
      </c>
      <c r="GQ29" s="78">
        <f>Grupo!GQ29</f>
        <v>1</v>
      </c>
      <c r="GR29" s="79">
        <f>Grupo!GR29</f>
        <v>3</v>
      </c>
      <c r="GS29" s="79">
        <f>Grupo!GS29</f>
        <v>1</v>
      </c>
      <c r="GT29" s="79" t="str">
        <f>Grupo!GT29</f>
        <v/>
      </c>
      <c r="GU29" s="79">
        <f>Grupo!GU29</f>
        <v>0</v>
      </c>
      <c r="GV29" s="79">
        <f>Grupo!GV29</f>
        <v>1</v>
      </c>
      <c r="GW29" s="79" t="str">
        <f>Grupo!GW29</f>
        <v/>
      </c>
      <c r="GX29" s="76">
        <f>Grupo!GX29</f>
        <v>2</v>
      </c>
      <c r="GY29" s="76">
        <f>Grupo!GY29</f>
        <v>1</v>
      </c>
      <c r="GZ29" s="76" t="str">
        <f>Grupo!GZ29</f>
        <v/>
      </c>
      <c r="HA29" s="76">
        <f>Grupo!HA29</f>
        <v>1</v>
      </c>
      <c r="HB29" s="76">
        <f>Grupo!HB29</f>
        <v>3</v>
      </c>
      <c r="HC29" s="76" t="str">
        <f>Grupo!HC29</f>
        <v/>
      </c>
      <c r="HD29" s="76">
        <f>Grupo!HD29</f>
        <v>0</v>
      </c>
      <c r="HE29" s="76">
        <f>Grupo!HE29</f>
        <v>2</v>
      </c>
      <c r="HF29" s="76" t="str">
        <f>Grupo!HF29</f>
        <v/>
      </c>
      <c r="HG29" s="76">
        <f>Grupo!HG29</f>
        <v>1</v>
      </c>
      <c r="HH29" s="76">
        <f>Grupo!HH29</f>
        <v>1</v>
      </c>
      <c r="HI29" s="76" t="str">
        <f>Grupo!HI29</f>
        <v/>
      </c>
      <c r="HJ29" s="32">
        <f>Grupo!HJ29</f>
        <v>50</v>
      </c>
      <c r="HK29" s="25" t="s">
        <v>47</v>
      </c>
    </row>
    <row r="30" spans="1:219" ht="20.25" customHeight="1" thickBot="1" x14ac:dyDescent="0.35">
      <c r="A30" s="34" t="str">
        <f>Grupo!A30</f>
        <v>Lizka</v>
      </c>
      <c r="B30" s="28">
        <f>Grupo!B30</f>
        <v>2</v>
      </c>
      <c r="C30" s="28">
        <f>Grupo!C30</f>
        <v>0</v>
      </c>
      <c r="D30" s="28">
        <f>Grupo!D30</f>
        <v>3</v>
      </c>
      <c r="E30" s="28">
        <f>Grupo!E30</f>
        <v>1</v>
      </c>
      <c r="F30" s="28">
        <f>Grupo!F30</f>
        <v>1</v>
      </c>
      <c r="G30" s="28">
        <f>Grupo!G30</f>
        <v>0</v>
      </c>
      <c r="H30" s="28">
        <f>Grupo!H30</f>
        <v>2</v>
      </c>
      <c r="I30" s="28">
        <f>Grupo!I30</f>
        <v>1</v>
      </c>
      <c r="J30" s="28">
        <f>Grupo!J30</f>
        <v>0</v>
      </c>
      <c r="K30" s="28">
        <f>Grupo!K30</f>
        <v>2</v>
      </c>
      <c r="L30" s="28">
        <f>Grupo!L30</f>
        <v>1</v>
      </c>
      <c r="M30" s="28">
        <f>Grupo!M30</f>
        <v>1</v>
      </c>
      <c r="N30" s="28">
        <f>Grupo!N30</f>
        <v>1</v>
      </c>
      <c r="O30" s="28">
        <f>Grupo!O30</f>
        <v>2</v>
      </c>
      <c r="P30" s="28">
        <f>Grupo!P30</f>
        <v>1</v>
      </c>
      <c r="Q30" s="28">
        <f>Grupo!Q30</f>
        <v>1</v>
      </c>
      <c r="R30" s="28">
        <f>Grupo!R30</f>
        <v>2</v>
      </c>
      <c r="S30" s="28">
        <f>Grupo!S30</f>
        <v>0</v>
      </c>
      <c r="T30" s="28">
        <f>Grupo!T30</f>
        <v>2</v>
      </c>
      <c r="U30" s="28">
        <f>Grupo!U30</f>
        <v>1</v>
      </c>
      <c r="V30" s="28">
        <f>Grupo!V30</f>
        <v>0</v>
      </c>
      <c r="W30" s="28">
        <f>Grupo!W30</f>
        <v>0</v>
      </c>
      <c r="X30" s="28">
        <f>Grupo!X30</f>
        <v>2</v>
      </c>
      <c r="Y30" s="28">
        <f>Grupo!Y30</f>
        <v>0</v>
      </c>
      <c r="Z30" s="28">
        <f>Grupo!Z30</f>
        <v>1</v>
      </c>
      <c r="AA30" s="28">
        <f>Grupo!AA30</f>
        <v>1</v>
      </c>
      <c r="AB30" s="28">
        <f>Grupo!AB30</f>
        <v>0</v>
      </c>
      <c r="AC30" s="28">
        <f>Grupo!AC30</f>
        <v>3</v>
      </c>
      <c r="AD30" s="28">
        <f>Grupo!AD30</f>
        <v>1</v>
      </c>
      <c r="AE30" s="28">
        <f>Grupo!AE30</f>
        <v>1</v>
      </c>
      <c r="AF30" s="28">
        <f>Grupo!AF30</f>
        <v>2</v>
      </c>
      <c r="AG30" s="28">
        <f>Grupo!AG30</f>
        <v>1</v>
      </c>
      <c r="AH30" s="28">
        <f>Grupo!AH30</f>
        <v>0</v>
      </c>
      <c r="AI30" s="28">
        <f>Grupo!AI30</f>
        <v>2</v>
      </c>
      <c r="AJ30" s="28">
        <f>Grupo!AJ30</f>
        <v>1</v>
      </c>
      <c r="AK30" s="28">
        <f>Grupo!AK30</f>
        <v>1</v>
      </c>
      <c r="AL30" s="28">
        <f>Grupo!AL30</f>
        <v>0</v>
      </c>
      <c r="AM30" s="28">
        <f>Grupo!AM30</f>
        <v>3</v>
      </c>
      <c r="AN30" s="28">
        <f>Grupo!AN30</f>
        <v>0</v>
      </c>
      <c r="AO30" s="28">
        <f>Grupo!AO30</f>
        <v>4</v>
      </c>
      <c r="AP30" s="28">
        <f>Grupo!AP30</f>
        <v>0</v>
      </c>
      <c r="AQ30" s="28">
        <f>Grupo!AQ30</f>
        <v>0</v>
      </c>
      <c r="AR30" s="28">
        <f>Grupo!AR30</f>
        <v>2</v>
      </c>
      <c r="AS30" s="28">
        <f>Grupo!AS30</f>
        <v>0</v>
      </c>
      <c r="AT30" s="28">
        <f>Grupo!AT30</f>
        <v>0</v>
      </c>
      <c r="AU30" s="28">
        <f>Grupo!AU30</f>
        <v>2</v>
      </c>
      <c r="AV30" s="28">
        <f>Grupo!AV30</f>
        <v>0</v>
      </c>
      <c r="AW30" s="28">
        <f>Grupo!AW30</f>
        <v>0</v>
      </c>
      <c r="AX30" s="28">
        <f>Grupo!AX30</f>
        <v>2</v>
      </c>
      <c r="AY30" s="28">
        <f>Grupo!AY30</f>
        <v>2</v>
      </c>
      <c r="AZ30" s="28">
        <f>Grupo!AZ30</f>
        <v>0</v>
      </c>
      <c r="BA30" s="28">
        <f>Grupo!BA30</f>
        <v>0</v>
      </c>
      <c r="BB30" s="28">
        <f>Grupo!BB30</f>
        <v>2</v>
      </c>
      <c r="BC30" s="28">
        <f>Grupo!BC30</f>
        <v>1</v>
      </c>
      <c r="BD30" s="28">
        <f>Grupo!BD30</f>
        <v>3</v>
      </c>
      <c r="BE30" s="28">
        <f>Grupo!BE30</f>
        <v>0</v>
      </c>
      <c r="BF30" s="28">
        <f>Grupo!BF30</f>
        <v>3</v>
      </c>
      <c r="BG30" s="28">
        <f>Grupo!BG30</f>
        <v>2</v>
      </c>
      <c r="BH30" s="28">
        <f>Grupo!BH30</f>
        <v>0</v>
      </c>
      <c r="BI30" s="28">
        <f>Grupo!BI30</f>
        <v>1</v>
      </c>
      <c r="BJ30" s="28">
        <f>Grupo!BJ30</f>
        <v>1</v>
      </c>
      <c r="BK30" s="28">
        <f>Grupo!BK30</f>
        <v>2</v>
      </c>
      <c r="BL30" s="28">
        <f>Grupo!BL30</f>
        <v>0</v>
      </c>
      <c r="BM30" s="28">
        <f>Grupo!BM30</f>
        <v>2</v>
      </c>
      <c r="BN30" s="28">
        <f>Grupo!BN30</f>
        <v>1</v>
      </c>
      <c r="BO30" s="28">
        <f>Grupo!BO30</f>
        <v>1</v>
      </c>
      <c r="BP30" s="28">
        <f>Grupo!BP30</f>
        <v>3</v>
      </c>
      <c r="BQ30" s="28">
        <f>Grupo!BQ30</f>
        <v>0</v>
      </c>
      <c r="BR30" s="28">
        <f>Grupo!BR30</f>
        <v>0</v>
      </c>
      <c r="BS30" s="28">
        <f>Grupo!BS30</f>
        <v>0</v>
      </c>
      <c r="BT30" s="28">
        <f>Grupo!BT30</f>
        <v>2</v>
      </c>
      <c r="BU30" s="28">
        <f>Grupo!BU30</f>
        <v>1</v>
      </c>
      <c r="BV30" s="28">
        <f>Grupo!BV30</f>
        <v>2</v>
      </c>
      <c r="BW30" s="28">
        <f>Grupo!BW30</f>
        <v>1</v>
      </c>
      <c r="BX30" s="28">
        <f>Grupo!BX30</f>
        <v>0</v>
      </c>
      <c r="BY30" s="28">
        <f>Grupo!BY30</f>
        <v>2</v>
      </c>
      <c r="BZ30" s="28">
        <f>Grupo!BZ30</f>
        <v>0</v>
      </c>
      <c r="CA30" s="28">
        <f>Grupo!CA30</f>
        <v>1</v>
      </c>
      <c r="CB30" s="28">
        <f>Grupo!CB30</f>
        <v>2</v>
      </c>
      <c r="CC30" s="28">
        <f>Grupo!CC30</f>
        <v>0</v>
      </c>
      <c r="CD30" s="28">
        <f>Grupo!CD30</f>
        <v>1</v>
      </c>
      <c r="CE30" s="28">
        <f>Grupo!CE30</f>
        <v>2</v>
      </c>
      <c r="CF30" s="28">
        <f>Grupo!CF30</f>
        <v>1</v>
      </c>
      <c r="CG30" s="28">
        <f>Grupo!CG30</f>
        <v>1</v>
      </c>
      <c r="CH30" s="28">
        <f>Grupo!CH30</f>
        <v>5</v>
      </c>
      <c r="CI30" s="28">
        <f>Grupo!CI30</f>
        <v>0</v>
      </c>
      <c r="CJ30" s="28">
        <f>Grupo!CJ30</f>
        <v>1</v>
      </c>
      <c r="CK30" s="28">
        <f>Grupo!CK30</f>
        <v>0</v>
      </c>
      <c r="CL30" s="28">
        <f>Grupo!CL30</f>
        <v>2</v>
      </c>
      <c r="CM30" s="28">
        <f>Grupo!CM30</f>
        <v>1</v>
      </c>
      <c r="CN30" s="28">
        <f>Grupo!CN30</f>
        <v>2</v>
      </c>
      <c r="CO30" s="28">
        <f>Grupo!CO30</f>
        <v>1</v>
      </c>
      <c r="CP30" s="28">
        <f>Grupo!CP30</f>
        <v>0</v>
      </c>
      <c r="CQ30" s="28">
        <f>Grupo!CQ30</f>
        <v>2</v>
      </c>
      <c r="CR30" s="28">
        <f>Grupo!CR30</f>
        <v>1</v>
      </c>
      <c r="CS30" s="28">
        <f>Grupo!CS30</f>
        <v>1</v>
      </c>
      <c r="CT30" s="28">
        <f>Grupo!CT30</f>
        <v>3</v>
      </c>
      <c r="CU30" s="28">
        <f>Grupo!CU30</f>
        <v>1</v>
      </c>
      <c r="CV30" s="28">
        <f>Grupo!CV30</f>
        <v>1</v>
      </c>
      <c r="CW30" s="28">
        <f>Grupo!CW30</f>
        <v>3</v>
      </c>
      <c r="CX30" s="28">
        <f>Grupo!CX30</f>
        <v>2</v>
      </c>
      <c r="CY30" s="28">
        <f>Grupo!CY30</f>
        <v>0</v>
      </c>
      <c r="CZ30" s="28">
        <f>Grupo!CZ30</f>
        <v>2</v>
      </c>
      <c r="DA30" s="28">
        <f>Grupo!DA30</f>
        <v>2</v>
      </c>
      <c r="DB30" s="28">
        <f>Grupo!DB30</f>
        <v>0</v>
      </c>
      <c r="DC30" s="28">
        <f>Grupo!DC30</f>
        <v>1</v>
      </c>
      <c r="DD30" s="28">
        <f>Grupo!DD30</f>
        <v>2</v>
      </c>
      <c r="DE30" s="28">
        <f>Grupo!DE30</f>
        <v>1</v>
      </c>
      <c r="DF30" s="28">
        <f>Grupo!DF30</f>
        <v>3</v>
      </c>
      <c r="DG30" s="28">
        <f>Grupo!DG30</f>
        <v>1</v>
      </c>
      <c r="DH30" s="28">
        <f>Grupo!DH30</f>
        <v>0</v>
      </c>
      <c r="DI30" s="28">
        <f>Grupo!DI30</f>
        <v>4</v>
      </c>
      <c r="DJ30" s="28">
        <f>Grupo!DJ30</f>
        <v>0</v>
      </c>
      <c r="DK30" s="28">
        <f>Grupo!DK30</f>
        <v>3</v>
      </c>
      <c r="DL30" s="28">
        <f>Grupo!DL30</f>
        <v>2</v>
      </c>
      <c r="DM30" s="28">
        <f>Grupo!DM30</f>
        <v>0</v>
      </c>
      <c r="DN30" s="28">
        <f>Grupo!DN30</f>
        <v>0</v>
      </c>
      <c r="DO30" s="28">
        <f>Grupo!DO30</f>
        <v>0</v>
      </c>
      <c r="DP30" s="28">
        <f>Grupo!DP30</f>
        <v>2</v>
      </c>
      <c r="DQ30" s="28">
        <f>Grupo!DQ30</f>
        <v>1</v>
      </c>
      <c r="DR30" s="28">
        <f>Grupo!DR30</f>
        <v>2</v>
      </c>
      <c r="DS30" s="28">
        <f>Grupo!DS30</f>
        <v>2</v>
      </c>
      <c r="DT30" s="28">
        <f>Grupo!DT30</f>
        <v>0</v>
      </c>
      <c r="DU30" s="28">
        <f>Grupo!DU30</f>
        <v>2</v>
      </c>
      <c r="DV30" s="28">
        <f>Grupo!DV30</f>
        <v>0</v>
      </c>
      <c r="DW30" s="28">
        <f>Grupo!DW30</f>
        <v>1</v>
      </c>
      <c r="DX30" s="28">
        <f>Grupo!DX30</f>
        <v>3</v>
      </c>
      <c r="DY30" s="28">
        <f>Grupo!DY30</f>
        <v>1</v>
      </c>
      <c r="DZ30" s="28">
        <f>Grupo!DZ30</f>
        <v>1</v>
      </c>
      <c r="EA30" s="70">
        <f>Grupo!EA30</f>
        <v>1</v>
      </c>
      <c r="EB30" s="70">
        <f>Grupo!EB30</f>
        <v>1</v>
      </c>
      <c r="EC30" s="70">
        <f>Grupo!EC30</f>
        <v>0</v>
      </c>
      <c r="ED30" s="70">
        <f>Grupo!ED30</f>
        <v>3</v>
      </c>
      <c r="EE30" s="70">
        <f>Grupo!EE30</f>
        <v>1</v>
      </c>
      <c r="EF30" s="70">
        <f>Grupo!EF30</f>
        <v>0</v>
      </c>
      <c r="EG30" s="70">
        <f>Grupo!EG30</f>
        <v>2</v>
      </c>
      <c r="EH30" s="70">
        <f>Grupo!EH30</f>
        <v>2</v>
      </c>
      <c r="EI30" s="70">
        <f>Grupo!EI30</f>
        <v>0</v>
      </c>
      <c r="EJ30" s="70">
        <f>Grupo!EJ30</f>
        <v>2</v>
      </c>
      <c r="EK30" s="70">
        <f>Grupo!EK30</f>
        <v>1</v>
      </c>
      <c r="EL30" s="70">
        <f>Grupo!EL30</f>
        <v>1</v>
      </c>
      <c r="EM30" s="70">
        <f>Grupo!EM30</f>
        <v>2</v>
      </c>
      <c r="EN30" s="70">
        <f>Grupo!EN30</f>
        <v>0</v>
      </c>
      <c r="EO30" s="70">
        <f>Grupo!EO30</f>
        <v>1</v>
      </c>
      <c r="EP30" s="78">
        <f>Grupo!EP30</f>
        <v>1</v>
      </c>
      <c r="EQ30" s="78">
        <f>Grupo!EQ30</f>
        <v>3</v>
      </c>
      <c r="ER30" s="78">
        <f>Grupo!ER30</f>
        <v>1</v>
      </c>
      <c r="ES30" s="78">
        <f>Grupo!ES30</f>
        <v>3</v>
      </c>
      <c r="ET30" s="78">
        <f>Grupo!ET30</f>
        <v>1</v>
      </c>
      <c r="EU30" s="78">
        <f>Grupo!EU30</f>
        <v>1</v>
      </c>
      <c r="EV30" s="78">
        <f>Grupo!EV30</f>
        <v>1</v>
      </c>
      <c r="EW30" s="78">
        <f>Grupo!EW30</f>
        <v>2</v>
      </c>
      <c r="EX30" s="78">
        <f>Grupo!EX30</f>
        <v>0</v>
      </c>
      <c r="EY30" s="78">
        <f>Grupo!EY30</f>
        <v>2</v>
      </c>
      <c r="EZ30" s="78">
        <f>Grupo!EZ30</f>
        <v>1</v>
      </c>
      <c r="FA30" s="78">
        <f>Grupo!FA30</f>
        <v>1</v>
      </c>
      <c r="FB30" s="78">
        <f>Grupo!FB30</f>
        <v>2</v>
      </c>
      <c r="FC30" s="78">
        <f>Grupo!FC30</f>
        <v>1</v>
      </c>
      <c r="FD30" s="78">
        <f>Grupo!FD30</f>
        <v>0</v>
      </c>
      <c r="FE30" s="78">
        <f>Grupo!FE30</f>
        <v>1</v>
      </c>
      <c r="FF30" s="78">
        <f>Grupo!FF30</f>
        <v>2</v>
      </c>
      <c r="FG30" s="78">
        <f>Grupo!FG30</f>
        <v>0</v>
      </c>
      <c r="FH30" s="78">
        <f>Grupo!FH30</f>
        <v>2</v>
      </c>
      <c r="FI30" s="78">
        <f>Grupo!FI30</f>
        <v>2</v>
      </c>
      <c r="FJ30" s="78">
        <f>Grupo!FJ30</f>
        <v>0</v>
      </c>
      <c r="FK30" s="78">
        <f>Grupo!FK30</f>
        <v>2</v>
      </c>
      <c r="FL30" s="78">
        <f>Grupo!FL30</f>
        <v>2</v>
      </c>
      <c r="FM30" s="78">
        <f>Grupo!FM30</f>
        <v>0</v>
      </c>
      <c r="FN30" s="78">
        <f>Grupo!FN30</f>
        <v>2</v>
      </c>
      <c r="FO30" s="78">
        <f>Grupo!FO30</f>
        <v>1</v>
      </c>
      <c r="FP30" s="78">
        <f>Grupo!FP30</f>
        <v>0</v>
      </c>
      <c r="FQ30" s="78">
        <f>Grupo!FQ30</f>
        <v>2</v>
      </c>
      <c r="FR30" s="78">
        <f>Grupo!FR30</f>
        <v>3</v>
      </c>
      <c r="FS30" s="78">
        <f>Grupo!FS30</f>
        <v>1</v>
      </c>
      <c r="FT30" s="78">
        <f>Grupo!FT30</f>
        <v>1</v>
      </c>
      <c r="FU30" s="78">
        <f>Grupo!FU30</f>
        <v>2</v>
      </c>
      <c r="FV30" s="78">
        <f>Grupo!FV30</f>
        <v>0</v>
      </c>
      <c r="FW30" s="78">
        <f>Grupo!FW30</f>
        <v>2</v>
      </c>
      <c r="FX30" s="78">
        <f>Grupo!FX30</f>
        <v>2</v>
      </c>
      <c r="FY30" s="78">
        <f>Grupo!FY30</f>
        <v>1</v>
      </c>
      <c r="FZ30" s="78">
        <f>Grupo!FZ30</f>
        <v>2</v>
      </c>
      <c r="GA30" s="78">
        <f>Grupo!GA30</f>
        <v>1</v>
      </c>
      <c r="GB30" s="78">
        <f>Grupo!GB30</f>
        <v>0</v>
      </c>
      <c r="GC30" s="78">
        <f>Grupo!GC30</f>
        <v>2</v>
      </c>
      <c r="GD30" s="78">
        <f>Grupo!GD30</f>
        <v>3</v>
      </c>
      <c r="GE30" s="78">
        <f>Grupo!GE30</f>
        <v>0</v>
      </c>
      <c r="GF30" s="78">
        <f>Grupo!GF30</f>
        <v>1</v>
      </c>
      <c r="GG30" s="78">
        <f>Grupo!GG30</f>
        <v>2</v>
      </c>
      <c r="GH30" s="78">
        <f>Grupo!GH30</f>
        <v>0</v>
      </c>
      <c r="GI30" s="78">
        <f>Grupo!GI30</f>
        <v>2</v>
      </c>
      <c r="GJ30" s="78">
        <f>Grupo!GJ30</f>
        <v>2</v>
      </c>
      <c r="GK30" s="78">
        <f>Grupo!GK30</f>
        <v>0</v>
      </c>
      <c r="GL30" s="78">
        <f>Grupo!GL30</f>
        <v>0</v>
      </c>
      <c r="GM30" s="78">
        <f>Grupo!GM30</f>
        <v>1</v>
      </c>
      <c r="GN30" s="78">
        <f>Grupo!GN30</f>
        <v>0</v>
      </c>
      <c r="GO30" s="78">
        <f>Grupo!GO30</f>
        <v>3</v>
      </c>
      <c r="GP30" s="78">
        <f>Grupo!GP30</f>
        <v>3</v>
      </c>
      <c r="GQ30" s="78">
        <f>Grupo!GQ30</f>
        <v>0</v>
      </c>
      <c r="GR30" s="79">
        <f>Grupo!GR30</f>
        <v>2</v>
      </c>
      <c r="GS30" s="79">
        <f>Grupo!GS30</f>
        <v>3</v>
      </c>
      <c r="GT30" s="79" t="str">
        <f>Grupo!GT30</f>
        <v/>
      </c>
      <c r="GU30" s="79">
        <f>Grupo!GU30</f>
        <v>2</v>
      </c>
      <c r="GV30" s="79">
        <f>Grupo!GV30</f>
        <v>2</v>
      </c>
      <c r="GW30" s="79" t="str">
        <f>Grupo!GW30</f>
        <v/>
      </c>
      <c r="GX30" s="76">
        <f>Grupo!GX30</f>
        <v>1</v>
      </c>
      <c r="GY30" s="76">
        <f>Grupo!GY30</f>
        <v>3</v>
      </c>
      <c r="GZ30" s="76" t="str">
        <f>Grupo!GZ30</f>
        <v/>
      </c>
      <c r="HA30" s="76">
        <f>Grupo!HA30</f>
        <v>1</v>
      </c>
      <c r="HB30" s="76">
        <f>Grupo!HB30</f>
        <v>3</v>
      </c>
      <c r="HC30" s="76" t="str">
        <f>Grupo!HC30</f>
        <v/>
      </c>
      <c r="HD30" s="76">
        <f>Grupo!HD30</f>
        <v>2</v>
      </c>
      <c r="HE30" s="76">
        <f>Grupo!HE30</f>
        <v>1</v>
      </c>
      <c r="HF30" s="76" t="str">
        <f>Grupo!HF30</f>
        <v/>
      </c>
      <c r="HG30" s="76">
        <f>Grupo!HG30</f>
        <v>1</v>
      </c>
      <c r="HH30" s="76">
        <f>Grupo!HH30</f>
        <v>1</v>
      </c>
      <c r="HI30" s="76" t="str">
        <f>Grupo!HI30</f>
        <v/>
      </c>
      <c r="HJ30" s="32">
        <f>Grupo!HJ30</f>
        <v>35</v>
      </c>
      <c r="HK30" s="25" t="s">
        <v>58</v>
      </c>
    </row>
    <row r="31" spans="1:219" s="77" customFormat="1" ht="20.25" customHeight="1" thickBot="1" x14ac:dyDescent="0.35">
      <c r="A31" s="75" t="str">
        <f>Grupo!A31</f>
        <v>Luis Peña</v>
      </c>
      <c r="B31" s="28">
        <f>Grupo!B31</f>
        <v>2</v>
      </c>
      <c r="C31" s="28">
        <f>Grupo!C31</f>
        <v>0</v>
      </c>
      <c r="D31" s="28">
        <f>Grupo!D31</f>
        <v>3</v>
      </c>
      <c r="E31" s="28">
        <f>Grupo!E31</f>
        <v>2</v>
      </c>
      <c r="F31" s="28">
        <f>Grupo!F31</f>
        <v>1</v>
      </c>
      <c r="G31" s="28">
        <f>Grupo!G31</f>
        <v>3</v>
      </c>
      <c r="H31" s="28">
        <f>Grupo!H31</f>
        <v>1</v>
      </c>
      <c r="I31" s="28">
        <f>Grupo!I31</f>
        <v>0</v>
      </c>
      <c r="J31" s="28">
        <f>Grupo!J31</f>
        <v>0</v>
      </c>
      <c r="K31" s="28">
        <f>Grupo!K31</f>
        <v>2</v>
      </c>
      <c r="L31" s="28">
        <f>Grupo!L31</f>
        <v>1</v>
      </c>
      <c r="M31" s="28">
        <f>Grupo!M31</f>
        <v>1</v>
      </c>
      <c r="N31" s="28">
        <f>Grupo!N31</f>
        <v>1</v>
      </c>
      <c r="O31" s="28">
        <f>Grupo!O31</f>
        <v>3</v>
      </c>
      <c r="P31" s="28">
        <f>Grupo!P31</f>
        <v>1</v>
      </c>
      <c r="Q31" s="28">
        <f>Grupo!Q31</f>
        <v>0</v>
      </c>
      <c r="R31" s="28">
        <f>Grupo!R31</f>
        <v>2</v>
      </c>
      <c r="S31" s="28">
        <f>Grupo!S31</f>
        <v>0</v>
      </c>
      <c r="T31" s="28">
        <f>Grupo!T31</f>
        <v>2</v>
      </c>
      <c r="U31" s="28">
        <f>Grupo!U31</f>
        <v>1</v>
      </c>
      <c r="V31" s="28">
        <f>Grupo!V31</f>
        <v>0</v>
      </c>
      <c r="W31" s="28">
        <f>Grupo!W31</f>
        <v>0</v>
      </c>
      <c r="X31" s="28">
        <f>Grupo!X31</f>
        <v>4</v>
      </c>
      <c r="Y31" s="28">
        <f>Grupo!Y31</f>
        <v>0</v>
      </c>
      <c r="Z31" s="28">
        <f>Grupo!Z31</f>
        <v>0</v>
      </c>
      <c r="AA31" s="28">
        <f>Grupo!AA31</f>
        <v>2</v>
      </c>
      <c r="AB31" s="28">
        <f>Grupo!AB31</f>
        <v>0</v>
      </c>
      <c r="AC31" s="28">
        <f>Grupo!AC31</f>
        <v>4</v>
      </c>
      <c r="AD31" s="28">
        <f>Grupo!AD31</f>
        <v>0</v>
      </c>
      <c r="AE31" s="28">
        <f>Grupo!AE31</f>
        <v>1</v>
      </c>
      <c r="AF31" s="28">
        <f>Grupo!AF31</f>
        <v>2</v>
      </c>
      <c r="AG31" s="28">
        <f>Grupo!AG31</f>
        <v>2</v>
      </c>
      <c r="AH31" s="28">
        <f>Grupo!AH31</f>
        <v>3</v>
      </c>
      <c r="AI31" s="28">
        <f>Grupo!AI31</f>
        <v>2</v>
      </c>
      <c r="AJ31" s="28">
        <f>Grupo!AJ31</f>
        <v>0</v>
      </c>
      <c r="AK31" s="28">
        <f>Grupo!AK31</f>
        <v>1</v>
      </c>
      <c r="AL31" s="28">
        <f>Grupo!AL31</f>
        <v>0</v>
      </c>
      <c r="AM31" s="28">
        <f>Grupo!AM31</f>
        <v>2</v>
      </c>
      <c r="AN31" s="28">
        <f>Grupo!AN31</f>
        <v>0</v>
      </c>
      <c r="AO31" s="28">
        <f>Grupo!AO31</f>
        <v>7</v>
      </c>
      <c r="AP31" s="28">
        <f>Grupo!AP31</f>
        <v>0</v>
      </c>
      <c r="AQ31" s="28">
        <f>Grupo!AQ31</f>
        <v>0</v>
      </c>
      <c r="AR31" s="28">
        <f>Grupo!AR31</f>
        <v>2</v>
      </c>
      <c r="AS31" s="28">
        <f>Grupo!AS31</f>
        <v>0</v>
      </c>
      <c r="AT31" s="28">
        <f>Grupo!AT31</f>
        <v>0</v>
      </c>
      <c r="AU31" s="28">
        <f>Grupo!AU31</f>
        <v>2</v>
      </c>
      <c r="AV31" s="28">
        <f>Grupo!AV31</f>
        <v>1</v>
      </c>
      <c r="AW31" s="28">
        <f>Grupo!AW31</f>
        <v>0</v>
      </c>
      <c r="AX31" s="28">
        <f>Grupo!AX31</f>
        <v>3</v>
      </c>
      <c r="AY31" s="28">
        <f>Grupo!AY31</f>
        <v>1</v>
      </c>
      <c r="AZ31" s="28">
        <f>Grupo!AZ31</f>
        <v>3</v>
      </c>
      <c r="BA31" s="28">
        <f>Grupo!BA31</f>
        <v>0</v>
      </c>
      <c r="BB31" s="28">
        <f>Grupo!BB31</f>
        <v>3</v>
      </c>
      <c r="BC31" s="28">
        <f>Grupo!BC31</f>
        <v>1</v>
      </c>
      <c r="BD31" s="28">
        <f>Grupo!BD31</f>
        <v>2</v>
      </c>
      <c r="BE31" s="28">
        <f>Grupo!BE31</f>
        <v>0</v>
      </c>
      <c r="BF31" s="28">
        <f>Grupo!BF31</f>
        <v>1</v>
      </c>
      <c r="BG31" s="28">
        <f>Grupo!BG31</f>
        <v>2</v>
      </c>
      <c r="BH31" s="28">
        <f>Grupo!BH31</f>
        <v>0</v>
      </c>
      <c r="BI31" s="28">
        <f>Grupo!BI31</f>
        <v>1</v>
      </c>
      <c r="BJ31" s="28">
        <f>Grupo!BJ31</f>
        <v>1</v>
      </c>
      <c r="BK31" s="28">
        <f>Grupo!BK31</f>
        <v>2</v>
      </c>
      <c r="BL31" s="28">
        <f>Grupo!BL31</f>
        <v>0</v>
      </c>
      <c r="BM31" s="28">
        <f>Grupo!BM31</f>
        <v>4</v>
      </c>
      <c r="BN31" s="28">
        <f>Grupo!BN31</f>
        <v>2</v>
      </c>
      <c r="BO31" s="28">
        <f>Grupo!BO31</f>
        <v>3</v>
      </c>
      <c r="BP31" s="28">
        <f>Grupo!BP31</f>
        <v>3</v>
      </c>
      <c r="BQ31" s="28">
        <f>Grupo!BQ31</f>
        <v>1</v>
      </c>
      <c r="BR31" s="28">
        <f>Grupo!BR31</f>
        <v>0</v>
      </c>
      <c r="BS31" s="28">
        <f>Grupo!BS31</f>
        <v>0</v>
      </c>
      <c r="BT31" s="28">
        <f>Grupo!BT31</f>
        <v>5</v>
      </c>
      <c r="BU31" s="28">
        <f>Grupo!BU31</f>
        <v>1</v>
      </c>
      <c r="BV31" s="28">
        <f>Grupo!BV31</f>
        <v>0</v>
      </c>
      <c r="BW31" s="28">
        <f>Grupo!BW31</f>
        <v>0</v>
      </c>
      <c r="BX31" s="28">
        <f>Grupo!BX31</f>
        <v>1</v>
      </c>
      <c r="BY31" s="28">
        <f>Grupo!BY31</f>
        <v>3</v>
      </c>
      <c r="BZ31" s="28">
        <f>Grupo!BZ31</f>
        <v>1</v>
      </c>
      <c r="CA31" s="28">
        <f>Grupo!CA31</f>
        <v>1</v>
      </c>
      <c r="CB31" s="28">
        <f>Grupo!CB31</f>
        <v>2</v>
      </c>
      <c r="CC31" s="28">
        <f>Grupo!CC31</f>
        <v>0</v>
      </c>
      <c r="CD31" s="28">
        <f>Grupo!CD31</f>
        <v>1</v>
      </c>
      <c r="CE31" s="28">
        <f>Grupo!CE31</f>
        <v>2</v>
      </c>
      <c r="CF31" s="28">
        <f>Grupo!CF31</f>
        <v>1</v>
      </c>
      <c r="CG31" s="28">
        <f>Grupo!CG31</f>
        <v>1</v>
      </c>
      <c r="CH31" s="28">
        <f>Grupo!CH31</f>
        <v>7</v>
      </c>
      <c r="CI31" s="28">
        <f>Grupo!CI31</f>
        <v>1</v>
      </c>
      <c r="CJ31" s="28">
        <f>Grupo!CJ31</f>
        <v>1</v>
      </c>
      <c r="CK31" s="28">
        <f>Grupo!CK31</f>
        <v>1</v>
      </c>
      <c r="CL31" s="28">
        <f>Grupo!CL31</f>
        <v>3</v>
      </c>
      <c r="CM31" s="28">
        <f>Grupo!CM31</f>
        <v>1</v>
      </c>
      <c r="CN31" s="28">
        <f>Grupo!CN31</f>
        <v>2</v>
      </c>
      <c r="CO31" s="28">
        <f>Grupo!CO31</f>
        <v>2</v>
      </c>
      <c r="CP31" s="28">
        <f>Grupo!CP31</f>
        <v>0</v>
      </c>
      <c r="CQ31" s="28">
        <f>Grupo!CQ31</f>
        <v>2</v>
      </c>
      <c r="CR31" s="28">
        <f>Grupo!CR31</f>
        <v>0</v>
      </c>
      <c r="CS31" s="28">
        <f>Grupo!CS31</f>
        <v>3</v>
      </c>
      <c r="CT31" s="28">
        <f>Grupo!CT31</f>
        <v>3</v>
      </c>
      <c r="CU31" s="28">
        <f>Grupo!CU31</f>
        <v>1</v>
      </c>
      <c r="CV31" s="28">
        <f>Grupo!CV31</f>
        <v>1</v>
      </c>
      <c r="CW31" s="28">
        <f>Grupo!CW31</f>
        <v>2</v>
      </c>
      <c r="CX31" s="28">
        <f>Grupo!CX31</f>
        <v>0</v>
      </c>
      <c r="CY31" s="28">
        <f>Grupo!CY31</f>
        <v>0</v>
      </c>
      <c r="CZ31" s="28">
        <f>Grupo!CZ31</f>
        <v>2</v>
      </c>
      <c r="DA31" s="28">
        <f>Grupo!DA31</f>
        <v>1</v>
      </c>
      <c r="DB31" s="28">
        <f>Grupo!DB31</f>
        <v>1</v>
      </c>
      <c r="DC31" s="28">
        <f>Grupo!DC31</f>
        <v>1</v>
      </c>
      <c r="DD31" s="28">
        <f>Grupo!DD31</f>
        <v>3</v>
      </c>
      <c r="DE31" s="28">
        <f>Grupo!DE31</f>
        <v>1</v>
      </c>
      <c r="DF31" s="28">
        <f>Grupo!DF31</f>
        <v>3</v>
      </c>
      <c r="DG31" s="28">
        <f>Grupo!DG31</f>
        <v>1</v>
      </c>
      <c r="DH31" s="28">
        <f>Grupo!DH31</f>
        <v>0</v>
      </c>
      <c r="DI31" s="28">
        <f>Grupo!DI31</f>
        <v>4</v>
      </c>
      <c r="DJ31" s="28">
        <f>Grupo!DJ31</f>
        <v>0</v>
      </c>
      <c r="DK31" s="28">
        <f>Grupo!DK31</f>
        <v>3</v>
      </c>
      <c r="DL31" s="28">
        <f>Grupo!DL31</f>
        <v>2</v>
      </c>
      <c r="DM31" s="28">
        <f>Grupo!DM31</f>
        <v>1</v>
      </c>
      <c r="DN31" s="28">
        <f>Grupo!DN31</f>
        <v>0</v>
      </c>
      <c r="DO31" s="28">
        <f>Grupo!DO31</f>
        <v>0</v>
      </c>
      <c r="DP31" s="28">
        <f>Grupo!DP31</f>
        <v>3</v>
      </c>
      <c r="DQ31" s="28">
        <f>Grupo!DQ31</f>
        <v>1</v>
      </c>
      <c r="DR31" s="28">
        <f>Grupo!DR31</f>
        <v>2</v>
      </c>
      <c r="DS31" s="28">
        <f>Grupo!DS31</f>
        <v>2</v>
      </c>
      <c r="DT31" s="28">
        <f>Grupo!DT31</f>
        <v>0</v>
      </c>
      <c r="DU31" s="28">
        <f>Grupo!DU31</f>
        <v>4</v>
      </c>
      <c r="DV31" s="28">
        <f>Grupo!DV31</f>
        <v>0</v>
      </c>
      <c r="DW31" s="28">
        <f>Grupo!DW31</f>
        <v>1</v>
      </c>
      <c r="DX31" s="28">
        <f>Grupo!DX31</f>
        <v>2</v>
      </c>
      <c r="DY31" s="28">
        <f>Grupo!DY31</f>
        <v>0</v>
      </c>
      <c r="DZ31" s="28">
        <f>Grupo!DZ31</f>
        <v>3</v>
      </c>
      <c r="EA31" s="28">
        <f>Grupo!EA31</f>
        <v>1</v>
      </c>
      <c r="EB31" s="28">
        <f>Grupo!EB31</f>
        <v>3</v>
      </c>
      <c r="EC31" s="28">
        <f>Grupo!EC31</f>
        <v>1</v>
      </c>
      <c r="ED31" s="78">
        <f>Grupo!ED31</f>
        <v>4</v>
      </c>
      <c r="EE31" s="78">
        <f>Grupo!EE31</f>
        <v>2</v>
      </c>
      <c r="EF31" s="78">
        <f>Grupo!EF31</f>
        <v>0</v>
      </c>
      <c r="EG31" s="78">
        <f>Grupo!EG31</f>
        <v>1</v>
      </c>
      <c r="EH31" s="78">
        <f>Grupo!EH31</f>
        <v>1</v>
      </c>
      <c r="EI31" s="78">
        <f>Grupo!EI31</f>
        <v>0</v>
      </c>
      <c r="EJ31" s="78">
        <f>Grupo!EJ31</f>
        <v>5</v>
      </c>
      <c r="EK31" s="78">
        <f>Grupo!EK31</f>
        <v>0</v>
      </c>
      <c r="EL31" s="78">
        <f>Grupo!EL31</f>
        <v>3</v>
      </c>
      <c r="EM31" s="78">
        <f>Grupo!EM31</f>
        <v>3</v>
      </c>
      <c r="EN31" s="78">
        <f>Grupo!EN31</f>
        <v>0</v>
      </c>
      <c r="EO31" s="78">
        <f>Grupo!EO31</f>
        <v>1</v>
      </c>
      <c r="EP31" s="78">
        <f>Grupo!EP31</f>
        <v>0</v>
      </c>
      <c r="EQ31" s="78">
        <f>Grupo!EQ31</f>
        <v>3</v>
      </c>
      <c r="ER31" s="78">
        <f>Grupo!ER31</f>
        <v>3</v>
      </c>
      <c r="ES31" s="78">
        <f>Grupo!ES31</f>
        <v>4</v>
      </c>
      <c r="ET31" s="78">
        <f>Grupo!ET31</f>
        <v>0</v>
      </c>
      <c r="EU31" s="78">
        <f>Grupo!EU31</f>
        <v>1</v>
      </c>
      <c r="EV31" s="78">
        <f>Grupo!EV31</f>
        <v>2</v>
      </c>
      <c r="EW31" s="78">
        <f>Grupo!EW31</f>
        <v>0</v>
      </c>
      <c r="EX31" s="78">
        <f>Grupo!EX31</f>
        <v>1</v>
      </c>
      <c r="EY31" s="78">
        <f>Grupo!EY31</f>
        <v>2</v>
      </c>
      <c r="EZ31" s="78">
        <f>Grupo!EZ31</f>
        <v>0</v>
      </c>
      <c r="FA31" s="78">
        <f>Grupo!FA31</f>
        <v>1</v>
      </c>
      <c r="FB31" s="78">
        <f>Grupo!FB31</f>
        <v>1</v>
      </c>
      <c r="FC31" s="78">
        <f>Grupo!FC31</f>
        <v>3</v>
      </c>
      <c r="FD31" s="78">
        <f>Grupo!FD31</f>
        <v>1</v>
      </c>
      <c r="FE31" s="78">
        <f>Grupo!FE31</f>
        <v>1</v>
      </c>
      <c r="FF31" s="78">
        <f>Grupo!FF31</f>
        <v>2</v>
      </c>
      <c r="FG31" s="78">
        <f>Grupo!FG31</f>
        <v>0</v>
      </c>
      <c r="FH31" s="78">
        <f>Grupo!FH31</f>
        <v>1</v>
      </c>
      <c r="FI31" s="78">
        <f>Grupo!FI31</f>
        <v>4</v>
      </c>
      <c r="FJ31" s="78">
        <f>Grupo!FJ31</f>
        <v>1</v>
      </c>
      <c r="FK31" s="78">
        <f>Grupo!FK31</f>
        <v>2</v>
      </c>
      <c r="FL31" s="78">
        <f>Grupo!FL31</f>
        <v>3</v>
      </c>
      <c r="FM31" s="78">
        <f>Grupo!FM31</f>
        <v>0</v>
      </c>
      <c r="FN31" s="78">
        <f>Grupo!FN31</f>
        <v>3</v>
      </c>
      <c r="FO31" s="78">
        <f>Grupo!FO31</f>
        <v>1</v>
      </c>
      <c r="FP31" s="78">
        <f>Grupo!FP31</f>
        <v>0</v>
      </c>
      <c r="FQ31" s="78">
        <f>Grupo!FQ31</f>
        <v>0</v>
      </c>
      <c r="FR31" s="78">
        <f>Grupo!FR31</f>
        <v>3</v>
      </c>
      <c r="FS31" s="78">
        <f>Grupo!FS31</f>
        <v>1</v>
      </c>
      <c r="FT31" s="78">
        <f>Grupo!FT31</f>
        <v>2</v>
      </c>
      <c r="FU31" s="78">
        <f>Grupo!FU31</f>
        <v>3</v>
      </c>
      <c r="FV31" s="78">
        <f>Grupo!FV31</f>
        <v>0</v>
      </c>
      <c r="FW31" s="78">
        <f>Grupo!FW31</f>
        <v>1</v>
      </c>
      <c r="FX31" s="78">
        <f>Grupo!FX31</f>
        <v>0</v>
      </c>
      <c r="FY31" s="78">
        <f>Grupo!FY31</f>
        <v>0</v>
      </c>
      <c r="FZ31" s="78">
        <f>Grupo!FZ31</f>
        <v>1</v>
      </c>
      <c r="GA31" s="78">
        <f>Grupo!GA31</f>
        <v>2</v>
      </c>
      <c r="GB31" s="78">
        <f>Grupo!GB31</f>
        <v>1</v>
      </c>
      <c r="GC31" s="78">
        <f>Grupo!GC31</f>
        <v>3</v>
      </c>
      <c r="GD31" s="78">
        <f>Grupo!GD31</f>
        <v>1</v>
      </c>
      <c r="GE31" s="78">
        <f>Grupo!GE31</f>
        <v>1</v>
      </c>
      <c r="GF31" s="78">
        <f>Grupo!GF31</f>
        <v>0</v>
      </c>
      <c r="GG31" s="78">
        <f>Grupo!GG31</f>
        <v>0</v>
      </c>
      <c r="GH31" s="78">
        <f>Grupo!GH31</f>
        <v>1</v>
      </c>
      <c r="GI31" s="78">
        <f>Grupo!GI31</f>
        <v>0</v>
      </c>
      <c r="GJ31" s="78">
        <f>Grupo!GJ31</f>
        <v>3</v>
      </c>
      <c r="GK31" s="78">
        <f>Grupo!GK31</f>
        <v>1</v>
      </c>
      <c r="GL31" s="78">
        <f>Grupo!GL31</f>
        <v>1</v>
      </c>
      <c r="GM31" s="78">
        <f>Grupo!GM31</f>
        <v>1</v>
      </c>
      <c r="GN31" s="78">
        <f>Grupo!GN31</f>
        <v>1</v>
      </c>
      <c r="GO31" s="78">
        <f>Grupo!GO31</f>
        <v>1</v>
      </c>
      <c r="GP31" s="78">
        <f>Grupo!GP31</f>
        <v>3</v>
      </c>
      <c r="GQ31" s="78">
        <f>Grupo!GQ31</f>
        <v>1</v>
      </c>
      <c r="GR31" s="79">
        <f>Grupo!GR31</f>
        <v>1</v>
      </c>
      <c r="GS31" s="79">
        <f>Grupo!GS31</f>
        <v>4</v>
      </c>
      <c r="GT31" s="79" t="str">
        <f>Grupo!GT31</f>
        <v/>
      </c>
      <c r="GU31" s="79">
        <f>Grupo!GU31</f>
        <v>2</v>
      </c>
      <c r="GV31" s="79">
        <f>Grupo!GV31</f>
        <v>2</v>
      </c>
      <c r="GW31" s="79" t="str">
        <f>Grupo!GW31</f>
        <v/>
      </c>
      <c r="GX31" s="76">
        <f>Grupo!GX31</f>
        <v>1</v>
      </c>
      <c r="GY31" s="76">
        <f>Grupo!GY31</f>
        <v>1</v>
      </c>
      <c r="GZ31" s="76" t="str">
        <f>Grupo!GZ31</f>
        <v/>
      </c>
      <c r="HA31" s="76">
        <f>Grupo!HA31</f>
        <v>0</v>
      </c>
      <c r="HB31" s="76">
        <f>Grupo!HB31</f>
        <v>4</v>
      </c>
      <c r="HC31" s="76" t="str">
        <f>Grupo!HC31</f>
        <v/>
      </c>
      <c r="HD31" s="76">
        <f>Grupo!HD31</f>
        <v>2</v>
      </c>
      <c r="HE31" s="76">
        <f>Grupo!HE31</f>
        <v>2</v>
      </c>
      <c r="HF31" s="76" t="str">
        <f>Grupo!HF31</f>
        <v/>
      </c>
      <c r="HG31" s="76">
        <f>Grupo!HG31</f>
        <v>0</v>
      </c>
      <c r="HH31" s="76">
        <f>Grupo!HH31</f>
        <v>0</v>
      </c>
      <c r="HI31" s="76" t="str">
        <f>Grupo!HI31</f>
        <v/>
      </c>
      <c r="HJ31" s="32">
        <f>Grupo!HJ31</f>
        <v>63</v>
      </c>
      <c r="HK31" s="77" t="s">
        <v>10</v>
      </c>
    </row>
    <row r="32" spans="1:219" ht="20.25" customHeight="1" thickBot="1" x14ac:dyDescent="0.35">
      <c r="A32" s="34" t="str">
        <f>Grupo!A32</f>
        <v>Marco R.</v>
      </c>
      <c r="B32" s="28">
        <f>Grupo!B32</f>
        <v>2</v>
      </c>
      <c r="C32" s="28">
        <f>Grupo!C32</f>
        <v>1</v>
      </c>
      <c r="D32" s="28">
        <f>Grupo!D32</f>
        <v>1</v>
      </c>
      <c r="E32" s="28">
        <f>Grupo!E32</f>
        <v>1</v>
      </c>
      <c r="F32" s="28">
        <f>Grupo!F32</f>
        <v>1</v>
      </c>
      <c r="G32" s="28">
        <f>Grupo!G32</f>
        <v>0</v>
      </c>
      <c r="H32" s="28">
        <f>Grupo!H32</f>
        <v>1</v>
      </c>
      <c r="I32" s="28">
        <f>Grupo!I32</f>
        <v>1</v>
      </c>
      <c r="J32" s="28">
        <f>Grupo!J32</f>
        <v>3</v>
      </c>
      <c r="K32" s="28">
        <f>Grupo!K32</f>
        <v>2</v>
      </c>
      <c r="L32" s="28">
        <f>Grupo!L32</f>
        <v>1</v>
      </c>
      <c r="M32" s="28">
        <f>Grupo!M32</f>
        <v>1</v>
      </c>
      <c r="N32" s="28">
        <f>Grupo!N32</f>
        <v>1</v>
      </c>
      <c r="O32" s="28">
        <f>Grupo!O32</f>
        <v>2</v>
      </c>
      <c r="P32" s="28">
        <f>Grupo!P32</f>
        <v>1</v>
      </c>
      <c r="Q32" s="28">
        <f>Grupo!Q32</f>
        <v>0</v>
      </c>
      <c r="R32" s="28">
        <f>Grupo!R32</f>
        <v>1</v>
      </c>
      <c r="S32" s="28">
        <f>Grupo!S32</f>
        <v>0</v>
      </c>
      <c r="T32" s="28">
        <f>Grupo!T32</f>
        <v>2</v>
      </c>
      <c r="U32" s="28">
        <f>Grupo!U32</f>
        <v>1</v>
      </c>
      <c r="V32" s="28">
        <f>Grupo!V32</f>
        <v>0</v>
      </c>
      <c r="W32" s="28">
        <f>Grupo!W32</f>
        <v>0</v>
      </c>
      <c r="X32" s="28">
        <f>Grupo!X32</f>
        <v>2</v>
      </c>
      <c r="Y32" s="28">
        <f>Grupo!Y32</f>
        <v>0</v>
      </c>
      <c r="Z32" s="28">
        <f>Grupo!Z32</f>
        <v>1</v>
      </c>
      <c r="AA32" s="28">
        <f>Grupo!AA32</f>
        <v>1</v>
      </c>
      <c r="AB32" s="28">
        <f>Grupo!AB32</f>
        <v>0</v>
      </c>
      <c r="AC32" s="28">
        <f>Grupo!AC32</f>
        <v>4</v>
      </c>
      <c r="AD32" s="28">
        <f>Grupo!AD32</f>
        <v>0</v>
      </c>
      <c r="AE32" s="28">
        <f>Grupo!AE32</f>
        <v>1</v>
      </c>
      <c r="AF32" s="28">
        <f>Grupo!AF32</f>
        <v>1</v>
      </c>
      <c r="AG32" s="28">
        <f>Grupo!AG32</f>
        <v>1</v>
      </c>
      <c r="AH32" s="28">
        <f>Grupo!AH32</f>
        <v>1</v>
      </c>
      <c r="AI32" s="28">
        <f>Grupo!AI32</f>
        <v>1</v>
      </c>
      <c r="AJ32" s="28">
        <f>Grupo!AJ32</f>
        <v>1</v>
      </c>
      <c r="AK32" s="28">
        <f>Grupo!AK32</f>
        <v>0</v>
      </c>
      <c r="AL32" s="28">
        <f>Grupo!AL32</f>
        <v>0</v>
      </c>
      <c r="AM32" s="28">
        <f>Grupo!AM32</f>
        <v>2</v>
      </c>
      <c r="AN32" s="28">
        <f>Grupo!AN32</f>
        <v>0</v>
      </c>
      <c r="AO32" s="28">
        <f>Grupo!AO32</f>
        <v>4</v>
      </c>
      <c r="AP32" s="28">
        <f>Grupo!AP32</f>
        <v>0</v>
      </c>
      <c r="AQ32" s="28">
        <f>Grupo!AQ32</f>
        <v>0</v>
      </c>
      <c r="AR32" s="28">
        <f>Grupo!AR32</f>
        <v>2</v>
      </c>
      <c r="AS32" s="28">
        <f>Grupo!AS32</f>
        <v>0</v>
      </c>
      <c r="AT32" s="28">
        <f>Grupo!AT32</f>
        <v>0</v>
      </c>
      <c r="AU32" s="28">
        <f>Grupo!AU32</f>
        <v>2</v>
      </c>
      <c r="AV32" s="28">
        <f>Grupo!AV32</f>
        <v>1</v>
      </c>
      <c r="AW32" s="28">
        <f>Grupo!AW32</f>
        <v>0</v>
      </c>
      <c r="AX32" s="28">
        <f>Grupo!AX32</f>
        <v>3</v>
      </c>
      <c r="AY32" s="28">
        <f>Grupo!AY32</f>
        <v>0</v>
      </c>
      <c r="AZ32" s="28">
        <f>Grupo!AZ32</f>
        <v>1</v>
      </c>
      <c r="BA32" s="28">
        <f>Grupo!BA32</f>
        <v>1</v>
      </c>
      <c r="BB32" s="28">
        <f>Grupo!BB32</f>
        <v>3</v>
      </c>
      <c r="BC32" s="28">
        <f>Grupo!BC32</f>
        <v>1</v>
      </c>
      <c r="BD32" s="28">
        <f>Grupo!BD32</f>
        <v>3</v>
      </c>
      <c r="BE32" s="28">
        <f>Grupo!BE32</f>
        <v>0</v>
      </c>
      <c r="BF32" s="28">
        <f>Grupo!BF32</f>
        <v>3</v>
      </c>
      <c r="BG32" s="28">
        <f>Grupo!BG32</f>
        <v>1</v>
      </c>
      <c r="BH32" s="28">
        <f>Grupo!BH32</f>
        <v>0</v>
      </c>
      <c r="BI32" s="28">
        <f>Grupo!BI32</f>
        <v>1</v>
      </c>
      <c r="BJ32" s="28">
        <f>Grupo!BJ32</f>
        <v>1</v>
      </c>
      <c r="BK32" s="28">
        <f>Grupo!BK32</f>
        <v>2</v>
      </c>
      <c r="BL32" s="28">
        <f>Grupo!BL32</f>
        <v>0</v>
      </c>
      <c r="BM32" s="28">
        <f>Grupo!BM32</f>
        <v>3</v>
      </c>
      <c r="BN32" s="28">
        <f>Grupo!BN32</f>
        <v>1</v>
      </c>
      <c r="BO32" s="28">
        <f>Grupo!BO32</f>
        <v>1</v>
      </c>
      <c r="BP32" s="28">
        <f>Grupo!BP32</f>
        <v>2</v>
      </c>
      <c r="BQ32" s="28">
        <f>Grupo!BQ32</f>
        <v>1</v>
      </c>
      <c r="BR32" s="28">
        <f>Grupo!BR32</f>
        <v>0</v>
      </c>
      <c r="BS32" s="28">
        <f>Grupo!BS32</f>
        <v>0</v>
      </c>
      <c r="BT32" s="28">
        <f>Grupo!BT32</f>
        <v>2</v>
      </c>
      <c r="BU32" s="28">
        <f>Grupo!BU32</f>
        <v>1</v>
      </c>
      <c r="BV32" s="28">
        <f>Grupo!BV32</f>
        <v>2</v>
      </c>
      <c r="BW32" s="28">
        <f>Grupo!BW32</f>
        <v>0</v>
      </c>
      <c r="BX32" s="28">
        <f>Grupo!BX32</f>
        <v>0</v>
      </c>
      <c r="BY32" s="28">
        <f>Grupo!BY32</f>
        <v>2</v>
      </c>
      <c r="BZ32" s="28">
        <f>Grupo!BZ32</f>
        <v>1</v>
      </c>
      <c r="CA32" s="28">
        <f>Grupo!CA32</f>
        <v>1</v>
      </c>
      <c r="CB32" s="28">
        <f>Grupo!CB32</f>
        <v>2</v>
      </c>
      <c r="CC32" s="28">
        <f>Grupo!CC32</f>
        <v>0</v>
      </c>
      <c r="CD32" s="28">
        <f>Grupo!CD32</f>
        <v>1</v>
      </c>
      <c r="CE32" s="28">
        <f>Grupo!CE32</f>
        <v>2</v>
      </c>
      <c r="CF32" s="28">
        <f>Grupo!CF32</f>
        <v>1</v>
      </c>
      <c r="CG32" s="28">
        <f>Grupo!CG32</f>
        <v>1</v>
      </c>
      <c r="CH32" s="28">
        <f>Grupo!CH32</f>
        <v>4</v>
      </c>
      <c r="CI32" s="28">
        <f>Grupo!CI32</f>
        <v>1</v>
      </c>
      <c r="CJ32" s="28">
        <f>Grupo!CJ32</f>
        <v>1</v>
      </c>
      <c r="CK32" s="28">
        <f>Grupo!CK32</f>
        <v>1</v>
      </c>
      <c r="CL32" s="28">
        <f>Grupo!CL32</f>
        <v>2</v>
      </c>
      <c r="CM32" s="28">
        <f>Grupo!CM32</f>
        <v>1</v>
      </c>
      <c r="CN32" s="28">
        <f>Grupo!CN32</f>
        <v>1</v>
      </c>
      <c r="CO32" s="28">
        <f>Grupo!CO32</f>
        <v>1</v>
      </c>
      <c r="CP32" s="28">
        <f>Grupo!CP32</f>
        <v>0</v>
      </c>
      <c r="CQ32" s="28">
        <f>Grupo!CQ32</f>
        <v>2</v>
      </c>
      <c r="CR32" s="28">
        <f>Grupo!CR32</f>
        <v>1</v>
      </c>
      <c r="CS32" s="28">
        <f>Grupo!CS32</f>
        <v>1</v>
      </c>
      <c r="CT32" s="28">
        <f>Grupo!CT32</f>
        <v>3</v>
      </c>
      <c r="CU32" s="28">
        <f>Grupo!CU32</f>
        <v>1</v>
      </c>
      <c r="CV32" s="28">
        <f>Grupo!CV32</f>
        <v>1</v>
      </c>
      <c r="CW32" s="28">
        <f>Grupo!CW32</f>
        <v>2</v>
      </c>
      <c r="CX32" s="28">
        <f>Grupo!CX32</f>
        <v>0</v>
      </c>
      <c r="CY32" s="28">
        <f>Grupo!CY32</f>
        <v>0</v>
      </c>
      <c r="CZ32" s="28">
        <f>Grupo!CZ32</f>
        <v>2</v>
      </c>
      <c r="DA32" s="28">
        <f>Grupo!DA32</f>
        <v>1</v>
      </c>
      <c r="DB32" s="28">
        <f>Grupo!DB32</f>
        <v>1</v>
      </c>
      <c r="DC32" s="28">
        <f>Grupo!DC32</f>
        <v>0</v>
      </c>
      <c r="DD32" s="28">
        <f>Grupo!DD32</f>
        <v>2</v>
      </c>
      <c r="DE32" s="28">
        <f>Grupo!DE32</f>
        <v>1</v>
      </c>
      <c r="DF32" s="28">
        <f>Grupo!DF32</f>
        <v>2</v>
      </c>
      <c r="DG32" s="28">
        <f>Grupo!DG32</f>
        <v>0</v>
      </c>
      <c r="DH32" s="28">
        <f>Grupo!DH32</f>
        <v>0</v>
      </c>
      <c r="DI32" s="28">
        <f>Grupo!DI32</f>
        <v>3</v>
      </c>
      <c r="DJ32" s="28">
        <f>Grupo!DJ32</f>
        <v>0</v>
      </c>
      <c r="DK32" s="28">
        <f>Grupo!DK32</f>
        <v>1</v>
      </c>
      <c r="DL32" s="28">
        <f>Grupo!DL32</f>
        <v>2</v>
      </c>
      <c r="DM32" s="28">
        <f>Grupo!DM32</f>
        <v>0</v>
      </c>
      <c r="DN32" s="28">
        <f>Grupo!DN32</f>
        <v>0</v>
      </c>
      <c r="DO32" s="28">
        <f>Grupo!DO32</f>
        <v>0</v>
      </c>
      <c r="DP32" s="28">
        <f>Grupo!DP32</f>
        <v>2</v>
      </c>
      <c r="DQ32" s="28">
        <f>Grupo!DQ32</f>
        <v>1</v>
      </c>
      <c r="DR32" s="28">
        <f>Grupo!DR32</f>
        <v>2</v>
      </c>
      <c r="DS32" s="28">
        <f>Grupo!DS32</f>
        <v>2</v>
      </c>
      <c r="DT32" s="28">
        <f>Grupo!DT32</f>
        <v>0</v>
      </c>
      <c r="DU32" s="28">
        <f>Grupo!DU32</f>
        <v>5</v>
      </c>
      <c r="DV32" s="28">
        <f>Grupo!DV32</f>
        <v>0</v>
      </c>
      <c r="DW32" s="28">
        <f>Grupo!DW32</f>
        <v>1</v>
      </c>
      <c r="DX32" s="28">
        <f>Grupo!DX32</f>
        <v>3</v>
      </c>
      <c r="DY32" s="28">
        <f>Grupo!DY32</f>
        <v>0</v>
      </c>
      <c r="DZ32" s="28">
        <f>Grupo!DZ32</f>
        <v>1</v>
      </c>
      <c r="EA32" s="70">
        <f>Grupo!EA32</f>
        <v>1</v>
      </c>
      <c r="EB32" s="70">
        <f>Grupo!EB32</f>
        <v>2</v>
      </c>
      <c r="EC32" s="70">
        <f>Grupo!EC32</f>
        <v>3</v>
      </c>
      <c r="ED32" s="70">
        <f>Grupo!ED32</f>
        <v>3</v>
      </c>
      <c r="EE32" s="70">
        <f>Grupo!EE32</f>
        <v>1</v>
      </c>
      <c r="EF32" s="70">
        <f>Grupo!EF32</f>
        <v>0</v>
      </c>
      <c r="EG32" s="70">
        <f>Grupo!EG32</f>
        <v>1</v>
      </c>
      <c r="EH32" s="70">
        <f>Grupo!EH32</f>
        <v>1</v>
      </c>
      <c r="EI32" s="70">
        <f>Grupo!EI32</f>
        <v>0</v>
      </c>
      <c r="EJ32" s="70">
        <f>Grupo!EJ32</f>
        <v>2</v>
      </c>
      <c r="EK32" s="70">
        <f>Grupo!EK32</f>
        <v>1</v>
      </c>
      <c r="EL32" s="70">
        <f>Grupo!EL32</f>
        <v>1</v>
      </c>
      <c r="EM32" s="70">
        <f>Grupo!EM32</f>
        <v>3</v>
      </c>
      <c r="EN32" s="70">
        <f>Grupo!EN32</f>
        <v>0</v>
      </c>
      <c r="EO32" s="70">
        <f>Grupo!EO32</f>
        <v>1</v>
      </c>
      <c r="EP32" s="78">
        <f>Grupo!EP32</f>
        <v>0</v>
      </c>
      <c r="EQ32" s="78">
        <f>Grupo!EQ32</f>
        <v>4</v>
      </c>
      <c r="ER32" s="78">
        <f>Grupo!ER32</f>
        <v>1</v>
      </c>
      <c r="ES32" s="78">
        <f>Grupo!ES32</f>
        <v>3</v>
      </c>
      <c r="ET32" s="78">
        <f>Grupo!ET32</f>
        <v>1</v>
      </c>
      <c r="EU32" s="78">
        <f>Grupo!EU32</f>
        <v>1</v>
      </c>
      <c r="EV32" s="78">
        <f>Grupo!EV32</f>
        <v>1</v>
      </c>
      <c r="EW32" s="78">
        <f>Grupo!EW32</f>
        <v>1</v>
      </c>
      <c r="EX32" s="78">
        <f>Grupo!EX32</f>
        <v>0</v>
      </c>
      <c r="EY32" s="78">
        <f>Grupo!EY32</f>
        <v>2</v>
      </c>
      <c r="EZ32" s="78">
        <f>Grupo!EZ32</f>
        <v>0</v>
      </c>
      <c r="FA32" s="78">
        <f>Grupo!FA32</f>
        <v>1</v>
      </c>
      <c r="FB32" s="78">
        <f>Grupo!FB32</f>
        <v>1</v>
      </c>
      <c r="FC32" s="78">
        <f>Grupo!FC32</f>
        <v>1</v>
      </c>
      <c r="FD32" s="78">
        <f>Grupo!FD32</f>
        <v>0</v>
      </c>
      <c r="FE32" s="78">
        <f>Grupo!FE32</f>
        <v>2</v>
      </c>
      <c r="FF32" s="78">
        <f>Grupo!FF32</f>
        <v>1</v>
      </c>
      <c r="FG32" s="78">
        <f>Grupo!FG32</f>
        <v>1</v>
      </c>
      <c r="FH32" s="78">
        <f>Grupo!FH32</f>
        <v>0</v>
      </c>
      <c r="FI32" s="78">
        <f>Grupo!FI32</f>
        <v>2</v>
      </c>
      <c r="FJ32" s="78">
        <f>Grupo!FJ32</f>
        <v>3</v>
      </c>
      <c r="FK32" s="78">
        <f>Grupo!FK32</f>
        <v>2</v>
      </c>
      <c r="FL32" s="78">
        <f>Grupo!FL32</f>
        <v>4</v>
      </c>
      <c r="FM32" s="78">
        <f>Grupo!FM32</f>
        <v>0</v>
      </c>
      <c r="FN32" s="78">
        <f>Grupo!FN32</f>
        <v>1</v>
      </c>
      <c r="FO32" s="78">
        <f>Grupo!FO32</f>
        <v>1</v>
      </c>
      <c r="FP32" s="78">
        <f>Grupo!FP32</f>
        <v>3</v>
      </c>
      <c r="FQ32" s="78">
        <f>Grupo!FQ32</f>
        <v>0</v>
      </c>
      <c r="FR32" s="78">
        <f>Grupo!FR32</f>
        <v>3</v>
      </c>
      <c r="FS32" s="78">
        <f>Grupo!FS32</f>
        <v>1</v>
      </c>
      <c r="FT32" s="78">
        <f>Grupo!FT32</f>
        <v>2</v>
      </c>
      <c r="FU32" s="78">
        <f>Grupo!FU32</f>
        <v>3</v>
      </c>
      <c r="FV32" s="78">
        <f>Grupo!FV32</f>
        <v>0</v>
      </c>
      <c r="FW32" s="78">
        <f>Grupo!FW32</f>
        <v>2</v>
      </c>
      <c r="FX32" s="78">
        <f>Grupo!FX32</f>
        <v>1</v>
      </c>
      <c r="FY32" s="78">
        <f>Grupo!FY32</f>
        <v>0</v>
      </c>
      <c r="FZ32" s="78">
        <f>Grupo!FZ32</f>
        <v>1</v>
      </c>
      <c r="GA32" s="78">
        <f>Grupo!GA32</f>
        <v>2</v>
      </c>
      <c r="GB32" s="78">
        <f>Grupo!GB32</f>
        <v>1</v>
      </c>
      <c r="GC32" s="78">
        <f>Grupo!GC32</f>
        <v>2</v>
      </c>
      <c r="GD32" s="78">
        <f>Grupo!GD32</f>
        <v>0</v>
      </c>
      <c r="GE32" s="78">
        <f>Grupo!GE32</f>
        <v>1</v>
      </c>
      <c r="GF32" s="78">
        <f>Grupo!GF32</f>
        <v>1</v>
      </c>
      <c r="GG32" s="78">
        <f>Grupo!GG32</f>
        <v>1</v>
      </c>
      <c r="GH32" s="78">
        <f>Grupo!GH32</f>
        <v>3</v>
      </c>
      <c r="GI32" s="78">
        <f>Grupo!GI32</f>
        <v>0</v>
      </c>
      <c r="GJ32" s="78">
        <f>Grupo!GJ32</f>
        <v>3</v>
      </c>
      <c r="GK32" s="78">
        <f>Grupo!GK32</f>
        <v>1</v>
      </c>
      <c r="GL32" s="78">
        <f>Grupo!GL32</f>
        <v>1</v>
      </c>
      <c r="GM32" s="78">
        <f>Grupo!GM32</f>
        <v>1</v>
      </c>
      <c r="GN32" s="78">
        <f>Grupo!GN32</f>
        <v>1</v>
      </c>
      <c r="GO32" s="78">
        <f>Grupo!GO32</f>
        <v>1</v>
      </c>
      <c r="GP32" s="78">
        <f>Grupo!GP32</f>
        <v>2</v>
      </c>
      <c r="GQ32" s="78">
        <f>Grupo!GQ32</f>
        <v>1</v>
      </c>
      <c r="GR32" s="79">
        <f>Grupo!GR32</f>
        <v>1</v>
      </c>
      <c r="GS32" s="79">
        <f>Grupo!GS32</f>
        <v>4</v>
      </c>
      <c r="GT32" s="79" t="str">
        <f>Grupo!GT32</f>
        <v/>
      </c>
      <c r="GU32" s="79">
        <f>Grupo!GU32</f>
        <v>3</v>
      </c>
      <c r="GV32" s="79">
        <f>Grupo!GV32</f>
        <v>1</v>
      </c>
      <c r="GW32" s="79" t="str">
        <f>Grupo!GW32</f>
        <v/>
      </c>
      <c r="GX32" s="76">
        <f>Grupo!GX32</f>
        <v>1</v>
      </c>
      <c r="GY32" s="76">
        <f>Grupo!GY32</f>
        <v>1</v>
      </c>
      <c r="GZ32" s="76" t="str">
        <f>Grupo!GZ32</f>
        <v/>
      </c>
      <c r="HA32" s="76">
        <f>Grupo!HA32</f>
        <v>0</v>
      </c>
      <c r="HB32" s="76">
        <f>Grupo!HB32</f>
        <v>4</v>
      </c>
      <c r="HC32" s="76" t="str">
        <f>Grupo!HC32</f>
        <v/>
      </c>
      <c r="HD32" s="76">
        <f>Grupo!HD32</f>
        <v>1</v>
      </c>
      <c r="HE32" s="76">
        <f>Grupo!HE32</f>
        <v>1</v>
      </c>
      <c r="HF32" s="76" t="str">
        <f>Grupo!HF32</f>
        <v/>
      </c>
      <c r="HG32" s="76">
        <f>Grupo!HG32</f>
        <v>1</v>
      </c>
      <c r="HH32" s="76">
        <f>Grupo!HH32</f>
        <v>1</v>
      </c>
      <c r="HI32" s="76" t="str">
        <f>Grupo!HI32</f>
        <v/>
      </c>
      <c r="HJ32" s="32">
        <f>Grupo!HJ32</f>
        <v>53</v>
      </c>
      <c r="HK32" s="25" t="s">
        <v>60</v>
      </c>
    </row>
    <row r="33" spans="1:219" ht="20.25" customHeight="1" thickBot="1" x14ac:dyDescent="0.35">
      <c r="A33" s="34" t="str">
        <f>Grupo!A33</f>
        <v>Maricela</v>
      </c>
      <c r="B33" s="28">
        <f>Grupo!B33</f>
        <v>3</v>
      </c>
      <c r="C33" s="28">
        <f>Grupo!C33</f>
        <v>1</v>
      </c>
      <c r="D33" s="28">
        <f>Grupo!D33</f>
        <v>1</v>
      </c>
      <c r="E33" s="28">
        <f>Grupo!E33</f>
        <v>2</v>
      </c>
      <c r="F33" s="28">
        <f>Grupo!F33</f>
        <v>2</v>
      </c>
      <c r="G33" s="28">
        <f>Grupo!G33</f>
        <v>0</v>
      </c>
      <c r="H33" s="28">
        <f>Grupo!H33</f>
        <v>3</v>
      </c>
      <c r="I33" s="28">
        <f>Grupo!I33</f>
        <v>1</v>
      </c>
      <c r="J33" s="28">
        <f>Grupo!J33</f>
        <v>0</v>
      </c>
      <c r="K33" s="28">
        <f>Grupo!K33</f>
        <v>2</v>
      </c>
      <c r="L33" s="28">
        <f>Grupo!L33</f>
        <v>1</v>
      </c>
      <c r="M33" s="28">
        <f>Grupo!M33</f>
        <v>1</v>
      </c>
      <c r="N33" s="28">
        <f>Grupo!N33</f>
        <v>0</v>
      </c>
      <c r="O33" s="28">
        <f>Grupo!O33</f>
        <v>3</v>
      </c>
      <c r="P33" s="28">
        <f>Grupo!P33</f>
        <v>1</v>
      </c>
      <c r="Q33" s="28">
        <f>Grupo!Q33</f>
        <v>1</v>
      </c>
      <c r="R33" s="28">
        <f>Grupo!R33</f>
        <v>3</v>
      </c>
      <c r="S33" s="28">
        <f>Grupo!S33</f>
        <v>0</v>
      </c>
      <c r="T33" s="28">
        <f>Grupo!T33</f>
        <v>4</v>
      </c>
      <c r="U33" s="28">
        <f>Grupo!U33</f>
        <v>2</v>
      </c>
      <c r="V33" s="28">
        <f>Grupo!V33</f>
        <v>0</v>
      </c>
      <c r="W33" s="28">
        <f>Grupo!W33</f>
        <v>1</v>
      </c>
      <c r="X33" s="28">
        <f>Grupo!X33</f>
        <v>2</v>
      </c>
      <c r="Y33" s="28">
        <f>Grupo!Y33</f>
        <v>0</v>
      </c>
      <c r="Z33" s="28">
        <f>Grupo!Z33</f>
        <v>1</v>
      </c>
      <c r="AA33" s="28">
        <f>Grupo!AA33</f>
        <v>3</v>
      </c>
      <c r="AB33" s="28">
        <f>Grupo!AB33</f>
        <v>0</v>
      </c>
      <c r="AC33" s="28">
        <f>Grupo!AC33</f>
        <v>5</v>
      </c>
      <c r="AD33" s="28">
        <f>Grupo!AD33</f>
        <v>0</v>
      </c>
      <c r="AE33" s="28">
        <f>Grupo!AE33</f>
        <v>1</v>
      </c>
      <c r="AF33" s="28">
        <f>Grupo!AF33</f>
        <v>4</v>
      </c>
      <c r="AG33" s="28">
        <f>Grupo!AG33</f>
        <v>1</v>
      </c>
      <c r="AH33" s="28">
        <f>Grupo!AH33</f>
        <v>0</v>
      </c>
      <c r="AI33" s="28">
        <f>Grupo!AI33</f>
        <v>2</v>
      </c>
      <c r="AJ33" s="28">
        <f>Grupo!AJ33</f>
        <v>2</v>
      </c>
      <c r="AK33" s="28">
        <f>Grupo!AK33</f>
        <v>0</v>
      </c>
      <c r="AL33" s="28">
        <f>Grupo!AL33</f>
        <v>1</v>
      </c>
      <c r="AM33" s="28">
        <f>Grupo!AM33</f>
        <v>3</v>
      </c>
      <c r="AN33" s="28">
        <f>Grupo!AN33</f>
        <v>0</v>
      </c>
      <c r="AO33" s="28">
        <f>Grupo!AO33</f>
        <v>5</v>
      </c>
      <c r="AP33" s="28">
        <f>Grupo!AP33</f>
        <v>0</v>
      </c>
      <c r="AQ33" s="28">
        <f>Grupo!AQ33</f>
        <v>0</v>
      </c>
      <c r="AR33" s="28">
        <f>Grupo!AR33</f>
        <v>1</v>
      </c>
      <c r="AS33" s="28">
        <f>Grupo!AS33</f>
        <v>2</v>
      </c>
      <c r="AT33" s="28">
        <f>Grupo!AT33</f>
        <v>0</v>
      </c>
      <c r="AU33" s="28">
        <f>Grupo!AU33</f>
        <v>2</v>
      </c>
      <c r="AV33" s="28">
        <f>Grupo!AV33</f>
        <v>2</v>
      </c>
      <c r="AW33" s="28">
        <f>Grupo!AW33</f>
        <v>1</v>
      </c>
      <c r="AX33" s="28">
        <f>Grupo!AX33</f>
        <v>4</v>
      </c>
      <c r="AY33" s="28">
        <f>Grupo!AY33</f>
        <v>1</v>
      </c>
      <c r="AZ33" s="28">
        <f>Grupo!AZ33</f>
        <v>1</v>
      </c>
      <c r="BA33" s="28">
        <f>Grupo!BA33</f>
        <v>0</v>
      </c>
      <c r="BB33" s="28">
        <f>Grupo!BB33</f>
        <v>2</v>
      </c>
      <c r="BC33" s="28">
        <f>Grupo!BC33</f>
        <v>1</v>
      </c>
      <c r="BD33" s="28">
        <f>Grupo!BD33</f>
        <v>4</v>
      </c>
      <c r="BE33" s="28">
        <f>Grupo!BE33</f>
        <v>0</v>
      </c>
      <c r="BF33" s="28">
        <f>Grupo!BF33</f>
        <v>1</v>
      </c>
      <c r="BG33" s="28">
        <f>Grupo!BG33</f>
        <v>2</v>
      </c>
      <c r="BH33" s="28">
        <f>Grupo!BH33</f>
        <v>0</v>
      </c>
      <c r="BI33" s="28">
        <f>Grupo!BI33</f>
        <v>1</v>
      </c>
      <c r="BJ33" s="28">
        <f>Grupo!BJ33</f>
        <v>1</v>
      </c>
      <c r="BK33" s="28">
        <f>Grupo!BK33</f>
        <v>3</v>
      </c>
      <c r="BL33" s="28">
        <f>Grupo!BL33</f>
        <v>0</v>
      </c>
      <c r="BM33" s="28">
        <f>Grupo!BM33</f>
        <v>3</v>
      </c>
      <c r="BN33" s="28">
        <f>Grupo!BN33</f>
        <v>1</v>
      </c>
      <c r="BO33" s="28">
        <f>Grupo!BO33</f>
        <v>1</v>
      </c>
      <c r="BP33" s="28">
        <f>Grupo!BP33</f>
        <v>4</v>
      </c>
      <c r="BQ33" s="28">
        <f>Grupo!BQ33</f>
        <v>0</v>
      </c>
      <c r="BR33" s="28">
        <f>Grupo!BR33</f>
        <v>0</v>
      </c>
      <c r="BS33" s="28">
        <f>Grupo!BS33</f>
        <v>2</v>
      </c>
      <c r="BT33" s="28">
        <f>Grupo!BT33</f>
        <v>4</v>
      </c>
      <c r="BU33" s="28">
        <f>Grupo!BU33</f>
        <v>1</v>
      </c>
      <c r="BV33" s="28">
        <f>Grupo!BV33</f>
        <v>2</v>
      </c>
      <c r="BW33" s="28">
        <f>Grupo!BW33</f>
        <v>1</v>
      </c>
      <c r="BX33" s="28">
        <f>Grupo!BX33</f>
        <v>0</v>
      </c>
      <c r="BY33" s="28">
        <f>Grupo!BY33</f>
        <v>2</v>
      </c>
      <c r="BZ33" s="28">
        <f>Grupo!BZ33</f>
        <v>2</v>
      </c>
      <c r="CA33" s="28">
        <f>Grupo!CA33</f>
        <v>0</v>
      </c>
      <c r="CB33" s="28">
        <f>Grupo!CB33</f>
        <v>3</v>
      </c>
      <c r="CC33" s="28">
        <f>Grupo!CC33</f>
        <v>1</v>
      </c>
      <c r="CD33" s="28">
        <f>Grupo!CD33</f>
        <v>1</v>
      </c>
      <c r="CE33" s="28">
        <f>Grupo!CE33</f>
        <v>3</v>
      </c>
      <c r="CF33" s="28">
        <f>Grupo!CF33</f>
        <v>1</v>
      </c>
      <c r="CG33" s="28">
        <f>Grupo!CG33</f>
        <v>1</v>
      </c>
      <c r="CH33" s="28">
        <f>Grupo!CH33</f>
        <v>4</v>
      </c>
      <c r="CI33" s="28">
        <f>Grupo!CI33</f>
        <v>0</v>
      </c>
      <c r="CJ33" s="28">
        <f>Grupo!CJ33</f>
        <v>1</v>
      </c>
      <c r="CK33" s="28">
        <f>Grupo!CK33</f>
        <v>1</v>
      </c>
      <c r="CL33" s="28">
        <f>Grupo!CL33</f>
        <v>3</v>
      </c>
      <c r="CM33" s="28">
        <f>Grupo!CM33</f>
        <v>1</v>
      </c>
      <c r="CN33" s="28">
        <f>Grupo!CN33</f>
        <v>2</v>
      </c>
      <c r="CO33" s="28">
        <f>Grupo!CO33</f>
        <v>1</v>
      </c>
      <c r="CP33" s="28">
        <f>Grupo!CP33</f>
        <v>0</v>
      </c>
      <c r="CQ33" s="28">
        <f>Grupo!CQ33</f>
        <v>2</v>
      </c>
      <c r="CR33" s="28">
        <f>Grupo!CR33</f>
        <v>1</v>
      </c>
      <c r="CS33" s="28">
        <f>Grupo!CS33</f>
        <v>1</v>
      </c>
      <c r="CT33" s="28">
        <f>Grupo!CT33</f>
        <v>3</v>
      </c>
      <c r="CU33" s="28">
        <f>Grupo!CU33</f>
        <v>0</v>
      </c>
      <c r="CV33" s="28">
        <f>Grupo!CV33</f>
        <v>1</v>
      </c>
      <c r="CW33" s="28">
        <f>Grupo!CW33</f>
        <v>3</v>
      </c>
      <c r="CX33" s="28">
        <f>Grupo!CX33</f>
        <v>0</v>
      </c>
      <c r="CY33" s="28">
        <f>Grupo!CY33</f>
        <v>0</v>
      </c>
      <c r="CZ33" s="28">
        <f>Grupo!CZ33</f>
        <v>2</v>
      </c>
      <c r="DA33" s="28">
        <f>Grupo!DA33</f>
        <v>1</v>
      </c>
      <c r="DB33" s="28">
        <f>Grupo!DB33</f>
        <v>1</v>
      </c>
      <c r="DC33" s="28">
        <f>Grupo!DC33</f>
        <v>0</v>
      </c>
      <c r="DD33" s="28">
        <f>Grupo!DD33</f>
        <v>2</v>
      </c>
      <c r="DE33" s="28">
        <f>Grupo!DE33</f>
        <v>1</v>
      </c>
      <c r="DF33" s="28">
        <f>Grupo!DF33</f>
        <v>3</v>
      </c>
      <c r="DG33" s="28">
        <f>Grupo!DG33</f>
        <v>0</v>
      </c>
      <c r="DH33" s="28">
        <f>Grupo!DH33</f>
        <v>0</v>
      </c>
      <c r="DI33" s="28">
        <f>Grupo!DI33</f>
        <v>3</v>
      </c>
      <c r="DJ33" s="28">
        <f>Grupo!DJ33</f>
        <v>0</v>
      </c>
      <c r="DK33" s="28">
        <f>Grupo!DK33</f>
        <v>1</v>
      </c>
      <c r="DL33" s="28">
        <f>Grupo!DL33</f>
        <v>3</v>
      </c>
      <c r="DM33" s="28">
        <f>Grupo!DM33</f>
        <v>0</v>
      </c>
      <c r="DN33" s="28">
        <f>Grupo!DN33</f>
        <v>0</v>
      </c>
      <c r="DO33" s="28">
        <f>Grupo!DO33</f>
        <v>2</v>
      </c>
      <c r="DP33" s="28">
        <f>Grupo!DP33</f>
        <v>3</v>
      </c>
      <c r="DQ33" s="28">
        <f>Grupo!DQ33</f>
        <v>1</v>
      </c>
      <c r="DR33" s="28">
        <f>Grupo!DR33</f>
        <v>2</v>
      </c>
      <c r="DS33" s="28">
        <f>Grupo!DS33</f>
        <v>1</v>
      </c>
      <c r="DT33" s="28">
        <f>Grupo!DT33</f>
        <v>1</v>
      </c>
      <c r="DU33" s="28">
        <f>Grupo!DU33</f>
        <v>4</v>
      </c>
      <c r="DV33" s="28">
        <f>Grupo!DV33</f>
        <v>1</v>
      </c>
      <c r="DW33" s="28">
        <f>Grupo!DW33</f>
        <v>1</v>
      </c>
      <c r="DX33" s="28">
        <f>Grupo!DX33</f>
        <v>3</v>
      </c>
      <c r="DY33" s="28">
        <f>Grupo!DY33</f>
        <v>1</v>
      </c>
      <c r="DZ33" s="28">
        <f>Grupo!DZ33</f>
        <v>1</v>
      </c>
      <c r="EA33" s="70">
        <f>Grupo!EA33</f>
        <v>1</v>
      </c>
      <c r="EB33" s="70">
        <f>Grupo!EB33</f>
        <v>2</v>
      </c>
      <c r="EC33" s="70">
        <f>Grupo!EC33</f>
        <v>3</v>
      </c>
      <c r="ED33" s="70">
        <f>Grupo!ED33</f>
        <v>4</v>
      </c>
      <c r="EE33" s="70">
        <f>Grupo!EE33</f>
        <v>0</v>
      </c>
      <c r="EF33" s="70">
        <f>Grupo!EF33</f>
        <v>0</v>
      </c>
      <c r="EG33" s="70">
        <f>Grupo!EG33</f>
        <v>2</v>
      </c>
      <c r="EH33" s="70">
        <f>Grupo!EH33</f>
        <v>2</v>
      </c>
      <c r="EI33" s="70">
        <f>Grupo!EI33</f>
        <v>0</v>
      </c>
      <c r="EJ33" s="70">
        <f>Grupo!EJ33</f>
        <v>4</v>
      </c>
      <c r="EK33" s="70">
        <f>Grupo!EK33</f>
        <v>2</v>
      </c>
      <c r="EL33" s="70">
        <f>Grupo!EL33</f>
        <v>1</v>
      </c>
      <c r="EM33" s="70">
        <f>Grupo!EM33</f>
        <v>3</v>
      </c>
      <c r="EN33" s="70">
        <f>Grupo!EN33</f>
        <v>1</v>
      </c>
      <c r="EO33" s="70">
        <f>Grupo!EO33</f>
        <v>1</v>
      </c>
      <c r="EP33" s="78">
        <f>Grupo!EP33</f>
        <v>1</v>
      </c>
      <c r="EQ33" s="78">
        <f>Grupo!EQ33</f>
        <v>3</v>
      </c>
      <c r="ER33" s="78">
        <f>Grupo!ER33</f>
        <v>1</v>
      </c>
      <c r="ES33" s="78">
        <f>Grupo!ES33</f>
        <v>2</v>
      </c>
      <c r="ET33" s="78">
        <f>Grupo!ET33</f>
        <v>0</v>
      </c>
      <c r="EU33" s="78">
        <f>Grupo!EU33</f>
        <v>1</v>
      </c>
      <c r="EV33" s="78">
        <f>Grupo!EV33</f>
        <v>1</v>
      </c>
      <c r="EW33" s="78">
        <f>Grupo!EW33</f>
        <v>1</v>
      </c>
      <c r="EX33" s="78">
        <f>Grupo!EX33</f>
        <v>0</v>
      </c>
      <c r="EY33" s="78">
        <f>Grupo!EY33</f>
        <v>2</v>
      </c>
      <c r="EZ33" s="78">
        <f>Grupo!EZ33</f>
        <v>1</v>
      </c>
      <c r="FA33" s="78">
        <f>Grupo!FA33</f>
        <v>1</v>
      </c>
      <c r="FB33" s="78">
        <f>Grupo!FB33</f>
        <v>1</v>
      </c>
      <c r="FC33" s="78">
        <f>Grupo!FC33</f>
        <v>1</v>
      </c>
      <c r="FD33" s="78">
        <f>Grupo!FD33</f>
        <v>0</v>
      </c>
      <c r="FE33" s="78">
        <f>Grupo!FE33</f>
        <v>2</v>
      </c>
      <c r="FF33" s="78">
        <f>Grupo!FF33</f>
        <v>2</v>
      </c>
      <c r="FG33" s="78">
        <f>Grupo!FG33</f>
        <v>0</v>
      </c>
      <c r="FH33" s="78">
        <f>Grupo!FH33</f>
        <v>2</v>
      </c>
      <c r="FI33" s="78">
        <f>Grupo!FI33</f>
        <v>1</v>
      </c>
      <c r="FJ33" s="78">
        <f>Grupo!FJ33</f>
        <v>0</v>
      </c>
      <c r="FK33" s="78">
        <f>Grupo!FK33</f>
        <v>2</v>
      </c>
      <c r="FL33" s="78">
        <f>Grupo!FL33</f>
        <v>3</v>
      </c>
      <c r="FM33" s="78">
        <f>Grupo!FM33</f>
        <v>0</v>
      </c>
      <c r="FN33" s="78">
        <f>Grupo!FN33</f>
        <v>2</v>
      </c>
      <c r="FO33" s="78">
        <f>Grupo!FO33</f>
        <v>1</v>
      </c>
      <c r="FP33" s="78">
        <f>Grupo!FP33</f>
        <v>0</v>
      </c>
      <c r="FQ33" s="78">
        <f>Grupo!FQ33</f>
        <v>1</v>
      </c>
      <c r="FR33" s="78">
        <f>Grupo!FR33</f>
        <v>4</v>
      </c>
      <c r="FS33" s="78">
        <f>Grupo!FS33</f>
        <v>1</v>
      </c>
      <c r="FT33" s="78">
        <f>Grupo!FT33</f>
        <v>2</v>
      </c>
      <c r="FU33" s="78">
        <f>Grupo!FU33</f>
        <v>2</v>
      </c>
      <c r="FV33" s="78">
        <f>Grupo!FV33</f>
        <v>0</v>
      </c>
      <c r="FW33" s="78">
        <f>Grupo!FW33</f>
        <v>1</v>
      </c>
      <c r="FX33" s="78">
        <f>Grupo!FX33</f>
        <v>1</v>
      </c>
      <c r="FY33" s="78">
        <f>Grupo!FY33</f>
        <v>1</v>
      </c>
      <c r="FZ33" s="78">
        <f>Grupo!FZ33</f>
        <v>2</v>
      </c>
      <c r="GA33" s="78">
        <f>Grupo!GA33</f>
        <v>4</v>
      </c>
      <c r="GB33" s="78">
        <f>Grupo!GB33</f>
        <v>1</v>
      </c>
      <c r="GC33" s="78">
        <f>Grupo!GC33</f>
        <v>2</v>
      </c>
      <c r="GD33" s="78">
        <f>Grupo!GD33</f>
        <v>1</v>
      </c>
      <c r="GE33" s="78">
        <f>Grupo!GE33</f>
        <v>1</v>
      </c>
      <c r="GF33" s="78">
        <f>Grupo!GF33</f>
        <v>3</v>
      </c>
      <c r="GG33" s="78">
        <f>Grupo!GG33</f>
        <v>2</v>
      </c>
      <c r="GH33" s="78">
        <f>Grupo!GH33</f>
        <v>0</v>
      </c>
      <c r="GI33" s="78">
        <f>Grupo!GI33</f>
        <v>1</v>
      </c>
      <c r="GJ33" s="78">
        <f>Grupo!GJ33</f>
        <v>2</v>
      </c>
      <c r="GK33" s="78">
        <f>Grupo!GK33</f>
        <v>1</v>
      </c>
      <c r="GL33" s="78">
        <f>Grupo!GL33</f>
        <v>1</v>
      </c>
      <c r="GM33" s="78">
        <f>Grupo!GM33</f>
        <v>1</v>
      </c>
      <c r="GN33" s="78">
        <f>Grupo!GN33</f>
        <v>1</v>
      </c>
      <c r="GO33" s="78">
        <f>Grupo!GO33</f>
        <v>1</v>
      </c>
      <c r="GP33" s="78">
        <f>Grupo!GP33</f>
        <v>3</v>
      </c>
      <c r="GQ33" s="78">
        <f>Grupo!GQ33</f>
        <v>1</v>
      </c>
      <c r="GR33" s="79">
        <f>Grupo!GR33</f>
        <v>1</v>
      </c>
      <c r="GS33" s="79">
        <f>Grupo!GS33</f>
        <v>4</v>
      </c>
      <c r="GT33" s="79" t="str">
        <f>Grupo!GT33</f>
        <v/>
      </c>
      <c r="GU33" s="79">
        <f>Grupo!GU33</f>
        <v>2</v>
      </c>
      <c r="GV33" s="79">
        <f>Grupo!GV33</f>
        <v>0</v>
      </c>
      <c r="GW33" s="79" t="str">
        <f>Grupo!GW33</f>
        <v/>
      </c>
      <c r="GX33" s="76">
        <f>Grupo!GX33</f>
        <v>2</v>
      </c>
      <c r="GY33" s="76">
        <f>Grupo!GY33</f>
        <v>1</v>
      </c>
      <c r="GZ33" s="76" t="str">
        <f>Grupo!GZ33</f>
        <v/>
      </c>
      <c r="HA33" s="76">
        <f>Grupo!HA33</f>
        <v>1</v>
      </c>
      <c r="HB33" s="76">
        <f>Grupo!HB33</f>
        <v>5</v>
      </c>
      <c r="HC33" s="76" t="str">
        <f>Grupo!HC33</f>
        <v/>
      </c>
      <c r="HD33" s="76">
        <f>Grupo!HD33</f>
        <v>2</v>
      </c>
      <c r="HE33" s="76">
        <f>Grupo!HE33</f>
        <v>2</v>
      </c>
      <c r="HF33" s="76" t="str">
        <f>Grupo!HF33</f>
        <v/>
      </c>
      <c r="HG33" s="76">
        <f>Grupo!HG33</f>
        <v>1</v>
      </c>
      <c r="HH33" s="76">
        <f>Grupo!HH33</f>
        <v>2</v>
      </c>
      <c r="HI33" s="76" t="str">
        <f>Grupo!HI33</f>
        <v/>
      </c>
      <c r="HJ33" s="32">
        <f>Grupo!HJ33</f>
        <v>39</v>
      </c>
      <c r="HK33" s="25" t="s">
        <v>62</v>
      </c>
    </row>
    <row r="34" spans="1:219" ht="20.25" customHeight="1" thickBot="1" x14ac:dyDescent="0.35">
      <c r="A34" s="34" t="str">
        <f>Grupo!A34</f>
        <v>Marilyn</v>
      </c>
      <c r="B34" s="28">
        <f>Grupo!B34</f>
        <v>2</v>
      </c>
      <c r="C34" s="28">
        <f>Grupo!C34</f>
        <v>0</v>
      </c>
      <c r="D34" s="28">
        <f>Grupo!D34</f>
        <v>3</v>
      </c>
      <c r="E34" s="28">
        <f>Grupo!E34</f>
        <v>2</v>
      </c>
      <c r="F34" s="28">
        <f>Grupo!F34</f>
        <v>1</v>
      </c>
      <c r="G34" s="28">
        <f>Grupo!G34</f>
        <v>3</v>
      </c>
      <c r="H34" s="28">
        <f>Grupo!H34</f>
        <v>3</v>
      </c>
      <c r="I34" s="28">
        <f>Grupo!I34</f>
        <v>0</v>
      </c>
      <c r="J34" s="28">
        <f>Grupo!J34</f>
        <v>0</v>
      </c>
      <c r="K34" s="28">
        <f>Grupo!K34</f>
        <v>2</v>
      </c>
      <c r="L34" s="28">
        <f>Grupo!L34</f>
        <v>0</v>
      </c>
      <c r="M34" s="28">
        <f>Grupo!M34</f>
        <v>1</v>
      </c>
      <c r="N34" s="28">
        <f>Grupo!N34</f>
        <v>0</v>
      </c>
      <c r="O34" s="28">
        <f>Grupo!O34</f>
        <v>2</v>
      </c>
      <c r="P34" s="28">
        <f>Grupo!P34</f>
        <v>1</v>
      </c>
      <c r="Q34" s="28">
        <f>Grupo!Q34</f>
        <v>1</v>
      </c>
      <c r="R34" s="28">
        <f>Grupo!R34</f>
        <v>1</v>
      </c>
      <c r="S34" s="28">
        <f>Grupo!S34</f>
        <v>0</v>
      </c>
      <c r="T34" s="28">
        <f>Grupo!T34</f>
        <v>1</v>
      </c>
      <c r="U34" s="28">
        <f>Grupo!U34</f>
        <v>1</v>
      </c>
      <c r="V34" s="28">
        <f>Grupo!V34</f>
        <v>3</v>
      </c>
      <c r="W34" s="28">
        <f>Grupo!W34</f>
        <v>1</v>
      </c>
      <c r="X34" s="28">
        <f>Grupo!X34</f>
        <v>2</v>
      </c>
      <c r="Y34" s="28">
        <f>Grupo!Y34</f>
        <v>0</v>
      </c>
      <c r="Z34" s="28">
        <f>Grupo!Z34</f>
        <v>3</v>
      </c>
      <c r="AA34" s="28">
        <f>Grupo!AA34</f>
        <v>0</v>
      </c>
      <c r="AB34" s="28">
        <f>Grupo!AB34</f>
        <v>1</v>
      </c>
      <c r="AC34" s="28">
        <f>Grupo!AC34</f>
        <v>2</v>
      </c>
      <c r="AD34" s="28">
        <f>Grupo!AD34</f>
        <v>1</v>
      </c>
      <c r="AE34" s="28">
        <f>Grupo!AE34</f>
        <v>1</v>
      </c>
      <c r="AF34" s="28">
        <f>Grupo!AF34</f>
        <v>2</v>
      </c>
      <c r="AG34" s="28">
        <f>Grupo!AG34</f>
        <v>2</v>
      </c>
      <c r="AH34" s="28">
        <f>Grupo!AH34</f>
        <v>3</v>
      </c>
      <c r="AI34" s="28">
        <f>Grupo!AI34</f>
        <v>3</v>
      </c>
      <c r="AJ34" s="28">
        <f>Grupo!AJ34</f>
        <v>1</v>
      </c>
      <c r="AK34" s="28">
        <f>Grupo!AK34</f>
        <v>1</v>
      </c>
      <c r="AL34" s="28">
        <f>Grupo!AL34</f>
        <v>1</v>
      </c>
      <c r="AM34" s="28">
        <f>Grupo!AM34</f>
        <v>2</v>
      </c>
      <c r="AN34" s="28">
        <f>Grupo!AN34</f>
        <v>0</v>
      </c>
      <c r="AO34" s="28">
        <f>Grupo!AO34</f>
        <v>3</v>
      </c>
      <c r="AP34" s="28">
        <f>Grupo!AP34</f>
        <v>0</v>
      </c>
      <c r="AQ34" s="28">
        <f>Grupo!AQ34</f>
        <v>0</v>
      </c>
      <c r="AR34" s="28">
        <f>Grupo!AR34</f>
        <v>1</v>
      </c>
      <c r="AS34" s="28">
        <f>Grupo!AS34</f>
        <v>1</v>
      </c>
      <c r="AT34" s="28">
        <f>Grupo!AT34</f>
        <v>1</v>
      </c>
      <c r="AU34" s="28">
        <f>Grupo!AU34</f>
        <v>2</v>
      </c>
      <c r="AV34" s="28">
        <f>Grupo!AV34</f>
        <v>1</v>
      </c>
      <c r="AW34" s="28">
        <f>Grupo!AW34</f>
        <v>0</v>
      </c>
      <c r="AX34" s="28">
        <f>Grupo!AX34</f>
        <v>2</v>
      </c>
      <c r="AY34" s="28">
        <f>Grupo!AY34</f>
        <v>1</v>
      </c>
      <c r="AZ34" s="28">
        <f>Grupo!AZ34</f>
        <v>1</v>
      </c>
      <c r="BA34" s="28">
        <f>Grupo!BA34</f>
        <v>0</v>
      </c>
      <c r="BB34" s="28">
        <f>Grupo!BB34</f>
        <v>2</v>
      </c>
      <c r="BC34" s="28">
        <f>Grupo!BC34</f>
        <v>1</v>
      </c>
      <c r="BD34" s="28">
        <f>Grupo!BD34</f>
        <v>2</v>
      </c>
      <c r="BE34" s="28">
        <f>Grupo!BE34</f>
        <v>0</v>
      </c>
      <c r="BF34" s="28">
        <f>Grupo!BF34</f>
        <v>1</v>
      </c>
      <c r="BG34" s="28">
        <f>Grupo!BG34</f>
        <v>1</v>
      </c>
      <c r="BH34" s="28">
        <f>Grupo!BH34</f>
        <v>1</v>
      </c>
      <c r="BI34" s="28">
        <f>Grupo!BI34</f>
        <v>0</v>
      </c>
      <c r="BJ34" s="28">
        <f>Grupo!BJ34</f>
        <v>1</v>
      </c>
      <c r="BK34" s="28">
        <f>Grupo!BK34</f>
        <v>2</v>
      </c>
      <c r="BL34" s="28">
        <f>Grupo!BL34</f>
        <v>0</v>
      </c>
      <c r="BM34" s="28">
        <f>Grupo!BM34</f>
        <v>2</v>
      </c>
      <c r="BN34" s="28">
        <f>Grupo!BN34</f>
        <v>1</v>
      </c>
      <c r="BO34" s="28">
        <f>Grupo!BO34</f>
        <v>1</v>
      </c>
      <c r="BP34" s="28">
        <f>Grupo!BP34</f>
        <v>2</v>
      </c>
      <c r="BQ34" s="28">
        <f>Grupo!BQ34</f>
        <v>0</v>
      </c>
      <c r="BR34" s="28">
        <f>Grupo!BR34</f>
        <v>0</v>
      </c>
      <c r="BS34" s="28">
        <f>Grupo!BS34</f>
        <v>0</v>
      </c>
      <c r="BT34" s="28">
        <f>Grupo!BT34</f>
        <v>2</v>
      </c>
      <c r="BU34" s="28">
        <f>Grupo!BU34</f>
        <v>1</v>
      </c>
      <c r="BV34" s="28">
        <f>Grupo!BV34</f>
        <v>3</v>
      </c>
      <c r="BW34" s="28">
        <f>Grupo!BW34</f>
        <v>1</v>
      </c>
      <c r="BX34" s="28">
        <f>Grupo!BX34</f>
        <v>0</v>
      </c>
      <c r="BY34" s="28">
        <f>Grupo!BY34</f>
        <v>4</v>
      </c>
      <c r="BZ34" s="28">
        <f>Grupo!BZ34</f>
        <v>1</v>
      </c>
      <c r="CA34" s="28">
        <f>Grupo!CA34</f>
        <v>3</v>
      </c>
      <c r="CB34" s="28">
        <f>Grupo!CB34</f>
        <v>3</v>
      </c>
      <c r="CC34" s="28">
        <f>Grupo!CC34</f>
        <v>0</v>
      </c>
      <c r="CD34" s="28">
        <f>Grupo!CD34</f>
        <v>1</v>
      </c>
      <c r="CE34" s="28">
        <f>Grupo!CE34</f>
        <v>3</v>
      </c>
      <c r="CF34" s="28">
        <f>Grupo!CF34</f>
        <v>2</v>
      </c>
      <c r="CG34" s="28">
        <f>Grupo!CG34</f>
        <v>1</v>
      </c>
      <c r="CH34" s="28">
        <f>Grupo!CH34</f>
        <v>5</v>
      </c>
      <c r="CI34" s="28">
        <f>Grupo!CI34</f>
        <v>0</v>
      </c>
      <c r="CJ34" s="28">
        <f>Grupo!CJ34</f>
        <v>1</v>
      </c>
      <c r="CK34" s="28">
        <f>Grupo!CK34</f>
        <v>2</v>
      </c>
      <c r="CL34" s="28">
        <f>Grupo!CL34</f>
        <v>2</v>
      </c>
      <c r="CM34" s="28">
        <f>Grupo!CM34</f>
        <v>0</v>
      </c>
      <c r="CN34" s="28">
        <f>Grupo!CN34</f>
        <v>1</v>
      </c>
      <c r="CO34" s="28">
        <f>Grupo!CO34</f>
        <v>2</v>
      </c>
      <c r="CP34" s="28">
        <f>Grupo!CP34</f>
        <v>1</v>
      </c>
      <c r="CQ34" s="28">
        <f>Grupo!CQ34</f>
        <v>2</v>
      </c>
      <c r="CR34" s="28">
        <f>Grupo!CR34</f>
        <v>1</v>
      </c>
      <c r="CS34" s="28">
        <f>Grupo!CS34</f>
        <v>1</v>
      </c>
      <c r="CT34" s="28">
        <f>Grupo!CT34</f>
        <v>3</v>
      </c>
      <c r="CU34" s="28">
        <f>Grupo!CU34</f>
        <v>1</v>
      </c>
      <c r="CV34" s="28">
        <f>Grupo!CV34</f>
        <v>1</v>
      </c>
      <c r="CW34" s="28">
        <f>Grupo!CW34</f>
        <v>0</v>
      </c>
      <c r="CX34" s="28">
        <f>Grupo!CX34</f>
        <v>2</v>
      </c>
      <c r="CY34" s="28">
        <f>Grupo!CY34</f>
        <v>0</v>
      </c>
      <c r="CZ34" s="28">
        <f>Grupo!CZ34</f>
        <v>2</v>
      </c>
      <c r="DA34" s="28">
        <f>Grupo!DA34</f>
        <v>2</v>
      </c>
      <c r="DB34" s="28">
        <f>Grupo!DB34</f>
        <v>0</v>
      </c>
      <c r="DC34" s="28">
        <f>Grupo!DC34</f>
        <v>1</v>
      </c>
      <c r="DD34" s="28">
        <f>Grupo!DD34</f>
        <v>3</v>
      </c>
      <c r="DE34" s="28">
        <f>Grupo!DE34</f>
        <v>1</v>
      </c>
      <c r="DF34" s="28">
        <f>Grupo!DF34</f>
        <v>2</v>
      </c>
      <c r="DG34" s="28">
        <f>Grupo!DG34</f>
        <v>0</v>
      </c>
      <c r="DH34" s="28">
        <f>Grupo!DH34</f>
        <v>0</v>
      </c>
      <c r="DI34" s="28">
        <f>Grupo!DI34</f>
        <v>4</v>
      </c>
      <c r="DJ34" s="28">
        <f>Grupo!DJ34</f>
        <v>1</v>
      </c>
      <c r="DK34" s="28">
        <f>Grupo!DK34</f>
        <v>1</v>
      </c>
      <c r="DL34" s="28">
        <f>Grupo!DL34</f>
        <v>1</v>
      </c>
      <c r="DM34" s="28">
        <f>Grupo!DM34</f>
        <v>1</v>
      </c>
      <c r="DN34" s="28">
        <f>Grupo!DN34</f>
        <v>1</v>
      </c>
      <c r="DO34" s="28">
        <f>Grupo!DO34</f>
        <v>2</v>
      </c>
      <c r="DP34" s="28">
        <f>Grupo!DP34</f>
        <v>0</v>
      </c>
      <c r="DQ34" s="28">
        <f>Grupo!DQ34</f>
        <v>0</v>
      </c>
      <c r="DR34" s="28">
        <f>Grupo!DR34</f>
        <v>2</v>
      </c>
      <c r="DS34" s="28">
        <f>Grupo!DS34</f>
        <v>2</v>
      </c>
      <c r="DT34" s="28">
        <f>Grupo!DT34</f>
        <v>0</v>
      </c>
      <c r="DU34" s="28">
        <f>Grupo!DU34</f>
        <v>3</v>
      </c>
      <c r="DV34" s="28">
        <f>Grupo!DV34</f>
        <v>1</v>
      </c>
      <c r="DW34" s="28">
        <f>Grupo!DW34</f>
        <v>1</v>
      </c>
      <c r="DX34" s="28">
        <f>Grupo!DX34</f>
        <v>2</v>
      </c>
      <c r="DY34" s="28">
        <f>Grupo!DY34</f>
        <v>1</v>
      </c>
      <c r="DZ34" s="28">
        <f>Grupo!DZ34</f>
        <v>1</v>
      </c>
      <c r="EA34" s="70">
        <f>Grupo!EA34</f>
        <v>1</v>
      </c>
      <c r="EB34" s="70">
        <f>Grupo!EB34</f>
        <v>1</v>
      </c>
      <c r="EC34" s="70">
        <f>Grupo!EC34</f>
        <v>0</v>
      </c>
      <c r="ED34" s="70">
        <f>Grupo!ED34</f>
        <v>4</v>
      </c>
      <c r="EE34" s="70">
        <f>Grupo!EE34</f>
        <v>0</v>
      </c>
      <c r="EF34" s="70">
        <f>Grupo!EF34</f>
        <v>0</v>
      </c>
      <c r="EG34" s="70">
        <f>Grupo!EG34</f>
        <v>1</v>
      </c>
      <c r="EH34" s="70">
        <f>Grupo!EH34</f>
        <v>1</v>
      </c>
      <c r="EI34" s="70">
        <f>Grupo!EI34</f>
        <v>0</v>
      </c>
      <c r="EJ34" s="70">
        <f>Grupo!EJ34</f>
        <v>3</v>
      </c>
      <c r="EK34" s="70">
        <f>Grupo!EK34</f>
        <v>1</v>
      </c>
      <c r="EL34" s="70">
        <f>Grupo!EL34</f>
        <v>1</v>
      </c>
      <c r="EM34" s="70">
        <f>Grupo!EM34</f>
        <v>3</v>
      </c>
      <c r="EN34" s="70">
        <f>Grupo!EN34</f>
        <v>1</v>
      </c>
      <c r="EO34" s="70">
        <f>Grupo!EO34</f>
        <v>1</v>
      </c>
      <c r="EP34" s="78">
        <f>Grupo!EP34</f>
        <v>1</v>
      </c>
      <c r="EQ34" s="78">
        <f>Grupo!EQ34</f>
        <v>2</v>
      </c>
      <c r="ER34" s="78">
        <f>Grupo!ER34</f>
        <v>1</v>
      </c>
      <c r="ES34" s="78">
        <f>Grupo!ES34</f>
        <v>3</v>
      </c>
      <c r="ET34" s="78">
        <f>Grupo!ET34</f>
        <v>1</v>
      </c>
      <c r="EU34" s="78">
        <f>Grupo!EU34</f>
        <v>1</v>
      </c>
      <c r="EV34" s="78">
        <f>Grupo!EV34</f>
        <v>2</v>
      </c>
      <c r="EW34" s="78">
        <f>Grupo!EW34</f>
        <v>2</v>
      </c>
      <c r="EX34" s="78">
        <f>Grupo!EX34</f>
        <v>0</v>
      </c>
      <c r="EY34" s="78">
        <f>Grupo!EY34</f>
        <v>1</v>
      </c>
      <c r="EZ34" s="78">
        <f>Grupo!EZ34</f>
        <v>1</v>
      </c>
      <c r="FA34" s="78">
        <f>Grupo!FA34</f>
        <v>0</v>
      </c>
      <c r="FB34" s="78">
        <f>Grupo!FB34</f>
        <v>0</v>
      </c>
      <c r="FC34" s="78">
        <f>Grupo!FC34</f>
        <v>1</v>
      </c>
      <c r="FD34" s="78">
        <f>Grupo!FD34</f>
        <v>1</v>
      </c>
      <c r="FE34" s="78">
        <f>Grupo!FE34</f>
        <v>0</v>
      </c>
      <c r="FF34" s="78">
        <f>Grupo!FF34</f>
        <v>2</v>
      </c>
      <c r="FG34" s="78">
        <f>Grupo!FG34</f>
        <v>0</v>
      </c>
      <c r="FH34" s="78">
        <f>Grupo!FH34</f>
        <v>1</v>
      </c>
      <c r="FI34" s="78">
        <f>Grupo!FI34</f>
        <v>1</v>
      </c>
      <c r="FJ34" s="78">
        <f>Grupo!FJ34</f>
        <v>0</v>
      </c>
      <c r="FK34" s="78">
        <f>Grupo!FK34</f>
        <v>0</v>
      </c>
      <c r="FL34" s="78">
        <f>Grupo!FL34</f>
        <v>5</v>
      </c>
      <c r="FM34" s="78">
        <f>Grupo!FM34</f>
        <v>0</v>
      </c>
      <c r="FN34" s="78">
        <f>Grupo!FN34</f>
        <v>2</v>
      </c>
      <c r="FO34" s="78">
        <f>Grupo!FO34</f>
        <v>1</v>
      </c>
      <c r="FP34" s="78">
        <f>Grupo!FP34</f>
        <v>0</v>
      </c>
      <c r="FQ34" s="78">
        <f>Grupo!FQ34</f>
        <v>1</v>
      </c>
      <c r="FR34" s="78">
        <f>Grupo!FR34</f>
        <v>1</v>
      </c>
      <c r="FS34" s="78">
        <f>Grupo!FS34</f>
        <v>0</v>
      </c>
      <c r="FT34" s="78">
        <f>Grupo!FT34</f>
        <v>1</v>
      </c>
      <c r="FU34" s="78">
        <f>Grupo!FU34</f>
        <v>2</v>
      </c>
      <c r="FV34" s="78">
        <f>Grupo!FV34</f>
        <v>0</v>
      </c>
      <c r="FW34" s="78">
        <f>Grupo!FW34</f>
        <v>2</v>
      </c>
      <c r="FX34" s="78">
        <f>Grupo!FX34</f>
        <v>2</v>
      </c>
      <c r="FY34" s="78">
        <f>Grupo!FY34</f>
        <v>1</v>
      </c>
      <c r="FZ34" s="78">
        <f>Grupo!FZ34</f>
        <v>0</v>
      </c>
      <c r="GA34" s="78">
        <f>Grupo!GA34</f>
        <v>2</v>
      </c>
      <c r="GB34" s="78">
        <f>Grupo!GB34</f>
        <v>1</v>
      </c>
      <c r="GC34" s="78">
        <f>Grupo!GC34</f>
        <v>1</v>
      </c>
      <c r="GD34" s="78">
        <f>Grupo!GD34</f>
        <v>0</v>
      </c>
      <c r="GE34" s="78">
        <f>Grupo!GE34</f>
        <v>1</v>
      </c>
      <c r="GF34" s="78">
        <f>Grupo!GF34</f>
        <v>1</v>
      </c>
      <c r="GG34" s="78">
        <f>Grupo!GG34</f>
        <v>1</v>
      </c>
      <c r="GH34" s="78">
        <f>Grupo!GH34</f>
        <v>3</v>
      </c>
      <c r="GI34" s="78">
        <f>Grupo!GI34</f>
        <v>0</v>
      </c>
      <c r="GJ34" s="78">
        <f>Grupo!GJ34</f>
        <v>0</v>
      </c>
      <c r="GK34" s="78">
        <f>Grupo!GK34</f>
        <v>0</v>
      </c>
      <c r="GL34" s="78">
        <f>Grupo!GL34</f>
        <v>0</v>
      </c>
      <c r="GM34" s="78">
        <f>Grupo!GM34</f>
        <v>1</v>
      </c>
      <c r="GN34" s="78">
        <f>Grupo!GN34</f>
        <v>0</v>
      </c>
      <c r="GO34" s="78">
        <f>Grupo!GO34</f>
        <v>1</v>
      </c>
      <c r="GP34" s="78">
        <f>Grupo!GP34</f>
        <v>2</v>
      </c>
      <c r="GQ34" s="78">
        <f>Grupo!GQ34</f>
        <v>1</v>
      </c>
      <c r="GR34" s="79">
        <f>Grupo!GR34</f>
        <v>0</v>
      </c>
      <c r="GS34" s="79">
        <f>Grupo!GS34</f>
        <v>3</v>
      </c>
      <c r="GT34" s="79" t="str">
        <f>Grupo!GT34</f>
        <v/>
      </c>
      <c r="GU34" s="79">
        <f>Grupo!GU34</f>
        <v>3</v>
      </c>
      <c r="GV34" s="79">
        <f>Grupo!GV34</f>
        <v>0</v>
      </c>
      <c r="GW34" s="79" t="str">
        <f>Grupo!GW34</f>
        <v/>
      </c>
      <c r="GX34" s="76">
        <f>Grupo!GX34</f>
        <v>2</v>
      </c>
      <c r="GY34" s="76">
        <f>Grupo!GY34</f>
        <v>2</v>
      </c>
      <c r="GZ34" s="76" t="str">
        <f>Grupo!GZ34</f>
        <v/>
      </c>
      <c r="HA34" s="76">
        <f>Grupo!HA34</f>
        <v>0</v>
      </c>
      <c r="HB34" s="76">
        <f>Grupo!HB34</f>
        <v>1</v>
      </c>
      <c r="HC34" s="76" t="str">
        <f>Grupo!HC34</f>
        <v/>
      </c>
      <c r="HD34" s="76">
        <f>Grupo!HD34</f>
        <v>2</v>
      </c>
      <c r="HE34" s="76">
        <f>Grupo!HE34</f>
        <v>3</v>
      </c>
      <c r="HF34" s="76" t="str">
        <f>Grupo!HF34</f>
        <v/>
      </c>
      <c r="HG34" s="76">
        <f>Grupo!HG34</f>
        <v>1</v>
      </c>
      <c r="HH34" s="76">
        <f>Grupo!HH34</f>
        <v>1</v>
      </c>
      <c r="HI34" s="76" t="str">
        <f>Grupo!HI34</f>
        <v/>
      </c>
      <c r="HJ34" s="32">
        <f>Grupo!HJ34</f>
        <v>49</v>
      </c>
      <c r="HK34" s="25" t="s">
        <v>18</v>
      </c>
    </row>
    <row r="35" spans="1:219" ht="20.25" customHeight="1" thickBot="1" x14ac:dyDescent="0.35">
      <c r="A35" s="34" t="str">
        <f>Grupo!A35</f>
        <v>Medica</v>
      </c>
      <c r="B35" s="28">
        <f>Grupo!B35</f>
        <v>2</v>
      </c>
      <c r="C35" s="28">
        <f>Grupo!C35</f>
        <v>1</v>
      </c>
      <c r="D35" s="28">
        <f>Grupo!D35</f>
        <v>1</v>
      </c>
      <c r="E35" s="28">
        <f>Grupo!E35</f>
        <v>1</v>
      </c>
      <c r="F35" s="28">
        <f>Grupo!F35</f>
        <v>1</v>
      </c>
      <c r="G35" s="28">
        <f>Grupo!G35</f>
        <v>0</v>
      </c>
      <c r="H35" s="28">
        <f>Grupo!H35</f>
        <v>1</v>
      </c>
      <c r="I35" s="28">
        <f>Grupo!I35</f>
        <v>1</v>
      </c>
      <c r="J35" s="28">
        <f>Grupo!J35</f>
        <v>3</v>
      </c>
      <c r="K35" s="28">
        <f>Grupo!K35</f>
        <v>1</v>
      </c>
      <c r="L35" s="28">
        <f>Grupo!L35</f>
        <v>0</v>
      </c>
      <c r="M35" s="28">
        <f>Grupo!M35</f>
        <v>1</v>
      </c>
      <c r="N35" s="28">
        <f>Grupo!N35</f>
        <v>0</v>
      </c>
      <c r="O35" s="28">
        <f>Grupo!O35</f>
        <v>3</v>
      </c>
      <c r="P35" s="28">
        <f>Grupo!P35</f>
        <v>1</v>
      </c>
      <c r="Q35" s="28">
        <f>Grupo!Q35</f>
        <v>0</v>
      </c>
      <c r="R35" s="28">
        <f>Grupo!R35</f>
        <v>1</v>
      </c>
      <c r="S35" s="28">
        <f>Grupo!S35</f>
        <v>0</v>
      </c>
      <c r="T35" s="28">
        <f>Grupo!T35</f>
        <v>2</v>
      </c>
      <c r="U35" s="28">
        <f>Grupo!U35</f>
        <v>2</v>
      </c>
      <c r="V35" s="28">
        <f>Grupo!V35</f>
        <v>1</v>
      </c>
      <c r="W35" s="28">
        <f>Grupo!W35</f>
        <v>0</v>
      </c>
      <c r="X35" s="28">
        <f>Grupo!X35</f>
        <v>2</v>
      </c>
      <c r="Y35" s="28">
        <f>Grupo!Y35</f>
        <v>0</v>
      </c>
      <c r="Z35" s="28">
        <f>Grupo!Z35</f>
        <v>1</v>
      </c>
      <c r="AA35" s="28">
        <f>Grupo!AA35</f>
        <v>1</v>
      </c>
      <c r="AB35" s="28">
        <f>Grupo!AB35</f>
        <v>0</v>
      </c>
      <c r="AC35" s="28">
        <f>Grupo!AC35</f>
        <v>3</v>
      </c>
      <c r="AD35" s="28">
        <f>Grupo!AD35</f>
        <v>1</v>
      </c>
      <c r="AE35" s="28">
        <f>Grupo!AE35</f>
        <v>1</v>
      </c>
      <c r="AF35" s="28">
        <f>Grupo!AF35</f>
        <v>2</v>
      </c>
      <c r="AG35" s="28">
        <f>Grupo!AG35</f>
        <v>2</v>
      </c>
      <c r="AH35" s="28">
        <f>Grupo!AH35</f>
        <v>3</v>
      </c>
      <c r="AI35" s="28">
        <f>Grupo!AI35</f>
        <v>2</v>
      </c>
      <c r="AJ35" s="28">
        <f>Grupo!AJ35</f>
        <v>0</v>
      </c>
      <c r="AK35" s="28">
        <f>Grupo!AK35</f>
        <v>1</v>
      </c>
      <c r="AL35" s="28">
        <f>Grupo!AL35</f>
        <v>0</v>
      </c>
      <c r="AM35" s="28">
        <f>Grupo!AM35</f>
        <v>1</v>
      </c>
      <c r="AN35" s="28">
        <f>Grupo!AN35</f>
        <v>0</v>
      </c>
      <c r="AO35" s="28">
        <f>Grupo!AO35</f>
        <v>4</v>
      </c>
      <c r="AP35" s="28">
        <f>Grupo!AP35</f>
        <v>0</v>
      </c>
      <c r="AQ35" s="28">
        <f>Grupo!AQ35</f>
        <v>0</v>
      </c>
      <c r="AR35" s="28">
        <f>Grupo!AR35</f>
        <v>1</v>
      </c>
      <c r="AS35" s="28">
        <f>Grupo!AS35</f>
        <v>1</v>
      </c>
      <c r="AT35" s="28">
        <f>Grupo!AT35</f>
        <v>1</v>
      </c>
      <c r="AU35" s="28">
        <f>Grupo!AU35</f>
        <v>2</v>
      </c>
      <c r="AV35" s="28">
        <f>Grupo!AV35</f>
        <v>2</v>
      </c>
      <c r="AW35" s="28">
        <f>Grupo!AW35</f>
        <v>1</v>
      </c>
      <c r="AX35" s="28">
        <f>Grupo!AX35</f>
        <v>3</v>
      </c>
      <c r="AY35" s="28">
        <f>Grupo!AY35</f>
        <v>1</v>
      </c>
      <c r="AZ35" s="28">
        <f>Grupo!AZ35</f>
        <v>3</v>
      </c>
      <c r="BA35" s="28">
        <f>Grupo!BA35</f>
        <v>0</v>
      </c>
      <c r="BB35" s="28">
        <f>Grupo!BB35</f>
        <v>5</v>
      </c>
      <c r="BC35" s="28">
        <f>Grupo!BC35</f>
        <v>1</v>
      </c>
      <c r="BD35" s="28">
        <f>Grupo!BD35</f>
        <v>2</v>
      </c>
      <c r="BE35" s="28">
        <f>Grupo!BE35</f>
        <v>0</v>
      </c>
      <c r="BF35" s="28">
        <f>Grupo!BF35</f>
        <v>1</v>
      </c>
      <c r="BG35" s="28">
        <f>Grupo!BG35</f>
        <v>2</v>
      </c>
      <c r="BH35" s="28">
        <f>Grupo!BH35</f>
        <v>0</v>
      </c>
      <c r="BI35" s="28">
        <f>Grupo!BI35</f>
        <v>1</v>
      </c>
      <c r="BJ35" s="28">
        <f>Grupo!BJ35</f>
        <v>1</v>
      </c>
      <c r="BK35" s="28">
        <f>Grupo!BK35</f>
        <v>1</v>
      </c>
      <c r="BL35" s="28">
        <f>Grupo!BL35</f>
        <v>0</v>
      </c>
      <c r="BM35" s="28">
        <f>Grupo!BM35</f>
        <v>2</v>
      </c>
      <c r="BN35" s="28">
        <f>Grupo!BN35</f>
        <v>2</v>
      </c>
      <c r="BO35" s="28">
        <f>Grupo!BO35</f>
        <v>0</v>
      </c>
      <c r="BP35" s="28">
        <f>Grupo!BP35</f>
        <v>3</v>
      </c>
      <c r="BQ35" s="28">
        <f>Grupo!BQ35</f>
        <v>0</v>
      </c>
      <c r="BR35" s="28">
        <f>Grupo!BR35</f>
        <v>0</v>
      </c>
      <c r="BS35" s="28">
        <f>Grupo!BS35</f>
        <v>0</v>
      </c>
      <c r="BT35" s="28">
        <f>Grupo!BT35</f>
        <v>2</v>
      </c>
      <c r="BU35" s="28">
        <f>Grupo!BU35</f>
        <v>1</v>
      </c>
      <c r="BV35" s="28">
        <f>Grupo!BV35</f>
        <v>1</v>
      </c>
      <c r="BW35" s="28">
        <f>Grupo!BW35</f>
        <v>1</v>
      </c>
      <c r="BX35" s="28">
        <f>Grupo!BX35</f>
        <v>3</v>
      </c>
      <c r="BY35" s="28">
        <f>Grupo!BY35</f>
        <v>2</v>
      </c>
      <c r="BZ35" s="28">
        <f>Grupo!BZ35</f>
        <v>0</v>
      </c>
      <c r="CA35" s="28">
        <f>Grupo!CA35</f>
        <v>1</v>
      </c>
      <c r="CB35" s="28">
        <f>Grupo!CB35</f>
        <v>2</v>
      </c>
      <c r="CC35" s="28">
        <f>Grupo!CC35</f>
        <v>0</v>
      </c>
      <c r="CD35" s="28">
        <f>Grupo!CD35</f>
        <v>1</v>
      </c>
      <c r="CE35" s="28">
        <f>Grupo!CE35</f>
        <v>2</v>
      </c>
      <c r="CF35" s="28">
        <f>Grupo!CF35</f>
        <v>2</v>
      </c>
      <c r="CG35" s="28">
        <f>Grupo!CG35</f>
        <v>0</v>
      </c>
      <c r="CH35" s="28">
        <f>Grupo!CH35</f>
        <v>3</v>
      </c>
      <c r="CI35" s="28">
        <f>Grupo!CI35</f>
        <v>1</v>
      </c>
      <c r="CJ35" s="28">
        <f>Grupo!CJ35</f>
        <v>1</v>
      </c>
      <c r="CK35" s="28">
        <f>Grupo!CK35</f>
        <v>0</v>
      </c>
      <c r="CL35" s="28">
        <f>Grupo!CL35</f>
        <v>1</v>
      </c>
      <c r="CM35" s="28">
        <f>Grupo!CM35</f>
        <v>3</v>
      </c>
      <c r="CN35" s="28">
        <f>Grupo!CN35</f>
        <v>1</v>
      </c>
      <c r="CO35" s="28">
        <f>Grupo!CO35</f>
        <v>1</v>
      </c>
      <c r="CP35" s="28">
        <f>Grupo!CP35</f>
        <v>0</v>
      </c>
      <c r="CQ35" s="28">
        <f>Grupo!CQ35</f>
        <v>1</v>
      </c>
      <c r="CR35" s="28">
        <f>Grupo!CR35</f>
        <v>0</v>
      </c>
      <c r="CS35" s="28">
        <f>Grupo!CS35</f>
        <v>1</v>
      </c>
      <c r="CT35" s="28">
        <f>Grupo!CT35</f>
        <v>2</v>
      </c>
      <c r="CU35" s="28">
        <f>Grupo!CU35</f>
        <v>1</v>
      </c>
      <c r="CV35" s="28">
        <f>Grupo!CV35</f>
        <v>3</v>
      </c>
      <c r="CW35" s="28">
        <f>Grupo!CW35</f>
        <v>2</v>
      </c>
      <c r="CX35" s="28">
        <f>Grupo!CX35</f>
        <v>1</v>
      </c>
      <c r="CY35" s="28">
        <f>Grupo!CY35</f>
        <v>0</v>
      </c>
      <c r="CZ35" s="28">
        <f>Grupo!CZ35</f>
        <v>2</v>
      </c>
      <c r="DA35" s="28">
        <f>Grupo!DA35</f>
        <v>1</v>
      </c>
      <c r="DB35" s="28">
        <f>Grupo!DB35</f>
        <v>1</v>
      </c>
      <c r="DC35" s="28">
        <f>Grupo!DC35</f>
        <v>0</v>
      </c>
      <c r="DD35" s="28">
        <f>Grupo!DD35</f>
        <v>1</v>
      </c>
      <c r="DE35" s="28">
        <f>Grupo!DE35</f>
        <v>1</v>
      </c>
      <c r="DF35" s="28">
        <f>Grupo!DF35</f>
        <v>2</v>
      </c>
      <c r="DG35" s="28">
        <f>Grupo!DG35</f>
        <v>0</v>
      </c>
      <c r="DH35" s="28">
        <f>Grupo!DH35</f>
        <v>0</v>
      </c>
      <c r="DI35" s="28">
        <f>Grupo!DI35</f>
        <v>3</v>
      </c>
      <c r="DJ35" s="28">
        <f>Grupo!DJ35</f>
        <v>0</v>
      </c>
      <c r="DK35" s="28">
        <f>Grupo!DK35</f>
        <v>1</v>
      </c>
      <c r="DL35" s="28">
        <f>Grupo!DL35</f>
        <v>3</v>
      </c>
      <c r="DM35" s="28">
        <f>Grupo!DM35</f>
        <v>0</v>
      </c>
      <c r="DN35" s="28">
        <f>Grupo!DN35</f>
        <v>0</v>
      </c>
      <c r="DO35" s="28">
        <f>Grupo!DO35</f>
        <v>0</v>
      </c>
      <c r="DP35" s="28">
        <f>Grupo!DP35</f>
        <v>2</v>
      </c>
      <c r="DQ35" s="28">
        <f>Grupo!DQ35</f>
        <v>1</v>
      </c>
      <c r="DR35" s="28">
        <f>Grupo!DR35</f>
        <v>3</v>
      </c>
      <c r="DS35" s="28">
        <f>Grupo!DS35</f>
        <v>1</v>
      </c>
      <c r="DT35" s="28">
        <f>Grupo!DT35</f>
        <v>1</v>
      </c>
      <c r="DU35" s="28">
        <f>Grupo!DU35</f>
        <v>3</v>
      </c>
      <c r="DV35" s="28">
        <f>Grupo!DV35</f>
        <v>0</v>
      </c>
      <c r="DW35" s="28">
        <f>Grupo!DW35</f>
        <v>3</v>
      </c>
      <c r="DX35" s="28">
        <f>Grupo!DX35</f>
        <v>2</v>
      </c>
      <c r="DY35" s="28">
        <f>Grupo!DY35</f>
        <v>0</v>
      </c>
      <c r="DZ35" s="28">
        <f>Grupo!DZ35</f>
        <v>3</v>
      </c>
      <c r="EA35" s="70">
        <f>Grupo!EA35</f>
        <v>1</v>
      </c>
      <c r="EB35" s="70">
        <f>Grupo!EB35</f>
        <v>1</v>
      </c>
      <c r="EC35" s="70">
        <f>Grupo!EC35</f>
        <v>0</v>
      </c>
      <c r="ED35" s="70">
        <f>Grupo!ED35</f>
        <v>1</v>
      </c>
      <c r="EE35" s="70">
        <f>Grupo!EE35</f>
        <v>1</v>
      </c>
      <c r="EF35" s="70">
        <f>Grupo!EF35</f>
        <v>1</v>
      </c>
      <c r="EG35" s="70">
        <f>Grupo!EG35</f>
        <v>1</v>
      </c>
      <c r="EH35" s="70">
        <f>Grupo!EH35</f>
        <v>1</v>
      </c>
      <c r="EI35" s="70">
        <f>Grupo!EI35</f>
        <v>0</v>
      </c>
      <c r="EJ35" s="70">
        <f>Grupo!EJ35</f>
        <v>3</v>
      </c>
      <c r="EK35" s="70">
        <f>Grupo!EK35</f>
        <v>0</v>
      </c>
      <c r="EL35" s="70">
        <f>Grupo!EL35</f>
        <v>1</v>
      </c>
      <c r="EM35" s="70">
        <f>Grupo!EM35</f>
        <v>3</v>
      </c>
      <c r="EN35" s="70">
        <f>Grupo!EN35</f>
        <v>0</v>
      </c>
      <c r="EO35" s="70">
        <f>Grupo!EO35</f>
        <v>1</v>
      </c>
      <c r="EP35" s="78">
        <f>Grupo!EP35</f>
        <v>0</v>
      </c>
      <c r="EQ35" s="78">
        <f>Grupo!EQ35</f>
        <v>2</v>
      </c>
      <c r="ER35" s="78">
        <f>Grupo!ER35</f>
        <v>1</v>
      </c>
      <c r="ES35" s="78">
        <f>Grupo!ES35</f>
        <v>2</v>
      </c>
      <c r="ET35" s="78">
        <f>Grupo!ET35</f>
        <v>0</v>
      </c>
      <c r="EU35" s="78">
        <f>Grupo!EU35</f>
        <v>1</v>
      </c>
      <c r="EV35" s="78">
        <f>Grupo!EV35</f>
        <v>1</v>
      </c>
      <c r="EW35" s="78">
        <f>Grupo!EW35</f>
        <v>1</v>
      </c>
      <c r="EX35" s="78">
        <f>Grupo!EX35</f>
        <v>0</v>
      </c>
      <c r="EY35" s="78">
        <f>Grupo!EY35</f>
        <v>1</v>
      </c>
      <c r="EZ35" s="78">
        <f>Grupo!EZ35</f>
        <v>0</v>
      </c>
      <c r="FA35" s="78">
        <f>Grupo!FA35</f>
        <v>1</v>
      </c>
      <c r="FB35" s="78">
        <f>Grupo!FB35</f>
        <v>0</v>
      </c>
      <c r="FC35" s="78">
        <f>Grupo!FC35</f>
        <v>1</v>
      </c>
      <c r="FD35" s="78">
        <f>Grupo!FD35</f>
        <v>1</v>
      </c>
      <c r="FE35" s="78">
        <f>Grupo!FE35</f>
        <v>2</v>
      </c>
      <c r="FF35" s="78">
        <f>Grupo!FF35</f>
        <v>2</v>
      </c>
      <c r="FG35" s="78">
        <f>Grupo!FG35</f>
        <v>0</v>
      </c>
      <c r="FH35" s="78">
        <f>Grupo!FH35</f>
        <v>1</v>
      </c>
      <c r="FI35" s="78">
        <f>Grupo!FI35</f>
        <v>2</v>
      </c>
      <c r="FJ35" s="78">
        <f>Grupo!FJ35</f>
        <v>1</v>
      </c>
      <c r="FK35" s="78">
        <f>Grupo!FK35</f>
        <v>1</v>
      </c>
      <c r="FL35" s="78">
        <f>Grupo!FL35</f>
        <v>2</v>
      </c>
      <c r="FM35" s="78">
        <f>Grupo!FM35</f>
        <v>0</v>
      </c>
      <c r="FN35" s="78">
        <f>Grupo!FN35</f>
        <v>1</v>
      </c>
      <c r="FO35" s="78">
        <f>Grupo!FO35</f>
        <v>1</v>
      </c>
      <c r="FP35" s="78">
        <f>Grupo!FP35</f>
        <v>3</v>
      </c>
      <c r="FQ35" s="78">
        <f>Grupo!FQ35</f>
        <v>0</v>
      </c>
      <c r="FR35" s="78">
        <f>Grupo!FR35</f>
        <v>2</v>
      </c>
      <c r="FS35" s="78">
        <f>Grupo!FS35</f>
        <v>1</v>
      </c>
      <c r="FT35" s="78">
        <f>Grupo!FT35</f>
        <v>1</v>
      </c>
      <c r="FU35" s="78">
        <f>Grupo!FU35</f>
        <v>1</v>
      </c>
      <c r="FV35" s="78">
        <f>Grupo!FV35</f>
        <v>0</v>
      </c>
      <c r="FW35" s="78">
        <f>Grupo!FW35</f>
        <v>2</v>
      </c>
      <c r="FX35" s="78">
        <f>Grupo!FX35</f>
        <v>0</v>
      </c>
      <c r="FY35" s="78">
        <f>Grupo!FY35</f>
        <v>0</v>
      </c>
      <c r="FZ35" s="78">
        <f>Grupo!FZ35</f>
        <v>3</v>
      </c>
      <c r="GA35" s="78">
        <f>Grupo!GA35</f>
        <v>3</v>
      </c>
      <c r="GB35" s="78">
        <f>Grupo!GB35</f>
        <v>0</v>
      </c>
      <c r="GC35" s="78">
        <f>Grupo!GC35</f>
        <v>1</v>
      </c>
      <c r="GD35" s="78">
        <f>Grupo!GD35</f>
        <v>1</v>
      </c>
      <c r="GE35" s="78">
        <f>Grupo!GE35</f>
        <v>0</v>
      </c>
      <c r="GF35" s="78">
        <f>Grupo!GF35</f>
        <v>2</v>
      </c>
      <c r="GG35" s="78">
        <f>Grupo!GG35</f>
        <v>0</v>
      </c>
      <c r="GH35" s="78">
        <f>Grupo!GH35</f>
        <v>0</v>
      </c>
      <c r="GI35" s="78">
        <f>Grupo!GI35</f>
        <v>0</v>
      </c>
      <c r="GJ35" s="78">
        <f>Grupo!GJ35</f>
        <v>2</v>
      </c>
      <c r="GK35" s="78">
        <f>Grupo!GK35</f>
        <v>1</v>
      </c>
      <c r="GL35" s="78">
        <f>Grupo!GL35</f>
        <v>0</v>
      </c>
      <c r="GM35" s="78">
        <f>Grupo!GM35</f>
        <v>1</v>
      </c>
      <c r="GN35" s="78">
        <f>Grupo!GN35</f>
        <v>0</v>
      </c>
      <c r="GO35" s="78">
        <f>Grupo!GO35</f>
        <v>1</v>
      </c>
      <c r="GP35" s="78">
        <f>Grupo!GP35</f>
        <v>3</v>
      </c>
      <c r="GQ35" s="78">
        <f>Grupo!GQ35</f>
        <v>1</v>
      </c>
      <c r="GR35" s="79">
        <f>Grupo!GR35</f>
        <v>1</v>
      </c>
      <c r="GS35" s="79">
        <f>Grupo!GS35</f>
        <v>3</v>
      </c>
      <c r="GT35" s="79" t="str">
        <f>Grupo!GT35</f>
        <v/>
      </c>
      <c r="GU35" s="79">
        <f>Grupo!GU35</f>
        <v>1</v>
      </c>
      <c r="GV35" s="79">
        <f>Grupo!GV35</f>
        <v>1</v>
      </c>
      <c r="GW35" s="79" t="str">
        <f>Grupo!GW35</f>
        <v/>
      </c>
      <c r="GX35" s="76">
        <f>Grupo!GX35</f>
        <v>0</v>
      </c>
      <c r="GY35" s="76">
        <f>Grupo!GY35</f>
        <v>1</v>
      </c>
      <c r="GZ35" s="76" t="str">
        <f>Grupo!GZ35</f>
        <v/>
      </c>
      <c r="HA35" s="76">
        <f>Grupo!HA35</f>
        <v>0</v>
      </c>
      <c r="HB35" s="76">
        <f>Grupo!HB35</f>
        <v>3</v>
      </c>
      <c r="HC35" s="76" t="str">
        <f>Grupo!HC35</f>
        <v/>
      </c>
      <c r="HD35" s="76">
        <f>Grupo!HD35</f>
        <v>2</v>
      </c>
      <c r="HE35" s="76">
        <f>Grupo!HE35</f>
        <v>2</v>
      </c>
      <c r="HF35" s="76" t="str">
        <f>Grupo!HF35</f>
        <v/>
      </c>
      <c r="HG35" s="76">
        <f>Grupo!HG35</f>
        <v>1</v>
      </c>
      <c r="HH35" s="76">
        <f>Grupo!HH35</f>
        <v>1</v>
      </c>
      <c r="HI35" s="76" t="str">
        <f>Grupo!HI35</f>
        <v/>
      </c>
      <c r="HJ35" s="32">
        <f>Grupo!HJ35</f>
        <v>59</v>
      </c>
      <c r="HK35" s="25" t="s">
        <v>8</v>
      </c>
    </row>
    <row r="36" spans="1:219" ht="20.25" customHeight="1" thickBot="1" x14ac:dyDescent="0.35">
      <c r="A36" s="34" t="str">
        <f>Grupo!A36</f>
        <v>Milagros</v>
      </c>
      <c r="B36" s="28">
        <f>Grupo!B36</f>
        <v>2</v>
      </c>
      <c r="C36" s="28">
        <f>Grupo!C36</f>
        <v>0</v>
      </c>
      <c r="D36" s="28">
        <f>Grupo!D36</f>
        <v>3</v>
      </c>
      <c r="E36" s="28">
        <f>Grupo!E36</f>
        <v>3</v>
      </c>
      <c r="F36" s="28">
        <f>Grupo!F36</f>
        <v>1</v>
      </c>
      <c r="G36" s="28">
        <f>Grupo!G36</f>
        <v>1</v>
      </c>
      <c r="H36" s="28">
        <f>Grupo!H36</f>
        <v>2</v>
      </c>
      <c r="I36" s="28">
        <f>Grupo!I36</f>
        <v>1</v>
      </c>
      <c r="J36" s="28">
        <f>Grupo!J36</f>
        <v>0</v>
      </c>
      <c r="K36" s="28">
        <f>Grupo!K36</f>
        <v>2</v>
      </c>
      <c r="L36" s="28">
        <f>Grupo!L36</f>
        <v>1</v>
      </c>
      <c r="M36" s="28">
        <f>Grupo!M36</f>
        <v>1</v>
      </c>
      <c r="N36" s="28">
        <f>Grupo!N36</f>
        <v>1</v>
      </c>
      <c r="O36" s="28">
        <f>Grupo!O36</f>
        <v>1</v>
      </c>
      <c r="P36" s="28">
        <f>Grupo!P36</f>
        <v>0</v>
      </c>
      <c r="Q36" s="28">
        <f>Grupo!Q36</f>
        <v>1</v>
      </c>
      <c r="R36" s="28">
        <f>Grupo!R36</f>
        <v>2</v>
      </c>
      <c r="S36" s="28">
        <f>Grupo!S36</f>
        <v>0</v>
      </c>
      <c r="T36" s="28">
        <f>Grupo!T36</f>
        <v>2</v>
      </c>
      <c r="U36" s="28">
        <f>Grupo!U36</f>
        <v>1</v>
      </c>
      <c r="V36" s="28">
        <f>Grupo!V36</f>
        <v>0</v>
      </c>
      <c r="W36" s="28">
        <f>Grupo!W36</f>
        <v>1</v>
      </c>
      <c r="X36" s="28">
        <f>Grupo!X36</f>
        <v>1</v>
      </c>
      <c r="Y36" s="28">
        <f>Grupo!Y36</f>
        <v>3</v>
      </c>
      <c r="Z36" s="28">
        <f>Grupo!Z36</f>
        <v>1</v>
      </c>
      <c r="AA36" s="28">
        <f>Grupo!AA36</f>
        <v>1</v>
      </c>
      <c r="AB36" s="28">
        <f>Grupo!AB36</f>
        <v>0</v>
      </c>
      <c r="AC36" s="28">
        <f>Grupo!AC36</f>
        <v>3</v>
      </c>
      <c r="AD36" s="28">
        <f>Grupo!AD36</f>
        <v>1</v>
      </c>
      <c r="AE36" s="28">
        <f>Grupo!AE36</f>
        <v>1</v>
      </c>
      <c r="AF36" s="28">
        <f>Grupo!AF36</f>
        <v>2</v>
      </c>
      <c r="AG36" s="28">
        <f>Grupo!AG36</f>
        <v>1</v>
      </c>
      <c r="AH36" s="28">
        <f>Grupo!AH36</f>
        <v>0</v>
      </c>
      <c r="AI36" s="28">
        <f>Grupo!AI36</f>
        <v>1</v>
      </c>
      <c r="AJ36" s="28">
        <f>Grupo!AJ36</f>
        <v>1</v>
      </c>
      <c r="AK36" s="28">
        <f>Grupo!AK36</f>
        <v>0</v>
      </c>
      <c r="AL36" s="28">
        <f>Grupo!AL36</f>
        <v>1</v>
      </c>
      <c r="AM36" s="28">
        <f>Grupo!AM36</f>
        <v>2</v>
      </c>
      <c r="AN36" s="28">
        <f>Grupo!AN36</f>
        <v>0</v>
      </c>
      <c r="AO36" s="28">
        <f>Grupo!AO36</f>
        <v>3</v>
      </c>
      <c r="AP36" s="28">
        <f>Grupo!AP36</f>
        <v>0</v>
      </c>
      <c r="AQ36" s="28">
        <f>Grupo!AQ36</f>
        <v>0</v>
      </c>
      <c r="AR36" s="28">
        <f>Grupo!AR36</f>
        <v>1</v>
      </c>
      <c r="AS36" s="28">
        <f>Grupo!AS36</f>
        <v>2</v>
      </c>
      <c r="AT36" s="28">
        <f>Grupo!AT36</f>
        <v>0</v>
      </c>
      <c r="AU36" s="28">
        <f>Grupo!AU36</f>
        <v>2</v>
      </c>
      <c r="AV36" s="28">
        <f>Grupo!AV36</f>
        <v>1</v>
      </c>
      <c r="AW36" s="28">
        <f>Grupo!AW36</f>
        <v>0</v>
      </c>
      <c r="AX36" s="28">
        <f>Grupo!AX36</f>
        <v>2</v>
      </c>
      <c r="AY36" s="28">
        <f>Grupo!AY36</f>
        <v>1</v>
      </c>
      <c r="AZ36" s="28">
        <f>Grupo!AZ36</f>
        <v>1</v>
      </c>
      <c r="BA36" s="28">
        <f>Grupo!BA36</f>
        <v>0</v>
      </c>
      <c r="BB36" s="28">
        <f>Grupo!BB36</f>
        <v>2</v>
      </c>
      <c r="BC36" s="28">
        <f>Grupo!BC36</f>
        <v>1</v>
      </c>
      <c r="BD36" s="28">
        <f>Grupo!BD36</f>
        <v>3</v>
      </c>
      <c r="BE36" s="28">
        <f>Grupo!BE36</f>
        <v>0</v>
      </c>
      <c r="BF36" s="28">
        <f>Grupo!BF36</f>
        <v>3</v>
      </c>
      <c r="BG36" s="28">
        <f>Grupo!BG36</f>
        <v>3</v>
      </c>
      <c r="BH36" s="28">
        <f>Grupo!BH36</f>
        <v>1</v>
      </c>
      <c r="BI36" s="28">
        <f>Grupo!BI36</f>
        <v>3</v>
      </c>
      <c r="BJ36" s="28">
        <f>Grupo!BJ36</f>
        <v>1</v>
      </c>
      <c r="BK36" s="28">
        <f>Grupo!BK36</f>
        <v>2</v>
      </c>
      <c r="BL36" s="28">
        <f>Grupo!BL36</f>
        <v>0</v>
      </c>
      <c r="BM36" s="28">
        <f>Grupo!BM36</f>
        <v>3</v>
      </c>
      <c r="BN36" s="28">
        <f>Grupo!BN36</f>
        <v>2</v>
      </c>
      <c r="BO36" s="28">
        <f>Grupo!BO36</f>
        <v>1</v>
      </c>
      <c r="BP36" s="28">
        <f>Grupo!BP36</f>
        <v>2</v>
      </c>
      <c r="BQ36" s="28">
        <f>Grupo!BQ36</f>
        <v>0</v>
      </c>
      <c r="BR36" s="28">
        <f>Grupo!BR36</f>
        <v>0</v>
      </c>
      <c r="BS36" s="28">
        <f>Grupo!BS36</f>
        <v>0</v>
      </c>
      <c r="BT36" s="28">
        <f>Grupo!BT36</f>
        <v>2</v>
      </c>
      <c r="BU36" s="28">
        <f>Grupo!BU36</f>
        <v>1</v>
      </c>
      <c r="BV36" s="28">
        <f>Grupo!BV36</f>
        <v>1</v>
      </c>
      <c r="BW36" s="28">
        <f>Grupo!BW36</f>
        <v>1</v>
      </c>
      <c r="BX36" s="28">
        <f>Grupo!BX36</f>
        <v>3</v>
      </c>
      <c r="BY36" s="28">
        <f>Grupo!BY36</f>
        <v>2</v>
      </c>
      <c r="BZ36" s="28">
        <f>Grupo!BZ36</f>
        <v>1</v>
      </c>
      <c r="CA36" s="28">
        <f>Grupo!CA36</f>
        <v>1</v>
      </c>
      <c r="CB36" s="28">
        <f>Grupo!CB36</f>
        <v>2</v>
      </c>
      <c r="CC36" s="28">
        <f>Grupo!CC36</f>
        <v>1</v>
      </c>
      <c r="CD36" s="28">
        <f>Grupo!CD36</f>
        <v>1</v>
      </c>
      <c r="CE36" s="28">
        <f>Grupo!CE36</f>
        <v>3</v>
      </c>
      <c r="CF36" s="28">
        <f>Grupo!CF36</f>
        <v>2</v>
      </c>
      <c r="CG36" s="28">
        <f>Grupo!CG36</f>
        <v>1</v>
      </c>
      <c r="CH36" s="28">
        <f>Grupo!CH36</f>
        <v>3</v>
      </c>
      <c r="CI36" s="28">
        <f>Grupo!CI36</f>
        <v>1</v>
      </c>
      <c r="CJ36" s="28">
        <f>Grupo!CJ36</f>
        <v>1</v>
      </c>
      <c r="CK36" s="28">
        <f>Grupo!CK36</f>
        <v>1</v>
      </c>
      <c r="CL36" s="28">
        <f>Grupo!CL36</f>
        <v>2</v>
      </c>
      <c r="CM36" s="28">
        <f>Grupo!CM36</f>
        <v>1</v>
      </c>
      <c r="CN36" s="28">
        <f>Grupo!CN36</f>
        <v>2</v>
      </c>
      <c r="CO36" s="28">
        <f>Grupo!CO36</f>
        <v>2</v>
      </c>
      <c r="CP36" s="28">
        <f>Grupo!CP36</f>
        <v>0</v>
      </c>
      <c r="CQ36" s="28">
        <f>Grupo!CQ36</f>
        <v>3</v>
      </c>
      <c r="CR36" s="28">
        <f>Grupo!CR36</f>
        <v>2</v>
      </c>
      <c r="CS36" s="28">
        <f>Grupo!CS36</f>
        <v>1</v>
      </c>
      <c r="CT36" s="28">
        <f>Grupo!CT36</f>
        <v>3</v>
      </c>
      <c r="CU36" s="28">
        <f>Grupo!CU36</f>
        <v>2</v>
      </c>
      <c r="CV36" s="28">
        <f>Grupo!CV36</f>
        <v>1</v>
      </c>
      <c r="CW36" s="28">
        <f>Grupo!CW36</f>
        <v>2</v>
      </c>
      <c r="CX36" s="28">
        <f>Grupo!CX36</f>
        <v>1</v>
      </c>
      <c r="CY36" s="28">
        <f>Grupo!CY36</f>
        <v>0</v>
      </c>
      <c r="CZ36" s="28">
        <f>Grupo!CZ36</f>
        <v>2</v>
      </c>
      <c r="DA36" s="28">
        <f>Grupo!DA36</f>
        <v>1</v>
      </c>
      <c r="DB36" s="28">
        <f>Grupo!DB36</f>
        <v>1</v>
      </c>
      <c r="DC36" s="28">
        <f>Grupo!DC36</f>
        <v>1</v>
      </c>
      <c r="DD36" s="28">
        <f>Grupo!DD36</f>
        <v>2</v>
      </c>
      <c r="DE36" s="28">
        <f>Grupo!DE36</f>
        <v>1</v>
      </c>
      <c r="DF36" s="28">
        <f>Grupo!DF36</f>
        <v>2</v>
      </c>
      <c r="DG36" s="28">
        <f>Grupo!DG36</f>
        <v>0</v>
      </c>
      <c r="DH36" s="28">
        <f>Grupo!DH36</f>
        <v>0</v>
      </c>
      <c r="DI36" s="28">
        <f>Grupo!DI36</f>
        <v>3</v>
      </c>
      <c r="DJ36" s="28">
        <f>Grupo!DJ36</f>
        <v>1</v>
      </c>
      <c r="DK36" s="28">
        <f>Grupo!DK36</f>
        <v>1</v>
      </c>
      <c r="DL36" s="28">
        <f>Grupo!DL36</f>
        <v>2</v>
      </c>
      <c r="DM36" s="28">
        <f>Grupo!DM36</f>
        <v>0</v>
      </c>
      <c r="DN36" s="28">
        <f>Grupo!DN36</f>
        <v>0</v>
      </c>
      <c r="DO36" s="28">
        <f>Grupo!DO36</f>
        <v>2</v>
      </c>
      <c r="DP36" s="28">
        <f>Grupo!DP36</f>
        <v>1</v>
      </c>
      <c r="DQ36" s="28">
        <f>Grupo!DQ36</f>
        <v>0</v>
      </c>
      <c r="DR36" s="28">
        <f>Grupo!DR36</f>
        <v>1</v>
      </c>
      <c r="DS36" s="28">
        <f>Grupo!DS36</f>
        <v>1</v>
      </c>
      <c r="DT36" s="28">
        <f>Grupo!DT36</f>
        <v>0</v>
      </c>
      <c r="DU36" s="28">
        <f>Grupo!DU36</f>
        <v>3</v>
      </c>
      <c r="DV36" s="28">
        <f>Grupo!DV36</f>
        <v>0</v>
      </c>
      <c r="DW36" s="28">
        <f>Grupo!DW36</f>
        <v>3</v>
      </c>
      <c r="DX36" s="28">
        <f>Grupo!DX36</f>
        <v>2</v>
      </c>
      <c r="DY36" s="28">
        <f>Grupo!DY36</f>
        <v>1</v>
      </c>
      <c r="DZ36" s="28">
        <f>Grupo!DZ36</f>
        <v>1</v>
      </c>
      <c r="EA36" s="70">
        <f>Grupo!EA36</f>
        <v>1</v>
      </c>
      <c r="EB36" s="70">
        <f>Grupo!EB36</f>
        <v>1</v>
      </c>
      <c r="EC36" s="70">
        <f>Grupo!EC36</f>
        <v>0</v>
      </c>
      <c r="ED36" s="70">
        <f>Grupo!ED36</f>
        <v>2</v>
      </c>
      <c r="EE36" s="70">
        <f>Grupo!EE36</f>
        <v>0</v>
      </c>
      <c r="EF36" s="70">
        <f>Grupo!EF36</f>
        <v>0</v>
      </c>
      <c r="EG36" s="70">
        <f>Grupo!EG36</f>
        <v>1</v>
      </c>
      <c r="EH36" s="70">
        <f>Grupo!EH36</f>
        <v>3</v>
      </c>
      <c r="EI36" s="70">
        <f>Grupo!EI36</f>
        <v>1</v>
      </c>
      <c r="EJ36" s="70">
        <f>Grupo!EJ36</f>
        <v>2</v>
      </c>
      <c r="EK36" s="70">
        <f>Grupo!EK36</f>
        <v>0</v>
      </c>
      <c r="EL36" s="70">
        <f>Grupo!EL36</f>
        <v>1</v>
      </c>
      <c r="EM36" s="70">
        <f>Grupo!EM36</f>
        <v>2</v>
      </c>
      <c r="EN36" s="70">
        <f>Grupo!EN36</f>
        <v>0</v>
      </c>
      <c r="EO36" s="70">
        <f>Grupo!EO36</f>
        <v>1</v>
      </c>
      <c r="EP36" s="78">
        <f>Grupo!EP36</f>
        <v>1</v>
      </c>
      <c r="EQ36" s="78">
        <f>Grupo!EQ36</f>
        <v>3</v>
      </c>
      <c r="ER36" s="78">
        <f>Grupo!ER36</f>
        <v>1</v>
      </c>
      <c r="ES36" s="78">
        <f>Grupo!ES36</f>
        <v>2</v>
      </c>
      <c r="ET36" s="78">
        <f>Grupo!ET36</f>
        <v>0</v>
      </c>
      <c r="EU36" s="78">
        <f>Grupo!EU36</f>
        <v>1</v>
      </c>
      <c r="EV36" s="78">
        <f>Grupo!EV36</f>
        <v>1</v>
      </c>
      <c r="EW36" s="78">
        <f>Grupo!EW36</f>
        <v>1</v>
      </c>
      <c r="EX36" s="78">
        <f>Grupo!EX36</f>
        <v>0</v>
      </c>
      <c r="EY36" s="78">
        <f>Grupo!EY36</f>
        <v>2</v>
      </c>
      <c r="EZ36" s="78">
        <f>Grupo!EZ36</f>
        <v>1</v>
      </c>
      <c r="FA36" s="78">
        <f>Grupo!FA36</f>
        <v>1</v>
      </c>
      <c r="FB36" s="78">
        <f>Grupo!FB36</f>
        <v>1</v>
      </c>
      <c r="FC36" s="78">
        <f>Grupo!FC36</f>
        <v>2</v>
      </c>
      <c r="FD36" s="78">
        <f>Grupo!FD36</f>
        <v>1</v>
      </c>
      <c r="FE36" s="78">
        <f>Grupo!FE36</f>
        <v>2</v>
      </c>
      <c r="FF36" s="78">
        <f>Grupo!FF36</f>
        <v>2</v>
      </c>
      <c r="FG36" s="78">
        <f>Grupo!FG36</f>
        <v>0</v>
      </c>
      <c r="FH36" s="78">
        <f>Grupo!FH36</f>
        <v>1</v>
      </c>
      <c r="FI36" s="78">
        <f>Grupo!FI36</f>
        <v>2</v>
      </c>
      <c r="FJ36" s="78">
        <f>Grupo!FJ36</f>
        <v>1</v>
      </c>
      <c r="FK36" s="78">
        <f>Grupo!FK36</f>
        <v>1</v>
      </c>
      <c r="FL36" s="78">
        <f>Grupo!FL36</f>
        <v>2</v>
      </c>
      <c r="FM36" s="78">
        <f>Grupo!FM36</f>
        <v>0</v>
      </c>
      <c r="FN36" s="78">
        <f>Grupo!FN36</f>
        <v>1</v>
      </c>
      <c r="FO36" s="78">
        <f>Grupo!FO36</f>
        <v>1</v>
      </c>
      <c r="FP36" s="78">
        <f>Grupo!FP36</f>
        <v>3</v>
      </c>
      <c r="FQ36" s="78">
        <f>Grupo!FQ36</f>
        <v>0</v>
      </c>
      <c r="FR36" s="78">
        <f>Grupo!FR36</f>
        <v>2</v>
      </c>
      <c r="FS36" s="78">
        <f>Grupo!FS36</f>
        <v>1</v>
      </c>
      <c r="FT36" s="78">
        <f>Grupo!FT36</f>
        <v>1</v>
      </c>
      <c r="FU36" s="78">
        <f>Grupo!FU36</f>
        <v>1</v>
      </c>
      <c r="FV36" s="78">
        <f>Grupo!FV36</f>
        <v>0</v>
      </c>
      <c r="FW36" s="78">
        <f>Grupo!FW36</f>
        <v>1</v>
      </c>
      <c r="FX36" s="78">
        <f>Grupo!FX36</f>
        <v>1</v>
      </c>
      <c r="FY36" s="78">
        <f>Grupo!FY36</f>
        <v>1</v>
      </c>
      <c r="FZ36" s="78">
        <f>Grupo!FZ36</f>
        <v>1</v>
      </c>
      <c r="GA36" s="78">
        <f>Grupo!GA36</f>
        <v>2</v>
      </c>
      <c r="GB36" s="78">
        <f>Grupo!GB36</f>
        <v>1</v>
      </c>
      <c r="GC36" s="78">
        <f>Grupo!GC36</f>
        <v>2</v>
      </c>
      <c r="GD36" s="78">
        <f>Grupo!GD36</f>
        <v>0</v>
      </c>
      <c r="GE36" s="78">
        <f>Grupo!GE36</f>
        <v>1</v>
      </c>
      <c r="GF36" s="78">
        <f>Grupo!GF36</f>
        <v>1</v>
      </c>
      <c r="GG36" s="78">
        <f>Grupo!GG36</f>
        <v>1</v>
      </c>
      <c r="GH36" s="78">
        <f>Grupo!GH36</f>
        <v>3</v>
      </c>
      <c r="GI36" s="78">
        <f>Grupo!GI36</f>
        <v>0</v>
      </c>
      <c r="GJ36" s="78">
        <f>Grupo!GJ36</f>
        <v>2</v>
      </c>
      <c r="GK36" s="78">
        <f>Grupo!GK36</f>
        <v>1</v>
      </c>
      <c r="GL36" s="78">
        <f>Grupo!GL36</f>
        <v>1</v>
      </c>
      <c r="GM36" s="78">
        <f>Grupo!GM36</f>
        <v>2</v>
      </c>
      <c r="GN36" s="78">
        <f>Grupo!GN36</f>
        <v>0</v>
      </c>
      <c r="GO36" s="78">
        <f>Grupo!GO36</f>
        <v>1</v>
      </c>
      <c r="GP36" s="78">
        <f>Grupo!GP36</f>
        <v>1</v>
      </c>
      <c r="GQ36" s="78">
        <f>Grupo!GQ36</f>
        <v>0</v>
      </c>
      <c r="GR36" s="79">
        <f>Grupo!GR36</f>
        <v>1</v>
      </c>
      <c r="GS36" s="79">
        <f>Grupo!GS36</f>
        <v>3</v>
      </c>
      <c r="GT36" s="79" t="str">
        <f>Grupo!GT36</f>
        <v/>
      </c>
      <c r="GU36" s="79">
        <f>Grupo!GU36</f>
        <v>3</v>
      </c>
      <c r="GV36" s="79">
        <f>Grupo!GV36</f>
        <v>1</v>
      </c>
      <c r="GW36" s="79" t="str">
        <f>Grupo!GW36</f>
        <v/>
      </c>
      <c r="GX36" s="76">
        <f>Grupo!GX36</f>
        <v>1</v>
      </c>
      <c r="GY36" s="76">
        <f>Grupo!GY36</f>
        <v>1</v>
      </c>
      <c r="GZ36" s="76" t="str">
        <f>Grupo!GZ36</f>
        <v/>
      </c>
      <c r="HA36" s="76">
        <f>Grupo!HA36</f>
        <v>0</v>
      </c>
      <c r="HB36" s="76">
        <f>Grupo!HB36</f>
        <v>2</v>
      </c>
      <c r="HC36" s="76" t="str">
        <f>Grupo!HC36</f>
        <v/>
      </c>
      <c r="HD36" s="76">
        <f>Grupo!HD36</f>
        <v>1</v>
      </c>
      <c r="HE36" s="76">
        <f>Grupo!HE36</f>
        <v>2</v>
      </c>
      <c r="HF36" s="76" t="str">
        <f>Grupo!HF36</f>
        <v/>
      </c>
      <c r="HG36" s="76">
        <f>Grupo!HG36</f>
        <v>1</v>
      </c>
      <c r="HH36" s="76">
        <f>Grupo!HH36</f>
        <v>1</v>
      </c>
      <c r="HI36" s="76" t="str">
        <f>Grupo!HI36</f>
        <v/>
      </c>
      <c r="HJ36" s="32">
        <f>Grupo!HJ36</f>
        <v>55</v>
      </c>
      <c r="HK36" s="25" t="s">
        <v>28</v>
      </c>
    </row>
    <row r="37" spans="1:219" ht="20.25" customHeight="1" thickBot="1" x14ac:dyDescent="0.35">
      <c r="A37" s="34" t="str">
        <f>Grupo!A37</f>
        <v>Mily CF 1</v>
      </c>
      <c r="B37" s="28">
        <f>Grupo!B37</f>
        <v>3</v>
      </c>
      <c r="C37" s="28">
        <f>Grupo!C37</f>
        <v>1</v>
      </c>
      <c r="D37" s="28">
        <f>Grupo!D37</f>
        <v>1</v>
      </c>
      <c r="E37" s="28">
        <f>Grupo!E37</f>
        <v>2</v>
      </c>
      <c r="F37" s="28">
        <f>Grupo!F37</f>
        <v>1</v>
      </c>
      <c r="G37" s="28">
        <f>Grupo!G37</f>
        <v>3</v>
      </c>
      <c r="H37" s="28">
        <f>Grupo!H37</f>
        <v>2</v>
      </c>
      <c r="I37" s="28">
        <f>Grupo!I37</f>
        <v>2</v>
      </c>
      <c r="J37" s="28">
        <f>Grupo!J37</f>
        <v>1</v>
      </c>
      <c r="K37" s="28">
        <f>Grupo!K37</f>
        <v>3</v>
      </c>
      <c r="L37" s="28">
        <f>Grupo!L37</f>
        <v>2</v>
      </c>
      <c r="M37" s="28">
        <f>Grupo!M37</f>
        <v>1</v>
      </c>
      <c r="N37" s="28">
        <f>Grupo!N37</f>
        <v>2</v>
      </c>
      <c r="O37" s="28">
        <f>Grupo!O37</f>
        <v>3</v>
      </c>
      <c r="P37" s="28">
        <f>Grupo!P37</f>
        <v>1</v>
      </c>
      <c r="Q37" s="28">
        <f>Grupo!Q37</f>
        <v>3</v>
      </c>
      <c r="R37" s="28">
        <f>Grupo!R37</f>
        <v>4</v>
      </c>
      <c r="S37" s="28">
        <f>Grupo!S37</f>
        <v>0</v>
      </c>
      <c r="T37" s="28">
        <f>Grupo!T37</f>
        <v>4</v>
      </c>
      <c r="U37" s="28">
        <f>Grupo!U37</f>
        <v>4</v>
      </c>
      <c r="V37" s="28">
        <f>Grupo!V37</f>
        <v>1</v>
      </c>
      <c r="W37" s="28">
        <f>Grupo!W37</f>
        <v>1</v>
      </c>
      <c r="X37" s="28">
        <f>Grupo!X37</f>
        <v>2</v>
      </c>
      <c r="Y37" s="28">
        <f>Grupo!Y37</f>
        <v>0</v>
      </c>
      <c r="Z37" s="28">
        <f>Grupo!Z37</f>
        <v>1</v>
      </c>
      <c r="AA37" s="28">
        <f>Grupo!AA37</f>
        <v>3</v>
      </c>
      <c r="AB37" s="28">
        <f>Grupo!AB37</f>
        <v>0</v>
      </c>
      <c r="AC37" s="28">
        <f>Grupo!AC37</f>
        <v>3</v>
      </c>
      <c r="AD37" s="28">
        <f>Grupo!AD37</f>
        <v>1</v>
      </c>
      <c r="AE37" s="28">
        <f>Grupo!AE37</f>
        <v>1</v>
      </c>
      <c r="AF37" s="28">
        <f>Grupo!AF37</f>
        <v>2</v>
      </c>
      <c r="AG37" s="28">
        <f>Grupo!AG37</f>
        <v>2</v>
      </c>
      <c r="AH37" s="28">
        <f>Grupo!AH37</f>
        <v>3</v>
      </c>
      <c r="AI37" s="28">
        <f>Grupo!AI37</f>
        <v>2</v>
      </c>
      <c r="AJ37" s="28">
        <f>Grupo!AJ37</f>
        <v>1</v>
      </c>
      <c r="AK37" s="28">
        <f>Grupo!AK37</f>
        <v>1</v>
      </c>
      <c r="AL37" s="28">
        <f>Grupo!AL37</f>
        <v>2</v>
      </c>
      <c r="AM37" s="28">
        <f>Grupo!AM37</f>
        <v>2</v>
      </c>
      <c r="AN37" s="28">
        <f>Grupo!AN37</f>
        <v>1</v>
      </c>
      <c r="AO37" s="28">
        <f>Grupo!AO37</f>
        <v>3</v>
      </c>
      <c r="AP37" s="28">
        <f>Grupo!AP37</f>
        <v>1</v>
      </c>
      <c r="AQ37" s="28">
        <f>Grupo!AQ37</f>
        <v>0</v>
      </c>
      <c r="AR37" s="28">
        <f>Grupo!AR37</f>
        <v>1</v>
      </c>
      <c r="AS37" s="28">
        <f>Grupo!AS37</f>
        <v>1</v>
      </c>
      <c r="AT37" s="28">
        <f>Grupo!AT37</f>
        <v>1</v>
      </c>
      <c r="AU37" s="28">
        <f>Grupo!AU37</f>
        <v>2</v>
      </c>
      <c r="AV37" s="28">
        <f>Grupo!AV37</f>
        <v>2</v>
      </c>
      <c r="AW37" s="28">
        <f>Grupo!AW37</f>
        <v>1</v>
      </c>
      <c r="AX37" s="28">
        <f>Grupo!AX37</f>
        <v>3</v>
      </c>
      <c r="AY37" s="28">
        <f>Grupo!AY37</f>
        <v>3</v>
      </c>
      <c r="AZ37" s="28">
        <f>Grupo!AZ37</f>
        <v>0</v>
      </c>
      <c r="BA37" s="28">
        <f>Grupo!BA37</f>
        <v>1</v>
      </c>
      <c r="BB37" s="28">
        <f>Grupo!BB37</f>
        <v>2</v>
      </c>
      <c r="BC37" s="28">
        <f>Grupo!BC37</f>
        <v>1</v>
      </c>
      <c r="BD37" s="28">
        <f>Grupo!BD37</f>
        <v>3</v>
      </c>
      <c r="BE37" s="28">
        <f>Grupo!BE37</f>
        <v>2</v>
      </c>
      <c r="BF37" s="28">
        <f>Grupo!BF37</f>
        <v>1</v>
      </c>
      <c r="BG37" s="28">
        <f>Grupo!BG37</f>
        <v>1</v>
      </c>
      <c r="BH37" s="28">
        <f>Grupo!BH37</f>
        <v>1</v>
      </c>
      <c r="BI37" s="28">
        <f>Grupo!BI37</f>
        <v>0</v>
      </c>
      <c r="BJ37" s="28">
        <f>Grupo!BJ37</f>
        <v>1</v>
      </c>
      <c r="BK37" s="28">
        <f>Grupo!BK37</f>
        <v>3</v>
      </c>
      <c r="BL37" s="28">
        <f>Grupo!BL37</f>
        <v>0</v>
      </c>
      <c r="BM37" s="28">
        <f>Grupo!BM37</f>
        <v>2</v>
      </c>
      <c r="BN37" s="28">
        <f>Grupo!BN37</f>
        <v>2</v>
      </c>
      <c r="BO37" s="28">
        <f>Grupo!BO37</f>
        <v>0</v>
      </c>
      <c r="BP37" s="28">
        <f>Grupo!BP37</f>
        <v>3</v>
      </c>
      <c r="BQ37" s="28">
        <f>Grupo!BQ37</f>
        <v>0</v>
      </c>
      <c r="BR37" s="28">
        <f>Grupo!BR37</f>
        <v>0</v>
      </c>
      <c r="BS37" s="28">
        <f>Grupo!BS37</f>
        <v>0</v>
      </c>
      <c r="BT37" s="28">
        <f>Grupo!BT37</f>
        <v>3</v>
      </c>
      <c r="BU37" s="28">
        <f>Grupo!BU37</f>
        <v>1</v>
      </c>
      <c r="BV37" s="28">
        <f>Grupo!BV37</f>
        <v>1</v>
      </c>
      <c r="BW37" s="28">
        <f>Grupo!BW37</f>
        <v>1</v>
      </c>
      <c r="BX37" s="28">
        <f>Grupo!BX37</f>
        <v>3</v>
      </c>
      <c r="BY37" s="28">
        <f>Grupo!BY37</f>
        <v>2</v>
      </c>
      <c r="BZ37" s="28">
        <f>Grupo!BZ37</f>
        <v>1</v>
      </c>
      <c r="CA37" s="28">
        <f>Grupo!CA37</f>
        <v>1</v>
      </c>
      <c r="CB37" s="28">
        <f>Grupo!CB37</f>
        <v>3</v>
      </c>
      <c r="CC37" s="28">
        <f>Grupo!CC37</f>
        <v>1</v>
      </c>
      <c r="CD37" s="28">
        <f>Grupo!CD37</f>
        <v>1</v>
      </c>
      <c r="CE37" s="28">
        <f>Grupo!CE37</f>
        <v>3</v>
      </c>
      <c r="CF37" s="28">
        <f>Grupo!CF37</f>
        <v>2</v>
      </c>
      <c r="CG37" s="28">
        <f>Grupo!CG37</f>
        <v>1</v>
      </c>
      <c r="CH37" s="28">
        <f>Grupo!CH37</f>
        <v>4</v>
      </c>
      <c r="CI37" s="28">
        <f>Grupo!CI37</f>
        <v>2</v>
      </c>
      <c r="CJ37" s="28">
        <f>Grupo!CJ37</f>
        <v>1</v>
      </c>
      <c r="CK37" s="28">
        <f>Grupo!CK37</f>
        <v>1</v>
      </c>
      <c r="CL37" s="28">
        <f>Grupo!CL37</f>
        <v>3</v>
      </c>
      <c r="CM37" s="28">
        <f>Grupo!CM37</f>
        <v>1</v>
      </c>
      <c r="CN37" s="28">
        <f>Grupo!CN37</f>
        <v>2</v>
      </c>
      <c r="CO37" s="28">
        <f>Grupo!CO37</f>
        <v>2</v>
      </c>
      <c r="CP37" s="28">
        <f>Grupo!CP37</f>
        <v>0</v>
      </c>
      <c r="CQ37" s="28">
        <f>Grupo!CQ37</f>
        <v>3</v>
      </c>
      <c r="CR37" s="28">
        <f>Grupo!CR37</f>
        <v>2</v>
      </c>
      <c r="CS37" s="28">
        <f>Grupo!CS37</f>
        <v>1</v>
      </c>
      <c r="CT37" s="28">
        <f>Grupo!CT37</f>
        <v>2</v>
      </c>
      <c r="CU37" s="28">
        <f>Grupo!CU37</f>
        <v>2</v>
      </c>
      <c r="CV37" s="28">
        <f>Grupo!CV37</f>
        <v>0</v>
      </c>
      <c r="CW37" s="28">
        <f>Grupo!CW37</f>
        <v>3</v>
      </c>
      <c r="CX37" s="28">
        <f>Grupo!CX37</f>
        <v>0</v>
      </c>
      <c r="CY37" s="28">
        <f>Grupo!CY37</f>
        <v>0</v>
      </c>
      <c r="CZ37" s="28">
        <f>Grupo!CZ37</f>
        <v>2</v>
      </c>
      <c r="DA37" s="28">
        <f>Grupo!DA37</f>
        <v>2</v>
      </c>
      <c r="DB37" s="28">
        <f>Grupo!DB37</f>
        <v>0</v>
      </c>
      <c r="DC37" s="28">
        <f>Grupo!DC37</f>
        <v>0</v>
      </c>
      <c r="DD37" s="28">
        <f>Grupo!DD37</f>
        <v>1</v>
      </c>
      <c r="DE37" s="28">
        <f>Grupo!DE37</f>
        <v>1</v>
      </c>
      <c r="DF37" s="28">
        <f>Grupo!DF37</f>
        <v>2</v>
      </c>
      <c r="DG37" s="28">
        <f>Grupo!DG37</f>
        <v>0</v>
      </c>
      <c r="DH37" s="28">
        <f>Grupo!DH37</f>
        <v>0</v>
      </c>
      <c r="DI37" s="28">
        <f>Grupo!DI37</f>
        <v>3</v>
      </c>
      <c r="DJ37" s="28">
        <f>Grupo!DJ37</f>
        <v>1</v>
      </c>
      <c r="DK37" s="28">
        <f>Grupo!DK37</f>
        <v>1</v>
      </c>
      <c r="DL37" s="28">
        <f>Grupo!DL37</f>
        <v>4</v>
      </c>
      <c r="DM37" s="28">
        <f>Grupo!DM37</f>
        <v>1</v>
      </c>
      <c r="DN37" s="28">
        <f>Grupo!DN37</f>
        <v>0</v>
      </c>
      <c r="DO37" s="28">
        <f>Grupo!DO37</f>
        <v>1</v>
      </c>
      <c r="DP37" s="28">
        <f>Grupo!DP37</f>
        <v>2</v>
      </c>
      <c r="DQ37" s="28">
        <f>Grupo!DQ37</f>
        <v>1</v>
      </c>
      <c r="DR37" s="28">
        <f>Grupo!DR37</f>
        <v>2</v>
      </c>
      <c r="DS37" s="28">
        <f>Grupo!DS37</f>
        <v>2</v>
      </c>
      <c r="DT37" s="28">
        <f>Grupo!DT37</f>
        <v>0</v>
      </c>
      <c r="DU37" s="28">
        <f>Grupo!DU37</f>
        <v>3</v>
      </c>
      <c r="DV37" s="28">
        <f>Grupo!DV37</f>
        <v>0</v>
      </c>
      <c r="DW37" s="28">
        <f>Grupo!DW37</f>
        <v>3</v>
      </c>
      <c r="DX37" s="28">
        <f>Grupo!DX37</f>
        <v>3</v>
      </c>
      <c r="DY37" s="28">
        <f>Grupo!DY37</f>
        <v>1</v>
      </c>
      <c r="DZ37" s="28">
        <f>Grupo!DZ37</f>
        <v>1</v>
      </c>
      <c r="EA37" s="70">
        <f>Grupo!EA37</f>
        <v>1</v>
      </c>
      <c r="EB37" s="70">
        <f>Grupo!EB37</f>
        <v>3</v>
      </c>
      <c r="EC37" s="70">
        <f>Grupo!EC37</f>
        <v>1</v>
      </c>
      <c r="ED37" s="70">
        <f>Grupo!ED37</f>
        <v>4</v>
      </c>
      <c r="EE37" s="70">
        <f>Grupo!EE37</f>
        <v>1</v>
      </c>
      <c r="EF37" s="70">
        <f>Grupo!EF37</f>
        <v>0</v>
      </c>
      <c r="EG37" s="70">
        <f>Grupo!EG37</f>
        <v>2</v>
      </c>
      <c r="EH37" s="70">
        <f>Grupo!EH37</f>
        <v>2</v>
      </c>
      <c r="EI37" s="70">
        <f>Grupo!EI37</f>
        <v>0</v>
      </c>
      <c r="EJ37" s="70">
        <f>Grupo!EJ37</f>
        <v>3</v>
      </c>
      <c r="EK37" s="70">
        <f>Grupo!EK37</f>
        <v>0</v>
      </c>
      <c r="EL37" s="70">
        <f>Grupo!EL37</f>
        <v>1</v>
      </c>
      <c r="EM37" s="70">
        <f>Grupo!EM37</f>
        <v>3</v>
      </c>
      <c r="EN37" s="70">
        <f>Grupo!EN37</f>
        <v>0</v>
      </c>
      <c r="EO37" s="70">
        <f>Grupo!EO37</f>
        <v>1</v>
      </c>
      <c r="EP37" s="78">
        <f>Grupo!EP37</f>
        <v>2</v>
      </c>
      <c r="EQ37" s="78">
        <f>Grupo!EQ37</f>
        <v>4</v>
      </c>
      <c r="ER37" s="78">
        <f>Grupo!ER37</f>
        <v>1</v>
      </c>
      <c r="ES37" s="78">
        <f>Grupo!ES37</f>
        <v>4</v>
      </c>
      <c r="ET37" s="78">
        <f>Grupo!ET37</f>
        <v>1</v>
      </c>
      <c r="EU37" s="78">
        <f>Grupo!EU37</f>
        <v>1</v>
      </c>
      <c r="EV37" s="78">
        <f>Grupo!EV37</f>
        <v>1</v>
      </c>
      <c r="EW37" s="78">
        <f>Grupo!EW37</f>
        <v>3</v>
      </c>
      <c r="EX37" s="78">
        <f>Grupo!EX37</f>
        <v>0</v>
      </c>
      <c r="EY37" s="78">
        <f>Grupo!EY37</f>
        <v>2</v>
      </c>
      <c r="EZ37" s="78">
        <f>Grupo!EZ37</f>
        <v>0</v>
      </c>
      <c r="FA37" s="78">
        <f>Grupo!FA37</f>
        <v>1</v>
      </c>
      <c r="FB37" s="78">
        <f>Grupo!FB37</f>
        <v>0</v>
      </c>
      <c r="FC37" s="78">
        <f>Grupo!FC37</f>
        <v>3</v>
      </c>
      <c r="FD37" s="78">
        <f>Grupo!FD37</f>
        <v>3</v>
      </c>
      <c r="FE37" s="78">
        <f>Grupo!FE37</f>
        <v>1</v>
      </c>
      <c r="FF37" s="78">
        <f>Grupo!FF37</f>
        <v>3</v>
      </c>
      <c r="FG37" s="78">
        <f>Grupo!FG37</f>
        <v>0</v>
      </c>
      <c r="FH37" s="78">
        <f>Grupo!FH37</f>
        <v>0</v>
      </c>
      <c r="FI37" s="78">
        <f>Grupo!FI37</f>
        <v>3</v>
      </c>
      <c r="FJ37" s="78">
        <f>Grupo!FJ37</f>
        <v>1</v>
      </c>
      <c r="FK37" s="78">
        <f>Grupo!FK37</f>
        <v>3</v>
      </c>
      <c r="FL37" s="78">
        <f>Grupo!FL37</f>
        <v>2</v>
      </c>
      <c r="FM37" s="78">
        <f>Grupo!FM37</f>
        <v>1</v>
      </c>
      <c r="FN37" s="78">
        <f>Grupo!FN37</f>
        <v>2</v>
      </c>
      <c r="FO37" s="78">
        <f>Grupo!FO37</f>
        <v>4</v>
      </c>
      <c r="FP37" s="78">
        <f>Grupo!FP37</f>
        <v>0</v>
      </c>
      <c r="FQ37" s="78">
        <f>Grupo!FQ37</f>
        <v>0</v>
      </c>
      <c r="FR37" s="78">
        <f>Grupo!FR37</f>
        <v>3</v>
      </c>
      <c r="FS37" s="78">
        <f>Grupo!FS37</f>
        <v>1</v>
      </c>
      <c r="FT37" s="78">
        <f>Grupo!FT37</f>
        <v>2</v>
      </c>
      <c r="FU37" s="78">
        <f>Grupo!FU37</f>
        <v>2</v>
      </c>
      <c r="FV37" s="78">
        <f>Grupo!FV37</f>
        <v>0</v>
      </c>
      <c r="FW37" s="78">
        <f>Grupo!FW37</f>
        <v>2</v>
      </c>
      <c r="FX37" s="78">
        <f>Grupo!FX37</f>
        <v>1</v>
      </c>
      <c r="FY37" s="78">
        <f>Grupo!FY37</f>
        <v>0</v>
      </c>
      <c r="FZ37" s="78">
        <f>Grupo!FZ37</f>
        <v>1</v>
      </c>
      <c r="GA37" s="78">
        <f>Grupo!GA37</f>
        <v>3</v>
      </c>
      <c r="GB37" s="78">
        <f>Grupo!GB37</f>
        <v>1</v>
      </c>
      <c r="GC37" s="78">
        <f>Grupo!GC37</f>
        <v>3</v>
      </c>
      <c r="GD37" s="78">
        <f>Grupo!GD37</f>
        <v>2</v>
      </c>
      <c r="GE37" s="78">
        <f>Grupo!GE37</f>
        <v>1</v>
      </c>
      <c r="GF37" s="78">
        <f>Grupo!GF37</f>
        <v>3</v>
      </c>
      <c r="GG37" s="78">
        <f>Grupo!GG37</f>
        <v>0</v>
      </c>
      <c r="GH37" s="78">
        <f>Grupo!GH37</f>
        <v>0</v>
      </c>
      <c r="GI37" s="78">
        <f>Grupo!GI37</f>
        <v>0</v>
      </c>
      <c r="GJ37" s="78">
        <f>Grupo!GJ37</f>
        <v>3</v>
      </c>
      <c r="GK37" s="78">
        <f>Grupo!GK37</f>
        <v>1</v>
      </c>
      <c r="GL37" s="78">
        <f>Grupo!GL37</f>
        <v>0</v>
      </c>
      <c r="GM37" s="78">
        <f>Grupo!GM37</f>
        <v>2</v>
      </c>
      <c r="GN37" s="78">
        <f>Grupo!GN37</f>
        <v>0</v>
      </c>
      <c r="GO37" s="78">
        <f>Grupo!GO37</f>
        <v>3</v>
      </c>
      <c r="GP37" s="78">
        <f>Grupo!GP37</f>
        <v>3</v>
      </c>
      <c r="GQ37" s="78">
        <f>Grupo!GQ37</f>
        <v>0</v>
      </c>
      <c r="GR37" s="79">
        <f>Grupo!GR37</f>
        <v>3</v>
      </c>
      <c r="GS37" s="79">
        <f>Grupo!GS37</f>
        <v>4</v>
      </c>
      <c r="GT37" s="79" t="str">
        <f>Grupo!GT37</f>
        <v/>
      </c>
      <c r="GU37" s="79">
        <f>Grupo!GU37</f>
        <v>3</v>
      </c>
      <c r="GV37" s="79">
        <f>Grupo!GV37</f>
        <v>0</v>
      </c>
      <c r="GW37" s="79" t="str">
        <f>Grupo!GW37</f>
        <v/>
      </c>
      <c r="GX37" s="76">
        <f>Grupo!GX37</f>
        <v>0</v>
      </c>
      <c r="GY37" s="76">
        <f>Grupo!GY37</f>
        <v>0</v>
      </c>
      <c r="GZ37" s="76" t="str">
        <f>Grupo!GZ37</f>
        <v/>
      </c>
      <c r="HA37" s="76">
        <f>Grupo!HA37</f>
        <v>0</v>
      </c>
      <c r="HB37" s="76">
        <f>Grupo!HB37</f>
        <v>3</v>
      </c>
      <c r="HC37" s="76" t="str">
        <f>Grupo!HC37</f>
        <v/>
      </c>
      <c r="HD37" s="76">
        <f>Grupo!HD37</f>
        <v>3</v>
      </c>
      <c r="HE37" s="76">
        <f>Grupo!HE37</f>
        <v>4</v>
      </c>
      <c r="HF37" s="76" t="str">
        <f>Grupo!HF37</f>
        <v/>
      </c>
      <c r="HG37" s="76">
        <f>Grupo!HG37</f>
        <v>0</v>
      </c>
      <c r="HH37" s="76">
        <f>Grupo!HH37</f>
        <v>0</v>
      </c>
      <c r="HI37" s="76" t="str">
        <f>Grupo!HI37</f>
        <v/>
      </c>
      <c r="HJ37" s="32">
        <f>Grupo!HJ37</f>
        <v>50</v>
      </c>
      <c r="HK37" s="25" t="s">
        <v>38</v>
      </c>
    </row>
    <row r="38" spans="1:219" ht="20.25" customHeight="1" thickBot="1" x14ac:dyDescent="0.35">
      <c r="A38" s="34" t="str">
        <f>Grupo!A38</f>
        <v>Mily CF 2</v>
      </c>
      <c r="B38" s="28">
        <f>Grupo!B38</f>
        <v>2</v>
      </c>
      <c r="C38" s="28">
        <f>Grupo!C38</f>
        <v>1</v>
      </c>
      <c r="D38" s="28">
        <f>Grupo!D38</f>
        <v>1</v>
      </c>
      <c r="E38" s="28">
        <f>Grupo!E38</f>
        <v>2</v>
      </c>
      <c r="F38" s="28">
        <f>Grupo!F38</f>
        <v>0</v>
      </c>
      <c r="G38" s="28">
        <f>Grupo!G38</f>
        <v>1</v>
      </c>
      <c r="H38" s="28">
        <f>Grupo!H38</f>
        <v>1</v>
      </c>
      <c r="I38" s="28">
        <f>Grupo!I38</f>
        <v>0</v>
      </c>
      <c r="J38" s="28">
        <f>Grupo!J38</f>
        <v>0</v>
      </c>
      <c r="K38" s="28">
        <f>Grupo!K38</f>
        <v>2</v>
      </c>
      <c r="L38" s="28">
        <f>Grupo!L38</f>
        <v>1</v>
      </c>
      <c r="M38" s="28">
        <f>Grupo!M38</f>
        <v>1</v>
      </c>
      <c r="N38" s="28">
        <f>Grupo!N38</f>
        <v>1</v>
      </c>
      <c r="O38" s="28">
        <f>Grupo!O38</f>
        <v>1</v>
      </c>
      <c r="P38" s="28">
        <f>Grupo!P38</f>
        <v>0</v>
      </c>
      <c r="Q38" s="28">
        <f>Grupo!Q38</f>
        <v>1</v>
      </c>
      <c r="R38" s="28">
        <f>Grupo!R38</f>
        <v>2</v>
      </c>
      <c r="S38" s="28">
        <f>Grupo!S38</f>
        <v>0</v>
      </c>
      <c r="T38" s="28">
        <f>Grupo!T38</f>
        <v>2</v>
      </c>
      <c r="U38" s="28">
        <f>Grupo!U38</f>
        <v>1</v>
      </c>
      <c r="V38" s="28">
        <f>Grupo!V38</f>
        <v>0</v>
      </c>
      <c r="W38" s="28">
        <f>Grupo!W38</f>
        <v>0</v>
      </c>
      <c r="X38" s="28">
        <f>Grupo!X38</f>
        <v>1</v>
      </c>
      <c r="Y38" s="28">
        <f>Grupo!Y38</f>
        <v>0</v>
      </c>
      <c r="Z38" s="28">
        <f>Grupo!Z38</f>
        <v>2</v>
      </c>
      <c r="AA38" s="28">
        <f>Grupo!AA38</f>
        <v>3</v>
      </c>
      <c r="AB38" s="28">
        <f>Grupo!AB38</f>
        <v>0</v>
      </c>
      <c r="AC38" s="28">
        <f>Grupo!AC38</f>
        <v>3</v>
      </c>
      <c r="AD38" s="28">
        <f>Grupo!AD38</f>
        <v>1</v>
      </c>
      <c r="AE38" s="28">
        <f>Grupo!AE38</f>
        <v>1</v>
      </c>
      <c r="AF38" s="28">
        <f>Grupo!AF38</f>
        <v>2</v>
      </c>
      <c r="AG38" s="28">
        <f>Grupo!AG38</f>
        <v>1</v>
      </c>
      <c r="AH38" s="28">
        <f>Grupo!AH38</f>
        <v>0</v>
      </c>
      <c r="AI38" s="28">
        <f>Grupo!AI38</f>
        <v>1</v>
      </c>
      <c r="AJ38" s="28">
        <f>Grupo!AJ38</f>
        <v>1</v>
      </c>
      <c r="AK38" s="28">
        <f>Grupo!AK38</f>
        <v>0</v>
      </c>
      <c r="AL38" s="28">
        <f>Grupo!AL38</f>
        <v>1</v>
      </c>
      <c r="AM38" s="28">
        <f>Grupo!AM38</f>
        <v>2</v>
      </c>
      <c r="AN38" s="28">
        <f>Grupo!AN38</f>
        <v>0</v>
      </c>
      <c r="AO38" s="28">
        <f>Grupo!AO38</f>
        <v>3</v>
      </c>
      <c r="AP38" s="28">
        <f>Grupo!AP38</f>
        <v>0</v>
      </c>
      <c r="AQ38" s="28">
        <f>Grupo!AQ38</f>
        <v>0</v>
      </c>
      <c r="AR38" s="28">
        <f>Grupo!AR38</f>
        <v>1</v>
      </c>
      <c r="AS38" s="28">
        <f>Grupo!AS38</f>
        <v>0</v>
      </c>
      <c r="AT38" s="28">
        <f>Grupo!AT38</f>
        <v>0</v>
      </c>
      <c r="AU38" s="28">
        <f>Grupo!AU38</f>
        <v>2</v>
      </c>
      <c r="AV38" s="28">
        <f>Grupo!AV38</f>
        <v>0</v>
      </c>
      <c r="AW38" s="28">
        <f>Grupo!AW38</f>
        <v>0</v>
      </c>
      <c r="AX38" s="28">
        <f>Grupo!AX38</f>
        <v>2</v>
      </c>
      <c r="AY38" s="28">
        <f>Grupo!AY38</f>
        <v>1</v>
      </c>
      <c r="AZ38" s="28">
        <f>Grupo!AZ38</f>
        <v>1</v>
      </c>
      <c r="BA38" s="28">
        <f>Grupo!BA38</f>
        <v>0</v>
      </c>
      <c r="BB38" s="28">
        <f>Grupo!BB38</f>
        <v>2</v>
      </c>
      <c r="BC38" s="28">
        <f>Grupo!BC38</f>
        <v>1</v>
      </c>
      <c r="BD38" s="28">
        <f>Grupo!BD38</f>
        <v>2</v>
      </c>
      <c r="BE38" s="28">
        <f>Grupo!BE38</f>
        <v>0</v>
      </c>
      <c r="BF38" s="28">
        <f>Grupo!BF38</f>
        <v>1</v>
      </c>
      <c r="BG38" s="28">
        <f>Grupo!BG38</f>
        <v>1</v>
      </c>
      <c r="BH38" s="28">
        <f>Grupo!BH38</f>
        <v>0</v>
      </c>
      <c r="BI38" s="28">
        <f>Grupo!BI38</f>
        <v>1</v>
      </c>
      <c r="BJ38" s="28">
        <f>Grupo!BJ38</f>
        <v>1</v>
      </c>
      <c r="BK38" s="28">
        <f>Grupo!BK38</f>
        <v>2</v>
      </c>
      <c r="BL38" s="28">
        <f>Grupo!BL38</f>
        <v>0</v>
      </c>
      <c r="BM38" s="28">
        <f>Grupo!BM38</f>
        <v>2</v>
      </c>
      <c r="BN38" s="28">
        <f>Grupo!BN38</f>
        <v>2</v>
      </c>
      <c r="BO38" s="28">
        <f>Grupo!BO38</f>
        <v>0</v>
      </c>
      <c r="BP38" s="28">
        <f>Grupo!BP38</f>
        <v>3</v>
      </c>
      <c r="BQ38" s="28">
        <f>Grupo!BQ38</f>
        <v>0</v>
      </c>
      <c r="BR38" s="28">
        <f>Grupo!BR38</f>
        <v>0</v>
      </c>
      <c r="BS38" s="28">
        <f>Grupo!BS38</f>
        <v>1</v>
      </c>
      <c r="BT38" s="28">
        <f>Grupo!BT38</f>
        <v>2</v>
      </c>
      <c r="BU38" s="28">
        <f>Grupo!BU38</f>
        <v>1</v>
      </c>
      <c r="BV38" s="28">
        <f>Grupo!BV38</f>
        <v>0</v>
      </c>
      <c r="BW38" s="28">
        <f>Grupo!BW38</f>
        <v>1</v>
      </c>
      <c r="BX38" s="28">
        <f>Grupo!BX38</f>
        <v>0</v>
      </c>
      <c r="BY38" s="28">
        <f>Grupo!BY38</f>
        <v>1</v>
      </c>
      <c r="BZ38" s="28">
        <f>Grupo!BZ38</f>
        <v>1</v>
      </c>
      <c r="CA38" s="28">
        <f>Grupo!CA38</f>
        <v>0</v>
      </c>
      <c r="CB38" s="28">
        <f>Grupo!CB38</f>
        <v>2</v>
      </c>
      <c r="CC38" s="28">
        <f>Grupo!CC38</f>
        <v>1</v>
      </c>
      <c r="CD38" s="28">
        <f>Grupo!CD38</f>
        <v>1</v>
      </c>
      <c r="CE38" s="28">
        <f>Grupo!CE38</f>
        <v>2</v>
      </c>
      <c r="CF38" s="28">
        <f>Grupo!CF38</f>
        <v>1</v>
      </c>
      <c r="CG38" s="28">
        <f>Grupo!CG38</f>
        <v>1</v>
      </c>
      <c r="CH38" s="28">
        <f>Grupo!CH38</f>
        <v>3</v>
      </c>
      <c r="CI38" s="28">
        <f>Grupo!CI38</f>
        <v>0</v>
      </c>
      <c r="CJ38" s="28">
        <f>Grupo!CJ38</f>
        <v>3</v>
      </c>
      <c r="CK38" s="28">
        <f>Grupo!CK38</f>
        <v>2</v>
      </c>
      <c r="CL38" s="28">
        <f>Grupo!CL38</f>
        <v>2</v>
      </c>
      <c r="CM38" s="28">
        <f>Grupo!CM38</f>
        <v>0</v>
      </c>
      <c r="CN38" s="28">
        <f>Grupo!CN38</f>
        <v>1</v>
      </c>
      <c r="CO38" s="28">
        <f>Grupo!CO38</f>
        <v>1</v>
      </c>
      <c r="CP38" s="28">
        <f>Grupo!CP38</f>
        <v>0</v>
      </c>
      <c r="CQ38" s="28">
        <f>Grupo!CQ38</f>
        <v>3</v>
      </c>
      <c r="CR38" s="28">
        <f>Grupo!CR38</f>
        <v>1</v>
      </c>
      <c r="CS38" s="28">
        <f>Grupo!CS38</f>
        <v>1</v>
      </c>
      <c r="CT38" s="28">
        <f>Grupo!CT38</f>
        <v>2</v>
      </c>
      <c r="CU38" s="28">
        <f>Grupo!CU38</f>
        <v>1</v>
      </c>
      <c r="CV38" s="28">
        <f>Grupo!CV38</f>
        <v>3</v>
      </c>
      <c r="CW38" s="28">
        <f>Grupo!CW38</f>
        <v>2</v>
      </c>
      <c r="CX38" s="28">
        <f>Grupo!CX38</f>
        <v>1</v>
      </c>
      <c r="CY38" s="28">
        <f>Grupo!CY38</f>
        <v>0</v>
      </c>
      <c r="CZ38" s="28">
        <f>Grupo!CZ38</f>
        <v>2</v>
      </c>
      <c r="DA38" s="28">
        <f>Grupo!DA38</f>
        <v>1</v>
      </c>
      <c r="DB38" s="28">
        <f>Grupo!DB38</f>
        <v>1</v>
      </c>
      <c r="DC38" s="28">
        <f>Grupo!DC38</f>
        <v>1</v>
      </c>
      <c r="DD38" s="28">
        <f>Grupo!DD38</f>
        <v>2</v>
      </c>
      <c r="DE38" s="28">
        <f>Grupo!DE38</f>
        <v>1</v>
      </c>
      <c r="DF38" s="28">
        <f>Grupo!DF38</f>
        <v>1</v>
      </c>
      <c r="DG38" s="28">
        <f>Grupo!DG38</f>
        <v>0</v>
      </c>
      <c r="DH38" s="28">
        <f>Grupo!DH38</f>
        <v>0</v>
      </c>
      <c r="DI38" s="28">
        <f>Grupo!DI38</f>
        <v>3</v>
      </c>
      <c r="DJ38" s="28">
        <f>Grupo!DJ38</f>
        <v>1</v>
      </c>
      <c r="DK38" s="28">
        <f>Grupo!DK38</f>
        <v>1</v>
      </c>
      <c r="DL38" s="28">
        <f>Grupo!DL38</f>
        <v>2</v>
      </c>
      <c r="DM38" s="28">
        <f>Grupo!DM38</f>
        <v>0</v>
      </c>
      <c r="DN38" s="28">
        <f>Grupo!DN38</f>
        <v>0</v>
      </c>
      <c r="DO38" s="28">
        <f>Grupo!DO38</f>
        <v>0</v>
      </c>
      <c r="DP38" s="28">
        <f>Grupo!DP38</f>
        <v>1</v>
      </c>
      <c r="DQ38" s="28">
        <f>Grupo!DQ38</f>
        <v>1</v>
      </c>
      <c r="DR38" s="28">
        <f>Grupo!DR38</f>
        <v>2</v>
      </c>
      <c r="DS38" s="28">
        <f>Grupo!DS38</f>
        <v>0</v>
      </c>
      <c r="DT38" s="28">
        <f>Grupo!DT38</f>
        <v>1</v>
      </c>
      <c r="DU38" s="28">
        <f>Grupo!DU38</f>
        <v>2</v>
      </c>
      <c r="DV38" s="28">
        <f>Grupo!DV38</f>
        <v>0</v>
      </c>
      <c r="DW38" s="28">
        <f>Grupo!DW38</f>
        <v>1</v>
      </c>
      <c r="DX38" s="28">
        <f>Grupo!DX38</f>
        <v>2</v>
      </c>
      <c r="DY38" s="28">
        <f>Grupo!DY38</f>
        <v>0</v>
      </c>
      <c r="DZ38" s="28">
        <f>Grupo!DZ38</f>
        <v>3</v>
      </c>
      <c r="EA38" s="70">
        <f>Grupo!EA38</f>
        <v>1</v>
      </c>
      <c r="EB38" s="70">
        <f>Grupo!EB38</f>
        <v>1</v>
      </c>
      <c r="EC38" s="70">
        <f>Grupo!EC38</f>
        <v>0</v>
      </c>
      <c r="ED38" s="70">
        <f>Grupo!ED38</f>
        <v>3</v>
      </c>
      <c r="EE38" s="70">
        <f>Grupo!EE38</f>
        <v>0</v>
      </c>
      <c r="EF38" s="70">
        <f>Grupo!EF38</f>
        <v>0</v>
      </c>
      <c r="EG38" s="70">
        <f>Grupo!EG38</f>
        <v>1</v>
      </c>
      <c r="EH38" s="70">
        <f>Grupo!EH38</f>
        <v>0</v>
      </c>
      <c r="EI38" s="70">
        <f>Grupo!EI38</f>
        <v>0</v>
      </c>
      <c r="EJ38" s="70">
        <f>Grupo!EJ38</f>
        <v>2</v>
      </c>
      <c r="EK38" s="70">
        <f>Grupo!EK38</f>
        <v>0</v>
      </c>
      <c r="EL38" s="70">
        <f>Grupo!EL38</f>
        <v>1</v>
      </c>
      <c r="EM38" s="70">
        <f>Grupo!EM38</f>
        <v>3</v>
      </c>
      <c r="EN38" s="70">
        <f>Grupo!EN38</f>
        <v>0</v>
      </c>
      <c r="EO38" s="70">
        <f>Grupo!EO38</f>
        <v>1</v>
      </c>
      <c r="EP38" s="78">
        <f>Grupo!EP38</f>
        <v>0</v>
      </c>
      <c r="EQ38" s="78">
        <f>Grupo!EQ38</f>
        <v>2</v>
      </c>
      <c r="ER38" s="78">
        <f>Grupo!ER38</f>
        <v>1</v>
      </c>
      <c r="ES38" s="78">
        <f>Grupo!ES38</f>
        <v>2</v>
      </c>
      <c r="ET38" s="78">
        <f>Grupo!ET38</f>
        <v>0</v>
      </c>
      <c r="EU38" s="78">
        <f>Grupo!EU38</f>
        <v>1</v>
      </c>
      <c r="EV38" s="78">
        <f>Grupo!EV38</f>
        <v>1</v>
      </c>
      <c r="EW38" s="78">
        <f>Grupo!EW38</f>
        <v>1</v>
      </c>
      <c r="EX38" s="78">
        <f>Grupo!EX38</f>
        <v>0</v>
      </c>
      <c r="EY38" s="78">
        <f>Grupo!EY38</f>
        <v>2</v>
      </c>
      <c r="EZ38" s="78">
        <f>Grupo!EZ38</f>
        <v>1</v>
      </c>
      <c r="FA38" s="78">
        <f>Grupo!FA38</f>
        <v>1</v>
      </c>
      <c r="FB38" s="78">
        <f>Grupo!FB38</f>
        <v>1</v>
      </c>
      <c r="FC38" s="78">
        <f>Grupo!FC38</f>
        <v>2</v>
      </c>
      <c r="FD38" s="78">
        <f>Grupo!FD38</f>
        <v>1</v>
      </c>
      <c r="FE38" s="78">
        <f>Grupo!FE38</f>
        <v>2</v>
      </c>
      <c r="FF38" s="78">
        <f>Grupo!FF38</f>
        <v>2</v>
      </c>
      <c r="FG38" s="78">
        <f>Grupo!FG38</f>
        <v>0</v>
      </c>
      <c r="FH38" s="78">
        <f>Grupo!FH38</f>
        <v>1</v>
      </c>
      <c r="FI38" s="78">
        <f>Grupo!FI38</f>
        <v>1</v>
      </c>
      <c r="FJ38" s="78">
        <f>Grupo!FJ38</f>
        <v>0</v>
      </c>
      <c r="FK38" s="78">
        <f>Grupo!FK38</f>
        <v>2</v>
      </c>
      <c r="FL38" s="78">
        <f>Grupo!FL38</f>
        <v>3</v>
      </c>
      <c r="FM38" s="78">
        <f>Grupo!FM38</f>
        <v>0</v>
      </c>
      <c r="FN38" s="78">
        <f>Grupo!FN38</f>
        <v>1</v>
      </c>
      <c r="FO38" s="78">
        <f>Grupo!FO38</f>
        <v>2</v>
      </c>
      <c r="FP38" s="78">
        <f>Grupo!FP38</f>
        <v>0</v>
      </c>
      <c r="FQ38" s="78">
        <f>Grupo!FQ38</f>
        <v>1</v>
      </c>
      <c r="FR38" s="78">
        <f>Grupo!FR38</f>
        <v>3</v>
      </c>
      <c r="FS38" s="78">
        <f>Grupo!FS38</f>
        <v>3</v>
      </c>
      <c r="FT38" s="78">
        <f>Grupo!FT38</f>
        <v>1</v>
      </c>
      <c r="FU38" s="78">
        <f>Grupo!FU38</f>
        <v>2</v>
      </c>
      <c r="FV38" s="78">
        <f>Grupo!FV38</f>
        <v>0</v>
      </c>
      <c r="FW38" s="78">
        <f>Grupo!FW38</f>
        <v>2</v>
      </c>
      <c r="FX38" s="78">
        <f>Grupo!FX38</f>
        <v>1</v>
      </c>
      <c r="FY38" s="78">
        <f>Grupo!FY38</f>
        <v>0</v>
      </c>
      <c r="FZ38" s="78">
        <f>Grupo!FZ38</f>
        <v>2</v>
      </c>
      <c r="GA38" s="78">
        <f>Grupo!GA38</f>
        <v>3</v>
      </c>
      <c r="GB38" s="78">
        <f>Grupo!GB38</f>
        <v>1</v>
      </c>
      <c r="GC38" s="78">
        <f>Grupo!GC38</f>
        <v>1</v>
      </c>
      <c r="GD38" s="78">
        <f>Grupo!GD38</f>
        <v>0</v>
      </c>
      <c r="GE38" s="78">
        <f>Grupo!GE38</f>
        <v>1</v>
      </c>
      <c r="GF38" s="78">
        <f>Grupo!GF38</f>
        <v>2</v>
      </c>
      <c r="GG38" s="78">
        <f>Grupo!GG38</f>
        <v>0</v>
      </c>
      <c r="GH38" s="78">
        <f>Grupo!GH38</f>
        <v>0</v>
      </c>
      <c r="GI38" s="78">
        <f>Grupo!GI38</f>
        <v>0</v>
      </c>
      <c r="GJ38" s="78">
        <f>Grupo!GJ38</f>
        <v>3</v>
      </c>
      <c r="GK38" s="78">
        <f>Grupo!GK38</f>
        <v>1</v>
      </c>
      <c r="GL38" s="78">
        <f>Grupo!GL38</f>
        <v>2</v>
      </c>
      <c r="GM38" s="78">
        <f>Grupo!GM38</f>
        <v>2</v>
      </c>
      <c r="GN38" s="78">
        <f>Grupo!GN38</f>
        <v>1</v>
      </c>
      <c r="GO38" s="78">
        <f>Grupo!GO38</f>
        <v>1</v>
      </c>
      <c r="GP38" s="78">
        <f>Grupo!GP38</f>
        <v>2</v>
      </c>
      <c r="GQ38" s="78">
        <f>Grupo!GQ38</f>
        <v>1</v>
      </c>
      <c r="GR38" s="79">
        <f>Grupo!GR38</f>
        <v>1</v>
      </c>
      <c r="GS38" s="79">
        <f>Grupo!GS38</f>
        <v>3</v>
      </c>
      <c r="GT38" s="79" t="str">
        <f>Grupo!GT38</f>
        <v/>
      </c>
      <c r="GU38" s="79">
        <f>Grupo!GU38</f>
        <v>2</v>
      </c>
      <c r="GV38" s="79">
        <f>Grupo!GV38</f>
        <v>0</v>
      </c>
      <c r="GW38" s="79" t="str">
        <f>Grupo!GW38</f>
        <v/>
      </c>
      <c r="GX38" s="76">
        <f>Grupo!GX38</f>
        <v>1</v>
      </c>
      <c r="GY38" s="76">
        <f>Grupo!GY38</f>
        <v>2</v>
      </c>
      <c r="GZ38" s="76" t="str">
        <f>Grupo!GZ38</f>
        <v/>
      </c>
      <c r="HA38" s="76">
        <f>Grupo!HA38</f>
        <v>1</v>
      </c>
      <c r="HB38" s="76">
        <f>Grupo!HB38</f>
        <v>3</v>
      </c>
      <c r="HC38" s="76" t="str">
        <f>Grupo!HC38</f>
        <v/>
      </c>
      <c r="HD38" s="76">
        <f>Grupo!HD38</f>
        <v>1</v>
      </c>
      <c r="HE38" s="76">
        <f>Grupo!HE38</f>
        <v>2</v>
      </c>
      <c r="HF38" s="76" t="str">
        <f>Grupo!HF38</f>
        <v/>
      </c>
      <c r="HG38" s="76">
        <f>Grupo!HG38</f>
        <v>0</v>
      </c>
      <c r="HH38" s="76">
        <f>Grupo!HH38</f>
        <v>0</v>
      </c>
      <c r="HI38" s="76" t="str">
        <f>Grupo!HI38</f>
        <v/>
      </c>
      <c r="HJ38" s="32">
        <f>Grupo!HJ38</f>
        <v>41</v>
      </c>
      <c r="HK38" s="25" t="s">
        <v>63</v>
      </c>
    </row>
    <row r="39" spans="1:219" ht="20.25" customHeight="1" thickBot="1" x14ac:dyDescent="0.35">
      <c r="A39" s="34" t="str">
        <f>Grupo!A39</f>
        <v>Mily Frida</v>
      </c>
      <c r="B39" s="28">
        <f>Grupo!B39</f>
        <v>2</v>
      </c>
      <c r="C39" s="28">
        <f>Grupo!C39</f>
        <v>0</v>
      </c>
      <c r="D39" s="28">
        <f>Grupo!D39</f>
        <v>3</v>
      </c>
      <c r="E39" s="28">
        <f>Grupo!E39</f>
        <v>1</v>
      </c>
      <c r="F39" s="28">
        <f>Grupo!F39</f>
        <v>1</v>
      </c>
      <c r="G39" s="28">
        <f>Grupo!G39</f>
        <v>0</v>
      </c>
      <c r="H39" s="28">
        <f>Grupo!H39</f>
        <v>0</v>
      </c>
      <c r="I39" s="28">
        <f>Grupo!I39</f>
        <v>1</v>
      </c>
      <c r="J39" s="28">
        <f>Grupo!J39</f>
        <v>0</v>
      </c>
      <c r="K39" s="28">
        <f>Grupo!K39</f>
        <v>0</v>
      </c>
      <c r="L39" s="28">
        <f>Grupo!L39</f>
        <v>1</v>
      </c>
      <c r="M39" s="28">
        <f>Grupo!M39</f>
        <v>0</v>
      </c>
      <c r="N39" s="28">
        <f>Grupo!N39</f>
        <v>0</v>
      </c>
      <c r="O39" s="28">
        <f>Grupo!O39</f>
        <v>1</v>
      </c>
      <c r="P39" s="28">
        <f>Grupo!P39</f>
        <v>3</v>
      </c>
      <c r="Q39" s="28">
        <f>Grupo!Q39</f>
        <v>1</v>
      </c>
      <c r="R39" s="28">
        <f>Grupo!R39</f>
        <v>0</v>
      </c>
      <c r="S39" s="28">
        <f>Grupo!S39</f>
        <v>1</v>
      </c>
      <c r="T39" s="28">
        <f>Grupo!T39</f>
        <v>3</v>
      </c>
      <c r="U39" s="28">
        <f>Grupo!U39</f>
        <v>1</v>
      </c>
      <c r="V39" s="28">
        <f>Grupo!V39</f>
        <v>0</v>
      </c>
      <c r="W39" s="28">
        <f>Grupo!W39</f>
        <v>0</v>
      </c>
      <c r="X39" s="28">
        <f>Grupo!X39</f>
        <v>1</v>
      </c>
      <c r="Y39" s="28">
        <f>Grupo!Y39</f>
        <v>0</v>
      </c>
      <c r="Z39" s="28">
        <f>Grupo!Z39</f>
        <v>1</v>
      </c>
      <c r="AA39" s="28">
        <f>Grupo!AA39</f>
        <v>0</v>
      </c>
      <c r="AB39" s="28">
        <f>Grupo!AB39</f>
        <v>3</v>
      </c>
      <c r="AC39" s="28">
        <f>Grupo!AC39</f>
        <v>2</v>
      </c>
      <c r="AD39" s="28">
        <f>Grupo!AD39</f>
        <v>0</v>
      </c>
      <c r="AE39" s="28">
        <f>Grupo!AE39</f>
        <v>1</v>
      </c>
      <c r="AF39" s="28">
        <f>Grupo!AF39</f>
        <v>2</v>
      </c>
      <c r="AG39" s="28">
        <f>Grupo!AG39</f>
        <v>1</v>
      </c>
      <c r="AH39" s="28">
        <f>Grupo!AH39</f>
        <v>0</v>
      </c>
      <c r="AI39" s="28">
        <f>Grupo!AI39</f>
        <v>2</v>
      </c>
      <c r="AJ39" s="28">
        <f>Grupo!AJ39</f>
        <v>1</v>
      </c>
      <c r="AK39" s="28">
        <f>Grupo!AK39</f>
        <v>1</v>
      </c>
      <c r="AL39" s="28">
        <f>Grupo!AL39</f>
        <v>1</v>
      </c>
      <c r="AM39" s="28">
        <f>Grupo!AM39</f>
        <v>2</v>
      </c>
      <c r="AN39" s="28">
        <f>Grupo!AN39</f>
        <v>0</v>
      </c>
      <c r="AO39" s="28">
        <f>Grupo!AO39</f>
        <v>2</v>
      </c>
      <c r="AP39" s="28">
        <f>Grupo!AP39</f>
        <v>0</v>
      </c>
      <c r="AQ39" s="28">
        <f>Grupo!AQ39</f>
        <v>0</v>
      </c>
      <c r="AR39" s="28">
        <f>Grupo!AR39</f>
        <v>1</v>
      </c>
      <c r="AS39" s="28">
        <f>Grupo!AS39</f>
        <v>0</v>
      </c>
      <c r="AT39" s="28">
        <f>Grupo!AT39</f>
        <v>0</v>
      </c>
      <c r="AU39" s="28">
        <f>Grupo!AU39</f>
        <v>0</v>
      </c>
      <c r="AV39" s="28">
        <f>Grupo!AV39</f>
        <v>1</v>
      </c>
      <c r="AW39" s="28">
        <f>Grupo!AW39</f>
        <v>0</v>
      </c>
      <c r="AX39" s="28">
        <f>Grupo!AX39</f>
        <v>3</v>
      </c>
      <c r="AY39" s="28">
        <f>Grupo!AY39</f>
        <v>1</v>
      </c>
      <c r="AZ39" s="28">
        <f>Grupo!AZ39</f>
        <v>3</v>
      </c>
      <c r="BA39" s="28">
        <f>Grupo!BA39</f>
        <v>1</v>
      </c>
      <c r="BB39" s="28">
        <f>Grupo!BB39</f>
        <v>0</v>
      </c>
      <c r="BC39" s="28">
        <f>Grupo!BC39</f>
        <v>0</v>
      </c>
      <c r="BD39" s="28">
        <f>Grupo!BD39</f>
        <v>2</v>
      </c>
      <c r="BE39" s="28">
        <f>Grupo!BE39</f>
        <v>0</v>
      </c>
      <c r="BF39" s="28">
        <f>Grupo!BF39</f>
        <v>1</v>
      </c>
      <c r="BG39" s="28">
        <f>Grupo!BG39</f>
        <v>2</v>
      </c>
      <c r="BH39" s="28">
        <f>Grupo!BH39</f>
        <v>0</v>
      </c>
      <c r="BI39" s="28">
        <f>Grupo!BI39</f>
        <v>1</v>
      </c>
      <c r="BJ39" s="28">
        <f>Grupo!BJ39</f>
        <v>1</v>
      </c>
      <c r="BK39" s="28">
        <f>Grupo!BK39</f>
        <v>2</v>
      </c>
      <c r="BL39" s="28">
        <f>Grupo!BL39</f>
        <v>0</v>
      </c>
      <c r="BM39" s="28">
        <f>Grupo!BM39</f>
        <v>2</v>
      </c>
      <c r="BN39" s="28">
        <f>Grupo!BN39</f>
        <v>1</v>
      </c>
      <c r="BO39" s="28">
        <f>Grupo!BO39</f>
        <v>1</v>
      </c>
      <c r="BP39" s="28">
        <f>Grupo!BP39</f>
        <v>2</v>
      </c>
      <c r="BQ39" s="28">
        <f>Grupo!BQ39</f>
        <v>0</v>
      </c>
      <c r="BR39" s="28">
        <f>Grupo!BR39</f>
        <v>0</v>
      </c>
      <c r="BS39" s="28">
        <f>Grupo!BS39</f>
        <v>1</v>
      </c>
      <c r="BT39" s="28">
        <f>Grupo!BT39</f>
        <v>2</v>
      </c>
      <c r="BU39" s="28">
        <f>Grupo!BU39</f>
        <v>1</v>
      </c>
      <c r="BV39" s="28">
        <f>Grupo!BV39</f>
        <v>1</v>
      </c>
      <c r="BW39" s="28">
        <f>Grupo!BW39</f>
        <v>0</v>
      </c>
      <c r="BX39" s="28">
        <f>Grupo!BX39</f>
        <v>0</v>
      </c>
      <c r="BY39" s="28">
        <f>Grupo!BY39</f>
        <v>1</v>
      </c>
      <c r="BZ39" s="28">
        <f>Grupo!BZ39</f>
        <v>1</v>
      </c>
      <c r="CA39" s="28">
        <f>Grupo!CA39</f>
        <v>0</v>
      </c>
      <c r="CB39" s="28">
        <f>Grupo!CB39</f>
        <v>0</v>
      </c>
      <c r="CC39" s="28">
        <f>Grupo!CC39</f>
        <v>1</v>
      </c>
      <c r="CD39" s="28">
        <f>Grupo!CD39</f>
        <v>0</v>
      </c>
      <c r="CE39" s="28">
        <f>Grupo!CE39</f>
        <v>1</v>
      </c>
      <c r="CF39" s="28">
        <f>Grupo!CF39</f>
        <v>1</v>
      </c>
      <c r="CG39" s="28">
        <f>Grupo!CG39</f>
        <v>0</v>
      </c>
      <c r="CH39" s="28">
        <f>Grupo!CH39</f>
        <v>2</v>
      </c>
      <c r="CI39" s="28">
        <f>Grupo!CI39</f>
        <v>1</v>
      </c>
      <c r="CJ39" s="28">
        <f>Grupo!CJ39</f>
        <v>1</v>
      </c>
      <c r="CK39" s="28">
        <f>Grupo!CK39</f>
        <v>2</v>
      </c>
      <c r="CL39" s="28">
        <f>Grupo!CL39</f>
        <v>0</v>
      </c>
      <c r="CM39" s="28">
        <f>Grupo!CM39</f>
        <v>0</v>
      </c>
      <c r="CN39" s="28">
        <f>Grupo!CN39</f>
        <v>0</v>
      </c>
      <c r="CO39" s="28">
        <f>Grupo!CO39</f>
        <v>1</v>
      </c>
      <c r="CP39" s="28">
        <f>Grupo!CP39</f>
        <v>3</v>
      </c>
      <c r="CQ39" s="28">
        <f>Grupo!CQ39</f>
        <v>1</v>
      </c>
      <c r="CR39" s="28">
        <f>Grupo!CR39</f>
        <v>2</v>
      </c>
      <c r="CS39" s="28">
        <f>Grupo!CS39</f>
        <v>0</v>
      </c>
      <c r="CT39" s="28">
        <f>Grupo!CT39</f>
        <v>2</v>
      </c>
      <c r="CU39" s="28">
        <f>Grupo!CU39</f>
        <v>0</v>
      </c>
      <c r="CV39" s="28">
        <f>Grupo!CV39</f>
        <v>1</v>
      </c>
      <c r="CW39" s="28">
        <f>Grupo!CW39</f>
        <v>2</v>
      </c>
      <c r="CX39" s="28">
        <f>Grupo!CX39</f>
        <v>0</v>
      </c>
      <c r="CY39" s="28">
        <f>Grupo!CY39</f>
        <v>0</v>
      </c>
      <c r="CZ39" s="28">
        <f>Grupo!CZ39</f>
        <v>1</v>
      </c>
      <c r="DA39" s="28">
        <f>Grupo!DA39</f>
        <v>0</v>
      </c>
      <c r="DB39" s="28">
        <f>Grupo!DB39</f>
        <v>1</v>
      </c>
      <c r="DC39" s="28">
        <f>Grupo!DC39</f>
        <v>0</v>
      </c>
      <c r="DD39" s="28">
        <f>Grupo!DD39</f>
        <v>1</v>
      </c>
      <c r="DE39" s="28">
        <f>Grupo!DE39</f>
        <v>1</v>
      </c>
      <c r="DF39" s="28">
        <f>Grupo!DF39</f>
        <v>2</v>
      </c>
      <c r="DG39" s="28">
        <f>Grupo!DG39</f>
        <v>1</v>
      </c>
      <c r="DH39" s="28">
        <f>Grupo!DH39</f>
        <v>0</v>
      </c>
      <c r="DI39" s="28">
        <f>Grupo!DI39</f>
        <v>2</v>
      </c>
      <c r="DJ39" s="28">
        <f>Grupo!DJ39</f>
        <v>0</v>
      </c>
      <c r="DK39" s="28">
        <f>Grupo!DK39</f>
        <v>1</v>
      </c>
      <c r="DL39" s="28">
        <f>Grupo!DL39</f>
        <v>0</v>
      </c>
      <c r="DM39" s="28">
        <f>Grupo!DM39</f>
        <v>1</v>
      </c>
      <c r="DN39" s="28">
        <f>Grupo!DN39</f>
        <v>0</v>
      </c>
      <c r="DO39" s="28">
        <f>Grupo!DO39</f>
        <v>0</v>
      </c>
      <c r="DP39" s="28">
        <f>Grupo!DP39</f>
        <v>2</v>
      </c>
      <c r="DQ39" s="28">
        <f>Grupo!DQ39</f>
        <v>1</v>
      </c>
      <c r="DR39" s="28">
        <f>Grupo!DR39</f>
        <v>1</v>
      </c>
      <c r="DS39" s="28">
        <f>Grupo!DS39</f>
        <v>0</v>
      </c>
      <c r="DT39" s="28">
        <f>Grupo!DT39</f>
        <v>1</v>
      </c>
      <c r="DU39" s="28">
        <f>Grupo!DU39</f>
        <v>3</v>
      </c>
      <c r="DV39" s="28">
        <f>Grupo!DV39</f>
        <v>0</v>
      </c>
      <c r="DW39" s="28">
        <f>Grupo!DW39</f>
        <v>3</v>
      </c>
      <c r="DX39" s="28">
        <f>Grupo!DX39</f>
        <v>2</v>
      </c>
      <c r="DY39" s="28">
        <f>Grupo!DY39</f>
        <v>1</v>
      </c>
      <c r="DZ39" s="28">
        <f>Grupo!DZ39</f>
        <v>1</v>
      </c>
      <c r="EA39" s="70">
        <f>Grupo!EA39</f>
        <v>0</v>
      </c>
      <c r="EB39" s="70">
        <f>Grupo!EB39</f>
        <v>0</v>
      </c>
      <c r="EC39" s="70">
        <f>Grupo!EC39</f>
        <v>0</v>
      </c>
      <c r="ED39" s="70">
        <f>Grupo!ED39</f>
        <v>2</v>
      </c>
      <c r="EE39" s="70">
        <f>Grupo!EE39</f>
        <v>0</v>
      </c>
      <c r="EF39" s="70">
        <f>Grupo!EF39</f>
        <v>0</v>
      </c>
      <c r="EG39" s="70">
        <f>Grupo!EG39</f>
        <v>0</v>
      </c>
      <c r="EH39" s="70">
        <f>Grupo!EH39</f>
        <v>1</v>
      </c>
      <c r="EI39" s="70">
        <f>Grupo!EI39</f>
        <v>3</v>
      </c>
      <c r="EJ39" s="70">
        <f>Grupo!EJ39</f>
        <v>3</v>
      </c>
      <c r="EK39" s="70">
        <f>Grupo!EK39</f>
        <v>0</v>
      </c>
      <c r="EL39" s="70">
        <f>Grupo!EL39</f>
        <v>1</v>
      </c>
      <c r="EM39" s="70">
        <f>Grupo!EM39</f>
        <v>1</v>
      </c>
      <c r="EN39" s="70">
        <f>Grupo!EN39</f>
        <v>0</v>
      </c>
      <c r="EO39" s="70">
        <f>Grupo!EO39</f>
        <v>3</v>
      </c>
      <c r="EP39" s="78">
        <f>Grupo!EP39</f>
        <v>1</v>
      </c>
      <c r="EQ39" s="78">
        <f>Grupo!EQ39</f>
        <v>2</v>
      </c>
      <c r="ER39" s="78">
        <f>Grupo!ER39</f>
        <v>1</v>
      </c>
      <c r="ES39" s="78">
        <f>Grupo!ES39</f>
        <v>0</v>
      </c>
      <c r="ET39" s="78">
        <f>Grupo!ET39</f>
        <v>1</v>
      </c>
      <c r="EU39" s="78">
        <f>Grupo!EU39</f>
        <v>0</v>
      </c>
      <c r="EV39" s="78">
        <f>Grupo!EV39</f>
        <v>1</v>
      </c>
      <c r="EW39" s="78">
        <f>Grupo!EW39</f>
        <v>0</v>
      </c>
      <c r="EX39" s="78">
        <f>Grupo!EX39</f>
        <v>1</v>
      </c>
      <c r="EY39" s="78">
        <f>Grupo!EY39</f>
        <v>1</v>
      </c>
      <c r="EZ39" s="78">
        <f>Grupo!EZ39</f>
        <v>0</v>
      </c>
      <c r="FA39" s="78">
        <f>Grupo!FA39</f>
        <v>1</v>
      </c>
      <c r="FB39" s="78">
        <f>Grupo!FB39</f>
        <v>0</v>
      </c>
      <c r="FC39" s="78">
        <f>Grupo!FC39</f>
        <v>1</v>
      </c>
      <c r="FD39" s="78">
        <f>Grupo!FD39</f>
        <v>1</v>
      </c>
      <c r="FE39" s="78">
        <f>Grupo!FE39</f>
        <v>0</v>
      </c>
      <c r="FF39" s="78">
        <f>Grupo!FF39</f>
        <v>1</v>
      </c>
      <c r="FG39" s="78">
        <f>Grupo!FG39</f>
        <v>0</v>
      </c>
      <c r="FH39" s="78">
        <f>Grupo!FH39</f>
        <v>0</v>
      </c>
      <c r="FI39" s="78">
        <f>Grupo!FI39</f>
        <v>1</v>
      </c>
      <c r="FJ39" s="78">
        <f>Grupo!FJ39</f>
        <v>1</v>
      </c>
      <c r="FK39" s="78">
        <f>Grupo!FK39</f>
        <v>0</v>
      </c>
      <c r="FL39" s="78">
        <f>Grupo!FL39</f>
        <v>2</v>
      </c>
      <c r="FM39" s="78">
        <f>Grupo!FM39</f>
        <v>0</v>
      </c>
      <c r="FN39" s="78">
        <f>Grupo!FN39</f>
        <v>1</v>
      </c>
      <c r="FO39" s="78">
        <f>Grupo!FO39</f>
        <v>1</v>
      </c>
      <c r="FP39" s="78">
        <f>Grupo!FP39</f>
        <v>3</v>
      </c>
      <c r="FQ39" s="78">
        <f>Grupo!FQ39</f>
        <v>0</v>
      </c>
      <c r="FR39" s="78">
        <f>Grupo!FR39</f>
        <v>2</v>
      </c>
      <c r="FS39" s="78">
        <f>Grupo!FS39</f>
        <v>1</v>
      </c>
      <c r="FT39" s="78">
        <f>Grupo!FT39</f>
        <v>0</v>
      </c>
      <c r="FU39" s="78">
        <f>Grupo!FU39</f>
        <v>1</v>
      </c>
      <c r="FV39" s="78">
        <f>Grupo!FV39</f>
        <v>0</v>
      </c>
      <c r="FW39" s="78">
        <f>Grupo!FW39</f>
        <v>1</v>
      </c>
      <c r="FX39" s="78">
        <f>Grupo!FX39</f>
        <v>2</v>
      </c>
      <c r="FY39" s="78">
        <f>Grupo!FY39</f>
        <v>0</v>
      </c>
      <c r="FZ39" s="78">
        <f>Grupo!FZ39</f>
        <v>0</v>
      </c>
      <c r="GA39" s="78">
        <f>Grupo!GA39</f>
        <v>2</v>
      </c>
      <c r="GB39" s="78">
        <f>Grupo!GB39</f>
        <v>1</v>
      </c>
      <c r="GC39" s="78">
        <f>Grupo!GC39</f>
        <v>1</v>
      </c>
      <c r="GD39" s="78">
        <f>Grupo!GD39</f>
        <v>2</v>
      </c>
      <c r="GE39" s="78">
        <f>Grupo!GE39</f>
        <v>0</v>
      </c>
      <c r="GF39" s="78">
        <f>Grupo!GF39</f>
        <v>2</v>
      </c>
      <c r="GG39" s="78">
        <f>Grupo!GG39</f>
        <v>1</v>
      </c>
      <c r="GH39" s="78">
        <f>Grupo!GH39</f>
        <v>0</v>
      </c>
      <c r="GI39" s="78">
        <f>Grupo!GI39</f>
        <v>0</v>
      </c>
      <c r="GJ39" s="78">
        <f>Grupo!GJ39</f>
        <v>2</v>
      </c>
      <c r="GK39" s="78">
        <f>Grupo!GK39</f>
        <v>1</v>
      </c>
      <c r="GL39" s="78">
        <f>Grupo!GL39</f>
        <v>1</v>
      </c>
      <c r="GM39" s="78">
        <f>Grupo!GM39</f>
        <v>0</v>
      </c>
      <c r="GN39" s="78">
        <f>Grupo!GN39</f>
        <v>0</v>
      </c>
      <c r="GO39" s="78">
        <f>Grupo!GO39</f>
        <v>1</v>
      </c>
      <c r="GP39" s="78">
        <f>Grupo!GP39</f>
        <v>2</v>
      </c>
      <c r="GQ39" s="78">
        <f>Grupo!GQ39</f>
        <v>1</v>
      </c>
      <c r="GR39" s="79">
        <f>Grupo!GR39</f>
        <v>0</v>
      </c>
      <c r="GS39" s="79">
        <f>Grupo!GS39</f>
        <v>2</v>
      </c>
      <c r="GT39" s="79" t="str">
        <f>Grupo!GT39</f>
        <v/>
      </c>
      <c r="GU39" s="79">
        <f>Grupo!GU39</f>
        <v>2</v>
      </c>
      <c r="GV39" s="79">
        <f>Grupo!GV39</f>
        <v>0</v>
      </c>
      <c r="GW39" s="79" t="str">
        <f>Grupo!GW39</f>
        <v/>
      </c>
      <c r="GX39" s="76">
        <f>Grupo!GX39</f>
        <v>0</v>
      </c>
      <c r="GY39" s="76">
        <f>Grupo!GY39</f>
        <v>1</v>
      </c>
      <c r="GZ39" s="76" t="str">
        <f>Grupo!GZ39</f>
        <v/>
      </c>
      <c r="HA39" s="76">
        <f>Grupo!HA39</f>
        <v>0</v>
      </c>
      <c r="HB39" s="76">
        <f>Grupo!HB39</f>
        <v>2</v>
      </c>
      <c r="HC39" s="76" t="str">
        <f>Grupo!HC39</f>
        <v/>
      </c>
      <c r="HD39" s="76">
        <f>Grupo!HD39</f>
        <v>1</v>
      </c>
      <c r="HE39" s="76">
        <f>Grupo!HE39</f>
        <v>2</v>
      </c>
      <c r="HF39" s="76" t="str">
        <f>Grupo!HF39</f>
        <v/>
      </c>
      <c r="HG39" s="76">
        <f>Grupo!HG39</f>
        <v>1</v>
      </c>
      <c r="HH39" s="76">
        <f>Grupo!HH39</f>
        <v>1</v>
      </c>
      <c r="HI39" s="76" t="str">
        <f>Grupo!HI39</f>
        <v/>
      </c>
      <c r="HJ39" s="32">
        <f>Grupo!HJ39</f>
        <v>52</v>
      </c>
      <c r="HK39" s="25" t="s">
        <v>39</v>
      </c>
    </row>
    <row r="40" spans="1:219" ht="20.25" customHeight="1" thickBot="1" x14ac:dyDescent="0.35">
      <c r="A40" s="34" t="str">
        <f>Grupo!A40</f>
        <v>Mily Oliver</v>
      </c>
      <c r="B40" s="28">
        <f>Grupo!B40</f>
        <v>2</v>
      </c>
      <c r="C40" s="28">
        <f>Grupo!C40</f>
        <v>0</v>
      </c>
      <c r="D40" s="28">
        <f>Grupo!D40</f>
        <v>3</v>
      </c>
      <c r="E40" s="28">
        <f>Grupo!E40</f>
        <v>1</v>
      </c>
      <c r="F40" s="28">
        <f>Grupo!F40</f>
        <v>1</v>
      </c>
      <c r="G40" s="28">
        <f>Grupo!G40</f>
        <v>0</v>
      </c>
      <c r="H40" s="28">
        <f>Grupo!H40</f>
        <v>2</v>
      </c>
      <c r="I40" s="28">
        <f>Grupo!I40</f>
        <v>1</v>
      </c>
      <c r="J40" s="28">
        <f>Grupo!J40</f>
        <v>0</v>
      </c>
      <c r="K40" s="28">
        <f>Grupo!K40</f>
        <v>2</v>
      </c>
      <c r="L40" s="28">
        <f>Grupo!L40</f>
        <v>0</v>
      </c>
      <c r="M40" s="28">
        <f>Grupo!M40</f>
        <v>1</v>
      </c>
      <c r="N40" s="28">
        <f>Grupo!N40</f>
        <v>0</v>
      </c>
      <c r="O40" s="28">
        <f>Grupo!O40</f>
        <v>0</v>
      </c>
      <c r="P40" s="28">
        <f>Grupo!P40</f>
        <v>0</v>
      </c>
      <c r="Q40" s="28">
        <f>Grupo!Q40</f>
        <v>1</v>
      </c>
      <c r="R40" s="28">
        <f>Grupo!R40</f>
        <v>2</v>
      </c>
      <c r="S40" s="28">
        <f>Grupo!S40</f>
        <v>0</v>
      </c>
      <c r="T40" s="28">
        <f>Grupo!T40</f>
        <v>2</v>
      </c>
      <c r="U40" s="28">
        <f>Grupo!U40</f>
        <v>1</v>
      </c>
      <c r="V40" s="28">
        <f>Grupo!V40</f>
        <v>0</v>
      </c>
      <c r="W40" s="28">
        <f>Grupo!W40</f>
        <v>0</v>
      </c>
      <c r="X40" s="28">
        <f>Grupo!X40</f>
        <v>2</v>
      </c>
      <c r="Y40" s="28">
        <f>Grupo!Y40</f>
        <v>0</v>
      </c>
      <c r="Z40" s="28">
        <f>Grupo!Z40</f>
        <v>1</v>
      </c>
      <c r="AA40" s="28">
        <f>Grupo!AA40</f>
        <v>1</v>
      </c>
      <c r="AB40" s="28">
        <f>Grupo!AB40</f>
        <v>0</v>
      </c>
      <c r="AC40" s="28">
        <f>Grupo!AC40</f>
        <v>3</v>
      </c>
      <c r="AD40" s="28">
        <f>Grupo!AD40</f>
        <v>0</v>
      </c>
      <c r="AE40" s="28">
        <f>Grupo!AE40</f>
        <v>1</v>
      </c>
      <c r="AF40" s="28">
        <f>Grupo!AF40</f>
        <v>2</v>
      </c>
      <c r="AG40" s="28">
        <f>Grupo!AG40</f>
        <v>1</v>
      </c>
      <c r="AH40" s="28">
        <f>Grupo!AH40</f>
        <v>0</v>
      </c>
      <c r="AI40" s="28">
        <f>Grupo!AI40</f>
        <v>1</v>
      </c>
      <c r="AJ40" s="28">
        <f>Grupo!AJ40</f>
        <v>0</v>
      </c>
      <c r="AK40" s="28">
        <f>Grupo!AK40</f>
        <v>1</v>
      </c>
      <c r="AL40" s="28">
        <f>Grupo!AL40</f>
        <v>1</v>
      </c>
      <c r="AM40" s="28">
        <f>Grupo!AM40</f>
        <v>2</v>
      </c>
      <c r="AN40" s="28">
        <f>Grupo!AN40</f>
        <v>0</v>
      </c>
      <c r="AO40" s="28">
        <f>Grupo!AO40</f>
        <v>3</v>
      </c>
      <c r="AP40" s="28">
        <f>Grupo!AP40</f>
        <v>0</v>
      </c>
      <c r="AQ40" s="28">
        <f>Grupo!AQ40</f>
        <v>0</v>
      </c>
      <c r="AR40" s="28">
        <f>Grupo!AR40</f>
        <v>2</v>
      </c>
      <c r="AS40" s="28">
        <f>Grupo!AS40</f>
        <v>1</v>
      </c>
      <c r="AT40" s="28">
        <f>Grupo!AT40</f>
        <v>0</v>
      </c>
      <c r="AU40" s="28">
        <f>Grupo!AU40</f>
        <v>2</v>
      </c>
      <c r="AV40" s="28">
        <f>Grupo!AV40</f>
        <v>0</v>
      </c>
      <c r="AW40" s="28">
        <f>Grupo!AW40</f>
        <v>0</v>
      </c>
      <c r="AX40" s="28">
        <f>Grupo!AX40</f>
        <v>2</v>
      </c>
      <c r="AY40" s="28">
        <f>Grupo!AY40</f>
        <v>0</v>
      </c>
      <c r="AZ40" s="28">
        <f>Grupo!AZ40</f>
        <v>1</v>
      </c>
      <c r="BA40" s="28">
        <f>Grupo!BA40</f>
        <v>1</v>
      </c>
      <c r="BB40" s="28">
        <f>Grupo!BB40</f>
        <v>1</v>
      </c>
      <c r="BC40" s="28">
        <f>Grupo!BC40</f>
        <v>0</v>
      </c>
      <c r="BD40" s="28">
        <f>Grupo!BD40</f>
        <v>3</v>
      </c>
      <c r="BE40" s="28">
        <f>Grupo!BE40</f>
        <v>1</v>
      </c>
      <c r="BF40" s="28">
        <f>Grupo!BF40</f>
        <v>1</v>
      </c>
      <c r="BG40" s="28">
        <f>Grupo!BG40</f>
        <v>2</v>
      </c>
      <c r="BH40" s="28">
        <f>Grupo!BH40</f>
        <v>0</v>
      </c>
      <c r="BI40" s="28">
        <f>Grupo!BI40</f>
        <v>1</v>
      </c>
      <c r="BJ40" s="28">
        <f>Grupo!BJ40</f>
        <v>1</v>
      </c>
      <c r="BK40" s="28">
        <f>Grupo!BK40</f>
        <v>1</v>
      </c>
      <c r="BL40" s="28">
        <f>Grupo!BL40</f>
        <v>0</v>
      </c>
      <c r="BM40" s="28">
        <f>Grupo!BM40</f>
        <v>1</v>
      </c>
      <c r="BN40" s="28">
        <f>Grupo!BN40</f>
        <v>1</v>
      </c>
      <c r="BO40" s="28">
        <f>Grupo!BO40</f>
        <v>0</v>
      </c>
      <c r="BP40" s="28">
        <f>Grupo!BP40</f>
        <v>2</v>
      </c>
      <c r="BQ40" s="28">
        <f>Grupo!BQ40</f>
        <v>0</v>
      </c>
      <c r="BR40" s="28">
        <f>Grupo!BR40</f>
        <v>0</v>
      </c>
      <c r="BS40" s="28">
        <f>Grupo!BS40</f>
        <v>0</v>
      </c>
      <c r="BT40" s="28">
        <f>Grupo!BT40</f>
        <v>2</v>
      </c>
      <c r="BU40" s="28">
        <f>Grupo!BU40</f>
        <v>1</v>
      </c>
      <c r="BV40" s="28">
        <f>Grupo!BV40</f>
        <v>2</v>
      </c>
      <c r="BW40" s="28">
        <f>Grupo!BW40</f>
        <v>0</v>
      </c>
      <c r="BX40" s="28">
        <f>Grupo!BX40</f>
        <v>0</v>
      </c>
      <c r="BY40" s="28">
        <f>Grupo!BY40</f>
        <v>1</v>
      </c>
      <c r="BZ40" s="28">
        <f>Grupo!BZ40</f>
        <v>0</v>
      </c>
      <c r="CA40" s="28">
        <f>Grupo!CA40</f>
        <v>1</v>
      </c>
      <c r="CB40" s="28">
        <f>Grupo!CB40</f>
        <v>2</v>
      </c>
      <c r="CC40" s="28">
        <f>Grupo!CC40</f>
        <v>1</v>
      </c>
      <c r="CD40" s="28">
        <f>Grupo!CD40</f>
        <v>1</v>
      </c>
      <c r="CE40" s="28">
        <f>Grupo!CE40</f>
        <v>2</v>
      </c>
      <c r="CF40" s="28">
        <f>Grupo!CF40</f>
        <v>0</v>
      </c>
      <c r="CG40" s="28">
        <f>Grupo!CG40</f>
        <v>1</v>
      </c>
      <c r="CH40" s="28">
        <f>Grupo!CH40</f>
        <v>3</v>
      </c>
      <c r="CI40" s="28">
        <f>Grupo!CI40</f>
        <v>0</v>
      </c>
      <c r="CJ40" s="28">
        <f>Grupo!CJ40</f>
        <v>3</v>
      </c>
      <c r="CK40" s="28">
        <f>Grupo!CK40</f>
        <v>1</v>
      </c>
      <c r="CL40" s="28">
        <f>Grupo!CL40</f>
        <v>2</v>
      </c>
      <c r="CM40" s="28">
        <f>Grupo!CM40</f>
        <v>1</v>
      </c>
      <c r="CN40" s="28">
        <f>Grupo!CN40</f>
        <v>2</v>
      </c>
      <c r="CO40" s="28">
        <f>Grupo!CO40</f>
        <v>1</v>
      </c>
      <c r="CP40" s="28">
        <f>Grupo!CP40</f>
        <v>0</v>
      </c>
      <c r="CQ40" s="28">
        <f>Grupo!CQ40</f>
        <v>2</v>
      </c>
      <c r="CR40" s="28">
        <f>Grupo!CR40</f>
        <v>0</v>
      </c>
      <c r="CS40" s="28">
        <f>Grupo!CS40</f>
        <v>3</v>
      </c>
      <c r="CT40" s="28">
        <f>Grupo!CT40</f>
        <v>3</v>
      </c>
      <c r="CU40" s="28">
        <f>Grupo!CU40</f>
        <v>1</v>
      </c>
      <c r="CV40" s="28">
        <f>Grupo!CV40</f>
        <v>1</v>
      </c>
      <c r="CW40" s="28">
        <f>Grupo!CW40</f>
        <v>2</v>
      </c>
      <c r="CX40" s="28">
        <f>Grupo!CX40</f>
        <v>0</v>
      </c>
      <c r="CY40" s="28">
        <f>Grupo!CY40</f>
        <v>0</v>
      </c>
      <c r="CZ40" s="28">
        <f>Grupo!CZ40</f>
        <v>1</v>
      </c>
      <c r="DA40" s="28">
        <f>Grupo!DA40</f>
        <v>1</v>
      </c>
      <c r="DB40" s="28">
        <f>Grupo!DB40</f>
        <v>0</v>
      </c>
      <c r="DC40" s="28">
        <f>Grupo!DC40</f>
        <v>0</v>
      </c>
      <c r="DD40" s="28">
        <f>Grupo!DD40</f>
        <v>2</v>
      </c>
      <c r="DE40" s="28">
        <f>Grupo!DE40</f>
        <v>1</v>
      </c>
      <c r="DF40" s="28">
        <f>Grupo!DF40</f>
        <v>2</v>
      </c>
      <c r="DG40" s="28">
        <f>Grupo!DG40</f>
        <v>0</v>
      </c>
      <c r="DH40" s="28">
        <f>Grupo!DH40</f>
        <v>0</v>
      </c>
      <c r="DI40" s="28">
        <f>Grupo!DI40</f>
        <v>2</v>
      </c>
      <c r="DJ40" s="28">
        <f>Grupo!DJ40</f>
        <v>0</v>
      </c>
      <c r="DK40" s="28">
        <f>Grupo!DK40</f>
        <v>1</v>
      </c>
      <c r="DL40" s="28">
        <f>Grupo!DL40</f>
        <v>1</v>
      </c>
      <c r="DM40" s="28">
        <f>Grupo!DM40</f>
        <v>1</v>
      </c>
      <c r="DN40" s="28">
        <f>Grupo!DN40</f>
        <v>1</v>
      </c>
      <c r="DO40" s="28">
        <f>Grupo!DO40</f>
        <v>0</v>
      </c>
      <c r="DP40" s="28">
        <f>Grupo!DP40</f>
        <v>1</v>
      </c>
      <c r="DQ40" s="28">
        <f>Grupo!DQ40</f>
        <v>1</v>
      </c>
      <c r="DR40" s="28">
        <f>Grupo!DR40</f>
        <v>2</v>
      </c>
      <c r="DS40" s="28">
        <f>Grupo!DS40</f>
        <v>1</v>
      </c>
      <c r="DT40" s="28">
        <f>Grupo!DT40</f>
        <v>1</v>
      </c>
      <c r="DU40" s="28">
        <f>Grupo!DU40</f>
        <v>3</v>
      </c>
      <c r="DV40" s="28">
        <f>Grupo!DV40</f>
        <v>0</v>
      </c>
      <c r="DW40" s="28">
        <f>Grupo!DW40</f>
        <v>3</v>
      </c>
      <c r="DX40" s="28">
        <f>Grupo!DX40</f>
        <v>2</v>
      </c>
      <c r="DY40" s="28">
        <f>Grupo!DY40</f>
        <v>0</v>
      </c>
      <c r="DZ40" s="28">
        <f>Grupo!DZ40</f>
        <v>3</v>
      </c>
      <c r="EA40" s="70">
        <f>Grupo!EA40</f>
        <v>0</v>
      </c>
      <c r="EB40" s="70">
        <f>Grupo!EB40</f>
        <v>1</v>
      </c>
      <c r="EC40" s="70">
        <f>Grupo!EC40</f>
        <v>1</v>
      </c>
      <c r="ED40" s="70">
        <f>Grupo!ED40</f>
        <v>2</v>
      </c>
      <c r="EE40" s="70">
        <f>Grupo!EE40</f>
        <v>1</v>
      </c>
      <c r="EF40" s="70">
        <f>Grupo!EF40</f>
        <v>0</v>
      </c>
      <c r="EG40" s="70">
        <f>Grupo!EG40</f>
        <v>1</v>
      </c>
      <c r="EH40" s="70">
        <f>Grupo!EH40</f>
        <v>2</v>
      </c>
      <c r="EI40" s="70">
        <f>Grupo!EI40</f>
        <v>1</v>
      </c>
      <c r="EJ40" s="70">
        <f>Grupo!EJ40</f>
        <v>2</v>
      </c>
      <c r="EK40" s="70">
        <f>Grupo!EK40</f>
        <v>0</v>
      </c>
      <c r="EL40" s="70">
        <f>Grupo!EL40</f>
        <v>1</v>
      </c>
      <c r="EM40" s="70">
        <f>Grupo!EM40</f>
        <v>1</v>
      </c>
      <c r="EN40" s="70">
        <f>Grupo!EN40</f>
        <v>1</v>
      </c>
      <c r="EO40" s="70">
        <f>Grupo!EO40</f>
        <v>0</v>
      </c>
      <c r="EP40" s="78">
        <f>Grupo!EP40</f>
        <v>1</v>
      </c>
      <c r="EQ40" s="78">
        <f>Grupo!EQ40</f>
        <v>3</v>
      </c>
      <c r="ER40" s="78">
        <f>Grupo!ER40</f>
        <v>1</v>
      </c>
      <c r="ES40" s="78">
        <f>Grupo!ES40</f>
        <v>2</v>
      </c>
      <c r="ET40" s="78">
        <f>Grupo!ET40</f>
        <v>0</v>
      </c>
      <c r="EU40" s="78">
        <f>Grupo!EU40</f>
        <v>1</v>
      </c>
      <c r="EV40" s="78">
        <f>Grupo!EV40</f>
        <v>1</v>
      </c>
      <c r="EW40" s="78">
        <f>Grupo!EW40</f>
        <v>1</v>
      </c>
      <c r="EX40" s="78">
        <f>Grupo!EX40</f>
        <v>0</v>
      </c>
      <c r="EY40" s="78">
        <f>Grupo!EY40</f>
        <v>2</v>
      </c>
      <c r="EZ40" s="78">
        <f>Grupo!EZ40</f>
        <v>1</v>
      </c>
      <c r="FA40" s="78">
        <f>Grupo!FA40</f>
        <v>1</v>
      </c>
      <c r="FB40" s="78">
        <f>Grupo!FB40</f>
        <v>1</v>
      </c>
      <c r="FC40" s="78">
        <f>Grupo!FC40</f>
        <v>2</v>
      </c>
      <c r="FD40" s="78">
        <f>Grupo!FD40</f>
        <v>1</v>
      </c>
      <c r="FE40" s="78">
        <f>Grupo!FE40</f>
        <v>1</v>
      </c>
      <c r="FF40" s="78">
        <f>Grupo!FF40</f>
        <v>1</v>
      </c>
      <c r="FG40" s="78">
        <f>Grupo!FG40</f>
        <v>0</v>
      </c>
      <c r="FH40" s="78">
        <f>Grupo!FH40</f>
        <v>0</v>
      </c>
      <c r="FI40" s="78">
        <f>Grupo!FI40</f>
        <v>3</v>
      </c>
      <c r="FJ40" s="78">
        <f>Grupo!FJ40</f>
        <v>1</v>
      </c>
      <c r="FK40" s="78">
        <f>Grupo!FK40</f>
        <v>1</v>
      </c>
      <c r="FL40" s="78">
        <f>Grupo!FL40</f>
        <v>2</v>
      </c>
      <c r="FM40" s="78">
        <f>Grupo!FM40</f>
        <v>0</v>
      </c>
      <c r="FN40" s="78">
        <f>Grupo!FN40</f>
        <v>2</v>
      </c>
      <c r="FO40" s="78">
        <f>Grupo!FO40</f>
        <v>1</v>
      </c>
      <c r="FP40" s="78">
        <f>Grupo!FP40</f>
        <v>0</v>
      </c>
      <c r="FQ40" s="78">
        <f>Grupo!FQ40</f>
        <v>0</v>
      </c>
      <c r="FR40" s="78">
        <f>Grupo!FR40</f>
        <v>1</v>
      </c>
      <c r="FS40" s="78">
        <f>Grupo!FS40</f>
        <v>1</v>
      </c>
      <c r="FT40" s="78">
        <f>Grupo!FT40</f>
        <v>1</v>
      </c>
      <c r="FU40" s="78">
        <f>Grupo!FU40</f>
        <v>2</v>
      </c>
      <c r="FV40" s="78">
        <f>Grupo!FV40</f>
        <v>0</v>
      </c>
      <c r="FW40" s="78">
        <f>Grupo!FW40</f>
        <v>2</v>
      </c>
      <c r="FX40" s="78">
        <f>Grupo!FX40</f>
        <v>1</v>
      </c>
      <c r="FY40" s="78">
        <f>Grupo!FY40</f>
        <v>0</v>
      </c>
      <c r="FZ40" s="78">
        <f>Grupo!FZ40</f>
        <v>1</v>
      </c>
      <c r="GA40" s="78">
        <f>Grupo!GA40</f>
        <v>2</v>
      </c>
      <c r="GB40" s="78">
        <f>Grupo!GB40</f>
        <v>1</v>
      </c>
      <c r="GC40" s="78">
        <f>Grupo!GC40</f>
        <v>2</v>
      </c>
      <c r="GD40" s="78">
        <f>Grupo!GD40</f>
        <v>0</v>
      </c>
      <c r="GE40" s="78">
        <f>Grupo!GE40</f>
        <v>1</v>
      </c>
      <c r="GF40" s="78">
        <f>Grupo!GF40</f>
        <v>1</v>
      </c>
      <c r="GG40" s="78">
        <f>Grupo!GG40</f>
        <v>1</v>
      </c>
      <c r="GH40" s="78">
        <f>Grupo!GH40</f>
        <v>3</v>
      </c>
      <c r="GI40" s="78">
        <f>Grupo!GI40</f>
        <v>0</v>
      </c>
      <c r="GJ40" s="78">
        <f>Grupo!GJ40</f>
        <v>2</v>
      </c>
      <c r="GK40" s="78">
        <f>Grupo!GK40</f>
        <v>1</v>
      </c>
      <c r="GL40" s="78">
        <f>Grupo!GL40</f>
        <v>1</v>
      </c>
      <c r="GM40" s="78">
        <f>Grupo!GM40</f>
        <v>2</v>
      </c>
      <c r="GN40" s="78">
        <f>Grupo!GN40</f>
        <v>0</v>
      </c>
      <c r="GO40" s="78">
        <f>Grupo!GO40</f>
        <v>1</v>
      </c>
      <c r="GP40" s="78">
        <f>Grupo!GP40</f>
        <v>1</v>
      </c>
      <c r="GQ40" s="78">
        <f>Grupo!GQ40</f>
        <v>0</v>
      </c>
      <c r="GR40" s="79">
        <f>Grupo!GR40</f>
        <v>0</v>
      </c>
      <c r="GS40" s="79">
        <f>Grupo!GS40</f>
        <v>2</v>
      </c>
      <c r="GT40" s="79" t="str">
        <f>Grupo!GT40</f>
        <v/>
      </c>
      <c r="GU40" s="79">
        <f>Grupo!GU40</f>
        <v>2</v>
      </c>
      <c r="GV40" s="79">
        <f>Grupo!GV40</f>
        <v>1</v>
      </c>
      <c r="GW40" s="79" t="str">
        <f>Grupo!GW40</f>
        <v/>
      </c>
      <c r="GX40" s="76">
        <f>Grupo!GX40</f>
        <v>1</v>
      </c>
      <c r="GY40" s="76">
        <f>Grupo!GY40</f>
        <v>0</v>
      </c>
      <c r="GZ40" s="76" t="str">
        <f>Grupo!GZ40</f>
        <v/>
      </c>
      <c r="HA40" s="76">
        <f>Grupo!HA40</f>
        <v>0</v>
      </c>
      <c r="HB40" s="76">
        <f>Grupo!HB40</f>
        <v>3</v>
      </c>
      <c r="HC40" s="76" t="str">
        <f>Grupo!HC40</f>
        <v/>
      </c>
      <c r="HD40" s="76">
        <f>Grupo!HD40</f>
        <v>2</v>
      </c>
      <c r="HE40" s="76">
        <f>Grupo!HE40</f>
        <v>2</v>
      </c>
      <c r="HF40" s="76" t="str">
        <f>Grupo!HF40</f>
        <v/>
      </c>
      <c r="HG40" s="76">
        <f>Grupo!HG40</f>
        <v>1</v>
      </c>
      <c r="HH40" s="76">
        <f>Grupo!HH40</f>
        <v>1</v>
      </c>
      <c r="HI40" s="76" t="str">
        <f>Grupo!HI40</f>
        <v/>
      </c>
      <c r="HJ40" s="32">
        <f>Grupo!HJ40</f>
        <v>47</v>
      </c>
      <c r="HK40" s="25" t="s">
        <v>49</v>
      </c>
    </row>
    <row r="41" spans="1:219" ht="20.25" customHeight="1" thickBot="1" x14ac:dyDescent="0.35">
      <c r="A41" s="34" t="str">
        <f>Grupo!A41</f>
        <v>Mily Zeynneth</v>
      </c>
      <c r="B41" s="28">
        <f>Grupo!B41</f>
        <v>3</v>
      </c>
      <c r="C41" s="28">
        <f>Grupo!C41</f>
        <v>1</v>
      </c>
      <c r="D41" s="28">
        <f>Grupo!D41</f>
        <v>1</v>
      </c>
      <c r="E41" s="28">
        <f>Grupo!E41</f>
        <v>2</v>
      </c>
      <c r="F41" s="28">
        <f>Grupo!F41</f>
        <v>2</v>
      </c>
      <c r="G41" s="28">
        <f>Grupo!G41</f>
        <v>0</v>
      </c>
      <c r="H41" s="28">
        <f>Grupo!H41</f>
        <v>3</v>
      </c>
      <c r="I41" s="28">
        <f>Grupo!I41</f>
        <v>1</v>
      </c>
      <c r="J41" s="28">
        <f>Grupo!J41</f>
        <v>0</v>
      </c>
      <c r="K41" s="28">
        <f>Grupo!K41</f>
        <v>3</v>
      </c>
      <c r="L41" s="28">
        <f>Grupo!L41</f>
        <v>0</v>
      </c>
      <c r="M41" s="28">
        <f>Grupo!M41</f>
        <v>1</v>
      </c>
      <c r="N41" s="28">
        <f>Grupo!N41</f>
        <v>0</v>
      </c>
      <c r="O41" s="28">
        <f>Grupo!O41</f>
        <v>1</v>
      </c>
      <c r="P41" s="28">
        <f>Grupo!P41</f>
        <v>3</v>
      </c>
      <c r="Q41" s="28">
        <f>Grupo!Q41</f>
        <v>2</v>
      </c>
      <c r="R41" s="28">
        <f>Grupo!R41</f>
        <v>3</v>
      </c>
      <c r="S41" s="28">
        <f>Grupo!S41</f>
        <v>0</v>
      </c>
      <c r="T41" s="28">
        <f>Grupo!T41</f>
        <v>3</v>
      </c>
      <c r="U41" s="28">
        <f>Grupo!U41</f>
        <v>1</v>
      </c>
      <c r="V41" s="28">
        <f>Grupo!V41</f>
        <v>0</v>
      </c>
      <c r="W41" s="28">
        <f>Grupo!W41</f>
        <v>0</v>
      </c>
      <c r="X41" s="28">
        <f>Grupo!X41</f>
        <v>3</v>
      </c>
      <c r="Y41" s="28">
        <f>Grupo!Y41</f>
        <v>0</v>
      </c>
      <c r="Z41" s="28">
        <f>Grupo!Z41</f>
        <v>1</v>
      </c>
      <c r="AA41" s="28">
        <f>Grupo!AA41</f>
        <v>2</v>
      </c>
      <c r="AB41" s="28">
        <f>Grupo!AB41</f>
        <v>0</v>
      </c>
      <c r="AC41" s="28">
        <f>Grupo!AC41</f>
        <v>4</v>
      </c>
      <c r="AD41" s="28">
        <f>Grupo!AD41</f>
        <v>0</v>
      </c>
      <c r="AE41" s="28">
        <f>Grupo!AE41</f>
        <v>1</v>
      </c>
      <c r="AF41" s="28">
        <f>Grupo!AF41</f>
        <v>3</v>
      </c>
      <c r="AG41" s="28">
        <f>Grupo!AG41</f>
        <v>1</v>
      </c>
      <c r="AH41" s="28">
        <f>Grupo!AH41</f>
        <v>0</v>
      </c>
      <c r="AI41" s="28">
        <f>Grupo!AI41</f>
        <v>2</v>
      </c>
      <c r="AJ41" s="28">
        <f>Grupo!AJ41</f>
        <v>1</v>
      </c>
      <c r="AK41" s="28">
        <f>Grupo!AK41</f>
        <v>1</v>
      </c>
      <c r="AL41" s="28">
        <f>Grupo!AL41</f>
        <v>2</v>
      </c>
      <c r="AM41" s="28">
        <f>Grupo!AM41</f>
        <v>3</v>
      </c>
      <c r="AN41" s="28">
        <f>Grupo!AN41</f>
        <v>0</v>
      </c>
      <c r="AO41" s="28">
        <f>Grupo!AO41</f>
        <v>4</v>
      </c>
      <c r="AP41" s="28">
        <f>Grupo!AP41</f>
        <v>1</v>
      </c>
      <c r="AQ41" s="28">
        <f>Grupo!AQ41</f>
        <v>0</v>
      </c>
      <c r="AR41" s="28">
        <f>Grupo!AR41</f>
        <v>3</v>
      </c>
      <c r="AS41" s="28">
        <f>Grupo!AS41</f>
        <v>1</v>
      </c>
      <c r="AT41" s="28">
        <f>Grupo!AT41</f>
        <v>0</v>
      </c>
      <c r="AU41" s="28">
        <f>Grupo!AU41</f>
        <v>3</v>
      </c>
      <c r="AV41" s="28">
        <f>Grupo!AV41</f>
        <v>0</v>
      </c>
      <c r="AW41" s="28">
        <f>Grupo!AW41</f>
        <v>0</v>
      </c>
      <c r="AX41" s="28">
        <f>Grupo!AX41</f>
        <v>3</v>
      </c>
      <c r="AY41" s="28">
        <f>Grupo!AY41</f>
        <v>1</v>
      </c>
      <c r="AZ41" s="28">
        <f>Grupo!AZ41</f>
        <v>3</v>
      </c>
      <c r="BA41" s="28">
        <f>Grupo!BA41</f>
        <v>2</v>
      </c>
      <c r="BB41" s="28">
        <f>Grupo!BB41</f>
        <v>2</v>
      </c>
      <c r="BC41" s="28">
        <f>Grupo!BC41</f>
        <v>0</v>
      </c>
      <c r="BD41" s="28">
        <f>Grupo!BD41</f>
        <v>3</v>
      </c>
      <c r="BE41" s="28">
        <f>Grupo!BE41</f>
        <v>0</v>
      </c>
      <c r="BF41" s="28">
        <f>Grupo!BF41</f>
        <v>3</v>
      </c>
      <c r="BG41" s="28">
        <f>Grupo!BG41</f>
        <v>2</v>
      </c>
      <c r="BH41" s="28">
        <f>Grupo!BH41</f>
        <v>1</v>
      </c>
      <c r="BI41" s="28">
        <f>Grupo!BI41</f>
        <v>1</v>
      </c>
      <c r="BJ41" s="28">
        <f>Grupo!BJ41</f>
        <v>2</v>
      </c>
      <c r="BK41" s="28">
        <f>Grupo!BK41</f>
        <v>2</v>
      </c>
      <c r="BL41" s="28">
        <f>Grupo!BL41</f>
        <v>0</v>
      </c>
      <c r="BM41" s="28">
        <f>Grupo!BM41</f>
        <v>1</v>
      </c>
      <c r="BN41" s="28">
        <f>Grupo!BN41</f>
        <v>1</v>
      </c>
      <c r="BO41" s="28">
        <f>Grupo!BO41</f>
        <v>0</v>
      </c>
      <c r="BP41" s="28">
        <f>Grupo!BP41</f>
        <v>3</v>
      </c>
      <c r="BQ41" s="28">
        <f>Grupo!BQ41</f>
        <v>0</v>
      </c>
      <c r="BR41" s="28">
        <f>Grupo!BR41</f>
        <v>0</v>
      </c>
      <c r="BS41" s="28">
        <f>Grupo!BS41</f>
        <v>0</v>
      </c>
      <c r="BT41" s="28">
        <f>Grupo!BT41</f>
        <v>3</v>
      </c>
      <c r="BU41" s="28">
        <f>Grupo!BU41</f>
        <v>1</v>
      </c>
      <c r="BV41" s="28">
        <f>Grupo!BV41</f>
        <v>3</v>
      </c>
      <c r="BW41" s="28">
        <f>Grupo!BW41</f>
        <v>1</v>
      </c>
      <c r="BX41" s="28">
        <f>Grupo!BX41</f>
        <v>0</v>
      </c>
      <c r="BY41" s="28">
        <f>Grupo!BY41</f>
        <v>2</v>
      </c>
      <c r="BZ41" s="28">
        <f>Grupo!BZ41</f>
        <v>0</v>
      </c>
      <c r="CA41" s="28">
        <f>Grupo!CA41</f>
        <v>1</v>
      </c>
      <c r="CB41" s="28">
        <f>Grupo!CB41</f>
        <v>2</v>
      </c>
      <c r="CC41" s="28">
        <f>Grupo!CC41</f>
        <v>1</v>
      </c>
      <c r="CD41" s="28">
        <f>Grupo!CD41</f>
        <v>1</v>
      </c>
      <c r="CE41" s="28">
        <f>Grupo!CE41</f>
        <v>3</v>
      </c>
      <c r="CF41" s="28">
        <f>Grupo!CF41</f>
        <v>1</v>
      </c>
      <c r="CG41" s="28">
        <f>Grupo!CG41</f>
        <v>1</v>
      </c>
      <c r="CH41" s="28">
        <f>Grupo!CH41</f>
        <v>3</v>
      </c>
      <c r="CI41" s="28">
        <f>Grupo!CI41</f>
        <v>0</v>
      </c>
      <c r="CJ41" s="28">
        <f>Grupo!CJ41</f>
        <v>3</v>
      </c>
      <c r="CK41" s="28">
        <f>Grupo!CK41</f>
        <v>1</v>
      </c>
      <c r="CL41" s="28">
        <f>Grupo!CL41</f>
        <v>3</v>
      </c>
      <c r="CM41" s="28">
        <f>Grupo!CM41</f>
        <v>1</v>
      </c>
      <c r="CN41" s="28">
        <f>Grupo!CN41</f>
        <v>3</v>
      </c>
      <c r="CO41" s="28">
        <f>Grupo!CO41</f>
        <v>2</v>
      </c>
      <c r="CP41" s="28">
        <f>Grupo!CP41</f>
        <v>0</v>
      </c>
      <c r="CQ41" s="28">
        <f>Grupo!CQ41</f>
        <v>2</v>
      </c>
      <c r="CR41" s="28">
        <f>Grupo!CR41</f>
        <v>1</v>
      </c>
      <c r="CS41" s="28">
        <f>Grupo!CS41</f>
        <v>1</v>
      </c>
      <c r="CT41" s="28">
        <f>Grupo!CT41</f>
        <v>4</v>
      </c>
      <c r="CU41" s="28">
        <f>Grupo!CU41</f>
        <v>1</v>
      </c>
      <c r="CV41" s="28">
        <f>Grupo!CV41</f>
        <v>1</v>
      </c>
      <c r="CW41" s="28">
        <f>Grupo!CW41</f>
        <v>3</v>
      </c>
      <c r="CX41" s="28">
        <f>Grupo!CX41</f>
        <v>0</v>
      </c>
      <c r="CY41" s="28">
        <f>Grupo!CY41</f>
        <v>0</v>
      </c>
      <c r="CZ41" s="28">
        <f>Grupo!CZ41</f>
        <v>2</v>
      </c>
      <c r="DA41" s="28">
        <f>Grupo!DA41</f>
        <v>1</v>
      </c>
      <c r="DB41" s="28">
        <f>Grupo!DB41</f>
        <v>1</v>
      </c>
      <c r="DC41" s="28">
        <f>Grupo!DC41</f>
        <v>1</v>
      </c>
      <c r="DD41" s="28">
        <f>Grupo!DD41</f>
        <v>2</v>
      </c>
      <c r="DE41" s="28">
        <f>Grupo!DE41</f>
        <v>1</v>
      </c>
      <c r="DF41" s="28">
        <f>Grupo!DF41</f>
        <v>3</v>
      </c>
      <c r="DG41" s="28">
        <f>Grupo!DG41</f>
        <v>0</v>
      </c>
      <c r="DH41" s="28">
        <f>Grupo!DH41</f>
        <v>0</v>
      </c>
      <c r="DI41" s="28">
        <f>Grupo!DI41</f>
        <v>3</v>
      </c>
      <c r="DJ41" s="28">
        <f>Grupo!DJ41</f>
        <v>1</v>
      </c>
      <c r="DK41" s="28">
        <f>Grupo!DK41</f>
        <v>1</v>
      </c>
      <c r="DL41" s="28">
        <f>Grupo!DL41</f>
        <v>2</v>
      </c>
      <c r="DM41" s="28">
        <f>Grupo!DM41</f>
        <v>1</v>
      </c>
      <c r="DN41" s="28">
        <f>Grupo!DN41</f>
        <v>0</v>
      </c>
      <c r="DO41" s="28">
        <f>Grupo!DO41</f>
        <v>0</v>
      </c>
      <c r="DP41" s="28">
        <f>Grupo!DP41</f>
        <v>2</v>
      </c>
      <c r="DQ41" s="28">
        <f>Grupo!DQ41</f>
        <v>1</v>
      </c>
      <c r="DR41" s="28">
        <f>Grupo!DR41</f>
        <v>3</v>
      </c>
      <c r="DS41" s="28">
        <f>Grupo!DS41</f>
        <v>1</v>
      </c>
      <c r="DT41" s="28">
        <f>Grupo!DT41</f>
        <v>1</v>
      </c>
      <c r="DU41" s="28">
        <f>Grupo!DU41</f>
        <v>3</v>
      </c>
      <c r="DV41" s="28">
        <f>Grupo!DV41</f>
        <v>0</v>
      </c>
      <c r="DW41" s="28">
        <f>Grupo!DW41</f>
        <v>3</v>
      </c>
      <c r="DX41" s="28">
        <f>Grupo!DX41</f>
        <v>3</v>
      </c>
      <c r="DY41" s="28">
        <f>Grupo!DY41</f>
        <v>1</v>
      </c>
      <c r="DZ41" s="28">
        <f>Grupo!DZ41</f>
        <v>1</v>
      </c>
      <c r="EA41" s="70">
        <f>Grupo!EA41</f>
        <v>1</v>
      </c>
      <c r="EB41" s="70">
        <f>Grupo!EB41</f>
        <v>2</v>
      </c>
      <c r="EC41" s="70">
        <f>Grupo!EC41</f>
        <v>3</v>
      </c>
      <c r="ED41" s="70">
        <f>Grupo!ED41</f>
        <v>3</v>
      </c>
      <c r="EE41" s="70">
        <f>Grupo!EE41</f>
        <v>0</v>
      </c>
      <c r="EF41" s="70">
        <f>Grupo!EF41</f>
        <v>0</v>
      </c>
      <c r="EG41" s="70">
        <f>Grupo!EG41</f>
        <v>1</v>
      </c>
      <c r="EH41" s="70">
        <f>Grupo!EH41</f>
        <v>3</v>
      </c>
      <c r="EI41" s="70">
        <f>Grupo!EI41</f>
        <v>1</v>
      </c>
      <c r="EJ41" s="70">
        <f>Grupo!EJ41</f>
        <v>3</v>
      </c>
      <c r="EK41" s="70">
        <f>Grupo!EK41</f>
        <v>0</v>
      </c>
      <c r="EL41" s="70">
        <f>Grupo!EL41</f>
        <v>1</v>
      </c>
      <c r="EM41" s="70">
        <f>Grupo!EM41</f>
        <v>2</v>
      </c>
      <c r="EN41" s="70">
        <f>Grupo!EN41</f>
        <v>1</v>
      </c>
      <c r="EO41" s="70">
        <f>Grupo!EO41</f>
        <v>1</v>
      </c>
      <c r="EP41" s="78">
        <f>Grupo!EP41</f>
        <v>0</v>
      </c>
      <c r="EQ41" s="78">
        <f>Grupo!EQ41</f>
        <v>4</v>
      </c>
      <c r="ER41" s="78">
        <f>Grupo!ER41</f>
        <v>1</v>
      </c>
      <c r="ES41" s="78">
        <f>Grupo!ES41</f>
        <v>2</v>
      </c>
      <c r="ET41" s="78">
        <f>Grupo!ET41</f>
        <v>1</v>
      </c>
      <c r="EU41" s="78">
        <f>Grupo!EU41</f>
        <v>1</v>
      </c>
      <c r="EV41" s="78">
        <f>Grupo!EV41</f>
        <v>1</v>
      </c>
      <c r="EW41" s="78">
        <f>Grupo!EW41</f>
        <v>2</v>
      </c>
      <c r="EX41" s="78">
        <f>Grupo!EX41</f>
        <v>0</v>
      </c>
      <c r="EY41" s="78">
        <f>Grupo!EY41</f>
        <v>1</v>
      </c>
      <c r="EZ41" s="78">
        <f>Grupo!EZ41</f>
        <v>1</v>
      </c>
      <c r="FA41" s="78">
        <f>Grupo!FA41</f>
        <v>0</v>
      </c>
      <c r="FB41" s="78">
        <f>Grupo!FB41</f>
        <v>1</v>
      </c>
      <c r="FC41" s="78">
        <f>Grupo!FC41</f>
        <v>3</v>
      </c>
      <c r="FD41" s="78">
        <f>Grupo!FD41</f>
        <v>1</v>
      </c>
      <c r="FE41" s="78">
        <f>Grupo!FE41</f>
        <v>2</v>
      </c>
      <c r="FF41" s="78">
        <f>Grupo!FF41</f>
        <v>1</v>
      </c>
      <c r="FG41" s="78">
        <f>Grupo!FG41</f>
        <v>1</v>
      </c>
      <c r="FH41" s="78">
        <f>Grupo!FH41</f>
        <v>1</v>
      </c>
      <c r="FI41" s="78">
        <f>Grupo!FI41</f>
        <v>3</v>
      </c>
      <c r="FJ41" s="78">
        <f>Grupo!FJ41</f>
        <v>1</v>
      </c>
      <c r="FK41" s="78">
        <f>Grupo!FK41</f>
        <v>1</v>
      </c>
      <c r="FL41" s="78">
        <f>Grupo!FL41</f>
        <v>4</v>
      </c>
      <c r="FM41" s="78">
        <f>Grupo!FM41</f>
        <v>0</v>
      </c>
      <c r="FN41" s="78">
        <f>Grupo!FN41</f>
        <v>2</v>
      </c>
      <c r="FO41" s="78">
        <f>Grupo!FO41</f>
        <v>0</v>
      </c>
      <c r="FP41" s="78">
        <f>Grupo!FP41</f>
        <v>0</v>
      </c>
      <c r="FQ41" s="78">
        <f>Grupo!FQ41</f>
        <v>0</v>
      </c>
      <c r="FR41" s="78">
        <f>Grupo!FR41</f>
        <v>2</v>
      </c>
      <c r="FS41" s="78">
        <f>Grupo!FS41</f>
        <v>1</v>
      </c>
      <c r="FT41" s="78">
        <f>Grupo!FT41</f>
        <v>2</v>
      </c>
      <c r="FU41" s="78">
        <f>Grupo!FU41</f>
        <v>1</v>
      </c>
      <c r="FV41" s="78">
        <f>Grupo!FV41</f>
        <v>1</v>
      </c>
      <c r="FW41" s="78">
        <f>Grupo!FW41</f>
        <v>1</v>
      </c>
      <c r="FX41" s="78">
        <f>Grupo!FX41</f>
        <v>2</v>
      </c>
      <c r="FY41" s="78">
        <f>Grupo!FY41</f>
        <v>0</v>
      </c>
      <c r="FZ41" s="78">
        <f>Grupo!FZ41</f>
        <v>1</v>
      </c>
      <c r="GA41" s="78">
        <f>Grupo!GA41</f>
        <v>3</v>
      </c>
      <c r="GB41" s="78">
        <f>Grupo!GB41</f>
        <v>1</v>
      </c>
      <c r="GC41" s="78">
        <f>Grupo!GC41</f>
        <v>2</v>
      </c>
      <c r="GD41" s="78">
        <f>Grupo!GD41</f>
        <v>1</v>
      </c>
      <c r="GE41" s="78">
        <f>Grupo!GE41</f>
        <v>1</v>
      </c>
      <c r="GF41" s="78">
        <f>Grupo!GF41</f>
        <v>2</v>
      </c>
      <c r="GG41" s="78">
        <f>Grupo!GG41</f>
        <v>0</v>
      </c>
      <c r="GH41" s="78">
        <f>Grupo!GH41</f>
        <v>0</v>
      </c>
      <c r="GI41" s="78">
        <f>Grupo!GI41</f>
        <v>1</v>
      </c>
      <c r="GJ41" s="78">
        <f>Grupo!GJ41</f>
        <v>4</v>
      </c>
      <c r="GK41" s="78">
        <f>Grupo!GK41</f>
        <v>1</v>
      </c>
      <c r="GL41" s="78">
        <f>Grupo!GL41</f>
        <v>0</v>
      </c>
      <c r="GM41" s="78">
        <f>Grupo!GM41</f>
        <v>2</v>
      </c>
      <c r="GN41" s="78">
        <f>Grupo!GN41</f>
        <v>0</v>
      </c>
      <c r="GO41" s="78">
        <f>Grupo!GO41</f>
        <v>1</v>
      </c>
      <c r="GP41" s="78">
        <f>Grupo!GP41</f>
        <v>2</v>
      </c>
      <c r="GQ41" s="78">
        <f>Grupo!GQ41</f>
        <v>1</v>
      </c>
      <c r="GR41" s="79">
        <f>Grupo!GR41</f>
        <v>0</v>
      </c>
      <c r="GS41" s="79">
        <f>Grupo!GS41</f>
        <v>3</v>
      </c>
      <c r="GT41" s="79" t="str">
        <f>Grupo!GT41</f>
        <v/>
      </c>
      <c r="GU41" s="79">
        <f>Grupo!GU41</f>
        <v>3</v>
      </c>
      <c r="GV41" s="79">
        <f>Grupo!GV41</f>
        <v>1</v>
      </c>
      <c r="GW41" s="79" t="str">
        <f>Grupo!GW41</f>
        <v/>
      </c>
      <c r="GX41" s="76">
        <f>Grupo!GX41</f>
        <v>2</v>
      </c>
      <c r="GY41" s="76">
        <f>Grupo!GY41</f>
        <v>1</v>
      </c>
      <c r="GZ41" s="76" t="str">
        <f>Grupo!GZ41</f>
        <v/>
      </c>
      <c r="HA41" s="76">
        <f>Grupo!HA41</f>
        <v>0</v>
      </c>
      <c r="HB41" s="76">
        <f>Grupo!HB41</f>
        <v>2</v>
      </c>
      <c r="HC41" s="76" t="str">
        <f>Grupo!HC41</f>
        <v/>
      </c>
      <c r="HD41" s="76">
        <f>Grupo!HD41</f>
        <v>2</v>
      </c>
      <c r="HE41" s="76">
        <f>Grupo!HE41</f>
        <v>3</v>
      </c>
      <c r="HF41" s="76" t="str">
        <f>Grupo!HF41</f>
        <v/>
      </c>
      <c r="HG41" s="76">
        <f>Grupo!HG41</f>
        <v>1</v>
      </c>
      <c r="HH41" s="76">
        <f>Grupo!HH41</f>
        <v>0</v>
      </c>
      <c r="HI41" s="76" t="str">
        <f>Grupo!HI41</f>
        <v/>
      </c>
      <c r="HJ41" s="32">
        <f>Grupo!HJ41</f>
        <v>50</v>
      </c>
      <c r="HK41" s="25" t="s">
        <v>43</v>
      </c>
    </row>
    <row r="42" spans="1:219" ht="20.25" customHeight="1" thickBot="1" x14ac:dyDescent="0.35">
      <c r="A42" s="34" t="str">
        <f>Grupo!A42</f>
        <v>Nefreteri</v>
      </c>
      <c r="B42" s="28">
        <f>Grupo!B42</f>
        <v>1</v>
      </c>
      <c r="C42" s="28">
        <f>Grupo!C42</f>
        <v>2</v>
      </c>
      <c r="D42" s="28">
        <f>Grupo!D42</f>
        <v>0</v>
      </c>
      <c r="E42" s="28">
        <f>Grupo!E42</f>
        <v>3</v>
      </c>
      <c r="F42" s="28">
        <f>Grupo!F42</f>
        <v>0</v>
      </c>
      <c r="G42" s="28">
        <f>Grupo!G42</f>
        <v>1</v>
      </c>
      <c r="H42" s="28">
        <f>Grupo!H42</f>
        <v>2</v>
      </c>
      <c r="I42" s="28">
        <f>Grupo!I42</f>
        <v>0</v>
      </c>
      <c r="J42" s="28">
        <f>Grupo!J42</f>
        <v>0</v>
      </c>
      <c r="K42" s="28">
        <f>Grupo!K42</f>
        <v>1</v>
      </c>
      <c r="L42" s="28">
        <f>Grupo!L42</f>
        <v>2</v>
      </c>
      <c r="M42" s="28">
        <f>Grupo!M42</f>
        <v>0</v>
      </c>
      <c r="N42" s="28">
        <f>Grupo!N42</f>
        <v>0</v>
      </c>
      <c r="O42" s="28">
        <f>Grupo!O42</f>
        <v>1</v>
      </c>
      <c r="P42" s="28">
        <f>Grupo!P42</f>
        <v>3</v>
      </c>
      <c r="Q42" s="28">
        <f>Grupo!Q42</f>
        <v>2</v>
      </c>
      <c r="R42" s="28">
        <f>Grupo!R42</f>
        <v>2</v>
      </c>
      <c r="S42" s="28">
        <f>Grupo!S42</f>
        <v>0</v>
      </c>
      <c r="T42" s="28">
        <f>Grupo!T42</f>
        <v>1</v>
      </c>
      <c r="U42" s="28">
        <f>Grupo!U42</f>
        <v>1</v>
      </c>
      <c r="V42" s="28">
        <f>Grupo!V42</f>
        <v>3</v>
      </c>
      <c r="W42" s="28">
        <f>Grupo!W42</f>
        <v>0</v>
      </c>
      <c r="X42" s="28">
        <f>Grupo!X42</f>
        <v>2</v>
      </c>
      <c r="Y42" s="28">
        <f>Grupo!Y42</f>
        <v>0</v>
      </c>
      <c r="Z42" s="28">
        <f>Grupo!Z42</f>
        <v>2</v>
      </c>
      <c r="AA42" s="28">
        <f>Grupo!AA42</f>
        <v>1</v>
      </c>
      <c r="AB42" s="28">
        <f>Grupo!AB42</f>
        <v>1</v>
      </c>
      <c r="AC42" s="28">
        <f>Grupo!AC42</f>
        <v>3</v>
      </c>
      <c r="AD42" s="28">
        <f>Grupo!AD42</f>
        <v>0</v>
      </c>
      <c r="AE42" s="28">
        <f>Grupo!AE42</f>
        <v>1</v>
      </c>
      <c r="AF42" s="28">
        <f>Grupo!AF42</f>
        <v>2</v>
      </c>
      <c r="AG42" s="28">
        <f>Grupo!AG42</f>
        <v>1</v>
      </c>
      <c r="AH42" s="28">
        <f>Grupo!AH42</f>
        <v>0</v>
      </c>
      <c r="AI42" s="28">
        <f>Grupo!AI42</f>
        <v>2</v>
      </c>
      <c r="AJ42" s="28">
        <f>Grupo!AJ42</f>
        <v>0</v>
      </c>
      <c r="AK42" s="28">
        <f>Grupo!AK42</f>
        <v>1</v>
      </c>
      <c r="AL42" s="28">
        <f>Grupo!AL42</f>
        <v>1</v>
      </c>
      <c r="AM42" s="28">
        <f>Grupo!AM42</f>
        <v>3</v>
      </c>
      <c r="AN42" s="28">
        <f>Grupo!AN42</f>
        <v>0</v>
      </c>
      <c r="AO42" s="28">
        <f>Grupo!AO42</f>
        <v>3</v>
      </c>
      <c r="AP42" s="28">
        <f>Grupo!AP42</f>
        <v>0</v>
      </c>
      <c r="AQ42" s="28">
        <f>Grupo!AQ42</f>
        <v>0</v>
      </c>
      <c r="AR42" s="28">
        <f>Grupo!AR42</f>
        <v>1</v>
      </c>
      <c r="AS42" s="28">
        <f>Grupo!AS42</f>
        <v>2</v>
      </c>
      <c r="AT42" s="28">
        <f>Grupo!AT42</f>
        <v>0</v>
      </c>
      <c r="AU42" s="28">
        <f>Grupo!AU42</f>
        <v>2</v>
      </c>
      <c r="AV42" s="28">
        <f>Grupo!AV42</f>
        <v>1</v>
      </c>
      <c r="AW42" s="28">
        <f>Grupo!AW42</f>
        <v>0</v>
      </c>
      <c r="AX42" s="28">
        <f>Grupo!AX42</f>
        <v>3</v>
      </c>
      <c r="AY42" s="28">
        <f>Grupo!AY42</f>
        <v>1</v>
      </c>
      <c r="AZ42" s="28">
        <f>Grupo!AZ42</f>
        <v>3</v>
      </c>
      <c r="BA42" s="28">
        <f>Grupo!BA42</f>
        <v>0</v>
      </c>
      <c r="BB42" s="28">
        <f>Grupo!BB42</f>
        <v>2</v>
      </c>
      <c r="BC42" s="28">
        <f>Grupo!BC42</f>
        <v>1</v>
      </c>
      <c r="BD42" s="28">
        <f>Grupo!BD42</f>
        <v>4</v>
      </c>
      <c r="BE42" s="28">
        <f>Grupo!BE42</f>
        <v>0</v>
      </c>
      <c r="BF42" s="28">
        <f>Grupo!BF42</f>
        <v>1</v>
      </c>
      <c r="BG42" s="28">
        <f>Grupo!BG42</f>
        <v>3</v>
      </c>
      <c r="BH42" s="28">
        <f>Grupo!BH42</f>
        <v>1</v>
      </c>
      <c r="BI42" s="28">
        <f>Grupo!BI42</f>
        <v>3</v>
      </c>
      <c r="BJ42" s="28">
        <f>Grupo!BJ42</f>
        <v>1</v>
      </c>
      <c r="BK42" s="28">
        <f>Grupo!BK42</f>
        <v>1</v>
      </c>
      <c r="BL42" s="28">
        <f>Grupo!BL42</f>
        <v>0</v>
      </c>
      <c r="BM42" s="28">
        <f>Grupo!BM42</f>
        <v>2</v>
      </c>
      <c r="BN42" s="28">
        <f>Grupo!BN42</f>
        <v>1</v>
      </c>
      <c r="BO42" s="28">
        <f>Grupo!BO42</f>
        <v>1</v>
      </c>
      <c r="BP42" s="28">
        <f>Grupo!BP42</f>
        <v>3</v>
      </c>
      <c r="BQ42" s="28">
        <f>Grupo!BQ42</f>
        <v>1</v>
      </c>
      <c r="BR42" s="28">
        <f>Grupo!BR42</f>
        <v>0</v>
      </c>
      <c r="BS42" s="28">
        <f>Grupo!BS42</f>
        <v>0</v>
      </c>
      <c r="BT42" s="28">
        <f>Grupo!BT42</f>
        <v>2</v>
      </c>
      <c r="BU42" s="28">
        <f>Grupo!BU42</f>
        <v>1</v>
      </c>
      <c r="BV42" s="28">
        <f>Grupo!BV42</f>
        <v>0</v>
      </c>
      <c r="BW42" s="28">
        <f>Grupo!BW42</f>
        <v>1</v>
      </c>
      <c r="BX42" s="28">
        <f>Grupo!BX42</f>
        <v>0</v>
      </c>
      <c r="BY42" s="28">
        <f>Grupo!BY42</f>
        <v>3</v>
      </c>
      <c r="BZ42" s="28">
        <f>Grupo!BZ42</f>
        <v>1</v>
      </c>
      <c r="CA42" s="28">
        <f>Grupo!CA42</f>
        <v>1</v>
      </c>
      <c r="CB42" s="28">
        <f>Grupo!CB42</f>
        <v>1</v>
      </c>
      <c r="CC42" s="28">
        <f>Grupo!CC42</f>
        <v>0</v>
      </c>
      <c r="CD42" s="28">
        <f>Grupo!CD42</f>
        <v>1</v>
      </c>
      <c r="CE42" s="28">
        <f>Grupo!CE42</f>
        <v>1</v>
      </c>
      <c r="CF42" s="28">
        <f>Grupo!CF42</f>
        <v>3</v>
      </c>
      <c r="CG42" s="28">
        <f>Grupo!CG42</f>
        <v>0</v>
      </c>
      <c r="CH42" s="28">
        <f>Grupo!CH42</f>
        <v>3</v>
      </c>
      <c r="CI42" s="28">
        <f>Grupo!CI42</f>
        <v>1</v>
      </c>
      <c r="CJ42" s="28">
        <f>Grupo!CJ42</f>
        <v>1</v>
      </c>
      <c r="CK42" s="28">
        <f>Grupo!CK42</f>
        <v>1</v>
      </c>
      <c r="CL42" s="28">
        <f>Grupo!CL42</f>
        <v>2</v>
      </c>
      <c r="CM42" s="28">
        <f>Grupo!CM42</f>
        <v>1</v>
      </c>
      <c r="CN42" s="28">
        <f>Grupo!CN42</f>
        <v>1</v>
      </c>
      <c r="CO42" s="28">
        <f>Grupo!CO42</f>
        <v>0</v>
      </c>
      <c r="CP42" s="28">
        <f>Grupo!CP42</f>
        <v>0</v>
      </c>
      <c r="CQ42" s="28">
        <f>Grupo!CQ42</f>
        <v>1</v>
      </c>
      <c r="CR42" s="28">
        <f>Grupo!CR42</f>
        <v>2</v>
      </c>
      <c r="CS42" s="28">
        <f>Grupo!CS42</f>
        <v>0</v>
      </c>
      <c r="CT42" s="28">
        <f>Grupo!CT42</f>
        <v>3</v>
      </c>
      <c r="CU42" s="28">
        <f>Grupo!CU42</f>
        <v>0</v>
      </c>
      <c r="CV42" s="28">
        <f>Grupo!CV42</f>
        <v>1</v>
      </c>
      <c r="CW42" s="28">
        <f>Grupo!CW42</f>
        <v>1</v>
      </c>
      <c r="CX42" s="28">
        <f>Grupo!CX42</f>
        <v>1</v>
      </c>
      <c r="CY42" s="28">
        <f>Grupo!CY42</f>
        <v>1</v>
      </c>
      <c r="CZ42" s="28">
        <f>Grupo!CZ42</f>
        <v>3</v>
      </c>
      <c r="DA42" s="28">
        <f>Grupo!DA42</f>
        <v>2</v>
      </c>
      <c r="DB42" s="28">
        <f>Grupo!DB42</f>
        <v>1</v>
      </c>
      <c r="DC42" s="28">
        <f>Grupo!DC42</f>
        <v>0</v>
      </c>
      <c r="DD42" s="28">
        <f>Grupo!DD42</f>
        <v>2</v>
      </c>
      <c r="DE42" s="28">
        <f>Grupo!DE42</f>
        <v>1</v>
      </c>
      <c r="DF42" s="28">
        <f>Grupo!DF42</f>
        <v>4</v>
      </c>
      <c r="DG42" s="28">
        <f>Grupo!DG42</f>
        <v>0</v>
      </c>
      <c r="DH42" s="28">
        <f>Grupo!DH42</f>
        <v>0</v>
      </c>
      <c r="DI42" s="28">
        <f>Grupo!DI42</f>
        <v>2</v>
      </c>
      <c r="DJ42" s="28">
        <f>Grupo!DJ42</f>
        <v>0</v>
      </c>
      <c r="DK42" s="28">
        <f>Grupo!DK42</f>
        <v>1</v>
      </c>
      <c r="DL42" s="28">
        <f>Grupo!DL42</f>
        <v>2</v>
      </c>
      <c r="DM42" s="28">
        <f>Grupo!DM42</f>
        <v>0</v>
      </c>
      <c r="DN42" s="28">
        <f>Grupo!DN42</f>
        <v>0</v>
      </c>
      <c r="DO42" s="28">
        <f>Grupo!DO42</f>
        <v>1</v>
      </c>
      <c r="DP42" s="28">
        <f>Grupo!DP42</f>
        <v>1</v>
      </c>
      <c r="DQ42" s="28">
        <f>Grupo!DQ42</f>
        <v>0</v>
      </c>
      <c r="DR42" s="28">
        <f>Grupo!DR42</f>
        <v>2</v>
      </c>
      <c r="DS42" s="28">
        <f>Grupo!DS42</f>
        <v>1</v>
      </c>
      <c r="DT42" s="28">
        <f>Grupo!DT42</f>
        <v>1</v>
      </c>
      <c r="DU42" s="28">
        <f>Grupo!DU42</f>
        <v>2</v>
      </c>
      <c r="DV42" s="28">
        <f>Grupo!DV42</f>
        <v>0</v>
      </c>
      <c r="DW42" s="28">
        <f>Grupo!DW42</f>
        <v>1</v>
      </c>
      <c r="DX42" s="28">
        <f>Grupo!DX42</f>
        <v>4</v>
      </c>
      <c r="DY42" s="28">
        <f>Grupo!DY42</f>
        <v>2</v>
      </c>
      <c r="DZ42" s="28">
        <f>Grupo!DZ42</f>
        <v>1</v>
      </c>
      <c r="EA42" s="70">
        <f>Grupo!EA42</f>
        <v>2</v>
      </c>
      <c r="EB42" s="70">
        <f>Grupo!EB42</f>
        <v>1</v>
      </c>
      <c r="EC42" s="70">
        <f>Grupo!EC42</f>
        <v>0</v>
      </c>
      <c r="ED42" s="70">
        <f>Grupo!ED42</f>
        <v>3</v>
      </c>
      <c r="EE42" s="70">
        <f>Grupo!EE42</f>
        <v>0</v>
      </c>
      <c r="EF42" s="70">
        <f>Grupo!EF42</f>
        <v>0</v>
      </c>
      <c r="EG42" s="70">
        <f>Grupo!EG42</f>
        <v>1</v>
      </c>
      <c r="EH42" s="70">
        <f>Grupo!EH42</f>
        <v>1</v>
      </c>
      <c r="EI42" s="70">
        <f>Grupo!EI42</f>
        <v>0</v>
      </c>
      <c r="EJ42" s="70">
        <f>Grupo!EJ42</f>
        <v>2</v>
      </c>
      <c r="EK42" s="70">
        <f>Grupo!EK42</f>
        <v>0</v>
      </c>
      <c r="EL42" s="70">
        <f>Grupo!EL42</f>
        <v>1</v>
      </c>
      <c r="EM42" s="70">
        <f>Grupo!EM42</f>
        <v>3</v>
      </c>
      <c r="EN42" s="70">
        <f>Grupo!EN42</f>
        <v>1</v>
      </c>
      <c r="EO42" s="70">
        <f>Grupo!EO42</f>
        <v>1</v>
      </c>
      <c r="EP42" s="78">
        <f>Grupo!EP42</f>
        <v>2</v>
      </c>
      <c r="EQ42" s="78">
        <f>Grupo!EQ42</f>
        <v>1</v>
      </c>
      <c r="ER42" s="78">
        <f>Grupo!ER42</f>
        <v>0</v>
      </c>
      <c r="ES42" s="78">
        <f>Grupo!ES42</f>
        <v>3</v>
      </c>
      <c r="ET42" s="78">
        <f>Grupo!ET42</f>
        <v>1</v>
      </c>
      <c r="EU42" s="78">
        <f>Grupo!EU42</f>
        <v>1</v>
      </c>
      <c r="EV42" s="78">
        <f>Grupo!EV42</f>
        <v>2</v>
      </c>
      <c r="EW42" s="78">
        <f>Grupo!EW42</f>
        <v>1</v>
      </c>
      <c r="EX42" s="78">
        <f>Grupo!EX42</f>
        <v>3</v>
      </c>
      <c r="EY42" s="78">
        <f>Grupo!EY42</f>
        <v>0</v>
      </c>
      <c r="EZ42" s="78">
        <f>Grupo!EZ42</f>
        <v>0</v>
      </c>
      <c r="FA42" s="78">
        <f>Grupo!FA42</f>
        <v>0</v>
      </c>
      <c r="FB42" s="78">
        <f>Grupo!FB42</f>
        <v>0</v>
      </c>
      <c r="FC42" s="78">
        <f>Grupo!FC42</f>
        <v>1</v>
      </c>
      <c r="FD42" s="78">
        <f>Grupo!FD42</f>
        <v>1</v>
      </c>
      <c r="FE42" s="78">
        <f>Grupo!FE42</f>
        <v>1</v>
      </c>
      <c r="FF42" s="78">
        <f>Grupo!FF42</f>
        <v>3</v>
      </c>
      <c r="FG42" s="78">
        <f>Grupo!FG42</f>
        <v>0</v>
      </c>
      <c r="FH42" s="78">
        <f>Grupo!FH42</f>
        <v>0</v>
      </c>
      <c r="FI42" s="78">
        <f>Grupo!FI42</f>
        <v>0</v>
      </c>
      <c r="FJ42" s="78">
        <f>Grupo!FJ42</f>
        <v>0</v>
      </c>
      <c r="FK42" s="78">
        <f>Grupo!FK42</f>
        <v>1</v>
      </c>
      <c r="FL42" s="78">
        <f>Grupo!FL42</f>
        <v>3</v>
      </c>
      <c r="FM42" s="78">
        <f>Grupo!FM42</f>
        <v>0</v>
      </c>
      <c r="FN42" s="78">
        <f>Grupo!FN42</f>
        <v>2</v>
      </c>
      <c r="FO42" s="78">
        <f>Grupo!FO42</f>
        <v>2</v>
      </c>
      <c r="FP42" s="78">
        <f>Grupo!FP42</f>
        <v>1</v>
      </c>
      <c r="FQ42" s="78">
        <f>Grupo!FQ42</f>
        <v>1</v>
      </c>
      <c r="FR42" s="78">
        <f>Grupo!FR42</f>
        <v>2</v>
      </c>
      <c r="FS42" s="78">
        <f>Grupo!FS42</f>
        <v>1</v>
      </c>
      <c r="FT42" s="78">
        <f>Grupo!FT42</f>
        <v>2</v>
      </c>
      <c r="FU42" s="78">
        <f>Grupo!FU42</f>
        <v>2</v>
      </c>
      <c r="FV42" s="78">
        <f>Grupo!FV42</f>
        <v>0</v>
      </c>
      <c r="FW42" s="78">
        <f>Grupo!FW42</f>
        <v>1</v>
      </c>
      <c r="FX42" s="78">
        <f>Grupo!FX42</f>
        <v>2</v>
      </c>
      <c r="FY42" s="78">
        <f>Grupo!FY42</f>
        <v>0</v>
      </c>
      <c r="FZ42" s="78">
        <f>Grupo!FZ42</f>
        <v>2</v>
      </c>
      <c r="GA42" s="78">
        <f>Grupo!GA42</f>
        <v>2</v>
      </c>
      <c r="GB42" s="78">
        <f>Grupo!GB42</f>
        <v>0</v>
      </c>
      <c r="GC42" s="78">
        <f>Grupo!GC42</f>
        <v>1</v>
      </c>
      <c r="GD42" s="78">
        <f>Grupo!GD42</f>
        <v>1</v>
      </c>
      <c r="GE42" s="78">
        <f>Grupo!GE42</f>
        <v>0</v>
      </c>
      <c r="GF42" s="78">
        <f>Grupo!GF42</f>
        <v>1</v>
      </c>
      <c r="GG42" s="78">
        <f>Grupo!GG42</f>
        <v>0</v>
      </c>
      <c r="GH42" s="78">
        <f>Grupo!GH42</f>
        <v>0</v>
      </c>
      <c r="GI42" s="78">
        <f>Grupo!GI42</f>
        <v>2</v>
      </c>
      <c r="GJ42" s="78">
        <f>Grupo!GJ42</f>
        <v>2</v>
      </c>
      <c r="GK42" s="78">
        <f>Grupo!GK42</f>
        <v>0</v>
      </c>
      <c r="GL42" s="78">
        <f>Grupo!GL42</f>
        <v>1</v>
      </c>
      <c r="GM42" s="78">
        <f>Grupo!GM42</f>
        <v>2</v>
      </c>
      <c r="GN42" s="78">
        <f>Grupo!GN42</f>
        <v>0</v>
      </c>
      <c r="GO42" s="78">
        <f>Grupo!GO42</f>
        <v>2</v>
      </c>
      <c r="GP42" s="78">
        <f>Grupo!GP42</f>
        <v>2</v>
      </c>
      <c r="GQ42" s="78">
        <f>Grupo!GQ42</f>
        <v>0</v>
      </c>
      <c r="GR42" s="79">
        <f>Grupo!GR42</f>
        <v>1</v>
      </c>
      <c r="GS42" s="79">
        <f>Grupo!GS42</f>
        <v>3</v>
      </c>
      <c r="GT42" s="79" t="str">
        <f>Grupo!GT42</f>
        <v/>
      </c>
      <c r="GU42" s="79">
        <f>Grupo!GU42</f>
        <v>4</v>
      </c>
      <c r="GV42" s="79">
        <f>Grupo!GV42</f>
        <v>0</v>
      </c>
      <c r="GW42" s="79" t="str">
        <f>Grupo!GW42</f>
        <v/>
      </c>
      <c r="GX42" s="76">
        <f>Grupo!GX42</f>
        <v>0</v>
      </c>
      <c r="GY42" s="76">
        <f>Grupo!GY42</f>
        <v>2</v>
      </c>
      <c r="GZ42" s="76" t="str">
        <f>Grupo!GZ42</f>
        <v/>
      </c>
      <c r="HA42" s="76">
        <f>Grupo!HA42</f>
        <v>1</v>
      </c>
      <c r="HB42" s="76">
        <f>Grupo!HB42</f>
        <v>4</v>
      </c>
      <c r="HC42" s="76" t="str">
        <f>Grupo!HC42</f>
        <v/>
      </c>
      <c r="HD42" s="76">
        <f>Grupo!HD42</f>
        <v>1</v>
      </c>
      <c r="HE42" s="76">
        <f>Grupo!HE42</f>
        <v>3</v>
      </c>
      <c r="HF42" s="76" t="str">
        <f>Grupo!HF42</f>
        <v/>
      </c>
      <c r="HG42" s="76">
        <f>Grupo!HG42</f>
        <v>1</v>
      </c>
      <c r="HH42" s="76">
        <f>Grupo!HH42</f>
        <v>1</v>
      </c>
      <c r="HI42" s="76" t="str">
        <f>Grupo!HI42</f>
        <v/>
      </c>
      <c r="HJ42" s="32">
        <f>Grupo!HJ42</f>
        <v>41</v>
      </c>
      <c r="HK42" s="25" t="s">
        <v>51</v>
      </c>
    </row>
    <row r="43" spans="1:219" ht="20.25" customHeight="1" thickBot="1" x14ac:dyDescent="0.35">
      <c r="A43" s="34" t="str">
        <f>Grupo!A43</f>
        <v>Ninoshka</v>
      </c>
      <c r="B43" s="28">
        <f>Grupo!B43</f>
        <v>2</v>
      </c>
      <c r="C43" s="28">
        <f>Grupo!C43</f>
        <v>1</v>
      </c>
      <c r="D43" s="28">
        <f>Grupo!D43</f>
        <v>1</v>
      </c>
      <c r="E43" s="28">
        <f>Grupo!E43</f>
        <v>1</v>
      </c>
      <c r="F43" s="28">
        <f>Grupo!F43</f>
        <v>1</v>
      </c>
      <c r="G43" s="28">
        <f>Grupo!G43</f>
        <v>0</v>
      </c>
      <c r="H43" s="28">
        <f>Grupo!H43</f>
        <v>2</v>
      </c>
      <c r="I43" s="28">
        <f>Grupo!I43</f>
        <v>0</v>
      </c>
      <c r="J43" s="28">
        <f>Grupo!J43</f>
        <v>0</v>
      </c>
      <c r="K43" s="28">
        <f>Grupo!K43</f>
        <v>1</v>
      </c>
      <c r="L43" s="28">
        <f>Grupo!L43</f>
        <v>2</v>
      </c>
      <c r="M43" s="28">
        <f>Grupo!M43</f>
        <v>0</v>
      </c>
      <c r="N43" s="28">
        <f>Grupo!N43</f>
        <v>0</v>
      </c>
      <c r="O43" s="28">
        <f>Grupo!O43</f>
        <v>2</v>
      </c>
      <c r="P43" s="28">
        <f>Grupo!P43</f>
        <v>1</v>
      </c>
      <c r="Q43" s="28">
        <f>Grupo!Q43</f>
        <v>1</v>
      </c>
      <c r="R43" s="28">
        <f>Grupo!R43</f>
        <v>2</v>
      </c>
      <c r="S43" s="28">
        <f>Grupo!S43</f>
        <v>0</v>
      </c>
      <c r="T43" s="28">
        <f>Grupo!T43</f>
        <v>3</v>
      </c>
      <c r="U43" s="28">
        <f>Grupo!U43</f>
        <v>1</v>
      </c>
      <c r="V43" s="28">
        <f>Grupo!V43</f>
        <v>0</v>
      </c>
      <c r="W43" s="28">
        <f>Grupo!W43</f>
        <v>0</v>
      </c>
      <c r="X43" s="28">
        <f>Grupo!X43</f>
        <v>2</v>
      </c>
      <c r="Y43" s="28">
        <f>Grupo!Y43</f>
        <v>0</v>
      </c>
      <c r="Z43" s="28">
        <f>Grupo!Z43</f>
        <v>1</v>
      </c>
      <c r="AA43" s="28">
        <f>Grupo!AA43</f>
        <v>1</v>
      </c>
      <c r="AB43" s="28">
        <f>Grupo!AB43</f>
        <v>0</v>
      </c>
      <c r="AC43" s="28">
        <f>Grupo!AC43</f>
        <v>4</v>
      </c>
      <c r="AD43" s="28">
        <f>Grupo!AD43</f>
        <v>0</v>
      </c>
      <c r="AE43" s="28">
        <f>Grupo!AE43</f>
        <v>1</v>
      </c>
      <c r="AF43" s="28">
        <f>Grupo!AF43</f>
        <v>2</v>
      </c>
      <c r="AG43" s="28">
        <f>Grupo!AG43</f>
        <v>1</v>
      </c>
      <c r="AH43" s="28">
        <f>Grupo!AH43</f>
        <v>0</v>
      </c>
      <c r="AI43" s="28">
        <f>Grupo!AI43</f>
        <v>2</v>
      </c>
      <c r="AJ43" s="28">
        <f>Grupo!AJ43</f>
        <v>0</v>
      </c>
      <c r="AK43" s="28">
        <f>Grupo!AK43</f>
        <v>1</v>
      </c>
      <c r="AL43" s="28">
        <f>Grupo!AL43</f>
        <v>0</v>
      </c>
      <c r="AM43" s="28">
        <f>Grupo!AM43</f>
        <v>2</v>
      </c>
      <c r="AN43" s="28">
        <f>Grupo!AN43</f>
        <v>0</v>
      </c>
      <c r="AO43" s="28">
        <f>Grupo!AO43</f>
        <v>3</v>
      </c>
      <c r="AP43" s="28">
        <f>Grupo!AP43</f>
        <v>0</v>
      </c>
      <c r="AQ43" s="28">
        <f>Grupo!AQ43</f>
        <v>0</v>
      </c>
      <c r="AR43" s="28">
        <f>Grupo!AR43</f>
        <v>1</v>
      </c>
      <c r="AS43" s="28">
        <f>Grupo!AS43</f>
        <v>0</v>
      </c>
      <c r="AT43" s="28">
        <f>Grupo!AT43</f>
        <v>0</v>
      </c>
      <c r="AU43" s="28">
        <f>Grupo!AU43</f>
        <v>2</v>
      </c>
      <c r="AV43" s="28">
        <f>Grupo!AV43</f>
        <v>1</v>
      </c>
      <c r="AW43" s="28">
        <f>Grupo!AW43</f>
        <v>0</v>
      </c>
      <c r="AX43" s="28">
        <f>Grupo!AX43</f>
        <v>3</v>
      </c>
      <c r="AY43" s="28">
        <f>Grupo!AY43</f>
        <v>0</v>
      </c>
      <c r="AZ43" s="28">
        <f>Grupo!AZ43</f>
        <v>1</v>
      </c>
      <c r="BA43" s="28">
        <f>Grupo!BA43</f>
        <v>0</v>
      </c>
      <c r="BB43" s="28">
        <f>Grupo!BB43</f>
        <v>2</v>
      </c>
      <c r="BC43" s="28">
        <f>Grupo!BC43</f>
        <v>1</v>
      </c>
      <c r="BD43" s="28">
        <f>Grupo!BD43</f>
        <v>3</v>
      </c>
      <c r="BE43" s="28">
        <f>Grupo!BE43</f>
        <v>1</v>
      </c>
      <c r="BF43" s="28">
        <f>Grupo!BF43</f>
        <v>1</v>
      </c>
      <c r="BG43" s="28">
        <f>Grupo!BG43</f>
        <v>2</v>
      </c>
      <c r="BH43" s="28">
        <f>Grupo!BH43</f>
        <v>0</v>
      </c>
      <c r="BI43" s="28">
        <f>Grupo!BI43</f>
        <v>1</v>
      </c>
      <c r="BJ43" s="28">
        <f>Grupo!BJ43</f>
        <v>1</v>
      </c>
      <c r="BK43" s="28">
        <f>Grupo!BK43</f>
        <v>2</v>
      </c>
      <c r="BL43" s="28">
        <f>Grupo!BL43</f>
        <v>0</v>
      </c>
      <c r="BM43" s="28">
        <f>Grupo!BM43</f>
        <v>2</v>
      </c>
      <c r="BN43" s="28">
        <f>Grupo!BN43</f>
        <v>1</v>
      </c>
      <c r="BO43" s="28">
        <f>Grupo!BO43</f>
        <v>1</v>
      </c>
      <c r="BP43" s="28">
        <f>Grupo!BP43</f>
        <v>3</v>
      </c>
      <c r="BQ43" s="28">
        <f>Grupo!BQ43</f>
        <v>0</v>
      </c>
      <c r="BR43" s="28">
        <f>Grupo!BR43</f>
        <v>0</v>
      </c>
      <c r="BS43" s="28">
        <f>Grupo!BS43</f>
        <v>0</v>
      </c>
      <c r="BT43" s="28">
        <f>Grupo!BT43</f>
        <v>2</v>
      </c>
      <c r="BU43" s="28">
        <f>Grupo!BU43</f>
        <v>1</v>
      </c>
      <c r="BV43" s="28">
        <f>Grupo!BV43</f>
        <v>2</v>
      </c>
      <c r="BW43" s="28">
        <f>Grupo!BW43</f>
        <v>0</v>
      </c>
      <c r="BX43" s="28">
        <f>Grupo!BX43</f>
        <v>0</v>
      </c>
      <c r="BY43" s="28">
        <f>Grupo!BY43</f>
        <v>2</v>
      </c>
      <c r="BZ43" s="28">
        <f>Grupo!BZ43</f>
        <v>1</v>
      </c>
      <c r="CA43" s="28">
        <f>Grupo!CA43</f>
        <v>1</v>
      </c>
      <c r="CB43" s="28">
        <f>Grupo!CB43</f>
        <v>3</v>
      </c>
      <c r="CC43" s="28">
        <f>Grupo!CC43</f>
        <v>1</v>
      </c>
      <c r="CD43" s="28">
        <f>Grupo!CD43</f>
        <v>1</v>
      </c>
      <c r="CE43" s="28">
        <f>Grupo!CE43</f>
        <v>1</v>
      </c>
      <c r="CF43" s="28">
        <f>Grupo!CF43</f>
        <v>3</v>
      </c>
      <c r="CG43" s="28">
        <f>Grupo!CG43</f>
        <v>0</v>
      </c>
      <c r="CH43" s="28">
        <f>Grupo!CH43</f>
        <v>5</v>
      </c>
      <c r="CI43" s="28">
        <f>Grupo!CI43</f>
        <v>0</v>
      </c>
      <c r="CJ43" s="28">
        <f>Grupo!CJ43</f>
        <v>1</v>
      </c>
      <c r="CK43" s="28">
        <f>Grupo!CK43</f>
        <v>1</v>
      </c>
      <c r="CL43" s="28">
        <f>Grupo!CL43</f>
        <v>2</v>
      </c>
      <c r="CM43" s="28">
        <f>Grupo!CM43</f>
        <v>1</v>
      </c>
      <c r="CN43" s="28">
        <f>Grupo!CN43</f>
        <v>1</v>
      </c>
      <c r="CO43" s="28">
        <f>Grupo!CO43</f>
        <v>1</v>
      </c>
      <c r="CP43" s="28">
        <f>Grupo!CP43</f>
        <v>0</v>
      </c>
      <c r="CQ43" s="28">
        <f>Grupo!CQ43</f>
        <v>2</v>
      </c>
      <c r="CR43" s="28">
        <f>Grupo!CR43</f>
        <v>0</v>
      </c>
      <c r="CS43" s="28">
        <f>Grupo!CS43</f>
        <v>3</v>
      </c>
      <c r="CT43" s="28">
        <f>Grupo!CT43</f>
        <v>2</v>
      </c>
      <c r="CU43" s="28">
        <f>Grupo!CU43</f>
        <v>1</v>
      </c>
      <c r="CV43" s="28">
        <f>Grupo!CV43</f>
        <v>3</v>
      </c>
      <c r="CW43" s="28">
        <f>Grupo!CW43</f>
        <v>3</v>
      </c>
      <c r="CX43" s="28">
        <f>Grupo!CX43</f>
        <v>0</v>
      </c>
      <c r="CY43" s="28">
        <f>Grupo!CY43</f>
        <v>0</v>
      </c>
      <c r="CZ43" s="28">
        <f>Grupo!CZ43</f>
        <v>1</v>
      </c>
      <c r="DA43" s="28">
        <f>Grupo!DA43</f>
        <v>1</v>
      </c>
      <c r="DB43" s="28">
        <f>Grupo!DB43</f>
        <v>0</v>
      </c>
      <c r="DC43" s="28">
        <f>Grupo!DC43</f>
        <v>0</v>
      </c>
      <c r="DD43" s="28">
        <f>Grupo!DD43</f>
        <v>2</v>
      </c>
      <c r="DE43" s="28">
        <f>Grupo!DE43</f>
        <v>1</v>
      </c>
      <c r="DF43" s="28">
        <f>Grupo!DF43</f>
        <v>3</v>
      </c>
      <c r="DG43" s="28">
        <f>Grupo!DG43</f>
        <v>0</v>
      </c>
      <c r="DH43" s="28">
        <f>Grupo!DH43</f>
        <v>0</v>
      </c>
      <c r="DI43" s="28">
        <f>Grupo!DI43</f>
        <v>2</v>
      </c>
      <c r="DJ43" s="28">
        <f>Grupo!DJ43</f>
        <v>0</v>
      </c>
      <c r="DK43" s="28">
        <f>Grupo!DK43</f>
        <v>1</v>
      </c>
      <c r="DL43" s="28">
        <f>Grupo!DL43</f>
        <v>3</v>
      </c>
      <c r="DM43" s="28">
        <f>Grupo!DM43</f>
        <v>1</v>
      </c>
      <c r="DN43" s="28">
        <f>Grupo!DN43</f>
        <v>0</v>
      </c>
      <c r="DO43" s="28">
        <f>Grupo!DO43</f>
        <v>0</v>
      </c>
      <c r="DP43" s="28">
        <f>Grupo!DP43</f>
        <v>2</v>
      </c>
      <c r="DQ43" s="28">
        <f>Grupo!DQ43</f>
        <v>1</v>
      </c>
      <c r="DR43" s="28">
        <f>Grupo!DR43</f>
        <v>1</v>
      </c>
      <c r="DS43" s="28">
        <f>Grupo!DS43</f>
        <v>1</v>
      </c>
      <c r="DT43" s="28">
        <f>Grupo!DT43</f>
        <v>0</v>
      </c>
      <c r="DU43" s="28">
        <f>Grupo!DU43</f>
        <v>4</v>
      </c>
      <c r="DV43" s="28">
        <f>Grupo!DV43</f>
        <v>0</v>
      </c>
      <c r="DW43" s="28">
        <f>Grupo!DW43</f>
        <v>1</v>
      </c>
      <c r="DX43" s="28">
        <f>Grupo!DX43</f>
        <v>3</v>
      </c>
      <c r="DY43" s="28">
        <f>Grupo!DY43</f>
        <v>0</v>
      </c>
      <c r="DZ43" s="28">
        <f>Grupo!DZ43</f>
        <v>1</v>
      </c>
      <c r="EA43" s="70">
        <f>Grupo!EA43</f>
        <v>1</v>
      </c>
      <c r="EB43" s="70">
        <f>Grupo!EB43</f>
        <v>2</v>
      </c>
      <c r="EC43" s="70">
        <f>Grupo!EC43</f>
        <v>3</v>
      </c>
      <c r="ED43" s="70">
        <f>Grupo!ED43</f>
        <v>3</v>
      </c>
      <c r="EE43" s="70">
        <f>Grupo!EE43</f>
        <v>0</v>
      </c>
      <c r="EF43" s="70">
        <f>Grupo!EF43</f>
        <v>0</v>
      </c>
      <c r="EG43" s="70">
        <f>Grupo!EG43</f>
        <v>1</v>
      </c>
      <c r="EH43" s="70">
        <f>Grupo!EH43</f>
        <v>2</v>
      </c>
      <c r="EI43" s="70">
        <f>Grupo!EI43</f>
        <v>1</v>
      </c>
      <c r="EJ43" s="70">
        <f>Grupo!EJ43</f>
        <v>3</v>
      </c>
      <c r="EK43" s="70">
        <f>Grupo!EK43</f>
        <v>1</v>
      </c>
      <c r="EL43" s="70">
        <f>Grupo!EL43</f>
        <v>1</v>
      </c>
      <c r="EM43" s="70">
        <f>Grupo!EM43</f>
        <v>2</v>
      </c>
      <c r="EN43" s="70">
        <f>Grupo!EN43</f>
        <v>0</v>
      </c>
      <c r="EO43" s="70">
        <f>Grupo!EO43</f>
        <v>1</v>
      </c>
      <c r="EP43" s="78">
        <f>Grupo!EP43</f>
        <v>1</v>
      </c>
      <c r="EQ43" s="78">
        <f>Grupo!EQ43</f>
        <v>3</v>
      </c>
      <c r="ER43" s="78">
        <f>Grupo!ER43</f>
        <v>1</v>
      </c>
      <c r="ES43" s="78">
        <f>Grupo!ES43</f>
        <v>3</v>
      </c>
      <c r="ET43" s="78">
        <f>Grupo!ET43</f>
        <v>1</v>
      </c>
      <c r="EU43" s="78">
        <f>Grupo!EU43</f>
        <v>1</v>
      </c>
      <c r="EV43" s="78">
        <f>Grupo!EV43</f>
        <v>1</v>
      </c>
      <c r="EW43" s="78">
        <f>Grupo!EW43</f>
        <v>1</v>
      </c>
      <c r="EX43" s="78">
        <f>Grupo!EX43</f>
        <v>0</v>
      </c>
      <c r="EY43" s="78">
        <f>Grupo!EY43</f>
        <v>2</v>
      </c>
      <c r="EZ43" s="78">
        <f>Grupo!EZ43</f>
        <v>1</v>
      </c>
      <c r="FA43" s="78">
        <f>Grupo!FA43</f>
        <v>1</v>
      </c>
      <c r="FB43" s="78">
        <f>Grupo!FB43</f>
        <v>2</v>
      </c>
      <c r="FC43" s="78">
        <f>Grupo!FC43</f>
        <v>2</v>
      </c>
      <c r="FD43" s="78">
        <f>Grupo!FD43</f>
        <v>0</v>
      </c>
      <c r="FE43" s="78">
        <f>Grupo!FE43</f>
        <v>0</v>
      </c>
      <c r="FF43" s="78">
        <f>Grupo!FF43</f>
        <v>2</v>
      </c>
      <c r="FG43" s="78">
        <f>Grupo!FG43</f>
        <v>0</v>
      </c>
      <c r="FH43" s="78">
        <f>Grupo!FH43</f>
        <v>1</v>
      </c>
      <c r="FI43" s="78">
        <f>Grupo!FI43</f>
        <v>2</v>
      </c>
      <c r="FJ43" s="78">
        <f>Grupo!FJ43</f>
        <v>1</v>
      </c>
      <c r="FK43" s="78">
        <f>Grupo!FK43</f>
        <v>1</v>
      </c>
      <c r="FL43" s="78">
        <f>Grupo!FL43</f>
        <v>3</v>
      </c>
      <c r="FM43" s="78">
        <f>Grupo!FM43</f>
        <v>0</v>
      </c>
      <c r="FN43" s="78">
        <f>Grupo!FN43</f>
        <v>2</v>
      </c>
      <c r="FO43" s="78">
        <f>Grupo!FO43</f>
        <v>1</v>
      </c>
      <c r="FP43" s="78">
        <f>Grupo!FP43</f>
        <v>0</v>
      </c>
      <c r="FQ43" s="78">
        <f>Grupo!FQ43</f>
        <v>1</v>
      </c>
      <c r="FR43" s="78">
        <f>Grupo!FR43</f>
        <v>3</v>
      </c>
      <c r="FS43" s="78">
        <f>Grupo!FS43</f>
        <v>3</v>
      </c>
      <c r="FT43" s="78">
        <f>Grupo!FT43</f>
        <v>2</v>
      </c>
      <c r="FU43" s="78">
        <f>Grupo!FU43</f>
        <v>2</v>
      </c>
      <c r="FV43" s="78">
        <f>Grupo!FV43</f>
        <v>0</v>
      </c>
      <c r="FW43" s="78">
        <f>Grupo!FW43</f>
        <v>2</v>
      </c>
      <c r="FX43" s="78">
        <f>Grupo!FX43</f>
        <v>1</v>
      </c>
      <c r="FY43" s="78">
        <f>Grupo!FY43</f>
        <v>0</v>
      </c>
      <c r="FZ43" s="78">
        <f>Grupo!FZ43</f>
        <v>1</v>
      </c>
      <c r="GA43" s="78">
        <f>Grupo!GA43</f>
        <v>3</v>
      </c>
      <c r="GB43" s="78">
        <f>Grupo!GB43</f>
        <v>1</v>
      </c>
      <c r="GC43" s="78">
        <f>Grupo!GC43</f>
        <v>2</v>
      </c>
      <c r="GD43" s="78">
        <f>Grupo!GD43</f>
        <v>1</v>
      </c>
      <c r="GE43" s="78">
        <f>Grupo!GE43</f>
        <v>1</v>
      </c>
      <c r="GF43" s="78">
        <f>Grupo!GF43</f>
        <v>3</v>
      </c>
      <c r="GG43" s="78">
        <f>Grupo!GG43</f>
        <v>1</v>
      </c>
      <c r="GH43" s="78">
        <f>Grupo!GH43</f>
        <v>0</v>
      </c>
      <c r="GI43" s="78">
        <f>Grupo!GI43</f>
        <v>0</v>
      </c>
      <c r="GJ43" s="78">
        <f>Grupo!GJ43</f>
        <v>3</v>
      </c>
      <c r="GK43" s="78">
        <f>Grupo!GK43</f>
        <v>1</v>
      </c>
      <c r="GL43" s="78">
        <f>Grupo!GL43</f>
        <v>0</v>
      </c>
      <c r="GM43" s="78">
        <f>Grupo!GM43</f>
        <v>2</v>
      </c>
      <c r="GN43" s="78">
        <f>Grupo!GN43</f>
        <v>0</v>
      </c>
      <c r="GO43" s="78">
        <f>Grupo!GO43</f>
        <v>1</v>
      </c>
      <c r="GP43" s="78">
        <f>Grupo!GP43</f>
        <v>2</v>
      </c>
      <c r="GQ43" s="78">
        <f>Grupo!GQ43</f>
        <v>1</v>
      </c>
      <c r="GR43" s="79">
        <f>Grupo!GR43</f>
        <v>2</v>
      </c>
      <c r="GS43" s="79">
        <f>Grupo!GS43</f>
        <v>4</v>
      </c>
      <c r="GT43" s="79" t="str">
        <f>Grupo!GT43</f>
        <v/>
      </c>
      <c r="GU43" s="79">
        <f>Grupo!GU43</f>
        <v>3</v>
      </c>
      <c r="GV43" s="79">
        <f>Grupo!GV43</f>
        <v>1</v>
      </c>
      <c r="GW43" s="79" t="str">
        <f>Grupo!GW43</f>
        <v/>
      </c>
      <c r="GX43" s="76">
        <f>Grupo!GX43</f>
        <v>1</v>
      </c>
      <c r="GY43" s="76">
        <f>Grupo!GY43</f>
        <v>2</v>
      </c>
      <c r="GZ43" s="76" t="str">
        <f>Grupo!GZ43</f>
        <v/>
      </c>
      <c r="HA43" s="76">
        <f>Grupo!HA43</f>
        <v>1</v>
      </c>
      <c r="HB43" s="76">
        <f>Grupo!HB43</f>
        <v>3</v>
      </c>
      <c r="HC43" s="76" t="str">
        <f>Grupo!HC43</f>
        <v/>
      </c>
      <c r="HD43" s="76">
        <f>Grupo!HD43</f>
        <v>1</v>
      </c>
      <c r="HE43" s="76">
        <f>Grupo!HE43</f>
        <v>2</v>
      </c>
      <c r="HF43" s="76" t="str">
        <f>Grupo!HF43</f>
        <v/>
      </c>
      <c r="HG43" s="76">
        <f>Grupo!HG43</f>
        <v>0</v>
      </c>
      <c r="HH43" s="76">
        <f>Grupo!HH43</f>
        <v>2</v>
      </c>
      <c r="HI43" s="76" t="str">
        <f>Grupo!HI43</f>
        <v/>
      </c>
      <c r="HJ43" s="32">
        <f>Grupo!HJ43</f>
        <v>42</v>
      </c>
      <c r="HK43" s="25" t="s">
        <v>65</v>
      </c>
    </row>
    <row r="44" spans="1:219" ht="20.25" customHeight="1" thickBot="1" x14ac:dyDescent="0.35">
      <c r="A44" s="34" t="str">
        <f>Grupo!A44</f>
        <v>Osvaldo</v>
      </c>
      <c r="B44" s="28">
        <f>Grupo!B44</f>
        <v>2</v>
      </c>
      <c r="C44" s="28">
        <f>Grupo!C44</f>
        <v>1</v>
      </c>
      <c r="D44" s="28">
        <f>Grupo!D44</f>
        <v>1</v>
      </c>
      <c r="E44" s="28">
        <f>Grupo!E44</f>
        <v>2</v>
      </c>
      <c r="F44" s="28">
        <f>Grupo!F44</f>
        <v>1</v>
      </c>
      <c r="G44" s="28">
        <f>Grupo!G44</f>
        <v>3</v>
      </c>
      <c r="H44" s="28">
        <f>Grupo!H44</f>
        <v>2</v>
      </c>
      <c r="I44" s="28">
        <f>Grupo!I44</f>
        <v>1</v>
      </c>
      <c r="J44" s="28">
        <f>Grupo!J44</f>
        <v>0</v>
      </c>
      <c r="K44" s="28">
        <f>Grupo!K44</f>
        <v>2</v>
      </c>
      <c r="L44" s="28">
        <f>Grupo!L44</f>
        <v>1</v>
      </c>
      <c r="M44" s="28">
        <f>Grupo!M44</f>
        <v>1</v>
      </c>
      <c r="N44" s="28">
        <f>Grupo!N44</f>
        <v>1</v>
      </c>
      <c r="O44" s="28">
        <f>Grupo!O44</f>
        <v>1</v>
      </c>
      <c r="P44" s="28">
        <f>Grupo!P44</f>
        <v>0</v>
      </c>
      <c r="Q44" s="28">
        <f>Grupo!Q44</f>
        <v>0</v>
      </c>
      <c r="R44" s="28">
        <f>Grupo!R44</f>
        <v>2</v>
      </c>
      <c r="S44" s="28">
        <f>Grupo!S44</f>
        <v>0</v>
      </c>
      <c r="T44" s="28">
        <f>Grupo!T44</f>
        <v>3</v>
      </c>
      <c r="U44" s="28">
        <f>Grupo!U44</f>
        <v>2</v>
      </c>
      <c r="V44" s="28">
        <f>Grupo!V44</f>
        <v>0</v>
      </c>
      <c r="W44" s="28">
        <f>Grupo!W44</f>
        <v>1</v>
      </c>
      <c r="X44" s="28">
        <f>Grupo!X44</f>
        <v>1</v>
      </c>
      <c r="Y44" s="28">
        <f>Grupo!Y44</f>
        <v>3</v>
      </c>
      <c r="Z44" s="28">
        <f>Grupo!Z44</f>
        <v>1</v>
      </c>
      <c r="AA44" s="28">
        <f>Grupo!AA44</f>
        <v>3</v>
      </c>
      <c r="AB44" s="28">
        <f>Grupo!AB44</f>
        <v>0</v>
      </c>
      <c r="AC44" s="28">
        <f>Grupo!AC44</f>
        <v>3</v>
      </c>
      <c r="AD44" s="28">
        <f>Grupo!AD44</f>
        <v>1</v>
      </c>
      <c r="AE44" s="28">
        <f>Grupo!AE44</f>
        <v>1</v>
      </c>
      <c r="AF44" s="28">
        <f>Grupo!AF44</f>
        <v>2</v>
      </c>
      <c r="AG44" s="28">
        <f>Grupo!AG44</f>
        <v>0</v>
      </c>
      <c r="AH44" s="28">
        <f>Grupo!AH44</f>
        <v>0</v>
      </c>
      <c r="AI44" s="28">
        <f>Grupo!AI44</f>
        <v>3</v>
      </c>
      <c r="AJ44" s="28">
        <f>Grupo!AJ44</f>
        <v>1</v>
      </c>
      <c r="AK44" s="28">
        <f>Grupo!AK44</f>
        <v>1</v>
      </c>
      <c r="AL44" s="28">
        <f>Grupo!AL44</f>
        <v>0</v>
      </c>
      <c r="AM44" s="28">
        <f>Grupo!AM44</f>
        <v>1</v>
      </c>
      <c r="AN44" s="28">
        <f>Grupo!AN44</f>
        <v>0</v>
      </c>
      <c r="AO44" s="28">
        <f>Grupo!AO44</f>
        <v>4</v>
      </c>
      <c r="AP44" s="28">
        <f>Grupo!AP44</f>
        <v>0</v>
      </c>
      <c r="AQ44" s="28">
        <f>Grupo!AQ44</f>
        <v>0</v>
      </c>
      <c r="AR44" s="28">
        <f>Grupo!AR44</f>
        <v>1</v>
      </c>
      <c r="AS44" s="28">
        <f>Grupo!AS44</f>
        <v>1</v>
      </c>
      <c r="AT44" s="28">
        <f>Grupo!AT44</f>
        <v>1</v>
      </c>
      <c r="AU44" s="28">
        <f>Grupo!AU44</f>
        <v>3</v>
      </c>
      <c r="AV44" s="28">
        <f>Grupo!AV44</f>
        <v>1</v>
      </c>
      <c r="AW44" s="28">
        <f>Grupo!AW44</f>
        <v>0</v>
      </c>
      <c r="AX44" s="28">
        <f>Grupo!AX44</f>
        <v>3</v>
      </c>
      <c r="AY44" s="28">
        <f>Grupo!AY44</f>
        <v>1</v>
      </c>
      <c r="AZ44" s="28">
        <f>Grupo!AZ44</f>
        <v>3</v>
      </c>
      <c r="BA44" s="28">
        <f>Grupo!BA44</f>
        <v>0</v>
      </c>
      <c r="BB44" s="28">
        <f>Grupo!BB44</f>
        <v>4</v>
      </c>
      <c r="BC44" s="28">
        <f>Grupo!BC44</f>
        <v>1</v>
      </c>
      <c r="BD44" s="28">
        <f>Grupo!BD44</f>
        <v>2</v>
      </c>
      <c r="BE44" s="28">
        <f>Grupo!BE44</f>
        <v>0</v>
      </c>
      <c r="BF44" s="28">
        <f>Grupo!BF44</f>
        <v>1</v>
      </c>
      <c r="BG44" s="28">
        <f>Grupo!BG44</f>
        <v>0</v>
      </c>
      <c r="BH44" s="28">
        <f>Grupo!BH44</f>
        <v>0</v>
      </c>
      <c r="BI44" s="28">
        <f>Grupo!BI44</f>
        <v>0</v>
      </c>
      <c r="BJ44" s="28">
        <f>Grupo!BJ44</f>
        <v>1</v>
      </c>
      <c r="BK44" s="28">
        <f>Grupo!BK44</f>
        <v>1</v>
      </c>
      <c r="BL44" s="28">
        <f>Grupo!BL44</f>
        <v>0</v>
      </c>
      <c r="BM44" s="28">
        <f>Grupo!BM44</f>
        <v>2</v>
      </c>
      <c r="BN44" s="28">
        <f>Grupo!BN44</f>
        <v>1</v>
      </c>
      <c r="BO44" s="28">
        <f>Grupo!BO44</f>
        <v>1</v>
      </c>
      <c r="BP44" s="28">
        <f>Grupo!BP44</f>
        <v>4</v>
      </c>
      <c r="BQ44" s="28">
        <f>Grupo!BQ44</f>
        <v>0</v>
      </c>
      <c r="BR44" s="28">
        <f>Grupo!BR44</f>
        <v>0</v>
      </c>
      <c r="BS44" s="28">
        <f>Grupo!BS44</f>
        <v>1</v>
      </c>
      <c r="BT44" s="28">
        <f>Grupo!BT44</f>
        <v>3</v>
      </c>
      <c r="BU44" s="28">
        <f>Grupo!BU44</f>
        <v>3</v>
      </c>
      <c r="BV44" s="28">
        <f>Grupo!BV44</f>
        <v>1</v>
      </c>
      <c r="BW44" s="28">
        <f>Grupo!BW44</f>
        <v>1</v>
      </c>
      <c r="BX44" s="28">
        <f>Grupo!BX44</f>
        <v>3</v>
      </c>
      <c r="BY44" s="28">
        <f>Grupo!BY44</f>
        <v>2</v>
      </c>
      <c r="BZ44" s="28">
        <f>Grupo!BZ44</f>
        <v>0</v>
      </c>
      <c r="CA44" s="28">
        <f>Grupo!CA44</f>
        <v>1</v>
      </c>
      <c r="CB44" s="28">
        <f>Grupo!CB44</f>
        <v>2</v>
      </c>
      <c r="CC44" s="28">
        <f>Grupo!CC44</f>
        <v>1</v>
      </c>
      <c r="CD44" s="28">
        <f>Grupo!CD44</f>
        <v>1</v>
      </c>
      <c r="CE44" s="28">
        <f>Grupo!CE44</f>
        <v>2</v>
      </c>
      <c r="CF44" s="28">
        <f>Grupo!CF44</f>
        <v>0</v>
      </c>
      <c r="CG44" s="28">
        <f>Grupo!CG44</f>
        <v>1</v>
      </c>
      <c r="CH44" s="28">
        <f>Grupo!CH44</f>
        <v>4</v>
      </c>
      <c r="CI44" s="28">
        <f>Grupo!CI44</f>
        <v>0</v>
      </c>
      <c r="CJ44" s="28">
        <f>Grupo!CJ44</f>
        <v>1</v>
      </c>
      <c r="CK44" s="28">
        <f>Grupo!CK44</f>
        <v>0</v>
      </c>
      <c r="CL44" s="28">
        <f>Grupo!CL44</f>
        <v>2</v>
      </c>
      <c r="CM44" s="28">
        <f>Grupo!CM44</f>
        <v>1</v>
      </c>
      <c r="CN44" s="28">
        <f>Grupo!CN44</f>
        <v>1</v>
      </c>
      <c r="CO44" s="28">
        <f>Grupo!CO44</f>
        <v>1</v>
      </c>
      <c r="CP44" s="28">
        <f>Grupo!CP44</f>
        <v>0</v>
      </c>
      <c r="CQ44" s="28">
        <f>Grupo!CQ44</f>
        <v>3</v>
      </c>
      <c r="CR44" s="28">
        <f>Grupo!CR44</f>
        <v>1</v>
      </c>
      <c r="CS44" s="28">
        <f>Grupo!CS44</f>
        <v>1</v>
      </c>
      <c r="CT44" s="28">
        <f>Grupo!CT44</f>
        <v>2</v>
      </c>
      <c r="CU44" s="28">
        <f>Grupo!CU44</f>
        <v>0</v>
      </c>
      <c r="CV44" s="28">
        <f>Grupo!CV44</f>
        <v>1</v>
      </c>
      <c r="CW44" s="28">
        <f>Grupo!CW44</f>
        <v>4</v>
      </c>
      <c r="CX44" s="28">
        <f>Grupo!CX44</f>
        <v>1</v>
      </c>
      <c r="CY44" s="28">
        <f>Grupo!CY44</f>
        <v>0</v>
      </c>
      <c r="CZ44" s="28">
        <f>Grupo!CZ44</f>
        <v>2</v>
      </c>
      <c r="DA44" s="28">
        <f>Grupo!DA44</f>
        <v>2</v>
      </c>
      <c r="DB44" s="28">
        <f>Grupo!DB44</f>
        <v>0</v>
      </c>
      <c r="DC44" s="28">
        <f>Grupo!DC44</f>
        <v>0</v>
      </c>
      <c r="DD44" s="28">
        <f>Grupo!DD44</f>
        <v>2</v>
      </c>
      <c r="DE44" s="28">
        <f>Grupo!DE44</f>
        <v>1</v>
      </c>
      <c r="DF44" s="28">
        <f>Grupo!DF44</f>
        <v>2</v>
      </c>
      <c r="DG44" s="28">
        <f>Grupo!DG44</f>
        <v>0</v>
      </c>
      <c r="DH44" s="28">
        <f>Grupo!DH44</f>
        <v>0</v>
      </c>
      <c r="DI44" s="28">
        <f>Grupo!DI44</f>
        <v>4</v>
      </c>
      <c r="DJ44" s="28">
        <f>Grupo!DJ44</f>
        <v>0</v>
      </c>
      <c r="DK44" s="28">
        <f>Grupo!DK44</f>
        <v>3</v>
      </c>
      <c r="DL44" s="28">
        <f>Grupo!DL44</f>
        <v>4</v>
      </c>
      <c r="DM44" s="28">
        <f>Grupo!DM44</f>
        <v>0</v>
      </c>
      <c r="DN44" s="28">
        <f>Grupo!DN44</f>
        <v>0</v>
      </c>
      <c r="DO44" s="28">
        <f>Grupo!DO44</f>
        <v>2</v>
      </c>
      <c r="DP44" s="28">
        <f>Grupo!DP44</f>
        <v>2</v>
      </c>
      <c r="DQ44" s="28">
        <f>Grupo!DQ44</f>
        <v>0</v>
      </c>
      <c r="DR44" s="28">
        <f>Grupo!DR44</f>
        <v>2</v>
      </c>
      <c r="DS44" s="28">
        <f>Grupo!DS44</f>
        <v>1</v>
      </c>
      <c r="DT44" s="28">
        <f>Grupo!DT44</f>
        <v>1</v>
      </c>
      <c r="DU44" s="28">
        <f>Grupo!DU44</f>
        <v>3</v>
      </c>
      <c r="DV44" s="28">
        <f>Grupo!DV44</f>
        <v>0</v>
      </c>
      <c r="DW44" s="28">
        <f>Grupo!DW44</f>
        <v>3</v>
      </c>
      <c r="DX44" s="28">
        <f>Grupo!DX44</f>
        <v>2</v>
      </c>
      <c r="DY44" s="28">
        <f>Grupo!DY44</f>
        <v>1</v>
      </c>
      <c r="DZ44" s="28">
        <f>Grupo!DZ44</f>
        <v>1</v>
      </c>
      <c r="EA44" s="70">
        <f>Grupo!EA44</f>
        <v>0</v>
      </c>
      <c r="EB44" s="70">
        <f>Grupo!EB44</f>
        <v>0</v>
      </c>
      <c r="EC44" s="70">
        <f>Grupo!EC44</f>
        <v>0</v>
      </c>
      <c r="ED44" s="70">
        <f>Grupo!ED44</f>
        <v>2</v>
      </c>
      <c r="EE44" s="70">
        <f>Grupo!EE44</f>
        <v>0</v>
      </c>
      <c r="EF44" s="70">
        <f>Grupo!EF44</f>
        <v>0</v>
      </c>
      <c r="EG44" s="70">
        <f>Grupo!EG44</f>
        <v>1</v>
      </c>
      <c r="EH44" s="70">
        <f>Grupo!EH44</f>
        <v>1</v>
      </c>
      <c r="EI44" s="70">
        <f>Grupo!EI44</f>
        <v>0</v>
      </c>
      <c r="EJ44" s="70">
        <f>Grupo!EJ44</f>
        <v>3</v>
      </c>
      <c r="EK44" s="70">
        <f>Grupo!EK44</f>
        <v>1</v>
      </c>
      <c r="EL44" s="70">
        <f>Grupo!EL44</f>
        <v>1</v>
      </c>
      <c r="EM44" s="70">
        <f>Grupo!EM44</f>
        <v>3</v>
      </c>
      <c r="EN44" s="70">
        <f>Grupo!EN44</f>
        <v>1</v>
      </c>
      <c r="EO44" s="70">
        <f>Grupo!EO44</f>
        <v>1</v>
      </c>
      <c r="EP44" s="78">
        <f>Grupo!EP44</f>
        <v>1</v>
      </c>
      <c r="EQ44" s="78">
        <f>Grupo!EQ44</f>
        <v>4</v>
      </c>
      <c r="ER44" s="78">
        <f>Grupo!ER44</f>
        <v>1</v>
      </c>
      <c r="ES44" s="78">
        <f>Grupo!ES44</f>
        <v>2</v>
      </c>
      <c r="ET44" s="78">
        <f>Grupo!ET44</f>
        <v>0</v>
      </c>
      <c r="EU44" s="78">
        <f>Grupo!EU44</f>
        <v>1</v>
      </c>
      <c r="EV44" s="78">
        <f>Grupo!EV44</f>
        <v>2</v>
      </c>
      <c r="EW44" s="78">
        <f>Grupo!EW44</f>
        <v>2</v>
      </c>
      <c r="EX44" s="78">
        <f>Grupo!EX44</f>
        <v>0</v>
      </c>
      <c r="EY44" s="78">
        <f>Grupo!EY44</f>
        <v>2</v>
      </c>
      <c r="EZ44" s="78">
        <f>Grupo!EZ44</f>
        <v>2</v>
      </c>
      <c r="FA44" s="78">
        <f>Grupo!FA44</f>
        <v>0</v>
      </c>
      <c r="FB44" s="78">
        <f>Grupo!FB44</f>
        <v>2</v>
      </c>
      <c r="FC44" s="78">
        <f>Grupo!FC44</f>
        <v>2</v>
      </c>
      <c r="FD44" s="78">
        <f>Grupo!FD44</f>
        <v>0</v>
      </c>
      <c r="FE44" s="78">
        <f>Grupo!FE44</f>
        <v>1</v>
      </c>
      <c r="FF44" s="78">
        <f>Grupo!FF44</f>
        <v>2</v>
      </c>
      <c r="FG44" s="78">
        <f>Grupo!FG44</f>
        <v>0</v>
      </c>
      <c r="FH44" s="78">
        <f>Grupo!FH44</f>
        <v>1</v>
      </c>
      <c r="FI44" s="78">
        <f>Grupo!FI44</f>
        <v>1</v>
      </c>
      <c r="FJ44" s="78">
        <f>Grupo!FJ44</f>
        <v>0</v>
      </c>
      <c r="FK44" s="78">
        <f>Grupo!FK44</f>
        <v>2</v>
      </c>
      <c r="FL44" s="78">
        <f>Grupo!FL44</f>
        <v>2</v>
      </c>
      <c r="FM44" s="78">
        <f>Grupo!FM44</f>
        <v>0</v>
      </c>
      <c r="FN44" s="78">
        <f>Grupo!FN44</f>
        <v>2</v>
      </c>
      <c r="FO44" s="78">
        <f>Grupo!FO44</f>
        <v>2</v>
      </c>
      <c r="FP44" s="78">
        <f>Grupo!FP44</f>
        <v>1</v>
      </c>
      <c r="FQ44" s="78">
        <f>Grupo!FQ44</f>
        <v>0</v>
      </c>
      <c r="FR44" s="78">
        <f>Grupo!FR44</f>
        <v>4</v>
      </c>
      <c r="FS44" s="78">
        <f>Grupo!FS44</f>
        <v>1</v>
      </c>
      <c r="FT44" s="78">
        <f>Grupo!FT44</f>
        <v>2</v>
      </c>
      <c r="FU44" s="78">
        <f>Grupo!FU44</f>
        <v>2</v>
      </c>
      <c r="FV44" s="78">
        <f>Grupo!FV44</f>
        <v>0</v>
      </c>
      <c r="FW44" s="78">
        <f>Grupo!FW44</f>
        <v>3</v>
      </c>
      <c r="FX44" s="78">
        <f>Grupo!FX44</f>
        <v>2</v>
      </c>
      <c r="FY44" s="78">
        <f>Grupo!FY44</f>
        <v>0</v>
      </c>
      <c r="FZ44" s="78">
        <f>Grupo!FZ44</f>
        <v>2</v>
      </c>
      <c r="GA44" s="78">
        <f>Grupo!GA44</f>
        <v>4</v>
      </c>
      <c r="GB44" s="78">
        <f>Grupo!GB44</f>
        <v>1</v>
      </c>
      <c r="GC44" s="78">
        <f>Grupo!GC44</f>
        <v>2</v>
      </c>
      <c r="GD44" s="78">
        <f>Grupo!GD44</f>
        <v>2</v>
      </c>
      <c r="GE44" s="78">
        <f>Grupo!GE44</f>
        <v>0</v>
      </c>
      <c r="GF44" s="78">
        <f>Grupo!GF44</f>
        <v>1</v>
      </c>
      <c r="GG44" s="78">
        <f>Grupo!GG44</f>
        <v>0</v>
      </c>
      <c r="GH44" s="78">
        <f>Grupo!GH44</f>
        <v>0</v>
      </c>
      <c r="GI44" s="78">
        <f>Grupo!GI44</f>
        <v>1</v>
      </c>
      <c r="GJ44" s="78">
        <f>Grupo!GJ44</f>
        <v>4</v>
      </c>
      <c r="GK44" s="78">
        <f>Grupo!GK44</f>
        <v>1</v>
      </c>
      <c r="GL44" s="78">
        <f>Grupo!GL44</f>
        <v>0</v>
      </c>
      <c r="GM44" s="78">
        <f>Grupo!GM44</f>
        <v>0</v>
      </c>
      <c r="GN44" s="78">
        <f>Grupo!GN44</f>
        <v>3</v>
      </c>
      <c r="GO44" s="78">
        <f>Grupo!GO44</f>
        <v>1</v>
      </c>
      <c r="GP44" s="78">
        <f>Grupo!GP44</f>
        <v>3</v>
      </c>
      <c r="GQ44" s="78">
        <f>Grupo!GQ44</f>
        <v>1</v>
      </c>
      <c r="GR44" s="79">
        <f>Grupo!GR44</f>
        <v>0</v>
      </c>
      <c r="GS44" s="79">
        <f>Grupo!GS44</f>
        <v>4</v>
      </c>
      <c r="GT44" s="79" t="str">
        <f>Grupo!GT44</f>
        <v/>
      </c>
      <c r="GU44" s="79">
        <f>Grupo!GU44</f>
        <v>2</v>
      </c>
      <c r="GV44" s="79">
        <f>Grupo!GV44</f>
        <v>1</v>
      </c>
      <c r="GW44" s="79" t="str">
        <f>Grupo!GW44</f>
        <v/>
      </c>
      <c r="GX44" s="76">
        <f>Grupo!GX44</f>
        <v>1</v>
      </c>
      <c r="GY44" s="76">
        <f>Grupo!GY44</f>
        <v>1</v>
      </c>
      <c r="GZ44" s="76" t="str">
        <f>Grupo!GZ44</f>
        <v/>
      </c>
      <c r="HA44" s="76">
        <f>Grupo!HA44</f>
        <v>1</v>
      </c>
      <c r="HB44" s="76">
        <f>Grupo!HB44</f>
        <v>3</v>
      </c>
      <c r="HC44" s="76" t="str">
        <f>Grupo!HC44</f>
        <v/>
      </c>
      <c r="HD44" s="76">
        <f>Grupo!HD44</f>
        <v>3</v>
      </c>
      <c r="HE44" s="76">
        <f>Grupo!HE44</f>
        <v>3</v>
      </c>
      <c r="HF44" s="76" t="str">
        <f>Grupo!HF44</f>
        <v/>
      </c>
      <c r="HG44" s="76">
        <f>Grupo!HG44</f>
        <v>1</v>
      </c>
      <c r="HH44" s="76">
        <f>Grupo!HH44</f>
        <v>2</v>
      </c>
      <c r="HI44" s="76" t="str">
        <f>Grupo!HI44</f>
        <v/>
      </c>
      <c r="HJ44" s="32">
        <f>Grupo!HJ44</f>
        <v>51</v>
      </c>
      <c r="HK44" s="25" t="s">
        <v>12</v>
      </c>
    </row>
    <row r="45" spans="1:219" ht="20.25" customHeight="1" thickBot="1" x14ac:dyDescent="0.35">
      <c r="A45" s="34" t="str">
        <f>Grupo!A45</f>
        <v>Peter</v>
      </c>
      <c r="B45" s="28">
        <f>Grupo!B45</f>
        <v>2</v>
      </c>
      <c r="C45" s="28">
        <f>Grupo!C45</f>
        <v>0</v>
      </c>
      <c r="D45" s="28">
        <f>Grupo!D45</f>
        <v>3</v>
      </c>
      <c r="E45" s="28">
        <f>Grupo!E45</f>
        <v>1</v>
      </c>
      <c r="F45" s="28">
        <f>Grupo!F45</f>
        <v>0</v>
      </c>
      <c r="G45" s="28">
        <f>Grupo!G45</f>
        <v>1</v>
      </c>
      <c r="H45" s="28">
        <f>Grupo!H45</f>
        <v>1</v>
      </c>
      <c r="I45" s="28">
        <f>Grupo!I45</f>
        <v>1</v>
      </c>
      <c r="J45" s="28">
        <f>Grupo!J45</f>
        <v>3</v>
      </c>
      <c r="K45" s="28">
        <f>Grupo!K45</f>
        <v>2</v>
      </c>
      <c r="L45" s="28">
        <f>Grupo!L45</f>
        <v>2</v>
      </c>
      <c r="M45" s="28">
        <f>Grupo!M45</f>
        <v>0</v>
      </c>
      <c r="N45" s="28">
        <f>Grupo!N45</f>
        <v>0</v>
      </c>
      <c r="O45" s="28">
        <f>Grupo!O45</f>
        <v>3</v>
      </c>
      <c r="P45" s="28">
        <f>Grupo!P45</f>
        <v>1</v>
      </c>
      <c r="Q45" s="28">
        <f>Grupo!Q45</f>
        <v>1</v>
      </c>
      <c r="R45" s="28">
        <f>Grupo!R45</f>
        <v>2</v>
      </c>
      <c r="S45" s="28">
        <f>Grupo!S45</f>
        <v>0</v>
      </c>
      <c r="T45" s="28">
        <f>Grupo!T45</f>
        <v>1</v>
      </c>
      <c r="U45" s="28">
        <f>Grupo!U45</f>
        <v>2</v>
      </c>
      <c r="V45" s="28">
        <f>Grupo!V45</f>
        <v>0</v>
      </c>
      <c r="W45" s="28">
        <f>Grupo!W45</f>
        <v>1</v>
      </c>
      <c r="X45" s="28">
        <f>Grupo!X45</f>
        <v>2</v>
      </c>
      <c r="Y45" s="28">
        <f>Grupo!Y45</f>
        <v>0</v>
      </c>
      <c r="Z45" s="28">
        <f>Grupo!Z45</f>
        <v>0</v>
      </c>
      <c r="AA45" s="28">
        <f>Grupo!AA45</f>
        <v>2</v>
      </c>
      <c r="AB45" s="28">
        <f>Grupo!AB45</f>
        <v>0</v>
      </c>
      <c r="AC45" s="28">
        <f>Grupo!AC45</f>
        <v>4</v>
      </c>
      <c r="AD45" s="28">
        <f>Grupo!AD45</f>
        <v>0</v>
      </c>
      <c r="AE45" s="28">
        <f>Grupo!AE45</f>
        <v>1</v>
      </c>
      <c r="AF45" s="28">
        <f>Grupo!AF45</f>
        <v>2</v>
      </c>
      <c r="AG45" s="28">
        <f>Grupo!AG45</f>
        <v>2</v>
      </c>
      <c r="AH45" s="28">
        <f>Grupo!AH45</f>
        <v>3</v>
      </c>
      <c r="AI45" s="28">
        <f>Grupo!AI45</f>
        <v>2</v>
      </c>
      <c r="AJ45" s="28">
        <f>Grupo!AJ45</f>
        <v>0</v>
      </c>
      <c r="AK45" s="28">
        <f>Grupo!AK45</f>
        <v>1</v>
      </c>
      <c r="AL45" s="28">
        <f>Grupo!AL45</f>
        <v>1</v>
      </c>
      <c r="AM45" s="28">
        <f>Grupo!AM45</f>
        <v>3</v>
      </c>
      <c r="AN45" s="28">
        <f>Grupo!AN45</f>
        <v>0</v>
      </c>
      <c r="AO45" s="28">
        <f>Grupo!AO45</f>
        <v>3</v>
      </c>
      <c r="AP45" s="28">
        <f>Grupo!AP45</f>
        <v>0</v>
      </c>
      <c r="AQ45" s="28">
        <f>Grupo!AQ45</f>
        <v>0</v>
      </c>
      <c r="AR45" s="28">
        <f>Grupo!AR45</f>
        <v>2</v>
      </c>
      <c r="AS45" s="28">
        <f>Grupo!AS45</f>
        <v>0</v>
      </c>
      <c r="AT45" s="28">
        <f>Grupo!AT45</f>
        <v>0</v>
      </c>
      <c r="AU45" s="28">
        <f>Grupo!AU45</f>
        <v>2</v>
      </c>
      <c r="AV45" s="28">
        <f>Grupo!AV45</f>
        <v>0</v>
      </c>
      <c r="AW45" s="28">
        <f>Grupo!AW45</f>
        <v>0</v>
      </c>
      <c r="AX45" s="28">
        <f>Grupo!AX45</f>
        <v>3</v>
      </c>
      <c r="AY45" s="28">
        <f>Grupo!AY45</f>
        <v>1</v>
      </c>
      <c r="AZ45" s="28">
        <f>Grupo!AZ45</f>
        <v>3</v>
      </c>
      <c r="BA45" s="28">
        <f>Grupo!BA45</f>
        <v>1</v>
      </c>
      <c r="BB45" s="28">
        <f>Grupo!BB45</f>
        <v>5</v>
      </c>
      <c r="BC45" s="28">
        <f>Grupo!BC45</f>
        <v>1</v>
      </c>
      <c r="BD45" s="28">
        <f>Grupo!BD45</f>
        <v>2</v>
      </c>
      <c r="BE45" s="28">
        <f>Grupo!BE45</f>
        <v>0</v>
      </c>
      <c r="BF45" s="28">
        <f>Grupo!BF45</f>
        <v>1</v>
      </c>
      <c r="BG45" s="28">
        <f>Grupo!BG45</f>
        <v>3</v>
      </c>
      <c r="BH45" s="28">
        <f>Grupo!BH45</f>
        <v>0</v>
      </c>
      <c r="BI45" s="28">
        <f>Grupo!BI45</f>
        <v>1</v>
      </c>
      <c r="BJ45" s="28">
        <f>Grupo!BJ45</f>
        <v>1</v>
      </c>
      <c r="BK45" s="28">
        <f>Grupo!BK45</f>
        <v>2</v>
      </c>
      <c r="BL45" s="28">
        <f>Grupo!BL45</f>
        <v>0</v>
      </c>
      <c r="BM45" s="28">
        <f>Grupo!BM45</f>
        <v>2</v>
      </c>
      <c r="BN45" s="28">
        <f>Grupo!BN45</f>
        <v>1</v>
      </c>
      <c r="BO45" s="28">
        <f>Grupo!BO45</f>
        <v>1</v>
      </c>
      <c r="BP45" s="28">
        <f>Grupo!BP45</f>
        <v>6</v>
      </c>
      <c r="BQ45" s="28">
        <f>Grupo!BQ45</f>
        <v>0</v>
      </c>
      <c r="BR45" s="28">
        <f>Grupo!BR45</f>
        <v>0</v>
      </c>
      <c r="BS45" s="28">
        <f>Grupo!BS45</f>
        <v>0</v>
      </c>
      <c r="BT45" s="28">
        <f>Grupo!BT45</f>
        <v>3</v>
      </c>
      <c r="BU45" s="28">
        <f>Grupo!BU45</f>
        <v>1</v>
      </c>
      <c r="BV45" s="28">
        <f>Grupo!BV45</f>
        <v>2</v>
      </c>
      <c r="BW45" s="28">
        <f>Grupo!BW45</f>
        <v>1</v>
      </c>
      <c r="BX45" s="28">
        <f>Grupo!BX45</f>
        <v>0</v>
      </c>
      <c r="BY45" s="28">
        <f>Grupo!BY45</f>
        <v>2</v>
      </c>
      <c r="BZ45" s="28">
        <f>Grupo!BZ45</f>
        <v>1</v>
      </c>
      <c r="CA45" s="28">
        <f>Grupo!CA45</f>
        <v>1</v>
      </c>
      <c r="CB45" s="28">
        <f>Grupo!CB45</f>
        <v>2</v>
      </c>
      <c r="CC45" s="28">
        <f>Grupo!CC45</f>
        <v>2</v>
      </c>
      <c r="CD45" s="28">
        <f>Grupo!CD45</f>
        <v>0</v>
      </c>
      <c r="CE45" s="28">
        <f>Grupo!CE45</f>
        <v>1</v>
      </c>
      <c r="CF45" s="28">
        <f>Grupo!CF45</f>
        <v>1</v>
      </c>
      <c r="CG45" s="28">
        <f>Grupo!CG45</f>
        <v>0</v>
      </c>
      <c r="CH45" s="28">
        <f>Grupo!CH45</f>
        <v>3</v>
      </c>
      <c r="CI45" s="28">
        <f>Grupo!CI45</f>
        <v>0</v>
      </c>
      <c r="CJ45" s="28">
        <f>Grupo!CJ45</f>
        <v>3</v>
      </c>
      <c r="CK45" s="28">
        <f>Grupo!CK45</f>
        <v>1</v>
      </c>
      <c r="CL45" s="28">
        <f>Grupo!CL45</f>
        <v>1</v>
      </c>
      <c r="CM45" s="28">
        <f>Grupo!CM45</f>
        <v>0</v>
      </c>
      <c r="CN45" s="28">
        <f>Grupo!CN45</f>
        <v>1</v>
      </c>
      <c r="CO45" s="28">
        <f>Grupo!CO45</f>
        <v>0</v>
      </c>
      <c r="CP45" s="28">
        <f>Grupo!CP45</f>
        <v>0</v>
      </c>
      <c r="CQ45" s="28">
        <f>Grupo!CQ45</f>
        <v>2</v>
      </c>
      <c r="CR45" s="28">
        <f>Grupo!CR45</f>
        <v>0</v>
      </c>
      <c r="CS45" s="28">
        <f>Grupo!CS45</f>
        <v>3</v>
      </c>
      <c r="CT45" s="28">
        <f>Grupo!CT45</f>
        <v>2</v>
      </c>
      <c r="CU45" s="28">
        <f>Grupo!CU45</f>
        <v>0</v>
      </c>
      <c r="CV45" s="28">
        <f>Grupo!CV45</f>
        <v>1</v>
      </c>
      <c r="CW45" s="28">
        <f>Grupo!CW45</f>
        <v>3</v>
      </c>
      <c r="CX45" s="28">
        <f>Grupo!CX45</f>
        <v>1</v>
      </c>
      <c r="CY45" s="28">
        <f>Grupo!CY45</f>
        <v>0</v>
      </c>
      <c r="CZ45" s="28">
        <f>Grupo!CZ45</f>
        <v>2</v>
      </c>
      <c r="DA45" s="28">
        <f>Grupo!DA45</f>
        <v>1</v>
      </c>
      <c r="DB45" s="28">
        <f>Grupo!DB45</f>
        <v>1</v>
      </c>
      <c r="DC45" s="28">
        <f>Grupo!DC45</f>
        <v>0</v>
      </c>
      <c r="DD45" s="28">
        <f>Grupo!DD45</f>
        <v>2</v>
      </c>
      <c r="DE45" s="28">
        <f>Grupo!DE45</f>
        <v>1</v>
      </c>
      <c r="DF45" s="28">
        <f>Grupo!DF45</f>
        <v>1</v>
      </c>
      <c r="DG45" s="28">
        <f>Grupo!DG45</f>
        <v>0</v>
      </c>
      <c r="DH45" s="28">
        <f>Grupo!DH45</f>
        <v>0</v>
      </c>
      <c r="DI45" s="28">
        <f>Grupo!DI45</f>
        <v>2</v>
      </c>
      <c r="DJ45" s="28">
        <f>Grupo!DJ45</f>
        <v>1</v>
      </c>
      <c r="DK45" s="28">
        <f>Grupo!DK45</f>
        <v>1</v>
      </c>
      <c r="DL45" s="28">
        <f>Grupo!DL45</f>
        <v>1</v>
      </c>
      <c r="DM45" s="28">
        <f>Grupo!DM45</f>
        <v>0</v>
      </c>
      <c r="DN45" s="28">
        <f>Grupo!DN45</f>
        <v>0</v>
      </c>
      <c r="DO45" s="28">
        <f>Grupo!DO45</f>
        <v>0</v>
      </c>
      <c r="DP45" s="28">
        <f>Grupo!DP45</f>
        <v>3</v>
      </c>
      <c r="DQ45" s="28">
        <f>Grupo!DQ45</f>
        <v>1</v>
      </c>
      <c r="DR45" s="28">
        <f>Grupo!DR45</f>
        <v>4</v>
      </c>
      <c r="DS45" s="28">
        <f>Grupo!DS45</f>
        <v>0</v>
      </c>
      <c r="DT45" s="28">
        <f>Grupo!DT45</f>
        <v>1</v>
      </c>
      <c r="DU45" s="28">
        <f>Grupo!DU45</f>
        <v>2</v>
      </c>
      <c r="DV45" s="28">
        <f>Grupo!DV45</f>
        <v>0</v>
      </c>
      <c r="DW45" s="28">
        <f>Grupo!DW45</f>
        <v>1</v>
      </c>
      <c r="DX45" s="28">
        <f>Grupo!DX45</f>
        <v>2</v>
      </c>
      <c r="DY45" s="28">
        <f>Grupo!DY45</f>
        <v>0</v>
      </c>
      <c r="DZ45" s="28">
        <f>Grupo!DZ45</f>
        <v>3</v>
      </c>
      <c r="EA45" s="70">
        <f>Grupo!EA45</f>
        <v>0</v>
      </c>
      <c r="EB45" s="70">
        <f>Grupo!EB45</f>
        <v>2</v>
      </c>
      <c r="EC45" s="70">
        <f>Grupo!EC45</f>
        <v>1</v>
      </c>
      <c r="ED45" s="70">
        <f>Grupo!ED45</f>
        <v>2</v>
      </c>
      <c r="EE45" s="70">
        <f>Grupo!EE45</f>
        <v>0</v>
      </c>
      <c r="EF45" s="70">
        <f>Grupo!EF45</f>
        <v>0</v>
      </c>
      <c r="EG45" s="70">
        <f>Grupo!EG45</f>
        <v>1</v>
      </c>
      <c r="EH45" s="70">
        <f>Grupo!EH45</f>
        <v>3</v>
      </c>
      <c r="EI45" s="70">
        <f>Grupo!EI45</f>
        <v>1</v>
      </c>
      <c r="EJ45" s="70">
        <f>Grupo!EJ45</f>
        <v>4</v>
      </c>
      <c r="EK45" s="70">
        <f>Grupo!EK45</f>
        <v>0</v>
      </c>
      <c r="EL45" s="70">
        <f>Grupo!EL45</f>
        <v>1</v>
      </c>
      <c r="EM45" s="70">
        <f>Grupo!EM45</f>
        <v>3</v>
      </c>
      <c r="EN45" s="70">
        <f>Grupo!EN45</f>
        <v>1</v>
      </c>
      <c r="EO45" s="70">
        <f>Grupo!EO45</f>
        <v>1</v>
      </c>
      <c r="EP45" s="78">
        <f>Grupo!EP45</f>
        <v>1</v>
      </c>
      <c r="EQ45" s="78">
        <f>Grupo!EQ45</f>
        <v>3</v>
      </c>
      <c r="ER45" s="78">
        <f>Grupo!ER45</f>
        <v>1</v>
      </c>
      <c r="ES45" s="78">
        <f>Grupo!ES45</f>
        <v>3</v>
      </c>
      <c r="ET45" s="78">
        <f>Grupo!ET45</f>
        <v>0</v>
      </c>
      <c r="EU45" s="78">
        <f>Grupo!EU45</f>
        <v>1</v>
      </c>
      <c r="EV45" s="78">
        <f>Grupo!EV45</f>
        <v>0</v>
      </c>
      <c r="EW45" s="78">
        <f>Grupo!EW45</f>
        <v>1</v>
      </c>
      <c r="EX45" s="78">
        <f>Grupo!EX45</f>
        <v>0</v>
      </c>
      <c r="EY45" s="78">
        <f>Grupo!EY45</f>
        <v>1</v>
      </c>
      <c r="EZ45" s="78">
        <f>Grupo!EZ45</f>
        <v>1</v>
      </c>
      <c r="FA45" s="78">
        <f>Grupo!FA45</f>
        <v>0</v>
      </c>
      <c r="FB45" s="78">
        <f>Grupo!FB45</f>
        <v>1</v>
      </c>
      <c r="FC45" s="78">
        <f>Grupo!FC45</f>
        <v>2</v>
      </c>
      <c r="FD45" s="78">
        <f>Grupo!FD45</f>
        <v>1</v>
      </c>
      <c r="FE45" s="78">
        <f>Grupo!FE45</f>
        <v>0</v>
      </c>
      <c r="FF45" s="78">
        <f>Grupo!FF45</f>
        <v>2</v>
      </c>
      <c r="FG45" s="78">
        <f>Grupo!FG45</f>
        <v>0</v>
      </c>
      <c r="FH45" s="78">
        <f>Grupo!FH45</f>
        <v>1</v>
      </c>
      <c r="FI45" s="78">
        <f>Grupo!FI45</f>
        <v>2</v>
      </c>
      <c r="FJ45" s="78">
        <f>Grupo!FJ45</f>
        <v>1</v>
      </c>
      <c r="FK45" s="78">
        <f>Grupo!FK45</f>
        <v>2</v>
      </c>
      <c r="FL45" s="78">
        <f>Grupo!FL45</f>
        <v>2</v>
      </c>
      <c r="FM45" s="78">
        <f>Grupo!FM45</f>
        <v>0</v>
      </c>
      <c r="FN45" s="78">
        <f>Grupo!FN45</f>
        <v>2</v>
      </c>
      <c r="FO45" s="78">
        <f>Grupo!FO45</f>
        <v>1</v>
      </c>
      <c r="FP45" s="78">
        <f>Grupo!FP45</f>
        <v>0</v>
      </c>
      <c r="FQ45" s="78">
        <f>Grupo!FQ45</f>
        <v>1</v>
      </c>
      <c r="FR45" s="78">
        <f>Grupo!FR45</f>
        <v>3</v>
      </c>
      <c r="FS45" s="78">
        <f>Grupo!FS45</f>
        <v>3</v>
      </c>
      <c r="FT45" s="78">
        <f>Grupo!FT45</f>
        <v>1</v>
      </c>
      <c r="FU45" s="78">
        <f>Grupo!FU45</f>
        <v>1</v>
      </c>
      <c r="FV45" s="78">
        <f>Grupo!FV45</f>
        <v>0</v>
      </c>
      <c r="FW45" s="78">
        <f>Grupo!FW45</f>
        <v>1</v>
      </c>
      <c r="FX45" s="78">
        <f>Grupo!FX45</f>
        <v>0</v>
      </c>
      <c r="FY45" s="78">
        <f>Grupo!FY45</f>
        <v>0</v>
      </c>
      <c r="FZ45" s="78">
        <f>Grupo!FZ45</f>
        <v>2</v>
      </c>
      <c r="GA45" s="78">
        <f>Grupo!GA45</f>
        <v>1</v>
      </c>
      <c r="GB45" s="78">
        <f>Grupo!GB45</f>
        <v>0</v>
      </c>
      <c r="GC45" s="78">
        <f>Grupo!GC45</f>
        <v>1</v>
      </c>
      <c r="GD45" s="78">
        <f>Grupo!GD45</f>
        <v>0</v>
      </c>
      <c r="GE45" s="78">
        <f>Grupo!GE45</f>
        <v>1</v>
      </c>
      <c r="GF45" s="78">
        <f>Grupo!GF45</f>
        <v>2</v>
      </c>
      <c r="GG45" s="78">
        <f>Grupo!GG45</f>
        <v>1</v>
      </c>
      <c r="GH45" s="78">
        <f>Grupo!GH45</f>
        <v>0</v>
      </c>
      <c r="GI45" s="78">
        <f>Grupo!GI45</f>
        <v>0</v>
      </c>
      <c r="GJ45" s="78">
        <f>Grupo!GJ45</f>
        <v>5</v>
      </c>
      <c r="GK45" s="78">
        <f>Grupo!GK45</f>
        <v>1</v>
      </c>
      <c r="GL45" s="78">
        <f>Grupo!GL45</f>
        <v>1</v>
      </c>
      <c r="GM45" s="78">
        <f>Grupo!GM45</f>
        <v>1</v>
      </c>
      <c r="GN45" s="78">
        <f>Grupo!GN45</f>
        <v>1</v>
      </c>
      <c r="GO45" s="78">
        <f>Grupo!GO45</f>
        <v>2</v>
      </c>
      <c r="GP45" s="78">
        <f>Grupo!GP45</f>
        <v>2</v>
      </c>
      <c r="GQ45" s="78">
        <f>Grupo!GQ45</f>
        <v>0</v>
      </c>
      <c r="GR45" s="79">
        <f>Grupo!GR45</f>
        <v>2</v>
      </c>
      <c r="GS45" s="79">
        <f>Grupo!GS45</f>
        <v>4</v>
      </c>
      <c r="GT45" s="79" t="str">
        <f>Grupo!GT45</f>
        <v/>
      </c>
      <c r="GU45" s="79">
        <f>Grupo!GU45</f>
        <v>1</v>
      </c>
      <c r="GV45" s="79">
        <f>Grupo!GV45</f>
        <v>1</v>
      </c>
      <c r="GW45" s="79" t="str">
        <f>Grupo!GW45</f>
        <v/>
      </c>
      <c r="GX45" s="76">
        <f>Grupo!GX45</f>
        <v>1</v>
      </c>
      <c r="GY45" s="76">
        <f>Grupo!GY45</f>
        <v>1</v>
      </c>
      <c r="GZ45" s="76" t="str">
        <f>Grupo!GZ45</f>
        <v/>
      </c>
      <c r="HA45" s="76">
        <f>Grupo!HA45</f>
        <v>0</v>
      </c>
      <c r="HB45" s="76">
        <f>Grupo!HB45</f>
        <v>4</v>
      </c>
      <c r="HC45" s="76" t="str">
        <f>Grupo!HC45</f>
        <v/>
      </c>
      <c r="HD45" s="76">
        <f>Grupo!HD45</f>
        <v>2</v>
      </c>
      <c r="HE45" s="76">
        <f>Grupo!HE45</f>
        <v>2</v>
      </c>
      <c r="HF45" s="76" t="str">
        <f>Grupo!HF45</f>
        <v/>
      </c>
      <c r="HG45" s="76">
        <f>Grupo!HG45</f>
        <v>2</v>
      </c>
      <c r="HH45" s="76">
        <f>Grupo!HH45</f>
        <v>1</v>
      </c>
      <c r="HI45" s="76" t="str">
        <f>Grupo!HI45</f>
        <v/>
      </c>
      <c r="HJ45" s="32">
        <f>Grupo!HJ45</f>
        <v>52</v>
      </c>
      <c r="HK45" s="25" t="s">
        <v>16</v>
      </c>
    </row>
    <row r="46" spans="1:219" ht="20.25" customHeight="1" thickBot="1" x14ac:dyDescent="0.35">
      <c r="A46" s="34" t="str">
        <f>Grupo!A46</f>
        <v>Quinnie</v>
      </c>
      <c r="B46" s="28">
        <f>Grupo!B46</f>
        <v>2</v>
      </c>
      <c r="C46" s="28">
        <f>Grupo!C46</f>
        <v>0</v>
      </c>
      <c r="D46" s="28">
        <f>Grupo!D46</f>
        <v>3</v>
      </c>
      <c r="E46" s="28">
        <f>Grupo!E46</f>
        <v>1</v>
      </c>
      <c r="F46" s="28">
        <f>Grupo!F46</f>
        <v>1</v>
      </c>
      <c r="G46" s="28">
        <f>Grupo!G46</f>
        <v>0</v>
      </c>
      <c r="H46" s="28">
        <f>Grupo!H46</f>
        <v>2</v>
      </c>
      <c r="I46" s="28">
        <f>Grupo!I46</f>
        <v>1</v>
      </c>
      <c r="J46" s="28">
        <f>Grupo!J46</f>
        <v>0</v>
      </c>
      <c r="K46" s="28">
        <f>Grupo!K46</f>
        <v>1</v>
      </c>
      <c r="L46" s="28">
        <f>Grupo!L46</f>
        <v>1</v>
      </c>
      <c r="M46" s="28">
        <f>Grupo!M46</f>
        <v>0</v>
      </c>
      <c r="N46" s="28">
        <f>Grupo!N46</f>
        <v>0</v>
      </c>
      <c r="O46" s="28">
        <f>Grupo!O46</f>
        <v>2</v>
      </c>
      <c r="P46" s="28">
        <f>Grupo!P46</f>
        <v>1</v>
      </c>
      <c r="Q46" s="28">
        <f>Grupo!Q46</f>
        <v>1</v>
      </c>
      <c r="R46" s="28">
        <f>Grupo!R46</f>
        <v>2</v>
      </c>
      <c r="S46" s="28">
        <f>Grupo!S46</f>
        <v>0</v>
      </c>
      <c r="T46" s="28">
        <f>Grupo!T46</f>
        <v>2</v>
      </c>
      <c r="U46" s="28">
        <f>Grupo!U46</f>
        <v>1</v>
      </c>
      <c r="V46" s="28">
        <f>Grupo!V46</f>
        <v>0</v>
      </c>
      <c r="W46" s="28">
        <f>Grupo!W46</f>
        <v>0</v>
      </c>
      <c r="X46" s="28">
        <f>Grupo!X46</f>
        <v>2</v>
      </c>
      <c r="Y46" s="28">
        <f>Grupo!Y46</f>
        <v>0</v>
      </c>
      <c r="Z46" s="28">
        <f>Grupo!Z46</f>
        <v>1</v>
      </c>
      <c r="AA46" s="28">
        <f>Grupo!AA46</f>
        <v>1</v>
      </c>
      <c r="AB46" s="28">
        <f>Grupo!AB46</f>
        <v>0</v>
      </c>
      <c r="AC46" s="28">
        <f>Grupo!AC46</f>
        <v>5</v>
      </c>
      <c r="AD46" s="28">
        <f>Grupo!AD46</f>
        <v>0</v>
      </c>
      <c r="AE46" s="28">
        <f>Grupo!AE46</f>
        <v>1</v>
      </c>
      <c r="AF46" s="28">
        <f>Grupo!AF46</f>
        <v>2</v>
      </c>
      <c r="AG46" s="28">
        <f>Grupo!AG46</f>
        <v>2</v>
      </c>
      <c r="AH46" s="28">
        <f>Grupo!AH46</f>
        <v>3</v>
      </c>
      <c r="AI46" s="28">
        <f>Grupo!AI46</f>
        <v>3</v>
      </c>
      <c r="AJ46" s="28">
        <f>Grupo!AJ46</f>
        <v>0</v>
      </c>
      <c r="AK46" s="28">
        <f>Grupo!AK46</f>
        <v>1</v>
      </c>
      <c r="AL46" s="28">
        <f>Grupo!AL46</f>
        <v>0</v>
      </c>
      <c r="AM46" s="28">
        <f>Grupo!AM46</f>
        <v>2</v>
      </c>
      <c r="AN46" s="28">
        <f>Grupo!AN46</f>
        <v>0</v>
      </c>
      <c r="AO46" s="28">
        <f>Grupo!AO46</f>
        <v>5</v>
      </c>
      <c r="AP46" s="28">
        <f>Grupo!AP46</f>
        <v>0</v>
      </c>
      <c r="AQ46" s="28">
        <f>Grupo!AQ46</f>
        <v>0</v>
      </c>
      <c r="AR46" s="28">
        <f>Grupo!AR46</f>
        <v>2</v>
      </c>
      <c r="AS46" s="28">
        <f>Grupo!AS46</f>
        <v>0</v>
      </c>
      <c r="AT46" s="28">
        <f>Grupo!AT46</f>
        <v>0</v>
      </c>
      <c r="AU46" s="28">
        <f>Grupo!AU46</f>
        <v>3</v>
      </c>
      <c r="AV46" s="28">
        <f>Grupo!AV46</f>
        <v>1</v>
      </c>
      <c r="AW46" s="28">
        <f>Grupo!AW46</f>
        <v>0</v>
      </c>
      <c r="AX46" s="28">
        <f>Grupo!AX46</f>
        <v>3</v>
      </c>
      <c r="AY46" s="28">
        <f>Grupo!AY46</f>
        <v>1</v>
      </c>
      <c r="AZ46" s="28">
        <f>Grupo!AZ46</f>
        <v>3</v>
      </c>
      <c r="BA46" s="28">
        <f>Grupo!BA46</f>
        <v>0</v>
      </c>
      <c r="BB46" s="28">
        <f>Grupo!BB46</f>
        <v>3</v>
      </c>
      <c r="BC46" s="28">
        <f>Grupo!BC46</f>
        <v>1</v>
      </c>
      <c r="BD46" s="28">
        <f>Grupo!BD46</f>
        <v>2</v>
      </c>
      <c r="BE46" s="28">
        <f>Grupo!BE46</f>
        <v>1</v>
      </c>
      <c r="BF46" s="28">
        <f>Grupo!BF46</f>
        <v>1</v>
      </c>
      <c r="BG46" s="28">
        <f>Grupo!BG46</f>
        <v>2</v>
      </c>
      <c r="BH46" s="28">
        <f>Grupo!BH46</f>
        <v>0</v>
      </c>
      <c r="BI46" s="28">
        <f>Grupo!BI46</f>
        <v>1</v>
      </c>
      <c r="BJ46" s="28">
        <f>Grupo!BJ46</f>
        <v>1</v>
      </c>
      <c r="BK46" s="28">
        <f>Grupo!BK46</f>
        <v>1</v>
      </c>
      <c r="BL46" s="28">
        <f>Grupo!BL46</f>
        <v>0</v>
      </c>
      <c r="BM46" s="28">
        <f>Grupo!BM46</f>
        <v>2</v>
      </c>
      <c r="BN46" s="28">
        <f>Grupo!BN46</f>
        <v>1</v>
      </c>
      <c r="BO46" s="28">
        <f>Grupo!BO46</f>
        <v>1</v>
      </c>
      <c r="BP46" s="28">
        <f>Grupo!BP46</f>
        <v>3</v>
      </c>
      <c r="BQ46" s="28">
        <f>Grupo!BQ46</f>
        <v>0</v>
      </c>
      <c r="BR46" s="28">
        <f>Grupo!BR46</f>
        <v>0</v>
      </c>
      <c r="BS46" s="28">
        <f>Grupo!BS46</f>
        <v>0</v>
      </c>
      <c r="BT46" s="28">
        <f>Grupo!BT46</f>
        <v>2</v>
      </c>
      <c r="BU46" s="28">
        <f>Grupo!BU46</f>
        <v>1</v>
      </c>
      <c r="BV46" s="28">
        <f>Grupo!BV46</f>
        <v>1</v>
      </c>
      <c r="BW46" s="28">
        <f>Grupo!BW46</f>
        <v>0</v>
      </c>
      <c r="BX46" s="28">
        <f>Grupo!BX46</f>
        <v>0</v>
      </c>
      <c r="BY46" s="28">
        <f>Grupo!BY46</f>
        <v>2</v>
      </c>
      <c r="BZ46" s="28">
        <f>Grupo!BZ46</f>
        <v>1</v>
      </c>
      <c r="CA46" s="28">
        <f>Grupo!CA46</f>
        <v>1</v>
      </c>
      <c r="CB46" s="28">
        <f>Grupo!CB46</f>
        <v>2</v>
      </c>
      <c r="CC46" s="28">
        <f>Grupo!CC46</f>
        <v>0</v>
      </c>
      <c r="CD46" s="28">
        <f>Grupo!CD46</f>
        <v>1</v>
      </c>
      <c r="CE46" s="28">
        <f>Grupo!CE46</f>
        <v>2</v>
      </c>
      <c r="CF46" s="28">
        <f>Grupo!CF46</f>
        <v>1</v>
      </c>
      <c r="CG46" s="28">
        <f>Grupo!CG46</f>
        <v>1</v>
      </c>
      <c r="CH46" s="28">
        <f>Grupo!CH46</f>
        <v>4</v>
      </c>
      <c r="CI46" s="28">
        <f>Grupo!CI46</f>
        <v>0</v>
      </c>
      <c r="CJ46" s="28">
        <f>Grupo!CJ46</f>
        <v>1</v>
      </c>
      <c r="CK46" s="28">
        <f>Grupo!CK46</f>
        <v>1</v>
      </c>
      <c r="CL46" s="28">
        <f>Grupo!CL46</f>
        <v>2</v>
      </c>
      <c r="CM46" s="28">
        <f>Grupo!CM46</f>
        <v>1</v>
      </c>
      <c r="CN46" s="28">
        <f>Grupo!CN46</f>
        <v>1</v>
      </c>
      <c r="CO46" s="28">
        <f>Grupo!CO46</f>
        <v>1</v>
      </c>
      <c r="CP46" s="28">
        <f>Grupo!CP46</f>
        <v>0</v>
      </c>
      <c r="CQ46" s="28">
        <f>Grupo!CQ46</f>
        <v>2</v>
      </c>
      <c r="CR46" s="28">
        <f>Grupo!CR46</f>
        <v>1</v>
      </c>
      <c r="CS46" s="28">
        <f>Grupo!CS46</f>
        <v>1</v>
      </c>
      <c r="CT46" s="28">
        <f>Grupo!CT46</f>
        <v>3</v>
      </c>
      <c r="CU46" s="28">
        <f>Grupo!CU46</f>
        <v>0</v>
      </c>
      <c r="CV46" s="28">
        <f>Grupo!CV46</f>
        <v>1</v>
      </c>
      <c r="CW46" s="28">
        <f>Grupo!CW46</f>
        <v>3</v>
      </c>
      <c r="CX46" s="28">
        <f>Grupo!CX46</f>
        <v>0</v>
      </c>
      <c r="CY46" s="28">
        <f>Grupo!CY46</f>
        <v>0</v>
      </c>
      <c r="CZ46" s="28">
        <f>Grupo!CZ46</f>
        <v>2</v>
      </c>
      <c r="DA46" s="28">
        <f>Grupo!DA46</f>
        <v>1</v>
      </c>
      <c r="DB46" s="28">
        <f>Grupo!DB46</f>
        <v>1</v>
      </c>
      <c r="DC46" s="28">
        <f>Grupo!DC46</f>
        <v>0</v>
      </c>
      <c r="DD46" s="28">
        <f>Grupo!DD46</f>
        <v>2</v>
      </c>
      <c r="DE46" s="28">
        <f>Grupo!DE46</f>
        <v>1</v>
      </c>
      <c r="DF46" s="28">
        <f>Grupo!DF46</f>
        <v>3</v>
      </c>
      <c r="DG46" s="28">
        <f>Grupo!DG46</f>
        <v>0</v>
      </c>
      <c r="DH46" s="28">
        <f>Grupo!DH46</f>
        <v>0</v>
      </c>
      <c r="DI46" s="28">
        <f>Grupo!DI46</f>
        <v>4</v>
      </c>
      <c r="DJ46" s="28">
        <f>Grupo!DJ46</f>
        <v>0</v>
      </c>
      <c r="DK46" s="28">
        <f>Grupo!DK46</f>
        <v>3</v>
      </c>
      <c r="DL46" s="28">
        <f>Grupo!DL46</f>
        <v>3</v>
      </c>
      <c r="DM46" s="28">
        <f>Grupo!DM46</f>
        <v>1</v>
      </c>
      <c r="DN46" s="28">
        <f>Grupo!DN46</f>
        <v>0</v>
      </c>
      <c r="DO46" s="28">
        <f>Grupo!DO46</f>
        <v>0</v>
      </c>
      <c r="DP46" s="28">
        <f>Grupo!DP46</f>
        <v>2</v>
      </c>
      <c r="DQ46" s="28">
        <f>Grupo!DQ46</f>
        <v>1</v>
      </c>
      <c r="DR46" s="28">
        <f>Grupo!DR46</f>
        <v>3</v>
      </c>
      <c r="DS46" s="28">
        <f>Grupo!DS46</f>
        <v>1</v>
      </c>
      <c r="DT46" s="28">
        <f>Grupo!DT46</f>
        <v>1</v>
      </c>
      <c r="DU46" s="28">
        <f>Grupo!DU46</f>
        <v>4</v>
      </c>
      <c r="DV46" s="28">
        <f>Grupo!DV46</f>
        <v>0</v>
      </c>
      <c r="DW46" s="28">
        <f>Grupo!DW46</f>
        <v>1</v>
      </c>
      <c r="DX46" s="28">
        <f>Grupo!DX46</f>
        <v>2</v>
      </c>
      <c r="DY46" s="28">
        <f>Grupo!DY46</f>
        <v>0</v>
      </c>
      <c r="DZ46" s="28">
        <f>Grupo!DZ46</f>
        <v>3</v>
      </c>
      <c r="EA46" s="70">
        <f>Grupo!EA46</f>
        <v>0</v>
      </c>
      <c r="EB46" s="70">
        <f>Grupo!EB46</f>
        <v>2</v>
      </c>
      <c r="EC46" s="70">
        <f>Grupo!EC46</f>
        <v>1</v>
      </c>
      <c r="ED46" s="70">
        <f>Grupo!ED46</f>
        <v>3</v>
      </c>
      <c r="EE46" s="70">
        <f>Grupo!EE46</f>
        <v>0</v>
      </c>
      <c r="EF46" s="70">
        <f>Grupo!EF46</f>
        <v>0</v>
      </c>
      <c r="EG46" s="70">
        <f>Grupo!EG46</f>
        <v>0</v>
      </c>
      <c r="EH46" s="70">
        <f>Grupo!EH46</f>
        <v>3</v>
      </c>
      <c r="EI46" s="70">
        <f>Grupo!EI46</f>
        <v>1</v>
      </c>
      <c r="EJ46" s="70">
        <f>Grupo!EJ46</f>
        <v>3</v>
      </c>
      <c r="EK46" s="70">
        <f>Grupo!EK46</f>
        <v>0</v>
      </c>
      <c r="EL46" s="70">
        <f>Grupo!EL46</f>
        <v>1</v>
      </c>
      <c r="EM46" s="70">
        <f>Grupo!EM46</f>
        <v>3</v>
      </c>
      <c r="EN46" s="70">
        <f>Grupo!EN46</f>
        <v>0</v>
      </c>
      <c r="EO46" s="70">
        <f>Grupo!EO46</f>
        <v>1</v>
      </c>
      <c r="EP46" s="78">
        <f>Grupo!EP46</f>
        <v>1</v>
      </c>
      <c r="EQ46" s="78">
        <f>Grupo!EQ46</f>
        <v>3</v>
      </c>
      <c r="ER46" s="78">
        <f>Grupo!ER46</f>
        <v>1</v>
      </c>
      <c r="ES46" s="78">
        <f>Grupo!ES46</f>
        <v>3</v>
      </c>
      <c r="ET46" s="78">
        <f>Grupo!ET46</f>
        <v>0</v>
      </c>
      <c r="EU46" s="78">
        <f>Grupo!EU46</f>
        <v>1</v>
      </c>
      <c r="EV46" s="78">
        <f>Grupo!EV46</f>
        <v>1</v>
      </c>
      <c r="EW46" s="78">
        <f>Grupo!EW46</f>
        <v>1</v>
      </c>
      <c r="EX46" s="78">
        <f>Grupo!EX46</f>
        <v>0</v>
      </c>
      <c r="EY46" s="78">
        <f>Grupo!EY46</f>
        <v>2</v>
      </c>
      <c r="EZ46" s="78">
        <f>Grupo!EZ46</f>
        <v>1</v>
      </c>
      <c r="FA46" s="78">
        <f>Grupo!FA46</f>
        <v>1</v>
      </c>
      <c r="FB46" s="78">
        <f>Grupo!FB46</f>
        <v>1</v>
      </c>
      <c r="FC46" s="78">
        <f>Grupo!FC46</f>
        <v>2</v>
      </c>
      <c r="FD46" s="78">
        <f>Grupo!FD46</f>
        <v>1</v>
      </c>
      <c r="FE46" s="78">
        <f>Grupo!FE46</f>
        <v>1</v>
      </c>
      <c r="FF46" s="78">
        <f>Grupo!FF46</f>
        <v>1</v>
      </c>
      <c r="FG46" s="78">
        <f>Grupo!FG46</f>
        <v>0</v>
      </c>
      <c r="FH46" s="78">
        <f>Grupo!FH46</f>
        <v>0</v>
      </c>
      <c r="FI46" s="78">
        <f>Grupo!FI46</f>
        <v>2</v>
      </c>
      <c r="FJ46" s="78">
        <f>Grupo!FJ46</f>
        <v>3</v>
      </c>
      <c r="FK46" s="78">
        <f>Grupo!FK46</f>
        <v>2</v>
      </c>
      <c r="FL46" s="78">
        <f>Grupo!FL46</f>
        <v>2</v>
      </c>
      <c r="FM46" s="78">
        <f>Grupo!FM46</f>
        <v>0</v>
      </c>
      <c r="FN46" s="78">
        <f>Grupo!FN46</f>
        <v>1</v>
      </c>
      <c r="FO46" s="78">
        <f>Grupo!FO46</f>
        <v>1</v>
      </c>
      <c r="FP46" s="78">
        <f>Grupo!FP46</f>
        <v>3</v>
      </c>
      <c r="FQ46" s="78">
        <f>Grupo!FQ46</f>
        <v>0</v>
      </c>
      <c r="FR46" s="78">
        <f>Grupo!FR46</f>
        <v>3</v>
      </c>
      <c r="FS46" s="78">
        <f>Grupo!FS46</f>
        <v>1</v>
      </c>
      <c r="FT46" s="78">
        <f>Grupo!FT46</f>
        <v>2</v>
      </c>
      <c r="FU46" s="78">
        <f>Grupo!FU46</f>
        <v>2</v>
      </c>
      <c r="FV46" s="78">
        <f>Grupo!FV46</f>
        <v>0</v>
      </c>
      <c r="FW46" s="78">
        <f>Grupo!FW46</f>
        <v>1</v>
      </c>
      <c r="FX46" s="78">
        <f>Grupo!FX46</f>
        <v>0</v>
      </c>
      <c r="FY46" s="78">
        <f>Grupo!FY46</f>
        <v>0</v>
      </c>
      <c r="FZ46" s="78">
        <f>Grupo!FZ46</f>
        <v>1</v>
      </c>
      <c r="GA46" s="78">
        <f>Grupo!GA46</f>
        <v>2</v>
      </c>
      <c r="GB46" s="78">
        <f>Grupo!GB46</f>
        <v>1</v>
      </c>
      <c r="GC46" s="78">
        <f>Grupo!GC46</f>
        <v>1</v>
      </c>
      <c r="GD46" s="78">
        <f>Grupo!GD46</f>
        <v>0</v>
      </c>
      <c r="GE46" s="78">
        <f>Grupo!GE46</f>
        <v>1</v>
      </c>
      <c r="GF46" s="78">
        <f>Grupo!GF46</f>
        <v>1</v>
      </c>
      <c r="GG46" s="78">
        <f>Grupo!GG46</f>
        <v>1</v>
      </c>
      <c r="GH46" s="78">
        <f>Grupo!GH46</f>
        <v>3</v>
      </c>
      <c r="GI46" s="78">
        <f>Grupo!GI46</f>
        <v>0</v>
      </c>
      <c r="GJ46" s="78">
        <f>Grupo!GJ46</f>
        <v>4</v>
      </c>
      <c r="GK46" s="78">
        <f>Grupo!GK46</f>
        <v>1</v>
      </c>
      <c r="GL46" s="78">
        <f>Grupo!GL46</f>
        <v>1</v>
      </c>
      <c r="GM46" s="78">
        <f>Grupo!GM46</f>
        <v>2</v>
      </c>
      <c r="GN46" s="78">
        <f>Grupo!GN46</f>
        <v>0</v>
      </c>
      <c r="GO46" s="78">
        <f>Grupo!GO46</f>
        <v>1</v>
      </c>
      <c r="GP46" s="78">
        <f>Grupo!GP46</f>
        <v>3</v>
      </c>
      <c r="GQ46" s="78">
        <f>Grupo!GQ46</f>
        <v>1</v>
      </c>
      <c r="GR46" s="79">
        <f>Grupo!GR46</f>
        <v>0</v>
      </c>
      <c r="GS46" s="79">
        <f>Grupo!GS46</f>
        <v>5</v>
      </c>
      <c r="GT46" s="79" t="str">
        <f>Grupo!GT46</f>
        <v/>
      </c>
      <c r="GU46" s="79">
        <f>Grupo!GU46</f>
        <v>3</v>
      </c>
      <c r="GV46" s="79">
        <f>Grupo!GV46</f>
        <v>1</v>
      </c>
      <c r="GW46" s="79" t="str">
        <f>Grupo!GW46</f>
        <v/>
      </c>
      <c r="GX46" s="76">
        <f>Grupo!GX46</f>
        <v>2</v>
      </c>
      <c r="GY46" s="76">
        <f>Grupo!GY46</f>
        <v>2</v>
      </c>
      <c r="GZ46" s="76" t="str">
        <f>Grupo!GZ46</f>
        <v/>
      </c>
      <c r="HA46" s="76">
        <f>Grupo!HA46</f>
        <v>0</v>
      </c>
      <c r="HB46" s="76">
        <f>Grupo!HB46</f>
        <v>3</v>
      </c>
      <c r="HC46" s="76" t="str">
        <f>Grupo!HC46</f>
        <v/>
      </c>
      <c r="HD46" s="76">
        <f>Grupo!HD46</f>
        <v>2</v>
      </c>
      <c r="HE46" s="76">
        <f>Grupo!HE46</f>
        <v>2</v>
      </c>
      <c r="HF46" s="76" t="str">
        <f>Grupo!HF46</f>
        <v/>
      </c>
      <c r="HG46" s="76">
        <f>Grupo!HG46</f>
        <v>0</v>
      </c>
      <c r="HH46" s="76">
        <f>Grupo!HH46</f>
        <v>0</v>
      </c>
      <c r="HI46" s="76" t="str">
        <f>Grupo!HI46</f>
        <v/>
      </c>
      <c r="HJ46" s="32">
        <f>Grupo!HJ46</f>
        <v>57</v>
      </c>
      <c r="HK46" s="25" t="s">
        <v>41</v>
      </c>
    </row>
    <row r="47" spans="1:219" ht="20.25" customHeight="1" thickBot="1" x14ac:dyDescent="0.35">
      <c r="A47" s="34" t="str">
        <f>Grupo!A47</f>
        <v>Radames</v>
      </c>
      <c r="B47" s="28">
        <f>Grupo!B47</f>
        <v>2</v>
      </c>
      <c r="C47" s="28">
        <f>Grupo!C47</f>
        <v>0</v>
      </c>
      <c r="D47" s="28">
        <f>Grupo!D47</f>
        <v>3</v>
      </c>
      <c r="E47" s="28">
        <f>Grupo!E47</f>
        <v>0</v>
      </c>
      <c r="F47" s="28">
        <f>Grupo!F47</f>
        <v>1</v>
      </c>
      <c r="G47" s="28">
        <f>Grupo!G47</f>
        <v>0</v>
      </c>
      <c r="H47" s="28">
        <f>Grupo!H47</f>
        <v>1</v>
      </c>
      <c r="I47" s="28">
        <f>Grupo!I47</f>
        <v>0</v>
      </c>
      <c r="J47" s="28">
        <f>Grupo!J47</f>
        <v>0</v>
      </c>
      <c r="K47" s="28">
        <f>Grupo!K47</f>
        <v>2</v>
      </c>
      <c r="L47" s="28">
        <f>Grupo!L47</f>
        <v>0</v>
      </c>
      <c r="M47" s="28">
        <f>Grupo!M47</f>
        <v>1</v>
      </c>
      <c r="N47" s="28">
        <f>Grupo!N47</f>
        <v>1</v>
      </c>
      <c r="O47" s="28">
        <f>Grupo!O47</f>
        <v>3</v>
      </c>
      <c r="P47" s="28">
        <f>Grupo!P47</f>
        <v>1</v>
      </c>
      <c r="Q47" s="28">
        <f>Grupo!Q47</f>
        <v>2</v>
      </c>
      <c r="R47" s="28">
        <f>Grupo!R47</f>
        <v>2</v>
      </c>
      <c r="S47" s="28">
        <f>Grupo!S47</f>
        <v>0</v>
      </c>
      <c r="T47" s="28">
        <f>Grupo!T47</f>
        <v>3</v>
      </c>
      <c r="U47" s="28">
        <f>Grupo!U47</f>
        <v>0</v>
      </c>
      <c r="V47" s="28">
        <f>Grupo!V47</f>
        <v>0</v>
      </c>
      <c r="W47" s="28">
        <f>Grupo!W47</f>
        <v>1</v>
      </c>
      <c r="X47" s="28">
        <f>Grupo!X47</f>
        <v>2</v>
      </c>
      <c r="Y47" s="28">
        <f>Grupo!Y47</f>
        <v>0</v>
      </c>
      <c r="Z47" s="28">
        <f>Grupo!Z47</f>
        <v>1</v>
      </c>
      <c r="AA47" s="28">
        <f>Grupo!AA47</f>
        <v>1</v>
      </c>
      <c r="AB47" s="28">
        <f>Grupo!AB47</f>
        <v>0</v>
      </c>
      <c r="AC47" s="28">
        <f>Grupo!AC47</f>
        <v>4</v>
      </c>
      <c r="AD47" s="28">
        <f>Grupo!AD47</f>
        <v>0</v>
      </c>
      <c r="AE47" s="28">
        <f>Grupo!AE47</f>
        <v>1</v>
      </c>
      <c r="AF47" s="28">
        <f>Grupo!AF47</f>
        <v>3</v>
      </c>
      <c r="AG47" s="28">
        <f>Grupo!AG47</f>
        <v>2</v>
      </c>
      <c r="AH47" s="28">
        <f>Grupo!AH47</f>
        <v>0</v>
      </c>
      <c r="AI47" s="28">
        <f>Grupo!AI47</f>
        <v>2</v>
      </c>
      <c r="AJ47" s="28">
        <f>Grupo!AJ47</f>
        <v>0</v>
      </c>
      <c r="AK47" s="28">
        <f>Grupo!AK47</f>
        <v>1</v>
      </c>
      <c r="AL47" s="28">
        <f>Grupo!AL47</f>
        <v>1</v>
      </c>
      <c r="AM47" s="28">
        <f>Grupo!AM47</f>
        <v>2</v>
      </c>
      <c r="AN47" s="28">
        <f>Grupo!AN47</f>
        <v>0</v>
      </c>
      <c r="AO47" s="28">
        <f>Grupo!AO47</f>
        <v>3</v>
      </c>
      <c r="AP47" s="28">
        <f>Grupo!AP47</f>
        <v>1</v>
      </c>
      <c r="AQ47" s="28">
        <f>Grupo!AQ47</f>
        <v>0</v>
      </c>
      <c r="AR47" s="28">
        <f>Grupo!AR47</f>
        <v>2</v>
      </c>
      <c r="AS47" s="28">
        <f>Grupo!AS47</f>
        <v>2</v>
      </c>
      <c r="AT47" s="28">
        <f>Grupo!AT47</f>
        <v>3</v>
      </c>
      <c r="AU47" s="28">
        <f>Grupo!AU47</f>
        <v>3</v>
      </c>
      <c r="AV47" s="28">
        <f>Grupo!AV47</f>
        <v>2</v>
      </c>
      <c r="AW47" s="28">
        <f>Grupo!AW47</f>
        <v>0</v>
      </c>
      <c r="AX47" s="28">
        <f>Grupo!AX47</f>
        <v>2</v>
      </c>
      <c r="AY47" s="28">
        <f>Grupo!AY47</f>
        <v>0</v>
      </c>
      <c r="AZ47" s="28">
        <f>Grupo!AZ47</f>
        <v>1</v>
      </c>
      <c r="BA47" s="28">
        <f>Grupo!BA47</f>
        <v>0</v>
      </c>
      <c r="BB47" s="28">
        <f>Grupo!BB47</f>
        <v>1</v>
      </c>
      <c r="BC47" s="28">
        <f>Grupo!BC47</f>
        <v>1</v>
      </c>
      <c r="BD47" s="28">
        <f>Grupo!BD47</f>
        <v>4</v>
      </c>
      <c r="BE47" s="28">
        <f>Grupo!BE47</f>
        <v>1</v>
      </c>
      <c r="BF47" s="28">
        <f>Grupo!BF47</f>
        <v>1</v>
      </c>
      <c r="BG47" s="28">
        <f>Grupo!BG47</f>
        <v>2</v>
      </c>
      <c r="BH47" s="28">
        <f>Grupo!BH47</f>
        <v>2</v>
      </c>
      <c r="BI47" s="28">
        <f>Grupo!BI47</f>
        <v>0</v>
      </c>
      <c r="BJ47" s="28">
        <f>Grupo!BJ47</f>
        <v>1</v>
      </c>
      <c r="BK47" s="28">
        <f>Grupo!BK47</f>
        <v>2</v>
      </c>
      <c r="BL47" s="28">
        <f>Grupo!BL47</f>
        <v>0</v>
      </c>
      <c r="BM47" s="28">
        <f>Grupo!BM47</f>
        <v>3</v>
      </c>
      <c r="BN47" s="28">
        <f>Grupo!BN47</f>
        <v>2</v>
      </c>
      <c r="BO47" s="28">
        <f>Grupo!BO47</f>
        <v>1</v>
      </c>
      <c r="BP47" s="28">
        <f>Grupo!BP47</f>
        <v>3</v>
      </c>
      <c r="BQ47" s="28">
        <f>Grupo!BQ47</f>
        <v>1</v>
      </c>
      <c r="BR47" s="28">
        <f>Grupo!BR47</f>
        <v>0</v>
      </c>
      <c r="BS47" s="28">
        <f>Grupo!BS47</f>
        <v>0</v>
      </c>
      <c r="BT47" s="28">
        <f>Grupo!BT47</f>
        <v>2</v>
      </c>
      <c r="BU47" s="28">
        <f>Grupo!BU47</f>
        <v>1</v>
      </c>
      <c r="BV47" s="28">
        <f>Grupo!BV47</f>
        <v>2</v>
      </c>
      <c r="BW47" s="28">
        <f>Grupo!BW47</f>
        <v>2</v>
      </c>
      <c r="BX47" s="28">
        <f>Grupo!BX47</f>
        <v>1</v>
      </c>
      <c r="BY47" s="28">
        <f>Grupo!BY47</f>
        <v>0</v>
      </c>
      <c r="BZ47" s="28">
        <f>Grupo!BZ47</f>
        <v>0</v>
      </c>
      <c r="CA47" s="28">
        <f>Grupo!CA47</f>
        <v>0</v>
      </c>
      <c r="CB47" s="28">
        <f>Grupo!CB47</f>
        <v>1</v>
      </c>
      <c r="CC47" s="28">
        <f>Grupo!CC47</f>
        <v>0</v>
      </c>
      <c r="CD47" s="28">
        <f>Grupo!CD47</f>
        <v>1</v>
      </c>
      <c r="CE47" s="28">
        <f>Grupo!CE47</f>
        <v>2</v>
      </c>
      <c r="CF47" s="28">
        <f>Grupo!CF47</f>
        <v>0</v>
      </c>
      <c r="CG47" s="28">
        <f>Grupo!CG47</f>
        <v>1</v>
      </c>
      <c r="CH47" s="28">
        <f>Grupo!CH47</f>
        <v>4</v>
      </c>
      <c r="CI47" s="28">
        <f>Grupo!CI47</f>
        <v>1</v>
      </c>
      <c r="CJ47" s="28">
        <f>Grupo!CJ47</f>
        <v>1</v>
      </c>
      <c r="CK47" s="28">
        <f>Grupo!CK47</f>
        <v>1</v>
      </c>
      <c r="CL47" s="28">
        <f>Grupo!CL47</f>
        <v>2</v>
      </c>
      <c r="CM47" s="28">
        <f>Grupo!CM47</f>
        <v>1</v>
      </c>
      <c r="CN47" s="28">
        <f>Grupo!CN47</f>
        <v>2</v>
      </c>
      <c r="CO47" s="28">
        <f>Grupo!CO47</f>
        <v>3</v>
      </c>
      <c r="CP47" s="28">
        <f>Grupo!CP47</f>
        <v>1</v>
      </c>
      <c r="CQ47" s="28">
        <f>Grupo!CQ47</f>
        <v>1</v>
      </c>
      <c r="CR47" s="28">
        <f>Grupo!CR47</f>
        <v>1</v>
      </c>
      <c r="CS47" s="28">
        <f>Grupo!CS47</f>
        <v>0</v>
      </c>
      <c r="CT47" s="28">
        <f>Grupo!CT47</f>
        <v>2</v>
      </c>
      <c r="CU47" s="28">
        <f>Grupo!CU47</f>
        <v>0</v>
      </c>
      <c r="CV47" s="28">
        <f>Grupo!CV47</f>
        <v>1</v>
      </c>
      <c r="CW47" s="28">
        <f>Grupo!CW47</f>
        <v>2</v>
      </c>
      <c r="CX47" s="28">
        <f>Grupo!CX47</f>
        <v>0</v>
      </c>
      <c r="CY47" s="28">
        <f>Grupo!CY47</f>
        <v>0</v>
      </c>
      <c r="CZ47" s="28">
        <f>Grupo!CZ47</f>
        <v>2</v>
      </c>
      <c r="DA47" s="28">
        <f>Grupo!DA47</f>
        <v>0</v>
      </c>
      <c r="DB47" s="28">
        <f>Grupo!DB47</f>
        <v>1</v>
      </c>
      <c r="DC47" s="28">
        <f>Grupo!DC47</f>
        <v>0</v>
      </c>
      <c r="DD47" s="28">
        <f>Grupo!DD47</f>
        <v>2</v>
      </c>
      <c r="DE47" s="28">
        <f>Grupo!DE47</f>
        <v>1</v>
      </c>
      <c r="DF47" s="28">
        <f>Grupo!DF47</f>
        <v>1</v>
      </c>
      <c r="DG47" s="28">
        <f>Grupo!DG47</f>
        <v>0</v>
      </c>
      <c r="DH47" s="28">
        <f>Grupo!DH47</f>
        <v>0</v>
      </c>
      <c r="DI47" s="28">
        <f>Grupo!DI47</f>
        <v>3</v>
      </c>
      <c r="DJ47" s="28">
        <f>Grupo!DJ47</f>
        <v>1</v>
      </c>
      <c r="DK47" s="28">
        <f>Grupo!DK47</f>
        <v>1</v>
      </c>
      <c r="DL47" s="28">
        <f>Grupo!DL47</f>
        <v>2</v>
      </c>
      <c r="DM47" s="28">
        <f>Grupo!DM47</f>
        <v>1</v>
      </c>
      <c r="DN47" s="28">
        <f>Grupo!DN47</f>
        <v>0</v>
      </c>
      <c r="DO47" s="28">
        <f>Grupo!DO47</f>
        <v>2</v>
      </c>
      <c r="DP47" s="28">
        <f>Grupo!DP47</f>
        <v>2</v>
      </c>
      <c r="DQ47" s="28">
        <f>Grupo!DQ47</f>
        <v>0</v>
      </c>
      <c r="DR47" s="28">
        <f>Grupo!DR47</f>
        <v>2</v>
      </c>
      <c r="DS47" s="28">
        <f>Grupo!DS47</f>
        <v>0</v>
      </c>
      <c r="DT47" s="28">
        <f>Grupo!DT47</f>
        <v>1</v>
      </c>
      <c r="DU47" s="28">
        <f>Grupo!DU47</f>
        <v>3</v>
      </c>
      <c r="DV47" s="28">
        <f>Grupo!DV47</f>
        <v>1</v>
      </c>
      <c r="DW47" s="28">
        <f>Grupo!DW47</f>
        <v>1</v>
      </c>
      <c r="DX47" s="28">
        <f>Grupo!DX47</f>
        <v>2</v>
      </c>
      <c r="DY47" s="28">
        <f>Grupo!DY47</f>
        <v>1</v>
      </c>
      <c r="DZ47" s="28">
        <f>Grupo!DZ47</f>
        <v>1</v>
      </c>
      <c r="EA47" s="70">
        <f>Grupo!EA47</f>
        <v>0</v>
      </c>
      <c r="EB47" s="70">
        <f>Grupo!EB47</f>
        <v>0</v>
      </c>
      <c r="EC47" s="70">
        <f>Grupo!EC47</f>
        <v>0</v>
      </c>
      <c r="ED47" s="70">
        <f>Grupo!ED47</f>
        <v>3</v>
      </c>
      <c r="EE47" s="70">
        <f>Grupo!EE47</f>
        <v>0</v>
      </c>
      <c r="EF47" s="70">
        <f>Grupo!EF47</f>
        <v>0</v>
      </c>
      <c r="EG47" s="70">
        <f>Grupo!EG47</f>
        <v>1</v>
      </c>
      <c r="EH47" s="70">
        <f>Grupo!EH47</f>
        <v>1</v>
      </c>
      <c r="EI47" s="70">
        <f>Grupo!EI47</f>
        <v>0</v>
      </c>
      <c r="EJ47" s="70">
        <f>Grupo!EJ47</f>
        <v>2</v>
      </c>
      <c r="EK47" s="70">
        <f>Grupo!EK47</f>
        <v>1</v>
      </c>
      <c r="EL47" s="70">
        <f>Grupo!EL47</f>
        <v>1</v>
      </c>
      <c r="EM47" s="70">
        <f>Grupo!EM47</f>
        <v>2</v>
      </c>
      <c r="EN47" s="70">
        <f>Grupo!EN47</f>
        <v>0</v>
      </c>
      <c r="EO47" s="70">
        <f>Grupo!EO47</f>
        <v>1</v>
      </c>
      <c r="EP47" s="78">
        <f>Grupo!EP47</f>
        <v>0</v>
      </c>
      <c r="EQ47" s="78">
        <f>Grupo!EQ47</f>
        <v>3</v>
      </c>
      <c r="ER47" s="78">
        <f>Grupo!ER47</f>
        <v>3</v>
      </c>
      <c r="ES47" s="78">
        <f>Grupo!ES47</f>
        <v>1</v>
      </c>
      <c r="ET47" s="78">
        <f>Grupo!ET47</f>
        <v>1</v>
      </c>
      <c r="EU47" s="78">
        <f>Grupo!EU47</f>
        <v>0</v>
      </c>
      <c r="EV47" s="78">
        <f>Grupo!EV47</f>
        <v>2</v>
      </c>
      <c r="EW47" s="78">
        <f>Grupo!EW47</f>
        <v>2</v>
      </c>
      <c r="EX47" s="78">
        <f>Grupo!EX47</f>
        <v>0</v>
      </c>
      <c r="EY47" s="78">
        <f>Grupo!EY47</f>
        <v>2</v>
      </c>
      <c r="EZ47" s="78">
        <f>Grupo!EZ47</f>
        <v>1</v>
      </c>
      <c r="FA47" s="78">
        <f>Grupo!FA47</f>
        <v>1</v>
      </c>
      <c r="FB47" s="78">
        <f>Grupo!FB47</f>
        <v>1</v>
      </c>
      <c r="FC47" s="78">
        <f>Grupo!FC47</f>
        <v>2</v>
      </c>
      <c r="FD47" s="78">
        <f>Grupo!FD47</f>
        <v>1</v>
      </c>
      <c r="FE47" s="78">
        <f>Grupo!FE47</f>
        <v>0</v>
      </c>
      <c r="FF47" s="78">
        <f>Grupo!FF47</f>
        <v>2</v>
      </c>
      <c r="FG47" s="78">
        <f>Grupo!FG47</f>
        <v>0</v>
      </c>
      <c r="FH47" s="78">
        <f>Grupo!FH47</f>
        <v>0</v>
      </c>
      <c r="FI47" s="78">
        <f>Grupo!FI47</f>
        <v>2</v>
      </c>
      <c r="FJ47" s="78">
        <f>Grupo!FJ47</f>
        <v>3</v>
      </c>
      <c r="FK47" s="78">
        <f>Grupo!FK47</f>
        <v>0</v>
      </c>
      <c r="FL47" s="78">
        <f>Grupo!FL47</f>
        <v>2</v>
      </c>
      <c r="FM47" s="78">
        <f>Grupo!FM47</f>
        <v>0</v>
      </c>
      <c r="FN47" s="78">
        <f>Grupo!FN47</f>
        <v>0</v>
      </c>
      <c r="FO47" s="78">
        <f>Grupo!FO47</f>
        <v>0</v>
      </c>
      <c r="FP47" s="78">
        <f>Grupo!FP47</f>
        <v>1</v>
      </c>
      <c r="FQ47" s="78">
        <f>Grupo!FQ47</f>
        <v>1</v>
      </c>
      <c r="FR47" s="78">
        <f>Grupo!FR47</f>
        <v>2</v>
      </c>
      <c r="FS47" s="78">
        <f>Grupo!FS47</f>
        <v>1</v>
      </c>
      <c r="FT47" s="78">
        <f>Grupo!FT47</f>
        <v>1</v>
      </c>
      <c r="FU47" s="78">
        <f>Grupo!FU47</f>
        <v>2</v>
      </c>
      <c r="FV47" s="78">
        <f>Grupo!FV47</f>
        <v>0</v>
      </c>
      <c r="FW47" s="78">
        <f>Grupo!FW47</f>
        <v>2</v>
      </c>
      <c r="FX47" s="78">
        <f>Grupo!FX47</f>
        <v>1</v>
      </c>
      <c r="FY47" s="78">
        <f>Grupo!FY47</f>
        <v>0</v>
      </c>
      <c r="FZ47" s="78">
        <f>Grupo!FZ47</f>
        <v>2</v>
      </c>
      <c r="GA47" s="78">
        <f>Grupo!GA47</f>
        <v>3</v>
      </c>
      <c r="GB47" s="78">
        <f>Grupo!GB47</f>
        <v>1</v>
      </c>
      <c r="GC47" s="78">
        <f>Grupo!GC47</f>
        <v>2</v>
      </c>
      <c r="GD47" s="78">
        <f>Grupo!GD47</f>
        <v>1</v>
      </c>
      <c r="GE47" s="78">
        <f>Grupo!GE47</f>
        <v>1</v>
      </c>
      <c r="GF47" s="78">
        <f>Grupo!GF47</f>
        <v>2</v>
      </c>
      <c r="GG47" s="78">
        <f>Grupo!GG47</f>
        <v>1</v>
      </c>
      <c r="GH47" s="78">
        <f>Grupo!GH47</f>
        <v>0</v>
      </c>
      <c r="GI47" s="78">
        <f>Grupo!GI47</f>
        <v>0</v>
      </c>
      <c r="GJ47" s="78">
        <f>Grupo!GJ47</f>
        <v>2</v>
      </c>
      <c r="GK47" s="78">
        <f>Grupo!GK47</f>
        <v>1</v>
      </c>
      <c r="GL47" s="78">
        <f>Grupo!GL47</f>
        <v>2</v>
      </c>
      <c r="GM47" s="78">
        <f>Grupo!GM47</f>
        <v>1</v>
      </c>
      <c r="GN47" s="78">
        <f>Grupo!GN47</f>
        <v>0</v>
      </c>
      <c r="GO47" s="78">
        <f>Grupo!GO47</f>
        <v>2</v>
      </c>
      <c r="GP47" s="78">
        <f>Grupo!GP47</f>
        <v>3</v>
      </c>
      <c r="GQ47" s="78">
        <f>Grupo!GQ47</f>
        <v>1</v>
      </c>
      <c r="GR47" s="79">
        <f>Grupo!GR47</f>
        <v>1</v>
      </c>
      <c r="GS47" s="79">
        <f>Grupo!GS47</f>
        <v>4</v>
      </c>
      <c r="GT47" s="79" t="str">
        <f>Grupo!GT47</f>
        <v/>
      </c>
      <c r="GU47" s="79">
        <f>Grupo!GU47</f>
        <v>2</v>
      </c>
      <c r="GV47" s="79">
        <f>Grupo!GV47</f>
        <v>0</v>
      </c>
      <c r="GW47" s="79" t="str">
        <f>Grupo!GW47</f>
        <v/>
      </c>
      <c r="GX47" s="76">
        <f>Grupo!GX47</f>
        <v>0</v>
      </c>
      <c r="GY47" s="76">
        <f>Grupo!GY47</f>
        <v>2</v>
      </c>
      <c r="GZ47" s="76" t="str">
        <f>Grupo!GZ47</f>
        <v/>
      </c>
      <c r="HA47" s="76">
        <f>Grupo!HA47</f>
        <v>1</v>
      </c>
      <c r="HB47" s="76">
        <f>Grupo!HB47</f>
        <v>3</v>
      </c>
      <c r="HC47" s="76" t="str">
        <f>Grupo!HC47</f>
        <v/>
      </c>
      <c r="HD47" s="76">
        <f>Grupo!HD47</f>
        <v>1</v>
      </c>
      <c r="HE47" s="76">
        <f>Grupo!HE47</f>
        <v>2</v>
      </c>
      <c r="HF47" s="76" t="str">
        <f>Grupo!HF47</f>
        <v/>
      </c>
      <c r="HG47" s="76">
        <f>Grupo!HG47</f>
        <v>1</v>
      </c>
      <c r="HH47" s="76">
        <f>Grupo!HH47</f>
        <v>0</v>
      </c>
      <c r="HI47" s="76" t="str">
        <f>Grupo!HI47</f>
        <v/>
      </c>
      <c r="HJ47" s="32">
        <f>Grupo!HJ47</f>
        <v>44</v>
      </c>
      <c r="HK47" s="25" t="s">
        <v>64</v>
      </c>
    </row>
    <row r="48" spans="1:219" ht="20.25" customHeight="1" thickBot="1" x14ac:dyDescent="0.35">
      <c r="A48" s="34" t="str">
        <f>Grupo!A48</f>
        <v>Saul</v>
      </c>
      <c r="B48" s="28">
        <f>Grupo!B48</f>
        <v>2</v>
      </c>
      <c r="C48" s="28">
        <f>Grupo!C48</f>
        <v>0</v>
      </c>
      <c r="D48" s="28">
        <f>Grupo!D48</f>
        <v>3</v>
      </c>
      <c r="E48" s="28">
        <f>Grupo!E48</f>
        <v>1</v>
      </c>
      <c r="F48" s="28">
        <f>Grupo!F48</f>
        <v>1</v>
      </c>
      <c r="G48" s="28">
        <f>Grupo!G48</f>
        <v>0</v>
      </c>
      <c r="H48" s="28">
        <f>Grupo!H48</f>
        <v>1</v>
      </c>
      <c r="I48" s="28">
        <f>Grupo!I48</f>
        <v>0</v>
      </c>
      <c r="J48" s="28">
        <f>Grupo!J48</f>
        <v>0</v>
      </c>
      <c r="K48" s="28">
        <f>Grupo!K48</f>
        <v>2</v>
      </c>
      <c r="L48" s="28">
        <f>Grupo!L48</f>
        <v>1</v>
      </c>
      <c r="M48" s="28">
        <f>Grupo!M48</f>
        <v>1</v>
      </c>
      <c r="N48" s="28">
        <f>Grupo!N48</f>
        <v>0</v>
      </c>
      <c r="O48" s="28">
        <f>Grupo!O48</f>
        <v>1</v>
      </c>
      <c r="P48" s="28">
        <f>Grupo!P48</f>
        <v>3</v>
      </c>
      <c r="Q48" s="28">
        <f>Grupo!Q48</f>
        <v>1</v>
      </c>
      <c r="R48" s="28">
        <f>Grupo!R48</f>
        <v>2</v>
      </c>
      <c r="S48" s="28">
        <f>Grupo!S48</f>
        <v>0</v>
      </c>
      <c r="T48" s="28">
        <f>Grupo!T48</f>
        <v>3</v>
      </c>
      <c r="U48" s="28">
        <f>Grupo!U48</f>
        <v>1</v>
      </c>
      <c r="V48" s="28">
        <f>Grupo!V48</f>
        <v>0</v>
      </c>
      <c r="W48" s="28">
        <f>Grupo!W48</f>
        <v>0</v>
      </c>
      <c r="X48" s="28">
        <f>Grupo!X48</f>
        <v>2</v>
      </c>
      <c r="Y48" s="28">
        <f>Grupo!Y48</f>
        <v>0</v>
      </c>
      <c r="Z48" s="28">
        <f>Grupo!Z48</f>
        <v>1</v>
      </c>
      <c r="AA48" s="28">
        <f>Grupo!AA48</f>
        <v>1</v>
      </c>
      <c r="AB48" s="28">
        <f>Grupo!AB48</f>
        <v>0</v>
      </c>
      <c r="AC48" s="28">
        <f>Grupo!AC48</f>
        <v>2</v>
      </c>
      <c r="AD48" s="28">
        <f>Grupo!AD48</f>
        <v>0</v>
      </c>
      <c r="AE48" s="28">
        <f>Grupo!AE48</f>
        <v>1</v>
      </c>
      <c r="AF48" s="28">
        <f>Grupo!AF48</f>
        <v>2</v>
      </c>
      <c r="AG48" s="28">
        <f>Grupo!AG48</f>
        <v>1</v>
      </c>
      <c r="AH48" s="28">
        <f>Grupo!AH48</f>
        <v>0</v>
      </c>
      <c r="AI48" s="28">
        <f>Grupo!AI48</f>
        <v>1</v>
      </c>
      <c r="AJ48" s="28">
        <f>Grupo!AJ48</f>
        <v>0</v>
      </c>
      <c r="AK48" s="28">
        <f>Grupo!AK48</f>
        <v>1</v>
      </c>
      <c r="AL48" s="28">
        <f>Grupo!AL48</f>
        <v>0</v>
      </c>
      <c r="AM48" s="28">
        <f>Grupo!AM48</f>
        <v>2</v>
      </c>
      <c r="AN48" s="28">
        <f>Grupo!AN48</f>
        <v>0</v>
      </c>
      <c r="AO48" s="28">
        <f>Grupo!AO48</f>
        <v>3</v>
      </c>
      <c r="AP48" s="28">
        <f>Grupo!AP48</f>
        <v>0</v>
      </c>
      <c r="AQ48" s="28">
        <f>Grupo!AQ48</f>
        <v>0</v>
      </c>
      <c r="AR48" s="28">
        <f>Grupo!AR48</f>
        <v>1</v>
      </c>
      <c r="AS48" s="28">
        <f>Grupo!AS48</f>
        <v>0</v>
      </c>
      <c r="AT48" s="28">
        <f>Grupo!AT48</f>
        <v>0</v>
      </c>
      <c r="AU48" s="28">
        <f>Grupo!AU48</f>
        <v>2</v>
      </c>
      <c r="AV48" s="28">
        <f>Grupo!AV48</f>
        <v>0</v>
      </c>
      <c r="AW48" s="28">
        <f>Grupo!AW48</f>
        <v>0</v>
      </c>
      <c r="AX48" s="28">
        <f>Grupo!AX48</f>
        <v>2</v>
      </c>
      <c r="AY48" s="28">
        <f>Grupo!AY48</f>
        <v>1</v>
      </c>
      <c r="AZ48" s="28">
        <f>Grupo!AZ48</f>
        <v>1</v>
      </c>
      <c r="BA48" s="28">
        <f>Grupo!BA48</f>
        <v>0</v>
      </c>
      <c r="BB48" s="28">
        <f>Grupo!BB48</f>
        <v>2</v>
      </c>
      <c r="BC48" s="28">
        <f>Grupo!BC48</f>
        <v>1</v>
      </c>
      <c r="BD48" s="28">
        <f>Grupo!BD48</f>
        <v>2</v>
      </c>
      <c r="BE48" s="28">
        <f>Grupo!BE48</f>
        <v>0</v>
      </c>
      <c r="BF48" s="28">
        <f>Grupo!BF48</f>
        <v>1</v>
      </c>
      <c r="BG48" s="28">
        <f>Grupo!BG48</f>
        <v>1</v>
      </c>
      <c r="BH48" s="28">
        <f>Grupo!BH48</f>
        <v>0</v>
      </c>
      <c r="BI48" s="28">
        <f>Grupo!BI48</f>
        <v>1</v>
      </c>
      <c r="BJ48" s="28">
        <f>Grupo!BJ48</f>
        <v>1</v>
      </c>
      <c r="BK48" s="28">
        <f>Grupo!BK48</f>
        <v>1</v>
      </c>
      <c r="BL48" s="28">
        <f>Grupo!BL48</f>
        <v>0</v>
      </c>
      <c r="BM48" s="28">
        <f>Grupo!BM48</f>
        <v>2</v>
      </c>
      <c r="BN48" s="28">
        <f>Grupo!BN48</f>
        <v>1</v>
      </c>
      <c r="BO48" s="28">
        <f>Grupo!BO48</f>
        <v>1</v>
      </c>
      <c r="BP48" s="28">
        <f>Grupo!BP48</f>
        <v>3</v>
      </c>
      <c r="BQ48" s="28">
        <f>Grupo!BQ48</f>
        <v>0</v>
      </c>
      <c r="BR48" s="28">
        <f>Grupo!BR48</f>
        <v>0</v>
      </c>
      <c r="BS48" s="28">
        <f>Grupo!BS48</f>
        <v>0</v>
      </c>
      <c r="BT48" s="28">
        <f>Grupo!BT48</f>
        <v>1</v>
      </c>
      <c r="BU48" s="28">
        <f>Grupo!BU48</f>
        <v>1</v>
      </c>
      <c r="BV48" s="28">
        <f>Grupo!BV48</f>
        <v>1</v>
      </c>
      <c r="BW48" s="28">
        <f>Grupo!BW48</f>
        <v>0</v>
      </c>
      <c r="BX48" s="28">
        <f>Grupo!BX48</f>
        <v>0</v>
      </c>
      <c r="BY48" s="28">
        <f>Grupo!BY48</f>
        <v>2</v>
      </c>
      <c r="BZ48" s="28">
        <f>Grupo!BZ48</f>
        <v>0</v>
      </c>
      <c r="CA48" s="28">
        <f>Grupo!CA48</f>
        <v>1</v>
      </c>
      <c r="CB48" s="28">
        <f>Grupo!CB48</f>
        <v>2</v>
      </c>
      <c r="CC48" s="28">
        <f>Grupo!CC48</f>
        <v>1</v>
      </c>
      <c r="CD48" s="28">
        <f>Grupo!CD48</f>
        <v>1</v>
      </c>
      <c r="CE48" s="28">
        <f>Grupo!CE48</f>
        <v>1</v>
      </c>
      <c r="CF48" s="28">
        <f>Grupo!CF48</f>
        <v>1</v>
      </c>
      <c r="CG48" s="28">
        <f>Grupo!CG48</f>
        <v>0</v>
      </c>
      <c r="CH48" s="28">
        <f>Grupo!CH48</f>
        <v>3</v>
      </c>
      <c r="CI48" s="28">
        <f>Grupo!CI48</f>
        <v>1</v>
      </c>
      <c r="CJ48" s="28">
        <f>Grupo!CJ48</f>
        <v>1</v>
      </c>
      <c r="CK48" s="28">
        <f>Grupo!CK48</f>
        <v>0</v>
      </c>
      <c r="CL48" s="28">
        <f>Grupo!CL48</f>
        <v>1</v>
      </c>
      <c r="CM48" s="28">
        <f>Grupo!CM48</f>
        <v>3</v>
      </c>
      <c r="CN48" s="28">
        <f>Grupo!CN48</f>
        <v>1</v>
      </c>
      <c r="CO48" s="28">
        <f>Grupo!CO48</f>
        <v>2</v>
      </c>
      <c r="CP48" s="28">
        <f>Grupo!CP48</f>
        <v>1</v>
      </c>
      <c r="CQ48" s="28">
        <f>Grupo!CQ48</f>
        <v>2</v>
      </c>
      <c r="CR48" s="28">
        <f>Grupo!CR48</f>
        <v>1</v>
      </c>
      <c r="CS48" s="28">
        <f>Grupo!CS48</f>
        <v>1</v>
      </c>
      <c r="CT48" s="28">
        <f>Grupo!CT48</f>
        <v>3</v>
      </c>
      <c r="CU48" s="28">
        <f>Grupo!CU48</f>
        <v>0</v>
      </c>
      <c r="CV48" s="28">
        <f>Grupo!CV48</f>
        <v>1</v>
      </c>
      <c r="CW48" s="28">
        <f>Grupo!CW48</f>
        <v>1</v>
      </c>
      <c r="CX48" s="28">
        <f>Grupo!CX48</f>
        <v>0</v>
      </c>
      <c r="CY48" s="28">
        <f>Grupo!CY48</f>
        <v>0</v>
      </c>
      <c r="CZ48" s="28">
        <f>Grupo!CZ48</f>
        <v>2</v>
      </c>
      <c r="DA48" s="28">
        <f>Grupo!DA48</f>
        <v>0</v>
      </c>
      <c r="DB48" s="28">
        <f>Grupo!DB48</f>
        <v>1</v>
      </c>
      <c r="DC48" s="28">
        <f>Grupo!DC48</f>
        <v>1</v>
      </c>
      <c r="DD48" s="28">
        <f>Grupo!DD48</f>
        <v>1</v>
      </c>
      <c r="DE48" s="28">
        <f>Grupo!DE48</f>
        <v>0</v>
      </c>
      <c r="DF48" s="28">
        <f>Grupo!DF48</f>
        <v>1</v>
      </c>
      <c r="DG48" s="28">
        <f>Grupo!DG48</f>
        <v>0</v>
      </c>
      <c r="DH48" s="28">
        <f>Grupo!DH48</f>
        <v>0</v>
      </c>
      <c r="DI48" s="28">
        <f>Grupo!DI48</f>
        <v>2</v>
      </c>
      <c r="DJ48" s="28">
        <f>Grupo!DJ48</f>
        <v>0</v>
      </c>
      <c r="DK48" s="28">
        <f>Grupo!DK48</f>
        <v>1</v>
      </c>
      <c r="DL48" s="28">
        <f>Grupo!DL48</f>
        <v>2</v>
      </c>
      <c r="DM48" s="28">
        <f>Grupo!DM48</f>
        <v>1</v>
      </c>
      <c r="DN48" s="28">
        <f>Grupo!DN48</f>
        <v>0</v>
      </c>
      <c r="DO48" s="28">
        <f>Grupo!DO48</f>
        <v>0</v>
      </c>
      <c r="DP48" s="28">
        <f>Grupo!DP48</f>
        <v>1</v>
      </c>
      <c r="DQ48" s="28">
        <f>Grupo!DQ48</f>
        <v>1</v>
      </c>
      <c r="DR48" s="28">
        <f>Grupo!DR48</f>
        <v>0</v>
      </c>
      <c r="DS48" s="28">
        <f>Grupo!DS48</f>
        <v>0</v>
      </c>
      <c r="DT48" s="28">
        <f>Grupo!DT48</f>
        <v>0</v>
      </c>
      <c r="DU48" s="28">
        <f>Grupo!DU48</f>
        <v>2</v>
      </c>
      <c r="DV48" s="28">
        <f>Grupo!DV48</f>
        <v>0</v>
      </c>
      <c r="DW48" s="28">
        <f>Grupo!DW48</f>
        <v>1</v>
      </c>
      <c r="DX48" s="28">
        <f>Grupo!DX48</f>
        <v>2</v>
      </c>
      <c r="DY48" s="28">
        <f>Grupo!DY48</f>
        <v>0</v>
      </c>
      <c r="DZ48" s="28">
        <f>Grupo!DZ48</f>
        <v>3</v>
      </c>
      <c r="EA48" s="70">
        <f>Grupo!EA48</f>
        <v>1</v>
      </c>
      <c r="EB48" s="70">
        <f>Grupo!EB48</f>
        <v>1</v>
      </c>
      <c r="EC48" s="70">
        <f>Grupo!EC48</f>
        <v>0</v>
      </c>
      <c r="ED48" s="70">
        <f>Grupo!ED48</f>
        <v>3</v>
      </c>
      <c r="EE48" s="70">
        <f>Grupo!EE48</f>
        <v>1</v>
      </c>
      <c r="EF48" s="70">
        <f>Grupo!EF48</f>
        <v>0</v>
      </c>
      <c r="EG48" s="70">
        <f>Grupo!EG48</f>
        <v>1</v>
      </c>
      <c r="EH48" s="70">
        <f>Grupo!EH48</f>
        <v>2</v>
      </c>
      <c r="EI48" s="70">
        <f>Grupo!EI48</f>
        <v>1</v>
      </c>
      <c r="EJ48" s="70">
        <f>Grupo!EJ48</f>
        <v>2</v>
      </c>
      <c r="EK48" s="70">
        <f>Grupo!EK48</f>
        <v>0</v>
      </c>
      <c r="EL48" s="70">
        <f>Grupo!EL48</f>
        <v>1</v>
      </c>
      <c r="EM48" s="70">
        <f>Grupo!EM48</f>
        <v>1</v>
      </c>
      <c r="EN48" s="70">
        <f>Grupo!EN48</f>
        <v>0</v>
      </c>
      <c r="EO48" s="70">
        <f>Grupo!EO48</f>
        <v>3</v>
      </c>
      <c r="EP48" s="78">
        <f>Grupo!EP48</f>
        <v>0</v>
      </c>
      <c r="EQ48" s="78">
        <f>Grupo!EQ48</f>
        <v>3</v>
      </c>
      <c r="ER48" s="78">
        <f>Grupo!ER48</f>
        <v>3</v>
      </c>
      <c r="ES48" s="78">
        <f>Grupo!ES48</f>
        <v>1</v>
      </c>
      <c r="ET48" s="78">
        <f>Grupo!ET48</f>
        <v>1</v>
      </c>
      <c r="EU48" s="78">
        <f>Grupo!EU48</f>
        <v>0</v>
      </c>
      <c r="EV48" s="78">
        <f>Grupo!EV48</f>
        <v>1</v>
      </c>
      <c r="EW48" s="78">
        <f>Grupo!EW48</f>
        <v>1</v>
      </c>
      <c r="EX48" s="78">
        <f>Grupo!EX48</f>
        <v>0</v>
      </c>
      <c r="EY48" s="78">
        <f>Grupo!EY48</f>
        <v>0</v>
      </c>
      <c r="EZ48" s="78">
        <f>Grupo!EZ48</f>
        <v>0</v>
      </c>
      <c r="FA48" s="78">
        <f>Grupo!FA48</f>
        <v>0</v>
      </c>
      <c r="FB48" s="78">
        <f>Grupo!FB48</f>
        <v>0</v>
      </c>
      <c r="FC48" s="78">
        <f>Grupo!FC48</f>
        <v>1</v>
      </c>
      <c r="FD48" s="78">
        <f>Grupo!FD48</f>
        <v>1</v>
      </c>
      <c r="FE48" s="78">
        <f>Grupo!FE48</f>
        <v>1</v>
      </c>
      <c r="FF48" s="78">
        <f>Grupo!FF48</f>
        <v>1</v>
      </c>
      <c r="FG48" s="78">
        <f>Grupo!FG48</f>
        <v>0</v>
      </c>
      <c r="FH48" s="78">
        <f>Grupo!FH48</f>
        <v>0</v>
      </c>
      <c r="FI48" s="78">
        <f>Grupo!FI48</f>
        <v>1</v>
      </c>
      <c r="FJ48" s="78">
        <f>Grupo!FJ48</f>
        <v>1</v>
      </c>
      <c r="FK48" s="78">
        <f>Grupo!FK48</f>
        <v>1</v>
      </c>
      <c r="FL48" s="78">
        <f>Grupo!FL48</f>
        <v>3</v>
      </c>
      <c r="FM48" s="78">
        <f>Grupo!FM48</f>
        <v>0</v>
      </c>
      <c r="FN48" s="78">
        <f>Grupo!FN48</f>
        <v>2</v>
      </c>
      <c r="FO48" s="78">
        <f>Grupo!FO48</f>
        <v>1</v>
      </c>
      <c r="FP48" s="78">
        <f>Grupo!FP48</f>
        <v>0</v>
      </c>
      <c r="FQ48" s="78">
        <f>Grupo!FQ48</f>
        <v>0</v>
      </c>
      <c r="FR48" s="78">
        <f>Grupo!FR48</f>
        <v>2</v>
      </c>
      <c r="FS48" s="78">
        <f>Grupo!FS48</f>
        <v>1</v>
      </c>
      <c r="FT48" s="78">
        <f>Grupo!FT48</f>
        <v>0</v>
      </c>
      <c r="FU48" s="78">
        <f>Grupo!FU48</f>
        <v>1</v>
      </c>
      <c r="FV48" s="78">
        <f>Grupo!FV48</f>
        <v>0</v>
      </c>
      <c r="FW48" s="78">
        <f>Grupo!FW48</f>
        <v>2</v>
      </c>
      <c r="FX48" s="78">
        <f>Grupo!FX48</f>
        <v>1</v>
      </c>
      <c r="FY48" s="78">
        <f>Grupo!FY48</f>
        <v>0</v>
      </c>
      <c r="FZ48" s="78">
        <f>Grupo!FZ48</f>
        <v>0</v>
      </c>
      <c r="GA48" s="78">
        <f>Grupo!GA48</f>
        <v>2</v>
      </c>
      <c r="GB48" s="78">
        <f>Grupo!GB48</f>
        <v>1</v>
      </c>
      <c r="GC48" s="78">
        <f>Grupo!GC48</f>
        <v>1</v>
      </c>
      <c r="GD48" s="78">
        <f>Grupo!GD48</f>
        <v>1</v>
      </c>
      <c r="GE48" s="78">
        <f>Grupo!GE48</f>
        <v>0</v>
      </c>
      <c r="GF48" s="78">
        <f>Grupo!GF48</f>
        <v>2</v>
      </c>
      <c r="GG48" s="78">
        <f>Grupo!GG48</f>
        <v>1</v>
      </c>
      <c r="GH48" s="78">
        <f>Grupo!GH48</f>
        <v>0</v>
      </c>
      <c r="GI48" s="78">
        <f>Grupo!GI48</f>
        <v>0</v>
      </c>
      <c r="GJ48" s="78">
        <f>Grupo!GJ48</f>
        <v>2</v>
      </c>
      <c r="GK48" s="78">
        <f>Grupo!GK48</f>
        <v>1</v>
      </c>
      <c r="GL48" s="78">
        <f>Grupo!GL48</f>
        <v>1</v>
      </c>
      <c r="GM48" s="78">
        <f>Grupo!GM48</f>
        <v>1</v>
      </c>
      <c r="GN48" s="78">
        <f>Grupo!GN48</f>
        <v>1</v>
      </c>
      <c r="GO48" s="78">
        <f>Grupo!GO48</f>
        <v>1</v>
      </c>
      <c r="GP48" s="78">
        <f>Grupo!GP48</f>
        <v>2</v>
      </c>
      <c r="GQ48" s="78">
        <f>Grupo!GQ48</f>
        <v>1</v>
      </c>
      <c r="GR48" s="79">
        <f>Grupo!GR48</f>
        <v>1</v>
      </c>
      <c r="GS48" s="79">
        <f>Grupo!GS48</f>
        <v>3</v>
      </c>
      <c r="GT48" s="79" t="str">
        <f>Grupo!GT48</f>
        <v/>
      </c>
      <c r="GU48" s="79">
        <f>Grupo!GU48</f>
        <v>2</v>
      </c>
      <c r="GV48" s="79">
        <f>Grupo!GV48</f>
        <v>1</v>
      </c>
      <c r="GW48" s="79" t="str">
        <f>Grupo!GW48</f>
        <v/>
      </c>
      <c r="GX48" s="76">
        <f>Grupo!GX48</f>
        <v>1</v>
      </c>
      <c r="GY48" s="76">
        <f>Grupo!GY48</f>
        <v>1</v>
      </c>
      <c r="GZ48" s="76" t="str">
        <f>Grupo!GZ48</f>
        <v/>
      </c>
      <c r="HA48" s="76">
        <f>Grupo!HA48</f>
        <v>0</v>
      </c>
      <c r="HB48" s="76">
        <f>Grupo!HB48</f>
        <v>3</v>
      </c>
      <c r="HC48" s="76" t="str">
        <f>Grupo!HC48</f>
        <v/>
      </c>
      <c r="HD48" s="76">
        <f>Grupo!HD48</f>
        <v>1</v>
      </c>
      <c r="HE48" s="76">
        <f>Grupo!HE48</f>
        <v>2</v>
      </c>
      <c r="HF48" s="76" t="str">
        <f>Grupo!HF48</f>
        <v/>
      </c>
      <c r="HG48" s="76">
        <f>Grupo!HG48</f>
        <v>0</v>
      </c>
      <c r="HH48" s="76">
        <f>Grupo!HH48</f>
        <v>0</v>
      </c>
      <c r="HI48" s="76" t="str">
        <f>Grupo!HI48</f>
        <v/>
      </c>
      <c r="HJ48" s="32">
        <f>Grupo!HJ48</f>
        <v>46</v>
      </c>
      <c r="HK48" s="25" t="s">
        <v>55</v>
      </c>
    </row>
    <row r="49" spans="1:219" ht="20.25" customHeight="1" thickBot="1" x14ac:dyDescent="0.35">
      <c r="A49" s="34" t="str">
        <f>Grupo!A49</f>
        <v>Silvia</v>
      </c>
      <c r="B49" s="28">
        <f>Grupo!B49</f>
        <v>2</v>
      </c>
      <c r="C49" s="28">
        <f>Grupo!C49</f>
        <v>0</v>
      </c>
      <c r="D49" s="28">
        <f>Grupo!D49</f>
        <v>3</v>
      </c>
      <c r="E49" s="28">
        <f>Grupo!E49</f>
        <v>1</v>
      </c>
      <c r="F49" s="28">
        <f>Grupo!F49</f>
        <v>1</v>
      </c>
      <c r="G49" s="28">
        <f>Grupo!G49</f>
        <v>0</v>
      </c>
      <c r="H49" s="28">
        <f>Grupo!H49</f>
        <v>2</v>
      </c>
      <c r="I49" s="28">
        <f>Grupo!I49</f>
        <v>0</v>
      </c>
      <c r="J49" s="28">
        <f>Grupo!J49</f>
        <v>0</v>
      </c>
      <c r="K49" s="28">
        <f>Grupo!K49</f>
        <v>2</v>
      </c>
      <c r="L49" s="28">
        <f>Grupo!L49</f>
        <v>1</v>
      </c>
      <c r="M49" s="28">
        <f>Grupo!M49</f>
        <v>1</v>
      </c>
      <c r="N49" s="28">
        <f>Grupo!N49</f>
        <v>1</v>
      </c>
      <c r="O49" s="28">
        <f>Grupo!O49</f>
        <v>2</v>
      </c>
      <c r="P49" s="28">
        <f>Grupo!P49</f>
        <v>1</v>
      </c>
      <c r="Q49" s="28">
        <f>Grupo!Q49</f>
        <v>1</v>
      </c>
      <c r="R49" s="28">
        <f>Grupo!R49</f>
        <v>1</v>
      </c>
      <c r="S49" s="28">
        <f>Grupo!S49</f>
        <v>0</v>
      </c>
      <c r="T49" s="28">
        <f>Grupo!T49</f>
        <v>2</v>
      </c>
      <c r="U49" s="28">
        <f>Grupo!U49</f>
        <v>1</v>
      </c>
      <c r="V49" s="28">
        <f>Grupo!V49</f>
        <v>0</v>
      </c>
      <c r="W49" s="28">
        <f>Grupo!W49</f>
        <v>1</v>
      </c>
      <c r="X49" s="28">
        <f>Grupo!X49</f>
        <v>2</v>
      </c>
      <c r="Y49" s="28">
        <f>Grupo!Y49</f>
        <v>0</v>
      </c>
      <c r="Z49" s="28">
        <f>Grupo!Z49</f>
        <v>1</v>
      </c>
      <c r="AA49" s="28">
        <f>Grupo!AA49</f>
        <v>1</v>
      </c>
      <c r="AB49" s="28">
        <f>Grupo!AB49</f>
        <v>0</v>
      </c>
      <c r="AC49" s="28">
        <f>Grupo!AC49</f>
        <v>3</v>
      </c>
      <c r="AD49" s="28">
        <f>Grupo!AD49</f>
        <v>0</v>
      </c>
      <c r="AE49" s="28">
        <f>Grupo!AE49</f>
        <v>1</v>
      </c>
      <c r="AF49" s="28">
        <f>Grupo!AF49</f>
        <v>2</v>
      </c>
      <c r="AG49" s="28">
        <f>Grupo!AG49</f>
        <v>1</v>
      </c>
      <c r="AH49" s="28">
        <f>Grupo!AH49</f>
        <v>0</v>
      </c>
      <c r="AI49" s="28">
        <f>Grupo!AI49</f>
        <v>2</v>
      </c>
      <c r="AJ49" s="28">
        <f>Grupo!AJ49</f>
        <v>0</v>
      </c>
      <c r="AK49" s="28">
        <f>Grupo!AK49</f>
        <v>1</v>
      </c>
      <c r="AL49" s="28">
        <f>Grupo!AL49</f>
        <v>0</v>
      </c>
      <c r="AM49" s="28">
        <f>Grupo!AM49</f>
        <v>2</v>
      </c>
      <c r="AN49" s="28">
        <f>Grupo!AN49</f>
        <v>0</v>
      </c>
      <c r="AO49" s="28">
        <f>Grupo!AO49</f>
        <v>3</v>
      </c>
      <c r="AP49" s="28">
        <f>Grupo!AP49</f>
        <v>0</v>
      </c>
      <c r="AQ49" s="28">
        <f>Grupo!AQ49</f>
        <v>0</v>
      </c>
      <c r="AR49" s="28">
        <f>Grupo!AR49</f>
        <v>1</v>
      </c>
      <c r="AS49" s="28">
        <f>Grupo!AS49</f>
        <v>1</v>
      </c>
      <c r="AT49" s="28">
        <f>Grupo!AT49</f>
        <v>1</v>
      </c>
      <c r="AU49" s="28">
        <f>Grupo!AU49</f>
        <v>2</v>
      </c>
      <c r="AV49" s="28">
        <f>Grupo!AV49</f>
        <v>0</v>
      </c>
      <c r="AW49" s="28">
        <f>Grupo!AW49</f>
        <v>0</v>
      </c>
      <c r="AX49" s="28">
        <f>Grupo!AX49</f>
        <v>2</v>
      </c>
      <c r="AY49" s="28">
        <f>Grupo!AY49</f>
        <v>1</v>
      </c>
      <c r="AZ49" s="28">
        <f>Grupo!AZ49</f>
        <v>1</v>
      </c>
      <c r="BA49" s="28">
        <f>Grupo!BA49</f>
        <v>0</v>
      </c>
      <c r="BB49" s="28">
        <f>Grupo!BB49</f>
        <v>2</v>
      </c>
      <c r="BC49" s="28">
        <f>Grupo!BC49</f>
        <v>1</v>
      </c>
      <c r="BD49" s="28">
        <f>Grupo!BD49</f>
        <v>3</v>
      </c>
      <c r="BE49" s="28">
        <f>Grupo!BE49</f>
        <v>0</v>
      </c>
      <c r="BF49" s="28">
        <f>Grupo!BF49</f>
        <v>3</v>
      </c>
      <c r="BG49" s="28">
        <f>Grupo!BG49</f>
        <v>2</v>
      </c>
      <c r="BH49" s="28">
        <f>Grupo!BH49</f>
        <v>0</v>
      </c>
      <c r="BI49" s="28">
        <f>Grupo!BI49</f>
        <v>1</v>
      </c>
      <c r="BJ49" s="28">
        <f>Grupo!BJ49</f>
        <v>1</v>
      </c>
      <c r="BK49" s="28">
        <f>Grupo!BK49</f>
        <v>1</v>
      </c>
      <c r="BL49" s="28">
        <f>Grupo!BL49</f>
        <v>0</v>
      </c>
      <c r="BM49" s="28">
        <f>Grupo!BM49</f>
        <v>2</v>
      </c>
      <c r="BN49" s="28">
        <f>Grupo!BN49</f>
        <v>1</v>
      </c>
      <c r="BO49" s="28">
        <f>Grupo!BO49</f>
        <v>1</v>
      </c>
      <c r="BP49" s="28">
        <f>Grupo!BP49</f>
        <v>3</v>
      </c>
      <c r="BQ49" s="28">
        <f>Grupo!BQ49</f>
        <v>0</v>
      </c>
      <c r="BR49" s="28">
        <f>Grupo!BR49</f>
        <v>0</v>
      </c>
      <c r="BS49" s="28">
        <f>Grupo!BS49</f>
        <v>1</v>
      </c>
      <c r="BT49" s="28">
        <f>Grupo!BT49</f>
        <v>2</v>
      </c>
      <c r="BU49" s="28">
        <f>Grupo!BU49</f>
        <v>1</v>
      </c>
      <c r="BV49" s="28">
        <f>Grupo!BV49</f>
        <v>1</v>
      </c>
      <c r="BW49" s="28">
        <f>Grupo!BW49</f>
        <v>0</v>
      </c>
      <c r="BX49" s="28">
        <f>Grupo!BX49</f>
        <v>0</v>
      </c>
      <c r="BY49" s="28">
        <f>Grupo!BY49</f>
        <v>2</v>
      </c>
      <c r="BZ49" s="28">
        <f>Grupo!BZ49</f>
        <v>0</v>
      </c>
      <c r="CA49" s="28">
        <f>Grupo!CA49</f>
        <v>1</v>
      </c>
      <c r="CB49" s="28">
        <f>Grupo!CB49</f>
        <v>2</v>
      </c>
      <c r="CC49" s="28">
        <f>Grupo!CC49</f>
        <v>1</v>
      </c>
      <c r="CD49" s="28">
        <f>Grupo!CD49</f>
        <v>1</v>
      </c>
      <c r="CE49" s="28">
        <f>Grupo!CE49</f>
        <v>2</v>
      </c>
      <c r="CF49" s="28">
        <f>Grupo!CF49</f>
        <v>1</v>
      </c>
      <c r="CG49" s="28">
        <f>Grupo!CG49</f>
        <v>1</v>
      </c>
      <c r="CH49" s="28">
        <f>Grupo!CH49</f>
        <v>2</v>
      </c>
      <c r="CI49" s="28">
        <f>Grupo!CI49</f>
        <v>1</v>
      </c>
      <c r="CJ49" s="28">
        <f>Grupo!CJ49</f>
        <v>1</v>
      </c>
      <c r="CK49" s="28">
        <f>Grupo!CK49</f>
        <v>1</v>
      </c>
      <c r="CL49" s="28">
        <f>Grupo!CL49</f>
        <v>1</v>
      </c>
      <c r="CM49" s="28">
        <f>Grupo!CM49</f>
        <v>0</v>
      </c>
      <c r="CN49" s="28">
        <f>Grupo!CN49</f>
        <v>2</v>
      </c>
      <c r="CO49" s="28">
        <f>Grupo!CO49</f>
        <v>1</v>
      </c>
      <c r="CP49" s="28">
        <f>Grupo!CP49</f>
        <v>0</v>
      </c>
      <c r="CQ49" s="28">
        <f>Grupo!CQ49</f>
        <v>2</v>
      </c>
      <c r="CR49" s="28">
        <f>Grupo!CR49</f>
        <v>0</v>
      </c>
      <c r="CS49" s="28">
        <f>Grupo!CS49</f>
        <v>3</v>
      </c>
      <c r="CT49" s="28">
        <f>Grupo!CT49</f>
        <v>2</v>
      </c>
      <c r="CU49" s="28">
        <f>Grupo!CU49</f>
        <v>1</v>
      </c>
      <c r="CV49" s="28">
        <f>Grupo!CV49</f>
        <v>3</v>
      </c>
      <c r="CW49" s="28">
        <f>Grupo!CW49</f>
        <v>0</v>
      </c>
      <c r="CX49" s="28">
        <f>Grupo!CX49</f>
        <v>2</v>
      </c>
      <c r="CY49" s="28">
        <f>Grupo!CY49</f>
        <v>0</v>
      </c>
      <c r="CZ49" s="28">
        <f>Grupo!CZ49</f>
        <v>2</v>
      </c>
      <c r="DA49" s="28">
        <f>Grupo!DA49</f>
        <v>1</v>
      </c>
      <c r="DB49" s="28">
        <f>Grupo!DB49</f>
        <v>1</v>
      </c>
      <c r="DC49" s="28">
        <f>Grupo!DC49</f>
        <v>1</v>
      </c>
      <c r="DD49" s="28">
        <f>Grupo!DD49</f>
        <v>0</v>
      </c>
      <c r="DE49" s="28">
        <f>Grupo!DE49</f>
        <v>0</v>
      </c>
      <c r="DF49" s="28">
        <f>Grupo!DF49</f>
        <v>2</v>
      </c>
      <c r="DG49" s="28">
        <f>Grupo!DG49</f>
        <v>0</v>
      </c>
      <c r="DH49" s="28">
        <f>Grupo!DH49</f>
        <v>0</v>
      </c>
      <c r="DI49" s="28">
        <f>Grupo!DI49</f>
        <v>2</v>
      </c>
      <c r="DJ49" s="28">
        <f>Grupo!DJ49</f>
        <v>0</v>
      </c>
      <c r="DK49" s="28">
        <f>Grupo!DK49</f>
        <v>1</v>
      </c>
      <c r="DL49" s="28">
        <f>Grupo!DL49</f>
        <v>2</v>
      </c>
      <c r="DM49" s="28">
        <f>Grupo!DM49</f>
        <v>0</v>
      </c>
      <c r="DN49" s="28">
        <f>Grupo!DN49</f>
        <v>0</v>
      </c>
      <c r="DO49" s="28">
        <f>Grupo!DO49</f>
        <v>0</v>
      </c>
      <c r="DP49" s="28">
        <f>Grupo!DP49</f>
        <v>1</v>
      </c>
      <c r="DQ49" s="28">
        <f>Grupo!DQ49</f>
        <v>1</v>
      </c>
      <c r="DR49" s="28">
        <f>Grupo!DR49</f>
        <v>3</v>
      </c>
      <c r="DS49" s="28">
        <f>Grupo!DS49</f>
        <v>0</v>
      </c>
      <c r="DT49" s="28">
        <f>Grupo!DT49</f>
        <v>1</v>
      </c>
      <c r="DU49" s="28">
        <f>Grupo!DU49</f>
        <v>2</v>
      </c>
      <c r="DV49" s="28">
        <f>Grupo!DV49</f>
        <v>0</v>
      </c>
      <c r="DW49" s="28">
        <f>Grupo!DW49</f>
        <v>1</v>
      </c>
      <c r="DX49" s="28">
        <f>Grupo!DX49</f>
        <v>3</v>
      </c>
      <c r="DY49" s="28">
        <f>Grupo!DY49</f>
        <v>0</v>
      </c>
      <c r="DZ49" s="28">
        <f>Grupo!DZ49</f>
        <v>1</v>
      </c>
      <c r="EA49" s="70">
        <f>Grupo!EA49</f>
        <v>0</v>
      </c>
      <c r="EB49" s="70">
        <f>Grupo!EB49</f>
        <v>2</v>
      </c>
      <c r="EC49" s="70">
        <f>Grupo!EC49</f>
        <v>1</v>
      </c>
      <c r="ED49" s="70">
        <f>Grupo!ED49</f>
        <v>3</v>
      </c>
      <c r="EE49" s="70">
        <f>Grupo!EE49</f>
        <v>1</v>
      </c>
      <c r="EF49" s="70">
        <f>Grupo!EF49</f>
        <v>0</v>
      </c>
      <c r="EG49" s="70">
        <f>Grupo!EG49</f>
        <v>1</v>
      </c>
      <c r="EH49" s="70">
        <f>Grupo!EH49</f>
        <v>1</v>
      </c>
      <c r="EI49" s="70">
        <f>Grupo!EI49</f>
        <v>0</v>
      </c>
      <c r="EJ49" s="70">
        <f>Grupo!EJ49</f>
        <v>3</v>
      </c>
      <c r="EK49" s="70">
        <f>Grupo!EK49</f>
        <v>0</v>
      </c>
      <c r="EL49" s="70">
        <f>Grupo!EL49</f>
        <v>1</v>
      </c>
      <c r="EM49" s="70">
        <f>Grupo!EM49</f>
        <v>2</v>
      </c>
      <c r="EN49" s="70">
        <f>Grupo!EN49</f>
        <v>0</v>
      </c>
      <c r="EO49" s="70">
        <f>Grupo!EO49</f>
        <v>1</v>
      </c>
      <c r="EP49" s="78">
        <f>Grupo!EP49</f>
        <v>1</v>
      </c>
      <c r="EQ49" s="78">
        <f>Grupo!EQ49</f>
        <v>2</v>
      </c>
      <c r="ER49" s="78">
        <f>Grupo!ER49</f>
        <v>1</v>
      </c>
      <c r="ES49" s="78">
        <f>Grupo!ES49</f>
        <v>2</v>
      </c>
      <c r="ET49" s="78">
        <f>Grupo!ET49</f>
        <v>0</v>
      </c>
      <c r="EU49" s="78">
        <f>Grupo!EU49</f>
        <v>1</v>
      </c>
      <c r="EV49" s="78">
        <f>Grupo!EV49</f>
        <v>1</v>
      </c>
      <c r="EW49" s="78">
        <f>Grupo!EW49</f>
        <v>1</v>
      </c>
      <c r="EX49" s="78">
        <f>Grupo!EX49</f>
        <v>0</v>
      </c>
      <c r="EY49" s="78">
        <f>Grupo!EY49</f>
        <v>1</v>
      </c>
      <c r="EZ49" s="78">
        <f>Grupo!EZ49</f>
        <v>1</v>
      </c>
      <c r="FA49" s="78">
        <f>Grupo!FA49</f>
        <v>0</v>
      </c>
      <c r="FB49" s="78">
        <f>Grupo!FB49</f>
        <v>1</v>
      </c>
      <c r="FC49" s="78">
        <f>Grupo!FC49</f>
        <v>2</v>
      </c>
      <c r="FD49" s="78">
        <f>Grupo!FD49</f>
        <v>1</v>
      </c>
      <c r="FE49" s="78">
        <f>Grupo!FE49</f>
        <v>1</v>
      </c>
      <c r="FF49" s="78">
        <f>Grupo!FF49</f>
        <v>1</v>
      </c>
      <c r="FG49" s="78">
        <f>Grupo!FG49</f>
        <v>0</v>
      </c>
      <c r="FH49" s="78">
        <f>Grupo!FH49</f>
        <v>0</v>
      </c>
      <c r="FI49" s="78">
        <f>Grupo!FI49</f>
        <v>1</v>
      </c>
      <c r="FJ49" s="78">
        <f>Grupo!FJ49</f>
        <v>1</v>
      </c>
      <c r="FK49" s="78">
        <f>Grupo!FK49</f>
        <v>1</v>
      </c>
      <c r="FL49" s="78">
        <f>Grupo!FL49</f>
        <v>2</v>
      </c>
      <c r="FM49" s="78">
        <f>Grupo!FM49</f>
        <v>0</v>
      </c>
      <c r="FN49" s="78">
        <f>Grupo!FN49</f>
        <v>1</v>
      </c>
      <c r="FO49" s="78">
        <f>Grupo!FO49</f>
        <v>1</v>
      </c>
      <c r="FP49" s="78">
        <f>Grupo!FP49</f>
        <v>3</v>
      </c>
      <c r="FQ49" s="78">
        <f>Grupo!FQ49</f>
        <v>0</v>
      </c>
      <c r="FR49" s="78">
        <f>Grupo!FR49</f>
        <v>2</v>
      </c>
      <c r="FS49" s="78">
        <f>Grupo!FS49</f>
        <v>1</v>
      </c>
      <c r="FT49" s="78">
        <f>Grupo!FT49</f>
        <v>1</v>
      </c>
      <c r="FU49" s="78">
        <f>Grupo!FU49</f>
        <v>1</v>
      </c>
      <c r="FV49" s="78">
        <f>Grupo!FV49</f>
        <v>0</v>
      </c>
      <c r="FW49" s="78">
        <f>Grupo!FW49</f>
        <v>1</v>
      </c>
      <c r="FX49" s="78">
        <f>Grupo!FX49</f>
        <v>2</v>
      </c>
      <c r="FY49" s="78">
        <f>Grupo!FY49</f>
        <v>0</v>
      </c>
      <c r="FZ49" s="78">
        <f>Grupo!FZ49</f>
        <v>1</v>
      </c>
      <c r="GA49" s="78">
        <f>Grupo!GA49</f>
        <v>2</v>
      </c>
      <c r="GB49" s="78">
        <f>Grupo!GB49</f>
        <v>1</v>
      </c>
      <c r="GC49" s="78">
        <f>Grupo!GC49</f>
        <v>2</v>
      </c>
      <c r="GD49" s="78">
        <f>Grupo!GD49</f>
        <v>0</v>
      </c>
      <c r="GE49" s="78">
        <f>Grupo!GE49</f>
        <v>1</v>
      </c>
      <c r="GF49" s="78">
        <f>Grupo!GF49</f>
        <v>1</v>
      </c>
      <c r="GG49" s="78">
        <f>Grupo!GG49</f>
        <v>1</v>
      </c>
      <c r="GH49" s="78">
        <f>Grupo!GH49</f>
        <v>3</v>
      </c>
      <c r="GI49" s="78">
        <f>Grupo!GI49</f>
        <v>0</v>
      </c>
      <c r="GJ49" s="78">
        <f>Grupo!GJ49</f>
        <v>2</v>
      </c>
      <c r="GK49" s="78">
        <f>Grupo!GK49</f>
        <v>1</v>
      </c>
      <c r="GL49" s="78">
        <f>Grupo!GL49</f>
        <v>1</v>
      </c>
      <c r="GM49" s="78">
        <f>Grupo!GM49</f>
        <v>0</v>
      </c>
      <c r="GN49" s="78">
        <f>Grupo!GN49</f>
        <v>0</v>
      </c>
      <c r="GO49" s="78">
        <f>Grupo!GO49</f>
        <v>1</v>
      </c>
      <c r="GP49" s="78">
        <f>Grupo!GP49</f>
        <v>1</v>
      </c>
      <c r="GQ49" s="78">
        <f>Grupo!GQ49</f>
        <v>0</v>
      </c>
      <c r="GR49" s="79">
        <f>Grupo!GR49</f>
        <v>0</v>
      </c>
      <c r="GS49" s="79">
        <f>Grupo!GS49</f>
        <v>2</v>
      </c>
      <c r="GT49" s="79" t="str">
        <f>Grupo!GT49</f>
        <v/>
      </c>
      <c r="GU49" s="79">
        <f>Grupo!GU49</f>
        <v>2</v>
      </c>
      <c r="GV49" s="79">
        <f>Grupo!GV49</f>
        <v>1</v>
      </c>
      <c r="GW49" s="79" t="str">
        <f>Grupo!GW49</f>
        <v/>
      </c>
      <c r="GX49" s="76">
        <f>Grupo!GX49</f>
        <v>0</v>
      </c>
      <c r="GY49" s="76">
        <f>Grupo!GY49</f>
        <v>2</v>
      </c>
      <c r="GZ49" s="76" t="str">
        <f>Grupo!GZ49</f>
        <v/>
      </c>
      <c r="HA49" s="76">
        <f>Grupo!HA49</f>
        <v>0</v>
      </c>
      <c r="HB49" s="76">
        <f>Grupo!HB49</f>
        <v>3</v>
      </c>
      <c r="HC49" s="76" t="str">
        <f>Grupo!HC49</f>
        <v/>
      </c>
      <c r="HD49" s="76">
        <f>Grupo!HD49</f>
        <v>1</v>
      </c>
      <c r="HE49" s="76">
        <f>Grupo!HE49</f>
        <v>1</v>
      </c>
      <c r="HF49" s="76" t="str">
        <f>Grupo!HF49</f>
        <v/>
      </c>
      <c r="HG49" s="76">
        <f>Grupo!HG49</f>
        <v>1</v>
      </c>
      <c r="HH49" s="76">
        <f>Grupo!HH49</f>
        <v>1</v>
      </c>
      <c r="HI49" s="76" t="str">
        <f>Grupo!HI49</f>
        <v/>
      </c>
      <c r="HJ49" s="32">
        <f>Grupo!HJ49</f>
        <v>49</v>
      </c>
      <c r="HK49" s="25" t="s">
        <v>53</v>
      </c>
    </row>
    <row r="50" spans="1:219" ht="20.25" customHeight="1" thickBot="1" x14ac:dyDescent="0.35">
      <c r="A50" s="34" t="str">
        <f>Grupo!A50</f>
        <v>Walder</v>
      </c>
      <c r="B50" s="28">
        <f>Grupo!B50</f>
        <v>3</v>
      </c>
      <c r="C50" s="28">
        <f>Grupo!C50</f>
        <v>1</v>
      </c>
      <c r="D50" s="28">
        <f>Grupo!D50</f>
        <v>1</v>
      </c>
      <c r="E50" s="28">
        <f>Grupo!E50</f>
        <v>2</v>
      </c>
      <c r="F50" s="28">
        <f>Grupo!F50</f>
        <v>2</v>
      </c>
      <c r="G50" s="28">
        <f>Grupo!G50</f>
        <v>0</v>
      </c>
      <c r="H50" s="28">
        <f>Grupo!H50</f>
        <v>1</v>
      </c>
      <c r="I50" s="28">
        <f>Grupo!I50</f>
        <v>2</v>
      </c>
      <c r="J50" s="28">
        <f>Grupo!J50</f>
        <v>0</v>
      </c>
      <c r="K50" s="28">
        <f>Grupo!K50</f>
        <v>1</v>
      </c>
      <c r="L50" s="28">
        <f>Grupo!L50</f>
        <v>0</v>
      </c>
      <c r="M50" s="28">
        <f>Grupo!M50</f>
        <v>1</v>
      </c>
      <c r="N50" s="28">
        <f>Grupo!N50</f>
        <v>0</v>
      </c>
      <c r="O50" s="28">
        <f>Grupo!O50</f>
        <v>1</v>
      </c>
      <c r="P50" s="28">
        <f>Grupo!P50</f>
        <v>3</v>
      </c>
      <c r="Q50" s="28">
        <f>Grupo!Q50</f>
        <v>1</v>
      </c>
      <c r="R50" s="28">
        <f>Grupo!R50</f>
        <v>2</v>
      </c>
      <c r="S50" s="28">
        <f>Grupo!S50</f>
        <v>0</v>
      </c>
      <c r="T50" s="28">
        <f>Grupo!T50</f>
        <v>2</v>
      </c>
      <c r="U50" s="28">
        <f>Grupo!U50</f>
        <v>2</v>
      </c>
      <c r="V50" s="28">
        <f>Grupo!V50</f>
        <v>1</v>
      </c>
      <c r="W50" s="28">
        <f>Grupo!W50</f>
        <v>0</v>
      </c>
      <c r="X50" s="28">
        <f>Grupo!X50</f>
        <v>3</v>
      </c>
      <c r="Y50" s="28">
        <f>Grupo!Y50</f>
        <v>0</v>
      </c>
      <c r="Z50" s="28">
        <f>Grupo!Z50</f>
        <v>1</v>
      </c>
      <c r="AA50" s="28">
        <f>Grupo!AA50</f>
        <v>1</v>
      </c>
      <c r="AB50" s="28">
        <f>Grupo!AB50</f>
        <v>0</v>
      </c>
      <c r="AC50" s="28">
        <f>Grupo!AC50</f>
        <v>4</v>
      </c>
      <c r="AD50" s="28">
        <f>Grupo!AD50</f>
        <v>0</v>
      </c>
      <c r="AE50" s="28">
        <f>Grupo!AE50</f>
        <v>1</v>
      </c>
      <c r="AF50" s="28">
        <f>Grupo!AF50</f>
        <v>2</v>
      </c>
      <c r="AG50" s="28">
        <f>Grupo!AG50</f>
        <v>1</v>
      </c>
      <c r="AH50" s="28">
        <f>Grupo!AH50</f>
        <v>0</v>
      </c>
      <c r="AI50" s="28">
        <f>Grupo!AI50</f>
        <v>3</v>
      </c>
      <c r="AJ50" s="28">
        <f>Grupo!AJ50</f>
        <v>1</v>
      </c>
      <c r="AK50" s="28">
        <f>Grupo!AK50</f>
        <v>1</v>
      </c>
      <c r="AL50" s="28">
        <f>Grupo!AL50</f>
        <v>0</v>
      </c>
      <c r="AM50" s="28">
        <f>Grupo!AM50</f>
        <v>3</v>
      </c>
      <c r="AN50" s="28">
        <f>Grupo!AN50</f>
        <v>0</v>
      </c>
      <c r="AO50" s="28">
        <f>Grupo!AO50</f>
        <v>8</v>
      </c>
      <c r="AP50" s="28">
        <f>Grupo!AP50</f>
        <v>0</v>
      </c>
      <c r="AQ50" s="28">
        <f>Grupo!AQ50</f>
        <v>0</v>
      </c>
      <c r="AR50" s="28">
        <f>Grupo!AR50</f>
        <v>2</v>
      </c>
      <c r="AS50" s="28">
        <f>Grupo!AS50</f>
        <v>0</v>
      </c>
      <c r="AT50" s="28">
        <f>Grupo!AT50</f>
        <v>0</v>
      </c>
      <c r="AU50" s="28">
        <f>Grupo!AU50</f>
        <v>2</v>
      </c>
      <c r="AV50" s="28">
        <f>Grupo!AV50</f>
        <v>1</v>
      </c>
      <c r="AW50" s="28">
        <f>Grupo!AW50</f>
        <v>0</v>
      </c>
      <c r="AX50" s="28">
        <f>Grupo!AX50</f>
        <v>2</v>
      </c>
      <c r="AY50" s="28">
        <f>Grupo!AY50</f>
        <v>0</v>
      </c>
      <c r="AZ50" s="28">
        <f>Grupo!AZ50</f>
        <v>1</v>
      </c>
      <c r="BA50" s="28">
        <f>Grupo!BA50</f>
        <v>0</v>
      </c>
      <c r="BB50" s="28">
        <f>Grupo!BB50</f>
        <v>4</v>
      </c>
      <c r="BC50" s="28">
        <f>Grupo!BC50</f>
        <v>1</v>
      </c>
      <c r="BD50" s="28">
        <f>Grupo!BD50</f>
        <v>3</v>
      </c>
      <c r="BE50" s="28">
        <f>Grupo!BE50</f>
        <v>0</v>
      </c>
      <c r="BF50" s="28">
        <f>Grupo!BF50</f>
        <v>3</v>
      </c>
      <c r="BG50" s="28">
        <f>Grupo!BG50</f>
        <v>2</v>
      </c>
      <c r="BH50" s="28">
        <f>Grupo!BH50</f>
        <v>0</v>
      </c>
      <c r="BI50" s="28">
        <f>Grupo!BI50</f>
        <v>1</v>
      </c>
      <c r="BJ50" s="28">
        <f>Grupo!BJ50</f>
        <v>1</v>
      </c>
      <c r="BK50" s="28">
        <f>Grupo!BK50</f>
        <v>1</v>
      </c>
      <c r="BL50" s="28">
        <f>Grupo!BL50</f>
        <v>0</v>
      </c>
      <c r="BM50" s="28">
        <f>Grupo!BM50</f>
        <v>2</v>
      </c>
      <c r="BN50" s="28">
        <f>Grupo!BN50</f>
        <v>1</v>
      </c>
      <c r="BO50" s="28">
        <f>Grupo!BO50</f>
        <v>1</v>
      </c>
      <c r="BP50" s="28">
        <f>Grupo!BP50</f>
        <v>3</v>
      </c>
      <c r="BQ50" s="28">
        <f>Grupo!BQ50</f>
        <v>0</v>
      </c>
      <c r="BR50" s="28">
        <f>Grupo!BR50</f>
        <v>0</v>
      </c>
      <c r="BS50" s="28">
        <f>Grupo!BS50</f>
        <v>1</v>
      </c>
      <c r="BT50" s="28">
        <f>Grupo!BT50</f>
        <v>2</v>
      </c>
      <c r="BU50" s="28">
        <f>Grupo!BU50</f>
        <v>1</v>
      </c>
      <c r="BV50" s="28">
        <f>Grupo!BV50</f>
        <v>2</v>
      </c>
      <c r="BW50" s="28">
        <f>Grupo!BW50</f>
        <v>1</v>
      </c>
      <c r="BX50" s="28">
        <f>Grupo!BX50</f>
        <v>0</v>
      </c>
      <c r="BY50" s="28">
        <f>Grupo!BY50</f>
        <v>2</v>
      </c>
      <c r="BZ50" s="28">
        <f>Grupo!BZ50</f>
        <v>0</v>
      </c>
      <c r="CA50" s="28">
        <f>Grupo!CA50</f>
        <v>1</v>
      </c>
      <c r="CB50" s="28">
        <f>Grupo!CB50</f>
        <v>1</v>
      </c>
      <c r="CC50" s="28">
        <f>Grupo!CC50</f>
        <v>0</v>
      </c>
      <c r="CD50" s="28">
        <f>Grupo!CD50</f>
        <v>1</v>
      </c>
      <c r="CE50" s="28">
        <f>Grupo!CE50</f>
        <v>0</v>
      </c>
      <c r="CF50" s="28">
        <f>Grupo!CF50</f>
        <v>2</v>
      </c>
      <c r="CG50" s="28">
        <f>Grupo!CG50</f>
        <v>0</v>
      </c>
      <c r="CH50" s="28">
        <f>Grupo!CH50</f>
        <v>4</v>
      </c>
      <c r="CI50" s="28">
        <f>Grupo!CI50</f>
        <v>0</v>
      </c>
      <c r="CJ50" s="28">
        <f>Grupo!CJ50</f>
        <v>1</v>
      </c>
      <c r="CK50" s="28">
        <f>Grupo!CK50</f>
        <v>0</v>
      </c>
      <c r="CL50" s="28">
        <f>Grupo!CL50</f>
        <v>2</v>
      </c>
      <c r="CM50" s="28">
        <f>Grupo!CM50</f>
        <v>1</v>
      </c>
      <c r="CN50" s="28">
        <f>Grupo!CN50</f>
        <v>1</v>
      </c>
      <c r="CO50" s="28">
        <f>Grupo!CO50</f>
        <v>1</v>
      </c>
      <c r="CP50" s="28">
        <f>Grupo!CP50</f>
        <v>0</v>
      </c>
      <c r="CQ50" s="28">
        <f>Grupo!CQ50</f>
        <v>3</v>
      </c>
      <c r="CR50" s="28">
        <f>Grupo!CR50</f>
        <v>0</v>
      </c>
      <c r="CS50" s="28">
        <f>Grupo!CS50</f>
        <v>1</v>
      </c>
      <c r="CT50" s="28">
        <f>Grupo!CT50</f>
        <v>4</v>
      </c>
      <c r="CU50" s="28">
        <f>Grupo!CU50</f>
        <v>2</v>
      </c>
      <c r="CV50" s="28">
        <f>Grupo!CV50</f>
        <v>1</v>
      </c>
      <c r="CW50" s="28">
        <f>Grupo!CW50</f>
        <v>4</v>
      </c>
      <c r="CX50" s="28">
        <f>Grupo!CX50</f>
        <v>0</v>
      </c>
      <c r="CY50" s="28">
        <f>Grupo!CY50</f>
        <v>0</v>
      </c>
      <c r="CZ50" s="28">
        <f>Grupo!CZ50</f>
        <v>1</v>
      </c>
      <c r="DA50" s="28">
        <f>Grupo!DA50</f>
        <v>1</v>
      </c>
      <c r="DB50" s="28">
        <f>Grupo!DB50</f>
        <v>0</v>
      </c>
      <c r="DC50" s="28">
        <f>Grupo!DC50</f>
        <v>0</v>
      </c>
      <c r="DD50" s="28">
        <f>Grupo!DD50</f>
        <v>2</v>
      </c>
      <c r="DE50" s="28">
        <f>Grupo!DE50</f>
        <v>1</v>
      </c>
      <c r="DF50" s="28">
        <f>Grupo!DF50</f>
        <v>6</v>
      </c>
      <c r="DG50" s="28">
        <f>Grupo!DG50</f>
        <v>0</v>
      </c>
      <c r="DH50" s="28">
        <f>Grupo!DH50</f>
        <v>0</v>
      </c>
      <c r="DI50" s="28">
        <f>Grupo!DI50</f>
        <v>4</v>
      </c>
      <c r="DJ50" s="28">
        <f>Grupo!DJ50</f>
        <v>0</v>
      </c>
      <c r="DK50" s="28">
        <f>Grupo!DK50</f>
        <v>3</v>
      </c>
      <c r="DL50" s="28">
        <f>Grupo!DL50</f>
        <v>3</v>
      </c>
      <c r="DM50" s="28">
        <f>Grupo!DM50</f>
        <v>0</v>
      </c>
      <c r="DN50" s="28">
        <f>Grupo!DN50</f>
        <v>0</v>
      </c>
      <c r="DO50" s="28">
        <f>Grupo!DO50</f>
        <v>0</v>
      </c>
      <c r="DP50" s="28">
        <f>Grupo!DP50</f>
        <v>2</v>
      </c>
      <c r="DQ50" s="28">
        <f>Grupo!DQ50</f>
        <v>1</v>
      </c>
      <c r="DR50" s="28">
        <f>Grupo!DR50</f>
        <v>3</v>
      </c>
      <c r="DS50" s="28">
        <f>Grupo!DS50</f>
        <v>1</v>
      </c>
      <c r="DT50" s="28">
        <f>Grupo!DT50</f>
        <v>1</v>
      </c>
      <c r="DU50" s="28">
        <f>Grupo!DU50</f>
        <v>5</v>
      </c>
      <c r="DV50" s="28">
        <f>Grupo!DV50</f>
        <v>2</v>
      </c>
      <c r="DW50" s="28">
        <f>Grupo!DW50</f>
        <v>1</v>
      </c>
      <c r="DX50" s="28">
        <f>Grupo!DX50</f>
        <v>4</v>
      </c>
      <c r="DY50" s="28">
        <f>Grupo!DY50</f>
        <v>1</v>
      </c>
      <c r="DZ50" s="28">
        <f>Grupo!DZ50</f>
        <v>1</v>
      </c>
      <c r="EA50" s="70">
        <f>Grupo!EA50</f>
        <v>0</v>
      </c>
      <c r="EB50" s="70">
        <f>Grupo!EB50</f>
        <v>3</v>
      </c>
      <c r="EC50" s="70">
        <f>Grupo!EC50</f>
        <v>1</v>
      </c>
      <c r="ED50" s="70">
        <f>Grupo!ED50</f>
        <v>3</v>
      </c>
      <c r="EE50" s="70">
        <f>Grupo!EE50</f>
        <v>1</v>
      </c>
      <c r="EF50" s="70">
        <f>Grupo!EF50</f>
        <v>0</v>
      </c>
      <c r="EG50" s="70">
        <f>Grupo!EG50</f>
        <v>1</v>
      </c>
      <c r="EH50" s="70">
        <f>Grupo!EH50</f>
        <v>1</v>
      </c>
      <c r="EI50" s="70">
        <f>Grupo!EI50</f>
        <v>0</v>
      </c>
      <c r="EJ50" s="70">
        <f>Grupo!EJ50</f>
        <v>5</v>
      </c>
      <c r="EK50" s="70">
        <f>Grupo!EK50</f>
        <v>1</v>
      </c>
      <c r="EL50" s="70">
        <f>Grupo!EL50</f>
        <v>1</v>
      </c>
      <c r="EM50" s="70">
        <f>Grupo!EM50</f>
        <v>4</v>
      </c>
      <c r="EN50" s="70">
        <f>Grupo!EN50</f>
        <v>1</v>
      </c>
      <c r="EO50" s="70">
        <f>Grupo!EO50</f>
        <v>1</v>
      </c>
      <c r="EP50" s="78">
        <f>Grupo!EP50</f>
        <v>0</v>
      </c>
      <c r="EQ50" s="78">
        <f>Grupo!EQ50</f>
        <v>3</v>
      </c>
      <c r="ER50" s="78">
        <f>Grupo!ER50</f>
        <v>3</v>
      </c>
      <c r="ES50" s="78">
        <f>Grupo!ES50</f>
        <v>3</v>
      </c>
      <c r="ET50" s="78">
        <f>Grupo!ET50</f>
        <v>0</v>
      </c>
      <c r="EU50" s="78">
        <f>Grupo!EU50</f>
        <v>1</v>
      </c>
      <c r="EV50" s="78">
        <f>Grupo!EV50</f>
        <v>4</v>
      </c>
      <c r="EW50" s="78">
        <f>Grupo!EW50</f>
        <v>1</v>
      </c>
      <c r="EX50" s="78">
        <f>Grupo!EX50</f>
        <v>1</v>
      </c>
      <c r="EY50" s="78">
        <f>Grupo!EY50</f>
        <v>2</v>
      </c>
      <c r="EZ50" s="78">
        <f>Grupo!EZ50</f>
        <v>2</v>
      </c>
      <c r="FA50" s="78">
        <f>Grupo!FA50</f>
        <v>0</v>
      </c>
      <c r="FB50" s="78">
        <f>Grupo!FB50</f>
        <v>1</v>
      </c>
      <c r="FC50" s="78">
        <f>Grupo!FC50</f>
        <v>3</v>
      </c>
      <c r="FD50" s="78">
        <f>Grupo!FD50</f>
        <v>1</v>
      </c>
      <c r="FE50" s="78">
        <f>Grupo!FE50</f>
        <v>0</v>
      </c>
      <c r="FF50" s="78">
        <f>Grupo!FF50</f>
        <v>4</v>
      </c>
      <c r="FG50" s="78">
        <f>Grupo!FG50</f>
        <v>0</v>
      </c>
      <c r="FH50" s="78">
        <f>Grupo!FH50</f>
        <v>0</v>
      </c>
      <c r="FI50" s="78">
        <f>Grupo!FI50</f>
        <v>3</v>
      </c>
      <c r="FJ50" s="78">
        <f>Grupo!FJ50</f>
        <v>1</v>
      </c>
      <c r="FK50" s="78">
        <f>Grupo!FK50</f>
        <v>1</v>
      </c>
      <c r="FL50" s="78">
        <f>Grupo!FL50</f>
        <v>3</v>
      </c>
      <c r="FM50" s="78">
        <f>Grupo!FM50</f>
        <v>0</v>
      </c>
      <c r="FN50" s="78">
        <f>Grupo!FN50</f>
        <v>2</v>
      </c>
      <c r="FO50" s="78">
        <f>Grupo!FO50</f>
        <v>2</v>
      </c>
      <c r="FP50" s="78">
        <f>Grupo!FP50</f>
        <v>1</v>
      </c>
      <c r="FQ50" s="78">
        <f>Grupo!FQ50</f>
        <v>1</v>
      </c>
      <c r="FR50" s="78">
        <f>Grupo!FR50</f>
        <v>4</v>
      </c>
      <c r="FS50" s="78">
        <f>Grupo!FS50</f>
        <v>1</v>
      </c>
      <c r="FT50" s="78">
        <f>Grupo!FT50</f>
        <v>2</v>
      </c>
      <c r="FU50" s="78">
        <f>Grupo!FU50</f>
        <v>2</v>
      </c>
      <c r="FV50" s="78">
        <f>Grupo!FV50</f>
        <v>0</v>
      </c>
      <c r="FW50" s="78">
        <f>Grupo!FW50</f>
        <v>1</v>
      </c>
      <c r="FX50" s="78">
        <f>Grupo!FX50</f>
        <v>0</v>
      </c>
      <c r="FY50" s="78">
        <f>Grupo!FY50</f>
        <v>0</v>
      </c>
      <c r="FZ50" s="78">
        <f>Grupo!FZ50</f>
        <v>2</v>
      </c>
      <c r="GA50" s="78">
        <f>Grupo!GA50</f>
        <v>2</v>
      </c>
      <c r="GB50" s="78">
        <f>Grupo!GB50</f>
        <v>0</v>
      </c>
      <c r="GC50" s="78">
        <f>Grupo!GC50</f>
        <v>3</v>
      </c>
      <c r="GD50" s="78">
        <f>Grupo!GD50</f>
        <v>1</v>
      </c>
      <c r="GE50" s="78">
        <f>Grupo!GE50</f>
        <v>1</v>
      </c>
      <c r="GF50" s="78">
        <f>Grupo!GF50</f>
        <v>4</v>
      </c>
      <c r="GG50" s="78">
        <f>Grupo!GG50</f>
        <v>2</v>
      </c>
      <c r="GH50" s="78">
        <f>Grupo!GH50</f>
        <v>0</v>
      </c>
      <c r="GI50" s="78">
        <f>Grupo!GI50</f>
        <v>0</v>
      </c>
      <c r="GJ50" s="78">
        <f>Grupo!GJ50</f>
        <v>5</v>
      </c>
      <c r="GK50" s="78">
        <f>Grupo!GK50</f>
        <v>1</v>
      </c>
      <c r="GL50" s="78">
        <f>Grupo!GL50</f>
        <v>1</v>
      </c>
      <c r="GM50" s="78">
        <f>Grupo!GM50</f>
        <v>3</v>
      </c>
      <c r="GN50" s="78">
        <f>Grupo!GN50</f>
        <v>0</v>
      </c>
      <c r="GO50" s="78">
        <f>Grupo!GO50</f>
        <v>2</v>
      </c>
      <c r="GP50" s="78">
        <f>Grupo!GP50</f>
        <v>4</v>
      </c>
      <c r="GQ50" s="78">
        <f>Grupo!GQ50</f>
        <v>1</v>
      </c>
      <c r="GR50" s="79">
        <f>Grupo!GR50</f>
        <v>1</v>
      </c>
      <c r="GS50" s="79">
        <f>Grupo!GS50</f>
        <v>1</v>
      </c>
      <c r="GT50" s="79" t="str">
        <f>Grupo!GT50</f>
        <v/>
      </c>
      <c r="GU50" s="79">
        <f>Grupo!GU50</f>
        <v>3</v>
      </c>
      <c r="GV50" s="79">
        <f>Grupo!GV50</f>
        <v>2</v>
      </c>
      <c r="GW50" s="79" t="str">
        <f>Grupo!GW50</f>
        <v/>
      </c>
      <c r="GX50" s="76">
        <f>Grupo!GX50</f>
        <v>1</v>
      </c>
      <c r="GY50" s="76">
        <f>Grupo!GY50</f>
        <v>1</v>
      </c>
      <c r="GZ50" s="76" t="str">
        <f>Grupo!GZ50</f>
        <v/>
      </c>
      <c r="HA50" s="76">
        <f>Grupo!HA50</f>
        <v>0</v>
      </c>
      <c r="HB50" s="76">
        <f>Grupo!HB50</f>
        <v>5</v>
      </c>
      <c r="HC50" s="76" t="str">
        <f>Grupo!HC50</f>
        <v/>
      </c>
      <c r="HD50" s="76">
        <f>Grupo!HD50</f>
        <v>3</v>
      </c>
      <c r="HE50" s="76">
        <f>Grupo!HE50</f>
        <v>3</v>
      </c>
      <c r="HF50" s="76" t="str">
        <f>Grupo!HF50</f>
        <v/>
      </c>
      <c r="HG50" s="76">
        <f>Grupo!HG50</f>
        <v>1</v>
      </c>
      <c r="HH50" s="76">
        <f>Grupo!HH50</f>
        <v>2</v>
      </c>
      <c r="HI50" s="76" t="str">
        <f>Grupo!HI50</f>
        <v/>
      </c>
      <c r="HJ50" s="32">
        <f>Grupo!HJ50</f>
        <v>45</v>
      </c>
      <c r="HK50" s="25" t="s">
        <v>59</v>
      </c>
    </row>
    <row r="51" spans="1:219" ht="19.5" thickBot="1" x14ac:dyDescent="0.35">
      <c r="A51" s="34" t="str">
        <f>Grupo!A51</f>
        <v>Waldo</v>
      </c>
      <c r="B51" s="28">
        <f>Grupo!B51</f>
        <v>2</v>
      </c>
      <c r="C51" s="28">
        <f>Grupo!C51</f>
        <v>0</v>
      </c>
      <c r="D51" s="28">
        <f>Grupo!D51</f>
        <v>3</v>
      </c>
      <c r="E51" s="28">
        <f>Grupo!E51</f>
        <v>1</v>
      </c>
      <c r="F51" s="28">
        <f>Grupo!F51</f>
        <v>1</v>
      </c>
      <c r="G51" s="28">
        <f>Grupo!G51</f>
        <v>0</v>
      </c>
      <c r="H51" s="28">
        <f>Grupo!H51</f>
        <v>2</v>
      </c>
      <c r="I51" s="28">
        <f>Grupo!I51</f>
        <v>1</v>
      </c>
      <c r="J51" s="28">
        <f>Grupo!J51</f>
        <v>0</v>
      </c>
      <c r="K51" s="28">
        <f>Grupo!K51</f>
        <v>1</v>
      </c>
      <c r="L51" s="28">
        <f>Grupo!L51</f>
        <v>1</v>
      </c>
      <c r="M51" s="28">
        <f>Grupo!M51</f>
        <v>0</v>
      </c>
      <c r="N51" s="28">
        <f>Grupo!N51</f>
        <v>1</v>
      </c>
      <c r="O51" s="28">
        <f>Grupo!O51</f>
        <v>2</v>
      </c>
      <c r="P51" s="28">
        <f>Grupo!P51</f>
        <v>1</v>
      </c>
      <c r="Q51" s="28">
        <f>Grupo!Q51</f>
        <v>1</v>
      </c>
      <c r="R51" s="28">
        <f>Grupo!R51</f>
        <v>2</v>
      </c>
      <c r="S51" s="28">
        <f>Grupo!S51</f>
        <v>0</v>
      </c>
      <c r="T51" s="28">
        <f>Grupo!T51</f>
        <v>1</v>
      </c>
      <c r="U51" s="28">
        <f>Grupo!U51</f>
        <v>2</v>
      </c>
      <c r="V51" s="28">
        <f>Grupo!V51</f>
        <v>0</v>
      </c>
      <c r="W51" s="28">
        <f>Grupo!W51</f>
        <v>0</v>
      </c>
      <c r="X51" s="28">
        <f>Grupo!X51</f>
        <v>3</v>
      </c>
      <c r="Y51" s="28">
        <f>Grupo!Y51</f>
        <v>0</v>
      </c>
      <c r="Z51" s="28">
        <f>Grupo!Z51</f>
        <v>2</v>
      </c>
      <c r="AA51" s="28">
        <f>Grupo!AA51</f>
        <v>1</v>
      </c>
      <c r="AB51" s="28">
        <f>Grupo!AB51</f>
        <v>1</v>
      </c>
      <c r="AC51" s="28">
        <f>Grupo!AC51</f>
        <v>4</v>
      </c>
      <c r="AD51" s="28">
        <f>Grupo!AD51</f>
        <v>0</v>
      </c>
      <c r="AE51" s="28">
        <f>Grupo!AE51</f>
        <v>1</v>
      </c>
      <c r="AF51" s="28">
        <f>Grupo!AF51</f>
        <v>2</v>
      </c>
      <c r="AG51" s="28">
        <f>Grupo!AG51</f>
        <v>2</v>
      </c>
      <c r="AH51" s="28">
        <f>Grupo!AH51</f>
        <v>3</v>
      </c>
      <c r="AI51" s="28">
        <f>Grupo!AI51</f>
        <v>2</v>
      </c>
      <c r="AJ51" s="28">
        <f>Grupo!AJ51</f>
        <v>1</v>
      </c>
      <c r="AK51" s="28">
        <f>Grupo!AK51</f>
        <v>1</v>
      </c>
      <c r="AL51" s="28">
        <f>Grupo!AL51</f>
        <v>0</v>
      </c>
      <c r="AM51" s="28">
        <f>Grupo!AM51</f>
        <v>2</v>
      </c>
      <c r="AN51" s="28">
        <f>Grupo!AN51</f>
        <v>0</v>
      </c>
      <c r="AO51" s="28">
        <f>Grupo!AO51</f>
        <v>3</v>
      </c>
      <c r="AP51" s="28">
        <f>Grupo!AP51</f>
        <v>0</v>
      </c>
      <c r="AQ51" s="28">
        <f>Grupo!AQ51</f>
        <v>0</v>
      </c>
      <c r="AR51" s="28">
        <f>Grupo!AR51</f>
        <v>2</v>
      </c>
      <c r="AS51" s="28">
        <f>Grupo!AS51</f>
        <v>0</v>
      </c>
      <c r="AT51" s="28">
        <f>Grupo!AT51</f>
        <v>0</v>
      </c>
      <c r="AU51" s="28">
        <f>Grupo!AU51</f>
        <v>3</v>
      </c>
      <c r="AV51" s="28">
        <f>Grupo!AV51</f>
        <v>2</v>
      </c>
      <c r="AW51" s="28">
        <f>Grupo!AW51</f>
        <v>0</v>
      </c>
      <c r="AX51" s="28">
        <f>Grupo!AX51</f>
        <v>2</v>
      </c>
      <c r="AY51" s="28">
        <f>Grupo!AY51</f>
        <v>1</v>
      </c>
      <c r="AZ51" s="28">
        <f>Grupo!AZ51</f>
        <v>1</v>
      </c>
      <c r="BA51" s="28">
        <f>Grupo!BA51</f>
        <v>0</v>
      </c>
      <c r="BB51" s="28">
        <f>Grupo!BB51</f>
        <v>4</v>
      </c>
      <c r="BC51" s="28">
        <f>Grupo!BC51</f>
        <v>1</v>
      </c>
      <c r="BD51" s="28">
        <f>Grupo!BD51</f>
        <v>3</v>
      </c>
      <c r="BE51" s="28">
        <f>Grupo!BE51</f>
        <v>1</v>
      </c>
      <c r="BF51" s="28">
        <f>Grupo!BF51</f>
        <v>1</v>
      </c>
      <c r="BG51" s="28">
        <f>Grupo!BG51</f>
        <v>3</v>
      </c>
      <c r="BH51" s="28">
        <f>Grupo!BH51</f>
        <v>0</v>
      </c>
      <c r="BI51" s="28">
        <f>Grupo!BI51</f>
        <v>1</v>
      </c>
      <c r="BJ51" s="28">
        <f>Grupo!BJ51</f>
        <v>1</v>
      </c>
      <c r="BK51" s="28">
        <f>Grupo!BK51</f>
        <v>2</v>
      </c>
      <c r="BL51" s="28">
        <f>Grupo!BL51</f>
        <v>0</v>
      </c>
      <c r="BM51" s="28">
        <f>Grupo!BM51</f>
        <v>1</v>
      </c>
      <c r="BN51" s="28">
        <f>Grupo!BN51</f>
        <v>1</v>
      </c>
      <c r="BO51" s="28">
        <f>Grupo!BO51</f>
        <v>0</v>
      </c>
      <c r="BP51" s="28">
        <f>Grupo!BP51</f>
        <v>8</v>
      </c>
      <c r="BQ51" s="28">
        <f>Grupo!BQ51</f>
        <v>0</v>
      </c>
      <c r="BR51" s="28">
        <f>Grupo!BR51</f>
        <v>0</v>
      </c>
      <c r="BS51" s="28">
        <f>Grupo!BS51</f>
        <v>0</v>
      </c>
      <c r="BT51" s="28">
        <f>Grupo!BT51</f>
        <v>4</v>
      </c>
      <c r="BU51" s="28">
        <f>Grupo!BU51</f>
        <v>1</v>
      </c>
      <c r="BV51" s="28">
        <f>Grupo!BV51</f>
        <v>3</v>
      </c>
      <c r="BW51" s="28">
        <f>Grupo!BW51</f>
        <v>2</v>
      </c>
      <c r="BX51" s="28">
        <f>Grupo!BX51</f>
        <v>0</v>
      </c>
      <c r="BY51" s="28">
        <f>Grupo!BY51</f>
        <v>4</v>
      </c>
      <c r="BZ51" s="28">
        <f>Grupo!BZ51</f>
        <v>2</v>
      </c>
      <c r="CA51" s="28">
        <f>Grupo!CA51</f>
        <v>1</v>
      </c>
      <c r="CB51" s="28">
        <f>Grupo!CB51</f>
        <v>3</v>
      </c>
      <c r="CC51" s="28">
        <f>Grupo!CC51</f>
        <v>1</v>
      </c>
      <c r="CD51" s="28">
        <f>Grupo!CD51</f>
        <v>1</v>
      </c>
      <c r="CE51" s="28">
        <f>Grupo!CE51</f>
        <v>2</v>
      </c>
      <c r="CF51" s="28">
        <f>Grupo!CF51</f>
        <v>2</v>
      </c>
      <c r="CG51" s="28">
        <f>Grupo!CG51</f>
        <v>0</v>
      </c>
      <c r="CH51" s="28">
        <f>Grupo!CH51</f>
        <v>3</v>
      </c>
      <c r="CI51" s="28">
        <f>Grupo!CI51</f>
        <v>0</v>
      </c>
      <c r="CJ51" s="28">
        <f>Grupo!CJ51</f>
        <v>3</v>
      </c>
      <c r="CK51" s="28">
        <f>Grupo!CK51</f>
        <v>1</v>
      </c>
      <c r="CL51" s="28">
        <f>Grupo!CL51</f>
        <v>3</v>
      </c>
      <c r="CM51" s="28">
        <f>Grupo!CM51</f>
        <v>1</v>
      </c>
      <c r="CN51" s="28">
        <f>Grupo!CN51</f>
        <v>2</v>
      </c>
      <c r="CO51" s="28">
        <f>Grupo!CO51</f>
        <v>1</v>
      </c>
      <c r="CP51" s="28">
        <f>Grupo!CP51</f>
        <v>0</v>
      </c>
      <c r="CQ51" s="28">
        <f>Grupo!CQ51</f>
        <v>2</v>
      </c>
      <c r="CR51" s="28">
        <f>Grupo!CR51</f>
        <v>1</v>
      </c>
      <c r="CS51" s="28">
        <f>Grupo!CS51</f>
        <v>1</v>
      </c>
      <c r="CT51" s="28">
        <f>Grupo!CT51</f>
        <v>2</v>
      </c>
      <c r="CU51" s="28">
        <f>Grupo!CU51</f>
        <v>2</v>
      </c>
      <c r="CV51" s="28">
        <f>Grupo!CV51</f>
        <v>0</v>
      </c>
      <c r="CW51" s="28">
        <f>Grupo!CW51</f>
        <v>2</v>
      </c>
      <c r="CX51" s="28">
        <f>Grupo!CX51</f>
        <v>0</v>
      </c>
      <c r="CY51" s="28">
        <f>Grupo!CY51</f>
        <v>0</v>
      </c>
      <c r="CZ51" s="28">
        <f>Grupo!CZ51</f>
        <v>2</v>
      </c>
      <c r="DA51" s="28">
        <f>Grupo!DA51</f>
        <v>0</v>
      </c>
      <c r="DB51" s="28">
        <f>Grupo!DB51</f>
        <v>1</v>
      </c>
      <c r="DC51" s="28">
        <f>Grupo!DC51</f>
        <v>1</v>
      </c>
      <c r="DD51" s="28">
        <f>Grupo!DD51</f>
        <v>2</v>
      </c>
      <c r="DE51" s="28">
        <f>Grupo!DE51</f>
        <v>1</v>
      </c>
      <c r="DF51" s="28">
        <f>Grupo!DF51</f>
        <v>3</v>
      </c>
      <c r="DG51" s="28">
        <f>Grupo!DG51</f>
        <v>0</v>
      </c>
      <c r="DH51" s="28">
        <f>Grupo!DH51</f>
        <v>0</v>
      </c>
      <c r="DI51" s="28">
        <f>Grupo!DI51</f>
        <v>3</v>
      </c>
      <c r="DJ51" s="28">
        <f>Grupo!DJ51</f>
        <v>0</v>
      </c>
      <c r="DK51" s="28">
        <f>Grupo!DK51</f>
        <v>1</v>
      </c>
      <c r="DL51" s="28">
        <f>Grupo!DL51</f>
        <v>2</v>
      </c>
      <c r="DM51" s="28">
        <f>Grupo!DM51</f>
        <v>1</v>
      </c>
      <c r="DN51" s="28">
        <f>Grupo!DN51</f>
        <v>0</v>
      </c>
      <c r="DO51" s="28">
        <f>Grupo!DO51</f>
        <v>1</v>
      </c>
      <c r="DP51" s="28">
        <f>Grupo!DP51</f>
        <v>3</v>
      </c>
      <c r="DQ51" s="28">
        <f>Grupo!DQ51</f>
        <v>3</v>
      </c>
      <c r="DR51" s="28">
        <f>Grupo!DR51</f>
        <v>1</v>
      </c>
      <c r="DS51" s="28">
        <f>Grupo!DS51</f>
        <v>1</v>
      </c>
      <c r="DT51" s="28">
        <f>Grupo!DT51</f>
        <v>0</v>
      </c>
      <c r="DU51" s="28">
        <f>Grupo!DU51</f>
        <v>4</v>
      </c>
      <c r="DV51" s="28">
        <f>Grupo!DV51</f>
        <v>0</v>
      </c>
      <c r="DW51" s="28">
        <f>Grupo!DW51</f>
        <v>1</v>
      </c>
      <c r="DX51" s="28">
        <f>Grupo!DX51</f>
        <v>2</v>
      </c>
      <c r="DY51" s="28">
        <f>Grupo!DY51</f>
        <v>1</v>
      </c>
      <c r="DZ51" s="28">
        <f>Grupo!DZ51</f>
        <v>1</v>
      </c>
      <c r="EA51" s="70">
        <f>Grupo!EA51</f>
        <v>0</v>
      </c>
      <c r="EB51" s="70">
        <f>Grupo!EB51</f>
        <v>2</v>
      </c>
      <c r="EC51" s="70">
        <f>Grupo!EC51</f>
        <v>1</v>
      </c>
      <c r="ED51" s="70">
        <f>Grupo!ED51</f>
        <v>2</v>
      </c>
      <c r="EE51" s="70">
        <f>Grupo!EE51</f>
        <v>0</v>
      </c>
      <c r="EF51" s="70">
        <f>Grupo!EF51</f>
        <v>0</v>
      </c>
      <c r="EG51" s="70">
        <f>Grupo!EG51</f>
        <v>0</v>
      </c>
      <c r="EH51" s="70">
        <f>Grupo!EH51</f>
        <v>2</v>
      </c>
      <c r="EI51" s="70">
        <f>Grupo!EI51</f>
        <v>1</v>
      </c>
      <c r="EJ51" s="70">
        <f>Grupo!EJ51</f>
        <v>2</v>
      </c>
      <c r="EK51" s="70">
        <f>Grupo!EK51</f>
        <v>0</v>
      </c>
      <c r="EL51" s="70">
        <f>Grupo!EL51</f>
        <v>1</v>
      </c>
      <c r="EM51" s="70">
        <f>Grupo!EM51</f>
        <v>2</v>
      </c>
      <c r="EN51" s="70">
        <f>Grupo!EN51</f>
        <v>1</v>
      </c>
      <c r="EO51" s="70">
        <f>Grupo!EO51</f>
        <v>1</v>
      </c>
      <c r="EP51" s="78">
        <f>Grupo!EP51</f>
        <v>0</v>
      </c>
      <c r="EQ51" s="78">
        <f>Grupo!EQ51</f>
        <v>4</v>
      </c>
      <c r="ER51" s="78">
        <f>Grupo!ER51</f>
        <v>1</v>
      </c>
      <c r="ES51" s="78">
        <f>Grupo!ES51</f>
        <v>3</v>
      </c>
      <c r="ET51" s="78">
        <f>Grupo!ET51</f>
        <v>0</v>
      </c>
      <c r="EU51" s="78">
        <f>Grupo!EU51</f>
        <v>1</v>
      </c>
      <c r="EV51" s="78">
        <f>Grupo!EV51</f>
        <v>3</v>
      </c>
      <c r="EW51" s="78">
        <f>Grupo!EW51</f>
        <v>1</v>
      </c>
      <c r="EX51" s="78">
        <f>Grupo!EX51</f>
        <v>1</v>
      </c>
      <c r="EY51" s="78">
        <f>Grupo!EY51</f>
        <v>2</v>
      </c>
      <c r="EZ51" s="78">
        <f>Grupo!EZ51</f>
        <v>0</v>
      </c>
      <c r="FA51" s="78">
        <f>Grupo!FA51</f>
        <v>1</v>
      </c>
      <c r="FB51" s="78">
        <f>Grupo!FB51</f>
        <v>2</v>
      </c>
      <c r="FC51" s="78">
        <f>Grupo!FC51</f>
        <v>2</v>
      </c>
      <c r="FD51" s="78">
        <f>Grupo!FD51</f>
        <v>0</v>
      </c>
      <c r="FE51" s="78">
        <f>Grupo!FE51</f>
        <v>0</v>
      </c>
      <c r="FF51" s="78">
        <f>Grupo!FF51</f>
        <v>3</v>
      </c>
      <c r="FG51" s="78">
        <f>Grupo!FG51</f>
        <v>0</v>
      </c>
      <c r="FH51" s="78">
        <f>Grupo!FH51</f>
        <v>1</v>
      </c>
      <c r="FI51" s="78">
        <f>Grupo!FI51</f>
        <v>3</v>
      </c>
      <c r="FJ51" s="78">
        <f>Grupo!FJ51</f>
        <v>1</v>
      </c>
      <c r="FK51" s="78">
        <f>Grupo!FK51</f>
        <v>2</v>
      </c>
      <c r="FL51" s="78">
        <f>Grupo!FL51</f>
        <v>3</v>
      </c>
      <c r="FM51" s="78">
        <f>Grupo!FM51</f>
        <v>0</v>
      </c>
      <c r="FN51" s="78">
        <f>Grupo!FN51</f>
        <v>2</v>
      </c>
      <c r="FO51" s="78">
        <f>Grupo!FO51</f>
        <v>1</v>
      </c>
      <c r="FP51" s="78">
        <f>Grupo!FP51</f>
        <v>0</v>
      </c>
      <c r="FQ51" s="78">
        <f>Grupo!FQ51</f>
        <v>0</v>
      </c>
      <c r="FR51" s="78">
        <f>Grupo!FR51</f>
        <v>4</v>
      </c>
      <c r="FS51" s="78">
        <f>Grupo!FS51</f>
        <v>1</v>
      </c>
      <c r="FT51" s="78">
        <f>Grupo!FT51</f>
        <v>2</v>
      </c>
      <c r="FU51" s="78">
        <f>Grupo!FU51</f>
        <v>3</v>
      </c>
      <c r="FV51" s="78">
        <f>Grupo!FV51</f>
        <v>0</v>
      </c>
      <c r="FW51" s="78">
        <f>Grupo!FW51</f>
        <v>4</v>
      </c>
      <c r="FX51" s="78">
        <f>Grupo!FX51</f>
        <v>1</v>
      </c>
      <c r="FY51" s="78">
        <f>Grupo!FY51</f>
        <v>0</v>
      </c>
      <c r="FZ51" s="78">
        <f>Grupo!FZ51</f>
        <v>2</v>
      </c>
      <c r="GA51" s="78">
        <f>Grupo!GA51</f>
        <v>2</v>
      </c>
      <c r="GB51" s="78">
        <f>Grupo!GB51</f>
        <v>0</v>
      </c>
      <c r="GC51" s="78">
        <f>Grupo!GC51</f>
        <v>3</v>
      </c>
      <c r="GD51" s="78">
        <f>Grupo!GD51</f>
        <v>0</v>
      </c>
      <c r="GE51" s="78">
        <f>Grupo!GE51</f>
        <v>1</v>
      </c>
      <c r="GF51" s="78">
        <f>Grupo!GF51</f>
        <v>4</v>
      </c>
      <c r="GG51" s="78">
        <f>Grupo!GG51</f>
        <v>1</v>
      </c>
      <c r="GH51" s="78">
        <f>Grupo!GH51</f>
        <v>0</v>
      </c>
      <c r="GI51" s="78">
        <f>Grupo!GI51</f>
        <v>1</v>
      </c>
      <c r="GJ51" s="78">
        <f>Grupo!GJ51</f>
        <v>4</v>
      </c>
      <c r="GK51" s="78">
        <f>Grupo!GK51</f>
        <v>1</v>
      </c>
      <c r="GL51" s="78">
        <f>Grupo!GL51</f>
        <v>2</v>
      </c>
      <c r="GM51" s="78">
        <f>Grupo!GM51</f>
        <v>1</v>
      </c>
      <c r="GN51" s="78">
        <f>Grupo!GN51</f>
        <v>0</v>
      </c>
      <c r="GO51" s="78">
        <f>Grupo!GO51</f>
        <v>1</v>
      </c>
      <c r="GP51" s="78">
        <f>Grupo!GP51</f>
        <v>2</v>
      </c>
      <c r="GQ51" s="78">
        <f>Grupo!GQ51</f>
        <v>1</v>
      </c>
      <c r="GR51" s="79">
        <f>Grupo!GR51</f>
        <v>0</v>
      </c>
      <c r="GS51" s="79">
        <f>Grupo!GS51</f>
        <v>4</v>
      </c>
      <c r="GT51" s="79" t="str">
        <f>Grupo!GT51</f>
        <v/>
      </c>
      <c r="GU51" s="79">
        <f>Grupo!GU51</f>
        <v>2</v>
      </c>
      <c r="GV51" s="79">
        <f>Grupo!GV51</f>
        <v>0</v>
      </c>
      <c r="GW51" s="79" t="str">
        <f>Grupo!GW51</f>
        <v/>
      </c>
      <c r="GX51" s="76">
        <f>Grupo!GX51</f>
        <v>1</v>
      </c>
      <c r="GY51" s="76">
        <f>Grupo!GY51</f>
        <v>3</v>
      </c>
      <c r="GZ51" s="76" t="str">
        <f>Grupo!GZ51</f>
        <v/>
      </c>
      <c r="HA51" s="76">
        <f>Grupo!HA51</f>
        <v>1</v>
      </c>
      <c r="HB51" s="76">
        <f>Grupo!HB51</f>
        <v>2</v>
      </c>
      <c r="HC51" s="76" t="str">
        <f>Grupo!HC51</f>
        <v/>
      </c>
      <c r="HD51" s="76">
        <f>Grupo!HD51</f>
        <v>1</v>
      </c>
      <c r="HE51" s="76">
        <f>Grupo!HE51</f>
        <v>1</v>
      </c>
      <c r="HF51" s="76" t="str">
        <f>Grupo!HF51</f>
        <v/>
      </c>
      <c r="HG51" s="76">
        <f>Grupo!HG51</f>
        <v>3</v>
      </c>
      <c r="HH51" s="76">
        <f>Grupo!HH51</f>
        <v>0</v>
      </c>
      <c r="HI51" s="76" t="str">
        <f>Grupo!HI51</f>
        <v/>
      </c>
      <c r="HJ51" s="32">
        <f>Grupo!HJ51</f>
        <v>43</v>
      </c>
      <c r="HK51" s="34" t="str">
        <f>Grupo!A51</f>
        <v>Waldo</v>
      </c>
    </row>
  </sheetData>
  <pageMargins left="0.7" right="0.7" top="0.75" bottom="0.75" header="0.51" footer="0.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Z49"/>
  <sheetViews>
    <sheetView showGridLines="0" workbookViewId="0">
      <selection sqref="A1:L50"/>
    </sheetView>
  </sheetViews>
  <sheetFormatPr baseColWidth="10" defaultRowHeight="15" x14ac:dyDescent="0.25"/>
  <cols>
    <col min="1" max="1" width="8" customWidth="1"/>
    <col min="2" max="2" width="10" customWidth="1"/>
    <col min="3" max="3" width="24" customWidth="1"/>
    <col min="4" max="10" width="6" customWidth="1"/>
    <col min="11" max="11" width="7" customWidth="1"/>
    <col min="12" max="13" width="16" customWidth="1"/>
    <col min="14" max="14" width="20" customWidth="1"/>
    <col min="15" max="17" width="14" customWidth="1"/>
  </cols>
  <sheetData>
    <row r="1" spans="1:26" ht="24" customHeight="1" x14ac:dyDescent="0.25">
      <c r="A1" s="21" t="s">
        <v>128</v>
      </c>
      <c r="B1" s="21" t="s">
        <v>345</v>
      </c>
      <c r="C1" s="21" t="s">
        <v>346</v>
      </c>
      <c r="D1" s="21" t="s">
        <v>347</v>
      </c>
      <c r="E1" s="21" t="s">
        <v>348</v>
      </c>
      <c r="F1" s="21" t="s">
        <v>349</v>
      </c>
      <c r="G1" s="21" t="s">
        <v>350</v>
      </c>
      <c r="H1" s="21" t="s">
        <v>351</v>
      </c>
      <c r="I1" s="21" t="s">
        <v>352</v>
      </c>
      <c r="J1" s="21" t="s">
        <v>353</v>
      </c>
      <c r="K1" s="21" t="s">
        <v>354</v>
      </c>
      <c r="L1" s="21" t="s">
        <v>355</v>
      </c>
      <c r="M1" s="21" t="s">
        <v>356</v>
      </c>
      <c r="N1" s="21" t="s">
        <v>357</v>
      </c>
      <c r="O1" s="21" t="s">
        <v>358</v>
      </c>
      <c r="P1" s="21" t="s">
        <v>359</v>
      </c>
      <c r="Q1" s="21" t="s">
        <v>360</v>
      </c>
      <c r="R1" s="21"/>
      <c r="S1" s="21"/>
      <c r="T1" s="21"/>
      <c r="U1" s="21"/>
      <c r="V1" s="21"/>
      <c r="W1" s="21"/>
      <c r="X1" s="21"/>
      <c r="Y1" s="21"/>
      <c r="Z1" s="21"/>
    </row>
    <row r="2" spans="1:26" ht="14.25" customHeight="1" x14ac:dyDescent="0.25">
      <c r="A2" t="s">
        <v>75</v>
      </c>
      <c r="B2" t="s">
        <v>140</v>
      </c>
      <c r="C2" t="s">
        <v>94</v>
      </c>
      <c r="D2">
        <v>2</v>
      </c>
      <c r="E2">
        <v>2</v>
      </c>
      <c r="F2">
        <v>0</v>
      </c>
      <c r="G2">
        <v>0</v>
      </c>
      <c r="H2">
        <v>3</v>
      </c>
      <c r="I2">
        <v>0</v>
      </c>
      <c r="J2">
        <v>3</v>
      </c>
      <c r="K2">
        <v>6</v>
      </c>
      <c r="L2">
        <v>0</v>
      </c>
      <c r="M2">
        <v>1</v>
      </c>
      <c r="N2" t="s">
        <v>361</v>
      </c>
      <c r="O2" t="s">
        <v>207</v>
      </c>
      <c r="P2" t="s">
        <v>94</v>
      </c>
      <c r="Q2" t="s">
        <v>140</v>
      </c>
    </row>
    <row r="3" spans="1:26" ht="14.25" customHeight="1" x14ac:dyDescent="0.25">
      <c r="A3" t="s">
        <v>75</v>
      </c>
      <c r="B3" t="s">
        <v>142</v>
      </c>
      <c r="C3" t="s">
        <v>110</v>
      </c>
      <c r="D3">
        <v>2</v>
      </c>
      <c r="E3">
        <v>0</v>
      </c>
      <c r="F3">
        <v>1</v>
      </c>
      <c r="G3">
        <v>1</v>
      </c>
      <c r="H3">
        <v>1</v>
      </c>
      <c r="I3">
        <v>3</v>
      </c>
      <c r="J3">
        <v>-2</v>
      </c>
      <c r="K3">
        <v>1</v>
      </c>
      <c r="L3">
        <v>0</v>
      </c>
      <c r="M3">
        <v>4</v>
      </c>
      <c r="O3" t="s">
        <v>213</v>
      </c>
      <c r="P3" t="s">
        <v>110</v>
      </c>
      <c r="Q3" t="s">
        <v>142</v>
      </c>
    </row>
    <row r="4" spans="1:26" ht="14.25" customHeight="1" x14ac:dyDescent="0.25">
      <c r="A4" t="s">
        <v>75</v>
      </c>
      <c r="B4" t="s">
        <v>141</v>
      </c>
      <c r="C4" t="s">
        <v>95</v>
      </c>
      <c r="D4">
        <v>2</v>
      </c>
      <c r="E4">
        <v>1</v>
      </c>
      <c r="F4">
        <v>0</v>
      </c>
      <c r="G4">
        <v>1</v>
      </c>
      <c r="H4">
        <v>2</v>
      </c>
      <c r="I4">
        <v>2</v>
      </c>
      <c r="J4">
        <v>0</v>
      </c>
      <c r="K4">
        <v>3</v>
      </c>
      <c r="L4">
        <v>0</v>
      </c>
      <c r="M4">
        <v>2</v>
      </c>
      <c r="N4" t="s">
        <v>361</v>
      </c>
      <c r="O4" t="s">
        <v>208</v>
      </c>
      <c r="P4" t="s">
        <v>95</v>
      </c>
      <c r="Q4" t="s">
        <v>141</v>
      </c>
    </row>
    <row r="5" spans="1:26" ht="14.25" customHeight="1" x14ac:dyDescent="0.25">
      <c r="A5" t="s">
        <v>75</v>
      </c>
      <c r="B5" t="s">
        <v>176</v>
      </c>
      <c r="C5" t="s">
        <v>119</v>
      </c>
      <c r="D5">
        <v>2</v>
      </c>
      <c r="E5">
        <v>0</v>
      </c>
      <c r="F5">
        <v>1</v>
      </c>
      <c r="G5">
        <v>1</v>
      </c>
      <c r="H5">
        <v>2</v>
      </c>
      <c r="I5">
        <v>3</v>
      </c>
      <c r="J5">
        <v>-1</v>
      </c>
      <c r="K5">
        <v>1</v>
      </c>
      <c r="L5">
        <v>0</v>
      </c>
      <c r="M5">
        <v>3</v>
      </c>
      <c r="N5" t="s">
        <v>362</v>
      </c>
      <c r="O5" t="s">
        <v>212</v>
      </c>
      <c r="P5" t="s">
        <v>119</v>
      </c>
      <c r="Q5" t="s">
        <v>176</v>
      </c>
    </row>
    <row r="6" spans="1:26" ht="14.25" customHeight="1" x14ac:dyDescent="0.25">
      <c r="A6" t="s">
        <v>76</v>
      </c>
      <c r="B6" t="s">
        <v>144</v>
      </c>
      <c r="C6" t="s">
        <v>96</v>
      </c>
      <c r="D6">
        <v>2</v>
      </c>
      <c r="E6">
        <v>1</v>
      </c>
      <c r="F6">
        <v>1</v>
      </c>
      <c r="G6">
        <v>0</v>
      </c>
      <c r="H6">
        <v>7</v>
      </c>
      <c r="I6">
        <v>1</v>
      </c>
      <c r="J6">
        <v>6</v>
      </c>
      <c r="K6">
        <v>4</v>
      </c>
      <c r="L6">
        <v>0</v>
      </c>
      <c r="M6">
        <v>1</v>
      </c>
      <c r="N6" t="s">
        <v>361</v>
      </c>
      <c r="O6" t="s">
        <v>216</v>
      </c>
      <c r="P6" t="s">
        <v>96</v>
      </c>
      <c r="Q6" t="s">
        <v>144</v>
      </c>
    </row>
    <row r="7" spans="1:26" ht="14.25" customHeight="1" x14ac:dyDescent="0.25">
      <c r="A7" t="s">
        <v>76</v>
      </c>
      <c r="B7" t="s">
        <v>145</v>
      </c>
      <c r="C7" t="s">
        <v>111</v>
      </c>
      <c r="D7">
        <v>2</v>
      </c>
      <c r="E7">
        <v>0</v>
      </c>
      <c r="F7">
        <v>1</v>
      </c>
      <c r="G7">
        <v>1</v>
      </c>
      <c r="H7">
        <v>2</v>
      </c>
      <c r="I7">
        <v>5</v>
      </c>
      <c r="J7">
        <v>-3</v>
      </c>
      <c r="K7">
        <v>1</v>
      </c>
      <c r="L7">
        <v>0</v>
      </c>
      <c r="M7">
        <v>3</v>
      </c>
      <c r="N7" t="s">
        <v>362</v>
      </c>
      <c r="O7" t="s">
        <v>231</v>
      </c>
      <c r="P7" t="s">
        <v>111</v>
      </c>
      <c r="Q7" t="s">
        <v>145</v>
      </c>
    </row>
    <row r="8" spans="1:26" ht="14.25" customHeight="1" x14ac:dyDescent="0.25">
      <c r="A8" t="s">
        <v>76</v>
      </c>
      <c r="B8" t="s">
        <v>178</v>
      </c>
      <c r="C8" t="s">
        <v>121</v>
      </c>
      <c r="D8">
        <v>2</v>
      </c>
      <c r="E8">
        <v>0</v>
      </c>
      <c r="F8">
        <v>1</v>
      </c>
      <c r="G8">
        <v>1</v>
      </c>
      <c r="H8">
        <v>1</v>
      </c>
      <c r="I8">
        <v>7</v>
      </c>
      <c r="J8">
        <v>-6</v>
      </c>
      <c r="K8">
        <v>1</v>
      </c>
      <c r="L8">
        <v>0</v>
      </c>
      <c r="M8">
        <v>4</v>
      </c>
      <c r="O8" t="s">
        <v>232</v>
      </c>
      <c r="P8" t="s">
        <v>121</v>
      </c>
      <c r="Q8" t="s">
        <v>178</v>
      </c>
    </row>
    <row r="9" spans="1:26" ht="14.25" customHeight="1" x14ac:dyDescent="0.25">
      <c r="A9" t="s">
        <v>76</v>
      </c>
      <c r="B9" t="s">
        <v>143</v>
      </c>
      <c r="C9" t="s">
        <v>97</v>
      </c>
      <c r="D9">
        <v>2</v>
      </c>
      <c r="E9">
        <v>1</v>
      </c>
      <c r="F9">
        <v>1</v>
      </c>
      <c r="G9">
        <v>0</v>
      </c>
      <c r="H9">
        <v>5</v>
      </c>
      <c r="I9">
        <v>2</v>
      </c>
      <c r="J9">
        <v>3</v>
      </c>
      <c r="K9">
        <v>4</v>
      </c>
      <c r="L9">
        <v>0</v>
      </c>
      <c r="M9">
        <v>2</v>
      </c>
      <c r="N9" t="s">
        <v>361</v>
      </c>
      <c r="O9" t="s">
        <v>217</v>
      </c>
      <c r="P9" t="s">
        <v>97</v>
      </c>
      <c r="Q9" t="s">
        <v>143</v>
      </c>
    </row>
    <row r="10" spans="1:26" ht="14.25" customHeight="1" x14ac:dyDescent="0.25">
      <c r="A10" t="s">
        <v>77</v>
      </c>
      <c r="B10" t="s">
        <v>147</v>
      </c>
      <c r="C10" t="s">
        <v>98</v>
      </c>
      <c r="D10">
        <v>2</v>
      </c>
      <c r="E10">
        <v>1</v>
      </c>
      <c r="F10">
        <v>1</v>
      </c>
      <c r="G10">
        <v>0</v>
      </c>
      <c r="H10">
        <v>4</v>
      </c>
      <c r="I10">
        <v>1</v>
      </c>
      <c r="J10">
        <v>3</v>
      </c>
      <c r="K10">
        <v>4</v>
      </c>
      <c r="L10">
        <v>0</v>
      </c>
      <c r="M10">
        <v>1</v>
      </c>
      <c r="N10" t="s">
        <v>361</v>
      </c>
      <c r="O10" t="s">
        <v>228</v>
      </c>
      <c r="P10" t="s">
        <v>98</v>
      </c>
      <c r="Q10" t="s">
        <v>147</v>
      </c>
    </row>
    <row r="11" spans="1:26" ht="14.25" customHeight="1" x14ac:dyDescent="0.25">
      <c r="A11" t="s">
        <v>77</v>
      </c>
      <c r="B11" t="s">
        <v>146</v>
      </c>
      <c r="C11" t="s">
        <v>99</v>
      </c>
      <c r="D11">
        <v>2</v>
      </c>
      <c r="E11">
        <v>1</v>
      </c>
      <c r="F11">
        <v>1</v>
      </c>
      <c r="G11">
        <v>0</v>
      </c>
      <c r="H11">
        <v>2</v>
      </c>
      <c r="I11">
        <v>1</v>
      </c>
      <c r="J11">
        <v>1</v>
      </c>
      <c r="K11">
        <v>4</v>
      </c>
      <c r="L11">
        <v>0</v>
      </c>
      <c r="M11">
        <v>2</v>
      </c>
      <c r="N11" t="s">
        <v>361</v>
      </c>
      <c r="O11" t="s">
        <v>229</v>
      </c>
      <c r="P11" t="s">
        <v>99</v>
      </c>
      <c r="Q11" t="s">
        <v>146</v>
      </c>
    </row>
    <row r="12" spans="1:26" ht="14.25" customHeight="1" x14ac:dyDescent="0.25">
      <c r="A12" t="s">
        <v>77</v>
      </c>
      <c r="B12" t="s">
        <v>187</v>
      </c>
      <c r="C12" t="s">
        <v>125</v>
      </c>
      <c r="D12">
        <v>2</v>
      </c>
      <c r="E12">
        <v>0</v>
      </c>
      <c r="F12">
        <v>0</v>
      </c>
      <c r="G12">
        <v>2</v>
      </c>
      <c r="H12">
        <v>0</v>
      </c>
      <c r="I12">
        <v>4</v>
      </c>
      <c r="J12">
        <v>-4</v>
      </c>
      <c r="K12">
        <v>0</v>
      </c>
      <c r="L12">
        <v>0</v>
      </c>
      <c r="M12">
        <v>4</v>
      </c>
      <c r="O12" t="s">
        <v>223</v>
      </c>
      <c r="P12" t="s">
        <v>125</v>
      </c>
      <c r="Q12" t="s">
        <v>187</v>
      </c>
    </row>
    <row r="13" spans="1:26" ht="14.25" customHeight="1" x14ac:dyDescent="0.25">
      <c r="A13" t="s">
        <v>77</v>
      </c>
      <c r="B13" t="s">
        <v>148</v>
      </c>
      <c r="C13" t="s">
        <v>112</v>
      </c>
      <c r="D13">
        <v>2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3</v>
      </c>
      <c r="L13">
        <v>0</v>
      </c>
      <c r="M13">
        <v>3</v>
      </c>
      <c r="N13" t="s">
        <v>362</v>
      </c>
      <c r="O13" t="s">
        <v>222</v>
      </c>
      <c r="P13" t="s">
        <v>112</v>
      </c>
      <c r="Q13" t="s">
        <v>148</v>
      </c>
    </row>
    <row r="14" spans="1:26" ht="14.25" customHeight="1" x14ac:dyDescent="0.25">
      <c r="A14" t="s">
        <v>78</v>
      </c>
      <c r="B14" t="s">
        <v>151</v>
      </c>
      <c r="C14" t="s">
        <v>100</v>
      </c>
      <c r="D14">
        <v>2</v>
      </c>
      <c r="E14">
        <v>2</v>
      </c>
      <c r="F14">
        <v>0</v>
      </c>
      <c r="G14">
        <v>0</v>
      </c>
      <c r="H14">
        <v>6</v>
      </c>
      <c r="I14">
        <v>1</v>
      </c>
      <c r="J14">
        <v>5</v>
      </c>
      <c r="K14">
        <v>6</v>
      </c>
      <c r="L14">
        <v>0</v>
      </c>
      <c r="M14">
        <v>1</v>
      </c>
      <c r="N14" t="s">
        <v>361</v>
      </c>
      <c r="O14" t="s">
        <v>219</v>
      </c>
      <c r="P14" t="s">
        <v>100</v>
      </c>
      <c r="Q14" t="s">
        <v>151</v>
      </c>
    </row>
    <row r="15" spans="1:26" ht="14.25" customHeight="1" x14ac:dyDescent="0.25">
      <c r="A15" t="s">
        <v>78</v>
      </c>
      <c r="B15" t="s">
        <v>149</v>
      </c>
      <c r="C15" t="s">
        <v>113</v>
      </c>
      <c r="D15">
        <v>2</v>
      </c>
      <c r="E15">
        <v>1</v>
      </c>
      <c r="F15">
        <v>0</v>
      </c>
      <c r="G15">
        <v>1</v>
      </c>
      <c r="H15">
        <v>2</v>
      </c>
      <c r="I15">
        <v>4</v>
      </c>
      <c r="J15">
        <v>-2</v>
      </c>
      <c r="K15">
        <v>3</v>
      </c>
      <c r="L15">
        <v>0</v>
      </c>
      <c r="M15">
        <v>3</v>
      </c>
      <c r="N15" t="s">
        <v>362</v>
      </c>
      <c r="O15" t="s">
        <v>225</v>
      </c>
      <c r="P15" t="s">
        <v>113</v>
      </c>
      <c r="Q15" t="s">
        <v>149</v>
      </c>
    </row>
    <row r="16" spans="1:26" ht="14.25" customHeight="1" x14ac:dyDescent="0.25">
      <c r="A16" t="s">
        <v>78</v>
      </c>
      <c r="B16" t="s">
        <v>181</v>
      </c>
      <c r="C16" t="s">
        <v>101</v>
      </c>
      <c r="D16">
        <v>2</v>
      </c>
      <c r="E16">
        <v>1</v>
      </c>
      <c r="F16">
        <v>0</v>
      </c>
      <c r="G16">
        <v>1</v>
      </c>
      <c r="H16">
        <v>2</v>
      </c>
      <c r="I16">
        <v>2</v>
      </c>
      <c r="J16">
        <v>0</v>
      </c>
      <c r="K16">
        <v>3</v>
      </c>
      <c r="L16">
        <v>0</v>
      </c>
      <c r="M16">
        <v>2</v>
      </c>
      <c r="N16" t="s">
        <v>361</v>
      </c>
      <c r="O16" t="s">
        <v>220</v>
      </c>
      <c r="P16" t="s">
        <v>101</v>
      </c>
      <c r="Q16" t="s">
        <v>181</v>
      </c>
    </row>
    <row r="17" spans="1:17" ht="14.25" customHeight="1" x14ac:dyDescent="0.25">
      <c r="A17" t="s">
        <v>78</v>
      </c>
      <c r="B17" t="s">
        <v>150</v>
      </c>
      <c r="C17" t="s">
        <v>114</v>
      </c>
      <c r="D17">
        <v>2</v>
      </c>
      <c r="E17">
        <v>0</v>
      </c>
      <c r="F17">
        <v>0</v>
      </c>
      <c r="G17">
        <v>2</v>
      </c>
      <c r="H17">
        <v>0</v>
      </c>
      <c r="I17">
        <v>3</v>
      </c>
      <c r="J17">
        <v>-3</v>
      </c>
      <c r="K17">
        <v>0</v>
      </c>
      <c r="L17">
        <v>0</v>
      </c>
      <c r="M17">
        <v>4</v>
      </c>
      <c r="O17" t="s">
        <v>226</v>
      </c>
      <c r="P17" t="s">
        <v>114</v>
      </c>
      <c r="Q17" t="s">
        <v>150</v>
      </c>
    </row>
    <row r="18" spans="1:17" ht="14.25" customHeight="1" x14ac:dyDescent="0.25">
      <c r="A18" t="s">
        <v>79</v>
      </c>
      <c r="B18" t="s">
        <v>152</v>
      </c>
      <c r="C18" t="s">
        <v>102</v>
      </c>
      <c r="D18">
        <v>2</v>
      </c>
      <c r="E18">
        <v>2</v>
      </c>
      <c r="F18">
        <v>0</v>
      </c>
      <c r="G18">
        <v>0</v>
      </c>
      <c r="H18">
        <v>9</v>
      </c>
      <c r="I18">
        <v>2</v>
      </c>
      <c r="J18">
        <v>7</v>
      </c>
      <c r="K18">
        <v>6</v>
      </c>
      <c r="L18">
        <v>0</v>
      </c>
      <c r="M18">
        <v>1</v>
      </c>
      <c r="N18" t="s">
        <v>361</v>
      </c>
      <c r="O18" t="s">
        <v>237</v>
      </c>
      <c r="P18" t="s">
        <v>102</v>
      </c>
      <c r="Q18" t="s">
        <v>152</v>
      </c>
    </row>
    <row r="19" spans="1:17" ht="14.25" customHeight="1" x14ac:dyDescent="0.25">
      <c r="A19" t="s">
        <v>79</v>
      </c>
      <c r="B19" t="s">
        <v>179</v>
      </c>
      <c r="C19" t="s">
        <v>122</v>
      </c>
      <c r="D19">
        <v>2</v>
      </c>
      <c r="E19">
        <v>0</v>
      </c>
      <c r="F19">
        <v>1</v>
      </c>
      <c r="G19">
        <v>1</v>
      </c>
      <c r="H19">
        <v>1</v>
      </c>
      <c r="I19">
        <v>7</v>
      </c>
      <c r="J19">
        <v>-6</v>
      </c>
      <c r="K19">
        <v>1</v>
      </c>
      <c r="L19">
        <v>0</v>
      </c>
      <c r="M19">
        <v>4</v>
      </c>
      <c r="O19" t="s">
        <v>235</v>
      </c>
      <c r="P19" t="s">
        <v>122</v>
      </c>
      <c r="Q19" t="s">
        <v>179</v>
      </c>
    </row>
    <row r="20" spans="1:17" ht="14.25" customHeight="1" x14ac:dyDescent="0.25">
      <c r="A20" t="s">
        <v>79</v>
      </c>
      <c r="B20" t="s">
        <v>154</v>
      </c>
      <c r="C20" t="s">
        <v>103</v>
      </c>
      <c r="D20">
        <v>2</v>
      </c>
      <c r="E20">
        <v>1</v>
      </c>
      <c r="F20">
        <v>0</v>
      </c>
      <c r="G20">
        <v>1</v>
      </c>
      <c r="H20">
        <v>2</v>
      </c>
      <c r="I20">
        <v>2</v>
      </c>
      <c r="J20">
        <v>0</v>
      </c>
      <c r="K20">
        <v>3</v>
      </c>
      <c r="L20">
        <v>0</v>
      </c>
      <c r="M20">
        <v>2</v>
      </c>
      <c r="N20" t="s">
        <v>361</v>
      </c>
      <c r="O20" t="s">
        <v>238</v>
      </c>
      <c r="P20" t="s">
        <v>103</v>
      </c>
      <c r="Q20" t="s">
        <v>154</v>
      </c>
    </row>
    <row r="21" spans="1:17" ht="14.25" customHeight="1" x14ac:dyDescent="0.25">
      <c r="A21" t="s">
        <v>79</v>
      </c>
      <c r="B21" t="s">
        <v>153</v>
      </c>
      <c r="C21" t="s">
        <v>115</v>
      </c>
      <c r="D21">
        <v>2</v>
      </c>
      <c r="E21">
        <v>0</v>
      </c>
      <c r="F21">
        <v>1</v>
      </c>
      <c r="G21">
        <v>1</v>
      </c>
      <c r="H21">
        <v>0</v>
      </c>
      <c r="I21">
        <v>1</v>
      </c>
      <c r="J21">
        <v>-1</v>
      </c>
      <c r="K21">
        <v>1</v>
      </c>
      <c r="L21">
        <v>0</v>
      </c>
      <c r="M21">
        <v>3</v>
      </c>
      <c r="N21" t="s">
        <v>362</v>
      </c>
      <c r="O21" t="s">
        <v>234</v>
      </c>
      <c r="P21" t="s">
        <v>115</v>
      </c>
      <c r="Q21" t="s">
        <v>153</v>
      </c>
    </row>
    <row r="22" spans="1:17" ht="14.25" customHeight="1" x14ac:dyDescent="0.25">
      <c r="A22" t="s">
        <v>80</v>
      </c>
      <c r="B22" t="s">
        <v>155</v>
      </c>
      <c r="C22" t="s">
        <v>104</v>
      </c>
      <c r="D22">
        <v>2</v>
      </c>
      <c r="E22">
        <v>1</v>
      </c>
      <c r="F22">
        <v>1</v>
      </c>
      <c r="G22">
        <v>0</v>
      </c>
      <c r="H22">
        <v>7</v>
      </c>
      <c r="I22">
        <v>3</v>
      </c>
      <c r="J22">
        <v>4</v>
      </c>
      <c r="K22">
        <v>4</v>
      </c>
      <c r="L22">
        <v>0</v>
      </c>
      <c r="M22">
        <v>1</v>
      </c>
      <c r="N22" t="s">
        <v>361</v>
      </c>
      <c r="O22" t="s">
        <v>240</v>
      </c>
      <c r="P22" t="s">
        <v>104</v>
      </c>
      <c r="Q22" t="s">
        <v>155</v>
      </c>
    </row>
    <row r="23" spans="1:17" ht="14.25" customHeight="1" x14ac:dyDescent="0.25">
      <c r="A23" t="s">
        <v>80</v>
      </c>
      <c r="B23" t="s">
        <v>156</v>
      </c>
      <c r="C23" t="s">
        <v>105</v>
      </c>
      <c r="D23">
        <v>2</v>
      </c>
      <c r="E23">
        <v>1</v>
      </c>
      <c r="F23">
        <v>1</v>
      </c>
      <c r="G23">
        <v>0</v>
      </c>
      <c r="H23">
        <v>6</v>
      </c>
      <c r="I23">
        <v>2</v>
      </c>
      <c r="J23">
        <v>4</v>
      </c>
      <c r="K23">
        <v>4</v>
      </c>
      <c r="L23">
        <v>0</v>
      </c>
      <c r="M23">
        <v>2</v>
      </c>
      <c r="N23" t="s">
        <v>361</v>
      </c>
      <c r="O23" t="s">
        <v>241</v>
      </c>
      <c r="P23" t="s">
        <v>105</v>
      </c>
      <c r="Q23" t="s">
        <v>156</v>
      </c>
    </row>
    <row r="24" spans="1:17" ht="14.25" customHeight="1" x14ac:dyDescent="0.25">
      <c r="A24" t="s">
        <v>80</v>
      </c>
      <c r="B24" t="s">
        <v>157</v>
      </c>
      <c r="C24" t="s">
        <v>116</v>
      </c>
      <c r="D24">
        <v>2</v>
      </c>
      <c r="E24">
        <v>1</v>
      </c>
      <c r="F24">
        <v>0</v>
      </c>
      <c r="G24">
        <v>1</v>
      </c>
      <c r="H24">
        <v>6</v>
      </c>
      <c r="I24">
        <v>6</v>
      </c>
      <c r="J24">
        <v>0</v>
      </c>
      <c r="K24">
        <v>3</v>
      </c>
      <c r="L24">
        <v>0</v>
      </c>
      <c r="M24">
        <v>3</v>
      </c>
      <c r="N24" t="s">
        <v>362</v>
      </c>
      <c r="O24" t="s">
        <v>243</v>
      </c>
      <c r="P24" t="s">
        <v>116</v>
      </c>
      <c r="Q24" t="s">
        <v>157</v>
      </c>
    </row>
    <row r="25" spans="1:17" ht="14.25" customHeight="1" x14ac:dyDescent="0.25">
      <c r="A25" t="s">
        <v>80</v>
      </c>
      <c r="B25" t="s">
        <v>183</v>
      </c>
      <c r="C25" t="s">
        <v>124</v>
      </c>
      <c r="D25">
        <v>2</v>
      </c>
      <c r="E25">
        <v>0</v>
      </c>
      <c r="F25">
        <v>0</v>
      </c>
      <c r="G25">
        <v>2</v>
      </c>
      <c r="H25">
        <v>1</v>
      </c>
      <c r="I25">
        <v>9</v>
      </c>
      <c r="J25">
        <v>-8</v>
      </c>
      <c r="K25">
        <v>0</v>
      </c>
      <c r="L25">
        <v>0</v>
      </c>
      <c r="M25">
        <v>4</v>
      </c>
      <c r="O25" t="s">
        <v>244</v>
      </c>
      <c r="P25" t="s">
        <v>124</v>
      </c>
      <c r="Q25" t="s">
        <v>183</v>
      </c>
    </row>
    <row r="26" spans="1:17" ht="14.25" customHeight="1" x14ac:dyDescent="0.25">
      <c r="A26" t="s">
        <v>81</v>
      </c>
      <c r="B26" t="s">
        <v>158</v>
      </c>
      <c r="C26" t="s">
        <v>68</v>
      </c>
      <c r="D26">
        <v>2</v>
      </c>
      <c r="E26">
        <v>0</v>
      </c>
      <c r="F26">
        <v>2</v>
      </c>
      <c r="G26">
        <v>0</v>
      </c>
      <c r="H26">
        <v>1</v>
      </c>
      <c r="I26">
        <v>1</v>
      </c>
      <c r="J26">
        <v>0</v>
      </c>
      <c r="K26">
        <v>2</v>
      </c>
      <c r="L26">
        <v>0</v>
      </c>
      <c r="M26">
        <v>3</v>
      </c>
      <c r="N26" t="s">
        <v>362</v>
      </c>
      <c r="O26" t="s">
        <v>251</v>
      </c>
      <c r="P26" t="s">
        <v>68</v>
      </c>
      <c r="Q26" t="s">
        <v>158</v>
      </c>
    </row>
    <row r="27" spans="1:17" ht="14.25" customHeight="1" x14ac:dyDescent="0.25">
      <c r="A27" t="s">
        <v>81</v>
      </c>
      <c r="B27" t="s">
        <v>159</v>
      </c>
      <c r="C27" t="s">
        <v>73</v>
      </c>
      <c r="D27">
        <v>2</v>
      </c>
      <c r="E27">
        <v>1</v>
      </c>
      <c r="F27">
        <v>1</v>
      </c>
      <c r="G27">
        <v>0</v>
      </c>
      <c r="H27">
        <v>4</v>
      </c>
      <c r="I27">
        <v>2</v>
      </c>
      <c r="J27">
        <v>2</v>
      </c>
      <c r="K27">
        <v>4</v>
      </c>
      <c r="L27">
        <v>0</v>
      </c>
      <c r="M27">
        <v>1</v>
      </c>
      <c r="N27" t="s">
        <v>361</v>
      </c>
      <c r="O27" t="s">
        <v>254</v>
      </c>
      <c r="P27" t="s">
        <v>73</v>
      </c>
      <c r="Q27" t="s">
        <v>159</v>
      </c>
    </row>
    <row r="28" spans="1:17" ht="14.25" customHeight="1" x14ac:dyDescent="0.25">
      <c r="A28" t="s">
        <v>81</v>
      </c>
      <c r="B28" t="s">
        <v>160</v>
      </c>
      <c r="C28" t="s">
        <v>69</v>
      </c>
      <c r="D28">
        <v>2</v>
      </c>
      <c r="E28">
        <v>0</v>
      </c>
      <c r="F28">
        <v>2</v>
      </c>
      <c r="G28">
        <v>0</v>
      </c>
      <c r="H28">
        <v>2</v>
      </c>
      <c r="I28">
        <v>2</v>
      </c>
      <c r="J28">
        <v>0</v>
      </c>
      <c r="K28">
        <v>2</v>
      </c>
      <c r="L28">
        <v>0</v>
      </c>
      <c r="M28">
        <v>2</v>
      </c>
      <c r="N28" t="s">
        <v>361</v>
      </c>
      <c r="O28" t="s">
        <v>255</v>
      </c>
      <c r="P28" t="s">
        <v>69</v>
      </c>
      <c r="Q28" t="s">
        <v>160</v>
      </c>
    </row>
    <row r="29" spans="1:17" ht="14.25" customHeight="1" x14ac:dyDescent="0.25">
      <c r="A29" t="s">
        <v>81</v>
      </c>
      <c r="B29" t="s">
        <v>182</v>
      </c>
      <c r="C29" t="s">
        <v>72</v>
      </c>
      <c r="D29">
        <v>2</v>
      </c>
      <c r="E29">
        <v>0</v>
      </c>
      <c r="F29">
        <v>1</v>
      </c>
      <c r="G29">
        <v>1</v>
      </c>
      <c r="H29">
        <v>3</v>
      </c>
      <c r="I29">
        <v>5</v>
      </c>
      <c r="J29">
        <v>-2</v>
      </c>
      <c r="K29">
        <v>1</v>
      </c>
      <c r="L29">
        <v>0</v>
      </c>
      <c r="M29">
        <v>4</v>
      </c>
      <c r="O29" t="s">
        <v>252</v>
      </c>
      <c r="P29" t="s">
        <v>72</v>
      </c>
      <c r="Q29" t="s">
        <v>182</v>
      </c>
    </row>
    <row r="30" spans="1:17" ht="14.25" customHeight="1" x14ac:dyDescent="0.25">
      <c r="A30" t="s">
        <v>82</v>
      </c>
      <c r="B30" t="s">
        <v>161</v>
      </c>
      <c r="C30" t="s">
        <v>66</v>
      </c>
      <c r="D30">
        <v>2</v>
      </c>
      <c r="E30">
        <v>1</v>
      </c>
      <c r="F30">
        <v>1</v>
      </c>
      <c r="G30">
        <v>0</v>
      </c>
      <c r="H30">
        <v>4</v>
      </c>
      <c r="I30">
        <v>0</v>
      </c>
      <c r="J30">
        <v>4</v>
      </c>
      <c r="K30">
        <v>4</v>
      </c>
      <c r="L30">
        <v>0</v>
      </c>
      <c r="M30">
        <v>1</v>
      </c>
      <c r="N30" t="s">
        <v>361</v>
      </c>
      <c r="O30" t="s">
        <v>249</v>
      </c>
      <c r="P30" t="s">
        <v>66</v>
      </c>
      <c r="Q30" t="s">
        <v>161</v>
      </c>
    </row>
    <row r="31" spans="1:17" ht="14.25" customHeight="1" x14ac:dyDescent="0.25">
      <c r="A31" t="s">
        <v>82</v>
      </c>
      <c r="B31" t="s">
        <v>184</v>
      </c>
      <c r="C31" t="s">
        <v>71</v>
      </c>
      <c r="D31">
        <v>2</v>
      </c>
      <c r="E31">
        <v>0</v>
      </c>
      <c r="F31">
        <v>2</v>
      </c>
      <c r="G31">
        <v>0</v>
      </c>
      <c r="H31">
        <v>2</v>
      </c>
      <c r="I31">
        <v>2</v>
      </c>
      <c r="J31">
        <v>0</v>
      </c>
      <c r="K31">
        <v>2</v>
      </c>
      <c r="L31">
        <v>0</v>
      </c>
      <c r="M31">
        <v>3</v>
      </c>
      <c r="N31" t="s">
        <v>362</v>
      </c>
      <c r="O31" t="s">
        <v>246</v>
      </c>
      <c r="P31" t="s">
        <v>71</v>
      </c>
      <c r="Q31" t="s">
        <v>184</v>
      </c>
    </row>
    <row r="32" spans="1:17" ht="14.25" customHeight="1" x14ac:dyDescent="0.25">
      <c r="A32" t="s">
        <v>82</v>
      </c>
      <c r="B32" t="s">
        <v>163</v>
      </c>
      <c r="C32" t="s">
        <v>67</v>
      </c>
      <c r="D32">
        <v>2</v>
      </c>
      <c r="E32">
        <v>0</v>
      </c>
      <c r="F32">
        <v>1</v>
      </c>
      <c r="G32">
        <v>1</v>
      </c>
      <c r="H32">
        <v>1</v>
      </c>
      <c r="I32">
        <v>5</v>
      </c>
      <c r="J32">
        <v>-4</v>
      </c>
      <c r="K32">
        <v>1</v>
      </c>
      <c r="L32">
        <v>0</v>
      </c>
      <c r="M32">
        <v>4</v>
      </c>
      <c r="O32" t="s">
        <v>247</v>
      </c>
      <c r="P32" t="s">
        <v>67</v>
      </c>
      <c r="Q32" t="s">
        <v>163</v>
      </c>
    </row>
    <row r="33" spans="1:17" ht="14.25" customHeight="1" x14ac:dyDescent="0.25">
      <c r="A33" t="s">
        <v>82</v>
      </c>
      <c r="B33" t="s">
        <v>162</v>
      </c>
      <c r="C33" t="s">
        <v>70</v>
      </c>
      <c r="D33">
        <v>2</v>
      </c>
      <c r="E33">
        <v>0</v>
      </c>
      <c r="F33">
        <v>2</v>
      </c>
      <c r="G33">
        <v>0</v>
      </c>
      <c r="H33">
        <v>3</v>
      </c>
      <c r="I33">
        <v>3</v>
      </c>
      <c r="J33">
        <v>0</v>
      </c>
      <c r="K33">
        <v>2</v>
      </c>
      <c r="L33">
        <v>0</v>
      </c>
      <c r="M33">
        <v>2</v>
      </c>
      <c r="N33" t="s">
        <v>361</v>
      </c>
      <c r="O33" t="s">
        <v>250</v>
      </c>
      <c r="P33" t="s">
        <v>70</v>
      </c>
      <c r="Q33" t="s">
        <v>162</v>
      </c>
    </row>
    <row r="34" spans="1:17" ht="14.25" customHeight="1" x14ac:dyDescent="0.25">
      <c r="A34" t="s">
        <v>83</v>
      </c>
      <c r="B34" t="s">
        <v>164</v>
      </c>
      <c r="C34" t="s">
        <v>35</v>
      </c>
      <c r="D34">
        <v>2</v>
      </c>
      <c r="E34">
        <v>2</v>
      </c>
      <c r="F34">
        <v>0</v>
      </c>
      <c r="G34">
        <v>0</v>
      </c>
      <c r="H34">
        <v>6</v>
      </c>
      <c r="I34">
        <v>1</v>
      </c>
      <c r="J34">
        <v>5</v>
      </c>
      <c r="K34">
        <v>6</v>
      </c>
      <c r="L34">
        <v>0</v>
      </c>
      <c r="M34">
        <v>1</v>
      </c>
      <c r="N34" t="s">
        <v>361</v>
      </c>
      <c r="O34" t="s">
        <v>256</v>
      </c>
      <c r="P34" t="s">
        <v>35</v>
      </c>
      <c r="Q34" t="s">
        <v>164</v>
      </c>
    </row>
    <row r="35" spans="1:17" ht="14.25" customHeight="1" x14ac:dyDescent="0.25">
      <c r="A35" t="s">
        <v>83</v>
      </c>
      <c r="B35" t="s">
        <v>166</v>
      </c>
      <c r="C35" t="s">
        <v>45</v>
      </c>
      <c r="D35">
        <v>2</v>
      </c>
      <c r="E35">
        <v>0</v>
      </c>
      <c r="F35">
        <v>0</v>
      </c>
      <c r="G35">
        <v>2</v>
      </c>
      <c r="H35">
        <v>1</v>
      </c>
      <c r="I35">
        <v>4</v>
      </c>
      <c r="J35">
        <v>-3</v>
      </c>
      <c r="K35">
        <v>0</v>
      </c>
      <c r="L35">
        <v>0</v>
      </c>
      <c r="M35">
        <v>3</v>
      </c>
      <c r="N35" t="s">
        <v>362</v>
      </c>
      <c r="O35" t="s">
        <v>258</v>
      </c>
      <c r="P35" t="s">
        <v>45</v>
      </c>
      <c r="Q35" t="s">
        <v>166</v>
      </c>
    </row>
    <row r="36" spans="1:17" ht="14.25" customHeight="1" x14ac:dyDescent="0.25">
      <c r="A36" t="s">
        <v>83</v>
      </c>
      <c r="B36" t="s">
        <v>185</v>
      </c>
      <c r="C36" t="s">
        <v>36</v>
      </c>
      <c r="D36">
        <v>2</v>
      </c>
      <c r="E36">
        <v>0</v>
      </c>
      <c r="F36">
        <v>0</v>
      </c>
      <c r="G36">
        <v>2</v>
      </c>
      <c r="H36">
        <v>1</v>
      </c>
      <c r="I36">
        <v>7</v>
      </c>
      <c r="J36">
        <v>-6</v>
      </c>
      <c r="K36">
        <v>0</v>
      </c>
      <c r="L36">
        <v>0</v>
      </c>
      <c r="M36">
        <v>4</v>
      </c>
      <c r="O36" t="s">
        <v>259</v>
      </c>
      <c r="P36" t="s">
        <v>36</v>
      </c>
      <c r="Q36" t="s">
        <v>185</v>
      </c>
    </row>
    <row r="37" spans="1:17" ht="14.25" customHeight="1" x14ac:dyDescent="0.25">
      <c r="A37" t="s">
        <v>83</v>
      </c>
      <c r="B37" t="s">
        <v>165</v>
      </c>
      <c r="C37" t="s">
        <v>44</v>
      </c>
      <c r="D37">
        <v>2</v>
      </c>
      <c r="E37">
        <v>2</v>
      </c>
      <c r="F37">
        <v>0</v>
      </c>
      <c r="G37">
        <v>0</v>
      </c>
      <c r="H37">
        <v>5</v>
      </c>
      <c r="I37">
        <v>1</v>
      </c>
      <c r="J37">
        <v>4</v>
      </c>
      <c r="K37">
        <v>6</v>
      </c>
      <c r="L37">
        <v>0</v>
      </c>
      <c r="M37">
        <v>2</v>
      </c>
      <c r="N37" t="s">
        <v>361</v>
      </c>
      <c r="O37" t="s">
        <v>257</v>
      </c>
      <c r="P37" t="s">
        <v>44</v>
      </c>
      <c r="Q37" t="s">
        <v>165</v>
      </c>
    </row>
    <row r="38" spans="1:17" ht="14.25" customHeight="1" x14ac:dyDescent="0.25">
      <c r="A38" t="s">
        <v>84</v>
      </c>
      <c r="B38" t="s">
        <v>167</v>
      </c>
      <c r="C38" t="s">
        <v>23</v>
      </c>
      <c r="D38">
        <v>2</v>
      </c>
      <c r="E38">
        <v>2</v>
      </c>
      <c r="F38">
        <v>0</v>
      </c>
      <c r="G38">
        <v>0</v>
      </c>
      <c r="H38">
        <v>5</v>
      </c>
      <c r="I38">
        <v>0</v>
      </c>
      <c r="J38">
        <v>5</v>
      </c>
      <c r="K38">
        <v>6</v>
      </c>
      <c r="L38">
        <v>0</v>
      </c>
      <c r="M38">
        <v>1</v>
      </c>
      <c r="N38" t="s">
        <v>361</v>
      </c>
      <c r="O38" t="s">
        <v>261</v>
      </c>
      <c r="P38" t="s">
        <v>23</v>
      </c>
      <c r="Q38" t="s">
        <v>167</v>
      </c>
    </row>
    <row r="39" spans="1:17" ht="14.25" customHeight="1" x14ac:dyDescent="0.25">
      <c r="A39" t="s">
        <v>84</v>
      </c>
      <c r="B39" t="s">
        <v>169</v>
      </c>
      <c r="C39" t="s">
        <v>57</v>
      </c>
      <c r="D39">
        <v>2</v>
      </c>
      <c r="E39">
        <v>0</v>
      </c>
      <c r="F39">
        <v>0</v>
      </c>
      <c r="G39">
        <v>2</v>
      </c>
      <c r="H39">
        <v>0</v>
      </c>
      <c r="I39">
        <v>3</v>
      </c>
      <c r="J39">
        <v>-3</v>
      </c>
      <c r="K39">
        <v>0</v>
      </c>
      <c r="L39">
        <v>0</v>
      </c>
      <c r="M39">
        <v>4</v>
      </c>
      <c r="O39" t="s">
        <v>264</v>
      </c>
      <c r="P39" t="s">
        <v>57</v>
      </c>
      <c r="Q39" t="s">
        <v>169</v>
      </c>
    </row>
    <row r="40" spans="1:17" ht="14.25" customHeight="1" x14ac:dyDescent="0.25">
      <c r="A40" t="s">
        <v>84</v>
      </c>
      <c r="B40" t="s">
        <v>168</v>
      </c>
      <c r="C40" t="s">
        <v>24</v>
      </c>
      <c r="D40">
        <v>2</v>
      </c>
      <c r="E40">
        <v>1</v>
      </c>
      <c r="F40">
        <v>0</v>
      </c>
      <c r="G40">
        <v>1</v>
      </c>
      <c r="H40">
        <v>3</v>
      </c>
      <c r="I40">
        <v>3</v>
      </c>
      <c r="J40">
        <v>0</v>
      </c>
      <c r="K40">
        <v>3</v>
      </c>
      <c r="L40">
        <v>0</v>
      </c>
      <c r="M40">
        <v>2</v>
      </c>
      <c r="N40" t="s">
        <v>361</v>
      </c>
      <c r="O40" t="s">
        <v>262</v>
      </c>
      <c r="P40" t="s">
        <v>24</v>
      </c>
      <c r="Q40" t="s">
        <v>168</v>
      </c>
    </row>
    <row r="41" spans="1:17" ht="14.25" customHeight="1" x14ac:dyDescent="0.25">
      <c r="A41" t="s">
        <v>84</v>
      </c>
      <c r="B41" t="s">
        <v>186</v>
      </c>
      <c r="C41" t="s">
        <v>56</v>
      </c>
      <c r="D41">
        <v>2</v>
      </c>
      <c r="E41">
        <v>0</v>
      </c>
      <c r="F41">
        <v>0</v>
      </c>
      <c r="G41">
        <v>2</v>
      </c>
      <c r="H41">
        <v>1</v>
      </c>
      <c r="I41">
        <v>3</v>
      </c>
      <c r="J41">
        <v>-2</v>
      </c>
      <c r="K41">
        <v>0</v>
      </c>
      <c r="L41">
        <v>0</v>
      </c>
      <c r="M41">
        <v>3</v>
      </c>
      <c r="N41" t="s">
        <v>362</v>
      </c>
      <c r="O41" t="s">
        <v>263</v>
      </c>
      <c r="P41" t="s">
        <v>56</v>
      </c>
      <c r="Q41" t="s">
        <v>186</v>
      </c>
    </row>
    <row r="42" spans="1:17" ht="14.25" customHeight="1" x14ac:dyDescent="0.25">
      <c r="A42" t="s">
        <v>85</v>
      </c>
      <c r="B42" t="s">
        <v>170</v>
      </c>
      <c r="C42" t="s">
        <v>107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2</v>
      </c>
      <c r="N42" t="s">
        <v>361</v>
      </c>
      <c r="O42" t="s">
        <v>270</v>
      </c>
      <c r="P42" t="s">
        <v>107</v>
      </c>
      <c r="Q42" t="s">
        <v>170</v>
      </c>
    </row>
    <row r="43" spans="1:17" ht="14.25" customHeight="1" x14ac:dyDescent="0.25">
      <c r="A43" t="s">
        <v>85</v>
      </c>
      <c r="B43" t="s">
        <v>172</v>
      </c>
      <c r="C43" t="s">
        <v>117</v>
      </c>
      <c r="D43">
        <v>1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3</v>
      </c>
      <c r="N43" t="s">
        <v>362</v>
      </c>
      <c r="O43" t="s">
        <v>271</v>
      </c>
      <c r="P43" t="s">
        <v>117</v>
      </c>
      <c r="Q43" t="s">
        <v>172</v>
      </c>
    </row>
    <row r="44" spans="1:17" ht="14.25" customHeight="1" x14ac:dyDescent="0.25">
      <c r="A44" t="s">
        <v>85</v>
      </c>
      <c r="B44" t="s">
        <v>180</v>
      </c>
      <c r="C44" t="s">
        <v>123</v>
      </c>
      <c r="D44">
        <v>1</v>
      </c>
      <c r="E44">
        <v>0</v>
      </c>
      <c r="F44">
        <v>0</v>
      </c>
      <c r="G44">
        <v>1</v>
      </c>
      <c r="H44">
        <v>1</v>
      </c>
      <c r="I44">
        <v>3</v>
      </c>
      <c r="J44">
        <v>-2</v>
      </c>
      <c r="K44">
        <v>0</v>
      </c>
      <c r="L44">
        <v>0</v>
      </c>
      <c r="M44">
        <v>4</v>
      </c>
      <c r="O44" t="s">
        <v>272</v>
      </c>
      <c r="P44" t="s">
        <v>123</v>
      </c>
      <c r="Q44" t="s">
        <v>180</v>
      </c>
    </row>
    <row r="45" spans="1:17" ht="14.25" customHeight="1" x14ac:dyDescent="0.25">
      <c r="A45" t="s">
        <v>85</v>
      </c>
      <c r="B45" t="s">
        <v>171</v>
      </c>
      <c r="C45" t="s">
        <v>106</v>
      </c>
      <c r="D45">
        <v>1</v>
      </c>
      <c r="E45">
        <v>1</v>
      </c>
      <c r="F45">
        <v>0</v>
      </c>
      <c r="G45">
        <v>0</v>
      </c>
      <c r="H45">
        <v>3</v>
      </c>
      <c r="I45">
        <v>1</v>
      </c>
      <c r="J45">
        <v>2</v>
      </c>
      <c r="K45">
        <v>3</v>
      </c>
      <c r="L45">
        <v>0</v>
      </c>
      <c r="M45">
        <v>1</v>
      </c>
      <c r="N45" t="s">
        <v>361</v>
      </c>
      <c r="O45" t="s">
        <v>269</v>
      </c>
      <c r="P45" t="s">
        <v>106</v>
      </c>
      <c r="Q45" t="s">
        <v>171</v>
      </c>
    </row>
    <row r="46" spans="1:17" ht="14.25" customHeight="1" x14ac:dyDescent="0.25">
      <c r="A46" t="s">
        <v>86</v>
      </c>
      <c r="B46" t="s">
        <v>173</v>
      </c>
      <c r="C46" t="s">
        <v>108</v>
      </c>
      <c r="D46">
        <v>1</v>
      </c>
      <c r="E46">
        <v>1</v>
      </c>
      <c r="F46">
        <v>0</v>
      </c>
      <c r="G46">
        <v>0</v>
      </c>
      <c r="H46">
        <v>4</v>
      </c>
      <c r="I46">
        <v>2</v>
      </c>
      <c r="J46">
        <v>2</v>
      </c>
      <c r="K46">
        <v>3</v>
      </c>
      <c r="L46">
        <v>0</v>
      </c>
      <c r="M46">
        <v>1</v>
      </c>
      <c r="N46" t="s">
        <v>361</v>
      </c>
      <c r="O46" t="s">
        <v>267</v>
      </c>
      <c r="P46" t="s">
        <v>108</v>
      </c>
      <c r="Q46" t="s">
        <v>173</v>
      </c>
    </row>
    <row r="47" spans="1:17" ht="14.25" customHeight="1" x14ac:dyDescent="0.25">
      <c r="A47" t="s">
        <v>86</v>
      </c>
      <c r="B47" t="s">
        <v>174</v>
      </c>
      <c r="C47" t="s">
        <v>118</v>
      </c>
      <c r="D47">
        <v>1</v>
      </c>
      <c r="E47">
        <v>0</v>
      </c>
      <c r="F47">
        <v>0</v>
      </c>
      <c r="G47">
        <v>1</v>
      </c>
      <c r="H47">
        <v>2</v>
      </c>
      <c r="I47">
        <v>4</v>
      </c>
      <c r="J47">
        <v>-2</v>
      </c>
      <c r="K47">
        <v>0</v>
      </c>
      <c r="L47">
        <v>0</v>
      </c>
      <c r="M47">
        <v>4</v>
      </c>
      <c r="O47" t="s">
        <v>266</v>
      </c>
      <c r="P47" t="s">
        <v>118</v>
      </c>
      <c r="Q47" t="s">
        <v>174</v>
      </c>
    </row>
    <row r="48" spans="1:17" ht="14.25" customHeight="1" x14ac:dyDescent="0.25">
      <c r="A48" t="s">
        <v>86</v>
      </c>
      <c r="B48" t="s">
        <v>175</v>
      </c>
      <c r="C48" t="s">
        <v>109</v>
      </c>
      <c r="D48">
        <v>1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3</v>
      </c>
      <c r="L48">
        <v>0</v>
      </c>
      <c r="M48">
        <v>2</v>
      </c>
      <c r="N48" t="s">
        <v>361</v>
      </c>
      <c r="O48" t="s">
        <v>268</v>
      </c>
      <c r="P48" t="s">
        <v>109</v>
      </c>
      <c r="Q48" t="s">
        <v>175</v>
      </c>
    </row>
    <row r="49" spans="1:17" ht="14.25" customHeight="1" x14ac:dyDescent="0.25">
      <c r="A49" t="s">
        <v>86</v>
      </c>
      <c r="B49" t="s">
        <v>177</v>
      </c>
      <c r="C49" t="s">
        <v>120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-1</v>
      </c>
      <c r="K49">
        <v>0</v>
      </c>
      <c r="L49">
        <v>0</v>
      </c>
      <c r="M49">
        <v>3</v>
      </c>
      <c r="N49" t="s">
        <v>362</v>
      </c>
      <c r="O49" t="s">
        <v>265</v>
      </c>
      <c r="P49" t="s">
        <v>120</v>
      </c>
      <c r="Q49" t="s">
        <v>177</v>
      </c>
    </row>
  </sheetData>
  <pageMargins left="0.7" right="0.7" top="0.75" bottom="0.75" header="0.51" footer="0.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T49"/>
  <sheetViews>
    <sheetView showGridLines="0" workbookViewId="0">
      <selection sqref="A1:L50"/>
    </sheetView>
  </sheetViews>
  <sheetFormatPr baseColWidth="10" defaultRowHeight="15" x14ac:dyDescent="0.25"/>
  <cols>
    <col min="1" max="1" width="6" customWidth="1"/>
    <col min="2" max="2" width="8" customWidth="1"/>
    <col min="3" max="3" width="9" customWidth="1"/>
    <col min="4" max="4" width="22" customWidth="1"/>
    <col min="5" max="12" width="6" customWidth="1"/>
    <col min="14" max="20" width="13" hidden="1" customWidth="1"/>
  </cols>
  <sheetData>
    <row r="1" spans="1:20" ht="15" customHeight="1" x14ac:dyDescent="0.25">
      <c r="A1" s="35" t="s">
        <v>363</v>
      </c>
      <c r="B1" s="36" t="s">
        <v>128</v>
      </c>
      <c r="C1" s="36" t="s">
        <v>345</v>
      </c>
      <c r="D1" s="36" t="s">
        <v>346</v>
      </c>
      <c r="E1" s="36" t="s">
        <v>347</v>
      </c>
      <c r="F1" s="36" t="s">
        <v>348</v>
      </c>
      <c r="G1" s="36" t="s">
        <v>349</v>
      </c>
      <c r="H1" s="36" t="s">
        <v>350</v>
      </c>
      <c r="I1" s="36" t="s">
        <v>351</v>
      </c>
      <c r="J1" s="36" t="s">
        <v>352</v>
      </c>
      <c r="K1" s="36" t="s">
        <v>353</v>
      </c>
      <c r="L1" s="36" t="s">
        <v>354</v>
      </c>
      <c r="N1" s="37" t="s">
        <v>364</v>
      </c>
      <c r="O1" s="37" t="s">
        <v>365</v>
      </c>
      <c r="P1" s="37" t="s">
        <v>366</v>
      </c>
      <c r="Q1" s="37" t="s">
        <v>367</v>
      </c>
      <c r="R1" s="37" t="s">
        <v>368</v>
      </c>
      <c r="S1" s="37" t="s">
        <v>6</v>
      </c>
      <c r="T1" s="37" t="s">
        <v>7</v>
      </c>
    </row>
    <row r="2" spans="1:20" ht="15" customHeight="1" x14ac:dyDescent="0.25">
      <c r="A2" s="38">
        <v>1</v>
      </c>
      <c r="B2" s="40" t="s">
        <v>75</v>
      </c>
      <c r="C2" s="39" t="s">
        <v>140</v>
      </c>
      <c r="D2" s="39" t="s">
        <v>94</v>
      </c>
      <c r="E2" s="39">
        <v>2</v>
      </c>
      <c r="F2" s="39">
        <v>2</v>
      </c>
      <c r="G2" s="39">
        <v>0</v>
      </c>
      <c r="H2" s="39">
        <v>0</v>
      </c>
      <c r="I2" s="39">
        <v>3</v>
      </c>
      <c r="J2" s="39">
        <v>0</v>
      </c>
      <c r="K2" s="39">
        <v>3</v>
      </c>
      <c r="L2" s="39">
        <v>6</v>
      </c>
      <c r="N2" s="41" t="s">
        <v>140</v>
      </c>
      <c r="O2" s="41" t="s">
        <v>75</v>
      </c>
      <c r="P2" s="41">
        <v>6</v>
      </c>
      <c r="Q2" s="41">
        <v>3</v>
      </c>
      <c r="R2" s="41">
        <v>3</v>
      </c>
      <c r="S2" s="41">
        <v>6030298</v>
      </c>
      <c r="T2" s="41">
        <v>1</v>
      </c>
    </row>
    <row r="3" spans="1:20" ht="15" customHeight="1" x14ac:dyDescent="0.25">
      <c r="A3" s="42">
        <v>2</v>
      </c>
      <c r="B3" s="44" t="s">
        <v>75</v>
      </c>
      <c r="C3" s="43" t="s">
        <v>141</v>
      </c>
      <c r="D3" s="43" t="s">
        <v>95</v>
      </c>
      <c r="E3" s="43">
        <v>2</v>
      </c>
      <c r="F3" s="43">
        <v>1</v>
      </c>
      <c r="G3" s="43">
        <v>0</v>
      </c>
      <c r="H3" s="43">
        <v>1</v>
      </c>
      <c r="I3" s="43">
        <v>2</v>
      </c>
      <c r="J3" s="43">
        <v>2</v>
      </c>
      <c r="K3" s="43">
        <v>0</v>
      </c>
      <c r="L3" s="43">
        <v>3</v>
      </c>
      <c r="N3" s="41" t="s">
        <v>142</v>
      </c>
      <c r="O3" s="41" t="s">
        <v>75</v>
      </c>
      <c r="P3" s="41">
        <v>1</v>
      </c>
      <c r="Q3" s="41">
        <v>-2</v>
      </c>
      <c r="R3" s="41">
        <v>1</v>
      </c>
      <c r="S3" s="41">
        <v>980097</v>
      </c>
      <c r="T3" s="41">
        <v>4</v>
      </c>
    </row>
    <row r="4" spans="1:20" ht="15" customHeight="1" x14ac:dyDescent="0.25">
      <c r="A4" s="45">
        <v>3</v>
      </c>
      <c r="B4" s="47" t="s">
        <v>75</v>
      </c>
      <c r="C4" s="46" t="s">
        <v>176</v>
      </c>
      <c r="D4" s="46" t="s">
        <v>119</v>
      </c>
      <c r="E4" s="46">
        <v>2</v>
      </c>
      <c r="F4" s="46">
        <v>0</v>
      </c>
      <c r="G4" s="46">
        <v>1</v>
      </c>
      <c r="H4" s="46">
        <v>1</v>
      </c>
      <c r="I4" s="46">
        <v>2</v>
      </c>
      <c r="J4" s="46">
        <v>3</v>
      </c>
      <c r="K4" s="46">
        <v>-1</v>
      </c>
      <c r="L4" s="46">
        <v>1</v>
      </c>
      <c r="N4" s="41" t="s">
        <v>141</v>
      </c>
      <c r="O4" s="41" t="s">
        <v>75</v>
      </c>
      <c r="P4" s="41">
        <v>3</v>
      </c>
      <c r="Q4" s="41">
        <v>0</v>
      </c>
      <c r="R4" s="41">
        <v>2</v>
      </c>
      <c r="S4" s="41">
        <v>3000196</v>
      </c>
      <c r="T4" s="41">
        <v>2</v>
      </c>
    </row>
    <row r="5" spans="1:20" ht="15" customHeight="1" x14ac:dyDescent="0.25">
      <c r="A5" s="45">
        <v>4</v>
      </c>
      <c r="B5" s="47" t="s">
        <v>75</v>
      </c>
      <c r="C5" s="46" t="s">
        <v>142</v>
      </c>
      <c r="D5" s="46" t="s">
        <v>110</v>
      </c>
      <c r="E5" s="46">
        <v>2</v>
      </c>
      <c r="F5" s="46">
        <v>0</v>
      </c>
      <c r="G5" s="46">
        <v>1</v>
      </c>
      <c r="H5" s="46">
        <v>1</v>
      </c>
      <c r="I5" s="46">
        <v>1</v>
      </c>
      <c r="J5" s="46">
        <v>3</v>
      </c>
      <c r="K5" s="46">
        <v>-2</v>
      </c>
      <c r="L5" s="46">
        <v>1</v>
      </c>
      <c r="N5" s="41" t="s">
        <v>176</v>
      </c>
      <c r="O5" s="41" t="s">
        <v>75</v>
      </c>
      <c r="P5" s="41">
        <v>1</v>
      </c>
      <c r="Q5" s="41">
        <v>-1</v>
      </c>
      <c r="R5" s="41">
        <v>2</v>
      </c>
      <c r="S5" s="41">
        <v>990195</v>
      </c>
      <c r="T5" s="41">
        <v>3</v>
      </c>
    </row>
    <row r="6" spans="1:20" ht="15" customHeight="1" x14ac:dyDescent="0.25">
      <c r="A6" s="38">
        <v>1</v>
      </c>
      <c r="B6" s="40" t="s">
        <v>76</v>
      </c>
      <c r="C6" s="39" t="s">
        <v>144</v>
      </c>
      <c r="D6" s="39" t="s">
        <v>96</v>
      </c>
      <c r="E6" s="39">
        <v>2</v>
      </c>
      <c r="F6" s="39">
        <v>1</v>
      </c>
      <c r="G6" s="39">
        <v>1</v>
      </c>
      <c r="H6" s="39">
        <v>0</v>
      </c>
      <c r="I6" s="39">
        <v>7</v>
      </c>
      <c r="J6" s="39">
        <v>1</v>
      </c>
      <c r="K6" s="39">
        <v>6</v>
      </c>
      <c r="L6" s="39">
        <v>4</v>
      </c>
      <c r="N6" s="41" t="s">
        <v>144</v>
      </c>
      <c r="O6" s="41" t="s">
        <v>76</v>
      </c>
      <c r="P6" s="41">
        <v>4</v>
      </c>
      <c r="Q6" s="41">
        <v>6</v>
      </c>
      <c r="R6" s="41">
        <v>7</v>
      </c>
      <c r="S6" s="41">
        <v>4060694</v>
      </c>
      <c r="T6" s="41">
        <v>1</v>
      </c>
    </row>
    <row r="7" spans="1:20" ht="15" customHeight="1" x14ac:dyDescent="0.25">
      <c r="A7" s="42">
        <v>2</v>
      </c>
      <c r="B7" s="44" t="s">
        <v>76</v>
      </c>
      <c r="C7" s="43" t="s">
        <v>143</v>
      </c>
      <c r="D7" s="43" t="s">
        <v>97</v>
      </c>
      <c r="E7" s="43">
        <v>2</v>
      </c>
      <c r="F7" s="43">
        <v>1</v>
      </c>
      <c r="G7" s="43">
        <v>1</v>
      </c>
      <c r="H7" s="43">
        <v>0</v>
      </c>
      <c r="I7" s="43">
        <v>5</v>
      </c>
      <c r="J7" s="43">
        <v>2</v>
      </c>
      <c r="K7" s="43">
        <v>3</v>
      </c>
      <c r="L7" s="43">
        <v>4</v>
      </c>
      <c r="N7" s="41" t="s">
        <v>145</v>
      </c>
      <c r="O7" s="41" t="s">
        <v>76</v>
      </c>
      <c r="P7" s="41">
        <v>1</v>
      </c>
      <c r="Q7" s="41">
        <v>-3</v>
      </c>
      <c r="R7" s="41">
        <v>2</v>
      </c>
      <c r="S7" s="41">
        <v>970193</v>
      </c>
      <c r="T7" s="41">
        <v>3</v>
      </c>
    </row>
    <row r="8" spans="1:20" ht="15" customHeight="1" x14ac:dyDescent="0.25">
      <c r="A8" s="45">
        <v>3</v>
      </c>
      <c r="B8" s="47" t="s">
        <v>76</v>
      </c>
      <c r="C8" s="46" t="s">
        <v>145</v>
      </c>
      <c r="D8" s="46" t="s">
        <v>111</v>
      </c>
      <c r="E8" s="46">
        <v>2</v>
      </c>
      <c r="F8" s="46">
        <v>0</v>
      </c>
      <c r="G8" s="46">
        <v>1</v>
      </c>
      <c r="H8" s="46">
        <v>1</v>
      </c>
      <c r="I8" s="46">
        <v>2</v>
      </c>
      <c r="J8" s="46">
        <v>5</v>
      </c>
      <c r="K8" s="46">
        <v>-3</v>
      </c>
      <c r="L8" s="46">
        <v>1</v>
      </c>
      <c r="N8" s="41" t="s">
        <v>178</v>
      </c>
      <c r="O8" s="41" t="s">
        <v>76</v>
      </c>
      <c r="P8" s="41">
        <v>1</v>
      </c>
      <c r="Q8" s="41">
        <v>-6</v>
      </c>
      <c r="R8" s="41">
        <v>1</v>
      </c>
      <c r="S8" s="41">
        <v>940092</v>
      </c>
      <c r="T8" s="41">
        <v>4</v>
      </c>
    </row>
    <row r="9" spans="1:20" ht="15" customHeight="1" x14ac:dyDescent="0.25">
      <c r="A9" s="45">
        <v>4</v>
      </c>
      <c r="B9" s="47" t="s">
        <v>76</v>
      </c>
      <c r="C9" s="46" t="s">
        <v>178</v>
      </c>
      <c r="D9" s="46" t="s">
        <v>121</v>
      </c>
      <c r="E9" s="46">
        <v>2</v>
      </c>
      <c r="F9" s="46">
        <v>0</v>
      </c>
      <c r="G9" s="46">
        <v>1</v>
      </c>
      <c r="H9" s="46">
        <v>1</v>
      </c>
      <c r="I9" s="46">
        <v>1</v>
      </c>
      <c r="J9" s="46">
        <v>7</v>
      </c>
      <c r="K9" s="46">
        <v>-6</v>
      </c>
      <c r="L9" s="46">
        <v>1</v>
      </c>
      <c r="N9" s="41" t="s">
        <v>143</v>
      </c>
      <c r="O9" s="41" t="s">
        <v>76</v>
      </c>
      <c r="P9" s="41">
        <v>4</v>
      </c>
      <c r="Q9" s="41">
        <v>3</v>
      </c>
      <c r="R9" s="41">
        <v>5</v>
      </c>
      <c r="S9" s="41">
        <v>4030491</v>
      </c>
      <c r="T9" s="41">
        <v>2</v>
      </c>
    </row>
    <row r="10" spans="1:20" ht="15" customHeight="1" x14ac:dyDescent="0.25">
      <c r="A10" s="38">
        <v>1</v>
      </c>
      <c r="B10" s="40" t="s">
        <v>77</v>
      </c>
      <c r="C10" s="39" t="s">
        <v>147</v>
      </c>
      <c r="D10" s="39" t="s">
        <v>98</v>
      </c>
      <c r="E10" s="39">
        <v>2</v>
      </c>
      <c r="F10" s="39">
        <v>1</v>
      </c>
      <c r="G10" s="39">
        <v>1</v>
      </c>
      <c r="H10" s="39">
        <v>0</v>
      </c>
      <c r="I10" s="39">
        <v>4</v>
      </c>
      <c r="J10" s="39">
        <v>1</v>
      </c>
      <c r="K10" s="39">
        <v>3</v>
      </c>
      <c r="L10" s="39">
        <v>4</v>
      </c>
      <c r="N10" s="41" t="s">
        <v>147</v>
      </c>
      <c r="O10" s="41" t="s">
        <v>77</v>
      </c>
      <c r="P10" s="41">
        <v>4</v>
      </c>
      <c r="Q10" s="41">
        <v>3</v>
      </c>
      <c r="R10" s="41">
        <v>4</v>
      </c>
      <c r="S10" s="41">
        <v>4030390</v>
      </c>
      <c r="T10" s="41">
        <v>1</v>
      </c>
    </row>
    <row r="11" spans="1:20" ht="15" customHeight="1" x14ac:dyDescent="0.25">
      <c r="A11" s="42">
        <v>2</v>
      </c>
      <c r="B11" s="44" t="s">
        <v>77</v>
      </c>
      <c r="C11" s="43" t="s">
        <v>146</v>
      </c>
      <c r="D11" s="43" t="s">
        <v>99</v>
      </c>
      <c r="E11" s="43">
        <v>2</v>
      </c>
      <c r="F11" s="43">
        <v>1</v>
      </c>
      <c r="G11" s="43">
        <v>1</v>
      </c>
      <c r="H11" s="43">
        <v>0</v>
      </c>
      <c r="I11" s="43">
        <v>2</v>
      </c>
      <c r="J11" s="43">
        <v>1</v>
      </c>
      <c r="K11" s="43">
        <v>1</v>
      </c>
      <c r="L11" s="43">
        <v>4</v>
      </c>
      <c r="N11" s="41" t="s">
        <v>146</v>
      </c>
      <c r="O11" s="41" t="s">
        <v>77</v>
      </c>
      <c r="P11" s="41">
        <v>4</v>
      </c>
      <c r="Q11" s="41">
        <v>1</v>
      </c>
      <c r="R11" s="41">
        <v>2</v>
      </c>
      <c r="S11" s="41">
        <v>4010189</v>
      </c>
      <c r="T11" s="41">
        <v>2</v>
      </c>
    </row>
    <row r="12" spans="1:20" ht="15" customHeight="1" x14ac:dyDescent="0.25">
      <c r="A12" s="45">
        <v>3</v>
      </c>
      <c r="B12" s="47" t="s">
        <v>77</v>
      </c>
      <c r="C12" s="46" t="s">
        <v>148</v>
      </c>
      <c r="D12" s="46" t="s">
        <v>112</v>
      </c>
      <c r="E12" s="46">
        <v>2</v>
      </c>
      <c r="F12" s="46">
        <v>1</v>
      </c>
      <c r="G12" s="46">
        <v>0</v>
      </c>
      <c r="H12" s="46">
        <v>1</v>
      </c>
      <c r="I12" s="46">
        <v>1</v>
      </c>
      <c r="J12" s="46">
        <v>1</v>
      </c>
      <c r="K12" s="46">
        <v>0</v>
      </c>
      <c r="L12" s="46">
        <v>3</v>
      </c>
      <c r="N12" s="41" t="s">
        <v>187</v>
      </c>
      <c r="O12" s="41" t="s">
        <v>77</v>
      </c>
      <c r="P12" s="41">
        <v>0</v>
      </c>
      <c r="Q12" s="41">
        <v>-4</v>
      </c>
      <c r="R12" s="41">
        <v>0</v>
      </c>
      <c r="S12" s="41">
        <v>-40012</v>
      </c>
      <c r="T12" s="41">
        <v>4</v>
      </c>
    </row>
    <row r="13" spans="1:20" ht="15" customHeight="1" x14ac:dyDescent="0.25">
      <c r="A13" s="45">
        <v>4</v>
      </c>
      <c r="B13" s="47" t="s">
        <v>77</v>
      </c>
      <c r="C13" s="46" t="s">
        <v>187</v>
      </c>
      <c r="D13" s="46" t="s">
        <v>125</v>
      </c>
      <c r="E13" s="46">
        <v>2</v>
      </c>
      <c r="F13" s="46">
        <v>0</v>
      </c>
      <c r="G13" s="46">
        <v>0</v>
      </c>
      <c r="H13" s="46">
        <v>2</v>
      </c>
      <c r="I13" s="46">
        <v>0</v>
      </c>
      <c r="J13" s="46">
        <v>4</v>
      </c>
      <c r="K13" s="46">
        <v>-4</v>
      </c>
      <c r="L13" s="46">
        <v>0</v>
      </c>
      <c r="N13" s="41" t="s">
        <v>148</v>
      </c>
      <c r="O13" s="41" t="s">
        <v>77</v>
      </c>
      <c r="P13" s="41">
        <v>3</v>
      </c>
      <c r="Q13" s="41">
        <v>0</v>
      </c>
      <c r="R13" s="41">
        <v>1</v>
      </c>
      <c r="S13" s="41">
        <v>3000087</v>
      </c>
      <c r="T13" s="41">
        <v>3</v>
      </c>
    </row>
    <row r="14" spans="1:20" ht="15" customHeight="1" x14ac:dyDescent="0.25">
      <c r="A14" s="38">
        <v>1</v>
      </c>
      <c r="B14" s="40" t="s">
        <v>78</v>
      </c>
      <c r="C14" s="39" t="s">
        <v>151</v>
      </c>
      <c r="D14" s="39" t="s">
        <v>100</v>
      </c>
      <c r="E14" s="39">
        <v>2</v>
      </c>
      <c r="F14" s="39">
        <v>2</v>
      </c>
      <c r="G14" s="39">
        <v>0</v>
      </c>
      <c r="H14" s="39">
        <v>0</v>
      </c>
      <c r="I14" s="39">
        <v>6</v>
      </c>
      <c r="J14" s="39">
        <v>1</v>
      </c>
      <c r="K14" s="39">
        <v>5</v>
      </c>
      <c r="L14" s="39">
        <v>6</v>
      </c>
      <c r="N14" s="41" t="s">
        <v>151</v>
      </c>
      <c r="O14" s="41" t="s">
        <v>78</v>
      </c>
      <c r="P14" s="41">
        <v>6</v>
      </c>
      <c r="Q14" s="41">
        <v>5</v>
      </c>
      <c r="R14" s="41">
        <v>6</v>
      </c>
      <c r="S14" s="41">
        <v>6050586</v>
      </c>
      <c r="T14" s="41">
        <v>1</v>
      </c>
    </row>
    <row r="15" spans="1:20" ht="15" customHeight="1" x14ac:dyDescent="0.25">
      <c r="A15" s="42">
        <v>2</v>
      </c>
      <c r="B15" s="44" t="s">
        <v>78</v>
      </c>
      <c r="C15" s="43" t="s">
        <v>181</v>
      </c>
      <c r="D15" s="43" t="s">
        <v>101</v>
      </c>
      <c r="E15" s="43">
        <v>2</v>
      </c>
      <c r="F15" s="43">
        <v>1</v>
      </c>
      <c r="G15" s="43">
        <v>0</v>
      </c>
      <c r="H15" s="43">
        <v>1</v>
      </c>
      <c r="I15" s="43">
        <v>2</v>
      </c>
      <c r="J15" s="43">
        <v>2</v>
      </c>
      <c r="K15" s="43">
        <v>0</v>
      </c>
      <c r="L15" s="43">
        <v>3</v>
      </c>
      <c r="N15" s="41" t="s">
        <v>149</v>
      </c>
      <c r="O15" s="41" t="s">
        <v>78</v>
      </c>
      <c r="P15" s="41">
        <v>3</v>
      </c>
      <c r="Q15" s="41">
        <v>-2</v>
      </c>
      <c r="R15" s="41">
        <v>2</v>
      </c>
      <c r="S15" s="41">
        <v>2980185</v>
      </c>
      <c r="T15" s="41">
        <v>3</v>
      </c>
    </row>
    <row r="16" spans="1:20" ht="15" customHeight="1" x14ac:dyDescent="0.25">
      <c r="A16" s="45">
        <v>3</v>
      </c>
      <c r="B16" s="47" t="s">
        <v>78</v>
      </c>
      <c r="C16" s="46" t="s">
        <v>149</v>
      </c>
      <c r="D16" s="46" t="s">
        <v>113</v>
      </c>
      <c r="E16" s="46">
        <v>2</v>
      </c>
      <c r="F16" s="46">
        <v>1</v>
      </c>
      <c r="G16" s="46">
        <v>0</v>
      </c>
      <c r="H16" s="46">
        <v>1</v>
      </c>
      <c r="I16" s="46">
        <v>2</v>
      </c>
      <c r="J16" s="46">
        <v>4</v>
      </c>
      <c r="K16" s="46">
        <v>-2</v>
      </c>
      <c r="L16" s="46">
        <v>3</v>
      </c>
      <c r="N16" s="41" t="s">
        <v>181</v>
      </c>
      <c r="O16" s="41" t="s">
        <v>78</v>
      </c>
      <c r="P16" s="41">
        <v>3</v>
      </c>
      <c r="Q16" s="41">
        <v>0</v>
      </c>
      <c r="R16" s="41">
        <v>2</v>
      </c>
      <c r="S16" s="41">
        <v>3000184</v>
      </c>
      <c r="T16" s="41">
        <v>2</v>
      </c>
    </row>
    <row r="17" spans="1:20" ht="15" customHeight="1" x14ac:dyDescent="0.25">
      <c r="A17" s="45">
        <v>4</v>
      </c>
      <c r="B17" s="47" t="s">
        <v>78</v>
      </c>
      <c r="C17" s="46" t="s">
        <v>150</v>
      </c>
      <c r="D17" s="46" t="s">
        <v>114</v>
      </c>
      <c r="E17" s="46">
        <v>2</v>
      </c>
      <c r="F17" s="46">
        <v>0</v>
      </c>
      <c r="G17" s="46">
        <v>0</v>
      </c>
      <c r="H17" s="46">
        <v>2</v>
      </c>
      <c r="I17" s="46">
        <v>0</v>
      </c>
      <c r="J17" s="46">
        <v>3</v>
      </c>
      <c r="K17" s="46">
        <v>-3</v>
      </c>
      <c r="L17" s="46">
        <v>0</v>
      </c>
      <c r="N17" s="41" t="s">
        <v>150</v>
      </c>
      <c r="O17" s="41" t="s">
        <v>78</v>
      </c>
      <c r="P17" s="41">
        <v>0</v>
      </c>
      <c r="Q17" s="41">
        <v>-3</v>
      </c>
      <c r="R17" s="41">
        <v>0</v>
      </c>
      <c r="S17" s="41">
        <v>-30017</v>
      </c>
      <c r="T17" s="41">
        <v>4</v>
      </c>
    </row>
    <row r="18" spans="1:20" ht="15" customHeight="1" x14ac:dyDescent="0.25">
      <c r="A18" s="38">
        <v>1</v>
      </c>
      <c r="B18" s="40" t="s">
        <v>79</v>
      </c>
      <c r="C18" s="39" t="s">
        <v>152</v>
      </c>
      <c r="D18" s="39" t="s">
        <v>102</v>
      </c>
      <c r="E18" s="39">
        <v>2</v>
      </c>
      <c r="F18" s="39">
        <v>2</v>
      </c>
      <c r="G18" s="39">
        <v>0</v>
      </c>
      <c r="H18" s="39">
        <v>0</v>
      </c>
      <c r="I18" s="39">
        <v>9</v>
      </c>
      <c r="J18" s="39">
        <v>2</v>
      </c>
      <c r="K18" s="39">
        <v>7</v>
      </c>
      <c r="L18" s="39">
        <v>6</v>
      </c>
      <c r="N18" s="41" t="s">
        <v>152</v>
      </c>
      <c r="O18" s="41" t="s">
        <v>79</v>
      </c>
      <c r="P18" s="41">
        <v>6</v>
      </c>
      <c r="Q18" s="41">
        <v>7</v>
      </c>
      <c r="R18" s="41">
        <v>9</v>
      </c>
      <c r="S18" s="41">
        <v>6070882</v>
      </c>
      <c r="T18" s="41">
        <v>1</v>
      </c>
    </row>
    <row r="19" spans="1:20" ht="15" customHeight="1" x14ac:dyDescent="0.25">
      <c r="A19" s="42">
        <v>2</v>
      </c>
      <c r="B19" s="44" t="s">
        <v>79</v>
      </c>
      <c r="C19" s="43" t="s">
        <v>154</v>
      </c>
      <c r="D19" s="43" t="s">
        <v>103</v>
      </c>
      <c r="E19" s="43">
        <v>2</v>
      </c>
      <c r="F19" s="43">
        <v>1</v>
      </c>
      <c r="G19" s="43">
        <v>0</v>
      </c>
      <c r="H19" s="43">
        <v>1</v>
      </c>
      <c r="I19" s="43">
        <v>2</v>
      </c>
      <c r="J19" s="43">
        <v>2</v>
      </c>
      <c r="K19" s="43">
        <v>0</v>
      </c>
      <c r="L19" s="43">
        <v>3</v>
      </c>
      <c r="N19" s="41" t="s">
        <v>179</v>
      </c>
      <c r="O19" s="41" t="s">
        <v>79</v>
      </c>
      <c r="P19" s="41">
        <v>1</v>
      </c>
      <c r="Q19" s="41">
        <v>-6</v>
      </c>
      <c r="R19" s="41">
        <v>1</v>
      </c>
      <c r="S19" s="41">
        <v>940081</v>
      </c>
      <c r="T19" s="41">
        <v>4</v>
      </c>
    </row>
    <row r="20" spans="1:20" ht="15" customHeight="1" x14ac:dyDescent="0.25">
      <c r="A20" s="45">
        <v>3</v>
      </c>
      <c r="B20" s="47" t="s">
        <v>79</v>
      </c>
      <c r="C20" s="46" t="s">
        <v>153</v>
      </c>
      <c r="D20" s="46" t="s">
        <v>115</v>
      </c>
      <c r="E20" s="46">
        <v>2</v>
      </c>
      <c r="F20" s="46">
        <v>0</v>
      </c>
      <c r="G20" s="46">
        <v>1</v>
      </c>
      <c r="H20" s="46">
        <v>1</v>
      </c>
      <c r="I20" s="46">
        <v>0</v>
      </c>
      <c r="J20" s="46">
        <v>1</v>
      </c>
      <c r="K20" s="46">
        <v>-1</v>
      </c>
      <c r="L20" s="46">
        <v>1</v>
      </c>
      <c r="N20" s="41" t="s">
        <v>154</v>
      </c>
      <c r="O20" s="41" t="s">
        <v>79</v>
      </c>
      <c r="P20" s="41">
        <v>3</v>
      </c>
      <c r="Q20" s="41">
        <v>0</v>
      </c>
      <c r="R20" s="41">
        <v>2</v>
      </c>
      <c r="S20" s="41">
        <v>3000180</v>
      </c>
      <c r="T20" s="41">
        <v>2</v>
      </c>
    </row>
    <row r="21" spans="1:20" ht="15" customHeight="1" x14ac:dyDescent="0.25">
      <c r="A21" s="45">
        <v>4</v>
      </c>
      <c r="B21" s="47" t="s">
        <v>79</v>
      </c>
      <c r="C21" s="46" t="s">
        <v>179</v>
      </c>
      <c r="D21" s="46" t="s">
        <v>122</v>
      </c>
      <c r="E21" s="46">
        <v>2</v>
      </c>
      <c r="F21" s="46">
        <v>0</v>
      </c>
      <c r="G21" s="46">
        <v>1</v>
      </c>
      <c r="H21" s="46">
        <v>1</v>
      </c>
      <c r="I21" s="46">
        <v>1</v>
      </c>
      <c r="J21" s="46">
        <v>7</v>
      </c>
      <c r="K21" s="46">
        <v>-6</v>
      </c>
      <c r="L21" s="46">
        <v>1</v>
      </c>
      <c r="N21" s="41" t="s">
        <v>153</v>
      </c>
      <c r="O21" s="41" t="s">
        <v>79</v>
      </c>
      <c r="P21" s="41">
        <v>1</v>
      </c>
      <c r="Q21" s="41">
        <v>-1</v>
      </c>
      <c r="R21" s="41">
        <v>0</v>
      </c>
      <c r="S21" s="41">
        <v>989979</v>
      </c>
      <c r="T21" s="41">
        <v>3</v>
      </c>
    </row>
    <row r="22" spans="1:20" ht="15" customHeight="1" x14ac:dyDescent="0.25">
      <c r="A22" s="38">
        <v>1</v>
      </c>
      <c r="B22" s="40" t="s">
        <v>80</v>
      </c>
      <c r="C22" s="39" t="s">
        <v>155</v>
      </c>
      <c r="D22" s="39" t="s">
        <v>104</v>
      </c>
      <c r="E22" s="39">
        <v>2</v>
      </c>
      <c r="F22" s="39">
        <v>1</v>
      </c>
      <c r="G22" s="39">
        <v>1</v>
      </c>
      <c r="H22" s="39">
        <v>0</v>
      </c>
      <c r="I22" s="39">
        <v>7</v>
      </c>
      <c r="J22" s="39">
        <v>3</v>
      </c>
      <c r="K22" s="39">
        <v>4</v>
      </c>
      <c r="L22" s="39">
        <v>4</v>
      </c>
      <c r="N22" s="41" t="s">
        <v>155</v>
      </c>
      <c r="O22" s="41" t="s">
        <v>80</v>
      </c>
      <c r="P22" s="41">
        <v>4</v>
      </c>
      <c r="Q22" s="41">
        <v>4</v>
      </c>
      <c r="R22" s="41">
        <v>7</v>
      </c>
      <c r="S22" s="41">
        <v>4040678</v>
      </c>
      <c r="T22" s="41">
        <v>1</v>
      </c>
    </row>
    <row r="23" spans="1:20" ht="15" customHeight="1" x14ac:dyDescent="0.25">
      <c r="A23" s="42">
        <v>2</v>
      </c>
      <c r="B23" s="44" t="s">
        <v>80</v>
      </c>
      <c r="C23" s="43" t="s">
        <v>156</v>
      </c>
      <c r="D23" s="43" t="s">
        <v>105</v>
      </c>
      <c r="E23" s="43">
        <v>2</v>
      </c>
      <c r="F23" s="43">
        <v>1</v>
      </c>
      <c r="G23" s="43">
        <v>1</v>
      </c>
      <c r="H23" s="43">
        <v>0</v>
      </c>
      <c r="I23" s="43">
        <v>6</v>
      </c>
      <c r="J23" s="43">
        <v>2</v>
      </c>
      <c r="K23" s="43">
        <v>4</v>
      </c>
      <c r="L23" s="43">
        <v>4</v>
      </c>
      <c r="N23" s="41" t="s">
        <v>156</v>
      </c>
      <c r="O23" s="41" t="s">
        <v>80</v>
      </c>
      <c r="P23" s="41">
        <v>4</v>
      </c>
      <c r="Q23" s="41">
        <v>4</v>
      </c>
      <c r="R23" s="41">
        <v>6</v>
      </c>
      <c r="S23" s="41">
        <v>4040577</v>
      </c>
      <c r="T23" s="41">
        <v>2</v>
      </c>
    </row>
    <row r="24" spans="1:20" ht="15" customHeight="1" x14ac:dyDescent="0.25">
      <c r="A24" s="45">
        <v>3</v>
      </c>
      <c r="B24" s="47" t="s">
        <v>80</v>
      </c>
      <c r="C24" s="46" t="s">
        <v>157</v>
      </c>
      <c r="D24" s="46" t="s">
        <v>116</v>
      </c>
      <c r="E24" s="46">
        <v>2</v>
      </c>
      <c r="F24" s="46">
        <v>1</v>
      </c>
      <c r="G24" s="46">
        <v>0</v>
      </c>
      <c r="H24" s="46">
        <v>1</v>
      </c>
      <c r="I24" s="46">
        <v>6</v>
      </c>
      <c r="J24" s="46">
        <v>6</v>
      </c>
      <c r="K24" s="46">
        <v>0</v>
      </c>
      <c r="L24" s="46">
        <v>3</v>
      </c>
      <c r="N24" s="41" t="s">
        <v>157</v>
      </c>
      <c r="O24" s="41" t="s">
        <v>80</v>
      </c>
      <c r="P24" s="41">
        <v>3</v>
      </c>
      <c r="Q24" s="41">
        <v>0</v>
      </c>
      <c r="R24" s="41">
        <v>6</v>
      </c>
      <c r="S24" s="41">
        <v>3000576</v>
      </c>
      <c r="T24" s="41">
        <v>3</v>
      </c>
    </row>
    <row r="25" spans="1:20" ht="15" customHeight="1" x14ac:dyDescent="0.25">
      <c r="A25" s="45">
        <v>4</v>
      </c>
      <c r="B25" s="47" t="s">
        <v>80</v>
      </c>
      <c r="C25" s="46" t="s">
        <v>183</v>
      </c>
      <c r="D25" s="46" t="s">
        <v>124</v>
      </c>
      <c r="E25" s="46">
        <v>2</v>
      </c>
      <c r="F25" s="46">
        <v>0</v>
      </c>
      <c r="G25" s="46">
        <v>0</v>
      </c>
      <c r="H25" s="46">
        <v>2</v>
      </c>
      <c r="I25" s="46">
        <v>1</v>
      </c>
      <c r="J25" s="46">
        <v>9</v>
      </c>
      <c r="K25" s="46">
        <v>-8</v>
      </c>
      <c r="L25" s="46">
        <v>0</v>
      </c>
      <c r="N25" s="41" t="s">
        <v>183</v>
      </c>
      <c r="O25" s="41" t="s">
        <v>80</v>
      </c>
      <c r="P25" s="41">
        <v>0</v>
      </c>
      <c r="Q25" s="41">
        <v>-8</v>
      </c>
      <c r="R25" s="41">
        <v>1</v>
      </c>
      <c r="S25" s="41">
        <v>-79925</v>
      </c>
      <c r="T25" s="41">
        <v>4</v>
      </c>
    </row>
    <row r="26" spans="1:20" ht="15" customHeight="1" x14ac:dyDescent="0.25">
      <c r="A26" s="38">
        <v>1</v>
      </c>
      <c r="B26" s="40" t="s">
        <v>81</v>
      </c>
      <c r="C26" s="39" t="s">
        <v>159</v>
      </c>
      <c r="D26" s="39" t="s">
        <v>73</v>
      </c>
      <c r="E26" s="39">
        <v>2</v>
      </c>
      <c r="F26" s="39">
        <v>1</v>
      </c>
      <c r="G26" s="39">
        <v>1</v>
      </c>
      <c r="H26" s="39">
        <v>0</v>
      </c>
      <c r="I26" s="39">
        <v>4</v>
      </c>
      <c r="J26" s="39">
        <v>2</v>
      </c>
      <c r="K26" s="39">
        <v>2</v>
      </c>
      <c r="L26" s="39">
        <v>4</v>
      </c>
      <c r="N26" s="41" t="s">
        <v>158</v>
      </c>
      <c r="O26" s="41" t="s">
        <v>81</v>
      </c>
      <c r="P26" s="41">
        <v>2</v>
      </c>
      <c r="Q26" s="41">
        <v>0</v>
      </c>
      <c r="R26" s="41">
        <v>1</v>
      </c>
      <c r="S26" s="41">
        <v>2000074</v>
      </c>
      <c r="T26" s="41">
        <v>3</v>
      </c>
    </row>
    <row r="27" spans="1:20" ht="15" customHeight="1" x14ac:dyDescent="0.25">
      <c r="A27" s="42">
        <v>2</v>
      </c>
      <c r="B27" s="44" t="s">
        <v>81</v>
      </c>
      <c r="C27" s="43" t="s">
        <v>160</v>
      </c>
      <c r="D27" s="43" t="s">
        <v>69</v>
      </c>
      <c r="E27" s="43">
        <v>2</v>
      </c>
      <c r="F27" s="43">
        <v>0</v>
      </c>
      <c r="G27" s="43">
        <v>2</v>
      </c>
      <c r="H27" s="43">
        <v>0</v>
      </c>
      <c r="I27" s="43">
        <v>2</v>
      </c>
      <c r="J27" s="43">
        <v>2</v>
      </c>
      <c r="K27" s="43">
        <v>0</v>
      </c>
      <c r="L27" s="43">
        <v>2</v>
      </c>
      <c r="N27" s="41" t="s">
        <v>159</v>
      </c>
      <c r="O27" s="41" t="s">
        <v>81</v>
      </c>
      <c r="P27" s="41">
        <v>4</v>
      </c>
      <c r="Q27" s="41">
        <v>2</v>
      </c>
      <c r="R27" s="41">
        <v>4</v>
      </c>
      <c r="S27" s="41">
        <v>4020373</v>
      </c>
      <c r="T27" s="41">
        <v>1</v>
      </c>
    </row>
    <row r="28" spans="1:20" ht="15" customHeight="1" x14ac:dyDescent="0.25">
      <c r="A28" s="45">
        <v>3</v>
      </c>
      <c r="B28" s="47" t="s">
        <v>81</v>
      </c>
      <c r="C28" s="46" t="s">
        <v>158</v>
      </c>
      <c r="D28" s="46" t="s">
        <v>68</v>
      </c>
      <c r="E28" s="46">
        <v>2</v>
      </c>
      <c r="F28" s="46">
        <v>0</v>
      </c>
      <c r="G28" s="46">
        <v>2</v>
      </c>
      <c r="H28" s="46">
        <v>0</v>
      </c>
      <c r="I28" s="46">
        <v>1</v>
      </c>
      <c r="J28" s="46">
        <v>1</v>
      </c>
      <c r="K28" s="46">
        <v>0</v>
      </c>
      <c r="L28" s="46">
        <v>2</v>
      </c>
      <c r="N28" s="41" t="s">
        <v>160</v>
      </c>
      <c r="O28" s="41" t="s">
        <v>81</v>
      </c>
      <c r="P28" s="41">
        <v>2</v>
      </c>
      <c r="Q28" s="41">
        <v>0</v>
      </c>
      <c r="R28" s="41">
        <v>2</v>
      </c>
      <c r="S28" s="41">
        <v>2000172</v>
      </c>
      <c r="T28" s="41">
        <v>2</v>
      </c>
    </row>
    <row r="29" spans="1:20" ht="15" customHeight="1" x14ac:dyDescent="0.25">
      <c r="A29" s="45">
        <v>4</v>
      </c>
      <c r="B29" s="47" t="s">
        <v>81</v>
      </c>
      <c r="C29" s="46" t="s">
        <v>182</v>
      </c>
      <c r="D29" s="46" t="s">
        <v>72</v>
      </c>
      <c r="E29" s="46">
        <v>2</v>
      </c>
      <c r="F29" s="46">
        <v>0</v>
      </c>
      <c r="G29" s="46">
        <v>1</v>
      </c>
      <c r="H29" s="46">
        <v>1</v>
      </c>
      <c r="I29" s="46">
        <v>3</v>
      </c>
      <c r="J29" s="46">
        <v>5</v>
      </c>
      <c r="K29" s="46">
        <v>-2</v>
      </c>
      <c r="L29" s="46">
        <v>1</v>
      </c>
      <c r="N29" s="41" t="s">
        <v>182</v>
      </c>
      <c r="O29" s="41" t="s">
        <v>81</v>
      </c>
      <c r="P29" s="41">
        <v>1</v>
      </c>
      <c r="Q29" s="41">
        <v>-2</v>
      </c>
      <c r="R29" s="41">
        <v>3</v>
      </c>
      <c r="S29" s="41">
        <v>980271</v>
      </c>
      <c r="T29" s="41">
        <v>4</v>
      </c>
    </row>
    <row r="30" spans="1:20" ht="15" customHeight="1" x14ac:dyDescent="0.25">
      <c r="A30" s="38">
        <v>1</v>
      </c>
      <c r="B30" s="40" t="s">
        <v>82</v>
      </c>
      <c r="C30" s="39" t="s">
        <v>161</v>
      </c>
      <c r="D30" s="39" t="s">
        <v>66</v>
      </c>
      <c r="E30" s="39">
        <v>2</v>
      </c>
      <c r="F30" s="39">
        <v>1</v>
      </c>
      <c r="G30" s="39">
        <v>1</v>
      </c>
      <c r="H30" s="39">
        <v>0</v>
      </c>
      <c r="I30" s="39">
        <v>4</v>
      </c>
      <c r="J30" s="39">
        <v>0</v>
      </c>
      <c r="K30" s="39">
        <v>4</v>
      </c>
      <c r="L30" s="39">
        <v>4</v>
      </c>
      <c r="N30" s="41" t="s">
        <v>161</v>
      </c>
      <c r="O30" s="41" t="s">
        <v>82</v>
      </c>
      <c r="P30" s="41">
        <v>4</v>
      </c>
      <c r="Q30" s="41">
        <v>4</v>
      </c>
      <c r="R30" s="41">
        <v>4</v>
      </c>
      <c r="S30" s="41">
        <v>4040370</v>
      </c>
      <c r="T30" s="41">
        <v>1</v>
      </c>
    </row>
    <row r="31" spans="1:20" ht="15" customHeight="1" x14ac:dyDescent="0.25">
      <c r="A31" s="42">
        <v>2</v>
      </c>
      <c r="B31" s="44" t="s">
        <v>82</v>
      </c>
      <c r="C31" s="43" t="s">
        <v>162</v>
      </c>
      <c r="D31" s="43" t="s">
        <v>70</v>
      </c>
      <c r="E31" s="43">
        <v>2</v>
      </c>
      <c r="F31" s="43">
        <v>0</v>
      </c>
      <c r="G31" s="43">
        <v>2</v>
      </c>
      <c r="H31" s="43">
        <v>0</v>
      </c>
      <c r="I31" s="43">
        <v>3</v>
      </c>
      <c r="J31" s="43">
        <v>3</v>
      </c>
      <c r="K31" s="43">
        <v>0</v>
      </c>
      <c r="L31" s="43">
        <v>2</v>
      </c>
      <c r="N31" s="41" t="s">
        <v>184</v>
      </c>
      <c r="O31" s="41" t="s">
        <v>82</v>
      </c>
      <c r="P31" s="41">
        <v>2</v>
      </c>
      <c r="Q31" s="41">
        <v>0</v>
      </c>
      <c r="R31" s="41">
        <v>2</v>
      </c>
      <c r="S31" s="41">
        <v>2000169</v>
      </c>
      <c r="T31" s="41">
        <v>3</v>
      </c>
    </row>
    <row r="32" spans="1:20" ht="15" customHeight="1" x14ac:dyDescent="0.25">
      <c r="A32" s="45">
        <v>3</v>
      </c>
      <c r="B32" s="47" t="s">
        <v>82</v>
      </c>
      <c r="C32" s="46" t="s">
        <v>184</v>
      </c>
      <c r="D32" s="46" t="s">
        <v>71</v>
      </c>
      <c r="E32" s="46">
        <v>2</v>
      </c>
      <c r="F32" s="46">
        <v>0</v>
      </c>
      <c r="G32" s="46">
        <v>2</v>
      </c>
      <c r="H32" s="46">
        <v>0</v>
      </c>
      <c r="I32" s="46">
        <v>2</v>
      </c>
      <c r="J32" s="46">
        <v>2</v>
      </c>
      <c r="K32" s="46">
        <v>0</v>
      </c>
      <c r="L32" s="46">
        <v>2</v>
      </c>
      <c r="N32" s="41" t="s">
        <v>163</v>
      </c>
      <c r="O32" s="41" t="s">
        <v>82</v>
      </c>
      <c r="P32" s="41">
        <v>1</v>
      </c>
      <c r="Q32" s="41">
        <v>-4</v>
      </c>
      <c r="R32" s="41">
        <v>1</v>
      </c>
      <c r="S32" s="41">
        <v>960068</v>
      </c>
      <c r="T32" s="41">
        <v>4</v>
      </c>
    </row>
    <row r="33" spans="1:20" ht="15" customHeight="1" x14ac:dyDescent="0.25">
      <c r="A33" s="45">
        <v>4</v>
      </c>
      <c r="B33" s="47" t="s">
        <v>82</v>
      </c>
      <c r="C33" s="46" t="s">
        <v>163</v>
      </c>
      <c r="D33" s="46" t="s">
        <v>67</v>
      </c>
      <c r="E33" s="46">
        <v>2</v>
      </c>
      <c r="F33" s="46">
        <v>0</v>
      </c>
      <c r="G33" s="46">
        <v>1</v>
      </c>
      <c r="H33" s="46">
        <v>1</v>
      </c>
      <c r="I33" s="46">
        <v>1</v>
      </c>
      <c r="J33" s="46">
        <v>5</v>
      </c>
      <c r="K33" s="46">
        <v>-4</v>
      </c>
      <c r="L33" s="46">
        <v>1</v>
      </c>
      <c r="N33" s="41" t="s">
        <v>162</v>
      </c>
      <c r="O33" s="41" t="s">
        <v>82</v>
      </c>
      <c r="P33" s="41">
        <v>2</v>
      </c>
      <c r="Q33" s="41">
        <v>0</v>
      </c>
      <c r="R33" s="41">
        <v>3</v>
      </c>
      <c r="S33" s="41">
        <v>2000267</v>
      </c>
      <c r="T33" s="41">
        <v>2</v>
      </c>
    </row>
    <row r="34" spans="1:20" ht="15" customHeight="1" x14ac:dyDescent="0.25">
      <c r="A34" s="38">
        <v>1</v>
      </c>
      <c r="B34" s="40" t="s">
        <v>83</v>
      </c>
      <c r="C34" s="39" t="s">
        <v>164</v>
      </c>
      <c r="D34" s="39" t="s">
        <v>35</v>
      </c>
      <c r="E34" s="39">
        <v>2</v>
      </c>
      <c r="F34" s="39">
        <v>2</v>
      </c>
      <c r="G34" s="39">
        <v>0</v>
      </c>
      <c r="H34" s="39">
        <v>0</v>
      </c>
      <c r="I34" s="39">
        <v>6</v>
      </c>
      <c r="J34" s="39">
        <v>1</v>
      </c>
      <c r="K34" s="39">
        <v>5</v>
      </c>
      <c r="L34" s="39">
        <v>6</v>
      </c>
      <c r="N34" s="41" t="s">
        <v>164</v>
      </c>
      <c r="O34" s="41" t="s">
        <v>83</v>
      </c>
      <c r="P34" s="41">
        <v>6</v>
      </c>
      <c r="Q34" s="41">
        <v>5</v>
      </c>
      <c r="R34" s="41">
        <v>6</v>
      </c>
      <c r="S34" s="41">
        <v>6050566</v>
      </c>
      <c r="T34" s="41">
        <v>1</v>
      </c>
    </row>
    <row r="35" spans="1:20" ht="15" customHeight="1" x14ac:dyDescent="0.25">
      <c r="A35" s="42">
        <v>2</v>
      </c>
      <c r="B35" s="44" t="s">
        <v>83</v>
      </c>
      <c r="C35" s="43" t="s">
        <v>165</v>
      </c>
      <c r="D35" s="43" t="s">
        <v>44</v>
      </c>
      <c r="E35" s="43">
        <v>2</v>
      </c>
      <c r="F35" s="43">
        <v>2</v>
      </c>
      <c r="G35" s="43">
        <v>0</v>
      </c>
      <c r="H35" s="43">
        <v>0</v>
      </c>
      <c r="I35" s="43">
        <v>5</v>
      </c>
      <c r="J35" s="43">
        <v>1</v>
      </c>
      <c r="K35" s="43">
        <v>4</v>
      </c>
      <c r="L35" s="43">
        <v>6</v>
      </c>
      <c r="N35" s="41" t="s">
        <v>166</v>
      </c>
      <c r="O35" s="41" t="s">
        <v>83</v>
      </c>
      <c r="P35" s="41">
        <v>0</v>
      </c>
      <c r="Q35" s="41">
        <v>-3</v>
      </c>
      <c r="R35" s="41">
        <v>1</v>
      </c>
      <c r="S35" s="41">
        <v>-29935</v>
      </c>
      <c r="T35" s="41">
        <v>3</v>
      </c>
    </row>
    <row r="36" spans="1:20" ht="15" customHeight="1" x14ac:dyDescent="0.25">
      <c r="A36" s="45">
        <v>3</v>
      </c>
      <c r="B36" s="47" t="s">
        <v>83</v>
      </c>
      <c r="C36" s="46" t="s">
        <v>166</v>
      </c>
      <c r="D36" s="46" t="s">
        <v>45</v>
      </c>
      <c r="E36" s="46">
        <v>2</v>
      </c>
      <c r="F36" s="46">
        <v>0</v>
      </c>
      <c r="G36" s="46">
        <v>0</v>
      </c>
      <c r="H36" s="46">
        <v>2</v>
      </c>
      <c r="I36" s="46">
        <v>1</v>
      </c>
      <c r="J36" s="46">
        <v>4</v>
      </c>
      <c r="K36" s="46">
        <v>-3</v>
      </c>
      <c r="L36" s="46">
        <v>0</v>
      </c>
      <c r="N36" s="41" t="s">
        <v>185</v>
      </c>
      <c r="O36" s="41" t="s">
        <v>83</v>
      </c>
      <c r="P36" s="41">
        <v>0</v>
      </c>
      <c r="Q36" s="41">
        <v>-6</v>
      </c>
      <c r="R36" s="41">
        <v>1</v>
      </c>
      <c r="S36" s="41">
        <v>-59936</v>
      </c>
      <c r="T36" s="41">
        <v>4</v>
      </c>
    </row>
    <row r="37" spans="1:20" ht="15" customHeight="1" x14ac:dyDescent="0.25">
      <c r="A37" s="45">
        <v>4</v>
      </c>
      <c r="B37" s="47" t="s">
        <v>83</v>
      </c>
      <c r="C37" s="46" t="s">
        <v>185</v>
      </c>
      <c r="D37" s="46" t="s">
        <v>36</v>
      </c>
      <c r="E37" s="46">
        <v>2</v>
      </c>
      <c r="F37" s="46">
        <v>0</v>
      </c>
      <c r="G37" s="46">
        <v>0</v>
      </c>
      <c r="H37" s="46">
        <v>2</v>
      </c>
      <c r="I37" s="46">
        <v>1</v>
      </c>
      <c r="J37" s="46">
        <v>7</v>
      </c>
      <c r="K37" s="46">
        <v>-6</v>
      </c>
      <c r="L37" s="46">
        <v>0</v>
      </c>
      <c r="N37" s="41" t="s">
        <v>165</v>
      </c>
      <c r="O37" s="41" t="s">
        <v>83</v>
      </c>
      <c r="P37" s="41">
        <v>6</v>
      </c>
      <c r="Q37" s="41">
        <v>4</v>
      </c>
      <c r="R37" s="41">
        <v>5</v>
      </c>
      <c r="S37" s="41">
        <v>6040463</v>
      </c>
      <c r="T37" s="41">
        <v>2</v>
      </c>
    </row>
    <row r="38" spans="1:20" ht="15" customHeight="1" x14ac:dyDescent="0.25">
      <c r="A38" s="38">
        <v>1</v>
      </c>
      <c r="B38" s="40" t="s">
        <v>84</v>
      </c>
      <c r="C38" s="39" t="s">
        <v>167</v>
      </c>
      <c r="D38" s="39" t="s">
        <v>23</v>
      </c>
      <c r="E38" s="39">
        <v>2</v>
      </c>
      <c r="F38" s="39">
        <v>2</v>
      </c>
      <c r="G38" s="39">
        <v>0</v>
      </c>
      <c r="H38" s="39">
        <v>0</v>
      </c>
      <c r="I38" s="39">
        <v>5</v>
      </c>
      <c r="J38" s="39">
        <v>0</v>
      </c>
      <c r="K38" s="39">
        <v>5</v>
      </c>
      <c r="L38" s="39">
        <v>6</v>
      </c>
      <c r="N38" s="41" t="s">
        <v>167</v>
      </c>
      <c r="O38" s="41" t="s">
        <v>84</v>
      </c>
      <c r="P38" s="41">
        <v>6</v>
      </c>
      <c r="Q38" s="41">
        <v>5</v>
      </c>
      <c r="R38" s="41">
        <v>5</v>
      </c>
      <c r="S38" s="41">
        <v>6050462</v>
      </c>
      <c r="T38" s="41">
        <v>1</v>
      </c>
    </row>
    <row r="39" spans="1:20" ht="15" customHeight="1" x14ac:dyDescent="0.25">
      <c r="A39" s="42">
        <v>2</v>
      </c>
      <c r="B39" s="44" t="s">
        <v>84</v>
      </c>
      <c r="C39" s="43" t="s">
        <v>168</v>
      </c>
      <c r="D39" s="43" t="s">
        <v>24</v>
      </c>
      <c r="E39" s="43">
        <v>2</v>
      </c>
      <c r="F39" s="43">
        <v>1</v>
      </c>
      <c r="G39" s="43">
        <v>0</v>
      </c>
      <c r="H39" s="43">
        <v>1</v>
      </c>
      <c r="I39" s="43">
        <v>3</v>
      </c>
      <c r="J39" s="43">
        <v>3</v>
      </c>
      <c r="K39" s="43">
        <v>0</v>
      </c>
      <c r="L39" s="43">
        <v>3</v>
      </c>
      <c r="N39" s="41" t="s">
        <v>169</v>
      </c>
      <c r="O39" s="41" t="s">
        <v>84</v>
      </c>
      <c r="P39" s="41">
        <v>0</v>
      </c>
      <c r="Q39" s="41">
        <v>-3</v>
      </c>
      <c r="R39" s="41">
        <v>0</v>
      </c>
      <c r="S39" s="41">
        <v>-30039</v>
      </c>
      <c r="T39" s="41">
        <v>4</v>
      </c>
    </row>
    <row r="40" spans="1:20" ht="15" customHeight="1" x14ac:dyDescent="0.25">
      <c r="A40" s="45">
        <v>3</v>
      </c>
      <c r="B40" s="47" t="s">
        <v>84</v>
      </c>
      <c r="C40" s="46" t="s">
        <v>186</v>
      </c>
      <c r="D40" s="46" t="s">
        <v>56</v>
      </c>
      <c r="E40" s="46">
        <v>2</v>
      </c>
      <c r="F40" s="46">
        <v>0</v>
      </c>
      <c r="G40" s="46">
        <v>0</v>
      </c>
      <c r="H40" s="46">
        <v>2</v>
      </c>
      <c r="I40" s="46">
        <v>1</v>
      </c>
      <c r="J40" s="46">
        <v>3</v>
      </c>
      <c r="K40" s="46">
        <v>-2</v>
      </c>
      <c r="L40" s="46">
        <v>0</v>
      </c>
      <c r="N40" s="41" t="s">
        <v>168</v>
      </c>
      <c r="O40" s="41" t="s">
        <v>84</v>
      </c>
      <c r="P40" s="41">
        <v>3</v>
      </c>
      <c r="Q40" s="41">
        <v>0</v>
      </c>
      <c r="R40" s="41">
        <v>3</v>
      </c>
      <c r="S40" s="41">
        <v>3000260</v>
      </c>
      <c r="T40" s="41">
        <v>2</v>
      </c>
    </row>
    <row r="41" spans="1:20" ht="15" customHeight="1" x14ac:dyDescent="0.25">
      <c r="A41" s="45">
        <v>4</v>
      </c>
      <c r="B41" s="47" t="s">
        <v>84</v>
      </c>
      <c r="C41" s="46" t="s">
        <v>169</v>
      </c>
      <c r="D41" s="46" t="s">
        <v>57</v>
      </c>
      <c r="E41" s="46">
        <v>2</v>
      </c>
      <c r="F41" s="46">
        <v>0</v>
      </c>
      <c r="G41" s="46">
        <v>0</v>
      </c>
      <c r="H41" s="46">
        <v>2</v>
      </c>
      <c r="I41" s="46">
        <v>0</v>
      </c>
      <c r="J41" s="46">
        <v>3</v>
      </c>
      <c r="K41" s="46">
        <v>-3</v>
      </c>
      <c r="L41" s="46">
        <v>0</v>
      </c>
      <c r="N41" s="41" t="s">
        <v>186</v>
      </c>
      <c r="O41" s="41" t="s">
        <v>84</v>
      </c>
      <c r="P41" s="41">
        <v>0</v>
      </c>
      <c r="Q41" s="41">
        <v>-2</v>
      </c>
      <c r="R41" s="41">
        <v>1</v>
      </c>
      <c r="S41" s="41">
        <v>-19941</v>
      </c>
      <c r="T41" s="41">
        <v>3</v>
      </c>
    </row>
    <row r="42" spans="1:20" ht="15" customHeight="1" x14ac:dyDescent="0.25">
      <c r="A42" s="38">
        <v>1</v>
      </c>
      <c r="B42" s="40" t="s">
        <v>85</v>
      </c>
      <c r="C42" s="39" t="s">
        <v>171</v>
      </c>
      <c r="D42" s="39" t="s">
        <v>106</v>
      </c>
      <c r="E42" s="39">
        <v>1</v>
      </c>
      <c r="F42" s="39">
        <v>1</v>
      </c>
      <c r="G42" s="39">
        <v>0</v>
      </c>
      <c r="H42" s="39">
        <v>0</v>
      </c>
      <c r="I42" s="39">
        <v>3</v>
      </c>
      <c r="J42" s="39">
        <v>1</v>
      </c>
      <c r="K42" s="39">
        <v>2</v>
      </c>
      <c r="L42" s="39">
        <v>3</v>
      </c>
      <c r="N42" s="41" t="s">
        <v>170</v>
      </c>
      <c r="O42" s="41" t="s">
        <v>85</v>
      </c>
      <c r="P42" s="41">
        <v>1</v>
      </c>
      <c r="Q42" s="41">
        <v>0</v>
      </c>
      <c r="R42" s="41">
        <v>1</v>
      </c>
      <c r="S42" s="41">
        <v>1000058</v>
      </c>
      <c r="T42" s="41">
        <v>2</v>
      </c>
    </row>
    <row r="43" spans="1:20" ht="15" customHeight="1" x14ac:dyDescent="0.25">
      <c r="A43" s="42">
        <v>2</v>
      </c>
      <c r="B43" s="44" t="s">
        <v>85</v>
      </c>
      <c r="C43" s="43" t="s">
        <v>170</v>
      </c>
      <c r="D43" s="43" t="s">
        <v>107</v>
      </c>
      <c r="E43" s="43">
        <v>1</v>
      </c>
      <c r="F43" s="43">
        <v>0</v>
      </c>
      <c r="G43" s="43">
        <v>1</v>
      </c>
      <c r="H43" s="43">
        <v>0</v>
      </c>
      <c r="I43" s="43">
        <v>1</v>
      </c>
      <c r="J43" s="43">
        <v>1</v>
      </c>
      <c r="K43" s="43">
        <v>0</v>
      </c>
      <c r="L43" s="43">
        <v>1</v>
      </c>
      <c r="N43" s="41" t="s">
        <v>172</v>
      </c>
      <c r="O43" s="41" t="s">
        <v>85</v>
      </c>
      <c r="P43" s="41">
        <v>1</v>
      </c>
      <c r="Q43" s="41">
        <v>0</v>
      </c>
      <c r="R43" s="41">
        <v>1</v>
      </c>
      <c r="S43" s="41">
        <v>1000057</v>
      </c>
      <c r="T43" s="41">
        <v>3</v>
      </c>
    </row>
    <row r="44" spans="1:20" ht="15" customHeight="1" x14ac:dyDescent="0.25">
      <c r="A44" s="45">
        <v>3</v>
      </c>
      <c r="B44" s="47" t="s">
        <v>85</v>
      </c>
      <c r="C44" s="46" t="s">
        <v>172</v>
      </c>
      <c r="D44" s="46" t="s">
        <v>117</v>
      </c>
      <c r="E44" s="46">
        <v>1</v>
      </c>
      <c r="F44" s="46">
        <v>0</v>
      </c>
      <c r="G44" s="46">
        <v>1</v>
      </c>
      <c r="H44" s="46">
        <v>0</v>
      </c>
      <c r="I44" s="46">
        <v>1</v>
      </c>
      <c r="J44" s="46">
        <v>1</v>
      </c>
      <c r="K44" s="46">
        <v>0</v>
      </c>
      <c r="L44" s="46">
        <v>1</v>
      </c>
      <c r="N44" s="41" t="s">
        <v>180</v>
      </c>
      <c r="O44" s="41" t="s">
        <v>85</v>
      </c>
      <c r="P44" s="41">
        <v>0</v>
      </c>
      <c r="Q44" s="41">
        <v>-2</v>
      </c>
      <c r="R44" s="41">
        <v>1</v>
      </c>
      <c r="S44" s="41">
        <v>-19944</v>
      </c>
      <c r="T44" s="41">
        <v>4</v>
      </c>
    </row>
    <row r="45" spans="1:20" ht="15" customHeight="1" x14ac:dyDescent="0.25">
      <c r="A45" s="45">
        <v>4</v>
      </c>
      <c r="B45" s="47" t="s">
        <v>85</v>
      </c>
      <c r="C45" s="46" t="s">
        <v>180</v>
      </c>
      <c r="D45" s="46" t="s">
        <v>123</v>
      </c>
      <c r="E45" s="46">
        <v>1</v>
      </c>
      <c r="F45" s="46">
        <v>0</v>
      </c>
      <c r="G45" s="46">
        <v>0</v>
      </c>
      <c r="H45" s="46">
        <v>1</v>
      </c>
      <c r="I45" s="46">
        <v>1</v>
      </c>
      <c r="J45" s="46">
        <v>3</v>
      </c>
      <c r="K45" s="46">
        <v>-2</v>
      </c>
      <c r="L45" s="46">
        <v>0</v>
      </c>
      <c r="N45" s="41" t="s">
        <v>171</v>
      </c>
      <c r="O45" s="41" t="s">
        <v>85</v>
      </c>
      <c r="P45" s="41">
        <v>3</v>
      </c>
      <c r="Q45" s="41">
        <v>2</v>
      </c>
      <c r="R45" s="41">
        <v>3</v>
      </c>
      <c r="S45" s="41">
        <v>3020255</v>
      </c>
      <c r="T45" s="41">
        <v>1</v>
      </c>
    </row>
    <row r="46" spans="1:20" ht="15" customHeight="1" x14ac:dyDescent="0.25">
      <c r="A46" s="38">
        <v>1</v>
      </c>
      <c r="B46" s="40" t="s">
        <v>86</v>
      </c>
      <c r="C46" s="39" t="s">
        <v>173</v>
      </c>
      <c r="D46" s="39" t="s">
        <v>108</v>
      </c>
      <c r="E46" s="39">
        <v>1</v>
      </c>
      <c r="F46" s="39">
        <v>1</v>
      </c>
      <c r="G46" s="39">
        <v>0</v>
      </c>
      <c r="H46" s="39">
        <v>0</v>
      </c>
      <c r="I46" s="39">
        <v>4</v>
      </c>
      <c r="J46" s="39">
        <v>2</v>
      </c>
      <c r="K46" s="39">
        <v>2</v>
      </c>
      <c r="L46" s="39">
        <v>3</v>
      </c>
      <c r="N46" s="41" t="s">
        <v>173</v>
      </c>
      <c r="O46" s="41" t="s">
        <v>86</v>
      </c>
      <c r="P46" s="41">
        <v>3</v>
      </c>
      <c r="Q46" s="41">
        <v>2</v>
      </c>
      <c r="R46" s="41">
        <v>4</v>
      </c>
      <c r="S46" s="41">
        <v>3020354</v>
      </c>
      <c r="T46" s="41">
        <v>1</v>
      </c>
    </row>
    <row r="47" spans="1:20" ht="15" customHeight="1" x14ac:dyDescent="0.25">
      <c r="A47" s="42">
        <v>2</v>
      </c>
      <c r="B47" s="44" t="s">
        <v>86</v>
      </c>
      <c r="C47" s="43" t="s">
        <v>175</v>
      </c>
      <c r="D47" s="43" t="s">
        <v>109</v>
      </c>
      <c r="E47" s="43">
        <v>1</v>
      </c>
      <c r="F47" s="43">
        <v>1</v>
      </c>
      <c r="G47" s="43">
        <v>0</v>
      </c>
      <c r="H47" s="43">
        <v>0</v>
      </c>
      <c r="I47" s="43">
        <v>1</v>
      </c>
      <c r="J47" s="43">
        <v>0</v>
      </c>
      <c r="K47" s="43">
        <v>1</v>
      </c>
      <c r="L47" s="43">
        <v>3</v>
      </c>
      <c r="N47" s="41" t="s">
        <v>174</v>
      </c>
      <c r="O47" s="41" t="s">
        <v>86</v>
      </c>
      <c r="P47" s="41">
        <v>0</v>
      </c>
      <c r="Q47" s="41">
        <v>-2</v>
      </c>
      <c r="R47" s="41">
        <v>2</v>
      </c>
      <c r="S47" s="41">
        <v>-19847</v>
      </c>
      <c r="T47" s="41">
        <v>4</v>
      </c>
    </row>
    <row r="48" spans="1:20" ht="15" customHeight="1" x14ac:dyDescent="0.25">
      <c r="A48" s="45">
        <v>3</v>
      </c>
      <c r="B48" s="47" t="s">
        <v>86</v>
      </c>
      <c r="C48" s="46" t="s">
        <v>177</v>
      </c>
      <c r="D48" s="46" t="s">
        <v>120</v>
      </c>
      <c r="E48" s="46">
        <v>1</v>
      </c>
      <c r="F48" s="46">
        <v>0</v>
      </c>
      <c r="G48" s="46">
        <v>0</v>
      </c>
      <c r="H48" s="46">
        <v>1</v>
      </c>
      <c r="I48" s="46">
        <v>0</v>
      </c>
      <c r="J48" s="46">
        <v>1</v>
      </c>
      <c r="K48" s="46">
        <v>-1</v>
      </c>
      <c r="L48" s="46">
        <v>0</v>
      </c>
      <c r="N48" s="41" t="s">
        <v>175</v>
      </c>
      <c r="O48" s="41" t="s">
        <v>86</v>
      </c>
      <c r="P48" s="41">
        <v>3</v>
      </c>
      <c r="Q48" s="41">
        <v>1</v>
      </c>
      <c r="R48" s="41">
        <v>1</v>
      </c>
      <c r="S48" s="41">
        <v>3010052</v>
      </c>
      <c r="T48" s="41">
        <v>2</v>
      </c>
    </row>
    <row r="49" spans="1:20" ht="15" customHeight="1" x14ac:dyDescent="0.25">
      <c r="A49" s="45">
        <v>4</v>
      </c>
      <c r="B49" s="47" t="s">
        <v>86</v>
      </c>
      <c r="C49" s="46" t="s">
        <v>174</v>
      </c>
      <c r="D49" s="46" t="s">
        <v>118</v>
      </c>
      <c r="E49" s="46">
        <v>1</v>
      </c>
      <c r="F49" s="46">
        <v>0</v>
      </c>
      <c r="G49" s="46">
        <v>0</v>
      </c>
      <c r="H49" s="46">
        <v>1</v>
      </c>
      <c r="I49" s="46">
        <v>2</v>
      </c>
      <c r="J49" s="46">
        <v>4</v>
      </c>
      <c r="K49" s="46">
        <v>-2</v>
      </c>
      <c r="L49" s="46">
        <v>0</v>
      </c>
      <c r="N49" s="41" t="s">
        <v>177</v>
      </c>
      <c r="O49" s="41" t="s">
        <v>86</v>
      </c>
      <c r="P49" s="41">
        <v>0</v>
      </c>
      <c r="Q49" s="41">
        <v>-1</v>
      </c>
      <c r="R49" s="41">
        <v>0</v>
      </c>
      <c r="S49" s="41">
        <v>-10049</v>
      </c>
      <c r="T49" s="41">
        <v>3</v>
      </c>
    </row>
  </sheetData>
  <pageMargins left="0.75" right="0.75" top="1" bottom="1" header="0.51" footer="0.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HJ1000"/>
  <sheetViews>
    <sheetView showGridLines="0" topLeftCell="O1" workbookViewId="0">
      <selection sqref="A1:L50"/>
    </sheetView>
  </sheetViews>
  <sheetFormatPr baseColWidth="10" defaultColWidth="14.42578125" defaultRowHeight="15" x14ac:dyDescent="0.25"/>
  <cols>
    <col min="1" max="1" width="18" style="53" customWidth="1"/>
    <col min="2" max="217" width="8" style="53" customWidth="1"/>
    <col min="218" max="218" width="10" style="53" customWidth="1"/>
    <col min="219" max="16384" width="14.42578125" style="53"/>
  </cols>
  <sheetData>
    <row r="1" spans="1:218" ht="15" customHeight="1" x14ac:dyDescent="0.25">
      <c r="A1" s="51" t="s">
        <v>127</v>
      </c>
      <c r="B1" s="51" t="s">
        <v>94</v>
      </c>
      <c r="C1" s="51" t="s">
        <v>110</v>
      </c>
      <c r="D1" s="51" t="s">
        <v>343</v>
      </c>
      <c r="E1" s="51" t="s">
        <v>95</v>
      </c>
      <c r="F1" s="51" t="s">
        <v>119</v>
      </c>
      <c r="G1" s="51" t="s">
        <v>343</v>
      </c>
      <c r="H1" s="51" t="s">
        <v>96</v>
      </c>
      <c r="I1" s="51" t="s">
        <v>111</v>
      </c>
      <c r="J1" s="51" t="s">
        <v>343</v>
      </c>
      <c r="K1" s="51" t="s">
        <v>100</v>
      </c>
      <c r="L1" s="51" t="s">
        <v>113</v>
      </c>
      <c r="M1" s="51" t="s">
        <v>343</v>
      </c>
      <c r="N1" s="51" t="s">
        <v>125</v>
      </c>
      <c r="O1" s="51" t="s">
        <v>112</v>
      </c>
      <c r="P1" s="51" t="s">
        <v>343</v>
      </c>
      <c r="Q1" s="51" t="s">
        <v>101</v>
      </c>
      <c r="R1" s="51" t="s">
        <v>114</v>
      </c>
      <c r="S1" s="51" t="s">
        <v>343</v>
      </c>
      <c r="T1" s="51" t="s">
        <v>98</v>
      </c>
      <c r="U1" s="51" t="s">
        <v>99</v>
      </c>
      <c r="V1" s="51" t="s">
        <v>343</v>
      </c>
      <c r="W1" s="51" t="s">
        <v>121</v>
      </c>
      <c r="X1" s="51" t="s">
        <v>97</v>
      </c>
      <c r="Y1" s="51" t="s">
        <v>343</v>
      </c>
      <c r="Z1" s="51" t="s">
        <v>103</v>
      </c>
      <c r="AA1" s="51" t="s">
        <v>115</v>
      </c>
      <c r="AB1" s="51" t="s">
        <v>343</v>
      </c>
      <c r="AC1" s="51" t="s">
        <v>102</v>
      </c>
      <c r="AD1" s="51" t="s">
        <v>122</v>
      </c>
      <c r="AE1" s="51" t="s">
        <v>343</v>
      </c>
      <c r="AF1" s="51" t="s">
        <v>104</v>
      </c>
      <c r="AG1" s="51" t="s">
        <v>105</v>
      </c>
      <c r="AH1" s="51" t="s">
        <v>343</v>
      </c>
      <c r="AI1" s="51" t="s">
        <v>116</v>
      </c>
      <c r="AJ1" s="51" t="s">
        <v>124</v>
      </c>
      <c r="AK1" s="51" t="s">
        <v>343</v>
      </c>
      <c r="AL1" s="51" t="s">
        <v>67</v>
      </c>
      <c r="AM1" s="51" t="s">
        <v>70</v>
      </c>
      <c r="AN1" s="51" t="s">
        <v>343</v>
      </c>
      <c r="AO1" s="51" t="s">
        <v>66</v>
      </c>
      <c r="AP1" s="51" t="s">
        <v>71</v>
      </c>
      <c r="AQ1" s="51" t="s">
        <v>343</v>
      </c>
      <c r="AR1" s="51" t="s">
        <v>69</v>
      </c>
      <c r="AS1" s="51" t="s">
        <v>72</v>
      </c>
      <c r="AT1" s="51" t="s">
        <v>343</v>
      </c>
      <c r="AU1" s="51" t="s">
        <v>68</v>
      </c>
      <c r="AV1" s="51" t="s">
        <v>73</v>
      </c>
      <c r="AW1" s="51" t="s">
        <v>343</v>
      </c>
      <c r="AX1" s="51" t="s">
        <v>35</v>
      </c>
      <c r="AY1" s="51" t="s">
        <v>45</v>
      </c>
      <c r="AZ1" s="51" t="s">
        <v>343</v>
      </c>
      <c r="BA1" s="51" t="s">
        <v>36</v>
      </c>
      <c r="BB1" s="51" t="s">
        <v>44</v>
      </c>
      <c r="BC1" s="51" t="s">
        <v>343</v>
      </c>
      <c r="BD1" s="51" t="s">
        <v>23</v>
      </c>
      <c r="BE1" s="51" t="s">
        <v>57</v>
      </c>
      <c r="BF1" s="51" t="s">
        <v>343</v>
      </c>
      <c r="BG1" s="51" t="s">
        <v>24</v>
      </c>
      <c r="BH1" s="51" t="s">
        <v>56</v>
      </c>
      <c r="BI1" s="51" t="s">
        <v>343</v>
      </c>
      <c r="BJ1" s="51" t="s">
        <v>109</v>
      </c>
      <c r="BK1" s="51" t="s">
        <v>120</v>
      </c>
      <c r="BL1" s="51" t="s">
        <v>343</v>
      </c>
      <c r="BM1" s="51" t="s">
        <v>108</v>
      </c>
      <c r="BN1" s="51" t="s">
        <v>118</v>
      </c>
      <c r="BO1" s="51" t="s">
        <v>343</v>
      </c>
      <c r="BP1" s="51" t="s">
        <v>107</v>
      </c>
      <c r="BQ1" s="51" t="s">
        <v>117</v>
      </c>
      <c r="BR1" s="51" t="s">
        <v>343</v>
      </c>
      <c r="BS1" s="51" t="s">
        <v>123</v>
      </c>
      <c r="BT1" s="51" t="s">
        <v>106</v>
      </c>
      <c r="BU1" s="51" t="s">
        <v>343</v>
      </c>
      <c r="BV1" s="51" t="s">
        <v>119</v>
      </c>
      <c r="BW1" s="51" t="s">
        <v>110</v>
      </c>
      <c r="BX1" s="51" t="s">
        <v>343</v>
      </c>
      <c r="BY1" s="51" t="s">
        <v>97</v>
      </c>
      <c r="BZ1" s="51" t="s">
        <v>111</v>
      </c>
      <c r="CA1" s="51" t="s">
        <v>343</v>
      </c>
      <c r="CB1" s="51" t="s">
        <v>96</v>
      </c>
      <c r="CC1" s="51" t="s">
        <v>121</v>
      </c>
      <c r="CD1" s="51" t="s">
        <v>343</v>
      </c>
      <c r="CE1" s="51" t="s">
        <v>94</v>
      </c>
      <c r="CF1" s="51" t="s">
        <v>95</v>
      </c>
      <c r="CG1" s="51" t="s">
        <v>343</v>
      </c>
      <c r="CH1" s="51" t="s">
        <v>98</v>
      </c>
      <c r="CI1" s="51" t="s">
        <v>125</v>
      </c>
      <c r="CJ1" s="51" t="s">
        <v>343</v>
      </c>
      <c r="CK1" s="51" t="s">
        <v>112</v>
      </c>
      <c r="CL1" s="51" t="s">
        <v>99</v>
      </c>
      <c r="CM1" s="51" t="s">
        <v>343</v>
      </c>
      <c r="CN1" s="51" t="s">
        <v>114</v>
      </c>
      <c r="CO1" s="51" t="s">
        <v>113</v>
      </c>
      <c r="CP1" s="51" t="s">
        <v>343</v>
      </c>
      <c r="CQ1" s="51" t="s">
        <v>100</v>
      </c>
      <c r="CR1" s="51" t="s">
        <v>101</v>
      </c>
      <c r="CS1" s="51" t="s">
        <v>343</v>
      </c>
      <c r="CT1" s="51" t="s">
        <v>102</v>
      </c>
      <c r="CU1" s="51" t="s">
        <v>103</v>
      </c>
      <c r="CV1" s="51" t="s">
        <v>343</v>
      </c>
      <c r="CW1" s="51" t="s">
        <v>115</v>
      </c>
      <c r="CX1" s="51" t="s">
        <v>122</v>
      </c>
      <c r="CY1" s="51" t="s">
        <v>343</v>
      </c>
      <c r="CZ1" s="51" t="s">
        <v>104</v>
      </c>
      <c r="DA1" s="51" t="s">
        <v>116</v>
      </c>
      <c r="DB1" s="51" t="s">
        <v>343</v>
      </c>
      <c r="DC1" s="51" t="s">
        <v>124</v>
      </c>
      <c r="DD1" s="51" t="s">
        <v>105</v>
      </c>
      <c r="DE1" s="51" t="s">
        <v>343</v>
      </c>
      <c r="DF1" s="51" t="s">
        <v>70</v>
      </c>
      <c r="DG1" s="51" t="s">
        <v>71</v>
      </c>
      <c r="DH1" s="51" t="s">
        <v>343</v>
      </c>
      <c r="DI1" s="51" t="s">
        <v>66</v>
      </c>
      <c r="DJ1" s="51" t="s">
        <v>67</v>
      </c>
      <c r="DK1" s="51" t="s">
        <v>343</v>
      </c>
      <c r="DL1" s="51" t="s">
        <v>68</v>
      </c>
      <c r="DM1" s="51" t="s">
        <v>69</v>
      </c>
      <c r="DN1" s="51" t="s">
        <v>343</v>
      </c>
      <c r="DO1" s="51" t="s">
        <v>72</v>
      </c>
      <c r="DP1" s="51" t="s">
        <v>73</v>
      </c>
      <c r="DQ1" s="51" t="s">
        <v>343</v>
      </c>
      <c r="DR1" s="51" t="s">
        <v>44</v>
      </c>
      <c r="DS1" s="51" t="s">
        <v>45</v>
      </c>
      <c r="DT1" s="51" t="s">
        <v>343</v>
      </c>
      <c r="DU1" s="51" t="s">
        <v>35</v>
      </c>
      <c r="DV1" s="51" t="s">
        <v>36</v>
      </c>
      <c r="DW1" s="51" t="s">
        <v>343</v>
      </c>
      <c r="DX1" s="51" t="s">
        <v>23</v>
      </c>
      <c r="DY1" s="51" t="s">
        <v>24</v>
      </c>
      <c r="DZ1" s="51" t="s">
        <v>343</v>
      </c>
      <c r="EA1" s="51" t="s">
        <v>56</v>
      </c>
      <c r="EB1" s="51" t="s">
        <v>57</v>
      </c>
      <c r="EC1" s="51" t="s">
        <v>343</v>
      </c>
      <c r="ED1" s="51" t="s">
        <v>108</v>
      </c>
      <c r="EE1" s="51" t="s">
        <v>109</v>
      </c>
      <c r="EF1" s="51" t="s">
        <v>343</v>
      </c>
      <c r="EG1" s="51" t="s">
        <v>120</v>
      </c>
      <c r="EH1" s="51" t="s">
        <v>118</v>
      </c>
      <c r="EI1" s="51" t="s">
        <v>343</v>
      </c>
      <c r="EJ1" s="51" t="s">
        <v>107</v>
      </c>
      <c r="EK1" s="51" t="s">
        <v>123</v>
      </c>
      <c r="EL1" s="51" t="s">
        <v>343</v>
      </c>
      <c r="EM1" s="51" t="s">
        <v>106</v>
      </c>
      <c r="EN1" s="51" t="s">
        <v>117</v>
      </c>
      <c r="EO1" s="51" t="s">
        <v>343</v>
      </c>
      <c r="EP1" s="51" t="s">
        <v>112</v>
      </c>
      <c r="EQ1" s="51" t="s">
        <v>98</v>
      </c>
      <c r="ER1" s="51" t="s">
        <v>343</v>
      </c>
      <c r="ES1" s="51" t="s">
        <v>99</v>
      </c>
      <c r="ET1" s="51" t="s">
        <v>125</v>
      </c>
      <c r="EU1" s="51" t="s">
        <v>343</v>
      </c>
      <c r="EV1" s="51" t="s">
        <v>97</v>
      </c>
      <c r="EW1" s="51" t="s">
        <v>96</v>
      </c>
      <c r="EX1" s="51" t="s">
        <v>343</v>
      </c>
      <c r="EY1" s="51" t="s">
        <v>111</v>
      </c>
      <c r="EZ1" s="51" t="s">
        <v>121</v>
      </c>
      <c r="FA1" s="51" t="s">
        <v>343</v>
      </c>
      <c r="FB1" s="51" t="s">
        <v>119</v>
      </c>
      <c r="FC1" s="51" t="s">
        <v>94</v>
      </c>
      <c r="FD1" s="51" t="s">
        <v>343</v>
      </c>
      <c r="FE1" s="51" t="s">
        <v>110</v>
      </c>
      <c r="FF1" s="51" t="s">
        <v>95</v>
      </c>
      <c r="FG1" s="51" t="s">
        <v>343</v>
      </c>
      <c r="FH1" s="51" t="s">
        <v>122</v>
      </c>
      <c r="FI1" s="51" t="s">
        <v>103</v>
      </c>
      <c r="FJ1" s="51" t="s">
        <v>343</v>
      </c>
      <c r="FK1" s="51" t="s">
        <v>115</v>
      </c>
      <c r="FL1" s="51" t="s">
        <v>102</v>
      </c>
      <c r="FM1" s="51" t="s">
        <v>343</v>
      </c>
      <c r="FN1" s="51" t="s">
        <v>105</v>
      </c>
      <c r="FO1" s="51" t="s">
        <v>116</v>
      </c>
      <c r="FP1" s="51" t="s">
        <v>343</v>
      </c>
      <c r="FQ1" s="51" t="s">
        <v>124</v>
      </c>
      <c r="FR1" s="51" t="s">
        <v>104</v>
      </c>
      <c r="FS1" s="51" t="s">
        <v>343</v>
      </c>
      <c r="FT1" s="51" t="s">
        <v>114</v>
      </c>
      <c r="FU1" s="51" t="s">
        <v>100</v>
      </c>
      <c r="FV1" s="51" t="s">
        <v>343</v>
      </c>
      <c r="FW1" s="51" t="s">
        <v>113</v>
      </c>
      <c r="FX1" s="51" t="s">
        <v>101</v>
      </c>
      <c r="FY1" s="51" t="s">
        <v>343</v>
      </c>
      <c r="FZ1" s="51" t="s">
        <v>44</v>
      </c>
      <c r="GA1" s="51" t="s">
        <v>35</v>
      </c>
      <c r="GB1" s="51" t="s">
        <v>343</v>
      </c>
      <c r="GC1" s="51" t="s">
        <v>45</v>
      </c>
      <c r="GD1" s="51" t="s">
        <v>36</v>
      </c>
      <c r="GE1" s="51" t="s">
        <v>343</v>
      </c>
      <c r="GF1" s="51" t="s">
        <v>73</v>
      </c>
      <c r="GG1" s="51" t="s">
        <v>69</v>
      </c>
      <c r="GH1" s="51" t="s">
        <v>343</v>
      </c>
      <c r="GI1" s="51" t="s">
        <v>72</v>
      </c>
      <c r="GJ1" s="51" t="s">
        <v>68</v>
      </c>
      <c r="GK1" s="51" t="s">
        <v>343</v>
      </c>
      <c r="GL1" s="51" t="s">
        <v>71</v>
      </c>
      <c r="GM1" s="51" t="s">
        <v>67</v>
      </c>
      <c r="GN1" s="51" t="s">
        <v>343</v>
      </c>
      <c r="GO1" s="51" t="s">
        <v>70</v>
      </c>
      <c r="GP1" s="51" t="s">
        <v>66</v>
      </c>
      <c r="GQ1" s="51" t="s">
        <v>343</v>
      </c>
      <c r="GR1" s="51" t="s">
        <v>120</v>
      </c>
      <c r="GS1" s="51" t="s">
        <v>108</v>
      </c>
      <c r="GT1" s="51" t="s">
        <v>343</v>
      </c>
      <c r="GU1" s="51" t="s">
        <v>118</v>
      </c>
      <c r="GV1" s="51" t="s">
        <v>109</v>
      </c>
      <c r="GW1" s="51" t="s">
        <v>343</v>
      </c>
      <c r="GX1" s="51" t="s">
        <v>57</v>
      </c>
      <c r="GY1" s="51" t="s">
        <v>24</v>
      </c>
      <c r="GZ1" s="51" t="s">
        <v>343</v>
      </c>
      <c r="HA1" s="51" t="s">
        <v>56</v>
      </c>
      <c r="HB1" s="51" t="s">
        <v>23</v>
      </c>
      <c r="HC1" s="51" t="s">
        <v>343</v>
      </c>
      <c r="HD1" s="51" t="s">
        <v>106</v>
      </c>
      <c r="HE1" s="51" t="s">
        <v>107</v>
      </c>
      <c r="HF1" s="51" t="s">
        <v>343</v>
      </c>
      <c r="HG1" s="51" t="s">
        <v>117</v>
      </c>
      <c r="HH1" s="51" t="s">
        <v>123</v>
      </c>
      <c r="HI1" s="51" t="s">
        <v>343</v>
      </c>
      <c r="HJ1" s="52" t="s">
        <v>369</v>
      </c>
    </row>
    <row r="2" spans="1:218" ht="15" customHeight="1" x14ac:dyDescent="0.25">
      <c r="A2" s="54" t="s">
        <v>370</v>
      </c>
      <c r="B2" s="55">
        <f>IF(Partidos!H2="","",Partidos!H2)</f>
        <v>2</v>
      </c>
      <c r="C2" s="55">
        <f>IF(Partidos!I2="","",Partidos!I2)</f>
        <v>0</v>
      </c>
      <c r="D2" s="55" t="s">
        <v>344</v>
      </c>
      <c r="E2" s="55">
        <f>IF(Partidos!H3="","",Partidos!H3)</f>
        <v>2</v>
      </c>
      <c r="F2" s="55">
        <f>IF(Partidos!I3="","",Partidos!I3)</f>
        <v>1</v>
      </c>
      <c r="G2" s="55" t="s">
        <v>344</v>
      </c>
      <c r="H2" s="55">
        <f>IF(Partidos!H4="","",Partidos!H4)</f>
        <v>1</v>
      </c>
      <c r="I2" s="55">
        <f>IF(Partidos!I4="","",Partidos!I4)</f>
        <v>1</v>
      </c>
      <c r="J2" s="55" t="s">
        <v>344</v>
      </c>
      <c r="K2" s="55">
        <f>IF(Partidos!H5="","",Partidos!H5)</f>
        <v>4</v>
      </c>
      <c r="L2" s="55">
        <f>IF(Partidos!I5="","",Partidos!I5)</f>
        <v>1</v>
      </c>
      <c r="M2" s="55" t="s">
        <v>344</v>
      </c>
      <c r="N2" s="55">
        <f>IF(Partidos!H6="","",Partidos!H6)</f>
        <v>0</v>
      </c>
      <c r="O2" s="55">
        <f>IF(Partidos!I6="","",Partidos!I6)</f>
        <v>1</v>
      </c>
      <c r="P2" s="55" t="s">
        <v>344</v>
      </c>
      <c r="Q2" s="55">
        <f>IF(Partidos!H7="","",Partidos!H7)</f>
        <v>2</v>
      </c>
      <c r="R2" s="55">
        <f>IF(Partidos!I7="","",Partidos!I7)</f>
        <v>0</v>
      </c>
      <c r="S2" s="55" t="s">
        <v>344</v>
      </c>
      <c r="T2" s="55">
        <f>IF(Partidos!H8="","",Partidos!H8)</f>
        <v>1</v>
      </c>
      <c r="U2" s="55">
        <f>IF(Partidos!I8="","",Partidos!I8)</f>
        <v>1</v>
      </c>
      <c r="V2" s="55" t="s">
        <v>344</v>
      </c>
      <c r="W2" s="55">
        <f>IF(Partidos!H9="","",Partidos!H9)</f>
        <v>1</v>
      </c>
      <c r="X2" s="55">
        <f>IF(Partidos!I9="","",Partidos!I9)</f>
        <v>1</v>
      </c>
      <c r="Y2" s="55" t="s">
        <v>344</v>
      </c>
      <c r="Z2" s="55">
        <f>IF(Partidos!H10="","",Partidos!H10)</f>
        <v>1</v>
      </c>
      <c r="AA2" s="55">
        <f>IF(Partidos!I10="","",Partidos!I10)</f>
        <v>0</v>
      </c>
      <c r="AB2" s="55" t="s">
        <v>344</v>
      </c>
      <c r="AC2" s="55">
        <f>IF(Partidos!H11="","",Partidos!H11)</f>
        <v>7</v>
      </c>
      <c r="AD2" s="55">
        <f>IF(Partidos!I11="","",Partidos!I11)</f>
        <v>1</v>
      </c>
      <c r="AE2" s="55" t="s">
        <v>344</v>
      </c>
      <c r="AF2" s="55">
        <f>IF(Partidos!H12="","",Partidos!H12)</f>
        <v>2</v>
      </c>
      <c r="AG2" s="55">
        <f>IF(Partidos!I12="","",Partidos!I12)</f>
        <v>2</v>
      </c>
      <c r="AH2" s="55" t="s">
        <v>344</v>
      </c>
      <c r="AI2" s="55">
        <f>IF(Partidos!H13="","",Partidos!H13)</f>
        <v>5</v>
      </c>
      <c r="AJ2" s="55">
        <f>IF(Partidos!I13="","",Partidos!I13)</f>
        <v>1</v>
      </c>
      <c r="AK2" s="55" t="s">
        <v>344</v>
      </c>
      <c r="AL2" s="55">
        <f>IF(Partidos!H14="","",Partidos!H14)</f>
        <v>1</v>
      </c>
      <c r="AM2" s="55">
        <f>IF(Partidos!I14="","",Partidos!I14)</f>
        <v>1</v>
      </c>
      <c r="AN2" s="55" t="s">
        <v>344</v>
      </c>
      <c r="AO2" s="55">
        <f>IF(Partidos!H15="","",Partidos!H15)</f>
        <v>0</v>
      </c>
      <c r="AP2" s="55">
        <f>IF(Partidos!I15="","",Partidos!I15)</f>
        <v>0</v>
      </c>
      <c r="AQ2" s="55" t="s">
        <v>344</v>
      </c>
      <c r="AR2" s="55">
        <f>IF(Partidos!H16="","",Partidos!H16)</f>
        <v>2</v>
      </c>
      <c r="AS2" s="55">
        <f>IF(Partidos!I16="","",Partidos!I16)</f>
        <v>2</v>
      </c>
      <c r="AT2" s="55" t="s">
        <v>344</v>
      </c>
      <c r="AU2" s="55">
        <f>IF(Partidos!H17="","",Partidos!H17)</f>
        <v>1</v>
      </c>
      <c r="AV2" s="55">
        <f>IF(Partidos!I17="","",Partidos!I17)</f>
        <v>1</v>
      </c>
      <c r="AW2" s="55" t="s">
        <v>344</v>
      </c>
      <c r="AX2" s="55">
        <f>IF(Partidos!H18="","",Partidos!H18)</f>
        <v>3</v>
      </c>
      <c r="AY2" s="55">
        <f>IF(Partidos!I18="","",Partidos!I18)</f>
        <v>1</v>
      </c>
      <c r="AZ2" s="55" t="s">
        <v>344</v>
      </c>
      <c r="BA2" s="55">
        <f>IF(Partidos!H19="","",Partidos!H19)</f>
        <v>1</v>
      </c>
      <c r="BB2" s="55">
        <f>IF(Partidos!I19="","",Partidos!I19)</f>
        <v>4</v>
      </c>
      <c r="BC2" s="55" t="s">
        <v>344</v>
      </c>
      <c r="BD2" s="55">
        <f>IF(Partidos!H20="","",Partidos!H20)</f>
        <v>3</v>
      </c>
      <c r="BE2" s="55">
        <f>IF(Partidos!I20="","",Partidos!I20)</f>
        <v>0</v>
      </c>
      <c r="BF2" s="55" t="s">
        <v>344</v>
      </c>
      <c r="BG2" s="55">
        <f>IF(Partidos!H21="","",Partidos!H21)</f>
        <v>3</v>
      </c>
      <c r="BH2" s="55">
        <f>IF(Partidos!I21="","",Partidos!I21)</f>
        <v>1</v>
      </c>
      <c r="BI2" s="55" t="s">
        <v>344</v>
      </c>
      <c r="BJ2" s="55">
        <f>IF(Partidos!H22="","",Partidos!H22)</f>
        <v>1</v>
      </c>
      <c r="BK2" s="55">
        <f>IF(Partidos!I22="","",Partidos!I22)</f>
        <v>0</v>
      </c>
      <c r="BL2" s="55" t="s">
        <v>344</v>
      </c>
      <c r="BM2" s="55">
        <f>IF(Partidos!H23="","",Partidos!H23)</f>
        <v>4</v>
      </c>
      <c r="BN2" s="55">
        <f>IF(Partidos!I23="","",Partidos!I23)</f>
        <v>2</v>
      </c>
      <c r="BO2" s="55" t="s">
        <v>344</v>
      </c>
      <c r="BP2" s="55">
        <f>IF(Partidos!H24="","",Partidos!H24)</f>
        <v>1</v>
      </c>
      <c r="BQ2" s="55">
        <f>IF(Partidos!I24="","",Partidos!I24)</f>
        <v>1</v>
      </c>
      <c r="BR2" s="55" t="s">
        <v>344</v>
      </c>
      <c r="BS2" s="55">
        <f>IF(Partidos!H25="","",Partidos!H25)</f>
        <v>1</v>
      </c>
      <c r="BT2" s="55">
        <f>IF(Partidos!I25="","",Partidos!I25)</f>
        <v>3</v>
      </c>
      <c r="BU2" s="55" t="s">
        <v>344</v>
      </c>
      <c r="BV2" s="55">
        <f>IF(Partidos!H26="","",Partidos!H26)</f>
        <v>1</v>
      </c>
      <c r="BW2" s="55">
        <f>IF(Partidos!I26="","",Partidos!I26)</f>
        <v>1</v>
      </c>
      <c r="BX2" s="55" t="s">
        <v>344</v>
      </c>
      <c r="BY2" s="55">
        <f>IF(Partidos!H27="","",Partidos!H27)</f>
        <v>4</v>
      </c>
      <c r="BZ2" s="55">
        <f>IF(Partidos!I27="","",Partidos!I27)</f>
        <v>1</v>
      </c>
      <c r="CA2" s="55" t="s">
        <v>344</v>
      </c>
      <c r="CB2" s="55">
        <f>IF(Partidos!H28="","",Partidos!H28)</f>
        <v>6</v>
      </c>
      <c r="CC2" s="55">
        <f>IF(Partidos!I28="","",Partidos!I28)</f>
        <v>0</v>
      </c>
      <c r="CD2" s="55" t="s">
        <v>344</v>
      </c>
      <c r="CE2" s="55">
        <f>IF(Partidos!H29="","",Partidos!H29)</f>
        <v>1</v>
      </c>
      <c r="CF2" s="55">
        <f>IF(Partidos!I29="","",Partidos!I29)</f>
        <v>0</v>
      </c>
      <c r="CG2" s="55" t="s">
        <v>344</v>
      </c>
      <c r="CH2" s="55">
        <f>IF(Partidos!H30="","",Partidos!H30)</f>
        <v>3</v>
      </c>
      <c r="CI2" s="55">
        <f>IF(Partidos!I30="","",Partidos!I30)</f>
        <v>0</v>
      </c>
      <c r="CJ2" s="55" t="s">
        <v>344</v>
      </c>
      <c r="CK2" s="55">
        <f>IF(Partidos!H31="","",Partidos!H31)</f>
        <v>0</v>
      </c>
      <c r="CL2" s="55">
        <f>IF(Partidos!I31="","",Partidos!I31)</f>
        <v>1</v>
      </c>
      <c r="CM2" s="55" t="s">
        <v>344</v>
      </c>
      <c r="CN2" s="55">
        <f>IF(Partidos!H32="","",Partidos!H32)</f>
        <v>0</v>
      </c>
      <c r="CO2" s="55">
        <f>IF(Partidos!I32="","",Partidos!I32)</f>
        <v>1</v>
      </c>
      <c r="CP2" s="55" t="s">
        <v>344</v>
      </c>
      <c r="CQ2" s="55">
        <f>IF(Partidos!H33="","",Partidos!H33)</f>
        <v>2</v>
      </c>
      <c r="CR2" s="55">
        <f>IF(Partidos!I33="","",Partidos!I33)</f>
        <v>0</v>
      </c>
      <c r="CS2" s="55" t="s">
        <v>344</v>
      </c>
      <c r="CT2" s="55">
        <f>IF(Partidos!H34="","",Partidos!H34)</f>
        <v>2</v>
      </c>
      <c r="CU2" s="55">
        <f>IF(Partidos!I34="","",Partidos!I34)</f>
        <v>1</v>
      </c>
      <c r="CV2" s="55" t="s">
        <v>344</v>
      </c>
      <c r="CW2" s="55">
        <f>IF(Partidos!H35="","",Partidos!H35)</f>
        <v>0</v>
      </c>
      <c r="CX2" s="55">
        <f>IF(Partidos!I35="","",Partidos!I35)</f>
        <v>0</v>
      </c>
      <c r="CY2" s="55" t="s">
        <v>344</v>
      </c>
      <c r="CZ2" s="55">
        <f>IF(Partidos!H36="","",Partidos!H36)</f>
        <v>5</v>
      </c>
      <c r="DA2" s="55">
        <f>IF(Partidos!I36="","",Partidos!I36)</f>
        <v>1</v>
      </c>
      <c r="DB2" s="55" t="s">
        <v>344</v>
      </c>
      <c r="DC2" s="55">
        <f>IF(Partidos!H37="","",Partidos!H37)</f>
        <v>0</v>
      </c>
      <c r="DD2" s="55">
        <f>IF(Partidos!I37="","",Partidos!I37)</f>
        <v>4</v>
      </c>
      <c r="DE2" s="55" t="s">
        <v>344</v>
      </c>
      <c r="DF2" s="55">
        <f>IF(Partidos!H38="","",Partidos!H38)</f>
        <v>2</v>
      </c>
      <c r="DG2" s="55">
        <f>IF(Partidos!I38="","",Partidos!I38)</f>
        <v>2</v>
      </c>
      <c r="DH2" s="55" t="s">
        <v>344</v>
      </c>
      <c r="DI2" s="55">
        <f>IF(Partidos!H39="","",Partidos!H39)</f>
        <v>4</v>
      </c>
      <c r="DJ2" s="55">
        <f>IF(Partidos!I39="","",Partidos!I39)</f>
        <v>0</v>
      </c>
      <c r="DK2" s="55" t="s">
        <v>344</v>
      </c>
      <c r="DL2" s="55">
        <f>IF(Partidos!H40="","",Partidos!H40)</f>
        <v>0</v>
      </c>
      <c r="DM2" s="55">
        <f>IF(Partidos!I40="","",Partidos!I40)</f>
        <v>0</v>
      </c>
      <c r="DN2" s="55" t="s">
        <v>344</v>
      </c>
      <c r="DO2" s="55">
        <f>IF(Partidos!H41="","",Partidos!H41)</f>
        <v>1</v>
      </c>
      <c r="DP2" s="55">
        <f>IF(Partidos!I41="","",Partidos!I41)</f>
        <v>3</v>
      </c>
      <c r="DQ2" s="55" t="s">
        <v>344</v>
      </c>
      <c r="DR2" s="55">
        <f>IF(Partidos!H42="","",[1]Partidos!H42)</f>
        <v>3</v>
      </c>
      <c r="DS2" s="55">
        <f>IF(Partidos!I42="","",Partidos!I42)</f>
        <v>2</v>
      </c>
      <c r="DT2" s="55" t="s">
        <v>344</v>
      </c>
      <c r="DU2" s="55">
        <f>IF(Partidos!H43="","",Partidos!H43)</f>
        <v>3</v>
      </c>
      <c r="DV2" s="55">
        <f>IF(Partidos!I43="","",Partidos!I43)</f>
        <v>0</v>
      </c>
      <c r="DW2" s="55" t="s">
        <v>344</v>
      </c>
      <c r="DX2" s="55">
        <f>IF(Partidos!H44="","",Partidos!H44)</f>
        <v>2</v>
      </c>
      <c r="DY2" s="55">
        <f>IF(Partidos!I44="","",Partidos!I44)</f>
        <v>0</v>
      </c>
      <c r="DZ2" s="55" t="s">
        <v>344</v>
      </c>
      <c r="EA2" s="55">
        <f>IF(Partidos!H45="","",Partidos!H45)</f>
        <v>1</v>
      </c>
      <c r="EB2" s="55">
        <f>IF(Partidos!I45="","",Partidos!I45)</f>
        <v>2</v>
      </c>
      <c r="EC2" s="55" t="s">
        <v>344</v>
      </c>
      <c r="ED2" s="55">
        <f>IF(Partidos!H46="","",Partidos!H46)</f>
        <v>0</v>
      </c>
      <c r="EE2" s="55">
        <f>IF(Partidos!I46="","",Partidos!I46)</f>
        <v>0</v>
      </c>
      <c r="EF2" s="55" t="s">
        <v>344</v>
      </c>
      <c r="EG2" s="55">
        <f>IF(Partidos!H47="","",Partidos!H47)</f>
        <v>0</v>
      </c>
      <c r="EH2" s="55">
        <f>IF(Partidos!I47="","",Partidos!I47)</f>
        <v>1</v>
      </c>
      <c r="EI2" s="55" t="s">
        <v>344</v>
      </c>
      <c r="EJ2" s="55">
        <f>IF(Partidos!H48="","",Partidos!H48)</f>
        <v>5</v>
      </c>
      <c r="EK2" s="55">
        <f>IF(Partidos!I48="","",Partidos!I48)</f>
        <v>0</v>
      </c>
      <c r="EL2" s="55" t="s">
        <v>344</v>
      </c>
      <c r="EM2" s="55">
        <f>IF(Partidos!H49="","",Partidos!H49)</f>
        <v>1</v>
      </c>
      <c r="EN2" s="55">
        <f>IF(Partidos!I49="","",Partidos!I49)</f>
        <v>0</v>
      </c>
      <c r="EO2" s="55" t="s">
        <v>344</v>
      </c>
      <c r="EP2" s="55">
        <f>IF(Partidos!H50="","",Partidos!H50)</f>
        <v>0</v>
      </c>
      <c r="EQ2" s="55">
        <f>IF(Partidos!I50="","",Partidos!I50)</f>
        <v>3</v>
      </c>
      <c r="ER2" s="55" t="s">
        <v>344</v>
      </c>
      <c r="ES2" s="55">
        <f>IF(Partidos!H51="","",Partidos!H51)</f>
        <v>4</v>
      </c>
      <c r="ET2" s="55">
        <f>IF(Partidos!I51="","",Partidos!I51)</f>
        <v>2</v>
      </c>
      <c r="EU2" s="55" t="s">
        <v>344</v>
      </c>
      <c r="EV2" s="55">
        <f>IF(Partidos!H52="","",Partidos!H52)</f>
        <v>2</v>
      </c>
      <c r="EW2" s="55">
        <f>IF(Partidos!I52="","",Partidos!I52)</f>
        <v>1</v>
      </c>
      <c r="EX2" s="55" t="s">
        <v>344</v>
      </c>
      <c r="EY2" s="55">
        <f>IF(Partidos!H53="","",Partidos!H53)</f>
        <v>3</v>
      </c>
      <c r="EZ2" s="55">
        <f>IF(Partidos!I53="","",Partidos!I53)</f>
        <v>1</v>
      </c>
      <c r="FA2" s="55" t="s">
        <v>344</v>
      </c>
      <c r="FB2" s="55">
        <f>IF(Partidos!H54="","",Partidos!H54)</f>
        <v>0</v>
      </c>
      <c r="FC2" s="55">
        <f>IF(Partidos!I54="","",Partidos!I54)</f>
        <v>3</v>
      </c>
      <c r="FD2" s="55" t="s">
        <v>344</v>
      </c>
      <c r="FE2" s="55">
        <f>IF(Partidos!H55="","",Partidos!H55)</f>
        <v>1</v>
      </c>
      <c r="FF2" s="55">
        <f>IF(Partidos!I55="","",Partidos!I55)</f>
        <v>0</v>
      </c>
      <c r="FG2" s="55" t="s">
        <v>344</v>
      </c>
      <c r="FH2" s="55">
        <f>IF(Partidos!H56="","",Partidos!H56)</f>
        <v>0</v>
      </c>
      <c r="FI2" s="55">
        <f>IF(Partidos!I56="","",Partidos!I56)</f>
        <v>2</v>
      </c>
      <c r="FJ2" s="55" t="s">
        <v>344</v>
      </c>
      <c r="FK2" s="55">
        <f>IF(Partidos!H57="","",Partidos!H57)</f>
        <v>2</v>
      </c>
      <c r="FL2" s="55">
        <f>IF(Partidos!I57="","",Partidos!I57)</f>
        <v>1</v>
      </c>
      <c r="FM2" s="55" t="s">
        <v>344</v>
      </c>
      <c r="FN2" s="55">
        <f>IF(Partidos!H58="","",Partidos!H58)</f>
        <v>1</v>
      </c>
      <c r="FO2" s="55">
        <f>IF(Partidos!I58="","",Partidos!I58)</f>
        <v>1</v>
      </c>
      <c r="FP2" s="55" t="s">
        <v>344</v>
      </c>
      <c r="FQ2" s="55">
        <f>IF(Partidos!H59="","",Partidos!H59)</f>
        <v>1</v>
      </c>
      <c r="FR2" s="55">
        <f>IF(Partidos!I59="","",Partidos!I59)</f>
        <v>3</v>
      </c>
      <c r="FS2" s="55" t="s">
        <v>344</v>
      </c>
      <c r="FT2" s="55">
        <f>IF(Partidos!H60="","",Partidos!H60)</f>
        <v>3</v>
      </c>
      <c r="FU2" s="55">
        <f>IF(Partidos!I60="","",Partidos!I60)</f>
        <v>2</v>
      </c>
      <c r="FV2" s="55" t="s">
        <v>344</v>
      </c>
      <c r="FW2" s="55">
        <f>IF(Partidos!H61="","",Partidos!H61)</f>
        <v>0</v>
      </c>
      <c r="FX2" s="55">
        <f>IF(Partidos!I61="","",Partidos!I61)</f>
        <v>0</v>
      </c>
      <c r="FY2" s="55" t="s">
        <v>344</v>
      </c>
      <c r="FZ2" s="55">
        <f>IF(Partidos!H62="","",Partidos!H62)</f>
        <v>1</v>
      </c>
      <c r="GA2" s="55">
        <f>IF(Partidos!I62="","",Partidos!I62)</f>
        <v>4</v>
      </c>
      <c r="GB2" s="55" t="s">
        <v>344</v>
      </c>
      <c r="GC2" s="55">
        <f>IF(Partidos!H63="","",Partidos!H63)</f>
        <v>5</v>
      </c>
      <c r="GD2" s="55">
        <f>IF(Partidos!I63="","",Partidos!I63)</f>
        <v>0</v>
      </c>
      <c r="GE2" s="55" t="s">
        <v>344</v>
      </c>
      <c r="GF2" s="55">
        <f>IF(Partidos!H64="","",Partidos!H64)</f>
        <v>1</v>
      </c>
      <c r="GG2" s="55">
        <f>IF(Partidos!I64="","",Partidos!I64)</f>
        <v>1</v>
      </c>
      <c r="GH2" s="55" t="s">
        <v>344</v>
      </c>
      <c r="GI2" s="55">
        <f>IF(Partidos!H65="","",Partidos!H65)</f>
        <v>1</v>
      </c>
      <c r="GJ2" s="55">
        <f>IF(Partidos!I65="","",Partidos!I65)</f>
        <v>5</v>
      </c>
      <c r="GK2" s="55" t="s">
        <v>344</v>
      </c>
      <c r="GL2" s="55">
        <f>IF(Partidos!H66="","",Partidos!H66)</f>
        <v>0</v>
      </c>
      <c r="GM2" s="55">
        <f>IF(Partidos!I66="","",Partidos!I66)</f>
        <v>0</v>
      </c>
      <c r="GN2" s="55" t="s">
        <v>344</v>
      </c>
      <c r="GO2" s="55">
        <f>IF(Partidos!H67="","",Partidos!H67)</f>
        <v>0</v>
      </c>
      <c r="GP2" s="55">
        <f>IF(Partidos!I67="","",Partidos!I67)</f>
        <v>1</v>
      </c>
      <c r="GQ2" s="55" t="s">
        <v>344</v>
      </c>
      <c r="GR2" s="55" t="str">
        <f>IF(Partidos!H68="","",Partidos!H68)</f>
        <v/>
      </c>
      <c r="GS2" s="55" t="str">
        <f>IF(Partidos!I68="","",Partidos!I68)</f>
        <v/>
      </c>
      <c r="GT2" s="55" t="s">
        <v>344</v>
      </c>
      <c r="GU2" s="55" t="str">
        <f>IF(Partidos!H69="","",Partidos!H69)</f>
        <v/>
      </c>
      <c r="GV2" s="55" t="str">
        <f>IF(Partidos!I69="","",Partidos!I69)</f>
        <v/>
      </c>
      <c r="GW2" s="55" t="s">
        <v>344</v>
      </c>
      <c r="GX2" s="55" t="str">
        <f>IF(Partidos!H70="","",Partidos!H70)</f>
        <v/>
      </c>
      <c r="GY2" s="55" t="str">
        <f>IF(Partidos!I70="","",Partidos!I70)</f>
        <v/>
      </c>
      <c r="GZ2" s="55" t="s">
        <v>344</v>
      </c>
      <c r="HA2" s="55" t="str">
        <f>IF(Partidos!H71="","",Partidos!H71)</f>
        <v/>
      </c>
      <c r="HB2" s="55" t="str">
        <f>IF(Partidos!I71="","",Partidos!I71)</f>
        <v/>
      </c>
      <c r="HC2" s="55" t="s">
        <v>344</v>
      </c>
      <c r="HD2" s="55" t="str">
        <f>IF(Partidos!H72="","",Partidos!H72)</f>
        <v/>
      </c>
      <c r="HE2" s="55" t="str">
        <f>IF(Partidos!I72="","",Partidos!I72)</f>
        <v/>
      </c>
      <c r="HF2" s="55" t="s">
        <v>344</v>
      </c>
      <c r="HG2" s="55" t="str">
        <f>IF(Partidos!H73="","",Partidos!H73)</f>
        <v/>
      </c>
      <c r="HH2" s="55" t="str">
        <f>IF(Partidos!I73="","",Partidos!I73)</f>
        <v/>
      </c>
      <c r="HI2" s="55" t="s">
        <v>344</v>
      </c>
      <c r="HJ2" s="56"/>
    </row>
    <row r="3" spans="1:218" ht="15" customHeight="1" x14ac:dyDescent="0.25">
      <c r="A3" s="57" t="str">
        <f>Participantes!B2</f>
        <v>Alberto</v>
      </c>
      <c r="B3" s="56">
        <f>Participantes!C2</f>
        <v>1</v>
      </c>
      <c r="C3" s="56">
        <f>Participantes!D2</f>
        <v>1</v>
      </c>
      <c r="D3" s="58">
        <f t="shared" ref="D3:D51" si="0">IF(B$2="","",IF(AND(B3=B$2,C3=C$2),3,IF(AND(B$2&gt;C$2,B3&gt;C3),1,IF(AND(C$2&gt;B$2,C3&gt;B3),1,IF(AND(B$2=C$2,B3=C3),1,0)))))</f>
        <v>0</v>
      </c>
      <c r="E3" s="56">
        <f>Participantes!E2</f>
        <v>2</v>
      </c>
      <c r="F3" s="56">
        <f>Participantes!F2</f>
        <v>0</v>
      </c>
      <c r="G3" s="58">
        <f t="shared" ref="G3:G51" si="1">IF(E$2="","",IF(AND(E3=E$2,F3=F$2),3,IF(AND(E$2&gt;F$2,E3&gt;F3),1,IF(AND(F$2&gt;E$2,F3&gt;E3),1,IF(AND(E$2=F$2,E3=F3),1,0)))))</f>
        <v>1</v>
      </c>
      <c r="H3" s="56">
        <f>Participantes!G2</f>
        <v>2</v>
      </c>
      <c r="I3" s="56">
        <f>Participantes!H2</f>
        <v>1</v>
      </c>
      <c r="J3" s="58">
        <f t="shared" ref="J3:J51" si="2">IF(H$2="","",IF(AND(H3=H$2,I3=I$2),3,IF(AND(H$2&gt;I$2,H3&gt;I3),1,IF(AND(I$2&gt;H$2,I3&gt;H3),1,IF(AND(H$2=I$2,H3=I3),1,0)))))</f>
        <v>0</v>
      </c>
      <c r="K3" s="56">
        <f>Participantes!I2</f>
        <v>1</v>
      </c>
      <c r="L3" s="56">
        <f>Participantes!J2</f>
        <v>3</v>
      </c>
      <c r="M3" s="58">
        <f t="shared" ref="M3:M51" si="3">IF(K$2="","",IF(AND(K3=K$2,L3=L$2),3,IF(AND(K$2&gt;L$2,K3&gt;L3),1,IF(AND(L$2&gt;K$2,L3&gt;K3),1,IF(AND(K$2=L$2,K3=L3),1,0)))))</f>
        <v>0</v>
      </c>
      <c r="N3" s="56">
        <f>Participantes!K2</f>
        <v>0</v>
      </c>
      <c r="O3" s="56">
        <f>Participantes!L2</f>
        <v>2</v>
      </c>
      <c r="P3" s="58">
        <f t="shared" ref="P3:P51" si="4">IF(N$2="","",IF(AND(N3=N$2,O3=O$2),3,IF(AND(N$2&gt;O$2,N3&gt;O3),1,IF(AND(O$2&gt;N$2,O3&gt;N3),1,IF(AND(N$2=O$2,N3=O3),1,0)))))</f>
        <v>1</v>
      </c>
      <c r="Q3" s="56">
        <f>Participantes!M2</f>
        <v>0</v>
      </c>
      <c r="R3" s="56">
        <f>Participantes!N2</f>
        <v>1</v>
      </c>
      <c r="S3" s="58">
        <f t="shared" ref="S3:S51" si="5">IF(Q$2="","",IF(AND(Q3=Q$2,R3=R$2),3,IF(AND(Q$2&gt;R$2,Q3&gt;R3),1,IF(AND(R$2&gt;Q$2,R3&gt;Q3),1,IF(AND(Q$2=R$2,Q3=R3),1,0)))))</f>
        <v>0</v>
      </c>
      <c r="T3" s="56">
        <f>Participantes!O2</f>
        <v>1</v>
      </c>
      <c r="U3" s="56">
        <f>Participantes!P2</f>
        <v>2</v>
      </c>
      <c r="V3" s="58">
        <f t="shared" ref="V3:V51" si="6">IF(T$2="","",IF(AND(T3=T$2,U3=U$2),3,IF(AND(T$2&gt;U$2,T3&gt;U3),1,IF(AND(U$2&gt;T$2,U3&gt;T3),1,IF(AND(T$2=U$2,T3=U3),1,0)))))</f>
        <v>0</v>
      </c>
      <c r="W3" s="56">
        <f>Participantes!Q2</f>
        <v>0</v>
      </c>
      <c r="X3" s="56">
        <f>Participantes!R2</f>
        <v>2</v>
      </c>
      <c r="Y3" s="58">
        <f t="shared" ref="Y3:Y51" si="7">IF(W$2="","",IF(AND(W3=W$2,X3=X$2),3,IF(AND(W$2&gt;X$2,W3&gt;X3),1,IF(AND(X$2&gt;W$2,X3&gt;W3),1,IF(AND(W$2=X$2,W3=X3),1,0)))))</f>
        <v>0</v>
      </c>
      <c r="Z3" s="56">
        <f>Participantes!S2</f>
        <v>1</v>
      </c>
      <c r="AA3" s="56">
        <f>Participantes!T2</f>
        <v>2</v>
      </c>
      <c r="AB3" s="58">
        <f t="shared" ref="AB3:AB51" si="8">IF(Z$2="","",IF(AND(Z3=Z$2,AA3=AA$2),3,IF(AND(Z$2&gt;AA$2,Z3&gt;AA3),1,IF(AND(AA$2&gt;Z$2,AA3&gt;Z3),1,IF(AND(Z$2=AA$2,Z3=AA3),1,0)))))</f>
        <v>0</v>
      </c>
      <c r="AC3" s="56">
        <f>Participantes!U2</f>
        <v>5</v>
      </c>
      <c r="AD3" s="56">
        <f>Participantes!V2</f>
        <v>0</v>
      </c>
      <c r="AE3" s="58">
        <f t="shared" ref="AE3:AE51" si="9">IF(AC$2="","",IF(AND(AC3=AC$2,AD3=AD$2),3,IF(AND(AC$2&gt;AD$2,AC3&gt;AD3),1,IF(AND(AD$2&gt;AC$2,AD3&gt;AC3),1,IF(AND(AC$2=AD$2,AC3=AD3),1,0)))))</f>
        <v>1</v>
      </c>
      <c r="AF3" s="56">
        <f>Participantes!W2</f>
        <v>3</v>
      </c>
      <c r="AG3" s="56">
        <f>Participantes!X2</f>
        <v>0</v>
      </c>
      <c r="AH3" s="58">
        <f t="shared" ref="AH3:AH51" si="10">IF(AF$2="","",IF(AND(AF3=AF$2,AG3=AG$2),3,IF(AND(AF$2&gt;AG$2,AF3&gt;AG3),1,IF(AND(AG$2&gt;AF$2,AG3&gt;AF3),1,IF(AND(AF$2=AG$2,AF3=AG3),1,0)))))</f>
        <v>0</v>
      </c>
      <c r="AI3" s="56">
        <f>Participantes!Y2</f>
        <v>1</v>
      </c>
      <c r="AJ3" s="56">
        <f>Participantes!Z2</f>
        <v>1</v>
      </c>
      <c r="AK3" s="58">
        <f t="shared" ref="AK3:AK51" si="11">IF(AI$2="","",IF(AND(AI3=AI$2,AJ3=AJ$2),3,IF(AND(AI$2&gt;AJ$2,AI3&gt;AJ3),1,IF(AND(AJ$2&gt;AI$2,AJ3&gt;AI3),1,IF(AND(AI$2=AJ$2,AI3=AJ3),1,0)))))</f>
        <v>0</v>
      </c>
      <c r="AL3" s="56">
        <f>Participantes!AA2</f>
        <v>0</v>
      </c>
      <c r="AM3" s="56">
        <f>Participantes!AB2</f>
        <v>2</v>
      </c>
      <c r="AN3" s="58">
        <f t="shared" ref="AN3:AN51" si="12">IF(AL$2="","",IF(AND(AL3=AL$2,AM3=AM$2),3,IF(AND(AL$2&gt;AM$2,AL3&gt;AM3),1,IF(AND(AM$2&gt;AL$2,AM3&gt;AL3),1,IF(AND(AL$2=AM$2,AL3=AM3),1,0)))))</f>
        <v>0</v>
      </c>
      <c r="AO3" s="56">
        <f>Participantes!AC2</f>
        <v>6</v>
      </c>
      <c r="AP3" s="56">
        <f>Participantes!AD2</f>
        <v>0</v>
      </c>
      <c r="AQ3" s="58">
        <f t="shared" ref="AQ3:AQ51" si="13">IF(AO$2="","",IF(AND(AO3=AO$2,AP3=AP$2),3,IF(AND(AO$2&gt;AP$2,AO3&gt;AP3),1,IF(AND(AP$2&gt;AO$2,AP3&gt;AO3),1,IF(AND(AO$2=AP$2,AO3=AP3),1,0)))))</f>
        <v>0</v>
      </c>
      <c r="AR3" s="56">
        <f>Participantes!AE2</f>
        <v>0</v>
      </c>
      <c r="AS3" s="56">
        <f>Participantes!AF2</f>
        <v>0</v>
      </c>
      <c r="AT3" s="58">
        <f t="shared" ref="AT3:AT51" si="14">IF(AR$2="","",IF(AND(AR3=AR$2,AS3=AS$2),3,IF(AND(AR$2&gt;AS$2,AR3&gt;AS3),1,IF(AND(AS$2&gt;AR$2,AS3&gt;AR3),1,IF(AND(AR$2=AS$2,AR3=AS3),1,0)))))</f>
        <v>1</v>
      </c>
      <c r="AU3" s="56">
        <f>Participantes!AG2</f>
        <v>2</v>
      </c>
      <c r="AV3" s="56">
        <f>Participantes!AH2</f>
        <v>0</v>
      </c>
      <c r="AW3" s="58">
        <f t="shared" ref="AW3:AW51" si="15">IF(AU$2="","",IF(AND(AU3=AU$2,AV3=AV$2),3,IF(AND(AU$2&gt;AV$2,AU3&gt;AV3),1,IF(AND(AV$2&gt;AU$2,AV3&gt;AU3),1,IF(AND(AU$2=AV$2,AU3=AV3),1,0)))))</f>
        <v>0</v>
      </c>
      <c r="AX3" s="56">
        <f>Participantes!AI2</f>
        <v>4</v>
      </c>
      <c r="AY3" s="56">
        <f>Participantes!AJ2</f>
        <v>0</v>
      </c>
      <c r="AZ3" s="58">
        <f t="shared" ref="AZ3:AZ51" si="16">IF(AX$2="","",IF(AND(AX3=AX$2,AY3=AY$2),3,IF(AND(AX$2&gt;AY$2,AX3&gt;AY3),1,IF(AND(AY$2&gt;AX$2,AY3&gt;AX3),1,IF(AND(AX$2=AY$2,AX3=AY3),1,0)))))</f>
        <v>1</v>
      </c>
      <c r="BA3" s="56">
        <f>Participantes!AK2</f>
        <v>0</v>
      </c>
      <c r="BB3" s="56">
        <f>Participantes!AL2</f>
        <v>4</v>
      </c>
      <c r="BC3" s="58">
        <f t="shared" ref="BC3:BC51" si="17">IF(BA$2="","",IF(AND(BA3=BA$2,BB3=BB$2),3,IF(AND(BA$2&gt;BB$2,BA3&gt;BB3),1,IF(AND(BB$2&gt;BA$2,BB3&gt;BA3),1,IF(AND(BA$2=BB$2,BA3=BB3),1,0)))))</f>
        <v>1</v>
      </c>
      <c r="BD3" s="56">
        <f>Participantes!AM2</f>
        <v>4</v>
      </c>
      <c r="BE3" s="56">
        <f>Participantes!AN2</f>
        <v>0</v>
      </c>
      <c r="BF3" s="58">
        <f t="shared" ref="BF3:BF51" si="18">IF(BD$2="","",IF(AND(BD3=BD$2,BE3=BE$2),3,IF(AND(BD$2&gt;BE$2,BD3&gt;BE3),1,IF(AND(BE$2&gt;BD$2,BE3&gt;BD3),1,IF(AND(BD$2=BE$2,BD3=BE3),1,0)))))</f>
        <v>1</v>
      </c>
      <c r="BG3" s="56">
        <f>Participantes!AO2</f>
        <v>1</v>
      </c>
      <c r="BH3" s="56">
        <f>Participantes!AP2</f>
        <v>0</v>
      </c>
      <c r="BI3" s="58">
        <f t="shared" ref="BI3:BI51" si="19">IF(BG$2="","",IF(AND(BG3=BG$2,BH3=BH$2),3,IF(AND(BG$2&gt;BH$2,BG3&gt;BH3),1,IF(AND(BH$2&gt;BG$2,BH3&gt;BG3),1,IF(AND(BG$2=BH$2,BG3=BH3),1,0)))))</f>
        <v>1</v>
      </c>
      <c r="BJ3" s="56">
        <f>Participantes!AQ2</f>
        <v>2</v>
      </c>
      <c r="BK3" s="56">
        <f>Participantes!AR2</f>
        <v>1</v>
      </c>
      <c r="BL3" s="58">
        <f t="shared" ref="BL3:BL51" si="20">IF(BJ$2="","",IF(AND(BJ3=BJ$2,BK3=BK$2),3,IF(AND(BJ$2&gt;BK$2,BJ3&gt;BK3),1,IF(AND(BK$2&gt;BJ$2,BK3&gt;BJ3),1,IF(AND(BJ$2=BK$2,BJ3=BK3),1,0)))))</f>
        <v>1</v>
      </c>
      <c r="BM3" s="56">
        <f>Participantes!AS2</f>
        <v>4</v>
      </c>
      <c r="BN3" s="56">
        <f>Participantes!AT2</f>
        <v>2</v>
      </c>
      <c r="BO3" s="58">
        <f t="shared" ref="BO3:BO51" si="21">IF(BM$2="","",IF(AND(BM3=BM$2,BN3=BN$2),3,IF(AND(BM$2&gt;BN$2,BM3&gt;BN3),1,IF(AND(BN$2&gt;BM$2,BN3&gt;BM3),1,IF(AND(BM$2=BN$2,BM3=BN3),1,0)))))</f>
        <v>3</v>
      </c>
      <c r="BP3" s="56">
        <f>Participantes!AU2</f>
        <v>5</v>
      </c>
      <c r="BQ3" s="56">
        <f>Participantes!AV2</f>
        <v>0</v>
      </c>
      <c r="BR3" s="58">
        <f t="shared" ref="BR3:BR51" si="22">IF(BP$2="","",IF(AND(BP3=BP$2,BQ3=BQ$2),3,IF(AND(BP$2&gt;BQ$2,BP3&gt;BQ3),1,IF(AND(BQ$2&gt;BP$2,BQ3&gt;BP3),1,IF(AND(BP$2=BQ$2,BP3=BQ3),1,0)))))</f>
        <v>0</v>
      </c>
      <c r="BS3" s="56">
        <f>Participantes!AW2</f>
        <v>0</v>
      </c>
      <c r="BT3" s="56">
        <f>Participantes!AX2</f>
        <v>3</v>
      </c>
      <c r="BU3" s="58">
        <f t="shared" ref="BU3:BU51" si="23">IF(BS$2="","",IF(AND(BS3=BS$2,BT3=BT$2),3,IF(AND(BS$2&gt;BT$2,BS3&gt;BT3),1,IF(AND(BT$2&gt;BS$2,BT3&gt;BS3),1,IF(AND(BS$2=BT$2,BS3=BT3),1,0)))))</f>
        <v>1</v>
      </c>
      <c r="BV3" s="56">
        <f>Participantes!AY2</f>
        <v>0</v>
      </c>
      <c r="BW3" s="56">
        <f>Participantes!AZ2</f>
        <v>1</v>
      </c>
      <c r="BX3" s="58">
        <f t="shared" ref="BX3:BX51" si="24">IF(BV$2="","",IF(AND(BV3=BV$2,BW3=BW$2),3,IF(AND(BV$2&gt;BW$2,BV3&gt;BW3),1,IF(AND(BW$2&gt;BV$2,BW3&gt;BV3),1,IF(AND(BV$2=BW$2,BV3=BW3),1,0)))))</f>
        <v>0</v>
      </c>
      <c r="BY3" s="56">
        <f>Participantes!BA2</f>
        <v>1</v>
      </c>
      <c r="BZ3" s="56">
        <f>Participantes!BB2</f>
        <v>0</v>
      </c>
      <c r="CA3" s="58">
        <f t="shared" ref="CA3:CA51" si="25">IF(BY$2="","",IF(AND(BY3=BY$2,BZ3=BZ$2),3,IF(AND(BY$2&gt;BZ$2,BY3&gt;BZ3),1,IF(AND(BZ$2&gt;BY$2,BZ3&gt;BY3),1,IF(AND(BY$2=BZ$2,BY3=BZ3),1,0)))))</f>
        <v>1</v>
      </c>
      <c r="CB3" s="56">
        <f>Participantes!BC2</f>
        <v>3</v>
      </c>
      <c r="CC3" s="56">
        <f>Participantes!BD2</f>
        <v>1</v>
      </c>
      <c r="CD3" s="58">
        <f t="shared" ref="CD3:CD51" si="26">IF(CB$2="","",IF(AND(CB3=CB$2,CC3=CC$2),3,IF(AND(CB$2&gt;CC$2,CB3&gt;CC3),1,IF(AND(CC$2&gt;CB$2,CC3&gt;CB3),1,IF(AND(CB$2=CC$2,CB3=CC3),1,0)))))</f>
        <v>1</v>
      </c>
      <c r="CE3" s="56">
        <f>Participantes!BE2</f>
        <v>1</v>
      </c>
      <c r="CF3" s="56">
        <f>Participantes!BF2</f>
        <v>0</v>
      </c>
      <c r="CG3" s="58">
        <f t="shared" ref="CG3:CG51" si="27">IF(CE$2="","",IF(AND(CE3=CE$2,CF3=CF$2),3,IF(AND(CE$2&gt;CF$2,CE3&gt;CF3),1,IF(AND(CF$2&gt;CE$2,CF3&gt;CE3),1,IF(AND(CE$2=CF$2,CE3=CF3),1,0)))))</f>
        <v>3</v>
      </c>
      <c r="CH3" s="56">
        <f>Participantes!BG2</f>
        <v>5</v>
      </c>
      <c r="CI3" s="56">
        <f>Participantes!BH2</f>
        <v>0</v>
      </c>
      <c r="CJ3" s="58">
        <f t="shared" ref="CJ3:CJ51" si="28">IF(CH$2="","",IF(AND(CH3=CH$2,CI3=CI$2),3,IF(AND(CH$2&gt;CI$2,CH3&gt;CI3),1,IF(AND(CI$2&gt;CH$2,CI3&gt;CH3),1,IF(AND(CH$2=CI$2,CH3=CI3),1,0)))))</f>
        <v>1</v>
      </c>
      <c r="CK3" s="56">
        <f>Participantes!BI2</f>
        <v>0</v>
      </c>
      <c r="CL3" s="56">
        <f>Participantes!BJ2</f>
        <v>3</v>
      </c>
      <c r="CM3" s="58">
        <f t="shared" ref="CM3:CM51" si="29">IF(CK$2="","",IF(AND(CK3=CK$2,CL3=CL$2),3,IF(AND(CK$2&gt;CL$2,CK3&gt;CL3),1,IF(AND(CL$2&gt;CK$2,CL3&gt;CK3),1,IF(AND(CK$2=CL$2,CK3=CL3),1,0)))))</f>
        <v>1</v>
      </c>
      <c r="CN3" s="56">
        <f>Participantes!BK2</f>
        <v>2</v>
      </c>
      <c r="CO3" s="56">
        <f>Participantes!BL2</f>
        <v>3</v>
      </c>
      <c r="CP3" s="58">
        <f t="shared" ref="CP3:CP51" si="30">IF(CN$2="","",IF(AND(CN3=CN$2,CO3=CO$2),3,IF(AND(CN$2&gt;CO$2,CN3&gt;CO3),1,IF(AND(CO$2&gt;CN$2,CO3&gt;CN3),1,IF(AND(CN$2=CO$2,CN3=CO3),1,0)))))</f>
        <v>1</v>
      </c>
      <c r="CQ3" s="56">
        <f>Participantes!BM2</f>
        <v>2</v>
      </c>
      <c r="CR3" s="56">
        <f>Participantes!BN2</f>
        <v>1</v>
      </c>
      <c r="CS3" s="58">
        <f t="shared" ref="CS3:CS51" si="31">IF(CQ$2="","",IF(AND(CQ3=CQ$2,CR3=CR$2),3,IF(AND(CQ$2&gt;CR$2,CQ3&gt;CR3),1,IF(AND(CR$2&gt;CQ$2,CR3&gt;CQ3),1,IF(AND(CQ$2=CR$2,CQ3=CR3),1,0)))))</f>
        <v>1</v>
      </c>
      <c r="CT3" s="56">
        <f>Participantes!BO2</f>
        <v>4</v>
      </c>
      <c r="CU3" s="56">
        <f>Participantes!BP2</f>
        <v>0</v>
      </c>
      <c r="CV3" s="58">
        <f t="shared" ref="CV3:CV51" si="32">IF(CT$2="","",IF(AND(CT3=CT$2,CU3=CU$2),3,IF(AND(CT$2&gt;CU$2,CT3&gt;CU3),1,IF(AND(CU$2&gt;CT$2,CU3&gt;CT3),1,IF(AND(CT$2=CU$2,CT3=CU3),1,0)))))</f>
        <v>1</v>
      </c>
      <c r="CW3" s="56">
        <f>Participantes!BQ2</f>
        <v>4</v>
      </c>
      <c r="CX3" s="56">
        <f>Participantes!BR2</f>
        <v>0</v>
      </c>
      <c r="CY3" s="58">
        <f t="shared" ref="CY3:CY51" si="33">IF(CW$2="","",IF(AND(CW3=CW$2,CX3=CX$2),3,IF(AND(CW$2&gt;CX$2,CW3&gt;CX3),1,IF(AND(CX$2&gt;CW$2,CX3&gt;CW3),1,IF(AND(CW$2=CX$2,CW3=CX3),1,0)))))</f>
        <v>0</v>
      </c>
      <c r="CZ3" s="56">
        <f>Participantes!BS2</f>
        <v>3</v>
      </c>
      <c r="DA3" s="56">
        <f>Participantes!BT2</f>
        <v>1</v>
      </c>
      <c r="DB3" s="58">
        <f t="shared" ref="DB3:DB51" si="34">IF(CZ$2="","",IF(AND(CZ3=CZ$2,DA3=DA$2),3,IF(AND(CZ$2&gt;DA$2,CZ3&gt;DA3),1,IF(AND(DA$2&gt;CZ$2,DA3&gt;CZ3),1,IF(AND(CZ$2=DA$2,CZ3=DA3),1,0)))))</f>
        <v>1</v>
      </c>
      <c r="DC3" s="56">
        <f>Participantes!BU2</f>
        <v>0</v>
      </c>
      <c r="DD3" s="56">
        <f>Participantes!BV2</f>
        <v>2</v>
      </c>
      <c r="DE3" s="58">
        <f t="shared" ref="DE3:DE51" si="35">IF(DC$2="","",IF(AND(DC3=DC$2,DD3=DD$2),3,IF(AND(DC$2&gt;DD$2,DC3&gt;DD3),1,IF(AND(DD$2&gt;DC$2,DD3&gt;DC3),1,IF(AND(DC$2=DD$2,DC3=DD3),1,0)))))</f>
        <v>1</v>
      </c>
      <c r="DF3" s="56">
        <f>Participantes!BW2</f>
        <v>4</v>
      </c>
      <c r="DG3" s="56">
        <f>Participantes!BX2</f>
        <v>0</v>
      </c>
      <c r="DH3" s="58">
        <f t="shared" ref="DH3:DH51" si="36">IF(DF$2="","",IF(AND(DF3=DF$2,DG3=DG$2),3,IF(AND(DF$2&gt;DG$2,DF3&gt;DG3),1,IF(AND(DG$2&gt;DF$2,DG3&gt;DF3),1,IF(AND(DF$2=DG$2,DF3=DG3),1,0)))))</f>
        <v>0</v>
      </c>
      <c r="DI3" s="56">
        <f>Participantes!BY2</f>
        <v>5</v>
      </c>
      <c r="DJ3" s="56">
        <f>Participantes!BZ2</f>
        <v>0</v>
      </c>
      <c r="DK3" s="58">
        <f t="shared" ref="DK3:DK51" si="37">IF(DI$2="","",IF(AND(DI3=DI$2,DJ3=DJ$2),3,IF(AND(DI$2&gt;DJ$2,DI3&gt;DJ3),1,IF(AND(DJ$2&gt;DI$2,DJ3&gt;DI3),1,IF(AND(DI$2=DJ$2,DI3=DJ3),1,0)))))</f>
        <v>1</v>
      </c>
      <c r="DL3" s="56">
        <f>Participantes!CA2</f>
        <v>3</v>
      </c>
      <c r="DM3" s="56">
        <f>Participantes!CB2</f>
        <v>0</v>
      </c>
      <c r="DN3" s="58">
        <f t="shared" ref="DN3:DN51" si="38">IF(DL$2="","",IF(AND(DL3=DL$2,DM3=DM$2),3,IF(AND(DL$2&gt;DM$2,DL3&gt;DM3),1,IF(AND(DM$2&gt;DL$2,DM3&gt;DL3),1,IF(AND(DL$2=DM$2,DL3=DM3),1,0)))))</f>
        <v>0</v>
      </c>
      <c r="DO3" s="56">
        <f>Participantes!CC2</f>
        <v>1</v>
      </c>
      <c r="DP3" s="56">
        <f>Participantes!CD2</f>
        <v>2</v>
      </c>
      <c r="DQ3" s="58">
        <f t="shared" ref="DQ3:DQ51" si="39">IF(DO$2="","",IF(AND(DO3=DO$2,DP3=DP$2),3,IF(AND(DO$2&gt;DP$2,DO3&gt;DP3),1,IF(AND(DP$2&gt;DO$2,DP3&gt;DO3),1,IF(AND(DO$2=DP$2,DO3=DP3),1,0)))))</f>
        <v>1</v>
      </c>
      <c r="DR3" s="56">
        <f>Participantes!CE2</f>
        <v>2</v>
      </c>
      <c r="DS3" s="56">
        <f>Participantes!CF2</f>
        <v>2</v>
      </c>
      <c r="DT3" s="58">
        <f t="shared" ref="DT3:DT51" si="40">IF(DR$2="","",IF(AND(DR3=DR$2,DS3=DS$2),3,IF(AND(DR$2&gt;DS$2,DR3&gt;DS3),1,IF(AND(DS$2&gt;DR$2,DS3&gt;DR3),1,IF(AND(DR$2=DS$2,DR3=DS3),1,0)))))</f>
        <v>0</v>
      </c>
      <c r="DU3" s="56">
        <f>Participantes!CG2</f>
        <v>5</v>
      </c>
      <c r="DV3" s="56">
        <f>Participantes!CH2</f>
        <v>0</v>
      </c>
      <c r="DW3" s="58">
        <f t="shared" ref="DW3:DW51" si="41">IF(DU$2="","",IF(AND(DU3=DU$2,DV3=DV$2),3,IF(AND(DU$2&gt;DV$2,DU3&gt;DV3),1,IF(AND(DV$2&gt;DU$2,DV3&gt;DU3),1,IF(AND(DU$2=DV$2,DU3=DV3),1,0)))))</f>
        <v>1</v>
      </c>
      <c r="DX3" s="56">
        <f>Participantes!CI2</f>
        <v>3</v>
      </c>
      <c r="DY3" s="56">
        <f>Participantes!CJ2</f>
        <v>0</v>
      </c>
      <c r="DZ3" s="58">
        <f t="shared" ref="DZ3:DZ51" si="42">IF(DX$2="","",IF(AND(DX3=DX$2,DY3=DY$2),3,IF(AND(DX$2&gt;DY$2,DX3&gt;DY3),1,IF(AND(DY$2&gt;DX$2,DY3&gt;DX3),1,IF(AND(DX$2=DY$2,DX3=DY3),1,0)))))</f>
        <v>1</v>
      </c>
      <c r="EA3" s="56">
        <f>Participantes!CK2</f>
        <v>0</v>
      </c>
      <c r="EB3" s="56">
        <f>Participantes!CL2</f>
        <v>0</v>
      </c>
      <c r="EC3" s="58">
        <f t="shared" ref="EC3:EC51" si="43">IF(EA$2="","",IF(AND(EA3=EA$2,EB3=EB$2),3,IF(AND(EA$2&gt;EB$2,EA3&gt;EB3),1,IF(AND(EB$2&gt;EA$2,EB3&gt;EA3),1,IF(AND(EA$2=EB$2,EA3=EB3),1,0)))))</f>
        <v>0</v>
      </c>
      <c r="ED3" s="56">
        <f>Participantes!CM2</f>
        <v>5</v>
      </c>
      <c r="EE3" s="56">
        <f>Participantes!CN2</f>
        <v>0</v>
      </c>
      <c r="EF3" s="58">
        <f t="shared" ref="EF3:EF51" si="44">IF(ED$2="","",IF(AND(ED3=ED$2,EE3=EE$2),3,IF(AND(ED$2&gt;EE$2,ED3&gt;EE3),1,IF(AND(EE$2&gt;ED$2,EE3&gt;ED3),1,IF(AND(ED$2=EE$2,ED3=EE3),1,0)))))</f>
        <v>0</v>
      </c>
      <c r="EG3" s="56">
        <f>Participantes!CO2</f>
        <v>0</v>
      </c>
      <c r="EH3" s="56">
        <f>Participantes!CP2</f>
        <v>4</v>
      </c>
      <c r="EI3" s="58">
        <f t="shared" ref="EI3:EI51" si="45">IF(EG$2="","",IF(AND(EG3=EG$2,EH3=EH$2),3,IF(AND(EG$2&gt;EH$2,EG3&gt;EH3),1,IF(AND(EH$2&gt;EG$2,EH3&gt;EG3),1,IF(AND(EG$2=EH$2,EG3=EH3),1,0)))))</f>
        <v>1</v>
      </c>
      <c r="EJ3" s="56">
        <f>Participantes!CQ2</f>
        <v>5</v>
      </c>
      <c r="EK3" s="56">
        <f>Participantes!CR2</f>
        <v>0</v>
      </c>
      <c r="EL3" s="58">
        <f t="shared" ref="EL3:EL51" si="46">IF(EJ$2="","",IF(AND(EJ3=EJ$2,EK3=EK$2),3,IF(AND(EJ$2&gt;EK$2,EJ3&gt;EK3),1,IF(AND(EK$2&gt;EJ$2,EK3&gt;EJ3),1,IF(AND(EJ$2=EK$2,EJ3=EK3),1,0)))))</f>
        <v>3</v>
      </c>
      <c r="EM3" s="56">
        <f>Participantes!CS2</f>
        <v>2</v>
      </c>
      <c r="EN3" s="56">
        <f>Participantes!CT2</f>
        <v>1</v>
      </c>
      <c r="EO3" s="58">
        <f t="shared" ref="EO3:EO51" si="47">IF(EM$2="","",IF(AND(EM3=EM$2,EN3=EN$2),3,IF(AND(EM$2&gt;EN$2,EM3&gt;EN3),1,IF(AND(EN$2&gt;EM$2,EN3&gt;EM3),1,IF(AND(EM$2=EN$2,EM3=EN3),1,0)))))</f>
        <v>1</v>
      </c>
      <c r="EP3" s="56">
        <f>Participantes!CU2</f>
        <v>0</v>
      </c>
      <c r="EQ3" s="56">
        <f>Participantes!CV2</f>
        <v>4</v>
      </c>
      <c r="ER3" s="58">
        <f t="shared" ref="ER3:ER51" si="48">IF(EP$2="","",IF(AND(EP3=EP$2,EQ3=EQ$2),3,IF(AND(EP$2&gt;EQ$2,EP3&gt;EQ3),1,IF(AND(EQ$2&gt;EP$2,EQ3&gt;EP3),1,IF(AND(EP$2=EQ$2,EP3=EQ3),1,0)))))</f>
        <v>1</v>
      </c>
      <c r="ES3" s="56">
        <f>Participantes!CW2</f>
        <v>4</v>
      </c>
      <c r="ET3" s="56">
        <f>Participantes!CX2</f>
        <v>0</v>
      </c>
      <c r="EU3" s="58">
        <f t="shared" ref="EU3:EU51" si="49">IF(ES$2="","",IF(AND(ES3=ES$2,ET3=ET$2),3,IF(AND(ES$2&gt;ET$2,ES3&gt;ET3),1,IF(AND(ET$2&gt;ES$2,ET3&gt;ES3),1,IF(AND(ES$2=ET$2,ES3=ET3),1,0)))))</f>
        <v>1</v>
      </c>
      <c r="EV3" s="56">
        <f>Participantes!CY2</f>
        <v>3</v>
      </c>
      <c r="EW3" s="56">
        <f>Participantes!CZ2</f>
        <v>2</v>
      </c>
      <c r="EX3" s="58">
        <f t="shared" ref="EX3:EX51" si="50">IF(EV$2="","",IF(AND(EV3=EV$2,EW3=EW$2),3,IF(AND(EV$2&gt;EW$2,EV3&gt;EW3),1,IF(AND(EW$2&gt;EV$2,EW3&gt;EV3),1,IF(AND(EV$2=EW$2,EV3=EW3),1,0)))))</f>
        <v>1</v>
      </c>
      <c r="EY3" s="56">
        <f>Participantes!DA2</f>
        <v>1</v>
      </c>
      <c r="EZ3" s="56">
        <f>Participantes!DB2</f>
        <v>1</v>
      </c>
      <c r="FA3" s="58">
        <f t="shared" ref="FA3:FA51" si="51">IF(EY$2="","",IF(AND(EY3=EY$2,EZ3=EZ$2),3,IF(AND(EY$2&gt;EZ$2,EY3&gt;EZ3),1,IF(AND(EZ$2&gt;EY$2,EZ3&gt;EY3),1,IF(AND(EY$2=EZ$2,EY3=EZ3),1,0)))))</f>
        <v>0</v>
      </c>
      <c r="FB3" s="56">
        <f>Participantes!DC2</f>
        <v>1</v>
      </c>
      <c r="FC3" s="56">
        <f>Participantes!DD2</f>
        <v>3</v>
      </c>
      <c r="FD3" s="58">
        <f t="shared" ref="FD3:FD51" si="52">IF(FB$2="","",IF(AND(FB3=FB$2,FC3=FC$2),3,IF(AND(FB$2&gt;FC$2,FB3&gt;FC3),1,IF(AND(FC$2&gt;FB$2,FC3&gt;FB3),1,IF(AND(FB$2=FC$2,FB3=FC3),1,0)))))</f>
        <v>1</v>
      </c>
      <c r="FE3" s="56">
        <f>Participantes!DE2</f>
        <v>0</v>
      </c>
      <c r="FF3" s="56">
        <f>Participantes!DF2</f>
        <v>1</v>
      </c>
      <c r="FG3" s="58">
        <f t="shared" ref="FG3:FG51" si="53">IF(FE$2="","",IF(AND(FE3=FE$2,FF3=FF$2),3,IF(AND(FE$2&gt;FF$2,FE3&gt;FF3),1,IF(AND(FF$2&gt;FE$2,FF3&gt;FE3),1,IF(AND(FE$2=FF$2,FE3=FF3),1,0)))))</f>
        <v>0</v>
      </c>
      <c r="FH3" s="56">
        <f>Participantes!DG2</f>
        <v>0</v>
      </c>
      <c r="FI3" s="56">
        <f>Participantes!DH2</f>
        <v>2</v>
      </c>
      <c r="FJ3" s="58">
        <f t="shared" ref="FJ3:FJ51" si="54">IF(FH$2="","",IF(AND(FH3=FH$2,FI3=FI$2),3,IF(AND(FH$2&gt;FI$2,FH3&gt;FI3),1,IF(AND(FI$2&gt;FH$2,FI3&gt;FH3),1,IF(AND(FH$2=FI$2,FH3=FI3),1,0)))))</f>
        <v>3</v>
      </c>
      <c r="FK3" s="56">
        <f>Participantes!DI2</f>
        <v>2</v>
      </c>
      <c r="FL3" s="56">
        <f>Participantes!DJ2</f>
        <v>4</v>
      </c>
      <c r="FM3" s="58">
        <f t="shared" ref="FM3:FM51" si="55">IF(FK$2="","",IF(AND(FK3=FK$2,FL3=FL$2),3,IF(AND(FK$2&gt;FL$2,FK3&gt;FL3),1,IF(AND(FL$2&gt;FK$2,FL3&gt;FK3),1,IF(AND(FK$2=FL$2,FK3=FL3),1,0)))))</f>
        <v>0</v>
      </c>
      <c r="FN3" s="56">
        <f>Participantes!DK2</f>
        <v>2</v>
      </c>
      <c r="FO3" s="56">
        <f>Participantes!DL2</f>
        <v>2</v>
      </c>
      <c r="FP3" s="58">
        <f t="shared" ref="FP3:FP51" si="56">IF(FN$2="","",IF(AND(FN3=FN$2,FO3=FO$2),3,IF(AND(FN$2&gt;FO$2,FN3&gt;FO3),1,IF(AND(FO$2&gt;FN$2,FO3&gt;FN3),1,IF(AND(FN$2=FO$2,FN3=FO3),1,0)))))</f>
        <v>1</v>
      </c>
      <c r="FQ3" s="56">
        <f>Participantes!DM2</f>
        <v>0</v>
      </c>
      <c r="FR3" s="56">
        <f>Participantes!DN2</f>
        <v>3</v>
      </c>
      <c r="FS3" s="58">
        <f t="shared" ref="FS3:FS51" si="57">IF(FQ$2="","",IF(AND(FQ3=FQ$2,FR3=FR$2),3,IF(AND(FQ$2&gt;FR$2,FQ3&gt;FR3),1,IF(AND(FR$2&gt;FQ$2,FR3&gt;FQ3),1,IF(AND(FQ$2=FR$2,FQ3=FR3),1,0)))))</f>
        <v>1</v>
      </c>
      <c r="FT3" s="56">
        <f>Participantes!DO2</f>
        <v>1</v>
      </c>
      <c r="FU3" s="56">
        <f>Participantes!DP2</f>
        <v>0</v>
      </c>
      <c r="FV3" s="58">
        <f t="shared" ref="FV3:FV51" si="58">IF(FT$2="","",IF(AND(FT3=FT$2,FU3=FU$2),3,IF(AND(FT$2&gt;FU$2,FT3&gt;FU3),1,IF(AND(FU$2&gt;FT$2,FU3&gt;FT3),1,IF(AND(FT$2=FU$2,FT3=FU3),1,0)))))</f>
        <v>1</v>
      </c>
      <c r="FW3" s="56">
        <f>Participantes!DQ2</f>
        <v>1</v>
      </c>
      <c r="FX3" s="56">
        <f>Participantes!DR2</f>
        <v>0</v>
      </c>
      <c r="FY3" s="58">
        <f t="shared" ref="FY3:FY51" si="59">IF(FW$2="","",IF(AND(FW3=FW$2,FX3=FX$2),3,IF(AND(FW$2&gt;FX$2,FW3&gt;FX3),1,IF(AND(FX$2&gt;FW$2,FX3&gt;FW3),1,IF(AND(FW$2=FX$2,FW3=FX3),1,0)))))</f>
        <v>0</v>
      </c>
      <c r="FZ3" s="56">
        <f>Participantes!DS2</f>
        <v>1</v>
      </c>
      <c r="GA3" s="56">
        <f>Participantes!DT2</f>
        <v>3</v>
      </c>
      <c r="GB3" s="58">
        <f t="shared" ref="GB3:GB51" si="60">IF(FZ$2="","",IF(AND(FZ3=FZ$2,GA3=GA$2),3,IF(AND(FZ$2&gt;GA$2,FZ3&gt;GA3),1,IF(AND(GA$2&gt;FZ$2,GA3&gt;FZ3),1,IF(AND(FZ$2=GA$2,FZ3=GA3),1,0)))))</f>
        <v>1</v>
      </c>
      <c r="GC3" s="56">
        <f>Participantes!DU2</f>
        <v>2</v>
      </c>
      <c r="GD3" s="56">
        <f>Participantes!DV2</f>
        <v>0</v>
      </c>
      <c r="GE3" s="58">
        <f t="shared" ref="GE3:GE51" si="61">IF(GC$2="","",IF(AND(GC3=GC$2,GD3=GD$2),3,IF(AND(GC$2&gt;GD$2,GC3&gt;GD3),1,IF(AND(GD$2&gt;GC$2,GD3&gt;GC3),1,IF(AND(GC$2=GD$2,GC3=GD3),1,0)))))</f>
        <v>1</v>
      </c>
      <c r="GF3" s="56">
        <f>Participantes!DW2</f>
        <v>2</v>
      </c>
      <c r="GG3" s="56">
        <f>Participantes!DX2</f>
        <v>1</v>
      </c>
      <c r="GH3" s="58">
        <f t="shared" ref="GH3:GH51" si="62">IF(GF$2="","",IF(AND(GF3=GF$2,GG3=GG$2),3,IF(AND(GF$2&gt;GG$2,GF3&gt;GG3),1,IF(AND(GG$2&gt;GF$2,GG3&gt;GF3),1,IF(AND(GF$2=GG$2,GF3=GG3),1,0)))))</f>
        <v>0</v>
      </c>
      <c r="GI3" s="56">
        <f>Participantes!DY2</f>
        <v>0</v>
      </c>
      <c r="GJ3" s="56">
        <f>Participantes!DZ2</f>
        <v>4</v>
      </c>
      <c r="GK3" s="58">
        <f t="shared" ref="GK3:GK51" si="63">IF(GI$2="","",IF(AND(GI3=GI$2,GJ3=GJ$2),3,IF(AND(GI$2&gt;GJ$2,GI3&gt;GJ3),1,IF(AND(GJ$2&gt;GI$2,GJ3&gt;GI3),1,IF(AND(GI$2=GJ$2,GI3=GJ3),1,0)))))</f>
        <v>1</v>
      </c>
      <c r="GL3" s="56">
        <f>Participantes!EA2</f>
        <v>0</v>
      </c>
      <c r="GM3" s="56">
        <f>Participantes!EB2</f>
        <v>1</v>
      </c>
      <c r="GN3" s="58">
        <f t="shared" ref="GN3:GN51" si="64">IF(GL$2="","",IF(AND(GL3=GL$2,GM3=GM$2),3,IF(AND(GL$2&gt;GM$2,GL3&gt;GM3),1,IF(AND(GM$2&gt;GL$2,GM3&gt;GL3),1,IF(AND(GL$2=GM$2,GL3=GM3),1,0)))))</f>
        <v>0</v>
      </c>
      <c r="GO3" s="56">
        <f>Participantes!EC2</f>
        <v>1</v>
      </c>
      <c r="GP3" s="56">
        <f>Participantes!ED2</f>
        <v>2</v>
      </c>
      <c r="GQ3" s="58">
        <f t="shared" ref="GQ3:GQ51" si="65">IF(GO$2="","",IF(AND(GO3=GO$2,GP3=GP$2),3,IF(AND(GO$2&gt;GP$2,GO3&gt;GP3),1,IF(AND(GP$2&gt;GO$2,GP3&gt;GO3),1,IF(AND(GO$2=GP$2,GO3=GP3),1,0)))))</f>
        <v>1</v>
      </c>
      <c r="GR3" s="56">
        <f>Participantes!EE2</f>
        <v>0</v>
      </c>
      <c r="GS3" s="56">
        <f>Participantes!EF2</f>
        <v>6</v>
      </c>
      <c r="GT3" s="58" t="str">
        <f t="shared" ref="GT3:GT51" si="66">IF(GR$2="","",IF(AND(GR3=GR$2,GS3=GS$2),3,IF(AND(GR$2&gt;GS$2,GR3&gt;GS3),1,IF(AND(GS$2&gt;GR$2,GS3&gt;GR3),1,IF(AND(GR$2=GS$2,GR3=GS3),1,0)))))</f>
        <v/>
      </c>
      <c r="GU3" s="56">
        <f>Participantes!EG2</f>
        <v>3</v>
      </c>
      <c r="GV3" s="56">
        <f>Participantes!EH2</f>
        <v>0</v>
      </c>
      <c r="GW3" s="58" t="str">
        <f t="shared" ref="GW3:GW51" si="67">IF(GU$2="","",IF(AND(GU3=GU$2,GV3=GV$2),3,IF(AND(GU$2&gt;GV$2,GU3&gt;GV3),1,IF(AND(GV$2&gt;GU$2,GV3&gt;GU3),1,IF(AND(GU$2=GV$2,GU3=GV3),1,0)))))</f>
        <v/>
      </c>
      <c r="GX3" s="56">
        <f>Participantes!EI2</f>
        <v>0</v>
      </c>
      <c r="GY3" s="56">
        <f>Participantes!EJ2</f>
        <v>0</v>
      </c>
      <c r="GZ3" s="58" t="str">
        <f t="shared" ref="GZ3:GZ51" si="68">IF(GX$2="","",IF(AND(GX3=GX$2,GY3=GY$2),3,IF(AND(GX$2&gt;GY$2,GX3&gt;GY3),1,IF(AND(GY$2&gt;GX$2,GY3&gt;GX3),1,IF(AND(GX$2=GY$2,GX3=GY3),1,0)))))</f>
        <v/>
      </c>
      <c r="HA3" s="56">
        <f>Participantes!EK2</f>
        <v>0</v>
      </c>
      <c r="HB3" s="56">
        <f>Participantes!EL2</f>
        <v>4</v>
      </c>
      <c r="HC3" s="58" t="str">
        <f t="shared" ref="HC3:HC51" si="69">IF(HA$2="","",IF(AND(HA3=HA$2,HB3=HB$2),3,IF(AND(HA$2&gt;HB$2,HA3&gt;HB3),1,IF(AND(HB$2&gt;HA$2,HB3&gt;HA3),1,IF(AND(HA$2=HB$2,HA3=HB3),1,0)))))</f>
        <v/>
      </c>
      <c r="HD3" s="56">
        <f>Participantes!EM2</f>
        <v>0</v>
      </c>
      <c r="HE3" s="56">
        <f>Participantes!EN2</f>
        <v>2</v>
      </c>
      <c r="HF3" s="58" t="str">
        <f t="shared" ref="HF3:HF51" si="70">IF(HD$2="","",IF(AND(HD3=HD$2,HE3=HE$2),3,IF(AND(HD$2&gt;HE$2,HD3&gt;HE3),1,IF(AND(HE$2&gt;HD$2,HE3&gt;HD3),1,IF(AND(HD$2=HE$2,HD3=HE3),1,0)))))</f>
        <v/>
      </c>
      <c r="HG3" s="56">
        <f>Participantes!EO2</f>
        <v>1</v>
      </c>
      <c r="HH3" s="56">
        <f>Participantes!EP2</f>
        <v>1</v>
      </c>
      <c r="HI3" s="58" t="str">
        <f t="shared" ref="HI3:HI51" si="71">IF(HG$2="","",IF(AND(HG3=HG$2,HH3=HH$2),3,IF(AND(HG$2&gt;HH$2,HG3&gt;HH3),1,IF(AND(HH$2&gt;HG$2,HH3&gt;HG3),1,IF(AND(HG$2=HH$2,HG3=HH3),1,0)))))</f>
        <v/>
      </c>
      <c r="HJ3" s="59">
        <f t="shared" ref="HJ3:HJ51" si="72">SUM(D3,G3,J3,M3,P3,S3,V3,Y3,AB3,AE3,AH3,AK3,AN3,AQ3,AT3,AW3,AZ3,BC3,BF3,BI3,BL3,BO3,BR3,BU3,BX3,CA3,CD3,CG3,CJ3,CM3,CP3,CS3,CV3,CY3,DB3,DE3,DH3,DK3,DN3,DQ3,DT3,DW3,DZ3,EC3,EF3,EI3,EL3,EO3,ER3,EU3,EX3,FA3,FD3,FG3,FJ3,FM3,FP3,FS3,FV3,FY3,GB3,GE3,GH3,GK3,GN3,GQ3,GT3,GW3,GZ3,HC3,HF3,HI3)</f>
        <v>48</v>
      </c>
    </row>
    <row r="4" spans="1:218" ht="15" customHeight="1" x14ac:dyDescent="0.25">
      <c r="A4" s="57" t="str">
        <f>Participantes!B3</f>
        <v>Alexander</v>
      </c>
      <c r="B4" s="56">
        <f>Participantes!C3</f>
        <v>2</v>
      </c>
      <c r="C4" s="56">
        <f>Participantes!D3</f>
        <v>0</v>
      </c>
      <c r="D4" s="58">
        <f t="shared" si="0"/>
        <v>3</v>
      </c>
      <c r="E4" s="56">
        <f>Participantes!E3</f>
        <v>1</v>
      </c>
      <c r="F4" s="56">
        <f>Participantes!F3</f>
        <v>1</v>
      </c>
      <c r="G4" s="58">
        <f t="shared" si="1"/>
        <v>0</v>
      </c>
      <c r="H4" s="56">
        <f>Participantes!G3</f>
        <v>1</v>
      </c>
      <c r="I4" s="56">
        <f>Participantes!H3</f>
        <v>1</v>
      </c>
      <c r="J4" s="58">
        <f t="shared" si="2"/>
        <v>3</v>
      </c>
      <c r="K4" s="56">
        <f>Participantes!I3</f>
        <v>2</v>
      </c>
      <c r="L4" s="56">
        <f>Participantes!J3</f>
        <v>0</v>
      </c>
      <c r="M4" s="58">
        <f t="shared" si="3"/>
        <v>1</v>
      </c>
      <c r="N4" s="56">
        <f>Participantes!K3</f>
        <v>0</v>
      </c>
      <c r="O4" s="56">
        <f>Participantes!L3</f>
        <v>2</v>
      </c>
      <c r="P4" s="58">
        <f t="shared" si="4"/>
        <v>1</v>
      </c>
      <c r="Q4" s="56">
        <f>Participantes!M3</f>
        <v>1</v>
      </c>
      <c r="R4" s="56">
        <f>Participantes!N3</f>
        <v>1</v>
      </c>
      <c r="S4" s="58">
        <f t="shared" si="5"/>
        <v>0</v>
      </c>
      <c r="T4" s="56">
        <f>Participantes!O3</f>
        <v>2</v>
      </c>
      <c r="U4" s="56">
        <f>Participantes!P3</f>
        <v>0</v>
      </c>
      <c r="V4" s="58">
        <f t="shared" si="6"/>
        <v>0</v>
      </c>
      <c r="W4" s="56">
        <f>Participantes!Q3</f>
        <v>0</v>
      </c>
      <c r="X4" s="56">
        <f>Participantes!R3</f>
        <v>1</v>
      </c>
      <c r="Y4" s="58">
        <f t="shared" si="7"/>
        <v>0</v>
      </c>
      <c r="Z4" s="56">
        <f>Participantes!S3</f>
        <v>1</v>
      </c>
      <c r="AA4" s="56">
        <f>Participantes!T3</f>
        <v>1</v>
      </c>
      <c r="AB4" s="58">
        <f t="shared" si="8"/>
        <v>0</v>
      </c>
      <c r="AC4" s="56">
        <f>Participantes!U3</f>
        <v>3</v>
      </c>
      <c r="AD4" s="56">
        <f>Participantes!V3</f>
        <v>0</v>
      </c>
      <c r="AE4" s="58">
        <f t="shared" si="9"/>
        <v>1</v>
      </c>
      <c r="AF4" s="56">
        <f>Participantes!W3</f>
        <v>2</v>
      </c>
      <c r="AG4" s="56">
        <f>Participantes!X3</f>
        <v>1</v>
      </c>
      <c r="AH4" s="58">
        <f t="shared" si="10"/>
        <v>0</v>
      </c>
      <c r="AI4" s="56">
        <f>Participantes!Y3</f>
        <v>1</v>
      </c>
      <c r="AJ4" s="56">
        <f>Participantes!Z3</f>
        <v>0</v>
      </c>
      <c r="AK4" s="58">
        <f t="shared" si="11"/>
        <v>1</v>
      </c>
      <c r="AL4" s="56">
        <f>Participantes!AA3</f>
        <v>1</v>
      </c>
      <c r="AM4" s="56">
        <f>Participantes!AB3</f>
        <v>2</v>
      </c>
      <c r="AN4" s="58">
        <f t="shared" si="12"/>
        <v>0</v>
      </c>
      <c r="AO4" s="56">
        <f>Participantes!AC3</f>
        <v>3</v>
      </c>
      <c r="AP4" s="56">
        <f>Participantes!AD3</f>
        <v>0</v>
      </c>
      <c r="AQ4" s="58">
        <f t="shared" si="13"/>
        <v>0</v>
      </c>
      <c r="AR4" s="56">
        <f>Participantes!AE3</f>
        <v>1</v>
      </c>
      <c r="AS4" s="56">
        <f>Participantes!AF3</f>
        <v>0</v>
      </c>
      <c r="AT4" s="58">
        <f t="shared" si="14"/>
        <v>0</v>
      </c>
      <c r="AU4" s="56">
        <f>Participantes!AG3</f>
        <v>2</v>
      </c>
      <c r="AV4" s="56">
        <f>Participantes!AH3</f>
        <v>0</v>
      </c>
      <c r="AW4" s="58">
        <f t="shared" si="15"/>
        <v>0</v>
      </c>
      <c r="AX4" s="56">
        <f>Participantes!AI3</f>
        <v>2</v>
      </c>
      <c r="AY4" s="56">
        <f>Participantes!AJ3</f>
        <v>1</v>
      </c>
      <c r="AZ4" s="58">
        <f t="shared" si="16"/>
        <v>1</v>
      </c>
      <c r="BA4" s="56">
        <f>Participantes!AK3</f>
        <v>0</v>
      </c>
      <c r="BB4" s="56">
        <f>Participantes!AL3</f>
        <v>2</v>
      </c>
      <c r="BC4" s="58">
        <f t="shared" si="17"/>
        <v>1</v>
      </c>
      <c r="BD4" s="56">
        <f>Participantes!AM3</f>
        <v>2</v>
      </c>
      <c r="BE4" s="56">
        <f>Participantes!AN3</f>
        <v>0</v>
      </c>
      <c r="BF4" s="58">
        <f t="shared" si="18"/>
        <v>1</v>
      </c>
      <c r="BG4" s="56">
        <f>Participantes!AO3</f>
        <v>1</v>
      </c>
      <c r="BH4" s="56">
        <f>Participantes!AP3</f>
        <v>0</v>
      </c>
      <c r="BI4" s="58">
        <f t="shared" si="19"/>
        <v>1</v>
      </c>
      <c r="BJ4" s="56">
        <f>Participantes!AQ3</f>
        <v>1</v>
      </c>
      <c r="BK4" s="56">
        <f>Participantes!AR3</f>
        <v>2</v>
      </c>
      <c r="BL4" s="58">
        <f t="shared" si="20"/>
        <v>0</v>
      </c>
      <c r="BM4" s="56">
        <f>Participantes!AS3</f>
        <v>1</v>
      </c>
      <c r="BN4" s="56">
        <f>Participantes!AT3</f>
        <v>0</v>
      </c>
      <c r="BO4" s="58">
        <f t="shared" si="21"/>
        <v>1</v>
      </c>
      <c r="BP4" s="56">
        <f>Participantes!AU3</f>
        <v>2</v>
      </c>
      <c r="BQ4" s="56">
        <f>Participantes!AV3</f>
        <v>0</v>
      </c>
      <c r="BR4" s="58">
        <f t="shared" si="22"/>
        <v>0</v>
      </c>
      <c r="BS4" s="56">
        <f>Participantes!AW3</f>
        <v>1</v>
      </c>
      <c r="BT4" s="56">
        <f>Participantes!AX3</f>
        <v>1</v>
      </c>
      <c r="BU4" s="58">
        <f t="shared" si="23"/>
        <v>0</v>
      </c>
      <c r="BV4" s="56">
        <f>Participantes!AY3</f>
        <v>1</v>
      </c>
      <c r="BW4" s="56">
        <f>Participantes!AZ3</f>
        <v>0</v>
      </c>
      <c r="BX4" s="58">
        <f t="shared" si="24"/>
        <v>0</v>
      </c>
      <c r="BY4" s="56">
        <f>Participantes!BA3</f>
        <v>1</v>
      </c>
      <c r="BZ4" s="56">
        <f>Participantes!BB3</f>
        <v>1</v>
      </c>
      <c r="CA4" s="58">
        <f t="shared" si="25"/>
        <v>0</v>
      </c>
      <c r="CB4" s="56">
        <f>Participantes!BC3</f>
        <v>2</v>
      </c>
      <c r="CC4" s="56">
        <f>Participantes!BD3</f>
        <v>0</v>
      </c>
      <c r="CD4" s="58">
        <f t="shared" si="26"/>
        <v>1</v>
      </c>
      <c r="CE4" s="56">
        <f>Participantes!BE3</f>
        <v>2</v>
      </c>
      <c r="CF4" s="56">
        <f>Participantes!BF3</f>
        <v>1</v>
      </c>
      <c r="CG4" s="58">
        <f t="shared" si="27"/>
        <v>1</v>
      </c>
      <c r="CH4" s="56">
        <f>Participantes!BG3</f>
        <v>3</v>
      </c>
      <c r="CI4" s="56">
        <f>Participantes!BH3</f>
        <v>1</v>
      </c>
      <c r="CJ4" s="58">
        <f t="shared" si="28"/>
        <v>1</v>
      </c>
      <c r="CK4" s="56">
        <f>Participantes!BI3</f>
        <v>0</v>
      </c>
      <c r="CL4" s="56">
        <f>Participantes!BJ3</f>
        <v>1</v>
      </c>
      <c r="CM4" s="58">
        <f t="shared" si="29"/>
        <v>3</v>
      </c>
      <c r="CN4" s="56">
        <f>Participantes!BK3</f>
        <v>0</v>
      </c>
      <c r="CO4" s="56">
        <f>Participantes!BL3</f>
        <v>1</v>
      </c>
      <c r="CP4" s="58">
        <f t="shared" si="30"/>
        <v>3</v>
      </c>
      <c r="CQ4" s="56">
        <f>Participantes!BM3</f>
        <v>2</v>
      </c>
      <c r="CR4" s="56">
        <f>Participantes!BN3</f>
        <v>1</v>
      </c>
      <c r="CS4" s="58">
        <f t="shared" si="31"/>
        <v>1</v>
      </c>
      <c r="CT4" s="56">
        <f>Participantes!BO3</f>
        <v>2</v>
      </c>
      <c r="CU4" s="56">
        <f>Participantes!BP3</f>
        <v>1</v>
      </c>
      <c r="CV4" s="58">
        <f t="shared" si="32"/>
        <v>3</v>
      </c>
      <c r="CW4" s="56">
        <f>Participantes!BQ3</f>
        <v>2</v>
      </c>
      <c r="CX4" s="56">
        <f>Participantes!BR3</f>
        <v>0</v>
      </c>
      <c r="CY4" s="58">
        <f t="shared" si="33"/>
        <v>0</v>
      </c>
      <c r="CZ4" s="56">
        <f>Participantes!BS3</f>
        <v>2</v>
      </c>
      <c r="DA4" s="56">
        <f>Participantes!BT3</f>
        <v>0</v>
      </c>
      <c r="DB4" s="58">
        <f t="shared" si="34"/>
        <v>1</v>
      </c>
      <c r="DC4" s="56">
        <f>Participantes!BU3</f>
        <v>1</v>
      </c>
      <c r="DD4" s="56">
        <f>Participantes!BV3</f>
        <v>1</v>
      </c>
      <c r="DE4" s="58">
        <f t="shared" si="35"/>
        <v>0</v>
      </c>
      <c r="DF4" s="56">
        <f>Participantes!BW3</f>
        <v>2</v>
      </c>
      <c r="DG4" s="56">
        <f>Participantes!BX3</f>
        <v>0</v>
      </c>
      <c r="DH4" s="58">
        <f t="shared" si="36"/>
        <v>0</v>
      </c>
      <c r="DI4" s="56">
        <f>Participantes!BY3</f>
        <v>2</v>
      </c>
      <c r="DJ4" s="56">
        <f>Participantes!BZ3</f>
        <v>0</v>
      </c>
      <c r="DK4" s="58">
        <f t="shared" si="37"/>
        <v>1</v>
      </c>
      <c r="DL4" s="56">
        <f>Participantes!CA3</f>
        <v>3</v>
      </c>
      <c r="DM4" s="56">
        <f>Participantes!CB3</f>
        <v>1</v>
      </c>
      <c r="DN4" s="58">
        <f t="shared" si="38"/>
        <v>0</v>
      </c>
      <c r="DO4" s="56">
        <f>Participantes!CC3</f>
        <v>0</v>
      </c>
      <c r="DP4" s="56">
        <f>Participantes!CD3</f>
        <v>2</v>
      </c>
      <c r="DQ4" s="58">
        <f t="shared" si="39"/>
        <v>1</v>
      </c>
      <c r="DR4" s="56">
        <f>Participantes!CE3</f>
        <v>1</v>
      </c>
      <c r="DS4" s="56">
        <f>Participantes!CF3</f>
        <v>2</v>
      </c>
      <c r="DT4" s="58">
        <f t="shared" si="40"/>
        <v>0</v>
      </c>
      <c r="DU4" s="56">
        <f>Participantes!CG3</f>
        <v>3</v>
      </c>
      <c r="DV4" s="56">
        <f>Participantes!CH3</f>
        <v>0</v>
      </c>
      <c r="DW4" s="58">
        <f t="shared" si="41"/>
        <v>3</v>
      </c>
      <c r="DX4" s="56">
        <f>Participantes!CI3</f>
        <v>3</v>
      </c>
      <c r="DY4" s="56">
        <f>Participantes!CJ3</f>
        <v>1</v>
      </c>
      <c r="DZ4" s="58">
        <f t="shared" si="42"/>
        <v>1</v>
      </c>
      <c r="EA4" s="56">
        <f>Participantes!CK3</f>
        <v>1</v>
      </c>
      <c r="EB4" s="56">
        <f>Participantes!CL3</f>
        <v>2</v>
      </c>
      <c r="EC4" s="58">
        <f t="shared" si="43"/>
        <v>3</v>
      </c>
      <c r="ED4" s="56">
        <f>Participantes!CM3</f>
        <v>2</v>
      </c>
      <c r="EE4" s="56">
        <f>Participantes!CN3</f>
        <v>0</v>
      </c>
      <c r="EF4" s="58">
        <f t="shared" si="44"/>
        <v>0</v>
      </c>
      <c r="EG4" s="56">
        <f>Participantes!CO3</f>
        <v>1</v>
      </c>
      <c r="EH4" s="56">
        <f>Participantes!CP3</f>
        <v>1</v>
      </c>
      <c r="EI4" s="58">
        <f t="shared" si="45"/>
        <v>0</v>
      </c>
      <c r="EJ4" s="56">
        <f>Participantes!CQ3</f>
        <v>3</v>
      </c>
      <c r="EK4" s="56">
        <f>Participantes!CR3</f>
        <v>0</v>
      </c>
      <c r="EL4" s="58">
        <f t="shared" si="46"/>
        <v>1</v>
      </c>
      <c r="EM4" s="56">
        <f>Participantes!CS3</f>
        <v>2</v>
      </c>
      <c r="EN4" s="56">
        <f>Participantes!CT3</f>
        <v>1</v>
      </c>
      <c r="EO4" s="58">
        <f t="shared" si="47"/>
        <v>1</v>
      </c>
      <c r="EP4" s="56">
        <f>Participantes!CU3</f>
        <v>1</v>
      </c>
      <c r="EQ4" s="56">
        <f>Participantes!CV3</f>
        <v>2</v>
      </c>
      <c r="ER4" s="58">
        <f t="shared" si="48"/>
        <v>1</v>
      </c>
      <c r="ES4" s="56">
        <f>Participantes!CW3</f>
        <v>2</v>
      </c>
      <c r="ET4" s="56">
        <f>Participantes!CX3</f>
        <v>0</v>
      </c>
      <c r="EU4" s="58">
        <f t="shared" si="49"/>
        <v>1</v>
      </c>
      <c r="EV4" s="56">
        <f>Participantes!CY3</f>
        <v>0</v>
      </c>
      <c r="EW4" s="56">
        <f>Participantes!CZ3</f>
        <v>1</v>
      </c>
      <c r="EX4" s="58">
        <f t="shared" si="50"/>
        <v>0</v>
      </c>
      <c r="EY4" s="56">
        <f>Participantes!DA3</f>
        <v>2</v>
      </c>
      <c r="EZ4" s="56">
        <f>Participantes!DB3</f>
        <v>1</v>
      </c>
      <c r="FA4" s="58">
        <f t="shared" si="51"/>
        <v>1</v>
      </c>
      <c r="FB4" s="56">
        <f>Participantes!DC3</f>
        <v>0</v>
      </c>
      <c r="FC4" s="56">
        <f>Participantes!DD3</f>
        <v>1</v>
      </c>
      <c r="FD4" s="58">
        <f t="shared" si="52"/>
        <v>1</v>
      </c>
      <c r="FE4" s="56">
        <f>Participantes!DE3</f>
        <v>1</v>
      </c>
      <c r="FF4" s="56">
        <f>Participantes!DF3</f>
        <v>2</v>
      </c>
      <c r="FG4" s="58">
        <f t="shared" si="53"/>
        <v>0</v>
      </c>
      <c r="FH4" s="56">
        <f>Participantes!DG3</f>
        <v>1</v>
      </c>
      <c r="FI4" s="56">
        <f>Participantes!DH3</f>
        <v>2</v>
      </c>
      <c r="FJ4" s="58">
        <f t="shared" si="54"/>
        <v>1</v>
      </c>
      <c r="FK4" s="56">
        <f>Participantes!DI3</f>
        <v>0</v>
      </c>
      <c r="FL4" s="56">
        <f>Participantes!DJ3</f>
        <v>2</v>
      </c>
      <c r="FM4" s="58">
        <f t="shared" si="55"/>
        <v>0</v>
      </c>
      <c r="FN4" s="56">
        <f>Participantes!DK3</f>
        <v>2</v>
      </c>
      <c r="FO4" s="56">
        <f>Participantes!DL3</f>
        <v>1</v>
      </c>
      <c r="FP4" s="58">
        <f t="shared" si="56"/>
        <v>0</v>
      </c>
      <c r="FQ4" s="56">
        <f>Participantes!DM3</f>
        <v>1</v>
      </c>
      <c r="FR4" s="56">
        <f>Participantes!DN3</f>
        <v>3</v>
      </c>
      <c r="FS4" s="58">
        <f t="shared" si="57"/>
        <v>3</v>
      </c>
      <c r="FT4" s="56">
        <f>Participantes!DO3</f>
        <v>1</v>
      </c>
      <c r="FU4" s="56">
        <f>Participantes!DP3</f>
        <v>1</v>
      </c>
      <c r="FV4" s="58">
        <f t="shared" si="58"/>
        <v>0</v>
      </c>
      <c r="FW4" s="56">
        <f>Participantes!DQ3</f>
        <v>3</v>
      </c>
      <c r="FX4" s="56">
        <f>Participantes!DR3</f>
        <v>0</v>
      </c>
      <c r="FY4" s="58">
        <f t="shared" si="59"/>
        <v>0</v>
      </c>
      <c r="FZ4" s="56">
        <f>Participantes!DS3</f>
        <v>0</v>
      </c>
      <c r="GA4" s="56">
        <f>Participantes!DT3</f>
        <v>2</v>
      </c>
      <c r="GB4" s="58">
        <f t="shared" si="60"/>
        <v>1</v>
      </c>
      <c r="GC4" s="56">
        <f>Participantes!DU3</f>
        <v>2</v>
      </c>
      <c r="GD4" s="56">
        <f>Participantes!DV3</f>
        <v>0</v>
      </c>
      <c r="GE4" s="58">
        <f t="shared" si="61"/>
        <v>1</v>
      </c>
      <c r="GF4" s="56">
        <f>Participantes!DW3</f>
        <v>1</v>
      </c>
      <c r="GG4" s="56">
        <f>Participantes!DX3</f>
        <v>1</v>
      </c>
      <c r="GH4" s="58">
        <f t="shared" si="62"/>
        <v>3</v>
      </c>
      <c r="GI4" s="56">
        <f>Participantes!DY3</f>
        <v>0</v>
      </c>
      <c r="GJ4" s="56">
        <f>Participantes!DZ3</f>
        <v>2</v>
      </c>
      <c r="GK4" s="58">
        <f t="shared" si="63"/>
        <v>1</v>
      </c>
      <c r="GL4" s="56">
        <f>Participantes!EA3</f>
        <v>0</v>
      </c>
      <c r="GM4" s="56">
        <f>Participantes!EB3</f>
        <v>2</v>
      </c>
      <c r="GN4" s="58">
        <f t="shared" si="64"/>
        <v>0</v>
      </c>
      <c r="GO4" s="56">
        <f>Participantes!EC3</f>
        <v>1</v>
      </c>
      <c r="GP4" s="56">
        <f>Participantes!ED3</f>
        <v>2</v>
      </c>
      <c r="GQ4" s="58">
        <f t="shared" si="65"/>
        <v>1</v>
      </c>
      <c r="GR4" s="56">
        <f>Participantes!EE3</f>
        <v>1</v>
      </c>
      <c r="GS4" s="56">
        <f>Participantes!EF3</f>
        <v>2</v>
      </c>
      <c r="GT4" s="58" t="str">
        <f t="shared" si="66"/>
        <v/>
      </c>
      <c r="GU4" s="56">
        <f>Participantes!EG3</f>
        <v>2</v>
      </c>
      <c r="GV4" s="56">
        <f>Participantes!EH3</f>
        <v>0</v>
      </c>
      <c r="GW4" s="58" t="str">
        <f t="shared" si="67"/>
        <v/>
      </c>
      <c r="GX4" s="56">
        <f>Participantes!EI3</f>
        <v>1</v>
      </c>
      <c r="GY4" s="56">
        <f>Participantes!EJ3</f>
        <v>1</v>
      </c>
      <c r="GZ4" s="58" t="str">
        <f t="shared" si="68"/>
        <v/>
      </c>
      <c r="HA4" s="56">
        <f>Participantes!EK3</f>
        <v>1</v>
      </c>
      <c r="HB4" s="56">
        <f>Participantes!EL3</f>
        <v>0</v>
      </c>
      <c r="HC4" s="58" t="str">
        <f t="shared" si="69"/>
        <v/>
      </c>
      <c r="HD4" s="56">
        <f>Participantes!EM3</f>
        <v>2</v>
      </c>
      <c r="HE4" s="56">
        <f>Participantes!EN3</f>
        <v>1</v>
      </c>
      <c r="HF4" s="58" t="str">
        <f t="shared" si="70"/>
        <v/>
      </c>
      <c r="HG4" s="56">
        <f>Participantes!EO3</f>
        <v>2</v>
      </c>
      <c r="HH4" s="56">
        <f>Participantes!EP3</f>
        <v>1</v>
      </c>
      <c r="HI4" s="58" t="str">
        <f t="shared" si="71"/>
        <v/>
      </c>
      <c r="HJ4" s="59">
        <f t="shared" si="72"/>
        <v>55</v>
      </c>
    </row>
    <row r="5" spans="1:218" ht="15" customHeight="1" x14ac:dyDescent="0.25">
      <c r="A5" s="57" t="str">
        <f>Participantes!B4</f>
        <v>Alfredo 1</v>
      </c>
      <c r="B5" s="56">
        <f>Participantes!C4</f>
        <v>2</v>
      </c>
      <c r="C5" s="56">
        <f>Participantes!D4</f>
        <v>1</v>
      </c>
      <c r="D5" s="58">
        <f t="shared" si="0"/>
        <v>1</v>
      </c>
      <c r="E5" s="56">
        <f>Participantes!E4</f>
        <v>1</v>
      </c>
      <c r="F5" s="56">
        <f>Participantes!F4</f>
        <v>1</v>
      </c>
      <c r="G5" s="58">
        <f t="shared" si="1"/>
        <v>0</v>
      </c>
      <c r="H5" s="56">
        <f>Participantes!G4</f>
        <v>1</v>
      </c>
      <c r="I5" s="56">
        <f>Participantes!H4</f>
        <v>0</v>
      </c>
      <c r="J5" s="58">
        <f t="shared" si="2"/>
        <v>0</v>
      </c>
      <c r="K5" s="56">
        <f>Participantes!I4</f>
        <v>2</v>
      </c>
      <c r="L5" s="56">
        <f>Participantes!J4</f>
        <v>1</v>
      </c>
      <c r="M5" s="58">
        <f t="shared" si="3"/>
        <v>1</v>
      </c>
      <c r="N5" s="56">
        <f>Participantes!K4</f>
        <v>1</v>
      </c>
      <c r="O5" s="56">
        <f>Participantes!L4</f>
        <v>1</v>
      </c>
      <c r="P5" s="58">
        <f t="shared" si="4"/>
        <v>0</v>
      </c>
      <c r="Q5" s="56">
        <f>Participantes!M4</f>
        <v>1</v>
      </c>
      <c r="R5" s="56">
        <f>Participantes!N4</f>
        <v>2</v>
      </c>
      <c r="S5" s="58">
        <f t="shared" si="5"/>
        <v>0</v>
      </c>
      <c r="T5" s="56">
        <f>Participantes!O4</f>
        <v>2</v>
      </c>
      <c r="U5" s="56">
        <f>Participantes!P4</f>
        <v>0</v>
      </c>
      <c r="V5" s="58">
        <f t="shared" si="6"/>
        <v>0</v>
      </c>
      <c r="W5" s="56">
        <f>Participantes!Q4</f>
        <v>0</v>
      </c>
      <c r="X5" s="56">
        <f>Participantes!R4</f>
        <v>2</v>
      </c>
      <c r="Y5" s="58">
        <f t="shared" si="7"/>
        <v>0</v>
      </c>
      <c r="Z5" s="56">
        <f>Participantes!S4</f>
        <v>1</v>
      </c>
      <c r="AA5" s="56">
        <f>Participantes!T4</f>
        <v>1</v>
      </c>
      <c r="AB5" s="58">
        <f t="shared" si="8"/>
        <v>0</v>
      </c>
      <c r="AC5" s="56">
        <f>Participantes!U4</f>
        <v>4</v>
      </c>
      <c r="AD5" s="56">
        <f>Participantes!V4</f>
        <v>0</v>
      </c>
      <c r="AE5" s="58">
        <f t="shared" si="9"/>
        <v>1</v>
      </c>
      <c r="AF5" s="56">
        <f>Participantes!W4</f>
        <v>2</v>
      </c>
      <c r="AG5" s="56">
        <f>Participantes!X4</f>
        <v>1</v>
      </c>
      <c r="AH5" s="58">
        <f t="shared" si="10"/>
        <v>0</v>
      </c>
      <c r="AI5" s="56">
        <f>Participantes!Y4</f>
        <v>2</v>
      </c>
      <c r="AJ5" s="56">
        <f>Participantes!Z4</f>
        <v>0</v>
      </c>
      <c r="AK5" s="58">
        <f t="shared" si="11"/>
        <v>1</v>
      </c>
      <c r="AL5" s="56">
        <f>Participantes!AA4</f>
        <v>0</v>
      </c>
      <c r="AM5" s="56">
        <f>Participantes!AB4</f>
        <v>1</v>
      </c>
      <c r="AN5" s="58">
        <f t="shared" si="12"/>
        <v>0</v>
      </c>
      <c r="AO5" s="56">
        <f>Participantes!AC4</f>
        <v>2</v>
      </c>
      <c r="AP5" s="56">
        <f>Participantes!AD4</f>
        <v>0</v>
      </c>
      <c r="AQ5" s="58">
        <f t="shared" si="13"/>
        <v>0</v>
      </c>
      <c r="AR5" s="56">
        <f>Participantes!AE4</f>
        <v>1</v>
      </c>
      <c r="AS5" s="56">
        <f>Participantes!AF4</f>
        <v>0</v>
      </c>
      <c r="AT5" s="58">
        <f t="shared" si="14"/>
        <v>0</v>
      </c>
      <c r="AU5" s="56">
        <f>Participantes!AG4</f>
        <v>2</v>
      </c>
      <c r="AV5" s="56">
        <f>Participantes!AH4</f>
        <v>1</v>
      </c>
      <c r="AW5" s="58">
        <f t="shared" si="15"/>
        <v>0</v>
      </c>
      <c r="AX5" s="56">
        <f>Participantes!AI4</f>
        <v>3</v>
      </c>
      <c r="AY5" s="56">
        <f>Participantes!AJ4</f>
        <v>1</v>
      </c>
      <c r="AZ5" s="58">
        <f t="shared" si="16"/>
        <v>3</v>
      </c>
      <c r="BA5" s="56">
        <f>Participantes!AK4</f>
        <v>0</v>
      </c>
      <c r="BB5" s="56">
        <f>Participantes!AL4</f>
        <v>3</v>
      </c>
      <c r="BC5" s="58">
        <f t="shared" si="17"/>
        <v>1</v>
      </c>
      <c r="BD5" s="56">
        <f>Participantes!AM4</f>
        <v>2</v>
      </c>
      <c r="BE5" s="56">
        <f>Participantes!AN4</f>
        <v>0</v>
      </c>
      <c r="BF5" s="58">
        <f t="shared" si="18"/>
        <v>1</v>
      </c>
      <c r="BG5" s="56">
        <f>Participantes!AO4</f>
        <v>2</v>
      </c>
      <c r="BH5" s="56">
        <f>Participantes!AP4</f>
        <v>0</v>
      </c>
      <c r="BI5" s="58">
        <f t="shared" si="19"/>
        <v>1</v>
      </c>
      <c r="BJ5" s="56">
        <f>Participantes!AQ4</f>
        <v>1</v>
      </c>
      <c r="BK5" s="56">
        <f>Participantes!AR4</f>
        <v>1</v>
      </c>
      <c r="BL5" s="58">
        <f t="shared" si="20"/>
        <v>0</v>
      </c>
      <c r="BM5" s="56">
        <f>Participantes!AS4</f>
        <v>2</v>
      </c>
      <c r="BN5" s="56">
        <f>Participantes!AT4</f>
        <v>1</v>
      </c>
      <c r="BO5" s="58">
        <f t="shared" si="21"/>
        <v>1</v>
      </c>
      <c r="BP5" s="56">
        <f>Participantes!AU4</f>
        <v>3</v>
      </c>
      <c r="BQ5" s="56">
        <f>Participantes!AV4</f>
        <v>0</v>
      </c>
      <c r="BR5" s="58">
        <f t="shared" si="22"/>
        <v>0</v>
      </c>
      <c r="BS5" s="56">
        <f>Participantes!AW4</f>
        <v>0</v>
      </c>
      <c r="BT5" s="56">
        <f>Participantes!AX4</f>
        <v>2</v>
      </c>
      <c r="BU5" s="58">
        <f t="shared" si="23"/>
        <v>1</v>
      </c>
      <c r="BV5" s="56">
        <f>Participantes!AY4</f>
        <v>2</v>
      </c>
      <c r="BW5" s="56">
        <f>Participantes!AZ4</f>
        <v>0</v>
      </c>
      <c r="BX5" s="58">
        <f t="shared" si="24"/>
        <v>0</v>
      </c>
      <c r="BY5" s="56">
        <f>Participantes!BA4</f>
        <v>2</v>
      </c>
      <c r="BZ5" s="56">
        <f>Participantes!BB4</f>
        <v>1</v>
      </c>
      <c r="CA5" s="58">
        <f t="shared" si="25"/>
        <v>1</v>
      </c>
      <c r="CB5" s="56">
        <f>Participantes!BC4</f>
        <v>1</v>
      </c>
      <c r="CC5" s="56">
        <f>Participantes!BD4</f>
        <v>0</v>
      </c>
      <c r="CD5" s="58">
        <f t="shared" si="26"/>
        <v>1</v>
      </c>
      <c r="CE5" s="56">
        <f>Participantes!BE4</f>
        <v>2</v>
      </c>
      <c r="CF5" s="56">
        <f>Participantes!BF4</f>
        <v>1</v>
      </c>
      <c r="CG5" s="58">
        <f t="shared" si="27"/>
        <v>1</v>
      </c>
      <c r="CH5" s="56">
        <f>Participantes!BG4</f>
        <v>3</v>
      </c>
      <c r="CI5" s="56">
        <f>Participantes!BH4</f>
        <v>0</v>
      </c>
      <c r="CJ5" s="58">
        <f t="shared" si="28"/>
        <v>3</v>
      </c>
      <c r="CK5" s="56">
        <f>Participantes!BI4</f>
        <v>1</v>
      </c>
      <c r="CL5" s="56">
        <f>Participantes!BJ4</f>
        <v>2</v>
      </c>
      <c r="CM5" s="58">
        <f t="shared" si="29"/>
        <v>1</v>
      </c>
      <c r="CN5" s="56">
        <f>Participantes!BK4</f>
        <v>2</v>
      </c>
      <c r="CO5" s="56">
        <f>Participantes!BL4</f>
        <v>0</v>
      </c>
      <c r="CP5" s="58">
        <f t="shared" si="30"/>
        <v>0</v>
      </c>
      <c r="CQ5" s="56">
        <f>Participantes!BM4</f>
        <v>2</v>
      </c>
      <c r="CR5" s="56">
        <f>Participantes!BN4</f>
        <v>0</v>
      </c>
      <c r="CS5" s="58">
        <f t="shared" si="31"/>
        <v>3</v>
      </c>
      <c r="CT5" s="56">
        <f>Participantes!BO4</f>
        <v>3</v>
      </c>
      <c r="CU5" s="56">
        <f>Participantes!BP4</f>
        <v>1</v>
      </c>
      <c r="CV5" s="58">
        <f t="shared" si="32"/>
        <v>1</v>
      </c>
      <c r="CW5" s="56">
        <f>Participantes!BQ4</f>
        <v>3</v>
      </c>
      <c r="CX5" s="56">
        <f>Participantes!BR4</f>
        <v>0</v>
      </c>
      <c r="CY5" s="58">
        <f t="shared" si="33"/>
        <v>0</v>
      </c>
      <c r="CZ5" s="56">
        <f>Participantes!BS4</f>
        <v>2</v>
      </c>
      <c r="DA5" s="56">
        <f>Participantes!BT4</f>
        <v>1</v>
      </c>
      <c r="DB5" s="58">
        <f t="shared" si="34"/>
        <v>1</v>
      </c>
      <c r="DC5" s="56">
        <f>Participantes!BU4</f>
        <v>0</v>
      </c>
      <c r="DD5" s="56">
        <f>Participantes!BV4</f>
        <v>2</v>
      </c>
      <c r="DE5" s="58">
        <f t="shared" si="35"/>
        <v>1</v>
      </c>
      <c r="DF5" s="56">
        <f>Participantes!BW4</f>
        <v>2</v>
      </c>
      <c r="DG5" s="56">
        <f>Participantes!BX4</f>
        <v>1</v>
      </c>
      <c r="DH5" s="58">
        <f t="shared" si="36"/>
        <v>0</v>
      </c>
      <c r="DI5" s="56">
        <f>Participantes!BY4</f>
        <v>3</v>
      </c>
      <c r="DJ5" s="56">
        <f>Participantes!BZ4</f>
        <v>1</v>
      </c>
      <c r="DK5" s="58">
        <f t="shared" si="37"/>
        <v>1</v>
      </c>
      <c r="DL5" s="56">
        <f>Participantes!CA4</f>
        <v>3</v>
      </c>
      <c r="DM5" s="56">
        <f>Participantes!CB4</f>
        <v>0</v>
      </c>
      <c r="DN5" s="58">
        <f t="shared" si="38"/>
        <v>0</v>
      </c>
      <c r="DO5" s="56">
        <f>Participantes!CC4</f>
        <v>0</v>
      </c>
      <c r="DP5" s="56">
        <f>Participantes!CD4</f>
        <v>2</v>
      </c>
      <c r="DQ5" s="58">
        <f t="shared" si="39"/>
        <v>1</v>
      </c>
      <c r="DR5" s="56">
        <f>Participantes!CE4</f>
        <v>2</v>
      </c>
      <c r="DS5" s="56">
        <f>Participantes!CF4</f>
        <v>1</v>
      </c>
      <c r="DT5" s="58">
        <f t="shared" si="40"/>
        <v>1</v>
      </c>
      <c r="DU5" s="56">
        <f>Participantes!CG4</f>
        <v>3</v>
      </c>
      <c r="DV5" s="56">
        <f>Participantes!CH4</f>
        <v>0</v>
      </c>
      <c r="DW5" s="58">
        <f t="shared" si="41"/>
        <v>3</v>
      </c>
      <c r="DX5" s="56">
        <f>Participantes!CI4</f>
        <v>2</v>
      </c>
      <c r="DY5" s="56">
        <f>Participantes!CJ4</f>
        <v>1</v>
      </c>
      <c r="DZ5" s="58">
        <f t="shared" si="42"/>
        <v>1</v>
      </c>
      <c r="EA5" s="56">
        <f>Participantes!CK4</f>
        <v>0</v>
      </c>
      <c r="EB5" s="56">
        <f>Participantes!CL4</f>
        <v>1</v>
      </c>
      <c r="EC5" s="58">
        <f t="shared" si="43"/>
        <v>1</v>
      </c>
      <c r="ED5" s="56">
        <f>Participantes!CM4</f>
        <v>3</v>
      </c>
      <c r="EE5" s="56">
        <f>Participantes!CN4</f>
        <v>1</v>
      </c>
      <c r="EF5" s="58">
        <f t="shared" si="44"/>
        <v>0</v>
      </c>
      <c r="EG5" s="56">
        <f>Participantes!CO4</f>
        <v>1</v>
      </c>
      <c r="EH5" s="56">
        <f>Participantes!CP4</f>
        <v>2</v>
      </c>
      <c r="EI5" s="58">
        <f t="shared" si="45"/>
        <v>1</v>
      </c>
      <c r="EJ5" s="56">
        <f>Participantes!CQ4</f>
        <v>3</v>
      </c>
      <c r="EK5" s="56">
        <f>Participantes!CR4</f>
        <v>0</v>
      </c>
      <c r="EL5" s="58">
        <f t="shared" si="46"/>
        <v>1</v>
      </c>
      <c r="EM5" s="56">
        <f>Participantes!CS4</f>
        <v>2</v>
      </c>
      <c r="EN5" s="56">
        <f>Participantes!CT4</f>
        <v>0</v>
      </c>
      <c r="EO5" s="58">
        <f t="shared" si="47"/>
        <v>1</v>
      </c>
      <c r="EP5" s="56">
        <f>Participantes!CU4</f>
        <v>1</v>
      </c>
      <c r="EQ5" s="56">
        <f>Participantes!CV4</f>
        <v>3</v>
      </c>
      <c r="ER5" s="58">
        <f t="shared" si="48"/>
        <v>1</v>
      </c>
      <c r="ES5" s="56">
        <f>Participantes!CW4</f>
        <v>2</v>
      </c>
      <c r="ET5" s="56">
        <f>Participantes!CX4</f>
        <v>1</v>
      </c>
      <c r="EU5" s="58">
        <f t="shared" si="49"/>
        <v>1</v>
      </c>
      <c r="EV5" s="56">
        <f>Participantes!CY4</f>
        <v>2</v>
      </c>
      <c r="EW5" s="56">
        <f>Participantes!CZ4</f>
        <v>1</v>
      </c>
      <c r="EX5" s="58">
        <f t="shared" si="50"/>
        <v>3</v>
      </c>
      <c r="EY5" s="56">
        <f>Participantes!DA4</f>
        <v>2</v>
      </c>
      <c r="EZ5" s="56">
        <f>Participantes!DB4</f>
        <v>0</v>
      </c>
      <c r="FA5" s="58">
        <f t="shared" si="51"/>
        <v>1</v>
      </c>
      <c r="FB5" s="56">
        <f>Participantes!DC4</f>
        <v>0</v>
      </c>
      <c r="FC5" s="56">
        <f>Participantes!DD4</f>
        <v>2</v>
      </c>
      <c r="FD5" s="58">
        <f t="shared" si="52"/>
        <v>1</v>
      </c>
      <c r="FE5" s="56">
        <f>Participantes!DE4</f>
        <v>1</v>
      </c>
      <c r="FF5" s="56">
        <f>Participantes!DF4</f>
        <v>1</v>
      </c>
      <c r="FG5" s="58">
        <f t="shared" si="53"/>
        <v>0</v>
      </c>
      <c r="FH5" s="56">
        <f>Participantes!DG4</f>
        <v>0</v>
      </c>
      <c r="FI5" s="56">
        <f>Participantes!DH4</f>
        <v>2</v>
      </c>
      <c r="FJ5" s="58">
        <f t="shared" si="54"/>
        <v>3</v>
      </c>
      <c r="FK5" s="56">
        <f>Participantes!DI4</f>
        <v>1</v>
      </c>
      <c r="FL5" s="56">
        <f>Participantes!DJ4</f>
        <v>3</v>
      </c>
      <c r="FM5" s="58">
        <f t="shared" si="55"/>
        <v>0</v>
      </c>
      <c r="FN5" s="56">
        <f>Participantes!DK4</f>
        <v>2</v>
      </c>
      <c r="FO5" s="56">
        <f>Participantes!DL4</f>
        <v>2</v>
      </c>
      <c r="FP5" s="58">
        <f t="shared" si="56"/>
        <v>1</v>
      </c>
      <c r="FQ5" s="56">
        <f>Participantes!DM4</f>
        <v>0</v>
      </c>
      <c r="FR5" s="56">
        <f>Participantes!DN4</f>
        <v>3</v>
      </c>
      <c r="FS5" s="58">
        <f t="shared" si="57"/>
        <v>1</v>
      </c>
      <c r="FT5" s="56">
        <f>Participantes!DO4</f>
        <v>2</v>
      </c>
      <c r="FU5" s="56">
        <f>Participantes!DP4</f>
        <v>1</v>
      </c>
      <c r="FV5" s="58">
        <f t="shared" si="58"/>
        <v>1</v>
      </c>
      <c r="FW5" s="56">
        <f>Participantes!DQ4</f>
        <v>1</v>
      </c>
      <c r="FX5" s="56">
        <f>Participantes!DR4</f>
        <v>1</v>
      </c>
      <c r="FY5" s="58">
        <f t="shared" si="59"/>
        <v>1</v>
      </c>
      <c r="FZ5" s="56">
        <f>Participantes!DS4</f>
        <v>2</v>
      </c>
      <c r="GA5" s="56">
        <f>Participantes!DT4</f>
        <v>2</v>
      </c>
      <c r="GB5" s="58">
        <f t="shared" si="60"/>
        <v>0</v>
      </c>
      <c r="GC5" s="56">
        <f>Participantes!DU4</f>
        <v>1</v>
      </c>
      <c r="GD5" s="56">
        <f>Participantes!DV4</f>
        <v>1</v>
      </c>
      <c r="GE5" s="58">
        <f t="shared" si="61"/>
        <v>0</v>
      </c>
      <c r="GF5" s="56">
        <f>Participantes!DW4</f>
        <v>3</v>
      </c>
      <c r="GG5" s="56">
        <f>Participantes!DX4</f>
        <v>0</v>
      </c>
      <c r="GH5" s="58">
        <f t="shared" si="62"/>
        <v>0</v>
      </c>
      <c r="GI5" s="56">
        <f>Participantes!DY4</f>
        <v>0</v>
      </c>
      <c r="GJ5" s="56">
        <f>Participantes!DZ4</f>
        <v>3</v>
      </c>
      <c r="GK5" s="58">
        <f t="shared" si="63"/>
        <v>1</v>
      </c>
      <c r="GL5" s="56">
        <f>Participantes!EA4</f>
        <v>0</v>
      </c>
      <c r="GM5" s="56">
        <f>Participantes!EB4</f>
        <v>1</v>
      </c>
      <c r="GN5" s="58">
        <f t="shared" si="64"/>
        <v>0</v>
      </c>
      <c r="GO5" s="56">
        <f>Participantes!EC4</f>
        <v>1</v>
      </c>
      <c r="GP5" s="56">
        <f>Participantes!ED4</f>
        <v>2</v>
      </c>
      <c r="GQ5" s="58">
        <f t="shared" si="65"/>
        <v>1</v>
      </c>
      <c r="GR5" s="56">
        <f>Participantes!EE4</f>
        <v>0</v>
      </c>
      <c r="GS5" s="56">
        <f>Participantes!EF4</f>
        <v>3</v>
      </c>
      <c r="GT5" s="58" t="str">
        <f t="shared" si="66"/>
        <v/>
      </c>
      <c r="GU5" s="56">
        <f>Participantes!EG4</f>
        <v>2</v>
      </c>
      <c r="GV5" s="56">
        <f>Participantes!EH4</f>
        <v>0</v>
      </c>
      <c r="GW5" s="58" t="str">
        <f t="shared" si="67"/>
        <v/>
      </c>
      <c r="GX5" s="56">
        <f>Participantes!EI4</f>
        <v>1</v>
      </c>
      <c r="GY5" s="56">
        <f>Participantes!EJ4</f>
        <v>2</v>
      </c>
      <c r="GZ5" s="58" t="str">
        <f t="shared" si="68"/>
        <v/>
      </c>
      <c r="HA5" s="56">
        <f>Participantes!EK4</f>
        <v>0</v>
      </c>
      <c r="HB5" s="56">
        <f>Participantes!EL4</f>
        <v>2</v>
      </c>
      <c r="HC5" s="58" t="str">
        <f t="shared" si="69"/>
        <v/>
      </c>
      <c r="HD5" s="56">
        <f>Participantes!EM4</f>
        <v>1</v>
      </c>
      <c r="HE5" s="56">
        <f>Participantes!EN4</f>
        <v>1</v>
      </c>
      <c r="HF5" s="58" t="str">
        <f t="shared" si="70"/>
        <v/>
      </c>
      <c r="HG5" s="56">
        <f>Participantes!EO4</f>
        <v>1</v>
      </c>
      <c r="HH5" s="56">
        <f>Participantes!EP4</f>
        <v>1</v>
      </c>
      <c r="HI5" s="58" t="str">
        <f t="shared" si="71"/>
        <v/>
      </c>
      <c r="HJ5" s="59">
        <f t="shared" si="72"/>
        <v>52</v>
      </c>
    </row>
    <row r="6" spans="1:218" ht="15" customHeight="1" x14ac:dyDescent="0.25">
      <c r="A6" s="57" t="str">
        <f>Participantes!B5</f>
        <v>Alfredo 2</v>
      </c>
      <c r="B6" s="56">
        <f>Participantes!C5</f>
        <v>2</v>
      </c>
      <c r="C6" s="56">
        <f>Participantes!D5</f>
        <v>0</v>
      </c>
      <c r="D6" s="58">
        <f t="shared" si="0"/>
        <v>3</v>
      </c>
      <c r="E6" s="56">
        <f>Participantes!E5</f>
        <v>0</v>
      </c>
      <c r="F6" s="56">
        <f>Participantes!F5</f>
        <v>1</v>
      </c>
      <c r="G6" s="58">
        <f t="shared" si="1"/>
        <v>0</v>
      </c>
      <c r="H6" s="56">
        <f>Participantes!G5</f>
        <v>2</v>
      </c>
      <c r="I6" s="56">
        <f>Participantes!H5</f>
        <v>0</v>
      </c>
      <c r="J6" s="58">
        <f t="shared" si="2"/>
        <v>0</v>
      </c>
      <c r="K6" s="56">
        <f>Participantes!I5</f>
        <v>2</v>
      </c>
      <c r="L6" s="56">
        <f>Participantes!J5</f>
        <v>0</v>
      </c>
      <c r="M6" s="58">
        <f t="shared" si="3"/>
        <v>1</v>
      </c>
      <c r="N6" s="56">
        <f>Participantes!K5</f>
        <v>0</v>
      </c>
      <c r="O6" s="56">
        <f>Participantes!L5</f>
        <v>1</v>
      </c>
      <c r="P6" s="58">
        <f t="shared" si="4"/>
        <v>3</v>
      </c>
      <c r="Q6" s="56">
        <f>Participantes!M5</f>
        <v>0</v>
      </c>
      <c r="R6" s="56">
        <f>Participantes!N5</f>
        <v>2</v>
      </c>
      <c r="S6" s="58">
        <f t="shared" si="5"/>
        <v>0</v>
      </c>
      <c r="T6" s="56">
        <f>Participantes!O5</f>
        <v>2</v>
      </c>
      <c r="U6" s="56">
        <f>Participantes!P5</f>
        <v>1</v>
      </c>
      <c r="V6" s="58">
        <f t="shared" si="6"/>
        <v>0</v>
      </c>
      <c r="W6" s="56">
        <f>Participantes!Q5</f>
        <v>0</v>
      </c>
      <c r="X6" s="56">
        <f>Participantes!R5</f>
        <v>2</v>
      </c>
      <c r="Y6" s="58">
        <f t="shared" si="7"/>
        <v>0</v>
      </c>
      <c r="Z6" s="56">
        <f>Participantes!S5</f>
        <v>0</v>
      </c>
      <c r="AA6" s="56">
        <f>Participantes!T5</f>
        <v>1</v>
      </c>
      <c r="AB6" s="58">
        <f t="shared" si="8"/>
        <v>0</v>
      </c>
      <c r="AC6" s="56">
        <f>Participantes!U5</f>
        <v>3</v>
      </c>
      <c r="AD6" s="56">
        <f>Participantes!V5</f>
        <v>0</v>
      </c>
      <c r="AE6" s="58">
        <f t="shared" si="9"/>
        <v>1</v>
      </c>
      <c r="AF6" s="56">
        <f>Participantes!W5</f>
        <v>2</v>
      </c>
      <c r="AG6" s="56">
        <f>Participantes!X5</f>
        <v>2</v>
      </c>
      <c r="AH6" s="58">
        <f t="shared" si="10"/>
        <v>3</v>
      </c>
      <c r="AI6" s="56">
        <f>Participantes!Y5</f>
        <v>2</v>
      </c>
      <c r="AJ6" s="56">
        <f>Participantes!Z5</f>
        <v>1</v>
      </c>
      <c r="AK6" s="58">
        <f t="shared" si="11"/>
        <v>1</v>
      </c>
      <c r="AL6" s="56">
        <f>Participantes!AA5</f>
        <v>1</v>
      </c>
      <c r="AM6" s="56">
        <f>Participantes!AB5</f>
        <v>1</v>
      </c>
      <c r="AN6" s="58">
        <f t="shared" si="12"/>
        <v>3</v>
      </c>
      <c r="AO6" s="56">
        <f>Participantes!AC5</f>
        <v>3</v>
      </c>
      <c r="AP6" s="56">
        <f>Participantes!AD5</f>
        <v>0</v>
      </c>
      <c r="AQ6" s="58">
        <f t="shared" si="13"/>
        <v>0</v>
      </c>
      <c r="AR6" s="56">
        <f>Participantes!AE5</f>
        <v>0</v>
      </c>
      <c r="AS6" s="56">
        <f>Participantes!AF5</f>
        <v>0</v>
      </c>
      <c r="AT6" s="58">
        <f t="shared" si="14"/>
        <v>1</v>
      </c>
      <c r="AU6" s="56">
        <f>Participantes!AG5</f>
        <v>3</v>
      </c>
      <c r="AV6" s="56">
        <f>Participantes!AH5</f>
        <v>1</v>
      </c>
      <c r="AW6" s="58">
        <f t="shared" si="15"/>
        <v>0</v>
      </c>
      <c r="AX6" s="56">
        <f>Participantes!AI5</f>
        <v>3</v>
      </c>
      <c r="AY6" s="56">
        <f>Participantes!AJ5</f>
        <v>0</v>
      </c>
      <c r="AZ6" s="58">
        <f t="shared" si="16"/>
        <v>1</v>
      </c>
      <c r="BA6" s="56">
        <f>Participantes!AK5</f>
        <v>0</v>
      </c>
      <c r="BB6" s="56">
        <f>Participantes!AL5</f>
        <v>2</v>
      </c>
      <c r="BC6" s="58">
        <f t="shared" si="17"/>
        <v>1</v>
      </c>
      <c r="BD6" s="56">
        <f>Participantes!AM5</f>
        <v>2</v>
      </c>
      <c r="BE6" s="56">
        <f>Participantes!AN5</f>
        <v>1</v>
      </c>
      <c r="BF6" s="58">
        <f t="shared" si="18"/>
        <v>1</v>
      </c>
      <c r="BG6" s="56">
        <f>Participantes!AO5</f>
        <v>1</v>
      </c>
      <c r="BH6" s="56">
        <f>Participantes!AP5</f>
        <v>0</v>
      </c>
      <c r="BI6" s="58">
        <f t="shared" si="19"/>
        <v>1</v>
      </c>
      <c r="BJ6" s="56">
        <f>Participantes!AQ5</f>
        <v>1</v>
      </c>
      <c r="BK6" s="56">
        <f>Participantes!AR5</f>
        <v>2</v>
      </c>
      <c r="BL6" s="58">
        <f t="shared" si="20"/>
        <v>0</v>
      </c>
      <c r="BM6" s="56">
        <f>Participantes!AS5</f>
        <v>1</v>
      </c>
      <c r="BN6" s="56">
        <f>Participantes!AT5</f>
        <v>1</v>
      </c>
      <c r="BO6" s="58">
        <f t="shared" si="21"/>
        <v>0</v>
      </c>
      <c r="BP6" s="56">
        <f>Participantes!AU5</f>
        <v>2</v>
      </c>
      <c r="BQ6" s="56">
        <f>Participantes!AV5</f>
        <v>0</v>
      </c>
      <c r="BR6" s="58">
        <f t="shared" si="22"/>
        <v>0</v>
      </c>
      <c r="BS6" s="56">
        <f>Participantes!AW5</f>
        <v>0</v>
      </c>
      <c r="BT6" s="56">
        <f>Participantes!AX5</f>
        <v>3</v>
      </c>
      <c r="BU6" s="58">
        <f t="shared" si="23"/>
        <v>1</v>
      </c>
      <c r="BV6" s="56">
        <f>Participantes!AY5</f>
        <v>2</v>
      </c>
      <c r="BW6" s="56">
        <f>Participantes!AZ5</f>
        <v>1</v>
      </c>
      <c r="BX6" s="58">
        <f t="shared" si="24"/>
        <v>0</v>
      </c>
      <c r="BY6" s="56">
        <f>Participantes!BA5</f>
        <v>2</v>
      </c>
      <c r="BZ6" s="56">
        <f>Participantes!BB5</f>
        <v>2</v>
      </c>
      <c r="CA6" s="58">
        <f t="shared" si="25"/>
        <v>0</v>
      </c>
      <c r="CB6" s="56">
        <f>Participantes!BC5</f>
        <v>2</v>
      </c>
      <c r="CC6" s="56">
        <f>Participantes!BD5</f>
        <v>0</v>
      </c>
      <c r="CD6" s="58">
        <f t="shared" si="26"/>
        <v>1</v>
      </c>
      <c r="CE6" s="56">
        <f>Participantes!BE5</f>
        <v>2</v>
      </c>
      <c r="CF6" s="56">
        <f>Participantes!BF5</f>
        <v>0</v>
      </c>
      <c r="CG6" s="58">
        <f t="shared" si="27"/>
        <v>1</v>
      </c>
      <c r="CH6" s="56">
        <f>Participantes!BG5</f>
        <v>3</v>
      </c>
      <c r="CI6" s="56">
        <f>Participantes!BH5</f>
        <v>1</v>
      </c>
      <c r="CJ6" s="58">
        <f t="shared" si="28"/>
        <v>1</v>
      </c>
      <c r="CK6" s="56">
        <f>Participantes!BI5</f>
        <v>0</v>
      </c>
      <c r="CL6" s="56">
        <f>Participantes!BJ5</f>
        <v>2</v>
      </c>
      <c r="CM6" s="58">
        <f t="shared" si="29"/>
        <v>1</v>
      </c>
      <c r="CN6" s="56">
        <f>Participantes!BK5</f>
        <v>2</v>
      </c>
      <c r="CO6" s="56">
        <f>Participantes!BL5</f>
        <v>1</v>
      </c>
      <c r="CP6" s="58">
        <f t="shared" si="30"/>
        <v>0</v>
      </c>
      <c r="CQ6" s="56">
        <f>Participantes!BM5</f>
        <v>3</v>
      </c>
      <c r="CR6" s="56">
        <f>Participantes!BN5</f>
        <v>0</v>
      </c>
      <c r="CS6" s="58">
        <f t="shared" si="31"/>
        <v>1</v>
      </c>
      <c r="CT6" s="56">
        <f>Participantes!BO5</f>
        <v>4</v>
      </c>
      <c r="CU6" s="56">
        <f>Participantes!BP5</f>
        <v>1</v>
      </c>
      <c r="CV6" s="58">
        <f t="shared" si="32"/>
        <v>1</v>
      </c>
      <c r="CW6" s="56">
        <f>Participantes!BQ5</f>
        <v>2</v>
      </c>
      <c r="CX6" s="56">
        <f>Participantes!BR5</f>
        <v>0</v>
      </c>
      <c r="CY6" s="58">
        <f t="shared" si="33"/>
        <v>0</v>
      </c>
      <c r="CZ6" s="56">
        <f>Participantes!BS5</f>
        <v>1</v>
      </c>
      <c r="DA6" s="56">
        <f>Participantes!BT5</f>
        <v>1</v>
      </c>
      <c r="DB6" s="58">
        <f t="shared" si="34"/>
        <v>0</v>
      </c>
      <c r="DC6" s="56">
        <f>Participantes!BU5</f>
        <v>0</v>
      </c>
      <c r="DD6" s="56">
        <f>Participantes!BV5</f>
        <v>2</v>
      </c>
      <c r="DE6" s="58">
        <f t="shared" si="35"/>
        <v>1</v>
      </c>
      <c r="DF6" s="56">
        <f>Participantes!BW5</f>
        <v>2</v>
      </c>
      <c r="DG6" s="56">
        <f>Participantes!BX5</f>
        <v>0</v>
      </c>
      <c r="DH6" s="58">
        <f t="shared" si="36"/>
        <v>0</v>
      </c>
      <c r="DI6" s="56">
        <f>Participantes!BY5</f>
        <v>3</v>
      </c>
      <c r="DJ6" s="56">
        <f>Participantes!BZ5</f>
        <v>1</v>
      </c>
      <c r="DK6" s="58">
        <f t="shared" si="37"/>
        <v>1</v>
      </c>
      <c r="DL6" s="56">
        <f>Participantes!CA5</f>
        <v>3</v>
      </c>
      <c r="DM6" s="56">
        <f>Participantes!CB5</f>
        <v>0</v>
      </c>
      <c r="DN6" s="58">
        <f t="shared" si="38"/>
        <v>0</v>
      </c>
      <c r="DO6" s="56">
        <f>Participantes!CC5</f>
        <v>0</v>
      </c>
      <c r="DP6" s="56">
        <f>Participantes!CD5</f>
        <v>3</v>
      </c>
      <c r="DQ6" s="58">
        <f t="shared" si="39"/>
        <v>1</v>
      </c>
      <c r="DR6" s="56">
        <f>Participantes!CE5</f>
        <v>4</v>
      </c>
      <c r="DS6" s="56">
        <f>Participantes!CF5</f>
        <v>1</v>
      </c>
      <c r="DT6" s="58">
        <f t="shared" si="40"/>
        <v>1</v>
      </c>
      <c r="DU6" s="56">
        <f>Participantes!CG5</f>
        <v>3</v>
      </c>
      <c r="DV6" s="56">
        <f>Participantes!CH5</f>
        <v>0</v>
      </c>
      <c r="DW6" s="58">
        <f t="shared" si="41"/>
        <v>3</v>
      </c>
      <c r="DX6" s="56">
        <f>Participantes!CI5</f>
        <v>2</v>
      </c>
      <c r="DY6" s="56">
        <f>Participantes!CJ5</f>
        <v>1</v>
      </c>
      <c r="DZ6" s="58">
        <f t="shared" si="42"/>
        <v>1</v>
      </c>
      <c r="EA6" s="56">
        <f>Participantes!CK5</f>
        <v>0</v>
      </c>
      <c r="EB6" s="56">
        <f>Participantes!CL5</f>
        <v>2</v>
      </c>
      <c r="EC6" s="58">
        <f t="shared" si="43"/>
        <v>1</v>
      </c>
      <c r="ED6" s="56">
        <f>Participantes!CM5</f>
        <v>3</v>
      </c>
      <c r="EE6" s="56">
        <f>Participantes!CN5</f>
        <v>0</v>
      </c>
      <c r="EF6" s="58">
        <f t="shared" si="44"/>
        <v>0</v>
      </c>
      <c r="EG6" s="56">
        <f>Participantes!CO5</f>
        <v>1</v>
      </c>
      <c r="EH6" s="56">
        <f>Participantes!CP5</f>
        <v>1</v>
      </c>
      <c r="EI6" s="58">
        <f t="shared" si="45"/>
        <v>0</v>
      </c>
      <c r="EJ6" s="56">
        <f>Participantes!CQ5</f>
        <v>3</v>
      </c>
      <c r="EK6" s="56">
        <f>Participantes!CR5</f>
        <v>0</v>
      </c>
      <c r="EL6" s="58">
        <f t="shared" si="46"/>
        <v>1</v>
      </c>
      <c r="EM6" s="56">
        <f>Participantes!CS5</f>
        <v>3</v>
      </c>
      <c r="EN6" s="56">
        <f>Participantes!CT5</f>
        <v>0</v>
      </c>
      <c r="EO6" s="58">
        <f t="shared" si="47"/>
        <v>1</v>
      </c>
      <c r="EP6" s="56">
        <f>Participantes!CU5</f>
        <v>0</v>
      </c>
      <c r="EQ6" s="56">
        <f>Participantes!CV5</f>
        <v>3</v>
      </c>
      <c r="ER6" s="58">
        <f t="shared" si="48"/>
        <v>3</v>
      </c>
      <c r="ES6" s="56">
        <f>Participantes!CW5</f>
        <v>2</v>
      </c>
      <c r="ET6" s="56">
        <f>Participantes!CX5</f>
        <v>0</v>
      </c>
      <c r="EU6" s="58">
        <f t="shared" si="49"/>
        <v>1</v>
      </c>
      <c r="EV6" s="56">
        <f>Participantes!CY5</f>
        <v>1</v>
      </c>
      <c r="EW6" s="56">
        <f>Participantes!CZ5</f>
        <v>1</v>
      </c>
      <c r="EX6" s="58">
        <f t="shared" si="50"/>
        <v>0</v>
      </c>
      <c r="EY6" s="56">
        <f>Participantes!DA5</f>
        <v>1</v>
      </c>
      <c r="EZ6" s="56">
        <f>Participantes!DB5</f>
        <v>0</v>
      </c>
      <c r="FA6" s="58">
        <f t="shared" si="51"/>
        <v>1</v>
      </c>
      <c r="FB6" s="56">
        <f>Participantes!DC5</f>
        <v>1</v>
      </c>
      <c r="FC6" s="56">
        <f>Participantes!DD5</f>
        <v>2</v>
      </c>
      <c r="FD6" s="58">
        <f t="shared" si="52"/>
        <v>1</v>
      </c>
      <c r="FE6" s="56">
        <f>Participantes!DE5</f>
        <v>0</v>
      </c>
      <c r="FF6" s="56">
        <f>Participantes!DF5</f>
        <v>1</v>
      </c>
      <c r="FG6" s="58">
        <f t="shared" si="53"/>
        <v>0</v>
      </c>
      <c r="FH6" s="56">
        <f>Participantes!DG5</f>
        <v>0</v>
      </c>
      <c r="FI6" s="56">
        <f>Participantes!DH5</f>
        <v>1</v>
      </c>
      <c r="FJ6" s="58">
        <f t="shared" si="54"/>
        <v>1</v>
      </c>
      <c r="FK6" s="56">
        <f>Participantes!DI5</f>
        <v>1</v>
      </c>
      <c r="FL6" s="56">
        <f>Participantes!DJ5</f>
        <v>2</v>
      </c>
      <c r="FM6" s="58">
        <f t="shared" si="55"/>
        <v>0</v>
      </c>
      <c r="FN6" s="56">
        <f>Participantes!DK5</f>
        <v>2</v>
      </c>
      <c r="FO6" s="56">
        <f>Participantes!DL5</f>
        <v>2</v>
      </c>
      <c r="FP6" s="58">
        <f t="shared" si="56"/>
        <v>1</v>
      </c>
      <c r="FQ6" s="56">
        <f>Participantes!DM5</f>
        <v>0</v>
      </c>
      <c r="FR6" s="56">
        <f>Participantes!DN5</f>
        <v>2</v>
      </c>
      <c r="FS6" s="58">
        <f t="shared" si="57"/>
        <v>1</v>
      </c>
      <c r="FT6" s="56">
        <f>Participantes!DO5</f>
        <v>1</v>
      </c>
      <c r="FU6" s="56">
        <f>Participantes!DP5</f>
        <v>1</v>
      </c>
      <c r="FV6" s="58">
        <f t="shared" si="58"/>
        <v>0</v>
      </c>
      <c r="FW6" s="56">
        <f>Participantes!DQ5</f>
        <v>1</v>
      </c>
      <c r="FX6" s="56">
        <f>Participantes!DR5</f>
        <v>0</v>
      </c>
      <c r="FY6" s="58">
        <f t="shared" si="59"/>
        <v>0</v>
      </c>
      <c r="FZ6" s="56">
        <f>Participantes!DS5</f>
        <v>2</v>
      </c>
      <c r="GA6" s="56">
        <f>Participantes!DT5</f>
        <v>2</v>
      </c>
      <c r="GB6" s="58">
        <f t="shared" si="60"/>
        <v>0</v>
      </c>
      <c r="GC6" s="56">
        <f>Participantes!DU5</f>
        <v>1</v>
      </c>
      <c r="GD6" s="56">
        <f>Participantes!DV5</f>
        <v>0</v>
      </c>
      <c r="GE6" s="58">
        <f t="shared" si="61"/>
        <v>1</v>
      </c>
      <c r="GF6" s="56">
        <f>Participantes!DW5</f>
        <v>2</v>
      </c>
      <c r="GG6" s="56">
        <f>Participantes!DX5</f>
        <v>0</v>
      </c>
      <c r="GH6" s="58">
        <f t="shared" si="62"/>
        <v>0</v>
      </c>
      <c r="GI6" s="56">
        <f>Participantes!DY5</f>
        <v>0</v>
      </c>
      <c r="GJ6" s="56">
        <f>Participantes!DZ5</f>
        <v>4</v>
      </c>
      <c r="GK6" s="58">
        <f t="shared" si="63"/>
        <v>1</v>
      </c>
      <c r="GL6" s="56">
        <f>Participantes!EA5</f>
        <v>0</v>
      </c>
      <c r="GM6" s="56">
        <f>Participantes!EB5</f>
        <v>2</v>
      </c>
      <c r="GN6" s="58">
        <f t="shared" si="64"/>
        <v>0</v>
      </c>
      <c r="GO6" s="56">
        <f>Participantes!EC5</f>
        <v>1</v>
      </c>
      <c r="GP6" s="56">
        <f>Participantes!ED5</f>
        <v>3</v>
      </c>
      <c r="GQ6" s="58">
        <f t="shared" si="65"/>
        <v>1</v>
      </c>
      <c r="GR6" s="56">
        <f>Participantes!EE5</f>
        <v>1</v>
      </c>
      <c r="GS6" s="56">
        <f>Participantes!EF5</f>
        <v>4</v>
      </c>
      <c r="GT6" s="58" t="str">
        <f t="shared" si="66"/>
        <v/>
      </c>
      <c r="GU6" s="56">
        <f>Participantes!EG5</f>
        <v>2</v>
      </c>
      <c r="GV6" s="56">
        <f>Participantes!EH5</f>
        <v>1</v>
      </c>
      <c r="GW6" s="58" t="str">
        <f t="shared" si="67"/>
        <v/>
      </c>
      <c r="GX6" s="56">
        <f>Participantes!EI5</f>
        <v>1</v>
      </c>
      <c r="GY6" s="56">
        <f>Participantes!EJ5</f>
        <v>1</v>
      </c>
      <c r="GZ6" s="58" t="str">
        <f t="shared" si="68"/>
        <v/>
      </c>
      <c r="HA6" s="56">
        <f>Participantes!EK5</f>
        <v>0</v>
      </c>
      <c r="HB6" s="56">
        <f>Participantes!EL5</f>
        <v>3</v>
      </c>
      <c r="HC6" s="58" t="str">
        <f t="shared" si="69"/>
        <v/>
      </c>
      <c r="HD6" s="56">
        <f>Participantes!EM5</f>
        <v>2</v>
      </c>
      <c r="HE6" s="56">
        <f>Participantes!EN5</f>
        <v>2</v>
      </c>
      <c r="HF6" s="58" t="str">
        <f t="shared" si="70"/>
        <v/>
      </c>
      <c r="HG6" s="56">
        <f>Participantes!EO5</f>
        <v>0</v>
      </c>
      <c r="HH6" s="56">
        <f>Participantes!EP5</f>
        <v>0</v>
      </c>
      <c r="HI6" s="58" t="str">
        <f t="shared" si="71"/>
        <v/>
      </c>
      <c r="HJ6" s="59">
        <f t="shared" si="72"/>
        <v>50</v>
      </c>
    </row>
    <row r="7" spans="1:218" ht="15" customHeight="1" x14ac:dyDescent="0.25">
      <c r="A7" s="57" t="str">
        <f>Participantes!B6</f>
        <v>Aneth</v>
      </c>
      <c r="B7" s="56">
        <f>Participantes!C6</f>
        <v>2</v>
      </c>
      <c r="C7" s="56">
        <f>Participantes!D6</f>
        <v>0</v>
      </c>
      <c r="D7" s="58">
        <f t="shared" si="0"/>
        <v>3</v>
      </c>
      <c r="E7" s="56">
        <f>Participantes!E6</f>
        <v>1</v>
      </c>
      <c r="F7" s="56">
        <f>Participantes!F6</f>
        <v>1</v>
      </c>
      <c r="G7" s="58">
        <f t="shared" si="1"/>
        <v>0</v>
      </c>
      <c r="H7" s="56">
        <f>Participantes!G6</f>
        <v>2</v>
      </c>
      <c r="I7" s="56">
        <f>Participantes!H6</f>
        <v>1</v>
      </c>
      <c r="J7" s="58">
        <f t="shared" si="2"/>
        <v>0</v>
      </c>
      <c r="K7" s="56">
        <f>Participantes!I6</f>
        <v>2</v>
      </c>
      <c r="L7" s="56">
        <f>Participantes!J6</f>
        <v>1</v>
      </c>
      <c r="M7" s="58">
        <f t="shared" si="3"/>
        <v>1</v>
      </c>
      <c r="N7" s="56">
        <f>Participantes!K6</f>
        <v>2</v>
      </c>
      <c r="O7" s="56">
        <f>Participantes!L6</f>
        <v>0</v>
      </c>
      <c r="P7" s="58">
        <f t="shared" si="4"/>
        <v>0</v>
      </c>
      <c r="Q7" s="56">
        <f>Participantes!M6</f>
        <v>1</v>
      </c>
      <c r="R7" s="56">
        <f>Participantes!N6</f>
        <v>1</v>
      </c>
      <c r="S7" s="58">
        <f t="shared" si="5"/>
        <v>0</v>
      </c>
      <c r="T7" s="56">
        <f>Participantes!O6</f>
        <v>2</v>
      </c>
      <c r="U7" s="56">
        <f>Participantes!P6</f>
        <v>1</v>
      </c>
      <c r="V7" s="58">
        <f t="shared" si="6"/>
        <v>0</v>
      </c>
      <c r="W7" s="56">
        <f>Participantes!Q6</f>
        <v>2</v>
      </c>
      <c r="X7" s="56">
        <f>Participantes!R6</f>
        <v>0</v>
      </c>
      <c r="Y7" s="58">
        <f t="shared" si="7"/>
        <v>0</v>
      </c>
      <c r="Z7" s="56">
        <f>Participantes!S6</f>
        <v>1</v>
      </c>
      <c r="AA7" s="56">
        <f>Participantes!T6</f>
        <v>1</v>
      </c>
      <c r="AB7" s="58">
        <f t="shared" si="8"/>
        <v>0</v>
      </c>
      <c r="AC7" s="56">
        <f>Participantes!U6</f>
        <v>4</v>
      </c>
      <c r="AD7" s="56">
        <f>Participantes!V6</f>
        <v>0</v>
      </c>
      <c r="AE7" s="58">
        <f t="shared" si="9"/>
        <v>1</v>
      </c>
      <c r="AF7" s="56">
        <f>Participantes!W6</f>
        <v>2</v>
      </c>
      <c r="AG7" s="56">
        <f>Participantes!X6</f>
        <v>1</v>
      </c>
      <c r="AH7" s="58">
        <f t="shared" si="10"/>
        <v>0</v>
      </c>
      <c r="AI7" s="56">
        <f>Participantes!Y6</f>
        <v>1</v>
      </c>
      <c r="AJ7" s="56">
        <f>Participantes!Z6</f>
        <v>0</v>
      </c>
      <c r="AK7" s="58">
        <f t="shared" si="11"/>
        <v>1</v>
      </c>
      <c r="AL7" s="56">
        <f>Participantes!AA6</f>
        <v>3</v>
      </c>
      <c r="AM7" s="56">
        <f>Participantes!AB6</f>
        <v>0</v>
      </c>
      <c r="AN7" s="58">
        <f t="shared" si="12"/>
        <v>0</v>
      </c>
      <c r="AO7" s="56">
        <f>Participantes!AC6</f>
        <v>3</v>
      </c>
      <c r="AP7" s="56">
        <f>Participantes!AD6</f>
        <v>0</v>
      </c>
      <c r="AQ7" s="58">
        <f t="shared" si="13"/>
        <v>0</v>
      </c>
      <c r="AR7" s="56">
        <f>Participantes!AE6</f>
        <v>2</v>
      </c>
      <c r="AS7" s="56">
        <f>Participantes!AF6</f>
        <v>0</v>
      </c>
      <c r="AT7" s="58">
        <f t="shared" si="14"/>
        <v>0</v>
      </c>
      <c r="AU7" s="56">
        <f>Participantes!AG6</f>
        <v>2</v>
      </c>
      <c r="AV7" s="56">
        <f>Participantes!AH6</f>
        <v>1</v>
      </c>
      <c r="AW7" s="58">
        <f t="shared" si="15"/>
        <v>0</v>
      </c>
      <c r="AX7" s="56">
        <f>Participantes!AI6</f>
        <v>2</v>
      </c>
      <c r="AY7" s="56">
        <f>Participantes!AJ6</f>
        <v>1</v>
      </c>
      <c r="AZ7" s="58">
        <f t="shared" si="16"/>
        <v>1</v>
      </c>
      <c r="BA7" s="56">
        <f>Participantes!AK6</f>
        <v>2</v>
      </c>
      <c r="BB7" s="56">
        <f>Participantes!AL6</f>
        <v>0</v>
      </c>
      <c r="BC7" s="58">
        <f t="shared" si="17"/>
        <v>0</v>
      </c>
      <c r="BD7" s="56">
        <f>Participantes!AM6</f>
        <v>3</v>
      </c>
      <c r="BE7" s="56">
        <f>Participantes!AN6</f>
        <v>0</v>
      </c>
      <c r="BF7" s="58">
        <f t="shared" si="18"/>
        <v>3</v>
      </c>
      <c r="BG7" s="56">
        <f>Participantes!AO6</f>
        <v>2</v>
      </c>
      <c r="BH7" s="56">
        <f>Participantes!AP6</f>
        <v>0</v>
      </c>
      <c r="BI7" s="58">
        <f t="shared" si="19"/>
        <v>1</v>
      </c>
      <c r="BJ7" s="56">
        <f>Participantes!AQ6</f>
        <v>1</v>
      </c>
      <c r="BK7" s="56">
        <f>Participantes!AR6</f>
        <v>1</v>
      </c>
      <c r="BL7" s="58">
        <f t="shared" si="20"/>
        <v>0</v>
      </c>
      <c r="BM7" s="56">
        <f>Participantes!AS6</f>
        <v>2</v>
      </c>
      <c r="BN7" s="56">
        <f>Participantes!AT6</f>
        <v>1</v>
      </c>
      <c r="BO7" s="58">
        <f t="shared" si="21"/>
        <v>1</v>
      </c>
      <c r="BP7" s="56">
        <f>Participantes!AU6</f>
        <v>3</v>
      </c>
      <c r="BQ7" s="56">
        <f>Participantes!AV6</f>
        <v>0</v>
      </c>
      <c r="BR7" s="58">
        <f t="shared" si="22"/>
        <v>0</v>
      </c>
      <c r="BS7" s="56">
        <f>Participantes!AW6</f>
        <v>2</v>
      </c>
      <c r="BT7" s="56">
        <f>Participantes!AX6</f>
        <v>0</v>
      </c>
      <c r="BU7" s="58">
        <f t="shared" si="23"/>
        <v>0</v>
      </c>
      <c r="BV7" s="56">
        <f>Participantes!AY6</f>
        <v>2</v>
      </c>
      <c r="BW7" s="56">
        <f>Participantes!AZ6</f>
        <v>1</v>
      </c>
      <c r="BX7" s="58">
        <f t="shared" si="24"/>
        <v>0</v>
      </c>
      <c r="BY7" s="56">
        <f>Participantes!BA6</f>
        <v>2</v>
      </c>
      <c r="BZ7" s="56">
        <f>Participantes!BB6</f>
        <v>0</v>
      </c>
      <c r="CA7" s="58">
        <f t="shared" si="25"/>
        <v>1</v>
      </c>
      <c r="CB7" s="56">
        <f>Participantes!BC6</f>
        <v>1</v>
      </c>
      <c r="CC7" s="56">
        <f>Participantes!BD6</f>
        <v>1</v>
      </c>
      <c r="CD7" s="58">
        <f t="shared" si="26"/>
        <v>0</v>
      </c>
      <c r="CE7" s="56">
        <f>Participantes!BE6</f>
        <v>2</v>
      </c>
      <c r="CF7" s="56">
        <f>Participantes!BF6</f>
        <v>1</v>
      </c>
      <c r="CG7" s="58">
        <f t="shared" si="27"/>
        <v>1</v>
      </c>
      <c r="CH7" s="56">
        <f>Participantes!BG6</f>
        <v>4</v>
      </c>
      <c r="CI7" s="56">
        <f>Participantes!BH6</f>
        <v>0</v>
      </c>
      <c r="CJ7" s="58">
        <f t="shared" si="28"/>
        <v>1</v>
      </c>
      <c r="CK7" s="56">
        <f>Participantes!BI6</f>
        <v>1</v>
      </c>
      <c r="CL7" s="56">
        <f>Participantes!BJ6</f>
        <v>2</v>
      </c>
      <c r="CM7" s="58">
        <f t="shared" si="29"/>
        <v>1</v>
      </c>
      <c r="CN7" s="56">
        <f>Participantes!BK6</f>
        <v>2</v>
      </c>
      <c r="CO7" s="56">
        <f>Participantes!BL6</f>
        <v>1</v>
      </c>
      <c r="CP7" s="58">
        <f t="shared" si="30"/>
        <v>0</v>
      </c>
      <c r="CQ7" s="56">
        <f>Participantes!BM6</f>
        <v>2</v>
      </c>
      <c r="CR7" s="56">
        <f>Participantes!BN6</f>
        <v>0</v>
      </c>
      <c r="CS7" s="58">
        <f t="shared" si="31"/>
        <v>3</v>
      </c>
      <c r="CT7" s="56">
        <f>Participantes!BO6</f>
        <v>2</v>
      </c>
      <c r="CU7" s="56">
        <f>Participantes!BP6</f>
        <v>1</v>
      </c>
      <c r="CV7" s="58">
        <f t="shared" si="32"/>
        <v>3</v>
      </c>
      <c r="CW7" s="56">
        <f>Participantes!BQ6</f>
        <v>3</v>
      </c>
      <c r="CX7" s="56">
        <f>Participantes!BR6</f>
        <v>0</v>
      </c>
      <c r="CY7" s="58">
        <f t="shared" si="33"/>
        <v>0</v>
      </c>
      <c r="CZ7" s="56">
        <f>Participantes!BS6</f>
        <v>2</v>
      </c>
      <c r="DA7" s="56">
        <f>Participantes!BT6</f>
        <v>1</v>
      </c>
      <c r="DB7" s="58">
        <f t="shared" si="34"/>
        <v>1</v>
      </c>
      <c r="DC7" s="56">
        <f>Participantes!BU6</f>
        <v>1</v>
      </c>
      <c r="DD7" s="56">
        <f>Participantes!BV6</f>
        <v>2</v>
      </c>
      <c r="DE7" s="58">
        <f t="shared" si="35"/>
        <v>1</v>
      </c>
      <c r="DF7" s="56">
        <f>Participantes!BW6</f>
        <v>3</v>
      </c>
      <c r="DG7" s="56">
        <f>Participantes!BX6</f>
        <v>0</v>
      </c>
      <c r="DH7" s="58">
        <f t="shared" si="36"/>
        <v>0</v>
      </c>
      <c r="DI7" s="56">
        <f>Participantes!BY6</f>
        <v>3</v>
      </c>
      <c r="DJ7" s="56">
        <f>Participantes!BZ6</f>
        <v>0</v>
      </c>
      <c r="DK7" s="58">
        <f t="shared" si="37"/>
        <v>1</v>
      </c>
      <c r="DL7" s="56">
        <f>Participantes!CA6</f>
        <v>2</v>
      </c>
      <c r="DM7" s="56">
        <f>Participantes!CB6</f>
        <v>1</v>
      </c>
      <c r="DN7" s="58">
        <f t="shared" si="38"/>
        <v>0</v>
      </c>
      <c r="DO7" s="56">
        <f>Participantes!CC6</f>
        <v>1</v>
      </c>
      <c r="DP7" s="56">
        <f>Participantes!CD6</f>
        <v>2</v>
      </c>
      <c r="DQ7" s="58">
        <f t="shared" si="39"/>
        <v>1</v>
      </c>
      <c r="DR7" s="56">
        <f>Participantes!CE6</f>
        <v>1</v>
      </c>
      <c r="DS7" s="56">
        <f>Participantes!CF6</f>
        <v>1</v>
      </c>
      <c r="DT7" s="58">
        <f t="shared" si="40"/>
        <v>0</v>
      </c>
      <c r="DU7" s="56">
        <f>Participantes!CG6</f>
        <v>3</v>
      </c>
      <c r="DV7" s="56">
        <f>Participantes!CH6</f>
        <v>0</v>
      </c>
      <c r="DW7" s="58">
        <f t="shared" si="41"/>
        <v>3</v>
      </c>
      <c r="DX7" s="56">
        <f>Participantes!CI6</f>
        <v>2</v>
      </c>
      <c r="DY7" s="56">
        <f>Participantes!CJ6</f>
        <v>0</v>
      </c>
      <c r="DZ7" s="58">
        <f t="shared" si="42"/>
        <v>3</v>
      </c>
      <c r="EA7" s="56">
        <f>Participantes!CK6</f>
        <v>1</v>
      </c>
      <c r="EB7" s="56">
        <f>Participantes!CL6</f>
        <v>2</v>
      </c>
      <c r="EC7" s="58">
        <f t="shared" si="43"/>
        <v>3</v>
      </c>
      <c r="ED7" s="56">
        <f>Participantes!CM6</f>
        <v>2</v>
      </c>
      <c r="EE7" s="56">
        <f>Participantes!CN6</f>
        <v>0</v>
      </c>
      <c r="EF7" s="58">
        <f t="shared" si="44"/>
        <v>0</v>
      </c>
      <c r="EG7" s="56">
        <f>Participantes!CO6</f>
        <v>0</v>
      </c>
      <c r="EH7" s="56">
        <f>Participantes!CP6</f>
        <v>2</v>
      </c>
      <c r="EI7" s="58">
        <f t="shared" si="45"/>
        <v>1</v>
      </c>
      <c r="EJ7" s="56">
        <f>Participantes!CQ6</f>
        <v>3</v>
      </c>
      <c r="EK7" s="56">
        <f>Participantes!CR6</f>
        <v>1</v>
      </c>
      <c r="EL7" s="58">
        <f t="shared" si="46"/>
        <v>1</v>
      </c>
      <c r="EM7" s="56">
        <f>Participantes!CS6</f>
        <v>3</v>
      </c>
      <c r="EN7" s="56">
        <f>Participantes!CT6</f>
        <v>0</v>
      </c>
      <c r="EO7" s="58">
        <f t="shared" si="47"/>
        <v>1</v>
      </c>
      <c r="EP7" s="56">
        <f>Participantes!CU6</f>
        <v>3</v>
      </c>
      <c r="EQ7" s="56">
        <f>Participantes!CV6</f>
        <v>1</v>
      </c>
      <c r="ER7" s="58">
        <f t="shared" si="48"/>
        <v>0</v>
      </c>
      <c r="ES7" s="56">
        <f>Participantes!CW6</f>
        <v>2</v>
      </c>
      <c r="ET7" s="56">
        <f>Participantes!CX6</f>
        <v>0</v>
      </c>
      <c r="EU7" s="58">
        <f t="shared" si="49"/>
        <v>1</v>
      </c>
      <c r="EV7" s="56">
        <f>Participantes!CY6</f>
        <v>1</v>
      </c>
      <c r="EW7" s="56">
        <f>Participantes!CZ6</f>
        <v>1</v>
      </c>
      <c r="EX7" s="58">
        <f t="shared" si="50"/>
        <v>0</v>
      </c>
      <c r="EY7" s="56">
        <f>Participantes!DA6</f>
        <v>2</v>
      </c>
      <c r="EZ7" s="56">
        <f>Participantes!DB6</f>
        <v>1</v>
      </c>
      <c r="FA7" s="58">
        <f t="shared" si="51"/>
        <v>1</v>
      </c>
      <c r="FB7" s="56">
        <f>Participantes!DC6</f>
        <v>1</v>
      </c>
      <c r="FC7" s="56">
        <f>Participantes!DD6</f>
        <v>1</v>
      </c>
      <c r="FD7" s="58">
        <f t="shared" si="52"/>
        <v>0</v>
      </c>
      <c r="FE7" s="56">
        <f>Participantes!DE6</f>
        <v>2</v>
      </c>
      <c r="FF7" s="56">
        <f>Participantes!DF6</f>
        <v>1</v>
      </c>
      <c r="FG7" s="58">
        <f t="shared" si="53"/>
        <v>1</v>
      </c>
      <c r="FH7" s="56">
        <f>Participantes!DG6</f>
        <v>3</v>
      </c>
      <c r="FI7" s="56">
        <f>Participantes!DH6</f>
        <v>0</v>
      </c>
      <c r="FJ7" s="58">
        <f t="shared" si="54"/>
        <v>0</v>
      </c>
      <c r="FK7" s="56">
        <f>Participantes!DI6</f>
        <v>2</v>
      </c>
      <c r="FL7" s="56">
        <f>Participantes!DJ6</f>
        <v>1</v>
      </c>
      <c r="FM7" s="58">
        <f t="shared" si="55"/>
        <v>3</v>
      </c>
      <c r="FN7" s="56">
        <f>Participantes!DK6</f>
        <v>1</v>
      </c>
      <c r="FO7" s="56">
        <f>Participantes!DL6</f>
        <v>1</v>
      </c>
      <c r="FP7" s="58">
        <f t="shared" si="56"/>
        <v>3</v>
      </c>
      <c r="FQ7" s="56">
        <f>Participantes!DM6</f>
        <v>2</v>
      </c>
      <c r="FR7" s="56">
        <f>Participantes!DN6</f>
        <v>0</v>
      </c>
      <c r="FS7" s="58">
        <f t="shared" si="57"/>
        <v>0</v>
      </c>
      <c r="FT7" s="56">
        <f>Participantes!DO6</f>
        <v>1</v>
      </c>
      <c r="FU7" s="56">
        <f>Participantes!DP6</f>
        <v>1</v>
      </c>
      <c r="FV7" s="58">
        <f t="shared" si="58"/>
        <v>0</v>
      </c>
      <c r="FW7" s="56">
        <f>Participantes!DQ6</f>
        <v>2</v>
      </c>
      <c r="FX7" s="56">
        <f>Participantes!DR6</f>
        <v>1</v>
      </c>
      <c r="FY7" s="58">
        <f t="shared" si="59"/>
        <v>0</v>
      </c>
      <c r="FZ7" s="56">
        <f>Participantes!DS6</f>
        <v>2</v>
      </c>
      <c r="GA7" s="56">
        <f>Participantes!DT6</f>
        <v>1</v>
      </c>
      <c r="GB7" s="58">
        <f t="shared" si="60"/>
        <v>0</v>
      </c>
      <c r="GC7" s="56">
        <f>Participantes!DU6</f>
        <v>2</v>
      </c>
      <c r="GD7" s="56">
        <f>Participantes!DV6</f>
        <v>0</v>
      </c>
      <c r="GE7" s="58">
        <f t="shared" si="61"/>
        <v>1</v>
      </c>
      <c r="GF7" s="56">
        <f>Participantes!DW6</f>
        <v>1</v>
      </c>
      <c r="GG7" s="56">
        <f>Participantes!DX6</f>
        <v>1</v>
      </c>
      <c r="GH7" s="58">
        <f t="shared" si="62"/>
        <v>3</v>
      </c>
      <c r="GI7" s="56">
        <f>Participantes!DY6</f>
        <v>3</v>
      </c>
      <c r="GJ7" s="56">
        <f>Participantes!DZ6</f>
        <v>0</v>
      </c>
      <c r="GK7" s="58">
        <f t="shared" si="63"/>
        <v>0</v>
      </c>
      <c r="GL7" s="56">
        <f>Participantes!EA6</f>
        <v>1</v>
      </c>
      <c r="GM7" s="56">
        <f>Participantes!EB6</f>
        <v>1</v>
      </c>
      <c r="GN7" s="58">
        <f t="shared" si="64"/>
        <v>1</v>
      </c>
      <c r="GO7" s="56">
        <f>Participantes!EC6</f>
        <v>2</v>
      </c>
      <c r="GP7" s="56">
        <f>Participantes!ED6</f>
        <v>2</v>
      </c>
      <c r="GQ7" s="58">
        <f t="shared" si="65"/>
        <v>0</v>
      </c>
      <c r="GR7" s="56">
        <f>Participantes!EE6</f>
        <v>2</v>
      </c>
      <c r="GS7" s="56">
        <f>Participantes!EF6</f>
        <v>1</v>
      </c>
      <c r="GT7" s="58" t="str">
        <f t="shared" si="66"/>
        <v/>
      </c>
      <c r="GU7" s="56">
        <f>Participantes!EG6</f>
        <v>2</v>
      </c>
      <c r="GV7" s="56">
        <f>Participantes!EH6</f>
        <v>1</v>
      </c>
      <c r="GW7" s="58" t="str">
        <f t="shared" si="67"/>
        <v/>
      </c>
      <c r="GX7" s="56">
        <f>Participantes!EI6</f>
        <v>1</v>
      </c>
      <c r="GY7" s="56">
        <f>Participantes!EJ6</f>
        <v>1</v>
      </c>
      <c r="GZ7" s="58" t="str">
        <f t="shared" si="68"/>
        <v/>
      </c>
      <c r="HA7" s="56">
        <f>Participantes!EK6</f>
        <v>2</v>
      </c>
      <c r="HB7" s="56">
        <f>Participantes!EL6</f>
        <v>3</v>
      </c>
      <c r="HC7" s="58" t="str">
        <f t="shared" si="69"/>
        <v/>
      </c>
      <c r="HD7" s="56">
        <f>Participantes!EM6</f>
        <v>1</v>
      </c>
      <c r="HE7" s="56">
        <f>Participantes!EN6</f>
        <v>1</v>
      </c>
      <c r="HF7" s="58" t="str">
        <f t="shared" si="70"/>
        <v/>
      </c>
      <c r="HG7" s="56">
        <f>Participantes!EO6</f>
        <v>2</v>
      </c>
      <c r="HH7" s="56">
        <f>Participantes!EP6</f>
        <v>1</v>
      </c>
      <c r="HI7" s="58" t="str">
        <f t="shared" si="71"/>
        <v/>
      </c>
      <c r="HJ7" s="59">
        <f t="shared" si="72"/>
        <v>52</v>
      </c>
    </row>
    <row r="8" spans="1:218" ht="15" customHeight="1" x14ac:dyDescent="0.25">
      <c r="A8" s="57" t="str">
        <f>Participantes!B7</f>
        <v>Antonio</v>
      </c>
      <c r="B8" s="56">
        <f>Participantes!C7</f>
        <v>2</v>
      </c>
      <c r="C8" s="56">
        <f>Participantes!D7</f>
        <v>0</v>
      </c>
      <c r="D8" s="58">
        <f t="shared" si="0"/>
        <v>3</v>
      </c>
      <c r="E8" s="56">
        <f>Participantes!E7</f>
        <v>1</v>
      </c>
      <c r="F8" s="56">
        <f>Participantes!F7</f>
        <v>1</v>
      </c>
      <c r="G8" s="58">
        <f t="shared" si="1"/>
        <v>0</v>
      </c>
      <c r="H8" s="56">
        <f>Participantes!G7</f>
        <v>3</v>
      </c>
      <c r="I8" s="56">
        <f>Participantes!H7</f>
        <v>1</v>
      </c>
      <c r="J8" s="58">
        <f t="shared" si="2"/>
        <v>0</v>
      </c>
      <c r="K8" s="56">
        <f>Participantes!I7</f>
        <v>2</v>
      </c>
      <c r="L8" s="56">
        <f>Participantes!J7</f>
        <v>0</v>
      </c>
      <c r="M8" s="58">
        <f t="shared" si="3"/>
        <v>1</v>
      </c>
      <c r="N8" s="56">
        <f>Participantes!K7</f>
        <v>0</v>
      </c>
      <c r="O8" s="56">
        <f>Participantes!L7</f>
        <v>3</v>
      </c>
      <c r="P8" s="58">
        <f t="shared" si="4"/>
        <v>1</v>
      </c>
      <c r="Q8" s="56">
        <f>Participantes!M7</f>
        <v>1</v>
      </c>
      <c r="R8" s="56">
        <f>Participantes!N7</f>
        <v>2</v>
      </c>
      <c r="S8" s="58">
        <f t="shared" si="5"/>
        <v>0</v>
      </c>
      <c r="T8" s="56">
        <f>Participantes!O7</f>
        <v>2</v>
      </c>
      <c r="U8" s="56">
        <f>Participantes!P7</f>
        <v>2</v>
      </c>
      <c r="V8" s="58">
        <f t="shared" si="6"/>
        <v>1</v>
      </c>
      <c r="W8" s="56">
        <f>Participantes!Q7</f>
        <v>0</v>
      </c>
      <c r="X8" s="56">
        <f>Participantes!R7</f>
        <v>2</v>
      </c>
      <c r="Y8" s="58">
        <f t="shared" si="7"/>
        <v>0</v>
      </c>
      <c r="Z8" s="56">
        <f>Participantes!S7</f>
        <v>1</v>
      </c>
      <c r="AA8" s="56">
        <f>Participantes!T7</f>
        <v>1</v>
      </c>
      <c r="AB8" s="58">
        <f t="shared" si="8"/>
        <v>0</v>
      </c>
      <c r="AC8" s="56">
        <f>Participantes!U7</f>
        <v>4</v>
      </c>
      <c r="AD8" s="56">
        <f>Participantes!V7</f>
        <v>0</v>
      </c>
      <c r="AE8" s="58">
        <f t="shared" si="9"/>
        <v>1</v>
      </c>
      <c r="AF8" s="56">
        <f>Participantes!W7</f>
        <v>3</v>
      </c>
      <c r="AG8" s="56">
        <f>Participantes!X7</f>
        <v>0</v>
      </c>
      <c r="AH8" s="58">
        <f t="shared" si="10"/>
        <v>0</v>
      </c>
      <c r="AI8" s="56">
        <f>Participantes!Y7</f>
        <v>2</v>
      </c>
      <c r="AJ8" s="56">
        <f>Participantes!Z7</f>
        <v>1</v>
      </c>
      <c r="AK8" s="58">
        <f t="shared" si="11"/>
        <v>1</v>
      </c>
      <c r="AL8" s="56">
        <f>Participantes!AA7</f>
        <v>0</v>
      </c>
      <c r="AM8" s="56">
        <f>Participantes!AB7</f>
        <v>1</v>
      </c>
      <c r="AN8" s="58">
        <f t="shared" si="12"/>
        <v>0</v>
      </c>
      <c r="AO8" s="56">
        <f>Participantes!AC7</f>
        <v>3</v>
      </c>
      <c r="AP8" s="56">
        <f>Participantes!AD7</f>
        <v>0</v>
      </c>
      <c r="AQ8" s="58">
        <f t="shared" si="13"/>
        <v>0</v>
      </c>
      <c r="AR8" s="56">
        <f>Participantes!AE7</f>
        <v>0</v>
      </c>
      <c r="AS8" s="56">
        <f>Participantes!AF7</f>
        <v>2</v>
      </c>
      <c r="AT8" s="58">
        <f t="shared" si="14"/>
        <v>0</v>
      </c>
      <c r="AU8" s="56">
        <f>Participantes!AG7</f>
        <v>3</v>
      </c>
      <c r="AV8" s="56">
        <f>Participantes!AH7</f>
        <v>1</v>
      </c>
      <c r="AW8" s="58">
        <f t="shared" si="15"/>
        <v>0</v>
      </c>
      <c r="AX8" s="56">
        <f>Participantes!AI7</f>
        <v>4</v>
      </c>
      <c r="AY8" s="56">
        <f>Participantes!AJ7</f>
        <v>0</v>
      </c>
      <c r="AZ8" s="58">
        <f t="shared" si="16"/>
        <v>1</v>
      </c>
      <c r="BA8" s="56">
        <f>Participantes!AK7</f>
        <v>0</v>
      </c>
      <c r="BB8" s="56">
        <f>Participantes!AL7</f>
        <v>1</v>
      </c>
      <c r="BC8" s="58">
        <f t="shared" si="17"/>
        <v>1</v>
      </c>
      <c r="BD8" s="56">
        <f>Participantes!AM7</f>
        <v>3</v>
      </c>
      <c r="BE8" s="56">
        <f>Participantes!AN7</f>
        <v>1</v>
      </c>
      <c r="BF8" s="58">
        <f t="shared" si="18"/>
        <v>1</v>
      </c>
      <c r="BG8" s="56">
        <f>Participantes!AO7</f>
        <v>2</v>
      </c>
      <c r="BH8" s="56">
        <f>Participantes!AP7</f>
        <v>1</v>
      </c>
      <c r="BI8" s="58">
        <f t="shared" si="19"/>
        <v>1</v>
      </c>
      <c r="BJ8" s="56">
        <f>Participantes!AQ7</f>
        <v>0</v>
      </c>
      <c r="BK8" s="56">
        <f>Participantes!AR7</f>
        <v>1</v>
      </c>
      <c r="BL8" s="58">
        <f t="shared" si="20"/>
        <v>0</v>
      </c>
      <c r="BM8" s="56">
        <f>Participantes!AS7</f>
        <v>3</v>
      </c>
      <c r="BN8" s="56">
        <f>Participantes!AT7</f>
        <v>2</v>
      </c>
      <c r="BO8" s="58">
        <f t="shared" si="21"/>
        <v>1</v>
      </c>
      <c r="BP8" s="56">
        <f>Participantes!AU7</f>
        <v>4</v>
      </c>
      <c r="BQ8" s="56">
        <f>Participantes!AV7</f>
        <v>0</v>
      </c>
      <c r="BR8" s="58">
        <f t="shared" si="22"/>
        <v>0</v>
      </c>
      <c r="BS8" s="56">
        <f>Participantes!AW7</f>
        <v>0</v>
      </c>
      <c r="BT8" s="56">
        <f>Participantes!AX7</f>
        <v>4</v>
      </c>
      <c r="BU8" s="58">
        <f t="shared" si="23"/>
        <v>1</v>
      </c>
      <c r="BV8" s="56">
        <f>Participantes!AY7</f>
        <v>0</v>
      </c>
      <c r="BW8" s="56">
        <f>Participantes!AZ7</f>
        <v>1</v>
      </c>
      <c r="BX8" s="58">
        <f t="shared" si="24"/>
        <v>0</v>
      </c>
      <c r="BY8" s="56">
        <f>Participantes!BA7</f>
        <v>3</v>
      </c>
      <c r="BZ8" s="56">
        <f>Participantes!BB7</f>
        <v>2</v>
      </c>
      <c r="CA8" s="58">
        <f t="shared" si="25"/>
        <v>1</v>
      </c>
      <c r="CB8" s="56">
        <f>Participantes!BC7</f>
        <v>2</v>
      </c>
      <c r="CC8" s="56">
        <f>Participantes!BD7</f>
        <v>1</v>
      </c>
      <c r="CD8" s="58">
        <f t="shared" si="26"/>
        <v>1</v>
      </c>
      <c r="CE8" s="56">
        <f>Participantes!BE7</f>
        <v>3</v>
      </c>
      <c r="CF8" s="56">
        <f>Participantes!BF7</f>
        <v>1</v>
      </c>
      <c r="CG8" s="58">
        <f t="shared" si="27"/>
        <v>1</v>
      </c>
      <c r="CH8" s="56">
        <f>Participantes!BG7</f>
        <v>5</v>
      </c>
      <c r="CI8" s="56">
        <f>Participantes!BH7</f>
        <v>0</v>
      </c>
      <c r="CJ8" s="58">
        <f t="shared" si="28"/>
        <v>1</v>
      </c>
      <c r="CK8" s="56">
        <f>Participantes!BI7</f>
        <v>0</v>
      </c>
      <c r="CL8" s="56">
        <f>Participantes!BJ7</f>
        <v>2</v>
      </c>
      <c r="CM8" s="58">
        <f t="shared" si="29"/>
        <v>1</v>
      </c>
      <c r="CN8" s="56">
        <f>Participantes!BK7</f>
        <v>1</v>
      </c>
      <c r="CO8" s="56">
        <f>Participantes!BL7</f>
        <v>0</v>
      </c>
      <c r="CP8" s="58">
        <f t="shared" si="30"/>
        <v>0</v>
      </c>
      <c r="CQ8" s="56">
        <f>Participantes!BM7</f>
        <v>2</v>
      </c>
      <c r="CR8" s="56">
        <f>Participantes!BN7</f>
        <v>1</v>
      </c>
      <c r="CS8" s="58">
        <f t="shared" si="31"/>
        <v>1</v>
      </c>
      <c r="CT8" s="56">
        <f>Participantes!BO7</f>
        <v>4</v>
      </c>
      <c r="CU8" s="56">
        <f>Participantes!BP7</f>
        <v>0</v>
      </c>
      <c r="CV8" s="58">
        <f t="shared" si="32"/>
        <v>1</v>
      </c>
      <c r="CW8" s="56">
        <f>Participantes!BQ7</f>
        <v>2</v>
      </c>
      <c r="CX8" s="56">
        <f>Participantes!BR7</f>
        <v>0</v>
      </c>
      <c r="CY8" s="58">
        <f t="shared" si="33"/>
        <v>0</v>
      </c>
      <c r="CZ8" s="56">
        <f>Participantes!BS7</f>
        <v>3</v>
      </c>
      <c r="DA8" s="56">
        <f>Participantes!BT7</f>
        <v>0</v>
      </c>
      <c r="DB8" s="58">
        <f t="shared" si="34"/>
        <v>1</v>
      </c>
      <c r="DC8" s="56">
        <f>Participantes!BU7</f>
        <v>1</v>
      </c>
      <c r="DD8" s="56">
        <f>Participantes!BV7</f>
        <v>1</v>
      </c>
      <c r="DE8" s="58">
        <f t="shared" si="35"/>
        <v>0</v>
      </c>
      <c r="DF8" s="56">
        <f>Participantes!BW7</f>
        <v>3</v>
      </c>
      <c r="DG8" s="56">
        <f>Participantes!BX7</f>
        <v>1</v>
      </c>
      <c r="DH8" s="58">
        <f t="shared" si="36"/>
        <v>0</v>
      </c>
      <c r="DI8" s="56">
        <f>Participantes!BY7</f>
        <v>3</v>
      </c>
      <c r="DJ8" s="56">
        <f>Participantes!BZ7</f>
        <v>0</v>
      </c>
      <c r="DK8" s="58">
        <f t="shared" si="37"/>
        <v>1</v>
      </c>
      <c r="DL8" s="56">
        <f>Participantes!CA7</f>
        <v>4</v>
      </c>
      <c r="DM8" s="56">
        <f>Participantes!CB7</f>
        <v>1</v>
      </c>
      <c r="DN8" s="58">
        <f t="shared" si="38"/>
        <v>0</v>
      </c>
      <c r="DO8" s="56">
        <f>Participantes!CC7</f>
        <v>1</v>
      </c>
      <c r="DP8" s="56">
        <f>Participantes!CD7</f>
        <v>0</v>
      </c>
      <c r="DQ8" s="58">
        <f t="shared" si="39"/>
        <v>0</v>
      </c>
      <c r="DR8" s="56">
        <f>Participantes!CE7</f>
        <v>2</v>
      </c>
      <c r="DS8" s="56">
        <f>Participantes!CF7</f>
        <v>1</v>
      </c>
      <c r="DT8" s="58">
        <f t="shared" si="40"/>
        <v>1</v>
      </c>
      <c r="DU8" s="56">
        <f>Participantes!CG7</f>
        <v>4</v>
      </c>
      <c r="DV8" s="56">
        <f>Participantes!CH7</f>
        <v>1</v>
      </c>
      <c r="DW8" s="58">
        <f t="shared" si="41"/>
        <v>1</v>
      </c>
      <c r="DX8" s="56">
        <f>Participantes!CI7</f>
        <v>2</v>
      </c>
      <c r="DY8" s="56">
        <f>Participantes!CJ7</f>
        <v>0</v>
      </c>
      <c r="DZ8" s="58">
        <f t="shared" si="42"/>
        <v>3</v>
      </c>
      <c r="EA8" s="56">
        <f>Participantes!CK7</f>
        <v>1</v>
      </c>
      <c r="EB8" s="56">
        <f>Participantes!CL7</f>
        <v>1</v>
      </c>
      <c r="EC8" s="58">
        <f t="shared" si="43"/>
        <v>0</v>
      </c>
      <c r="ED8" s="56">
        <f>Participantes!CM7</f>
        <v>4</v>
      </c>
      <c r="EE8" s="56">
        <f>Participantes!CN7</f>
        <v>2</v>
      </c>
      <c r="EF8" s="58">
        <f t="shared" si="44"/>
        <v>0</v>
      </c>
      <c r="EG8" s="56">
        <f>Participantes!CO7</f>
        <v>2</v>
      </c>
      <c r="EH8" s="56">
        <f>Participantes!CP7</f>
        <v>2</v>
      </c>
      <c r="EI8" s="58">
        <f t="shared" si="45"/>
        <v>0</v>
      </c>
      <c r="EJ8" s="56">
        <f>Participantes!CQ7</f>
        <v>5</v>
      </c>
      <c r="EK8" s="56">
        <f>Participantes!CR7</f>
        <v>0</v>
      </c>
      <c r="EL8" s="58">
        <f t="shared" si="46"/>
        <v>3</v>
      </c>
      <c r="EM8" s="56">
        <f>Participantes!CS7</f>
        <v>3</v>
      </c>
      <c r="EN8" s="56">
        <f>Participantes!CT7</f>
        <v>0</v>
      </c>
      <c r="EO8" s="58">
        <f t="shared" si="47"/>
        <v>1</v>
      </c>
      <c r="EP8" s="56">
        <f>Participantes!CU7</f>
        <v>2</v>
      </c>
      <c r="EQ8" s="56">
        <f>Participantes!CV7</f>
        <v>2</v>
      </c>
      <c r="ER8" s="58">
        <f t="shared" si="48"/>
        <v>0</v>
      </c>
      <c r="ES8" s="56">
        <f>Participantes!CW7</f>
        <v>3</v>
      </c>
      <c r="ET8" s="56">
        <f>Participantes!CX7</f>
        <v>0</v>
      </c>
      <c r="EU8" s="58">
        <f t="shared" si="49"/>
        <v>1</v>
      </c>
      <c r="EV8" s="56">
        <f>Participantes!CY7</f>
        <v>2</v>
      </c>
      <c r="EW8" s="56">
        <f>Participantes!CZ7</f>
        <v>2</v>
      </c>
      <c r="EX8" s="58">
        <f t="shared" si="50"/>
        <v>0</v>
      </c>
      <c r="EY8" s="56">
        <f>Participantes!DA7</f>
        <v>2</v>
      </c>
      <c r="EZ8" s="56">
        <f>Participantes!DB7</f>
        <v>1</v>
      </c>
      <c r="FA8" s="58">
        <f t="shared" si="51"/>
        <v>1</v>
      </c>
      <c r="FB8" s="56">
        <f>Participantes!DC7</f>
        <v>1</v>
      </c>
      <c r="FC8" s="56">
        <f>Participantes!DD7</f>
        <v>3</v>
      </c>
      <c r="FD8" s="58">
        <f t="shared" si="52"/>
        <v>1</v>
      </c>
      <c r="FE8" s="56">
        <f>Participantes!DE7</f>
        <v>1</v>
      </c>
      <c r="FF8" s="56">
        <f>Participantes!DF7</f>
        <v>2</v>
      </c>
      <c r="FG8" s="58">
        <f t="shared" si="53"/>
        <v>0</v>
      </c>
      <c r="FH8" s="56">
        <f>Participantes!DG7</f>
        <v>1</v>
      </c>
      <c r="FI8" s="56">
        <f>Participantes!DH7</f>
        <v>1</v>
      </c>
      <c r="FJ8" s="58">
        <f t="shared" si="54"/>
        <v>0</v>
      </c>
      <c r="FK8" s="56">
        <f>Participantes!DI7</f>
        <v>1</v>
      </c>
      <c r="FL8" s="56">
        <f>Participantes!DJ7</f>
        <v>2</v>
      </c>
      <c r="FM8" s="58">
        <f t="shared" si="55"/>
        <v>0</v>
      </c>
      <c r="FN8" s="56">
        <f>Participantes!DK7</f>
        <v>2</v>
      </c>
      <c r="FO8" s="56">
        <f>Participantes!DL7</f>
        <v>1</v>
      </c>
      <c r="FP8" s="58">
        <f t="shared" si="56"/>
        <v>0</v>
      </c>
      <c r="FQ8" s="56">
        <f>Participantes!DM7</f>
        <v>0</v>
      </c>
      <c r="FR8" s="56">
        <f>Participantes!DN7</f>
        <v>2</v>
      </c>
      <c r="FS8" s="58">
        <f t="shared" si="57"/>
        <v>1</v>
      </c>
      <c r="FT8" s="56">
        <f>Participantes!DO7</f>
        <v>1</v>
      </c>
      <c r="FU8" s="56">
        <f>Participantes!DP7</f>
        <v>2</v>
      </c>
      <c r="FV8" s="58">
        <f t="shared" si="58"/>
        <v>0</v>
      </c>
      <c r="FW8" s="56">
        <f>Participantes!DQ7</f>
        <v>0</v>
      </c>
      <c r="FX8" s="56">
        <f>Participantes!DR7</f>
        <v>1</v>
      </c>
      <c r="FY8" s="58">
        <f t="shared" si="59"/>
        <v>0</v>
      </c>
      <c r="FZ8" s="56">
        <f>Participantes!DS7</f>
        <v>1</v>
      </c>
      <c r="GA8" s="56">
        <f>Participantes!DT7</f>
        <v>3</v>
      </c>
      <c r="GB8" s="58">
        <f t="shared" si="60"/>
        <v>1</v>
      </c>
      <c r="GC8" s="56">
        <f>Participantes!DU7</f>
        <v>1</v>
      </c>
      <c r="GD8" s="56">
        <f>Participantes!DV7</f>
        <v>0</v>
      </c>
      <c r="GE8" s="58">
        <f t="shared" si="61"/>
        <v>1</v>
      </c>
      <c r="GF8" s="56">
        <f>Participantes!DW7</f>
        <v>2</v>
      </c>
      <c r="GG8" s="56">
        <f>Participantes!DX7</f>
        <v>0</v>
      </c>
      <c r="GH8" s="58">
        <f t="shared" si="62"/>
        <v>0</v>
      </c>
      <c r="GI8" s="56">
        <f>Participantes!DY7</f>
        <v>1</v>
      </c>
      <c r="GJ8" s="56">
        <f>Participantes!DZ7</f>
        <v>3</v>
      </c>
      <c r="GK8" s="58">
        <f t="shared" si="63"/>
        <v>1</v>
      </c>
      <c r="GL8" s="56">
        <f>Participantes!EA7</f>
        <v>0</v>
      </c>
      <c r="GM8" s="56">
        <f>Participantes!EB7</f>
        <v>1</v>
      </c>
      <c r="GN8" s="58">
        <f t="shared" si="64"/>
        <v>0</v>
      </c>
      <c r="GO8" s="56">
        <f>Participantes!EC7</f>
        <v>1</v>
      </c>
      <c r="GP8" s="56">
        <f>Participantes!ED7</f>
        <v>1</v>
      </c>
      <c r="GQ8" s="58">
        <f t="shared" si="65"/>
        <v>0</v>
      </c>
      <c r="GR8" s="56">
        <f>Participantes!EE7</f>
        <v>1</v>
      </c>
      <c r="GS8" s="56">
        <f>Participantes!EF7</f>
        <v>2</v>
      </c>
      <c r="GT8" s="58" t="str">
        <f t="shared" si="66"/>
        <v/>
      </c>
      <c r="GU8" s="56">
        <f>Participantes!EG7</f>
        <v>2</v>
      </c>
      <c r="GV8" s="56">
        <f>Participantes!EH7</f>
        <v>1</v>
      </c>
      <c r="GW8" s="58" t="str">
        <f t="shared" si="67"/>
        <v/>
      </c>
      <c r="GX8" s="56">
        <f>Participantes!EI7</f>
        <v>0</v>
      </c>
      <c r="GY8" s="56">
        <f>Participantes!EJ7</f>
        <v>1</v>
      </c>
      <c r="GZ8" s="58" t="str">
        <f t="shared" si="68"/>
        <v/>
      </c>
      <c r="HA8" s="56">
        <f>Participantes!EK7</f>
        <v>0</v>
      </c>
      <c r="HB8" s="56">
        <f>Participantes!EL7</f>
        <v>3</v>
      </c>
      <c r="HC8" s="58" t="str">
        <f t="shared" si="69"/>
        <v/>
      </c>
      <c r="HD8" s="56">
        <f>Participantes!EM7</f>
        <v>1</v>
      </c>
      <c r="HE8" s="56">
        <f>Participantes!EN7</f>
        <v>2</v>
      </c>
      <c r="HF8" s="58" t="str">
        <f t="shared" si="70"/>
        <v/>
      </c>
      <c r="HG8" s="56">
        <f>Participantes!EO7</f>
        <v>0</v>
      </c>
      <c r="HH8" s="56">
        <f>Participantes!EP7</f>
        <v>0</v>
      </c>
      <c r="HI8" s="58" t="str">
        <f t="shared" si="71"/>
        <v/>
      </c>
      <c r="HJ8" s="59">
        <f t="shared" si="72"/>
        <v>39</v>
      </c>
    </row>
    <row r="9" spans="1:218" ht="15" customHeight="1" x14ac:dyDescent="0.25">
      <c r="A9" s="57" t="str">
        <f>Participantes!B8</f>
        <v>Carlos</v>
      </c>
      <c r="B9" s="56">
        <f>Participantes!C8</f>
        <v>2</v>
      </c>
      <c r="C9" s="56">
        <f>Participantes!D8</f>
        <v>1</v>
      </c>
      <c r="D9" s="58">
        <f t="shared" si="0"/>
        <v>1</v>
      </c>
      <c r="E9" s="56">
        <f>Participantes!E8</f>
        <v>1</v>
      </c>
      <c r="F9" s="56">
        <f>Participantes!F8</f>
        <v>1</v>
      </c>
      <c r="G9" s="58">
        <f t="shared" si="1"/>
        <v>0</v>
      </c>
      <c r="H9" s="56">
        <f>Participantes!G8</f>
        <v>2</v>
      </c>
      <c r="I9" s="56">
        <f>Participantes!H8</f>
        <v>1</v>
      </c>
      <c r="J9" s="58">
        <f t="shared" si="2"/>
        <v>0</v>
      </c>
      <c r="K9" s="56">
        <f>Participantes!I8</f>
        <v>2</v>
      </c>
      <c r="L9" s="56">
        <f>Participantes!J8</f>
        <v>0</v>
      </c>
      <c r="M9" s="58">
        <f t="shared" si="3"/>
        <v>1</v>
      </c>
      <c r="N9" s="56">
        <f>Participantes!K8</f>
        <v>0</v>
      </c>
      <c r="O9" s="56">
        <f>Participantes!L8</f>
        <v>2</v>
      </c>
      <c r="P9" s="58">
        <f t="shared" si="4"/>
        <v>1</v>
      </c>
      <c r="Q9" s="56">
        <f>Participantes!M8</f>
        <v>1</v>
      </c>
      <c r="R9" s="56">
        <f>Participantes!N8</f>
        <v>2</v>
      </c>
      <c r="S9" s="58">
        <f t="shared" si="5"/>
        <v>0</v>
      </c>
      <c r="T9" s="56">
        <f>Participantes!O8</f>
        <v>2</v>
      </c>
      <c r="U9" s="56">
        <f>Participantes!P8</f>
        <v>1</v>
      </c>
      <c r="V9" s="58">
        <f t="shared" si="6"/>
        <v>0</v>
      </c>
      <c r="W9" s="56">
        <f>Participantes!Q8</f>
        <v>0</v>
      </c>
      <c r="X9" s="56">
        <f>Participantes!R8</f>
        <v>2</v>
      </c>
      <c r="Y9" s="58">
        <f t="shared" si="7"/>
        <v>0</v>
      </c>
      <c r="Z9" s="56">
        <f>Participantes!S8</f>
        <v>1</v>
      </c>
      <c r="AA9" s="56">
        <f>Participantes!T8</f>
        <v>1</v>
      </c>
      <c r="AB9" s="58">
        <f t="shared" si="8"/>
        <v>0</v>
      </c>
      <c r="AC9" s="56">
        <f>Participantes!U8</f>
        <v>5</v>
      </c>
      <c r="AD9" s="56">
        <f>Participantes!V8</f>
        <v>0</v>
      </c>
      <c r="AE9" s="58">
        <f t="shared" si="9"/>
        <v>1</v>
      </c>
      <c r="AF9" s="56">
        <f>Participantes!W8</f>
        <v>2</v>
      </c>
      <c r="AG9" s="56">
        <f>Participantes!X8</f>
        <v>1</v>
      </c>
      <c r="AH9" s="58">
        <f t="shared" si="10"/>
        <v>0</v>
      </c>
      <c r="AI9" s="56">
        <f>Participantes!Y8</f>
        <v>2</v>
      </c>
      <c r="AJ9" s="56">
        <f>Participantes!Z8</f>
        <v>0</v>
      </c>
      <c r="AK9" s="58">
        <f t="shared" si="11"/>
        <v>1</v>
      </c>
      <c r="AL9" s="56">
        <f>Participantes!AA8</f>
        <v>0</v>
      </c>
      <c r="AM9" s="56">
        <f>Participantes!AB8</f>
        <v>2</v>
      </c>
      <c r="AN9" s="58">
        <f t="shared" si="12"/>
        <v>0</v>
      </c>
      <c r="AO9" s="56">
        <f>Participantes!AC8</f>
        <v>4</v>
      </c>
      <c r="AP9" s="56">
        <f>Participantes!AD8</f>
        <v>0</v>
      </c>
      <c r="AQ9" s="58">
        <f t="shared" si="13"/>
        <v>0</v>
      </c>
      <c r="AR9" s="56">
        <f>Participantes!AE8</f>
        <v>2</v>
      </c>
      <c r="AS9" s="56">
        <f>Participantes!AF8</f>
        <v>0</v>
      </c>
      <c r="AT9" s="58">
        <f t="shared" si="14"/>
        <v>0</v>
      </c>
      <c r="AU9" s="56">
        <f>Participantes!AG8</f>
        <v>2</v>
      </c>
      <c r="AV9" s="56">
        <f>Participantes!AH8</f>
        <v>0</v>
      </c>
      <c r="AW9" s="58">
        <f t="shared" si="15"/>
        <v>0</v>
      </c>
      <c r="AX9" s="56">
        <f>Participantes!AI8</f>
        <v>2</v>
      </c>
      <c r="AY9" s="56">
        <f>Participantes!AJ8</f>
        <v>1</v>
      </c>
      <c r="AZ9" s="58">
        <f t="shared" si="16"/>
        <v>1</v>
      </c>
      <c r="BA9" s="56">
        <f>Participantes!AK8</f>
        <v>0</v>
      </c>
      <c r="BB9" s="56">
        <f>Participantes!AL8</f>
        <v>3</v>
      </c>
      <c r="BC9" s="58">
        <f t="shared" si="17"/>
        <v>1</v>
      </c>
      <c r="BD9" s="56">
        <f>Participantes!AM8</f>
        <v>3</v>
      </c>
      <c r="BE9" s="56">
        <f>Participantes!AN8</f>
        <v>0</v>
      </c>
      <c r="BF9" s="58">
        <f t="shared" si="18"/>
        <v>3</v>
      </c>
      <c r="BG9" s="56">
        <f>Participantes!AO8</f>
        <v>2</v>
      </c>
      <c r="BH9" s="56">
        <f>Participantes!AP8</f>
        <v>0</v>
      </c>
      <c r="BI9" s="58">
        <f t="shared" si="19"/>
        <v>1</v>
      </c>
      <c r="BJ9" s="56">
        <f>Participantes!AQ8</f>
        <v>1</v>
      </c>
      <c r="BK9" s="56">
        <f>Participantes!AR8</f>
        <v>2</v>
      </c>
      <c r="BL9" s="58">
        <f t="shared" si="20"/>
        <v>0</v>
      </c>
      <c r="BM9" s="56">
        <f>Participantes!AS8</f>
        <v>2</v>
      </c>
      <c r="BN9" s="56">
        <f>Participantes!AT8</f>
        <v>1</v>
      </c>
      <c r="BO9" s="58">
        <f t="shared" si="21"/>
        <v>1</v>
      </c>
      <c r="BP9" s="56">
        <f>Participantes!AU8</f>
        <v>3</v>
      </c>
      <c r="BQ9" s="56">
        <f>Participantes!AV8</f>
        <v>0</v>
      </c>
      <c r="BR9" s="58">
        <f t="shared" si="22"/>
        <v>0</v>
      </c>
      <c r="BS9" s="56">
        <f>Participantes!AW8</f>
        <v>0</v>
      </c>
      <c r="BT9" s="56">
        <f>Participantes!AX8</f>
        <v>2</v>
      </c>
      <c r="BU9" s="58">
        <f t="shared" si="23"/>
        <v>1</v>
      </c>
      <c r="BV9" s="56">
        <f>Participantes!AY8</f>
        <v>2</v>
      </c>
      <c r="BW9" s="56">
        <f>Participantes!AZ8</f>
        <v>1</v>
      </c>
      <c r="BX9" s="58">
        <f t="shared" si="24"/>
        <v>0</v>
      </c>
      <c r="BY9" s="56">
        <f>Participantes!BA8</f>
        <v>1</v>
      </c>
      <c r="BZ9" s="56">
        <f>Participantes!BB8</f>
        <v>1</v>
      </c>
      <c r="CA9" s="58">
        <f t="shared" si="25"/>
        <v>0</v>
      </c>
      <c r="CB9" s="56">
        <f>Participantes!BC8</f>
        <v>3</v>
      </c>
      <c r="CC9" s="56">
        <f>Participantes!BD8</f>
        <v>1</v>
      </c>
      <c r="CD9" s="58">
        <f t="shared" si="26"/>
        <v>1</v>
      </c>
      <c r="CE9" s="56">
        <f>Participantes!BE8</f>
        <v>2</v>
      </c>
      <c r="CF9" s="56">
        <f>Participantes!BF8</f>
        <v>1</v>
      </c>
      <c r="CG9" s="58">
        <f t="shared" si="27"/>
        <v>1</v>
      </c>
      <c r="CH9" s="56">
        <f>Participantes!BG8</f>
        <v>4</v>
      </c>
      <c r="CI9" s="56">
        <f>Participantes!BH8</f>
        <v>0</v>
      </c>
      <c r="CJ9" s="58">
        <f t="shared" si="28"/>
        <v>1</v>
      </c>
      <c r="CK9" s="56">
        <f>Participantes!BI8</f>
        <v>1</v>
      </c>
      <c r="CL9" s="56">
        <f>Participantes!BJ8</f>
        <v>1</v>
      </c>
      <c r="CM9" s="58">
        <f t="shared" si="29"/>
        <v>0</v>
      </c>
      <c r="CN9" s="56">
        <f>Participantes!BK8</f>
        <v>2</v>
      </c>
      <c r="CO9" s="56">
        <f>Participantes!BL8</f>
        <v>1</v>
      </c>
      <c r="CP9" s="58">
        <f t="shared" si="30"/>
        <v>0</v>
      </c>
      <c r="CQ9" s="56">
        <f>Participantes!BM8</f>
        <v>3</v>
      </c>
      <c r="CR9" s="56">
        <f>Participantes!BN8</f>
        <v>1</v>
      </c>
      <c r="CS9" s="58">
        <f t="shared" si="31"/>
        <v>1</v>
      </c>
      <c r="CT9" s="56">
        <f>Participantes!BO8</f>
        <v>3</v>
      </c>
      <c r="CU9" s="56">
        <f>Participantes!BP8</f>
        <v>1</v>
      </c>
      <c r="CV9" s="58">
        <f t="shared" si="32"/>
        <v>1</v>
      </c>
      <c r="CW9" s="56">
        <f>Participantes!BQ8</f>
        <v>2</v>
      </c>
      <c r="CX9" s="56">
        <f>Participantes!BR8</f>
        <v>0</v>
      </c>
      <c r="CY9" s="58">
        <f t="shared" si="33"/>
        <v>0</v>
      </c>
      <c r="CZ9" s="56">
        <f>Participantes!BS8</f>
        <v>2</v>
      </c>
      <c r="DA9" s="56">
        <f>Participantes!BT8</f>
        <v>1</v>
      </c>
      <c r="DB9" s="58">
        <f t="shared" si="34"/>
        <v>1</v>
      </c>
      <c r="DC9" s="56">
        <f>Participantes!BU8</f>
        <v>0</v>
      </c>
      <c r="DD9" s="56">
        <f>Participantes!BV8</f>
        <v>2</v>
      </c>
      <c r="DE9" s="58">
        <f t="shared" si="35"/>
        <v>1</v>
      </c>
      <c r="DF9" s="56">
        <f>Participantes!BW8</f>
        <v>2</v>
      </c>
      <c r="DG9" s="56">
        <f>Participantes!BX8</f>
        <v>0</v>
      </c>
      <c r="DH9" s="58">
        <f t="shared" si="36"/>
        <v>0</v>
      </c>
      <c r="DI9" s="56">
        <f>Participantes!BY8</f>
        <v>3</v>
      </c>
      <c r="DJ9" s="56">
        <f>Participantes!BZ8</f>
        <v>0</v>
      </c>
      <c r="DK9" s="58">
        <f t="shared" si="37"/>
        <v>1</v>
      </c>
      <c r="DL9" s="56">
        <f>Participantes!CA8</f>
        <v>3</v>
      </c>
      <c r="DM9" s="56">
        <f>Participantes!CB8</f>
        <v>0</v>
      </c>
      <c r="DN9" s="58">
        <f t="shared" si="38"/>
        <v>0</v>
      </c>
      <c r="DO9" s="56">
        <f>Participantes!CC8</f>
        <v>0</v>
      </c>
      <c r="DP9" s="56">
        <f>Participantes!CD8</f>
        <v>1</v>
      </c>
      <c r="DQ9" s="58">
        <f t="shared" si="39"/>
        <v>1</v>
      </c>
      <c r="DR9" s="56">
        <f>Participantes!CE8</f>
        <v>1</v>
      </c>
      <c r="DS9" s="56">
        <f>Participantes!CF8</f>
        <v>2</v>
      </c>
      <c r="DT9" s="58">
        <f t="shared" si="40"/>
        <v>0</v>
      </c>
      <c r="DU9" s="56">
        <f>Participantes!CG8</f>
        <v>4</v>
      </c>
      <c r="DV9" s="56">
        <f>Participantes!CH8</f>
        <v>0</v>
      </c>
      <c r="DW9" s="58">
        <f t="shared" si="41"/>
        <v>1</v>
      </c>
      <c r="DX9" s="56">
        <f>Participantes!CI8</f>
        <v>2</v>
      </c>
      <c r="DY9" s="56">
        <f>Participantes!CJ8</f>
        <v>0</v>
      </c>
      <c r="DZ9" s="58">
        <f t="shared" si="42"/>
        <v>3</v>
      </c>
      <c r="EA9" s="56">
        <f>Participantes!CK8</f>
        <v>0</v>
      </c>
      <c r="EB9" s="56">
        <f>Participantes!CL8</f>
        <v>1</v>
      </c>
      <c r="EC9" s="58">
        <f t="shared" si="43"/>
        <v>1</v>
      </c>
      <c r="ED9" s="56">
        <f>Participantes!CM8</f>
        <v>3</v>
      </c>
      <c r="EE9" s="56">
        <f>Participantes!CN8</f>
        <v>1</v>
      </c>
      <c r="EF9" s="58">
        <f t="shared" si="44"/>
        <v>0</v>
      </c>
      <c r="EG9" s="56">
        <f>Participantes!CO8</f>
        <v>1</v>
      </c>
      <c r="EH9" s="56">
        <f>Participantes!CP8</f>
        <v>1</v>
      </c>
      <c r="EI9" s="58">
        <f t="shared" si="45"/>
        <v>0</v>
      </c>
      <c r="EJ9" s="56">
        <f>Participantes!CQ8</f>
        <v>3</v>
      </c>
      <c r="EK9" s="56">
        <f>Participantes!CR8</f>
        <v>0</v>
      </c>
      <c r="EL9" s="58">
        <f t="shared" si="46"/>
        <v>1</v>
      </c>
      <c r="EM9" s="56">
        <f>Participantes!CS8</f>
        <v>2</v>
      </c>
      <c r="EN9" s="56">
        <f>Participantes!CT8</f>
        <v>1</v>
      </c>
      <c r="EO9" s="58">
        <f t="shared" si="47"/>
        <v>1</v>
      </c>
      <c r="EP9" s="56">
        <f>Participantes!CU8</f>
        <v>0</v>
      </c>
      <c r="EQ9" s="56">
        <f>Participantes!CV8</f>
        <v>2</v>
      </c>
      <c r="ER9" s="58">
        <f t="shared" si="48"/>
        <v>1</v>
      </c>
      <c r="ES9" s="56">
        <f>Participantes!CW8</f>
        <v>3</v>
      </c>
      <c r="ET9" s="56">
        <f>Participantes!CX8</f>
        <v>0</v>
      </c>
      <c r="EU9" s="58">
        <f t="shared" si="49"/>
        <v>1</v>
      </c>
      <c r="EV9" s="56">
        <f>Participantes!CY8</f>
        <v>1</v>
      </c>
      <c r="EW9" s="56">
        <f>Participantes!CZ8</f>
        <v>2</v>
      </c>
      <c r="EX9" s="58">
        <f t="shared" si="50"/>
        <v>0</v>
      </c>
      <c r="EY9" s="56">
        <f>Participantes!DA8</f>
        <v>2</v>
      </c>
      <c r="EZ9" s="56">
        <f>Participantes!DB8</f>
        <v>0</v>
      </c>
      <c r="FA9" s="58">
        <f t="shared" si="51"/>
        <v>1</v>
      </c>
      <c r="FB9" s="56">
        <f>Participantes!DC8</f>
        <v>0</v>
      </c>
      <c r="FC9" s="56">
        <f>Participantes!DD8</f>
        <v>1</v>
      </c>
      <c r="FD9" s="58">
        <f t="shared" si="52"/>
        <v>1</v>
      </c>
      <c r="FE9" s="56">
        <f>Participantes!DE8</f>
        <v>0</v>
      </c>
      <c r="FF9" s="56">
        <f>Participantes!DF8</f>
        <v>2</v>
      </c>
      <c r="FG9" s="58">
        <f t="shared" si="53"/>
        <v>0</v>
      </c>
      <c r="FH9" s="56">
        <f>Participantes!DG8</f>
        <v>0</v>
      </c>
      <c r="FI9" s="56">
        <f>Participantes!DH8</f>
        <v>2</v>
      </c>
      <c r="FJ9" s="58">
        <f t="shared" si="54"/>
        <v>3</v>
      </c>
      <c r="FK9" s="56">
        <f>Participantes!DI8</f>
        <v>0</v>
      </c>
      <c r="FL9" s="56">
        <f>Participantes!DJ8</f>
        <v>2</v>
      </c>
      <c r="FM9" s="58">
        <f t="shared" si="55"/>
        <v>0</v>
      </c>
      <c r="FN9" s="56">
        <f>Participantes!DK8</f>
        <v>2</v>
      </c>
      <c r="FO9" s="56">
        <f>Participantes!DL8</f>
        <v>1</v>
      </c>
      <c r="FP9" s="58">
        <f t="shared" si="56"/>
        <v>0</v>
      </c>
      <c r="FQ9" s="56">
        <f>Participantes!DM8</f>
        <v>0</v>
      </c>
      <c r="FR9" s="56">
        <f>Participantes!DN8</f>
        <v>3</v>
      </c>
      <c r="FS9" s="58">
        <f t="shared" si="57"/>
        <v>1</v>
      </c>
      <c r="FT9" s="56">
        <f>Participantes!DO8</f>
        <v>1</v>
      </c>
      <c r="FU9" s="56">
        <f>Participantes!DP8</f>
        <v>2</v>
      </c>
      <c r="FV9" s="58">
        <f t="shared" si="58"/>
        <v>0</v>
      </c>
      <c r="FW9" s="56">
        <f>Participantes!DQ8</f>
        <v>1</v>
      </c>
      <c r="FX9" s="56">
        <f>Participantes!DR8</f>
        <v>1</v>
      </c>
      <c r="FY9" s="58">
        <f t="shared" si="59"/>
        <v>1</v>
      </c>
      <c r="FZ9" s="56">
        <f>Participantes!DS8</f>
        <v>1</v>
      </c>
      <c r="GA9" s="56">
        <f>Participantes!DT8</f>
        <v>2</v>
      </c>
      <c r="GB9" s="58">
        <f t="shared" si="60"/>
        <v>1</v>
      </c>
      <c r="GC9" s="56">
        <f>Participantes!DU8</f>
        <v>2</v>
      </c>
      <c r="GD9" s="56">
        <f>Participantes!DV8</f>
        <v>0</v>
      </c>
      <c r="GE9" s="58">
        <f t="shared" si="61"/>
        <v>1</v>
      </c>
      <c r="GF9" s="56">
        <f>Participantes!DW8</f>
        <v>1</v>
      </c>
      <c r="GG9" s="56">
        <f>Participantes!DX8</f>
        <v>1</v>
      </c>
      <c r="GH9" s="58">
        <f t="shared" si="62"/>
        <v>3</v>
      </c>
      <c r="GI9" s="56">
        <f>Participantes!DY8</f>
        <v>0</v>
      </c>
      <c r="GJ9" s="56">
        <f>Participantes!DZ8</f>
        <v>4</v>
      </c>
      <c r="GK9" s="58">
        <f t="shared" si="63"/>
        <v>1</v>
      </c>
      <c r="GL9" s="56">
        <f>Participantes!EA8</f>
        <v>1</v>
      </c>
      <c r="GM9" s="56">
        <f>Participantes!EB8</f>
        <v>1</v>
      </c>
      <c r="GN9" s="58">
        <f t="shared" si="64"/>
        <v>1</v>
      </c>
      <c r="GO9" s="56">
        <f>Participantes!EC8</f>
        <v>1</v>
      </c>
      <c r="GP9" s="56">
        <f>Participantes!ED8</f>
        <v>2</v>
      </c>
      <c r="GQ9" s="58">
        <f t="shared" si="65"/>
        <v>1</v>
      </c>
      <c r="GR9" s="56">
        <f>Participantes!EE8</f>
        <v>1</v>
      </c>
      <c r="GS9" s="56">
        <f>Participantes!EF8</f>
        <v>3</v>
      </c>
      <c r="GT9" s="58" t="str">
        <f t="shared" si="66"/>
        <v/>
      </c>
      <c r="GU9" s="56">
        <f>Participantes!EG8</f>
        <v>2</v>
      </c>
      <c r="GV9" s="56">
        <f>Participantes!EH8</f>
        <v>0</v>
      </c>
      <c r="GW9" s="58" t="str">
        <f t="shared" si="67"/>
        <v/>
      </c>
      <c r="GX9" s="56">
        <f>Participantes!EI8</f>
        <v>1</v>
      </c>
      <c r="GY9" s="56">
        <f>Participantes!EJ8</f>
        <v>2</v>
      </c>
      <c r="GZ9" s="58" t="str">
        <f t="shared" si="68"/>
        <v/>
      </c>
      <c r="HA9" s="56">
        <f>Participantes!EK8</f>
        <v>0</v>
      </c>
      <c r="HB9" s="56">
        <f>Participantes!EL8</f>
        <v>4</v>
      </c>
      <c r="HC9" s="58" t="str">
        <f t="shared" si="69"/>
        <v/>
      </c>
      <c r="HD9" s="56">
        <f>Participantes!EM8</f>
        <v>1</v>
      </c>
      <c r="HE9" s="56">
        <f>Participantes!EN8</f>
        <v>2</v>
      </c>
      <c r="HF9" s="58" t="str">
        <f t="shared" si="70"/>
        <v/>
      </c>
      <c r="HG9" s="56">
        <f>Participantes!EO8</f>
        <v>1</v>
      </c>
      <c r="HH9" s="56">
        <f>Participantes!EP8</f>
        <v>1</v>
      </c>
      <c r="HI9" s="58" t="str">
        <f t="shared" si="71"/>
        <v/>
      </c>
      <c r="HJ9" s="59">
        <f t="shared" si="72"/>
        <v>46</v>
      </c>
    </row>
    <row r="10" spans="1:218" ht="15" customHeight="1" x14ac:dyDescent="0.25">
      <c r="A10" s="57" t="str">
        <f>Participantes!B9</f>
        <v>Castillo L.</v>
      </c>
      <c r="B10" s="56">
        <f>Participantes!C9</f>
        <v>2</v>
      </c>
      <c r="C10" s="56">
        <f>Participantes!D9</f>
        <v>1</v>
      </c>
      <c r="D10" s="58">
        <f t="shared" si="0"/>
        <v>1</v>
      </c>
      <c r="E10" s="56">
        <f>Participantes!E9</f>
        <v>2</v>
      </c>
      <c r="F10" s="56">
        <f>Participantes!F9</f>
        <v>1</v>
      </c>
      <c r="G10" s="58">
        <f t="shared" si="1"/>
        <v>3</v>
      </c>
      <c r="H10" s="56">
        <f>Participantes!G9</f>
        <v>1</v>
      </c>
      <c r="I10" s="56">
        <f>Participantes!H9</f>
        <v>1</v>
      </c>
      <c r="J10" s="58">
        <f t="shared" si="2"/>
        <v>3</v>
      </c>
      <c r="K10" s="56">
        <f>Participantes!I9</f>
        <v>2</v>
      </c>
      <c r="L10" s="56">
        <f>Participantes!J9</f>
        <v>1</v>
      </c>
      <c r="M10" s="58">
        <f t="shared" si="3"/>
        <v>1</v>
      </c>
      <c r="N10" s="56">
        <f>Participantes!K9</f>
        <v>0</v>
      </c>
      <c r="O10" s="56">
        <f>Participantes!L9</f>
        <v>2</v>
      </c>
      <c r="P10" s="58">
        <f t="shared" si="4"/>
        <v>1</v>
      </c>
      <c r="Q10" s="56">
        <f>Participantes!M9</f>
        <v>1</v>
      </c>
      <c r="R10" s="56">
        <f>Participantes!N9</f>
        <v>3</v>
      </c>
      <c r="S10" s="58">
        <f t="shared" si="5"/>
        <v>0</v>
      </c>
      <c r="T10" s="56">
        <f>Participantes!O9</f>
        <v>2</v>
      </c>
      <c r="U10" s="56">
        <f>Participantes!P9</f>
        <v>1</v>
      </c>
      <c r="V10" s="58">
        <f t="shared" si="6"/>
        <v>0</v>
      </c>
      <c r="W10" s="56">
        <f>Participantes!Q9</f>
        <v>0</v>
      </c>
      <c r="X10" s="56">
        <f>Participantes!R9</f>
        <v>3</v>
      </c>
      <c r="Y10" s="58">
        <f t="shared" si="7"/>
        <v>0</v>
      </c>
      <c r="Z10" s="56">
        <f>Participantes!S9</f>
        <v>1</v>
      </c>
      <c r="AA10" s="56">
        <f>Participantes!T9</f>
        <v>1</v>
      </c>
      <c r="AB10" s="58">
        <f t="shared" si="8"/>
        <v>0</v>
      </c>
      <c r="AC10" s="56">
        <f>Participantes!U9</f>
        <v>4</v>
      </c>
      <c r="AD10" s="56">
        <f>Participantes!V9</f>
        <v>0</v>
      </c>
      <c r="AE10" s="58">
        <f t="shared" si="9"/>
        <v>1</v>
      </c>
      <c r="AF10" s="56">
        <f>Participantes!W9</f>
        <v>2</v>
      </c>
      <c r="AG10" s="56">
        <f>Participantes!X9</f>
        <v>2</v>
      </c>
      <c r="AH10" s="58">
        <f t="shared" si="10"/>
        <v>3</v>
      </c>
      <c r="AI10" s="56">
        <f>Participantes!Y9</f>
        <v>2</v>
      </c>
      <c r="AJ10" s="56">
        <f>Participantes!Z9</f>
        <v>11</v>
      </c>
      <c r="AK10" s="58">
        <f t="shared" si="11"/>
        <v>0</v>
      </c>
      <c r="AL10" s="56">
        <f>Participantes!AA9</f>
        <v>0</v>
      </c>
      <c r="AM10" s="56">
        <f>Participantes!AB9</f>
        <v>2</v>
      </c>
      <c r="AN10" s="58">
        <f t="shared" si="12"/>
        <v>0</v>
      </c>
      <c r="AO10" s="56">
        <f>Participantes!AC9</f>
        <v>4</v>
      </c>
      <c r="AP10" s="56">
        <f>Participantes!AD9</f>
        <v>0</v>
      </c>
      <c r="AQ10" s="58">
        <f t="shared" si="13"/>
        <v>0</v>
      </c>
      <c r="AR10" s="56">
        <f>Participantes!AE9</f>
        <v>2</v>
      </c>
      <c r="AS10" s="56">
        <f>Participantes!AF9</f>
        <v>0</v>
      </c>
      <c r="AT10" s="58">
        <f t="shared" si="14"/>
        <v>0</v>
      </c>
      <c r="AU10" s="56">
        <f>Participantes!AG9</f>
        <v>3</v>
      </c>
      <c r="AV10" s="56">
        <f>Participantes!AH9</f>
        <v>1</v>
      </c>
      <c r="AW10" s="58">
        <f t="shared" si="15"/>
        <v>0</v>
      </c>
      <c r="AX10" s="56">
        <f>Participantes!AI9</f>
        <v>2</v>
      </c>
      <c r="AY10" s="56">
        <f>Participantes!AJ9</f>
        <v>1</v>
      </c>
      <c r="AZ10" s="58">
        <f t="shared" si="16"/>
        <v>1</v>
      </c>
      <c r="BA10" s="56">
        <f>Participantes!AK9</f>
        <v>0</v>
      </c>
      <c r="BB10" s="56">
        <f>Participantes!AL9</f>
        <v>3</v>
      </c>
      <c r="BC10" s="58">
        <f t="shared" si="17"/>
        <v>1</v>
      </c>
      <c r="BD10" s="56">
        <f>Participantes!AM9</f>
        <v>3</v>
      </c>
      <c r="BE10" s="56">
        <f>Participantes!AN9</f>
        <v>0</v>
      </c>
      <c r="BF10" s="58">
        <f t="shared" si="18"/>
        <v>3</v>
      </c>
      <c r="BG10" s="56">
        <f>Participantes!AO9</f>
        <v>2</v>
      </c>
      <c r="BH10" s="56">
        <f>Participantes!AP9</f>
        <v>1</v>
      </c>
      <c r="BI10" s="58">
        <f t="shared" si="19"/>
        <v>1</v>
      </c>
      <c r="BJ10" s="56">
        <f>Participantes!AQ9</f>
        <v>2</v>
      </c>
      <c r="BK10" s="56">
        <f>Participantes!AR9</f>
        <v>1</v>
      </c>
      <c r="BL10" s="58">
        <f t="shared" si="20"/>
        <v>1</v>
      </c>
      <c r="BM10" s="56">
        <f>Participantes!AS9</f>
        <v>2</v>
      </c>
      <c r="BN10" s="56">
        <f>Participantes!AT9</f>
        <v>2</v>
      </c>
      <c r="BO10" s="58">
        <f t="shared" si="21"/>
        <v>0</v>
      </c>
      <c r="BP10" s="56">
        <f>Participantes!AU9</f>
        <v>3</v>
      </c>
      <c r="BQ10" s="56">
        <f>Participantes!AV9</f>
        <v>0</v>
      </c>
      <c r="BR10" s="58">
        <f t="shared" si="22"/>
        <v>0</v>
      </c>
      <c r="BS10" s="56">
        <f>Participantes!AW9</f>
        <v>1</v>
      </c>
      <c r="BT10" s="56">
        <f>Participantes!AX9</f>
        <v>1</v>
      </c>
      <c r="BU10" s="58">
        <f t="shared" si="23"/>
        <v>0</v>
      </c>
      <c r="BV10" s="56">
        <f>Participantes!AY9</f>
        <v>3</v>
      </c>
      <c r="BW10" s="56">
        <f>Participantes!AZ9</f>
        <v>0</v>
      </c>
      <c r="BX10" s="58">
        <f t="shared" si="24"/>
        <v>0</v>
      </c>
      <c r="BY10" s="56">
        <f>Participantes!BA9</f>
        <v>2</v>
      </c>
      <c r="BZ10" s="56">
        <f>Participantes!BB9</f>
        <v>0</v>
      </c>
      <c r="CA10" s="58">
        <f t="shared" si="25"/>
        <v>1</v>
      </c>
      <c r="CB10" s="56">
        <f>Participantes!BC9</f>
        <v>3</v>
      </c>
      <c r="CC10" s="56">
        <f>Participantes!BD9</f>
        <v>1</v>
      </c>
      <c r="CD10" s="58">
        <f t="shared" si="26"/>
        <v>1</v>
      </c>
      <c r="CE10" s="56">
        <f>Participantes!BE9</f>
        <v>1</v>
      </c>
      <c r="CF10" s="56">
        <f>Participantes!BF9</f>
        <v>2</v>
      </c>
      <c r="CG10" s="58">
        <f t="shared" si="27"/>
        <v>0</v>
      </c>
      <c r="CH10" s="56">
        <f>Participantes!BG9</f>
        <v>4</v>
      </c>
      <c r="CI10" s="56">
        <f>Participantes!BH9</f>
        <v>0</v>
      </c>
      <c r="CJ10" s="58">
        <f t="shared" si="28"/>
        <v>1</v>
      </c>
      <c r="CK10" s="56">
        <f>Participantes!BI9</f>
        <v>1</v>
      </c>
      <c r="CL10" s="56">
        <f>Participantes!BJ9</f>
        <v>2</v>
      </c>
      <c r="CM10" s="58">
        <f t="shared" si="29"/>
        <v>1</v>
      </c>
      <c r="CN10" s="56">
        <f>Participantes!BK9</f>
        <v>2</v>
      </c>
      <c r="CO10" s="56">
        <f>Participantes!BL9</f>
        <v>2</v>
      </c>
      <c r="CP10" s="58">
        <f t="shared" si="30"/>
        <v>0</v>
      </c>
      <c r="CQ10" s="56">
        <f>Participantes!BM9</f>
        <v>3</v>
      </c>
      <c r="CR10" s="56">
        <f>Participantes!BN9</f>
        <v>1</v>
      </c>
      <c r="CS10" s="58">
        <f t="shared" si="31"/>
        <v>1</v>
      </c>
      <c r="CT10" s="56">
        <f>Participantes!BO9</f>
        <v>2</v>
      </c>
      <c r="CU10" s="56">
        <f>Participantes!BP9</f>
        <v>1</v>
      </c>
      <c r="CV10" s="58">
        <f t="shared" si="32"/>
        <v>3</v>
      </c>
      <c r="CW10" s="56">
        <f>Participantes!BQ9</f>
        <v>3</v>
      </c>
      <c r="CX10" s="56">
        <f>Participantes!BR9</f>
        <v>0</v>
      </c>
      <c r="CY10" s="58">
        <f t="shared" si="33"/>
        <v>0</v>
      </c>
      <c r="CZ10" s="56">
        <f>Participantes!BS9</f>
        <v>3</v>
      </c>
      <c r="DA10" s="56">
        <f>Participantes!BT9</f>
        <v>1</v>
      </c>
      <c r="DB10" s="58">
        <f t="shared" si="34"/>
        <v>1</v>
      </c>
      <c r="DC10" s="56">
        <f>Participantes!BU9</f>
        <v>1</v>
      </c>
      <c r="DD10" s="56">
        <f>Participantes!BV9</f>
        <v>2</v>
      </c>
      <c r="DE10" s="58">
        <f t="shared" si="35"/>
        <v>1</v>
      </c>
      <c r="DF10" s="56">
        <f>Participantes!BW9</f>
        <v>2</v>
      </c>
      <c r="DG10" s="56">
        <f>Participantes!BX9</f>
        <v>0</v>
      </c>
      <c r="DH10" s="58">
        <f t="shared" si="36"/>
        <v>0</v>
      </c>
      <c r="DI10" s="56">
        <f>Participantes!BY9</f>
        <v>3</v>
      </c>
      <c r="DJ10" s="56">
        <f>Participantes!BZ9</f>
        <v>1</v>
      </c>
      <c r="DK10" s="58">
        <f t="shared" si="37"/>
        <v>1</v>
      </c>
      <c r="DL10" s="56">
        <f>Participantes!CA9</f>
        <v>2</v>
      </c>
      <c r="DM10" s="56">
        <f>Participantes!CB9</f>
        <v>1</v>
      </c>
      <c r="DN10" s="58">
        <f t="shared" si="38"/>
        <v>0</v>
      </c>
      <c r="DO10" s="56">
        <f>Participantes!CC9</f>
        <v>1</v>
      </c>
      <c r="DP10" s="56">
        <f>Participantes!CD9</f>
        <v>4</v>
      </c>
      <c r="DQ10" s="58">
        <f t="shared" si="39"/>
        <v>1</v>
      </c>
      <c r="DR10" s="56">
        <f>Participantes!CE9</f>
        <v>1</v>
      </c>
      <c r="DS10" s="56">
        <f>Participantes!CF9</f>
        <v>2</v>
      </c>
      <c r="DT10" s="58">
        <f t="shared" si="40"/>
        <v>0</v>
      </c>
      <c r="DU10" s="56">
        <f>Participantes!CG9</f>
        <v>3</v>
      </c>
      <c r="DV10" s="56">
        <f>Participantes!CH9</f>
        <v>0</v>
      </c>
      <c r="DW10" s="58">
        <f t="shared" si="41"/>
        <v>3</v>
      </c>
      <c r="DX10" s="56">
        <f>Participantes!CI9</f>
        <v>2</v>
      </c>
      <c r="DY10" s="56">
        <f>Participantes!CJ9</f>
        <v>2</v>
      </c>
      <c r="DZ10" s="58">
        <f t="shared" si="42"/>
        <v>0</v>
      </c>
      <c r="EA10" s="56">
        <f>Participantes!CK9</f>
        <v>1</v>
      </c>
      <c r="EB10" s="56">
        <f>Participantes!CL9</f>
        <v>2</v>
      </c>
      <c r="EC10" s="58">
        <f t="shared" si="43"/>
        <v>3</v>
      </c>
      <c r="ED10" s="56">
        <f>Participantes!CM9</f>
        <v>3</v>
      </c>
      <c r="EE10" s="56">
        <f>Participantes!CN9</f>
        <v>1</v>
      </c>
      <c r="EF10" s="58">
        <f t="shared" si="44"/>
        <v>0</v>
      </c>
      <c r="EG10" s="56">
        <f>Participantes!CO9</f>
        <v>0</v>
      </c>
      <c r="EH10" s="56">
        <f>Participantes!CP9</f>
        <v>2</v>
      </c>
      <c r="EI10" s="58">
        <f t="shared" si="45"/>
        <v>1</v>
      </c>
      <c r="EJ10" s="56">
        <f>Participantes!CQ9</f>
        <v>2</v>
      </c>
      <c r="EK10" s="56">
        <f>Participantes!CR9</f>
        <v>0</v>
      </c>
      <c r="EL10" s="58">
        <f t="shared" si="46"/>
        <v>1</v>
      </c>
      <c r="EM10" s="56">
        <f>Participantes!CS9</f>
        <v>2</v>
      </c>
      <c r="EN10" s="56">
        <f>Participantes!CT9</f>
        <v>1</v>
      </c>
      <c r="EO10" s="58">
        <f t="shared" si="47"/>
        <v>1</v>
      </c>
      <c r="EP10" s="56">
        <f>Participantes!CU9</f>
        <v>1</v>
      </c>
      <c r="EQ10" s="56">
        <f>Participantes!CV9</f>
        <v>3</v>
      </c>
      <c r="ER10" s="58">
        <f t="shared" si="48"/>
        <v>1</v>
      </c>
      <c r="ES10" s="56">
        <f>Participantes!CW9</f>
        <v>3</v>
      </c>
      <c r="ET10" s="56">
        <f>Participantes!CX9</f>
        <v>0</v>
      </c>
      <c r="EU10" s="58">
        <f t="shared" si="49"/>
        <v>1</v>
      </c>
      <c r="EV10" s="56">
        <f>Participantes!CY9</f>
        <v>2</v>
      </c>
      <c r="EW10" s="56">
        <f>Participantes!CZ9</f>
        <v>2</v>
      </c>
      <c r="EX10" s="58">
        <f t="shared" si="50"/>
        <v>0</v>
      </c>
      <c r="EY10" s="56">
        <f>Participantes!DA9</f>
        <v>0</v>
      </c>
      <c r="EZ10" s="56">
        <f>Participantes!DB9</f>
        <v>1</v>
      </c>
      <c r="FA10" s="58">
        <f t="shared" si="51"/>
        <v>0</v>
      </c>
      <c r="FB10" s="56">
        <f>Participantes!DC9</f>
        <v>1</v>
      </c>
      <c r="FC10" s="56">
        <f>Participantes!DD9</f>
        <v>1</v>
      </c>
      <c r="FD10" s="58">
        <f t="shared" si="52"/>
        <v>0</v>
      </c>
      <c r="FE10" s="56">
        <f>Participantes!DE9</f>
        <v>1</v>
      </c>
      <c r="FF10" s="56">
        <f>Participantes!DF9</f>
        <v>3</v>
      </c>
      <c r="FG10" s="58">
        <f t="shared" si="53"/>
        <v>0</v>
      </c>
      <c r="FH10" s="56">
        <f>Participantes!DG9</f>
        <v>1</v>
      </c>
      <c r="FI10" s="56">
        <f>Participantes!DH9</f>
        <v>2</v>
      </c>
      <c r="FJ10" s="58">
        <f t="shared" si="54"/>
        <v>1</v>
      </c>
      <c r="FK10" s="56">
        <f>Participantes!DI9</f>
        <v>1</v>
      </c>
      <c r="FL10" s="56">
        <f>Participantes!DJ9</f>
        <v>2</v>
      </c>
      <c r="FM10" s="58">
        <f t="shared" si="55"/>
        <v>0</v>
      </c>
      <c r="FN10" s="56">
        <f>Participantes!DK9</f>
        <v>2</v>
      </c>
      <c r="FO10" s="56">
        <f>Participantes!DL9</f>
        <v>1</v>
      </c>
      <c r="FP10" s="58">
        <f t="shared" si="56"/>
        <v>0</v>
      </c>
      <c r="FQ10" s="56">
        <f>Participantes!DM9</f>
        <v>0</v>
      </c>
      <c r="FR10" s="56">
        <f>Participantes!DN9</f>
        <v>2</v>
      </c>
      <c r="FS10" s="58">
        <f t="shared" si="57"/>
        <v>1</v>
      </c>
      <c r="FT10" s="56">
        <f>Participantes!DO9</f>
        <v>1</v>
      </c>
      <c r="FU10" s="56">
        <f>Participantes!DP9</f>
        <v>1</v>
      </c>
      <c r="FV10" s="58">
        <f t="shared" si="58"/>
        <v>0</v>
      </c>
      <c r="FW10" s="56">
        <f>Participantes!DQ9</f>
        <v>2</v>
      </c>
      <c r="FX10" s="56">
        <f>Participantes!DR9</f>
        <v>0</v>
      </c>
      <c r="FY10" s="58">
        <f t="shared" si="59"/>
        <v>0</v>
      </c>
      <c r="FZ10" s="56">
        <f>Participantes!DS9</f>
        <v>1</v>
      </c>
      <c r="GA10" s="56">
        <f>Participantes!DT9</f>
        <v>2</v>
      </c>
      <c r="GB10" s="58">
        <f t="shared" si="60"/>
        <v>1</v>
      </c>
      <c r="GC10" s="56">
        <f>Participantes!DU9</f>
        <v>2</v>
      </c>
      <c r="GD10" s="56">
        <f>Participantes!DV9</f>
        <v>0</v>
      </c>
      <c r="GE10" s="58">
        <f t="shared" si="61"/>
        <v>1</v>
      </c>
      <c r="GF10" s="56">
        <f>Participantes!DW9</f>
        <v>2</v>
      </c>
      <c r="GG10" s="56">
        <f>Participantes!DX9</f>
        <v>2</v>
      </c>
      <c r="GH10" s="58">
        <f t="shared" si="62"/>
        <v>1</v>
      </c>
      <c r="GI10" s="56">
        <f>Participantes!DY9</f>
        <v>0</v>
      </c>
      <c r="GJ10" s="56">
        <f>Participantes!DZ9</f>
        <v>3</v>
      </c>
      <c r="GK10" s="58">
        <f t="shared" si="63"/>
        <v>1</v>
      </c>
      <c r="GL10" s="56">
        <f>Participantes!EA9</f>
        <v>1</v>
      </c>
      <c r="GM10" s="56">
        <f>Participantes!EB9</f>
        <v>2</v>
      </c>
      <c r="GN10" s="58">
        <f t="shared" si="64"/>
        <v>0</v>
      </c>
      <c r="GO10" s="56">
        <f>Participantes!EC9</f>
        <v>1</v>
      </c>
      <c r="GP10" s="56">
        <f>Participantes!ED9</f>
        <v>2</v>
      </c>
      <c r="GQ10" s="58">
        <f t="shared" si="65"/>
        <v>1</v>
      </c>
      <c r="GR10" s="56">
        <f>Participantes!EE9</f>
        <v>1</v>
      </c>
      <c r="GS10" s="56">
        <f>Participantes!EF9</f>
        <v>3</v>
      </c>
      <c r="GT10" s="58" t="str">
        <f t="shared" si="66"/>
        <v/>
      </c>
      <c r="GU10" s="56">
        <f>Participantes!EG9</f>
        <v>2</v>
      </c>
      <c r="GV10" s="56">
        <f>Participantes!EH9</f>
        <v>1</v>
      </c>
      <c r="GW10" s="58" t="str">
        <f t="shared" si="67"/>
        <v/>
      </c>
      <c r="GX10" s="56">
        <f>Participantes!EI9</f>
        <v>1</v>
      </c>
      <c r="GY10" s="56">
        <f>Participantes!EJ9</f>
        <v>1</v>
      </c>
      <c r="GZ10" s="58" t="str">
        <f t="shared" si="68"/>
        <v/>
      </c>
      <c r="HA10" s="56">
        <f>Participantes!EK9</f>
        <v>0</v>
      </c>
      <c r="HB10" s="56">
        <f>Participantes!EL9</f>
        <v>3</v>
      </c>
      <c r="HC10" s="58" t="str">
        <f t="shared" si="69"/>
        <v/>
      </c>
      <c r="HD10" s="56">
        <f>Participantes!EM9</f>
        <v>2</v>
      </c>
      <c r="HE10" s="56">
        <f>Participantes!EN9</f>
        <v>2</v>
      </c>
      <c r="HF10" s="58" t="str">
        <f t="shared" si="70"/>
        <v/>
      </c>
      <c r="HG10" s="56">
        <f>Participantes!EO9</f>
        <v>1</v>
      </c>
      <c r="HH10" s="56">
        <f>Participantes!EP9</f>
        <v>1</v>
      </c>
      <c r="HI10" s="58" t="str">
        <f t="shared" si="71"/>
        <v/>
      </c>
      <c r="HJ10" s="59">
        <f t="shared" si="72"/>
        <v>50</v>
      </c>
    </row>
    <row r="11" spans="1:218" ht="15" customHeight="1" x14ac:dyDescent="0.25">
      <c r="A11" s="57" t="str">
        <f>Participantes!B10</f>
        <v>Christofer</v>
      </c>
      <c r="B11" s="56">
        <f>Participantes!C10</f>
        <v>2</v>
      </c>
      <c r="C11" s="56">
        <f>Participantes!D10</f>
        <v>3</v>
      </c>
      <c r="D11" s="58">
        <f t="shared" si="0"/>
        <v>0</v>
      </c>
      <c r="E11" s="56">
        <f>Participantes!E10</f>
        <v>1</v>
      </c>
      <c r="F11" s="56">
        <f>Participantes!F10</f>
        <v>1</v>
      </c>
      <c r="G11" s="58">
        <f t="shared" si="1"/>
        <v>0</v>
      </c>
      <c r="H11" s="56">
        <f>Participantes!G10</f>
        <v>1</v>
      </c>
      <c r="I11" s="56">
        <f>Participantes!H10</f>
        <v>2</v>
      </c>
      <c r="J11" s="58">
        <f t="shared" si="2"/>
        <v>0</v>
      </c>
      <c r="K11" s="56">
        <f>Participantes!I10</f>
        <v>2</v>
      </c>
      <c r="L11" s="56">
        <f>Participantes!J10</f>
        <v>4</v>
      </c>
      <c r="M11" s="58">
        <f t="shared" si="3"/>
        <v>0</v>
      </c>
      <c r="N11" s="56">
        <f>Participantes!K10</f>
        <v>3</v>
      </c>
      <c r="O11" s="56">
        <f>Participantes!L10</f>
        <v>4</v>
      </c>
      <c r="P11" s="58">
        <f t="shared" si="4"/>
        <v>1</v>
      </c>
      <c r="Q11" s="56">
        <f>Participantes!M10</f>
        <v>2</v>
      </c>
      <c r="R11" s="56">
        <f>Participantes!N10</f>
        <v>1</v>
      </c>
      <c r="S11" s="58">
        <f t="shared" si="5"/>
        <v>1</v>
      </c>
      <c r="T11" s="56">
        <f>Participantes!O10</f>
        <v>5</v>
      </c>
      <c r="U11" s="56">
        <f>Participantes!P10</f>
        <v>1</v>
      </c>
      <c r="V11" s="58">
        <f t="shared" si="6"/>
        <v>0</v>
      </c>
      <c r="W11" s="56">
        <f>Participantes!Q10</f>
        <v>2</v>
      </c>
      <c r="X11" s="56">
        <f>Participantes!R10</f>
        <v>1</v>
      </c>
      <c r="Y11" s="58">
        <f t="shared" si="7"/>
        <v>0</v>
      </c>
      <c r="Z11" s="56">
        <f>Participantes!S10</f>
        <v>0</v>
      </c>
      <c r="AA11" s="56">
        <f>Participantes!T10</f>
        <v>3</v>
      </c>
      <c r="AB11" s="58">
        <f t="shared" si="8"/>
        <v>0</v>
      </c>
      <c r="AC11" s="56">
        <f>Participantes!U10</f>
        <v>2</v>
      </c>
      <c r="AD11" s="56">
        <f>Participantes!V10</f>
        <v>2</v>
      </c>
      <c r="AE11" s="58">
        <f t="shared" si="9"/>
        <v>0</v>
      </c>
      <c r="AF11" s="56">
        <f>Participantes!W10</f>
        <v>2</v>
      </c>
      <c r="AG11" s="56">
        <f>Participantes!X10</f>
        <v>5</v>
      </c>
      <c r="AH11" s="58">
        <f t="shared" si="10"/>
        <v>0</v>
      </c>
      <c r="AI11" s="56">
        <f>Participantes!Y10</f>
        <v>4</v>
      </c>
      <c r="AJ11" s="56">
        <f>Participantes!Z10</f>
        <v>1</v>
      </c>
      <c r="AK11" s="58">
        <f t="shared" si="11"/>
        <v>1</v>
      </c>
      <c r="AL11" s="56">
        <f>Participantes!AA10</f>
        <v>1</v>
      </c>
      <c r="AM11" s="56">
        <f>Participantes!AB10</f>
        <v>2</v>
      </c>
      <c r="AN11" s="58">
        <f t="shared" si="12"/>
        <v>0</v>
      </c>
      <c r="AO11" s="56">
        <f>Participantes!AC10</f>
        <v>3</v>
      </c>
      <c r="AP11" s="56">
        <f>Participantes!AD10</f>
        <v>1</v>
      </c>
      <c r="AQ11" s="58">
        <f t="shared" si="13"/>
        <v>0</v>
      </c>
      <c r="AR11" s="56">
        <f>Participantes!AE10</f>
        <v>1</v>
      </c>
      <c r="AS11" s="56">
        <f>Participantes!AF10</f>
        <v>1</v>
      </c>
      <c r="AT11" s="58">
        <f t="shared" si="14"/>
        <v>1</v>
      </c>
      <c r="AU11" s="56">
        <f>Participantes!AG10</f>
        <v>2</v>
      </c>
      <c r="AV11" s="56">
        <f>Participantes!AH10</f>
        <v>0</v>
      </c>
      <c r="AW11" s="58">
        <f t="shared" si="15"/>
        <v>0</v>
      </c>
      <c r="AX11" s="56">
        <f>Participantes!AI10</f>
        <v>1</v>
      </c>
      <c r="AY11" s="56">
        <f>Participantes!AJ10</f>
        <v>3</v>
      </c>
      <c r="AZ11" s="58">
        <f t="shared" si="16"/>
        <v>0</v>
      </c>
      <c r="BA11" s="56">
        <f>Participantes!AK10</f>
        <v>1</v>
      </c>
      <c r="BB11" s="56">
        <f>Participantes!AL10</f>
        <v>4</v>
      </c>
      <c r="BC11" s="58">
        <f t="shared" si="17"/>
        <v>3</v>
      </c>
      <c r="BD11" s="56">
        <f>Participantes!AM10</f>
        <v>3</v>
      </c>
      <c r="BE11" s="56">
        <f>Participantes!AN10</f>
        <v>2</v>
      </c>
      <c r="BF11" s="58">
        <f t="shared" si="18"/>
        <v>1</v>
      </c>
      <c r="BG11" s="56">
        <f>Participantes!AO10</f>
        <v>1</v>
      </c>
      <c r="BH11" s="56">
        <f>Participantes!AP10</f>
        <v>1</v>
      </c>
      <c r="BI11" s="58">
        <f t="shared" si="19"/>
        <v>0</v>
      </c>
      <c r="BJ11" s="56">
        <f>Participantes!AQ10</f>
        <v>1</v>
      </c>
      <c r="BK11" s="56">
        <f>Participantes!AR10</f>
        <v>3</v>
      </c>
      <c r="BL11" s="58">
        <f t="shared" si="20"/>
        <v>0</v>
      </c>
      <c r="BM11" s="56">
        <f>Participantes!AS10</f>
        <v>2</v>
      </c>
      <c r="BN11" s="56">
        <f>Participantes!AT10</f>
        <v>1</v>
      </c>
      <c r="BO11" s="58">
        <f t="shared" si="21"/>
        <v>1</v>
      </c>
      <c r="BP11" s="56">
        <f>Participantes!AU10</f>
        <v>7</v>
      </c>
      <c r="BQ11" s="56">
        <f>Participantes!AV10</f>
        <v>4</v>
      </c>
      <c r="BR11" s="58">
        <f t="shared" si="22"/>
        <v>0</v>
      </c>
      <c r="BS11" s="56">
        <f>Participantes!AW10</f>
        <v>1</v>
      </c>
      <c r="BT11" s="56">
        <f>Participantes!AX10</f>
        <v>2</v>
      </c>
      <c r="BU11" s="58">
        <f t="shared" si="23"/>
        <v>1</v>
      </c>
      <c r="BV11" s="56">
        <f>Participantes!AY10</f>
        <v>2</v>
      </c>
      <c r="BW11" s="56">
        <f>Participantes!AZ10</f>
        <v>2</v>
      </c>
      <c r="BX11" s="58">
        <f t="shared" si="24"/>
        <v>1</v>
      </c>
      <c r="BY11" s="56">
        <f>Participantes!BA10</f>
        <v>3</v>
      </c>
      <c r="BZ11" s="56">
        <f>Participantes!BB10</f>
        <v>4</v>
      </c>
      <c r="CA11" s="58">
        <f t="shared" si="25"/>
        <v>0</v>
      </c>
      <c r="CB11" s="56">
        <f>Participantes!BC10</f>
        <v>2</v>
      </c>
      <c r="CC11" s="56">
        <f>Participantes!BD10</f>
        <v>3</v>
      </c>
      <c r="CD11" s="58">
        <f t="shared" si="26"/>
        <v>0</v>
      </c>
      <c r="CE11" s="56">
        <f>Participantes!BE10</f>
        <v>1</v>
      </c>
      <c r="CF11" s="56">
        <f>Participantes!BF10</f>
        <v>2</v>
      </c>
      <c r="CG11" s="58">
        <f t="shared" si="27"/>
        <v>0</v>
      </c>
      <c r="CH11" s="56">
        <f>Participantes!BG10</f>
        <v>7</v>
      </c>
      <c r="CI11" s="56">
        <f>Participantes!BH10</f>
        <v>2</v>
      </c>
      <c r="CJ11" s="58">
        <f t="shared" si="28"/>
        <v>1</v>
      </c>
      <c r="CK11" s="56">
        <f>Participantes!BI10</f>
        <v>4</v>
      </c>
      <c r="CL11" s="56">
        <f>Participantes!BJ10</f>
        <v>6</v>
      </c>
      <c r="CM11" s="58">
        <f t="shared" si="29"/>
        <v>1</v>
      </c>
      <c r="CN11" s="56">
        <f>Participantes!BK10</f>
        <v>1</v>
      </c>
      <c r="CO11" s="56">
        <f>Participantes!BL10</f>
        <v>1</v>
      </c>
      <c r="CP11" s="58">
        <f t="shared" si="30"/>
        <v>0</v>
      </c>
      <c r="CQ11" s="56">
        <f>Participantes!BM10</f>
        <v>0</v>
      </c>
      <c r="CR11" s="56">
        <f>Participantes!BN10</f>
        <v>2</v>
      </c>
      <c r="CS11" s="58">
        <f t="shared" si="31"/>
        <v>0</v>
      </c>
      <c r="CT11" s="56">
        <f>Participantes!BO10</f>
        <v>3</v>
      </c>
      <c r="CU11" s="56">
        <f>Participantes!BP10</f>
        <v>1</v>
      </c>
      <c r="CV11" s="58">
        <f t="shared" si="32"/>
        <v>1</v>
      </c>
      <c r="CW11" s="56">
        <f>Participantes!BQ10</f>
        <v>1</v>
      </c>
      <c r="CX11" s="56">
        <f>Participantes!BR10</f>
        <v>4</v>
      </c>
      <c r="CY11" s="58">
        <f t="shared" si="33"/>
        <v>0</v>
      </c>
      <c r="CZ11" s="56">
        <f>Participantes!BS10</f>
        <v>2</v>
      </c>
      <c r="DA11" s="56">
        <f>Participantes!BT10</f>
        <v>3</v>
      </c>
      <c r="DB11" s="58">
        <f t="shared" si="34"/>
        <v>0</v>
      </c>
      <c r="DC11" s="56">
        <f>Participantes!BU10</f>
        <v>3</v>
      </c>
      <c r="DD11" s="56">
        <f>Participantes!BV10</f>
        <v>2</v>
      </c>
      <c r="DE11" s="58">
        <f t="shared" si="35"/>
        <v>0</v>
      </c>
      <c r="DF11" s="56">
        <f>Participantes!BW10</f>
        <v>4</v>
      </c>
      <c r="DG11" s="56">
        <f>Participantes!BX10</f>
        <v>3</v>
      </c>
      <c r="DH11" s="58">
        <f t="shared" si="36"/>
        <v>0</v>
      </c>
      <c r="DI11" s="56">
        <f>Participantes!BY10</f>
        <v>3</v>
      </c>
      <c r="DJ11" s="56">
        <f>Participantes!BZ10</f>
        <v>1</v>
      </c>
      <c r="DK11" s="58">
        <f t="shared" si="37"/>
        <v>1</v>
      </c>
      <c r="DL11" s="56">
        <f>Participantes!CA10</f>
        <v>4</v>
      </c>
      <c r="DM11" s="56">
        <f>Participantes!CB10</f>
        <v>1</v>
      </c>
      <c r="DN11" s="58">
        <f t="shared" si="38"/>
        <v>0</v>
      </c>
      <c r="DO11" s="56">
        <f>Participantes!CC10</f>
        <v>2</v>
      </c>
      <c r="DP11" s="56">
        <f>Participantes!CD10</f>
        <v>0</v>
      </c>
      <c r="DQ11" s="58">
        <f t="shared" si="39"/>
        <v>0</v>
      </c>
      <c r="DR11" s="56">
        <f>Participantes!CE10</f>
        <v>2</v>
      </c>
      <c r="DS11" s="56">
        <f>Participantes!CF10</f>
        <v>3</v>
      </c>
      <c r="DT11" s="58">
        <f t="shared" si="40"/>
        <v>0</v>
      </c>
      <c r="DU11" s="56">
        <f>Participantes!CG10</f>
        <v>0</v>
      </c>
      <c r="DV11" s="56">
        <f>Participantes!CH10</f>
        <v>1</v>
      </c>
      <c r="DW11" s="58">
        <f t="shared" si="41"/>
        <v>0</v>
      </c>
      <c r="DX11" s="56">
        <f>Participantes!CI10</f>
        <v>4</v>
      </c>
      <c r="DY11" s="56">
        <f>Participantes!CJ10</f>
        <v>2</v>
      </c>
      <c r="DZ11" s="58">
        <f t="shared" si="42"/>
        <v>1</v>
      </c>
      <c r="EA11" s="56">
        <f>Participantes!CK10</f>
        <v>1</v>
      </c>
      <c r="EB11" s="56">
        <f>Participantes!CL10</f>
        <v>0</v>
      </c>
      <c r="EC11" s="58">
        <f t="shared" si="43"/>
        <v>0</v>
      </c>
      <c r="ED11" s="56">
        <f>Participantes!CM10</f>
        <v>2</v>
      </c>
      <c r="EE11" s="56">
        <f>Participantes!CN10</f>
        <v>1</v>
      </c>
      <c r="EF11" s="58">
        <f t="shared" si="44"/>
        <v>0</v>
      </c>
      <c r="EG11" s="56">
        <f>Participantes!CO10</f>
        <v>3</v>
      </c>
      <c r="EH11" s="56">
        <f>Participantes!CP10</f>
        <v>1</v>
      </c>
      <c r="EI11" s="58">
        <f t="shared" si="45"/>
        <v>0</v>
      </c>
      <c r="EJ11" s="56">
        <f>Participantes!CQ10</f>
        <v>6</v>
      </c>
      <c r="EK11" s="56">
        <f>Participantes!CR10</f>
        <v>1</v>
      </c>
      <c r="EL11" s="58">
        <f t="shared" si="46"/>
        <v>1</v>
      </c>
      <c r="EM11" s="56">
        <f>Participantes!CS10</f>
        <v>4</v>
      </c>
      <c r="EN11" s="56">
        <f>Participantes!CT10</f>
        <v>2</v>
      </c>
      <c r="EO11" s="58">
        <f t="shared" si="47"/>
        <v>1</v>
      </c>
      <c r="EP11" s="56">
        <f>Participantes!CU10</f>
        <v>2</v>
      </c>
      <c r="EQ11" s="56">
        <f>Participantes!CV10</f>
        <v>5</v>
      </c>
      <c r="ER11" s="58">
        <f t="shared" si="48"/>
        <v>1</v>
      </c>
      <c r="ES11" s="56">
        <f>Participantes!CW10</f>
        <v>1</v>
      </c>
      <c r="ET11" s="56">
        <f>Participantes!CX10</f>
        <v>1</v>
      </c>
      <c r="EU11" s="58">
        <f t="shared" si="49"/>
        <v>0</v>
      </c>
      <c r="EV11" s="56">
        <f>Participantes!CY10</f>
        <v>7</v>
      </c>
      <c r="EW11" s="56">
        <f>Participantes!CZ10</f>
        <v>1</v>
      </c>
      <c r="EX11" s="58">
        <f t="shared" si="50"/>
        <v>1</v>
      </c>
      <c r="EY11" s="56">
        <f>Participantes!DA10</f>
        <v>4</v>
      </c>
      <c r="EZ11" s="56">
        <f>Participantes!DB10</f>
        <v>2</v>
      </c>
      <c r="FA11" s="58">
        <f t="shared" si="51"/>
        <v>1</v>
      </c>
      <c r="FB11" s="56">
        <f>Participantes!DC10</f>
        <v>2</v>
      </c>
      <c r="FC11" s="56">
        <f>Participantes!DD10</f>
        <v>0</v>
      </c>
      <c r="FD11" s="58">
        <f t="shared" si="52"/>
        <v>0</v>
      </c>
      <c r="FE11" s="56">
        <f>Participantes!DE10</f>
        <v>1</v>
      </c>
      <c r="FF11" s="56">
        <f>Participantes!DF10</f>
        <v>1</v>
      </c>
      <c r="FG11" s="58">
        <f t="shared" si="53"/>
        <v>0</v>
      </c>
      <c r="FH11" s="56">
        <f>Participantes!DG10</f>
        <v>1</v>
      </c>
      <c r="FI11" s="56">
        <f>Participantes!DH10</f>
        <v>2</v>
      </c>
      <c r="FJ11" s="58">
        <f t="shared" si="54"/>
        <v>1</v>
      </c>
      <c r="FK11" s="56">
        <f>Participantes!DI10</f>
        <v>3</v>
      </c>
      <c r="FL11" s="56">
        <f>Participantes!DJ10</f>
        <v>2</v>
      </c>
      <c r="FM11" s="58">
        <f t="shared" si="55"/>
        <v>1</v>
      </c>
      <c r="FN11" s="56">
        <f>Participantes!DK10</f>
        <v>4</v>
      </c>
      <c r="FO11" s="56">
        <f>Participantes!DL10</f>
        <v>7</v>
      </c>
      <c r="FP11" s="58">
        <f t="shared" si="56"/>
        <v>0</v>
      </c>
      <c r="FQ11" s="56">
        <f>Participantes!DM10</f>
        <v>1</v>
      </c>
      <c r="FR11" s="56">
        <f>Participantes!DN10</f>
        <v>2</v>
      </c>
      <c r="FS11" s="58">
        <f t="shared" si="57"/>
        <v>1</v>
      </c>
      <c r="FT11" s="56">
        <f>Participantes!DO10</f>
        <v>3</v>
      </c>
      <c r="FU11" s="56">
        <f>Participantes!DP10</f>
        <v>2</v>
      </c>
      <c r="FV11" s="58">
        <f t="shared" si="58"/>
        <v>3</v>
      </c>
      <c r="FW11" s="56">
        <f>Participantes!DQ10</f>
        <v>2</v>
      </c>
      <c r="FX11" s="56">
        <f>Participantes!DR10</f>
        <v>1</v>
      </c>
      <c r="FY11" s="58">
        <f t="shared" si="59"/>
        <v>0</v>
      </c>
      <c r="FZ11" s="56">
        <f>Participantes!DS10</f>
        <v>4</v>
      </c>
      <c r="GA11" s="56">
        <f>Participantes!DT10</f>
        <v>0</v>
      </c>
      <c r="GB11" s="58">
        <f t="shared" si="60"/>
        <v>0</v>
      </c>
      <c r="GC11" s="56">
        <f>Participantes!DU10</f>
        <v>5</v>
      </c>
      <c r="GD11" s="56">
        <f>Participantes!DV10</f>
        <v>2</v>
      </c>
      <c r="GE11" s="58">
        <f t="shared" si="61"/>
        <v>1</v>
      </c>
      <c r="GF11" s="56">
        <f>Participantes!DW10</f>
        <v>1</v>
      </c>
      <c r="GG11" s="56">
        <f>Participantes!DX10</f>
        <v>1</v>
      </c>
      <c r="GH11" s="58">
        <f t="shared" si="62"/>
        <v>3</v>
      </c>
      <c r="GI11" s="56">
        <f>Participantes!DY10</f>
        <v>2</v>
      </c>
      <c r="GJ11" s="56">
        <f>Participantes!DZ10</f>
        <v>1</v>
      </c>
      <c r="GK11" s="58">
        <f t="shared" si="63"/>
        <v>0</v>
      </c>
      <c r="GL11" s="56">
        <f>Participantes!EA10</f>
        <v>4</v>
      </c>
      <c r="GM11" s="56">
        <f>Participantes!EB10</f>
        <v>3</v>
      </c>
      <c r="GN11" s="58">
        <f t="shared" si="64"/>
        <v>0</v>
      </c>
      <c r="GO11" s="56">
        <f>Participantes!EC10</f>
        <v>1</v>
      </c>
      <c r="GP11" s="56">
        <f>Participantes!ED10</f>
        <v>2</v>
      </c>
      <c r="GQ11" s="58">
        <f t="shared" si="65"/>
        <v>1</v>
      </c>
      <c r="GR11" s="56">
        <f>Participantes!EE10</f>
        <v>2</v>
      </c>
      <c r="GS11" s="56">
        <f>Participantes!EF10</f>
        <v>3</v>
      </c>
      <c r="GT11" s="58" t="str">
        <f t="shared" si="66"/>
        <v/>
      </c>
      <c r="GU11" s="56">
        <f>Participantes!EG10</f>
        <v>1</v>
      </c>
      <c r="GV11" s="56">
        <f>Participantes!EH10</f>
        <v>0</v>
      </c>
      <c r="GW11" s="58" t="str">
        <f t="shared" si="67"/>
        <v/>
      </c>
      <c r="GX11" s="56">
        <f>Participantes!EI10</f>
        <v>1</v>
      </c>
      <c r="GY11" s="56">
        <f>Participantes!EJ10</f>
        <v>1</v>
      </c>
      <c r="GZ11" s="58" t="str">
        <f t="shared" si="68"/>
        <v/>
      </c>
      <c r="HA11" s="56">
        <f>Participantes!EK10</f>
        <v>2</v>
      </c>
      <c r="HB11" s="56">
        <f>Participantes!EL10</f>
        <v>3</v>
      </c>
      <c r="HC11" s="58" t="str">
        <f t="shared" si="69"/>
        <v/>
      </c>
      <c r="HD11" s="56">
        <f>Participantes!EM10</f>
        <v>1</v>
      </c>
      <c r="HE11" s="56">
        <f>Participantes!EN10</f>
        <v>4</v>
      </c>
      <c r="HF11" s="58" t="str">
        <f t="shared" si="70"/>
        <v/>
      </c>
      <c r="HG11" s="56">
        <f>Participantes!EO10</f>
        <v>0</v>
      </c>
      <c r="HH11" s="56">
        <f>Participantes!EP10</f>
        <v>4</v>
      </c>
      <c r="HI11" s="58" t="str">
        <f t="shared" si="71"/>
        <v/>
      </c>
      <c r="HJ11" s="59">
        <f t="shared" si="72"/>
        <v>32</v>
      </c>
    </row>
    <row r="12" spans="1:218" ht="15" customHeight="1" x14ac:dyDescent="0.25">
      <c r="A12" s="57" t="str">
        <f>Participantes!B11</f>
        <v>Cynthia</v>
      </c>
      <c r="B12" s="56">
        <f>Participantes!C11</f>
        <v>1</v>
      </c>
      <c r="C12" s="56">
        <f>Participantes!D11</f>
        <v>2</v>
      </c>
      <c r="D12" s="58">
        <f t="shared" si="0"/>
        <v>0</v>
      </c>
      <c r="E12" s="56">
        <f>Participantes!E11</f>
        <v>1</v>
      </c>
      <c r="F12" s="56">
        <f>Participantes!F11</f>
        <v>0</v>
      </c>
      <c r="G12" s="58">
        <f t="shared" si="1"/>
        <v>1</v>
      </c>
      <c r="H12" s="56">
        <f>Participantes!G11</f>
        <v>2</v>
      </c>
      <c r="I12" s="56">
        <f>Participantes!H11</f>
        <v>1</v>
      </c>
      <c r="J12" s="58">
        <f t="shared" si="2"/>
        <v>0</v>
      </c>
      <c r="K12" s="56">
        <f>Participantes!I11</f>
        <v>0</v>
      </c>
      <c r="L12" s="56">
        <f>Participantes!J11</f>
        <v>0</v>
      </c>
      <c r="M12" s="58">
        <f t="shared" si="3"/>
        <v>0</v>
      </c>
      <c r="N12" s="56">
        <f>Participantes!K11</f>
        <v>1</v>
      </c>
      <c r="O12" s="56">
        <f>Participantes!L11</f>
        <v>3</v>
      </c>
      <c r="P12" s="58">
        <f t="shared" si="4"/>
        <v>1</v>
      </c>
      <c r="Q12" s="56">
        <f>Participantes!M11</f>
        <v>1</v>
      </c>
      <c r="R12" s="56">
        <f>Participantes!N11</f>
        <v>1</v>
      </c>
      <c r="S12" s="58">
        <f t="shared" si="5"/>
        <v>0</v>
      </c>
      <c r="T12" s="56">
        <f>Participantes!O11</f>
        <v>2</v>
      </c>
      <c r="U12" s="56">
        <f>Participantes!P11</f>
        <v>2</v>
      </c>
      <c r="V12" s="58">
        <f t="shared" si="6"/>
        <v>1</v>
      </c>
      <c r="W12" s="56">
        <f>Participantes!Q11</f>
        <v>0</v>
      </c>
      <c r="X12" s="56">
        <f>Participantes!R11</f>
        <v>1</v>
      </c>
      <c r="Y12" s="58">
        <f t="shared" si="7"/>
        <v>0</v>
      </c>
      <c r="Z12" s="56">
        <f>Participantes!S11</f>
        <v>0</v>
      </c>
      <c r="AA12" s="56">
        <f>Participantes!T11</f>
        <v>1</v>
      </c>
      <c r="AB12" s="58">
        <f t="shared" si="8"/>
        <v>0</v>
      </c>
      <c r="AC12" s="56">
        <f>Participantes!U11</f>
        <v>3</v>
      </c>
      <c r="AD12" s="56">
        <f>Participantes!V11</f>
        <v>1</v>
      </c>
      <c r="AE12" s="58">
        <f t="shared" si="9"/>
        <v>1</v>
      </c>
      <c r="AF12" s="56">
        <f>Participantes!W11</f>
        <v>2</v>
      </c>
      <c r="AG12" s="56">
        <f>Participantes!X11</f>
        <v>2</v>
      </c>
      <c r="AH12" s="58">
        <f t="shared" si="10"/>
        <v>3</v>
      </c>
      <c r="AI12" s="56">
        <f>Participantes!Y11</f>
        <v>3</v>
      </c>
      <c r="AJ12" s="56">
        <f>Participantes!Z11</f>
        <v>1</v>
      </c>
      <c r="AK12" s="58">
        <f t="shared" si="11"/>
        <v>1</v>
      </c>
      <c r="AL12" s="56">
        <f>Participantes!AA11</f>
        <v>2</v>
      </c>
      <c r="AM12" s="56">
        <f>Participantes!AB11</f>
        <v>2</v>
      </c>
      <c r="AN12" s="58">
        <f t="shared" si="12"/>
        <v>1</v>
      </c>
      <c r="AO12" s="56">
        <f>Participantes!AC11</f>
        <v>3</v>
      </c>
      <c r="AP12" s="56">
        <f>Participantes!AD11</f>
        <v>1</v>
      </c>
      <c r="AQ12" s="58">
        <f t="shared" si="13"/>
        <v>0</v>
      </c>
      <c r="AR12" s="56">
        <f>Participantes!AE11</f>
        <v>1</v>
      </c>
      <c r="AS12" s="56">
        <f>Participantes!AF11</f>
        <v>1</v>
      </c>
      <c r="AT12" s="58">
        <f t="shared" si="14"/>
        <v>1</v>
      </c>
      <c r="AU12" s="56">
        <f>Participantes!AG11</f>
        <v>0</v>
      </c>
      <c r="AV12" s="56">
        <f>Participantes!AH11</f>
        <v>0</v>
      </c>
      <c r="AW12" s="58">
        <f t="shared" si="15"/>
        <v>1</v>
      </c>
      <c r="AX12" s="56">
        <f>Participantes!AI11</f>
        <v>2</v>
      </c>
      <c r="AY12" s="56">
        <f>Participantes!AJ11</f>
        <v>1</v>
      </c>
      <c r="AZ12" s="58">
        <f t="shared" si="16"/>
        <v>1</v>
      </c>
      <c r="BA12" s="56">
        <f>Participantes!AK11</f>
        <v>1</v>
      </c>
      <c r="BB12" s="56">
        <f>Participantes!AL11</f>
        <v>0</v>
      </c>
      <c r="BC12" s="58">
        <f t="shared" si="17"/>
        <v>0</v>
      </c>
      <c r="BD12" s="56">
        <f>Participantes!AM11</f>
        <v>3</v>
      </c>
      <c r="BE12" s="56">
        <f>Participantes!AN11</f>
        <v>1</v>
      </c>
      <c r="BF12" s="58">
        <f t="shared" si="18"/>
        <v>1</v>
      </c>
      <c r="BG12" s="56">
        <f>Participantes!AO11</f>
        <v>2</v>
      </c>
      <c r="BH12" s="56">
        <f>Participantes!AP11</f>
        <v>1</v>
      </c>
      <c r="BI12" s="58">
        <f t="shared" si="19"/>
        <v>1</v>
      </c>
      <c r="BJ12" s="56">
        <f>Participantes!AQ11</f>
        <v>0</v>
      </c>
      <c r="BK12" s="56">
        <f>Participantes!AR11</f>
        <v>1</v>
      </c>
      <c r="BL12" s="58">
        <f t="shared" si="20"/>
        <v>0</v>
      </c>
      <c r="BM12" s="56">
        <f>Participantes!AS11</f>
        <v>3</v>
      </c>
      <c r="BN12" s="56">
        <f>Participantes!AT11</f>
        <v>1</v>
      </c>
      <c r="BO12" s="58">
        <f t="shared" si="21"/>
        <v>1</v>
      </c>
      <c r="BP12" s="56">
        <f>Participantes!AU11</f>
        <v>2</v>
      </c>
      <c r="BQ12" s="56">
        <f>Participantes!AV11</f>
        <v>1</v>
      </c>
      <c r="BR12" s="58">
        <f t="shared" si="22"/>
        <v>0</v>
      </c>
      <c r="BS12" s="56">
        <f>Participantes!AW11</f>
        <v>1</v>
      </c>
      <c r="BT12" s="56">
        <f>Participantes!AX11</f>
        <v>3</v>
      </c>
      <c r="BU12" s="58">
        <f t="shared" si="23"/>
        <v>3</v>
      </c>
      <c r="BV12" s="56">
        <f>Participantes!AY11</f>
        <v>1</v>
      </c>
      <c r="BW12" s="56">
        <f>Participantes!AZ11</f>
        <v>2</v>
      </c>
      <c r="BX12" s="58">
        <f t="shared" si="24"/>
        <v>0</v>
      </c>
      <c r="BY12" s="56">
        <f>Participantes!BA11</f>
        <v>1</v>
      </c>
      <c r="BZ12" s="56">
        <f>Participantes!BB11</f>
        <v>0</v>
      </c>
      <c r="CA12" s="58">
        <f t="shared" si="25"/>
        <v>1</v>
      </c>
      <c r="CB12" s="56">
        <f>Participantes!BC11</f>
        <v>1</v>
      </c>
      <c r="CC12" s="56">
        <f>Participantes!BD11</f>
        <v>1</v>
      </c>
      <c r="CD12" s="58">
        <f t="shared" si="26"/>
        <v>0</v>
      </c>
      <c r="CE12" s="56">
        <f>Participantes!BE11</f>
        <v>1</v>
      </c>
      <c r="CF12" s="56">
        <f>Participantes!BF11</f>
        <v>1</v>
      </c>
      <c r="CG12" s="58">
        <f t="shared" si="27"/>
        <v>0</v>
      </c>
      <c r="CH12" s="56">
        <f>Participantes!BG11</f>
        <v>2</v>
      </c>
      <c r="CI12" s="56">
        <f>Participantes!BH11</f>
        <v>1</v>
      </c>
      <c r="CJ12" s="58">
        <f t="shared" si="28"/>
        <v>1</v>
      </c>
      <c r="CK12" s="56">
        <f>Participantes!BI11</f>
        <v>1</v>
      </c>
      <c r="CL12" s="56">
        <f>Participantes!BJ11</f>
        <v>1</v>
      </c>
      <c r="CM12" s="58">
        <f t="shared" si="29"/>
        <v>0</v>
      </c>
      <c r="CN12" s="56">
        <f>Participantes!BK11</f>
        <v>0</v>
      </c>
      <c r="CO12" s="56">
        <f>Participantes!BL11</f>
        <v>0</v>
      </c>
      <c r="CP12" s="58">
        <f t="shared" si="30"/>
        <v>0</v>
      </c>
      <c r="CQ12" s="56">
        <f>Participantes!BM11</f>
        <v>1</v>
      </c>
      <c r="CR12" s="56">
        <f>Participantes!BN11</f>
        <v>1</v>
      </c>
      <c r="CS12" s="58">
        <f t="shared" si="31"/>
        <v>0</v>
      </c>
      <c r="CT12" s="56">
        <f>Participantes!BO11</f>
        <v>3</v>
      </c>
      <c r="CU12" s="56">
        <f>Participantes!BP11</f>
        <v>1</v>
      </c>
      <c r="CV12" s="58">
        <f t="shared" si="32"/>
        <v>1</v>
      </c>
      <c r="CW12" s="56">
        <f>Participantes!BQ11</f>
        <v>1</v>
      </c>
      <c r="CX12" s="56">
        <f>Participantes!BR11</f>
        <v>0</v>
      </c>
      <c r="CY12" s="58">
        <f t="shared" si="33"/>
        <v>0</v>
      </c>
      <c r="CZ12" s="56">
        <f>Participantes!BS11</f>
        <v>2</v>
      </c>
      <c r="DA12" s="56">
        <f>Participantes!BT11</f>
        <v>1</v>
      </c>
      <c r="DB12" s="58">
        <f t="shared" si="34"/>
        <v>1</v>
      </c>
      <c r="DC12" s="56">
        <f>Participantes!BU11</f>
        <v>0</v>
      </c>
      <c r="DD12" s="56">
        <f>Participantes!BV11</f>
        <v>1</v>
      </c>
      <c r="DE12" s="58">
        <f t="shared" si="35"/>
        <v>1</v>
      </c>
      <c r="DF12" s="56">
        <f>Participantes!BW11</f>
        <v>1</v>
      </c>
      <c r="DG12" s="56">
        <f>Participantes!BX11</f>
        <v>0</v>
      </c>
      <c r="DH12" s="58">
        <f t="shared" si="36"/>
        <v>0</v>
      </c>
      <c r="DI12" s="56">
        <f>Participantes!BY11</f>
        <v>2</v>
      </c>
      <c r="DJ12" s="56">
        <f>Participantes!BZ11</f>
        <v>2</v>
      </c>
      <c r="DK12" s="58">
        <f t="shared" si="37"/>
        <v>0</v>
      </c>
      <c r="DL12" s="56">
        <f>Participantes!CA11</f>
        <v>1</v>
      </c>
      <c r="DM12" s="56">
        <f>Participantes!CB11</f>
        <v>1</v>
      </c>
      <c r="DN12" s="58">
        <f t="shared" si="38"/>
        <v>1</v>
      </c>
      <c r="DO12" s="56">
        <f>Participantes!CC11</f>
        <v>0</v>
      </c>
      <c r="DP12" s="56">
        <f>Participantes!CD11</f>
        <v>1</v>
      </c>
      <c r="DQ12" s="58">
        <f t="shared" si="39"/>
        <v>1</v>
      </c>
      <c r="DR12" s="56">
        <f>Participantes!CE11</f>
        <v>0</v>
      </c>
      <c r="DS12" s="56">
        <f>Participantes!CF11</f>
        <v>1</v>
      </c>
      <c r="DT12" s="58">
        <f t="shared" si="40"/>
        <v>0</v>
      </c>
      <c r="DU12" s="56">
        <f>Participantes!CG11</f>
        <v>2</v>
      </c>
      <c r="DV12" s="56">
        <f>Participantes!CH11</f>
        <v>0</v>
      </c>
      <c r="DW12" s="58">
        <f t="shared" si="41"/>
        <v>1</v>
      </c>
      <c r="DX12" s="56">
        <f>Participantes!CI11</f>
        <v>2</v>
      </c>
      <c r="DY12" s="56">
        <f>Participantes!CJ11</f>
        <v>0</v>
      </c>
      <c r="DZ12" s="58">
        <f t="shared" si="42"/>
        <v>3</v>
      </c>
      <c r="EA12" s="56">
        <f>Participantes!CK11</f>
        <v>0</v>
      </c>
      <c r="EB12" s="56">
        <f>Participantes!CL11</f>
        <v>1</v>
      </c>
      <c r="EC12" s="58">
        <f t="shared" si="43"/>
        <v>1</v>
      </c>
      <c r="ED12" s="56">
        <f>Participantes!CM11</f>
        <v>3</v>
      </c>
      <c r="EE12" s="56">
        <f>Participantes!CN11</f>
        <v>1</v>
      </c>
      <c r="EF12" s="58">
        <f t="shared" si="44"/>
        <v>0</v>
      </c>
      <c r="EG12" s="56">
        <f>Participantes!CO11</f>
        <v>1</v>
      </c>
      <c r="EH12" s="56">
        <f>Participantes!CP11</f>
        <v>1</v>
      </c>
      <c r="EI12" s="58">
        <f t="shared" si="45"/>
        <v>0</v>
      </c>
      <c r="EJ12" s="56">
        <f>Participantes!CQ11</f>
        <v>2</v>
      </c>
      <c r="EK12" s="56">
        <f>Participantes!CR11</f>
        <v>1</v>
      </c>
      <c r="EL12" s="58">
        <f t="shared" si="46"/>
        <v>1</v>
      </c>
      <c r="EM12" s="56">
        <f>Participantes!CS11</f>
        <v>3</v>
      </c>
      <c r="EN12" s="56">
        <f>Participantes!CT11</f>
        <v>1</v>
      </c>
      <c r="EO12" s="58">
        <f t="shared" si="47"/>
        <v>1</v>
      </c>
      <c r="EP12" s="56">
        <f>Participantes!CU11</f>
        <v>0</v>
      </c>
      <c r="EQ12" s="56">
        <f>Participantes!CV11</f>
        <v>3</v>
      </c>
      <c r="ER12" s="58">
        <f t="shared" si="48"/>
        <v>3</v>
      </c>
      <c r="ES12" s="56">
        <f>Participantes!CW11</f>
        <v>1</v>
      </c>
      <c r="ET12" s="56">
        <f>Participantes!CX11</f>
        <v>0</v>
      </c>
      <c r="EU12" s="58">
        <f t="shared" si="49"/>
        <v>1</v>
      </c>
      <c r="EV12" s="56">
        <f>Participantes!CY11</f>
        <v>1</v>
      </c>
      <c r="EW12" s="56">
        <f>Participantes!CZ11</f>
        <v>2</v>
      </c>
      <c r="EX12" s="58">
        <f t="shared" si="50"/>
        <v>0</v>
      </c>
      <c r="EY12" s="56">
        <f>Participantes!DA11</f>
        <v>0</v>
      </c>
      <c r="EZ12" s="56">
        <f>Participantes!DB11</f>
        <v>0</v>
      </c>
      <c r="FA12" s="58">
        <f t="shared" si="51"/>
        <v>0</v>
      </c>
      <c r="FB12" s="56">
        <f>Participantes!DC11</f>
        <v>1</v>
      </c>
      <c r="FC12" s="56">
        <f>Participantes!DD11</f>
        <v>2</v>
      </c>
      <c r="FD12" s="58">
        <f t="shared" si="52"/>
        <v>1</v>
      </c>
      <c r="FE12" s="56">
        <f>Participantes!DE11</f>
        <v>2</v>
      </c>
      <c r="FF12" s="56">
        <f>Participantes!DF11</f>
        <v>1</v>
      </c>
      <c r="FG12" s="58">
        <f t="shared" si="53"/>
        <v>1</v>
      </c>
      <c r="FH12" s="56">
        <f>Participantes!DG11</f>
        <v>0</v>
      </c>
      <c r="FI12" s="56">
        <f>Participantes!DH11</f>
        <v>1</v>
      </c>
      <c r="FJ12" s="58">
        <f t="shared" si="54"/>
        <v>1</v>
      </c>
      <c r="FK12" s="56">
        <f>Participantes!DI11</f>
        <v>1</v>
      </c>
      <c r="FL12" s="56">
        <f>Participantes!DJ11</f>
        <v>2</v>
      </c>
      <c r="FM12" s="58">
        <f t="shared" si="55"/>
        <v>0</v>
      </c>
      <c r="FN12" s="56">
        <f>Participantes!DK11</f>
        <v>0</v>
      </c>
      <c r="FO12" s="56">
        <f>Participantes!DL11</f>
        <v>1</v>
      </c>
      <c r="FP12" s="58">
        <f t="shared" si="56"/>
        <v>0</v>
      </c>
      <c r="FQ12" s="56">
        <f>Participantes!DM11</f>
        <v>1</v>
      </c>
      <c r="FR12" s="56">
        <f>Participantes!DN11</f>
        <v>2</v>
      </c>
      <c r="FS12" s="58">
        <f t="shared" si="57"/>
        <v>1</v>
      </c>
      <c r="FT12" s="56">
        <f>Participantes!DO11</f>
        <v>1</v>
      </c>
      <c r="FU12" s="56">
        <f>Participantes!DP11</f>
        <v>1</v>
      </c>
      <c r="FV12" s="58">
        <f t="shared" si="58"/>
        <v>0</v>
      </c>
      <c r="FW12" s="56">
        <f>Participantes!DQ11</f>
        <v>0</v>
      </c>
      <c r="FX12" s="56">
        <f>Participantes!DR11</f>
        <v>0</v>
      </c>
      <c r="FY12" s="58">
        <f t="shared" si="59"/>
        <v>3</v>
      </c>
      <c r="FZ12" s="56">
        <f>Participantes!DS11</f>
        <v>1</v>
      </c>
      <c r="GA12" s="56">
        <f>Participantes!DT11</f>
        <v>2</v>
      </c>
      <c r="GB12" s="58">
        <f t="shared" si="60"/>
        <v>1</v>
      </c>
      <c r="GC12" s="56">
        <f>Participantes!DU11</f>
        <v>1</v>
      </c>
      <c r="GD12" s="56">
        <f>Participantes!DV11</f>
        <v>1</v>
      </c>
      <c r="GE12" s="58">
        <f t="shared" si="61"/>
        <v>0</v>
      </c>
      <c r="GF12" s="56">
        <f>Participantes!DW11</f>
        <v>1</v>
      </c>
      <c r="GG12" s="56">
        <f>Participantes!DX11</f>
        <v>1</v>
      </c>
      <c r="GH12" s="58">
        <f t="shared" si="62"/>
        <v>3</v>
      </c>
      <c r="GI12" s="56">
        <f>Participantes!DY11</f>
        <v>0</v>
      </c>
      <c r="GJ12" s="56">
        <f>Participantes!DZ11</f>
        <v>1</v>
      </c>
      <c r="GK12" s="58">
        <f t="shared" si="63"/>
        <v>1</v>
      </c>
      <c r="GL12" s="56">
        <f>Participantes!EA11</f>
        <v>0</v>
      </c>
      <c r="GM12" s="56">
        <f>Participantes!EB11</f>
        <v>3</v>
      </c>
      <c r="GN12" s="58">
        <f t="shared" si="64"/>
        <v>0</v>
      </c>
      <c r="GO12" s="56">
        <f>Participantes!EC11</f>
        <v>1</v>
      </c>
      <c r="GP12" s="56">
        <f>Participantes!ED11</f>
        <v>1</v>
      </c>
      <c r="GQ12" s="58">
        <f t="shared" si="65"/>
        <v>0</v>
      </c>
      <c r="GR12" s="56">
        <f>Participantes!EE11</f>
        <v>0</v>
      </c>
      <c r="GS12" s="56">
        <f>Participantes!EF11</f>
        <v>1</v>
      </c>
      <c r="GT12" s="58" t="str">
        <f t="shared" si="66"/>
        <v/>
      </c>
      <c r="GU12" s="56">
        <f>Participantes!EG11</f>
        <v>1</v>
      </c>
      <c r="GV12" s="56">
        <f>Participantes!EH11</f>
        <v>1</v>
      </c>
      <c r="GW12" s="58" t="str">
        <f t="shared" si="67"/>
        <v/>
      </c>
      <c r="GX12" s="56">
        <f>Participantes!EI11</f>
        <v>0</v>
      </c>
      <c r="GY12" s="56">
        <f>Participantes!EJ11</f>
        <v>0</v>
      </c>
      <c r="GZ12" s="58" t="str">
        <f t="shared" si="68"/>
        <v/>
      </c>
      <c r="HA12" s="56">
        <f>Participantes!EK11</f>
        <v>0</v>
      </c>
      <c r="HB12" s="56">
        <f>Participantes!EL11</f>
        <v>3</v>
      </c>
      <c r="HC12" s="58" t="str">
        <f t="shared" si="69"/>
        <v/>
      </c>
      <c r="HD12" s="56">
        <f>Participantes!EM11</f>
        <v>1</v>
      </c>
      <c r="HE12" s="56">
        <f>Participantes!EN11</f>
        <v>1</v>
      </c>
      <c r="HF12" s="58" t="str">
        <f t="shared" si="70"/>
        <v/>
      </c>
      <c r="HG12" s="56">
        <f>Participantes!EO11</f>
        <v>0</v>
      </c>
      <c r="HH12" s="56">
        <f>Participantes!EP11</f>
        <v>0</v>
      </c>
      <c r="HI12" s="58" t="str">
        <f t="shared" si="71"/>
        <v/>
      </c>
      <c r="HJ12" s="59">
        <f t="shared" si="72"/>
        <v>48</v>
      </c>
    </row>
    <row r="13" spans="1:218" ht="15" customHeight="1" x14ac:dyDescent="0.25">
      <c r="A13" s="57" t="str">
        <f>Participantes!B12</f>
        <v>Edward</v>
      </c>
      <c r="B13" s="56">
        <f>Participantes!C12</f>
        <v>2</v>
      </c>
      <c r="C13" s="56">
        <f>Participantes!D12</f>
        <v>0</v>
      </c>
      <c r="D13" s="58">
        <f t="shared" si="0"/>
        <v>3</v>
      </c>
      <c r="E13" s="56">
        <f>Participantes!E12</f>
        <v>2</v>
      </c>
      <c r="F13" s="56">
        <f>Participantes!F12</f>
        <v>1</v>
      </c>
      <c r="G13" s="58">
        <f t="shared" si="1"/>
        <v>3</v>
      </c>
      <c r="H13" s="56">
        <f>Participantes!G12</f>
        <v>2</v>
      </c>
      <c r="I13" s="56">
        <f>Participantes!H12</f>
        <v>1</v>
      </c>
      <c r="J13" s="58">
        <f t="shared" si="2"/>
        <v>0</v>
      </c>
      <c r="K13" s="56">
        <f>Participantes!I12</f>
        <v>2</v>
      </c>
      <c r="L13" s="56">
        <f>Participantes!J12</f>
        <v>1</v>
      </c>
      <c r="M13" s="58">
        <f t="shared" si="3"/>
        <v>1</v>
      </c>
      <c r="N13" s="56">
        <f>Participantes!K12</f>
        <v>0</v>
      </c>
      <c r="O13" s="56">
        <f>Participantes!L12</f>
        <v>2</v>
      </c>
      <c r="P13" s="58">
        <f t="shared" si="4"/>
        <v>1</v>
      </c>
      <c r="Q13" s="56">
        <f>Participantes!M12</f>
        <v>0</v>
      </c>
      <c r="R13" s="56">
        <f>Participantes!N12</f>
        <v>1</v>
      </c>
      <c r="S13" s="58">
        <f t="shared" si="5"/>
        <v>0</v>
      </c>
      <c r="T13" s="56">
        <f>Participantes!O12</f>
        <v>2</v>
      </c>
      <c r="U13" s="56">
        <f>Participantes!P12</f>
        <v>1</v>
      </c>
      <c r="V13" s="58">
        <f t="shared" si="6"/>
        <v>0</v>
      </c>
      <c r="W13" s="56">
        <f>Participantes!Q12</f>
        <v>0</v>
      </c>
      <c r="X13" s="56">
        <f>Participantes!R12</f>
        <v>2</v>
      </c>
      <c r="Y13" s="58">
        <f t="shared" si="7"/>
        <v>0</v>
      </c>
      <c r="Z13" s="56">
        <f>Participantes!S12</f>
        <v>1</v>
      </c>
      <c r="AA13" s="56">
        <f>Participantes!T12</f>
        <v>1</v>
      </c>
      <c r="AB13" s="58">
        <f t="shared" si="8"/>
        <v>0</v>
      </c>
      <c r="AC13" s="56">
        <f>Participantes!U12</f>
        <v>3</v>
      </c>
      <c r="AD13" s="56">
        <f>Participantes!V12</f>
        <v>0</v>
      </c>
      <c r="AE13" s="58">
        <f t="shared" si="9"/>
        <v>1</v>
      </c>
      <c r="AF13" s="56">
        <f>Participantes!W12</f>
        <v>2</v>
      </c>
      <c r="AG13" s="56">
        <f>Participantes!X12</f>
        <v>1</v>
      </c>
      <c r="AH13" s="58">
        <f t="shared" si="10"/>
        <v>0</v>
      </c>
      <c r="AI13" s="56">
        <f>Participantes!Y12</f>
        <v>2</v>
      </c>
      <c r="AJ13" s="56">
        <f>Participantes!Z12</f>
        <v>0</v>
      </c>
      <c r="AK13" s="58">
        <f t="shared" si="11"/>
        <v>1</v>
      </c>
      <c r="AL13" s="56">
        <f>Participantes!AA12</f>
        <v>1</v>
      </c>
      <c r="AM13" s="56">
        <f>Participantes!AB12</f>
        <v>2</v>
      </c>
      <c r="AN13" s="58">
        <f t="shared" si="12"/>
        <v>0</v>
      </c>
      <c r="AO13" s="56">
        <f>Participantes!AC12</f>
        <v>4</v>
      </c>
      <c r="AP13" s="56">
        <f>Participantes!AD12</f>
        <v>0</v>
      </c>
      <c r="AQ13" s="58">
        <f t="shared" si="13"/>
        <v>0</v>
      </c>
      <c r="AR13" s="56">
        <f>Participantes!AE12</f>
        <v>1</v>
      </c>
      <c r="AS13" s="56">
        <f>Participantes!AF12</f>
        <v>0</v>
      </c>
      <c r="AT13" s="58">
        <f t="shared" si="14"/>
        <v>0</v>
      </c>
      <c r="AU13" s="56">
        <f>Participantes!AG12</f>
        <v>2</v>
      </c>
      <c r="AV13" s="56">
        <f>Participantes!AH12</f>
        <v>1</v>
      </c>
      <c r="AW13" s="58">
        <f t="shared" si="15"/>
        <v>0</v>
      </c>
      <c r="AX13" s="56">
        <f>Participantes!AI12</f>
        <v>2</v>
      </c>
      <c r="AY13" s="56">
        <f>Participantes!AJ12</f>
        <v>1</v>
      </c>
      <c r="AZ13" s="58">
        <f t="shared" si="16"/>
        <v>1</v>
      </c>
      <c r="BA13" s="56">
        <f>Participantes!AK12</f>
        <v>0</v>
      </c>
      <c r="BB13" s="56">
        <f>Participantes!AL12</f>
        <v>2</v>
      </c>
      <c r="BC13" s="58">
        <f t="shared" si="17"/>
        <v>1</v>
      </c>
      <c r="BD13" s="56">
        <f>Participantes!AM12</f>
        <v>2</v>
      </c>
      <c r="BE13" s="56">
        <f>Participantes!AN12</f>
        <v>0</v>
      </c>
      <c r="BF13" s="58">
        <f t="shared" si="18"/>
        <v>1</v>
      </c>
      <c r="BG13" s="56">
        <f>Participantes!AO12</f>
        <v>2</v>
      </c>
      <c r="BH13" s="56">
        <f>Participantes!AP12</f>
        <v>0</v>
      </c>
      <c r="BI13" s="58">
        <f t="shared" si="19"/>
        <v>1</v>
      </c>
      <c r="BJ13" s="56">
        <f>Participantes!AQ12</f>
        <v>1</v>
      </c>
      <c r="BK13" s="56">
        <f>Participantes!AR12</f>
        <v>2</v>
      </c>
      <c r="BL13" s="58">
        <f t="shared" si="20"/>
        <v>0</v>
      </c>
      <c r="BM13" s="56">
        <f>Participantes!AS12</f>
        <v>2</v>
      </c>
      <c r="BN13" s="56">
        <f>Participantes!AT12</f>
        <v>1</v>
      </c>
      <c r="BO13" s="58">
        <f t="shared" si="21"/>
        <v>1</v>
      </c>
      <c r="BP13" s="56">
        <f>Participantes!AU12</f>
        <v>2</v>
      </c>
      <c r="BQ13" s="56">
        <f>Participantes!AV12</f>
        <v>1</v>
      </c>
      <c r="BR13" s="58">
        <f t="shared" si="22"/>
        <v>0</v>
      </c>
      <c r="BS13" s="56">
        <f>Participantes!AW12</f>
        <v>1</v>
      </c>
      <c r="BT13" s="56">
        <f>Participantes!AX12</f>
        <v>2</v>
      </c>
      <c r="BU13" s="58">
        <f t="shared" si="23"/>
        <v>1</v>
      </c>
      <c r="BV13" s="56">
        <f>Participantes!AY12</f>
        <v>2</v>
      </c>
      <c r="BW13" s="56">
        <f>Participantes!AZ12</f>
        <v>0</v>
      </c>
      <c r="BX13" s="58">
        <f t="shared" si="24"/>
        <v>0</v>
      </c>
      <c r="BY13" s="56">
        <f>Participantes!BA12</f>
        <v>2</v>
      </c>
      <c r="BZ13" s="56">
        <f>Participantes!BB12</f>
        <v>1</v>
      </c>
      <c r="CA13" s="58">
        <f t="shared" si="25"/>
        <v>1</v>
      </c>
      <c r="CB13" s="56">
        <f>Participantes!BC12</f>
        <v>2</v>
      </c>
      <c r="CC13" s="56">
        <f>Participantes!BD12</f>
        <v>0</v>
      </c>
      <c r="CD13" s="58">
        <f t="shared" si="26"/>
        <v>1</v>
      </c>
      <c r="CE13" s="56">
        <f>Participantes!BE12</f>
        <v>1</v>
      </c>
      <c r="CF13" s="56">
        <f>Participantes!BF12</f>
        <v>1</v>
      </c>
      <c r="CG13" s="58">
        <f t="shared" si="27"/>
        <v>0</v>
      </c>
      <c r="CH13" s="56">
        <f>Participantes!BG12</f>
        <v>3</v>
      </c>
      <c r="CI13" s="56">
        <f>Participantes!BH12</f>
        <v>0</v>
      </c>
      <c r="CJ13" s="58">
        <f t="shared" si="28"/>
        <v>3</v>
      </c>
      <c r="CK13" s="56">
        <f>Participantes!BI12</f>
        <v>0</v>
      </c>
      <c r="CL13" s="56">
        <f>Participantes!BJ12</f>
        <v>2</v>
      </c>
      <c r="CM13" s="58">
        <f t="shared" si="29"/>
        <v>1</v>
      </c>
      <c r="CN13" s="56">
        <f>Participantes!BK12</f>
        <v>1</v>
      </c>
      <c r="CO13" s="56">
        <f>Participantes!BL12</f>
        <v>1</v>
      </c>
      <c r="CP13" s="58">
        <f t="shared" si="30"/>
        <v>0</v>
      </c>
      <c r="CQ13" s="56">
        <f>Participantes!BM12</f>
        <v>2</v>
      </c>
      <c r="CR13" s="56">
        <f>Participantes!BN12</f>
        <v>0</v>
      </c>
      <c r="CS13" s="58">
        <f t="shared" si="31"/>
        <v>3</v>
      </c>
      <c r="CT13" s="56">
        <f>Participantes!BO12</f>
        <v>2</v>
      </c>
      <c r="CU13" s="56">
        <f>Participantes!BP12</f>
        <v>0</v>
      </c>
      <c r="CV13" s="58">
        <f t="shared" si="32"/>
        <v>1</v>
      </c>
      <c r="CW13" s="56">
        <f>Participantes!BQ12</f>
        <v>2</v>
      </c>
      <c r="CX13" s="56">
        <f>Participantes!BR12</f>
        <v>0</v>
      </c>
      <c r="CY13" s="58">
        <f t="shared" si="33"/>
        <v>0</v>
      </c>
      <c r="CZ13" s="56">
        <f>Participantes!BS12</f>
        <v>1</v>
      </c>
      <c r="DA13" s="56">
        <f>Participantes!BT12</f>
        <v>1</v>
      </c>
      <c r="DB13" s="58">
        <f t="shared" si="34"/>
        <v>0</v>
      </c>
      <c r="DC13" s="56">
        <f>Participantes!BU12</f>
        <v>0</v>
      </c>
      <c r="DD13" s="56">
        <f>Participantes!BV12</f>
        <v>2</v>
      </c>
      <c r="DE13" s="58">
        <f t="shared" si="35"/>
        <v>1</v>
      </c>
      <c r="DF13" s="56">
        <f>Participantes!BW12</f>
        <v>3</v>
      </c>
      <c r="DG13" s="56">
        <f>Participantes!BX12</f>
        <v>0</v>
      </c>
      <c r="DH13" s="58">
        <f t="shared" si="36"/>
        <v>0</v>
      </c>
      <c r="DI13" s="56">
        <f>Participantes!BY12</f>
        <v>3</v>
      </c>
      <c r="DJ13" s="56">
        <f>Participantes!BZ12</f>
        <v>0</v>
      </c>
      <c r="DK13" s="58">
        <f t="shared" si="37"/>
        <v>1</v>
      </c>
      <c r="DL13" s="56">
        <f>Participantes!CA12</f>
        <v>1</v>
      </c>
      <c r="DM13" s="56">
        <f>Participantes!CB12</f>
        <v>1</v>
      </c>
      <c r="DN13" s="58">
        <f t="shared" si="38"/>
        <v>1</v>
      </c>
      <c r="DO13" s="56">
        <f>Participantes!CC12</f>
        <v>0</v>
      </c>
      <c r="DP13" s="56">
        <f>Participantes!CD12</f>
        <v>2</v>
      </c>
      <c r="DQ13" s="58">
        <f t="shared" si="39"/>
        <v>1</v>
      </c>
      <c r="DR13" s="56">
        <f>Participantes!CE12</f>
        <v>1</v>
      </c>
      <c r="DS13" s="56">
        <f>Participantes!CF12</f>
        <v>1</v>
      </c>
      <c r="DT13" s="58">
        <f t="shared" si="40"/>
        <v>0</v>
      </c>
      <c r="DU13" s="56">
        <f>Participantes!CG12</f>
        <v>3</v>
      </c>
      <c r="DV13" s="56">
        <f>Participantes!CH12</f>
        <v>0</v>
      </c>
      <c r="DW13" s="58">
        <f t="shared" si="41"/>
        <v>3</v>
      </c>
      <c r="DX13" s="56">
        <f>Participantes!CI12</f>
        <v>2</v>
      </c>
      <c r="DY13" s="56">
        <f>Participantes!CJ12</f>
        <v>1</v>
      </c>
      <c r="DZ13" s="58">
        <f t="shared" si="42"/>
        <v>1</v>
      </c>
      <c r="EA13" s="56">
        <f>Participantes!CK12</f>
        <v>0</v>
      </c>
      <c r="EB13" s="56">
        <f>Participantes!CL12</f>
        <v>2</v>
      </c>
      <c r="EC13" s="58">
        <f t="shared" si="43"/>
        <v>1</v>
      </c>
      <c r="ED13" s="56">
        <f>Participantes!CM12</f>
        <v>3</v>
      </c>
      <c r="EE13" s="56">
        <f>Participantes!CN12</f>
        <v>1</v>
      </c>
      <c r="EF13" s="58">
        <f t="shared" si="44"/>
        <v>0</v>
      </c>
      <c r="EG13" s="56">
        <f>Participantes!CO12</f>
        <v>0</v>
      </c>
      <c r="EH13" s="56">
        <f>Participantes!CP12</f>
        <v>2</v>
      </c>
      <c r="EI13" s="58">
        <f t="shared" si="45"/>
        <v>1</v>
      </c>
      <c r="EJ13" s="56">
        <f>Participantes!CQ12</f>
        <v>3</v>
      </c>
      <c r="EK13" s="56">
        <f>Participantes!CR12</f>
        <v>0</v>
      </c>
      <c r="EL13" s="58">
        <f t="shared" si="46"/>
        <v>1</v>
      </c>
      <c r="EM13" s="56">
        <f>Participantes!CS12</f>
        <v>2</v>
      </c>
      <c r="EN13" s="56">
        <f>Participantes!CT12</f>
        <v>0</v>
      </c>
      <c r="EO13" s="58">
        <f t="shared" si="47"/>
        <v>1</v>
      </c>
      <c r="EP13" s="56">
        <f>Participantes!CU12</f>
        <v>0</v>
      </c>
      <c r="EQ13" s="56">
        <f>Participantes!CV12</f>
        <v>2</v>
      </c>
      <c r="ER13" s="58">
        <f t="shared" si="48"/>
        <v>1</v>
      </c>
      <c r="ES13" s="56">
        <f>Participantes!CW12</f>
        <v>2</v>
      </c>
      <c r="ET13" s="56">
        <f>Participantes!CX12</f>
        <v>0</v>
      </c>
      <c r="EU13" s="58">
        <f t="shared" si="49"/>
        <v>1</v>
      </c>
      <c r="EV13" s="56">
        <f>Participantes!CY12</f>
        <v>1</v>
      </c>
      <c r="EW13" s="56">
        <f>Participantes!CZ12</f>
        <v>1</v>
      </c>
      <c r="EX13" s="58">
        <f t="shared" si="50"/>
        <v>0</v>
      </c>
      <c r="EY13" s="56">
        <f>Participantes!DA12</f>
        <v>2</v>
      </c>
      <c r="EZ13" s="56">
        <f>Participantes!DB12</f>
        <v>1</v>
      </c>
      <c r="FA13" s="58">
        <f t="shared" si="51"/>
        <v>1</v>
      </c>
      <c r="FB13" s="56">
        <f>Participantes!DC12</f>
        <v>1</v>
      </c>
      <c r="FC13" s="56">
        <f>Participantes!DD12</f>
        <v>2</v>
      </c>
      <c r="FD13" s="58">
        <f t="shared" si="52"/>
        <v>1</v>
      </c>
      <c r="FE13" s="56">
        <f>Participantes!DE12</f>
        <v>1</v>
      </c>
      <c r="FF13" s="56">
        <f>Participantes!DF12</f>
        <v>2</v>
      </c>
      <c r="FG13" s="58">
        <f t="shared" si="53"/>
        <v>0</v>
      </c>
      <c r="FH13" s="56">
        <f>Participantes!DG12</f>
        <v>0</v>
      </c>
      <c r="FI13" s="56">
        <f>Participantes!DH12</f>
        <v>2</v>
      </c>
      <c r="FJ13" s="58">
        <f t="shared" si="54"/>
        <v>3</v>
      </c>
      <c r="FK13" s="56">
        <f>Participantes!DI12</f>
        <v>1</v>
      </c>
      <c r="FL13" s="56">
        <f>Participantes!DJ12</f>
        <v>2</v>
      </c>
      <c r="FM13" s="58">
        <f t="shared" si="55"/>
        <v>0</v>
      </c>
      <c r="FN13" s="56">
        <f>Participantes!DK12</f>
        <v>1</v>
      </c>
      <c r="FO13" s="56">
        <f>Participantes!DL12</f>
        <v>1</v>
      </c>
      <c r="FP13" s="58">
        <f t="shared" si="56"/>
        <v>3</v>
      </c>
      <c r="FQ13" s="56">
        <f>Participantes!DM12</f>
        <v>0</v>
      </c>
      <c r="FR13" s="56">
        <f>Participantes!DN12</f>
        <v>2</v>
      </c>
      <c r="FS13" s="58">
        <f t="shared" si="57"/>
        <v>1</v>
      </c>
      <c r="FT13" s="56">
        <f>Participantes!DO12</f>
        <v>2</v>
      </c>
      <c r="FU13" s="56">
        <f>Participantes!DP12</f>
        <v>0</v>
      </c>
      <c r="FV13" s="58">
        <f t="shared" si="58"/>
        <v>1</v>
      </c>
      <c r="FW13" s="56">
        <f>Participantes!DQ12</f>
        <v>2</v>
      </c>
      <c r="FX13" s="56">
        <f>Participantes!DR12</f>
        <v>0</v>
      </c>
      <c r="FY13" s="58">
        <f t="shared" si="59"/>
        <v>0</v>
      </c>
      <c r="FZ13" s="56">
        <f>Participantes!DS12</f>
        <v>2</v>
      </c>
      <c r="GA13" s="56">
        <f>Participantes!DT12</f>
        <v>1</v>
      </c>
      <c r="GB13" s="58">
        <f t="shared" si="60"/>
        <v>0</v>
      </c>
      <c r="GC13" s="56">
        <f>Participantes!DU12</f>
        <v>2</v>
      </c>
      <c r="GD13" s="56">
        <f>Participantes!DV12</f>
        <v>0</v>
      </c>
      <c r="GE13" s="58">
        <f t="shared" si="61"/>
        <v>1</v>
      </c>
      <c r="GF13" s="56">
        <f>Participantes!DW12</f>
        <v>1</v>
      </c>
      <c r="GG13" s="56">
        <f>Participantes!DX12</f>
        <v>1</v>
      </c>
      <c r="GH13" s="58">
        <f t="shared" si="62"/>
        <v>3</v>
      </c>
      <c r="GI13" s="56">
        <f>Participantes!DY12</f>
        <v>0</v>
      </c>
      <c r="GJ13" s="56">
        <f>Participantes!DZ12</f>
        <v>2</v>
      </c>
      <c r="GK13" s="58">
        <f t="shared" si="63"/>
        <v>1</v>
      </c>
      <c r="GL13" s="56">
        <f>Participantes!EA12</f>
        <v>1</v>
      </c>
      <c r="GM13" s="56">
        <f>Participantes!EB12</f>
        <v>1</v>
      </c>
      <c r="GN13" s="58">
        <f t="shared" si="64"/>
        <v>1</v>
      </c>
      <c r="GO13" s="56">
        <f>Participantes!EC12</f>
        <v>1</v>
      </c>
      <c r="GP13" s="56">
        <f>Participantes!ED12</f>
        <v>2</v>
      </c>
      <c r="GQ13" s="58">
        <f t="shared" si="65"/>
        <v>1</v>
      </c>
      <c r="GR13" s="56">
        <f>Participantes!EE12</f>
        <v>1</v>
      </c>
      <c r="GS13" s="56">
        <f>Participantes!EF12</f>
        <v>3</v>
      </c>
      <c r="GT13" s="58" t="str">
        <f t="shared" si="66"/>
        <v/>
      </c>
      <c r="GU13" s="56">
        <f>Participantes!EG12</f>
        <v>2</v>
      </c>
      <c r="GV13" s="56">
        <f>Participantes!EH12</f>
        <v>1</v>
      </c>
      <c r="GW13" s="58" t="str">
        <f t="shared" si="67"/>
        <v/>
      </c>
      <c r="GX13" s="56">
        <f>Participantes!EI12</f>
        <v>1</v>
      </c>
      <c r="GY13" s="56">
        <f>Participantes!EJ12</f>
        <v>1</v>
      </c>
      <c r="GZ13" s="58" t="str">
        <f t="shared" si="68"/>
        <v/>
      </c>
      <c r="HA13" s="56">
        <f>Participantes!EK12</f>
        <v>0</v>
      </c>
      <c r="HB13" s="56">
        <f>Participantes!EL12</f>
        <v>2</v>
      </c>
      <c r="HC13" s="58" t="str">
        <f t="shared" si="69"/>
        <v/>
      </c>
      <c r="HD13" s="56">
        <f>Participantes!EM12</f>
        <v>1</v>
      </c>
      <c r="HE13" s="56">
        <f>Participantes!EN12</f>
        <v>2</v>
      </c>
      <c r="HF13" s="58" t="str">
        <f t="shared" si="70"/>
        <v/>
      </c>
      <c r="HG13" s="56">
        <f>Participantes!EO12</f>
        <v>1</v>
      </c>
      <c r="HH13" s="56">
        <f>Participantes!EP12</f>
        <v>1</v>
      </c>
      <c r="HI13" s="58" t="str">
        <f t="shared" si="71"/>
        <v/>
      </c>
      <c r="HJ13" s="59">
        <f t="shared" si="72"/>
        <v>57</v>
      </c>
    </row>
    <row r="14" spans="1:218" ht="15" customHeight="1" x14ac:dyDescent="0.25">
      <c r="A14" s="57" t="str">
        <f>Participantes!B13</f>
        <v>Espinosa L.</v>
      </c>
      <c r="B14" s="56">
        <f>Participantes!C13</f>
        <v>2</v>
      </c>
      <c r="C14" s="56">
        <f>Participantes!D13</f>
        <v>1</v>
      </c>
      <c r="D14" s="58">
        <f t="shared" si="0"/>
        <v>1</v>
      </c>
      <c r="E14" s="56">
        <f>Participantes!E13</f>
        <v>1</v>
      </c>
      <c r="F14" s="56">
        <f>Participantes!F13</f>
        <v>0</v>
      </c>
      <c r="G14" s="58">
        <f t="shared" si="1"/>
        <v>1</v>
      </c>
      <c r="H14" s="56">
        <f>Participantes!G13</f>
        <v>3</v>
      </c>
      <c r="I14" s="56">
        <f>Participantes!H13</f>
        <v>0</v>
      </c>
      <c r="J14" s="58">
        <f t="shared" si="2"/>
        <v>0</v>
      </c>
      <c r="K14" s="56">
        <f>Participantes!I13</f>
        <v>2</v>
      </c>
      <c r="L14" s="56">
        <f>Participantes!J13</f>
        <v>1</v>
      </c>
      <c r="M14" s="58">
        <f t="shared" si="3"/>
        <v>1</v>
      </c>
      <c r="N14" s="56">
        <f>Participantes!K13</f>
        <v>3</v>
      </c>
      <c r="O14" s="56">
        <f>Participantes!L13</f>
        <v>1</v>
      </c>
      <c r="P14" s="58">
        <f t="shared" si="4"/>
        <v>0</v>
      </c>
      <c r="Q14" s="56">
        <f>Participantes!M13</f>
        <v>1</v>
      </c>
      <c r="R14" s="56">
        <f>Participantes!N13</f>
        <v>1</v>
      </c>
      <c r="S14" s="58">
        <f t="shared" si="5"/>
        <v>0</v>
      </c>
      <c r="T14" s="56">
        <f>Participantes!O13</f>
        <v>2</v>
      </c>
      <c r="U14" s="56">
        <f>Participantes!P13</f>
        <v>0</v>
      </c>
      <c r="V14" s="58">
        <f t="shared" si="6"/>
        <v>0</v>
      </c>
      <c r="W14" s="56">
        <f>Participantes!Q13</f>
        <v>0</v>
      </c>
      <c r="X14" s="56">
        <f>Participantes!R13</f>
        <v>0</v>
      </c>
      <c r="Y14" s="58">
        <f t="shared" si="7"/>
        <v>1</v>
      </c>
      <c r="Z14" s="56">
        <f>Participantes!S13</f>
        <v>1</v>
      </c>
      <c r="AA14" s="56">
        <f>Participantes!T13</f>
        <v>2</v>
      </c>
      <c r="AB14" s="58">
        <f t="shared" si="8"/>
        <v>0</v>
      </c>
      <c r="AC14" s="56">
        <f>Participantes!U13</f>
        <v>3</v>
      </c>
      <c r="AD14" s="56">
        <f>Participantes!V13</f>
        <v>0</v>
      </c>
      <c r="AE14" s="58">
        <f t="shared" si="9"/>
        <v>1</v>
      </c>
      <c r="AF14" s="56">
        <f>Participantes!W13</f>
        <v>0</v>
      </c>
      <c r="AG14" s="56">
        <f>Participantes!X13</f>
        <v>2</v>
      </c>
      <c r="AH14" s="58">
        <f t="shared" si="10"/>
        <v>0</v>
      </c>
      <c r="AI14" s="56">
        <f>Participantes!Y13</f>
        <v>1</v>
      </c>
      <c r="AJ14" s="56">
        <f>Participantes!Z13</f>
        <v>1</v>
      </c>
      <c r="AK14" s="58">
        <f t="shared" si="11"/>
        <v>0</v>
      </c>
      <c r="AL14" s="56">
        <f>Participantes!AA13</f>
        <v>0</v>
      </c>
      <c r="AM14" s="56">
        <f>Participantes!AB13</f>
        <v>1</v>
      </c>
      <c r="AN14" s="58">
        <f t="shared" si="12"/>
        <v>0</v>
      </c>
      <c r="AO14" s="56">
        <f>Participantes!AC13</f>
        <v>2</v>
      </c>
      <c r="AP14" s="56">
        <f>Participantes!AD13</f>
        <v>0</v>
      </c>
      <c r="AQ14" s="58">
        <f t="shared" si="13"/>
        <v>0</v>
      </c>
      <c r="AR14" s="56">
        <f>Participantes!AE13</f>
        <v>2</v>
      </c>
      <c r="AS14" s="56">
        <f>Participantes!AF13</f>
        <v>0</v>
      </c>
      <c r="AT14" s="58">
        <f t="shared" si="14"/>
        <v>0</v>
      </c>
      <c r="AU14" s="56">
        <f>Participantes!AG13</f>
        <v>1</v>
      </c>
      <c r="AV14" s="56">
        <f>Participantes!AH13</f>
        <v>0</v>
      </c>
      <c r="AW14" s="58">
        <f t="shared" si="15"/>
        <v>0</v>
      </c>
      <c r="AX14" s="56">
        <f>Participantes!AI13</f>
        <v>3</v>
      </c>
      <c r="AY14" s="56">
        <f>Participantes!AJ13</f>
        <v>0</v>
      </c>
      <c r="AZ14" s="58">
        <f t="shared" si="16"/>
        <v>1</v>
      </c>
      <c r="BA14" s="56">
        <f>Participantes!AK13</f>
        <v>1</v>
      </c>
      <c r="BB14" s="56">
        <f>Participantes!AL13</f>
        <v>1</v>
      </c>
      <c r="BC14" s="58">
        <f t="shared" si="17"/>
        <v>0</v>
      </c>
      <c r="BD14" s="56">
        <f>Participantes!AM13</f>
        <v>2</v>
      </c>
      <c r="BE14" s="56">
        <f>Participantes!AN13</f>
        <v>0</v>
      </c>
      <c r="BF14" s="58">
        <f t="shared" si="18"/>
        <v>1</v>
      </c>
      <c r="BG14" s="56">
        <f>Participantes!AO13</f>
        <v>1</v>
      </c>
      <c r="BH14" s="56">
        <f>Participantes!AP13</f>
        <v>1</v>
      </c>
      <c r="BI14" s="58">
        <f t="shared" si="19"/>
        <v>0</v>
      </c>
      <c r="BJ14" s="56">
        <f>Participantes!AQ13</f>
        <v>0</v>
      </c>
      <c r="BK14" s="56">
        <f>Participantes!AR13</f>
        <v>1</v>
      </c>
      <c r="BL14" s="58">
        <f t="shared" si="20"/>
        <v>0</v>
      </c>
      <c r="BM14" s="56">
        <f>Participantes!AS13</f>
        <v>1</v>
      </c>
      <c r="BN14" s="56">
        <f>Participantes!AT13</f>
        <v>0</v>
      </c>
      <c r="BO14" s="58">
        <f t="shared" si="21"/>
        <v>1</v>
      </c>
      <c r="BP14" s="56">
        <f>Participantes!AU13</f>
        <v>2</v>
      </c>
      <c r="BQ14" s="56">
        <f>Participantes!AV13</f>
        <v>0</v>
      </c>
      <c r="BR14" s="58">
        <f t="shared" si="22"/>
        <v>0</v>
      </c>
      <c r="BS14" s="56">
        <f>Participantes!AW13</f>
        <v>1</v>
      </c>
      <c r="BT14" s="56">
        <f>Participantes!AX13</f>
        <v>2</v>
      </c>
      <c r="BU14" s="58">
        <f t="shared" si="23"/>
        <v>1</v>
      </c>
      <c r="BV14" s="56">
        <f>Participantes!AY13</f>
        <v>1</v>
      </c>
      <c r="BW14" s="56">
        <f>Participantes!AZ13</f>
        <v>1</v>
      </c>
      <c r="BX14" s="58">
        <f t="shared" si="24"/>
        <v>3</v>
      </c>
      <c r="BY14" s="56">
        <f>Participantes!BA13</f>
        <v>0</v>
      </c>
      <c r="BZ14" s="56">
        <f>Participantes!BB13</f>
        <v>1</v>
      </c>
      <c r="CA14" s="58">
        <f t="shared" si="25"/>
        <v>0</v>
      </c>
      <c r="CB14" s="56">
        <f>Participantes!BC13</f>
        <v>2</v>
      </c>
      <c r="CC14" s="56">
        <f>Participantes!BD13</f>
        <v>0</v>
      </c>
      <c r="CD14" s="58">
        <f t="shared" si="26"/>
        <v>1</v>
      </c>
      <c r="CE14" s="56">
        <f>Participantes!BE13</f>
        <v>2</v>
      </c>
      <c r="CF14" s="56">
        <f>Participantes!BF13</f>
        <v>0</v>
      </c>
      <c r="CG14" s="58">
        <f t="shared" si="27"/>
        <v>1</v>
      </c>
      <c r="CH14" s="56">
        <f>Participantes!BG13</f>
        <v>4</v>
      </c>
      <c r="CI14" s="56">
        <f>Participantes!BH13</f>
        <v>1</v>
      </c>
      <c r="CJ14" s="58">
        <f t="shared" si="28"/>
        <v>1</v>
      </c>
      <c r="CK14" s="56">
        <f>Participantes!BI13</f>
        <v>0</v>
      </c>
      <c r="CL14" s="56">
        <f>Participantes!BJ13</f>
        <v>2</v>
      </c>
      <c r="CM14" s="58">
        <f t="shared" si="29"/>
        <v>1</v>
      </c>
      <c r="CN14" s="56">
        <f>Participantes!BK13</f>
        <v>1</v>
      </c>
      <c r="CO14" s="56">
        <f>Participantes!BL13</f>
        <v>1</v>
      </c>
      <c r="CP14" s="58">
        <f t="shared" si="30"/>
        <v>0</v>
      </c>
      <c r="CQ14" s="56">
        <f>Participantes!BM13</f>
        <v>0</v>
      </c>
      <c r="CR14" s="56">
        <f>Participantes!BN13</f>
        <v>0</v>
      </c>
      <c r="CS14" s="58">
        <f t="shared" si="31"/>
        <v>0</v>
      </c>
      <c r="CT14" s="56">
        <f>Participantes!BO13</f>
        <v>2</v>
      </c>
      <c r="CU14" s="56">
        <f>Participantes!BP13</f>
        <v>0</v>
      </c>
      <c r="CV14" s="58">
        <f t="shared" si="32"/>
        <v>1</v>
      </c>
      <c r="CW14" s="56">
        <f>Participantes!BQ13</f>
        <v>2</v>
      </c>
      <c r="CX14" s="56">
        <f>Participantes!BR13</f>
        <v>0</v>
      </c>
      <c r="CY14" s="58">
        <f t="shared" si="33"/>
        <v>0</v>
      </c>
      <c r="CZ14" s="56">
        <f>Participantes!BS13</f>
        <v>1</v>
      </c>
      <c r="DA14" s="56">
        <f>Participantes!BT13</f>
        <v>1</v>
      </c>
      <c r="DB14" s="58">
        <f t="shared" si="34"/>
        <v>0</v>
      </c>
      <c r="DC14" s="56">
        <f>Participantes!BU13</f>
        <v>0</v>
      </c>
      <c r="DD14" s="56">
        <f>Participantes!BV13</f>
        <v>3</v>
      </c>
      <c r="DE14" s="58">
        <f t="shared" si="35"/>
        <v>1</v>
      </c>
      <c r="DF14" s="56">
        <f>Participantes!BW13</f>
        <v>1</v>
      </c>
      <c r="DG14" s="56">
        <f>Participantes!BX13</f>
        <v>0</v>
      </c>
      <c r="DH14" s="58">
        <f t="shared" si="36"/>
        <v>0</v>
      </c>
      <c r="DI14" s="56">
        <f>Participantes!BY13</f>
        <v>2</v>
      </c>
      <c r="DJ14" s="56">
        <f>Participantes!BZ13</f>
        <v>0</v>
      </c>
      <c r="DK14" s="58">
        <f t="shared" si="37"/>
        <v>1</v>
      </c>
      <c r="DL14" s="56">
        <f>Participantes!CA13</f>
        <v>1</v>
      </c>
      <c r="DM14" s="56">
        <f>Participantes!CB13</f>
        <v>1</v>
      </c>
      <c r="DN14" s="58">
        <f t="shared" si="38"/>
        <v>1</v>
      </c>
      <c r="DO14" s="56">
        <f>Participantes!CC13</f>
        <v>0</v>
      </c>
      <c r="DP14" s="56">
        <f>Participantes!CD13</f>
        <v>0</v>
      </c>
      <c r="DQ14" s="58">
        <f t="shared" si="39"/>
        <v>0</v>
      </c>
      <c r="DR14" s="56">
        <f>Participantes!CE13</f>
        <v>1</v>
      </c>
      <c r="DS14" s="56">
        <f>Participantes!CF13</f>
        <v>0</v>
      </c>
      <c r="DT14" s="58">
        <f t="shared" si="40"/>
        <v>1</v>
      </c>
      <c r="DU14" s="56">
        <f>Participantes!CG13</f>
        <v>2</v>
      </c>
      <c r="DV14" s="56">
        <f>Participantes!CH13</f>
        <v>0</v>
      </c>
      <c r="DW14" s="58">
        <f t="shared" si="41"/>
        <v>1</v>
      </c>
      <c r="DX14" s="56">
        <f>Participantes!CI13</f>
        <v>1</v>
      </c>
      <c r="DY14" s="56">
        <f>Participantes!CJ13</f>
        <v>0</v>
      </c>
      <c r="DZ14" s="58">
        <f t="shared" si="42"/>
        <v>1</v>
      </c>
      <c r="EA14" s="56">
        <f>Participantes!CK13</f>
        <v>1</v>
      </c>
      <c r="EB14" s="56">
        <f>Participantes!CL13</f>
        <v>1</v>
      </c>
      <c r="EC14" s="58">
        <f t="shared" si="43"/>
        <v>0</v>
      </c>
      <c r="ED14" s="56">
        <f>Participantes!CM13</f>
        <v>2</v>
      </c>
      <c r="EE14" s="56">
        <f>Participantes!CN13</f>
        <v>0</v>
      </c>
      <c r="EF14" s="58">
        <f t="shared" si="44"/>
        <v>0</v>
      </c>
      <c r="EG14" s="56">
        <f>Participantes!CO13</f>
        <v>1</v>
      </c>
      <c r="EH14" s="56">
        <f>Participantes!CP13</f>
        <v>0</v>
      </c>
      <c r="EI14" s="58">
        <f t="shared" si="45"/>
        <v>0</v>
      </c>
      <c r="EJ14" s="56">
        <f>Participantes!CQ13</f>
        <v>3</v>
      </c>
      <c r="EK14" s="56">
        <f>Participantes!CR13</f>
        <v>0</v>
      </c>
      <c r="EL14" s="58">
        <f t="shared" si="46"/>
        <v>1</v>
      </c>
      <c r="EM14" s="56">
        <f>Participantes!CS13</f>
        <v>2</v>
      </c>
      <c r="EN14" s="56">
        <f>Participantes!CT13</f>
        <v>0</v>
      </c>
      <c r="EO14" s="58">
        <f t="shared" si="47"/>
        <v>1</v>
      </c>
      <c r="EP14" s="56">
        <f>Participantes!CU13</f>
        <v>1</v>
      </c>
      <c r="EQ14" s="56">
        <f>Participantes!CV13</f>
        <v>2</v>
      </c>
      <c r="ER14" s="58">
        <f t="shared" si="48"/>
        <v>1</v>
      </c>
      <c r="ES14" s="56">
        <f>Participantes!CW13</f>
        <v>2</v>
      </c>
      <c r="ET14" s="56">
        <f>Participantes!CX13</f>
        <v>1</v>
      </c>
      <c r="EU14" s="58">
        <f t="shared" si="49"/>
        <v>1</v>
      </c>
      <c r="EV14" s="56">
        <f>Participantes!CY13</f>
        <v>0</v>
      </c>
      <c r="EW14" s="56">
        <f>Participantes!CZ13</f>
        <v>1</v>
      </c>
      <c r="EX14" s="58">
        <f t="shared" si="50"/>
        <v>0</v>
      </c>
      <c r="EY14" s="56">
        <f>Participantes!DA13</f>
        <v>1</v>
      </c>
      <c r="EZ14" s="56">
        <f>Participantes!DB13</f>
        <v>0</v>
      </c>
      <c r="FA14" s="58">
        <f t="shared" si="51"/>
        <v>1</v>
      </c>
      <c r="FB14" s="56">
        <f>Participantes!DC13</f>
        <v>1</v>
      </c>
      <c r="FC14" s="56">
        <f>Participantes!DD13</f>
        <v>0</v>
      </c>
      <c r="FD14" s="58">
        <f t="shared" si="52"/>
        <v>0</v>
      </c>
      <c r="FE14" s="56">
        <f>Participantes!DE13</f>
        <v>0</v>
      </c>
      <c r="FF14" s="56">
        <f>Participantes!DF13</f>
        <v>0</v>
      </c>
      <c r="FG14" s="58">
        <f t="shared" si="53"/>
        <v>0</v>
      </c>
      <c r="FH14" s="56">
        <f>Participantes!DG13</f>
        <v>0</v>
      </c>
      <c r="FI14" s="56">
        <f>Participantes!DH13</f>
        <v>1</v>
      </c>
      <c r="FJ14" s="58">
        <f t="shared" si="54"/>
        <v>1</v>
      </c>
      <c r="FK14" s="56">
        <f>Participantes!DI13</f>
        <v>1</v>
      </c>
      <c r="FL14" s="56">
        <f>Participantes!DJ13</f>
        <v>3</v>
      </c>
      <c r="FM14" s="58">
        <f t="shared" si="55"/>
        <v>0</v>
      </c>
      <c r="FN14" s="56">
        <f>Participantes!DK13</f>
        <v>2</v>
      </c>
      <c r="FO14" s="56">
        <f>Participantes!DL13</f>
        <v>0</v>
      </c>
      <c r="FP14" s="58">
        <f t="shared" si="56"/>
        <v>0</v>
      </c>
      <c r="FQ14" s="56">
        <f>Participantes!DM13</f>
        <v>1</v>
      </c>
      <c r="FR14" s="56">
        <f>Participantes!DN13</f>
        <v>1</v>
      </c>
      <c r="FS14" s="58">
        <f t="shared" si="57"/>
        <v>0</v>
      </c>
      <c r="FT14" s="56">
        <f>Participantes!DO13</f>
        <v>0</v>
      </c>
      <c r="FU14" s="56">
        <f>Participantes!DP13</f>
        <v>1</v>
      </c>
      <c r="FV14" s="58">
        <f t="shared" si="58"/>
        <v>0</v>
      </c>
      <c r="FW14" s="56">
        <f>Participantes!DQ13</f>
        <v>1</v>
      </c>
      <c r="FX14" s="56">
        <f>Participantes!DR13</f>
        <v>1</v>
      </c>
      <c r="FY14" s="58">
        <f t="shared" si="59"/>
        <v>1</v>
      </c>
      <c r="FZ14" s="56">
        <f>Participantes!DS13</f>
        <v>1</v>
      </c>
      <c r="GA14" s="56">
        <f>Participantes!DT13</f>
        <v>2</v>
      </c>
      <c r="GB14" s="58">
        <f t="shared" si="60"/>
        <v>1</v>
      </c>
      <c r="GC14" s="56">
        <f>Participantes!DU13</f>
        <v>0</v>
      </c>
      <c r="GD14" s="56">
        <f>Participantes!DV13</f>
        <v>1</v>
      </c>
      <c r="GE14" s="58">
        <f t="shared" si="61"/>
        <v>0</v>
      </c>
      <c r="GF14" s="56">
        <f>Participantes!DW13</f>
        <v>1</v>
      </c>
      <c r="GG14" s="56">
        <f>Participantes!DX13</f>
        <v>1</v>
      </c>
      <c r="GH14" s="58">
        <f t="shared" si="62"/>
        <v>3</v>
      </c>
      <c r="GI14" s="56">
        <f>Participantes!DY13</f>
        <v>0</v>
      </c>
      <c r="GJ14" s="56">
        <f>Participantes!DZ13</f>
        <v>1</v>
      </c>
      <c r="GK14" s="58">
        <f t="shared" si="63"/>
        <v>1</v>
      </c>
      <c r="GL14" s="56">
        <f>Participantes!EA13</f>
        <v>0</v>
      </c>
      <c r="GM14" s="56">
        <f>Participantes!EB13</f>
        <v>1</v>
      </c>
      <c r="GN14" s="58">
        <f t="shared" si="64"/>
        <v>0</v>
      </c>
      <c r="GO14" s="56">
        <f>Participantes!EC13</f>
        <v>1</v>
      </c>
      <c r="GP14" s="56">
        <f>Participantes!ED13</f>
        <v>3</v>
      </c>
      <c r="GQ14" s="58">
        <f t="shared" si="65"/>
        <v>1</v>
      </c>
      <c r="GR14" s="56">
        <f>Participantes!EE13</f>
        <v>0</v>
      </c>
      <c r="GS14" s="56">
        <f>Participantes!EF13</f>
        <v>0</v>
      </c>
      <c r="GT14" s="58" t="str">
        <f t="shared" si="66"/>
        <v/>
      </c>
      <c r="GU14" s="56">
        <f>Participantes!EG13</f>
        <v>1</v>
      </c>
      <c r="GV14" s="56">
        <f>Participantes!EH13</f>
        <v>0</v>
      </c>
      <c r="GW14" s="58" t="str">
        <f t="shared" si="67"/>
        <v/>
      </c>
      <c r="GX14" s="56">
        <f>Participantes!EI13</f>
        <v>0</v>
      </c>
      <c r="GY14" s="56">
        <f>Participantes!EJ13</f>
        <v>0</v>
      </c>
      <c r="GZ14" s="58" t="str">
        <f t="shared" si="68"/>
        <v/>
      </c>
      <c r="HA14" s="56">
        <f>Participantes!EK13</f>
        <v>0</v>
      </c>
      <c r="HB14" s="56">
        <f>Participantes!EL13</f>
        <v>2</v>
      </c>
      <c r="HC14" s="58" t="str">
        <f t="shared" si="69"/>
        <v/>
      </c>
      <c r="HD14" s="56">
        <f>Participantes!EM13</f>
        <v>1</v>
      </c>
      <c r="HE14" s="56">
        <f>Participantes!EN13</f>
        <v>2</v>
      </c>
      <c r="HF14" s="58" t="str">
        <f t="shared" si="70"/>
        <v/>
      </c>
      <c r="HG14" s="56">
        <f>Participantes!EO13</f>
        <v>1</v>
      </c>
      <c r="HH14" s="56">
        <f>Participantes!EP13</f>
        <v>1</v>
      </c>
      <c r="HI14" s="58" t="str">
        <f t="shared" si="71"/>
        <v/>
      </c>
      <c r="HJ14" s="59">
        <f t="shared" si="72"/>
        <v>36</v>
      </c>
    </row>
    <row r="15" spans="1:218" ht="15" customHeight="1" x14ac:dyDescent="0.25">
      <c r="A15" s="57" t="str">
        <f>Participantes!B14</f>
        <v>Freddy</v>
      </c>
      <c r="B15" s="56">
        <f>Participantes!C14</f>
        <v>3</v>
      </c>
      <c r="C15" s="56">
        <f>Participantes!D14</f>
        <v>1</v>
      </c>
      <c r="D15" s="58">
        <f t="shared" si="0"/>
        <v>1</v>
      </c>
      <c r="E15" s="56">
        <f>Participantes!E14</f>
        <v>1</v>
      </c>
      <c r="F15" s="56">
        <f>Participantes!F14</f>
        <v>1</v>
      </c>
      <c r="G15" s="58">
        <f t="shared" si="1"/>
        <v>0</v>
      </c>
      <c r="H15" s="56">
        <f>Participantes!G14</f>
        <v>3</v>
      </c>
      <c r="I15" s="56">
        <f>Participantes!H14</f>
        <v>1</v>
      </c>
      <c r="J15" s="58">
        <f t="shared" si="2"/>
        <v>0</v>
      </c>
      <c r="K15" s="56">
        <f>Participantes!I14</f>
        <v>2</v>
      </c>
      <c r="L15" s="56">
        <f>Participantes!J14</f>
        <v>0</v>
      </c>
      <c r="M15" s="58">
        <f t="shared" si="3"/>
        <v>1</v>
      </c>
      <c r="N15" s="56">
        <f>Participantes!K14</f>
        <v>0</v>
      </c>
      <c r="O15" s="56">
        <f>Participantes!L14</f>
        <v>1</v>
      </c>
      <c r="P15" s="58">
        <f t="shared" si="4"/>
        <v>3</v>
      </c>
      <c r="Q15" s="56">
        <f>Participantes!M14</f>
        <v>1</v>
      </c>
      <c r="R15" s="56">
        <f>Participantes!N14</f>
        <v>2</v>
      </c>
      <c r="S15" s="58">
        <f t="shared" si="5"/>
        <v>0</v>
      </c>
      <c r="T15" s="56">
        <f>Participantes!O14</f>
        <v>2</v>
      </c>
      <c r="U15" s="56">
        <f>Participantes!P14</f>
        <v>2</v>
      </c>
      <c r="V15" s="58">
        <f t="shared" si="6"/>
        <v>1</v>
      </c>
      <c r="W15" s="56">
        <f>Participantes!Q14</f>
        <v>1</v>
      </c>
      <c r="X15" s="56">
        <f>Participantes!R14</f>
        <v>2</v>
      </c>
      <c r="Y15" s="58">
        <f t="shared" si="7"/>
        <v>0</v>
      </c>
      <c r="Z15" s="56">
        <f>Participantes!S14</f>
        <v>0</v>
      </c>
      <c r="AA15" s="56">
        <f>Participantes!T14</f>
        <v>1</v>
      </c>
      <c r="AB15" s="58">
        <f t="shared" si="8"/>
        <v>0</v>
      </c>
      <c r="AC15" s="56">
        <f>Participantes!U14</f>
        <v>6</v>
      </c>
      <c r="AD15" s="56">
        <f>Participantes!V14</f>
        <v>0</v>
      </c>
      <c r="AE15" s="58">
        <f t="shared" si="9"/>
        <v>1</v>
      </c>
      <c r="AF15" s="56">
        <f>Participantes!W14</f>
        <v>1</v>
      </c>
      <c r="AG15" s="56">
        <f>Participantes!X14</f>
        <v>0</v>
      </c>
      <c r="AH15" s="58">
        <f t="shared" si="10"/>
        <v>0</v>
      </c>
      <c r="AI15" s="56">
        <f>Participantes!Y14</f>
        <v>3</v>
      </c>
      <c r="AJ15" s="56">
        <f>Participantes!Z14</f>
        <v>0</v>
      </c>
      <c r="AK15" s="58">
        <f t="shared" si="11"/>
        <v>1</v>
      </c>
      <c r="AL15" s="56">
        <f>Participantes!AA14</f>
        <v>0</v>
      </c>
      <c r="AM15" s="56">
        <f>Participantes!AB14</f>
        <v>2</v>
      </c>
      <c r="AN15" s="58">
        <f t="shared" si="12"/>
        <v>0</v>
      </c>
      <c r="AO15" s="56">
        <f>Participantes!AC14</f>
        <v>5</v>
      </c>
      <c r="AP15" s="56">
        <f>Participantes!AD14</f>
        <v>0</v>
      </c>
      <c r="AQ15" s="58">
        <f t="shared" si="13"/>
        <v>0</v>
      </c>
      <c r="AR15" s="56">
        <f>Participantes!AE14</f>
        <v>0</v>
      </c>
      <c r="AS15" s="56">
        <f>Participantes!AF14</f>
        <v>1</v>
      </c>
      <c r="AT15" s="58">
        <f t="shared" si="14"/>
        <v>0</v>
      </c>
      <c r="AU15" s="56">
        <f>Participantes!AG14</f>
        <v>4</v>
      </c>
      <c r="AV15" s="56">
        <f>Participantes!AH14</f>
        <v>1</v>
      </c>
      <c r="AW15" s="58">
        <f t="shared" si="15"/>
        <v>0</v>
      </c>
      <c r="AX15" s="56">
        <f>Participantes!AI14</f>
        <v>4</v>
      </c>
      <c r="AY15" s="56">
        <f>Participantes!AJ14</f>
        <v>0</v>
      </c>
      <c r="AZ15" s="58">
        <f t="shared" si="16"/>
        <v>1</v>
      </c>
      <c r="BA15" s="56">
        <f>Participantes!AK14</f>
        <v>0</v>
      </c>
      <c r="BB15" s="56">
        <f>Participantes!AL14</f>
        <v>3</v>
      </c>
      <c r="BC15" s="58">
        <f t="shared" si="17"/>
        <v>1</v>
      </c>
      <c r="BD15" s="56">
        <f>Participantes!AM14</f>
        <v>4</v>
      </c>
      <c r="BE15" s="56">
        <f>Participantes!AN14</f>
        <v>1</v>
      </c>
      <c r="BF15" s="58">
        <f t="shared" si="18"/>
        <v>1</v>
      </c>
      <c r="BG15" s="56">
        <f>Participantes!AO14</f>
        <v>3</v>
      </c>
      <c r="BH15" s="56">
        <f>Participantes!AP14</f>
        <v>0</v>
      </c>
      <c r="BI15" s="58">
        <f t="shared" si="19"/>
        <v>1</v>
      </c>
      <c r="BJ15" s="56">
        <f>Participantes!AQ14</f>
        <v>1</v>
      </c>
      <c r="BK15" s="56">
        <f>Participantes!AR14</f>
        <v>1</v>
      </c>
      <c r="BL15" s="58">
        <f t="shared" si="20"/>
        <v>0</v>
      </c>
      <c r="BM15" s="56">
        <f>Participantes!AS14</f>
        <v>2</v>
      </c>
      <c r="BN15" s="56">
        <f>Participantes!AT14</f>
        <v>1</v>
      </c>
      <c r="BO15" s="58">
        <f t="shared" si="21"/>
        <v>1</v>
      </c>
      <c r="BP15" s="56">
        <f>Participantes!AU14</f>
        <v>5</v>
      </c>
      <c r="BQ15" s="56">
        <f>Participantes!AV14</f>
        <v>0</v>
      </c>
      <c r="BR15" s="58">
        <f t="shared" si="22"/>
        <v>0</v>
      </c>
      <c r="BS15" s="56">
        <f>Participantes!AW14</f>
        <v>1</v>
      </c>
      <c r="BT15" s="56">
        <f>Participantes!AX14</f>
        <v>2</v>
      </c>
      <c r="BU15" s="58">
        <f t="shared" si="23"/>
        <v>1</v>
      </c>
      <c r="BV15" s="56">
        <f>Participantes!AY14</f>
        <v>0</v>
      </c>
      <c r="BW15" s="56">
        <f>Participantes!AZ14</f>
        <v>0</v>
      </c>
      <c r="BX15" s="58">
        <f t="shared" si="24"/>
        <v>1</v>
      </c>
      <c r="BY15" s="56">
        <f>Participantes!BA14</f>
        <v>1</v>
      </c>
      <c r="BZ15" s="56">
        <f>Participantes!BB14</f>
        <v>0</v>
      </c>
      <c r="CA15" s="58">
        <f t="shared" si="25"/>
        <v>1</v>
      </c>
      <c r="CB15" s="56">
        <f>Participantes!BC14</f>
        <v>2</v>
      </c>
      <c r="CC15" s="56">
        <f>Participantes!BD14</f>
        <v>0</v>
      </c>
      <c r="CD15" s="58">
        <f t="shared" si="26"/>
        <v>1</v>
      </c>
      <c r="CE15" s="56">
        <f>Participantes!BE14</f>
        <v>1</v>
      </c>
      <c r="CF15" s="56">
        <f>Participantes!BF14</f>
        <v>1</v>
      </c>
      <c r="CG15" s="58">
        <f t="shared" si="27"/>
        <v>0</v>
      </c>
      <c r="CH15" s="56">
        <f>Participantes!BG14</f>
        <v>7</v>
      </c>
      <c r="CI15" s="56">
        <f>Participantes!BH14</f>
        <v>1</v>
      </c>
      <c r="CJ15" s="58">
        <f t="shared" si="28"/>
        <v>1</v>
      </c>
      <c r="CK15" s="56">
        <f>Participantes!BI14</f>
        <v>1</v>
      </c>
      <c r="CL15" s="56">
        <f>Participantes!BJ14</f>
        <v>3</v>
      </c>
      <c r="CM15" s="58">
        <f t="shared" si="29"/>
        <v>1</v>
      </c>
      <c r="CN15" s="56">
        <f>Participantes!BK14</f>
        <v>2</v>
      </c>
      <c r="CO15" s="56">
        <f>Participantes!BL14</f>
        <v>0</v>
      </c>
      <c r="CP15" s="58">
        <f t="shared" si="30"/>
        <v>0</v>
      </c>
      <c r="CQ15" s="56">
        <f>Participantes!BM14</f>
        <v>1</v>
      </c>
      <c r="CR15" s="56">
        <f>Participantes!BN14</f>
        <v>0</v>
      </c>
      <c r="CS15" s="58">
        <f t="shared" si="31"/>
        <v>1</v>
      </c>
      <c r="CT15" s="56">
        <f>Participantes!BO14</f>
        <v>4</v>
      </c>
      <c r="CU15" s="56">
        <f>Participantes!BP14</f>
        <v>1</v>
      </c>
      <c r="CV15" s="58">
        <f t="shared" si="32"/>
        <v>1</v>
      </c>
      <c r="CW15" s="56">
        <f>Participantes!BQ14</f>
        <v>3</v>
      </c>
      <c r="CX15" s="56">
        <f>Participantes!BR14</f>
        <v>0</v>
      </c>
      <c r="CY15" s="58">
        <f t="shared" si="33"/>
        <v>0</v>
      </c>
      <c r="CZ15" s="56">
        <f>Participantes!BS14</f>
        <v>0</v>
      </c>
      <c r="DA15" s="56">
        <f>Participantes!BT14</f>
        <v>0</v>
      </c>
      <c r="DB15" s="58">
        <f t="shared" si="34"/>
        <v>0</v>
      </c>
      <c r="DC15" s="56">
        <f>Participantes!BU14</f>
        <v>0</v>
      </c>
      <c r="DD15" s="56">
        <f>Participantes!BV14</f>
        <v>1</v>
      </c>
      <c r="DE15" s="58">
        <f t="shared" si="35"/>
        <v>1</v>
      </c>
      <c r="DF15" s="56">
        <f>Participantes!BW14</f>
        <v>3</v>
      </c>
      <c r="DG15" s="56">
        <f>Participantes!BX14</f>
        <v>0</v>
      </c>
      <c r="DH15" s="58">
        <f t="shared" si="36"/>
        <v>0</v>
      </c>
      <c r="DI15" s="56">
        <f>Participantes!BY14</f>
        <v>4</v>
      </c>
      <c r="DJ15" s="56">
        <f>Participantes!BZ14</f>
        <v>0</v>
      </c>
      <c r="DK15" s="58">
        <f t="shared" si="37"/>
        <v>3</v>
      </c>
      <c r="DL15" s="56">
        <f>Participantes!CA14</f>
        <v>2</v>
      </c>
      <c r="DM15" s="56">
        <f>Participantes!CB14</f>
        <v>1</v>
      </c>
      <c r="DN15" s="58">
        <f t="shared" si="38"/>
        <v>0</v>
      </c>
      <c r="DO15" s="56">
        <f>Participantes!CC14</f>
        <v>2</v>
      </c>
      <c r="DP15" s="56">
        <f>Participantes!CD14</f>
        <v>2</v>
      </c>
      <c r="DQ15" s="58">
        <f t="shared" si="39"/>
        <v>0</v>
      </c>
      <c r="DR15" s="56">
        <f>Participantes!CE14</f>
        <v>2</v>
      </c>
      <c r="DS15" s="56">
        <f>Participantes!CF14</f>
        <v>0</v>
      </c>
      <c r="DT15" s="58">
        <f t="shared" si="40"/>
        <v>1</v>
      </c>
      <c r="DU15" s="56">
        <f>Participantes!CG14</f>
        <v>5</v>
      </c>
      <c r="DV15" s="56">
        <f>Participantes!CH14</f>
        <v>0</v>
      </c>
      <c r="DW15" s="58">
        <f t="shared" si="41"/>
        <v>1</v>
      </c>
      <c r="DX15" s="56">
        <f>Participantes!CI14</f>
        <v>1</v>
      </c>
      <c r="DY15" s="56">
        <f>Participantes!CJ14</f>
        <v>1</v>
      </c>
      <c r="DZ15" s="58">
        <f t="shared" si="42"/>
        <v>0</v>
      </c>
      <c r="EA15" s="56">
        <f>Participantes!CK14</f>
        <v>0</v>
      </c>
      <c r="EB15" s="56">
        <f>Participantes!CL14</f>
        <v>0</v>
      </c>
      <c r="EC15" s="58">
        <f t="shared" si="43"/>
        <v>0</v>
      </c>
      <c r="ED15" s="56">
        <f>Participantes!CM14</f>
        <v>1</v>
      </c>
      <c r="EE15" s="56">
        <f>Participantes!CN14</f>
        <v>0</v>
      </c>
      <c r="EF15" s="58">
        <f t="shared" si="44"/>
        <v>0</v>
      </c>
      <c r="EG15" s="56">
        <f>Participantes!CO14</f>
        <v>1</v>
      </c>
      <c r="EH15" s="56">
        <f>Participantes!CP14</f>
        <v>0</v>
      </c>
      <c r="EI15" s="58">
        <f t="shared" si="45"/>
        <v>0</v>
      </c>
      <c r="EJ15" s="56">
        <f>Participantes!CQ14</f>
        <v>4</v>
      </c>
      <c r="EK15" s="56">
        <f>Participantes!CR14</f>
        <v>0</v>
      </c>
      <c r="EL15" s="58">
        <f t="shared" si="46"/>
        <v>1</v>
      </c>
      <c r="EM15" s="56">
        <f>Participantes!CS14</f>
        <v>2</v>
      </c>
      <c r="EN15" s="56">
        <f>Participantes!CT14</f>
        <v>0</v>
      </c>
      <c r="EO15" s="58">
        <f t="shared" si="47"/>
        <v>1</v>
      </c>
      <c r="EP15" s="56">
        <f>Participantes!CU14</f>
        <v>1</v>
      </c>
      <c r="EQ15" s="56">
        <f>Participantes!CV14</f>
        <v>2</v>
      </c>
      <c r="ER15" s="58">
        <f t="shared" si="48"/>
        <v>1</v>
      </c>
      <c r="ES15" s="56">
        <f>Participantes!CW14</f>
        <v>5</v>
      </c>
      <c r="ET15" s="56">
        <f>Participantes!CX14</f>
        <v>0</v>
      </c>
      <c r="EU15" s="58">
        <f t="shared" si="49"/>
        <v>1</v>
      </c>
      <c r="EV15" s="56">
        <f>Participantes!CY14</f>
        <v>1</v>
      </c>
      <c r="EW15" s="56">
        <f>Participantes!CZ14</f>
        <v>2</v>
      </c>
      <c r="EX15" s="58">
        <f t="shared" si="50"/>
        <v>0</v>
      </c>
      <c r="EY15" s="56">
        <f>Participantes!DA14</f>
        <v>1</v>
      </c>
      <c r="EZ15" s="56">
        <f>Participantes!DB14</f>
        <v>1</v>
      </c>
      <c r="FA15" s="58">
        <f t="shared" si="51"/>
        <v>0</v>
      </c>
      <c r="FB15" s="56">
        <f>Participantes!DC14</f>
        <v>1</v>
      </c>
      <c r="FC15" s="56">
        <f>Participantes!DD14</f>
        <v>3</v>
      </c>
      <c r="FD15" s="58">
        <f t="shared" si="52"/>
        <v>1</v>
      </c>
      <c r="FE15" s="56">
        <f>Participantes!DE14</f>
        <v>1</v>
      </c>
      <c r="FF15" s="56">
        <f>Participantes!DF14</f>
        <v>3</v>
      </c>
      <c r="FG15" s="58">
        <f t="shared" si="53"/>
        <v>0</v>
      </c>
      <c r="FH15" s="56">
        <f>Participantes!DG14</f>
        <v>0</v>
      </c>
      <c r="FI15" s="56">
        <f>Participantes!DH14</f>
        <v>3</v>
      </c>
      <c r="FJ15" s="58">
        <f t="shared" si="54"/>
        <v>1</v>
      </c>
      <c r="FK15" s="56">
        <f>Participantes!DI14</f>
        <v>1</v>
      </c>
      <c r="FL15" s="56">
        <f>Participantes!DJ14</f>
        <v>3</v>
      </c>
      <c r="FM15" s="58">
        <f t="shared" si="55"/>
        <v>0</v>
      </c>
      <c r="FN15" s="56">
        <f>Participantes!DK14</f>
        <v>1</v>
      </c>
      <c r="FO15" s="56">
        <f>Participantes!DL14</f>
        <v>2</v>
      </c>
      <c r="FP15" s="58">
        <f t="shared" si="56"/>
        <v>0</v>
      </c>
      <c r="FQ15" s="56">
        <f>Participantes!DM14</f>
        <v>1</v>
      </c>
      <c r="FR15" s="56">
        <f>Participantes!DN14</f>
        <v>2</v>
      </c>
      <c r="FS15" s="58">
        <f t="shared" si="57"/>
        <v>1</v>
      </c>
      <c r="FT15" s="56">
        <f>Participantes!DO14</f>
        <v>2</v>
      </c>
      <c r="FU15" s="56">
        <f>Participantes!DP14</f>
        <v>2</v>
      </c>
      <c r="FV15" s="58">
        <f t="shared" si="58"/>
        <v>0</v>
      </c>
      <c r="FW15" s="56">
        <f>Participantes!DQ14</f>
        <v>1</v>
      </c>
      <c r="FX15" s="56">
        <f>Participantes!DR14</f>
        <v>1</v>
      </c>
      <c r="FY15" s="58">
        <f t="shared" si="59"/>
        <v>1</v>
      </c>
      <c r="FZ15" s="56">
        <f>Participantes!DS14</f>
        <v>0</v>
      </c>
      <c r="GA15" s="56">
        <f>Participantes!DT14</f>
        <v>2</v>
      </c>
      <c r="GB15" s="58">
        <f t="shared" si="60"/>
        <v>1</v>
      </c>
      <c r="GC15" s="56">
        <f>Participantes!DU14</f>
        <v>1</v>
      </c>
      <c r="GD15" s="56">
        <f>Participantes!DV14</f>
        <v>0</v>
      </c>
      <c r="GE15" s="58">
        <f t="shared" si="61"/>
        <v>1</v>
      </c>
      <c r="GF15" s="56">
        <f>Participantes!DW14</f>
        <v>2</v>
      </c>
      <c r="GG15" s="56">
        <f>Participantes!DX14</f>
        <v>1</v>
      </c>
      <c r="GH15" s="58">
        <f t="shared" si="62"/>
        <v>0</v>
      </c>
      <c r="GI15" s="56">
        <f>Participantes!DY14</f>
        <v>0</v>
      </c>
      <c r="GJ15" s="56">
        <f>Participantes!DZ14</f>
        <v>3</v>
      </c>
      <c r="GK15" s="58">
        <f t="shared" si="63"/>
        <v>1</v>
      </c>
      <c r="GL15" s="56">
        <f>Participantes!EA14</f>
        <v>0</v>
      </c>
      <c r="GM15" s="56">
        <f>Participantes!EB14</f>
        <v>0</v>
      </c>
      <c r="GN15" s="58">
        <f t="shared" si="64"/>
        <v>3</v>
      </c>
      <c r="GO15" s="56">
        <f>Participantes!EC14</f>
        <v>1</v>
      </c>
      <c r="GP15" s="56">
        <f>Participantes!ED14</f>
        <v>2</v>
      </c>
      <c r="GQ15" s="58">
        <f t="shared" si="65"/>
        <v>1</v>
      </c>
      <c r="GR15" s="56">
        <f>Participantes!EE14</f>
        <v>1</v>
      </c>
      <c r="GS15" s="56">
        <f>Participantes!EF14</f>
        <v>5</v>
      </c>
      <c r="GT15" s="58" t="str">
        <f t="shared" si="66"/>
        <v/>
      </c>
      <c r="GU15" s="56">
        <f>Participantes!EG14</f>
        <v>2</v>
      </c>
      <c r="GV15" s="56">
        <f>Participantes!EH14</f>
        <v>1</v>
      </c>
      <c r="GW15" s="58" t="str">
        <f t="shared" si="67"/>
        <v/>
      </c>
      <c r="GX15" s="56">
        <f>Participantes!EI14</f>
        <v>1</v>
      </c>
      <c r="GY15" s="56">
        <f>Participantes!EJ14</f>
        <v>1</v>
      </c>
      <c r="GZ15" s="58" t="str">
        <f t="shared" si="68"/>
        <v/>
      </c>
      <c r="HA15" s="56">
        <f>Participantes!EK14</f>
        <v>0</v>
      </c>
      <c r="HB15" s="56">
        <f>Participantes!EL14</f>
        <v>4</v>
      </c>
      <c r="HC15" s="58" t="str">
        <f t="shared" si="69"/>
        <v/>
      </c>
      <c r="HD15" s="56">
        <f>Participantes!EM14</f>
        <v>1</v>
      </c>
      <c r="HE15" s="56">
        <f>Participantes!EN14</f>
        <v>3</v>
      </c>
      <c r="HF15" s="58" t="str">
        <f t="shared" si="70"/>
        <v/>
      </c>
      <c r="HG15" s="56">
        <f>Participantes!EO14</f>
        <v>1</v>
      </c>
      <c r="HH15" s="56">
        <f>Participantes!EP14</f>
        <v>1</v>
      </c>
      <c r="HI15" s="58" t="str">
        <f t="shared" si="71"/>
        <v/>
      </c>
      <c r="HJ15" s="59">
        <f t="shared" si="72"/>
        <v>42</v>
      </c>
    </row>
    <row r="16" spans="1:218" ht="15" customHeight="1" x14ac:dyDescent="0.25">
      <c r="A16" s="57" t="str">
        <f>Participantes!B15</f>
        <v>Isabel 1</v>
      </c>
      <c r="B16" s="56">
        <f>Participantes!C15</f>
        <v>3</v>
      </c>
      <c r="C16" s="56">
        <f>Participantes!D15</f>
        <v>1</v>
      </c>
      <c r="D16" s="58">
        <f t="shared" si="0"/>
        <v>1</v>
      </c>
      <c r="E16" s="56">
        <f>Participantes!E15</f>
        <v>1</v>
      </c>
      <c r="F16" s="56">
        <f>Participantes!F15</f>
        <v>1</v>
      </c>
      <c r="G16" s="58">
        <f t="shared" si="1"/>
        <v>0</v>
      </c>
      <c r="H16" s="56">
        <f>Participantes!G15</f>
        <v>2</v>
      </c>
      <c r="I16" s="56">
        <f>Participantes!H15</f>
        <v>1</v>
      </c>
      <c r="J16" s="58">
        <f t="shared" si="2"/>
        <v>0</v>
      </c>
      <c r="K16" s="56">
        <f>Participantes!I15</f>
        <v>2</v>
      </c>
      <c r="L16" s="56">
        <f>Participantes!J15</f>
        <v>2</v>
      </c>
      <c r="M16" s="58">
        <f t="shared" si="3"/>
        <v>0</v>
      </c>
      <c r="N16" s="56">
        <f>Participantes!K15</f>
        <v>1</v>
      </c>
      <c r="O16" s="56">
        <f>Participantes!L15</f>
        <v>3</v>
      </c>
      <c r="P16" s="58">
        <f t="shared" si="4"/>
        <v>1</v>
      </c>
      <c r="Q16" s="56">
        <f>Participantes!M15</f>
        <v>1</v>
      </c>
      <c r="R16" s="56">
        <f>Participantes!N15</f>
        <v>2</v>
      </c>
      <c r="S16" s="58">
        <f t="shared" si="5"/>
        <v>0</v>
      </c>
      <c r="T16" s="56">
        <f>Participantes!O15</f>
        <v>3</v>
      </c>
      <c r="U16" s="56">
        <f>Participantes!P15</f>
        <v>2</v>
      </c>
      <c r="V16" s="58">
        <f t="shared" si="6"/>
        <v>0</v>
      </c>
      <c r="W16" s="56">
        <f>Participantes!Q15</f>
        <v>0</v>
      </c>
      <c r="X16" s="56">
        <f>Participantes!R15</f>
        <v>2</v>
      </c>
      <c r="Y16" s="58">
        <f t="shared" si="7"/>
        <v>0</v>
      </c>
      <c r="Z16" s="56">
        <f>Participantes!S15</f>
        <v>1</v>
      </c>
      <c r="AA16" s="56">
        <f>Participantes!T15</f>
        <v>2</v>
      </c>
      <c r="AB16" s="58">
        <f t="shared" si="8"/>
        <v>0</v>
      </c>
      <c r="AC16" s="56">
        <f>Participantes!U15</f>
        <v>5</v>
      </c>
      <c r="AD16" s="56">
        <f>Participantes!V15</f>
        <v>1</v>
      </c>
      <c r="AE16" s="58">
        <f t="shared" si="9"/>
        <v>1</v>
      </c>
      <c r="AF16" s="56">
        <f>Participantes!W15</f>
        <v>2</v>
      </c>
      <c r="AG16" s="56">
        <f>Participantes!X15</f>
        <v>2</v>
      </c>
      <c r="AH16" s="58">
        <f t="shared" si="10"/>
        <v>3</v>
      </c>
      <c r="AI16" s="56">
        <f>Participantes!Y15</f>
        <v>1</v>
      </c>
      <c r="AJ16" s="56">
        <f>Participantes!Z15</f>
        <v>1</v>
      </c>
      <c r="AK16" s="58">
        <f t="shared" si="11"/>
        <v>0</v>
      </c>
      <c r="AL16" s="56">
        <f>Participantes!AA15</f>
        <v>1</v>
      </c>
      <c r="AM16" s="56">
        <f>Participantes!AB15</f>
        <v>2</v>
      </c>
      <c r="AN16" s="58">
        <f t="shared" si="12"/>
        <v>0</v>
      </c>
      <c r="AO16" s="56">
        <f>Participantes!AC15</f>
        <v>4</v>
      </c>
      <c r="AP16" s="56">
        <f>Participantes!AD15</f>
        <v>0</v>
      </c>
      <c r="AQ16" s="58">
        <f t="shared" si="13"/>
        <v>0</v>
      </c>
      <c r="AR16" s="56">
        <f>Participantes!AE15</f>
        <v>2</v>
      </c>
      <c r="AS16" s="56">
        <f>Participantes!AF15</f>
        <v>0</v>
      </c>
      <c r="AT16" s="58">
        <f t="shared" si="14"/>
        <v>0</v>
      </c>
      <c r="AU16" s="56">
        <f>Participantes!AG15</f>
        <v>2</v>
      </c>
      <c r="AV16" s="56">
        <f>Participantes!AH15</f>
        <v>2</v>
      </c>
      <c r="AW16" s="58">
        <f t="shared" si="15"/>
        <v>1</v>
      </c>
      <c r="AX16" s="56">
        <f>Participantes!AI15</f>
        <v>3</v>
      </c>
      <c r="AY16" s="56">
        <f>Participantes!AJ15</f>
        <v>1</v>
      </c>
      <c r="AZ16" s="58">
        <f t="shared" si="16"/>
        <v>3</v>
      </c>
      <c r="BA16" s="56">
        <f>Participantes!AK15</f>
        <v>0</v>
      </c>
      <c r="BB16" s="56">
        <f>Participantes!AL15</f>
        <v>2</v>
      </c>
      <c r="BC16" s="58">
        <f t="shared" si="17"/>
        <v>1</v>
      </c>
      <c r="BD16" s="56">
        <f>Participantes!AM15</f>
        <v>3</v>
      </c>
      <c r="BE16" s="56">
        <f>Participantes!AN15</f>
        <v>1</v>
      </c>
      <c r="BF16" s="58">
        <f t="shared" si="18"/>
        <v>1</v>
      </c>
      <c r="BG16" s="56">
        <f>Participantes!AO15</f>
        <v>2</v>
      </c>
      <c r="BH16" s="56">
        <f>Participantes!AP15</f>
        <v>0</v>
      </c>
      <c r="BI16" s="58">
        <f t="shared" si="19"/>
        <v>1</v>
      </c>
      <c r="BJ16" s="56">
        <f>Participantes!AQ15</f>
        <v>1</v>
      </c>
      <c r="BK16" s="56">
        <f>Participantes!AR15</f>
        <v>1</v>
      </c>
      <c r="BL16" s="58">
        <f t="shared" si="20"/>
        <v>0</v>
      </c>
      <c r="BM16" s="56">
        <f>Participantes!AS15</f>
        <v>1</v>
      </c>
      <c r="BN16" s="56">
        <f>Participantes!AT15</f>
        <v>2</v>
      </c>
      <c r="BO16" s="58">
        <f t="shared" si="21"/>
        <v>0</v>
      </c>
      <c r="BP16" s="56">
        <f>Participantes!AU15</f>
        <v>3</v>
      </c>
      <c r="BQ16" s="56">
        <f>Participantes!AV15</f>
        <v>1</v>
      </c>
      <c r="BR16" s="58">
        <f t="shared" si="22"/>
        <v>0</v>
      </c>
      <c r="BS16" s="56">
        <f>Participantes!AW15</f>
        <v>1</v>
      </c>
      <c r="BT16" s="56">
        <f>Participantes!AX15</f>
        <v>2</v>
      </c>
      <c r="BU16" s="58">
        <f t="shared" si="23"/>
        <v>1</v>
      </c>
      <c r="BV16" s="56">
        <f>Participantes!AY15</f>
        <v>1</v>
      </c>
      <c r="BW16" s="56">
        <f>Participantes!AZ15</f>
        <v>1</v>
      </c>
      <c r="BX16" s="58">
        <f t="shared" si="24"/>
        <v>3</v>
      </c>
      <c r="BY16" s="56">
        <f>Participantes!BA15</f>
        <v>2</v>
      </c>
      <c r="BZ16" s="56">
        <f>Participantes!BB15</f>
        <v>1</v>
      </c>
      <c r="CA16" s="58">
        <f t="shared" si="25"/>
        <v>1</v>
      </c>
      <c r="CB16" s="56">
        <f>Participantes!BC15</f>
        <v>2</v>
      </c>
      <c r="CC16" s="56">
        <f>Participantes!BD15</f>
        <v>1</v>
      </c>
      <c r="CD16" s="58">
        <f t="shared" si="26"/>
        <v>1</v>
      </c>
      <c r="CE16" s="56">
        <f>Participantes!BE15</f>
        <v>2</v>
      </c>
      <c r="CF16" s="56">
        <f>Participantes!BF15</f>
        <v>2</v>
      </c>
      <c r="CG16" s="58">
        <f t="shared" si="27"/>
        <v>0</v>
      </c>
      <c r="CH16" s="56">
        <f>Participantes!BG15</f>
        <v>3</v>
      </c>
      <c r="CI16" s="56">
        <f>Participantes!BH15</f>
        <v>1</v>
      </c>
      <c r="CJ16" s="58">
        <f t="shared" si="28"/>
        <v>1</v>
      </c>
      <c r="CK16" s="56">
        <f>Participantes!BI15</f>
        <v>2</v>
      </c>
      <c r="CL16" s="56">
        <f>Participantes!BJ15</f>
        <v>2</v>
      </c>
      <c r="CM16" s="58">
        <f t="shared" si="29"/>
        <v>0</v>
      </c>
      <c r="CN16" s="56">
        <f>Participantes!BK15</f>
        <v>2</v>
      </c>
      <c r="CO16" s="56">
        <f>Participantes!BL15</f>
        <v>1</v>
      </c>
      <c r="CP16" s="58">
        <f t="shared" si="30"/>
        <v>0</v>
      </c>
      <c r="CQ16" s="56">
        <f>Participantes!BM15</f>
        <v>3</v>
      </c>
      <c r="CR16" s="56">
        <f>Participantes!BN15</f>
        <v>2</v>
      </c>
      <c r="CS16" s="58">
        <f t="shared" si="31"/>
        <v>1</v>
      </c>
      <c r="CT16" s="56">
        <f>Participantes!BO15</f>
        <v>2</v>
      </c>
      <c r="CU16" s="56">
        <f>Participantes!BP15</f>
        <v>1</v>
      </c>
      <c r="CV16" s="58">
        <f t="shared" si="32"/>
        <v>3</v>
      </c>
      <c r="CW16" s="56">
        <f>Participantes!BQ15</f>
        <v>3</v>
      </c>
      <c r="CX16" s="56">
        <f>Participantes!BR15</f>
        <v>1</v>
      </c>
      <c r="CY16" s="58">
        <f t="shared" si="33"/>
        <v>0</v>
      </c>
      <c r="CZ16" s="56">
        <f>Participantes!BS15</f>
        <v>2</v>
      </c>
      <c r="DA16" s="56">
        <f>Participantes!BT15</f>
        <v>2</v>
      </c>
      <c r="DB16" s="58">
        <f t="shared" si="34"/>
        <v>0</v>
      </c>
      <c r="DC16" s="56">
        <f>Participantes!BU15</f>
        <v>1</v>
      </c>
      <c r="DD16" s="56">
        <f>Participantes!BV15</f>
        <v>2</v>
      </c>
      <c r="DE16" s="58">
        <f t="shared" si="35"/>
        <v>1</v>
      </c>
      <c r="DF16" s="56">
        <f>Participantes!BW15</f>
        <v>3</v>
      </c>
      <c r="DG16" s="56">
        <f>Participantes!BX15</f>
        <v>0</v>
      </c>
      <c r="DH16" s="58">
        <f t="shared" si="36"/>
        <v>0</v>
      </c>
      <c r="DI16" s="56">
        <f>Participantes!BY15</f>
        <v>3</v>
      </c>
      <c r="DJ16" s="56">
        <f>Participantes!BZ15</f>
        <v>1</v>
      </c>
      <c r="DK16" s="58">
        <f t="shared" si="37"/>
        <v>1</v>
      </c>
      <c r="DL16" s="56">
        <f>Participantes!CA15</f>
        <v>2</v>
      </c>
      <c r="DM16" s="56">
        <f>Participantes!CB15</f>
        <v>2</v>
      </c>
      <c r="DN16" s="58">
        <f t="shared" si="38"/>
        <v>1</v>
      </c>
      <c r="DO16" s="56">
        <f>Participantes!CC15</f>
        <v>1</v>
      </c>
      <c r="DP16" s="56">
        <f>Participantes!CD15</f>
        <v>2</v>
      </c>
      <c r="DQ16" s="58">
        <f t="shared" si="39"/>
        <v>1</v>
      </c>
      <c r="DR16" s="56">
        <f>Participantes!CE15</f>
        <v>2</v>
      </c>
      <c r="DS16" s="56">
        <f>Participantes!CF15</f>
        <v>3</v>
      </c>
      <c r="DT16" s="58">
        <f t="shared" si="40"/>
        <v>0</v>
      </c>
      <c r="DU16" s="56">
        <f>Participantes!CG15</f>
        <v>4</v>
      </c>
      <c r="DV16" s="56">
        <f>Participantes!CH15</f>
        <v>1</v>
      </c>
      <c r="DW16" s="58">
        <f t="shared" si="41"/>
        <v>1</v>
      </c>
      <c r="DX16" s="56">
        <f>Participantes!CI15</f>
        <v>2</v>
      </c>
      <c r="DY16" s="56">
        <f>Participantes!CJ15</f>
        <v>1</v>
      </c>
      <c r="DZ16" s="58">
        <f t="shared" si="42"/>
        <v>1</v>
      </c>
      <c r="EA16" s="56">
        <f>Participantes!CK15</f>
        <v>1</v>
      </c>
      <c r="EB16" s="56">
        <f>Participantes!CL15</f>
        <v>1</v>
      </c>
      <c r="EC16" s="58">
        <f t="shared" si="43"/>
        <v>0</v>
      </c>
      <c r="ED16" s="56">
        <f>Participantes!CM15</f>
        <v>3</v>
      </c>
      <c r="EE16" s="56">
        <f>Participantes!CN15</f>
        <v>1</v>
      </c>
      <c r="EF16" s="58">
        <f t="shared" si="44"/>
        <v>0</v>
      </c>
      <c r="EG16" s="56">
        <f>Participantes!CO15</f>
        <v>1</v>
      </c>
      <c r="EH16" s="56">
        <f>Participantes!CP15</f>
        <v>2</v>
      </c>
      <c r="EI16" s="58">
        <f t="shared" si="45"/>
        <v>1</v>
      </c>
      <c r="EJ16" s="56">
        <f>Participantes!CQ15</f>
        <v>3</v>
      </c>
      <c r="EK16" s="56">
        <f>Participantes!CR15</f>
        <v>0</v>
      </c>
      <c r="EL16" s="58">
        <f t="shared" si="46"/>
        <v>1</v>
      </c>
      <c r="EM16" s="56">
        <f>Participantes!CS15</f>
        <v>2</v>
      </c>
      <c r="EN16" s="56">
        <f>Participantes!CT15</f>
        <v>1</v>
      </c>
      <c r="EO16" s="58">
        <f t="shared" si="47"/>
        <v>1</v>
      </c>
      <c r="EP16" s="56">
        <f>Participantes!CU15</f>
        <v>1</v>
      </c>
      <c r="EQ16" s="56">
        <f>Participantes!CV15</f>
        <v>2</v>
      </c>
      <c r="ER16" s="58">
        <f t="shared" si="48"/>
        <v>1</v>
      </c>
      <c r="ES16" s="56">
        <f>Participantes!CW15</f>
        <v>2</v>
      </c>
      <c r="ET16" s="56">
        <f>Participantes!CX15</f>
        <v>0</v>
      </c>
      <c r="EU16" s="58">
        <f t="shared" si="49"/>
        <v>1</v>
      </c>
      <c r="EV16" s="56">
        <f>Participantes!CY15</f>
        <v>2</v>
      </c>
      <c r="EW16" s="56">
        <f>Participantes!CZ15</f>
        <v>2</v>
      </c>
      <c r="EX16" s="58">
        <f t="shared" si="50"/>
        <v>0</v>
      </c>
      <c r="EY16" s="56">
        <f>Participantes!DA15</f>
        <v>1</v>
      </c>
      <c r="EZ16" s="56">
        <f>Participantes!DB15</f>
        <v>1</v>
      </c>
      <c r="FA16" s="58">
        <f t="shared" si="51"/>
        <v>0</v>
      </c>
      <c r="FB16" s="56">
        <f>Participantes!DC15</f>
        <v>0</v>
      </c>
      <c r="FC16" s="56">
        <f>Participantes!DD15</f>
        <v>1</v>
      </c>
      <c r="FD16" s="58">
        <f t="shared" si="52"/>
        <v>1</v>
      </c>
      <c r="FE16" s="56">
        <f>Participantes!DE15</f>
        <v>0</v>
      </c>
      <c r="FF16" s="56">
        <f>Participantes!DF15</f>
        <v>2</v>
      </c>
      <c r="FG16" s="58">
        <f t="shared" si="53"/>
        <v>0</v>
      </c>
      <c r="FH16" s="56">
        <f>Participantes!DG15</f>
        <v>0</v>
      </c>
      <c r="FI16" s="56">
        <f>Participantes!DH15</f>
        <v>1</v>
      </c>
      <c r="FJ16" s="58">
        <f t="shared" si="54"/>
        <v>1</v>
      </c>
      <c r="FK16" s="56">
        <f>Participantes!DI15</f>
        <v>2</v>
      </c>
      <c r="FL16" s="56">
        <f>Participantes!DJ15</f>
        <v>2</v>
      </c>
      <c r="FM16" s="58">
        <f t="shared" si="55"/>
        <v>0</v>
      </c>
      <c r="FN16" s="56">
        <f>Participantes!DK15</f>
        <v>1</v>
      </c>
      <c r="FO16" s="56">
        <f>Participantes!DL15</f>
        <v>0</v>
      </c>
      <c r="FP16" s="58">
        <f t="shared" si="56"/>
        <v>0</v>
      </c>
      <c r="FQ16" s="56">
        <f>Participantes!DM15</f>
        <v>0</v>
      </c>
      <c r="FR16" s="56">
        <f>Participantes!DN15</f>
        <v>1</v>
      </c>
      <c r="FS16" s="58">
        <f t="shared" si="57"/>
        <v>1</v>
      </c>
      <c r="FT16" s="56">
        <f>Participantes!DO15</f>
        <v>1</v>
      </c>
      <c r="FU16" s="56">
        <f>Participantes!DP15</f>
        <v>1</v>
      </c>
      <c r="FV16" s="58">
        <f t="shared" si="58"/>
        <v>0</v>
      </c>
      <c r="FW16" s="56">
        <f>Participantes!DQ15</f>
        <v>1</v>
      </c>
      <c r="FX16" s="56">
        <f>Participantes!DR15</f>
        <v>0</v>
      </c>
      <c r="FY16" s="58">
        <f t="shared" si="59"/>
        <v>0</v>
      </c>
      <c r="FZ16" s="56">
        <f>Participantes!DS15</f>
        <v>1</v>
      </c>
      <c r="GA16" s="56">
        <f>Participantes!DT15</f>
        <v>2</v>
      </c>
      <c r="GB16" s="58">
        <f t="shared" si="60"/>
        <v>1</v>
      </c>
      <c r="GC16" s="56">
        <f>Participantes!DU15</f>
        <v>2</v>
      </c>
      <c r="GD16" s="56">
        <f>Participantes!DV15</f>
        <v>1</v>
      </c>
      <c r="GE16" s="58">
        <f t="shared" si="61"/>
        <v>1</v>
      </c>
      <c r="GF16" s="56">
        <f>Participantes!DW15</f>
        <v>0</v>
      </c>
      <c r="GG16" s="56">
        <f>Participantes!DX15</f>
        <v>0</v>
      </c>
      <c r="GH16" s="58">
        <f t="shared" si="62"/>
        <v>1</v>
      </c>
      <c r="GI16" s="56">
        <f>Participantes!DY15</f>
        <v>0</v>
      </c>
      <c r="GJ16" s="56">
        <f>Participantes!DZ15</f>
        <v>2</v>
      </c>
      <c r="GK16" s="58">
        <f t="shared" si="63"/>
        <v>1</v>
      </c>
      <c r="GL16" s="56">
        <f>Participantes!EA15</f>
        <v>0</v>
      </c>
      <c r="GM16" s="56">
        <f>Participantes!EB15</f>
        <v>1</v>
      </c>
      <c r="GN16" s="58">
        <f t="shared" si="64"/>
        <v>0</v>
      </c>
      <c r="GO16" s="56">
        <f>Participantes!EC15</f>
        <v>1</v>
      </c>
      <c r="GP16" s="56">
        <f>Participantes!ED15</f>
        <v>2</v>
      </c>
      <c r="GQ16" s="58">
        <f t="shared" si="65"/>
        <v>1</v>
      </c>
      <c r="GR16" s="56">
        <f>Participantes!EE15</f>
        <v>2</v>
      </c>
      <c r="GS16" s="56">
        <f>Participantes!EF15</f>
        <v>4</v>
      </c>
      <c r="GT16" s="58" t="str">
        <f t="shared" si="66"/>
        <v/>
      </c>
      <c r="GU16" s="56">
        <f>Participantes!EG15</f>
        <v>3</v>
      </c>
      <c r="GV16" s="56">
        <f>Participantes!EH15</f>
        <v>0</v>
      </c>
      <c r="GW16" s="58" t="str">
        <f t="shared" si="67"/>
        <v/>
      </c>
      <c r="GX16" s="56">
        <f>Participantes!EI15</f>
        <v>1</v>
      </c>
      <c r="GY16" s="56">
        <f>Participantes!EJ15</f>
        <v>2</v>
      </c>
      <c r="GZ16" s="58" t="str">
        <f t="shared" si="68"/>
        <v/>
      </c>
      <c r="HA16" s="56">
        <f>Participantes!EK15</f>
        <v>1</v>
      </c>
      <c r="HB16" s="56">
        <f>Participantes!EL15</f>
        <v>3</v>
      </c>
      <c r="HC16" s="58" t="str">
        <f t="shared" si="69"/>
        <v/>
      </c>
      <c r="HD16" s="56">
        <f>Participantes!EM15</f>
        <v>2</v>
      </c>
      <c r="HE16" s="56">
        <f>Participantes!EN15</f>
        <v>2</v>
      </c>
      <c r="HF16" s="58" t="str">
        <f t="shared" si="70"/>
        <v/>
      </c>
      <c r="HG16" s="56">
        <f>Participantes!EO15</f>
        <v>1</v>
      </c>
      <c r="HH16" s="56">
        <f>Participantes!EP15</f>
        <v>2</v>
      </c>
      <c r="HI16" s="58" t="str">
        <f t="shared" si="71"/>
        <v/>
      </c>
      <c r="HJ16" s="59">
        <f t="shared" si="72"/>
        <v>43</v>
      </c>
    </row>
    <row r="17" spans="1:218" ht="15" customHeight="1" x14ac:dyDescent="0.25">
      <c r="A17" s="57" t="str">
        <f>Participantes!B16</f>
        <v>Isabel 2</v>
      </c>
      <c r="B17" s="56">
        <f>Participantes!C16</f>
        <v>1</v>
      </c>
      <c r="C17" s="56">
        <f>Participantes!D16</f>
        <v>0</v>
      </c>
      <c r="D17" s="58">
        <f t="shared" si="0"/>
        <v>1</v>
      </c>
      <c r="E17" s="56">
        <f>Participantes!E16</f>
        <v>2</v>
      </c>
      <c r="F17" s="56">
        <f>Participantes!F16</f>
        <v>0</v>
      </c>
      <c r="G17" s="58">
        <f t="shared" si="1"/>
        <v>1</v>
      </c>
      <c r="H17" s="56">
        <f>Participantes!G16</f>
        <v>2</v>
      </c>
      <c r="I17" s="56">
        <f>Participantes!H16</f>
        <v>1</v>
      </c>
      <c r="J17" s="58">
        <f t="shared" si="2"/>
        <v>0</v>
      </c>
      <c r="K17" s="56">
        <f>Participantes!I16</f>
        <v>3</v>
      </c>
      <c r="L17" s="56">
        <f>Participantes!J16</f>
        <v>1</v>
      </c>
      <c r="M17" s="58">
        <f t="shared" si="3"/>
        <v>1</v>
      </c>
      <c r="N17" s="56">
        <f>Participantes!K16</f>
        <v>0</v>
      </c>
      <c r="O17" s="56">
        <f>Participantes!L16</f>
        <v>2</v>
      </c>
      <c r="P17" s="58">
        <f t="shared" si="4"/>
        <v>1</v>
      </c>
      <c r="Q17" s="56">
        <f>Participantes!M16</f>
        <v>0</v>
      </c>
      <c r="R17" s="56">
        <f>Participantes!N16</f>
        <v>3</v>
      </c>
      <c r="S17" s="58">
        <f t="shared" si="5"/>
        <v>0</v>
      </c>
      <c r="T17" s="56">
        <f>Participantes!O16</f>
        <v>4</v>
      </c>
      <c r="U17" s="56">
        <f>Participantes!P16</f>
        <v>1</v>
      </c>
      <c r="V17" s="58">
        <f t="shared" si="6"/>
        <v>0</v>
      </c>
      <c r="W17" s="56">
        <f>Participantes!Q16</f>
        <v>0</v>
      </c>
      <c r="X17" s="56">
        <f>Participantes!R16</f>
        <v>1</v>
      </c>
      <c r="Y17" s="58">
        <f t="shared" si="7"/>
        <v>0</v>
      </c>
      <c r="Z17" s="56">
        <f>Participantes!S16</f>
        <v>1</v>
      </c>
      <c r="AA17" s="56">
        <f>Participantes!T16</f>
        <v>1</v>
      </c>
      <c r="AB17" s="58">
        <f t="shared" si="8"/>
        <v>0</v>
      </c>
      <c r="AC17" s="56">
        <f>Participantes!U16</f>
        <v>4</v>
      </c>
      <c r="AD17" s="56">
        <f>Participantes!V16</f>
        <v>0</v>
      </c>
      <c r="AE17" s="58">
        <f t="shared" si="9"/>
        <v>1</v>
      </c>
      <c r="AF17" s="56">
        <f>Participantes!W16</f>
        <v>2</v>
      </c>
      <c r="AG17" s="56">
        <f>Participantes!X16</f>
        <v>1</v>
      </c>
      <c r="AH17" s="58">
        <f t="shared" si="10"/>
        <v>0</v>
      </c>
      <c r="AI17" s="56">
        <f>Participantes!Y16</f>
        <v>3</v>
      </c>
      <c r="AJ17" s="56">
        <f>Participantes!Z16</f>
        <v>0</v>
      </c>
      <c r="AK17" s="58">
        <f t="shared" si="11"/>
        <v>1</v>
      </c>
      <c r="AL17" s="56">
        <f>Participantes!AA16</f>
        <v>0</v>
      </c>
      <c r="AM17" s="56">
        <f>Participantes!AB16</f>
        <v>1</v>
      </c>
      <c r="AN17" s="58">
        <f t="shared" si="12"/>
        <v>0</v>
      </c>
      <c r="AO17" s="56">
        <f>Participantes!AC16</f>
        <v>5</v>
      </c>
      <c r="AP17" s="56">
        <f>Participantes!AD16</f>
        <v>0</v>
      </c>
      <c r="AQ17" s="58">
        <f t="shared" si="13"/>
        <v>0</v>
      </c>
      <c r="AR17" s="56">
        <f>Participantes!AE16</f>
        <v>1</v>
      </c>
      <c r="AS17" s="56">
        <f>Participantes!AF16</f>
        <v>0</v>
      </c>
      <c r="AT17" s="58">
        <f t="shared" si="14"/>
        <v>0</v>
      </c>
      <c r="AU17" s="56">
        <f>Participantes!AG16</f>
        <v>2</v>
      </c>
      <c r="AV17" s="56">
        <f>Participantes!AH16</f>
        <v>0</v>
      </c>
      <c r="AW17" s="58">
        <f t="shared" si="15"/>
        <v>0</v>
      </c>
      <c r="AX17" s="56">
        <f>Participantes!AI16</f>
        <v>3</v>
      </c>
      <c r="AY17" s="56">
        <f>Participantes!AJ16</f>
        <v>1</v>
      </c>
      <c r="AZ17" s="58">
        <f t="shared" si="16"/>
        <v>3</v>
      </c>
      <c r="BA17" s="56">
        <f>Participantes!AK16</f>
        <v>0</v>
      </c>
      <c r="BB17" s="56">
        <f>Participantes!AL16</f>
        <v>2</v>
      </c>
      <c r="BC17" s="58">
        <f t="shared" si="17"/>
        <v>1</v>
      </c>
      <c r="BD17" s="56">
        <f>Participantes!AM16</f>
        <v>2</v>
      </c>
      <c r="BE17" s="56">
        <f>Participantes!AN16</f>
        <v>0</v>
      </c>
      <c r="BF17" s="58">
        <f t="shared" si="18"/>
        <v>1</v>
      </c>
      <c r="BG17" s="56">
        <f>Participantes!AO16</f>
        <v>1</v>
      </c>
      <c r="BH17" s="56">
        <f>Participantes!AP16</f>
        <v>0</v>
      </c>
      <c r="BI17" s="58">
        <f t="shared" si="19"/>
        <v>1</v>
      </c>
      <c r="BJ17" s="56">
        <f>Participantes!AQ16</f>
        <v>1</v>
      </c>
      <c r="BK17" s="56">
        <f>Participantes!AR16</f>
        <v>2</v>
      </c>
      <c r="BL17" s="58">
        <f t="shared" si="20"/>
        <v>0</v>
      </c>
      <c r="BM17" s="56">
        <f>Participantes!AS16</f>
        <v>3</v>
      </c>
      <c r="BN17" s="56">
        <f>Participantes!AT16</f>
        <v>2</v>
      </c>
      <c r="BO17" s="58">
        <f t="shared" si="21"/>
        <v>1</v>
      </c>
      <c r="BP17" s="56">
        <f>Participantes!AU16</f>
        <v>3</v>
      </c>
      <c r="BQ17" s="56">
        <f>Participantes!AV16</f>
        <v>0</v>
      </c>
      <c r="BR17" s="58">
        <f t="shared" si="22"/>
        <v>0</v>
      </c>
      <c r="BS17" s="56">
        <f>Participantes!AW16</f>
        <v>0</v>
      </c>
      <c r="BT17" s="56">
        <f>Participantes!AX16</f>
        <v>4</v>
      </c>
      <c r="BU17" s="58">
        <f t="shared" si="23"/>
        <v>1</v>
      </c>
      <c r="BV17" s="56">
        <f>Participantes!AY16</f>
        <v>1</v>
      </c>
      <c r="BW17" s="56">
        <f>Participantes!AZ16</f>
        <v>1</v>
      </c>
      <c r="BX17" s="58">
        <f t="shared" si="24"/>
        <v>3</v>
      </c>
      <c r="BY17" s="56">
        <f>Participantes!BA16</f>
        <v>2</v>
      </c>
      <c r="BZ17" s="56">
        <f>Participantes!BB16</f>
        <v>1</v>
      </c>
      <c r="CA17" s="58">
        <f t="shared" si="25"/>
        <v>1</v>
      </c>
      <c r="CB17" s="56">
        <f>Participantes!BC16</f>
        <v>2</v>
      </c>
      <c r="CC17" s="56">
        <f>Participantes!BD16</f>
        <v>1</v>
      </c>
      <c r="CD17" s="58">
        <f t="shared" si="26"/>
        <v>1</v>
      </c>
      <c r="CE17" s="56">
        <f>Participantes!BE16</f>
        <v>1</v>
      </c>
      <c r="CF17" s="56">
        <f>Participantes!BF16</f>
        <v>1</v>
      </c>
      <c r="CG17" s="58">
        <f t="shared" si="27"/>
        <v>0</v>
      </c>
      <c r="CH17" s="56">
        <f>Participantes!BG16</f>
        <v>3</v>
      </c>
      <c r="CI17" s="56">
        <f>Participantes!BH16</f>
        <v>0</v>
      </c>
      <c r="CJ17" s="58">
        <f t="shared" si="28"/>
        <v>3</v>
      </c>
      <c r="CK17" s="56">
        <f>Participantes!BI16</f>
        <v>1</v>
      </c>
      <c r="CL17" s="56">
        <f>Participantes!BJ16</f>
        <v>2</v>
      </c>
      <c r="CM17" s="58">
        <f t="shared" si="29"/>
        <v>1</v>
      </c>
      <c r="CN17" s="56">
        <f>Participantes!BK16</f>
        <v>1</v>
      </c>
      <c r="CO17" s="56">
        <f>Participantes!BL16</f>
        <v>0</v>
      </c>
      <c r="CP17" s="58">
        <f t="shared" si="30"/>
        <v>0</v>
      </c>
      <c r="CQ17" s="56">
        <f>Participantes!BM16</f>
        <v>2</v>
      </c>
      <c r="CR17" s="56">
        <f>Participantes!BN16</f>
        <v>0</v>
      </c>
      <c r="CS17" s="58">
        <f t="shared" si="31"/>
        <v>3</v>
      </c>
      <c r="CT17" s="56">
        <f>Participantes!BO16</f>
        <v>3</v>
      </c>
      <c r="CU17" s="56">
        <f>Participantes!BP16</f>
        <v>1</v>
      </c>
      <c r="CV17" s="58">
        <f t="shared" si="32"/>
        <v>1</v>
      </c>
      <c r="CW17" s="56">
        <f>Participantes!BQ16</f>
        <v>2</v>
      </c>
      <c r="CX17" s="56">
        <f>Participantes!BR16</f>
        <v>0</v>
      </c>
      <c r="CY17" s="58">
        <f t="shared" si="33"/>
        <v>0</v>
      </c>
      <c r="CZ17" s="56">
        <f>Participantes!BS16</f>
        <v>1</v>
      </c>
      <c r="DA17" s="56">
        <f>Participantes!BT16</f>
        <v>0</v>
      </c>
      <c r="DB17" s="58">
        <f t="shared" si="34"/>
        <v>1</v>
      </c>
      <c r="DC17" s="56">
        <f>Participantes!BU16</f>
        <v>0</v>
      </c>
      <c r="DD17" s="56">
        <f>Participantes!BV16</f>
        <v>1</v>
      </c>
      <c r="DE17" s="58">
        <f t="shared" si="35"/>
        <v>1</v>
      </c>
      <c r="DF17" s="56">
        <f>Participantes!BW16</f>
        <v>3</v>
      </c>
      <c r="DG17" s="56">
        <f>Participantes!BX16</f>
        <v>0</v>
      </c>
      <c r="DH17" s="58">
        <f t="shared" si="36"/>
        <v>0</v>
      </c>
      <c r="DI17" s="56">
        <f>Participantes!BY16</f>
        <v>4</v>
      </c>
      <c r="DJ17" s="56">
        <f>Participantes!BZ16</f>
        <v>1</v>
      </c>
      <c r="DK17" s="58">
        <f t="shared" si="37"/>
        <v>1</v>
      </c>
      <c r="DL17" s="56">
        <f>Participantes!CA16</f>
        <v>2</v>
      </c>
      <c r="DM17" s="56">
        <f>Participantes!CB16</f>
        <v>0</v>
      </c>
      <c r="DN17" s="58">
        <f t="shared" si="38"/>
        <v>0</v>
      </c>
      <c r="DO17" s="56">
        <f>Participantes!CC16</f>
        <v>0</v>
      </c>
      <c r="DP17" s="56">
        <f>Participantes!CD16</f>
        <v>1</v>
      </c>
      <c r="DQ17" s="58">
        <f t="shared" si="39"/>
        <v>1</v>
      </c>
      <c r="DR17" s="56">
        <f>Participantes!CE16</f>
        <v>2</v>
      </c>
      <c r="DS17" s="56">
        <f>Participantes!CF16</f>
        <v>1</v>
      </c>
      <c r="DT17" s="58">
        <f t="shared" si="40"/>
        <v>1</v>
      </c>
      <c r="DU17" s="56">
        <f>Participantes!CG16</f>
        <v>4</v>
      </c>
      <c r="DV17" s="56">
        <f>Participantes!CH16</f>
        <v>0</v>
      </c>
      <c r="DW17" s="58">
        <f t="shared" si="41"/>
        <v>1</v>
      </c>
      <c r="DX17" s="56">
        <f>Participantes!CI16</f>
        <v>2</v>
      </c>
      <c r="DY17" s="56">
        <f>Participantes!CJ16</f>
        <v>0</v>
      </c>
      <c r="DZ17" s="58">
        <f t="shared" si="42"/>
        <v>3</v>
      </c>
      <c r="EA17" s="56">
        <f>Participantes!CK16</f>
        <v>0</v>
      </c>
      <c r="EB17" s="56">
        <f>Participantes!CL16</f>
        <v>1</v>
      </c>
      <c r="EC17" s="58">
        <f t="shared" si="43"/>
        <v>1</v>
      </c>
      <c r="ED17" s="56">
        <f>Participantes!CM16</f>
        <v>3</v>
      </c>
      <c r="EE17" s="56">
        <f>Participantes!CN16</f>
        <v>0</v>
      </c>
      <c r="EF17" s="58">
        <f t="shared" si="44"/>
        <v>0</v>
      </c>
      <c r="EG17" s="56">
        <f>Participantes!CO16</f>
        <v>0</v>
      </c>
      <c r="EH17" s="56">
        <f>Participantes!CP16</f>
        <v>2</v>
      </c>
      <c r="EI17" s="58">
        <f t="shared" si="45"/>
        <v>1</v>
      </c>
      <c r="EJ17" s="56">
        <f>Participantes!CQ16</f>
        <v>5</v>
      </c>
      <c r="EK17" s="56">
        <f>Participantes!CR16</f>
        <v>1</v>
      </c>
      <c r="EL17" s="58">
        <f t="shared" si="46"/>
        <v>1</v>
      </c>
      <c r="EM17" s="56">
        <f>Participantes!CS16</f>
        <v>2</v>
      </c>
      <c r="EN17" s="56">
        <f>Participantes!CT16</f>
        <v>0</v>
      </c>
      <c r="EO17" s="58">
        <f t="shared" si="47"/>
        <v>1</v>
      </c>
      <c r="EP17" s="56">
        <f>Participantes!CU16</f>
        <v>1</v>
      </c>
      <c r="EQ17" s="56">
        <f>Participantes!CV16</f>
        <v>2</v>
      </c>
      <c r="ER17" s="58">
        <f t="shared" si="48"/>
        <v>1</v>
      </c>
      <c r="ES17" s="56">
        <f>Participantes!CW16</f>
        <v>3</v>
      </c>
      <c r="ET17" s="56">
        <f>Participantes!CX16</f>
        <v>1</v>
      </c>
      <c r="EU17" s="58">
        <f t="shared" si="49"/>
        <v>1</v>
      </c>
      <c r="EV17" s="56">
        <f>Participantes!CY16</f>
        <v>2</v>
      </c>
      <c r="EW17" s="56">
        <f>Participantes!CZ16</f>
        <v>1</v>
      </c>
      <c r="EX17" s="58">
        <f t="shared" si="50"/>
        <v>3</v>
      </c>
      <c r="EY17" s="56">
        <f>Participantes!DA16</f>
        <v>0</v>
      </c>
      <c r="EZ17" s="56">
        <f>Participantes!DB16</f>
        <v>0</v>
      </c>
      <c r="FA17" s="58">
        <f t="shared" si="51"/>
        <v>0</v>
      </c>
      <c r="FB17" s="56">
        <f>Participantes!DC16</f>
        <v>0</v>
      </c>
      <c r="FC17" s="56">
        <f>Participantes!DD16</f>
        <v>1</v>
      </c>
      <c r="FD17" s="58">
        <f t="shared" si="52"/>
        <v>1</v>
      </c>
      <c r="FE17" s="56">
        <f>Participantes!DE16</f>
        <v>1</v>
      </c>
      <c r="FF17" s="56">
        <f>Participantes!DF16</f>
        <v>1</v>
      </c>
      <c r="FG17" s="58">
        <f t="shared" si="53"/>
        <v>0</v>
      </c>
      <c r="FH17" s="56">
        <f>Participantes!DG16</f>
        <v>1</v>
      </c>
      <c r="FI17" s="56">
        <f>Participantes!DH16</f>
        <v>2</v>
      </c>
      <c r="FJ17" s="58">
        <f t="shared" si="54"/>
        <v>1</v>
      </c>
      <c r="FK17" s="56">
        <f>Participantes!DI16</f>
        <v>2</v>
      </c>
      <c r="FL17" s="56">
        <f>Participantes!DJ16</f>
        <v>2</v>
      </c>
      <c r="FM17" s="58">
        <f t="shared" si="55"/>
        <v>0</v>
      </c>
      <c r="FN17" s="56">
        <f>Participantes!DK16</f>
        <v>0</v>
      </c>
      <c r="FO17" s="56">
        <f>Participantes!DL16</f>
        <v>1</v>
      </c>
      <c r="FP17" s="58">
        <f t="shared" si="56"/>
        <v>0</v>
      </c>
      <c r="FQ17" s="56">
        <f>Participantes!DM16</f>
        <v>0</v>
      </c>
      <c r="FR17" s="56">
        <f>Participantes!DN16</f>
        <v>2</v>
      </c>
      <c r="FS17" s="58">
        <f t="shared" si="57"/>
        <v>1</v>
      </c>
      <c r="FT17" s="56">
        <f>Participantes!DO16</f>
        <v>2</v>
      </c>
      <c r="FU17" s="56">
        <f>Participantes!DP16</f>
        <v>2</v>
      </c>
      <c r="FV17" s="58">
        <f t="shared" si="58"/>
        <v>0</v>
      </c>
      <c r="FW17" s="56">
        <f>Participantes!DQ16</f>
        <v>1</v>
      </c>
      <c r="FX17" s="56">
        <f>Participantes!DR16</f>
        <v>0</v>
      </c>
      <c r="FY17" s="58">
        <f t="shared" si="59"/>
        <v>0</v>
      </c>
      <c r="FZ17" s="56">
        <f>Participantes!DS16</f>
        <v>1</v>
      </c>
      <c r="GA17" s="56">
        <f>Participantes!DT16</f>
        <v>3</v>
      </c>
      <c r="GB17" s="58">
        <f t="shared" si="60"/>
        <v>1</v>
      </c>
      <c r="GC17" s="56">
        <f>Participantes!DU16</f>
        <v>1</v>
      </c>
      <c r="GD17" s="56">
        <f>Participantes!DV16</f>
        <v>0</v>
      </c>
      <c r="GE17" s="58">
        <f t="shared" si="61"/>
        <v>1</v>
      </c>
      <c r="GF17" s="56">
        <f>Participantes!DW16</f>
        <v>0</v>
      </c>
      <c r="GG17" s="56">
        <f>Participantes!DX16</f>
        <v>0</v>
      </c>
      <c r="GH17" s="58">
        <f t="shared" si="62"/>
        <v>1</v>
      </c>
      <c r="GI17" s="56">
        <f>Participantes!DY16</f>
        <v>0</v>
      </c>
      <c r="GJ17" s="56">
        <f>Participantes!DZ16</f>
        <v>3</v>
      </c>
      <c r="GK17" s="58">
        <f t="shared" si="63"/>
        <v>1</v>
      </c>
      <c r="GL17" s="56">
        <f>Participantes!EA16</f>
        <v>0</v>
      </c>
      <c r="GM17" s="56">
        <f>Participantes!EB16</f>
        <v>2</v>
      </c>
      <c r="GN17" s="58">
        <f t="shared" si="64"/>
        <v>0</v>
      </c>
      <c r="GO17" s="56">
        <f>Participantes!EC16</f>
        <v>2</v>
      </c>
      <c r="GP17" s="56">
        <f>Participantes!ED16</f>
        <v>3</v>
      </c>
      <c r="GQ17" s="58">
        <f t="shared" si="65"/>
        <v>1</v>
      </c>
      <c r="GR17" s="56">
        <f>Participantes!EE16</f>
        <v>0</v>
      </c>
      <c r="GS17" s="56">
        <f>Participantes!EF16</f>
        <v>3</v>
      </c>
      <c r="GT17" s="58" t="str">
        <f t="shared" si="66"/>
        <v/>
      </c>
      <c r="GU17" s="56">
        <f>Participantes!EG16</f>
        <v>2</v>
      </c>
      <c r="GV17" s="56">
        <f>Participantes!EH16</f>
        <v>1</v>
      </c>
      <c r="GW17" s="58" t="str">
        <f t="shared" si="67"/>
        <v/>
      </c>
      <c r="GX17" s="56">
        <f>Participantes!EI16</f>
        <v>0</v>
      </c>
      <c r="GY17" s="56">
        <f>Participantes!EJ16</f>
        <v>0</v>
      </c>
      <c r="GZ17" s="58" t="str">
        <f t="shared" si="68"/>
        <v/>
      </c>
      <c r="HA17" s="56">
        <f>Participantes!EK16</f>
        <v>0</v>
      </c>
      <c r="HB17" s="56">
        <f>Participantes!EL16</f>
        <v>4</v>
      </c>
      <c r="HC17" s="58" t="str">
        <f t="shared" si="69"/>
        <v/>
      </c>
      <c r="HD17" s="56">
        <f>Participantes!EM16</f>
        <v>2</v>
      </c>
      <c r="HE17" s="56">
        <f>Participantes!EN16</f>
        <v>2</v>
      </c>
      <c r="HF17" s="58" t="str">
        <f t="shared" si="70"/>
        <v/>
      </c>
      <c r="HG17" s="56">
        <f>Participantes!EO16</f>
        <v>0</v>
      </c>
      <c r="HH17" s="56">
        <f>Participantes!EP16</f>
        <v>1</v>
      </c>
      <c r="HI17" s="58" t="str">
        <f t="shared" si="71"/>
        <v/>
      </c>
      <c r="HJ17" s="59">
        <f t="shared" si="72"/>
        <v>53</v>
      </c>
    </row>
    <row r="18" spans="1:218" ht="15" customHeight="1" x14ac:dyDescent="0.25">
      <c r="A18" s="57" t="str">
        <f>Participantes!B17</f>
        <v>Javier</v>
      </c>
      <c r="B18" s="56">
        <f>Participantes!C17</f>
        <v>2</v>
      </c>
      <c r="C18" s="56">
        <f>Participantes!D17</f>
        <v>0</v>
      </c>
      <c r="D18" s="58">
        <f t="shared" si="0"/>
        <v>3</v>
      </c>
      <c r="E18" s="56">
        <f>Participantes!E17</f>
        <v>3</v>
      </c>
      <c r="F18" s="56">
        <f>Participantes!F17</f>
        <v>1</v>
      </c>
      <c r="G18" s="58">
        <f t="shared" si="1"/>
        <v>1</v>
      </c>
      <c r="H18" s="56">
        <f>Participantes!G17</f>
        <v>2</v>
      </c>
      <c r="I18" s="56">
        <f>Participantes!H17</f>
        <v>1</v>
      </c>
      <c r="J18" s="58">
        <f t="shared" si="2"/>
        <v>0</v>
      </c>
      <c r="K18" s="56">
        <f>Participantes!I17</f>
        <v>2</v>
      </c>
      <c r="L18" s="56">
        <f>Participantes!J17</f>
        <v>1</v>
      </c>
      <c r="M18" s="58">
        <f t="shared" si="3"/>
        <v>1</v>
      </c>
      <c r="N18" s="56">
        <f>Participantes!K17</f>
        <v>1</v>
      </c>
      <c r="O18" s="56">
        <f>Participantes!L17</f>
        <v>1</v>
      </c>
      <c r="P18" s="58">
        <f t="shared" si="4"/>
        <v>0</v>
      </c>
      <c r="Q18" s="56">
        <f>Participantes!M17</f>
        <v>1</v>
      </c>
      <c r="R18" s="56">
        <f>Participantes!N17</f>
        <v>2</v>
      </c>
      <c r="S18" s="58">
        <f t="shared" si="5"/>
        <v>0</v>
      </c>
      <c r="T18" s="56">
        <f>Participantes!O17</f>
        <v>2</v>
      </c>
      <c r="U18" s="56">
        <f>Participantes!P17</f>
        <v>1</v>
      </c>
      <c r="V18" s="58">
        <f t="shared" si="6"/>
        <v>0</v>
      </c>
      <c r="W18" s="56">
        <f>Participantes!Q17</f>
        <v>1</v>
      </c>
      <c r="X18" s="56">
        <f>Participantes!R17</f>
        <v>1</v>
      </c>
      <c r="Y18" s="58">
        <f t="shared" si="7"/>
        <v>3</v>
      </c>
      <c r="Z18" s="56">
        <f>Participantes!S17</f>
        <v>1</v>
      </c>
      <c r="AA18" s="56">
        <f>Participantes!T17</f>
        <v>1</v>
      </c>
      <c r="AB18" s="58">
        <f t="shared" si="8"/>
        <v>0</v>
      </c>
      <c r="AC18" s="56">
        <f>Participantes!U17</f>
        <v>3</v>
      </c>
      <c r="AD18" s="56">
        <f>Participantes!V17</f>
        <v>1</v>
      </c>
      <c r="AE18" s="58">
        <f t="shared" si="9"/>
        <v>1</v>
      </c>
      <c r="AF18" s="56">
        <f>Participantes!W17</f>
        <v>2</v>
      </c>
      <c r="AG18" s="56">
        <f>Participantes!X17</f>
        <v>1</v>
      </c>
      <c r="AH18" s="58">
        <f t="shared" si="10"/>
        <v>0</v>
      </c>
      <c r="AI18" s="56">
        <f>Participantes!Y17</f>
        <v>1</v>
      </c>
      <c r="AJ18" s="56">
        <f>Participantes!Z17</f>
        <v>1</v>
      </c>
      <c r="AK18" s="58">
        <f t="shared" si="11"/>
        <v>0</v>
      </c>
      <c r="AL18" s="56">
        <f>Participantes!AA17</f>
        <v>5</v>
      </c>
      <c r="AM18" s="56">
        <f>Participantes!AB17</f>
        <v>2</v>
      </c>
      <c r="AN18" s="58">
        <f t="shared" si="12"/>
        <v>0</v>
      </c>
      <c r="AO18" s="56">
        <f>Participantes!AC17</f>
        <v>3</v>
      </c>
      <c r="AP18" s="56">
        <f>Participantes!AD17</f>
        <v>0</v>
      </c>
      <c r="AQ18" s="58">
        <f t="shared" si="13"/>
        <v>0</v>
      </c>
      <c r="AR18" s="56">
        <f>Participantes!AE17</f>
        <v>1</v>
      </c>
      <c r="AS18" s="56">
        <f>Participantes!AF17</f>
        <v>2</v>
      </c>
      <c r="AT18" s="58">
        <f t="shared" si="14"/>
        <v>0</v>
      </c>
      <c r="AU18" s="56">
        <f>Participantes!AG17</f>
        <v>2</v>
      </c>
      <c r="AV18" s="56">
        <f>Participantes!AH17</f>
        <v>1</v>
      </c>
      <c r="AW18" s="58">
        <f t="shared" si="15"/>
        <v>0</v>
      </c>
      <c r="AX18" s="56">
        <f>Participantes!AI17</f>
        <v>2</v>
      </c>
      <c r="AY18" s="56">
        <f>Participantes!AJ17</f>
        <v>1</v>
      </c>
      <c r="AZ18" s="58">
        <f t="shared" si="16"/>
        <v>1</v>
      </c>
      <c r="BA18" s="56">
        <f>Participantes!AK17</f>
        <v>3</v>
      </c>
      <c r="BB18" s="56">
        <f>Participantes!AL17</f>
        <v>2</v>
      </c>
      <c r="BC18" s="58">
        <f t="shared" si="17"/>
        <v>0</v>
      </c>
      <c r="BD18" s="56">
        <f>Participantes!AM17</f>
        <v>3</v>
      </c>
      <c r="BE18" s="56">
        <f>Participantes!AN17</f>
        <v>0</v>
      </c>
      <c r="BF18" s="58">
        <f t="shared" si="18"/>
        <v>3</v>
      </c>
      <c r="BG18" s="56">
        <f>Participantes!AO17</f>
        <v>3</v>
      </c>
      <c r="BH18" s="56">
        <f>Participantes!AP17</f>
        <v>1</v>
      </c>
      <c r="BI18" s="58">
        <f t="shared" si="19"/>
        <v>3</v>
      </c>
      <c r="BJ18" s="56">
        <f>Participantes!AQ17</f>
        <v>1</v>
      </c>
      <c r="BK18" s="56">
        <f>Participantes!AR17</f>
        <v>2</v>
      </c>
      <c r="BL18" s="58">
        <f t="shared" si="20"/>
        <v>0</v>
      </c>
      <c r="BM18" s="56">
        <f>Participantes!AS17</f>
        <v>3</v>
      </c>
      <c r="BN18" s="56">
        <f>Participantes!AT17</f>
        <v>2</v>
      </c>
      <c r="BO18" s="58">
        <f t="shared" si="21"/>
        <v>1</v>
      </c>
      <c r="BP18" s="56">
        <f>Participantes!AU17</f>
        <v>4</v>
      </c>
      <c r="BQ18" s="56">
        <f>Participantes!AV17</f>
        <v>0</v>
      </c>
      <c r="BR18" s="58">
        <f t="shared" si="22"/>
        <v>0</v>
      </c>
      <c r="BS18" s="56">
        <f>Participantes!AW17</f>
        <v>5</v>
      </c>
      <c r="BT18" s="56">
        <f>Participantes!AX17</f>
        <v>2</v>
      </c>
      <c r="BU18" s="58">
        <f t="shared" si="23"/>
        <v>0</v>
      </c>
      <c r="BV18" s="56">
        <f>Participantes!AY17</f>
        <v>1</v>
      </c>
      <c r="BW18" s="56">
        <f>Participantes!AZ17</f>
        <v>1</v>
      </c>
      <c r="BX18" s="58">
        <f t="shared" si="24"/>
        <v>3</v>
      </c>
      <c r="BY18" s="56">
        <f>Participantes!BA17</f>
        <v>4</v>
      </c>
      <c r="BZ18" s="56">
        <f>Participantes!BB17</f>
        <v>1</v>
      </c>
      <c r="CA18" s="58">
        <f t="shared" si="25"/>
        <v>3</v>
      </c>
      <c r="CB18" s="56">
        <f>Participantes!BC17</f>
        <v>2</v>
      </c>
      <c r="CC18" s="56">
        <f>Participantes!BD17</f>
        <v>1</v>
      </c>
      <c r="CD18" s="58">
        <f t="shared" si="26"/>
        <v>1</v>
      </c>
      <c r="CE18" s="56">
        <f>Participantes!BE17</f>
        <v>1</v>
      </c>
      <c r="CF18" s="56">
        <f>Participantes!BF17</f>
        <v>2</v>
      </c>
      <c r="CG18" s="58">
        <f t="shared" si="27"/>
        <v>0</v>
      </c>
      <c r="CH18" s="56">
        <f>Participantes!BG17</f>
        <v>3</v>
      </c>
      <c r="CI18" s="56">
        <f>Participantes!BH17</f>
        <v>1</v>
      </c>
      <c r="CJ18" s="58">
        <f t="shared" si="28"/>
        <v>1</v>
      </c>
      <c r="CK18" s="56">
        <f>Participantes!BI17</f>
        <v>4</v>
      </c>
      <c r="CL18" s="56">
        <f>Participantes!BJ17</f>
        <v>2</v>
      </c>
      <c r="CM18" s="58">
        <f t="shared" si="29"/>
        <v>0</v>
      </c>
      <c r="CN18" s="56">
        <f>Participantes!BK17</f>
        <v>5</v>
      </c>
      <c r="CO18" s="56">
        <f>Participantes!BL17</f>
        <v>2</v>
      </c>
      <c r="CP18" s="58">
        <f t="shared" si="30"/>
        <v>0</v>
      </c>
      <c r="CQ18" s="56">
        <f>Participantes!BM17</f>
        <v>3</v>
      </c>
      <c r="CR18" s="56">
        <f>Participantes!BN17</f>
        <v>2</v>
      </c>
      <c r="CS18" s="58">
        <f t="shared" si="31"/>
        <v>1</v>
      </c>
      <c r="CT18" s="56">
        <f>Participantes!BO17</f>
        <v>0</v>
      </c>
      <c r="CU18" s="56">
        <f>Participantes!BP17</f>
        <v>2</v>
      </c>
      <c r="CV18" s="58">
        <f t="shared" si="32"/>
        <v>0</v>
      </c>
      <c r="CW18" s="56">
        <f>Participantes!BQ17</f>
        <v>2</v>
      </c>
      <c r="CX18" s="56">
        <f>Participantes!BR17</f>
        <v>3</v>
      </c>
      <c r="CY18" s="58">
        <f t="shared" si="33"/>
        <v>0</v>
      </c>
      <c r="CZ18" s="56">
        <f>Participantes!BS17</f>
        <v>1</v>
      </c>
      <c r="DA18" s="56">
        <f>Participantes!BT17</f>
        <v>2</v>
      </c>
      <c r="DB18" s="58">
        <f t="shared" si="34"/>
        <v>0</v>
      </c>
      <c r="DC18" s="56">
        <f>Participantes!BU17</f>
        <v>1</v>
      </c>
      <c r="DD18" s="56">
        <f>Participantes!BV17</f>
        <v>5</v>
      </c>
      <c r="DE18" s="58">
        <f t="shared" si="35"/>
        <v>1</v>
      </c>
      <c r="DF18" s="56">
        <f>Participantes!BW17</f>
        <v>2</v>
      </c>
      <c r="DG18" s="56">
        <f>Participantes!BX17</f>
        <v>4</v>
      </c>
      <c r="DH18" s="58">
        <f t="shared" si="36"/>
        <v>0</v>
      </c>
      <c r="DI18" s="56">
        <f>Participantes!BY17</f>
        <v>3</v>
      </c>
      <c r="DJ18" s="56">
        <f>Participantes!BZ17</f>
        <v>2</v>
      </c>
      <c r="DK18" s="58">
        <f t="shared" si="37"/>
        <v>1</v>
      </c>
      <c r="DL18" s="56">
        <f>Participantes!CA17</f>
        <v>2</v>
      </c>
      <c r="DM18" s="56">
        <f>Participantes!CB17</f>
        <v>1</v>
      </c>
      <c r="DN18" s="58">
        <f t="shared" si="38"/>
        <v>0</v>
      </c>
      <c r="DO18" s="56">
        <f>Participantes!CC17</f>
        <v>1</v>
      </c>
      <c r="DP18" s="56">
        <f>Participantes!CD17</f>
        <v>0</v>
      </c>
      <c r="DQ18" s="58">
        <f t="shared" si="39"/>
        <v>0</v>
      </c>
      <c r="DR18" s="56">
        <f>Participantes!CE17</f>
        <v>2</v>
      </c>
      <c r="DS18" s="56">
        <f>Participantes!CF17</f>
        <v>1</v>
      </c>
      <c r="DT18" s="58">
        <f t="shared" si="40"/>
        <v>1</v>
      </c>
      <c r="DU18" s="56">
        <f>Participantes!CG17</f>
        <v>3</v>
      </c>
      <c r="DV18" s="56">
        <f>Participantes!CH17</f>
        <v>3</v>
      </c>
      <c r="DW18" s="58">
        <f t="shared" si="41"/>
        <v>0</v>
      </c>
      <c r="DX18" s="56">
        <f>Participantes!CI17</f>
        <v>2</v>
      </c>
      <c r="DY18" s="56">
        <f>Participantes!CJ17</f>
        <v>2</v>
      </c>
      <c r="DZ18" s="58">
        <f t="shared" si="42"/>
        <v>0</v>
      </c>
      <c r="EA18" s="56">
        <f>Participantes!CK17</f>
        <v>1</v>
      </c>
      <c r="EB18" s="56">
        <f>Participantes!CL17</f>
        <v>3</v>
      </c>
      <c r="EC18" s="58">
        <f t="shared" si="43"/>
        <v>1</v>
      </c>
      <c r="ED18" s="56">
        <f>Participantes!CM17</f>
        <v>2</v>
      </c>
      <c r="EE18" s="56">
        <f>Participantes!CN17</f>
        <v>2</v>
      </c>
      <c r="EF18" s="58">
        <f t="shared" si="44"/>
        <v>1</v>
      </c>
      <c r="EG18" s="56">
        <f>Participantes!CO17</f>
        <v>3</v>
      </c>
      <c r="EH18" s="56">
        <f>Participantes!CP17</f>
        <v>3</v>
      </c>
      <c r="EI18" s="58">
        <f t="shared" si="45"/>
        <v>0</v>
      </c>
      <c r="EJ18" s="56">
        <f>Participantes!CQ17</f>
        <v>0</v>
      </c>
      <c r="EK18" s="56">
        <f>Participantes!CR17</f>
        <v>0</v>
      </c>
      <c r="EL18" s="58">
        <f t="shared" si="46"/>
        <v>0</v>
      </c>
      <c r="EM18" s="56">
        <f>Participantes!CS17</f>
        <v>2</v>
      </c>
      <c r="EN18" s="56">
        <f>Participantes!CT17</f>
        <v>1</v>
      </c>
      <c r="EO18" s="58">
        <f t="shared" si="47"/>
        <v>1</v>
      </c>
      <c r="EP18" s="56">
        <f>Participantes!CU17</f>
        <v>1</v>
      </c>
      <c r="EQ18" s="56">
        <f>Participantes!CV17</f>
        <v>3</v>
      </c>
      <c r="ER18" s="58">
        <f t="shared" si="48"/>
        <v>1</v>
      </c>
      <c r="ES18" s="56">
        <f>Participantes!CW17</f>
        <v>2</v>
      </c>
      <c r="ET18" s="56">
        <f>Participantes!CX17</f>
        <v>0</v>
      </c>
      <c r="EU18" s="58">
        <f t="shared" si="49"/>
        <v>1</v>
      </c>
      <c r="EV18" s="56">
        <f>Participantes!CY17</f>
        <v>1</v>
      </c>
      <c r="EW18" s="56">
        <f>Participantes!CZ17</f>
        <v>1</v>
      </c>
      <c r="EX18" s="58">
        <f t="shared" si="50"/>
        <v>0</v>
      </c>
      <c r="EY18" s="56">
        <f>Participantes!DA17</f>
        <v>2</v>
      </c>
      <c r="EZ18" s="56">
        <f>Participantes!DB17</f>
        <v>1</v>
      </c>
      <c r="FA18" s="58">
        <f t="shared" si="51"/>
        <v>1</v>
      </c>
      <c r="FB18" s="56">
        <f>Participantes!DC17</f>
        <v>1</v>
      </c>
      <c r="FC18" s="56">
        <f>Participantes!DD17</f>
        <v>2</v>
      </c>
      <c r="FD18" s="58">
        <f t="shared" si="52"/>
        <v>1</v>
      </c>
      <c r="FE18" s="56">
        <f>Participantes!DE17</f>
        <v>2</v>
      </c>
      <c r="FF18" s="56">
        <f>Participantes!DF17</f>
        <v>2</v>
      </c>
      <c r="FG18" s="58">
        <f t="shared" si="53"/>
        <v>0</v>
      </c>
      <c r="FH18" s="56">
        <f>Participantes!DG17</f>
        <v>1</v>
      </c>
      <c r="FI18" s="56">
        <f>Participantes!DH17</f>
        <v>2</v>
      </c>
      <c r="FJ18" s="58">
        <f t="shared" si="54"/>
        <v>1</v>
      </c>
      <c r="FK18" s="56">
        <f>Participantes!DI17</f>
        <v>1</v>
      </c>
      <c r="FL18" s="56">
        <f>Participantes!DJ17</f>
        <v>2</v>
      </c>
      <c r="FM18" s="58">
        <f t="shared" si="55"/>
        <v>0</v>
      </c>
      <c r="FN18" s="56">
        <f>Participantes!DK17</f>
        <v>1</v>
      </c>
      <c r="FO18" s="56">
        <f>Participantes!DL17</f>
        <v>1</v>
      </c>
      <c r="FP18" s="58">
        <f t="shared" si="56"/>
        <v>3</v>
      </c>
      <c r="FQ18" s="56">
        <f>Participantes!DM17</f>
        <v>0</v>
      </c>
      <c r="FR18" s="56">
        <f>Participantes!DN17</f>
        <v>2</v>
      </c>
      <c r="FS18" s="58">
        <f t="shared" si="57"/>
        <v>1</v>
      </c>
      <c r="FT18" s="56">
        <f>Participantes!DO17</f>
        <v>1</v>
      </c>
      <c r="FU18" s="56">
        <f>Participantes!DP17</f>
        <v>1</v>
      </c>
      <c r="FV18" s="58">
        <f t="shared" si="58"/>
        <v>0</v>
      </c>
      <c r="FW18" s="56">
        <f>Participantes!DQ17</f>
        <v>1</v>
      </c>
      <c r="FX18" s="56">
        <f>Participantes!DR17</f>
        <v>1</v>
      </c>
      <c r="FY18" s="58">
        <f t="shared" si="59"/>
        <v>1</v>
      </c>
      <c r="FZ18" s="56">
        <f>Participantes!DS17</f>
        <v>1</v>
      </c>
      <c r="GA18" s="56">
        <f>Participantes!DT17</f>
        <v>2</v>
      </c>
      <c r="GB18" s="58">
        <f t="shared" si="60"/>
        <v>1</v>
      </c>
      <c r="GC18" s="56">
        <f>Participantes!DU17</f>
        <v>2</v>
      </c>
      <c r="GD18" s="56">
        <f>Participantes!DV17</f>
        <v>0</v>
      </c>
      <c r="GE18" s="58">
        <f t="shared" si="61"/>
        <v>1</v>
      </c>
      <c r="GF18" s="56">
        <f>Participantes!DW17</f>
        <v>1</v>
      </c>
      <c r="GG18" s="56">
        <f>Participantes!DX17</f>
        <v>1</v>
      </c>
      <c r="GH18" s="58">
        <f t="shared" si="62"/>
        <v>3</v>
      </c>
      <c r="GI18" s="56">
        <f>Participantes!DY17</f>
        <v>0</v>
      </c>
      <c r="GJ18" s="56">
        <f>Participantes!DZ17</f>
        <v>2</v>
      </c>
      <c r="GK18" s="58">
        <f t="shared" si="63"/>
        <v>1</v>
      </c>
      <c r="GL18" s="56">
        <f>Participantes!EA17</f>
        <v>1</v>
      </c>
      <c r="GM18" s="56">
        <f>Participantes!EB17</f>
        <v>2</v>
      </c>
      <c r="GN18" s="58">
        <f t="shared" si="64"/>
        <v>0</v>
      </c>
      <c r="GO18" s="56">
        <f>Participantes!EC17</f>
        <v>1</v>
      </c>
      <c r="GP18" s="56">
        <f>Participantes!ED17</f>
        <v>1</v>
      </c>
      <c r="GQ18" s="58">
        <f t="shared" si="65"/>
        <v>0</v>
      </c>
      <c r="GR18" s="56">
        <f>Participantes!EE17</f>
        <v>1</v>
      </c>
      <c r="GS18" s="56">
        <f>Participantes!EF17</f>
        <v>3</v>
      </c>
      <c r="GT18" s="58" t="str">
        <f t="shared" si="66"/>
        <v/>
      </c>
      <c r="GU18" s="56">
        <f>Participantes!EG17</f>
        <v>3</v>
      </c>
      <c r="GV18" s="56">
        <f>Participantes!EH17</f>
        <v>1</v>
      </c>
      <c r="GW18" s="58" t="str">
        <f t="shared" si="67"/>
        <v/>
      </c>
      <c r="GX18" s="56">
        <f>Participantes!EI17</f>
        <v>1</v>
      </c>
      <c r="GY18" s="56">
        <f>Participantes!EJ17</f>
        <v>1</v>
      </c>
      <c r="GZ18" s="58" t="str">
        <f t="shared" si="68"/>
        <v/>
      </c>
      <c r="HA18" s="56">
        <f>Participantes!EK17</f>
        <v>0</v>
      </c>
      <c r="HB18" s="56">
        <f>Participantes!EL17</f>
        <v>2</v>
      </c>
      <c r="HC18" s="58" t="str">
        <f t="shared" si="69"/>
        <v/>
      </c>
      <c r="HD18" s="56">
        <f>Participantes!EM17</f>
        <v>1</v>
      </c>
      <c r="HE18" s="56">
        <f>Participantes!EN17</f>
        <v>2</v>
      </c>
      <c r="HF18" s="58" t="str">
        <f t="shared" si="70"/>
        <v/>
      </c>
      <c r="HG18" s="56">
        <f>Participantes!EO17</f>
        <v>1</v>
      </c>
      <c r="HH18" s="56">
        <f>Participantes!EP17</f>
        <v>1</v>
      </c>
      <c r="HI18" s="58" t="str">
        <f t="shared" si="71"/>
        <v/>
      </c>
      <c r="HJ18" s="59">
        <f t="shared" si="72"/>
        <v>48</v>
      </c>
    </row>
    <row r="19" spans="1:218" ht="15" customHeight="1" x14ac:dyDescent="0.25">
      <c r="A19" s="57" t="str">
        <f>Participantes!B18</f>
        <v>Jose C 1</v>
      </c>
      <c r="B19" s="56">
        <f>Participantes!C18</f>
        <v>0</v>
      </c>
      <c r="C19" s="56">
        <f>Participantes!D18</f>
        <v>1</v>
      </c>
      <c r="D19" s="58">
        <f t="shared" si="0"/>
        <v>0</v>
      </c>
      <c r="E19" s="56">
        <f>Participantes!E18</f>
        <v>1</v>
      </c>
      <c r="F19" s="56">
        <f>Participantes!F18</f>
        <v>1</v>
      </c>
      <c r="G19" s="58">
        <f t="shared" si="1"/>
        <v>0</v>
      </c>
      <c r="H19" s="56">
        <f>Participantes!G18</f>
        <v>2</v>
      </c>
      <c r="I19" s="56">
        <f>Participantes!H18</f>
        <v>1</v>
      </c>
      <c r="J19" s="58">
        <f t="shared" si="2"/>
        <v>0</v>
      </c>
      <c r="K19" s="56">
        <f>Participantes!I18</f>
        <v>2</v>
      </c>
      <c r="L19" s="56">
        <f>Participantes!J18</f>
        <v>2</v>
      </c>
      <c r="M19" s="58">
        <f t="shared" si="3"/>
        <v>0</v>
      </c>
      <c r="N19" s="56">
        <f>Participantes!K18</f>
        <v>1</v>
      </c>
      <c r="O19" s="56">
        <f>Participantes!L18</f>
        <v>0</v>
      </c>
      <c r="P19" s="58">
        <f t="shared" si="4"/>
        <v>0</v>
      </c>
      <c r="Q19" s="56">
        <f>Participantes!M18</f>
        <v>0</v>
      </c>
      <c r="R19" s="56">
        <f>Participantes!N18</f>
        <v>2</v>
      </c>
      <c r="S19" s="58">
        <f t="shared" si="5"/>
        <v>0</v>
      </c>
      <c r="T19" s="56">
        <f>Participantes!O18</f>
        <v>3</v>
      </c>
      <c r="U19" s="56">
        <f>Participantes!P18</f>
        <v>2</v>
      </c>
      <c r="V19" s="58">
        <f t="shared" si="6"/>
        <v>0</v>
      </c>
      <c r="W19" s="56">
        <f>Participantes!Q18</f>
        <v>0</v>
      </c>
      <c r="X19" s="56">
        <f>Participantes!R18</f>
        <v>2</v>
      </c>
      <c r="Y19" s="58">
        <f t="shared" si="7"/>
        <v>0</v>
      </c>
      <c r="Z19" s="56">
        <f>Participantes!S18</f>
        <v>1</v>
      </c>
      <c r="AA19" s="56">
        <f>Participantes!T18</f>
        <v>1</v>
      </c>
      <c r="AB19" s="58">
        <f t="shared" si="8"/>
        <v>0</v>
      </c>
      <c r="AC19" s="56">
        <f>Participantes!U18</f>
        <v>3</v>
      </c>
      <c r="AD19" s="56">
        <f>Participantes!V18</f>
        <v>0</v>
      </c>
      <c r="AE19" s="58">
        <f t="shared" si="9"/>
        <v>1</v>
      </c>
      <c r="AF19" s="56">
        <f>Participantes!W18</f>
        <v>2</v>
      </c>
      <c r="AG19" s="56">
        <f>Participantes!X18</f>
        <v>1</v>
      </c>
      <c r="AH19" s="58">
        <f t="shared" si="10"/>
        <v>0</v>
      </c>
      <c r="AI19" s="56">
        <f>Participantes!Y18</f>
        <v>2</v>
      </c>
      <c r="AJ19" s="56">
        <f>Participantes!Z18</f>
        <v>0</v>
      </c>
      <c r="AK19" s="58">
        <f t="shared" si="11"/>
        <v>1</v>
      </c>
      <c r="AL19" s="56">
        <f>Participantes!AA18</f>
        <v>0</v>
      </c>
      <c r="AM19" s="56">
        <f>Participantes!AB18</f>
        <v>2</v>
      </c>
      <c r="AN19" s="58">
        <f t="shared" si="12"/>
        <v>0</v>
      </c>
      <c r="AO19" s="56">
        <f>Participantes!AC18</f>
        <v>3</v>
      </c>
      <c r="AP19" s="56">
        <f>Participantes!AD18</f>
        <v>0</v>
      </c>
      <c r="AQ19" s="58">
        <f t="shared" si="13"/>
        <v>0</v>
      </c>
      <c r="AR19" s="56">
        <f>Participantes!AE18</f>
        <v>1</v>
      </c>
      <c r="AS19" s="56">
        <f>Participantes!AF18</f>
        <v>0</v>
      </c>
      <c r="AT19" s="58">
        <f t="shared" si="14"/>
        <v>0</v>
      </c>
      <c r="AU19" s="56">
        <f>Participantes!AG18</f>
        <v>2</v>
      </c>
      <c r="AV19" s="56">
        <f>Participantes!AH18</f>
        <v>1</v>
      </c>
      <c r="AW19" s="58">
        <f t="shared" si="15"/>
        <v>0</v>
      </c>
      <c r="AX19" s="56">
        <f>Participantes!AI18</f>
        <v>3</v>
      </c>
      <c r="AY19" s="56">
        <f>Participantes!AJ18</f>
        <v>1</v>
      </c>
      <c r="AZ19" s="58">
        <f t="shared" si="16"/>
        <v>3</v>
      </c>
      <c r="BA19" s="56">
        <f>Participantes!AK18</f>
        <v>0</v>
      </c>
      <c r="BB19" s="56">
        <f>Participantes!AL18</f>
        <v>3</v>
      </c>
      <c r="BC19" s="58">
        <f t="shared" si="17"/>
        <v>1</v>
      </c>
      <c r="BD19" s="56">
        <f>Participantes!AM18</f>
        <v>2</v>
      </c>
      <c r="BE19" s="56">
        <f>Participantes!AN18</f>
        <v>0</v>
      </c>
      <c r="BF19" s="58">
        <f t="shared" si="18"/>
        <v>1</v>
      </c>
      <c r="BG19" s="56">
        <f>Participantes!AO18</f>
        <v>2</v>
      </c>
      <c r="BH19" s="56">
        <f>Participantes!AP18</f>
        <v>0</v>
      </c>
      <c r="BI19" s="58">
        <f t="shared" si="19"/>
        <v>1</v>
      </c>
      <c r="BJ19" s="56">
        <f>Participantes!AQ18</f>
        <v>2</v>
      </c>
      <c r="BK19" s="56">
        <f>Participantes!AR18</f>
        <v>1</v>
      </c>
      <c r="BL19" s="58">
        <f t="shared" si="20"/>
        <v>1</v>
      </c>
      <c r="BM19" s="56">
        <f>Participantes!AS18</f>
        <v>3</v>
      </c>
      <c r="BN19" s="56">
        <f>Participantes!AT18</f>
        <v>1</v>
      </c>
      <c r="BO19" s="58">
        <f t="shared" si="21"/>
        <v>1</v>
      </c>
      <c r="BP19" s="56">
        <f>Participantes!AU18</f>
        <v>3</v>
      </c>
      <c r="BQ19" s="56">
        <f>Participantes!AV18</f>
        <v>0</v>
      </c>
      <c r="BR19" s="58">
        <f t="shared" si="22"/>
        <v>0</v>
      </c>
      <c r="BS19" s="56">
        <f>Participantes!AW18</f>
        <v>0</v>
      </c>
      <c r="BT19" s="56">
        <f>Participantes!AX18</f>
        <v>3</v>
      </c>
      <c r="BU19" s="58">
        <f t="shared" si="23"/>
        <v>1</v>
      </c>
      <c r="BV19" s="56">
        <f>Participantes!AY18</f>
        <v>1</v>
      </c>
      <c r="BW19" s="56">
        <f>Participantes!AZ18</f>
        <v>0</v>
      </c>
      <c r="BX19" s="58">
        <f t="shared" si="24"/>
        <v>0</v>
      </c>
      <c r="BY19" s="56">
        <f>Participantes!BA18</f>
        <v>2</v>
      </c>
      <c r="BZ19" s="56">
        <f>Participantes!BB18</f>
        <v>1</v>
      </c>
      <c r="CA19" s="58">
        <f t="shared" si="25"/>
        <v>1</v>
      </c>
      <c r="CB19" s="56">
        <f>Participantes!BC18</f>
        <v>3</v>
      </c>
      <c r="CC19" s="56">
        <f>Participantes!BD18</f>
        <v>0</v>
      </c>
      <c r="CD19" s="58">
        <f t="shared" si="26"/>
        <v>1</v>
      </c>
      <c r="CE19" s="56">
        <f>Participantes!BE18</f>
        <v>2</v>
      </c>
      <c r="CF19" s="56">
        <f>Participantes!BF18</f>
        <v>2</v>
      </c>
      <c r="CG19" s="58">
        <f t="shared" si="27"/>
        <v>0</v>
      </c>
      <c r="CH19" s="56">
        <f>Participantes!BG18</f>
        <v>2</v>
      </c>
      <c r="CI19" s="56">
        <f>Participantes!BH18</f>
        <v>1</v>
      </c>
      <c r="CJ19" s="58">
        <f t="shared" si="28"/>
        <v>1</v>
      </c>
      <c r="CK19" s="56">
        <f>Participantes!BI18</f>
        <v>0</v>
      </c>
      <c r="CL19" s="56">
        <f>Participantes!BJ18</f>
        <v>3</v>
      </c>
      <c r="CM19" s="58">
        <f t="shared" si="29"/>
        <v>1</v>
      </c>
      <c r="CN19" s="56">
        <f>Participantes!BK18</f>
        <v>0</v>
      </c>
      <c r="CO19" s="56">
        <f>Participantes!BL18</f>
        <v>0</v>
      </c>
      <c r="CP19" s="58">
        <f t="shared" si="30"/>
        <v>0</v>
      </c>
      <c r="CQ19" s="56">
        <f>Participantes!BM18</f>
        <v>2</v>
      </c>
      <c r="CR19" s="56">
        <f>Participantes!BN18</f>
        <v>1</v>
      </c>
      <c r="CS19" s="58">
        <f t="shared" si="31"/>
        <v>1</v>
      </c>
      <c r="CT19" s="56">
        <f>Participantes!BO18</f>
        <v>3</v>
      </c>
      <c r="CU19" s="56">
        <f>Participantes!BP18</f>
        <v>1</v>
      </c>
      <c r="CV19" s="58">
        <f t="shared" si="32"/>
        <v>1</v>
      </c>
      <c r="CW19" s="56">
        <f>Participantes!BQ18</f>
        <v>1</v>
      </c>
      <c r="CX19" s="56">
        <f>Participantes!BR18</f>
        <v>1</v>
      </c>
      <c r="CY19" s="58">
        <f t="shared" si="33"/>
        <v>1</v>
      </c>
      <c r="CZ19" s="56">
        <f>Participantes!BS18</f>
        <v>2</v>
      </c>
      <c r="DA19" s="56">
        <f>Participantes!BT18</f>
        <v>2</v>
      </c>
      <c r="DB19" s="58">
        <f t="shared" si="34"/>
        <v>0</v>
      </c>
      <c r="DC19" s="56">
        <f>Participantes!BU18</f>
        <v>0</v>
      </c>
      <c r="DD19" s="56">
        <f>Participantes!BV18</f>
        <v>3</v>
      </c>
      <c r="DE19" s="58">
        <f t="shared" si="35"/>
        <v>1</v>
      </c>
      <c r="DF19" s="56">
        <f>Participantes!BW18</f>
        <v>3</v>
      </c>
      <c r="DG19" s="56">
        <f>Participantes!BX18</f>
        <v>0</v>
      </c>
      <c r="DH19" s="58">
        <f t="shared" si="36"/>
        <v>0</v>
      </c>
      <c r="DI19" s="56">
        <f>Participantes!BY18</f>
        <v>4</v>
      </c>
      <c r="DJ19" s="56">
        <f>Participantes!BZ18</f>
        <v>0</v>
      </c>
      <c r="DK19" s="58">
        <f t="shared" si="37"/>
        <v>3</v>
      </c>
      <c r="DL19" s="56">
        <f>Participantes!CA18</f>
        <v>3</v>
      </c>
      <c r="DM19" s="56">
        <f>Participantes!CB18</f>
        <v>0</v>
      </c>
      <c r="DN19" s="58">
        <f t="shared" si="38"/>
        <v>0</v>
      </c>
      <c r="DO19" s="56">
        <f>Participantes!CC18</f>
        <v>0</v>
      </c>
      <c r="DP19" s="56">
        <f>Participantes!CD18</f>
        <v>2</v>
      </c>
      <c r="DQ19" s="58">
        <f t="shared" si="39"/>
        <v>1</v>
      </c>
      <c r="DR19" s="56">
        <f>Participantes!CE18</f>
        <v>3</v>
      </c>
      <c r="DS19" s="56">
        <f>Participantes!CF18</f>
        <v>1</v>
      </c>
      <c r="DT19" s="58">
        <f t="shared" si="40"/>
        <v>1</v>
      </c>
      <c r="DU19" s="56">
        <f>Participantes!CG18</f>
        <v>5</v>
      </c>
      <c r="DV19" s="56">
        <f>Participantes!CH18</f>
        <v>0</v>
      </c>
      <c r="DW19" s="58">
        <f t="shared" si="41"/>
        <v>1</v>
      </c>
      <c r="DX19" s="56">
        <f>Participantes!CI18</f>
        <v>2</v>
      </c>
      <c r="DY19" s="56">
        <f>Participantes!CJ18</f>
        <v>1</v>
      </c>
      <c r="DZ19" s="58">
        <f t="shared" si="42"/>
        <v>1</v>
      </c>
      <c r="EA19" s="56">
        <f>Participantes!CK18</f>
        <v>0</v>
      </c>
      <c r="EB19" s="56">
        <f>Participantes!CL18</f>
        <v>0</v>
      </c>
      <c r="EC19" s="58">
        <f t="shared" si="43"/>
        <v>0</v>
      </c>
      <c r="ED19" s="56">
        <f>Participantes!CM18</f>
        <v>3</v>
      </c>
      <c r="EE19" s="56">
        <f>Participantes!CN18</f>
        <v>1</v>
      </c>
      <c r="EF19" s="58">
        <f t="shared" si="44"/>
        <v>0</v>
      </c>
      <c r="EG19" s="56">
        <f>Participantes!CO18</f>
        <v>1</v>
      </c>
      <c r="EH19" s="56">
        <f>Participantes!CP18</f>
        <v>4</v>
      </c>
      <c r="EI19" s="58">
        <f t="shared" si="45"/>
        <v>1</v>
      </c>
      <c r="EJ19" s="56">
        <f>Participantes!CQ18</f>
        <v>5</v>
      </c>
      <c r="EK19" s="56">
        <f>Participantes!CR18</f>
        <v>0</v>
      </c>
      <c r="EL19" s="58">
        <f t="shared" si="46"/>
        <v>3</v>
      </c>
      <c r="EM19" s="56">
        <f>Participantes!CS18</f>
        <v>2</v>
      </c>
      <c r="EN19" s="56">
        <f>Participantes!CT18</f>
        <v>0</v>
      </c>
      <c r="EO19" s="58">
        <f t="shared" si="47"/>
        <v>1</v>
      </c>
      <c r="EP19" s="56">
        <f>Participantes!CU18</f>
        <v>0</v>
      </c>
      <c r="EQ19" s="56">
        <f>Participantes!CV18</f>
        <v>4</v>
      </c>
      <c r="ER19" s="58">
        <f t="shared" si="48"/>
        <v>1</v>
      </c>
      <c r="ES19" s="56">
        <f>Participantes!CW18</f>
        <v>4</v>
      </c>
      <c r="ET19" s="56">
        <f>Participantes!CX18</f>
        <v>2</v>
      </c>
      <c r="EU19" s="58">
        <f t="shared" si="49"/>
        <v>3</v>
      </c>
      <c r="EV19" s="56">
        <f>Participantes!CY18</f>
        <v>1</v>
      </c>
      <c r="EW19" s="56">
        <f>Participantes!CZ18</f>
        <v>3</v>
      </c>
      <c r="EX19" s="58">
        <f t="shared" si="50"/>
        <v>0</v>
      </c>
      <c r="EY19" s="56">
        <f>Participantes!DA18</f>
        <v>2</v>
      </c>
      <c r="EZ19" s="56">
        <f>Participantes!DB18</f>
        <v>1</v>
      </c>
      <c r="FA19" s="58">
        <f t="shared" si="51"/>
        <v>1</v>
      </c>
      <c r="FB19" s="56">
        <f>Participantes!DC18</f>
        <v>2</v>
      </c>
      <c r="FC19" s="56">
        <f>Participantes!DD18</f>
        <v>1</v>
      </c>
      <c r="FD19" s="58">
        <f t="shared" si="52"/>
        <v>0</v>
      </c>
      <c r="FE19" s="56">
        <f>Participantes!DE18</f>
        <v>1</v>
      </c>
      <c r="FF19" s="56">
        <f>Participantes!DF18</f>
        <v>2</v>
      </c>
      <c r="FG19" s="58">
        <f t="shared" si="53"/>
        <v>0</v>
      </c>
      <c r="FH19" s="56">
        <f>Participantes!DG18</f>
        <v>1</v>
      </c>
      <c r="FI19" s="56">
        <f>Participantes!DH18</f>
        <v>2</v>
      </c>
      <c r="FJ19" s="58">
        <f t="shared" si="54"/>
        <v>1</v>
      </c>
      <c r="FK19" s="56">
        <f>Participantes!DI18</f>
        <v>1</v>
      </c>
      <c r="FL19" s="56">
        <f>Participantes!DJ18</f>
        <v>4</v>
      </c>
      <c r="FM19" s="58">
        <f t="shared" si="55"/>
        <v>0</v>
      </c>
      <c r="FN19" s="56">
        <f>Participantes!DK18</f>
        <v>2</v>
      </c>
      <c r="FO19" s="56">
        <f>Participantes!DL18</f>
        <v>2</v>
      </c>
      <c r="FP19" s="58">
        <f t="shared" si="56"/>
        <v>1</v>
      </c>
      <c r="FQ19" s="56">
        <f>Participantes!DM18</f>
        <v>0</v>
      </c>
      <c r="FR19" s="56">
        <f>Participantes!DN18</f>
        <v>3</v>
      </c>
      <c r="FS19" s="58">
        <f t="shared" si="57"/>
        <v>1</v>
      </c>
      <c r="FT19" s="56">
        <f>Participantes!DO18</f>
        <v>1</v>
      </c>
      <c r="FU19" s="56">
        <f>Participantes!DP18</f>
        <v>2</v>
      </c>
      <c r="FV19" s="58">
        <f t="shared" si="58"/>
        <v>0</v>
      </c>
      <c r="FW19" s="56">
        <f>Participantes!DQ18</f>
        <v>1</v>
      </c>
      <c r="FX19" s="56">
        <f>Participantes!DR18</f>
        <v>0</v>
      </c>
      <c r="FY19" s="58">
        <f t="shared" si="59"/>
        <v>0</v>
      </c>
      <c r="FZ19" s="56">
        <f>Participantes!DS18</f>
        <v>2</v>
      </c>
      <c r="GA19" s="56">
        <f>Participantes!DT18</f>
        <v>3</v>
      </c>
      <c r="GB19" s="58">
        <f t="shared" si="60"/>
        <v>1</v>
      </c>
      <c r="GC19" s="56">
        <f>Participantes!DU18</f>
        <v>2</v>
      </c>
      <c r="GD19" s="56">
        <f>Participantes!DV18</f>
        <v>0</v>
      </c>
      <c r="GE19" s="58">
        <f t="shared" si="61"/>
        <v>1</v>
      </c>
      <c r="GF19" s="56">
        <f>Participantes!DW18</f>
        <v>2</v>
      </c>
      <c r="GG19" s="56">
        <f>Participantes!DX18</f>
        <v>0</v>
      </c>
      <c r="GH19" s="58">
        <f t="shared" si="62"/>
        <v>0</v>
      </c>
      <c r="GI19" s="56">
        <f>Participantes!DY18</f>
        <v>0</v>
      </c>
      <c r="GJ19" s="56">
        <f>Participantes!DZ18</f>
        <v>2</v>
      </c>
      <c r="GK19" s="58">
        <f t="shared" si="63"/>
        <v>1</v>
      </c>
      <c r="GL19" s="56">
        <f>Participantes!EA18</f>
        <v>0</v>
      </c>
      <c r="GM19" s="56">
        <f>Participantes!EB18</f>
        <v>0</v>
      </c>
      <c r="GN19" s="58">
        <f t="shared" si="64"/>
        <v>3</v>
      </c>
      <c r="GO19" s="56">
        <f>Participantes!EC18</f>
        <v>1</v>
      </c>
      <c r="GP19" s="56">
        <f>Participantes!ED18</f>
        <v>2</v>
      </c>
      <c r="GQ19" s="58">
        <f t="shared" si="65"/>
        <v>1</v>
      </c>
      <c r="GR19" s="56">
        <f>Participantes!EE18</f>
        <v>0</v>
      </c>
      <c r="GS19" s="56">
        <f>Participantes!EF18</f>
        <v>6</v>
      </c>
      <c r="GT19" s="58" t="str">
        <f t="shared" si="66"/>
        <v/>
      </c>
      <c r="GU19" s="56">
        <f>Participantes!EG18</f>
        <v>2</v>
      </c>
      <c r="GV19" s="56">
        <f>Participantes!EH18</f>
        <v>1</v>
      </c>
      <c r="GW19" s="58" t="str">
        <f t="shared" si="67"/>
        <v/>
      </c>
      <c r="GX19" s="56">
        <f>Participantes!EI18</f>
        <v>0</v>
      </c>
      <c r="GY19" s="56">
        <f>Participantes!EJ18</f>
        <v>2</v>
      </c>
      <c r="GZ19" s="58" t="str">
        <f t="shared" si="68"/>
        <v/>
      </c>
      <c r="HA19" s="56">
        <f>Participantes!EK18</f>
        <v>0</v>
      </c>
      <c r="HB19" s="56">
        <f>Participantes!EL18</f>
        <v>3</v>
      </c>
      <c r="HC19" s="58" t="str">
        <f t="shared" si="69"/>
        <v/>
      </c>
      <c r="HD19" s="56">
        <f>Participantes!EM18</f>
        <v>1</v>
      </c>
      <c r="HE19" s="56">
        <f>Participantes!EN18</f>
        <v>3</v>
      </c>
      <c r="HF19" s="58" t="str">
        <f t="shared" si="70"/>
        <v/>
      </c>
      <c r="HG19" s="56">
        <f>Participantes!EO18</f>
        <v>1</v>
      </c>
      <c r="HH19" s="56">
        <f>Participantes!EP18</f>
        <v>1</v>
      </c>
      <c r="HI19" s="58" t="str">
        <f t="shared" si="71"/>
        <v/>
      </c>
      <c r="HJ19" s="59">
        <f t="shared" si="72"/>
        <v>46</v>
      </c>
    </row>
    <row r="20" spans="1:218" ht="15" customHeight="1" x14ac:dyDescent="0.25">
      <c r="A20" s="57" t="str">
        <f>Participantes!B19</f>
        <v>Jose C 2</v>
      </c>
      <c r="B20" s="56">
        <f>Participantes!C19</f>
        <v>1</v>
      </c>
      <c r="C20" s="56">
        <f>Participantes!D19</f>
        <v>0</v>
      </c>
      <c r="D20" s="58">
        <f t="shared" si="0"/>
        <v>1</v>
      </c>
      <c r="E20" s="56">
        <f>Participantes!E19</f>
        <v>2</v>
      </c>
      <c r="F20" s="56">
        <f>Participantes!F19</f>
        <v>1</v>
      </c>
      <c r="G20" s="58">
        <f t="shared" si="1"/>
        <v>3</v>
      </c>
      <c r="H20" s="56">
        <f>Participantes!G19</f>
        <v>1</v>
      </c>
      <c r="I20" s="56">
        <f>Participantes!H19</f>
        <v>1</v>
      </c>
      <c r="J20" s="58">
        <f t="shared" si="2"/>
        <v>3</v>
      </c>
      <c r="K20" s="56">
        <f>Participantes!I19</f>
        <v>2</v>
      </c>
      <c r="L20" s="56">
        <f>Participantes!J19</f>
        <v>2</v>
      </c>
      <c r="M20" s="58">
        <f t="shared" si="3"/>
        <v>0</v>
      </c>
      <c r="N20" s="56">
        <f>Participantes!K19</f>
        <v>2</v>
      </c>
      <c r="O20" s="56">
        <f>Participantes!L19</f>
        <v>0</v>
      </c>
      <c r="P20" s="58">
        <f t="shared" si="4"/>
        <v>0</v>
      </c>
      <c r="Q20" s="56">
        <f>Participantes!M19</f>
        <v>1</v>
      </c>
      <c r="R20" s="56">
        <f>Participantes!N19</f>
        <v>2</v>
      </c>
      <c r="S20" s="58">
        <f t="shared" si="5"/>
        <v>0</v>
      </c>
      <c r="T20" s="56">
        <f>Participantes!O19</f>
        <v>1</v>
      </c>
      <c r="U20" s="56">
        <f>Participantes!P19</f>
        <v>2</v>
      </c>
      <c r="V20" s="58">
        <f t="shared" si="6"/>
        <v>0</v>
      </c>
      <c r="W20" s="56">
        <f>Participantes!Q19</f>
        <v>1</v>
      </c>
      <c r="X20" s="56">
        <f>Participantes!R19</f>
        <v>1</v>
      </c>
      <c r="Y20" s="58">
        <f t="shared" si="7"/>
        <v>3</v>
      </c>
      <c r="Z20" s="56">
        <f>Participantes!S19</f>
        <v>2</v>
      </c>
      <c r="AA20" s="56">
        <f>Participantes!T19</f>
        <v>1</v>
      </c>
      <c r="AB20" s="58">
        <f t="shared" si="8"/>
        <v>1</v>
      </c>
      <c r="AC20" s="56">
        <f>Participantes!U19</f>
        <v>4</v>
      </c>
      <c r="AD20" s="56">
        <f>Participantes!V19</f>
        <v>1</v>
      </c>
      <c r="AE20" s="58">
        <f t="shared" si="9"/>
        <v>1</v>
      </c>
      <c r="AF20" s="56">
        <f>Participantes!W19</f>
        <v>2</v>
      </c>
      <c r="AG20" s="56">
        <f>Participantes!X19</f>
        <v>2</v>
      </c>
      <c r="AH20" s="58">
        <f t="shared" si="10"/>
        <v>3</v>
      </c>
      <c r="AI20" s="56">
        <f>Participantes!Y19</f>
        <v>1</v>
      </c>
      <c r="AJ20" s="56">
        <f>Participantes!Z19</f>
        <v>0</v>
      </c>
      <c r="AK20" s="58">
        <f t="shared" si="11"/>
        <v>1</v>
      </c>
      <c r="AL20" s="56">
        <f>Participantes!AA19</f>
        <v>0</v>
      </c>
      <c r="AM20" s="56">
        <f>Participantes!AB19</f>
        <v>3</v>
      </c>
      <c r="AN20" s="58">
        <f t="shared" si="12"/>
        <v>0</v>
      </c>
      <c r="AO20" s="56">
        <f>Participantes!AC19</f>
        <v>5</v>
      </c>
      <c r="AP20" s="56">
        <f>Participantes!AD19</f>
        <v>1</v>
      </c>
      <c r="AQ20" s="58">
        <f t="shared" si="13"/>
        <v>0</v>
      </c>
      <c r="AR20" s="56">
        <f>Participantes!AE19</f>
        <v>1</v>
      </c>
      <c r="AS20" s="56">
        <f>Participantes!AF19</f>
        <v>1</v>
      </c>
      <c r="AT20" s="58">
        <f t="shared" si="14"/>
        <v>1</v>
      </c>
      <c r="AU20" s="56">
        <f>Participantes!AG19</f>
        <v>3</v>
      </c>
      <c r="AV20" s="56">
        <f>Participantes!AH19</f>
        <v>1</v>
      </c>
      <c r="AW20" s="58">
        <f t="shared" si="15"/>
        <v>0</v>
      </c>
      <c r="AX20" s="56">
        <f>Participantes!AI19</f>
        <v>4</v>
      </c>
      <c r="AY20" s="56">
        <f>Participantes!AJ19</f>
        <v>2</v>
      </c>
      <c r="AZ20" s="58">
        <f t="shared" si="16"/>
        <v>1</v>
      </c>
      <c r="BA20" s="56">
        <f>Participantes!AK19</f>
        <v>0</v>
      </c>
      <c r="BB20" s="56">
        <f>Participantes!AL19</f>
        <v>4</v>
      </c>
      <c r="BC20" s="58">
        <f t="shared" si="17"/>
        <v>1</v>
      </c>
      <c r="BD20" s="56">
        <f>Participantes!AM19</f>
        <v>3</v>
      </c>
      <c r="BE20" s="56">
        <f>Participantes!AN19</f>
        <v>0</v>
      </c>
      <c r="BF20" s="58">
        <f t="shared" si="18"/>
        <v>3</v>
      </c>
      <c r="BG20" s="56">
        <f>Participantes!AO19</f>
        <v>3</v>
      </c>
      <c r="BH20" s="56">
        <f>Participantes!AP19</f>
        <v>0</v>
      </c>
      <c r="BI20" s="58">
        <f t="shared" si="19"/>
        <v>1</v>
      </c>
      <c r="BJ20" s="56">
        <f>Participantes!AQ19</f>
        <v>1</v>
      </c>
      <c r="BK20" s="56">
        <f>Participantes!AR19</f>
        <v>1</v>
      </c>
      <c r="BL20" s="58">
        <f t="shared" si="20"/>
        <v>0</v>
      </c>
      <c r="BM20" s="56">
        <f>Participantes!AS19</f>
        <v>2</v>
      </c>
      <c r="BN20" s="56">
        <f>Participantes!AT19</f>
        <v>1</v>
      </c>
      <c r="BO20" s="58">
        <f t="shared" si="21"/>
        <v>1</v>
      </c>
      <c r="BP20" s="56">
        <f>Participantes!AU19</f>
        <v>5</v>
      </c>
      <c r="BQ20" s="56">
        <f>Participantes!AV19</f>
        <v>0</v>
      </c>
      <c r="BR20" s="58">
        <f t="shared" si="22"/>
        <v>0</v>
      </c>
      <c r="BS20" s="56">
        <f>Participantes!AW19</f>
        <v>0</v>
      </c>
      <c r="BT20" s="56">
        <f>Participantes!AX19</f>
        <v>4</v>
      </c>
      <c r="BU20" s="58">
        <f t="shared" si="23"/>
        <v>1</v>
      </c>
      <c r="BV20" s="56">
        <f>Participantes!AY19</f>
        <v>2</v>
      </c>
      <c r="BW20" s="56">
        <f>Participantes!AZ19</f>
        <v>0</v>
      </c>
      <c r="BX20" s="58">
        <f t="shared" si="24"/>
        <v>0</v>
      </c>
      <c r="BY20" s="56">
        <f>Participantes!BA19</f>
        <v>1</v>
      </c>
      <c r="BZ20" s="56">
        <f>Participantes!BB19</f>
        <v>1</v>
      </c>
      <c r="CA20" s="58">
        <f t="shared" si="25"/>
        <v>0</v>
      </c>
      <c r="CB20" s="56">
        <f>Participantes!BC19</f>
        <v>2</v>
      </c>
      <c r="CC20" s="56">
        <f>Participantes!BD19</f>
        <v>0</v>
      </c>
      <c r="CD20" s="58">
        <f t="shared" si="26"/>
        <v>1</v>
      </c>
      <c r="CE20" s="56">
        <f>Participantes!BE19</f>
        <v>2</v>
      </c>
      <c r="CF20" s="56">
        <f>Participantes!BF19</f>
        <v>3</v>
      </c>
      <c r="CG20" s="58">
        <f t="shared" si="27"/>
        <v>0</v>
      </c>
      <c r="CH20" s="56">
        <f>Participantes!BG19</f>
        <v>3</v>
      </c>
      <c r="CI20" s="56">
        <f>Participantes!BH19</f>
        <v>1</v>
      </c>
      <c r="CJ20" s="58">
        <f t="shared" si="28"/>
        <v>1</v>
      </c>
      <c r="CK20" s="56">
        <f>Participantes!BI19</f>
        <v>0</v>
      </c>
      <c r="CL20" s="56">
        <f>Participantes!BJ19</f>
        <v>2</v>
      </c>
      <c r="CM20" s="58">
        <f t="shared" si="29"/>
        <v>1</v>
      </c>
      <c r="CN20" s="56">
        <f>Participantes!BK19</f>
        <v>1</v>
      </c>
      <c r="CO20" s="56">
        <f>Participantes!BL19</f>
        <v>2</v>
      </c>
      <c r="CP20" s="58">
        <f t="shared" si="30"/>
        <v>1</v>
      </c>
      <c r="CQ20" s="56">
        <f>Participantes!BM19</f>
        <v>1</v>
      </c>
      <c r="CR20" s="56">
        <f>Participantes!BN19</f>
        <v>1</v>
      </c>
      <c r="CS20" s="58">
        <f t="shared" si="31"/>
        <v>0</v>
      </c>
      <c r="CT20" s="56">
        <f>Participantes!BO19</f>
        <v>2</v>
      </c>
      <c r="CU20" s="56">
        <f>Participantes!BP19</f>
        <v>1</v>
      </c>
      <c r="CV20" s="58">
        <f t="shared" si="32"/>
        <v>3</v>
      </c>
      <c r="CW20" s="56">
        <f>Participantes!BQ19</f>
        <v>2</v>
      </c>
      <c r="CX20" s="56">
        <f>Participantes!BR19</f>
        <v>1</v>
      </c>
      <c r="CY20" s="58">
        <f t="shared" si="33"/>
        <v>0</v>
      </c>
      <c r="CZ20" s="56">
        <f>Participantes!BS19</f>
        <v>1</v>
      </c>
      <c r="DA20" s="56">
        <f>Participantes!BT19</f>
        <v>0</v>
      </c>
      <c r="DB20" s="58">
        <f t="shared" si="34"/>
        <v>1</v>
      </c>
      <c r="DC20" s="56">
        <f>Participantes!BU19</f>
        <v>0</v>
      </c>
      <c r="DD20" s="56">
        <f>Participantes!BV19</f>
        <v>2</v>
      </c>
      <c r="DE20" s="58">
        <f t="shared" si="35"/>
        <v>1</v>
      </c>
      <c r="DF20" s="56">
        <f>Participantes!BW19</f>
        <v>2</v>
      </c>
      <c r="DG20" s="56">
        <f>Participantes!BX19</f>
        <v>0</v>
      </c>
      <c r="DH20" s="58">
        <f t="shared" si="36"/>
        <v>0</v>
      </c>
      <c r="DI20" s="56">
        <f>Participantes!BY19</f>
        <v>5</v>
      </c>
      <c r="DJ20" s="56">
        <f>Participantes!BZ19</f>
        <v>0</v>
      </c>
      <c r="DK20" s="58">
        <f t="shared" si="37"/>
        <v>1</v>
      </c>
      <c r="DL20" s="56">
        <f>Participantes!CA19</f>
        <v>4</v>
      </c>
      <c r="DM20" s="56">
        <f>Participantes!CB19</f>
        <v>0</v>
      </c>
      <c r="DN20" s="58">
        <f t="shared" si="38"/>
        <v>0</v>
      </c>
      <c r="DO20" s="56">
        <f>Participantes!CC19</f>
        <v>1</v>
      </c>
      <c r="DP20" s="56">
        <f>Participantes!CD19</f>
        <v>2</v>
      </c>
      <c r="DQ20" s="58">
        <f t="shared" si="39"/>
        <v>1</v>
      </c>
      <c r="DR20" s="56">
        <f>Participantes!CE19</f>
        <v>4</v>
      </c>
      <c r="DS20" s="56">
        <f>Participantes!CF19</f>
        <v>2</v>
      </c>
      <c r="DT20" s="58">
        <f t="shared" si="40"/>
        <v>1</v>
      </c>
      <c r="DU20" s="56">
        <f>Participantes!CG19</f>
        <v>6</v>
      </c>
      <c r="DV20" s="56">
        <f>Participantes!CH19</f>
        <v>0</v>
      </c>
      <c r="DW20" s="58">
        <f t="shared" si="41"/>
        <v>1</v>
      </c>
      <c r="DX20" s="56">
        <f>Participantes!CI19</f>
        <v>1</v>
      </c>
      <c r="DY20" s="56">
        <f>Participantes!CJ19</f>
        <v>1</v>
      </c>
      <c r="DZ20" s="58">
        <f t="shared" si="42"/>
        <v>0</v>
      </c>
      <c r="EA20" s="56">
        <f>Participantes!CK19</f>
        <v>0</v>
      </c>
      <c r="EB20" s="56">
        <f>Participantes!CL19</f>
        <v>1</v>
      </c>
      <c r="EC20" s="58">
        <f t="shared" si="43"/>
        <v>1</v>
      </c>
      <c r="ED20" s="56">
        <f>Participantes!CM19</f>
        <v>4</v>
      </c>
      <c r="EE20" s="56">
        <f>Participantes!CN19</f>
        <v>0</v>
      </c>
      <c r="EF20" s="58">
        <f t="shared" si="44"/>
        <v>0</v>
      </c>
      <c r="EG20" s="56">
        <f>Participantes!CO19</f>
        <v>0</v>
      </c>
      <c r="EH20" s="56">
        <f>Participantes!CP19</f>
        <v>3</v>
      </c>
      <c r="EI20" s="58">
        <f t="shared" si="45"/>
        <v>1</v>
      </c>
      <c r="EJ20" s="56">
        <f>Participantes!CQ19</f>
        <v>4</v>
      </c>
      <c r="EK20" s="56">
        <f>Participantes!CR19</f>
        <v>0</v>
      </c>
      <c r="EL20" s="58">
        <f t="shared" si="46"/>
        <v>1</v>
      </c>
      <c r="EM20" s="56">
        <f>Participantes!CS19</f>
        <v>3</v>
      </c>
      <c r="EN20" s="56">
        <f>Participantes!CT19</f>
        <v>1</v>
      </c>
      <c r="EO20" s="58">
        <f t="shared" si="47"/>
        <v>1</v>
      </c>
      <c r="EP20" s="56">
        <f>Participantes!CU19</f>
        <v>0</v>
      </c>
      <c r="EQ20" s="56">
        <f>Participantes!CV19</f>
        <v>5</v>
      </c>
      <c r="ER20" s="58">
        <f t="shared" si="48"/>
        <v>1</v>
      </c>
      <c r="ES20" s="56">
        <f>Participantes!CW19</f>
        <v>3</v>
      </c>
      <c r="ET20" s="56">
        <f>Participantes!CX19</f>
        <v>2</v>
      </c>
      <c r="EU20" s="58">
        <f t="shared" si="49"/>
        <v>1</v>
      </c>
      <c r="EV20" s="56">
        <f>Participantes!CY19</f>
        <v>2</v>
      </c>
      <c r="EW20" s="56">
        <f>Participantes!CZ19</f>
        <v>1</v>
      </c>
      <c r="EX20" s="58">
        <f t="shared" si="50"/>
        <v>3</v>
      </c>
      <c r="EY20" s="56">
        <f>Participantes!DA19</f>
        <v>1</v>
      </c>
      <c r="EZ20" s="56">
        <f>Participantes!DB19</f>
        <v>1</v>
      </c>
      <c r="FA20" s="58">
        <f t="shared" si="51"/>
        <v>0</v>
      </c>
      <c r="FB20" s="56">
        <f>Participantes!DC19</f>
        <v>1</v>
      </c>
      <c r="FC20" s="56">
        <f>Participantes!DD19</f>
        <v>1</v>
      </c>
      <c r="FD20" s="58">
        <f t="shared" si="52"/>
        <v>0</v>
      </c>
      <c r="FE20" s="56">
        <f>Participantes!DE19</f>
        <v>1</v>
      </c>
      <c r="FF20" s="56">
        <f>Participantes!DF19</f>
        <v>3</v>
      </c>
      <c r="FG20" s="58">
        <f t="shared" si="53"/>
        <v>0</v>
      </c>
      <c r="FH20" s="56">
        <f>Participantes!DG19</f>
        <v>0</v>
      </c>
      <c r="FI20" s="56">
        <f>Participantes!DH19</f>
        <v>1</v>
      </c>
      <c r="FJ20" s="58">
        <f t="shared" si="54"/>
        <v>1</v>
      </c>
      <c r="FK20" s="56">
        <f>Participantes!DI19</f>
        <v>1</v>
      </c>
      <c r="FL20" s="56">
        <f>Participantes!DJ19</f>
        <v>3</v>
      </c>
      <c r="FM20" s="58">
        <f t="shared" si="55"/>
        <v>0</v>
      </c>
      <c r="FN20" s="56">
        <f>Participantes!DK19</f>
        <v>2</v>
      </c>
      <c r="FO20" s="56">
        <f>Participantes!DL19</f>
        <v>1</v>
      </c>
      <c r="FP20" s="58">
        <f t="shared" si="56"/>
        <v>0</v>
      </c>
      <c r="FQ20" s="56">
        <f>Participantes!DM19</f>
        <v>0</v>
      </c>
      <c r="FR20" s="56">
        <f>Participantes!DN19</f>
        <v>2</v>
      </c>
      <c r="FS20" s="58">
        <f t="shared" si="57"/>
        <v>1</v>
      </c>
      <c r="FT20" s="56">
        <f>Participantes!DO19</f>
        <v>1</v>
      </c>
      <c r="FU20" s="56">
        <f>Participantes!DP19</f>
        <v>1</v>
      </c>
      <c r="FV20" s="58">
        <f t="shared" si="58"/>
        <v>0</v>
      </c>
      <c r="FW20" s="56">
        <f>Participantes!DQ19</f>
        <v>1</v>
      </c>
      <c r="FX20" s="56">
        <f>Participantes!DR19</f>
        <v>1</v>
      </c>
      <c r="FY20" s="58">
        <f t="shared" si="59"/>
        <v>1</v>
      </c>
      <c r="FZ20" s="56">
        <f>Participantes!DS19</f>
        <v>2</v>
      </c>
      <c r="GA20" s="56">
        <f>Participantes!DT19</f>
        <v>2</v>
      </c>
      <c r="GB20" s="58">
        <f t="shared" si="60"/>
        <v>0</v>
      </c>
      <c r="GC20" s="56">
        <f>Participantes!DU19</f>
        <v>2</v>
      </c>
      <c r="GD20" s="56">
        <f>Participantes!DV19</f>
        <v>1</v>
      </c>
      <c r="GE20" s="58">
        <f t="shared" si="61"/>
        <v>1</v>
      </c>
      <c r="GF20" s="56">
        <f>Participantes!DW19</f>
        <v>3</v>
      </c>
      <c r="GG20" s="56">
        <f>Participantes!DX19</f>
        <v>0</v>
      </c>
      <c r="GH20" s="58">
        <f t="shared" si="62"/>
        <v>0</v>
      </c>
      <c r="GI20" s="56">
        <f>Participantes!DY19</f>
        <v>0</v>
      </c>
      <c r="GJ20" s="56">
        <f>Participantes!DZ19</f>
        <v>3</v>
      </c>
      <c r="GK20" s="58">
        <f t="shared" si="63"/>
        <v>1</v>
      </c>
      <c r="GL20" s="56">
        <f>Participantes!EA19</f>
        <v>0</v>
      </c>
      <c r="GM20" s="56">
        <f>Participantes!EB19</f>
        <v>1</v>
      </c>
      <c r="GN20" s="58">
        <f t="shared" si="64"/>
        <v>0</v>
      </c>
      <c r="GO20" s="56">
        <f>Participantes!EC19</f>
        <v>2</v>
      </c>
      <c r="GP20" s="56">
        <f>Participantes!ED19</f>
        <v>2</v>
      </c>
      <c r="GQ20" s="58">
        <f t="shared" si="65"/>
        <v>0</v>
      </c>
      <c r="GR20" s="56">
        <f>Participantes!EE19</f>
        <v>0</v>
      </c>
      <c r="GS20" s="56">
        <f>Participantes!EF19</f>
        <v>4</v>
      </c>
      <c r="GT20" s="58" t="str">
        <f t="shared" si="66"/>
        <v/>
      </c>
      <c r="GU20" s="56">
        <f>Participantes!EG19</f>
        <v>2</v>
      </c>
      <c r="GV20" s="56">
        <f>Participantes!EH19</f>
        <v>0</v>
      </c>
      <c r="GW20" s="58" t="str">
        <f t="shared" si="67"/>
        <v/>
      </c>
      <c r="GX20" s="56">
        <f>Participantes!EI19</f>
        <v>0</v>
      </c>
      <c r="GY20" s="56">
        <f>Participantes!EJ19</f>
        <v>1</v>
      </c>
      <c r="GZ20" s="58" t="str">
        <f t="shared" si="68"/>
        <v/>
      </c>
      <c r="HA20" s="56">
        <f>Participantes!EK19</f>
        <v>0</v>
      </c>
      <c r="HB20" s="56">
        <f>Participantes!EL19</f>
        <v>2</v>
      </c>
      <c r="HC20" s="58" t="str">
        <f t="shared" si="69"/>
        <v/>
      </c>
      <c r="HD20" s="56">
        <f>Participantes!EM19</f>
        <v>0</v>
      </c>
      <c r="HE20" s="56">
        <f>Participantes!EN19</f>
        <v>2</v>
      </c>
      <c r="HF20" s="58" t="str">
        <f t="shared" si="70"/>
        <v/>
      </c>
      <c r="HG20" s="56">
        <f>Participantes!EO19</f>
        <v>1</v>
      </c>
      <c r="HH20" s="56">
        <f>Participantes!EP19</f>
        <v>0</v>
      </c>
      <c r="HI20" s="58" t="str">
        <f t="shared" si="71"/>
        <v/>
      </c>
      <c r="HJ20" s="59">
        <f t="shared" si="72"/>
        <v>52</v>
      </c>
    </row>
    <row r="21" spans="1:218" ht="15" customHeight="1" x14ac:dyDescent="0.25">
      <c r="A21" s="57" t="str">
        <f>Participantes!B20</f>
        <v>Jose C Ahiza</v>
      </c>
      <c r="B21" s="56">
        <f>Participantes!C20</f>
        <v>2</v>
      </c>
      <c r="C21" s="56">
        <f>Participantes!D20</f>
        <v>1</v>
      </c>
      <c r="D21" s="58">
        <f t="shared" si="0"/>
        <v>1</v>
      </c>
      <c r="E21" s="56">
        <f>Participantes!E20</f>
        <v>2</v>
      </c>
      <c r="F21" s="56">
        <f>Participantes!F20</f>
        <v>1</v>
      </c>
      <c r="G21" s="58">
        <f t="shared" si="1"/>
        <v>3</v>
      </c>
      <c r="H21" s="56">
        <f>Participantes!G20</f>
        <v>2</v>
      </c>
      <c r="I21" s="56">
        <f>Participantes!H20</f>
        <v>0</v>
      </c>
      <c r="J21" s="58">
        <f t="shared" si="2"/>
        <v>0</v>
      </c>
      <c r="K21" s="56">
        <f>Participantes!I20</f>
        <v>3</v>
      </c>
      <c r="L21" s="56">
        <f>Participantes!J20</f>
        <v>1</v>
      </c>
      <c r="M21" s="58">
        <f t="shared" si="3"/>
        <v>1</v>
      </c>
      <c r="N21" s="56">
        <f>Participantes!K20</f>
        <v>0</v>
      </c>
      <c r="O21" s="56">
        <f>Participantes!L20</f>
        <v>2</v>
      </c>
      <c r="P21" s="58">
        <f t="shared" si="4"/>
        <v>1</v>
      </c>
      <c r="Q21" s="56">
        <f>Participantes!M20</f>
        <v>1</v>
      </c>
      <c r="R21" s="56">
        <f>Participantes!N20</f>
        <v>2</v>
      </c>
      <c r="S21" s="58">
        <f t="shared" si="5"/>
        <v>0</v>
      </c>
      <c r="T21" s="56">
        <f>Participantes!O20</f>
        <v>2</v>
      </c>
      <c r="U21" s="56">
        <f>Participantes!P20</f>
        <v>0</v>
      </c>
      <c r="V21" s="58">
        <f t="shared" si="6"/>
        <v>0</v>
      </c>
      <c r="W21" s="56">
        <f>Participantes!Q20</f>
        <v>1</v>
      </c>
      <c r="X21" s="56">
        <f>Participantes!R20</f>
        <v>2</v>
      </c>
      <c r="Y21" s="58">
        <f t="shared" si="7"/>
        <v>0</v>
      </c>
      <c r="Z21" s="56">
        <f>Participantes!S20</f>
        <v>1</v>
      </c>
      <c r="AA21" s="56">
        <f>Participantes!T20</f>
        <v>1</v>
      </c>
      <c r="AB21" s="58">
        <f t="shared" si="8"/>
        <v>0</v>
      </c>
      <c r="AC21" s="56">
        <f>Participantes!U20</f>
        <v>3</v>
      </c>
      <c r="AD21" s="56">
        <f>Participantes!V20</f>
        <v>0</v>
      </c>
      <c r="AE21" s="58">
        <f t="shared" si="9"/>
        <v>1</v>
      </c>
      <c r="AF21" s="56">
        <f>Participantes!W20</f>
        <v>2</v>
      </c>
      <c r="AG21" s="56">
        <f>Participantes!X20</f>
        <v>0</v>
      </c>
      <c r="AH21" s="58">
        <f t="shared" si="10"/>
        <v>0</v>
      </c>
      <c r="AI21" s="56">
        <f>Participantes!Y20</f>
        <v>2</v>
      </c>
      <c r="AJ21" s="56">
        <f>Participantes!Z20</f>
        <v>1</v>
      </c>
      <c r="AK21" s="58">
        <f t="shared" si="11"/>
        <v>1</v>
      </c>
      <c r="AL21" s="56">
        <f>Participantes!AA20</f>
        <v>0</v>
      </c>
      <c r="AM21" s="56">
        <f>Participantes!AB20</f>
        <v>2</v>
      </c>
      <c r="AN21" s="58">
        <f t="shared" si="12"/>
        <v>0</v>
      </c>
      <c r="AO21" s="56">
        <f>Participantes!AC20</f>
        <v>3</v>
      </c>
      <c r="AP21" s="56">
        <f>Participantes!AD20</f>
        <v>0</v>
      </c>
      <c r="AQ21" s="58">
        <f t="shared" si="13"/>
        <v>0</v>
      </c>
      <c r="AR21" s="56">
        <f>Participantes!AE20</f>
        <v>2</v>
      </c>
      <c r="AS21" s="56">
        <f>Participantes!AF20</f>
        <v>1</v>
      </c>
      <c r="AT21" s="58">
        <f t="shared" si="14"/>
        <v>0</v>
      </c>
      <c r="AU21" s="56">
        <f>Participantes!AG20</f>
        <v>2</v>
      </c>
      <c r="AV21" s="56">
        <f>Participantes!AH20</f>
        <v>0</v>
      </c>
      <c r="AW21" s="58">
        <f t="shared" si="15"/>
        <v>0</v>
      </c>
      <c r="AX21" s="56">
        <f>Participantes!AI20</f>
        <v>2</v>
      </c>
      <c r="AY21" s="56">
        <f>Participantes!AJ20</f>
        <v>1</v>
      </c>
      <c r="AZ21" s="58">
        <f t="shared" si="16"/>
        <v>1</v>
      </c>
      <c r="BA21" s="56">
        <f>Participantes!AK20</f>
        <v>1</v>
      </c>
      <c r="BB21" s="56">
        <f>Participantes!AL20</f>
        <v>2</v>
      </c>
      <c r="BC21" s="58">
        <f t="shared" si="17"/>
        <v>1</v>
      </c>
      <c r="BD21" s="56">
        <f>Participantes!AM20</f>
        <v>3</v>
      </c>
      <c r="BE21" s="56">
        <f>Participantes!AN20</f>
        <v>0</v>
      </c>
      <c r="BF21" s="58">
        <f t="shared" si="18"/>
        <v>3</v>
      </c>
      <c r="BG21" s="56">
        <f>Participantes!AO20</f>
        <v>2</v>
      </c>
      <c r="BH21" s="56">
        <f>Participantes!AP20</f>
        <v>0</v>
      </c>
      <c r="BI21" s="58">
        <f t="shared" si="19"/>
        <v>1</v>
      </c>
      <c r="BJ21" s="56">
        <f>Participantes!AQ20</f>
        <v>1</v>
      </c>
      <c r="BK21" s="56">
        <f>Participantes!AR20</f>
        <v>2</v>
      </c>
      <c r="BL21" s="58">
        <f t="shared" si="20"/>
        <v>0</v>
      </c>
      <c r="BM21" s="56">
        <f>Participantes!AS20</f>
        <v>2</v>
      </c>
      <c r="BN21" s="56">
        <f>Participantes!AT20</f>
        <v>0</v>
      </c>
      <c r="BO21" s="58">
        <f t="shared" si="21"/>
        <v>1</v>
      </c>
      <c r="BP21" s="56">
        <f>Participantes!AU20</f>
        <v>3</v>
      </c>
      <c r="BQ21" s="56">
        <f>Participantes!AV20</f>
        <v>0</v>
      </c>
      <c r="BR21" s="58">
        <f t="shared" si="22"/>
        <v>0</v>
      </c>
      <c r="BS21" s="56">
        <f>Participantes!AW20</f>
        <v>1</v>
      </c>
      <c r="BT21" s="56">
        <f>Participantes!AX20</f>
        <v>2</v>
      </c>
      <c r="BU21" s="58">
        <f t="shared" si="23"/>
        <v>1</v>
      </c>
      <c r="BV21" s="56">
        <f>Participantes!AY20</f>
        <v>1</v>
      </c>
      <c r="BW21" s="56">
        <f>Participantes!AZ20</f>
        <v>2</v>
      </c>
      <c r="BX21" s="58">
        <f t="shared" si="24"/>
        <v>0</v>
      </c>
      <c r="BY21" s="56">
        <f>Participantes!BA20</f>
        <v>2</v>
      </c>
      <c r="BZ21" s="56">
        <f>Participantes!BB20</f>
        <v>0</v>
      </c>
      <c r="CA21" s="58">
        <f t="shared" si="25"/>
        <v>1</v>
      </c>
      <c r="CB21" s="56">
        <f>Participantes!BC20</f>
        <v>1</v>
      </c>
      <c r="CC21" s="56">
        <f>Participantes!BD20</f>
        <v>1</v>
      </c>
      <c r="CD21" s="58">
        <f t="shared" si="26"/>
        <v>0</v>
      </c>
      <c r="CE21" s="56">
        <f>Participantes!BE20</f>
        <v>2</v>
      </c>
      <c r="CF21" s="56">
        <f>Participantes!BF20</f>
        <v>1</v>
      </c>
      <c r="CG21" s="58">
        <f t="shared" si="27"/>
        <v>1</v>
      </c>
      <c r="CH21" s="56">
        <f>Participantes!BG20</f>
        <v>3</v>
      </c>
      <c r="CI21" s="56">
        <f>Participantes!BH20</f>
        <v>0</v>
      </c>
      <c r="CJ21" s="58">
        <f t="shared" si="28"/>
        <v>3</v>
      </c>
      <c r="CK21" s="56">
        <f>Participantes!BI20</f>
        <v>1</v>
      </c>
      <c r="CL21" s="56">
        <f>Participantes!BJ20</f>
        <v>1</v>
      </c>
      <c r="CM21" s="58">
        <f t="shared" si="29"/>
        <v>0</v>
      </c>
      <c r="CN21" s="56">
        <f>Participantes!BK20</f>
        <v>2</v>
      </c>
      <c r="CO21" s="56">
        <f>Participantes!BL20</f>
        <v>1</v>
      </c>
      <c r="CP21" s="58">
        <f t="shared" si="30"/>
        <v>0</v>
      </c>
      <c r="CQ21" s="56">
        <f>Participantes!BM20</f>
        <v>2</v>
      </c>
      <c r="CR21" s="56">
        <f>Participantes!BN20</f>
        <v>0</v>
      </c>
      <c r="CS21" s="58">
        <f t="shared" si="31"/>
        <v>3</v>
      </c>
      <c r="CT21" s="56">
        <f>Participantes!BO20</f>
        <v>2</v>
      </c>
      <c r="CU21" s="56">
        <f>Participantes!BP20</f>
        <v>1</v>
      </c>
      <c r="CV21" s="58">
        <f t="shared" si="32"/>
        <v>3</v>
      </c>
      <c r="CW21" s="56">
        <f>Participantes!BQ20</f>
        <v>2</v>
      </c>
      <c r="CX21" s="56">
        <f>Participantes!BR20</f>
        <v>0</v>
      </c>
      <c r="CY21" s="58">
        <f t="shared" si="33"/>
        <v>0</v>
      </c>
      <c r="CZ21" s="56">
        <f>Participantes!BS20</f>
        <v>2</v>
      </c>
      <c r="DA21" s="56">
        <f>Participantes!BT20</f>
        <v>0</v>
      </c>
      <c r="DB21" s="58">
        <f t="shared" si="34"/>
        <v>1</v>
      </c>
      <c r="DC21" s="56">
        <f>Participantes!BU20</f>
        <v>1</v>
      </c>
      <c r="DD21" s="56">
        <f>Participantes!BV20</f>
        <v>1</v>
      </c>
      <c r="DE21" s="58">
        <f t="shared" si="35"/>
        <v>0</v>
      </c>
      <c r="DF21" s="56">
        <f>Participantes!BW20</f>
        <v>2</v>
      </c>
      <c r="DG21" s="56">
        <f>Participantes!BX20</f>
        <v>0</v>
      </c>
      <c r="DH21" s="58">
        <f t="shared" si="36"/>
        <v>0</v>
      </c>
      <c r="DI21" s="56">
        <f>Participantes!BY20</f>
        <v>2</v>
      </c>
      <c r="DJ21" s="56">
        <f>Participantes!BZ20</f>
        <v>0</v>
      </c>
      <c r="DK21" s="58">
        <f t="shared" si="37"/>
        <v>1</v>
      </c>
      <c r="DL21" s="56">
        <f>Participantes!CA20</f>
        <v>2</v>
      </c>
      <c r="DM21" s="56">
        <f>Participantes!CB20</f>
        <v>1</v>
      </c>
      <c r="DN21" s="58">
        <f t="shared" si="38"/>
        <v>0</v>
      </c>
      <c r="DO21" s="56">
        <f>Participantes!CC20</f>
        <v>1</v>
      </c>
      <c r="DP21" s="56">
        <f>Participantes!CD20</f>
        <v>1</v>
      </c>
      <c r="DQ21" s="58">
        <f t="shared" si="39"/>
        <v>0</v>
      </c>
      <c r="DR21" s="56">
        <f>Participantes!CE20</f>
        <v>1</v>
      </c>
      <c r="DS21" s="56">
        <f>Participantes!CF20</f>
        <v>2</v>
      </c>
      <c r="DT21" s="58">
        <f t="shared" si="40"/>
        <v>0</v>
      </c>
      <c r="DU21" s="56">
        <f>Participantes!CG20</f>
        <v>3</v>
      </c>
      <c r="DV21" s="56">
        <f>Participantes!CH20</f>
        <v>0</v>
      </c>
      <c r="DW21" s="58">
        <f t="shared" si="41"/>
        <v>3</v>
      </c>
      <c r="DX21" s="56">
        <f>Participantes!CI20</f>
        <v>2</v>
      </c>
      <c r="DY21" s="56">
        <f>Participantes!CJ20</f>
        <v>0</v>
      </c>
      <c r="DZ21" s="58">
        <f t="shared" si="42"/>
        <v>3</v>
      </c>
      <c r="EA21" s="56">
        <f>Participantes!CK20</f>
        <v>1</v>
      </c>
      <c r="EB21" s="56">
        <f>Participantes!CL20</f>
        <v>1</v>
      </c>
      <c r="EC21" s="58">
        <f t="shared" si="43"/>
        <v>0</v>
      </c>
      <c r="ED21" s="56">
        <f>Participantes!CM20</f>
        <v>2</v>
      </c>
      <c r="EE21" s="56">
        <f>Participantes!CN20</f>
        <v>0</v>
      </c>
      <c r="EF21" s="58">
        <f t="shared" si="44"/>
        <v>0</v>
      </c>
      <c r="EG21" s="56">
        <f>Participantes!CO20</f>
        <v>1</v>
      </c>
      <c r="EH21" s="56">
        <f>Participantes!CP20</f>
        <v>2</v>
      </c>
      <c r="EI21" s="58">
        <f t="shared" si="45"/>
        <v>1</v>
      </c>
      <c r="EJ21" s="56">
        <f>Participantes!CQ20</f>
        <v>2</v>
      </c>
      <c r="EK21" s="56">
        <f>Participantes!CR20</f>
        <v>0</v>
      </c>
      <c r="EL21" s="58">
        <f t="shared" si="46"/>
        <v>1</v>
      </c>
      <c r="EM21" s="56">
        <f>Participantes!CS20</f>
        <v>2</v>
      </c>
      <c r="EN21" s="56">
        <f>Participantes!CT20</f>
        <v>0</v>
      </c>
      <c r="EO21" s="58">
        <f t="shared" si="47"/>
        <v>1</v>
      </c>
      <c r="EP21" s="56">
        <f>Participantes!CU20</f>
        <v>0</v>
      </c>
      <c r="EQ21" s="56">
        <f>Participantes!CV20</f>
        <v>2</v>
      </c>
      <c r="ER21" s="58">
        <f t="shared" si="48"/>
        <v>1</v>
      </c>
      <c r="ES21" s="56">
        <f>Participantes!CW20</f>
        <v>2</v>
      </c>
      <c r="ET21" s="56">
        <f>Participantes!CX20</f>
        <v>0</v>
      </c>
      <c r="EU21" s="58">
        <f t="shared" si="49"/>
        <v>1</v>
      </c>
      <c r="EV21" s="56">
        <f>Participantes!CY20</f>
        <v>1</v>
      </c>
      <c r="EW21" s="56">
        <f>Participantes!CZ20</f>
        <v>1</v>
      </c>
      <c r="EX21" s="58">
        <f t="shared" si="50"/>
        <v>0</v>
      </c>
      <c r="EY21" s="56">
        <f>Participantes!DA20</f>
        <v>1</v>
      </c>
      <c r="EZ21" s="56">
        <f>Participantes!DB20</f>
        <v>1</v>
      </c>
      <c r="FA21" s="58">
        <f t="shared" si="51"/>
        <v>0</v>
      </c>
      <c r="FB21" s="56">
        <f>Participantes!DC20</f>
        <v>1</v>
      </c>
      <c r="FC21" s="56">
        <f>Participantes!DD20</f>
        <v>2</v>
      </c>
      <c r="FD21" s="58">
        <f t="shared" si="52"/>
        <v>1</v>
      </c>
      <c r="FE21" s="56">
        <f>Participantes!DE20</f>
        <v>1</v>
      </c>
      <c r="FF21" s="56">
        <f>Participantes!DF20</f>
        <v>2</v>
      </c>
      <c r="FG21" s="58">
        <f t="shared" si="53"/>
        <v>0</v>
      </c>
      <c r="FH21" s="56">
        <f>Participantes!DG20</f>
        <v>0</v>
      </c>
      <c r="FI21" s="56">
        <f>Participantes!DH20</f>
        <v>2</v>
      </c>
      <c r="FJ21" s="58">
        <f t="shared" si="54"/>
        <v>3</v>
      </c>
      <c r="FK21" s="56">
        <f>Participantes!DI20</f>
        <v>1</v>
      </c>
      <c r="FL21" s="56">
        <f>Participantes!DJ20</f>
        <v>2</v>
      </c>
      <c r="FM21" s="58">
        <f t="shared" si="55"/>
        <v>0</v>
      </c>
      <c r="FN21" s="56">
        <f>Participantes!DK20</f>
        <v>1</v>
      </c>
      <c r="FO21" s="56">
        <f>Participantes!DL20</f>
        <v>1</v>
      </c>
      <c r="FP21" s="58">
        <f t="shared" si="56"/>
        <v>3</v>
      </c>
      <c r="FQ21" s="56">
        <f>Participantes!DM20</f>
        <v>0</v>
      </c>
      <c r="FR21" s="56">
        <f>Participantes!DN20</f>
        <v>2</v>
      </c>
      <c r="FS21" s="58">
        <f t="shared" si="57"/>
        <v>1</v>
      </c>
      <c r="FT21" s="56">
        <f>Participantes!DO20</f>
        <v>1</v>
      </c>
      <c r="FU21" s="56">
        <f>Participantes!DP20</f>
        <v>2</v>
      </c>
      <c r="FV21" s="58">
        <f t="shared" si="58"/>
        <v>0</v>
      </c>
      <c r="FW21" s="56">
        <f>Participantes!DQ20</f>
        <v>1</v>
      </c>
      <c r="FX21" s="56">
        <f>Participantes!DR20</f>
        <v>1</v>
      </c>
      <c r="FY21" s="58">
        <f t="shared" si="59"/>
        <v>1</v>
      </c>
      <c r="FZ21" s="56">
        <f>Participantes!DS20</f>
        <v>0</v>
      </c>
      <c r="GA21" s="56">
        <f>Participantes!DT20</f>
        <v>2</v>
      </c>
      <c r="GB21" s="58">
        <f t="shared" si="60"/>
        <v>1</v>
      </c>
      <c r="GC21" s="56">
        <f>Participantes!DU20</f>
        <v>2</v>
      </c>
      <c r="GD21" s="56">
        <f>Participantes!DV20</f>
        <v>1</v>
      </c>
      <c r="GE21" s="58">
        <f t="shared" si="61"/>
        <v>1</v>
      </c>
      <c r="GF21" s="56">
        <f>Participantes!DW20</f>
        <v>1</v>
      </c>
      <c r="GG21" s="56">
        <f>Participantes!DX20</f>
        <v>1</v>
      </c>
      <c r="GH21" s="58">
        <f t="shared" si="62"/>
        <v>3</v>
      </c>
      <c r="GI21" s="56">
        <f>Participantes!DY20</f>
        <v>0</v>
      </c>
      <c r="GJ21" s="56">
        <f>Participantes!DZ20</f>
        <v>2</v>
      </c>
      <c r="GK21" s="58">
        <f t="shared" si="63"/>
        <v>1</v>
      </c>
      <c r="GL21" s="56">
        <f>Participantes!EA20</f>
        <v>1</v>
      </c>
      <c r="GM21" s="56">
        <f>Participantes!EB20</f>
        <v>2</v>
      </c>
      <c r="GN21" s="58">
        <f t="shared" si="64"/>
        <v>0</v>
      </c>
      <c r="GO21" s="56">
        <f>Participantes!EC20</f>
        <v>1</v>
      </c>
      <c r="GP21" s="56">
        <f>Participantes!ED20</f>
        <v>1</v>
      </c>
      <c r="GQ21" s="58">
        <f t="shared" si="65"/>
        <v>0</v>
      </c>
      <c r="GR21" s="56">
        <f>Participantes!EE20</f>
        <v>0</v>
      </c>
      <c r="GS21" s="56">
        <f>Participantes!EF20</f>
        <v>2</v>
      </c>
      <c r="GT21" s="58" t="str">
        <f t="shared" si="66"/>
        <v/>
      </c>
      <c r="GU21" s="56">
        <f>Participantes!EG20</f>
        <v>2</v>
      </c>
      <c r="GV21" s="56">
        <f>Participantes!EH20</f>
        <v>1</v>
      </c>
      <c r="GW21" s="58" t="str">
        <f t="shared" si="67"/>
        <v/>
      </c>
      <c r="GX21" s="56">
        <f>Participantes!EI20</f>
        <v>1</v>
      </c>
      <c r="GY21" s="56">
        <f>Participantes!EJ20</f>
        <v>1</v>
      </c>
      <c r="GZ21" s="58" t="str">
        <f t="shared" si="68"/>
        <v/>
      </c>
      <c r="HA21" s="56">
        <f>Participantes!EK20</f>
        <v>0</v>
      </c>
      <c r="HB21" s="56">
        <f>Participantes!EL20</f>
        <v>3</v>
      </c>
      <c r="HC21" s="58" t="str">
        <f t="shared" si="69"/>
        <v/>
      </c>
      <c r="HD21" s="56">
        <f>Participantes!EM20</f>
        <v>1</v>
      </c>
      <c r="HE21" s="56">
        <f>Participantes!EN20</f>
        <v>1</v>
      </c>
      <c r="HF21" s="58" t="str">
        <f t="shared" si="70"/>
        <v/>
      </c>
      <c r="HG21" s="56">
        <f>Participantes!EO20</f>
        <v>1</v>
      </c>
      <c r="HH21" s="56">
        <f>Participantes!EP20</f>
        <v>1</v>
      </c>
      <c r="HI21" s="58" t="str">
        <f t="shared" si="71"/>
        <v/>
      </c>
      <c r="HJ21" s="59">
        <f t="shared" si="72"/>
        <v>55</v>
      </c>
    </row>
    <row r="22" spans="1:218" ht="15" customHeight="1" x14ac:dyDescent="0.25">
      <c r="A22" s="57" t="str">
        <f>Participantes!B21</f>
        <v>Jose C Ana</v>
      </c>
      <c r="B22" s="56">
        <f>Participantes!C21</f>
        <v>4</v>
      </c>
      <c r="C22" s="56">
        <f>Participantes!D21</f>
        <v>2</v>
      </c>
      <c r="D22" s="58">
        <f t="shared" si="0"/>
        <v>1</v>
      </c>
      <c r="E22" s="56">
        <f>Participantes!E21</f>
        <v>3</v>
      </c>
      <c r="F22" s="56">
        <f>Participantes!F21</f>
        <v>1</v>
      </c>
      <c r="G22" s="58">
        <f t="shared" si="1"/>
        <v>1</v>
      </c>
      <c r="H22" s="56">
        <f>Participantes!G21</f>
        <v>4</v>
      </c>
      <c r="I22" s="56">
        <f>Participantes!H21</f>
        <v>0</v>
      </c>
      <c r="J22" s="58">
        <f t="shared" si="2"/>
        <v>0</v>
      </c>
      <c r="K22" s="56">
        <f>Participantes!I21</f>
        <v>1</v>
      </c>
      <c r="L22" s="56">
        <f>Participantes!J21</f>
        <v>2</v>
      </c>
      <c r="M22" s="58">
        <f t="shared" si="3"/>
        <v>0</v>
      </c>
      <c r="N22" s="56">
        <f>Participantes!K21</f>
        <v>1</v>
      </c>
      <c r="O22" s="56">
        <f>Participantes!L21</f>
        <v>1</v>
      </c>
      <c r="P22" s="58">
        <f t="shared" si="4"/>
        <v>0</v>
      </c>
      <c r="Q22" s="56">
        <f>Participantes!M21</f>
        <v>2</v>
      </c>
      <c r="R22" s="56">
        <f>Participantes!N21</f>
        <v>1</v>
      </c>
      <c r="S22" s="58">
        <f t="shared" si="5"/>
        <v>1</v>
      </c>
      <c r="T22" s="56">
        <f>Participantes!O21</f>
        <v>2</v>
      </c>
      <c r="U22" s="56">
        <f>Participantes!P21</f>
        <v>0</v>
      </c>
      <c r="V22" s="58">
        <f t="shared" si="6"/>
        <v>0</v>
      </c>
      <c r="W22" s="56">
        <f>Participantes!Q21</f>
        <v>0</v>
      </c>
      <c r="X22" s="56">
        <f>Participantes!R21</f>
        <v>2</v>
      </c>
      <c r="Y22" s="58">
        <f t="shared" si="7"/>
        <v>0</v>
      </c>
      <c r="Z22" s="56">
        <f>Participantes!S21</f>
        <v>2</v>
      </c>
      <c r="AA22" s="56">
        <f>Participantes!T21</f>
        <v>3</v>
      </c>
      <c r="AB22" s="58">
        <f t="shared" si="8"/>
        <v>0</v>
      </c>
      <c r="AC22" s="56">
        <f>Participantes!U21</f>
        <v>6</v>
      </c>
      <c r="AD22" s="56">
        <f>Participantes!V21</f>
        <v>0</v>
      </c>
      <c r="AE22" s="58">
        <f t="shared" si="9"/>
        <v>1</v>
      </c>
      <c r="AF22" s="56">
        <f>Participantes!W21</f>
        <v>3</v>
      </c>
      <c r="AG22" s="56">
        <f>Participantes!X21</f>
        <v>1</v>
      </c>
      <c r="AH22" s="58">
        <f t="shared" si="10"/>
        <v>0</v>
      </c>
      <c r="AI22" s="56">
        <f>Participantes!Y21</f>
        <v>2</v>
      </c>
      <c r="AJ22" s="56">
        <f>Participantes!Z21</f>
        <v>1</v>
      </c>
      <c r="AK22" s="58">
        <f t="shared" si="11"/>
        <v>1</v>
      </c>
      <c r="AL22" s="56">
        <f>Participantes!AA21</f>
        <v>1</v>
      </c>
      <c r="AM22" s="56">
        <f>Participantes!AB21</f>
        <v>3</v>
      </c>
      <c r="AN22" s="58">
        <f t="shared" si="12"/>
        <v>0</v>
      </c>
      <c r="AO22" s="56">
        <f>Participantes!AC21</f>
        <v>7</v>
      </c>
      <c r="AP22" s="56">
        <f>Participantes!AD21</f>
        <v>0</v>
      </c>
      <c r="AQ22" s="58">
        <f t="shared" si="13"/>
        <v>0</v>
      </c>
      <c r="AR22" s="56">
        <f>Participantes!AE21</f>
        <v>2</v>
      </c>
      <c r="AS22" s="56">
        <f>Participantes!AF21</f>
        <v>1</v>
      </c>
      <c r="AT22" s="58">
        <f t="shared" si="14"/>
        <v>0</v>
      </c>
      <c r="AU22" s="56">
        <f>Participantes!AG21</f>
        <v>2</v>
      </c>
      <c r="AV22" s="56">
        <f>Participantes!AH21</f>
        <v>2</v>
      </c>
      <c r="AW22" s="58">
        <f t="shared" si="15"/>
        <v>1</v>
      </c>
      <c r="AX22" s="56">
        <f>Participantes!AI21</f>
        <v>3</v>
      </c>
      <c r="AY22" s="56">
        <f>Participantes!AJ21</f>
        <v>1</v>
      </c>
      <c r="AZ22" s="58">
        <f t="shared" si="16"/>
        <v>3</v>
      </c>
      <c r="BA22" s="56">
        <f>Participantes!AK21</f>
        <v>1</v>
      </c>
      <c r="BB22" s="56">
        <f>Participantes!AL21</f>
        <v>2</v>
      </c>
      <c r="BC22" s="58">
        <f t="shared" si="17"/>
        <v>1</v>
      </c>
      <c r="BD22" s="56">
        <f>Participantes!AM21</f>
        <v>3</v>
      </c>
      <c r="BE22" s="56">
        <f>Participantes!AN21</f>
        <v>2</v>
      </c>
      <c r="BF22" s="58">
        <f t="shared" si="18"/>
        <v>1</v>
      </c>
      <c r="BG22" s="56">
        <f>Participantes!AO21</f>
        <v>2</v>
      </c>
      <c r="BH22" s="56">
        <f>Participantes!AP21</f>
        <v>1</v>
      </c>
      <c r="BI22" s="58">
        <f t="shared" si="19"/>
        <v>1</v>
      </c>
      <c r="BJ22" s="56">
        <f>Participantes!AQ21</f>
        <v>2</v>
      </c>
      <c r="BK22" s="56">
        <f>Participantes!AR21</f>
        <v>3</v>
      </c>
      <c r="BL22" s="58">
        <f t="shared" si="20"/>
        <v>0</v>
      </c>
      <c r="BM22" s="56">
        <f>Participantes!AS21</f>
        <v>3</v>
      </c>
      <c r="BN22" s="56">
        <f>Participantes!AT21</f>
        <v>4</v>
      </c>
      <c r="BO22" s="58">
        <f t="shared" si="21"/>
        <v>0</v>
      </c>
      <c r="BP22" s="56">
        <f>Participantes!AU21</f>
        <v>3</v>
      </c>
      <c r="BQ22" s="56">
        <f>Participantes!AV21</f>
        <v>0</v>
      </c>
      <c r="BR22" s="58">
        <f t="shared" si="22"/>
        <v>0</v>
      </c>
      <c r="BS22" s="56">
        <f>Participantes!AW21</f>
        <v>1</v>
      </c>
      <c r="BT22" s="56">
        <f>Participantes!AX21</f>
        <v>4</v>
      </c>
      <c r="BU22" s="58">
        <f t="shared" si="23"/>
        <v>1</v>
      </c>
      <c r="BV22" s="56">
        <f>Participantes!AY21</f>
        <v>1</v>
      </c>
      <c r="BW22" s="56">
        <f>Participantes!AZ21</f>
        <v>0</v>
      </c>
      <c r="BX22" s="58">
        <f t="shared" si="24"/>
        <v>0</v>
      </c>
      <c r="BY22" s="56">
        <f>Participantes!BA21</f>
        <v>2</v>
      </c>
      <c r="BZ22" s="56">
        <f>Participantes!BB21</f>
        <v>0</v>
      </c>
      <c r="CA22" s="58">
        <f t="shared" si="25"/>
        <v>1</v>
      </c>
      <c r="CB22" s="56">
        <f>Participantes!BC21</f>
        <v>2</v>
      </c>
      <c r="CC22" s="56">
        <f>Participantes!BD21</f>
        <v>0</v>
      </c>
      <c r="CD22" s="58">
        <f t="shared" si="26"/>
        <v>1</v>
      </c>
      <c r="CE22" s="56">
        <f>Participantes!BE21</f>
        <v>3</v>
      </c>
      <c r="CF22" s="56">
        <f>Participantes!BF21</f>
        <v>2</v>
      </c>
      <c r="CG22" s="58">
        <f t="shared" si="27"/>
        <v>1</v>
      </c>
      <c r="CH22" s="56">
        <f>Participantes!BG21</f>
        <v>4</v>
      </c>
      <c r="CI22" s="56">
        <f>Participantes!BH21</f>
        <v>0</v>
      </c>
      <c r="CJ22" s="58">
        <f t="shared" si="28"/>
        <v>1</v>
      </c>
      <c r="CK22" s="56">
        <f>Participantes!BI21</f>
        <v>1</v>
      </c>
      <c r="CL22" s="56">
        <f>Participantes!BJ21</f>
        <v>2</v>
      </c>
      <c r="CM22" s="58">
        <f t="shared" si="29"/>
        <v>1</v>
      </c>
      <c r="CN22" s="56">
        <f>Participantes!BK21</f>
        <v>2</v>
      </c>
      <c r="CO22" s="56">
        <f>Participantes!BL21</f>
        <v>2</v>
      </c>
      <c r="CP22" s="58">
        <f t="shared" si="30"/>
        <v>0</v>
      </c>
      <c r="CQ22" s="56">
        <f>Participantes!BM21</f>
        <v>2</v>
      </c>
      <c r="CR22" s="56">
        <f>Participantes!BN21</f>
        <v>1</v>
      </c>
      <c r="CS22" s="58">
        <f t="shared" si="31"/>
        <v>1</v>
      </c>
      <c r="CT22" s="56">
        <f>Participantes!BO21</f>
        <v>5</v>
      </c>
      <c r="CU22" s="56">
        <f>Participantes!BP21</f>
        <v>1</v>
      </c>
      <c r="CV22" s="58">
        <f t="shared" si="32"/>
        <v>1</v>
      </c>
      <c r="CW22" s="56">
        <f>Participantes!BQ21</f>
        <v>3</v>
      </c>
      <c r="CX22" s="56">
        <f>Participantes!BR21</f>
        <v>0</v>
      </c>
      <c r="CY22" s="58">
        <f t="shared" si="33"/>
        <v>0</v>
      </c>
      <c r="CZ22" s="56">
        <f>Participantes!BS21</f>
        <v>2</v>
      </c>
      <c r="DA22" s="56">
        <f>Participantes!BT21</f>
        <v>1</v>
      </c>
      <c r="DB22" s="58">
        <f t="shared" si="34"/>
        <v>1</v>
      </c>
      <c r="DC22" s="56">
        <f>Participantes!BU21</f>
        <v>1</v>
      </c>
      <c r="DD22" s="56">
        <f>Participantes!BV21</f>
        <v>2</v>
      </c>
      <c r="DE22" s="58">
        <f t="shared" si="35"/>
        <v>1</v>
      </c>
      <c r="DF22" s="56">
        <f>Participantes!BW21</f>
        <v>3</v>
      </c>
      <c r="DG22" s="56">
        <f>Participantes!BX21</f>
        <v>0</v>
      </c>
      <c r="DH22" s="58">
        <f t="shared" si="36"/>
        <v>0</v>
      </c>
      <c r="DI22" s="56">
        <f>Participantes!BY21</f>
        <v>4</v>
      </c>
      <c r="DJ22" s="56">
        <f>Participantes!BZ21</f>
        <v>2</v>
      </c>
      <c r="DK22" s="58">
        <f t="shared" si="37"/>
        <v>1</v>
      </c>
      <c r="DL22" s="56">
        <f>Participantes!CA21</f>
        <v>1</v>
      </c>
      <c r="DM22" s="56">
        <f>Participantes!CB21</f>
        <v>0</v>
      </c>
      <c r="DN22" s="58">
        <f t="shared" si="38"/>
        <v>0</v>
      </c>
      <c r="DO22" s="56">
        <f>Participantes!CC21</f>
        <v>2</v>
      </c>
      <c r="DP22" s="56">
        <f>Participantes!CD21</f>
        <v>2</v>
      </c>
      <c r="DQ22" s="58">
        <f t="shared" si="39"/>
        <v>0</v>
      </c>
      <c r="DR22" s="56">
        <f>Participantes!CE21</f>
        <v>1</v>
      </c>
      <c r="DS22" s="56">
        <f>Participantes!CF21</f>
        <v>2</v>
      </c>
      <c r="DT22" s="58">
        <f t="shared" si="40"/>
        <v>0</v>
      </c>
      <c r="DU22" s="56">
        <f>Participantes!CG21</f>
        <v>4</v>
      </c>
      <c r="DV22" s="56">
        <f>Participantes!CH21</f>
        <v>0</v>
      </c>
      <c r="DW22" s="58">
        <f t="shared" si="41"/>
        <v>1</v>
      </c>
      <c r="DX22" s="56">
        <f>Participantes!CI21</f>
        <v>2</v>
      </c>
      <c r="DY22" s="56">
        <f>Participantes!CJ21</f>
        <v>0</v>
      </c>
      <c r="DZ22" s="58">
        <f t="shared" si="42"/>
        <v>3</v>
      </c>
      <c r="EA22" s="56">
        <f>Participantes!CK21</f>
        <v>1</v>
      </c>
      <c r="EB22" s="56">
        <f>Participantes!CL21</f>
        <v>2</v>
      </c>
      <c r="EC22" s="58">
        <f t="shared" si="43"/>
        <v>3</v>
      </c>
      <c r="ED22" s="56">
        <f>Participantes!CM21</f>
        <v>3</v>
      </c>
      <c r="EE22" s="56">
        <f>Participantes!CN21</f>
        <v>0</v>
      </c>
      <c r="EF22" s="58">
        <f t="shared" si="44"/>
        <v>0</v>
      </c>
      <c r="EG22" s="56">
        <f>Participantes!CO21</f>
        <v>1</v>
      </c>
      <c r="EH22" s="56">
        <f>Participantes!CP21</f>
        <v>3</v>
      </c>
      <c r="EI22" s="58">
        <f t="shared" si="45"/>
        <v>1</v>
      </c>
      <c r="EJ22" s="56">
        <f>Participantes!CQ21</f>
        <v>3</v>
      </c>
      <c r="EK22" s="56">
        <f>Participantes!CR21</f>
        <v>0</v>
      </c>
      <c r="EL22" s="58">
        <f t="shared" si="46"/>
        <v>1</v>
      </c>
      <c r="EM22" s="56">
        <f>Participantes!CS21</f>
        <v>3</v>
      </c>
      <c r="EN22" s="56">
        <f>Participantes!CT21</f>
        <v>1</v>
      </c>
      <c r="EO22" s="58">
        <f t="shared" si="47"/>
        <v>1</v>
      </c>
      <c r="EP22" s="56">
        <f>Participantes!CU21</f>
        <v>1</v>
      </c>
      <c r="EQ22" s="56">
        <f>Participantes!CV21</f>
        <v>4</v>
      </c>
      <c r="ER22" s="58">
        <f t="shared" si="48"/>
        <v>1</v>
      </c>
      <c r="ES22" s="56">
        <f>Participantes!CW21</f>
        <v>5</v>
      </c>
      <c r="ET22" s="56">
        <f>Participantes!CX21</f>
        <v>1</v>
      </c>
      <c r="EU22" s="58">
        <f t="shared" si="49"/>
        <v>1</v>
      </c>
      <c r="EV22" s="56">
        <f>Participantes!CY21</f>
        <v>1</v>
      </c>
      <c r="EW22" s="56">
        <f>Participantes!CZ21</f>
        <v>0</v>
      </c>
      <c r="EX22" s="58">
        <f t="shared" si="50"/>
        <v>1</v>
      </c>
      <c r="EY22" s="56">
        <f>Participantes!DA21</f>
        <v>1</v>
      </c>
      <c r="EZ22" s="56">
        <f>Participantes!DB21</f>
        <v>1</v>
      </c>
      <c r="FA22" s="58">
        <f t="shared" si="51"/>
        <v>0</v>
      </c>
      <c r="FB22" s="56">
        <f>Participantes!DC21</f>
        <v>1</v>
      </c>
      <c r="FC22" s="56">
        <f>Participantes!DD21</f>
        <v>3</v>
      </c>
      <c r="FD22" s="58">
        <f t="shared" si="52"/>
        <v>1</v>
      </c>
      <c r="FE22" s="56">
        <f>Participantes!DE21</f>
        <v>1</v>
      </c>
      <c r="FF22" s="56">
        <f>Participantes!DF21</f>
        <v>2</v>
      </c>
      <c r="FG22" s="58">
        <f t="shared" si="53"/>
        <v>0</v>
      </c>
      <c r="FH22" s="56">
        <f>Participantes!DG21</f>
        <v>0</v>
      </c>
      <c r="FI22" s="56">
        <f>Participantes!DH21</f>
        <v>2</v>
      </c>
      <c r="FJ22" s="58">
        <f t="shared" si="54"/>
        <v>3</v>
      </c>
      <c r="FK22" s="56">
        <f>Participantes!DI21</f>
        <v>1</v>
      </c>
      <c r="FL22" s="56">
        <f>Participantes!DJ21</f>
        <v>2</v>
      </c>
      <c r="FM22" s="58">
        <f t="shared" si="55"/>
        <v>0</v>
      </c>
      <c r="FN22" s="56">
        <f>Participantes!DK21</f>
        <v>2</v>
      </c>
      <c r="FO22" s="56">
        <f>Participantes!DL21</f>
        <v>2</v>
      </c>
      <c r="FP22" s="58">
        <f t="shared" si="56"/>
        <v>1</v>
      </c>
      <c r="FQ22" s="56">
        <f>Participantes!DM21</f>
        <v>0</v>
      </c>
      <c r="FR22" s="56">
        <f>Participantes!DN21</f>
        <v>3</v>
      </c>
      <c r="FS22" s="58">
        <f t="shared" si="57"/>
        <v>1</v>
      </c>
      <c r="FT22" s="56">
        <f>Participantes!DO21</f>
        <v>1</v>
      </c>
      <c r="FU22" s="56">
        <f>Participantes!DP21</f>
        <v>1</v>
      </c>
      <c r="FV22" s="58">
        <f t="shared" si="58"/>
        <v>0</v>
      </c>
      <c r="FW22" s="56">
        <f>Participantes!DQ21</f>
        <v>1</v>
      </c>
      <c r="FX22" s="56">
        <f>Participantes!DR21</f>
        <v>2</v>
      </c>
      <c r="FY22" s="58">
        <f t="shared" si="59"/>
        <v>0</v>
      </c>
      <c r="FZ22" s="56">
        <f>Participantes!DS21</f>
        <v>1</v>
      </c>
      <c r="GA22" s="56">
        <f>Participantes!DT21</f>
        <v>4</v>
      </c>
      <c r="GB22" s="58">
        <f t="shared" si="60"/>
        <v>3</v>
      </c>
      <c r="GC22" s="56">
        <f>Participantes!DU21</f>
        <v>0</v>
      </c>
      <c r="GD22" s="56">
        <f>Participantes!DV21</f>
        <v>0</v>
      </c>
      <c r="GE22" s="58">
        <f t="shared" si="61"/>
        <v>0</v>
      </c>
      <c r="GF22" s="56">
        <f>Participantes!DW21</f>
        <v>1</v>
      </c>
      <c r="GG22" s="56">
        <f>Participantes!DX21</f>
        <v>2</v>
      </c>
      <c r="GH22" s="58">
        <f t="shared" si="62"/>
        <v>0</v>
      </c>
      <c r="GI22" s="56">
        <f>Participantes!DY21</f>
        <v>0</v>
      </c>
      <c r="GJ22" s="56">
        <f>Participantes!DZ21</f>
        <v>4</v>
      </c>
      <c r="GK22" s="58">
        <f t="shared" si="63"/>
        <v>1</v>
      </c>
      <c r="GL22" s="56">
        <f>Participantes!EA21</f>
        <v>2</v>
      </c>
      <c r="GM22" s="56">
        <f>Participantes!EB21</f>
        <v>3</v>
      </c>
      <c r="GN22" s="58">
        <f t="shared" si="64"/>
        <v>0</v>
      </c>
      <c r="GO22" s="56">
        <f>Participantes!EC21</f>
        <v>3</v>
      </c>
      <c r="GP22" s="56">
        <f>Participantes!ED21</f>
        <v>4</v>
      </c>
      <c r="GQ22" s="58">
        <f t="shared" si="65"/>
        <v>1</v>
      </c>
      <c r="GR22" s="56">
        <f>Participantes!EE21</f>
        <v>2</v>
      </c>
      <c r="GS22" s="56">
        <f>Participantes!EF21</f>
        <v>4</v>
      </c>
      <c r="GT22" s="58" t="str">
        <f t="shared" si="66"/>
        <v/>
      </c>
      <c r="GU22" s="56">
        <f>Participantes!EG21</f>
        <v>3</v>
      </c>
      <c r="GV22" s="56">
        <f>Participantes!EH21</f>
        <v>0</v>
      </c>
      <c r="GW22" s="58" t="str">
        <f t="shared" si="67"/>
        <v/>
      </c>
      <c r="GX22" s="56">
        <f>Participantes!EI21</f>
        <v>1</v>
      </c>
      <c r="GY22" s="56">
        <f>Participantes!EJ21</f>
        <v>2</v>
      </c>
      <c r="GZ22" s="58" t="str">
        <f t="shared" si="68"/>
        <v/>
      </c>
      <c r="HA22" s="56">
        <f>Participantes!EK21</f>
        <v>0</v>
      </c>
      <c r="HB22" s="56">
        <f>Participantes!EL21</f>
        <v>3</v>
      </c>
      <c r="HC22" s="58" t="str">
        <f t="shared" si="69"/>
        <v/>
      </c>
      <c r="HD22" s="56">
        <f>Participantes!EM21</f>
        <v>3</v>
      </c>
      <c r="HE22" s="56">
        <f>Participantes!EN21</f>
        <v>5</v>
      </c>
      <c r="HF22" s="58" t="str">
        <f t="shared" si="70"/>
        <v/>
      </c>
      <c r="HG22" s="56">
        <f>Participantes!EO21</f>
        <v>2</v>
      </c>
      <c r="HH22" s="56">
        <f>Participantes!EP21</f>
        <v>2</v>
      </c>
      <c r="HI22" s="58" t="str">
        <f t="shared" si="71"/>
        <v/>
      </c>
      <c r="HJ22" s="59">
        <f t="shared" si="72"/>
        <v>47</v>
      </c>
    </row>
    <row r="23" spans="1:218" ht="15" customHeight="1" x14ac:dyDescent="0.25">
      <c r="A23" s="57" t="str">
        <f>Participantes!B22</f>
        <v>Jose C Judith</v>
      </c>
      <c r="B23" s="56">
        <f>Participantes!C22</f>
        <v>3</v>
      </c>
      <c r="C23" s="56">
        <f>Participantes!D22</f>
        <v>2</v>
      </c>
      <c r="D23" s="58">
        <f t="shared" si="0"/>
        <v>1</v>
      </c>
      <c r="E23" s="56">
        <f>Participantes!E22</f>
        <v>2</v>
      </c>
      <c r="F23" s="56">
        <f>Participantes!F22</f>
        <v>2</v>
      </c>
      <c r="G23" s="58">
        <f t="shared" si="1"/>
        <v>0</v>
      </c>
      <c r="H23" s="56">
        <f>Participantes!G22</f>
        <v>3</v>
      </c>
      <c r="I23" s="56">
        <f>Participantes!H22</f>
        <v>1</v>
      </c>
      <c r="J23" s="58">
        <f t="shared" si="2"/>
        <v>0</v>
      </c>
      <c r="K23" s="56">
        <f>Participantes!I22</f>
        <v>3</v>
      </c>
      <c r="L23" s="56">
        <f>Participantes!J22</f>
        <v>2</v>
      </c>
      <c r="M23" s="58">
        <f t="shared" si="3"/>
        <v>1</v>
      </c>
      <c r="N23" s="56">
        <f>Participantes!K22</f>
        <v>1</v>
      </c>
      <c r="O23" s="56">
        <f>Participantes!L22</f>
        <v>1</v>
      </c>
      <c r="P23" s="58">
        <f t="shared" si="4"/>
        <v>0</v>
      </c>
      <c r="Q23" s="56">
        <f>Participantes!M22</f>
        <v>2</v>
      </c>
      <c r="R23" s="56">
        <f>Participantes!N22</f>
        <v>1</v>
      </c>
      <c r="S23" s="58">
        <f t="shared" si="5"/>
        <v>1</v>
      </c>
      <c r="T23" s="56">
        <f>Participantes!O22</f>
        <v>3</v>
      </c>
      <c r="U23" s="56">
        <f>Participantes!P22</f>
        <v>0</v>
      </c>
      <c r="V23" s="58">
        <f t="shared" si="6"/>
        <v>0</v>
      </c>
      <c r="W23" s="56">
        <f>Participantes!Q22</f>
        <v>1</v>
      </c>
      <c r="X23" s="56">
        <f>Participantes!R22</f>
        <v>2</v>
      </c>
      <c r="Y23" s="58">
        <f t="shared" si="7"/>
        <v>0</v>
      </c>
      <c r="Z23" s="56">
        <f>Participantes!S22</f>
        <v>2</v>
      </c>
      <c r="AA23" s="56">
        <f>Participantes!T22</f>
        <v>2</v>
      </c>
      <c r="AB23" s="58">
        <f t="shared" si="8"/>
        <v>0</v>
      </c>
      <c r="AC23" s="56">
        <f>Participantes!U22</f>
        <v>4</v>
      </c>
      <c r="AD23" s="56">
        <f>Participantes!V22</f>
        <v>0</v>
      </c>
      <c r="AE23" s="58">
        <f t="shared" si="9"/>
        <v>1</v>
      </c>
      <c r="AF23" s="56">
        <f>Participantes!W22</f>
        <v>2</v>
      </c>
      <c r="AG23" s="56">
        <f>Participantes!X22</f>
        <v>0</v>
      </c>
      <c r="AH23" s="58">
        <f t="shared" si="10"/>
        <v>0</v>
      </c>
      <c r="AI23" s="56">
        <f>Participantes!Y22</f>
        <v>3</v>
      </c>
      <c r="AJ23" s="56">
        <f>Participantes!Z22</f>
        <v>1</v>
      </c>
      <c r="AK23" s="58">
        <f t="shared" si="11"/>
        <v>1</v>
      </c>
      <c r="AL23" s="56">
        <f>Participantes!AA22</f>
        <v>0</v>
      </c>
      <c r="AM23" s="56">
        <f>Participantes!AB22</f>
        <v>2</v>
      </c>
      <c r="AN23" s="58">
        <f t="shared" si="12"/>
        <v>0</v>
      </c>
      <c r="AO23" s="56">
        <f>Participantes!AC22</f>
        <v>5</v>
      </c>
      <c r="AP23" s="56">
        <f>Participantes!AD22</f>
        <v>0</v>
      </c>
      <c r="AQ23" s="58">
        <f t="shared" si="13"/>
        <v>0</v>
      </c>
      <c r="AR23" s="56">
        <f>Participantes!AE22</f>
        <v>2</v>
      </c>
      <c r="AS23" s="56">
        <f>Participantes!AF22</f>
        <v>1</v>
      </c>
      <c r="AT23" s="58">
        <f t="shared" si="14"/>
        <v>0</v>
      </c>
      <c r="AU23" s="56">
        <f>Participantes!AG22</f>
        <v>2</v>
      </c>
      <c r="AV23" s="56">
        <f>Participantes!AH22</f>
        <v>1</v>
      </c>
      <c r="AW23" s="58">
        <f t="shared" si="15"/>
        <v>0</v>
      </c>
      <c r="AX23" s="56">
        <f>Participantes!AI22</f>
        <v>3</v>
      </c>
      <c r="AY23" s="56">
        <f>Participantes!AJ22</f>
        <v>1</v>
      </c>
      <c r="AZ23" s="58">
        <f t="shared" si="16"/>
        <v>3</v>
      </c>
      <c r="BA23" s="56">
        <f>Participantes!AK22</f>
        <v>1</v>
      </c>
      <c r="BB23" s="56">
        <f>Participantes!AL22</f>
        <v>2</v>
      </c>
      <c r="BC23" s="58">
        <f t="shared" si="17"/>
        <v>1</v>
      </c>
      <c r="BD23" s="56">
        <f>Participantes!AM22</f>
        <v>3</v>
      </c>
      <c r="BE23" s="56">
        <f>Participantes!AN22</f>
        <v>2</v>
      </c>
      <c r="BF23" s="58">
        <f t="shared" si="18"/>
        <v>1</v>
      </c>
      <c r="BG23" s="56">
        <f>Participantes!AO22</f>
        <v>1</v>
      </c>
      <c r="BH23" s="56">
        <f>Participantes!AP22</f>
        <v>1</v>
      </c>
      <c r="BI23" s="58">
        <f t="shared" si="19"/>
        <v>0</v>
      </c>
      <c r="BJ23" s="56">
        <f>Participantes!AQ22</f>
        <v>1</v>
      </c>
      <c r="BK23" s="56">
        <f>Participantes!AR22</f>
        <v>1</v>
      </c>
      <c r="BL23" s="58">
        <f t="shared" si="20"/>
        <v>0</v>
      </c>
      <c r="BM23" s="56">
        <f>Participantes!AS22</f>
        <v>3</v>
      </c>
      <c r="BN23" s="56">
        <f>Participantes!AT22</f>
        <v>2</v>
      </c>
      <c r="BO23" s="58">
        <f t="shared" si="21"/>
        <v>1</v>
      </c>
      <c r="BP23" s="56">
        <f>Participantes!AU22</f>
        <v>3</v>
      </c>
      <c r="BQ23" s="56">
        <f>Participantes!AV22</f>
        <v>1</v>
      </c>
      <c r="BR23" s="58">
        <f t="shared" si="22"/>
        <v>0</v>
      </c>
      <c r="BS23" s="56">
        <f>Participantes!AW22</f>
        <v>1</v>
      </c>
      <c r="BT23" s="56">
        <f>Participantes!AX22</f>
        <v>3</v>
      </c>
      <c r="BU23" s="58">
        <f t="shared" si="23"/>
        <v>3</v>
      </c>
      <c r="BV23" s="56">
        <f>Participantes!AY22</f>
        <v>1</v>
      </c>
      <c r="BW23" s="56">
        <f>Participantes!AZ22</f>
        <v>1</v>
      </c>
      <c r="BX23" s="58">
        <f t="shared" si="24"/>
        <v>3</v>
      </c>
      <c r="BY23" s="56">
        <f>Participantes!BA22</f>
        <v>2</v>
      </c>
      <c r="BZ23" s="56">
        <f>Participantes!BB22</f>
        <v>0</v>
      </c>
      <c r="CA23" s="58">
        <f t="shared" si="25"/>
        <v>1</v>
      </c>
      <c r="CB23" s="56">
        <f>Participantes!BC22</f>
        <v>2</v>
      </c>
      <c r="CC23" s="56">
        <f>Participantes!BD22</f>
        <v>1</v>
      </c>
      <c r="CD23" s="58">
        <f t="shared" si="26"/>
        <v>1</v>
      </c>
      <c r="CE23" s="56">
        <f>Participantes!BE22</f>
        <v>3</v>
      </c>
      <c r="CF23" s="56">
        <f>Participantes!BF22</f>
        <v>2</v>
      </c>
      <c r="CG23" s="58">
        <f t="shared" si="27"/>
        <v>1</v>
      </c>
      <c r="CH23" s="56">
        <f>Participantes!BG22</f>
        <v>4</v>
      </c>
      <c r="CI23" s="56">
        <f>Participantes!BH22</f>
        <v>1</v>
      </c>
      <c r="CJ23" s="58">
        <f t="shared" si="28"/>
        <v>1</v>
      </c>
      <c r="CK23" s="56">
        <f>Participantes!BI22</f>
        <v>1</v>
      </c>
      <c r="CL23" s="56">
        <f>Participantes!BJ22</f>
        <v>2</v>
      </c>
      <c r="CM23" s="58">
        <f t="shared" si="29"/>
        <v>1</v>
      </c>
      <c r="CN23" s="56">
        <f>Participantes!BK22</f>
        <v>2</v>
      </c>
      <c r="CO23" s="56">
        <f>Participantes!BL22</f>
        <v>2</v>
      </c>
      <c r="CP23" s="58">
        <f t="shared" si="30"/>
        <v>0</v>
      </c>
      <c r="CQ23" s="56">
        <f>Participantes!BM22</f>
        <v>2</v>
      </c>
      <c r="CR23" s="56">
        <f>Participantes!BN22</f>
        <v>0</v>
      </c>
      <c r="CS23" s="58">
        <f t="shared" si="31"/>
        <v>3</v>
      </c>
      <c r="CT23" s="56">
        <f>Participantes!BO22</f>
        <v>4</v>
      </c>
      <c r="CU23" s="56">
        <f>Participantes!BP22</f>
        <v>1</v>
      </c>
      <c r="CV23" s="58">
        <f t="shared" si="32"/>
        <v>1</v>
      </c>
      <c r="CW23" s="56">
        <f>Participantes!BQ22</f>
        <v>2</v>
      </c>
      <c r="CX23" s="56">
        <f>Participantes!BR22</f>
        <v>0</v>
      </c>
      <c r="CY23" s="58">
        <f t="shared" si="33"/>
        <v>0</v>
      </c>
      <c r="CZ23" s="56">
        <f>Participantes!BS22</f>
        <v>2</v>
      </c>
      <c r="DA23" s="56">
        <f>Participantes!BT22</f>
        <v>1</v>
      </c>
      <c r="DB23" s="58">
        <f t="shared" si="34"/>
        <v>1</v>
      </c>
      <c r="DC23" s="56">
        <f>Participantes!BU22</f>
        <v>1</v>
      </c>
      <c r="DD23" s="56">
        <f>Participantes!BV22</f>
        <v>2</v>
      </c>
      <c r="DE23" s="58">
        <f t="shared" si="35"/>
        <v>1</v>
      </c>
      <c r="DF23" s="56">
        <f>Participantes!BW22</f>
        <v>2</v>
      </c>
      <c r="DG23" s="56">
        <f>Participantes!BX22</f>
        <v>0</v>
      </c>
      <c r="DH23" s="58">
        <f t="shared" si="36"/>
        <v>0</v>
      </c>
      <c r="DI23" s="56">
        <f>Participantes!BY22</f>
        <v>4</v>
      </c>
      <c r="DJ23" s="56">
        <f>Participantes!BZ22</f>
        <v>1</v>
      </c>
      <c r="DK23" s="58">
        <f t="shared" si="37"/>
        <v>1</v>
      </c>
      <c r="DL23" s="56">
        <f>Participantes!CA22</f>
        <v>2</v>
      </c>
      <c r="DM23" s="56">
        <f>Participantes!CB22</f>
        <v>1</v>
      </c>
      <c r="DN23" s="58">
        <f t="shared" si="38"/>
        <v>0</v>
      </c>
      <c r="DO23" s="56">
        <f>Participantes!CC22</f>
        <v>1</v>
      </c>
      <c r="DP23" s="56">
        <f>Participantes!CD22</f>
        <v>1</v>
      </c>
      <c r="DQ23" s="58">
        <f t="shared" si="39"/>
        <v>0</v>
      </c>
      <c r="DR23" s="56">
        <f>Participantes!CE22</f>
        <v>1</v>
      </c>
      <c r="DS23" s="56">
        <f>Participantes!CF22</f>
        <v>1</v>
      </c>
      <c r="DT23" s="58">
        <f t="shared" si="40"/>
        <v>0</v>
      </c>
      <c r="DU23" s="56">
        <f>Participantes!CG22</f>
        <v>3</v>
      </c>
      <c r="DV23" s="56">
        <f>Participantes!CH22</f>
        <v>0</v>
      </c>
      <c r="DW23" s="58">
        <f t="shared" si="41"/>
        <v>3</v>
      </c>
      <c r="DX23" s="56">
        <f>Participantes!CI22</f>
        <v>2</v>
      </c>
      <c r="DY23" s="56">
        <f>Participantes!CJ22</f>
        <v>0</v>
      </c>
      <c r="DZ23" s="58">
        <f t="shared" si="42"/>
        <v>3</v>
      </c>
      <c r="EA23" s="56">
        <f>Participantes!CK22</f>
        <v>1</v>
      </c>
      <c r="EB23" s="56">
        <f>Participantes!CL22</f>
        <v>1</v>
      </c>
      <c r="EC23" s="58">
        <f t="shared" si="43"/>
        <v>0</v>
      </c>
      <c r="ED23" s="56">
        <f>Participantes!CM22</f>
        <v>3</v>
      </c>
      <c r="EE23" s="56">
        <f>Participantes!CN22</f>
        <v>0</v>
      </c>
      <c r="EF23" s="58">
        <f t="shared" si="44"/>
        <v>0</v>
      </c>
      <c r="EG23" s="56">
        <f>Participantes!CO22</f>
        <v>1</v>
      </c>
      <c r="EH23" s="56">
        <f>Participantes!CP22</f>
        <v>2</v>
      </c>
      <c r="EI23" s="58">
        <f t="shared" si="45"/>
        <v>1</v>
      </c>
      <c r="EJ23" s="56">
        <f>Participantes!CQ22</f>
        <v>3</v>
      </c>
      <c r="EK23" s="56">
        <f>Participantes!CR22</f>
        <v>0</v>
      </c>
      <c r="EL23" s="58">
        <f t="shared" si="46"/>
        <v>1</v>
      </c>
      <c r="EM23" s="56">
        <f>Participantes!CS22</f>
        <v>3</v>
      </c>
      <c r="EN23" s="56">
        <f>Participantes!CT22</f>
        <v>1</v>
      </c>
      <c r="EO23" s="58">
        <f t="shared" si="47"/>
        <v>1</v>
      </c>
      <c r="EP23" s="56">
        <f>Participantes!CU22</f>
        <v>0</v>
      </c>
      <c r="EQ23" s="56">
        <f>Participantes!CV22</f>
        <v>3</v>
      </c>
      <c r="ER23" s="58">
        <f t="shared" si="48"/>
        <v>3</v>
      </c>
      <c r="ES23" s="56">
        <f>Participantes!CW22</f>
        <v>3</v>
      </c>
      <c r="ET23" s="56">
        <f>Participantes!CX22</f>
        <v>1</v>
      </c>
      <c r="EU23" s="58">
        <f t="shared" si="49"/>
        <v>1</v>
      </c>
      <c r="EV23" s="56">
        <f>Participantes!CY22</f>
        <v>1</v>
      </c>
      <c r="EW23" s="56">
        <f>Participantes!CZ22</f>
        <v>1</v>
      </c>
      <c r="EX23" s="58">
        <f t="shared" si="50"/>
        <v>0</v>
      </c>
      <c r="EY23" s="56">
        <f>Participantes!DA22</f>
        <v>1</v>
      </c>
      <c r="EZ23" s="56">
        <f>Participantes!DB22</f>
        <v>1</v>
      </c>
      <c r="FA23" s="58">
        <f t="shared" si="51"/>
        <v>0</v>
      </c>
      <c r="FB23" s="56">
        <f>Participantes!DC22</f>
        <v>1</v>
      </c>
      <c r="FC23" s="56">
        <f>Participantes!DD22</f>
        <v>3</v>
      </c>
      <c r="FD23" s="58">
        <f t="shared" si="52"/>
        <v>1</v>
      </c>
      <c r="FE23" s="56">
        <f>Participantes!DE22</f>
        <v>1</v>
      </c>
      <c r="FF23" s="56">
        <f>Participantes!DF22</f>
        <v>2</v>
      </c>
      <c r="FG23" s="58">
        <f t="shared" si="53"/>
        <v>0</v>
      </c>
      <c r="FH23" s="56">
        <f>Participantes!DG22</f>
        <v>0</v>
      </c>
      <c r="FI23" s="56">
        <f>Participantes!DH22</f>
        <v>2</v>
      </c>
      <c r="FJ23" s="58">
        <f t="shared" si="54"/>
        <v>3</v>
      </c>
      <c r="FK23" s="56">
        <f>Participantes!DI22</f>
        <v>1</v>
      </c>
      <c r="FL23" s="56">
        <f>Participantes!DJ22</f>
        <v>2</v>
      </c>
      <c r="FM23" s="58">
        <f t="shared" si="55"/>
        <v>0</v>
      </c>
      <c r="FN23" s="56">
        <f>Participantes!DK22</f>
        <v>1</v>
      </c>
      <c r="FO23" s="56">
        <f>Participantes!DL22</f>
        <v>1</v>
      </c>
      <c r="FP23" s="58">
        <f t="shared" si="56"/>
        <v>3</v>
      </c>
      <c r="FQ23" s="56">
        <f>Participantes!DM22</f>
        <v>1</v>
      </c>
      <c r="FR23" s="56">
        <f>Participantes!DN22</f>
        <v>2</v>
      </c>
      <c r="FS23" s="58">
        <f t="shared" si="57"/>
        <v>1</v>
      </c>
      <c r="FT23" s="56">
        <f>Participantes!DO22</f>
        <v>1</v>
      </c>
      <c r="FU23" s="56">
        <f>Participantes!DP22</f>
        <v>2</v>
      </c>
      <c r="FV23" s="58">
        <f t="shared" si="58"/>
        <v>0</v>
      </c>
      <c r="FW23" s="56">
        <f>Participantes!DQ22</f>
        <v>1</v>
      </c>
      <c r="FX23" s="56">
        <f>Participantes!DR22</f>
        <v>1</v>
      </c>
      <c r="FY23" s="58">
        <f t="shared" si="59"/>
        <v>1</v>
      </c>
      <c r="FZ23" s="56">
        <f>Participantes!DS22</f>
        <v>1</v>
      </c>
      <c r="GA23" s="56">
        <f>Participantes!DT22</f>
        <v>3</v>
      </c>
      <c r="GB23" s="58">
        <f t="shared" si="60"/>
        <v>1</v>
      </c>
      <c r="GC23" s="56">
        <f>Participantes!DU22</f>
        <v>1</v>
      </c>
      <c r="GD23" s="56">
        <f>Participantes!DV22</f>
        <v>1</v>
      </c>
      <c r="GE23" s="58">
        <f t="shared" si="61"/>
        <v>0</v>
      </c>
      <c r="GF23" s="56">
        <f>Participantes!DW22</f>
        <v>1</v>
      </c>
      <c r="GG23" s="56">
        <f>Participantes!DX22</f>
        <v>2</v>
      </c>
      <c r="GH23" s="58">
        <f t="shared" si="62"/>
        <v>0</v>
      </c>
      <c r="GI23" s="56">
        <f>Participantes!DY22</f>
        <v>1</v>
      </c>
      <c r="GJ23" s="56">
        <f>Participantes!DZ22</f>
        <v>0</v>
      </c>
      <c r="GK23" s="58">
        <f t="shared" si="63"/>
        <v>0</v>
      </c>
      <c r="GL23" s="56">
        <f>Participantes!EA22</f>
        <v>1</v>
      </c>
      <c r="GM23" s="56">
        <f>Participantes!EB22</f>
        <v>3</v>
      </c>
      <c r="GN23" s="58">
        <f t="shared" si="64"/>
        <v>0</v>
      </c>
      <c r="GO23" s="56">
        <f>Participantes!EC22</f>
        <v>1</v>
      </c>
      <c r="GP23" s="56">
        <f>Participantes!ED22</f>
        <v>3</v>
      </c>
      <c r="GQ23" s="58">
        <f t="shared" si="65"/>
        <v>1</v>
      </c>
      <c r="GR23" s="56">
        <f>Participantes!EE22</f>
        <v>1</v>
      </c>
      <c r="GS23" s="56">
        <f>Participantes!EF22</f>
        <v>3</v>
      </c>
      <c r="GT23" s="58" t="str">
        <f t="shared" si="66"/>
        <v/>
      </c>
      <c r="GU23" s="56">
        <f>Participantes!EG22</f>
        <v>3</v>
      </c>
      <c r="GV23" s="56">
        <f>Participantes!EH22</f>
        <v>1</v>
      </c>
      <c r="GW23" s="58" t="str">
        <f t="shared" si="67"/>
        <v/>
      </c>
      <c r="GX23" s="56">
        <f>Participantes!EI22</f>
        <v>1</v>
      </c>
      <c r="GY23" s="56">
        <f>Participantes!EJ22</f>
        <v>1</v>
      </c>
      <c r="GZ23" s="58" t="str">
        <f t="shared" si="68"/>
        <v/>
      </c>
      <c r="HA23" s="56">
        <f>Participantes!EK22</f>
        <v>0</v>
      </c>
      <c r="HB23" s="56">
        <f>Participantes!EL22</f>
        <v>3</v>
      </c>
      <c r="HC23" s="58" t="str">
        <f t="shared" si="69"/>
        <v/>
      </c>
      <c r="HD23" s="56">
        <f>Participantes!EM22</f>
        <v>1</v>
      </c>
      <c r="HE23" s="56">
        <f>Participantes!EN22</f>
        <v>2</v>
      </c>
      <c r="HF23" s="58" t="str">
        <f t="shared" si="70"/>
        <v/>
      </c>
      <c r="HG23" s="56">
        <f>Participantes!EO22</f>
        <v>1</v>
      </c>
      <c r="HH23" s="56">
        <f>Participantes!EP22</f>
        <v>1</v>
      </c>
      <c r="HI23" s="58" t="str">
        <f t="shared" si="71"/>
        <v/>
      </c>
      <c r="HJ23" s="59">
        <f t="shared" si="72"/>
        <v>53</v>
      </c>
    </row>
    <row r="24" spans="1:218" ht="15" customHeight="1" x14ac:dyDescent="0.25">
      <c r="A24" s="57" t="str">
        <f>Participantes!B23</f>
        <v>José de León</v>
      </c>
      <c r="B24" s="56">
        <f>Participantes!C23</f>
        <v>2</v>
      </c>
      <c r="C24" s="56">
        <f>Participantes!D23</f>
        <v>1</v>
      </c>
      <c r="D24" s="58">
        <f t="shared" si="0"/>
        <v>1</v>
      </c>
      <c r="E24" s="56">
        <f>Participantes!E23</f>
        <v>2</v>
      </c>
      <c r="F24" s="56">
        <f>Participantes!F23</f>
        <v>1</v>
      </c>
      <c r="G24" s="58">
        <f t="shared" si="1"/>
        <v>3</v>
      </c>
      <c r="H24" s="56">
        <f>Participantes!G23</f>
        <v>1</v>
      </c>
      <c r="I24" s="56">
        <f>Participantes!H23</f>
        <v>0</v>
      </c>
      <c r="J24" s="58">
        <f t="shared" si="2"/>
        <v>0</v>
      </c>
      <c r="K24" s="56">
        <f>Participantes!I23</f>
        <v>3</v>
      </c>
      <c r="L24" s="56">
        <f>Participantes!J23</f>
        <v>0</v>
      </c>
      <c r="M24" s="58">
        <f t="shared" si="3"/>
        <v>1</v>
      </c>
      <c r="N24" s="56">
        <f>Participantes!K23</f>
        <v>0</v>
      </c>
      <c r="O24" s="56">
        <f>Participantes!L23</f>
        <v>3</v>
      </c>
      <c r="P24" s="58">
        <f t="shared" si="4"/>
        <v>1</v>
      </c>
      <c r="Q24" s="56">
        <f>Participantes!M23</f>
        <v>1</v>
      </c>
      <c r="R24" s="56">
        <f>Participantes!N23</f>
        <v>3</v>
      </c>
      <c r="S24" s="58">
        <f t="shared" si="5"/>
        <v>0</v>
      </c>
      <c r="T24" s="56">
        <f>Participantes!O23</f>
        <v>0</v>
      </c>
      <c r="U24" s="56">
        <f>Participantes!P23</f>
        <v>2</v>
      </c>
      <c r="V24" s="58">
        <f t="shared" si="6"/>
        <v>0</v>
      </c>
      <c r="W24" s="56">
        <f>Participantes!Q23</f>
        <v>1</v>
      </c>
      <c r="X24" s="56">
        <f>Participantes!R23</f>
        <v>2</v>
      </c>
      <c r="Y24" s="58">
        <f t="shared" si="7"/>
        <v>0</v>
      </c>
      <c r="Z24" s="56">
        <f>Participantes!S23</f>
        <v>1</v>
      </c>
      <c r="AA24" s="56">
        <f>Participantes!T23</f>
        <v>2</v>
      </c>
      <c r="AB24" s="58">
        <f t="shared" si="8"/>
        <v>0</v>
      </c>
      <c r="AC24" s="56">
        <f>Participantes!U23</f>
        <v>4</v>
      </c>
      <c r="AD24" s="56">
        <f>Participantes!V23</f>
        <v>0</v>
      </c>
      <c r="AE24" s="58">
        <f t="shared" si="9"/>
        <v>1</v>
      </c>
      <c r="AF24" s="56">
        <f>Participantes!W23</f>
        <v>1</v>
      </c>
      <c r="AG24" s="56">
        <f>Participantes!X23</f>
        <v>1</v>
      </c>
      <c r="AH24" s="58">
        <f t="shared" si="10"/>
        <v>1</v>
      </c>
      <c r="AI24" s="56">
        <f>Participantes!Y23</f>
        <v>1</v>
      </c>
      <c r="AJ24" s="56">
        <f>Participantes!Z23</f>
        <v>0</v>
      </c>
      <c r="AK24" s="58">
        <f t="shared" si="11"/>
        <v>1</v>
      </c>
      <c r="AL24" s="56">
        <f>Participantes!AA23</f>
        <v>0</v>
      </c>
      <c r="AM24" s="56">
        <f>Participantes!AB23</f>
        <v>1</v>
      </c>
      <c r="AN24" s="58">
        <f t="shared" si="12"/>
        <v>0</v>
      </c>
      <c r="AO24" s="56">
        <f>Participantes!AC23</f>
        <v>4</v>
      </c>
      <c r="AP24" s="56">
        <f>Participantes!AD23</f>
        <v>0</v>
      </c>
      <c r="AQ24" s="58">
        <f t="shared" si="13"/>
        <v>0</v>
      </c>
      <c r="AR24" s="56">
        <f>Participantes!AE23</f>
        <v>2</v>
      </c>
      <c r="AS24" s="56">
        <f>Participantes!AF23</f>
        <v>1</v>
      </c>
      <c r="AT24" s="58">
        <f t="shared" si="14"/>
        <v>0</v>
      </c>
      <c r="AU24" s="56">
        <f>Participantes!AG23</f>
        <v>2</v>
      </c>
      <c r="AV24" s="56">
        <f>Participantes!AH23</f>
        <v>1</v>
      </c>
      <c r="AW24" s="58">
        <f t="shared" si="15"/>
        <v>0</v>
      </c>
      <c r="AX24" s="56">
        <f>Participantes!AI23</f>
        <v>2</v>
      </c>
      <c r="AY24" s="56">
        <f>Participantes!AJ23</f>
        <v>0</v>
      </c>
      <c r="AZ24" s="58">
        <f t="shared" si="16"/>
        <v>1</v>
      </c>
      <c r="BA24" s="56">
        <f>Participantes!AK23</f>
        <v>0</v>
      </c>
      <c r="BB24" s="56">
        <f>Participantes!AL23</f>
        <v>2</v>
      </c>
      <c r="BC24" s="58">
        <f t="shared" si="17"/>
        <v>1</v>
      </c>
      <c r="BD24" s="56">
        <f>Participantes!AM23</f>
        <v>2</v>
      </c>
      <c r="BE24" s="56">
        <f>Participantes!AN23</f>
        <v>1</v>
      </c>
      <c r="BF24" s="58">
        <f t="shared" si="18"/>
        <v>1</v>
      </c>
      <c r="BG24" s="56">
        <f>Participantes!AO23</f>
        <v>3</v>
      </c>
      <c r="BH24" s="56">
        <f>Participantes!AP23</f>
        <v>0</v>
      </c>
      <c r="BI24" s="58">
        <f t="shared" si="19"/>
        <v>1</v>
      </c>
      <c r="BJ24" s="56">
        <f>Participantes!AQ23</f>
        <v>2</v>
      </c>
      <c r="BK24" s="56">
        <f>Participantes!AR23</f>
        <v>0</v>
      </c>
      <c r="BL24" s="58">
        <f t="shared" si="20"/>
        <v>1</v>
      </c>
      <c r="BM24" s="56">
        <f>Participantes!AS23</f>
        <v>1</v>
      </c>
      <c r="BN24" s="56">
        <f>Participantes!AT23</f>
        <v>0</v>
      </c>
      <c r="BO24" s="58">
        <f t="shared" si="21"/>
        <v>1</v>
      </c>
      <c r="BP24" s="56">
        <f>Participantes!AU23</f>
        <v>3</v>
      </c>
      <c r="BQ24" s="56">
        <f>Participantes!AV23</f>
        <v>0</v>
      </c>
      <c r="BR24" s="58">
        <f t="shared" si="22"/>
        <v>0</v>
      </c>
      <c r="BS24" s="56">
        <f>Participantes!AW23</f>
        <v>0</v>
      </c>
      <c r="BT24" s="56">
        <f>Participantes!AX23</f>
        <v>1</v>
      </c>
      <c r="BU24" s="58">
        <f t="shared" si="23"/>
        <v>1</v>
      </c>
      <c r="BV24" s="56">
        <f>Participantes!AY23</f>
        <v>3</v>
      </c>
      <c r="BW24" s="56">
        <f>Participantes!AZ23</f>
        <v>1</v>
      </c>
      <c r="BX24" s="58">
        <f t="shared" si="24"/>
        <v>0</v>
      </c>
      <c r="BY24" s="56">
        <f>Participantes!BA23</f>
        <v>1</v>
      </c>
      <c r="BZ24" s="56">
        <f>Participantes!BB23</f>
        <v>1</v>
      </c>
      <c r="CA24" s="58">
        <f t="shared" si="25"/>
        <v>0</v>
      </c>
      <c r="CB24" s="56">
        <f>Participantes!BC23</f>
        <v>1</v>
      </c>
      <c r="CC24" s="56">
        <f>Participantes!BD23</f>
        <v>0</v>
      </c>
      <c r="CD24" s="58">
        <f t="shared" si="26"/>
        <v>1</v>
      </c>
      <c r="CE24" s="56">
        <f>Participantes!BE23</f>
        <v>2</v>
      </c>
      <c r="CF24" s="56">
        <f>Participantes!BF23</f>
        <v>0</v>
      </c>
      <c r="CG24" s="58">
        <f t="shared" si="27"/>
        <v>1</v>
      </c>
      <c r="CH24" s="56">
        <f>Participantes!BG23</f>
        <v>4</v>
      </c>
      <c r="CI24" s="56">
        <f>Participantes!BH23</f>
        <v>0</v>
      </c>
      <c r="CJ24" s="58">
        <f t="shared" si="28"/>
        <v>1</v>
      </c>
      <c r="CK24" s="56">
        <f>Participantes!BI23</f>
        <v>2</v>
      </c>
      <c r="CL24" s="56">
        <f>Participantes!BJ23</f>
        <v>2</v>
      </c>
      <c r="CM24" s="58">
        <f t="shared" si="29"/>
        <v>0</v>
      </c>
      <c r="CN24" s="56">
        <f>Participantes!BK23</f>
        <v>2</v>
      </c>
      <c r="CO24" s="56">
        <f>Participantes!BL23</f>
        <v>0</v>
      </c>
      <c r="CP24" s="58">
        <f t="shared" si="30"/>
        <v>0</v>
      </c>
      <c r="CQ24" s="56">
        <f>Participantes!BM23</f>
        <v>1</v>
      </c>
      <c r="CR24" s="56">
        <f>Participantes!BN23</f>
        <v>0</v>
      </c>
      <c r="CS24" s="58">
        <f t="shared" si="31"/>
        <v>1</v>
      </c>
      <c r="CT24" s="56">
        <f>Participantes!BO23</f>
        <v>3</v>
      </c>
      <c r="CU24" s="56">
        <f>Participantes!BP23</f>
        <v>2</v>
      </c>
      <c r="CV24" s="58">
        <f t="shared" si="32"/>
        <v>1</v>
      </c>
      <c r="CW24" s="56">
        <f>Participantes!BQ23</f>
        <v>2</v>
      </c>
      <c r="CX24" s="56">
        <f>Participantes!BR23</f>
        <v>0</v>
      </c>
      <c r="CY24" s="58">
        <f t="shared" si="33"/>
        <v>0</v>
      </c>
      <c r="CZ24" s="56">
        <f>Participantes!BS23</f>
        <v>2</v>
      </c>
      <c r="DA24" s="56">
        <f>Participantes!BT23</f>
        <v>2</v>
      </c>
      <c r="DB24" s="58">
        <f t="shared" si="34"/>
        <v>0</v>
      </c>
      <c r="DC24" s="56">
        <f>Participantes!BU23</f>
        <v>0</v>
      </c>
      <c r="DD24" s="56">
        <f>Participantes!BV23</f>
        <v>1</v>
      </c>
      <c r="DE24" s="58">
        <f t="shared" si="35"/>
        <v>1</v>
      </c>
      <c r="DF24" s="56">
        <f>Participantes!BW23</f>
        <v>1</v>
      </c>
      <c r="DG24" s="56">
        <f>Participantes!BX23</f>
        <v>0</v>
      </c>
      <c r="DH24" s="58">
        <f t="shared" si="36"/>
        <v>0</v>
      </c>
      <c r="DI24" s="56">
        <f>Participantes!BY23</f>
        <v>3</v>
      </c>
      <c r="DJ24" s="56">
        <f>Participantes!BZ23</f>
        <v>0</v>
      </c>
      <c r="DK24" s="58">
        <f t="shared" si="37"/>
        <v>1</v>
      </c>
      <c r="DL24" s="56">
        <f>Participantes!CA23</f>
        <v>2</v>
      </c>
      <c r="DM24" s="56">
        <f>Participantes!CB23</f>
        <v>1</v>
      </c>
      <c r="DN24" s="58">
        <f t="shared" si="38"/>
        <v>0</v>
      </c>
      <c r="DO24" s="56">
        <f>Participantes!CC23</f>
        <v>0</v>
      </c>
      <c r="DP24" s="56">
        <f>Participantes!CD23</f>
        <v>2</v>
      </c>
      <c r="DQ24" s="58">
        <f t="shared" si="39"/>
        <v>1</v>
      </c>
      <c r="DR24" s="56">
        <f>Participantes!CE23</f>
        <v>2</v>
      </c>
      <c r="DS24" s="56">
        <f>Participantes!CF23</f>
        <v>2</v>
      </c>
      <c r="DT24" s="58">
        <f t="shared" si="40"/>
        <v>0</v>
      </c>
      <c r="DU24" s="56">
        <f>Participantes!CG23</f>
        <v>3</v>
      </c>
      <c r="DV24" s="56">
        <f>Participantes!CH23</f>
        <v>0</v>
      </c>
      <c r="DW24" s="58">
        <f t="shared" si="41"/>
        <v>3</v>
      </c>
      <c r="DX24" s="56">
        <f>Participantes!CI23</f>
        <v>2</v>
      </c>
      <c r="DY24" s="56">
        <f>Participantes!CJ23</f>
        <v>0</v>
      </c>
      <c r="DZ24" s="58">
        <f t="shared" si="42"/>
        <v>3</v>
      </c>
      <c r="EA24" s="56">
        <f>Participantes!CK23</f>
        <v>0</v>
      </c>
      <c r="EB24" s="56">
        <f>Participantes!CL23</f>
        <v>2</v>
      </c>
      <c r="EC24" s="58">
        <f t="shared" si="43"/>
        <v>1</v>
      </c>
      <c r="ED24" s="56">
        <f>Participantes!CM23</f>
        <v>2</v>
      </c>
      <c r="EE24" s="56">
        <f>Participantes!CN23</f>
        <v>1</v>
      </c>
      <c r="EF24" s="58">
        <f t="shared" si="44"/>
        <v>0</v>
      </c>
      <c r="EG24" s="56">
        <f>Participantes!CO23</f>
        <v>0</v>
      </c>
      <c r="EH24" s="56">
        <f>Participantes!CP23</f>
        <v>2</v>
      </c>
      <c r="EI24" s="58">
        <f t="shared" si="45"/>
        <v>1</v>
      </c>
      <c r="EJ24" s="56">
        <f>Participantes!CQ23</f>
        <v>3</v>
      </c>
      <c r="EK24" s="56">
        <f>Participantes!CR23</f>
        <v>0</v>
      </c>
      <c r="EL24" s="58">
        <f t="shared" si="46"/>
        <v>1</v>
      </c>
      <c r="EM24" s="56">
        <f>Participantes!CS23</f>
        <v>2</v>
      </c>
      <c r="EN24" s="56">
        <f>Participantes!CT23</f>
        <v>0</v>
      </c>
      <c r="EO24" s="58">
        <f t="shared" si="47"/>
        <v>1</v>
      </c>
      <c r="EP24" s="56">
        <f>Participantes!CU23</f>
        <v>2</v>
      </c>
      <c r="EQ24" s="56">
        <f>Participantes!CV23</f>
        <v>2</v>
      </c>
      <c r="ER24" s="58">
        <f t="shared" si="48"/>
        <v>0</v>
      </c>
      <c r="ES24" s="56">
        <f>Participantes!CW23</f>
        <v>2</v>
      </c>
      <c r="ET24" s="56">
        <f>Participantes!CX23</f>
        <v>0</v>
      </c>
      <c r="EU24" s="58">
        <f t="shared" si="49"/>
        <v>1</v>
      </c>
      <c r="EV24" s="56">
        <f>Participantes!CY23</f>
        <v>1</v>
      </c>
      <c r="EW24" s="56">
        <f>Participantes!CZ23</f>
        <v>1</v>
      </c>
      <c r="EX24" s="58">
        <f t="shared" si="50"/>
        <v>0</v>
      </c>
      <c r="EY24" s="56">
        <f>Participantes!DA23</f>
        <v>1</v>
      </c>
      <c r="EZ24" s="56">
        <f>Participantes!DB23</f>
        <v>0</v>
      </c>
      <c r="FA24" s="58">
        <f t="shared" si="51"/>
        <v>1</v>
      </c>
      <c r="FB24" s="56">
        <f>Participantes!DC23</f>
        <v>2</v>
      </c>
      <c r="FC24" s="56">
        <f>Participantes!DD23</f>
        <v>2</v>
      </c>
      <c r="FD24" s="58">
        <f t="shared" si="52"/>
        <v>0</v>
      </c>
      <c r="FE24" s="56">
        <f>Participantes!DE23</f>
        <v>0</v>
      </c>
      <c r="FF24" s="56">
        <f>Participantes!DF23</f>
        <v>1</v>
      </c>
      <c r="FG24" s="58">
        <f t="shared" si="53"/>
        <v>0</v>
      </c>
      <c r="FH24" s="56">
        <f>Participantes!DG23</f>
        <v>0</v>
      </c>
      <c r="FI24" s="56">
        <f>Participantes!DH23</f>
        <v>2</v>
      </c>
      <c r="FJ24" s="58">
        <f t="shared" si="54"/>
        <v>3</v>
      </c>
      <c r="FK24" s="56">
        <f>Participantes!DI23</f>
        <v>1</v>
      </c>
      <c r="FL24" s="56">
        <f>Participantes!DJ23</f>
        <v>2</v>
      </c>
      <c r="FM24" s="58">
        <f t="shared" si="55"/>
        <v>0</v>
      </c>
      <c r="FN24" s="56">
        <f>Participantes!DK23</f>
        <v>1</v>
      </c>
      <c r="FO24" s="56">
        <f>Participantes!DL23</f>
        <v>2</v>
      </c>
      <c r="FP24" s="58">
        <f t="shared" si="56"/>
        <v>0</v>
      </c>
      <c r="FQ24" s="56">
        <f>Participantes!DM23</f>
        <v>0</v>
      </c>
      <c r="FR24" s="56">
        <f>Participantes!DN23</f>
        <v>2</v>
      </c>
      <c r="FS24" s="58">
        <f t="shared" si="57"/>
        <v>1</v>
      </c>
      <c r="FT24" s="56">
        <f>Participantes!DO23</f>
        <v>2</v>
      </c>
      <c r="FU24" s="56">
        <f>Participantes!DP23</f>
        <v>1</v>
      </c>
      <c r="FV24" s="58">
        <f t="shared" si="58"/>
        <v>1</v>
      </c>
      <c r="FW24" s="56">
        <f>Participantes!DQ23</f>
        <v>2</v>
      </c>
      <c r="FX24" s="56">
        <f>Participantes!DR23</f>
        <v>0</v>
      </c>
      <c r="FY24" s="58">
        <f t="shared" si="59"/>
        <v>0</v>
      </c>
      <c r="FZ24" s="56">
        <f>Participantes!DS23</f>
        <v>1</v>
      </c>
      <c r="GA24" s="56">
        <f>Participantes!DT23</f>
        <v>3</v>
      </c>
      <c r="GB24" s="58">
        <f t="shared" si="60"/>
        <v>1</v>
      </c>
      <c r="GC24" s="56">
        <f>Participantes!DU23</f>
        <v>2</v>
      </c>
      <c r="GD24" s="56">
        <f>Participantes!DV23</f>
        <v>0</v>
      </c>
      <c r="GE24" s="58">
        <f t="shared" si="61"/>
        <v>1</v>
      </c>
      <c r="GF24" s="56">
        <f>Participantes!DW23</f>
        <v>1</v>
      </c>
      <c r="GG24" s="56">
        <f>Participantes!DX23</f>
        <v>0</v>
      </c>
      <c r="GH24" s="58">
        <f t="shared" si="62"/>
        <v>0</v>
      </c>
      <c r="GI24" s="56">
        <f>Participantes!DY23</f>
        <v>0</v>
      </c>
      <c r="GJ24" s="56">
        <f>Participantes!DZ23</f>
        <v>4</v>
      </c>
      <c r="GK24" s="58">
        <f t="shared" si="63"/>
        <v>1</v>
      </c>
      <c r="GL24" s="56">
        <f>Participantes!EA23</f>
        <v>1</v>
      </c>
      <c r="GM24" s="56">
        <f>Participantes!EB23</f>
        <v>0</v>
      </c>
      <c r="GN24" s="58">
        <f t="shared" si="64"/>
        <v>0</v>
      </c>
      <c r="GO24" s="56">
        <f>Participantes!EC23</f>
        <v>0</v>
      </c>
      <c r="GP24" s="56">
        <f>Participantes!ED23</f>
        <v>2</v>
      </c>
      <c r="GQ24" s="58">
        <f t="shared" si="65"/>
        <v>1</v>
      </c>
      <c r="GR24" s="56">
        <f>Participantes!EE23</f>
        <v>0</v>
      </c>
      <c r="GS24" s="56">
        <f>Participantes!EF23</f>
        <v>4</v>
      </c>
      <c r="GT24" s="58" t="str">
        <f t="shared" si="66"/>
        <v/>
      </c>
      <c r="GU24" s="56">
        <f>Participantes!EG23</f>
        <v>2</v>
      </c>
      <c r="GV24" s="56">
        <f>Participantes!EH23</f>
        <v>1</v>
      </c>
      <c r="GW24" s="58" t="str">
        <f t="shared" si="67"/>
        <v/>
      </c>
      <c r="GX24" s="56">
        <f>Participantes!EI23</f>
        <v>1</v>
      </c>
      <c r="GY24" s="56">
        <f>Participantes!EJ23</f>
        <v>1</v>
      </c>
      <c r="GZ24" s="58" t="str">
        <f t="shared" si="68"/>
        <v/>
      </c>
      <c r="HA24" s="56">
        <f>Participantes!EK23</f>
        <v>0</v>
      </c>
      <c r="HB24" s="56">
        <f>Participantes!EL23</f>
        <v>3</v>
      </c>
      <c r="HC24" s="58" t="str">
        <f t="shared" si="69"/>
        <v/>
      </c>
      <c r="HD24" s="56">
        <f>Participantes!EM23</f>
        <v>1</v>
      </c>
      <c r="HE24" s="56">
        <f>Participantes!EN23</f>
        <v>2</v>
      </c>
      <c r="HF24" s="58" t="str">
        <f t="shared" si="70"/>
        <v/>
      </c>
      <c r="HG24" s="56">
        <f>Participantes!EO23</f>
        <v>0</v>
      </c>
      <c r="HH24" s="56">
        <f>Participantes!EP23</f>
        <v>0</v>
      </c>
      <c r="HI24" s="58" t="str">
        <f t="shared" si="71"/>
        <v/>
      </c>
      <c r="HJ24" s="59">
        <f t="shared" si="72"/>
        <v>45</v>
      </c>
    </row>
    <row r="25" spans="1:218" ht="15" customHeight="1" x14ac:dyDescent="0.25">
      <c r="A25" s="57" t="str">
        <f>Participantes!B24</f>
        <v>Jovanna</v>
      </c>
      <c r="B25" s="56">
        <f>Participantes!C24</f>
        <v>5</v>
      </c>
      <c r="C25" s="56">
        <f>Participantes!D24</f>
        <v>2</v>
      </c>
      <c r="D25" s="58">
        <f t="shared" si="0"/>
        <v>1</v>
      </c>
      <c r="E25" s="56">
        <f>Participantes!E24</f>
        <v>1</v>
      </c>
      <c r="F25" s="56">
        <f>Participantes!F24</f>
        <v>3</v>
      </c>
      <c r="G25" s="58">
        <f t="shared" si="1"/>
        <v>0</v>
      </c>
      <c r="H25" s="56">
        <f>Participantes!G24</f>
        <v>0</v>
      </c>
      <c r="I25" s="56">
        <f>Participantes!H24</f>
        <v>2</v>
      </c>
      <c r="J25" s="58">
        <f t="shared" si="2"/>
        <v>0</v>
      </c>
      <c r="K25" s="56">
        <f>Participantes!I24</f>
        <v>1</v>
      </c>
      <c r="L25" s="56">
        <f>Participantes!J24</f>
        <v>1</v>
      </c>
      <c r="M25" s="58">
        <f t="shared" si="3"/>
        <v>0</v>
      </c>
      <c r="N25" s="56">
        <f>Participantes!K24</f>
        <v>0</v>
      </c>
      <c r="O25" s="56">
        <f>Participantes!L24</f>
        <v>3</v>
      </c>
      <c r="P25" s="58">
        <f t="shared" si="4"/>
        <v>1</v>
      </c>
      <c r="Q25" s="56">
        <f>Participantes!M24</f>
        <v>0</v>
      </c>
      <c r="R25" s="56">
        <f>Participantes!N24</f>
        <v>1</v>
      </c>
      <c r="S25" s="58">
        <f t="shared" si="5"/>
        <v>0</v>
      </c>
      <c r="T25" s="56">
        <f>Participantes!O24</f>
        <v>3</v>
      </c>
      <c r="U25" s="56">
        <f>Participantes!P24</f>
        <v>2</v>
      </c>
      <c r="V25" s="58">
        <f t="shared" si="6"/>
        <v>0</v>
      </c>
      <c r="W25" s="56">
        <f>Participantes!Q24</f>
        <v>0</v>
      </c>
      <c r="X25" s="56">
        <f>Participantes!R24</f>
        <v>4</v>
      </c>
      <c r="Y25" s="58">
        <f t="shared" si="7"/>
        <v>0</v>
      </c>
      <c r="Z25" s="56">
        <f>Participantes!S24</f>
        <v>2</v>
      </c>
      <c r="AA25" s="56">
        <f>Participantes!T24</f>
        <v>1</v>
      </c>
      <c r="AB25" s="58">
        <f t="shared" si="8"/>
        <v>1</v>
      </c>
      <c r="AC25" s="56">
        <f>Participantes!U24</f>
        <v>6</v>
      </c>
      <c r="AD25" s="56">
        <f>Participantes!V24</f>
        <v>1</v>
      </c>
      <c r="AE25" s="58">
        <f t="shared" si="9"/>
        <v>1</v>
      </c>
      <c r="AF25" s="56">
        <f>Participantes!W24</f>
        <v>0</v>
      </c>
      <c r="AG25" s="56">
        <f>Participantes!X24</f>
        <v>2</v>
      </c>
      <c r="AH25" s="58">
        <f t="shared" si="10"/>
        <v>0</v>
      </c>
      <c r="AI25" s="56">
        <f>Participantes!Y24</f>
        <v>3</v>
      </c>
      <c r="AJ25" s="56">
        <f>Participantes!Z24</f>
        <v>1</v>
      </c>
      <c r="AK25" s="58">
        <f t="shared" si="11"/>
        <v>1</v>
      </c>
      <c r="AL25" s="56">
        <f>Participantes!AA24</f>
        <v>1</v>
      </c>
      <c r="AM25" s="56">
        <f>Participantes!AB24</f>
        <v>0</v>
      </c>
      <c r="AN25" s="58">
        <f t="shared" si="12"/>
        <v>0</v>
      </c>
      <c r="AO25" s="56">
        <f>Participantes!AC24</f>
        <v>2</v>
      </c>
      <c r="AP25" s="56">
        <f>Participantes!AD24</f>
        <v>0</v>
      </c>
      <c r="AQ25" s="58">
        <f t="shared" si="13"/>
        <v>0</v>
      </c>
      <c r="AR25" s="56">
        <f>Participantes!AE24</f>
        <v>0</v>
      </c>
      <c r="AS25" s="56">
        <f>Participantes!AF24</f>
        <v>1</v>
      </c>
      <c r="AT25" s="58">
        <f t="shared" si="14"/>
        <v>0</v>
      </c>
      <c r="AU25" s="56">
        <f>Participantes!AG24</f>
        <v>3</v>
      </c>
      <c r="AV25" s="56">
        <f>Participantes!AH24</f>
        <v>3</v>
      </c>
      <c r="AW25" s="58">
        <f t="shared" si="15"/>
        <v>1</v>
      </c>
      <c r="AX25" s="56">
        <f>Participantes!AI24</f>
        <v>1</v>
      </c>
      <c r="AY25" s="56">
        <f>Participantes!AJ24</f>
        <v>1</v>
      </c>
      <c r="AZ25" s="58">
        <f t="shared" si="16"/>
        <v>0</v>
      </c>
      <c r="BA25" s="56">
        <f>Participantes!AK24</f>
        <v>0</v>
      </c>
      <c r="BB25" s="56">
        <f>Participantes!AL24</f>
        <v>3</v>
      </c>
      <c r="BC25" s="58">
        <f t="shared" si="17"/>
        <v>1</v>
      </c>
      <c r="BD25" s="56">
        <f>Participantes!AM24</f>
        <v>1</v>
      </c>
      <c r="BE25" s="56">
        <f>Participantes!AN24</f>
        <v>2</v>
      </c>
      <c r="BF25" s="58">
        <f t="shared" si="18"/>
        <v>0</v>
      </c>
      <c r="BG25" s="56">
        <f>Participantes!AO24</f>
        <v>4</v>
      </c>
      <c r="BH25" s="56">
        <f>Participantes!AP24</f>
        <v>1</v>
      </c>
      <c r="BI25" s="58">
        <f t="shared" si="19"/>
        <v>1</v>
      </c>
      <c r="BJ25" s="56">
        <f>Participantes!AQ24</f>
        <v>0</v>
      </c>
      <c r="BK25" s="56">
        <f>Participantes!AR24</f>
        <v>1</v>
      </c>
      <c r="BL25" s="58">
        <f t="shared" si="20"/>
        <v>0</v>
      </c>
      <c r="BM25" s="56">
        <f>Participantes!AS24</f>
        <v>3</v>
      </c>
      <c r="BN25" s="56">
        <f>Participantes!AT24</f>
        <v>5</v>
      </c>
      <c r="BO25" s="58">
        <f t="shared" si="21"/>
        <v>0</v>
      </c>
      <c r="BP25" s="56">
        <f>Participantes!AU24</f>
        <v>2</v>
      </c>
      <c r="BQ25" s="56">
        <f>Participantes!AV24</f>
        <v>0</v>
      </c>
      <c r="BR25" s="58">
        <f t="shared" si="22"/>
        <v>0</v>
      </c>
      <c r="BS25" s="56">
        <f>Participantes!AW24</f>
        <v>2</v>
      </c>
      <c r="BT25" s="56">
        <f>Participantes!AX24</f>
        <v>4</v>
      </c>
      <c r="BU25" s="58">
        <f t="shared" si="23"/>
        <v>1</v>
      </c>
      <c r="BV25" s="56">
        <f>Participantes!AY24</f>
        <v>2</v>
      </c>
      <c r="BW25" s="56">
        <f>Participantes!AZ24</f>
        <v>1</v>
      </c>
      <c r="BX25" s="58">
        <f t="shared" si="24"/>
        <v>0</v>
      </c>
      <c r="BY25" s="56">
        <f>Participantes!BA24</f>
        <v>2</v>
      </c>
      <c r="BZ25" s="56">
        <f>Participantes!BB24</f>
        <v>0</v>
      </c>
      <c r="CA25" s="58">
        <f t="shared" si="25"/>
        <v>1</v>
      </c>
      <c r="CB25" s="56">
        <f>Participantes!BC24</f>
        <v>3</v>
      </c>
      <c r="CC25" s="56">
        <f>Participantes!BD24</f>
        <v>0</v>
      </c>
      <c r="CD25" s="58">
        <f t="shared" si="26"/>
        <v>1</v>
      </c>
      <c r="CE25" s="56">
        <f>Participantes!BE24</f>
        <v>1</v>
      </c>
      <c r="CF25" s="56">
        <f>Participantes!BF24</f>
        <v>1</v>
      </c>
      <c r="CG25" s="58">
        <f t="shared" si="27"/>
        <v>0</v>
      </c>
      <c r="CH25" s="56">
        <f>Participantes!BG24</f>
        <v>4</v>
      </c>
      <c r="CI25" s="56">
        <f>Participantes!BH24</f>
        <v>0</v>
      </c>
      <c r="CJ25" s="58">
        <f t="shared" si="28"/>
        <v>1</v>
      </c>
      <c r="CK25" s="56">
        <f>Participantes!BI24</f>
        <v>1</v>
      </c>
      <c r="CL25" s="56">
        <f>Participantes!BJ24</f>
        <v>2</v>
      </c>
      <c r="CM25" s="58">
        <f t="shared" si="29"/>
        <v>1</v>
      </c>
      <c r="CN25" s="56">
        <f>Participantes!BK24</f>
        <v>2</v>
      </c>
      <c r="CO25" s="56">
        <f>Participantes!BL24</f>
        <v>2</v>
      </c>
      <c r="CP25" s="58">
        <f t="shared" si="30"/>
        <v>0</v>
      </c>
      <c r="CQ25" s="56">
        <f>Participantes!BM24</f>
        <v>4</v>
      </c>
      <c r="CR25" s="56">
        <f>Participantes!BN24</f>
        <v>2</v>
      </c>
      <c r="CS25" s="58">
        <f t="shared" si="31"/>
        <v>1</v>
      </c>
      <c r="CT25" s="56">
        <f>Participantes!BO24</f>
        <v>1</v>
      </c>
      <c r="CU25" s="56">
        <f>Participantes!BP24</f>
        <v>1</v>
      </c>
      <c r="CV25" s="58">
        <f t="shared" si="32"/>
        <v>0</v>
      </c>
      <c r="CW25" s="56">
        <f>Participantes!BQ24</f>
        <v>6</v>
      </c>
      <c r="CX25" s="56">
        <f>Participantes!BR24</f>
        <v>2</v>
      </c>
      <c r="CY25" s="58">
        <f t="shared" si="33"/>
        <v>0</v>
      </c>
      <c r="CZ25" s="56">
        <f>Participantes!BS24</f>
        <v>2</v>
      </c>
      <c r="DA25" s="56">
        <f>Participantes!BT24</f>
        <v>0</v>
      </c>
      <c r="DB25" s="58">
        <f t="shared" si="34"/>
        <v>1</v>
      </c>
      <c r="DC25" s="56">
        <f>Participantes!BU24</f>
        <v>0</v>
      </c>
      <c r="DD25" s="56">
        <f>Participantes!BV24</f>
        <v>3</v>
      </c>
      <c r="DE25" s="58">
        <f t="shared" si="35"/>
        <v>1</v>
      </c>
      <c r="DF25" s="56">
        <f>Participantes!BW24</f>
        <v>3</v>
      </c>
      <c r="DG25" s="56">
        <f>Participantes!BX24</f>
        <v>1</v>
      </c>
      <c r="DH25" s="58">
        <f t="shared" si="36"/>
        <v>0</v>
      </c>
      <c r="DI25" s="56">
        <f>Participantes!BY24</f>
        <v>3</v>
      </c>
      <c r="DJ25" s="56">
        <f>Participantes!BZ24</f>
        <v>2</v>
      </c>
      <c r="DK25" s="58">
        <f t="shared" si="37"/>
        <v>1</v>
      </c>
      <c r="DL25" s="56">
        <f>Participantes!CA24</f>
        <v>1</v>
      </c>
      <c r="DM25" s="56">
        <f>Participantes!CB24</f>
        <v>0</v>
      </c>
      <c r="DN25" s="58">
        <f t="shared" si="38"/>
        <v>0</v>
      </c>
      <c r="DO25" s="56">
        <f>Participantes!CC24</f>
        <v>0</v>
      </c>
      <c r="DP25" s="56">
        <f>Participantes!CD24</f>
        <v>2</v>
      </c>
      <c r="DQ25" s="58">
        <f t="shared" si="39"/>
        <v>1</v>
      </c>
      <c r="DR25" s="56">
        <f>Participantes!CE24</f>
        <v>3</v>
      </c>
      <c r="DS25" s="56">
        <f>Participantes!CF24</f>
        <v>2</v>
      </c>
      <c r="DT25" s="58">
        <f t="shared" si="40"/>
        <v>3</v>
      </c>
      <c r="DU25" s="56">
        <f>Participantes!CG24</f>
        <v>4</v>
      </c>
      <c r="DV25" s="56">
        <f>Participantes!CH24</f>
        <v>1</v>
      </c>
      <c r="DW25" s="58">
        <f t="shared" si="41"/>
        <v>1</v>
      </c>
      <c r="DX25" s="56">
        <f>Participantes!CI24</f>
        <v>2</v>
      </c>
      <c r="DY25" s="56">
        <f>Participantes!CJ24</f>
        <v>0</v>
      </c>
      <c r="DZ25" s="58">
        <f t="shared" si="42"/>
        <v>3</v>
      </c>
      <c r="EA25" s="56">
        <f>Participantes!CK24</f>
        <v>0</v>
      </c>
      <c r="EB25" s="56">
        <f>Participantes!CL24</f>
        <v>2</v>
      </c>
      <c r="EC25" s="58">
        <f t="shared" si="43"/>
        <v>1</v>
      </c>
      <c r="ED25" s="56">
        <f>Participantes!CM24</f>
        <v>3</v>
      </c>
      <c r="EE25" s="56">
        <f>Participantes!CN24</f>
        <v>0</v>
      </c>
      <c r="EF25" s="58">
        <f t="shared" si="44"/>
        <v>0</v>
      </c>
      <c r="EG25" s="56">
        <f>Participantes!CO24</f>
        <v>1</v>
      </c>
      <c r="EH25" s="56">
        <f>Participantes!CP24</f>
        <v>3</v>
      </c>
      <c r="EI25" s="58">
        <f t="shared" si="45"/>
        <v>1</v>
      </c>
      <c r="EJ25" s="56">
        <f>Participantes!CQ24</f>
        <v>2</v>
      </c>
      <c r="EK25" s="56">
        <f>Participantes!CR24</f>
        <v>1</v>
      </c>
      <c r="EL25" s="58">
        <f t="shared" si="46"/>
        <v>1</v>
      </c>
      <c r="EM25" s="56">
        <f>Participantes!CS24</f>
        <v>2</v>
      </c>
      <c r="EN25" s="56">
        <f>Participantes!CT24</f>
        <v>0</v>
      </c>
      <c r="EO25" s="58">
        <f t="shared" si="47"/>
        <v>1</v>
      </c>
      <c r="EP25" s="56">
        <f>Participantes!CU24</f>
        <v>2</v>
      </c>
      <c r="EQ25" s="56">
        <f>Participantes!CV24</f>
        <v>5</v>
      </c>
      <c r="ER25" s="58">
        <f t="shared" si="48"/>
        <v>1</v>
      </c>
      <c r="ES25" s="56">
        <f>Participantes!CW24</f>
        <v>3</v>
      </c>
      <c r="ET25" s="56">
        <f>Participantes!CX24</f>
        <v>0</v>
      </c>
      <c r="EU25" s="58">
        <f t="shared" si="49"/>
        <v>1</v>
      </c>
      <c r="EV25" s="56">
        <f>Participantes!CY24</f>
        <v>1</v>
      </c>
      <c r="EW25" s="56">
        <f>Participantes!CZ24</f>
        <v>0</v>
      </c>
      <c r="EX25" s="58">
        <f t="shared" si="50"/>
        <v>1</v>
      </c>
      <c r="EY25" s="56">
        <f>Participantes!DA24</f>
        <v>3</v>
      </c>
      <c r="EZ25" s="56">
        <f>Participantes!DB24</f>
        <v>1</v>
      </c>
      <c r="FA25" s="58">
        <f t="shared" si="51"/>
        <v>3</v>
      </c>
      <c r="FB25" s="56">
        <f>Participantes!DC24</f>
        <v>1</v>
      </c>
      <c r="FC25" s="56">
        <f>Participantes!DD24</f>
        <v>0</v>
      </c>
      <c r="FD25" s="58">
        <f t="shared" si="52"/>
        <v>0</v>
      </c>
      <c r="FE25" s="56">
        <f>Participantes!DE24</f>
        <v>0</v>
      </c>
      <c r="FF25" s="56">
        <f>Participantes!DF24</f>
        <v>2</v>
      </c>
      <c r="FG25" s="58">
        <f t="shared" si="53"/>
        <v>0</v>
      </c>
      <c r="FH25" s="56">
        <f>Participantes!DG24</f>
        <v>1</v>
      </c>
      <c r="FI25" s="56">
        <f>Participantes!DH24</f>
        <v>4</v>
      </c>
      <c r="FJ25" s="58">
        <f t="shared" si="54"/>
        <v>1</v>
      </c>
      <c r="FK25" s="56">
        <f>Participantes!DI24</f>
        <v>2</v>
      </c>
      <c r="FL25" s="56">
        <f>Participantes!DJ24</f>
        <v>3</v>
      </c>
      <c r="FM25" s="58">
        <f t="shared" si="55"/>
        <v>0</v>
      </c>
      <c r="FN25" s="56">
        <f>Participantes!DK24</f>
        <v>2</v>
      </c>
      <c r="FO25" s="56">
        <f>Participantes!DL24</f>
        <v>0</v>
      </c>
      <c r="FP25" s="58">
        <f t="shared" si="56"/>
        <v>0</v>
      </c>
      <c r="FQ25" s="56">
        <f>Participantes!DM24</f>
        <v>0</v>
      </c>
      <c r="FR25" s="56">
        <f>Participantes!DN24</f>
        <v>3</v>
      </c>
      <c r="FS25" s="58">
        <f t="shared" si="57"/>
        <v>1</v>
      </c>
      <c r="FT25" s="56">
        <f>Participantes!DO24</f>
        <v>2</v>
      </c>
      <c r="FU25" s="56">
        <f>Participantes!DP24</f>
        <v>2</v>
      </c>
      <c r="FV25" s="58">
        <f t="shared" si="58"/>
        <v>0</v>
      </c>
      <c r="FW25" s="56">
        <f>Participantes!DQ24</f>
        <v>1</v>
      </c>
      <c r="FX25" s="56">
        <f>Participantes!DR24</f>
        <v>2</v>
      </c>
      <c r="FY25" s="58">
        <f t="shared" si="59"/>
        <v>0</v>
      </c>
      <c r="FZ25" s="56">
        <f>Participantes!DS24</f>
        <v>1</v>
      </c>
      <c r="GA25" s="56">
        <f>Participantes!DT24</f>
        <v>3</v>
      </c>
      <c r="GB25" s="58">
        <f t="shared" si="60"/>
        <v>1</v>
      </c>
      <c r="GC25" s="56">
        <f>Participantes!DU24</f>
        <v>2</v>
      </c>
      <c r="GD25" s="56">
        <f>Participantes!DV24</f>
        <v>0</v>
      </c>
      <c r="GE25" s="58">
        <f t="shared" si="61"/>
        <v>1</v>
      </c>
      <c r="GF25" s="56">
        <f>Participantes!DW24</f>
        <v>2</v>
      </c>
      <c r="GG25" s="56">
        <f>Participantes!DX24</f>
        <v>2</v>
      </c>
      <c r="GH25" s="58">
        <f t="shared" si="62"/>
        <v>1</v>
      </c>
      <c r="GI25" s="56">
        <f>Participantes!DY24</f>
        <v>1</v>
      </c>
      <c r="GJ25" s="56">
        <f>Participantes!DZ24</f>
        <v>5</v>
      </c>
      <c r="GK25" s="58">
        <f t="shared" si="63"/>
        <v>3</v>
      </c>
      <c r="GL25" s="56">
        <f>Participantes!EA24</f>
        <v>0</v>
      </c>
      <c r="GM25" s="56">
        <f>Participantes!EB24</f>
        <v>1</v>
      </c>
      <c r="GN25" s="58">
        <f t="shared" si="64"/>
        <v>0</v>
      </c>
      <c r="GO25" s="56">
        <f>Participantes!EC24</f>
        <v>0</v>
      </c>
      <c r="GP25" s="56">
        <f>Participantes!ED24</f>
        <v>2</v>
      </c>
      <c r="GQ25" s="58">
        <f t="shared" si="65"/>
        <v>1</v>
      </c>
      <c r="GR25" s="56">
        <f>Participantes!EE24</f>
        <v>0</v>
      </c>
      <c r="GS25" s="56">
        <f>Participantes!EF24</f>
        <v>3</v>
      </c>
      <c r="GT25" s="58" t="str">
        <f t="shared" si="66"/>
        <v/>
      </c>
      <c r="GU25" s="56">
        <f>Participantes!EG24</f>
        <v>5</v>
      </c>
      <c r="GV25" s="56">
        <f>Participantes!EH24</f>
        <v>0</v>
      </c>
      <c r="GW25" s="58" t="str">
        <f t="shared" si="67"/>
        <v/>
      </c>
      <c r="GX25" s="56">
        <f>Participantes!EI24</f>
        <v>1</v>
      </c>
      <c r="GY25" s="56">
        <f>Participantes!EJ24</f>
        <v>2</v>
      </c>
      <c r="GZ25" s="58" t="str">
        <f t="shared" si="68"/>
        <v/>
      </c>
      <c r="HA25" s="56">
        <f>Participantes!EK24</f>
        <v>0</v>
      </c>
      <c r="HB25" s="56">
        <f>Participantes!EL24</f>
        <v>3</v>
      </c>
      <c r="HC25" s="58" t="str">
        <f t="shared" si="69"/>
        <v/>
      </c>
      <c r="HD25" s="56">
        <f>Participantes!EM24</f>
        <v>1</v>
      </c>
      <c r="HE25" s="56">
        <f>Participantes!EN24</f>
        <v>0</v>
      </c>
      <c r="HF25" s="58" t="str">
        <f t="shared" si="70"/>
        <v/>
      </c>
      <c r="HG25" s="56">
        <f>Participantes!EO24</f>
        <v>2</v>
      </c>
      <c r="HH25" s="56">
        <f>Participantes!EP24</f>
        <v>1</v>
      </c>
      <c r="HI25" s="58" t="str">
        <f t="shared" si="71"/>
        <v/>
      </c>
      <c r="HJ25" s="59">
        <f t="shared" si="72"/>
        <v>44</v>
      </c>
    </row>
    <row r="26" spans="1:218" ht="15" customHeight="1" x14ac:dyDescent="0.25">
      <c r="A26" s="57" t="str">
        <f>Participantes!B25</f>
        <v>Karina</v>
      </c>
      <c r="B26" s="56">
        <f>Participantes!C25</f>
        <v>3</v>
      </c>
      <c r="C26" s="56">
        <f>Participantes!D25</f>
        <v>1</v>
      </c>
      <c r="D26" s="58">
        <f t="shared" si="0"/>
        <v>1</v>
      </c>
      <c r="E26" s="56">
        <f>Participantes!E25</f>
        <v>1</v>
      </c>
      <c r="F26" s="56">
        <f>Participantes!F25</f>
        <v>2</v>
      </c>
      <c r="G26" s="58">
        <f t="shared" si="1"/>
        <v>0</v>
      </c>
      <c r="H26" s="56">
        <f>Participantes!G25</f>
        <v>2</v>
      </c>
      <c r="I26" s="56">
        <f>Participantes!H25</f>
        <v>1</v>
      </c>
      <c r="J26" s="58">
        <f t="shared" si="2"/>
        <v>0</v>
      </c>
      <c r="K26" s="56">
        <f>Participantes!I25</f>
        <v>2</v>
      </c>
      <c r="L26" s="56">
        <f>Participantes!J25</f>
        <v>1</v>
      </c>
      <c r="M26" s="58">
        <f t="shared" si="3"/>
        <v>1</v>
      </c>
      <c r="N26" s="56">
        <f>Participantes!K25</f>
        <v>1</v>
      </c>
      <c r="O26" s="56">
        <f>Participantes!L25</f>
        <v>3</v>
      </c>
      <c r="P26" s="58">
        <f t="shared" si="4"/>
        <v>1</v>
      </c>
      <c r="Q26" s="56">
        <f>Participantes!M25</f>
        <v>1</v>
      </c>
      <c r="R26" s="56">
        <f>Participantes!N25</f>
        <v>1</v>
      </c>
      <c r="S26" s="58">
        <f t="shared" si="5"/>
        <v>0</v>
      </c>
      <c r="T26" s="56">
        <f>Participantes!O25</f>
        <v>3</v>
      </c>
      <c r="U26" s="56">
        <f>Participantes!P25</f>
        <v>2</v>
      </c>
      <c r="V26" s="58">
        <f t="shared" si="6"/>
        <v>0</v>
      </c>
      <c r="W26" s="56">
        <f>Participantes!Q25</f>
        <v>1</v>
      </c>
      <c r="X26" s="56">
        <f>Participantes!R25</f>
        <v>2</v>
      </c>
      <c r="Y26" s="58">
        <f t="shared" si="7"/>
        <v>0</v>
      </c>
      <c r="Z26" s="56">
        <f>Participantes!S25</f>
        <v>2</v>
      </c>
      <c r="AA26" s="56">
        <f>Participantes!T25</f>
        <v>2</v>
      </c>
      <c r="AB26" s="58">
        <f t="shared" si="8"/>
        <v>0</v>
      </c>
      <c r="AC26" s="56">
        <f>Participantes!U25</f>
        <v>3</v>
      </c>
      <c r="AD26" s="56">
        <f>Participantes!V25</f>
        <v>1</v>
      </c>
      <c r="AE26" s="58">
        <f t="shared" si="9"/>
        <v>1</v>
      </c>
      <c r="AF26" s="56">
        <f>Participantes!W25</f>
        <v>3</v>
      </c>
      <c r="AG26" s="56">
        <f>Participantes!X25</f>
        <v>1</v>
      </c>
      <c r="AH26" s="58">
        <f t="shared" si="10"/>
        <v>0</v>
      </c>
      <c r="AI26" s="56">
        <f>Participantes!Y25</f>
        <v>2</v>
      </c>
      <c r="AJ26" s="56">
        <f>Participantes!Z25</f>
        <v>1</v>
      </c>
      <c r="AK26" s="58">
        <f t="shared" si="11"/>
        <v>1</v>
      </c>
      <c r="AL26" s="56">
        <f>Participantes!AA25</f>
        <v>1</v>
      </c>
      <c r="AM26" s="56">
        <f>Participantes!AB25</f>
        <v>3</v>
      </c>
      <c r="AN26" s="58">
        <f t="shared" si="12"/>
        <v>0</v>
      </c>
      <c r="AO26" s="56">
        <f>Participantes!AC25</f>
        <v>5</v>
      </c>
      <c r="AP26" s="56">
        <f>Participantes!AD25</f>
        <v>1</v>
      </c>
      <c r="AQ26" s="58">
        <f t="shared" si="13"/>
        <v>0</v>
      </c>
      <c r="AR26" s="56">
        <f>Participantes!AE25</f>
        <v>2</v>
      </c>
      <c r="AS26" s="56">
        <f>Participantes!AF25</f>
        <v>1</v>
      </c>
      <c r="AT26" s="58">
        <f t="shared" si="14"/>
        <v>0</v>
      </c>
      <c r="AU26" s="56">
        <f>Participantes!AG25</f>
        <v>3</v>
      </c>
      <c r="AV26" s="56">
        <f>Participantes!AH25</f>
        <v>2</v>
      </c>
      <c r="AW26" s="58">
        <f t="shared" si="15"/>
        <v>0</v>
      </c>
      <c r="AX26" s="56">
        <f>Participantes!AI25</f>
        <v>4</v>
      </c>
      <c r="AY26" s="56">
        <f>Participantes!AJ25</f>
        <v>1</v>
      </c>
      <c r="AZ26" s="58">
        <f t="shared" si="16"/>
        <v>1</v>
      </c>
      <c r="BA26" s="56">
        <f>Participantes!AK25</f>
        <v>1</v>
      </c>
      <c r="BB26" s="56">
        <f>Participantes!AL25</f>
        <v>3</v>
      </c>
      <c r="BC26" s="58">
        <f t="shared" si="17"/>
        <v>1</v>
      </c>
      <c r="BD26" s="56">
        <f>Participantes!AM25</f>
        <v>3</v>
      </c>
      <c r="BE26" s="56">
        <f>Participantes!AN25</f>
        <v>1</v>
      </c>
      <c r="BF26" s="58">
        <f t="shared" si="18"/>
        <v>1</v>
      </c>
      <c r="BG26" s="56">
        <f>Participantes!AO25</f>
        <v>2</v>
      </c>
      <c r="BH26" s="56">
        <f>Participantes!AP25</f>
        <v>1</v>
      </c>
      <c r="BI26" s="58">
        <f t="shared" si="19"/>
        <v>1</v>
      </c>
      <c r="BJ26" s="56">
        <f>Participantes!AQ25</f>
        <v>1</v>
      </c>
      <c r="BK26" s="56">
        <f>Participantes!AR25</f>
        <v>2</v>
      </c>
      <c r="BL26" s="58">
        <f t="shared" si="20"/>
        <v>0</v>
      </c>
      <c r="BM26" s="56">
        <f>Participantes!AS25</f>
        <v>3</v>
      </c>
      <c r="BN26" s="56">
        <f>Participantes!AT25</f>
        <v>1</v>
      </c>
      <c r="BO26" s="58">
        <f t="shared" si="21"/>
        <v>1</v>
      </c>
      <c r="BP26" s="56">
        <f>Participantes!AU25</f>
        <v>5</v>
      </c>
      <c r="BQ26" s="56">
        <f>Participantes!AV25</f>
        <v>1</v>
      </c>
      <c r="BR26" s="58">
        <f t="shared" si="22"/>
        <v>0</v>
      </c>
      <c r="BS26" s="56">
        <f>Participantes!AW25</f>
        <v>2</v>
      </c>
      <c r="BT26" s="56">
        <f>Participantes!AX25</f>
        <v>3</v>
      </c>
      <c r="BU26" s="58">
        <f t="shared" si="23"/>
        <v>1</v>
      </c>
      <c r="BV26" s="56">
        <f>Participantes!AY25</f>
        <v>2</v>
      </c>
      <c r="BW26" s="56">
        <f>Participantes!AZ25</f>
        <v>1</v>
      </c>
      <c r="BX26" s="58">
        <f t="shared" si="24"/>
        <v>0</v>
      </c>
      <c r="BY26" s="56">
        <f>Participantes!BA25</f>
        <v>2</v>
      </c>
      <c r="BZ26" s="56">
        <f>Participantes!BB25</f>
        <v>1</v>
      </c>
      <c r="CA26" s="58">
        <f t="shared" si="25"/>
        <v>1</v>
      </c>
      <c r="CB26" s="56">
        <f>Participantes!BC25</f>
        <v>2</v>
      </c>
      <c r="CC26" s="56">
        <f>Participantes!BD25</f>
        <v>0</v>
      </c>
      <c r="CD26" s="58">
        <f t="shared" si="26"/>
        <v>1</v>
      </c>
      <c r="CE26" s="56">
        <f>Participantes!BE25</f>
        <v>3</v>
      </c>
      <c r="CF26" s="56">
        <f>Participantes!BF25</f>
        <v>1</v>
      </c>
      <c r="CG26" s="58">
        <f t="shared" si="27"/>
        <v>1</v>
      </c>
      <c r="CH26" s="56">
        <f>Participantes!BG25</f>
        <v>4</v>
      </c>
      <c r="CI26" s="56">
        <f>Participantes!BH25</f>
        <v>1</v>
      </c>
      <c r="CJ26" s="58">
        <f t="shared" si="28"/>
        <v>1</v>
      </c>
      <c r="CK26" s="56">
        <f>Participantes!BI25</f>
        <v>2</v>
      </c>
      <c r="CL26" s="56">
        <f>Participantes!BJ25</f>
        <v>1</v>
      </c>
      <c r="CM26" s="58">
        <f t="shared" si="29"/>
        <v>0</v>
      </c>
      <c r="CN26" s="56">
        <f>Participantes!BK25</f>
        <v>1</v>
      </c>
      <c r="CO26" s="56">
        <f>Participantes!BL25</f>
        <v>2</v>
      </c>
      <c r="CP26" s="58">
        <f t="shared" si="30"/>
        <v>1</v>
      </c>
      <c r="CQ26" s="56">
        <f>Participantes!BM25</f>
        <v>2</v>
      </c>
      <c r="CR26" s="56">
        <f>Participantes!BN25</f>
        <v>0</v>
      </c>
      <c r="CS26" s="58">
        <f t="shared" si="31"/>
        <v>3</v>
      </c>
      <c r="CT26" s="56">
        <f>Participantes!BO25</f>
        <v>3</v>
      </c>
      <c r="CU26" s="56">
        <f>Participantes!BP25</f>
        <v>1</v>
      </c>
      <c r="CV26" s="58">
        <f t="shared" si="32"/>
        <v>1</v>
      </c>
      <c r="CW26" s="56">
        <f>Participantes!BQ25</f>
        <v>2</v>
      </c>
      <c r="CX26" s="56">
        <f>Participantes!BR25</f>
        <v>1</v>
      </c>
      <c r="CY26" s="58">
        <f t="shared" si="33"/>
        <v>0</v>
      </c>
      <c r="CZ26" s="56">
        <f>Participantes!BS25</f>
        <v>3</v>
      </c>
      <c r="DA26" s="56">
        <f>Participantes!BT25</f>
        <v>2</v>
      </c>
      <c r="DB26" s="58">
        <f t="shared" si="34"/>
        <v>1</v>
      </c>
      <c r="DC26" s="56">
        <f>Participantes!BU25</f>
        <v>2</v>
      </c>
      <c r="DD26" s="56">
        <f>Participantes!BV25</f>
        <v>1</v>
      </c>
      <c r="DE26" s="58">
        <f t="shared" si="35"/>
        <v>0</v>
      </c>
      <c r="DF26" s="56">
        <f>Participantes!BW25</f>
        <v>3</v>
      </c>
      <c r="DG26" s="56">
        <f>Participantes!BX25</f>
        <v>1</v>
      </c>
      <c r="DH26" s="58">
        <f t="shared" si="36"/>
        <v>0</v>
      </c>
      <c r="DI26" s="56">
        <f>Participantes!BY25</f>
        <v>4</v>
      </c>
      <c r="DJ26" s="56">
        <f>Participantes!BZ25</f>
        <v>1</v>
      </c>
      <c r="DK26" s="58">
        <f t="shared" si="37"/>
        <v>1</v>
      </c>
      <c r="DL26" s="56">
        <f>Participantes!CA25</f>
        <v>3</v>
      </c>
      <c r="DM26" s="56">
        <f>Participantes!CB25</f>
        <v>1</v>
      </c>
      <c r="DN26" s="58">
        <f t="shared" si="38"/>
        <v>0</v>
      </c>
      <c r="DO26" s="56">
        <f>Participantes!CC25</f>
        <v>0</v>
      </c>
      <c r="DP26" s="56">
        <f>Participantes!CD25</f>
        <v>2</v>
      </c>
      <c r="DQ26" s="58">
        <f t="shared" si="39"/>
        <v>1</v>
      </c>
      <c r="DR26" s="56">
        <f>Participantes!CE25</f>
        <v>3</v>
      </c>
      <c r="DS26" s="56">
        <f>Participantes!CF25</f>
        <v>1</v>
      </c>
      <c r="DT26" s="58">
        <f t="shared" si="40"/>
        <v>1</v>
      </c>
      <c r="DU26" s="56">
        <f>Participantes!CG25</f>
        <v>3</v>
      </c>
      <c r="DV26" s="56">
        <f>Participantes!CH25</f>
        <v>0</v>
      </c>
      <c r="DW26" s="58">
        <f t="shared" si="41"/>
        <v>3</v>
      </c>
      <c r="DX26" s="56">
        <f>Participantes!CI25</f>
        <v>3</v>
      </c>
      <c r="DY26" s="56">
        <f>Participantes!CJ25</f>
        <v>1</v>
      </c>
      <c r="DZ26" s="58">
        <f t="shared" si="42"/>
        <v>1</v>
      </c>
      <c r="EA26" s="56">
        <f>Participantes!CK25</f>
        <v>1</v>
      </c>
      <c r="EB26" s="56">
        <f>Participantes!CL25</f>
        <v>2</v>
      </c>
      <c r="EC26" s="58">
        <f t="shared" si="43"/>
        <v>3</v>
      </c>
      <c r="ED26" s="56">
        <f>Participantes!CM25</f>
        <v>3</v>
      </c>
      <c r="EE26" s="56">
        <f>Participantes!CN25</f>
        <v>1</v>
      </c>
      <c r="EF26" s="58">
        <f t="shared" si="44"/>
        <v>0</v>
      </c>
      <c r="EG26" s="56">
        <f>Participantes!CO25</f>
        <v>2</v>
      </c>
      <c r="EH26" s="56">
        <f>Participantes!CP25</f>
        <v>2</v>
      </c>
      <c r="EI26" s="58">
        <f t="shared" si="45"/>
        <v>0</v>
      </c>
      <c r="EJ26" s="56">
        <f>Participantes!CQ25</f>
        <v>3</v>
      </c>
      <c r="EK26" s="56">
        <f>Participantes!CR25</f>
        <v>1</v>
      </c>
      <c r="EL26" s="58">
        <f t="shared" si="46"/>
        <v>1</v>
      </c>
      <c r="EM26" s="56">
        <f>Participantes!CS25</f>
        <v>3</v>
      </c>
      <c r="EN26" s="56">
        <f>Participantes!CT25</f>
        <v>1</v>
      </c>
      <c r="EO26" s="58">
        <f t="shared" si="47"/>
        <v>1</v>
      </c>
      <c r="EP26" s="56">
        <f>Participantes!CU25</f>
        <v>1</v>
      </c>
      <c r="EQ26" s="56">
        <f>Participantes!CV25</f>
        <v>3</v>
      </c>
      <c r="ER26" s="58">
        <f t="shared" si="48"/>
        <v>1</v>
      </c>
      <c r="ES26" s="56">
        <f>Participantes!CW25</f>
        <v>4</v>
      </c>
      <c r="ET26" s="56">
        <f>Participantes!CX25</f>
        <v>1</v>
      </c>
      <c r="EU26" s="58">
        <f t="shared" si="49"/>
        <v>1</v>
      </c>
      <c r="EV26" s="56">
        <f>Participantes!CY25</f>
        <v>1</v>
      </c>
      <c r="EW26" s="56">
        <f>Participantes!CZ25</f>
        <v>2</v>
      </c>
      <c r="EX26" s="58">
        <f t="shared" si="50"/>
        <v>0</v>
      </c>
      <c r="EY26" s="56">
        <f>Participantes!DA25</f>
        <v>2</v>
      </c>
      <c r="EZ26" s="56">
        <f>Participantes!DB25</f>
        <v>1</v>
      </c>
      <c r="FA26" s="58">
        <f t="shared" si="51"/>
        <v>1</v>
      </c>
      <c r="FB26" s="56">
        <f>Participantes!DC25</f>
        <v>2</v>
      </c>
      <c r="FC26" s="56">
        <f>Participantes!DD25</f>
        <v>3</v>
      </c>
      <c r="FD26" s="58">
        <f t="shared" si="52"/>
        <v>1</v>
      </c>
      <c r="FE26" s="56">
        <f>Participantes!DE25</f>
        <v>1</v>
      </c>
      <c r="FF26" s="56">
        <f>Participantes!DF25</f>
        <v>1</v>
      </c>
      <c r="FG26" s="58">
        <f t="shared" si="53"/>
        <v>0</v>
      </c>
      <c r="FH26" s="56">
        <f>Participantes!DG25</f>
        <v>1</v>
      </c>
      <c r="FI26" s="56">
        <f>Participantes!DH25</f>
        <v>2</v>
      </c>
      <c r="FJ26" s="58">
        <f t="shared" si="54"/>
        <v>1</v>
      </c>
      <c r="FK26" s="56">
        <f>Participantes!DI25</f>
        <v>2</v>
      </c>
      <c r="FL26" s="56">
        <f>Participantes!DJ25</f>
        <v>1</v>
      </c>
      <c r="FM26" s="58">
        <f t="shared" si="55"/>
        <v>3</v>
      </c>
      <c r="FN26" s="56">
        <f>Participantes!DK25</f>
        <v>2</v>
      </c>
      <c r="FO26" s="56">
        <f>Participantes!DL25</f>
        <v>1</v>
      </c>
      <c r="FP26" s="58">
        <f t="shared" si="56"/>
        <v>0</v>
      </c>
      <c r="FQ26" s="56">
        <f>Participantes!DM25</f>
        <v>0</v>
      </c>
      <c r="FR26" s="56">
        <f>Participantes!DN25</f>
        <v>1</v>
      </c>
      <c r="FS26" s="58">
        <f t="shared" si="57"/>
        <v>1</v>
      </c>
      <c r="FT26" s="56">
        <f>Participantes!DO25</f>
        <v>0</v>
      </c>
      <c r="FU26" s="56">
        <f>Participantes!DP25</f>
        <v>2</v>
      </c>
      <c r="FV26" s="58">
        <f t="shared" si="58"/>
        <v>0</v>
      </c>
      <c r="FW26" s="56">
        <f>Participantes!DQ25</f>
        <v>2</v>
      </c>
      <c r="FX26" s="56">
        <f>Participantes!DR25</f>
        <v>2</v>
      </c>
      <c r="FY26" s="58">
        <f t="shared" si="59"/>
        <v>1</v>
      </c>
      <c r="FZ26" s="56">
        <f>Participantes!DS25</f>
        <v>2</v>
      </c>
      <c r="GA26" s="56">
        <f>Participantes!DT25</f>
        <v>3</v>
      </c>
      <c r="GB26" s="58">
        <f t="shared" si="60"/>
        <v>1</v>
      </c>
      <c r="GC26" s="56">
        <f>Participantes!DU25</f>
        <v>2</v>
      </c>
      <c r="GD26" s="56">
        <f>Participantes!DV25</f>
        <v>1</v>
      </c>
      <c r="GE26" s="58">
        <f t="shared" si="61"/>
        <v>1</v>
      </c>
      <c r="GF26" s="56">
        <f>Participantes!DW25</f>
        <v>2</v>
      </c>
      <c r="GG26" s="56">
        <f>Participantes!DX25</f>
        <v>1</v>
      </c>
      <c r="GH26" s="58">
        <f t="shared" si="62"/>
        <v>0</v>
      </c>
      <c r="GI26" s="56">
        <f>Participantes!DY25</f>
        <v>1</v>
      </c>
      <c r="GJ26" s="56">
        <f>Participantes!DZ25</f>
        <v>3</v>
      </c>
      <c r="GK26" s="58">
        <f t="shared" si="63"/>
        <v>1</v>
      </c>
      <c r="GL26" s="56">
        <f>Participantes!EA25</f>
        <v>0</v>
      </c>
      <c r="GM26" s="56">
        <f>Participantes!EB25</f>
        <v>3</v>
      </c>
      <c r="GN26" s="58">
        <f t="shared" si="64"/>
        <v>0</v>
      </c>
      <c r="GO26" s="56">
        <f>Participantes!EC25</f>
        <v>2</v>
      </c>
      <c r="GP26" s="56">
        <f>Participantes!ED25</f>
        <v>3</v>
      </c>
      <c r="GQ26" s="58">
        <f t="shared" si="65"/>
        <v>1</v>
      </c>
      <c r="GR26" s="56">
        <f>Participantes!EE25</f>
        <v>1</v>
      </c>
      <c r="GS26" s="56">
        <f>Participantes!EF25</f>
        <v>5</v>
      </c>
      <c r="GT26" s="58" t="str">
        <f t="shared" si="66"/>
        <v/>
      </c>
      <c r="GU26" s="56">
        <f>Participantes!EG25</f>
        <v>3</v>
      </c>
      <c r="GV26" s="56">
        <f>Participantes!EH25</f>
        <v>1</v>
      </c>
      <c r="GW26" s="58" t="str">
        <f t="shared" si="67"/>
        <v/>
      </c>
      <c r="GX26" s="56">
        <f>Participantes!EI25</f>
        <v>1</v>
      </c>
      <c r="GY26" s="56">
        <f>Participantes!EJ25</f>
        <v>1</v>
      </c>
      <c r="GZ26" s="58" t="str">
        <f t="shared" si="68"/>
        <v/>
      </c>
      <c r="HA26" s="56">
        <f>Participantes!EK25</f>
        <v>1</v>
      </c>
      <c r="HB26" s="56">
        <f>Participantes!EL25</f>
        <v>4</v>
      </c>
      <c r="HC26" s="58" t="str">
        <f t="shared" si="69"/>
        <v/>
      </c>
      <c r="HD26" s="56">
        <f>Participantes!EM25</f>
        <v>2</v>
      </c>
      <c r="HE26" s="56">
        <f>Participantes!EN25</f>
        <v>3</v>
      </c>
      <c r="HF26" s="58" t="str">
        <f t="shared" si="70"/>
        <v/>
      </c>
      <c r="HG26" s="56">
        <f>Participantes!EO25</f>
        <v>1</v>
      </c>
      <c r="HH26" s="56">
        <f>Participantes!EP25</f>
        <v>3</v>
      </c>
      <c r="HI26" s="58" t="str">
        <f t="shared" si="71"/>
        <v/>
      </c>
      <c r="HJ26" s="59">
        <f t="shared" si="72"/>
        <v>47</v>
      </c>
    </row>
    <row r="27" spans="1:218" ht="15" customHeight="1" x14ac:dyDescent="0.25">
      <c r="A27" s="57" t="str">
        <f>Participantes!B26</f>
        <v>Kattia 1</v>
      </c>
      <c r="B27" s="56">
        <f>Participantes!C26</f>
        <v>2</v>
      </c>
      <c r="C27" s="56">
        <f>Participantes!D26</f>
        <v>1</v>
      </c>
      <c r="D27" s="58">
        <f t="shared" si="0"/>
        <v>1</v>
      </c>
      <c r="E27" s="56">
        <f>Participantes!E26</f>
        <v>2</v>
      </c>
      <c r="F27" s="56">
        <f>Participantes!F26</f>
        <v>0</v>
      </c>
      <c r="G27" s="58">
        <f t="shared" si="1"/>
        <v>1</v>
      </c>
      <c r="H27" s="56">
        <f>Participantes!G26</f>
        <v>3</v>
      </c>
      <c r="I27" s="56">
        <f>Participantes!H26</f>
        <v>0</v>
      </c>
      <c r="J27" s="58">
        <f t="shared" si="2"/>
        <v>0</v>
      </c>
      <c r="K27" s="56">
        <f>Participantes!I26</f>
        <v>2</v>
      </c>
      <c r="L27" s="56">
        <f>Participantes!J26</f>
        <v>1</v>
      </c>
      <c r="M27" s="58">
        <f t="shared" si="3"/>
        <v>1</v>
      </c>
      <c r="N27" s="56">
        <f>Participantes!K26</f>
        <v>0</v>
      </c>
      <c r="O27" s="56">
        <f>Participantes!L26</f>
        <v>2</v>
      </c>
      <c r="P27" s="58">
        <f t="shared" si="4"/>
        <v>1</v>
      </c>
      <c r="Q27" s="56">
        <f>Participantes!M26</f>
        <v>2</v>
      </c>
      <c r="R27" s="56">
        <f>Participantes!N26</f>
        <v>0</v>
      </c>
      <c r="S27" s="58">
        <f t="shared" si="5"/>
        <v>3</v>
      </c>
      <c r="T27" s="56">
        <f>Participantes!O26</f>
        <v>2</v>
      </c>
      <c r="U27" s="56">
        <f>Participantes!P26</f>
        <v>2</v>
      </c>
      <c r="V27" s="58">
        <f t="shared" si="6"/>
        <v>1</v>
      </c>
      <c r="W27" s="56">
        <f>Participantes!Q26</f>
        <v>0</v>
      </c>
      <c r="X27" s="56">
        <f>Participantes!R26</f>
        <v>2</v>
      </c>
      <c r="Y27" s="58">
        <f t="shared" si="7"/>
        <v>0</v>
      </c>
      <c r="Z27" s="56">
        <f>Participantes!S26</f>
        <v>2</v>
      </c>
      <c r="AA27" s="56">
        <f>Participantes!T26</f>
        <v>1</v>
      </c>
      <c r="AB27" s="58">
        <f t="shared" si="8"/>
        <v>1</v>
      </c>
      <c r="AC27" s="56">
        <f>Participantes!U26</f>
        <v>3</v>
      </c>
      <c r="AD27" s="56">
        <f>Participantes!V26</f>
        <v>1</v>
      </c>
      <c r="AE27" s="58">
        <f t="shared" si="9"/>
        <v>1</v>
      </c>
      <c r="AF27" s="56">
        <f>Participantes!W26</f>
        <v>4</v>
      </c>
      <c r="AG27" s="56">
        <f>Participantes!X26</f>
        <v>0</v>
      </c>
      <c r="AH27" s="58">
        <f t="shared" si="10"/>
        <v>0</v>
      </c>
      <c r="AI27" s="56">
        <f>Participantes!Y26</f>
        <v>2</v>
      </c>
      <c r="AJ27" s="56">
        <f>Participantes!Z26</f>
        <v>0</v>
      </c>
      <c r="AK27" s="58">
        <f t="shared" si="11"/>
        <v>1</v>
      </c>
      <c r="AL27" s="56">
        <f>Participantes!AA26</f>
        <v>1</v>
      </c>
      <c r="AM27" s="56">
        <f>Participantes!AB26</f>
        <v>3</v>
      </c>
      <c r="AN27" s="58">
        <f t="shared" si="12"/>
        <v>0</v>
      </c>
      <c r="AO27" s="56">
        <f>Participantes!AC26</f>
        <v>3</v>
      </c>
      <c r="AP27" s="56">
        <f>Participantes!AD26</f>
        <v>1</v>
      </c>
      <c r="AQ27" s="58">
        <f t="shared" si="13"/>
        <v>0</v>
      </c>
      <c r="AR27" s="56">
        <f>Participantes!AE26</f>
        <v>0</v>
      </c>
      <c r="AS27" s="56">
        <f>Participantes!AF26</f>
        <v>2</v>
      </c>
      <c r="AT27" s="58">
        <f t="shared" si="14"/>
        <v>0</v>
      </c>
      <c r="AU27" s="56">
        <f>Participantes!AG26</f>
        <v>3</v>
      </c>
      <c r="AV27" s="56">
        <f>Participantes!AH26</f>
        <v>1</v>
      </c>
      <c r="AW27" s="58">
        <f t="shared" si="15"/>
        <v>0</v>
      </c>
      <c r="AX27" s="56">
        <f>Participantes!AI26</f>
        <v>3</v>
      </c>
      <c r="AY27" s="56">
        <f>Participantes!AJ26</f>
        <v>1</v>
      </c>
      <c r="AZ27" s="58">
        <f t="shared" si="16"/>
        <v>3</v>
      </c>
      <c r="BA27" s="56">
        <f>Participantes!AK26</f>
        <v>1</v>
      </c>
      <c r="BB27" s="56">
        <f>Participantes!AL26</f>
        <v>2</v>
      </c>
      <c r="BC27" s="58">
        <f t="shared" si="17"/>
        <v>1</v>
      </c>
      <c r="BD27" s="56">
        <f>Participantes!AM26</f>
        <v>3</v>
      </c>
      <c r="BE27" s="56">
        <f>Participantes!AN26</f>
        <v>1</v>
      </c>
      <c r="BF27" s="58">
        <f t="shared" si="18"/>
        <v>1</v>
      </c>
      <c r="BG27" s="56">
        <f>Participantes!AO26</f>
        <v>1</v>
      </c>
      <c r="BH27" s="56">
        <f>Participantes!AP26</f>
        <v>0</v>
      </c>
      <c r="BI27" s="58">
        <f t="shared" si="19"/>
        <v>1</v>
      </c>
      <c r="BJ27" s="56">
        <f>Participantes!AQ26</f>
        <v>3</v>
      </c>
      <c r="BK27" s="56">
        <f>Participantes!AR26</f>
        <v>2</v>
      </c>
      <c r="BL27" s="58">
        <f t="shared" si="20"/>
        <v>1</v>
      </c>
      <c r="BM27" s="56">
        <f>Participantes!AS26</f>
        <v>1</v>
      </c>
      <c r="BN27" s="56">
        <f>Participantes!AT26</f>
        <v>1</v>
      </c>
      <c r="BO27" s="58">
        <f t="shared" si="21"/>
        <v>0</v>
      </c>
      <c r="BP27" s="56">
        <f>Participantes!AU26</f>
        <v>2</v>
      </c>
      <c r="BQ27" s="56">
        <f>Participantes!AV26</f>
        <v>0</v>
      </c>
      <c r="BR27" s="58">
        <f t="shared" si="22"/>
        <v>0</v>
      </c>
      <c r="BS27" s="56">
        <f>Participantes!AW26</f>
        <v>0</v>
      </c>
      <c r="BT27" s="56">
        <f>Participantes!AX26</f>
        <v>2</v>
      </c>
      <c r="BU27" s="58">
        <f t="shared" si="23"/>
        <v>1</v>
      </c>
      <c r="BV27" s="56">
        <f>Participantes!AY26</f>
        <v>0</v>
      </c>
      <c r="BW27" s="56">
        <f>Participantes!AZ26</f>
        <v>1</v>
      </c>
      <c r="BX27" s="58">
        <f t="shared" si="24"/>
        <v>0</v>
      </c>
      <c r="BY27" s="56">
        <f>Participantes!BA26</f>
        <v>2</v>
      </c>
      <c r="BZ27" s="56">
        <f>Participantes!BB26</f>
        <v>1</v>
      </c>
      <c r="CA27" s="58">
        <f t="shared" si="25"/>
        <v>1</v>
      </c>
      <c r="CB27" s="56">
        <f>Participantes!BC26</f>
        <v>3</v>
      </c>
      <c r="CC27" s="56">
        <f>Participantes!BD26</f>
        <v>1</v>
      </c>
      <c r="CD27" s="58">
        <f t="shared" si="26"/>
        <v>1</v>
      </c>
      <c r="CE27" s="56">
        <f>Participantes!BE26</f>
        <v>4</v>
      </c>
      <c r="CF27" s="56">
        <f>Participantes!BF26</f>
        <v>0</v>
      </c>
      <c r="CG27" s="58">
        <f t="shared" si="27"/>
        <v>1</v>
      </c>
      <c r="CH27" s="56">
        <f>Participantes!BG26</f>
        <v>4</v>
      </c>
      <c r="CI27" s="56">
        <f>Participantes!BH26</f>
        <v>1</v>
      </c>
      <c r="CJ27" s="58">
        <f t="shared" si="28"/>
        <v>1</v>
      </c>
      <c r="CK27" s="56">
        <f>Participantes!BI26</f>
        <v>1</v>
      </c>
      <c r="CL27" s="56">
        <f>Participantes!BJ26</f>
        <v>1</v>
      </c>
      <c r="CM27" s="58">
        <f t="shared" si="29"/>
        <v>0</v>
      </c>
      <c r="CN27" s="56">
        <f>Participantes!BK26</f>
        <v>0</v>
      </c>
      <c r="CO27" s="56">
        <f>Participantes!BL26</f>
        <v>2</v>
      </c>
      <c r="CP27" s="58">
        <f t="shared" si="30"/>
        <v>1</v>
      </c>
      <c r="CQ27" s="56">
        <f>Participantes!BM26</f>
        <v>1</v>
      </c>
      <c r="CR27" s="56">
        <f>Participantes!BN26</f>
        <v>1</v>
      </c>
      <c r="CS27" s="58">
        <f t="shared" si="31"/>
        <v>0</v>
      </c>
      <c r="CT27" s="56">
        <f>Participantes!BO26</f>
        <v>2</v>
      </c>
      <c r="CU27" s="56">
        <f>Participantes!BP26</f>
        <v>1</v>
      </c>
      <c r="CV27" s="58">
        <f t="shared" si="32"/>
        <v>3</v>
      </c>
      <c r="CW27" s="56">
        <f>Participantes!BQ26</f>
        <v>2</v>
      </c>
      <c r="CX27" s="56">
        <f>Participantes!BR26</f>
        <v>1</v>
      </c>
      <c r="CY27" s="58">
        <f t="shared" si="33"/>
        <v>0</v>
      </c>
      <c r="CZ27" s="56">
        <f>Participantes!BS26</f>
        <v>1</v>
      </c>
      <c r="DA27" s="56">
        <f>Participantes!BT26</f>
        <v>1</v>
      </c>
      <c r="DB27" s="58">
        <f t="shared" si="34"/>
        <v>0</v>
      </c>
      <c r="DC27" s="56">
        <f>Participantes!BU26</f>
        <v>1</v>
      </c>
      <c r="DD27" s="56">
        <f>Participantes!BV26</f>
        <v>2</v>
      </c>
      <c r="DE27" s="58">
        <f t="shared" si="35"/>
        <v>1</v>
      </c>
      <c r="DF27" s="56">
        <f>Participantes!BW26</f>
        <v>1</v>
      </c>
      <c r="DG27" s="56">
        <f>Participantes!BX26</f>
        <v>0</v>
      </c>
      <c r="DH27" s="58">
        <f t="shared" si="36"/>
        <v>0</v>
      </c>
      <c r="DI27" s="56">
        <f>Participantes!BY26</f>
        <v>3</v>
      </c>
      <c r="DJ27" s="56">
        <f>Participantes!BZ26</f>
        <v>0</v>
      </c>
      <c r="DK27" s="58">
        <f t="shared" si="37"/>
        <v>1</v>
      </c>
      <c r="DL27" s="56">
        <f>Participantes!CA26</f>
        <v>2</v>
      </c>
      <c r="DM27" s="56">
        <f>Participantes!CB26</f>
        <v>0</v>
      </c>
      <c r="DN27" s="58">
        <f t="shared" si="38"/>
        <v>0</v>
      </c>
      <c r="DO27" s="56">
        <f>Participantes!CC26</f>
        <v>3</v>
      </c>
      <c r="DP27" s="56">
        <f>Participantes!CD26</f>
        <v>1</v>
      </c>
      <c r="DQ27" s="58">
        <f t="shared" si="39"/>
        <v>0</v>
      </c>
      <c r="DR27" s="56">
        <f>Participantes!CE26</f>
        <v>1</v>
      </c>
      <c r="DS27" s="56">
        <f>Participantes!CF26</f>
        <v>1</v>
      </c>
      <c r="DT27" s="58">
        <f t="shared" si="40"/>
        <v>0</v>
      </c>
      <c r="DU27" s="56">
        <f>Participantes!CG26</f>
        <v>2</v>
      </c>
      <c r="DV27" s="56">
        <f>Participantes!CH26</f>
        <v>0</v>
      </c>
      <c r="DW27" s="58">
        <f t="shared" si="41"/>
        <v>1</v>
      </c>
      <c r="DX27" s="56">
        <f>Participantes!CI26</f>
        <v>1</v>
      </c>
      <c r="DY27" s="56">
        <f>Participantes!CJ26</f>
        <v>1</v>
      </c>
      <c r="DZ27" s="58">
        <f t="shared" si="42"/>
        <v>0</v>
      </c>
      <c r="EA27" s="56">
        <f>Participantes!CK26</f>
        <v>1</v>
      </c>
      <c r="EB27" s="56">
        <f>Participantes!CL26</f>
        <v>1</v>
      </c>
      <c r="EC27" s="58">
        <f t="shared" si="43"/>
        <v>0</v>
      </c>
      <c r="ED27" s="56">
        <f>Participantes!CM26</f>
        <v>1</v>
      </c>
      <c r="EE27" s="56">
        <f>Participantes!CN26</f>
        <v>1</v>
      </c>
      <c r="EF27" s="58">
        <f t="shared" si="44"/>
        <v>1</v>
      </c>
      <c r="EG27" s="56">
        <f>Participantes!CO26</f>
        <v>0</v>
      </c>
      <c r="EH27" s="56">
        <f>Participantes!CP26</f>
        <v>4</v>
      </c>
      <c r="EI27" s="58">
        <f t="shared" si="45"/>
        <v>1</v>
      </c>
      <c r="EJ27" s="56">
        <f>Participantes!CQ26</f>
        <v>3</v>
      </c>
      <c r="EK27" s="56">
        <f>Participantes!CR26</f>
        <v>0</v>
      </c>
      <c r="EL27" s="58">
        <f t="shared" si="46"/>
        <v>1</v>
      </c>
      <c r="EM27" s="56">
        <f>Participantes!CS26</f>
        <v>2</v>
      </c>
      <c r="EN27" s="56">
        <f>Participantes!CT26</f>
        <v>0</v>
      </c>
      <c r="EO27" s="58">
        <f t="shared" si="47"/>
        <v>1</v>
      </c>
      <c r="EP27" s="56">
        <f>Participantes!CU26</f>
        <v>2</v>
      </c>
      <c r="EQ27" s="56">
        <f>Participantes!CV26</f>
        <v>4</v>
      </c>
      <c r="ER27" s="58">
        <f t="shared" si="48"/>
        <v>1</v>
      </c>
      <c r="ES27" s="56">
        <f>Participantes!CW26</f>
        <v>2</v>
      </c>
      <c r="ET27" s="56">
        <f>Participantes!CX26</f>
        <v>0</v>
      </c>
      <c r="EU27" s="58">
        <f t="shared" si="49"/>
        <v>1</v>
      </c>
      <c r="EV27" s="56">
        <f>Participantes!CY26</f>
        <v>1</v>
      </c>
      <c r="EW27" s="56">
        <f>Participantes!CZ26</f>
        <v>1</v>
      </c>
      <c r="EX27" s="58">
        <f t="shared" si="50"/>
        <v>0</v>
      </c>
      <c r="EY27" s="56">
        <f>Participantes!DA26</f>
        <v>1</v>
      </c>
      <c r="EZ27" s="56">
        <f>Participantes!DB26</f>
        <v>2</v>
      </c>
      <c r="FA27" s="58">
        <f t="shared" si="51"/>
        <v>0</v>
      </c>
      <c r="FB27" s="56">
        <f>Participantes!DC26</f>
        <v>0</v>
      </c>
      <c r="FC27" s="56">
        <f>Participantes!DD26</f>
        <v>3</v>
      </c>
      <c r="FD27" s="58">
        <f t="shared" si="52"/>
        <v>3</v>
      </c>
      <c r="FE27" s="56">
        <f>Participantes!DE26</f>
        <v>1</v>
      </c>
      <c r="FF27" s="56">
        <f>Participantes!DF26</f>
        <v>0</v>
      </c>
      <c r="FG27" s="58">
        <f t="shared" si="53"/>
        <v>3</v>
      </c>
      <c r="FH27" s="56">
        <f>Participantes!DG26</f>
        <v>1</v>
      </c>
      <c r="FI27" s="56">
        <f>Participantes!DH26</f>
        <v>3</v>
      </c>
      <c r="FJ27" s="58">
        <f t="shared" si="54"/>
        <v>1</v>
      </c>
      <c r="FK27" s="56">
        <f>Participantes!DI26</f>
        <v>1</v>
      </c>
      <c r="FL27" s="56">
        <f>Participantes!DJ26</f>
        <v>2</v>
      </c>
      <c r="FM27" s="58">
        <f t="shared" si="55"/>
        <v>0</v>
      </c>
      <c r="FN27" s="56">
        <f>Participantes!DK26</f>
        <v>0</v>
      </c>
      <c r="FO27" s="56">
        <f>Participantes!DL26</f>
        <v>1</v>
      </c>
      <c r="FP27" s="58">
        <f t="shared" si="56"/>
        <v>0</v>
      </c>
      <c r="FQ27" s="56">
        <f>Participantes!DM26</f>
        <v>0</v>
      </c>
      <c r="FR27" s="56">
        <f>Participantes!DN26</f>
        <v>2</v>
      </c>
      <c r="FS27" s="58">
        <f t="shared" si="57"/>
        <v>1</v>
      </c>
      <c r="FT27" s="56">
        <f>Participantes!DO26</f>
        <v>0</v>
      </c>
      <c r="FU27" s="56">
        <f>Participantes!DP26</f>
        <v>2</v>
      </c>
      <c r="FV27" s="58">
        <f t="shared" si="58"/>
        <v>0</v>
      </c>
      <c r="FW27" s="56">
        <f>Participantes!DQ26</f>
        <v>1</v>
      </c>
      <c r="FX27" s="56">
        <f>Participantes!DR26</f>
        <v>2</v>
      </c>
      <c r="FY27" s="58">
        <f t="shared" si="59"/>
        <v>0</v>
      </c>
      <c r="FZ27" s="56">
        <f>Participantes!DS26</f>
        <v>3</v>
      </c>
      <c r="GA27" s="56">
        <f>Participantes!DT26</f>
        <v>3</v>
      </c>
      <c r="GB27" s="58">
        <f t="shared" si="60"/>
        <v>0</v>
      </c>
      <c r="GC27" s="56">
        <f>Participantes!DU26</f>
        <v>2</v>
      </c>
      <c r="GD27" s="56">
        <f>Participantes!DV26</f>
        <v>1</v>
      </c>
      <c r="GE27" s="58">
        <f t="shared" si="61"/>
        <v>1</v>
      </c>
      <c r="GF27" s="56">
        <f>Participantes!DW26</f>
        <v>1</v>
      </c>
      <c r="GG27" s="56">
        <f>Participantes!DX26</f>
        <v>1</v>
      </c>
      <c r="GH27" s="58">
        <f t="shared" si="62"/>
        <v>3</v>
      </c>
      <c r="GI27" s="56">
        <f>Participantes!DY26</f>
        <v>3</v>
      </c>
      <c r="GJ27" s="56">
        <f>Participantes!DZ26</f>
        <v>1</v>
      </c>
      <c r="GK27" s="58">
        <f t="shared" si="63"/>
        <v>0</v>
      </c>
      <c r="GL27" s="56">
        <f>Participantes!EA26</f>
        <v>1</v>
      </c>
      <c r="GM27" s="56">
        <f>Participantes!EB26</f>
        <v>2</v>
      </c>
      <c r="GN27" s="58">
        <f t="shared" si="64"/>
        <v>0</v>
      </c>
      <c r="GO27" s="56">
        <f>Participantes!EC26</f>
        <v>1</v>
      </c>
      <c r="GP27" s="56">
        <f>Participantes!ED26</f>
        <v>3</v>
      </c>
      <c r="GQ27" s="58">
        <f t="shared" si="65"/>
        <v>1</v>
      </c>
      <c r="GR27" s="56">
        <f>Participantes!EE26</f>
        <v>0</v>
      </c>
      <c r="GS27" s="56">
        <f>Participantes!EF26</f>
        <v>3</v>
      </c>
      <c r="GT27" s="58" t="str">
        <f t="shared" si="66"/>
        <v/>
      </c>
      <c r="GU27" s="56">
        <f>Participantes!EG26</f>
        <v>1</v>
      </c>
      <c r="GV27" s="56">
        <f>Participantes!EH26</f>
        <v>1</v>
      </c>
      <c r="GW27" s="58" t="str">
        <f t="shared" si="67"/>
        <v/>
      </c>
      <c r="GX27" s="56">
        <f>Participantes!EI26</f>
        <v>1</v>
      </c>
      <c r="GY27" s="56">
        <f>Participantes!EJ26</f>
        <v>2</v>
      </c>
      <c r="GZ27" s="58" t="str">
        <f t="shared" si="68"/>
        <v/>
      </c>
      <c r="HA27" s="56">
        <f>Participantes!EK26</f>
        <v>0</v>
      </c>
      <c r="HB27" s="56">
        <f>Participantes!EL26</f>
        <v>2</v>
      </c>
      <c r="HC27" s="58" t="str">
        <f t="shared" si="69"/>
        <v/>
      </c>
      <c r="HD27" s="56">
        <f>Participantes!EM26</f>
        <v>1</v>
      </c>
      <c r="HE27" s="56">
        <f>Participantes!EN26</f>
        <v>1</v>
      </c>
      <c r="HF27" s="58" t="str">
        <f t="shared" si="70"/>
        <v/>
      </c>
      <c r="HG27" s="56">
        <f>Participantes!EO26</f>
        <v>1</v>
      </c>
      <c r="HH27" s="56">
        <f>Participantes!EP26</f>
        <v>2</v>
      </c>
      <c r="HI27" s="58" t="str">
        <f t="shared" si="71"/>
        <v/>
      </c>
      <c r="HJ27" s="59">
        <f t="shared" si="72"/>
        <v>49</v>
      </c>
    </row>
    <row r="28" spans="1:218" ht="15" customHeight="1" x14ac:dyDescent="0.25">
      <c r="A28" s="57" t="str">
        <f>Participantes!B27</f>
        <v>Kattia 2</v>
      </c>
      <c r="B28" s="56">
        <f>Participantes!C27</f>
        <v>2</v>
      </c>
      <c r="C28" s="56">
        <f>Participantes!D27</f>
        <v>0</v>
      </c>
      <c r="D28" s="58">
        <f t="shared" si="0"/>
        <v>3</v>
      </c>
      <c r="E28" s="56">
        <f>Participantes!E27</f>
        <v>1</v>
      </c>
      <c r="F28" s="56">
        <f>Participantes!F27</f>
        <v>1</v>
      </c>
      <c r="G28" s="58">
        <f t="shared" si="1"/>
        <v>0</v>
      </c>
      <c r="H28" s="56">
        <f>Participantes!G27</f>
        <v>2</v>
      </c>
      <c r="I28" s="56">
        <f>Participantes!H27</f>
        <v>1</v>
      </c>
      <c r="J28" s="58">
        <f t="shared" si="2"/>
        <v>0</v>
      </c>
      <c r="K28" s="56">
        <f>Participantes!I27</f>
        <v>2</v>
      </c>
      <c r="L28" s="56">
        <f>Participantes!J27</f>
        <v>1</v>
      </c>
      <c r="M28" s="58">
        <f t="shared" si="3"/>
        <v>1</v>
      </c>
      <c r="N28" s="56">
        <f>Participantes!K27</f>
        <v>0</v>
      </c>
      <c r="O28" s="56">
        <f>Participantes!L27</f>
        <v>3</v>
      </c>
      <c r="P28" s="58">
        <f t="shared" si="4"/>
        <v>1</v>
      </c>
      <c r="Q28" s="56">
        <f>Participantes!M27</f>
        <v>1</v>
      </c>
      <c r="R28" s="56">
        <f>Participantes!N27</f>
        <v>1</v>
      </c>
      <c r="S28" s="58">
        <f t="shared" si="5"/>
        <v>0</v>
      </c>
      <c r="T28" s="56">
        <f>Participantes!O27</f>
        <v>3</v>
      </c>
      <c r="U28" s="56">
        <f>Participantes!P27</f>
        <v>2</v>
      </c>
      <c r="V28" s="58">
        <f t="shared" si="6"/>
        <v>0</v>
      </c>
      <c r="W28" s="56">
        <f>Participantes!Q27</f>
        <v>0</v>
      </c>
      <c r="X28" s="56">
        <f>Participantes!R27</f>
        <v>2</v>
      </c>
      <c r="Y28" s="58">
        <f t="shared" si="7"/>
        <v>0</v>
      </c>
      <c r="Z28" s="56">
        <f>Participantes!S27</f>
        <v>2</v>
      </c>
      <c r="AA28" s="56">
        <f>Participantes!T27</f>
        <v>2</v>
      </c>
      <c r="AB28" s="58">
        <f t="shared" si="8"/>
        <v>0</v>
      </c>
      <c r="AC28" s="56">
        <f>Participantes!U27</f>
        <v>4</v>
      </c>
      <c r="AD28" s="56">
        <f>Participantes!V27</f>
        <v>0</v>
      </c>
      <c r="AE28" s="58">
        <f t="shared" si="9"/>
        <v>1</v>
      </c>
      <c r="AF28" s="56">
        <f>Participantes!W27</f>
        <v>2</v>
      </c>
      <c r="AG28" s="56">
        <f>Participantes!X27</f>
        <v>2</v>
      </c>
      <c r="AH28" s="58">
        <f t="shared" si="10"/>
        <v>3</v>
      </c>
      <c r="AI28" s="56">
        <f>Participantes!Y27</f>
        <v>2</v>
      </c>
      <c r="AJ28" s="56">
        <f>Participantes!Z27</f>
        <v>0</v>
      </c>
      <c r="AK28" s="58">
        <f t="shared" si="11"/>
        <v>1</v>
      </c>
      <c r="AL28" s="56">
        <f>Participantes!AA27</f>
        <v>0</v>
      </c>
      <c r="AM28" s="56">
        <f>Participantes!AB27</f>
        <v>2</v>
      </c>
      <c r="AN28" s="58">
        <f t="shared" si="12"/>
        <v>0</v>
      </c>
      <c r="AO28" s="56">
        <f>Participantes!AC27</f>
        <v>3</v>
      </c>
      <c r="AP28" s="56">
        <f>Participantes!AD27</f>
        <v>0</v>
      </c>
      <c r="AQ28" s="58">
        <f t="shared" si="13"/>
        <v>0</v>
      </c>
      <c r="AR28" s="56">
        <f>Participantes!AE27</f>
        <v>1</v>
      </c>
      <c r="AS28" s="56">
        <f>Participantes!AF27</f>
        <v>1</v>
      </c>
      <c r="AT28" s="58">
        <f t="shared" si="14"/>
        <v>1</v>
      </c>
      <c r="AU28" s="56">
        <f>Participantes!AG27</f>
        <v>2</v>
      </c>
      <c r="AV28" s="56">
        <f>Participantes!AH27</f>
        <v>0</v>
      </c>
      <c r="AW28" s="58">
        <f t="shared" si="15"/>
        <v>0</v>
      </c>
      <c r="AX28" s="56">
        <f>Participantes!AI27</f>
        <v>2</v>
      </c>
      <c r="AY28" s="56">
        <f>Participantes!AJ27</f>
        <v>1</v>
      </c>
      <c r="AZ28" s="58">
        <f t="shared" si="16"/>
        <v>1</v>
      </c>
      <c r="BA28" s="56">
        <f>Participantes!AK27</f>
        <v>0</v>
      </c>
      <c r="BB28" s="56">
        <f>Participantes!AL27</f>
        <v>2</v>
      </c>
      <c r="BC28" s="58">
        <f t="shared" si="17"/>
        <v>1</v>
      </c>
      <c r="BD28" s="56">
        <f>Participantes!AM27</f>
        <v>3</v>
      </c>
      <c r="BE28" s="56">
        <f>Participantes!AN27</f>
        <v>0</v>
      </c>
      <c r="BF28" s="58">
        <f t="shared" si="18"/>
        <v>3</v>
      </c>
      <c r="BG28" s="56">
        <f>Participantes!AO27</f>
        <v>2</v>
      </c>
      <c r="BH28" s="56">
        <f>Participantes!AP27</f>
        <v>0</v>
      </c>
      <c r="BI28" s="58">
        <f t="shared" si="19"/>
        <v>1</v>
      </c>
      <c r="BJ28" s="56">
        <f>Participantes!AQ27</f>
        <v>1</v>
      </c>
      <c r="BK28" s="56">
        <f>Participantes!AR27</f>
        <v>1</v>
      </c>
      <c r="BL28" s="58">
        <f t="shared" si="20"/>
        <v>0</v>
      </c>
      <c r="BM28" s="56">
        <f>Participantes!AS27</f>
        <v>2</v>
      </c>
      <c r="BN28" s="56">
        <f>Participantes!AT27</f>
        <v>1</v>
      </c>
      <c r="BO28" s="58">
        <f t="shared" si="21"/>
        <v>1</v>
      </c>
      <c r="BP28" s="56">
        <f>Participantes!AU27</f>
        <v>3</v>
      </c>
      <c r="BQ28" s="56">
        <f>Participantes!AV27</f>
        <v>0</v>
      </c>
      <c r="BR28" s="58">
        <f t="shared" si="22"/>
        <v>0</v>
      </c>
      <c r="BS28" s="56">
        <f>Participantes!AW27</f>
        <v>0</v>
      </c>
      <c r="BT28" s="56">
        <f>Participantes!AX27</f>
        <v>2</v>
      </c>
      <c r="BU28" s="58">
        <f t="shared" si="23"/>
        <v>1</v>
      </c>
      <c r="BV28" s="56">
        <f>Participantes!AY27</f>
        <v>2</v>
      </c>
      <c r="BW28" s="56">
        <f>Participantes!AZ27</f>
        <v>1</v>
      </c>
      <c r="BX28" s="58">
        <f t="shared" si="24"/>
        <v>0</v>
      </c>
      <c r="BY28" s="56">
        <f>Participantes!BA27</f>
        <v>2</v>
      </c>
      <c r="BZ28" s="56">
        <f>Participantes!BB27</f>
        <v>0</v>
      </c>
      <c r="CA28" s="58">
        <f t="shared" si="25"/>
        <v>1</v>
      </c>
      <c r="CB28" s="56">
        <f>Participantes!BC27</f>
        <v>2</v>
      </c>
      <c r="CC28" s="56">
        <f>Participantes!BD27</f>
        <v>0</v>
      </c>
      <c r="CD28" s="58">
        <f t="shared" si="26"/>
        <v>1</v>
      </c>
      <c r="CE28" s="56">
        <f>Participantes!BE27</f>
        <v>2</v>
      </c>
      <c r="CF28" s="56">
        <f>Participantes!BF27</f>
        <v>1</v>
      </c>
      <c r="CG28" s="58">
        <f t="shared" si="27"/>
        <v>1</v>
      </c>
      <c r="CH28" s="56">
        <f>Participantes!BG27</f>
        <v>5</v>
      </c>
      <c r="CI28" s="56">
        <f>Participantes!BH27</f>
        <v>0</v>
      </c>
      <c r="CJ28" s="58">
        <f t="shared" si="28"/>
        <v>1</v>
      </c>
      <c r="CK28" s="56">
        <f>Participantes!BI27</f>
        <v>1</v>
      </c>
      <c r="CL28" s="56">
        <f>Participantes!BJ27</f>
        <v>1</v>
      </c>
      <c r="CM28" s="58">
        <f t="shared" si="29"/>
        <v>0</v>
      </c>
      <c r="CN28" s="56">
        <f>Participantes!BK27</f>
        <v>1</v>
      </c>
      <c r="CO28" s="56">
        <f>Participantes!BL27</f>
        <v>2</v>
      </c>
      <c r="CP28" s="58">
        <f t="shared" si="30"/>
        <v>1</v>
      </c>
      <c r="CQ28" s="56">
        <f>Participantes!BM27</f>
        <v>2</v>
      </c>
      <c r="CR28" s="56">
        <f>Participantes!BN27</f>
        <v>0</v>
      </c>
      <c r="CS28" s="58">
        <f t="shared" si="31"/>
        <v>3</v>
      </c>
      <c r="CT28" s="56">
        <f>Participantes!BO27</f>
        <v>2</v>
      </c>
      <c r="CU28" s="56">
        <f>Participantes!BP27</f>
        <v>0</v>
      </c>
      <c r="CV28" s="58">
        <f t="shared" si="32"/>
        <v>1</v>
      </c>
      <c r="CW28" s="56">
        <f>Participantes!BQ27</f>
        <v>2</v>
      </c>
      <c r="CX28" s="56">
        <f>Participantes!BR27</f>
        <v>0</v>
      </c>
      <c r="CY28" s="58">
        <f t="shared" si="33"/>
        <v>0</v>
      </c>
      <c r="CZ28" s="56">
        <f>Participantes!BS27</f>
        <v>2</v>
      </c>
      <c r="DA28" s="56">
        <f>Participantes!BT27</f>
        <v>1</v>
      </c>
      <c r="DB28" s="58">
        <f t="shared" si="34"/>
        <v>1</v>
      </c>
      <c r="DC28" s="56">
        <f>Participantes!BU27</f>
        <v>1</v>
      </c>
      <c r="DD28" s="56">
        <f>Participantes!BV27</f>
        <v>2</v>
      </c>
      <c r="DE28" s="58">
        <f t="shared" si="35"/>
        <v>1</v>
      </c>
      <c r="DF28" s="56">
        <f>Participantes!BW27</f>
        <v>3</v>
      </c>
      <c r="DG28" s="56">
        <f>Participantes!BX27</f>
        <v>0</v>
      </c>
      <c r="DH28" s="58">
        <f t="shared" si="36"/>
        <v>0</v>
      </c>
      <c r="DI28" s="56">
        <f>Participantes!BY27</f>
        <v>2</v>
      </c>
      <c r="DJ28" s="56">
        <f>Participantes!BZ27</f>
        <v>0</v>
      </c>
      <c r="DK28" s="58">
        <f t="shared" si="37"/>
        <v>1</v>
      </c>
      <c r="DL28" s="56">
        <f>Participantes!CA27</f>
        <v>2</v>
      </c>
      <c r="DM28" s="56">
        <f>Participantes!CB27</f>
        <v>1</v>
      </c>
      <c r="DN28" s="58">
        <f t="shared" si="38"/>
        <v>0</v>
      </c>
      <c r="DO28" s="56">
        <f>Participantes!CC27</f>
        <v>1</v>
      </c>
      <c r="DP28" s="56">
        <f>Participantes!CD27</f>
        <v>1</v>
      </c>
      <c r="DQ28" s="58">
        <f t="shared" si="39"/>
        <v>0</v>
      </c>
      <c r="DR28" s="56">
        <f>Participantes!CE27</f>
        <v>2</v>
      </c>
      <c r="DS28" s="56">
        <f>Participantes!CF27</f>
        <v>0</v>
      </c>
      <c r="DT28" s="58">
        <f t="shared" si="40"/>
        <v>1</v>
      </c>
      <c r="DU28" s="56">
        <f>Participantes!CG27</f>
        <v>3</v>
      </c>
      <c r="DV28" s="56">
        <f>Participantes!CH27</f>
        <v>0</v>
      </c>
      <c r="DW28" s="58">
        <f t="shared" si="41"/>
        <v>3</v>
      </c>
      <c r="DX28" s="56">
        <f>Participantes!CI27</f>
        <v>3</v>
      </c>
      <c r="DY28" s="56">
        <f>Participantes!CJ27</f>
        <v>0</v>
      </c>
      <c r="DZ28" s="58">
        <f t="shared" si="42"/>
        <v>1</v>
      </c>
      <c r="EA28" s="56">
        <f>Participantes!CK27</f>
        <v>1</v>
      </c>
      <c r="EB28" s="56">
        <f>Participantes!CL27</f>
        <v>1</v>
      </c>
      <c r="EC28" s="58">
        <f t="shared" si="43"/>
        <v>0</v>
      </c>
      <c r="ED28" s="56">
        <f>Participantes!CM27</f>
        <v>3</v>
      </c>
      <c r="EE28" s="56">
        <f>Participantes!CN27</f>
        <v>1</v>
      </c>
      <c r="EF28" s="58">
        <f t="shared" si="44"/>
        <v>0</v>
      </c>
      <c r="EG28" s="56">
        <f>Participantes!CO27</f>
        <v>1</v>
      </c>
      <c r="EH28" s="56">
        <f>Participantes!CP27</f>
        <v>2</v>
      </c>
      <c r="EI28" s="58">
        <f t="shared" si="45"/>
        <v>1</v>
      </c>
      <c r="EJ28" s="56">
        <f>Participantes!CQ27</f>
        <v>2</v>
      </c>
      <c r="EK28" s="56">
        <f>Participantes!CR27</f>
        <v>0</v>
      </c>
      <c r="EL28" s="58">
        <f t="shared" si="46"/>
        <v>1</v>
      </c>
      <c r="EM28" s="56">
        <f>Participantes!CS27</f>
        <v>3</v>
      </c>
      <c r="EN28" s="56">
        <f>Participantes!CT27</f>
        <v>0</v>
      </c>
      <c r="EO28" s="58">
        <f t="shared" si="47"/>
        <v>1</v>
      </c>
      <c r="EP28" s="56">
        <f>Participantes!CU27</f>
        <v>0</v>
      </c>
      <c r="EQ28" s="56">
        <f>Participantes!CV27</f>
        <v>3</v>
      </c>
      <c r="ER28" s="58">
        <f t="shared" si="48"/>
        <v>3</v>
      </c>
      <c r="ES28" s="56">
        <f>Participantes!CW27</f>
        <v>3</v>
      </c>
      <c r="ET28" s="56">
        <f>Participantes!CX27</f>
        <v>0</v>
      </c>
      <c r="EU28" s="58">
        <f t="shared" si="49"/>
        <v>1</v>
      </c>
      <c r="EV28" s="56">
        <f>Participantes!CY27</f>
        <v>1</v>
      </c>
      <c r="EW28" s="56">
        <f>Participantes!CZ27</f>
        <v>2</v>
      </c>
      <c r="EX28" s="58">
        <f t="shared" si="50"/>
        <v>0</v>
      </c>
      <c r="EY28" s="56">
        <f>Participantes!DA27</f>
        <v>1</v>
      </c>
      <c r="EZ28" s="56">
        <f>Participantes!DB27</f>
        <v>1</v>
      </c>
      <c r="FA28" s="58">
        <f t="shared" si="51"/>
        <v>0</v>
      </c>
      <c r="FB28" s="56">
        <f>Participantes!DC27</f>
        <v>1</v>
      </c>
      <c r="FC28" s="56">
        <f>Participantes!DD27</f>
        <v>2</v>
      </c>
      <c r="FD28" s="58">
        <f t="shared" si="52"/>
        <v>1</v>
      </c>
      <c r="FE28" s="56">
        <f>Participantes!DE27</f>
        <v>0</v>
      </c>
      <c r="FF28" s="56">
        <f>Participantes!DF27</f>
        <v>2</v>
      </c>
      <c r="FG28" s="58">
        <f t="shared" si="53"/>
        <v>0</v>
      </c>
      <c r="FH28" s="56">
        <f>Participantes!DG27</f>
        <v>0</v>
      </c>
      <c r="FI28" s="56">
        <f>Participantes!DH27</f>
        <v>2</v>
      </c>
      <c r="FJ28" s="58">
        <f t="shared" si="54"/>
        <v>3</v>
      </c>
      <c r="FK28" s="56">
        <f>Participantes!DI27</f>
        <v>1</v>
      </c>
      <c r="FL28" s="56">
        <f>Participantes!DJ27</f>
        <v>2</v>
      </c>
      <c r="FM28" s="58">
        <f t="shared" si="55"/>
        <v>0</v>
      </c>
      <c r="FN28" s="56">
        <f>Participantes!DK27</f>
        <v>2</v>
      </c>
      <c r="FO28" s="56">
        <f>Participantes!DL27</f>
        <v>1</v>
      </c>
      <c r="FP28" s="58">
        <f t="shared" si="56"/>
        <v>0</v>
      </c>
      <c r="FQ28" s="56">
        <f>Participantes!DM27</f>
        <v>1</v>
      </c>
      <c r="FR28" s="56">
        <f>Participantes!DN27</f>
        <v>3</v>
      </c>
      <c r="FS28" s="58">
        <f t="shared" si="57"/>
        <v>3</v>
      </c>
      <c r="FT28" s="56">
        <f>Participantes!DO27</f>
        <v>1</v>
      </c>
      <c r="FU28" s="56">
        <f>Participantes!DP27</f>
        <v>1</v>
      </c>
      <c r="FV28" s="58">
        <f t="shared" si="58"/>
        <v>0</v>
      </c>
      <c r="FW28" s="56">
        <f>Participantes!DQ27</f>
        <v>2</v>
      </c>
      <c r="FX28" s="56">
        <f>Participantes!DR27</f>
        <v>1</v>
      </c>
      <c r="FY28" s="58">
        <f t="shared" si="59"/>
        <v>0</v>
      </c>
      <c r="FZ28" s="56">
        <f>Participantes!DS27</f>
        <v>1</v>
      </c>
      <c r="GA28" s="56">
        <f>Participantes!DT27</f>
        <v>2</v>
      </c>
      <c r="GB28" s="58">
        <f t="shared" si="60"/>
        <v>1</v>
      </c>
      <c r="GC28" s="56">
        <f>Participantes!DU27</f>
        <v>2</v>
      </c>
      <c r="GD28" s="56">
        <f>Participantes!DV27</f>
        <v>0</v>
      </c>
      <c r="GE28" s="58">
        <f t="shared" si="61"/>
        <v>1</v>
      </c>
      <c r="GF28" s="56">
        <f>Participantes!DW27</f>
        <v>1</v>
      </c>
      <c r="GG28" s="56">
        <f>Participantes!DX27</f>
        <v>1</v>
      </c>
      <c r="GH28" s="58">
        <f t="shared" si="62"/>
        <v>3</v>
      </c>
      <c r="GI28" s="56">
        <f>Participantes!DY27</f>
        <v>0</v>
      </c>
      <c r="GJ28" s="56">
        <f>Participantes!DZ27</f>
        <v>2</v>
      </c>
      <c r="GK28" s="58">
        <f t="shared" si="63"/>
        <v>1</v>
      </c>
      <c r="GL28" s="56">
        <f>Participantes!EA27</f>
        <v>1</v>
      </c>
      <c r="GM28" s="56">
        <f>Participantes!EB27</f>
        <v>1</v>
      </c>
      <c r="GN28" s="58">
        <f t="shared" si="64"/>
        <v>1</v>
      </c>
      <c r="GO28" s="56">
        <f>Participantes!EC27</f>
        <v>1</v>
      </c>
      <c r="GP28" s="56">
        <f>Participantes!ED27</f>
        <v>2</v>
      </c>
      <c r="GQ28" s="58">
        <f t="shared" si="65"/>
        <v>1</v>
      </c>
      <c r="GR28" s="56">
        <f>Participantes!EE27</f>
        <v>0</v>
      </c>
      <c r="GS28" s="56">
        <f>Participantes!EF27</f>
        <v>3</v>
      </c>
      <c r="GT28" s="58" t="str">
        <f t="shared" si="66"/>
        <v/>
      </c>
      <c r="GU28" s="56">
        <f>Participantes!EG27</f>
        <v>2</v>
      </c>
      <c r="GV28" s="56">
        <f>Participantes!EH27</f>
        <v>1</v>
      </c>
      <c r="GW28" s="58" t="str">
        <f t="shared" si="67"/>
        <v/>
      </c>
      <c r="GX28" s="56">
        <f>Participantes!EI27</f>
        <v>1</v>
      </c>
      <c r="GY28" s="56">
        <f>Participantes!EJ27</f>
        <v>2</v>
      </c>
      <c r="GZ28" s="58" t="str">
        <f t="shared" si="68"/>
        <v/>
      </c>
      <c r="HA28" s="56">
        <f>Participantes!EK27</f>
        <v>0</v>
      </c>
      <c r="HB28" s="56">
        <f>Participantes!EL27</f>
        <v>3</v>
      </c>
      <c r="HC28" s="58" t="str">
        <f t="shared" si="69"/>
        <v/>
      </c>
      <c r="HD28" s="56">
        <f>Participantes!EM27</f>
        <v>1</v>
      </c>
      <c r="HE28" s="56">
        <f>Participantes!EN27</f>
        <v>2</v>
      </c>
      <c r="HF28" s="58" t="str">
        <f t="shared" si="70"/>
        <v/>
      </c>
      <c r="HG28" s="56">
        <f>Participantes!EO27</f>
        <v>2</v>
      </c>
      <c r="HH28" s="56">
        <f>Participantes!EP27</f>
        <v>1</v>
      </c>
      <c r="HI28" s="58" t="str">
        <f t="shared" si="71"/>
        <v/>
      </c>
      <c r="HJ28" s="59">
        <f t="shared" si="72"/>
        <v>58</v>
      </c>
    </row>
    <row r="29" spans="1:218" ht="15" customHeight="1" x14ac:dyDescent="0.25">
      <c r="A29" s="57" t="str">
        <f>Participantes!B28</f>
        <v>Kevin</v>
      </c>
      <c r="B29" s="56">
        <f>Participantes!C28</f>
        <v>2</v>
      </c>
      <c r="C29" s="56">
        <f>Participantes!D28</f>
        <v>0</v>
      </c>
      <c r="D29" s="58">
        <f t="shared" si="0"/>
        <v>3</v>
      </c>
      <c r="E29" s="56">
        <f>Participantes!E28</f>
        <v>1</v>
      </c>
      <c r="F29" s="56">
        <f>Participantes!F28</f>
        <v>1</v>
      </c>
      <c r="G29" s="58">
        <f t="shared" si="1"/>
        <v>0</v>
      </c>
      <c r="H29" s="56">
        <f>Participantes!G28</f>
        <v>1</v>
      </c>
      <c r="I29" s="56">
        <f>Participantes!H28</f>
        <v>2</v>
      </c>
      <c r="J29" s="58">
        <f t="shared" si="2"/>
        <v>0</v>
      </c>
      <c r="K29" s="56">
        <f>Participantes!I28</f>
        <v>2</v>
      </c>
      <c r="L29" s="56">
        <f>Participantes!J28</f>
        <v>1</v>
      </c>
      <c r="M29" s="58">
        <f t="shared" si="3"/>
        <v>1</v>
      </c>
      <c r="N29" s="56">
        <f>Participantes!K28</f>
        <v>0</v>
      </c>
      <c r="O29" s="56">
        <f>Participantes!L28</f>
        <v>2</v>
      </c>
      <c r="P29" s="58">
        <f t="shared" si="4"/>
        <v>1</v>
      </c>
      <c r="Q29" s="56">
        <f>Participantes!M28</f>
        <v>1</v>
      </c>
      <c r="R29" s="56">
        <f>Participantes!N28</f>
        <v>1</v>
      </c>
      <c r="S29" s="58">
        <f t="shared" si="5"/>
        <v>0</v>
      </c>
      <c r="T29" s="56">
        <f>Participantes!O28</f>
        <v>3</v>
      </c>
      <c r="U29" s="56">
        <f>Participantes!P28</f>
        <v>1</v>
      </c>
      <c r="V29" s="58">
        <f t="shared" si="6"/>
        <v>0</v>
      </c>
      <c r="W29" s="56">
        <f>Participantes!Q28</f>
        <v>0</v>
      </c>
      <c r="X29" s="56">
        <f>Participantes!R28</f>
        <v>2</v>
      </c>
      <c r="Y29" s="58">
        <f t="shared" si="7"/>
        <v>0</v>
      </c>
      <c r="Z29" s="56">
        <f>Participantes!S28</f>
        <v>2</v>
      </c>
      <c r="AA29" s="56">
        <f>Participantes!T28</f>
        <v>2</v>
      </c>
      <c r="AB29" s="58">
        <f t="shared" si="8"/>
        <v>0</v>
      </c>
      <c r="AC29" s="56">
        <f>Participantes!U28</f>
        <v>4</v>
      </c>
      <c r="AD29" s="56">
        <f>Participantes!V28</f>
        <v>0</v>
      </c>
      <c r="AE29" s="58">
        <f t="shared" si="9"/>
        <v>1</v>
      </c>
      <c r="AF29" s="56">
        <f>Participantes!W28</f>
        <v>2</v>
      </c>
      <c r="AG29" s="56">
        <f>Participantes!X28</f>
        <v>1</v>
      </c>
      <c r="AH29" s="58">
        <f t="shared" si="10"/>
        <v>0</v>
      </c>
      <c r="AI29" s="56">
        <f>Participantes!Y28</f>
        <v>1</v>
      </c>
      <c r="AJ29" s="56">
        <f>Participantes!Z28</f>
        <v>0</v>
      </c>
      <c r="AK29" s="58">
        <f t="shared" si="11"/>
        <v>1</v>
      </c>
      <c r="AL29" s="56">
        <f>Participantes!AA28</f>
        <v>0</v>
      </c>
      <c r="AM29" s="56">
        <f>Participantes!AB28</f>
        <v>2</v>
      </c>
      <c r="AN29" s="58">
        <f t="shared" si="12"/>
        <v>0</v>
      </c>
      <c r="AO29" s="56">
        <f>Participantes!AC28</f>
        <v>3</v>
      </c>
      <c r="AP29" s="56">
        <f>Participantes!AD28</f>
        <v>0</v>
      </c>
      <c r="AQ29" s="58">
        <f t="shared" si="13"/>
        <v>0</v>
      </c>
      <c r="AR29" s="56">
        <f>Participantes!AE28</f>
        <v>1</v>
      </c>
      <c r="AS29" s="56">
        <f>Participantes!AF28</f>
        <v>1</v>
      </c>
      <c r="AT29" s="58">
        <f t="shared" si="14"/>
        <v>1</v>
      </c>
      <c r="AU29" s="56">
        <f>Participantes!AG28</f>
        <v>2</v>
      </c>
      <c r="AV29" s="56">
        <f>Participantes!AH28</f>
        <v>0</v>
      </c>
      <c r="AW29" s="58">
        <f t="shared" si="15"/>
        <v>0</v>
      </c>
      <c r="AX29" s="56">
        <f>Participantes!AI28</f>
        <v>2</v>
      </c>
      <c r="AY29" s="56">
        <f>Participantes!AJ28</f>
        <v>1</v>
      </c>
      <c r="AZ29" s="58">
        <f t="shared" si="16"/>
        <v>1</v>
      </c>
      <c r="BA29" s="56">
        <f>Participantes!AK28</f>
        <v>0</v>
      </c>
      <c r="BB29" s="56">
        <f>Participantes!AL28</f>
        <v>2</v>
      </c>
      <c r="BC29" s="58">
        <f t="shared" si="17"/>
        <v>1</v>
      </c>
      <c r="BD29" s="56">
        <f>Participantes!AM28</f>
        <v>2</v>
      </c>
      <c r="BE29" s="56">
        <f>Participantes!AN28</f>
        <v>0</v>
      </c>
      <c r="BF29" s="58">
        <f t="shared" si="18"/>
        <v>1</v>
      </c>
      <c r="BG29" s="56">
        <f>Participantes!AO28</f>
        <v>2</v>
      </c>
      <c r="BH29" s="56">
        <f>Participantes!AP28</f>
        <v>1</v>
      </c>
      <c r="BI29" s="58">
        <f t="shared" si="19"/>
        <v>1</v>
      </c>
      <c r="BJ29" s="56">
        <f>Participantes!AQ28</f>
        <v>1</v>
      </c>
      <c r="BK29" s="56">
        <f>Participantes!AR28</f>
        <v>0</v>
      </c>
      <c r="BL29" s="58">
        <f t="shared" si="20"/>
        <v>3</v>
      </c>
      <c r="BM29" s="56">
        <f>Participantes!AS28</f>
        <v>2</v>
      </c>
      <c r="BN29" s="56">
        <f>Participantes!AT28</f>
        <v>2</v>
      </c>
      <c r="BO29" s="58">
        <f t="shared" si="21"/>
        <v>0</v>
      </c>
      <c r="BP29" s="56">
        <f>Participantes!AU28</f>
        <v>3</v>
      </c>
      <c r="BQ29" s="56">
        <f>Participantes!AV28</f>
        <v>1</v>
      </c>
      <c r="BR29" s="58">
        <f t="shared" si="22"/>
        <v>0</v>
      </c>
      <c r="BS29" s="56">
        <f>Participantes!AW28</f>
        <v>1</v>
      </c>
      <c r="BT29" s="56">
        <f>Participantes!AX28</f>
        <v>2</v>
      </c>
      <c r="BU29" s="58">
        <f t="shared" si="23"/>
        <v>1</v>
      </c>
      <c r="BV29" s="56">
        <f>Participantes!AY28</f>
        <v>2</v>
      </c>
      <c r="BW29" s="56">
        <f>Participantes!AZ28</f>
        <v>1</v>
      </c>
      <c r="BX29" s="58">
        <f t="shared" si="24"/>
        <v>0</v>
      </c>
      <c r="BY29" s="56">
        <f>Participantes!BA28</f>
        <v>1</v>
      </c>
      <c r="BZ29" s="56">
        <f>Participantes!BB28</f>
        <v>1</v>
      </c>
      <c r="CA29" s="58">
        <f t="shared" si="25"/>
        <v>0</v>
      </c>
      <c r="CB29" s="56">
        <f>Participantes!BC28</f>
        <v>2</v>
      </c>
      <c r="CC29" s="56">
        <f>Participantes!BD28</f>
        <v>0</v>
      </c>
      <c r="CD29" s="58">
        <f t="shared" si="26"/>
        <v>1</v>
      </c>
      <c r="CE29" s="56">
        <f>Participantes!BE28</f>
        <v>2</v>
      </c>
      <c r="CF29" s="56">
        <f>Participantes!BF28</f>
        <v>1</v>
      </c>
      <c r="CG29" s="58">
        <f t="shared" si="27"/>
        <v>1</v>
      </c>
      <c r="CH29" s="56">
        <f>Participantes!BG28</f>
        <v>4</v>
      </c>
      <c r="CI29" s="56">
        <f>Participantes!BH28</f>
        <v>0</v>
      </c>
      <c r="CJ29" s="58">
        <f t="shared" si="28"/>
        <v>1</v>
      </c>
      <c r="CK29" s="56">
        <f>Participantes!BI28</f>
        <v>2</v>
      </c>
      <c r="CL29" s="56">
        <f>Participantes!BJ28</f>
        <v>2</v>
      </c>
      <c r="CM29" s="58">
        <f t="shared" si="29"/>
        <v>0</v>
      </c>
      <c r="CN29" s="56">
        <f>Participantes!BK28</f>
        <v>1</v>
      </c>
      <c r="CO29" s="56">
        <f>Participantes!BL28</f>
        <v>1</v>
      </c>
      <c r="CP29" s="58">
        <f t="shared" si="30"/>
        <v>0</v>
      </c>
      <c r="CQ29" s="56">
        <f>Participantes!BM28</f>
        <v>2</v>
      </c>
      <c r="CR29" s="56">
        <f>Participantes!BN28</f>
        <v>0</v>
      </c>
      <c r="CS29" s="58">
        <f t="shared" si="31"/>
        <v>3</v>
      </c>
      <c r="CT29" s="56">
        <f>Participantes!BO28</f>
        <v>2</v>
      </c>
      <c r="CU29" s="56">
        <f>Participantes!BP28</f>
        <v>1</v>
      </c>
      <c r="CV29" s="58">
        <f t="shared" si="32"/>
        <v>3</v>
      </c>
      <c r="CW29" s="56">
        <f>Participantes!BQ28</f>
        <v>2</v>
      </c>
      <c r="CX29" s="56">
        <f>Participantes!BR28</f>
        <v>0</v>
      </c>
      <c r="CY29" s="58">
        <f t="shared" si="33"/>
        <v>0</v>
      </c>
      <c r="CZ29" s="56">
        <f>Participantes!BS28</f>
        <v>2</v>
      </c>
      <c r="DA29" s="56">
        <f>Participantes!BT28</f>
        <v>2</v>
      </c>
      <c r="DB29" s="58">
        <f t="shared" si="34"/>
        <v>0</v>
      </c>
      <c r="DC29" s="56">
        <f>Participantes!BU28</f>
        <v>1</v>
      </c>
      <c r="DD29" s="56">
        <f>Participantes!BV28</f>
        <v>2</v>
      </c>
      <c r="DE29" s="58">
        <f t="shared" si="35"/>
        <v>1</v>
      </c>
      <c r="DF29" s="56">
        <f>Participantes!BW28</f>
        <v>2</v>
      </c>
      <c r="DG29" s="56">
        <f>Participantes!BX28</f>
        <v>0</v>
      </c>
      <c r="DH29" s="58">
        <f t="shared" si="36"/>
        <v>0</v>
      </c>
      <c r="DI29" s="56">
        <f>Participantes!BY28</f>
        <v>2</v>
      </c>
      <c r="DJ29" s="56">
        <f>Participantes!BZ28</f>
        <v>1</v>
      </c>
      <c r="DK29" s="58">
        <f t="shared" si="37"/>
        <v>1</v>
      </c>
      <c r="DL29" s="56">
        <f>Participantes!CA28</f>
        <v>2</v>
      </c>
      <c r="DM29" s="56">
        <f>Participantes!CB28</f>
        <v>1</v>
      </c>
      <c r="DN29" s="58">
        <f t="shared" si="38"/>
        <v>0</v>
      </c>
      <c r="DO29" s="56">
        <f>Participantes!CC28</f>
        <v>1</v>
      </c>
      <c r="DP29" s="56">
        <f>Participantes!CD28</f>
        <v>2</v>
      </c>
      <c r="DQ29" s="58">
        <f t="shared" si="39"/>
        <v>1</v>
      </c>
      <c r="DR29" s="56">
        <f>Participantes!CE28</f>
        <v>1</v>
      </c>
      <c r="DS29" s="56">
        <f>Participantes!CF28</f>
        <v>1</v>
      </c>
      <c r="DT29" s="58">
        <f t="shared" si="40"/>
        <v>0</v>
      </c>
      <c r="DU29" s="56">
        <f>Participantes!CG28</f>
        <v>3</v>
      </c>
      <c r="DV29" s="56">
        <f>Participantes!CH28</f>
        <v>0</v>
      </c>
      <c r="DW29" s="58">
        <f t="shared" si="41"/>
        <v>3</v>
      </c>
      <c r="DX29" s="56">
        <f>Participantes!CI28</f>
        <v>2</v>
      </c>
      <c r="DY29" s="56">
        <f>Participantes!CJ28</f>
        <v>1</v>
      </c>
      <c r="DZ29" s="58">
        <f t="shared" si="42"/>
        <v>1</v>
      </c>
      <c r="EA29" s="56">
        <f>Participantes!CK28</f>
        <v>1</v>
      </c>
      <c r="EB29" s="56">
        <f>Participantes!CL28</f>
        <v>1</v>
      </c>
      <c r="EC29" s="58">
        <f t="shared" si="43"/>
        <v>0</v>
      </c>
      <c r="ED29" s="56">
        <f>Participantes!CM28</f>
        <v>2</v>
      </c>
      <c r="EE29" s="56">
        <f>Participantes!CN28</f>
        <v>1</v>
      </c>
      <c r="EF29" s="58">
        <f t="shared" si="44"/>
        <v>0</v>
      </c>
      <c r="EG29" s="56">
        <f>Participantes!CO28</f>
        <v>1</v>
      </c>
      <c r="EH29" s="56">
        <f>Participantes!CP28</f>
        <v>2</v>
      </c>
      <c r="EI29" s="58">
        <f t="shared" si="45"/>
        <v>1</v>
      </c>
      <c r="EJ29" s="56">
        <f>Participantes!CQ28</f>
        <v>2</v>
      </c>
      <c r="EK29" s="56">
        <f>Participantes!CR28</f>
        <v>0</v>
      </c>
      <c r="EL29" s="58">
        <f t="shared" si="46"/>
        <v>1</v>
      </c>
      <c r="EM29" s="56">
        <f>Participantes!CS28</f>
        <v>2</v>
      </c>
      <c r="EN29" s="56">
        <f>Participantes!CT28</f>
        <v>1</v>
      </c>
      <c r="EO29" s="58">
        <f t="shared" si="47"/>
        <v>1</v>
      </c>
      <c r="EP29" s="56">
        <f>Participantes!CU28</f>
        <v>0</v>
      </c>
      <c r="EQ29" s="56">
        <f>Participantes!CV28</f>
        <v>2</v>
      </c>
      <c r="ER29" s="58">
        <f t="shared" si="48"/>
        <v>1</v>
      </c>
      <c r="ES29" s="56">
        <f>Participantes!CW28</f>
        <v>2</v>
      </c>
      <c r="ET29" s="56">
        <f>Participantes!CX28</f>
        <v>0</v>
      </c>
      <c r="EU29" s="58">
        <f t="shared" si="49"/>
        <v>1</v>
      </c>
      <c r="EV29" s="56">
        <f>Participantes!CY28</f>
        <v>2</v>
      </c>
      <c r="EW29" s="56">
        <f>Participantes!CZ28</f>
        <v>1</v>
      </c>
      <c r="EX29" s="58">
        <f t="shared" si="50"/>
        <v>3</v>
      </c>
      <c r="EY29" s="56">
        <f>Participantes!DA28</f>
        <v>1</v>
      </c>
      <c r="EZ29" s="56">
        <f>Participantes!DB28</f>
        <v>0</v>
      </c>
      <c r="FA29" s="58">
        <f t="shared" si="51"/>
        <v>1</v>
      </c>
      <c r="FB29" s="56">
        <f>Participantes!DC28</f>
        <v>0</v>
      </c>
      <c r="FC29" s="56">
        <f>Participantes!DD28</f>
        <v>2</v>
      </c>
      <c r="FD29" s="58">
        <f t="shared" si="52"/>
        <v>1</v>
      </c>
      <c r="FE29" s="56">
        <f>Participantes!DE28</f>
        <v>1</v>
      </c>
      <c r="FF29" s="56">
        <f>Participantes!DF28</f>
        <v>0</v>
      </c>
      <c r="FG29" s="58">
        <f t="shared" si="53"/>
        <v>3</v>
      </c>
      <c r="FH29" s="56">
        <f>Participantes!DG28</f>
        <v>2</v>
      </c>
      <c r="FI29" s="56">
        <f>Participantes!DH28</f>
        <v>0</v>
      </c>
      <c r="FJ29" s="58">
        <f t="shared" si="54"/>
        <v>0</v>
      </c>
      <c r="FK29" s="56">
        <f>Participantes!DI28</f>
        <v>1</v>
      </c>
      <c r="FL29" s="56">
        <f>Participantes!DJ28</f>
        <v>2</v>
      </c>
      <c r="FM29" s="58">
        <f t="shared" si="55"/>
        <v>0</v>
      </c>
      <c r="FN29" s="56">
        <f>Participantes!DK28</f>
        <v>2</v>
      </c>
      <c r="FO29" s="56">
        <f>Participantes!DL28</f>
        <v>1</v>
      </c>
      <c r="FP29" s="58">
        <f t="shared" si="56"/>
        <v>0</v>
      </c>
      <c r="FQ29" s="56">
        <f>Participantes!DM28</f>
        <v>0</v>
      </c>
      <c r="FR29" s="56">
        <f>Participantes!DN28</f>
        <v>2</v>
      </c>
      <c r="FS29" s="58">
        <f t="shared" si="57"/>
        <v>1</v>
      </c>
      <c r="FT29" s="56">
        <f>Participantes!DO28</f>
        <v>2</v>
      </c>
      <c r="FU29" s="56">
        <f>Participantes!DP28</f>
        <v>1</v>
      </c>
      <c r="FV29" s="58">
        <f t="shared" si="58"/>
        <v>1</v>
      </c>
      <c r="FW29" s="56">
        <f>Participantes!DQ28</f>
        <v>1</v>
      </c>
      <c r="FX29" s="56">
        <f>Participantes!DR28</f>
        <v>0</v>
      </c>
      <c r="FY29" s="58">
        <f t="shared" si="59"/>
        <v>0</v>
      </c>
      <c r="FZ29" s="56">
        <f>Participantes!DS28</f>
        <v>2</v>
      </c>
      <c r="GA29" s="56">
        <f>Participantes!DT28</f>
        <v>1</v>
      </c>
      <c r="GB29" s="58">
        <f t="shared" si="60"/>
        <v>0</v>
      </c>
      <c r="GC29" s="56">
        <f>Participantes!DU28</f>
        <v>2</v>
      </c>
      <c r="GD29" s="56">
        <f>Participantes!DV28</f>
        <v>0</v>
      </c>
      <c r="GE29" s="58">
        <f t="shared" si="61"/>
        <v>1</v>
      </c>
      <c r="GF29" s="56">
        <f>Participantes!DW28</f>
        <v>0</v>
      </c>
      <c r="GG29" s="56">
        <f>Participantes!DX28</f>
        <v>0</v>
      </c>
      <c r="GH29" s="58">
        <f t="shared" si="62"/>
        <v>1</v>
      </c>
      <c r="GI29" s="56">
        <f>Participantes!DY28</f>
        <v>2</v>
      </c>
      <c r="GJ29" s="56">
        <f>Participantes!DZ28</f>
        <v>0</v>
      </c>
      <c r="GK29" s="58">
        <f t="shared" si="63"/>
        <v>0</v>
      </c>
      <c r="GL29" s="56">
        <f>Participantes!EA28</f>
        <v>1</v>
      </c>
      <c r="GM29" s="56">
        <f>Participantes!EB28</f>
        <v>0</v>
      </c>
      <c r="GN29" s="58">
        <f t="shared" si="64"/>
        <v>0</v>
      </c>
      <c r="GO29" s="56">
        <f>Participantes!EC28</f>
        <v>1</v>
      </c>
      <c r="GP29" s="56">
        <f>Participantes!ED28</f>
        <v>2</v>
      </c>
      <c r="GQ29" s="58">
        <f t="shared" si="65"/>
        <v>1</v>
      </c>
      <c r="GR29" s="56">
        <f>Participantes!EE28</f>
        <v>3</v>
      </c>
      <c r="GS29" s="56">
        <f>Participantes!EF28</f>
        <v>1</v>
      </c>
      <c r="GT29" s="58" t="str">
        <f t="shared" si="66"/>
        <v/>
      </c>
      <c r="GU29" s="56">
        <f>Participantes!EG28</f>
        <v>0</v>
      </c>
      <c r="GV29" s="56">
        <f>Participantes!EH28</f>
        <v>1</v>
      </c>
      <c r="GW29" s="58" t="str">
        <f t="shared" si="67"/>
        <v/>
      </c>
      <c r="GX29" s="56">
        <f>Participantes!EI28</f>
        <v>2</v>
      </c>
      <c r="GY29" s="56">
        <f>Participantes!EJ28</f>
        <v>1</v>
      </c>
      <c r="GZ29" s="58" t="str">
        <f t="shared" si="68"/>
        <v/>
      </c>
      <c r="HA29" s="56">
        <f>Participantes!EK28</f>
        <v>1</v>
      </c>
      <c r="HB29" s="56">
        <f>Participantes!EL28</f>
        <v>3</v>
      </c>
      <c r="HC29" s="58" t="str">
        <f t="shared" si="69"/>
        <v/>
      </c>
      <c r="HD29" s="56">
        <f>Participantes!EM28</f>
        <v>0</v>
      </c>
      <c r="HE29" s="56">
        <f>Participantes!EN28</f>
        <v>2</v>
      </c>
      <c r="HF29" s="58" t="str">
        <f t="shared" si="70"/>
        <v/>
      </c>
      <c r="HG29" s="56">
        <f>Participantes!EO28</f>
        <v>1</v>
      </c>
      <c r="HH29" s="56">
        <f>Participantes!EP28</f>
        <v>1</v>
      </c>
      <c r="HI29" s="58" t="str">
        <f t="shared" si="71"/>
        <v/>
      </c>
      <c r="HJ29" s="59">
        <f t="shared" si="72"/>
        <v>50</v>
      </c>
    </row>
    <row r="30" spans="1:218" ht="15" customHeight="1" x14ac:dyDescent="0.25">
      <c r="A30" s="57" t="str">
        <f>Participantes!B29</f>
        <v>Lizka</v>
      </c>
      <c r="B30" s="56">
        <f>Participantes!C29</f>
        <v>2</v>
      </c>
      <c r="C30" s="56">
        <f>Participantes!D29</f>
        <v>0</v>
      </c>
      <c r="D30" s="58">
        <f t="shared" si="0"/>
        <v>3</v>
      </c>
      <c r="E30" s="56">
        <f>Participantes!E29</f>
        <v>1</v>
      </c>
      <c r="F30" s="56">
        <f>Participantes!F29</f>
        <v>1</v>
      </c>
      <c r="G30" s="58">
        <f t="shared" si="1"/>
        <v>0</v>
      </c>
      <c r="H30" s="56">
        <f>Participantes!G29</f>
        <v>2</v>
      </c>
      <c r="I30" s="56">
        <f>Participantes!H29</f>
        <v>1</v>
      </c>
      <c r="J30" s="58">
        <f t="shared" si="2"/>
        <v>0</v>
      </c>
      <c r="K30" s="56">
        <f>Participantes!I29</f>
        <v>2</v>
      </c>
      <c r="L30" s="56">
        <f>Participantes!J29</f>
        <v>1</v>
      </c>
      <c r="M30" s="58">
        <f t="shared" si="3"/>
        <v>1</v>
      </c>
      <c r="N30" s="56">
        <f>Participantes!K29</f>
        <v>1</v>
      </c>
      <c r="O30" s="56">
        <f>Participantes!L29</f>
        <v>2</v>
      </c>
      <c r="P30" s="58">
        <f t="shared" si="4"/>
        <v>1</v>
      </c>
      <c r="Q30" s="56">
        <f>Participantes!M29</f>
        <v>1</v>
      </c>
      <c r="R30" s="56">
        <f>Participantes!N29</f>
        <v>2</v>
      </c>
      <c r="S30" s="58">
        <f t="shared" si="5"/>
        <v>0</v>
      </c>
      <c r="T30" s="56">
        <f>Participantes!O29</f>
        <v>2</v>
      </c>
      <c r="U30" s="56">
        <f>Participantes!P29</f>
        <v>1</v>
      </c>
      <c r="V30" s="58">
        <f t="shared" si="6"/>
        <v>0</v>
      </c>
      <c r="W30" s="56">
        <f>Participantes!Q29</f>
        <v>0</v>
      </c>
      <c r="X30" s="56">
        <f>Participantes!R29</f>
        <v>2</v>
      </c>
      <c r="Y30" s="58">
        <f t="shared" si="7"/>
        <v>0</v>
      </c>
      <c r="Z30" s="56">
        <f>Participantes!S29</f>
        <v>1</v>
      </c>
      <c r="AA30" s="56">
        <f>Participantes!T29</f>
        <v>1</v>
      </c>
      <c r="AB30" s="58">
        <f t="shared" si="8"/>
        <v>0</v>
      </c>
      <c r="AC30" s="56">
        <f>Participantes!U29</f>
        <v>3</v>
      </c>
      <c r="AD30" s="56">
        <f>Participantes!V29</f>
        <v>1</v>
      </c>
      <c r="AE30" s="58">
        <f t="shared" si="9"/>
        <v>1</v>
      </c>
      <c r="AF30" s="56">
        <f>Participantes!W29</f>
        <v>2</v>
      </c>
      <c r="AG30" s="56">
        <f>Participantes!X29</f>
        <v>1</v>
      </c>
      <c r="AH30" s="58">
        <f t="shared" si="10"/>
        <v>0</v>
      </c>
      <c r="AI30" s="56">
        <f>Participantes!Y29</f>
        <v>2</v>
      </c>
      <c r="AJ30" s="56">
        <f>Participantes!Z29</f>
        <v>1</v>
      </c>
      <c r="AK30" s="58">
        <f t="shared" si="11"/>
        <v>1</v>
      </c>
      <c r="AL30" s="56">
        <f>Participantes!AA29</f>
        <v>0</v>
      </c>
      <c r="AM30" s="56">
        <f>Participantes!AB29</f>
        <v>3</v>
      </c>
      <c r="AN30" s="58">
        <f t="shared" si="12"/>
        <v>0</v>
      </c>
      <c r="AO30" s="56">
        <f>Participantes!AC29</f>
        <v>4</v>
      </c>
      <c r="AP30" s="56">
        <f>Participantes!AD29</f>
        <v>0</v>
      </c>
      <c r="AQ30" s="58">
        <f t="shared" si="13"/>
        <v>0</v>
      </c>
      <c r="AR30" s="56">
        <f>Participantes!AE29</f>
        <v>2</v>
      </c>
      <c r="AS30" s="56">
        <f>Participantes!AF29</f>
        <v>0</v>
      </c>
      <c r="AT30" s="58">
        <f t="shared" si="14"/>
        <v>0</v>
      </c>
      <c r="AU30" s="56">
        <f>Participantes!AG29</f>
        <v>2</v>
      </c>
      <c r="AV30" s="56">
        <f>Participantes!AH29</f>
        <v>0</v>
      </c>
      <c r="AW30" s="58">
        <f t="shared" si="15"/>
        <v>0</v>
      </c>
      <c r="AX30" s="56">
        <f>Participantes!AI29</f>
        <v>2</v>
      </c>
      <c r="AY30" s="56">
        <f>Participantes!AJ29</f>
        <v>2</v>
      </c>
      <c r="AZ30" s="58">
        <f t="shared" si="16"/>
        <v>0</v>
      </c>
      <c r="BA30" s="56">
        <f>Participantes!AK29</f>
        <v>0</v>
      </c>
      <c r="BB30" s="56">
        <f>Participantes!AL29</f>
        <v>2</v>
      </c>
      <c r="BC30" s="58">
        <f t="shared" si="17"/>
        <v>1</v>
      </c>
      <c r="BD30" s="56">
        <f>Participantes!AM29</f>
        <v>3</v>
      </c>
      <c r="BE30" s="56">
        <f>Participantes!AN29</f>
        <v>0</v>
      </c>
      <c r="BF30" s="58">
        <f t="shared" si="18"/>
        <v>3</v>
      </c>
      <c r="BG30" s="56">
        <f>Participantes!AO29</f>
        <v>2</v>
      </c>
      <c r="BH30" s="56">
        <f>Participantes!AP29</f>
        <v>0</v>
      </c>
      <c r="BI30" s="58">
        <f t="shared" si="19"/>
        <v>1</v>
      </c>
      <c r="BJ30" s="56">
        <f>Participantes!AQ29</f>
        <v>1</v>
      </c>
      <c r="BK30" s="56">
        <f>Participantes!AR29</f>
        <v>2</v>
      </c>
      <c r="BL30" s="58">
        <f t="shared" si="20"/>
        <v>0</v>
      </c>
      <c r="BM30" s="56">
        <f>Participantes!AS29</f>
        <v>2</v>
      </c>
      <c r="BN30" s="56">
        <f>Participantes!AT29</f>
        <v>1</v>
      </c>
      <c r="BO30" s="58">
        <f t="shared" si="21"/>
        <v>1</v>
      </c>
      <c r="BP30" s="56">
        <f>Participantes!AU29</f>
        <v>3</v>
      </c>
      <c r="BQ30" s="56">
        <f>Participantes!AV29</f>
        <v>0</v>
      </c>
      <c r="BR30" s="58">
        <f t="shared" si="22"/>
        <v>0</v>
      </c>
      <c r="BS30" s="56">
        <f>Participantes!AW29</f>
        <v>0</v>
      </c>
      <c r="BT30" s="56">
        <f>Participantes!AX29</f>
        <v>2</v>
      </c>
      <c r="BU30" s="58">
        <f t="shared" si="23"/>
        <v>1</v>
      </c>
      <c r="BV30" s="56">
        <f>Participantes!AY29</f>
        <v>2</v>
      </c>
      <c r="BW30" s="56">
        <f>Participantes!AZ29</f>
        <v>1</v>
      </c>
      <c r="BX30" s="58">
        <f t="shared" si="24"/>
        <v>0</v>
      </c>
      <c r="BY30" s="56">
        <f>Participantes!BA29</f>
        <v>2</v>
      </c>
      <c r="BZ30" s="56">
        <f>Participantes!BB29</f>
        <v>0</v>
      </c>
      <c r="CA30" s="58">
        <f t="shared" si="25"/>
        <v>1</v>
      </c>
      <c r="CB30" s="56">
        <f>Participantes!BC29</f>
        <v>2</v>
      </c>
      <c r="CC30" s="56">
        <f>Participantes!BD29</f>
        <v>0</v>
      </c>
      <c r="CD30" s="58">
        <f t="shared" si="26"/>
        <v>1</v>
      </c>
      <c r="CE30" s="56">
        <f>Participantes!BE29</f>
        <v>2</v>
      </c>
      <c r="CF30" s="56">
        <f>Participantes!BF29</f>
        <v>1</v>
      </c>
      <c r="CG30" s="58">
        <f t="shared" si="27"/>
        <v>1</v>
      </c>
      <c r="CH30" s="56">
        <f>Participantes!BG29</f>
        <v>5</v>
      </c>
      <c r="CI30" s="56">
        <f>Participantes!BH29</f>
        <v>0</v>
      </c>
      <c r="CJ30" s="58">
        <f t="shared" si="28"/>
        <v>1</v>
      </c>
      <c r="CK30" s="56">
        <f>Participantes!BI29</f>
        <v>0</v>
      </c>
      <c r="CL30" s="56">
        <f>Participantes!BJ29</f>
        <v>2</v>
      </c>
      <c r="CM30" s="58">
        <f t="shared" si="29"/>
        <v>1</v>
      </c>
      <c r="CN30" s="56">
        <f>Participantes!BK29</f>
        <v>2</v>
      </c>
      <c r="CO30" s="56">
        <f>Participantes!BL29</f>
        <v>1</v>
      </c>
      <c r="CP30" s="58">
        <f t="shared" si="30"/>
        <v>0</v>
      </c>
      <c r="CQ30" s="56">
        <f>Participantes!BM29</f>
        <v>2</v>
      </c>
      <c r="CR30" s="56">
        <f>Participantes!BN29</f>
        <v>1</v>
      </c>
      <c r="CS30" s="58">
        <f t="shared" si="31"/>
        <v>1</v>
      </c>
      <c r="CT30" s="56">
        <f>Participantes!BO29</f>
        <v>3</v>
      </c>
      <c r="CU30" s="56">
        <f>Participantes!BP29</f>
        <v>1</v>
      </c>
      <c r="CV30" s="58">
        <f t="shared" si="32"/>
        <v>1</v>
      </c>
      <c r="CW30" s="56">
        <f>Participantes!BQ29</f>
        <v>3</v>
      </c>
      <c r="CX30" s="56">
        <f>Participantes!BR29</f>
        <v>2</v>
      </c>
      <c r="CY30" s="58">
        <f t="shared" si="33"/>
        <v>0</v>
      </c>
      <c r="CZ30" s="56">
        <f>Participantes!BS29</f>
        <v>2</v>
      </c>
      <c r="DA30" s="56">
        <f>Participantes!BT29</f>
        <v>2</v>
      </c>
      <c r="DB30" s="58">
        <f t="shared" si="34"/>
        <v>0</v>
      </c>
      <c r="DC30" s="56">
        <f>Participantes!BU29</f>
        <v>1</v>
      </c>
      <c r="DD30" s="56">
        <f>Participantes!BV29</f>
        <v>2</v>
      </c>
      <c r="DE30" s="58">
        <f t="shared" si="35"/>
        <v>1</v>
      </c>
      <c r="DF30" s="56">
        <f>Participantes!BW29</f>
        <v>3</v>
      </c>
      <c r="DG30" s="56">
        <f>Participantes!BX29</f>
        <v>1</v>
      </c>
      <c r="DH30" s="58">
        <f t="shared" si="36"/>
        <v>0</v>
      </c>
      <c r="DI30" s="56">
        <f>Participantes!BY29</f>
        <v>4</v>
      </c>
      <c r="DJ30" s="56">
        <f>Participantes!BZ29</f>
        <v>0</v>
      </c>
      <c r="DK30" s="58">
        <f t="shared" si="37"/>
        <v>3</v>
      </c>
      <c r="DL30" s="56">
        <f>Participantes!CA29</f>
        <v>2</v>
      </c>
      <c r="DM30" s="56">
        <f>Participantes!CB29</f>
        <v>0</v>
      </c>
      <c r="DN30" s="58">
        <f t="shared" si="38"/>
        <v>0</v>
      </c>
      <c r="DO30" s="56">
        <f>Participantes!CC29</f>
        <v>0</v>
      </c>
      <c r="DP30" s="56">
        <f>Participantes!CD29</f>
        <v>2</v>
      </c>
      <c r="DQ30" s="58">
        <f t="shared" si="39"/>
        <v>1</v>
      </c>
      <c r="DR30" s="56">
        <f>Participantes!CE29</f>
        <v>2</v>
      </c>
      <c r="DS30" s="56">
        <f>Participantes!CF29</f>
        <v>2</v>
      </c>
      <c r="DT30" s="58">
        <f t="shared" si="40"/>
        <v>0</v>
      </c>
      <c r="DU30" s="56">
        <f>Participantes!CG29</f>
        <v>2</v>
      </c>
      <c r="DV30" s="56">
        <f>Participantes!CH29</f>
        <v>0</v>
      </c>
      <c r="DW30" s="58">
        <f t="shared" si="41"/>
        <v>1</v>
      </c>
      <c r="DX30" s="56">
        <f>Participantes!CI29</f>
        <v>3</v>
      </c>
      <c r="DY30" s="56">
        <f>Participantes!CJ29</f>
        <v>1</v>
      </c>
      <c r="DZ30" s="58">
        <f t="shared" si="42"/>
        <v>1</v>
      </c>
      <c r="EA30" s="56">
        <f>Participantes!CK29</f>
        <v>1</v>
      </c>
      <c r="EB30" s="56">
        <f>Participantes!CL29</f>
        <v>1</v>
      </c>
      <c r="EC30" s="58">
        <f t="shared" si="43"/>
        <v>0</v>
      </c>
      <c r="ED30" s="56">
        <f>Participantes!CM29</f>
        <v>3</v>
      </c>
      <c r="EE30" s="56">
        <f>Participantes!CN29</f>
        <v>1</v>
      </c>
      <c r="EF30" s="58">
        <f t="shared" si="44"/>
        <v>0</v>
      </c>
      <c r="EG30" s="56">
        <f>Participantes!CO29</f>
        <v>2</v>
      </c>
      <c r="EH30" s="56">
        <f>Participantes!CP29</f>
        <v>2</v>
      </c>
      <c r="EI30" s="58">
        <f t="shared" si="45"/>
        <v>0</v>
      </c>
      <c r="EJ30" s="56">
        <f>Participantes!CQ29</f>
        <v>2</v>
      </c>
      <c r="EK30" s="56">
        <f>Participantes!CR29</f>
        <v>1</v>
      </c>
      <c r="EL30" s="58">
        <f t="shared" si="46"/>
        <v>1</v>
      </c>
      <c r="EM30" s="56">
        <f>Participantes!CS29</f>
        <v>2</v>
      </c>
      <c r="EN30" s="56">
        <f>Participantes!CT29</f>
        <v>0</v>
      </c>
      <c r="EO30" s="58">
        <f t="shared" si="47"/>
        <v>1</v>
      </c>
      <c r="EP30" s="56">
        <f>Participantes!CU29</f>
        <v>1</v>
      </c>
      <c r="EQ30" s="56">
        <f>Participantes!CV29</f>
        <v>3</v>
      </c>
      <c r="ER30" s="58">
        <f t="shared" si="48"/>
        <v>1</v>
      </c>
      <c r="ES30" s="56">
        <f>Participantes!CW29</f>
        <v>3</v>
      </c>
      <c r="ET30" s="56">
        <f>Participantes!CX29</f>
        <v>1</v>
      </c>
      <c r="EU30" s="58">
        <f t="shared" si="49"/>
        <v>1</v>
      </c>
      <c r="EV30" s="56">
        <f>Participantes!CY29</f>
        <v>1</v>
      </c>
      <c r="EW30" s="56">
        <f>Participantes!CZ29</f>
        <v>2</v>
      </c>
      <c r="EX30" s="58">
        <f t="shared" si="50"/>
        <v>0</v>
      </c>
      <c r="EY30" s="56">
        <f>Participantes!DA29</f>
        <v>2</v>
      </c>
      <c r="EZ30" s="56">
        <f>Participantes!DB29</f>
        <v>1</v>
      </c>
      <c r="FA30" s="58">
        <f t="shared" si="51"/>
        <v>1</v>
      </c>
      <c r="FB30" s="56">
        <f>Participantes!DC29</f>
        <v>2</v>
      </c>
      <c r="FC30" s="56">
        <f>Participantes!DD29</f>
        <v>1</v>
      </c>
      <c r="FD30" s="58">
        <f t="shared" si="52"/>
        <v>0</v>
      </c>
      <c r="FE30" s="56">
        <f>Participantes!DE29</f>
        <v>1</v>
      </c>
      <c r="FF30" s="56">
        <f>Participantes!DF29</f>
        <v>2</v>
      </c>
      <c r="FG30" s="58">
        <f t="shared" si="53"/>
        <v>0</v>
      </c>
      <c r="FH30" s="56">
        <f>Participantes!DG29</f>
        <v>2</v>
      </c>
      <c r="FI30" s="56">
        <f>Participantes!DH29</f>
        <v>2</v>
      </c>
      <c r="FJ30" s="58">
        <f t="shared" si="54"/>
        <v>0</v>
      </c>
      <c r="FK30" s="56">
        <f>Participantes!DI29</f>
        <v>2</v>
      </c>
      <c r="FL30" s="56">
        <f>Participantes!DJ29</f>
        <v>2</v>
      </c>
      <c r="FM30" s="58">
        <f t="shared" si="55"/>
        <v>0</v>
      </c>
      <c r="FN30" s="56">
        <f>Participantes!DK29</f>
        <v>2</v>
      </c>
      <c r="FO30" s="56">
        <f>Participantes!DL29</f>
        <v>1</v>
      </c>
      <c r="FP30" s="58">
        <f t="shared" si="56"/>
        <v>0</v>
      </c>
      <c r="FQ30" s="56">
        <f>Participantes!DM29</f>
        <v>2</v>
      </c>
      <c r="FR30" s="56">
        <f>Participantes!DN29</f>
        <v>3</v>
      </c>
      <c r="FS30" s="58">
        <f t="shared" si="57"/>
        <v>1</v>
      </c>
      <c r="FT30" s="56">
        <f>Participantes!DO29</f>
        <v>1</v>
      </c>
      <c r="FU30" s="56">
        <f>Participantes!DP29</f>
        <v>2</v>
      </c>
      <c r="FV30" s="58">
        <f t="shared" si="58"/>
        <v>0</v>
      </c>
      <c r="FW30" s="56">
        <f>Participantes!DQ29</f>
        <v>2</v>
      </c>
      <c r="FX30" s="56">
        <f>Participantes!DR29</f>
        <v>2</v>
      </c>
      <c r="FY30" s="58">
        <f t="shared" si="59"/>
        <v>1</v>
      </c>
      <c r="FZ30" s="56">
        <f>Participantes!DS29</f>
        <v>2</v>
      </c>
      <c r="GA30" s="56">
        <f>Participantes!DT29</f>
        <v>1</v>
      </c>
      <c r="GB30" s="58">
        <f t="shared" si="60"/>
        <v>0</v>
      </c>
      <c r="GC30" s="56">
        <f>Participantes!DU29</f>
        <v>2</v>
      </c>
      <c r="GD30" s="56">
        <f>Participantes!DV29</f>
        <v>3</v>
      </c>
      <c r="GE30" s="58">
        <f t="shared" si="61"/>
        <v>0</v>
      </c>
      <c r="GF30" s="56">
        <f>Participantes!DW29</f>
        <v>1</v>
      </c>
      <c r="GG30" s="56">
        <f>Participantes!DX29</f>
        <v>2</v>
      </c>
      <c r="GH30" s="58">
        <f t="shared" si="62"/>
        <v>0</v>
      </c>
      <c r="GI30" s="56">
        <f>Participantes!DY29</f>
        <v>2</v>
      </c>
      <c r="GJ30" s="56">
        <f>Participantes!DZ29</f>
        <v>2</v>
      </c>
      <c r="GK30" s="58">
        <f t="shared" si="63"/>
        <v>0</v>
      </c>
      <c r="GL30" s="56">
        <f>Participantes!EA29</f>
        <v>0</v>
      </c>
      <c r="GM30" s="56">
        <f>Participantes!EB29</f>
        <v>1</v>
      </c>
      <c r="GN30" s="58">
        <f t="shared" si="64"/>
        <v>0</v>
      </c>
      <c r="GO30" s="56">
        <f>Participantes!EC29</f>
        <v>3</v>
      </c>
      <c r="GP30" s="56">
        <f>Participantes!ED29</f>
        <v>3</v>
      </c>
      <c r="GQ30" s="58">
        <f t="shared" si="65"/>
        <v>0</v>
      </c>
      <c r="GR30" s="56">
        <f>Participantes!EE29</f>
        <v>2</v>
      </c>
      <c r="GS30" s="56">
        <f>Participantes!EF29</f>
        <v>3</v>
      </c>
      <c r="GT30" s="58" t="str">
        <f t="shared" si="66"/>
        <v/>
      </c>
      <c r="GU30" s="56">
        <f>Participantes!EG29</f>
        <v>2</v>
      </c>
      <c r="GV30" s="56">
        <f>Participantes!EH29</f>
        <v>2</v>
      </c>
      <c r="GW30" s="58" t="str">
        <f t="shared" si="67"/>
        <v/>
      </c>
      <c r="GX30" s="56">
        <f>Participantes!EI29</f>
        <v>1</v>
      </c>
      <c r="GY30" s="56">
        <f>Participantes!EJ29</f>
        <v>3</v>
      </c>
      <c r="GZ30" s="58" t="str">
        <f t="shared" si="68"/>
        <v/>
      </c>
      <c r="HA30" s="56">
        <f>Participantes!EK29</f>
        <v>1</v>
      </c>
      <c r="HB30" s="56">
        <f>Participantes!EL29</f>
        <v>3</v>
      </c>
      <c r="HC30" s="58" t="str">
        <f t="shared" si="69"/>
        <v/>
      </c>
      <c r="HD30" s="56">
        <f>Participantes!EM29</f>
        <v>2</v>
      </c>
      <c r="HE30" s="56">
        <f>Participantes!EN29</f>
        <v>1</v>
      </c>
      <c r="HF30" s="58" t="str">
        <f t="shared" si="70"/>
        <v/>
      </c>
      <c r="HG30" s="56">
        <f>Participantes!EO29</f>
        <v>1</v>
      </c>
      <c r="HH30" s="56">
        <f>Participantes!EP29</f>
        <v>1</v>
      </c>
      <c r="HI30" s="58" t="str">
        <f t="shared" si="71"/>
        <v/>
      </c>
      <c r="HJ30" s="59">
        <f t="shared" si="72"/>
        <v>35</v>
      </c>
    </row>
    <row r="31" spans="1:218" s="74" customFormat="1" ht="15" customHeight="1" x14ac:dyDescent="0.25">
      <c r="A31" s="71" t="str">
        <f>Participantes!B30</f>
        <v>Luis Peña</v>
      </c>
      <c r="B31" s="72">
        <f>Participantes!C30</f>
        <v>2</v>
      </c>
      <c r="C31" s="72">
        <f>Participantes!D30</f>
        <v>0</v>
      </c>
      <c r="D31" s="73">
        <f t="shared" si="0"/>
        <v>3</v>
      </c>
      <c r="E31" s="72">
        <f>Participantes!E30</f>
        <v>2</v>
      </c>
      <c r="F31" s="72">
        <f>Participantes!F30</f>
        <v>1</v>
      </c>
      <c r="G31" s="73">
        <f t="shared" si="1"/>
        <v>3</v>
      </c>
      <c r="H31" s="72">
        <f>Participantes!G30</f>
        <v>1</v>
      </c>
      <c r="I31" s="72">
        <f>Participantes!H30</f>
        <v>0</v>
      </c>
      <c r="J31" s="73">
        <f t="shared" si="2"/>
        <v>0</v>
      </c>
      <c r="K31" s="72">
        <f>Participantes!I30</f>
        <v>2</v>
      </c>
      <c r="L31" s="72">
        <f>Participantes!J30</f>
        <v>1</v>
      </c>
      <c r="M31" s="73">
        <f t="shared" si="3"/>
        <v>1</v>
      </c>
      <c r="N31" s="72">
        <f>Participantes!K30</f>
        <v>1</v>
      </c>
      <c r="O31" s="72">
        <f>Participantes!L30</f>
        <v>3</v>
      </c>
      <c r="P31" s="73">
        <f t="shared" si="4"/>
        <v>1</v>
      </c>
      <c r="Q31" s="72">
        <f>Participantes!M30</f>
        <v>0</v>
      </c>
      <c r="R31" s="72">
        <f>Participantes!N30</f>
        <v>2</v>
      </c>
      <c r="S31" s="73">
        <f t="shared" si="5"/>
        <v>0</v>
      </c>
      <c r="T31" s="72">
        <f>Participantes!O30</f>
        <v>2</v>
      </c>
      <c r="U31" s="72">
        <f>Participantes!P30</f>
        <v>1</v>
      </c>
      <c r="V31" s="73">
        <f t="shared" si="6"/>
        <v>0</v>
      </c>
      <c r="W31" s="72">
        <f>Participantes!Q30</f>
        <v>0</v>
      </c>
      <c r="X31" s="72">
        <f>Participantes!R30</f>
        <v>4</v>
      </c>
      <c r="Y31" s="73">
        <f t="shared" si="7"/>
        <v>0</v>
      </c>
      <c r="Z31" s="72">
        <f>Participantes!S30</f>
        <v>0</v>
      </c>
      <c r="AA31" s="72">
        <f>Participantes!T30</f>
        <v>2</v>
      </c>
      <c r="AB31" s="73">
        <f t="shared" si="8"/>
        <v>0</v>
      </c>
      <c r="AC31" s="72">
        <f>Participantes!U30</f>
        <v>4</v>
      </c>
      <c r="AD31" s="72">
        <f>Participantes!V30</f>
        <v>0</v>
      </c>
      <c r="AE31" s="73">
        <f t="shared" si="9"/>
        <v>1</v>
      </c>
      <c r="AF31" s="72">
        <f>Participantes!W30</f>
        <v>2</v>
      </c>
      <c r="AG31" s="72">
        <f>Participantes!X30</f>
        <v>2</v>
      </c>
      <c r="AH31" s="73">
        <f t="shared" si="10"/>
        <v>3</v>
      </c>
      <c r="AI31" s="72">
        <f>Participantes!Y30</f>
        <v>2</v>
      </c>
      <c r="AJ31" s="72">
        <f>Participantes!Z30</f>
        <v>0</v>
      </c>
      <c r="AK31" s="73">
        <f t="shared" si="11"/>
        <v>1</v>
      </c>
      <c r="AL31" s="72">
        <f>Participantes!AA30</f>
        <v>0</v>
      </c>
      <c r="AM31" s="72">
        <f>Participantes!AB30</f>
        <v>2</v>
      </c>
      <c r="AN31" s="73">
        <f t="shared" si="12"/>
        <v>0</v>
      </c>
      <c r="AO31" s="72">
        <f>Participantes!AC30</f>
        <v>7</v>
      </c>
      <c r="AP31" s="72">
        <f>Participantes!AD30</f>
        <v>0</v>
      </c>
      <c r="AQ31" s="73">
        <f t="shared" si="13"/>
        <v>0</v>
      </c>
      <c r="AR31" s="72">
        <f>Participantes!AE30</f>
        <v>2</v>
      </c>
      <c r="AS31" s="72">
        <f>Participantes!AF30</f>
        <v>0</v>
      </c>
      <c r="AT31" s="73">
        <f t="shared" si="14"/>
        <v>0</v>
      </c>
      <c r="AU31" s="72">
        <f>Participantes!AG30</f>
        <v>2</v>
      </c>
      <c r="AV31" s="72">
        <f>Participantes!AH30</f>
        <v>1</v>
      </c>
      <c r="AW31" s="73">
        <f t="shared" si="15"/>
        <v>0</v>
      </c>
      <c r="AX31" s="72">
        <f>Participantes!AI30</f>
        <v>3</v>
      </c>
      <c r="AY31" s="72">
        <f>Participantes!AJ30</f>
        <v>1</v>
      </c>
      <c r="AZ31" s="73">
        <f t="shared" si="16"/>
        <v>3</v>
      </c>
      <c r="BA31" s="72">
        <f>Participantes!AK30</f>
        <v>0</v>
      </c>
      <c r="BB31" s="72">
        <f>Participantes!AL30</f>
        <v>3</v>
      </c>
      <c r="BC31" s="73">
        <f t="shared" si="17"/>
        <v>1</v>
      </c>
      <c r="BD31" s="72">
        <f>Participantes!AM30</f>
        <v>2</v>
      </c>
      <c r="BE31" s="72">
        <f>Participantes!AN30</f>
        <v>0</v>
      </c>
      <c r="BF31" s="73">
        <f t="shared" si="18"/>
        <v>1</v>
      </c>
      <c r="BG31" s="72">
        <f>Participantes!AO30</f>
        <v>2</v>
      </c>
      <c r="BH31" s="72">
        <f>Participantes!AP30</f>
        <v>0</v>
      </c>
      <c r="BI31" s="73">
        <f t="shared" si="19"/>
        <v>1</v>
      </c>
      <c r="BJ31" s="72">
        <f>Participantes!AQ30</f>
        <v>1</v>
      </c>
      <c r="BK31" s="72">
        <f>Participantes!AR30</f>
        <v>2</v>
      </c>
      <c r="BL31" s="73">
        <f t="shared" si="20"/>
        <v>0</v>
      </c>
      <c r="BM31" s="72">
        <f>Participantes!AS30</f>
        <v>4</v>
      </c>
      <c r="BN31" s="72">
        <f>Participantes!AT30</f>
        <v>2</v>
      </c>
      <c r="BO31" s="73">
        <f t="shared" si="21"/>
        <v>3</v>
      </c>
      <c r="BP31" s="72">
        <f>Participantes!AU30</f>
        <v>3</v>
      </c>
      <c r="BQ31" s="72">
        <f>Participantes!AV30</f>
        <v>1</v>
      </c>
      <c r="BR31" s="73">
        <f t="shared" si="22"/>
        <v>0</v>
      </c>
      <c r="BS31" s="72">
        <f>Participantes!AW30</f>
        <v>0</v>
      </c>
      <c r="BT31" s="72">
        <f>Participantes!AX30</f>
        <v>5</v>
      </c>
      <c r="BU31" s="73">
        <f t="shared" si="23"/>
        <v>1</v>
      </c>
      <c r="BV31" s="72">
        <f>Participantes!AY30</f>
        <v>0</v>
      </c>
      <c r="BW31" s="72">
        <f>Participantes!AZ30</f>
        <v>0</v>
      </c>
      <c r="BX31" s="73">
        <f t="shared" si="24"/>
        <v>1</v>
      </c>
      <c r="BY31" s="72">
        <f>Participantes!BA30</f>
        <v>3</v>
      </c>
      <c r="BZ31" s="72">
        <f>Participantes!BB30</f>
        <v>1</v>
      </c>
      <c r="CA31" s="73">
        <f t="shared" si="25"/>
        <v>1</v>
      </c>
      <c r="CB31" s="72">
        <f>Participantes!BC30</f>
        <v>2</v>
      </c>
      <c r="CC31" s="72">
        <f>Participantes!BD30</f>
        <v>0</v>
      </c>
      <c r="CD31" s="73">
        <f t="shared" si="26"/>
        <v>1</v>
      </c>
      <c r="CE31" s="72">
        <f>Participantes!BE30</f>
        <v>2</v>
      </c>
      <c r="CF31" s="72">
        <f>Participantes!BF30</f>
        <v>1</v>
      </c>
      <c r="CG31" s="73">
        <f t="shared" si="27"/>
        <v>1</v>
      </c>
      <c r="CH31" s="72">
        <f>Participantes!BG30</f>
        <v>7</v>
      </c>
      <c r="CI31" s="72">
        <f>Participantes!BH30</f>
        <v>1</v>
      </c>
      <c r="CJ31" s="73">
        <f t="shared" si="28"/>
        <v>1</v>
      </c>
      <c r="CK31" s="72">
        <f>Participantes!BI30</f>
        <v>1</v>
      </c>
      <c r="CL31" s="72">
        <f>Participantes!BJ30</f>
        <v>3</v>
      </c>
      <c r="CM31" s="73">
        <f t="shared" si="29"/>
        <v>1</v>
      </c>
      <c r="CN31" s="72">
        <f>Participantes!BK30</f>
        <v>2</v>
      </c>
      <c r="CO31" s="72">
        <f>Participantes!BL30</f>
        <v>2</v>
      </c>
      <c r="CP31" s="73">
        <f t="shared" si="30"/>
        <v>0</v>
      </c>
      <c r="CQ31" s="72">
        <f>Participantes!BM30</f>
        <v>2</v>
      </c>
      <c r="CR31" s="72">
        <f>Participantes!BN30</f>
        <v>0</v>
      </c>
      <c r="CS31" s="73">
        <f t="shared" si="31"/>
        <v>3</v>
      </c>
      <c r="CT31" s="72">
        <f>Participantes!BO30</f>
        <v>3</v>
      </c>
      <c r="CU31" s="72">
        <f>Participantes!BP30</f>
        <v>1</v>
      </c>
      <c r="CV31" s="73">
        <f t="shared" si="32"/>
        <v>1</v>
      </c>
      <c r="CW31" s="72">
        <f>Participantes!BQ30</f>
        <v>2</v>
      </c>
      <c r="CX31" s="72">
        <f>Participantes!BR30</f>
        <v>0</v>
      </c>
      <c r="CY31" s="73">
        <f t="shared" si="33"/>
        <v>0</v>
      </c>
      <c r="CZ31" s="72">
        <f>Participantes!BS30</f>
        <v>2</v>
      </c>
      <c r="DA31" s="72">
        <f>Participantes!BT30</f>
        <v>1</v>
      </c>
      <c r="DB31" s="73">
        <f t="shared" si="34"/>
        <v>1</v>
      </c>
      <c r="DC31" s="72">
        <f>Participantes!BU30</f>
        <v>1</v>
      </c>
      <c r="DD31" s="72">
        <f>Participantes!BV30</f>
        <v>3</v>
      </c>
      <c r="DE31" s="73">
        <f t="shared" si="35"/>
        <v>1</v>
      </c>
      <c r="DF31" s="72">
        <f>Participantes!BW30</f>
        <v>3</v>
      </c>
      <c r="DG31" s="72">
        <f>Participantes!BX30</f>
        <v>1</v>
      </c>
      <c r="DH31" s="73">
        <f t="shared" si="36"/>
        <v>0</v>
      </c>
      <c r="DI31" s="72">
        <f>Participantes!BY30</f>
        <v>4</v>
      </c>
      <c r="DJ31" s="72">
        <f>Participantes!BZ30</f>
        <v>0</v>
      </c>
      <c r="DK31" s="73">
        <f t="shared" si="37"/>
        <v>3</v>
      </c>
      <c r="DL31" s="72">
        <f>Participantes!CA30</f>
        <v>2</v>
      </c>
      <c r="DM31" s="72">
        <f>Participantes!CB30</f>
        <v>1</v>
      </c>
      <c r="DN31" s="73">
        <f t="shared" si="38"/>
        <v>0</v>
      </c>
      <c r="DO31" s="72">
        <f>Participantes!CC30</f>
        <v>0</v>
      </c>
      <c r="DP31" s="72">
        <f>Participantes!CD30</f>
        <v>3</v>
      </c>
      <c r="DQ31" s="73">
        <f t="shared" si="39"/>
        <v>1</v>
      </c>
      <c r="DR31" s="72">
        <f>Participantes!CE30</f>
        <v>2</v>
      </c>
      <c r="DS31" s="72">
        <f>Participantes!CF30</f>
        <v>2</v>
      </c>
      <c r="DT31" s="73">
        <f>IF(DR$2="","",IF(AND(DR31=DR$2,DS31=DS$2),3,IF(AND(DR$2&gt;DS$2,DR31&gt;DS31),1,IF(AND(DS$2&gt;DR$2,DS31&gt;DR31),1,IF(AND(DR$2=DS$2,DR31=DS31),1,0)))))</f>
        <v>0</v>
      </c>
      <c r="DU31" s="72">
        <f>Participantes!CG30</f>
        <v>4</v>
      </c>
      <c r="DV31" s="72">
        <f>Participantes!CH30</f>
        <v>0</v>
      </c>
      <c r="DW31" s="73">
        <f t="shared" si="41"/>
        <v>1</v>
      </c>
      <c r="DX31" s="72">
        <f>Participantes!CI30</f>
        <v>2</v>
      </c>
      <c r="DY31" s="72">
        <f>Participantes!CJ30</f>
        <v>0</v>
      </c>
      <c r="DZ31" s="73">
        <f t="shared" si="42"/>
        <v>3</v>
      </c>
      <c r="EA31" s="72">
        <f>Participantes!CK30</f>
        <v>1</v>
      </c>
      <c r="EB31" s="72">
        <f>Participantes!CL30</f>
        <v>3</v>
      </c>
      <c r="EC31" s="73">
        <f t="shared" si="43"/>
        <v>1</v>
      </c>
      <c r="ED31" s="72">
        <f>Participantes!CM30</f>
        <v>4</v>
      </c>
      <c r="EE31" s="72">
        <f>Participantes!CN30</f>
        <v>2</v>
      </c>
      <c r="EF31" s="73">
        <f t="shared" si="44"/>
        <v>0</v>
      </c>
      <c r="EG31" s="72">
        <f>Participantes!CO30</f>
        <v>1</v>
      </c>
      <c r="EH31" s="72">
        <f>Participantes!CP30</f>
        <v>1</v>
      </c>
      <c r="EI31" s="73">
        <f t="shared" si="45"/>
        <v>0</v>
      </c>
      <c r="EJ31" s="72">
        <f>Participantes!CQ30</f>
        <v>5</v>
      </c>
      <c r="EK31" s="72">
        <f>Participantes!CR30</f>
        <v>0</v>
      </c>
      <c r="EL31" s="73">
        <f t="shared" si="46"/>
        <v>3</v>
      </c>
      <c r="EM31" s="72">
        <f>Participantes!CS30</f>
        <v>3</v>
      </c>
      <c r="EN31" s="72">
        <f>Participantes!CT30</f>
        <v>0</v>
      </c>
      <c r="EO31" s="73">
        <f t="shared" si="47"/>
        <v>1</v>
      </c>
      <c r="EP31" s="72">
        <f>Participantes!CU30</f>
        <v>0</v>
      </c>
      <c r="EQ31" s="72">
        <f>Participantes!CV30</f>
        <v>3</v>
      </c>
      <c r="ER31" s="73">
        <f t="shared" si="48"/>
        <v>3</v>
      </c>
      <c r="ES31" s="72">
        <f>Participantes!CW30</f>
        <v>4</v>
      </c>
      <c r="ET31" s="72">
        <f>Participantes!CX30</f>
        <v>0</v>
      </c>
      <c r="EU31" s="73">
        <f t="shared" si="49"/>
        <v>1</v>
      </c>
      <c r="EV31" s="72">
        <f>Participantes!CY30</f>
        <v>2</v>
      </c>
      <c r="EW31" s="72">
        <f>Participantes!CZ30</f>
        <v>0</v>
      </c>
      <c r="EX31" s="73">
        <f t="shared" si="50"/>
        <v>1</v>
      </c>
      <c r="EY31" s="72">
        <f>Participantes!DA30</f>
        <v>2</v>
      </c>
      <c r="EZ31" s="72">
        <f>Participantes!DB30</f>
        <v>0</v>
      </c>
      <c r="FA31" s="73">
        <f t="shared" si="51"/>
        <v>1</v>
      </c>
      <c r="FB31" s="72">
        <f>Participantes!DC30</f>
        <v>1</v>
      </c>
      <c r="FC31" s="72">
        <f>Participantes!DD30</f>
        <v>3</v>
      </c>
      <c r="FD31" s="73">
        <f t="shared" si="52"/>
        <v>1</v>
      </c>
      <c r="FE31" s="72">
        <f>Participantes!DE30</f>
        <v>1</v>
      </c>
      <c r="FF31" s="72">
        <f>Participantes!DF30</f>
        <v>2</v>
      </c>
      <c r="FG31" s="73">
        <f t="shared" si="53"/>
        <v>0</v>
      </c>
      <c r="FH31" s="72">
        <f>Participantes!DG30</f>
        <v>1</v>
      </c>
      <c r="FI31" s="72">
        <f>Participantes!DH30</f>
        <v>4</v>
      </c>
      <c r="FJ31" s="73">
        <f t="shared" si="54"/>
        <v>1</v>
      </c>
      <c r="FK31" s="72">
        <f>Participantes!DI30</f>
        <v>2</v>
      </c>
      <c r="FL31" s="72">
        <f>Participantes!DJ30</f>
        <v>3</v>
      </c>
      <c r="FM31" s="73">
        <f t="shared" si="55"/>
        <v>0</v>
      </c>
      <c r="FN31" s="72">
        <f>Participantes!DK30</f>
        <v>3</v>
      </c>
      <c r="FO31" s="72">
        <f>Participantes!DL30</f>
        <v>1</v>
      </c>
      <c r="FP31" s="73">
        <f t="shared" si="56"/>
        <v>0</v>
      </c>
      <c r="FQ31" s="72">
        <f>Participantes!DM30</f>
        <v>0</v>
      </c>
      <c r="FR31" s="72">
        <f>Participantes!DN30</f>
        <v>3</v>
      </c>
      <c r="FS31" s="73">
        <f t="shared" si="57"/>
        <v>1</v>
      </c>
      <c r="FT31" s="72">
        <f>Participantes!DO30</f>
        <v>2</v>
      </c>
      <c r="FU31" s="72">
        <f>Participantes!DP30</f>
        <v>3</v>
      </c>
      <c r="FV31" s="73">
        <f t="shared" si="58"/>
        <v>0</v>
      </c>
      <c r="FW31" s="72">
        <f>Participantes!DQ30</f>
        <v>1</v>
      </c>
      <c r="FX31" s="72">
        <f>Participantes!DR30</f>
        <v>0</v>
      </c>
      <c r="FY31" s="73">
        <f t="shared" si="59"/>
        <v>0</v>
      </c>
      <c r="FZ31" s="72">
        <f>Participantes!DS30</f>
        <v>1</v>
      </c>
      <c r="GA31" s="72">
        <f>Participantes!DT30</f>
        <v>2</v>
      </c>
      <c r="GB31" s="73">
        <f t="shared" si="60"/>
        <v>1</v>
      </c>
      <c r="GC31" s="72">
        <f>Participantes!DU30</f>
        <v>3</v>
      </c>
      <c r="GD31" s="72">
        <f>Participantes!DV30</f>
        <v>1</v>
      </c>
      <c r="GE31" s="73">
        <f t="shared" si="61"/>
        <v>1</v>
      </c>
      <c r="GF31" s="72">
        <f>Participantes!DW30</f>
        <v>0</v>
      </c>
      <c r="GG31" s="72">
        <f>Participantes!DX30</f>
        <v>0</v>
      </c>
      <c r="GH31" s="73">
        <f t="shared" si="62"/>
        <v>1</v>
      </c>
      <c r="GI31" s="72">
        <f>Participantes!DY30</f>
        <v>0</v>
      </c>
      <c r="GJ31" s="72">
        <f>Participantes!DZ30</f>
        <v>3</v>
      </c>
      <c r="GK31" s="73">
        <f t="shared" si="63"/>
        <v>1</v>
      </c>
      <c r="GL31" s="72">
        <f>Participantes!EA30</f>
        <v>1</v>
      </c>
      <c r="GM31" s="72">
        <f>Participantes!EB30</f>
        <v>1</v>
      </c>
      <c r="GN31" s="73">
        <f t="shared" si="64"/>
        <v>1</v>
      </c>
      <c r="GO31" s="72">
        <f>Participantes!EC30</f>
        <v>1</v>
      </c>
      <c r="GP31" s="72">
        <f>Participantes!ED30</f>
        <v>3</v>
      </c>
      <c r="GQ31" s="73">
        <f t="shared" si="65"/>
        <v>1</v>
      </c>
      <c r="GR31" s="72">
        <f>Participantes!EE30</f>
        <v>1</v>
      </c>
      <c r="GS31" s="72">
        <f>Participantes!EF30</f>
        <v>4</v>
      </c>
      <c r="GT31" s="73" t="str">
        <f t="shared" si="66"/>
        <v/>
      </c>
      <c r="GU31" s="72">
        <f>Participantes!EG30</f>
        <v>2</v>
      </c>
      <c r="GV31" s="72">
        <f>Participantes!EH30</f>
        <v>2</v>
      </c>
      <c r="GW31" s="73" t="str">
        <f t="shared" si="67"/>
        <v/>
      </c>
      <c r="GX31" s="72">
        <f>Participantes!EI30</f>
        <v>1</v>
      </c>
      <c r="GY31" s="72">
        <f>Participantes!EJ30</f>
        <v>1</v>
      </c>
      <c r="GZ31" s="73" t="str">
        <f t="shared" si="68"/>
        <v/>
      </c>
      <c r="HA31" s="72">
        <f>Participantes!EK30</f>
        <v>0</v>
      </c>
      <c r="HB31" s="72">
        <f>Participantes!EL30</f>
        <v>4</v>
      </c>
      <c r="HC31" s="73" t="str">
        <f t="shared" si="69"/>
        <v/>
      </c>
      <c r="HD31" s="72">
        <f>Participantes!EM30</f>
        <v>2</v>
      </c>
      <c r="HE31" s="72">
        <f>Participantes!EN30</f>
        <v>2</v>
      </c>
      <c r="HF31" s="73" t="str">
        <f t="shared" si="70"/>
        <v/>
      </c>
      <c r="HG31" s="72">
        <f>Participantes!EO30</f>
        <v>0</v>
      </c>
      <c r="HH31" s="72">
        <f>Participantes!EP30</f>
        <v>0</v>
      </c>
      <c r="HI31" s="73" t="str">
        <f t="shared" si="71"/>
        <v/>
      </c>
      <c r="HJ31" s="59">
        <f t="shared" si="72"/>
        <v>63</v>
      </c>
    </row>
    <row r="32" spans="1:218" ht="15" customHeight="1" x14ac:dyDescent="0.25">
      <c r="A32" s="57" t="str">
        <f>Participantes!B31</f>
        <v>Marco R.</v>
      </c>
      <c r="B32" s="56">
        <f>Participantes!C31</f>
        <v>2</v>
      </c>
      <c r="C32" s="56">
        <f>Participantes!D31</f>
        <v>1</v>
      </c>
      <c r="D32" s="58">
        <f t="shared" si="0"/>
        <v>1</v>
      </c>
      <c r="E32" s="56">
        <f>Participantes!E31</f>
        <v>1</v>
      </c>
      <c r="F32" s="56">
        <f>Participantes!F31</f>
        <v>1</v>
      </c>
      <c r="G32" s="58">
        <f t="shared" si="1"/>
        <v>0</v>
      </c>
      <c r="H32" s="56">
        <f>Participantes!G31</f>
        <v>1</v>
      </c>
      <c r="I32" s="56">
        <f>Participantes!H31</f>
        <v>1</v>
      </c>
      <c r="J32" s="58">
        <f t="shared" si="2"/>
        <v>3</v>
      </c>
      <c r="K32" s="56">
        <f>Participantes!I31</f>
        <v>2</v>
      </c>
      <c r="L32" s="56">
        <f>Participantes!J31</f>
        <v>1</v>
      </c>
      <c r="M32" s="58">
        <f t="shared" si="3"/>
        <v>1</v>
      </c>
      <c r="N32" s="56">
        <f>Participantes!K31</f>
        <v>1</v>
      </c>
      <c r="O32" s="56">
        <f>Participantes!L31</f>
        <v>2</v>
      </c>
      <c r="P32" s="58">
        <f t="shared" si="4"/>
        <v>1</v>
      </c>
      <c r="Q32" s="56">
        <f>Participantes!M31</f>
        <v>0</v>
      </c>
      <c r="R32" s="56">
        <f>Participantes!N31</f>
        <v>1</v>
      </c>
      <c r="S32" s="58">
        <f t="shared" si="5"/>
        <v>0</v>
      </c>
      <c r="T32" s="56">
        <f>Participantes!O31</f>
        <v>2</v>
      </c>
      <c r="U32" s="56">
        <f>Participantes!P31</f>
        <v>1</v>
      </c>
      <c r="V32" s="58">
        <f t="shared" si="6"/>
        <v>0</v>
      </c>
      <c r="W32" s="56">
        <f>Participantes!Q31</f>
        <v>0</v>
      </c>
      <c r="X32" s="56">
        <f>Participantes!R31</f>
        <v>2</v>
      </c>
      <c r="Y32" s="58">
        <f t="shared" si="7"/>
        <v>0</v>
      </c>
      <c r="Z32" s="56">
        <f>Participantes!S31</f>
        <v>1</v>
      </c>
      <c r="AA32" s="56">
        <f>Participantes!T31</f>
        <v>1</v>
      </c>
      <c r="AB32" s="58">
        <f t="shared" si="8"/>
        <v>0</v>
      </c>
      <c r="AC32" s="56">
        <f>Participantes!U31</f>
        <v>4</v>
      </c>
      <c r="AD32" s="56">
        <f>Participantes!V31</f>
        <v>0</v>
      </c>
      <c r="AE32" s="58">
        <f t="shared" si="9"/>
        <v>1</v>
      </c>
      <c r="AF32" s="56">
        <f>Participantes!W31</f>
        <v>1</v>
      </c>
      <c r="AG32" s="56">
        <f>Participantes!X31</f>
        <v>1</v>
      </c>
      <c r="AH32" s="58">
        <f t="shared" si="10"/>
        <v>1</v>
      </c>
      <c r="AI32" s="56">
        <f>Participantes!Y31</f>
        <v>1</v>
      </c>
      <c r="AJ32" s="56">
        <f>Participantes!Z31</f>
        <v>1</v>
      </c>
      <c r="AK32" s="58">
        <f t="shared" si="11"/>
        <v>0</v>
      </c>
      <c r="AL32" s="56">
        <f>Participantes!AA31</f>
        <v>0</v>
      </c>
      <c r="AM32" s="56">
        <f>Participantes!AB31</f>
        <v>2</v>
      </c>
      <c r="AN32" s="58">
        <f t="shared" si="12"/>
        <v>0</v>
      </c>
      <c r="AO32" s="56">
        <f>Participantes!AC31</f>
        <v>4</v>
      </c>
      <c r="AP32" s="56">
        <f>Participantes!AD31</f>
        <v>0</v>
      </c>
      <c r="AQ32" s="58">
        <f t="shared" si="13"/>
        <v>0</v>
      </c>
      <c r="AR32" s="56">
        <f>Participantes!AE31</f>
        <v>2</v>
      </c>
      <c r="AS32" s="56">
        <f>Participantes!AF31</f>
        <v>0</v>
      </c>
      <c r="AT32" s="58">
        <f t="shared" si="14"/>
        <v>0</v>
      </c>
      <c r="AU32" s="56">
        <f>Participantes!AG31</f>
        <v>2</v>
      </c>
      <c r="AV32" s="56">
        <f>Participantes!AH31</f>
        <v>1</v>
      </c>
      <c r="AW32" s="58">
        <f t="shared" si="15"/>
        <v>0</v>
      </c>
      <c r="AX32" s="56">
        <f>Participantes!AI31</f>
        <v>3</v>
      </c>
      <c r="AY32" s="56">
        <f>Participantes!AJ31</f>
        <v>0</v>
      </c>
      <c r="AZ32" s="58">
        <f t="shared" si="16"/>
        <v>1</v>
      </c>
      <c r="BA32" s="56">
        <f>Participantes!AK31</f>
        <v>1</v>
      </c>
      <c r="BB32" s="56">
        <f>Participantes!AL31</f>
        <v>3</v>
      </c>
      <c r="BC32" s="58">
        <f t="shared" si="17"/>
        <v>1</v>
      </c>
      <c r="BD32" s="56">
        <f>Participantes!AM31</f>
        <v>3</v>
      </c>
      <c r="BE32" s="56">
        <f>Participantes!AN31</f>
        <v>0</v>
      </c>
      <c r="BF32" s="58">
        <f t="shared" si="18"/>
        <v>3</v>
      </c>
      <c r="BG32" s="56">
        <f>Participantes!AO31</f>
        <v>1</v>
      </c>
      <c r="BH32" s="56">
        <f>Participantes!AP31</f>
        <v>0</v>
      </c>
      <c r="BI32" s="58">
        <f t="shared" si="19"/>
        <v>1</v>
      </c>
      <c r="BJ32" s="56">
        <f>Participantes!AQ31</f>
        <v>1</v>
      </c>
      <c r="BK32" s="56">
        <f>Participantes!AR31</f>
        <v>2</v>
      </c>
      <c r="BL32" s="58">
        <f t="shared" si="20"/>
        <v>0</v>
      </c>
      <c r="BM32" s="56">
        <f>Participantes!AS31</f>
        <v>3</v>
      </c>
      <c r="BN32" s="56">
        <f>Participantes!AT31</f>
        <v>1</v>
      </c>
      <c r="BO32" s="58">
        <f t="shared" si="21"/>
        <v>1</v>
      </c>
      <c r="BP32" s="56">
        <f>Participantes!AU31</f>
        <v>2</v>
      </c>
      <c r="BQ32" s="56">
        <f>Participantes!AV31</f>
        <v>1</v>
      </c>
      <c r="BR32" s="58">
        <f t="shared" si="22"/>
        <v>0</v>
      </c>
      <c r="BS32" s="56">
        <f>Participantes!AW31</f>
        <v>0</v>
      </c>
      <c r="BT32" s="56">
        <f>Participantes!AX31</f>
        <v>2</v>
      </c>
      <c r="BU32" s="58">
        <f t="shared" si="23"/>
        <v>1</v>
      </c>
      <c r="BV32" s="56">
        <f>Participantes!AY31</f>
        <v>2</v>
      </c>
      <c r="BW32" s="56">
        <f>Participantes!AZ31</f>
        <v>0</v>
      </c>
      <c r="BX32" s="58">
        <f t="shared" si="24"/>
        <v>0</v>
      </c>
      <c r="BY32" s="56">
        <f>Participantes!BA31</f>
        <v>2</v>
      </c>
      <c r="BZ32" s="56">
        <f>Participantes!BB31</f>
        <v>1</v>
      </c>
      <c r="CA32" s="58">
        <f t="shared" si="25"/>
        <v>1</v>
      </c>
      <c r="CB32" s="56">
        <f>Participantes!BC31</f>
        <v>2</v>
      </c>
      <c r="CC32" s="56">
        <f>Participantes!BD31</f>
        <v>0</v>
      </c>
      <c r="CD32" s="58">
        <f t="shared" si="26"/>
        <v>1</v>
      </c>
      <c r="CE32" s="56">
        <f>Participantes!BE31</f>
        <v>2</v>
      </c>
      <c r="CF32" s="56">
        <f>Participantes!BF31</f>
        <v>1</v>
      </c>
      <c r="CG32" s="58">
        <f t="shared" si="27"/>
        <v>1</v>
      </c>
      <c r="CH32" s="56">
        <f>Participantes!BG31</f>
        <v>4</v>
      </c>
      <c r="CI32" s="56">
        <f>Participantes!BH31</f>
        <v>1</v>
      </c>
      <c r="CJ32" s="58">
        <f t="shared" si="28"/>
        <v>1</v>
      </c>
      <c r="CK32" s="56">
        <f>Participantes!BI31</f>
        <v>1</v>
      </c>
      <c r="CL32" s="56">
        <f>Participantes!BJ31</f>
        <v>2</v>
      </c>
      <c r="CM32" s="58">
        <f t="shared" si="29"/>
        <v>1</v>
      </c>
      <c r="CN32" s="56">
        <f>Participantes!BK31</f>
        <v>1</v>
      </c>
      <c r="CO32" s="56">
        <f>Participantes!BL31</f>
        <v>1</v>
      </c>
      <c r="CP32" s="58">
        <f t="shared" si="30"/>
        <v>0</v>
      </c>
      <c r="CQ32" s="56">
        <f>Participantes!BM31</f>
        <v>2</v>
      </c>
      <c r="CR32" s="56">
        <f>Participantes!BN31</f>
        <v>1</v>
      </c>
      <c r="CS32" s="58">
        <f t="shared" si="31"/>
        <v>1</v>
      </c>
      <c r="CT32" s="56">
        <f>Participantes!BO31</f>
        <v>3</v>
      </c>
      <c r="CU32" s="56">
        <f>Participantes!BP31</f>
        <v>1</v>
      </c>
      <c r="CV32" s="58">
        <f t="shared" si="32"/>
        <v>1</v>
      </c>
      <c r="CW32" s="56">
        <f>Participantes!BQ31</f>
        <v>2</v>
      </c>
      <c r="CX32" s="56">
        <f>Participantes!BR31</f>
        <v>0</v>
      </c>
      <c r="CY32" s="58">
        <f t="shared" si="33"/>
        <v>0</v>
      </c>
      <c r="CZ32" s="56">
        <f>Participantes!BS31</f>
        <v>2</v>
      </c>
      <c r="DA32" s="56">
        <f>Participantes!BT31</f>
        <v>1</v>
      </c>
      <c r="DB32" s="58">
        <f t="shared" si="34"/>
        <v>1</v>
      </c>
      <c r="DC32" s="56">
        <f>Participantes!BU31</f>
        <v>0</v>
      </c>
      <c r="DD32" s="56">
        <f>Participantes!BV31</f>
        <v>2</v>
      </c>
      <c r="DE32" s="58">
        <f t="shared" si="35"/>
        <v>1</v>
      </c>
      <c r="DF32" s="56">
        <f>Participantes!BW31</f>
        <v>2</v>
      </c>
      <c r="DG32" s="56">
        <f>Participantes!BX31</f>
        <v>0</v>
      </c>
      <c r="DH32" s="58">
        <f t="shared" si="36"/>
        <v>0</v>
      </c>
      <c r="DI32" s="56">
        <f>Participantes!BY31</f>
        <v>3</v>
      </c>
      <c r="DJ32" s="56">
        <f>Participantes!BZ31</f>
        <v>0</v>
      </c>
      <c r="DK32" s="58">
        <f t="shared" si="37"/>
        <v>1</v>
      </c>
      <c r="DL32" s="56">
        <f>Participantes!CA31</f>
        <v>2</v>
      </c>
      <c r="DM32" s="56">
        <f>Participantes!CB31</f>
        <v>0</v>
      </c>
      <c r="DN32" s="58">
        <f t="shared" si="38"/>
        <v>0</v>
      </c>
      <c r="DO32" s="56">
        <f>Participantes!CC31</f>
        <v>0</v>
      </c>
      <c r="DP32" s="56">
        <f>Participantes!CD31</f>
        <v>2</v>
      </c>
      <c r="DQ32" s="58">
        <f t="shared" si="39"/>
        <v>1</v>
      </c>
      <c r="DR32" s="56">
        <f>Participantes!CE31</f>
        <v>2</v>
      </c>
      <c r="DS32" s="56">
        <f>Participantes!CF31</f>
        <v>2</v>
      </c>
      <c r="DT32" s="58">
        <f t="shared" si="40"/>
        <v>0</v>
      </c>
      <c r="DU32" s="56">
        <f>Participantes!CG31</f>
        <v>5</v>
      </c>
      <c r="DV32" s="56">
        <f>Participantes!CH31</f>
        <v>0</v>
      </c>
      <c r="DW32" s="58">
        <f t="shared" si="41"/>
        <v>1</v>
      </c>
      <c r="DX32" s="56">
        <f>Participantes!CI31</f>
        <v>3</v>
      </c>
      <c r="DY32" s="56">
        <f>Participantes!CJ31</f>
        <v>0</v>
      </c>
      <c r="DZ32" s="58">
        <f t="shared" si="42"/>
        <v>1</v>
      </c>
      <c r="EA32" s="56">
        <f>Participantes!CK31</f>
        <v>1</v>
      </c>
      <c r="EB32" s="56">
        <f>Participantes!CL31</f>
        <v>2</v>
      </c>
      <c r="EC32" s="58">
        <f t="shared" si="43"/>
        <v>3</v>
      </c>
      <c r="ED32" s="56">
        <f>Participantes!CM31</f>
        <v>3</v>
      </c>
      <c r="EE32" s="56">
        <f>Participantes!CN31</f>
        <v>1</v>
      </c>
      <c r="EF32" s="58">
        <f t="shared" si="44"/>
        <v>0</v>
      </c>
      <c r="EG32" s="56">
        <f>Participantes!CO31</f>
        <v>1</v>
      </c>
      <c r="EH32" s="56">
        <f>Participantes!CP31</f>
        <v>1</v>
      </c>
      <c r="EI32" s="58">
        <f t="shared" si="45"/>
        <v>0</v>
      </c>
      <c r="EJ32" s="56">
        <f>Participantes!CQ31</f>
        <v>2</v>
      </c>
      <c r="EK32" s="56">
        <f>Participantes!CR31</f>
        <v>1</v>
      </c>
      <c r="EL32" s="58">
        <f t="shared" si="46"/>
        <v>1</v>
      </c>
      <c r="EM32" s="56">
        <f>Participantes!CS31</f>
        <v>3</v>
      </c>
      <c r="EN32" s="56">
        <f>Participantes!CT31</f>
        <v>0</v>
      </c>
      <c r="EO32" s="58">
        <f t="shared" si="47"/>
        <v>1</v>
      </c>
      <c r="EP32" s="56">
        <f>Participantes!CU31</f>
        <v>0</v>
      </c>
      <c r="EQ32" s="56">
        <f>Participantes!CV31</f>
        <v>4</v>
      </c>
      <c r="ER32" s="58">
        <f t="shared" si="48"/>
        <v>1</v>
      </c>
      <c r="ES32" s="56">
        <f>Participantes!CW31</f>
        <v>3</v>
      </c>
      <c r="ET32" s="56">
        <f>Participantes!CX31</f>
        <v>1</v>
      </c>
      <c r="EU32" s="58">
        <f t="shared" si="49"/>
        <v>1</v>
      </c>
      <c r="EV32" s="56">
        <f>Participantes!CY31</f>
        <v>1</v>
      </c>
      <c r="EW32" s="56">
        <f>Participantes!CZ31</f>
        <v>1</v>
      </c>
      <c r="EX32" s="58">
        <f t="shared" si="50"/>
        <v>0</v>
      </c>
      <c r="EY32" s="56">
        <f>Participantes!DA31</f>
        <v>2</v>
      </c>
      <c r="EZ32" s="56">
        <f>Participantes!DB31</f>
        <v>0</v>
      </c>
      <c r="FA32" s="58">
        <f t="shared" si="51"/>
        <v>1</v>
      </c>
      <c r="FB32" s="56">
        <f>Participantes!DC31</f>
        <v>1</v>
      </c>
      <c r="FC32" s="56">
        <f>Participantes!DD31</f>
        <v>1</v>
      </c>
      <c r="FD32" s="58">
        <f t="shared" si="52"/>
        <v>0</v>
      </c>
      <c r="FE32" s="56">
        <f>Participantes!DE31</f>
        <v>2</v>
      </c>
      <c r="FF32" s="56">
        <f>Participantes!DF31</f>
        <v>1</v>
      </c>
      <c r="FG32" s="58">
        <f t="shared" si="53"/>
        <v>1</v>
      </c>
      <c r="FH32" s="56">
        <f>Participantes!DG31</f>
        <v>0</v>
      </c>
      <c r="FI32" s="56">
        <f>Participantes!DH31</f>
        <v>2</v>
      </c>
      <c r="FJ32" s="58">
        <f t="shared" si="54"/>
        <v>3</v>
      </c>
      <c r="FK32" s="56">
        <f>Participantes!DI31</f>
        <v>2</v>
      </c>
      <c r="FL32" s="56">
        <f>Participantes!DJ31</f>
        <v>4</v>
      </c>
      <c r="FM32" s="58">
        <f t="shared" si="55"/>
        <v>0</v>
      </c>
      <c r="FN32" s="56">
        <f>Participantes!DK31</f>
        <v>1</v>
      </c>
      <c r="FO32" s="56">
        <f>Participantes!DL31</f>
        <v>1</v>
      </c>
      <c r="FP32" s="58">
        <f t="shared" si="56"/>
        <v>3</v>
      </c>
      <c r="FQ32" s="56">
        <f>Participantes!DM31</f>
        <v>0</v>
      </c>
      <c r="FR32" s="56">
        <f>Participantes!DN31</f>
        <v>3</v>
      </c>
      <c r="FS32" s="58">
        <f t="shared" si="57"/>
        <v>1</v>
      </c>
      <c r="FT32" s="56">
        <f>Participantes!DO31</f>
        <v>2</v>
      </c>
      <c r="FU32" s="56">
        <f>Participantes!DP31</f>
        <v>3</v>
      </c>
      <c r="FV32" s="58">
        <f t="shared" si="58"/>
        <v>0</v>
      </c>
      <c r="FW32" s="56">
        <f>Participantes!DQ31</f>
        <v>2</v>
      </c>
      <c r="FX32" s="56">
        <f>Participantes!DR31</f>
        <v>1</v>
      </c>
      <c r="FY32" s="58">
        <f t="shared" si="59"/>
        <v>0</v>
      </c>
      <c r="FZ32" s="56">
        <f>Participantes!DS31</f>
        <v>1</v>
      </c>
      <c r="GA32" s="56">
        <f>Participantes!DT31</f>
        <v>2</v>
      </c>
      <c r="GB32" s="58">
        <f t="shared" si="60"/>
        <v>1</v>
      </c>
      <c r="GC32" s="56">
        <f>Participantes!DU31</f>
        <v>2</v>
      </c>
      <c r="GD32" s="56">
        <f>Participantes!DV31</f>
        <v>0</v>
      </c>
      <c r="GE32" s="58">
        <f t="shared" si="61"/>
        <v>1</v>
      </c>
      <c r="GF32" s="56">
        <f>Participantes!DW31</f>
        <v>1</v>
      </c>
      <c r="GG32" s="56">
        <f>Participantes!DX31</f>
        <v>1</v>
      </c>
      <c r="GH32" s="58">
        <f t="shared" si="62"/>
        <v>3</v>
      </c>
      <c r="GI32" s="56">
        <f>Participantes!DY31</f>
        <v>0</v>
      </c>
      <c r="GJ32" s="56">
        <f>Participantes!DZ31</f>
        <v>3</v>
      </c>
      <c r="GK32" s="58">
        <f t="shared" si="63"/>
        <v>1</v>
      </c>
      <c r="GL32" s="56">
        <f>Participantes!EA31</f>
        <v>1</v>
      </c>
      <c r="GM32" s="56">
        <f>Participantes!EB31</f>
        <v>1</v>
      </c>
      <c r="GN32" s="58">
        <f t="shared" si="64"/>
        <v>1</v>
      </c>
      <c r="GO32" s="56">
        <f>Participantes!EC31</f>
        <v>1</v>
      </c>
      <c r="GP32" s="56">
        <f>Participantes!ED31</f>
        <v>2</v>
      </c>
      <c r="GQ32" s="58">
        <f t="shared" si="65"/>
        <v>1</v>
      </c>
      <c r="GR32" s="56">
        <f>Participantes!EE31</f>
        <v>1</v>
      </c>
      <c r="GS32" s="56">
        <f>Participantes!EF31</f>
        <v>4</v>
      </c>
      <c r="GT32" s="58" t="str">
        <f t="shared" si="66"/>
        <v/>
      </c>
      <c r="GU32" s="56">
        <f>Participantes!EG31</f>
        <v>3</v>
      </c>
      <c r="GV32" s="56">
        <f>Participantes!EH31</f>
        <v>1</v>
      </c>
      <c r="GW32" s="58" t="str">
        <f t="shared" si="67"/>
        <v/>
      </c>
      <c r="GX32" s="56">
        <f>Participantes!EI31</f>
        <v>1</v>
      </c>
      <c r="GY32" s="56">
        <f>Participantes!EJ31</f>
        <v>1</v>
      </c>
      <c r="GZ32" s="58" t="str">
        <f t="shared" si="68"/>
        <v/>
      </c>
      <c r="HA32" s="56">
        <f>Participantes!EK31</f>
        <v>0</v>
      </c>
      <c r="HB32" s="56">
        <f>Participantes!EL31</f>
        <v>4</v>
      </c>
      <c r="HC32" s="58" t="str">
        <f t="shared" si="69"/>
        <v/>
      </c>
      <c r="HD32" s="56">
        <f>Participantes!EM31</f>
        <v>1</v>
      </c>
      <c r="HE32" s="56">
        <f>Participantes!EN31</f>
        <v>1</v>
      </c>
      <c r="HF32" s="58" t="str">
        <f t="shared" si="70"/>
        <v/>
      </c>
      <c r="HG32" s="56">
        <f>Participantes!EO31</f>
        <v>1</v>
      </c>
      <c r="HH32" s="56">
        <f>Participantes!EP31</f>
        <v>1</v>
      </c>
      <c r="HI32" s="58" t="str">
        <f t="shared" si="71"/>
        <v/>
      </c>
      <c r="HJ32" s="59">
        <f t="shared" si="72"/>
        <v>53</v>
      </c>
    </row>
    <row r="33" spans="1:218" ht="15" customHeight="1" x14ac:dyDescent="0.25">
      <c r="A33" s="57" t="str">
        <f>Participantes!B32</f>
        <v>Maricela</v>
      </c>
      <c r="B33" s="56">
        <f>Participantes!C32</f>
        <v>3</v>
      </c>
      <c r="C33" s="56">
        <f>Participantes!D32</f>
        <v>1</v>
      </c>
      <c r="D33" s="58">
        <f t="shared" si="0"/>
        <v>1</v>
      </c>
      <c r="E33" s="56">
        <f>Participantes!E32</f>
        <v>2</v>
      </c>
      <c r="F33" s="56">
        <f>Participantes!F32</f>
        <v>2</v>
      </c>
      <c r="G33" s="58">
        <f t="shared" si="1"/>
        <v>0</v>
      </c>
      <c r="H33" s="56">
        <f>Participantes!G32</f>
        <v>3</v>
      </c>
      <c r="I33" s="56">
        <f>Participantes!H32</f>
        <v>1</v>
      </c>
      <c r="J33" s="58">
        <f t="shared" si="2"/>
        <v>0</v>
      </c>
      <c r="K33" s="56">
        <f>Participantes!I32</f>
        <v>2</v>
      </c>
      <c r="L33" s="56">
        <f>Participantes!J32</f>
        <v>1</v>
      </c>
      <c r="M33" s="58">
        <f t="shared" si="3"/>
        <v>1</v>
      </c>
      <c r="N33" s="56">
        <f>Participantes!K32</f>
        <v>0</v>
      </c>
      <c r="O33" s="56">
        <f>Participantes!L32</f>
        <v>3</v>
      </c>
      <c r="P33" s="58">
        <f t="shared" si="4"/>
        <v>1</v>
      </c>
      <c r="Q33" s="56">
        <f>Participantes!M32</f>
        <v>1</v>
      </c>
      <c r="R33" s="56">
        <f>Participantes!N32</f>
        <v>3</v>
      </c>
      <c r="S33" s="58">
        <f t="shared" si="5"/>
        <v>0</v>
      </c>
      <c r="T33" s="56">
        <f>Participantes!O32</f>
        <v>4</v>
      </c>
      <c r="U33" s="56">
        <f>Participantes!P32</f>
        <v>2</v>
      </c>
      <c r="V33" s="58">
        <f t="shared" si="6"/>
        <v>0</v>
      </c>
      <c r="W33" s="56">
        <f>Participantes!Q32</f>
        <v>1</v>
      </c>
      <c r="X33" s="56">
        <f>Participantes!R32</f>
        <v>2</v>
      </c>
      <c r="Y33" s="58">
        <f t="shared" si="7"/>
        <v>0</v>
      </c>
      <c r="Z33" s="56">
        <f>Participantes!S32</f>
        <v>1</v>
      </c>
      <c r="AA33" s="56">
        <f>Participantes!T32</f>
        <v>3</v>
      </c>
      <c r="AB33" s="58">
        <f t="shared" si="8"/>
        <v>0</v>
      </c>
      <c r="AC33" s="56">
        <f>Participantes!U32</f>
        <v>5</v>
      </c>
      <c r="AD33" s="56">
        <f>Participantes!V32</f>
        <v>0</v>
      </c>
      <c r="AE33" s="58">
        <f t="shared" si="9"/>
        <v>1</v>
      </c>
      <c r="AF33" s="56">
        <f>Participantes!W32</f>
        <v>4</v>
      </c>
      <c r="AG33" s="56">
        <f>Participantes!X32</f>
        <v>1</v>
      </c>
      <c r="AH33" s="58">
        <f t="shared" si="10"/>
        <v>0</v>
      </c>
      <c r="AI33" s="56">
        <f>Participantes!Y32</f>
        <v>2</v>
      </c>
      <c r="AJ33" s="56">
        <f>Participantes!Z32</f>
        <v>2</v>
      </c>
      <c r="AK33" s="58">
        <f t="shared" si="11"/>
        <v>0</v>
      </c>
      <c r="AL33" s="56">
        <f>Participantes!AA32</f>
        <v>1</v>
      </c>
      <c r="AM33" s="56">
        <f>Participantes!AB32</f>
        <v>3</v>
      </c>
      <c r="AN33" s="58">
        <f t="shared" si="12"/>
        <v>0</v>
      </c>
      <c r="AO33" s="56">
        <f>Participantes!AC32</f>
        <v>5</v>
      </c>
      <c r="AP33" s="56">
        <f>Participantes!AD32</f>
        <v>0</v>
      </c>
      <c r="AQ33" s="58">
        <f t="shared" si="13"/>
        <v>0</v>
      </c>
      <c r="AR33" s="56">
        <f>Participantes!AE32</f>
        <v>1</v>
      </c>
      <c r="AS33" s="56">
        <f>Participantes!AF32</f>
        <v>2</v>
      </c>
      <c r="AT33" s="58">
        <f t="shared" si="14"/>
        <v>0</v>
      </c>
      <c r="AU33" s="56">
        <f>Participantes!AG32</f>
        <v>2</v>
      </c>
      <c r="AV33" s="56">
        <f>Participantes!AH32</f>
        <v>2</v>
      </c>
      <c r="AW33" s="58">
        <f t="shared" si="15"/>
        <v>1</v>
      </c>
      <c r="AX33" s="56">
        <f>Participantes!AI32</f>
        <v>4</v>
      </c>
      <c r="AY33" s="56">
        <f>Participantes!AJ32</f>
        <v>1</v>
      </c>
      <c r="AZ33" s="58">
        <f t="shared" si="16"/>
        <v>1</v>
      </c>
      <c r="BA33" s="56">
        <f>Participantes!AK32</f>
        <v>0</v>
      </c>
      <c r="BB33" s="56">
        <f>Participantes!AL32</f>
        <v>2</v>
      </c>
      <c r="BC33" s="58">
        <f t="shared" si="17"/>
        <v>1</v>
      </c>
      <c r="BD33" s="56">
        <f>Participantes!AM32</f>
        <v>4</v>
      </c>
      <c r="BE33" s="56">
        <f>Participantes!AN32</f>
        <v>0</v>
      </c>
      <c r="BF33" s="58">
        <f t="shared" si="18"/>
        <v>1</v>
      </c>
      <c r="BG33" s="56">
        <f>Participantes!AO32</f>
        <v>2</v>
      </c>
      <c r="BH33" s="56">
        <f>Participantes!AP32</f>
        <v>0</v>
      </c>
      <c r="BI33" s="58">
        <f t="shared" si="19"/>
        <v>1</v>
      </c>
      <c r="BJ33" s="56">
        <f>Participantes!AQ32</f>
        <v>1</v>
      </c>
      <c r="BK33" s="56">
        <f>Participantes!AR32</f>
        <v>3</v>
      </c>
      <c r="BL33" s="58">
        <f t="shared" si="20"/>
        <v>0</v>
      </c>
      <c r="BM33" s="56">
        <f>Participantes!AS32</f>
        <v>3</v>
      </c>
      <c r="BN33" s="56">
        <f>Participantes!AT32</f>
        <v>1</v>
      </c>
      <c r="BO33" s="58">
        <f t="shared" si="21"/>
        <v>1</v>
      </c>
      <c r="BP33" s="56">
        <f>Participantes!AU32</f>
        <v>4</v>
      </c>
      <c r="BQ33" s="56">
        <f>Participantes!AV32</f>
        <v>0</v>
      </c>
      <c r="BR33" s="58">
        <f t="shared" si="22"/>
        <v>0</v>
      </c>
      <c r="BS33" s="56">
        <f>Participantes!AW32</f>
        <v>2</v>
      </c>
      <c r="BT33" s="56">
        <f>Participantes!AX32</f>
        <v>4</v>
      </c>
      <c r="BU33" s="58">
        <f t="shared" si="23"/>
        <v>1</v>
      </c>
      <c r="BV33" s="56">
        <f>Participantes!AY32</f>
        <v>2</v>
      </c>
      <c r="BW33" s="56">
        <f>Participantes!AZ32</f>
        <v>1</v>
      </c>
      <c r="BX33" s="58">
        <f t="shared" si="24"/>
        <v>0</v>
      </c>
      <c r="BY33" s="56">
        <f>Participantes!BA32</f>
        <v>2</v>
      </c>
      <c r="BZ33" s="56">
        <f>Participantes!BB32</f>
        <v>2</v>
      </c>
      <c r="CA33" s="58">
        <f t="shared" si="25"/>
        <v>0</v>
      </c>
      <c r="CB33" s="56">
        <f>Participantes!BC32</f>
        <v>3</v>
      </c>
      <c r="CC33" s="56">
        <f>Participantes!BD32</f>
        <v>1</v>
      </c>
      <c r="CD33" s="58">
        <f t="shared" si="26"/>
        <v>1</v>
      </c>
      <c r="CE33" s="56">
        <f>Participantes!BE32</f>
        <v>3</v>
      </c>
      <c r="CF33" s="56">
        <f>Participantes!BF32</f>
        <v>1</v>
      </c>
      <c r="CG33" s="58">
        <f t="shared" si="27"/>
        <v>1</v>
      </c>
      <c r="CH33" s="56">
        <f>Participantes!BG32</f>
        <v>4</v>
      </c>
      <c r="CI33" s="56">
        <f>Participantes!BH32</f>
        <v>0</v>
      </c>
      <c r="CJ33" s="58">
        <f t="shared" si="28"/>
        <v>1</v>
      </c>
      <c r="CK33" s="56">
        <f>Participantes!BI32</f>
        <v>1</v>
      </c>
      <c r="CL33" s="56">
        <f>Participantes!BJ32</f>
        <v>3</v>
      </c>
      <c r="CM33" s="58">
        <f t="shared" si="29"/>
        <v>1</v>
      </c>
      <c r="CN33" s="56">
        <f>Participantes!BK32</f>
        <v>2</v>
      </c>
      <c r="CO33" s="56">
        <f>Participantes!BL32</f>
        <v>1</v>
      </c>
      <c r="CP33" s="58">
        <f t="shared" si="30"/>
        <v>0</v>
      </c>
      <c r="CQ33" s="56">
        <f>Participantes!BM32</f>
        <v>2</v>
      </c>
      <c r="CR33" s="56">
        <f>Participantes!BN32</f>
        <v>1</v>
      </c>
      <c r="CS33" s="58">
        <f t="shared" si="31"/>
        <v>1</v>
      </c>
      <c r="CT33" s="56">
        <f>Participantes!BO32</f>
        <v>3</v>
      </c>
      <c r="CU33" s="56">
        <f>Participantes!BP32</f>
        <v>0</v>
      </c>
      <c r="CV33" s="58">
        <f t="shared" si="32"/>
        <v>1</v>
      </c>
      <c r="CW33" s="56">
        <f>Participantes!BQ32</f>
        <v>3</v>
      </c>
      <c r="CX33" s="56">
        <f>Participantes!BR32</f>
        <v>0</v>
      </c>
      <c r="CY33" s="58">
        <f t="shared" si="33"/>
        <v>0</v>
      </c>
      <c r="CZ33" s="56">
        <f>Participantes!BS32</f>
        <v>2</v>
      </c>
      <c r="DA33" s="56">
        <f>Participantes!BT32</f>
        <v>1</v>
      </c>
      <c r="DB33" s="58">
        <f t="shared" si="34"/>
        <v>1</v>
      </c>
      <c r="DC33" s="56">
        <f>Participantes!BU32</f>
        <v>0</v>
      </c>
      <c r="DD33" s="56">
        <f>Participantes!BV32</f>
        <v>2</v>
      </c>
      <c r="DE33" s="58">
        <f t="shared" si="35"/>
        <v>1</v>
      </c>
      <c r="DF33" s="56">
        <f>Participantes!BW32</f>
        <v>3</v>
      </c>
      <c r="DG33" s="56">
        <f>Participantes!BX32</f>
        <v>0</v>
      </c>
      <c r="DH33" s="58">
        <f t="shared" si="36"/>
        <v>0</v>
      </c>
      <c r="DI33" s="56">
        <f>Participantes!BY32</f>
        <v>3</v>
      </c>
      <c r="DJ33" s="56">
        <f>Participantes!BZ32</f>
        <v>0</v>
      </c>
      <c r="DK33" s="58">
        <f t="shared" si="37"/>
        <v>1</v>
      </c>
      <c r="DL33" s="56">
        <f>Participantes!CA32</f>
        <v>3</v>
      </c>
      <c r="DM33" s="56">
        <f>Participantes!CB32</f>
        <v>0</v>
      </c>
      <c r="DN33" s="58">
        <f t="shared" si="38"/>
        <v>0</v>
      </c>
      <c r="DO33" s="56">
        <f>Participantes!CC32</f>
        <v>2</v>
      </c>
      <c r="DP33" s="56">
        <f>Participantes!CD32</f>
        <v>3</v>
      </c>
      <c r="DQ33" s="58">
        <f t="shared" si="39"/>
        <v>1</v>
      </c>
      <c r="DR33" s="56">
        <f>Participantes!CE32</f>
        <v>2</v>
      </c>
      <c r="DS33" s="56">
        <f>Participantes!CF32</f>
        <v>1</v>
      </c>
      <c r="DT33" s="58">
        <f t="shared" si="40"/>
        <v>1</v>
      </c>
      <c r="DU33" s="56">
        <f>Participantes!CG32</f>
        <v>4</v>
      </c>
      <c r="DV33" s="56">
        <f>Participantes!CH32</f>
        <v>1</v>
      </c>
      <c r="DW33" s="58">
        <f t="shared" si="41"/>
        <v>1</v>
      </c>
      <c r="DX33" s="56">
        <f>Participantes!CI32</f>
        <v>3</v>
      </c>
      <c r="DY33" s="56">
        <f>Participantes!CJ32</f>
        <v>1</v>
      </c>
      <c r="DZ33" s="58">
        <f t="shared" si="42"/>
        <v>1</v>
      </c>
      <c r="EA33" s="56">
        <f>Participantes!CK32</f>
        <v>1</v>
      </c>
      <c r="EB33" s="56">
        <f>Participantes!CL32</f>
        <v>2</v>
      </c>
      <c r="EC33" s="58">
        <f t="shared" si="43"/>
        <v>3</v>
      </c>
      <c r="ED33" s="56">
        <f>Participantes!CM32</f>
        <v>4</v>
      </c>
      <c r="EE33" s="56">
        <f>Participantes!CN32</f>
        <v>0</v>
      </c>
      <c r="EF33" s="58">
        <f t="shared" si="44"/>
        <v>0</v>
      </c>
      <c r="EG33" s="56">
        <f>Participantes!CO32</f>
        <v>2</v>
      </c>
      <c r="EH33" s="56">
        <f>Participantes!CP32</f>
        <v>2</v>
      </c>
      <c r="EI33" s="58">
        <f t="shared" si="45"/>
        <v>0</v>
      </c>
      <c r="EJ33" s="56">
        <f>Participantes!CQ32</f>
        <v>4</v>
      </c>
      <c r="EK33" s="56">
        <f>Participantes!CR32</f>
        <v>2</v>
      </c>
      <c r="EL33" s="58">
        <f t="shared" si="46"/>
        <v>1</v>
      </c>
      <c r="EM33" s="56">
        <f>Participantes!CS32</f>
        <v>3</v>
      </c>
      <c r="EN33" s="56">
        <f>Participantes!CT32</f>
        <v>1</v>
      </c>
      <c r="EO33" s="58">
        <f t="shared" si="47"/>
        <v>1</v>
      </c>
      <c r="EP33" s="56">
        <f>Participantes!CU32</f>
        <v>1</v>
      </c>
      <c r="EQ33" s="56">
        <f>Participantes!CV32</f>
        <v>3</v>
      </c>
      <c r="ER33" s="58">
        <f t="shared" si="48"/>
        <v>1</v>
      </c>
      <c r="ES33" s="56">
        <f>Participantes!CW32</f>
        <v>2</v>
      </c>
      <c r="ET33" s="56">
        <f>Participantes!CX32</f>
        <v>0</v>
      </c>
      <c r="EU33" s="58">
        <f t="shared" si="49"/>
        <v>1</v>
      </c>
      <c r="EV33" s="56">
        <f>Participantes!CY32</f>
        <v>1</v>
      </c>
      <c r="EW33" s="56">
        <f>Participantes!CZ32</f>
        <v>1</v>
      </c>
      <c r="EX33" s="58">
        <f t="shared" si="50"/>
        <v>0</v>
      </c>
      <c r="EY33" s="56">
        <f>Participantes!DA32</f>
        <v>2</v>
      </c>
      <c r="EZ33" s="56">
        <f>Participantes!DB32</f>
        <v>1</v>
      </c>
      <c r="FA33" s="58">
        <f t="shared" si="51"/>
        <v>1</v>
      </c>
      <c r="FB33" s="56">
        <f>Participantes!DC32</f>
        <v>1</v>
      </c>
      <c r="FC33" s="56">
        <f>Participantes!DD32</f>
        <v>1</v>
      </c>
      <c r="FD33" s="58">
        <f t="shared" si="52"/>
        <v>0</v>
      </c>
      <c r="FE33" s="56">
        <f>Participantes!DE32</f>
        <v>2</v>
      </c>
      <c r="FF33" s="56">
        <f>Participantes!DF32</f>
        <v>2</v>
      </c>
      <c r="FG33" s="58">
        <f t="shared" si="53"/>
        <v>0</v>
      </c>
      <c r="FH33" s="56">
        <f>Participantes!DG32</f>
        <v>2</v>
      </c>
      <c r="FI33" s="56">
        <f>Participantes!DH32</f>
        <v>1</v>
      </c>
      <c r="FJ33" s="58">
        <f t="shared" si="54"/>
        <v>0</v>
      </c>
      <c r="FK33" s="56">
        <f>Participantes!DI32</f>
        <v>2</v>
      </c>
      <c r="FL33" s="56">
        <f>Participantes!DJ32</f>
        <v>3</v>
      </c>
      <c r="FM33" s="58">
        <f t="shared" si="55"/>
        <v>0</v>
      </c>
      <c r="FN33" s="56">
        <f>Participantes!DK32</f>
        <v>2</v>
      </c>
      <c r="FO33" s="56">
        <f>Participantes!DL32</f>
        <v>1</v>
      </c>
      <c r="FP33" s="58">
        <f t="shared" si="56"/>
        <v>0</v>
      </c>
      <c r="FQ33" s="56">
        <f>Participantes!DM32</f>
        <v>1</v>
      </c>
      <c r="FR33" s="56">
        <f>Participantes!DN32</f>
        <v>4</v>
      </c>
      <c r="FS33" s="58">
        <f t="shared" si="57"/>
        <v>1</v>
      </c>
      <c r="FT33" s="56">
        <f>Participantes!DO32</f>
        <v>2</v>
      </c>
      <c r="FU33" s="56">
        <f>Participantes!DP32</f>
        <v>2</v>
      </c>
      <c r="FV33" s="58">
        <f t="shared" si="58"/>
        <v>0</v>
      </c>
      <c r="FW33" s="56">
        <f>Participantes!DQ32</f>
        <v>1</v>
      </c>
      <c r="FX33" s="56">
        <f>Participantes!DR32</f>
        <v>1</v>
      </c>
      <c r="FY33" s="58">
        <f t="shared" si="59"/>
        <v>1</v>
      </c>
      <c r="FZ33" s="56">
        <f>Participantes!DS32</f>
        <v>2</v>
      </c>
      <c r="GA33" s="56">
        <f>Participantes!DT32</f>
        <v>4</v>
      </c>
      <c r="GB33" s="58">
        <f t="shared" si="60"/>
        <v>1</v>
      </c>
      <c r="GC33" s="56">
        <f>Participantes!DU32</f>
        <v>2</v>
      </c>
      <c r="GD33" s="56">
        <f>Participantes!DV32</f>
        <v>1</v>
      </c>
      <c r="GE33" s="58">
        <f t="shared" si="61"/>
        <v>1</v>
      </c>
      <c r="GF33" s="56">
        <f>Participantes!DW32</f>
        <v>3</v>
      </c>
      <c r="GG33" s="56">
        <f>Participantes!DX32</f>
        <v>2</v>
      </c>
      <c r="GH33" s="58">
        <f t="shared" si="62"/>
        <v>0</v>
      </c>
      <c r="GI33" s="56">
        <f>Participantes!DY32</f>
        <v>1</v>
      </c>
      <c r="GJ33" s="56">
        <f>Participantes!DZ32</f>
        <v>2</v>
      </c>
      <c r="GK33" s="58">
        <f t="shared" si="63"/>
        <v>1</v>
      </c>
      <c r="GL33" s="56">
        <f>Participantes!EA32</f>
        <v>1</v>
      </c>
      <c r="GM33" s="56">
        <f>Participantes!EB32</f>
        <v>1</v>
      </c>
      <c r="GN33" s="58">
        <f t="shared" si="64"/>
        <v>1</v>
      </c>
      <c r="GO33" s="56">
        <f>Participantes!EC32</f>
        <v>1</v>
      </c>
      <c r="GP33" s="56">
        <f>Participantes!ED32</f>
        <v>3</v>
      </c>
      <c r="GQ33" s="58">
        <f t="shared" si="65"/>
        <v>1</v>
      </c>
      <c r="GR33" s="56">
        <f>Participantes!EE32</f>
        <v>1</v>
      </c>
      <c r="GS33" s="56">
        <f>Participantes!EF32</f>
        <v>4</v>
      </c>
      <c r="GT33" s="58" t="str">
        <f t="shared" si="66"/>
        <v/>
      </c>
      <c r="GU33" s="56">
        <f>Participantes!EG32</f>
        <v>2</v>
      </c>
      <c r="GV33" s="56">
        <f>Participantes!EH32</f>
        <v>0</v>
      </c>
      <c r="GW33" s="58" t="str">
        <f t="shared" si="67"/>
        <v/>
      </c>
      <c r="GX33" s="56">
        <f>Participantes!EI32</f>
        <v>2</v>
      </c>
      <c r="GY33" s="56">
        <f>Participantes!EJ32</f>
        <v>1</v>
      </c>
      <c r="GZ33" s="58" t="str">
        <f t="shared" si="68"/>
        <v/>
      </c>
      <c r="HA33" s="56">
        <f>Participantes!EK32</f>
        <v>1</v>
      </c>
      <c r="HB33" s="56">
        <f>Participantes!EL32</f>
        <v>5</v>
      </c>
      <c r="HC33" s="58" t="str">
        <f t="shared" si="69"/>
        <v/>
      </c>
      <c r="HD33" s="56">
        <f>Participantes!EM32</f>
        <v>2</v>
      </c>
      <c r="HE33" s="56">
        <f>Participantes!EN32</f>
        <v>2</v>
      </c>
      <c r="HF33" s="58" t="str">
        <f t="shared" si="70"/>
        <v/>
      </c>
      <c r="HG33" s="56">
        <f>Participantes!EO32</f>
        <v>1</v>
      </c>
      <c r="HH33" s="56">
        <f>Participantes!EP32</f>
        <v>2</v>
      </c>
      <c r="HI33" s="58" t="str">
        <f t="shared" si="71"/>
        <v/>
      </c>
      <c r="HJ33" s="59">
        <f t="shared" si="72"/>
        <v>39</v>
      </c>
    </row>
    <row r="34" spans="1:218" ht="15" customHeight="1" x14ac:dyDescent="0.25">
      <c r="A34" s="57" t="str">
        <f>Participantes!B33</f>
        <v>Marilyn</v>
      </c>
      <c r="B34" s="56">
        <f>Participantes!C33</f>
        <v>2</v>
      </c>
      <c r="C34" s="56">
        <f>Participantes!D33</f>
        <v>0</v>
      </c>
      <c r="D34" s="58">
        <f t="shared" si="0"/>
        <v>3</v>
      </c>
      <c r="E34" s="56">
        <f>Participantes!E33</f>
        <v>2</v>
      </c>
      <c r="F34" s="56">
        <f>Participantes!F33</f>
        <v>1</v>
      </c>
      <c r="G34" s="58">
        <f t="shared" si="1"/>
        <v>3</v>
      </c>
      <c r="H34" s="56">
        <f>Participantes!G33</f>
        <v>3</v>
      </c>
      <c r="I34" s="56">
        <f>Participantes!H33</f>
        <v>0</v>
      </c>
      <c r="J34" s="58">
        <f t="shared" si="2"/>
        <v>0</v>
      </c>
      <c r="K34" s="56">
        <f>Participantes!I33</f>
        <v>2</v>
      </c>
      <c r="L34" s="56">
        <f>Participantes!J33</f>
        <v>0</v>
      </c>
      <c r="M34" s="58">
        <f t="shared" si="3"/>
        <v>1</v>
      </c>
      <c r="N34" s="56">
        <f>Participantes!K33</f>
        <v>0</v>
      </c>
      <c r="O34" s="56">
        <f>Participantes!L33</f>
        <v>2</v>
      </c>
      <c r="P34" s="58">
        <f t="shared" si="4"/>
        <v>1</v>
      </c>
      <c r="Q34" s="56">
        <f>Participantes!M33</f>
        <v>1</v>
      </c>
      <c r="R34" s="56">
        <f>Participantes!N33</f>
        <v>1</v>
      </c>
      <c r="S34" s="58">
        <f t="shared" si="5"/>
        <v>0</v>
      </c>
      <c r="T34" s="56">
        <f>Participantes!O33</f>
        <v>1</v>
      </c>
      <c r="U34" s="56">
        <f>Participantes!P33</f>
        <v>1</v>
      </c>
      <c r="V34" s="58">
        <f t="shared" si="6"/>
        <v>3</v>
      </c>
      <c r="W34" s="56">
        <f>Participantes!Q33</f>
        <v>1</v>
      </c>
      <c r="X34" s="56">
        <f>Participantes!R33</f>
        <v>2</v>
      </c>
      <c r="Y34" s="58">
        <f t="shared" si="7"/>
        <v>0</v>
      </c>
      <c r="Z34" s="56">
        <f>Participantes!S33</f>
        <v>3</v>
      </c>
      <c r="AA34" s="56">
        <f>Participantes!T33</f>
        <v>0</v>
      </c>
      <c r="AB34" s="58">
        <f t="shared" si="8"/>
        <v>1</v>
      </c>
      <c r="AC34" s="56">
        <f>Participantes!U33</f>
        <v>2</v>
      </c>
      <c r="AD34" s="56">
        <f>Participantes!V33</f>
        <v>1</v>
      </c>
      <c r="AE34" s="58">
        <f t="shared" si="9"/>
        <v>1</v>
      </c>
      <c r="AF34" s="56">
        <f>Participantes!W33</f>
        <v>2</v>
      </c>
      <c r="AG34" s="56">
        <f>Participantes!X33</f>
        <v>2</v>
      </c>
      <c r="AH34" s="58">
        <f t="shared" si="10"/>
        <v>3</v>
      </c>
      <c r="AI34" s="56">
        <f>Participantes!Y33</f>
        <v>3</v>
      </c>
      <c r="AJ34" s="56">
        <f>Participantes!Z33</f>
        <v>1</v>
      </c>
      <c r="AK34" s="58">
        <f t="shared" si="11"/>
        <v>1</v>
      </c>
      <c r="AL34" s="56">
        <f>Participantes!AA33</f>
        <v>1</v>
      </c>
      <c r="AM34" s="56">
        <f>Participantes!AB33</f>
        <v>2</v>
      </c>
      <c r="AN34" s="58">
        <f t="shared" si="12"/>
        <v>0</v>
      </c>
      <c r="AO34" s="56">
        <f>Participantes!AC33</f>
        <v>3</v>
      </c>
      <c r="AP34" s="56">
        <f>Participantes!AD33</f>
        <v>0</v>
      </c>
      <c r="AQ34" s="58">
        <f t="shared" si="13"/>
        <v>0</v>
      </c>
      <c r="AR34" s="56">
        <f>Participantes!AE33</f>
        <v>1</v>
      </c>
      <c r="AS34" s="56">
        <f>Participantes!AF33</f>
        <v>1</v>
      </c>
      <c r="AT34" s="58">
        <f t="shared" si="14"/>
        <v>1</v>
      </c>
      <c r="AU34" s="56">
        <f>Participantes!AG33</f>
        <v>2</v>
      </c>
      <c r="AV34" s="56">
        <f>Participantes!AH33</f>
        <v>1</v>
      </c>
      <c r="AW34" s="58">
        <f t="shared" si="15"/>
        <v>0</v>
      </c>
      <c r="AX34" s="56">
        <f>Participantes!AI33</f>
        <v>2</v>
      </c>
      <c r="AY34" s="56">
        <f>Participantes!AJ33</f>
        <v>1</v>
      </c>
      <c r="AZ34" s="58">
        <f t="shared" si="16"/>
        <v>1</v>
      </c>
      <c r="BA34" s="56">
        <f>Participantes!AK33</f>
        <v>0</v>
      </c>
      <c r="BB34" s="56">
        <f>Participantes!AL33</f>
        <v>2</v>
      </c>
      <c r="BC34" s="58">
        <f t="shared" si="17"/>
        <v>1</v>
      </c>
      <c r="BD34" s="56">
        <f>Participantes!AM33</f>
        <v>2</v>
      </c>
      <c r="BE34" s="56">
        <f>Participantes!AN33</f>
        <v>0</v>
      </c>
      <c r="BF34" s="58">
        <f t="shared" si="18"/>
        <v>1</v>
      </c>
      <c r="BG34" s="56">
        <f>Participantes!AO33</f>
        <v>1</v>
      </c>
      <c r="BH34" s="56">
        <f>Participantes!AP33</f>
        <v>1</v>
      </c>
      <c r="BI34" s="58">
        <f t="shared" si="19"/>
        <v>0</v>
      </c>
      <c r="BJ34" s="56">
        <f>Participantes!AQ33</f>
        <v>1</v>
      </c>
      <c r="BK34" s="56">
        <f>Participantes!AR33</f>
        <v>2</v>
      </c>
      <c r="BL34" s="58">
        <f t="shared" si="20"/>
        <v>0</v>
      </c>
      <c r="BM34" s="56">
        <f>Participantes!AS33</f>
        <v>2</v>
      </c>
      <c r="BN34" s="56">
        <f>Participantes!AT33</f>
        <v>1</v>
      </c>
      <c r="BO34" s="58">
        <f t="shared" si="21"/>
        <v>1</v>
      </c>
      <c r="BP34" s="56">
        <f>Participantes!AU33</f>
        <v>2</v>
      </c>
      <c r="BQ34" s="56">
        <f>Participantes!AV33</f>
        <v>0</v>
      </c>
      <c r="BR34" s="58">
        <f t="shared" si="22"/>
        <v>0</v>
      </c>
      <c r="BS34" s="56">
        <f>Participantes!AW33</f>
        <v>0</v>
      </c>
      <c r="BT34" s="56">
        <f>Participantes!AX33</f>
        <v>2</v>
      </c>
      <c r="BU34" s="58">
        <f t="shared" si="23"/>
        <v>1</v>
      </c>
      <c r="BV34" s="56">
        <f>Participantes!AY33</f>
        <v>3</v>
      </c>
      <c r="BW34" s="56">
        <f>Participantes!AZ33</f>
        <v>1</v>
      </c>
      <c r="BX34" s="58">
        <f t="shared" si="24"/>
        <v>0</v>
      </c>
      <c r="BY34" s="56">
        <f>Participantes!BA33</f>
        <v>4</v>
      </c>
      <c r="BZ34" s="56">
        <f>Participantes!BB33</f>
        <v>1</v>
      </c>
      <c r="CA34" s="58">
        <f t="shared" si="25"/>
        <v>3</v>
      </c>
      <c r="CB34" s="56">
        <f>Participantes!BC33</f>
        <v>3</v>
      </c>
      <c r="CC34" s="56">
        <f>Participantes!BD33</f>
        <v>0</v>
      </c>
      <c r="CD34" s="58">
        <f t="shared" si="26"/>
        <v>1</v>
      </c>
      <c r="CE34" s="56">
        <f>Participantes!BE33</f>
        <v>3</v>
      </c>
      <c r="CF34" s="56">
        <f>Participantes!BF33</f>
        <v>2</v>
      </c>
      <c r="CG34" s="58">
        <f t="shared" si="27"/>
        <v>1</v>
      </c>
      <c r="CH34" s="56">
        <f>Participantes!BG33</f>
        <v>5</v>
      </c>
      <c r="CI34" s="56">
        <f>Participantes!BH33</f>
        <v>0</v>
      </c>
      <c r="CJ34" s="58">
        <f t="shared" si="28"/>
        <v>1</v>
      </c>
      <c r="CK34" s="56">
        <f>Participantes!BI33</f>
        <v>2</v>
      </c>
      <c r="CL34" s="56">
        <f>Participantes!BJ33</f>
        <v>2</v>
      </c>
      <c r="CM34" s="58">
        <f t="shared" si="29"/>
        <v>0</v>
      </c>
      <c r="CN34" s="56">
        <f>Participantes!BK33</f>
        <v>1</v>
      </c>
      <c r="CO34" s="56">
        <f>Participantes!BL33</f>
        <v>2</v>
      </c>
      <c r="CP34" s="58">
        <f t="shared" si="30"/>
        <v>1</v>
      </c>
      <c r="CQ34" s="56">
        <f>Participantes!BM33</f>
        <v>2</v>
      </c>
      <c r="CR34" s="56">
        <f>Participantes!BN33</f>
        <v>1</v>
      </c>
      <c r="CS34" s="58">
        <f t="shared" si="31"/>
        <v>1</v>
      </c>
      <c r="CT34" s="56">
        <f>Participantes!BO33</f>
        <v>3</v>
      </c>
      <c r="CU34" s="56">
        <f>Participantes!BP33</f>
        <v>1</v>
      </c>
      <c r="CV34" s="58">
        <f t="shared" si="32"/>
        <v>1</v>
      </c>
      <c r="CW34" s="56">
        <f>Participantes!BQ33</f>
        <v>0</v>
      </c>
      <c r="CX34" s="56">
        <f>Participantes!BR33</f>
        <v>2</v>
      </c>
      <c r="CY34" s="58">
        <f t="shared" si="33"/>
        <v>0</v>
      </c>
      <c r="CZ34" s="56">
        <f>Participantes!BS33</f>
        <v>2</v>
      </c>
      <c r="DA34" s="56">
        <f>Participantes!BT33</f>
        <v>2</v>
      </c>
      <c r="DB34" s="58">
        <f t="shared" si="34"/>
        <v>0</v>
      </c>
      <c r="DC34" s="56">
        <f>Participantes!BU33</f>
        <v>1</v>
      </c>
      <c r="DD34" s="56">
        <f>Participantes!BV33</f>
        <v>3</v>
      </c>
      <c r="DE34" s="58">
        <f t="shared" si="35"/>
        <v>1</v>
      </c>
      <c r="DF34" s="56">
        <f>Participantes!BW33</f>
        <v>2</v>
      </c>
      <c r="DG34" s="56">
        <f>Participantes!BX33</f>
        <v>0</v>
      </c>
      <c r="DH34" s="58">
        <f t="shared" si="36"/>
        <v>0</v>
      </c>
      <c r="DI34" s="56">
        <f>Participantes!BY33</f>
        <v>4</v>
      </c>
      <c r="DJ34" s="56">
        <f>Participantes!BZ33</f>
        <v>1</v>
      </c>
      <c r="DK34" s="58">
        <f t="shared" si="37"/>
        <v>1</v>
      </c>
      <c r="DL34" s="56">
        <f>Participantes!CA33</f>
        <v>1</v>
      </c>
      <c r="DM34" s="56">
        <f>Participantes!CB33</f>
        <v>1</v>
      </c>
      <c r="DN34" s="58">
        <f t="shared" si="38"/>
        <v>1</v>
      </c>
      <c r="DO34" s="56">
        <f>Participantes!CC33</f>
        <v>2</v>
      </c>
      <c r="DP34" s="56">
        <f>Participantes!CD33</f>
        <v>0</v>
      </c>
      <c r="DQ34" s="58">
        <f t="shared" si="39"/>
        <v>0</v>
      </c>
      <c r="DR34" s="56">
        <f>Participantes!CE33</f>
        <v>2</v>
      </c>
      <c r="DS34" s="56">
        <f>Participantes!CF33</f>
        <v>2</v>
      </c>
      <c r="DT34" s="58">
        <f t="shared" si="40"/>
        <v>0</v>
      </c>
      <c r="DU34" s="56">
        <f>Participantes!CG33</f>
        <v>3</v>
      </c>
      <c r="DV34" s="56">
        <f>Participantes!CH33</f>
        <v>1</v>
      </c>
      <c r="DW34" s="58">
        <f t="shared" si="41"/>
        <v>1</v>
      </c>
      <c r="DX34" s="56">
        <f>Participantes!CI33</f>
        <v>2</v>
      </c>
      <c r="DY34" s="56">
        <f>Participantes!CJ33</f>
        <v>1</v>
      </c>
      <c r="DZ34" s="58">
        <f t="shared" si="42"/>
        <v>1</v>
      </c>
      <c r="EA34" s="56">
        <f>Participantes!CK33</f>
        <v>1</v>
      </c>
      <c r="EB34" s="56">
        <f>Participantes!CL33</f>
        <v>1</v>
      </c>
      <c r="EC34" s="58">
        <f t="shared" si="43"/>
        <v>0</v>
      </c>
      <c r="ED34" s="56">
        <f>Participantes!CM33</f>
        <v>4</v>
      </c>
      <c r="EE34" s="56">
        <f>Participantes!CN33</f>
        <v>0</v>
      </c>
      <c r="EF34" s="58">
        <f t="shared" si="44"/>
        <v>0</v>
      </c>
      <c r="EG34" s="56">
        <f>Participantes!CO33</f>
        <v>1</v>
      </c>
      <c r="EH34" s="56">
        <f>Participantes!CP33</f>
        <v>1</v>
      </c>
      <c r="EI34" s="58">
        <f t="shared" si="45"/>
        <v>0</v>
      </c>
      <c r="EJ34" s="56">
        <f>Participantes!CQ33</f>
        <v>3</v>
      </c>
      <c r="EK34" s="56">
        <f>Participantes!CR33</f>
        <v>1</v>
      </c>
      <c r="EL34" s="58">
        <f t="shared" si="46"/>
        <v>1</v>
      </c>
      <c r="EM34" s="56">
        <f>Participantes!CS33</f>
        <v>3</v>
      </c>
      <c r="EN34" s="56">
        <f>Participantes!CT33</f>
        <v>1</v>
      </c>
      <c r="EO34" s="58">
        <f t="shared" si="47"/>
        <v>1</v>
      </c>
      <c r="EP34" s="56">
        <f>Participantes!CU33</f>
        <v>1</v>
      </c>
      <c r="EQ34" s="56">
        <f>Participantes!CV33</f>
        <v>2</v>
      </c>
      <c r="ER34" s="58">
        <f t="shared" si="48"/>
        <v>1</v>
      </c>
      <c r="ES34" s="56">
        <f>Participantes!CW33</f>
        <v>3</v>
      </c>
      <c r="ET34" s="56">
        <f>Participantes!CX33</f>
        <v>1</v>
      </c>
      <c r="EU34" s="58">
        <f t="shared" si="49"/>
        <v>1</v>
      </c>
      <c r="EV34" s="56">
        <f>Participantes!CY33</f>
        <v>2</v>
      </c>
      <c r="EW34" s="56">
        <f>Participantes!CZ33</f>
        <v>2</v>
      </c>
      <c r="EX34" s="58">
        <f t="shared" si="50"/>
        <v>0</v>
      </c>
      <c r="EY34" s="56">
        <f>Participantes!DA33</f>
        <v>1</v>
      </c>
      <c r="EZ34" s="56">
        <f>Participantes!DB33</f>
        <v>1</v>
      </c>
      <c r="FA34" s="58">
        <f t="shared" si="51"/>
        <v>0</v>
      </c>
      <c r="FB34" s="56">
        <f>Participantes!DC33</f>
        <v>0</v>
      </c>
      <c r="FC34" s="56">
        <f>Participantes!DD33</f>
        <v>1</v>
      </c>
      <c r="FD34" s="58">
        <f t="shared" si="52"/>
        <v>1</v>
      </c>
      <c r="FE34" s="56">
        <f>Participantes!DE33</f>
        <v>0</v>
      </c>
      <c r="FF34" s="56">
        <f>Participantes!DF33</f>
        <v>2</v>
      </c>
      <c r="FG34" s="58">
        <f t="shared" si="53"/>
        <v>0</v>
      </c>
      <c r="FH34" s="56">
        <f>Participantes!DG33</f>
        <v>1</v>
      </c>
      <c r="FI34" s="56">
        <f>Participantes!DH33</f>
        <v>1</v>
      </c>
      <c r="FJ34" s="58">
        <f t="shared" si="54"/>
        <v>0</v>
      </c>
      <c r="FK34" s="56">
        <f>Participantes!DI33</f>
        <v>0</v>
      </c>
      <c r="FL34" s="56">
        <f>Participantes!DJ33</f>
        <v>5</v>
      </c>
      <c r="FM34" s="58">
        <f t="shared" si="55"/>
        <v>0</v>
      </c>
      <c r="FN34" s="56">
        <f>Participantes!DK33</f>
        <v>2</v>
      </c>
      <c r="FO34" s="56">
        <f>Participantes!DL33</f>
        <v>1</v>
      </c>
      <c r="FP34" s="58">
        <f t="shared" si="56"/>
        <v>0</v>
      </c>
      <c r="FQ34" s="56">
        <f>Participantes!DM33</f>
        <v>1</v>
      </c>
      <c r="FR34" s="56">
        <f>Participantes!DN33</f>
        <v>1</v>
      </c>
      <c r="FS34" s="58">
        <f t="shared" si="57"/>
        <v>0</v>
      </c>
      <c r="FT34" s="56">
        <f>Participantes!DO33</f>
        <v>1</v>
      </c>
      <c r="FU34" s="56">
        <f>Participantes!DP33</f>
        <v>2</v>
      </c>
      <c r="FV34" s="58">
        <f t="shared" si="58"/>
        <v>0</v>
      </c>
      <c r="FW34" s="56">
        <f>Participantes!DQ33</f>
        <v>2</v>
      </c>
      <c r="FX34" s="56">
        <f>Participantes!DR33</f>
        <v>2</v>
      </c>
      <c r="FY34" s="58">
        <f t="shared" si="59"/>
        <v>1</v>
      </c>
      <c r="FZ34" s="56">
        <f>Participantes!DS33</f>
        <v>0</v>
      </c>
      <c r="GA34" s="56">
        <f>Participantes!DT33</f>
        <v>2</v>
      </c>
      <c r="GB34" s="58">
        <f t="shared" si="60"/>
        <v>1</v>
      </c>
      <c r="GC34" s="56">
        <f>Participantes!DU33</f>
        <v>1</v>
      </c>
      <c r="GD34" s="56">
        <f>Participantes!DV33</f>
        <v>0</v>
      </c>
      <c r="GE34" s="58">
        <f t="shared" si="61"/>
        <v>1</v>
      </c>
      <c r="GF34" s="56">
        <f>Participantes!DW33</f>
        <v>1</v>
      </c>
      <c r="GG34" s="56">
        <f>Participantes!DX33</f>
        <v>1</v>
      </c>
      <c r="GH34" s="58">
        <f t="shared" si="62"/>
        <v>3</v>
      </c>
      <c r="GI34" s="56">
        <f>Participantes!DY33</f>
        <v>0</v>
      </c>
      <c r="GJ34" s="56">
        <f>Participantes!DZ33</f>
        <v>0</v>
      </c>
      <c r="GK34" s="58">
        <f t="shared" si="63"/>
        <v>0</v>
      </c>
      <c r="GL34" s="56">
        <f>Participantes!EA33</f>
        <v>0</v>
      </c>
      <c r="GM34" s="56">
        <f>Participantes!EB33</f>
        <v>1</v>
      </c>
      <c r="GN34" s="58">
        <f t="shared" si="64"/>
        <v>0</v>
      </c>
      <c r="GO34" s="56">
        <f>Participantes!EC33</f>
        <v>1</v>
      </c>
      <c r="GP34" s="56">
        <f>Participantes!ED33</f>
        <v>2</v>
      </c>
      <c r="GQ34" s="58">
        <f t="shared" si="65"/>
        <v>1</v>
      </c>
      <c r="GR34" s="56">
        <f>Participantes!EE33</f>
        <v>0</v>
      </c>
      <c r="GS34" s="56">
        <f>Participantes!EF33</f>
        <v>3</v>
      </c>
      <c r="GT34" s="58" t="str">
        <f t="shared" si="66"/>
        <v/>
      </c>
      <c r="GU34" s="56">
        <f>Participantes!EG33</f>
        <v>3</v>
      </c>
      <c r="GV34" s="56">
        <f>Participantes!EH33</f>
        <v>0</v>
      </c>
      <c r="GW34" s="58" t="str">
        <f t="shared" si="67"/>
        <v/>
      </c>
      <c r="GX34" s="56">
        <f>Participantes!EI33</f>
        <v>2</v>
      </c>
      <c r="GY34" s="56">
        <f>Participantes!EJ33</f>
        <v>2</v>
      </c>
      <c r="GZ34" s="58" t="str">
        <f t="shared" si="68"/>
        <v/>
      </c>
      <c r="HA34" s="56">
        <f>Participantes!EK33</f>
        <v>0</v>
      </c>
      <c r="HB34" s="56">
        <f>Participantes!EL33</f>
        <v>1</v>
      </c>
      <c r="HC34" s="58" t="str">
        <f t="shared" si="69"/>
        <v/>
      </c>
      <c r="HD34" s="56">
        <f>Participantes!EM33</f>
        <v>2</v>
      </c>
      <c r="HE34" s="56">
        <f>Participantes!EN33</f>
        <v>3</v>
      </c>
      <c r="HF34" s="58" t="str">
        <f t="shared" si="70"/>
        <v/>
      </c>
      <c r="HG34" s="56">
        <f>Participantes!EO33</f>
        <v>1</v>
      </c>
      <c r="HH34" s="56">
        <f>Participantes!EP33</f>
        <v>1</v>
      </c>
      <c r="HI34" s="58" t="str">
        <f t="shared" si="71"/>
        <v/>
      </c>
      <c r="HJ34" s="59">
        <f t="shared" si="72"/>
        <v>49</v>
      </c>
    </row>
    <row r="35" spans="1:218" ht="15" customHeight="1" x14ac:dyDescent="0.25">
      <c r="A35" s="57" t="str">
        <f>Participantes!B34</f>
        <v>Medica</v>
      </c>
      <c r="B35" s="56">
        <f>Participantes!C34</f>
        <v>2</v>
      </c>
      <c r="C35" s="56">
        <f>Participantes!D34</f>
        <v>1</v>
      </c>
      <c r="D35" s="58">
        <f t="shared" si="0"/>
        <v>1</v>
      </c>
      <c r="E35" s="56">
        <f>Participantes!E34</f>
        <v>1</v>
      </c>
      <c r="F35" s="56">
        <f>Participantes!F34</f>
        <v>1</v>
      </c>
      <c r="G35" s="58">
        <f t="shared" si="1"/>
        <v>0</v>
      </c>
      <c r="H35" s="56">
        <f>Participantes!G34</f>
        <v>1</v>
      </c>
      <c r="I35" s="56">
        <f>Participantes!H34</f>
        <v>1</v>
      </c>
      <c r="J35" s="58">
        <f t="shared" si="2"/>
        <v>3</v>
      </c>
      <c r="K35" s="56">
        <f>Participantes!I34</f>
        <v>1</v>
      </c>
      <c r="L35" s="56">
        <f>Participantes!J34</f>
        <v>0</v>
      </c>
      <c r="M35" s="58">
        <f t="shared" si="3"/>
        <v>1</v>
      </c>
      <c r="N35" s="56">
        <f>Participantes!K34</f>
        <v>0</v>
      </c>
      <c r="O35" s="56">
        <f>Participantes!L34</f>
        <v>3</v>
      </c>
      <c r="P35" s="58">
        <f t="shared" si="4"/>
        <v>1</v>
      </c>
      <c r="Q35" s="56">
        <f>Participantes!M34</f>
        <v>0</v>
      </c>
      <c r="R35" s="56">
        <f>Participantes!N34</f>
        <v>1</v>
      </c>
      <c r="S35" s="58">
        <f t="shared" si="5"/>
        <v>0</v>
      </c>
      <c r="T35" s="56">
        <f>Participantes!O34</f>
        <v>2</v>
      </c>
      <c r="U35" s="56">
        <f>Participantes!P34</f>
        <v>2</v>
      </c>
      <c r="V35" s="58">
        <f t="shared" si="6"/>
        <v>1</v>
      </c>
      <c r="W35" s="56">
        <f>Participantes!Q34</f>
        <v>0</v>
      </c>
      <c r="X35" s="56">
        <f>Participantes!R34</f>
        <v>2</v>
      </c>
      <c r="Y35" s="58">
        <f t="shared" si="7"/>
        <v>0</v>
      </c>
      <c r="Z35" s="56">
        <f>Participantes!S34</f>
        <v>1</v>
      </c>
      <c r="AA35" s="56">
        <f>Participantes!T34</f>
        <v>1</v>
      </c>
      <c r="AB35" s="58">
        <f t="shared" si="8"/>
        <v>0</v>
      </c>
      <c r="AC35" s="56">
        <f>Participantes!U34</f>
        <v>3</v>
      </c>
      <c r="AD35" s="56">
        <f>Participantes!V34</f>
        <v>1</v>
      </c>
      <c r="AE35" s="58">
        <f t="shared" si="9"/>
        <v>1</v>
      </c>
      <c r="AF35" s="56">
        <f>Participantes!W34</f>
        <v>2</v>
      </c>
      <c r="AG35" s="56">
        <f>Participantes!X34</f>
        <v>2</v>
      </c>
      <c r="AH35" s="58">
        <f t="shared" si="10"/>
        <v>3</v>
      </c>
      <c r="AI35" s="56">
        <f>Participantes!Y34</f>
        <v>2</v>
      </c>
      <c r="AJ35" s="56">
        <f>Participantes!Z34</f>
        <v>0</v>
      </c>
      <c r="AK35" s="58">
        <f t="shared" si="11"/>
        <v>1</v>
      </c>
      <c r="AL35" s="56">
        <f>Participantes!AA34</f>
        <v>0</v>
      </c>
      <c r="AM35" s="56">
        <f>Participantes!AB34</f>
        <v>1</v>
      </c>
      <c r="AN35" s="58">
        <f t="shared" si="12"/>
        <v>0</v>
      </c>
      <c r="AO35" s="56">
        <f>Participantes!AC34</f>
        <v>4</v>
      </c>
      <c r="AP35" s="56">
        <f>Participantes!AD34</f>
        <v>0</v>
      </c>
      <c r="AQ35" s="58">
        <f t="shared" si="13"/>
        <v>0</v>
      </c>
      <c r="AR35" s="56">
        <f>Participantes!AE34</f>
        <v>1</v>
      </c>
      <c r="AS35" s="56">
        <f>Participantes!AF34</f>
        <v>1</v>
      </c>
      <c r="AT35" s="58">
        <f t="shared" si="14"/>
        <v>1</v>
      </c>
      <c r="AU35" s="56">
        <f>Participantes!AG34</f>
        <v>2</v>
      </c>
      <c r="AV35" s="56">
        <f>Participantes!AH34</f>
        <v>2</v>
      </c>
      <c r="AW35" s="58">
        <f t="shared" si="15"/>
        <v>1</v>
      </c>
      <c r="AX35" s="56">
        <f>Participantes!AI34</f>
        <v>3</v>
      </c>
      <c r="AY35" s="56">
        <f>Participantes!AJ34</f>
        <v>1</v>
      </c>
      <c r="AZ35" s="58">
        <f t="shared" si="16"/>
        <v>3</v>
      </c>
      <c r="BA35" s="56">
        <f>Participantes!AK34</f>
        <v>0</v>
      </c>
      <c r="BB35" s="56">
        <f>Participantes!AL34</f>
        <v>5</v>
      </c>
      <c r="BC35" s="58">
        <f t="shared" si="17"/>
        <v>1</v>
      </c>
      <c r="BD35" s="56">
        <f>Participantes!AM34</f>
        <v>2</v>
      </c>
      <c r="BE35" s="56">
        <f>Participantes!AN34</f>
        <v>0</v>
      </c>
      <c r="BF35" s="58">
        <f t="shared" si="18"/>
        <v>1</v>
      </c>
      <c r="BG35" s="56">
        <f>Participantes!AO34</f>
        <v>2</v>
      </c>
      <c r="BH35" s="56">
        <f>Participantes!AP34</f>
        <v>0</v>
      </c>
      <c r="BI35" s="58">
        <f t="shared" si="19"/>
        <v>1</v>
      </c>
      <c r="BJ35" s="56">
        <f>Participantes!AQ34</f>
        <v>1</v>
      </c>
      <c r="BK35" s="56">
        <f>Participantes!AR34</f>
        <v>1</v>
      </c>
      <c r="BL35" s="58">
        <f t="shared" si="20"/>
        <v>0</v>
      </c>
      <c r="BM35" s="56">
        <f>Participantes!AS34</f>
        <v>2</v>
      </c>
      <c r="BN35" s="56">
        <f>Participantes!AT34</f>
        <v>2</v>
      </c>
      <c r="BO35" s="58">
        <f t="shared" si="21"/>
        <v>0</v>
      </c>
      <c r="BP35" s="56">
        <f>Participantes!AU34</f>
        <v>3</v>
      </c>
      <c r="BQ35" s="56">
        <f>Participantes!AV34</f>
        <v>0</v>
      </c>
      <c r="BR35" s="58">
        <f t="shared" si="22"/>
        <v>0</v>
      </c>
      <c r="BS35" s="56">
        <f>Participantes!AW34</f>
        <v>0</v>
      </c>
      <c r="BT35" s="56">
        <f>Participantes!AX34</f>
        <v>2</v>
      </c>
      <c r="BU35" s="58">
        <f t="shared" si="23"/>
        <v>1</v>
      </c>
      <c r="BV35" s="56">
        <f>Participantes!AY34</f>
        <v>1</v>
      </c>
      <c r="BW35" s="56">
        <f>Participantes!AZ34</f>
        <v>1</v>
      </c>
      <c r="BX35" s="58">
        <f t="shared" si="24"/>
        <v>3</v>
      </c>
      <c r="BY35" s="56">
        <f>Participantes!BA34</f>
        <v>2</v>
      </c>
      <c r="BZ35" s="56">
        <f>Participantes!BB34</f>
        <v>0</v>
      </c>
      <c r="CA35" s="58">
        <f t="shared" si="25"/>
        <v>1</v>
      </c>
      <c r="CB35" s="56">
        <f>Participantes!BC34</f>
        <v>2</v>
      </c>
      <c r="CC35" s="56">
        <f>Participantes!BD34</f>
        <v>0</v>
      </c>
      <c r="CD35" s="58">
        <f t="shared" si="26"/>
        <v>1</v>
      </c>
      <c r="CE35" s="56">
        <f>Participantes!BE34</f>
        <v>2</v>
      </c>
      <c r="CF35" s="56">
        <f>Participantes!BF34</f>
        <v>2</v>
      </c>
      <c r="CG35" s="58">
        <f t="shared" si="27"/>
        <v>0</v>
      </c>
      <c r="CH35" s="56">
        <f>Participantes!BG34</f>
        <v>3</v>
      </c>
      <c r="CI35" s="56">
        <f>Participantes!BH34</f>
        <v>1</v>
      </c>
      <c r="CJ35" s="58">
        <f t="shared" si="28"/>
        <v>1</v>
      </c>
      <c r="CK35" s="56">
        <f>Participantes!BI34</f>
        <v>0</v>
      </c>
      <c r="CL35" s="56">
        <f>Participantes!BJ34</f>
        <v>1</v>
      </c>
      <c r="CM35" s="58">
        <f t="shared" si="29"/>
        <v>3</v>
      </c>
      <c r="CN35" s="56">
        <f>Participantes!BK34</f>
        <v>1</v>
      </c>
      <c r="CO35" s="56">
        <f>Participantes!BL34</f>
        <v>1</v>
      </c>
      <c r="CP35" s="58">
        <f t="shared" si="30"/>
        <v>0</v>
      </c>
      <c r="CQ35" s="56">
        <f>Participantes!BM34</f>
        <v>1</v>
      </c>
      <c r="CR35" s="56">
        <f>Participantes!BN34</f>
        <v>0</v>
      </c>
      <c r="CS35" s="58">
        <f t="shared" si="31"/>
        <v>1</v>
      </c>
      <c r="CT35" s="56">
        <f>Participantes!BO34</f>
        <v>2</v>
      </c>
      <c r="CU35" s="56">
        <f>Participantes!BP34</f>
        <v>1</v>
      </c>
      <c r="CV35" s="58">
        <f t="shared" si="32"/>
        <v>3</v>
      </c>
      <c r="CW35" s="56">
        <f>Participantes!BQ34</f>
        <v>2</v>
      </c>
      <c r="CX35" s="56">
        <f>Participantes!BR34</f>
        <v>1</v>
      </c>
      <c r="CY35" s="58">
        <f t="shared" si="33"/>
        <v>0</v>
      </c>
      <c r="CZ35" s="56">
        <f>Participantes!BS34</f>
        <v>2</v>
      </c>
      <c r="DA35" s="56">
        <f>Participantes!BT34</f>
        <v>1</v>
      </c>
      <c r="DB35" s="58">
        <f t="shared" si="34"/>
        <v>1</v>
      </c>
      <c r="DC35" s="56">
        <f>Participantes!BU34</f>
        <v>0</v>
      </c>
      <c r="DD35" s="56">
        <f>Participantes!BV34</f>
        <v>1</v>
      </c>
      <c r="DE35" s="58">
        <f t="shared" si="35"/>
        <v>1</v>
      </c>
      <c r="DF35" s="56">
        <f>Participantes!BW34</f>
        <v>2</v>
      </c>
      <c r="DG35" s="56">
        <f>Participantes!BX34</f>
        <v>0</v>
      </c>
      <c r="DH35" s="58">
        <f t="shared" si="36"/>
        <v>0</v>
      </c>
      <c r="DI35" s="56">
        <f>Participantes!BY34</f>
        <v>3</v>
      </c>
      <c r="DJ35" s="56">
        <f>Participantes!BZ34</f>
        <v>0</v>
      </c>
      <c r="DK35" s="58">
        <f t="shared" si="37"/>
        <v>1</v>
      </c>
      <c r="DL35" s="56">
        <f>Participantes!CA34</f>
        <v>3</v>
      </c>
      <c r="DM35" s="56">
        <f>Participantes!CB34</f>
        <v>0</v>
      </c>
      <c r="DN35" s="58">
        <f t="shared" si="38"/>
        <v>0</v>
      </c>
      <c r="DO35" s="56">
        <f>Participantes!CC34</f>
        <v>0</v>
      </c>
      <c r="DP35" s="56">
        <f>Participantes!CD34</f>
        <v>2</v>
      </c>
      <c r="DQ35" s="58">
        <f t="shared" si="39"/>
        <v>1</v>
      </c>
      <c r="DR35" s="56">
        <f>Participantes!CE34</f>
        <v>3</v>
      </c>
      <c r="DS35" s="56">
        <f>Participantes!CF34</f>
        <v>1</v>
      </c>
      <c r="DT35" s="58">
        <f t="shared" si="40"/>
        <v>1</v>
      </c>
      <c r="DU35" s="56">
        <f>Participantes!CG34</f>
        <v>3</v>
      </c>
      <c r="DV35" s="56">
        <f>Participantes!CH34</f>
        <v>0</v>
      </c>
      <c r="DW35" s="58">
        <f t="shared" si="41"/>
        <v>3</v>
      </c>
      <c r="DX35" s="56">
        <f>Participantes!CI34</f>
        <v>2</v>
      </c>
      <c r="DY35" s="56">
        <f>Participantes!CJ34</f>
        <v>0</v>
      </c>
      <c r="DZ35" s="58">
        <f t="shared" si="42"/>
        <v>3</v>
      </c>
      <c r="EA35" s="56">
        <f>Participantes!CK34</f>
        <v>1</v>
      </c>
      <c r="EB35" s="56">
        <f>Participantes!CL34</f>
        <v>1</v>
      </c>
      <c r="EC35" s="58">
        <f t="shared" si="43"/>
        <v>0</v>
      </c>
      <c r="ED35" s="56">
        <f>Participantes!CM34</f>
        <v>1</v>
      </c>
      <c r="EE35" s="56">
        <f>Participantes!CN34</f>
        <v>1</v>
      </c>
      <c r="EF35" s="58">
        <f t="shared" si="44"/>
        <v>1</v>
      </c>
      <c r="EG35" s="56">
        <f>Participantes!CO34</f>
        <v>1</v>
      </c>
      <c r="EH35" s="56">
        <f>Participantes!CP34</f>
        <v>1</v>
      </c>
      <c r="EI35" s="58">
        <f t="shared" si="45"/>
        <v>0</v>
      </c>
      <c r="EJ35" s="56">
        <f>Participantes!CQ34</f>
        <v>3</v>
      </c>
      <c r="EK35" s="56">
        <f>Participantes!CR34</f>
        <v>0</v>
      </c>
      <c r="EL35" s="58">
        <f t="shared" si="46"/>
        <v>1</v>
      </c>
      <c r="EM35" s="56">
        <f>Participantes!CS34</f>
        <v>3</v>
      </c>
      <c r="EN35" s="56">
        <f>Participantes!CT34</f>
        <v>0</v>
      </c>
      <c r="EO35" s="58">
        <f t="shared" si="47"/>
        <v>1</v>
      </c>
      <c r="EP35" s="56">
        <f>Participantes!CU34</f>
        <v>0</v>
      </c>
      <c r="EQ35" s="56">
        <f>Participantes!CV34</f>
        <v>2</v>
      </c>
      <c r="ER35" s="58">
        <f t="shared" si="48"/>
        <v>1</v>
      </c>
      <c r="ES35" s="56">
        <f>Participantes!CW34</f>
        <v>2</v>
      </c>
      <c r="ET35" s="56">
        <f>Participantes!CX34</f>
        <v>0</v>
      </c>
      <c r="EU35" s="58">
        <f t="shared" si="49"/>
        <v>1</v>
      </c>
      <c r="EV35" s="56">
        <f>Participantes!CY34</f>
        <v>1</v>
      </c>
      <c r="EW35" s="56">
        <f>Participantes!CZ34</f>
        <v>1</v>
      </c>
      <c r="EX35" s="58">
        <f t="shared" si="50"/>
        <v>0</v>
      </c>
      <c r="EY35" s="56">
        <f>Participantes!DA34</f>
        <v>1</v>
      </c>
      <c r="EZ35" s="56">
        <f>Participantes!DB34</f>
        <v>0</v>
      </c>
      <c r="FA35" s="58">
        <f t="shared" si="51"/>
        <v>1</v>
      </c>
      <c r="FB35" s="56">
        <f>Participantes!DC34</f>
        <v>0</v>
      </c>
      <c r="FC35" s="56">
        <f>Participantes!DD34</f>
        <v>1</v>
      </c>
      <c r="FD35" s="58">
        <f t="shared" si="52"/>
        <v>1</v>
      </c>
      <c r="FE35" s="56">
        <f>Participantes!DE34</f>
        <v>2</v>
      </c>
      <c r="FF35" s="56">
        <f>Participantes!DF34</f>
        <v>2</v>
      </c>
      <c r="FG35" s="58">
        <f t="shared" si="53"/>
        <v>0</v>
      </c>
      <c r="FH35" s="56">
        <f>Participantes!DG34</f>
        <v>1</v>
      </c>
      <c r="FI35" s="56">
        <f>Participantes!DH34</f>
        <v>2</v>
      </c>
      <c r="FJ35" s="58">
        <f t="shared" si="54"/>
        <v>1</v>
      </c>
      <c r="FK35" s="56">
        <f>Participantes!DI34</f>
        <v>1</v>
      </c>
      <c r="FL35" s="56">
        <f>Participantes!DJ34</f>
        <v>2</v>
      </c>
      <c r="FM35" s="58">
        <f t="shared" si="55"/>
        <v>0</v>
      </c>
      <c r="FN35" s="56">
        <f>Participantes!DK34</f>
        <v>1</v>
      </c>
      <c r="FO35" s="56">
        <f>Participantes!DL34</f>
        <v>1</v>
      </c>
      <c r="FP35" s="58">
        <f t="shared" si="56"/>
        <v>3</v>
      </c>
      <c r="FQ35" s="56">
        <f>Participantes!DM34</f>
        <v>0</v>
      </c>
      <c r="FR35" s="56">
        <f>Participantes!DN34</f>
        <v>2</v>
      </c>
      <c r="FS35" s="58">
        <f t="shared" si="57"/>
        <v>1</v>
      </c>
      <c r="FT35" s="56">
        <f>Participantes!DO34</f>
        <v>1</v>
      </c>
      <c r="FU35" s="56">
        <f>Participantes!DP34</f>
        <v>1</v>
      </c>
      <c r="FV35" s="58">
        <f t="shared" si="58"/>
        <v>0</v>
      </c>
      <c r="FW35" s="56">
        <f>Participantes!DQ34</f>
        <v>2</v>
      </c>
      <c r="FX35" s="56">
        <f>Participantes!DR34</f>
        <v>0</v>
      </c>
      <c r="FY35" s="58">
        <f t="shared" si="59"/>
        <v>0</v>
      </c>
      <c r="FZ35" s="56">
        <f>Participantes!DS34</f>
        <v>3</v>
      </c>
      <c r="GA35" s="56">
        <f>Participantes!DT34</f>
        <v>3</v>
      </c>
      <c r="GB35" s="58">
        <f t="shared" si="60"/>
        <v>0</v>
      </c>
      <c r="GC35" s="56">
        <f>Participantes!DU34</f>
        <v>1</v>
      </c>
      <c r="GD35" s="56">
        <f>Participantes!DV34</f>
        <v>1</v>
      </c>
      <c r="GE35" s="58">
        <f t="shared" si="61"/>
        <v>0</v>
      </c>
      <c r="GF35" s="56">
        <f>Participantes!DW34</f>
        <v>2</v>
      </c>
      <c r="GG35" s="56">
        <f>Participantes!DX34</f>
        <v>0</v>
      </c>
      <c r="GH35" s="58">
        <f t="shared" si="62"/>
        <v>0</v>
      </c>
      <c r="GI35" s="56">
        <f>Participantes!DY34</f>
        <v>0</v>
      </c>
      <c r="GJ35" s="56">
        <f>Participantes!DZ34</f>
        <v>2</v>
      </c>
      <c r="GK35" s="58">
        <f t="shared" si="63"/>
        <v>1</v>
      </c>
      <c r="GL35" s="56">
        <f>Participantes!EA34</f>
        <v>0</v>
      </c>
      <c r="GM35" s="56">
        <f>Participantes!EB34</f>
        <v>1</v>
      </c>
      <c r="GN35" s="58">
        <f t="shared" si="64"/>
        <v>0</v>
      </c>
      <c r="GO35" s="56">
        <f>Participantes!EC34</f>
        <v>1</v>
      </c>
      <c r="GP35" s="56">
        <f>Participantes!ED34</f>
        <v>3</v>
      </c>
      <c r="GQ35" s="58">
        <f t="shared" si="65"/>
        <v>1</v>
      </c>
      <c r="GR35" s="56">
        <f>Participantes!EE34</f>
        <v>1</v>
      </c>
      <c r="GS35" s="56">
        <f>Participantes!EF34</f>
        <v>3</v>
      </c>
      <c r="GT35" s="58" t="str">
        <f t="shared" si="66"/>
        <v/>
      </c>
      <c r="GU35" s="56">
        <f>Participantes!EG34</f>
        <v>1</v>
      </c>
      <c r="GV35" s="56">
        <f>Participantes!EH34</f>
        <v>1</v>
      </c>
      <c r="GW35" s="58" t="str">
        <f t="shared" si="67"/>
        <v/>
      </c>
      <c r="GX35" s="56">
        <f>Participantes!EI34</f>
        <v>0</v>
      </c>
      <c r="GY35" s="56">
        <f>Participantes!EJ34</f>
        <v>1</v>
      </c>
      <c r="GZ35" s="58" t="str">
        <f t="shared" si="68"/>
        <v/>
      </c>
      <c r="HA35" s="56">
        <f>Participantes!EK34</f>
        <v>0</v>
      </c>
      <c r="HB35" s="56">
        <f>Participantes!EL34</f>
        <v>3</v>
      </c>
      <c r="HC35" s="58" t="str">
        <f t="shared" si="69"/>
        <v/>
      </c>
      <c r="HD35" s="56">
        <f>Participantes!EM34</f>
        <v>2</v>
      </c>
      <c r="HE35" s="56">
        <f>Participantes!EN34</f>
        <v>2</v>
      </c>
      <c r="HF35" s="58" t="str">
        <f t="shared" si="70"/>
        <v/>
      </c>
      <c r="HG35" s="56">
        <f>Participantes!EO34</f>
        <v>1</v>
      </c>
      <c r="HH35" s="56">
        <f>Participantes!EP34</f>
        <v>1</v>
      </c>
      <c r="HI35" s="58" t="str">
        <f t="shared" si="71"/>
        <v/>
      </c>
      <c r="HJ35" s="59">
        <f t="shared" si="72"/>
        <v>59</v>
      </c>
    </row>
    <row r="36" spans="1:218" ht="15" customHeight="1" x14ac:dyDescent="0.25">
      <c r="A36" s="57" t="str">
        <f>Participantes!B35</f>
        <v>Milagros</v>
      </c>
      <c r="B36" s="56">
        <f>Participantes!C35</f>
        <v>2</v>
      </c>
      <c r="C36" s="56">
        <f>Participantes!D35</f>
        <v>0</v>
      </c>
      <c r="D36" s="58">
        <f t="shared" si="0"/>
        <v>3</v>
      </c>
      <c r="E36" s="56">
        <f>Participantes!E35</f>
        <v>3</v>
      </c>
      <c r="F36" s="56">
        <f>Participantes!F35</f>
        <v>1</v>
      </c>
      <c r="G36" s="58">
        <f t="shared" si="1"/>
        <v>1</v>
      </c>
      <c r="H36" s="56">
        <f>Participantes!G35</f>
        <v>2</v>
      </c>
      <c r="I36" s="56">
        <f>Participantes!H35</f>
        <v>1</v>
      </c>
      <c r="J36" s="58">
        <f t="shared" si="2"/>
        <v>0</v>
      </c>
      <c r="K36" s="56">
        <f>Participantes!I35</f>
        <v>2</v>
      </c>
      <c r="L36" s="56">
        <f>Participantes!J35</f>
        <v>1</v>
      </c>
      <c r="M36" s="58">
        <f t="shared" si="3"/>
        <v>1</v>
      </c>
      <c r="N36" s="56">
        <f>Participantes!K35</f>
        <v>1</v>
      </c>
      <c r="O36" s="56">
        <f>Participantes!L35</f>
        <v>1</v>
      </c>
      <c r="P36" s="58">
        <f t="shared" si="4"/>
        <v>0</v>
      </c>
      <c r="Q36" s="56">
        <f>Participantes!M35</f>
        <v>1</v>
      </c>
      <c r="R36" s="56">
        <f>Participantes!N35</f>
        <v>2</v>
      </c>
      <c r="S36" s="58">
        <f t="shared" si="5"/>
        <v>0</v>
      </c>
      <c r="T36" s="56">
        <f>Participantes!O35</f>
        <v>2</v>
      </c>
      <c r="U36" s="56">
        <f>Participantes!P35</f>
        <v>1</v>
      </c>
      <c r="V36" s="58">
        <f t="shared" si="6"/>
        <v>0</v>
      </c>
      <c r="W36" s="56">
        <f>Participantes!Q35</f>
        <v>1</v>
      </c>
      <c r="X36" s="56">
        <f>Participantes!R35</f>
        <v>1</v>
      </c>
      <c r="Y36" s="58">
        <f t="shared" si="7"/>
        <v>3</v>
      </c>
      <c r="Z36" s="56">
        <f>Participantes!S35</f>
        <v>1</v>
      </c>
      <c r="AA36" s="56">
        <f>Participantes!T35</f>
        <v>1</v>
      </c>
      <c r="AB36" s="58">
        <f t="shared" si="8"/>
        <v>0</v>
      </c>
      <c r="AC36" s="56">
        <f>Participantes!U35</f>
        <v>3</v>
      </c>
      <c r="AD36" s="56">
        <f>Participantes!V35</f>
        <v>1</v>
      </c>
      <c r="AE36" s="58">
        <f t="shared" si="9"/>
        <v>1</v>
      </c>
      <c r="AF36" s="56">
        <f>Participantes!W35</f>
        <v>2</v>
      </c>
      <c r="AG36" s="56">
        <f>Participantes!X35</f>
        <v>1</v>
      </c>
      <c r="AH36" s="58">
        <f t="shared" si="10"/>
        <v>0</v>
      </c>
      <c r="AI36" s="56">
        <f>Participantes!Y35</f>
        <v>1</v>
      </c>
      <c r="AJ36" s="56">
        <f>Participantes!Z35</f>
        <v>1</v>
      </c>
      <c r="AK36" s="58">
        <f t="shared" si="11"/>
        <v>0</v>
      </c>
      <c r="AL36" s="56">
        <f>Participantes!AA35</f>
        <v>1</v>
      </c>
      <c r="AM36" s="56">
        <f>Participantes!AB35</f>
        <v>2</v>
      </c>
      <c r="AN36" s="58">
        <f t="shared" si="12"/>
        <v>0</v>
      </c>
      <c r="AO36" s="56">
        <f>Participantes!AC35</f>
        <v>3</v>
      </c>
      <c r="AP36" s="56">
        <f>Participantes!AD35</f>
        <v>0</v>
      </c>
      <c r="AQ36" s="58">
        <f t="shared" si="13"/>
        <v>0</v>
      </c>
      <c r="AR36" s="56">
        <f>Participantes!AE35</f>
        <v>1</v>
      </c>
      <c r="AS36" s="56">
        <f>Participantes!AF35</f>
        <v>2</v>
      </c>
      <c r="AT36" s="58">
        <f t="shared" si="14"/>
        <v>0</v>
      </c>
      <c r="AU36" s="56">
        <f>Participantes!AG35</f>
        <v>2</v>
      </c>
      <c r="AV36" s="56">
        <f>Participantes!AH35</f>
        <v>1</v>
      </c>
      <c r="AW36" s="58">
        <f t="shared" si="15"/>
        <v>0</v>
      </c>
      <c r="AX36" s="56">
        <f>Participantes!AI35</f>
        <v>2</v>
      </c>
      <c r="AY36" s="56">
        <f>Participantes!AJ35</f>
        <v>1</v>
      </c>
      <c r="AZ36" s="58">
        <f t="shared" si="16"/>
        <v>1</v>
      </c>
      <c r="BA36" s="56">
        <f>Participantes!AK35</f>
        <v>0</v>
      </c>
      <c r="BB36" s="56">
        <f>Participantes!AL35</f>
        <v>2</v>
      </c>
      <c r="BC36" s="58">
        <f t="shared" si="17"/>
        <v>1</v>
      </c>
      <c r="BD36" s="56">
        <f>Participantes!AM35</f>
        <v>3</v>
      </c>
      <c r="BE36" s="56">
        <f>Participantes!AN35</f>
        <v>0</v>
      </c>
      <c r="BF36" s="58">
        <f t="shared" si="18"/>
        <v>3</v>
      </c>
      <c r="BG36" s="56">
        <f>Participantes!AO35</f>
        <v>3</v>
      </c>
      <c r="BH36" s="56">
        <f>Participantes!AP35</f>
        <v>1</v>
      </c>
      <c r="BI36" s="58">
        <f t="shared" si="19"/>
        <v>3</v>
      </c>
      <c r="BJ36" s="56">
        <f>Participantes!AQ35</f>
        <v>1</v>
      </c>
      <c r="BK36" s="56">
        <f>Participantes!AR35</f>
        <v>2</v>
      </c>
      <c r="BL36" s="58">
        <f t="shared" si="20"/>
        <v>0</v>
      </c>
      <c r="BM36" s="56">
        <f>Participantes!AS35</f>
        <v>3</v>
      </c>
      <c r="BN36" s="56">
        <f>Participantes!AT35</f>
        <v>2</v>
      </c>
      <c r="BO36" s="58">
        <f t="shared" si="21"/>
        <v>1</v>
      </c>
      <c r="BP36" s="56">
        <f>Participantes!AU35</f>
        <v>2</v>
      </c>
      <c r="BQ36" s="56">
        <f>Participantes!AV35</f>
        <v>0</v>
      </c>
      <c r="BR36" s="58">
        <f t="shared" si="22"/>
        <v>0</v>
      </c>
      <c r="BS36" s="56">
        <f>Participantes!AW35</f>
        <v>0</v>
      </c>
      <c r="BT36" s="56">
        <f>Participantes!AX35</f>
        <v>2</v>
      </c>
      <c r="BU36" s="58">
        <f t="shared" si="23"/>
        <v>1</v>
      </c>
      <c r="BV36" s="56">
        <f>Participantes!AY35</f>
        <v>1</v>
      </c>
      <c r="BW36" s="56">
        <f>Participantes!AZ35</f>
        <v>1</v>
      </c>
      <c r="BX36" s="58">
        <f t="shared" si="24"/>
        <v>3</v>
      </c>
      <c r="BY36" s="56">
        <f>Participantes!BA35</f>
        <v>2</v>
      </c>
      <c r="BZ36" s="56">
        <f>Participantes!BB35</f>
        <v>1</v>
      </c>
      <c r="CA36" s="58">
        <f t="shared" si="25"/>
        <v>1</v>
      </c>
      <c r="CB36" s="56">
        <f>Participantes!BC35</f>
        <v>2</v>
      </c>
      <c r="CC36" s="56">
        <f>Participantes!BD35</f>
        <v>1</v>
      </c>
      <c r="CD36" s="58">
        <f t="shared" si="26"/>
        <v>1</v>
      </c>
      <c r="CE36" s="56">
        <f>Participantes!BE35</f>
        <v>3</v>
      </c>
      <c r="CF36" s="56">
        <f>Participantes!BF35</f>
        <v>2</v>
      </c>
      <c r="CG36" s="58">
        <f t="shared" si="27"/>
        <v>1</v>
      </c>
      <c r="CH36" s="56">
        <f>Participantes!BG35</f>
        <v>3</v>
      </c>
      <c r="CI36" s="56">
        <f>Participantes!BH35</f>
        <v>1</v>
      </c>
      <c r="CJ36" s="58">
        <f t="shared" si="28"/>
        <v>1</v>
      </c>
      <c r="CK36" s="56">
        <f>Participantes!BI35</f>
        <v>1</v>
      </c>
      <c r="CL36" s="56">
        <f>Participantes!BJ35</f>
        <v>2</v>
      </c>
      <c r="CM36" s="58">
        <f t="shared" si="29"/>
        <v>1</v>
      </c>
      <c r="CN36" s="56">
        <f>Participantes!BK35</f>
        <v>2</v>
      </c>
      <c r="CO36" s="56">
        <f>Participantes!BL35</f>
        <v>2</v>
      </c>
      <c r="CP36" s="58">
        <f t="shared" si="30"/>
        <v>0</v>
      </c>
      <c r="CQ36" s="56">
        <f>Participantes!BM35</f>
        <v>3</v>
      </c>
      <c r="CR36" s="56">
        <f>Participantes!BN35</f>
        <v>2</v>
      </c>
      <c r="CS36" s="58">
        <f t="shared" si="31"/>
        <v>1</v>
      </c>
      <c r="CT36" s="56">
        <f>Participantes!BO35</f>
        <v>3</v>
      </c>
      <c r="CU36" s="56">
        <f>Participantes!BP35</f>
        <v>2</v>
      </c>
      <c r="CV36" s="58">
        <f t="shared" si="32"/>
        <v>1</v>
      </c>
      <c r="CW36" s="56">
        <f>Participantes!BQ35</f>
        <v>2</v>
      </c>
      <c r="CX36" s="56">
        <f>Participantes!BR35</f>
        <v>1</v>
      </c>
      <c r="CY36" s="58">
        <f t="shared" si="33"/>
        <v>0</v>
      </c>
      <c r="CZ36" s="56">
        <f>Participantes!BS35</f>
        <v>2</v>
      </c>
      <c r="DA36" s="56">
        <f>Participantes!BT35</f>
        <v>1</v>
      </c>
      <c r="DB36" s="58">
        <f t="shared" si="34"/>
        <v>1</v>
      </c>
      <c r="DC36" s="56">
        <f>Participantes!BU35</f>
        <v>1</v>
      </c>
      <c r="DD36" s="56">
        <f>Participantes!BV35</f>
        <v>2</v>
      </c>
      <c r="DE36" s="58">
        <f t="shared" si="35"/>
        <v>1</v>
      </c>
      <c r="DF36" s="56">
        <f>Participantes!BW35</f>
        <v>2</v>
      </c>
      <c r="DG36" s="56">
        <f>Participantes!BX35</f>
        <v>0</v>
      </c>
      <c r="DH36" s="58">
        <f t="shared" si="36"/>
        <v>0</v>
      </c>
      <c r="DI36" s="56">
        <f>Participantes!BY35</f>
        <v>3</v>
      </c>
      <c r="DJ36" s="56">
        <f>Participantes!BZ35</f>
        <v>1</v>
      </c>
      <c r="DK36" s="58">
        <f t="shared" si="37"/>
        <v>1</v>
      </c>
      <c r="DL36" s="56">
        <f>Participantes!CA35</f>
        <v>2</v>
      </c>
      <c r="DM36" s="56">
        <f>Participantes!CB35</f>
        <v>0</v>
      </c>
      <c r="DN36" s="58">
        <f t="shared" si="38"/>
        <v>0</v>
      </c>
      <c r="DO36" s="56">
        <f>Participantes!CC35</f>
        <v>2</v>
      </c>
      <c r="DP36" s="56">
        <f>Participantes!CD35</f>
        <v>1</v>
      </c>
      <c r="DQ36" s="58">
        <f t="shared" si="39"/>
        <v>0</v>
      </c>
      <c r="DR36" s="56">
        <f>Participantes!CE35</f>
        <v>1</v>
      </c>
      <c r="DS36" s="56">
        <f>Participantes!CF35</f>
        <v>1</v>
      </c>
      <c r="DT36" s="58">
        <f t="shared" si="40"/>
        <v>0</v>
      </c>
      <c r="DU36" s="56">
        <f>Participantes!CG35</f>
        <v>3</v>
      </c>
      <c r="DV36" s="56">
        <f>Participantes!CH35</f>
        <v>0</v>
      </c>
      <c r="DW36" s="58">
        <f t="shared" si="41"/>
        <v>3</v>
      </c>
      <c r="DX36" s="56">
        <f>Participantes!CI35</f>
        <v>2</v>
      </c>
      <c r="DY36" s="56">
        <f>Participantes!CJ35</f>
        <v>1</v>
      </c>
      <c r="DZ36" s="58">
        <f t="shared" si="42"/>
        <v>1</v>
      </c>
      <c r="EA36" s="56">
        <f>Participantes!CK35</f>
        <v>1</v>
      </c>
      <c r="EB36" s="56">
        <f>Participantes!CL35</f>
        <v>1</v>
      </c>
      <c r="EC36" s="58">
        <f t="shared" si="43"/>
        <v>0</v>
      </c>
      <c r="ED36" s="56">
        <f>Participantes!CM35</f>
        <v>2</v>
      </c>
      <c r="EE36" s="56">
        <f>Participantes!CN35</f>
        <v>0</v>
      </c>
      <c r="EF36" s="58">
        <f t="shared" si="44"/>
        <v>0</v>
      </c>
      <c r="EG36" s="56">
        <f>Participantes!CO35</f>
        <v>1</v>
      </c>
      <c r="EH36" s="56">
        <f>Participantes!CP35</f>
        <v>3</v>
      </c>
      <c r="EI36" s="58">
        <f t="shared" si="45"/>
        <v>1</v>
      </c>
      <c r="EJ36" s="56">
        <f>Participantes!CQ35</f>
        <v>2</v>
      </c>
      <c r="EK36" s="56">
        <f>Participantes!CR35</f>
        <v>0</v>
      </c>
      <c r="EL36" s="58">
        <f t="shared" si="46"/>
        <v>1</v>
      </c>
      <c r="EM36" s="56">
        <f>Participantes!CS35</f>
        <v>2</v>
      </c>
      <c r="EN36" s="56">
        <f>Participantes!CT35</f>
        <v>0</v>
      </c>
      <c r="EO36" s="58">
        <f t="shared" si="47"/>
        <v>1</v>
      </c>
      <c r="EP36" s="56">
        <f>Participantes!CU35</f>
        <v>1</v>
      </c>
      <c r="EQ36" s="56">
        <f>Participantes!CV35</f>
        <v>3</v>
      </c>
      <c r="ER36" s="58">
        <f t="shared" si="48"/>
        <v>1</v>
      </c>
      <c r="ES36" s="56">
        <f>Participantes!CW35</f>
        <v>2</v>
      </c>
      <c r="ET36" s="56">
        <f>Participantes!CX35</f>
        <v>0</v>
      </c>
      <c r="EU36" s="58">
        <f t="shared" si="49"/>
        <v>1</v>
      </c>
      <c r="EV36" s="56">
        <f>Participantes!CY35</f>
        <v>1</v>
      </c>
      <c r="EW36" s="56">
        <f>Participantes!CZ35</f>
        <v>1</v>
      </c>
      <c r="EX36" s="58">
        <f t="shared" si="50"/>
        <v>0</v>
      </c>
      <c r="EY36" s="56">
        <f>Participantes!DA35</f>
        <v>2</v>
      </c>
      <c r="EZ36" s="56">
        <f>Participantes!DB35</f>
        <v>1</v>
      </c>
      <c r="FA36" s="58">
        <f t="shared" si="51"/>
        <v>1</v>
      </c>
      <c r="FB36" s="56">
        <f>Participantes!DC35</f>
        <v>1</v>
      </c>
      <c r="FC36" s="56">
        <f>Participantes!DD35</f>
        <v>2</v>
      </c>
      <c r="FD36" s="58">
        <f t="shared" si="52"/>
        <v>1</v>
      </c>
      <c r="FE36" s="56">
        <f>Participantes!DE35</f>
        <v>2</v>
      </c>
      <c r="FF36" s="56">
        <f>Participantes!DF35</f>
        <v>2</v>
      </c>
      <c r="FG36" s="58">
        <f t="shared" si="53"/>
        <v>0</v>
      </c>
      <c r="FH36" s="56">
        <f>Participantes!DG35</f>
        <v>1</v>
      </c>
      <c r="FI36" s="56">
        <f>Participantes!DH35</f>
        <v>2</v>
      </c>
      <c r="FJ36" s="58">
        <f t="shared" si="54"/>
        <v>1</v>
      </c>
      <c r="FK36" s="56">
        <f>Participantes!DI35</f>
        <v>1</v>
      </c>
      <c r="FL36" s="56">
        <f>Participantes!DJ35</f>
        <v>2</v>
      </c>
      <c r="FM36" s="58">
        <f t="shared" si="55"/>
        <v>0</v>
      </c>
      <c r="FN36" s="56">
        <f>Participantes!DK35</f>
        <v>1</v>
      </c>
      <c r="FO36" s="56">
        <f>Participantes!DL35</f>
        <v>1</v>
      </c>
      <c r="FP36" s="58">
        <f t="shared" si="56"/>
        <v>3</v>
      </c>
      <c r="FQ36" s="56">
        <f>Participantes!DM35</f>
        <v>0</v>
      </c>
      <c r="FR36" s="56">
        <f>Participantes!DN35</f>
        <v>2</v>
      </c>
      <c r="FS36" s="58">
        <f t="shared" si="57"/>
        <v>1</v>
      </c>
      <c r="FT36" s="56">
        <f>Participantes!DO35</f>
        <v>1</v>
      </c>
      <c r="FU36" s="56">
        <f>Participantes!DP35</f>
        <v>1</v>
      </c>
      <c r="FV36" s="58">
        <f t="shared" si="58"/>
        <v>0</v>
      </c>
      <c r="FW36" s="56">
        <f>Participantes!DQ35</f>
        <v>1</v>
      </c>
      <c r="FX36" s="56">
        <f>Participantes!DR35</f>
        <v>1</v>
      </c>
      <c r="FY36" s="58">
        <f t="shared" si="59"/>
        <v>1</v>
      </c>
      <c r="FZ36" s="56">
        <f>Participantes!DS35</f>
        <v>1</v>
      </c>
      <c r="GA36" s="56">
        <f>Participantes!DT35</f>
        <v>2</v>
      </c>
      <c r="GB36" s="58">
        <f t="shared" si="60"/>
        <v>1</v>
      </c>
      <c r="GC36" s="56">
        <f>Participantes!DU35</f>
        <v>2</v>
      </c>
      <c r="GD36" s="56">
        <f>Participantes!DV35</f>
        <v>0</v>
      </c>
      <c r="GE36" s="58">
        <f t="shared" si="61"/>
        <v>1</v>
      </c>
      <c r="GF36" s="56">
        <f>Participantes!DW35</f>
        <v>1</v>
      </c>
      <c r="GG36" s="56">
        <f>Participantes!DX35</f>
        <v>1</v>
      </c>
      <c r="GH36" s="58">
        <f t="shared" si="62"/>
        <v>3</v>
      </c>
      <c r="GI36" s="56">
        <f>Participantes!DY35</f>
        <v>0</v>
      </c>
      <c r="GJ36" s="56">
        <f>Participantes!DZ35</f>
        <v>2</v>
      </c>
      <c r="GK36" s="58">
        <f t="shared" si="63"/>
        <v>1</v>
      </c>
      <c r="GL36" s="56">
        <f>Participantes!EA35</f>
        <v>1</v>
      </c>
      <c r="GM36" s="56">
        <f>Participantes!EB35</f>
        <v>2</v>
      </c>
      <c r="GN36" s="58">
        <f t="shared" si="64"/>
        <v>0</v>
      </c>
      <c r="GO36" s="56">
        <f>Participantes!EC35</f>
        <v>1</v>
      </c>
      <c r="GP36" s="56">
        <f>Participantes!ED35</f>
        <v>1</v>
      </c>
      <c r="GQ36" s="58">
        <f t="shared" si="65"/>
        <v>0</v>
      </c>
      <c r="GR36" s="56">
        <f>Participantes!EE35</f>
        <v>1</v>
      </c>
      <c r="GS36" s="56">
        <f>Participantes!EF35</f>
        <v>3</v>
      </c>
      <c r="GT36" s="58" t="str">
        <f t="shared" si="66"/>
        <v/>
      </c>
      <c r="GU36" s="56">
        <f>Participantes!EG35</f>
        <v>3</v>
      </c>
      <c r="GV36" s="56">
        <f>Participantes!EH35</f>
        <v>1</v>
      </c>
      <c r="GW36" s="58" t="str">
        <f t="shared" si="67"/>
        <v/>
      </c>
      <c r="GX36" s="56">
        <f>Participantes!EI35</f>
        <v>1</v>
      </c>
      <c r="GY36" s="56">
        <f>Participantes!EJ35</f>
        <v>1</v>
      </c>
      <c r="GZ36" s="58" t="str">
        <f t="shared" si="68"/>
        <v/>
      </c>
      <c r="HA36" s="56">
        <f>Participantes!EK35</f>
        <v>0</v>
      </c>
      <c r="HB36" s="56">
        <f>Participantes!EL35</f>
        <v>2</v>
      </c>
      <c r="HC36" s="58" t="str">
        <f t="shared" si="69"/>
        <v/>
      </c>
      <c r="HD36" s="56">
        <f>Participantes!EM35</f>
        <v>1</v>
      </c>
      <c r="HE36" s="56">
        <f>Participantes!EN35</f>
        <v>2</v>
      </c>
      <c r="HF36" s="58" t="str">
        <f t="shared" si="70"/>
        <v/>
      </c>
      <c r="HG36" s="56">
        <f>Participantes!EO35</f>
        <v>1</v>
      </c>
      <c r="HH36" s="56">
        <f>Participantes!EP35</f>
        <v>1</v>
      </c>
      <c r="HI36" s="58" t="str">
        <f t="shared" si="71"/>
        <v/>
      </c>
      <c r="HJ36" s="59">
        <f t="shared" si="72"/>
        <v>55</v>
      </c>
    </row>
    <row r="37" spans="1:218" ht="15" customHeight="1" x14ac:dyDescent="0.25">
      <c r="A37" s="57" t="str">
        <f>Participantes!B36</f>
        <v>Mily CF 1</v>
      </c>
      <c r="B37" s="56">
        <f>Participantes!C36</f>
        <v>3</v>
      </c>
      <c r="C37" s="56">
        <f>Participantes!D36</f>
        <v>1</v>
      </c>
      <c r="D37" s="58">
        <f t="shared" si="0"/>
        <v>1</v>
      </c>
      <c r="E37" s="56">
        <f>Participantes!E36</f>
        <v>2</v>
      </c>
      <c r="F37" s="56">
        <f>Participantes!F36</f>
        <v>1</v>
      </c>
      <c r="G37" s="58">
        <f t="shared" si="1"/>
        <v>3</v>
      </c>
      <c r="H37" s="56">
        <f>Participantes!G36</f>
        <v>2</v>
      </c>
      <c r="I37" s="56">
        <f>Participantes!H36</f>
        <v>2</v>
      </c>
      <c r="J37" s="58">
        <f t="shared" si="2"/>
        <v>1</v>
      </c>
      <c r="K37" s="56">
        <f>Participantes!I36</f>
        <v>3</v>
      </c>
      <c r="L37" s="56">
        <f>Participantes!J36</f>
        <v>2</v>
      </c>
      <c r="M37" s="58">
        <f t="shared" si="3"/>
        <v>1</v>
      </c>
      <c r="N37" s="56">
        <f>Participantes!K36</f>
        <v>2</v>
      </c>
      <c r="O37" s="56">
        <f>Participantes!L36</f>
        <v>3</v>
      </c>
      <c r="P37" s="58">
        <f t="shared" si="4"/>
        <v>1</v>
      </c>
      <c r="Q37" s="56">
        <f>Participantes!M36</f>
        <v>3</v>
      </c>
      <c r="R37" s="56">
        <f>Participantes!N36</f>
        <v>4</v>
      </c>
      <c r="S37" s="58">
        <f t="shared" si="5"/>
        <v>0</v>
      </c>
      <c r="T37" s="56">
        <f>Participantes!O36</f>
        <v>4</v>
      </c>
      <c r="U37" s="56">
        <f>Participantes!P36</f>
        <v>4</v>
      </c>
      <c r="V37" s="58">
        <f t="shared" si="6"/>
        <v>1</v>
      </c>
      <c r="W37" s="56">
        <f>Participantes!Q36</f>
        <v>1</v>
      </c>
      <c r="X37" s="56">
        <f>Participantes!R36</f>
        <v>2</v>
      </c>
      <c r="Y37" s="58">
        <f t="shared" si="7"/>
        <v>0</v>
      </c>
      <c r="Z37" s="56">
        <f>Participantes!S36</f>
        <v>1</v>
      </c>
      <c r="AA37" s="56">
        <f>Participantes!T36</f>
        <v>3</v>
      </c>
      <c r="AB37" s="58">
        <f t="shared" si="8"/>
        <v>0</v>
      </c>
      <c r="AC37" s="56">
        <f>Participantes!U36</f>
        <v>3</v>
      </c>
      <c r="AD37" s="56">
        <f>Participantes!V36</f>
        <v>1</v>
      </c>
      <c r="AE37" s="58">
        <f t="shared" si="9"/>
        <v>1</v>
      </c>
      <c r="AF37" s="56">
        <f>Participantes!W36</f>
        <v>2</v>
      </c>
      <c r="AG37" s="56">
        <f>Participantes!X36</f>
        <v>2</v>
      </c>
      <c r="AH37" s="58">
        <f t="shared" si="10"/>
        <v>3</v>
      </c>
      <c r="AI37" s="56">
        <f>Participantes!Y36</f>
        <v>2</v>
      </c>
      <c r="AJ37" s="56">
        <f>Participantes!Z36</f>
        <v>1</v>
      </c>
      <c r="AK37" s="58">
        <f t="shared" si="11"/>
        <v>1</v>
      </c>
      <c r="AL37" s="56">
        <f>Participantes!AA36</f>
        <v>2</v>
      </c>
      <c r="AM37" s="56">
        <f>Participantes!AB36</f>
        <v>2</v>
      </c>
      <c r="AN37" s="58">
        <f t="shared" si="12"/>
        <v>1</v>
      </c>
      <c r="AO37" s="56">
        <f>Participantes!AC36</f>
        <v>3</v>
      </c>
      <c r="AP37" s="56">
        <f>Participantes!AD36</f>
        <v>1</v>
      </c>
      <c r="AQ37" s="58">
        <f t="shared" si="13"/>
        <v>0</v>
      </c>
      <c r="AR37" s="56">
        <f>Participantes!AE36</f>
        <v>1</v>
      </c>
      <c r="AS37" s="56">
        <f>Participantes!AF36</f>
        <v>1</v>
      </c>
      <c r="AT37" s="58">
        <f t="shared" si="14"/>
        <v>1</v>
      </c>
      <c r="AU37" s="56">
        <f>Participantes!AG36</f>
        <v>2</v>
      </c>
      <c r="AV37" s="56">
        <f>Participantes!AH36</f>
        <v>2</v>
      </c>
      <c r="AW37" s="58">
        <f t="shared" si="15"/>
        <v>1</v>
      </c>
      <c r="AX37" s="56">
        <f>Participantes!AI36</f>
        <v>3</v>
      </c>
      <c r="AY37" s="56">
        <f>Participantes!AJ36</f>
        <v>3</v>
      </c>
      <c r="AZ37" s="58">
        <f t="shared" si="16"/>
        <v>0</v>
      </c>
      <c r="BA37" s="56">
        <f>Participantes!AK36</f>
        <v>1</v>
      </c>
      <c r="BB37" s="56">
        <f>Participantes!AL36</f>
        <v>2</v>
      </c>
      <c r="BC37" s="58">
        <f t="shared" si="17"/>
        <v>1</v>
      </c>
      <c r="BD37" s="56">
        <f>Participantes!AM36</f>
        <v>3</v>
      </c>
      <c r="BE37" s="56">
        <f>Participantes!AN36</f>
        <v>2</v>
      </c>
      <c r="BF37" s="58">
        <f t="shared" si="18"/>
        <v>1</v>
      </c>
      <c r="BG37" s="56">
        <f>Participantes!AO36</f>
        <v>1</v>
      </c>
      <c r="BH37" s="56">
        <f>Participantes!AP36</f>
        <v>1</v>
      </c>
      <c r="BI37" s="58">
        <f t="shared" si="19"/>
        <v>0</v>
      </c>
      <c r="BJ37" s="56">
        <f>Participantes!AQ36</f>
        <v>1</v>
      </c>
      <c r="BK37" s="56">
        <f>Participantes!AR36</f>
        <v>3</v>
      </c>
      <c r="BL37" s="58">
        <f t="shared" si="20"/>
        <v>0</v>
      </c>
      <c r="BM37" s="56">
        <f>Participantes!AS36</f>
        <v>2</v>
      </c>
      <c r="BN37" s="56">
        <f>Participantes!AT36</f>
        <v>2</v>
      </c>
      <c r="BO37" s="58">
        <f t="shared" si="21"/>
        <v>0</v>
      </c>
      <c r="BP37" s="56">
        <f>Participantes!AU36</f>
        <v>3</v>
      </c>
      <c r="BQ37" s="56">
        <f>Participantes!AV36</f>
        <v>0</v>
      </c>
      <c r="BR37" s="58">
        <f t="shared" si="22"/>
        <v>0</v>
      </c>
      <c r="BS37" s="56">
        <f>Participantes!AW36</f>
        <v>0</v>
      </c>
      <c r="BT37" s="56">
        <f>Participantes!AX36</f>
        <v>3</v>
      </c>
      <c r="BU37" s="58">
        <f t="shared" si="23"/>
        <v>1</v>
      </c>
      <c r="BV37" s="56">
        <f>Participantes!AY36</f>
        <v>1</v>
      </c>
      <c r="BW37" s="56">
        <f>Participantes!AZ36</f>
        <v>1</v>
      </c>
      <c r="BX37" s="58">
        <f t="shared" si="24"/>
        <v>3</v>
      </c>
      <c r="BY37" s="56">
        <f>Participantes!BA36</f>
        <v>2</v>
      </c>
      <c r="BZ37" s="56">
        <f>Participantes!BB36</f>
        <v>1</v>
      </c>
      <c r="CA37" s="58">
        <f t="shared" si="25"/>
        <v>1</v>
      </c>
      <c r="CB37" s="56">
        <f>Participantes!BC36</f>
        <v>3</v>
      </c>
      <c r="CC37" s="56">
        <f>Participantes!BD36</f>
        <v>1</v>
      </c>
      <c r="CD37" s="58">
        <f t="shared" si="26"/>
        <v>1</v>
      </c>
      <c r="CE37" s="56">
        <f>Participantes!BE36</f>
        <v>3</v>
      </c>
      <c r="CF37" s="56">
        <f>Participantes!BF36</f>
        <v>2</v>
      </c>
      <c r="CG37" s="58">
        <f t="shared" si="27"/>
        <v>1</v>
      </c>
      <c r="CH37" s="56">
        <f>Participantes!BG36</f>
        <v>4</v>
      </c>
      <c r="CI37" s="56">
        <f>Participantes!BH36</f>
        <v>2</v>
      </c>
      <c r="CJ37" s="58">
        <f t="shared" si="28"/>
        <v>1</v>
      </c>
      <c r="CK37" s="56">
        <f>Participantes!BI36</f>
        <v>1</v>
      </c>
      <c r="CL37" s="56">
        <f>Participantes!BJ36</f>
        <v>3</v>
      </c>
      <c r="CM37" s="58">
        <f t="shared" si="29"/>
        <v>1</v>
      </c>
      <c r="CN37" s="56">
        <f>Participantes!BK36</f>
        <v>2</v>
      </c>
      <c r="CO37" s="56">
        <f>Participantes!BL36</f>
        <v>2</v>
      </c>
      <c r="CP37" s="58">
        <f t="shared" si="30"/>
        <v>0</v>
      </c>
      <c r="CQ37" s="56">
        <f>Participantes!BM36</f>
        <v>3</v>
      </c>
      <c r="CR37" s="56">
        <f>Participantes!BN36</f>
        <v>2</v>
      </c>
      <c r="CS37" s="58">
        <f t="shared" si="31"/>
        <v>1</v>
      </c>
      <c r="CT37" s="56">
        <f>Participantes!BO36</f>
        <v>2</v>
      </c>
      <c r="CU37" s="56">
        <f>Participantes!BP36</f>
        <v>2</v>
      </c>
      <c r="CV37" s="58">
        <f t="shared" si="32"/>
        <v>0</v>
      </c>
      <c r="CW37" s="56">
        <f>Participantes!BQ36</f>
        <v>3</v>
      </c>
      <c r="CX37" s="56">
        <f>Participantes!BR36</f>
        <v>0</v>
      </c>
      <c r="CY37" s="58">
        <f t="shared" si="33"/>
        <v>0</v>
      </c>
      <c r="CZ37" s="56">
        <f>Participantes!BS36</f>
        <v>2</v>
      </c>
      <c r="DA37" s="56">
        <f>Participantes!BT36</f>
        <v>2</v>
      </c>
      <c r="DB37" s="58">
        <f t="shared" si="34"/>
        <v>0</v>
      </c>
      <c r="DC37" s="56">
        <f>Participantes!BU36</f>
        <v>0</v>
      </c>
      <c r="DD37" s="56">
        <f>Participantes!BV36</f>
        <v>1</v>
      </c>
      <c r="DE37" s="58">
        <f t="shared" si="35"/>
        <v>1</v>
      </c>
      <c r="DF37" s="56">
        <f>Participantes!BW36</f>
        <v>2</v>
      </c>
      <c r="DG37" s="56">
        <f>Participantes!BX36</f>
        <v>0</v>
      </c>
      <c r="DH37" s="58">
        <f t="shared" si="36"/>
        <v>0</v>
      </c>
      <c r="DI37" s="56">
        <f>Participantes!BY36</f>
        <v>3</v>
      </c>
      <c r="DJ37" s="56">
        <f>Participantes!BZ36</f>
        <v>1</v>
      </c>
      <c r="DK37" s="58">
        <f t="shared" si="37"/>
        <v>1</v>
      </c>
      <c r="DL37" s="56">
        <f>Participantes!CA36</f>
        <v>4</v>
      </c>
      <c r="DM37" s="56">
        <f>Participantes!CB36</f>
        <v>1</v>
      </c>
      <c r="DN37" s="58">
        <f t="shared" si="38"/>
        <v>0</v>
      </c>
      <c r="DO37" s="56">
        <f>Participantes!CC36</f>
        <v>1</v>
      </c>
      <c r="DP37" s="56">
        <f>Participantes!CD36</f>
        <v>2</v>
      </c>
      <c r="DQ37" s="58">
        <f t="shared" si="39"/>
        <v>1</v>
      </c>
      <c r="DR37" s="56">
        <f>Participantes!CE36</f>
        <v>2</v>
      </c>
      <c r="DS37" s="56">
        <f>Participantes!CF36</f>
        <v>2</v>
      </c>
      <c r="DT37" s="58">
        <f t="shared" si="40"/>
        <v>0</v>
      </c>
      <c r="DU37" s="56">
        <f>Participantes!CG36</f>
        <v>3</v>
      </c>
      <c r="DV37" s="56">
        <f>Participantes!CH36</f>
        <v>0</v>
      </c>
      <c r="DW37" s="58">
        <f t="shared" si="41"/>
        <v>3</v>
      </c>
      <c r="DX37" s="56">
        <f>Participantes!CI36</f>
        <v>3</v>
      </c>
      <c r="DY37" s="56">
        <f>Participantes!CJ36</f>
        <v>1</v>
      </c>
      <c r="DZ37" s="58">
        <f t="shared" si="42"/>
        <v>1</v>
      </c>
      <c r="EA37" s="56">
        <f>Participantes!CK36</f>
        <v>1</v>
      </c>
      <c r="EB37" s="56">
        <f>Participantes!CL36</f>
        <v>3</v>
      </c>
      <c r="EC37" s="58">
        <f t="shared" si="43"/>
        <v>1</v>
      </c>
      <c r="ED37" s="56">
        <f>Participantes!CM36</f>
        <v>4</v>
      </c>
      <c r="EE37" s="56">
        <f>Participantes!CN36</f>
        <v>1</v>
      </c>
      <c r="EF37" s="58">
        <f t="shared" si="44"/>
        <v>0</v>
      </c>
      <c r="EG37" s="56">
        <f>Participantes!CO36</f>
        <v>2</v>
      </c>
      <c r="EH37" s="56">
        <f>Participantes!CP36</f>
        <v>2</v>
      </c>
      <c r="EI37" s="58">
        <f t="shared" si="45"/>
        <v>0</v>
      </c>
      <c r="EJ37" s="56">
        <f>Participantes!CQ36</f>
        <v>3</v>
      </c>
      <c r="EK37" s="56">
        <f>Participantes!CR36</f>
        <v>0</v>
      </c>
      <c r="EL37" s="58">
        <f t="shared" si="46"/>
        <v>1</v>
      </c>
      <c r="EM37" s="56">
        <f>Participantes!CS36</f>
        <v>3</v>
      </c>
      <c r="EN37" s="56">
        <f>Participantes!CT36</f>
        <v>0</v>
      </c>
      <c r="EO37" s="58">
        <f t="shared" si="47"/>
        <v>1</v>
      </c>
      <c r="EP37" s="56">
        <f>Participantes!CU36</f>
        <v>2</v>
      </c>
      <c r="EQ37" s="56">
        <f>Participantes!CV36</f>
        <v>4</v>
      </c>
      <c r="ER37" s="58">
        <f t="shared" si="48"/>
        <v>1</v>
      </c>
      <c r="ES37" s="56">
        <f>Participantes!CW36</f>
        <v>4</v>
      </c>
      <c r="ET37" s="56">
        <f>Participantes!CX36</f>
        <v>1</v>
      </c>
      <c r="EU37" s="58">
        <f t="shared" si="49"/>
        <v>1</v>
      </c>
      <c r="EV37" s="56">
        <f>Participantes!CY36</f>
        <v>1</v>
      </c>
      <c r="EW37" s="56">
        <f>Participantes!CZ36</f>
        <v>3</v>
      </c>
      <c r="EX37" s="58">
        <f t="shared" si="50"/>
        <v>0</v>
      </c>
      <c r="EY37" s="56">
        <f>Participantes!DA36</f>
        <v>2</v>
      </c>
      <c r="EZ37" s="56">
        <f>Participantes!DB36</f>
        <v>0</v>
      </c>
      <c r="FA37" s="58">
        <f t="shared" si="51"/>
        <v>1</v>
      </c>
      <c r="FB37" s="56">
        <f>Participantes!DC36</f>
        <v>0</v>
      </c>
      <c r="FC37" s="56">
        <f>Participantes!DD36</f>
        <v>3</v>
      </c>
      <c r="FD37" s="58">
        <f t="shared" si="52"/>
        <v>3</v>
      </c>
      <c r="FE37" s="56">
        <f>Participantes!DE36</f>
        <v>1</v>
      </c>
      <c r="FF37" s="56">
        <f>Participantes!DF36</f>
        <v>3</v>
      </c>
      <c r="FG37" s="58">
        <f t="shared" si="53"/>
        <v>0</v>
      </c>
      <c r="FH37" s="56">
        <f>Participantes!DG36</f>
        <v>0</v>
      </c>
      <c r="FI37" s="56">
        <f>Participantes!DH36</f>
        <v>3</v>
      </c>
      <c r="FJ37" s="58">
        <f t="shared" si="54"/>
        <v>1</v>
      </c>
      <c r="FK37" s="56">
        <f>Participantes!DI36</f>
        <v>3</v>
      </c>
      <c r="FL37" s="56">
        <f>Participantes!DJ36</f>
        <v>2</v>
      </c>
      <c r="FM37" s="58">
        <f t="shared" si="55"/>
        <v>1</v>
      </c>
      <c r="FN37" s="56">
        <f>Participantes!DK36</f>
        <v>2</v>
      </c>
      <c r="FO37" s="56">
        <f>Participantes!DL36</f>
        <v>4</v>
      </c>
      <c r="FP37" s="58">
        <f t="shared" si="56"/>
        <v>0</v>
      </c>
      <c r="FQ37" s="56">
        <f>Participantes!DM36</f>
        <v>0</v>
      </c>
      <c r="FR37" s="56">
        <f>Participantes!DN36</f>
        <v>3</v>
      </c>
      <c r="FS37" s="58">
        <f t="shared" si="57"/>
        <v>1</v>
      </c>
      <c r="FT37" s="56">
        <f>Participantes!DO36</f>
        <v>2</v>
      </c>
      <c r="FU37" s="56">
        <f>Participantes!DP36</f>
        <v>2</v>
      </c>
      <c r="FV37" s="58">
        <f t="shared" si="58"/>
        <v>0</v>
      </c>
      <c r="FW37" s="56">
        <f>Participantes!DQ36</f>
        <v>2</v>
      </c>
      <c r="FX37" s="56">
        <f>Participantes!DR36</f>
        <v>1</v>
      </c>
      <c r="FY37" s="58">
        <f t="shared" si="59"/>
        <v>0</v>
      </c>
      <c r="FZ37" s="56">
        <f>Participantes!DS36</f>
        <v>1</v>
      </c>
      <c r="GA37" s="56">
        <f>Participantes!DT36</f>
        <v>3</v>
      </c>
      <c r="GB37" s="58">
        <f t="shared" si="60"/>
        <v>1</v>
      </c>
      <c r="GC37" s="56">
        <f>Participantes!DU36</f>
        <v>3</v>
      </c>
      <c r="GD37" s="56">
        <f>Participantes!DV36</f>
        <v>2</v>
      </c>
      <c r="GE37" s="58">
        <f t="shared" si="61"/>
        <v>1</v>
      </c>
      <c r="GF37" s="56">
        <f>Participantes!DW36</f>
        <v>3</v>
      </c>
      <c r="GG37" s="56">
        <f>Participantes!DX36</f>
        <v>0</v>
      </c>
      <c r="GH37" s="58">
        <f t="shared" si="62"/>
        <v>0</v>
      </c>
      <c r="GI37" s="56">
        <f>Participantes!DY36</f>
        <v>0</v>
      </c>
      <c r="GJ37" s="56">
        <f>Participantes!DZ36</f>
        <v>3</v>
      </c>
      <c r="GK37" s="58">
        <f t="shared" si="63"/>
        <v>1</v>
      </c>
      <c r="GL37" s="56">
        <f>Participantes!EA36</f>
        <v>0</v>
      </c>
      <c r="GM37" s="56">
        <f>Participantes!EB36</f>
        <v>2</v>
      </c>
      <c r="GN37" s="58">
        <f t="shared" si="64"/>
        <v>0</v>
      </c>
      <c r="GO37" s="56">
        <f>Participantes!EC36</f>
        <v>3</v>
      </c>
      <c r="GP37" s="56">
        <f>Participantes!ED36</f>
        <v>3</v>
      </c>
      <c r="GQ37" s="58">
        <f t="shared" si="65"/>
        <v>0</v>
      </c>
      <c r="GR37" s="56">
        <f>Participantes!EE36</f>
        <v>3</v>
      </c>
      <c r="GS37" s="56">
        <f>Participantes!EF36</f>
        <v>4</v>
      </c>
      <c r="GT37" s="58" t="str">
        <f t="shared" si="66"/>
        <v/>
      </c>
      <c r="GU37" s="56">
        <f>Participantes!EG36</f>
        <v>3</v>
      </c>
      <c r="GV37" s="56">
        <f>Participantes!EH36</f>
        <v>0</v>
      </c>
      <c r="GW37" s="58" t="str">
        <f t="shared" si="67"/>
        <v/>
      </c>
      <c r="GX37" s="56">
        <f>Participantes!EI36</f>
        <v>0</v>
      </c>
      <c r="GY37" s="56">
        <f>Participantes!EJ36</f>
        <v>0</v>
      </c>
      <c r="GZ37" s="58" t="str">
        <f t="shared" si="68"/>
        <v/>
      </c>
      <c r="HA37" s="56">
        <f>Participantes!EK36</f>
        <v>0</v>
      </c>
      <c r="HB37" s="56">
        <f>Participantes!EL36</f>
        <v>3</v>
      </c>
      <c r="HC37" s="58" t="str">
        <f t="shared" si="69"/>
        <v/>
      </c>
      <c r="HD37" s="56">
        <f>Participantes!EM36</f>
        <v>3</v>
      </c>
      <c r="HE37" s="56">
        <f>Participantes!EN36</f>
        <v>4</v>
      </c>
      <c r="HF37" s="58" t="str">
        <f t="shared" si="70"/>
        <v/>
      </c>
      <c r="HG37" s="56">
        <f>Participantes!EO36</f>
        <v>0</v>
      </c>
      <c r="HH37" s="56">
        <f>Participantes!EP36</f>
        <v>0</v>
      </c>
      <c r="HI37" s="58" t="str">
        <f t="shared" si="71"/>
        <v/>
      </c>
      <c r="HJ37" s="59">
        <f t="shared" si="72"/>
        <v>50</v>
      </c>
    </row>
    <row r="38" spans="1:218" ht="15" customHeight="1" x14ac:dyDescent="0.25">
      <c r="A38" s="57" t="str">
        <f>Participantes!B37</f>
        <v>Mily CF 2</v>
      </c>
      <c r="B38" s="56">
        <f>Participantes!C37</f>
        <v>2</v>
      </c>
      <c r="C38" s="56">
        <f>Participantes!D37</f>
        <v>1</v>
      </c>
      <c r="D38" s="58">
        <f t="shared" si="0"/>
        <v>1</v>
      </c>
      <c r="E38" s="56">
        <f>Participantes!E37</f>
        <v>2</v>
      </c>
      <c r="F38" s="56">
        <f>Participantes!F37</f>
        <v>0</v>
      </c>
      <c r="G38" s="58">
        <f t="shared" si="1"/>
        <v>1</v>
      </c>
      <c r="H38" s="56">
        <f>Participantes!G37</f>
        <v>1</v>
      </c>
      <c r="I38" s="56">
        <f>Participantes!H37</f>
        <v>0</v>
      </c>
      <c r="J38" s="58">
        <f t="shared" si="2"/>
        <v>0</v>
      </c>
      <c r="K38" s="56">
        <f>Participantes!I37</f>
        <v>2</v>
      </c>
      <c r="L38" s="56">
        <f>Participantes!J37</f>
        <v>1</v>
      </c>
      <c r="M38" s="58">
        <f t="shared" si="3"/>
        <v>1</v>
      </c>
      <c r="N38" s="56">
        <f>Participantes!K37</f>
        <v>1</v>
      </c>
      <c r="O38" s="56">
        <f>Participantes!L37</f>
        <v>1</v>
      </c>
      <c r="P38" s="58">
        <f t="shared" si="4"/>
        <v>0</v>
      </c>
      <c r="Q38" s="56">
        <f>Participantes!M37</f>
        <v>1</v>
      </c>
      <c r="R38" s="56">
        <f>Participantes!N37</f>
        <v>2</v>
      </c>
      <c r="S38" s="58">
        <f t="shared" si="5"/>
        <v>0</v>
      </c>
      <c r="T38" s="56">
        <f>Participantes!O37</f>
        <v>2</v>
      </c>
      <c r="U38" s="56">
        <f>Participantes!P37</f>
        <v>1</v>
      </c>
      <c r="V38" s="58">
        <f t="shared" si="6"/>
        <v>0</v>
      </c>
      <c r="W38" s="56">
        <f>Participantes!Q37</f>
        <v>0</v>
      </c>
      <c r="X38" s="56">
        <f>Participantes!R37</f>
        <v>1</v>
      </c>
      <c r="Y38" s="58">
        <f t="shared" si="7"/>
        <v>0</v>
      </c>
      <c r="Z38" s="56">
        <f>Participantes!S37</f>
        <v>2</v>
      </c>
      <c r="AA38" s="56">
        <f>Participantes!T37</f>
        <v>3</v>
      </c>
      <c r="AB38" s="58">
        <f t="shared" si="8"/>
        <v>0</v>
      </c>
      <c r="AC38" s="56">
        <f>Participantes!U37</f>
        <v>3</v>
      </c>
      <c r="AD38" s="56">
        <f>Participantes!V37</f>
        <v>1</v>
      </c>
      <c r="AE38" s="58">
        <f t="shared" si="9"/>
        <v>1</v>
      </c>
      <c r="AF38" s="56">
        <f>Participantes!W37</f>
        <v>2</v>
      </c>
      <c r="AG38" s="56">
        <f>Participantes!X37</f>
        <v>1</v>
      </c>
      <c r="AH38" s="58">
        <f t="shared" si="10"/>
        <v>0</v>
      </c>
      <c r="AI38" s="56">
        <f>Participantes!Y37</f>
        <v>1</v>
      </c>
      <c r="AJ38" s="56">
        <f>Participantes!Z37</f>
        <v>1</v>
      </c>
      <c r="AK38" s="58">
        <f t="shared" si="11"/>
        <v>0</v>
      </c>
      <c r="AL38" s="56">
        <f>Participantes!AA37</f>
        <v>1</v>
      </c>
      <c r="AM38" s="56">
        <f>Participantes!AB37</f>
        <v>2</v>
      </c>
      <c r="AN38" s="58">
        <f t="shared" si="12"/>
        <v>0</v>
      </c>
      <c r="AO38" s="56">
        <f>Participantes!AC37</f>
        <v>3</v>
      </c>
      <c r="AP38" s="56">
        <f>Participantes!AD37</f>
        <v>0</v>
      </c>
      <c r="AQ38" s="58">
        <f t="shared" si="13"/>
        <v>0</v>
      </c>
      <c r="AR38" s="56">
        <f>Participantes!AE37</f>
        <v>1</v>
      </c>
      <c r="AS38" s="56">
        <f>Participantes!AF37</f>
        <v>0</v>
      </c>
      <c r="AT38" s="58">
        <f t="shared" si="14"/>
        <v>0</v>
      </c>
      <c r="AU38" s="56">
        <f>Participantes!AG37</f>
        <v>2</v>
      </c>
      <c r="AV38" s="56">
        <f>Participantes!AH37</f>
        <v>0</v>
      </c>
      <c r="AW38" s="58">
        <f t="shared" si="15"/>
        <v>0</v>
      </c>
      <c r="AX38" s="56">
        <f>Participantes!AI37</f>
        <v>2</v>
      </c>
      <c r="AY38" s="56">
        <f>Participantes!AJ37</f>
        <v>1</v>
      </c>
      <c r="AZ38" s="58">
        <f t="shared" si="16"/>
        <v>1</v>
      </c>
      <c r="BA38" s="56">
        <f>Participantes!AK37</f>
        <v>0</v>
      </c>
      <c r="BB38" s="56">
        <f>Participantes!AL37</f>
        <v>2</v>
      </c>
      <c r="BC38" s="58">
        <f t="shared" si="17"/>
        <v>1</v>
      </c>
      <c r="BD38" s="56">
        <f>Participantes!AM37</f>
        <v>2</v>
      </c>
      <c r="BE38" s="56">
        <f>Participantes!AN37</f>
        <v>0</v>
      </c>
      <c r="BF38" s="58">
        <f t="shared" si="18"/>
        <v>1</v>
      </c>
      <c r="BG38" s="56">
        <f>Participantes!AO37</f>
        <v>1</v>
      </c>
      <c r="BH38" s="56">
        <f>Participantes!AP37</f>
        <v>0</v>
      </c>
      <c r="BI38" s="58">
        <f t="shared" si="19"/>
        <v>1</v>
      </c>
      <c r="BJ38" s="56">
        <f>Participantes!AQ37</f>
        <v>1</v>
      </c>
      <c r="BK38" s="56">
        <f>Participantes!AR37</f>
        <v>2</v>
      </c>
      <c r="BL38" s="58">
        <f t="shared" si="20"/>
        <v>0</v>
      </c>
      <c r="BM38" s="56">
        <f>Participantes!AS37</f>
        <v>2</v>
      </c>
      <c r="BN38" s="56">
        <f>Participantes!AT37</f>
        <v>2</v>
      </c>
      <c r="BO38" s="58">
        <f t="shared" si="21"/>
        <v>0</v>
      </c>
      <c r="BP38" s="56">
        <f>Participantes!AU37</f>
        <v>3</v>
      </c>
      <c r="BQ38" s="56">
        <f>Participantes!AV37</f>
        <v>0</v>
      </c>
      <c r="BR38" s="58">
        <f t="shared" si="22"/>
        <v>0</v>
      </c>
      <c r="BS38" s="56">
        <f>Participantes!AW37</f>
        <v>1</v>
      </c>
      <c r="BT38" s="56">
        <f>Participantes!AX37</f>
        <v>2</v>
      </c>
      <c r="BU38" s="58">
        <f t="shared" si="23"/>
        <v>1</v>
      </c>
      <c r="BV38" s="56">
        <f>Participantes!AY37</f>
        <v>0</v>
      </c>
      <c r="BW38" s="56">
        <f>Participantes!AZ37</f>
        <v>1</v>
      </c>
      <c r="BX38" s="58">
        <f t="shared" si="24"/>
        <v>0</v>
      </c>
      <c r="BY38" s="56">
        <f>Participantes!BA37</f>
        <v>1</v>
      </c>
      <c r="BZ38" s="56">
        <f>Participantes!BB37</f>
        <v>1</v>
      </c>
      <c r="CA38" s="58">
        <f t="shared" si="25"/>
        <v>0</v>
      </c>
      <c r="CB38" s="56">
        <f>Participantes!BC37</f>
        <v>2</v>
      </c>
      <c r="CC38" s="56">
        <f>Participantes!BD37</f>
        <v>1</v>
      </c>
      <c r="CD38" s="58">
        <f t="shared" si="26"/>
        <v>1</v>
      </c>
      <c r="CE38" s="56">
        <f>Participantes!BE37</f>
        <v>2</v>
      </c>
      <c r="CF38" s="56">
        <f>Participantes!BF37</f>
        <v>1</v>
      </c>
      <c r="CG38" s="58">
        <f t="shared" si="27"/>
        <v>1</v>
      </c>
      <c r="CH38" s="56">
        <f>Participantes!BG37</f>
        <v>3</v>
      </c>
      <c r="CI38" s="56">
        <f>Participantes!BH37</f>
        <v>0</v>
      </c>
      <c r="CJ38" s="58">
        <f t="shared" si="28"/>
        <v>3</v>
      </c>
      <c r="CK38" s="56">
        <f>Participantes!BI37</f>
        <v>2</v>
      </c>
      <c r="CL38" s="56">
        <f>Participantes!BJ37</f>
        <v>2</v>
      </c>
      <c r="CM38" s="58">
        <f t="shared" si="29"/>
        <v>0</v>
      </c>
      <c r="CN38" s="56">
        <f>Participantes!BK37</f>
        <v>1</v>
      </c>
      <c r="CO38" s="56">
        <f>Participantes!BL37</f>
        <v>1</v>
      </c>
      <c r="CP38" s="58">
        <f t="shared" si="30"/>
        <v>0</v>
      </c>
      <c r="CQ38" s="56">
        <f>Participantes!BM37</f>
        <v>3</v>
      </c>
      <c r="CR38" s="56">
        <f>Participantes!BN37</f>
        <v>1</v>
      </c>
      <c r="CS38" s="58">
        <f t="shared" si="31"/>
        <v>1</v>
      </c>
      <c r="CT38" s="56">
        <f>Participantes!BO37</f>
        <v>2</v>
      </c>
      <c r="CU38" s="56">
        <f>Participantes!BP37</f>
        <v>1</v>
      </c>
      <c r="CV38" s="58">
        <f t="shared" si="32"/>
        <v>3</v>
      </c>
      <c r="CW38" s="56">
        <f>Participantes!BQ37</f>
        <v>2</v>
      </c>
      <c r="CX38" s="56">
        <f>Participantes!BR37</f>
        <v>1</v>
      </c>
      <c r="CY38" s="58">
        <f t="shared" si="33"/>
        <v>0</v>
      </c>
      <c r="CZ38" s="56">
        <f>Participantes!BS37</f>
        <v>2</v>
      </c>
      <c r="DA38" s="56">
        <f>Participantes!BT37</f>
        <v>1</v>
      </c>
      <c r="DB38" s="58">
        <f t="shared" si="34"/>
        <v>1</v>
      </c>
      <c r="DC38" s="56">
        <f>Participantes!BU37</f>
        <v>1</v>
      </c>
      <c r="DD38" s="56">
        <f>Participantes!BV37</f>
        <v>2</v>
      </c>
      <c r="DE38" s="58">
        <f t="shared" si="35"/>
        <v>1</v>
      </c>
      <c r="DF38" s="56">
        <f>Participantes!BW37</f>
        <v>1</v>
      </c>
      <c r="DG38" s="56">
        <f>Participantes!BX37</f>
        <v>0</v>
      </c>
      <c r="DH38" s="58">
        <f t="shared" si="36"/>
        <v>0</v>
      </c>
      <c r="DI38" s="56">
        <f>Participantes!BY37</f>
        <v>3</v>
      </c>
      <c r="DJ38" s="56">
        <f>Participantes!BZ37</f>
        <v>1</v>
      </c>
      <c r="DK38" s="58">
        <f t="shared" si="37"/>
        <v>1</v>
      </c>
      <c r="DL38" s="56">
        <f>Participantes!CA37</f>
        <v>2</v>
      </c>
      <c r="DM38" s="56">
        <f>Participantes!CB37</f>
        <v>0</v>
      </c>
      <c r="DN38" s="58">
        <f t="shared" si="38"/>
        <v>0</v>
      </c>
      <c r="DO38" s="56">
        <f>Participantes!CC37</f>
        <v>0</v>
      </c>
      <c r="DP38" s="56">
        <f>Participantes!CD37</f>
        <v>1</v>
      </c>
      <c r="DQ38" s="58">
        <f t="shared" si="39"/>
        <v>1</v>
      </c>
      <c r="DR38" s="56">
        <f>Participantes!CE37</f>
        <v>2</v>
      </c>
      <c r="DS38" s="56">
        <f>Participantes!CF37</f>
        <v>0</v>
      </c>
      <c r="DT38" s="58">
        <f t="shared" si="40"/>
        <v>1</v>
      </c>
      <c r="DU38" s="56">
        <f>Participantes!CG37</f>
        <v>2</v>
      </c>
      <c r="DV38" s="56">
        <f>Participantes!CH37</f>
        <v>0</v>
      </c>
      <c r="DW38" s="58">
        <f t="shared" si="41"/>
        <v>1</v>
      </c>
      <c r="DX38" s="56">
        <f>Participantes!CI37</f>
        <v>2</v>
      </c>
      <c r="DY38" s="56">
        <f>Participantes!CJ37</f>
        <v>0</v>
      </c>
      <c r="DZ38" s="58">
        <f t="shared" si="42"/>
        <v>3</v>
      </c>
      <c r="EA38" s="56">
        <f>Participantes!CK37</f>
        <v>1</v>
      </c>
      <c r="EB38" s="56">
        <f>Participantes!CL37</f>
        <v>1</v>
      </c>
      <c r="EC38" s="58">
        <f t="shared" si="43"/>
        <v>0</v>
      </c>
      <c r="ED38" s="56">
        <f>Participantes!CM37</f>
        <v>3</v>
      </c>
      <c r="EE38" s="56">
        <f>Participantes!CN37</f>
        <v>0</v>
      </c>
      <c r="EF38" s="58">
        <f t="shared" si="44"/>
        <v>0</v>
      </c>
      <c r="EG38" s="56">
        <f>Participantes!CO37</f>
        <v>1</v>
      </c>
      <c r="EH38" s="56">
        <f>Participantes!CP37</f>
        <v>0</v>
      </c>
      <c r="EI38" s="58">
        <f t="shared" si="45"/>
        <v>0</v>
      </c>
      <c r="EJ38" s="56">
        <f>Participantes!CQ37</f>
        <v>2</v>
      </c>
      <c r="EK38" s="56">
        <f>Participantes!CR37</f>
        <v>0</v>
      </c>
      <c r="EL38" s="58">
        <f t="shared" si="46"/>
        <v>1</v>
      </c>
      <c r="EM38" s="56">
        <f>Participantes!CS37</f>
        <v>3</v>
      </c>
      <c r="EN38" s="56">
        <f>Participantes!CT37</f>
        <v>0</v>
      </c>
      <c r="EO38" s="58">
        <f t="shared" si="47"/>
        <v>1</v>
      </c>
      <c r="EP38" s="56">
        <f>Participantes!CU37</f>
        <v>0</v>
      </c>
      <c r="EQ38" s="56">
        <f>Participantes!CV37</f>
        <v>2</v>
      </c>
      <c r="ER38" s="58">
        <f t="shared" si="48"/>
        <v>1</v>
      </c>
      <c r="ES38" s="56">
        <f>Participantes!CW37</f>
        <v>2</v>
      </c>
      <c r="ET38" s="56">
        <f>Participantes!CX37</f>
        <v>0</v>
      </c>
      <c r="EU38" s="58">
        <f t="shared" si="49"/>
        <v>1</v>
      </c>
      <c r="EV38" s="56">
        <f>Participantes!CY37</f>
        <v>1</v>
      </c>
      <c r="EW38" s="56">
        <f>Participantes!CZ37</f>
        <v>1</v>
      </c>
      <c r="EX38" s="58">
        <f t="shared" si="50"/>
        <v>0</v>
      </c>
      <c r="EY38" s="56">
        <f>Participantes!DA37</f>
        <v>2</v>
      </c>
      <c r="EZ38" s="56">
        <f>Participantes!DB37</f>
        <v>1</v>
      </c>
      <c r="FA38" s="58">
        <f t="shared" si="51"/>
        <v>1</v>
      </c>
      <c r="FB38" s="56">
        <f>Participantes!DC37</f>
        <v>1</v>
      </c>
      <c r="FC38" s="56">
        <f>Participantes!DD37</f>
        <v>2</v>
      </c>
      <c r="FD38" s="58">
        <f t="shared" si="52"/>
        <v>1</v>
      </c>
      <c r="FE38" s="56">
        <f>Participantes!DE37</f>
        <v>2</v>
      </c>
      <c r="FF38" s="56">
        <f>Participantes!DF37</f>
        <v>2</v>
      </c>
      <c r="FG38" s="58">
        <f t="shared" si="53"/>
        <v>0</v>
      </c>
      <c r="FH38" s="56">
        <f>Participantes!DG37</f>
        <v>1</v>
      </c>
      <c r="FI38" s="56">
        <f>Participantes!DH37</f>
        <v>1</v>
      </c>
      <c r="FJ38" s="58">
        <f t="shared" si="54"/>
        <v>0</v>
      </c>
      <c r="FK38" s="56">
        <f>Participantes!DI37</f>
        <v>2</v>
      </c>
      <c r="FL38" s="56">
        <f>Participantes!DJ37</f>
        <v>3</v>
      </c>
      <c r="FM38" s="58">
        <f t="shared" si="55"/>
        <v>0</v>
      </c>
      <c r="FN38" s="56">
        <f>Participantes!DK37</f>
        <v>1</v>
      </c>
      <c r="FO38" s="56">
        <f>Participantes!DL37</f>
        <v>2</v>
      </c>
      <c r="FP38" s="58">
        <f t="shared" si="56"/>
        <v>0</v>
      </c>
      <c r="FQ38" s="56">
        <f>Participantes!DM37</f>
        <v>1</v>
      </c>
      <c r="FR38" s="56">
        <f>Participantes!DN37</f>
        <v>3</v>
      </c>
      <c r="FS38" s="58">
        <f t="shared" si="57"/>
        <v>3</v>
      </c>
      <c r="FT38" s="56">
        <f>Participantes!DO37</f>
        <v>1</v>
      </c>
      <c r="FU38" s="56">
        <f>Participantes!DP37</f>
        <v>2</v>
      </c>
      <c r="FV38" s="58">
        <f t="shared" si="58"/>
        <v>0</v>
      </c>
      <c r="FW38" s="56">
        <f>Participantes!DQ37</f>
        <v>2</v>
      </c>
      <c r="FX38" s="56">
        <f>Participantes!DR37</f>
        <v>1</v>
      </c>
      <c r="FY38" s="58">
        <f t="shared" si="59"/>
        <v>0</v>
      </c>
      <c r="FZ38" s="56">
        <f>Participantes!DS37</f>
        <v>2</v>
      </c>
      <c r="GA38" s="56">
        <f>Participantes!DT37</f>
        <v>3</v>
      </c>
      <c r="GB38" s="58">
        <f t="shared" si="60"/>
        <v>1</v>
      </c>
      <c r="GC38" s="56">
        <f>Participantes!DU37</f>
        <v>1</v>
      </c>
      <c r="GD38" s="56">
        <f>Participantes!DV37</f>
        <v>0</v>
      </c>
      <c r="GE38" s="58">
        <f t="shared" si="61"/>
        <v>1</v>
      </c>
      <c r="GF38" s="56">
        <f>Participantes!DW37</f>
        <v>2</v>
      </c>
      <c r="GG38" s="56">
        <f>Participantes!DX37</f>
        <v>0</v>
      </c>
      <c r="GH38" s="58">
        <f t="shared" si="62"/>
        <v>0</v>
      </c>
      <c r="GI38" s="56">
        <f>Participantes!DY37</f>
        <v>0</v>
      </c>
      <c r="GJ38" s="56">
        <f>Participantes!DZ37</f>
        <v>3</v>
      </c>
      <c r="GK38" s="58">
        <f t="shared" si="63"/>
        <v>1</v>
      </c>
      <c r="GL38" s="56">
        <f>Participantes!EA37</f>
        <v>2</v>
      </c>
      <c r="GM38" s="56">
        <f>Participantes!EB37</f>
        <v>2</v>
      </c>
      <c r="GN38" s="58">
        <f t="shared" si="64"/>
        <v>1</v>
      </c>
      <c r="GO38" s="56">
        <f>Participantes!EC37</f>
        <v>1</v>
      </c>
      <c r="GP38" s="56">
        <f>Participantes!ED37</f>
        <v>2</v>
      </c>
      <c r="GQ38" s="58">
        <f t="shared" si="65"/>
        <v>1</v>
      </c>
      <c r="GR38" s="56">
        <f>Participantes!EE37</f>
        <v>1</v>
      </c>
      <c r="GS38" s="56">
        <f>Participantes!EF37</f>
        <v>3</v>
      </c>
      <c r="GT38" s="58" t="str">
        <f t="shared" si="66"/>
        <v/>
      </c>
      <c r="GU38" s="56">
        <f>Participantes!EG37</f>
        <v>2</v>
      </c>
      <c r="GV38" s="56">
        <f>Participantes!EH37</f>
        <v>0</v>
      </c>
      <c r="GW38" s="58" t="str">
        <f t="shared" si="67"/>
        <v/>
      </c>
      <c r="GX38" s="56">
        <f>Participantes!EI37</f>
        <v>1</v>
      </c>
      <c r="GY38" s="56">
        <f>Participantes!EJ37</f>
        <v>2</v>
      </c>
      <c r="GZ38" s="58" t="str">
        <f t="shared" si="68"/>
        <v/>
      </c>
      <c r="HA38" s="56">
        <f>Participantes!EK37</f>
        <v>1</v>
      </c>
      <c r="HB38" s="56">
        <f>Participantes!EL37</f>
        <v>3</v>
      </c>
      <c r="HC38" s="58" t="str">
        <f t="shared" si="69"/>
        <v/>
      </c>
      <c r="HD38" s="56">
        <f>Participantes!EM37</f>
        <v>1</v>
      </c>
      <c r="HE38" s="56">
        <f>Participantes!EN37</f>
        <v>2</v>
      </c>
      <c r="HF38" s="58" t="str">
        <f t="shared" si="70"/>
        <v/>
      </c>
      <c r="HG38" s="56">
        <f>Participantes!EO37</f>
        <v>0</v>
      </c>
      <c r="HH38" s="56">
        <f>Participantes!EP37</f>
        <v>0</v>
      </c>
      <c r="HI38" s="58" t="str">
        <f t="shared" si="71"/>
        <v/>
      </c>
      <c r="HJ38" s="59">
        <f t="shared" si="72"/>
        <v>41</v>
      </c>
    </row>
    <row r="39" spans="1:218" ht="15" customHeight="1" x14ac:dyDescent="0.25">
      <c r="A39" s="57" t="str">
        <f>Participantes!B38</f>
        <v>Mily Frida</v>
      </c>
      <c r="B39" s="56">
        <f>Participantes!C38</f>
        <v>2</v>
      </c>
      <c r="C39" s="56">
        <f>Participantes!D38</f>
        <v>0</v>
      </c>
      <c r="D39" s="58">
        <f t="shared" si="0"/>
        <v>3</v>
      </c>
      <c r="E39" s="56">
        <f>Participantes!E38</f>
        <v>1</v>
      </c>
      <c r="F39" s="56">
        <f>Participantes!F38</f>
        <v>1</v>
      </c>
      <c r="G39" s="58">
        <f t="shared" si="1"/>
        <v>0</v>
      </c>
      <c r="H39" s="56">
        <f>Participantes!G38</f>
        <v>0</v>
      </c>
      <c r="I39" s="56">
        <f>Participantes!H38</f>
        <v>1</v>
      </c>
      <c r="J39" s="58">
        <f t="shared" si="2"/>
        <v>0</v>
      </c>
      <c r="K39" s="56">
        <f>Participantes!I38</f>
        <v>0</v>
      </c>
      <c r="L39" s="56">
        <f>Participantes!J38</f>
        <v>1</v>
      </c>
      <c r="M39" s="58">
        <f t="shared" si="3"/>
        <v>0</v>
      </c>
      <c r="N39" s="56">
        <f>Participantes!K38</f>
        <v>0</v>
      </c>
      <c r="O39" s="56">
        <f>Participantes!L38</f>
        <v>1</v>
      </c>
      <c r="P39" s="58">
        <f t="shared" si="4"/>
        <v>3</v>
      </c>
      <c r="Q39" s="56">
        <f>Participantes!M38</f>
        <v>1</v>
      </c>
      <c r="R39" s="56">
        <f>Participantes!N38</f>
        <v>0</v>
      </c>
      <c r="S39" s="58">
        <f t="shared" si="5"/>
        <v>1</v>
      </c>
      <c r="T39" s="56">
        <f>Participantes!O38</f>
        <v>3</v>
      </c>
      <c r="U39" s="56">
        <f>Participantes!P38</f>
        <v>1</v>
      </c>
      <c r="V39" s="58">
        <f t="shared" si="6"/>
        <v>0</v>
      </c>
      <c r="W39" s="56">
        <f>Participantes!Q38</f>
        <v>0</v>
      </c>
      <c r="X39" s="56">
        <f>Participantes!R38</f>
        <v>1</v>
      </c>
      <c r="Y39" s="58">
        <f t="shared" si="7"/>
        <v>0</v>
      </c>
      <c r="Z39" s="56">
        <f>Participantes!S38</f>
        <v>1</v>
      </c>
      <c r="AA39" s="56">
        <f>Participantes!T38</f>
        <v>0</v>
      </c>
      <c r="AB39" s="58">
        <f t="shared" si="8"/>
        <v>3</v>
      </c>
      <c r="AC39" s="56">
        <f>Participantes!U38</f>
        <v>2</v>
      </c>
      <c r="AD39" s="56">
        <f>Participantes!V38</f>
        <v>0</v>
      </c>
      <c r="AE39" s="58">
        <f t="shared" si="9"/>
        <v>1</v>
      </c>
      <c r="AF39" s="56">
        <f>Participantes!W38</f>
        <v>2</v>
      </c>
      <c r="AG39" s="56">
        <f>Participantes!X38</f>
        <v>1</v>
      </c>
      <c r="AH39" s="58">
        <f t="shared" si="10"/>
        <v>0</v>
      </c>
      <c r="AI39" s="56">
        <f>Participantes!Y38</f>
        <v>2</v>
      </c>
      <c r="AJ39" s="56">
        <f>Participantes!Z38</f>
        <v>1</v>
      </c>
      <c r="AK39" s="58">
        <f t="shared" si="11"/>
        <v>1</v>
      </c>
      <c r="AL39" s="56">
        <f>Participantes!AA38</f>
        <v>1</v>
      </c>
      <c r="AM39" s="56">
        <f>Participantes!AB38</f>
        <v>2</v>
      </c>
      <c r="AN39" s="58">
        <f t="shared" si="12"/>
        <v>0</v>
      </c>
      <c r="AO39" s="56">
        <f>Participantes!AC38</f>
        <v>2</v>
      </c>
      <c r="AP39" s="56">
        <f>Participantes!AD38</f>
        <v>0</v>
      </c>
      <c r="AQ39" s="58">
        <f t="shared" si="13"/>
        <v>0</v>
      </c>
      <c r="AR39" s="56">
        <f>Participantes!AE38</f>
        <v>1</v>
      </c>
      <c r="AS39" s="56">
        <f>Participantes!AF38</f>
        <v>0</v>
      </c>
      <c r="AT39" s="58">
        <f t="shared" si="14"/>
        <v>0</v>
      </c>
      <c r="AU39" s="56">
        <f>Participantes!AG38</f>
        <v>0</v>
      </c>
      <c r="AV39" s="56">
        <f>Participantes!AH38</f>
        <v>1</v>
      </c>
      <c r="AW39" s="58">
        <f t="shared" si="15"/>
        <v>0</v>
      </c>
      <c r="AX39" s="56">
        <f>Participantes!AI38</f>
        <v>3</v>
      </c>
      <c r="AY39" s="56">
        <f>Participantes!AJ38</f>
        <v>1</v>
      </c>
      <c r="AZ39" s="58">
        <f t="shared" si="16"/>
        <v>3</v>
      </c>
      <c r="BA39" s="56">
        <f>Participantes!AK38</f>
        <v>1</v>
      </c>
      <c r="BB39" s="56">
        <f>Participantes!AL38</f>
        <v>0</v>
      </c>
      <c r="BC39" s="58">
        <f t="shared" si="17"/>
        <v>0</v>
      </c>
      <c r="BD39" s="56">
        <f>Participantes!AM38</f>
        <v>2</v>
      </c>
      <c r="BE39" s="56">
        <f>Participantes!AN38</f>
        <v>0</v>
      </c>
      <c r="BF39" s="58">
        <f t="shared" si="18"/>
        <v>1</v>
      </c>
      <c r="BG39" s="56">
        <f>Participantes!AO38</f>
        <v>2</v>
      </c>
      <c r="BH39" s="56">
        <f>Participantes!AP38</f>
        <v>0</v>
      </c>
      <c r="BI39" s="58">
        <f t="shared" si="19"/>
        <v>1</v>
      </c>
      <c r="BJ39" s="56">
        <f>Participantes!AQ38</f>
        <v>1</v>
      </c>
      <c r="BK39" s="56">
        <f>Participantes!AR38</f>
        <v>2</v>
      </c>
      <c r="BL39" s="58">
        <f t="shared" si="20"/>
        <v>0</v>
      </c>
      <c r="BM39" s="56">
        <f>Participantes!AS38</f>
        <v>2</v>
      </c>
      <c r="BN39" s="56">
        <f>Participantes!AT38</f>
        <v>1</v>
      </c>
      <c r="BO39" s="58">
        <f t="shared" si="21"/>
        <v>1</v>
      </c>
      <c r="BP39" s="56">
        <f>Participantes!AU38</f>
        <v>2</v>
      </c>
      <c r="BQ39" s="56">
        <f>Participantes!AV38</f>
        <v>0</v>
      </c>
      <c r="BR39" s="58">
        <f t="shared" si="22"/>
        <v>0</v>
      </c>
      <c r="BS39" s="56">
        <f>Participantes!AW38</f>
        <v>1</v>
      </c>
      <c r="BT39" s="56">
        <f>Participantes!AX38</f>
        <v>2</v>
      </c>
      <c r="BU39" s="58">
        <f t="shared" si="23"/>
        <v>1</v>
      </c>
      <c r="BV39" s="56">
        <f>Participantes!AY38</f>
        <v>1</v>
      </c>
      <c r="BW39" s="56">
        <f>Participantes!AZ38</f>
        <v>0</v>
      </c>
      <c r="BX39" s="58">
        <f t="shared" si="24"/>
        <v>0</v>
      </c>
      <c r="BY39" s="56">
        <f>Participantes!BA38</f>
        <v>1</v>
      </c>
      <c r="BZ39" s="56">
        <f>Participantes!BB38</f>
        <v>1</v>
      </c>
      <c r="CA39" s="58">
        <f t="shared" si="25"/>
        <v>0</v>
      </c>
      <c r="CB39" s="56">
        <f>Participantes!BC38</f>
        <v>0</v>
      </c>
      <c r="CC39" s="56">
        <f>Participantes!BD38</f>
        <v>1</v>
      </c>
      <c r="CD39" s="58">
        <f t="shared" si="26"/>
        <v>0</v>
      </c>
      <c r="CE39" s="56">
        <f>Participantes!BE38</f>
        <v>1</v>
      </c>
      <c r="CF39" s="56">
        <f>Participantes!BF38</f>
        <v>1</v>
      </c>
      <c r="CG39" s="58">
        <f t="shared" si="27"/>
        <v>0</v>
      </c>
      <c r="CH39" s="56">
        <f>Participantes!BG38</f>
        <v>2</v>
      </c>
      <c r="CI39" s="56">
        <f>Participantes!BH38</f>
        <v>1</v>
      </c>
      <c r="CJ39" s="58">
        <f t="shared" si="28"/>
        <v>1</v>
      </c>
      <c r="CK39" s="56">
        <f>Participantes!BI38</f>
        <v>2</v>
      </c>
      <c r="CL39" s="56">
        <f>Participantes!BJ38</f>
        <v>0</v>
      </c>
      <c r="CM39" s="58">
        <f t="shared" si="29"/>
        <v>0</v>
      </c>
      <c r="CN39" s="56">
        <f>Participantes!BK38</f>
        <v>0</v>
      </c>
      <c r="CO39" s="56">
        <f>Participantes!BL38</f>
        <v>1</v>
      </c>
      <c r="CP39" s="58">
        <f t="shared" si="30"/>
        <v>3</v>
      </c>
      <c r="CQ39" s="56">
        <f>Participantes!BM38</f>
        <v>1</v>
      </c>
      <c r="CR39" s="56">
        <f>Participantes!BN38</f>
        <v>2</v>
      </c>
      <c r="CS39" s="58">
        <f t="shared" si="31"/>
        <v>0</v>
      </c>
      <c r="CT39" s="56">
        <f>Participantes!BO38</f>
        <v>2</v>
      </c>
      <c r="CU39" s="56">
        <f>Participantes!BP38</f>
        <v>0</v>
      </c>
      <c r="CV39" s="58">
        <f t="shared" si="32"/>
        <v>1</v>
      </c>
      <c r="CW39" s="56">
        <f>Participantes!BQ38</f>
        <v>2</v>
      </c>
      <c r="CX39" s="56">
        <f>Participantes!BR38</f>
        <v>0</v>
      </c>
      <c r="CY39" s="58">
        <f t="shared" si="33"/>
        <v>0</v>
      </c>
      <c r="CZ39" s="56">
        <f>Participantes!BS38</f>
        <v>1</v>
      </c>
      <c r="DA39" s="56">
        <f>Participantes!BT38</f>
        <v>0</v>
      </c>
      <c r="DB39" s="58">
        <f t="shared" si="34"/>
        <v>1</v>
      </c>
      <c r="DC39" s="56">
        <f>Participantes!BU38</f>
        <v>0</v>
      </c>
      <c r="DD39" s="56">
        <f>Participantes!BV38</f>
        <v>1</v>
      </c>
      <c r="DE39" s="58">
        <f t="shared" si="35"/>
        <v>1</v>
      </c>
      <c r="DF39" s="56">
        <f>Participantes!BW38</f>
        <v>2</v>
      </c>
      <c r="DG39" s="56">
        <f>Participantes!BX38</f>
        <v>1</v>
      </c>
      <c r="DH39" s="58">
        <f t="shared" si="36"/>
        <v>0</v>
      </c>
      <c r="DI39" s="56">
        <f>Participantes!BY38</f>
        <v>2</v>
      </c>
      <c r="DJ39" s="56">
        <f>Participantes!BZ38</f>
        <v>0</v>
      </c>
      <c r="DK39" s="58">
        <f t="shared" si="37"/>
        <v>1</v>
      </c>
      <c r="DL39" s="56">
        <f>Participantes!CA38</f>
        <v>0</v>
      </c>
      <c r="DM39" s="56">
        <f>Participantes!CB38</f>
        <v>1</v>
      </c>
      <c r="DN39" s="58">
        <f t="shared" si="38"/>
        <v>0</v>
      </c>
      <c r="DO39" s="56">
        <f>Participantes!CC38</f>
        <v>0</v>
      </c>
      <c r="DP39" s="56">
        <f>Participantes!CD38</f>
        <v>2</v>
      </c>
      <c r="DQ39" s="58">
        <f t="shared" si="39"/>
        <v>1</v>
      </c>
      <c r="DR39" s="56">
        <f>Participantes!CE38</f>
        <v>1</v>
      </c>
      <c r="DS39" s="56">
        <f>Participantes!CF38</f>
        <v>0</v>
      </c>
      <c r="DT39" s="58">
        <f t="shared" si="40"/>
        <v>1</v>
      </c>
      <c r="DU39" s="56">
        <f>Participantes!CG38</f>
        <v>3</v>
      </c>
      <c r="DV39" s="56">
        <f>Participantes!CH38</f>
        <v>0</v>
      </c>
      <c r="DW39" s="58">
        <f t="shared" si="41"/>
        <v>3</v>
      </c>
      <c r="DX39" s="56">
        <f>Participantes!CI38</f>
        <v>2</v>
      </c>
      <c r="DY39" s="56">
        <f>Participantes!CJ38</f>
        <v>1</v>
      </c>
      <c r="DZ39" s="58">
        <f t="shared" si="42"/>
        <v>1</v>
      </c>
      <c r="EA39" s="56">
        <f>Participantes!CK38</f>
        <v>0</v>
      </c>
      <c r="EB39" s="56">
        <f>Participantes!CL38</f>
        <v>0</v>
      </c>
      <c r="EC39" s="58">
        <f t="shared" si="43"/>
        <v>0</v>
      </c>
      <c r="ED39" s="56">
        <f>Participantes!CM38</f>
        <v>2</v>
      </c>
      <c r="EE39" s="56">
        <f>Participantes!CN38</f>
        <v>0</v>
      </c>
      <c r="EF39" s="58">
        <f t="shared" si="44"/>
        <v>0</v>
      </c>
      <c r="EG39" s="56">
        <f>Participantes!CO38</f>
        <v>0</v>
      </c>
      <c r="EH39" s="56">
        <f>Participantes!CP38</f>
        <v>1</v>
      </c>
      <c r="EI39" s="58">
        <f t="shared" si="45"/>
        <v>3</v>
      </c>
      <c r="EJ39" s="56">
        <f>Participantes!CQ38</f>
        <v>3</v>
      </c>
      <c r="EK39" s="56">
        <f>Participantes!CR38</f>
        <v>0</v>
      </c>
      <c r="EL39" s="58">
        <f t="shared" si="46"/>
        <v>1</v>
      </c>
      <c r="EM39" s="56">
        <f>Participantes!CS38</f>
        <v>1</v>
      </c>
      <c r="EN39" s="56">
        <f>Participantes!CT38</f>
        <v>0</v>
      </c>
      <c r="EO39" s="58">
        <f t="shared" si="47"/>
        <v>3</v>
      </c>
      <c r="EP39" s="56">
        <f>Participantes!CU38</f>
        <v>1</v>
      </c>
      <c r="EQ39" s="56">
        <f>Participantes!CV38</f>
        <v>2</v>
      </c>
      <c r="ER39" s="58">
        <f t="shared" si="48"/>
        <v>1</v>
      </c>
      <c r="ES39" s="56">
        <f>Participantes!CW38</f>
        <v>0</v>
      </c>
      <c r="ET39" s="56">
        <f>Participantes!CX38</f>
        <v>1</v>
      </c>
      <c r="EU39" s="58">
        <f t="shared" si="49"/>
        <v>0</v>
      </c>
      <c r="EV39" s="56">
        <f>Participantes!CY38</f>
        <v>1</v>
      </c>
      <c r="EW39" s="56">
        <f>Participantes!CZ38</f>
        <v>0</v>
      </c>
      <c r="EX39" s="58">
        <f t="shared" si="50"/>
        <v>1</v>
      </c>
      <c r="EY39" s="56">
        <f>Participantes!DA38</f>
        <v>1</v>
      </c>
      <c r="EZ39" s="56">
        <f>Participantes!DB38</f>
        <v>0</v>
      </c>
      <c r="FA39" s="58">
        <f t="shared" si="51"/>
        <v>1</v>
      </c>
      <c r="FB39" s="56">
        <f>Participantes!DC38</f>
        <v>0</v>
      </c>
      <c r="FC39" s="56">
        <f>Participantes!DD38</f>
        <v>1</v>
      </c>
      <c r="FD39" s="58">
        <f t="shared" si="52"/>
        <v>1</v>
      </c>
      <c r="FE39" s="56">
        <f>Participantes!DE38</f>
        <v>0</v>
      </c>
      <c r="FF39" s="56">
        <f>Participantes!DF38</f>
        <v>1</v>
      </c>
      <c r="FG39" s="58">
        <f t="shared" si="53"/>
        <v>0</v>
      </c>
      <c r="FH39" s="56">
        <f>Participantes!DG38</f>
        <v>0</v>
      </c>
      <c r="FI39" s="56">
        <f>Participantes!DH38</f>
        <v>1</v>
      </c>
      <c r="FJ39" s="58">
        <f t="shared" si="54"/>
        <v>1</v>
      </c>
      <c r="FK39" s="56">
        <f>Participantes!DI38</f>
        <v>0</v>
      </c>
      <c r="FL39" s="56">
        <f>Participantes!DJ38</f>
        <v>2</v>
      </c>
      <c r="FM39" s="58">
        <f t="shared" si="55"/>
        <v>0</v>
      </c>
      <c r="FN39" s="56">
        <f>Participantes!DK38</f>
        <v>1</v>
      </c>
      <c r="FO39" s="56">
        <f>Participantes!DL38</f>
        <v>1</v>
      </c>
      <c r="FP39" s="58">
        <f t="shared" si="56"/>
        <v>3</v>
      </c>
      <c r="FQ39" s="56">
        <f>Participantes!DM38</f>
        <v>0</v>
      </c>
      <c r="FR39" s="56">
        <f>Participantes!DN38</f>
        <v>2</v>
      </c>
      <c r="FS39" s="58">
        <f t="shared" si="57"/>
        <v>1</v>
      </c>
      <c r="FT39" s="56">
        <f>Participantes!DO38</f>
        <v>0</v>
      </c>
      <c r="FU39" s="56">
        <f>Participantes!DP38</f>
        <v>1</v>
      </c>
      <c r="FV39" s="58">
        <f t="shared" si="58"/>
        <v>0</v>
      </c>
      <c r="FW39" s="56">
        <f>Participantes!DQ38</f>
        <v>1</v>
      </c>
      <c r="FX39" s="56">
        <f>Participantes!DR38</f>
        <v>2</v>
      </c>
      <c r="FY39" s="58">
        <f t="shared" si="59"/>
        <v>0</v>
      </c>
      <c r="FZ39" s="56">
        <f>Participantes!DS38</f>
        <v>0</v>
      </c>
      <c r="GA39" s="56">
        <f>Participantes!DT38</f>
        <v>2</v>
      </c>
      <c r="GB39" s="58">
        <f t="shared" si="60"/>
        <v>1</v>
      </c>
      <c r="GC39" s="56">
        <f>Participantes!DU38</f>
        <v>1</v>
      </c>
      <c r="GD39" s="56">
        <f>Participantes!DV38</f>
        <v>2</v>
      </c>
      <c r="GE39" s="58">
        <f t="shared" si="61"/>
        <v>0</v>
      </c>
      <c r="GF39" s="56">
        <f>Participantes!DW38</f>
        <v>2</v>
      </c>
      <c r="GG39" s="56">
        <f>Participantes!DX38</f>
        <v>1</v>
      </c>
      <c r="GH39" s="58">
        <f t="shared" si="62"/>
        <v>0</v>
      </c>
      <c r="GI39" s="56">
        <f>Participantes!DY38</f>
        <v>0</v>
      </c>
      <c r="GJ39" s="56">
        <f>Participantes!DZ38</f>
        <v>2</v>
      </c>
      <c r="GK39" s="58">
        <f t="shared" si="63"/>
        <v>1</v>
      </c>
      <c r="GL39" s="56">
        <f>Participantes!EA38</f>
        <v>1</v>
      </c>
      <c r="GM39" s="56">
        <f>Participantes!EB38</f>
        <v>0</v>
      </c>
      <c r="GN39" s="58">
        <f t="shared" si="64"/>
        <v>0</v>
      </c>
      <c r="GO39" s="56">
        <f>Participantes!EC38</f>
        <v>1</v>
      </c>
      <c r="GP39" s="56">
        <f>Participantes!ED38</f>
        <v>2</v>
      </c>
      <c r="GQ39" s="58">
        <f t="shared" si="65"/>
        <v>1</v>
      </c>
      <c r="GR39" s="56">
        <f>Participantes!EE38</f>
        <v>0</v>
      </c>
      <c r="GS39" s="56">
        <f>Participantes!EF38</f>
        <v>2</v>
      </c>
      <c r="GT39" s="58" t="str">
        <f t="shared" si="66"/>
        <v/>
      </c>
      <c r="GU39" s="56">
        <f>Participantes!EG38</f>
        <v>2</v>
      </c>
      <c r="GV39" s="56">
        <f>Participantes!EH38</f>
        <v>0</v>
      </c>
      <c r="GW39" s="58" t="str">
        <f t="shared" si="67"/>
        <v/>
      </c>
      <c r="GX39" s="56">
        <f>Participantes!EI38</f>
        <v>0</v>
      </c>
      <c r="GY39" s="56">
        <f>Participantes!EJ38</f>
        <v>1</v>
      </c>
      <c r="GZ39" s="58" t="str">
        <f t="shared" si="68"/>
        <v/>
      </c>
      <c r="HA39" s="56">
        <f>Participantes!EK38</f>
        <v>0</v>
      </c>
      <c r="HB39" s="56">
        <f>Participantes!EL38</f>
        <v>2</v>
      </c>
      <c r="HC39" s="58" t="str">
        <f t="shared" si="69"/>
        <v/>
      </c>
      <c r="HD39" s="56">
        <f>Participantes!EM38</f>
        <v>1</v>
      </c>
      <c r="HE39" s="56">
        <f>Participantes!EN38</f>
        <v>2</v>
      </c>
      <c r="HF39" s="58" t="str">
        <f t="shared" si="70"/>
        <v/>
      </c>
      <c r="HG39" s="56">
        <f>Participantes!EO38</f>
        <v>1</v>
      </c>
      <c r="HH39" s="56">
        <f>Participantes!EP38</f>
        <v>1</v>
      </c>
      <c r="HI39" s="58" t="str">
        <f t="shared" si="71"/>
        <v/>
      </c>
      <c r="HJ39" s="59">
        <f t="shared" si="72"/>
        <v>52</v>
      </c>
    </row>
    <row r="40" spans="1:218" ht="15" customHeight="1" x14ac:dyDescent="0.25">
      <c r="A40" s="57" t="str">
        <f>Participantes!B39</f>
        <v>Mily Oliver</v>
      </c>
      <c r="B40" s="56">
        <f>Participantes!C39</f>
        <v>2</v>
      </c>
      <c r="C40" s="56">
        <f>Participantes!D39</f>
        <v>0</v>
      </c>
      <c r="D40" s="58">
        <f t="shared" si="0"/>
        <v>3</v>
      </c>
      <c r="E40" s="56">
        <f>Participantes!E39</f>
        <v>1</v>
      </c>
      <c r="F40" s="56">
        <f>Participantes!F39</f>
        <v>1</v>
      </c>
      <c r="G40" s="58">
        <f t="shared" si="1"/>
        <v>0</v>
      </c>
      <c r="H40" s="56">
        <f>Participantes!G39</f>
        <v>2</v>
      </c>
      <c r="I40" s="56">
        <f>Participantes!H39</f>
        <v>1</v>
      </c>
      <c r="J40" s="58">
        <f t="shared" si="2"/>
        <v>0</v>
      </c>
      <c r="K40" s="56">
        <f>Participantes!I39</f>
        <v>2</v>
      </c>
      <c r="L40" s="56">
        <f>Participantes!J39</f>
        <v>0</v>
      </c>
      <c r="M40" s="58">
        <f t="shared" si="3"/>
        <v>1</v>
      </c>
      <c r="N40" s="56">
        <f>Participantes!K39</f>
        <v>0</v>
      </c>
      <c r="O40" s="56">
        <f>Participantes!L39</f>
        <v>0</v>
      </c>
      <c r="P40" s="58">
        <f t="shared" si="4"/>
        <v>0</v>
      </c>
      <c r="Q40" s="56">
        <f>Participantes!M39</f>
        <v>1</v>
      </c>
      <c r="R40" s="56">
        <f>Participantes!N39</f>
        <v>2</v>
      </c>
      <c r="S40" s="58">
        <f t="shared" si="5"/>
        <v>0</v>
      </c>
      <c r="T40" s="56">
        <f>Participantes!O39</f>
        <v>2</v>
      </c>
      <c r="U40" s="56">
        <f>Participantes!P39</f>
        <v>1</v>
      </c>
      <c r="V40" s="58">
        <f t="shared" si="6"/>
        <v>0</v>
      </c>
      <c r="W40" s="56">
        <f>Participantes!Q39</f>
        <v>0</v>
      </c>
      <c r="X40" s="56">
        <f>Participantes!R39</f>
        <v>2</v>
      </c>
      <c r="Y40" s="58">
        <f t="shared" si="7"/>
        <v>0</v>
      </c>
      <c r="Z40" s="56">
        <f>Participantes!S39</f>
        <v>1</v>
      </c>
      <c r="AA40" s="56">
        <f>Participantes!T39</f>
        <v>1</v>
      </c>
      <c r="AB40" s="58">
        <f t="shared" si="8"/>
        <v>0</v>
      </c>
      <c r="AC40" s="56">
        <f>Participantes!U39</f>
        <v>3</v>
      </c>
      <c r="AD40" s="56">
        <f>Participantes!V39</f>
        <v>0</v>
      </c>
      <c r="AE40" s="58">
        <f t="shared" si="9"/>
        <v>1</v>
      </c>
      <c r="AF40" s="56">
        <f>Participantes!W39</f>
        <v>2</v>
      </c>
      <c r="AG40" s="56">
        <f>Participantes!X39</f>
        <v>1</v>
      </c>
      <c r="AH40" s="58">
        <f t="shared" si="10"/>
        <v>0</v>
      </c>
      <c r="AI40" s="56">
        <f>Participantes!Y39</f>
        <v>1</v>
      </c>
      <c r="AJ40" s="56">
        <f>Participantes!Z39</f>
        <v>0</v>
      </c>
      <c r="AK40" s="58">
        <f t="shared" si="11"/>
        <v>1</v>
      </c>
      <c r="AL40" s="56">
        <f>Participantes!AA39</f>
        <v>1</v>
      </c>
      <c r="AM40" s="56">
        <f>Participantes!AB39</f>
        <v>2</v>
      </c>
      <c r="AN40" s="58">
        <f t="shared" si="12"/>
        <v>0</v>
      </c>
      <c r="AO40" s="56">
        <f>Participantes!AC39</f>
        <v>3</v>
      </c>
      <c r="AP40" s="56">
        <f>Participantes!AD39</f>
        <v>0</v>
      </c>
      <c r="AQ40" s="58">
        <f t="shared" si="13"/>
        <v>0</v>
      </c>
      <c r="AR40" s="56">
        <f>Participantes!AE39</f>
        <v>2</v>
      </c>
      <c r="AS40" s="56">
        <f>Participantes!AF39</f>
        <v>1</v>
      </c>
      <c r="AT40" s="58">
        <f t="shared" si="14"/>
        <v>0</v>
      </c>
      <c r="AU40" s="56">
        <f>Participantes!AG39</f>
        <v>2</v>
      </c>
      <c r="AV40" s="56">
        <f>Participantes!AH39</f>
        <v>0</v>
      </c>
      <c r="AW40" s="58">
        <f t="shared" si="15"/>
        <v>0</v>
      </c>
      <c r="AX40" s="56">
        <f>Participantes!AI39</f>
        <v>2</v>
      </c>
      <c r="AY40" s="56">
        <f>Participantes!AJ39</f>
        <v>0</v>
      </c>
      <c r="AZ40" s="58">
        <f t="shared" si="16"/>
        <v>1</v>
      </c>
      <c r="BA40" s="56">
        <f>Participantes!AK39</f>
        <v>1</v>
      </c>
      <c r="BB40" s="56">
        <f>Participantes!AL39</f>
        <v>1</v>
      </c>
      <c r="BC40" s="58">
        <f t="shared" si="17"/>
        <v>0</v>
      </c>
      <c r="BD40" s="56">
        <f>Participantes!AM39</f>
        <v>3</v>
      </c>
      <c r="BE40" s="56">
        <f>Participantes!AN39</f>
        <v>1</v>
      </c>
      <c r="BF40" s="58">
        <f t="shared" si="18"/>
        <v>1</v>
      </c>
      <c r="BG40" s="56">
        <f>Participantes!AO39</f>
        <v>2</v>
      </c>
      <c r="BH40" s="56">
        <f>Participantes!AP39</f>
        <v>0</v>
      </c>
      <c r="BI40" s="58">
        <f t="shared" si="19"/>
        <v>1</v>
      </c>
      <c r="BJ40" s="56">
        <f>Participantes!AQ39</f>
        <v>1</v>
      </c>
      <c r="BK40" s="56">
        <f>Participantes!AR39</f>
        <v>1</v>
      </c>
      <c r="BL40" s="58">
        <f t="shared" si="20"/>
        <v>0</v>
      </c>
      <c r="BM40" s="56">
        <f>Participantes!AS39</f>
        <v>1</v>
      </c>
      <c r="BN40" s="56">
        <f>Participantes!AT39</f>
        <v>1</v>
      </c>
      <c r="BO40" s="58">
        <f t="shared" si="21"/>
        <v>0</v>
      </c>
      <c r="BP40" s="56">
        <f>Participantes!AU39</f>
        <v>2</v>
      </c>
      <c r="BQ40" s="56">
        <f>Participantes!AV39</f>
        <v>0</v>
      </c>
      <c r="BR40" s="58">
        <f t="shared" si="22"/>
        <v>0</v>
      </c>
      <c r="BS40" s="56">
        <f>Participantes!AW39</f>
        <v>0</v>
      </c>
      <c r="BT40" s="56">
        <f>Participantes!AX39</f>
        <v>2</v>
      </c>
      <c r="BU40" s="58">
        <f t="shared" si="23"/>
        <v>1</v>
      </c>
      <c r="BV40" s="56">
        <f>Participantes!AY39</f>
        <v>2</v>
      </c>
      <c r="BW40" s="56">
        <f>Participantes!AZ39</f>
        <v>0</v>
      </c>
      <c r="BX40" s="58">
        <f t="shared" si="24"/>
        <v>0</v>
      </c>
      <c r="BY40" s="56">
        <f>Participantes!BA39</f>
        <v>1</v>
      </c>
      <c r="BZ40" s="56">
        <f>Participantes!BB39</f>
        <v>0</v>
      </c>
      <c r="CA40" s="58">
        <f t="shared" si="25"/>
        <v>1</v>
      </c>
      <c r="CB40" s="56">
        <f>Participantes!BC39</f>
        <v>2</v>
      </c>
      <c r="CC40" s="56">
        <f>Participantes!BD39</f>
        <v>1</v>
      </c>
      <c r="CD40" s="58">
        <f t="shared" si="26"/>
        <v>1</v>
      </c>
      <c r="CE40" s="56">
        <f>Participantes!BE39</f>
        <v>2</v>
      </c>
      <c r="CF40" s="56">
        <f>Participantes!BF39</f>
        <v>0</v>
      </c>
      <c r="CG40" s="58">
        <f t="shared" si="27"/>
        <v>1</v>
      </c>
      <c r="CH40" s="56">
        <f>Participantes!BG39</f>
        <v>3</v>
      </c>
      <c r="CI40" s="56">
        <f>Participantes!BH39</f>
        <v>0</v>
      </c>
      <c r="CJ40" s="58">
        <f t="shared" si="28"/>
        <v>3</v>
      </c>
      <c r="CK40" s="56">
        <f>Participantes!BI39</f>
        <v>1</v>
      </c>
      <c r="CL40" s="56">
        <f>Participantes!BJ39</f>
        <v>2</v>
      </c>
      <c r="CM40" s="58">
        <f t="shared" si="29"/>
        <v>1</v>
      </c>
      <c r="CN40" s="56">
        <f>Participantes!BK39</f>
        <v>2</v>
      </c>
      <c r="CO40" s="56">
        <f>Participantes!BL39</f>
        <v>1</v>
      </c>
      <c r="CP40" s="58">
        <f t="shared" si="30"/>
        <v>0</v>
      </c>
      <c r="CQ40" s="56">
        <f>Participantes!BM39</f>
        <v>2</v>
      </c>
      <c r="CR40" s="56">
        <f>Participantes!BN39</f>
        <v>0</v>
      </c>
      <c r="CS40" s="58">
        <f t="shared" si="31"/>
        <v>3</v>
      </c>
      <c r="CT40" s="56">
        <f>Participantes!BO39</f>
        <v>3</v>
      </c>
      <c r="CU40" s="56">
        <f>Participantes!BP39</f>
        <v>1</v>
      </c>
      <c r="CV40" s="58">
        <f t="shared" si="32"/>
        <v>1</v>
      </c>
      <c r="CW40" s="56">
        <f>Participantes!BQ39</f>
        <v>2</v>
      </c>
      <c r="CX40" s="56">
        <f>Participantes!BR39</f>
        <v>0</v>
      </c>
      <c r="CY40" s="58">
        <f t="shared" si="33"/>
        <v>0</v>
      </c>
      <c r="CZ40" s="56">
        <f>Participantes!BS39</f>
        <v>1</v>
      </c>
      <c r="DA40" s="56">
        <f>Participantes!BT39</f>
        <v>1</v>
      </c>
      <c r="DB40" s="58">
        <f t="shared" si="34"/>
        <v>0</v>
      </c>
      <c r="DC40" s="56">
        <f>Participantes!BU39</f>
        <v>0</v>
      </c>
      <c r="DD40" s="56">
        <f>Participantes!BV39</f>
        <v>2</v>
      </c>
      <c r="DE40" s="58">
        <f t="shared" si="35"/>
        <v>1</v>
      </c>
      <c r="DF40" s="56">
        <f>Participantes!BW39</f>
        <v>2</v>
      </c>
      <c r="DG40" s="56">
        <f>Participantes!BX39</f>
        <v>0</v>
      </c>
      <c r="DH40" s="58">
        <f t="shared" si="36"/>
        <v>0</v>
      </c>
      <c r="DI40" s="56">
        <f>Participantes!BY39</f>
        <v>2</v>
      </c>
      <c r="DJ40" s="56">
        <f>Participantes!BZ39</f>
        <v>0</v>
      </c>
      <c r="DK40" s="58">
        <f t="shared" si="37"/>
        <v>1</v>
      </c>
      <c r="DL40" s="56">
        <f>Participantes!CA39</f>
        <v>1</v>
      </c>
      <c r="DM40" s="56">
        <f>Participantes!CB39</f>
        <v>1</v>
      </c>
      <c r="DN40" s="58">
        <f t="shared" si="38"/>
        <v>1</v>
      </c>
      <c r="DO40" s="56">
        <f>Participantes!CC39</f>
        <v>0</v>
      </c>
      <c r="DP40" s="56">
        <f>Participantes!CD39</f>
        <v>1</v>
      </c>
      <c r="DQ40" s="58">
        <f t="shared" si="39"/>
        <v>1</v>
      </c>
      <c r="DR40" s="56">
        <f>Participantes!CE39</f>
        <v>2</v>
      </c>
      <c r="DS40" s="56">
        <f>Participantes!CF39</f>
        <v>1</v>
      </c>
      <c r="DT40" s="58">
        <f t="shared" si="40"/>
        <v>1</v>
      </c>
      <c r="DU40" s="56">
        <f>Participantes!CG39</f>
        <v>3</v>
      </c>
      <c r="DV40" s="56">
        <f>Participantes!CH39</f>
        <v>0</v>
      </c>
      <c r="DW40" s="58">
        <f t="shared" si="41"/>
        <v>3</v>
      </c>
      <c r="DX40" s="56">
        <f>Participantes!CI39</f>
        <v>2</v>
      </c>
      <c r="DY40" s="56">
        <f>Participantes!CJ39</f>
        <v>0</v>
      </c>
      <c r="DZ40" s="58">
        <f t="shared" si="42"/>
        <v>3</v>
      </c>
      <c r="EA40" s="56">
        <f>Participantes!CK39</f>
        <v>0</v>
      </c>
      <c r="EB40" s="56">
        <f>Participantes!CL39</f>
        <v>1</v>
      </c>
      <c r="EC40" s="58">
        <f t="shared" si="43"/>
        <v>1</v>
      </c>
      <c r="ED40" s="56">
        <f>Participantes!CM39</f>
        <v>2</v>
      </c>
      <c r="EE40" s="56">
        <f>Participantes!CN39</f>
        <v>1</v>
      </c>
      <c r="EF40" s="58">
        <f t="shared" si="44"/>
        <v>0</v>
      </c>
      <c r="EG40" s="56">
        <f>Participantes!CO39</f>
        <v>1</v>
      </c>
      <c r="EH40" s="56">
        <f>Participantes!CP39</f>
        <v>2</v>
      </c>
      <c r="EI40" s="58">
        <f t="shared" si="45"/>
        <v>1</v>
      </c>
      <c r="EJ40" s="56">
        <f>Participantes!CQ39</f>
        <v>2</v>
      </c>
      <c r="EK40" s="56">
        <f>Participantes!CR39</f>
        <v>0</v>
      </c>
      <c r="EL40" s="58">
        <f t="shared" si="46"/>
        <v>1</v>
      </c>
      <c r="EM40" s="56">
        <f>Participantes!CS39</f>
        <v>1</v>
      </c>
      <c r="EN40" s="56">
        <f>Participantes!CT39</f>
        <v>1</v>
      </c>
      <c r="EO40" s="58">
        <f t="shared" si="47"/>
        <v>0</v>
      </c>
      <c r="EP40" s="56">
        <f>Participantes!CU39</f>
        <v>1</v>
      </c>
      <c r="EQ40" s="56">
        <f>Participantes!CV39</f>
        <v>3</v>
      </c>
      <c r="ER40" s="58">
        <f t="shared" si="48"/>
        <v>1</v>
      </c>
      <c r="ES40" s="56">
        <f>Participantes!CW39</f>
        <v>2</v>
      </c>
      <c r="ET40" s="56">
        <f>Participantes!CX39</f>
        <v>0</v>
      </c>
      <c r="EU40" s="58">
        <f t="shared" si="49"/>
        <v>1</v>
      </c>
      <c r="EV40" s="56">
        <f>Participantes!CY39</f>
        <v>1</v>
      </c>
      <c r="EW40" s="56">
        <f>Participantes!CZ39</f>
        <v>1</v>
      </c>
      <c r="EX40" s="58">
        <f t="shared" si="50"/>
        <v>0</v>
      </c>
      <c r="EY40" s="56">
        <f>Participantes!DA39</f>
        <v>2</v>
      </c>
      <c r="EZ40" s="56">
        <f>Participantes!DB39</f>
        <v>1</v>
      </c>
      <c r="FA40" s="58">
        <f t="shared" si="51"/>
        <v>1</v>
      </c>
      <c r="FB40" s="56">
        <f>Participantes!DC39</f>
        <v>1</v>
      </c>
      <c r="FC40" s="56">
        <f>Participantes!DD39</f>
        <v>2</v>
      </c>
      <c r="FD40" s="58">
        <f t="shared" si="52"/>
        <v>1</v>
      </c>
      <c r="FE40" s="56">
        <f>Participantes!DE39</f>
        <v>1</v>
      </c>
      <c r="FF40" s="56">
        <f>Participantes!DF39</f>
        <v>1</v>
      </c>
      <c r="FG40" s="58">
        <f t="shared" si="53"/>
        <v>0</v>
      </c>
      <c r="FH40" s="56">
        <f>Participantes!DG39</f>
        <v>0</v>
      </c>
      <c r="FI40" s="56">
        <f>Participantes!DH39</f>
        <v>3</v>
      </c>
      <c r="FJ40" s="58">
        <f t="shared" si="54"/>
        <v>1</v>
      </c>
      <c r="FK40" s="56">
        <f>Participantes!DI39</f>
        <v>1</v>
      </c>
      <c r="FL40" s="56">
        <f>Participantes!DJ39</f>
        <v>2</v>
      </c>
      <c r="FM40" s="58">
        <f t="shared" si="55"/>
        <v>0</v>
      </c>
      <c r="FN40" s="56">
        <f>Participantes!DK39</f>
        <v>2</v>
      </c>
      <c r="FO40" s="56">
        <f>Participantes!DL39</f>
        <v>1</v>
      </c>
      <c r="FP40" s="58">
        <f t="shared" si="56"/>
        <v>0</v>
      </c>
      <c r="FQ40" s="56">
        <f>Participantes!DM39</f>
        <v>0</v>
      </c>
      <c r="FR40" s="56">
        <f>Participantes!DN39</f>
        <v>1</v>
      </c>
      <c r="FS40" s="58">
        <f t="shared" si="57"/>
        <v>1</v>
      </c>
      <c r="FT40" s="56">
        <f>Participantes!DO39</f>
        <v>1</v>
      </c>
      <c r="FU40" s="56">
        <f>Participantes!DP39</f>
        <v>2</v>
      </c>
      <c r="FV40" s="58">
        <f t="shared" si="58"/>
        <v>0</v>
      </c>
      <c r="FW40" s="56">
        <f>Participantes!DQ39</f>
        <v>2</v>
      </c>
      <c r="FX40" s="56">
        <f>Participantes!DR39</f>
        <v>1</v>
      </c>
      <c r="FY40" s="58">
        <f t="shared" si="59"/>
        <v>0</v>
      </c>
      <c r="FZ40" s="56">
        <f>Participantes!DS39</f>
        <v>1</v>
      </c>
      <c r="GA40" s="56">
        <f>Participantes!DT39</f>
        <v>2</v>
      </c>
      <c r="GB40" s="58">
        <f t="shared" si="60"/>
        <v>1</v>
      </c>
      <c r="GC40" s="56">
        <f>Participantes!DU39</f>
        <v>2</v>
      </c>
      <c r="GD40" s="56">
        <f>Participantes!DV39</f>
        <v>0</v>
      </c>
      <c r="GE40" s="58">
        <f t="shared" si="61"/>
        <v>1</v>
      </c>
      <c r="GF40" s="56">
        <f>Participantes!DW39</f>
        <v>1</v>
      </c>
      <c r="GG40" s="56">
        <f>Participantes!DX39</f>
        <v>1</v>
      </c>
      <c r="GH40" s="58">
        <f t="shared" si="62"/>
        <v>3</v>
      </c>
      <c r="GI40" s="56">
        <f>Participantes!DY39</f>
        <v>0</v>
      </c>
      <c r="GJ40" s="56">
        <f>Participantes!DZ39</f>
        <v>2</v>
      </c>
      <c r="GK40" s="58">
        <f t="shared" si="63"/>
        <v>1</v>
      </c>
      <c r="GL40" s="56">
        <f>Participantes!EA39</f>
        <v>1</v>
      </c>
      <c r="GM40" s="56">
        <f>Participantes!EB39</f>
        <v>2</v>
      </c>
      <c r="GN40" s="58">
        <f t="shared" si="64"/>
        <v>0</v>
      </c>
      <c r="GO40" s="56">
        <f>Participantes!EC39</f>
        <v>1</v>
      </c>
      <c r="GP40" s="56">
        <f>Participantes!ED39</f>
        <v>1</v>
      </c>
      <c r="GQ40" s="58">
        <f t="shared" si="65"/>
        <v>0</v>
      </c>
      <c r="GR40" s="56">
        <f>Participantes!EE39</f>
        <v>0</v>
      </c>
      <c r="GS40" s="56">
        <f>Participantes!EF39</f>
        <v>2</v>
      </c>
      <c r="GT40" s="58" t="str">
        <f t="shared" si="66"/>
        <v/>
      </c>
      <c r="GU40" s="56">
        <f>Participantes!EG39</f>
        <v>2</v>
      </c>
      <c r="GV40" s="56">
        <f>Participantes!EH39</f>
        <v>1</v>
      </c>
      <c r="GW40" s="58" t="str">
        <f t="shared" si="67"/>
        <v/>
      </c>
      <c r="GX40" s="56">
        <f>Participantes!EI39</f>
        <v>1</v>
      </c>
      <c r="GY40" s="56">
        <f>Participantes!EJ39</f>
        <v>0</v>
      </c>
      <c r="GZ40" s="58" t="str">
        <f t="shared" si="68"/>
        <v/>
      </c>
      <c r="HA40" s="56">
        <f>Participantes!EK39</f>
        <v>0</v>
      </c>
      <c r="HB40" s="56">
        <f>Participantes!EL39</f>
        <v>3</v>
      </c>
      <c r="HC40" s="58" t="str">
        <f t="shared" si="69"/>
        <v/>
      </c>
      <c r="HD40" s="56">
        <f>Participantes!EM39</f>
        <v>2</v>
      </c>
      <c r="HE40" s="56">
        <f>Participantes!EN39</f>
        <v>2</v>
      </c>
      <c r="HF40" s="58" t="str">
        <f t="shared" si="70"/>
        <v/>
      </c>
      <c r="HG40" s="56">
        <f>Participantes!EO39</f>
        <v>1</v>
      </c>
      <c r="HH40" s="56">
        <f>Participantes!EP39</f>
        <v>1</v>
      </c>
      <c r="HI40" s="58" t="str">
        <f t="shared" si="71"/>
        <v/>
      </c>
      <c r="HJ40" s="59">
        <f t="shared" si="72"/>
        <v>47</v>
      </c>
    </row>
    <row r="41" spans="1:218" ht="15" customHeight="1" x14ac:dyDescent="0.25">
      <c r="A41" s="57" t="str">
        <f>Participantes!B40</f>
        <v>Mily Zeynneth</v>
      </c>
      <c r="B41" s="56">
        <f>Participantes!C40</f>
        <v>3</v>
      </c>
      <c r="C41" s="56">
        <f>Participantes!D40</f>
        <v>1</v>
      </c>
      <c r="D41" s="58">
        <f t="shared" si="0"/>
        <v>1</v>
      </c>
      <c r="E41" s="56">
        <f>Participantes!E40</f>
        <v>2</v>
      </c>
      <c r="F41" s="56">
        <f>Participantes!F40</f>
        <v>2</v>
      </c>
      <c r="G41" s="58">
        <f t="shared" si="1"/>
        <v>0</v>
      </c>
      <c r="H41" s="56">
        <f>Participantes!G40</f>
        <v>3</v>
      </c>
      <c r="I41" s="56">
        <f>Participantes!H40</f>
        <v>1</v>
      </c>
      <c r="J41" s="58">
        <f t="shared" si="2"/>
        <v>0</v>
      </c>
      <c r="K41" s="56">
        <f>Participantes!I40</f>
        <v>3</v>
      </c>
      <c r="L41" s="56">
        <f>Participantes!J40</f>
        <v>0</v>
      </c>
      <c r="M41" s="58">
        <f t="shared" si="3"/>
        <v>1</v>
      </c>
      <c r="N41" s="56">
        <f>Participantes!K40</f>
        <v>0</v>
      </c>
      <c r="O41" s="56">
        <f>Participantes!L40</f>
        <v>1</v>
      </c>
      <c r="P41" s="58">
        <f t="shared" si="4"/>
        <v>3</v>
      </c>
      <c r="Q41" s="56">
        <f>Participantes!M40</f>
        <v>2</v>
      </c>
      <c r="R41" s="56">
        <f>Participantes!N40</f>
        <v>3</v>
      </c>
      <c r="S41" s="58">
        <f t="shared" si="5"/>
        <v>0</v>
      </c>
      <c r="T41" s="56">
        <f>Participantes!O40</f>
        <v>3</v>
      </c>
      <c r="U41" s="56">
        <f>Participantes!P40</f>
        <v>1</v>
      </c>
      <c r="V41" s="58">
        <f t="shared" si="6"/>
        <v>0</v>
      </c>
      <c r="W41" s="56">
        <f>Participantes!Q40</f>
        <v>0</v>
      </c>
      <c r="X41" s="56">
        <f>Participantes!R40</f>
        <v>3</v>
      </c>
      <c r="Y41" s="58">
        <f t="shared" si="7"/>
        <v>0</v>
      </c>
      <c r="Z41" s="56">
        <f>Participantes!S40</f>
        <v>1</v>
      </c>
      <c r="AA41" s="56">
        <f>Participantes!T40</f>
        <v>2</v>
      </c>
      <c r="AB41" s="58">
        <f t="shared" si="8"/>
        <v>0</v>
      </c>
      <c r="AC41" s="56">
        <f>Participantes!U40</f>
        <v>4</v>
      </c>
      <c r="AD41" s="56">
        <f>Participantes!V40</f>
        <v>0</v>
      </c>
      <c r="AE41" s="58">
        <f t="shared" si="9"/>
        <v>1</v>
      </c>
      <c r="AF41" s="56">
        <f>Participantes!W40</f>
        <v>3</v>
      </c>
      <c r="AG41" s="56">
        <f>Participantes!X40</f>
        <v>1</v>
      </c>
      <c r="AH41" s="58">
        <f t="shared" si="10"/>
        <v>0</v>
      </c>
      <c r="AI41" s="56">
        <f>Participantes!Y40</f>
        <v>2</v>
      </c>
      <c r="AJ41" s="56">
        <f>Participantes!Z40</f>
        <v>1</v>
      </c>
      <c r="AK41" s="58">
        <f t="shared" si="11"/>
        <v>1</v>
      </c>
      <c r="AL41" s="56">
        <f>Participantes!AA40</f>
        <v>2</v>
      </c>
      <c r="AM41" s="56">
        <f>Participantes!AB40</f>
        <v>3</v>
      </c>
      <c r="AN41" s="58">
        <f t="shared" si="12"/>
        <v>0</v>
      </c>
      <c r="AO41" s="56">
        <f>Participantes!AC40</f>
        <v>4</v>
      </c>
      <c r="AP41" s="56">
        <f>Participantes!AD40</f>
        <v>1</v>
      </c>
      <c r="AQ41" s="58">
        <f t="shared" si="13"/>
        <v>0</v>
      </c>
      <c r="AR41" s="56">
        <f>Participantes!AE40</f>
        <v>3</v>
      </c>
      <c r="AS41" s="56">
        <f>Participantes!AF40</f>
        <v>1</v>
      </c>
      <c r="AT41" s="58">
        <f t="shared" si="14"/>
        <v>0</v>
      </c>
      <c r="AU41" s="56">
        <f>Participantes!AG40</f>
        <v>3</v>
      </c>
      <c r="AV41" s="56">
        <f>Participantes!AH40</f>
        <v>0</v>
      </c>
      <c r="AW41" s="58">
        <f t="shared" si="15"/>
        <v>0</v>
      </c>
      <c r="AX41" s="56">
        <f>Participantes!AI40</f>
        <v>3</v>
      </c>
      <c r="AY41" s="56">
        <f>Participantes!AJ40</f>
        <v>1</v>
      </c>
      <c r="AZ41" s="58">
        <f t="shared" si="16"/>
        <v>3</v>
      </c>
      <c r="BA41" s="56">
        <f>Participantes!AK40</f>
        <v>2</v>
      </c>
      <c r="BB41" s="56">
        <f>Participantes!AL40</f>
        <v>2</v>
      </c>
      <c r="BC41" s="58">
        <f t="shared" si="17"/>
        <v>0</v>
      </c>
      <c r="BD41" s="56">
        <f>Participantes!AM40</f>
        <v>3</v>
      </c>
      <c r="BE41" s="56">
        <f>Participantes!AN40</f>
        <v>0</v>
      </c>
      <c r="BF41" s="58">
        <f t="shared" si="18"/>
        <v>3</v>
      </c>
      <c r="BG41" s="56">
        <f>Participantes!AO40</f>
        <v>2</v>
      </c>
      <c r="BH41" s="56">
        <f>Participantes!AP40</f>
        <v>1</v>
      </c>
      <c r="BI41" s="58">
        <f t="shared" si="19"/>
        <v>1</v>
      </c>
      <c r="BJ41" s="56">
        <f>Participantes!AQ40</f>
        <v>2</v>
      </c>
      <c r="BK41" s="56">
        <f>Participantes!AR40</f>
        <v>2</v>
      </c>
      <c r="BL41" s="58">
        <f t="shared" si="20"/>
        <v>0</v>
      </c>
      <c r="BM41" s="56">
        <f>Participantes!AS40</f>
        <v>1</v>
      </c>
      <c r="BN41" s="56">
        <f>Participantes!AT40</f>
        <v>1</v>
      </c>
      <c r="BO41" s="58">
        <f t="shared" si="21"/>
        <v>0</v>
      </c>
      <c r="BP41" s="56">
        <f>Participantes!AU40</f>
        <v>3</v>
      </c>
      <c r="BQ41" s="56">
        <f>Participantes!AV40</f>
        <v>0</v>
      </c>
      <c r="BR41" s="58">
        <f t="shared" si="22"/>
        <v>0</v>
      </c>
      <c r="BS41" s="56">
        <f>Participantes!AW40</f>
        <v>0</v>
      </c>
      <c r="BT41" s="56">
        <f>Participantes!AX40</f>
        <v>3</v>
      </c>
      <c r="BU41" s="58">
        <f t="shared" si="23"/>
        <v>1</v>
      </c>
      <c r="BV41" s="56">
        <f>Participantes!AY40</f>
        <v>3</v>
      </c>
      <c r="BW41" s="56">
        <f>Participantes!AZ40</f>
        <v>1</v>
      </c>
      <c r="BX41" s="58">
        <f t="shared" si="24"/>
        <v>0</v>
      </c>
      <c r="BY41" s="56">
        <f>Participantes!BA40</f>
        <v>2</v>
      </c>
      <c r="BZ41" s="56">
        <f>Participantes!BB40</f>
        <v>0</v>
      </c>
      <c r="CA41" s="58">
        <f t="shared" si="25"/>
        <v>1</v>
      </c>
      <c r="CB41" s="56">
        <f>Participantes!BC40</f>
        <v>2</v>
      </c>
      <c r="CC41" s="56">
        <f>Participantes!BD40</f>
        <v>1</v>
      </c>
      <c r="CD41" s="58">
        <f t="shared" si="26"/>
        <v>1</v>
      </c>
      <c r="CE41" s="56">
        <f>Participantes!BE40</f>
        <v>3</v>
      </c>
      <c r="CF41" s="56">
        <f>Participantes!BF40</f>
        <v>1</v>
      </c>
      <c r="CG41" s="58">
        <f t="shared" si="27"/>
        <v>1</v>
      </c>
      <c r="CH41" s="56">
        <f>Participantes!BG40</f>
        <v>3</v>
      </c>
      <c r="CI41" s="56">
        <f>Participantes!BH40</f>
        <v>0</v>
      </c>
      <c r="CJ41" s="58">
        <f t="shared" si="28"/>
        <v>3</v>
      </c>
      <c r="CK41" s="56">
        <f>Participantes!BI40</f>
        <v>1</v>
      </c>
      <c r="CL41" s="56">
        <f>Participantes!BJ40</f>
        <v>3</v>
      </c>
      <c r="CM41" s="58">
        <f t="shared" si="29"/>
        <v>1</v>
      </c>
      <c r="CN41" s="56">
        <f>Participantes!BK40</f>
        <v>3</v>
      </c>
      <c r="CO41" s="56">
        <f>Participantes!BL40</f>
        <v>2</v>
      </c>
      <c r="CP41" s="58">
        <f t="shared" si="30"/>
        <v>0</v>
      </c>
      <c r="CQ41" s="56">
        <f>Participantes!BM40</f>
        <v>2</v>
      </c>
      <c r="CR41" s="56">
        <f>Participantes!BN40</f>
        <v>1</v>
      </c>
      <c r="CS41" s="58">
        <f t="shared" si="31"/>
        <v>1</v>
      </c>
      <c r="CT41" s="56">
        <f>Participantes!BO40</f>
        <v>4</v>
      </c>
      <c r="CU41" s="56">
        <f>Participantes!BP40</f>
        <v>1</v>
      </c>
      <c r="CV41" s="58">
        <f t="shared" si="32"/>
        <v>1</v>
      </c>
      <c r="CW41" s="56">
        <f>Participantes!BQ40</f>
        <v>3</v>
      </c>
      <c r="CX41" s="56">
        <f>Participantes!BR40</f>
        <v>0</v>
      </c>
      <c r="CY41" s="58">
        <f t="shared" si="33"/>
        <v>0</v>
      </c>
      <c r="CZ41" s="56">
        <f>Participantes!BS40</f>
        <v>2</v>
      </c>
      <c r="DA41" s="56">
        <f>Participantes!BT40</f>
        <v>1</v>
      </c>
      <c r="DB41" s="58">
        <f t="shared" si="34"/>
        <v>1</v>
      </c>
      <c r="DC41" s="56">
        <f>Participantes!BU40</f>
        <v>1</v>
      </c>
      <c r="DD41" s="56">
        <f>Participantes!BV40</f>
        <v>2</v>
      </c>
      <c r="DE41" s="58">
        <f t="shared" si="35"/>
        <v>1</v>
      </c>
      <c r="DF41" s="56">
        <f>Participantes!BW40</f>
        <v>3</v>
      </c>
      <c r="DG41" s="56">
        <f>Participantes!BX40</f>
        <v>0</v>
      </c>
      <c r="DH41" s="58">
        <f t="shared" si="36"/>
        <v>0</v>
      </c>
      <c r="DI41" s="56">
        <f>Participantes!BY40</f>
        <v>3</v>
      </c>
      <c r="DJ41" s="56">
        <f>Participantes!BZ40</f>
        <v>1</v>
      </c>
      <c r="DK41" s="58">
        <f t="shared" si="37"/>
        <v>1</v>
      </c>
      <c r="DL41" s="56">
        <f>Participantes!CA40</f>
        <v>2</v>
      </c>
      <c r="DM41" s="56">
        <f>Participantes!CB40</f>
        <v>1</v>
      </c>
      <c r="DN41" s="58">
        <f t="shared" si="38"/>
        <v>0</v>
      </c>
      <c r="DO41" s="56">
        <f>Participantes!CC40</f>
        <v>0</v>
      </c>
      <c r="DP41" s="56">
        <f>Participantes!CD40</f>
        <v>2</v>
      </c>
      <c r="DQ41" s="58">
        <f t="shared" si="39"/>
        <v>1</v>
      </c>
      <c r="DR41" s="56">
        <f>Participantes!CE40</f>
        <v>3</v>
      </c>
      <c r="DS41" s="56">
        <f>Participantes!CF40</f>
        <v>1</v>
      </c>
      <c r="DT41" s="58">
        <f t="shared" si="40"/>
        <v>1</v>
      </c>
      <c r="DU41" s="56">
        <f>Participantes!CG40</f>
        <v>3</v>
      </c>
      <c r="DV41" s="56">
        <f>Participantes!CH40</f>
        <v>0</v>
      </c>
      <c r="DW41" s="58">
        <f t="shared" si="41"/>
        <v>3</v>
      </c>
      <c r="DX41" s="56">
        <f>Participantes!CI40</f>
        <v>3</v>
      </c>
      <c r="DY41" s="56">
        <f>Participantes!CJ40</f>
        <v>1</v>
      </c>
      <c r="DZ41" s="58">
        <f t="shared" si="42"/>
        <v>1</v>
      </c>
      <c r="EA41" s="56">
        <f>Participantes!CK40</f>
        <v>1</v>
      </c>
      <c r="EB41" s="56">
        <f>Participantes!CL40</f>
        <v>2</v>
      </c>
      <c r="EC41" s="58">
        <f t="shared" si="43"/>
        <v>3</v>
      </c>
      <c r="ED41" s="56">
        <f>Participantes!CM40</f>
        <v>3</v>
      </c>
      <c r="EE41" s="56">
        <f>Participantes!CN40</f>
        <v>0</v>
      </c>
      <c r="EF41" s="58">
        <f t="shared" si="44"/>
        <v>0</v>
      </c>
      <c r="EG41" s="56">
        <f>Participantes!CO40</f>
        <v>1</v>
      </c>
      <c r="EH41" s="56">
        <f>Participantes!CP40</f>
        <v>3</v>
      </c>
      <c r="EI41" s="58">
        <f t="shared" si="45"/>
        <v>1</v>
      </c>
      <c r="EJ41" s="56">
        <f>Participantes!CQ40</f>
        <v>3</v>
      </c>
      <c r="EK41" s="56">
        <f>Participantes!CR40</f>
        <v>0</v>
      </c>
      <c r="EL41" s="58">
        <f t="shared" si="46"/>
        <v>1</v>
      </c>
      <c r="EM41" s="56">
        <f>Participantes!CS40</f>
        <v>2</v>
      </c>
      <c r="EN41" s="56">
        <f>Participantes!CT40</f>
        <v>1</v>
      </c>
      <c r="EO41" s="58">
        <f t="shared" si="47"/>
        <v>1</v>
      </c>
      <c r="EP41" s="56">
        <f>Participantes!CU40</f>
        <v>0</v>
      </c>
      <c r="EQ41" s="56">
        <f>Participantes!CV40</f>
        <v>4</v>
      </c>
      <c r="ER41" s="58">
        <f t="shared" si="48"/>
        <v>1</v>
      </c>
      <c r="ES41" s="56">
        <f>Participantes!CW40</f>
        <v>2</v>
      </c>
      <c r="ET41" s="56">
        <f>Participantes!CX40</f>
        <v>1</v>
      </c>
      <c r="EU41" s="58">
        <f t="shared" si="49"/>
        <v>1</v>
      </c>
      <c r="EV41" s="56">
        <f>Participantes!CY40</f>
        <v>1</v>
      </c>
      <c r="EW41" s="56">
        <f>Participantes!CZ40</f>
        <v>2</v>
      </c>
      <c r="EX41" s="58">
        <f t="shared" si="50"/>
        <v>0</v>
      </c>
      <c r="EY41" s="56">
        <f>Participantes!DA40</f>
        <v>1</v>
      </c>
      <c r="EZ41" s="56">
        <f>Participantes!DB40</f>
        <v>1</v>
      </c>
      <c r="FA41" s="58">
        <f t="shared" si="51"/>
        <v>0</v>
      </c>
      <c r="FB41" s="56">
        <f>Participantes!DC40</f>
        <v>1</v>
      </c>
      <c r="FC41" s="56">
        <f>Participantes!DD40</f>
        <v>3</v>
      </c>
      <c r="FD41" s="58">
        <f t="shared" si="52"/>
        <v>1</v>
      </c>
      <c r="FE41" s="56">
        <f>Participantes!DE40</f>
        <v>2</v>
      </c>
      <c r="FF41" s="56">
        <f>Participantes!DF40</f>
        <v>1</v>
      </c>
      <c r="FG41" s="58">
        <f t="shared" si="53"/>
        <v>1</v>
      </c>
      <c r="FH41" s="56">
        <f>Participantes!DG40</f>
        <v>1</v>
      </c>
      <c r="FI41" s="56">
        <f>Participantes!DH40</f>
        <v>3</v>
      </c>
      <c r="FJ41" s="58">
        <f t="shared" si="54"/>
        <v>1</v>
      </c>
      <c r="FK41" s="56">
        <f>Participantes!DI40</f>
        <v>1</v>
      </c>
      <c r="FL41" s="56">
        <f>Participantes!DJ40</f>
        <v>4</v>
      </c>
      <c r="FM41" s="58">
        <f t="shared" si="55"/>
        <v>0</v>
      </c>
      <c r="FN41" s="56">
        <f>Participantes!DK40</f>
        <v>2</v>
      </c>
      <c r="FO41" s="56">
        <f>Participantes!DL40</f>
        <v>0</v>
      </c>
      <c r="FP41" s="58">
        <f t="shared" si="56"/>
        <v>0</v>
      </c>
      <c r="FQ41" s="56">
        <f>Participantes!DM40</f>
        <v>0</v>
      </c>
      <c r="FR41" s="56">
        <f>Participantes!DN40</f>
        <v>2</v>
      </c>
      <c r="FS41" s="58">
        <f t="shared" si="57"/>
        <v>1</v>
      </c>
      <c r="FT41" s="56">
        <f>Participantes!DO40</f>
        <v>2</v>
      </c>
      <c r="FU41" s="56">
        <f>Participantes!DP40</f>
        <v>1</v>
      </c>
      <c r="FV41" s="58">
        <f t="shared" si="58"/>
        <v>1</v>
      </c>
      <c r="FW41" s="56">
        <f>Participantes!DQ40</f>
        <v>1</v>
      </c>
      <c r="FX41" s="56">
        <f>Participantes!DR40</f>
        <v>2</v>
      </c>
      <c r="FY41" s="58">
        <f t="shared" si="59"/>
        <v>0</v>
      </c>
      <c r="FZ41" s="56">
        <f>Participantes!DS40</f>
        <v>1</v>
      </c>
      <c r="GA41" s="56">
        <f>Participantes!DT40</f>
        <v>3</v>
      </c>
      <c r="GB41" s="58">
        <f t="shared" si="60"/>
        <v>1</v>
      </c>
      <c r="GC41" s="56">
        <f>Participantes!DU40</f>
        <v>2</v>
      </c>
      <c r="GD41" s="56">
        <f>Participantes!DV40</f>
        <v>1</v>
      </c>
      <c r="GE41" s="58">
        <f t="shared" si="61"/>
        <v>1</v>
      </c>
      <c r="GF41" s="56">
        <f>Participantes!DW40</f>
        <v>2</v>
      </c>
      <c r="GG41" s="56">
        <f>Participantes!DX40</f>
        <v>0</v>
      </c>
      <c r="GH41" s="58">
        <f t="shared" si="62"/>
        <v>0</v>
      </c>
      <c r="GI41" s="56">
        <f>Participantes!DY40</f>
        <v>1</v>
      </c>
      <c r="GJ41" s="56">
        <f>Participantes!DZ40</f>
        <v>4</v>
      </c>
      <c r="GK41" s="58">
        <f t="shared" si="63"/>
        <v>1</v>
      </c>
      <c r="GL41" s="56">
        <f>Participantes!EA40</f>
        <v>0</v>
      </c>
      <c r="GM41" s="56">
        <f>Participantes!EB40</f>
        <v>2</v>
      </c>
      <c r="GN41" s="58">
        <f t="shared" si="64"/>
        <v>0</v>
      </c>
      <c r="GO41" s="56">
        <f>Participantes!EC40</f>
        <v>1</v>
      </c>
      <c r="GP41" s="56">
        <f>Participantes!ED40</f>
        <v>2</v>
      </c>
      <c r="GQ41" s="58">
        <f t="shared" si="65"/>
        <v>1</v>
      </c>
      <c r="GR41" s="56">
        <f>Participantes!EE40</f>
        <v>0</v>
      </c>
      <c r="GS41" s="56">
        <f>Participantes!EF40</f>
        <v>3</v>
      </c>
      <c r="GT41" s="58" t="str">
        <f t="shared" si="66"/>
        <v/>
      </c>
      <c r="GU41" s="56">
        <f>Participantes!EG40</f>
        <v>3</v>
      </c>
      <c r="GV41" s="56">
        <f>Participantes!EH40</f>
        <v>1</v>
      </c>
      <c r="GW41" s="58" t="str">
        <f t="shared" si="67"/>
        <v/>
      </c>
      <c r="GX41" s="56">
        <f>Participantes!EI40</f>
        <v>2</v>
      </c>
      <c r="GY41" s="56">
        <f>Participantes!EJ40</f>
        <v>1</v>
      </c>
      <c r="GZ41" s="58" t="str">
        <f t="shared" si="68"/>
        <v/>
      </c>
      <c r="HA41" s="56">
        <f>Participantes!EK40</f>
        <v>0</v>
      </c>
      <c r="HB41" s="56">
        <f>Participantes!EL40</f>
        <v>2</v>
      </c>
      <c r="HC41" s="58" t="str">
        <f t="shared" si="69"/>
        <v/>
      </c>
      <c r="HD41" s="56">
        <f>Participantes!EM40</f>
        <v>2</v>
      </c>
      <c r="HE41" s="56">
        <f>Participantes!EN40</f>
        <v>3</v>
      </c>
      <c r="HF41" s="58" t="str">
        <f t="shared" si="70"/>
        <v/>
      </c>
      <c r="HG41" s="56">
        <f>Participantes!EO40</f>
        <v>1</v>
      </c>
      <c r="HH41" s="56">
        <f>Participantes!EP40</f>
        <v>0</v>
      </c>
      <c r="HI41" s="58" t="str">
        <f t="shared" si="71"/>
        <v/>
      </c>
      <c r="HJ41" s="59">
        <f t="shared" si="72"/>
        <v>50</v>
      </c>
    </row>
    <row r="42" spans="1:218" ht="15" customHeight="1" x14ac:dyDescent="0.25">
      <c r="A42" s="57" t="str">
        <f>Participantes!B41</f>
        <v>Nefreteri</v>
      </c>
      <c r="B42" s="56">
        <f>Participantes!C41</f>
        <v>1</v>
      </c>
      <c r="C42" s="56">
        <f>Participantes!D41</f>
        <v>2</v>
      </c>
      <c r="D42" s="58">
        <f t="shared" si="0"/>
        <v>0</v>
      </c>
      <c r="E42" s="56">
        <f>Participantes!E41</f>
        <v>3</v>
      </c>
      <c r="F42" s="56">
        <f>Participantes!F41</f>
        <v>0</v>
      </c>
      <c r="G42" s="58">
        <f t="shared" si="1"/>
        <v>1</v>
      </c>
      <c r="H42" s="56">
        <f>Participantes!G41</f>
        <v>2</v>
      </c>
      <c r="I42" s="56">
        <f>Participantes!H41</f>
        <v>0</v>
      </c>
      <c r="J42" s="58">
        <f t="shared" si="2"/>
        <v>0</v>
      </c>
      <c r="K42" s="56">
        <f>Participantes!I41</f>
        <v>1</v>
      </c>
      <c r="L42" s="56">
        <f>Participantes!J41</f>
        <v>2</v>
      </c>
      <c r="M42" s="58">
        <f t="shared" si="3"/>
        <v>0</v>
      </c>
      <c r="N42" s="56">
        <f>Participantes!K41</f>
        <v>0</v>
      </c>
      <c r="O42" s="56">
        <f>Participantes!L41</f>
        <v>1</v>
      </c>
      <c r="P42" s="58">
        <f t="shared" si="4"/>
        <v>3</v>
      </c>
      <c r="Q42" s="56">
        <f>Participantes!M41</f>
        <v>2</v>
      </c>
      <c r="R42" s="56">
        <f>Participantes!N41</f>
        <v>2</v>
      </c>
      <c r="S42" s="58">
        <f t="shared" si="5"/>
        <v>0</v>
      </c>
      <c r="T42" s="56">
        <f>Participantes!O41</f>
        <v>1</v>
      </c>
      <c r="U42" s="56">
        <f>Participantes!P41</f>
        <v>1</v>
      </c>
      <c r="V42" s="58">
        <f t="shared" si="6"/>
        <v>3</v>
      </c>
      <c r="W42" s="56">
        <f>Participantes!Q41</f>
        <v>0</v>
      </c>
      <c r="X42" s="56">
        <f>Participantes!R41</f>
        <v>2</v>
      </c>
      <c r="Y42" s="58">
        <f t="shared" si="7"/>
        <v>0</v>
      </c>
      <c r="Z42" s="56">
        <f>Participantes!S41</f>
        <v>2</v>
      </c>
      <c r="AA42" s="56">
        <f>Participantes!T41</f>
        <v>1</v>
      </c>
      <c r="AB42" s="58">
        <f t="shared" si="8"/>
        <v>1</v>
      </c>
      <c r="AC42" s="56">
        <f>Participantes!U41</f>
        <v>3</v>
      </c>
      <c r="AD42" s="56">
        <f>Participantes!V41</f>
        <v>0</v>
      </c>
      <c r="AE42" s="58">
        <f t="shared" si="9"/>
        <v>1</v>
      </c>
      <c r="AF42" s="56">
        <f>Participantes!W41</f>
        <v>2</v>
      </c>
      <c r="AG42" s="56">
        <f>Participantes!X41</f>
        <v>1</v>
      </c>
      <c r="AH42" s="58">
        <f t="shared" si="10"/>
        <v>0</v>
      </c>
      <c r="AI42" s="56">
        <f>Participantes!Y41</f>
        <v>2</v>
      </c>
      <c r="AJ42" s="56">
        <f>Participantes!Z41</f>
        <v>0</v>
      </c>
      <c r="AK42" s="58">
        <f t="shared" si="11"/>
        <v>1</v>
      </c>
      <c r="AL42" s="56">
        <f>Participantes!AA41</f>
        <v>1</v>
      </c>
      <c r="AM42" s="56">
        <f>Participantes!AB41</f>
        <v>3</v>
      </c>
      <c r="AN42" s="58">
        <f t="shared" si="12"/>
        <v>0</v>
      </c>
      <c r="AO42" s="56">
        <f>Participantes!AC41</f>
        <v>3</v>
      </c>
      <c r="AP42" s="56">
        <f>Participantes!AD41</f>
        <v>0</v>
      </c>
      <c r="AQ42" s="58">
        <f t="shared" si="13"/>
        <v>0</v>
      </c>
      <c r="AR42" s="56">
        <f>Participantes!AE41</f>
        <v>1</v>
      </c>
      <c r="AS42" s="56">
        <f>Participantes!AF41</f>
        <v>2</v>
      </c>
      <c r="AT42" s="58">
        <f t="shared" si="14"/>
        <v>0</v>
      </c>
      <c r="AU42" s="56">
        <f>Participantes!AG41</f>
        <v>2</v>
      </c>
      <c r="AV42" s="56">
        <f>Participantes!AH41</f>
        <v>1</v>
      </c>
      <c r="AW42" s="58">
        <f t="shared" si="15"/>
        <v>0</v>
      </c>
      <c r="AX42" s="56">
        <f>Participantes!AI41</f>
        <v>3</v>
      </c>
      <c r="AY42" s="56">
        <f>Participantes!AJ41</f>
        <v>1</v>
      </c>
      <c r="AZ42" s="58">
        <f t="shared" si="16"/>
        <v>3</v>
      </c>
      <c r="BA42" s="56">
        <f>Participantes!AK41</f>
        <v>0</v>
      </c>
      <c r="BB42" s="56">
        <f>Participantes!AL41</f>
        <v>2</v>
      </c>
      <c r="BC42" s="58">
        <f t="shared" si="17"/>
        <v>1</v>
      </c>
      <c r="BD42" s="56">
        <f>Participantes!AM41</f>
        <v>4</v>
      </c>
      <c r="BE42" s="56">
        <f>Participantes!AN41</f>
        <v>0</v>
      </c>
      <c r="BF42" s="58">
        <f t="shared" si="18"/>
        <v>1</v>
      </c>
      <c r="BG42" s="56">
        <f>Participantes!AO41</f>
        <v>3</v>
      </c>
      <c r="BH42" s="56">
        <f>Participantes!AP41</f>
        <v>1</v>
      </c>
      <c r="BI42" s="58">
        <f t="shared" si="19"/>
        <v>3</v>
      </c>
      <c r="BJ42" s="56">
        <f>Participantes!AQ41</f>
        <v>1</v>
      </c>
      <c r="BK42" s="56">
        <f>Participantes!AR41</f>
        <v>1</v>
      </c>
      <c r="BL42" s="58">
        <f t="shared" si="20"/>
        <v>0</v>
      </c>
      <c r="BM42" s="56">
        <f>Participantes!AS41</f>
        <v>2</v>
      </c>
      <c r="BN42" s="56">
        <f>Participantes!AT41</f>
        <v>1</v>
      </c>
      <c r="BO42" s="58">
        <f t="shared" si="21"/>
        <v>1</v>
      </c>
      <c r="BP42" s="56">
        <f>Participantes!AU41</f>
        <v>3</v>
      </c>
      <c r="BQ42" s="56">
        <f>Participantes!AV41</f>
        <v>1</v>
      </c>
      <c r="BR42" s="58">
        <f t="shared" si="22"/>
        <v>0</v>
      </c>
      <c r="BS42" s="56">
        <f>Participantes!AW41</f>
        <v>0</v>
      </c>
      <c r="BT42" s="56">
        <f>Participantes!AX41</f>
        <v>2</v>
      </c>
      <c r="BU42" s="58">
        <f t="shared" si="23"/>
        <v>1</v>
      </c>
      <c r="BV42" s="56">
        <f>Participantes!AY41</f>
        <v>0</v>
      </c>
      <c r="BW42" s="56">
        <f>Participantes!AZ41</f>
        <v>1</v>
      </c>
      <c r="BX42" s="58">
        <f t="shared" si="24"/>
        <v>0</v>
      </c>
      <c r="BY42" s="56">
        <f>Participantes!BA41</f>
        <v>3</v>
      </c>
      <c r="BZ42" s="56">
        <f>Participantes!BB41</f>
        <v>1</v>
      </c>
      <c r="CA42" s="58">
        <f t="shared" si="25"/>
        <v>1</v>
      </c>
      <c r="CB42" s="56">
        <f>Participantes!BC41</f>
        <v>1</v>
      </c>
      <c r="CC42" s="56">
        <f>Participantes!BD41</f>
        <v>0</v>
      </c>
      <c r="CD42" s="58">
        <f t="shared" si="26"/>
        <v>1</v>
      </c>
      <c r="CE42" s="56">
        <f>Participantes!BE41</f>
        <v>1</v>
      </c>
      <c r="CF42" s="56">
        <f>Participantes!BF41</f>
        <v>3</v>
      </c>
      <c r="CG42" s="58">
        <f t="shared" si="27"/>
        <v>0</v>
      </c>
      <c r="CH42" s="56">
        <f>Participantes!BG41</f>
        <v>3</v>
      </c>
      <c r="CI42" s="56">
        <f>Participantes!BH41</f>
        <v>1</v>
      </c>
      <c r="CJ42" s="58">
        <f t="shared" si="28"/>
        <v>1</v>
      </c>
      <c r="CK42" s="56">
        <f>Participantes!BI41</f>
        <v>1</v>
      </c>
      <c r="CL42" s="56">
        <f>Participantes!BJ41</f>
        <v>2</v>
      </c>
      <c r="CM42" s="58">
        <f t="shared" si="29"/>
        <v>1</v>
      </c>
      <c r="CN42" s="56">
        <f>Participantes!BK41</f>
        <v>1</v>
      </c>
      <c r="CO42" s="56">
        <f>Participantes!BL41</f>
        <v>0</v>
      </c>
      <c r="CP42" s="58">
        <f t="shared" si="30"/>
        <v>0</v>
      </c>
      <c r="CQ42" s="56">
        <f>Participantes!BM41</f>
        <v>1</v>
      </c>
      <c r="CR42" s="56">
        <f>Participantes!BN41</f>
        <v>2</v>
      </c>
      <c r="CS42" s="58">
        <f t="shared" si="31"/>
        <v>0</v>
      </c>
      <c r="CT42" s="56">
        <f>Participantes!BO41</f>
        <v>3</v>
      </c>
      <c r="CU42" s="56">
        <f>Participantes!BP41</f>
        <v>0</v>
      </c>
      <c r="CV42" s="58">
        <f t="shared" si="32"/>
        <v>1</v>
      </c>
      <c r="CW42" s="56">
        <f>Participantes!BQ41</f>
        <v>1</v>
      </c>
      <c r="CX42" s="56">
        <f>Participantes!BR41</f>
        <v>1</v>
      </c>
      <c r="CY42" s="58">
        <f t="shared" si="33"/>
        <v>1</v>
      </c>
      <c r="CZ42" s="56">
        <f>Participantes!BS41</f>
        <v>3</v>
      </c>
      <c r="DA42" s="56">
        <f>Participantes!BT41</f>
        <v>2</v>
      </c>
      <c r="DB42" s="58">
        <f t="shared" si="34"/>
        <v>1</v>
      </c>
      <c r="DC42" s="56">
        <f>Participantes!BU41</f>
        <v>0</v>
      </c>
      <c r="DD42" s="56">
        <f>Participantes!BV41</f>
        <v>2</v>
      </c>
      <c r="DE42" s="58">
        <f t="shared" si="35"/>
        <v>1</v>
      </c>
      <c r="DF42" s="56">
        <f>Participantes!BW41</f>
        <v>4</v>
      </c>
      <c r="DG42" s="56">
        <f>Participantes!BX41</f>
        <v>0</v>
      </c>
      <c r="DH42" s="58">
        <f t="shared" si="36"/>
        <v>0</v>
      </c>
      <c r="DI42" s="56">
        <f>Participantes!BY41</f>
        <v>2</v>
      </c>
      <c r="DJ42" s="56">
        <f>Participantes!BZ41</f>
        <v>0</v>
      </c>
      <c r="DK42" s="58">
        <f t="shared" si="37"/>
        <v>1</v>
      </c>
      <c r="DL42" s="56">
        <f>Participantes!CA41</f>
        <v>2</v>
      </c>
      <c r="DM42" s="56">
        <f>Participantes!CB41</f>
        <v>0</v>
      </c>
      <c r="DN42" s="58">
        <f t="shared" si="38"/>
        <v>0</v>
      </c>
      <c r="DO42" s="56">
        <f>Participantes!CC41</f>
        <v>1</v>
      </c>
      <c r="DP42" s="56">
        <f>Participantes!CD41</f>
        <v>1</v>
      </c>
      <c r="DQ42" s="58">
        <f t="shared" si="39"/>
        <v>0</v>
      </c>
      <c r="DR42" s="56">
        <f>Participantes!CE41</f>
        <v>2</v>
      </c>
      <c r="DS42" s="56">
        <f>Participantes!CF41</f>
        <v>1</v>
      </c>
      <c r="DT42" s="58">
        <f t="shared" si="40"/>
        <v>1</v>
      </c>
      <c r="DU42" s="56">
        <f>Participantes!CG41</f>
        <v>2</v>
      </c>
      <c r="DV42" s="56">
        <f>Participantes!CH41</f>
        <v>0</v>
      </c>
      <c r="DW42" s="58">
        <f t="shared" si="41"/>
        <v>1</v>
      </c>
      <c r="DX42" s="56">
        <f>Participantes!CI41</f>
        <v>4</v>
      </c>
      <c r="DY42" s="56">
        <f>Participantes!CJ41</f>
        <v>2</v>
      </c>
      <c r="DZ42" s="58">
        <f t="shared" si="42"/>
        <v>1</v>
      </c>
      <c r="EA42" s="56">
        <f>Participantes!CK41</f>
        <v>2</v>
      </c>
      <c r="EB42" s="56">
        <f>Participantes!CL41</f>
        <v>1</v>
      </c>
      <c r="EC42" s="58">
        <f t="shared" si="43"/>
        <v>0</v>
      </c>
      <c r="ED42" s="56">
        <f>Participantes!CM41</f>
        <v>3</v>
      </c>
      <c r="EE42" s="56">
        <f>Participantes!CN41</f>
        <v>0</v>
      </c>
      <c r="EF42" s="58">
        <f t="shared" si="44"/>
        <v>0</v>
      </c>
      <c r="EG42" s="56">
        <f>Participantes!CO41</f>
        <v>1</v>
      </c>
      <c r="EH42" s="56">
        <f>Participantes!CP41</f>
        <v>1</v>
      </c>
      <c r="EI42" s="58">
        <f t="shared" si="45"/>
        <v>0</v>
      </c>
      <c r="EJ42" s="56">
        <f>Participantes!CQ41</f>
        <v>2</v>
      </c>
      <c r="EK42" s="56">
        <f>Participantes!CR41</f>
        <v>0</v>
      </c>
      <c r="EL42" s="58">
        <f t="shared" si="46"/>
        <v>1</v>
      </c>
      <c r="EM42" s="56">
        <f>Participantes!CS41</f>
        <v>3</v>
      </c>
      <c r="EN42" s="56">
        <f>Participantes!CT41</f>
        <v>1</v>
      </c>
      <c r="EO42" s="58">
        <f t="shared" si="47"/>
        <v>1</v>
      </c>
      <c r="EP42" s="56">
        <f>Participantes!CU41</f>
        <v>2</v>
      </c>
      <c r="EQ42" s="56">
        <f>Participantes!CV41</f>
        <v>1</v>
      </c>
      <c r="ER42" s="58">
        <f t="shared" si="48"/>
        <v>0</v>
      </c>
      <c r="ES42" s="56">
        <f>Participantes!CW41</f>
        <v>3</v>
      </c>
      <c r="ET42" s="56">
        <f>Participantes!CX41</f>
        <v>1</v>
      </c>
      <c r="EU42" s="58">
        <f t="shared" si="49"/>
        <v>1</v>
      </c>
      <c r="EV42" s="56">
        <f>Participantes!CY41</f>
        <v>2</v>
      </c>
      <c r="EW42" s="56">
        <f>Participantes!CZ41</f>
        <v>1</v>
      </c>
      <c r="EX42" s="58">
        <f t="shared" si="50"/>
        <v>3</v>
      </c>
      <c r="EY42" s="56">
        <f>Participantes!DA41</f>
        <v>0</v>
      </c>
      <c r="EZ42" s="56">
        <f>Participantes!DB41</f>
        <v>0</v>
      </c>
      <c r="FA42" s="58">
        <f t="shared" si="51"/>
        <v>0</v>
      </c>
      <c r="FB42" s="56">
        <f>Participantes!DC41</f>
        <v>0</v>
      </c>
      <c r="FC42" s="56">
        <f>Participantes!DD41</f>
        <v>1</v>
      </c>
      <c r="FD42" s="58">
        <f t="shared" si="52"/>
        <v>1</v>
      </c>
      <c r="FE42" s="56">
        <f>Participantes!DE41</f>
        <v>1</v>
      </c>
      <c r="FF42" s="56">
        <f>Participantes!DF41</f>
        <v>3</v>
      </c>
      <c r="FG42" s="58">
        <f t="shared" si="53"/>
        <v>0</v>
      </c>
      <c r="FH42" s="56">
        <f>Participantes!DG41</f>
        <v>0</v>
      </c>
      <c r="FI42" s="56">
        <f>Participantes!DH41</f>
        <v>0</v>
      </c>
      <c r="FJ42" s="58">
        <f t="shared" si="54"/>
        <v>0</v>
      </c>
      <c r="FK42" s="56">
        <f>Participantes!DI41</f>
        <v>1</v>
      </c>
      <c r="FL42" s="56">
        <f>Participantes!DJ41</f>
        <v>3</v>
      </c>
      <c r="FM42" s="58">
        <f t="shared" si="55"/>
        <v>0</v>
      </c>
      <c r="FN42" s="56">
        <f>Participantes!DK41</f>
        <v>2</v>
      </c>
      <c r="FO42" s="56">
        <f>Participantes!DL41</f>
        <v>2</v>
      </c>
      <c r="FP42" s="58">
        <f t="shared" si="56"/>
        <v>1</v>
      </c>
      <c r="FQ42" s="56">
        <f>Participantes!DM41</f>
        <v>1</v>
      </c>
      <c r="FR42" s="56">
        <f>Participantes!DN41</f>
        <v>2</v>
      </c>
      <c r="FS42" s="58">
        <f t="shared" si="57"/>
        <v>1</v>
      </c>
      <c r="FT42" s="56">
        <f>Participantes!DO41</f>
        <v>2</v>
      </c>
      <c r="FU42" s="56">
        <f>Participantes!DP41</f>
        <v>2</v>
      </c>
      <c r="FV42" s="58">
        <f t="shared" si="58"/>
        <v>0</v>
      </c>
      <c r="FW42" s="56">
        <f>Participantes!DQ41</f>
        <v>1</v>
      </c>
      <c r="FX42" s="56">
        <f>Participantes!DR41</f>
        <v>2</v>
      </c>
      <c r="FY42" s="58">
        <f t="shared" si="59"/>
        <v>0</v>
      </c>
      <c r="FZ42" s="56">
        <f>Participantes!DS41</f>
        <v>2</v>
      </c>
      <c r="GA42" s="56">
        <f>Participantes!DT41</f>
        <v>2</v>
      </c>
      <c r="GB42" s="58">
        <f t="shared" si="60"/>
        <v>0</v>
      </c>
      <c r="GC42" s="56">
        <f>Participantes!DU41</f>
        <v>1</v>
      </c>
      <c r="GD42" s="56">
        <f>Participantes!DV41</f>
        <v>1</v>
      </c>
      <c r="GE42" s="58">
        <f t="shared" si="61"/>
        <v>0</v>
      </c>
      <c r="GF42" s="56">
        <f>Participantes!DW41</f>
        <v>1</v>
      </c>
      <c r="GG42" s="56">
        <f>Participantes!DX41</f>
        <v>0</v>
      </c>
      <c r="GH42" s="58">
        <f t="shared" si="62"/>
        <v>0</v>
      </c>
      <c r="GI42" s="56">
        <f>Participantes!DY41</f>
        <v>2</v>
      </c>
      <c r="GJ42" s="56">
        <f>Participantes!DZ41</f>
        <v>2</v>
      </c>
      <c r="GK42" s="58">
        <f t="shared" si="63"/>
        <v>0</v>
      </c>
      <c r="GL42" s="56">
        <f>Participantes!EA41</f>
        <v>1</v>
      </c>
      <c r="GM42" s="56">
        <f>Participantes!EB41</f>
        <v>2</v>
      </c>
      <c r="GN42" s="58">
        <f t="shared" si="64"/>
        <v>0</v>
      </c>
      <c r="GO42" s="56">
        <f>Participantes!EC41</f>
        <v>2</v>
      </c>
      <c r="GP42" s="56">
        <f>Participantes!ED41</f>
        <v>2</v>
      </c>
      <c r="GQ42" s="58">
        <f t="shared" si="65"/>
        <v>0</v>
      </c>
      <c r="GR42" s="56">
        <f>Participantes!EE41</f>
        <v>1</v>
      </c>
      <c r="GS42" s="56">
        <f>Participantes!EF41</f>
        <v>3</v>
      </c>
      <c r="GT42" s="58" t="str">
        <f t="shared" si="66"/>
        <v/>
      </c>
      <c r="GU42" s="56">
        <f>Participantes!EG41</f>
        <v>4</v>
      </c>
      <c r="GV42" s="56">
        <f>Participantes!EH41</f>
        <v>0</v>
      </c>
      <c r="GW42" s="58" t="str">
        <f t="shared" si="67"/>
        <v/>
      </c>
      <c r="GX42" s="56">
        <f>Participantes!EI41</f>
        <v>0</v>
      </c>
      <c r="GY42" s="56">
        <f>Participantes!EJ41</f>
        <v>2</v>
      </c>
      <c r="GZ42" s="58" t="str">
        <f t="shared" si="68"/>
        <v/>
      </c>
      <c r="HA42" s="56">
        <f>Participantes!EK41</f>
        <v>1</v>
      </c>
      <c r="HB42" s="56">
        <f>Participantes!EL41</f>
        <v>4</v>
      </c>
      <c r="HC42" s="58" t="str">
        <f t="shared" si="69"/>
        <v/>
      </c>
      <c r="HD42" s="56">
        <f>Participantes!EM41</f>
        <v>1</v>
      </c>
      <c r="HE42" s="56">
        <f>Participantes!EN41</f>
        <v>3</v>
      </c>
      <c r="HF42" s="58" t="str">
        <f t="shared" si="70"/>
        <v/>
      </c>
      <c r="HG42" s="56">
        <f>Participantes!EO41</f>
        <v>1</v>
      </c>
      <c r="HH42" s="56">
        <f>Participantes!EP41</f>
        <v>1</v>
      </c>
      <c r="HI42" s="58" t="str">
        <f t="shared" si="71"/>
        <v/>
      </c>
      <c r="HJ42" s="59">
        <f t="shared" si="72"/>
        <v>41</v>
      </c>
    </row>
    <row r="43" spans="1:218" ht="15" customHeight="1" x14ac:dyDescent="0.25">
      <c r="A43" s="57" t="str">
        <f>Participantes!B42</f>
        <v>Ninoshka</v>
      </c>
      <c r="B43" s="56">
        <f>Participantes!C42</f>
        <v>2</v>
      </c>
      <c r="C43" s="56">
        <f>Participantes!D42</f>
        <v>1</v>
      </c>
      <c r="D43" s="58">
        <f t="shared" si="0"/>
        <v>1</v>
      </c>
      <c r="E43" s="56">
        <f>Participantes!E42</f>
        <v>1</v>
      </c>
      <c r="F43" s="56">
        <f>Participantes!F42</f>
        <v>1</v>
      </c>
      <c r="G43" s="58">
        <f t="shared" si="1"/>
        <v>0</v>
      </c>
      <c r="H43" s="56">
        <f>Participantes!G42</f>
        <v>2</v>
      </c>
      <c r="I43" s="56">
        <f>Participantes!H42</f>
        <v>0</v>
      </c>
      <c r="J43" s="58">
        <f t="shared" si="2"/>
        <v>0</v>
      </c>
      <c r="K43" s="56">
        <f>Participantes!I42</f>
        <v>1</v>
      </c>
      <c r="L43" s="56">
        <f>Participantes!J42</f>
        <v>2</v>
      </c>
      <c r="M43" s="58">
        <f t="shared" si="3"/>
        <v>0</v>
      </c>
      <c r="N43" s="56">
        <f>Participantes!K42</f>
        <v>0</v>
      </c>
      <c r="O43" s="56">
        <f>Participantes!L42</f>
        <v>2</v>
      </c>
      <c r="P43" s="58">
        <f t="shared" si="4"/>
        <v>1</v>
      </c>
      <c r="Q43" s="56">
        <f>Participantes!M42</f>
        <v>1</v>
      </c>
      <c r="R43" s="56">
        <f>Participantes!N42</f>
        <v>2</v>
      </c>
      <c r="S43" s="58">
        <f t="shared" si="5"/>
        <v>0</v>
      </c>
      <c r="T43" s="56">
        <f>Participantes!O42</f>
        <v>3</v>
      </c>
      <c r="U43" s="56">
        <f>Participantes!P42</f>
        <v>1</v>
      </c>
      <c r="V43" s="58">
        <f t="shared" si="6"/>
        <v>0</v>
      </c>
      <c r="W43" s="56">
        <f>Participantes!Q42</f>
        <v>0</v>
      </c>
      <c r="X43" s="56">
        <f>Participantes!R42</f>
        <v>2</v>
      </c>
      <c r="Y43" s="58">
        <f t="shared" si="7"/>
        <v>0</v>
      </c>
      <c r="Z43" s="56">
        <f>Participantes!S42</f>
        <v>1</v>
      </c>
      <c r="AA43" s="56">
        <f>Participantes!T42</f>
        <v>1</v>
      </c>
      <c r="AB43" s="58">
        <f t="shared" si="8"/>
        <v>0</v>
      </c>
      <c r="AC43" s="56">
        <f>Participantes!U42</f>
        <v>4</v>
      </c>
      <c r="AD43" s="56">
        <f>Participantes!V42</f>
        <v>0</v>
      </c>
      <c r="AE43" s="58">
        <f t="shared" si="9"/>
        <v>1</v>
      </c>
      <c r="AF43" s="56">
        <f>Participantes!W42</f>
        <v>2</v>
      </c>
      <c r="AG43" s="56">
        <f>Participantes!X42</f>
        <v>1</v>
      </c>
      <c r="AH43" s="58">
        <f t="shared" si="10"/>
        <v>0</v>
      </c>
      <c r="AI43" s="56">
        <f>Participantes!Y42</f>
        <v>2</v>
      </c>
      <c r="AJ43" s="56">
        <f>Participantes!Z42</f>
        <v>0</v>
      </c>
      <c r="AK43" s="58">
        <f t="shared" si="11"/>
        <v>1</v>
      </c>
      <c r="AL43" s="56">
        <f>Participantes!AA42</f>
        <v>0</v>
      </c>
      <c r="AM43" s="56">
        <f>Participantes!AB42</f>
        <v>2</v>
      </c>
      <c r="AN43" s="58">
        <f t="shared" si="12"/>
        <v>0</v>
      </c>
      <c r="AO43" s="56">
        <f>Participantes!AC42</f>
        <v>3</v>
      </c>
      <c r="AP43" s="56">
        <f>Participantes!AD42</f>
        <v>0</v>
      </c>
      <c r="AQ43" s="58">
        <f t="shared" si="13"/>
        <v>0</v>
      </c>
      <c r="AR43" s="56">
        <f>Participantes!AE42</f>
        <v>1</v>
      </c>
      <c r="AS43" s="56">
        <f>Participantes!AF42</f>
        <v>0</v>
      </c>
      <c r="AT43" s="58">
        <f t="shared" si="14"/>
        <v>0</v>
      </c>
      <c r="AU43" s="56">
        <f>Participantes!AG42</f>
        <v>2</v>
      </c>
      <c r="AV43" s="56">
        <f>Participantes!AH42</f>
        <v>1</v>
      </c>
      <c r="AW43" s="58">
        <f t="shared" si="15"/>
        <v>0</v>
      </c>
      <c r="AX43" s="56">
        <f>Participantes!AI42</f>
        <v>3</v>
      </c>
      <c r="AY43" s="56">
        <f>Participantes!AJ42</f>
        <v>0</v>
      </c>
      <c r="AZ43" s="58">
        <f t="shared" si="16"/>
        <v>1</v>
      </c>
      <c r="BA43" s="56">
        <f>Participantes!AK42</f>
        <v>0</v>
      </c>
      <c r="BB43" s="56">
        <f>Participantes!AL42</f>
        <v>2</v>
      </c>
      <c r="BC43" s="58">
        <f t="shared" si="17"/>
        <v>1</v>
      </c>
      <c r="BD43" s="56">
        <f>Participantes!AM42</f>
        <v>3</v>
      </c>
      <c r="BE43" s="56">
        <f>Participantes!AN42</f>
        <v>1</v>
      </c>
      <c r="BF43" s="58">
        <f t="shared" si="18"/>
        <v>1</v>
      </c>
      <c r="BG43" s="56">
        <f>Participantes!AO42</f>
        <v>2</v>
      </c>
      <c r="BH43" s="56">
        <f>Participantes!AP42</f>
        <v>0</v>
      </c>
      <c r="BI43" s="58">
        <f t="shared" si="19"/>
        <v>1</v>
      </c>
      <c r="BJ43" s="56">
        <f>Participantes!AQ42</f>
        <v>1</v>
      </c>
      <c r="BK43" s="56">
        <f>Participantes!AR42</f>
        <v>2</v>
      </c>
      <c r="BL43" s="58">
        <f t="shared" si="20"/>
        <v>0</v>
      </c>
      <c r="BM43" s="56">
        <f>Participantes!AS42</f>
        <v>2</v>
      </c>
      <c r="BN43" s="56">
        <f>Participantes!AT42</f>
        <v>1</v>
      </c>
      <c r="BO43" s="58">
        <f t="shared" si="21"/>
        <v>1</v>
      </c>
      <c r="BP43" s="56">
        <f>Participantes!AU42</f>
        <v>3</v>
      </c>
      <c r="BQ43" s="56">
        <f>Participantes!AV42</f>
        <v>0</v>
      </c>
      <c r="BR43" s="58">
        <f t="shared" si="22"/>
        <v>0</v>
      </c>
      <c r="BS43" s="56">
        <f>Participantes!AW42</f>
        <v>0</v>
      </c>
      <c r="BT43" s="56">
        <f>Participantes!AX42</f>
        <v>2</v>
      </c>
      <c r="BU43" s="58">
        <f t="shared" si="23"/>
        <v>1</v>
      </c>
      <c r="BV43" s="56">
        <f>Participantes!AY42</f>
        <v>2</v>
      </c>
      <c r="BW43" s="56">
        <f>Participantes!AZ42</f>
        <v>0</v>
      </c>
      <c r="BX43" s="58">
        <f t="shared" si="24"/>
        <v>0</v>
      </c>
      <c r="BY43" s="56">
        <f>Participantes!BA42</f>
        <v>2</v>
      </c>
      <c r="BZ43" s="56">
        <f>Participantes!BB42</f>
        <v>1</v>
      </c>
      <c r="CA43" s="58">
        <f t="shared" si="25"/>
        <v>1</v>
      </c>
      <c r="CB43" s="56">
        <f>Participantes!BC42</f>
        <v>3</v>
      </c>
      <c r="CC43" s="56">
        <f>Participantes!BD42</f>
        <v>1</v>
      </c>
      <c r="CD43" s="58">
        <f t="shared" si="26"/>
        <v>1</v>
      </c>
      <c r="CE43" s="56">
        <f>Participantes!BE42</f>
        <v>1</v>
      </c>
      <c r="CF43" s="56">
        <f>Participantes!BF42</f>
        <v>3</v>
      </c>
      <c r="CG43" s="58">
        <f t="shared" si="27"/>
        <v>0</v>
      </c>
      <c r="CH43" s="56">
        <f>Participantes!BG42</f>
        <v>5</v>
      </c>
      <c r="CI43" s="56">
        <f>Participantes!BH42</f>
        <v>0</v>
      </c>
      <c r="CJ43" s="58">
        <f t="shared" si="28"/>
        <v>1</v>
      </c>
      <c r="CK43" s="56">
        <f>Participantes!BI42</f>
        <v>1</v>
      </c>
      <c r="CL43" s="56">
        <f>Participantes!BJ42</f>
        <v>2</v>
      </c>
      <c r="CM43" s="58">
        <f t="shared" si="29"/>
        <v>1</v>
      </c>
      <c r="CN43" s="56">
        <f>Participantes!BK42</f>
        <v>1</v>
      </c>
      <c r="CO43" s="56">
        <f>Participantes!BL42</f>
        <v>1</v>
      </c>
      <c r="CP43" s="58">
        <f t="shared" si="30"/>
        <v>0</v>
      </c>
      <c r="CQ43" s="56">
        <f>Participantes!BM42</f>
        <v>2</v>
      </c>
      <c r="CR43" s="56">
        <f>Participantes!BN42</f>
        <v>0</v>
      </c>
      <c r="CS43" s="58">
        <f t="shared" si="31"/>
        <v>3</v>
      </c>
      <c r="CT43" s="56">
        <f>Participantes!BO42</f>
        <v>2</v>
      </c>
      <c r="CU43" s="56">
        <f>Participantes!BP42</f>
        <v>1</v>
      </c>
      <c r="CV43" s="58">
        <f t="shared" si="32"/>
        <v>3</v>
      </c>
      <c r="CW43" s="56">
        <f>Participantes!BQ42</f>
        <v>3</v>
      </c>
      <c r="CX43" s="56">
        <f>Participantes!BR42</f>
        <v>0</v>
      </c>
      <c r="CY43" s="58">
        <f t="shared" si="33"/>
        <v>0</v>
      </c>
      <c r="CZ43" s="56">
        <f>Participantes!BS42</f>
        <v>1</v>
      </c>
      <c r="DA43" s="56">
        <f>Participantes!BT42</f>
        <v>1</v>
      </c>
      <c r="DB43" s="58">
        <f t="shared" si="34"/>
        <v>0</v>
      </c>
      <c r="DC43" s="56">
        <f>Participantes!BU42</f>
        <v>0</v>
      </c>
      <c r="DD43" s="56">
        <f>Participantes!BV42</f>
        <v>2</v>
      </c>
      <c r="DE43" s="58">
        <f t="shared" si="35"/>
        <v>1</v>
      </c>
      <c r="DF43" s="56">
        <f>Participantes!BW42</f>
        <v>3</v>
      </c>
      <c r="DG43" s="56">
        <f>Participantes!BX42</f>
        <v>0</v>
      </c>
      <c r="DH43" s="58">
        <f t="shared" si="36"/>
        <v>0</v>
      </c>
      <c r="DI43" s="56">
        <f>Participantes!BY42</f>
        <v>2</v>
      </c>
      <c r="DJ43" s="56">
        <f>Participantes!BZ42</f>
        <v>0</v>
      </c>
      <c r="DK43" s="58">
        <f t="shared" si="37"/>
        <v>1</v>
      </c>
      <c r="DL43" s="56">
        <f>Participantes!CA42</f>
        <v>3</v>
      </c>
      <c r="DM43" s="56">
        <f>Participantes!CB42</f>
        <v>1</v>
      </c>
      <c r="DN43" s="58">
        <f t="shared" si="38"/>
        <v>0</v>
      </c>
      <c r="DO43" s="56">
        <f>Participantes!CC42</f>
        <v>0</v>
      </c>
      <c r="DP43" s="56">
        <f>Participantes!CD42</f>
        <v>2</v>
      </c>
      <c r="DQ43" s="58">
        <f t="shared" si="39"/>
        <v>1</v>
      </c>
      <c r="DR43" s="56">
        <f>Participantes!CE42</f>
        <v>1</v>
      </c>
      <c r="DS43" s="56">
        <f>Participantes!CF42</f>
        <v>1</v>
      </c>
      <c r="DT43" s="58">
        <f t="shared" si="40"/>
        <v>0</v>
      </c>
      <c r="DU43" s="56">
        <f>Participantes!CG42</f>
        <v>4</v>
      </c>
      <c r="DV43" s="56">
        <f>Participantes!CH42</f>
        <v>0</v>
      </c>
      <c r="DW43" s="58">
        <f t="shared" si="41"/>
        <v>1</v>
      </c>
      <c r="DX43" s="56">
        <f>Participantes!CI42</f>
        <v>3</v>
      </c>
      <c r="DY43" s="56">
        <f>Participantes!CJ42</f>
        <v>0</v>
      </c>
      <c r="DZ43" s="58">
        <f t="shared" si="42"/>
        <v>1</v>
      </c>
      <c r="EA43" s="56">
        <f>Participantes!CK42</f>
        <v>1</v>
      </c>
      <c r="EB43" s="56">
        <f>Participantes!CL42</f>
        <v>2</v>
      </c>
      <c r="EC43" s="58">
        <f t="shared" si="43"/>
        <v>3</v>
      </c>
      <c r="ED43" s="56">
        <f>Participantes!CM42</f>
        <v>3</v>
      </c>
      <c r="EE43" s="56">
        <f>Participantes!CN42</f>
        <v>0</v>
      </c>
      <c r="EF43" s="58">
        <f t="shared" si="44"/>
        <v>0</v>
      </c>
      <c r="EG43" s="56">
        <f>Participantes!CO42</f>
        <v>1</v>
      </c>
      <c r="EH43" s="56">
        <f>Participantes!CP42</f>
        <v>2</v>
      </c>
      <c r="EI43" s="58">
        <f t="shared" si="45"/>
        <v>1</v>
      </c>
      <c r="EJ43" s="56">
        <f>Participantes!CQ42</f>
        <v>3</v>
      </c>
      <c r="EK43" s="56">
        <f>Participantes!CR42</f>
        <v>1</v>
      </c>
      <c r="EL43" s="58">
        <f t="shared" si="46"/>
        <v>1</v>
      </c>
      <c r="EM43" s="56">
        <f>Participantes!CS42</f>
        <v>2</v>
      </c>
      <c r="EN43" s="56">
        <f>Participantes!CT42</f>
        <v>0</v>
      </c>
      <c r="EO43" s="58">
        <f t="shared" si="47"/>
        <v>1</v>
      </c>
      <c r="EP43" s="56">
        <f>Participantes!CU42</f>
        <v>1</v>
      </c>
      <c r="EQ43" s="56">
        <f>Participantes!CV42</f>
        <v>3</v>
      </c>
      <c r="ER43" s="58">
        <f t="shared" si="48"/>
        <v>1</v>
      </c>
      <c r="ES43" s="56">
        <f>Participantes!CW42</f>
        <v>3</v>
      </c>
      <c r="ET43" s="56">
        <f>Participantes!CX42</f>
        <v>1</v>
      </c>
      <c r="EU43" s="58">
        <f t="shared" si="49"/>
        <v>1</v>
      </c>
      <c r="EV43" s="56">
        <f>Participantes!CY42</f>
        <v>1</v>
      </c>
      <c r="EW43" s="56">
        <f>Participantes!CZ42</f>
        <v>1</v>
      </c>
      <c r="EX43" s="58">
        <f t="shared" si="50"/>
        <v>0</v>
      </c>
      <c r="EY43" s="56">
        <f>Participantes!DA42</f>
        <v>2</v>
      </c>
      <c r="EZ43" s="56">
        <f>Participantes!DB42</f>
        <v>1</v>
      </c>
      <c r="FA43" s="58">
        <f t="shared" si="51"/>
        <v>1</v>
      </c>
      <c r="FB43" s="56">
        <f>Participantes!DC42</f>
        <v>2</v>
      </c>
      <c r="FC43" s="56">
        <f>Participantes!DD42</f>
        <v>2</v>
      </c>
      <c r="FD43" s="58">
        <f t="shared" si="52"/>
        <v>0</v>
      </c>
      <c r="FE43" s="56">
        <f>Participantes!DE42</f>
        <v>0</v>
      </c>
      <c r="FF43" s="56">
        <f>Participantes!DF42</f>
        <v>2</v>
      </c>
      <c r="FG43" s="58">
        <f t="shared" si="53"/>
        <v>0</v>
      </c>
      <c r="FH43" s="56">
        <f>Participantes!DG42</f>
        <v>1</v>
      </c>
      <c r="FI43" s="56">
        <f>Participantes!DH42</f>
        <v>2</v>
      </c>
      <c r="FJ43" s="58">
        <f t="shared" si="54"/>
        <v>1</v>
      </c>
      <c r="FK43" s="56">
        <f>Participantes!DI42</f>
        <v>1</v>
      </c>
      <c r="FL43" s="56">
        <f>Participantes!DJ42</f>
        <v>3</v>
      </c>
      <c r="FM43" s="58">
        <f t="shared" si="55"/>
        <v>0</v>
      </c>
      <c r="FN43" s="56">
        <f>Participantes!DK42</f>
        <v>2</v>
      </c>
      <c r="FO43" s="56">
        <f>Participantes!DL42</f>
        <v>1</v>
      </c>
      <c r="FP43" s="58">
        <f t="shared" si="56"/>
        <v>0</v>
      </c>
      <c r="FQ43" s="56">
        <f>Participantes!DM42</f>
        <v>1</v>
      </c>
      <c r="FR43" s="56">
        <f>Participantes!DN42</f>
        <v>3</v>
      </c>
      <c r="FS43" s="58">
        <f t="shared" si="57"/>
        <v>3</v>
      </c>
      <c r="FT43" s="56">
        <f>Participantes!DO42</f>
        <v>2</v>
      </c>
      <c r="FU43" s="56">
        <f>Participantes!DP42</f>
        <v>2</v>
      </c>
      <c r="FV43" s="58">
        <f t="shared" si="58"/>
        <v>0</v>
      </c>
      <c r="FW43" s="56">
        <f>Participantes!DQ42</f>
        <v>2</v>
      </c>
      <c r="FX43" s="56">
        <f>Participantes!DR42</f>
        <v>1</v>
      </c>
      <c r="FY43" s="58">
        <f t="shared" si="59"/>
        <v>0</v>
      </c>
      <c r="FZ43" s="56">
        <f>Participantes!DS42</f>
        <v>1</v>
      </c>
      <c r="GA43" s="56">
        <f>Participantes!DT42</f>
        <v>3</v>
      </c>
      <c r="GB43" s="58">
        <f t="shared" si="60"/>
        <v>1</v>
      </c>
      <c r="GC43" s="56">
        <f>Participantes!DU42</f>
        <v>2</v>
      </c>
      <c r="GD43" s="56">
        <f>Participantes!DV42</f>
        <v>1</v>
      </c>
      <c r="GE43" s="58">
        <f t="shared" si="61"/>
        <v>1</v>
      </c>
      <c r="GF43" s="56">
        <f>Participantes!DW42</f>
        <v>3</v>
      </c>
      <c r="GG43" s="56">
        <f>Participantes!DX42</f>
        <v>1</v>
      </c>
      <c r="GH43" s="58">
        <f t="shared" si="62"/>
        <v>0</v>
      </c>
      <c r="GI43" s="56">
        <f>Participantes!DY42</f>
        <v>0</v>
      </c>
      <c r="GJ43" s="56">
        <f>Participantes!DZ42</f>
        <v>3</v>
      </c>
      <c r="GK43" s="58">
        <f t="shared" si="63"/>
        <v>1</v>
      </c>
      <c r="GL43" s="56">
        <f>Participantes!EA42</f>
        <v>0</v>
      </c>
      <c r="GM43" s="56">
        <f>Participantes!EB42</f>
        <v>2</v>
      </c>
      <c r="GN43" s="58">
        <f t="shared" si="64"/>
        <v>0</v>
      </c>
      <c r="GO43" s="56">
        <f>Participantes!EC42</f>
        <v>1</v>
      </c>
      <c r="GP43" s="56">
        <f>Participantes!ED42</f>
        <v>2</v>
      </c>
      <c r="GQ43" s="58">
        <f t="shared" si="65"/>
        <v>1</v>
      </c>
      <c r="GR43" s="56">
        <f>Participantes!EE42</f>
        <v>2</v>
      </c>
      <c r="GS43" s="56">
        <f>Participantes!EF42</f>
        <v>4</v>
      </c>
      <c r="GT43" s="58" t="str">
        <f t="shared" si="66"/>
        <v/>
      </c>
      <c r="GU43" s="56">
        <f>Participantes!EG42</f>
        <v>3</v>
      </c>
      <c r="GV43" s="56">
        <f>Participantes!EH42</f>
        <v>1</v>
      </c>
      <c r="GW43" s="58" t="str">
        <f t="shared" si="67"/>
        <v/>
      </c>
      <c r="GX43" s="56">
        <f>Participantes!EI42</f>
        <v>1</v>
      </c>
      <c r="GY43" s="56">
        <f>Participantes!EJ42</f>
        <v>2</v>
      </c>
      <c r="GZ43" s="58" t="str">
        <f t="shared" si="68"/>
        <v/>
      </c>
      <c r="HA43" s="56">
        <f>Participantes!EK42</f>
        <v>1</v>
      </c>
      <c r="HB43" s="56">
        <f>Participantes!EL42</f>
        <v>3</v>
      </c>
      <c r="HC43" s="58" t="str">
        <f t="shared" si="69"/>
        <v/>
      </c>
      <c r="HD43" s="56">
        <f>Participantes!EM42</f>
        <v>1</v>
      </c>
      <c r="HE43" s="56">
        <f>Participantes!EN42</f>
        <v>2</v>
      </c>
      <c r="HF43" s="58" t="str">
        <f t="shared" si="70"/>
        <v/>
      </c>
      <c r="HG43" s="56">
        <f>Participantes!EO42</f>
        <v>0</v>
      </c>
      <c r="HH43" s="56">
        <f>Participantes!EP42</f>
        <v>2</v>
      </c>
      <c r="HI43" s="58" t="str">
        <f t="shared" si="71"/>
        <v/>
      </c>
      <c r="HJ43" s="59">
        <f t="shared" si="72"/>
        <v>42</v>
      </c>
    </row>
    <row r="44" spans="1:218" ht="15" customHeight="1" x14ac:dyDescent="0.25">
      <c r="A44" s="57" t="str">
        <f>Participantes!B43</f>
        <v>Osvaldo</v>
      </c>
      <c r="B44" s="56">
        <f>Participantes!C43</f>
        <v>2</v>
      </c>
      <c r="C44" s="56">
        <f>Participantes!D43</f>
        <v>1</v>
      </c>
      <c r="D44" s="58">
        <f t="shared" si="0"/>
        <v>1</v>
      </c>
      <c r="E44" s="56">
        <f>Participantes!E43</f>
        <v>2</v>
      </c>
      <c r="F44" s="56">
        <f>Participantes!F43</f>
        <v>1</v>
      </c>
      <c r="G44" s="58">
        <f t="shared" si="1"/>
        <v>3</v>
      </c>
      <c r="H44" s="56">
        <f>Participantes!G43</f>
        <v>2</v>
      </c>
      <c r="I44" s="56">
        <f>Participantes!H43</f>
        <v>1</v>
      </c>
      <c r="J44" s="58">
        <f t="shared" si="2"/>
        <v>0</v>
      </c>
      <c r="K44" s="56">
        <f>Participantes!I43</f>
        <v>2</v>
      </c>
      <c r="L44" s="56">
        <f>Participantes!J43</f>
        <v>1</v>
      </c>
      <c r="M44" s="58">
        <f t="shared" si="3"/>
        <v>1</v>
      </c>
      <c r="N44" s="56">
        <f>Participantes!K43</f>
        <v>1</v>
      </c>
      <c r="O44" s="56">
        <f>Participantes!L43</f>
        <v>1</v>
      </c>
      <c r="P44" s="58">
        <f t="shared" si="4"/>
        <v>0</v>
      </c>
      <c r="Q44" s="56">
        <f>Participantes!M43</f>
        <v>0</v>
      </c>
      <c r="R44" s="56">
        <f>Participantes!N43</f>
        <v>2</v>
      </c>
      <c r="S44" s="58">
        <f t="shared" si="5"/>
        <v>0</v>
      </c>
      <c r="T44" s="56">
        <f>Participantes!O43</f>
        <v>3</v>
      </c>
      <c r="U44" s="56">
        <f>Participantes!P43</f>
        <v>2</v>
      </c>
      <c r="V44" s="58">
        <f t="shared" si="6"/>
        <v>0</v>
      </c>
      <c r="W44" s="56">
        <f>Participantes!Q43</f>
        <v>1</v>
      </c>
      <c r="X44" s="56">
        <f>Participantes!R43</f>
        <v>1</v>
      </c>
      <c r="Y44" s="58">
        <f t="shared" si="7"/>
        <v>3</v>
      </c>
      <c r="Z44" s="56">
        <f>Participantes!S43</f>
        <v>1</v>
      </c>
      <c r="AA44" s="56">
        <f>Participantes!T43</f>
        <v>3</v>
      </c>
      <c r="AB44" s="58">
        <f t="shared" si="8"/>
        <v>0</v>
      </c>
      <c r="AC44" s="56">
        <f>Participantes!U43</f>
        <v>3</v>
      </c>
      <c r="AD44" s="56">
        <f>Participantes!V43</f>
        <v>1</v>
      </c>
      <c r="AE44" s="58">
        <f t="shared" si="9"/>
        <v>1</v>
      </c>
      <c r="AF44" s="56">
        <f>Participantes!W43</f>
        <v>2</v>
      </c>
      <c r="AG44" s="56">
        <f>Participantes!X43</f>
        <v>0</v>
      </c>
      <c r="AH44" s="58">
        <f t="shared" si="10"/>
        <v>0</v>
      </c>
      <c r="AI44" s="56">
        <f>Participantes!Y43</f>
        <v>3</v>
      </c>
      <c r="AJ44" s="56">
        <f>Participantes!Z43</f>
        <v>1</v>
      </c>
      <c r="AK44" s="58">
        <f t="shared" si="11"/>
        <v>1</v>
      </c>
      <c r="AL44" s="56">
        <f>Participantes!AA43</f>
        <v>0</v>
      </c>
      <c r="AM44" s="56">
        <f>Participantes!AB43</f>
        <v>1</v>
      </c>
      <c r="AN44" s="58">
        <f t="shared" si="12"/>
        <v>0</v>
      </c>
      <c r="AO44" s="56">
        <f>Participantes!AC43</f>
        <v>4</v>
      </c>
      <c r="AP44" s="56">
        <f>Participantes!AD43</f>
        <v>0</v>
      </c>
      <c r="AQ44" s="58">
        <f t="shared" si="13"/>
        <v>0</v>
      </c>
      <c r="AR44" s="56">
        <f>Participantes!AE43</f>
        <v>1</v>
      </c>
      <c r="AS44" s="56">
        <f>Participantes!AF43</f>
        <v>1</v>
      </c>
      <c r="AT44" s="58">
        <f t="shared" si="14"/>
        <v>1</v>
      </c>
      <c r="AU44" s="56">
        <f>Participantes!AG43</f>
        <v>3</v>
      </c>
      <c r="AV44" s="56">
        <f>Participantes!AH43</f>
        <v>1</v>
      </c>
      <c r="AW44" s="58">
        <f t="shared" si="15"/>
        <v>0</v>
      </c>
      <c r="AX44" s="56">
        <f>Participantes!AI43</f>
        <v>3</v>
      </c>
      <c r="AY44" s="56">
        <f>Participantes!AJ43</f>
        <v>1</v>
      </c>
      <c r="AZ44" s="58">
        <f t="shared" si="16"/>
        <v>3</v>
      </c>
      <c r="BA44" s="56">
        <f>Participantes!AK43</f>
        <v>0</v>
      </c>
      <c r="BB44" s="56">
        <f>Participantes!AL43</f>
        <v>4</v>
      </c>
      <c r="BC44" s="58">
        <f t="shared" si="17"/>
        <v>1</v>
      </c>
      <c r="BD44" s="56">
        <f>Participantes!AM43</f>
        <v>2</v>
      </c>
      <c r="BE44" s="56">
        <f>Participantes!AN43</f>
        <v>0</v>
      </c>
      <c r="BF44" s="58">
        <f t="shared" si="18"/>
        <v>1</v>
      </c>
      <c r="BG44" s="56">
        <f>Participantes!AO43</f>
        <v>0</v>
      </c>
      <c r="BH44" s="56">
        <f>Participantes!AP43</f>
        <v>0</v>
      </c>
      <c r="BI44" s="58">
        <f t="shared" si="19"/>
        <v>0</v>
      </c>
      <c r="BJ44" s="56">
        <f>Participantes!AQ43</f>
        <v>1</v>
      </c>
      <c r="BK44" s="56">
        <f>Participantes!AR43</f>
        <v>1</v>
      </c>
      <c r="BL44" s="58">
        <f t="shared" si="20"/>
        <v>0</v>
      </c>
      <c r="BM44" s="56">
        <f>Participantes!AS43</f>
        <v>2</v>
      </c>
      <c r="BN44" s="56">
        <f>Participantes!AT43</f>
        <v>1</v>
      </c>
      <c r="BO44" s="58">
        <f t="shared" si="21"/>
        <v>1</v>
      </c>
      <c r="BP44" s="56">
        <f>Participantes!AU43</f>
        <v>4</v>
      </c>
      <c r="BQ44" s="56">
        <f>Participantes!AV43</f>
        <v>0</v>
      </c>
      <c r="BR44" s="58">
        <f t="shared" si="22"/>
        <v>0</v>
      </c>
      <c r="BS44" s="56">
        <f>Participantes!AW43</f>
        <v>1</v>
      </c>
      <c r="BT44" s="56">
        <f>Participantes!AX43</f>
        <v>3</v>
      </c>
      <c r="BU44" s="58">
        <f t="shared" si="23"/>
        <v>3</v>
      </c>
      <c r="BV44" s="56">
        <f>Participantes!AY43</f>
        <v>1</v>
      </c>
      <c r="BW44" s="56">
        <f>Participantes!AZ43</f>
        <v>1</v>
      </c>
      <c r="BX44" s="58">
        <f t="shared" si="24"/>
        <v>3</v>
      </c>
      <c r="BY44" s="56">
        <f>Participantes!BA43</f>
        <v>2</v>
      </c>
      <c r="BZ44" s="56">
        <f>Participantes!BB43</f>
        <v>0</v>
      </c>
      <c r="CA44" s="58">
        <f t="shared" si="25"/>
        <v>1</v>
      </c>
      <c r="CB44" s="56">
        <f>Participantes!BC43</f>
        <v>2</v>
      </c>
      <c r="CC44" s="56">
        <f>Participantes!BD43</f>
        <v>1</v>
      </c>
      <c r="CD44" s="58">
        <f t="shared" si="26"/>
        <v>1</v>
      </c>
      <c r="CE44" s="56">
        <f>Participantes!BE43</f>
        <v>2</v>
      </c>
      <c r="CF44" s="56">
        <f>Participantes!BF43</f>
        <v>0</v>
      </c>
      <c r="CG44" s="58">
        <f t="shared" si="27"/>
        <v>1</v>
      </c>
      <c r="CH44" s="56">
        <f>Participantes!BG43</f>
        <v>4</v>
      </c>
      <c r="CI44" s="56">
        <f>Participantes!BH43</f>
        <v>0</v>
      </c>
      <c r="CJ44" s="58">
        <f t="shared" si="28"/>
        <v>1</v>
      </c>
      <c r="CK44" s="56">
        <f>Participantes!BI43</f>
        <v>0</v>
      </c>
      <c r="CL44" s="56">
        <f>Participantes!BJ43</f>
        <v>2</v>
      </c>
      <c r="CM44" s="58">
        <f t="shared" si="29"/>
        <v>1</v>
      </c>
      <c r="CN44" s="56">
        <f>Participantes!BK43</f>
        <v>1</v>
      </c>
      <c r="CO44" s="56">
        <f>Participantes!BL43</f>
        <v>1</v>
      </c>
      <c r="CP44" s="58">
        <f t="shared" si="30"/>
        <v>0</v>
      </c>
      <c r="CQ44" s="56">
        <f>Participantes!BM43</f>
        <v>3</v>
      </c>
      <c r="CR44" s="56">
        <f>Participantes!BN43</f>
        <v>1</v>
      </c>
      <c r="CS44" s="58">
        <f t="shared" si="31"/>
        <v>1</v>
      </c>
      <c r="CT44" s="56">
        <f>Participantes!BO43</f>
        <v>2</v>
      </c>
      <c r="CU44" s="56">
        <f>Participantes!BP43</f>
        <v>0</v>
      </c>
      <c r="CV44" s="58">
        <f t="shared" si="32"/>
        <v>1</v>
      </c>
      <c r="CW44" s="56">
        <f>Participantes!BQ43</f>
        <v>4</v>
      </c>
      <c r="CX44" s="56">
        <f>Participantes!BR43</f>
        <v>1</v>
      </c>
      <c r="CY44" s="58">
        <f t="shared" si="33"/>
        <v>0</v>
      </c>
      <c r="CZ44" s="56">
        <f>Participantes!BS43</f>
        <v>2</v>
      </c>
      <c r="DA44" s="56">
        <f>Participantes!BT43</f>
        <v>2</v>
      </c>
      <c r="DB44" s="58">
        <f t="shared" si="34"/>
        <v>0</v>
      </c>
      <c r="DC44" s="56">
        <f>Participantes!BU43</f>
        <v>0</v>
      </c>
      <c r="DD44" s="56">
        <f>Participantes!BV43</f>
        <v>2</v>
      </c>
      <c r="DE44" s="58">
        <f t="shared" si="35"/>
        <v>1</v>
      </c>
      <c r="DF44" s="56">
        <f>Participantes!BW43</f>
        <v>2</v>
      </c>
      <c r="DG44" s="56">
        <f>Participantes!BX43</f>
        <v>0</v>
      </c>
      <c r="DH44" s="58">
        <f t="shared" si="36"/>
        <v>0</v>
      </c>
      <c r="DI44" s="56">
        <f>Participantes!BY43</f>
        <v>4</v>
      </c>
      <c r="DJ44" s="56">
        <f>Participantes!BZ43</f>
        <v>0</v>
      </c>
      <c r="DK44" s="58">
        <f t="shared" si="37"/>
        <v>3</v>
      </c>
      <c r="DL44" s="56">
        <f>Participantes!CA43</f>
        <v>4</v>
      </c>
      <c r="DM44" s="56">
        <f>Participantes!CB43</f>
        <v>0</v>
      </c>
      <c r="DN44" s="58">
        <f t="shared" si="38"/>
        <v>0</v>
      </c>
      <c r="DO44" s="56">
        <f>Participantes!CC43</f>
        <v>2</v>
      </c>
      <c r="DP44" s="56">
        <f>Participantes!CD43</f>
        <v>2</v>
      </c>
      <c r="DQ44" s="58">
        <f t="shared" si="39"/>
        <v>0</v>
      </c>
      <c r="DR44" s="56">
        <f>Participantes!CE43</f>
        <v>2</v>
      </c>
      <c r="DS44" s="56">
        <f>Participantes!CF43</f>
        <v>1</v>
      </c>
      <c r="DT44" s="58">
        <f t="shared" si="40"/>
        <v>1</v>
      </c>
      <c r="DU44" s="56">
        <f>Participantes!CG43</f>
        <v>3</v>
      </c>
      <c r="DV44" s="56">
        <f>Participantes!CH43</f>
        <v>0</v>
      </c>
      <c r="DW44" s="58">
        <f t="shared" si="41"/>
        <v>3</v>
      </c>
      <c r="DX44" s="56">
        <f>Participantes!CI43</f>
        <v>2</v>
      </c>
      <c r="DY44" s="56">
        <f>Participantes!CJ43</f>
        <v>1</v>
      </c>
      <c r="DZ44" s="58">
        <f t="shared" si="42"/>
        <v>1</v>
      </c>
      <c r="EA44" s="56">
        <f>Participantes!CK43</f>
        <v>0</v>
      </c>
      <c r="EB44" s="56">
        <f>Participantes!CL43</f>
        <v>0</v>
      </c>
      <c r="EC44" s="58">
        <f t="shared" si="43"/>
        <v>0</v>
      </c>
      <c r="ED44" s="56">
        <f>Participantes!CM43</f>
        <v>2</v>
      </c>
      <c r="EE44" s="56">
        <f>Participantes!CN43</f>
        <v>0</v>
      </c>
      <c r="EF44" s="58">
        <f t="shared" si="44"/>
        <v>0</v>
      </c>
      <c r="EG44" s="56">
        <f>Participantes!CO43</f>
        <v>1</v>
      </c>
      <c r="EH44" s="56">
        <f>Participantes!CP43</f>
        <v>1</v>
      </c>
      <c r="EI44" s="58">
        <f t="shared" si="45"/>
        <v>0</v>
      </c>
      <c r="EJ44" s="56">
        <f>Participantes!CQ43</f>
        <v>3</v>
      </c>
      <c r="EK44" s="56">
        <f>Participantes!CR43</f>
        <v>1</v>
      </c>
      <c r="EL44" s="58">
        <f t="shared" si="46"/>
        <v>1</v>
      </c>
      <c r="EM44" s="56">
        <f>Participantes!CS43</f>
        <v>3</v>
      </c>
      <c r="EN44" s="56">
        <f>Participantes!CT43</f>
        <v>1</v>
      </c>
      <c r="EO44" s="58">
        <f t="shared" si="47"/>
        <v>1</v>
      </c>
      <c r="EP44" s="56">
        <f>Participantes!CU43</f>
        <v>1</v>
      </c>
      <c r="EQ44" s="56">
        <f>Participantes!CV43</f>
        <v>4</v>
      </c>
      <c r="ER44" s="58">
        <f t="shared" si="48"/>
        <v>1</v>
      </c>
      <c r="ES44" s="56">
        <f>Participantes!CW43</f>
        <v>2</v>
      </c>
      <c r="ET44" s="56">
        <f>Participantes!CX43</f>
        <v>0</v>
      </c>
      <c r="EU44" s="58">
        <f t="shared" si="49"/>
        <v>1</v>
      </c>
      <c r="EV44" s="56">
        <f>Participantes!CY43</f>
        <v>2</v>
      </c>
      <c r="EW44" s="56">
        <f>Participantes!CZ43</f>
        <v>2</v>
      </c>
      <c r="EX44" s="58">
        <f t="shared" si="50"/>
        <v>0</v>
      </c>
      <c r="EY44" s="56">
        <f>Participantes!DA43</f>
        <v>2</v>
      </c>
      <c r="EZ44" s="56">
        <f>Participantes!DB43</f>
        <v>2</v>
      </c>
      <c r="FA44" s="58">
        <f t="shared" si="51"/>
        <v>0</v>
      </c>
      <c r="FB44" s="56">
        <f>Participantes!DC43</f>
        <v>2</v>
      </c>
      <c r="FC44" s="56">
        <f>Participantes!DD43</f>
        <v>2</v>
      </c>
      <c r="FD44" s="58">
        <f t="shared" si="52"/>
        <v>0</v>
      </c>
      <c r="FE44" s="56">
        <f>Participantes!DE43</f>
        <v>1</v>
      </c>
      <c r="FF44" s="56">
        <f>Participantes!DF43</f>
        <v>2</v>
      </c>
      <c r="FG44" s="58">
        <f t="shared" si="53"/>
        <v>0</v>
      </c>
      <c r="FH44" s="56">
        <f>Participantes!DG43</f>
        <v>1</v>
      </c>
      <c r="FI44" s="56">
        <f>Participantes!DH43</f>
        <v>1</v>
      </c>
      <c r="FJ44" s="58">
        <f t="shared" si="54"/>
        <v>0</v>
      </c>
      <c r="FK44" s="56">
        <f>Participantes!DI43</f>
        <v>2</v>
      </c>
      <c r="FL44" s="56">
        <f>Participantes!DJ43</f>
        <v>2</v>
      </c>
      <c r="FM44" s="58">
        <f t="shared" si="55"/>
        <v>0</v>
      </c>
      <c r="FN44" s="56">
        <f>Participantes!DK43</f>
        <v>2</v>
      </c>
      <c r="FO44" s="56">
        <f>Participantes!DL43</f>
        <v>2</v>
      </c>
      <c r="FP44" s="58">
        <f t="shared" si="56"/>
        <v>1</v>
      </c>
      <c r="FQ44" s="56">
        <f>Participantes!DM43</f>
        <v>0</v>
      </c>
      <c r="FR44" s="56">
        <f>Participantes!DN43</f>
        <v>4</v>
      </c>
      <c r="FS44" s="58">
        <f t="shared" si="57"/>
        <v>1</v>
      </c>
      <c r="FT44" s="56">
        <f>Participantes!DO43</f>
        <v>2</v>
      </c>
      <c r="FU44" s="56">
        <f>Participantes!DP43</f>
        <v>2</v>
      </c>
      <c r="FV44" s="58">
        <f t="shared" si="58"/>
        <v>0</v>
      </c>
      <c r="FW44" s="56">
        <f>Participantes!DQ43</f>
        <v>3</v>
      </c>
      <c r="FX44" s="56">
        <f>Participantes!DR43</f>
        <v>2</v>
      </c>
      <c r="FY44" s="58">
        <f t="shared" si="59"/>
        <v>0</v>
      </c>
      <c r="FZ44" s="56">
        <f>Participantes!DS43</f>
        <v>2</v>
      </c>
      <c r="GA44" s="56">
        <f>Participantes!DT43</f>
        <v>4</v>
      </c>
      <c r="GB44" s="58">
        <f t="shared" si="60"/>
        <v>1</v>
      </c>
      <c r="GC44" s="56">
        <f>Participantes!DU43</f>
        <v>2</v>
      </c>
      <c r="GD44" s="56">
        <f>Participantes!DV43</f>
        <v>2</v>
      </c>
      <c r="GE44" s="58">
        <f t="shared" si="61"/>
        <v>0</v>
      </c>
      <c r="GF44" s="56">
        <f>Participantes!DW43</f>
        <v>1</v>
      </c>
      <c r="GG44" s="56">
        <f>Participantes!DX43</f>
        <v>0</v>
      </c>
      <c r="GH44" s="58">
        <f t="shared" si="62"/>
        <v>0</v>
      </c>
      <c r="GI44" s="56">
        <f>Participantes!DY43</f>
        <v>1</v>
      </c>
      <c r="GJ44" s="56">
        <f>Participantes!DZ43</f>
        <v>4</v>
      </c>
      <c r="GK44" s="58">
        <f t="shared" si="63"/>
        <v>1</v>
      </c>
      <c r="GL44" s="56">
        <f>Participantes!EA43</f>
        <v>0</v>
      </c>
      <c r="GM44" s="56">
        <f>Participantes!EB43</f>
        <v>0</v>
      </c>
      <c r="GN44" s="58">
        <f t="shared" si="64"/>
        <v>3</v>
      </c>
      <c r="GO44" s="56">
        <f>Participantes!EC43</f>
        <v>1</v>
      </c>
      <c r="GP44" s="56">
        <f>Participantes!ED43</f>
        <v>3</v>
      </c>
      <c r="GQ44" s="58">
        <f t="shared" si="65"/>
        <v>1</v>
      </c>
      <c r="GR44" s="56">
        <f>Participantes!EE43</f>
        <v>0</v>
      </c>
      <c r="GS44" s="56">
        <f>Participantes!EF43</f>
        <v>4</v>
      </c>
      <c r="GT44" s="58" t="str">
        <f t="shared" si="66"/>
        <v/>
      </c>
      <c r="GU44" s="56">
        <f>Participantes!EG43</f>
        <v>2</v>
      </c>
      <c r="GV44" s="56">
        <f>Participantes!EH43</f>
        <v>1</v>
      </c>
      <c r="GW44" s="58" t="str">
        <f t="shared" si="67"/>
        <v/>
      </c>
      <c r="GX44" s="56">
        <f>Participantes!EI43</f>
        <v>1</v>
      </c>
      <c r="GY44" s="56">
        <f>Participantes!EJ43</f>
        <v>1</v>
      </c>
      <c r="GZ44" s="58" t="str">
        <f t="shared" si="68"/>
        <v/>
      </c>
      <c r="HA44" s="56">
        <f>Participantes!EK43</f>
        <v>1</v>
      </c>
      <c r="HB44" s="56">
        <f>Participantes!EL43</f>
        <v>3</v>
      </c>
      <c r="HC44" s="58" t="str">
        <f t="shared" si="69"/>
        <v/>
      </c>
      <c r="HD44" s="56">
        <f>Participantes!EM43</f>
        <v>3</v>
      </c>
      <c r="HE44" s="56">
        <f>Participantes!EN43</f>
        <v>3</v>
      </c>
      <c r="HF44" s="58" t="str">
        <f t="shared" si="70"/>
        <v/>
      </c>
      <c r="HG44" s="56">
        <f>Participantes!EO43</f>
        <v>1</v>
      </c>
      <c r="HH44" s="56">
        <f>Participantes!EP43</f>
        <v>2</v>
      </c>
      <c r="HI44" s="58" t="str">
        <f t="shared" si="71"/>
        <v/>
      </c>
      <c r="HJ44" s="59">
        <f t="shared" si="72"/>
        <v>51</v>
      </c>
    </row>
    <row r="45" spans="1:218" ht="15" customHeight="1" x14ac:dyDescent="0.25">
      <c r="A45" s="57" t="str">
        <f>Participantes!B44</f>
        <v>Peter</v>
      </c>
      <c r="B45" s="56">
        <f>Participantes!C44</f>
        <v>2</v>
      </c>
      <c r="C45" s="56">
        <f>Participantes!D44</f>
        <v>0</v>
      </c>
      <c r="D45" s="58">
        <f t="shared" si="0"/>
        <v>3</v>
      </c>
      <c r="E45" s="56">
        <f>Participantes!E44</f>
        <v>1</v>
      </c>
      <c r="F45" s="56">
        <f>Participantes!F44</f>
        <v>0</v>
      </c>
      <c r="G45" s="58">
        <f t="shared" si="1"/>
        <v>1</v>
      </c>
      <c r="H45" s="56">
        <f>Participantes!G44</f>
        <v>1</v>
      </c>
      <c r="I45" s="56">
        <f>Participantes!H44</f>
        <v>1</v>
      </c>
      <c r="J45" s="58">
        <f t="shared" si="2"/>
        <v>3</v>
      </c>
      <c r="K45" s="56">
        <f>Participantes!I44</f>
        <v>2</v>
      </c>
      <c r="L45" s="56">
        <f>Participantes!J44</f>
        <v>2</v>
      </c>
      <c r="M45" s="58">
        <f t="shared" si="3"/>
        <v>0</v>
      </c>
      <c r="N45" s="56">
        <f>Participantes!K44</f>
        <v>0</v>
      </c>
      <c r="O45" s="56">
        <f>Participantes!L44</f>
        <v>3</v>
      </c>
      <c r="P45" s="58">
        <f t="shared" si="4"/>
        <v>1</v>
      </c>
      <c r="Q45" s="56">
        <f>Participantes!M44</f>
        <v>1</v>
      </c>
      <c r="R45" s="56">
        <f>Participantes!N44</f>
        <v>2</v>
      </c>
      <c r="S45" s="58">
        <f t="shared" si="5"/>
        <v>0</v>
      </c>
      <c r="T45" s="56">
        <f>Participantes!O44</f>
        <v>1</v>
      </c>
      <c r="U45" s="56">
        <f>Participantes!P44</f>
        <v>2</v>
      </c>
      <c r="V45" s="58">
        <f t="shared" si="6"/>
        <v>0</v>
      </c>
      <c r="W45" s="56">
        <f>Participantes!Q44</f>
        <v>1</v>
      </c>
      <c r="X45" s="56">
        <f>Participantes!R44</f>
        <v>2</v>
      </c>
      <c r="Y45" s="58">
        <f t="shared" si="7"/>
        <v>0</v>
      </c>
      <c r="Z45" s="56">
        <f>Participantes!S44</f>
        <v>0</v>
      </c>
      <c r="AA45" s="56">
        <f>Participantes!T44</f>
        <v>2</v>
      </c>
      <c r="AB45" s="58">
        <f t="shared" si="8"/>
        <v>0</v>
      </c>
      <c r="AC45" s="56">
        <f>Participantes!U44</f>
        <v>4</v>
      </c>
      <c r="AD45" s="56">
        <f>Participantes!V44</f>
        <v>0</v>
      </c>
      <c r="AE45" s="58">
        <f t="shared" si="9"/>
        <v>1</v>
      </c>
      <c r="AF45" s="56">
        <f>Participantes!W44</f>
        <v>2</v>
      </c>
      <c r="AG45" s="56">
        <f>Participantes!X44</f>
        <v>2</v>
      </c>
      <c r="AH45" s="58">
        <f t="shared" si="10"/>
        <v>3</v>
      </c>
      <c r="AI45" s="56">
        <f>Participantes!Y44</f>
        <v>2</v>
      </c>
      <c r="AJ45" s="56">
        <f>Participantes!Z44</f>
        <v>0</v>
      </c>
      <c r="AK45" s="58">
        <f t="shared" si="11"/>
        <v>1</v>
      </c>
      <c r="AL45" s="56">
        <f>Participantes!AA44</f>
        <v>1</v>
      </c>
      <c r="AM45" s="56">
        <f>Participantes!AB44</f>
        <v>3</v>
      </c>
      <c r="AN45" s="58">
        <f t="shared" si="12"/>
        <v>0</v>
      </c>
      <c r="AO45" s="56">
        <f>Participantes!AC44</f>
        <v>3</v>
      </c>
      <c r="AP45" s="56">
        <f>Participantes!AD44</f>
        <v>0</v>
      </c>
      <c r="AQ45" s="58">
        <f t="shared" si="13"/>
        <v>0</v>
      </c>
      <c r="AR45" s="56">
        <f>Participantes!AE44</f>
        <v>2</v>
      </c>
      <c r="AS45" s="56">
        <f>Participantes!AF44</f>
        <v>0</v>
      </c>
      <c r="AT45" s="58">
        <f t="shared" si="14"/>
        <v>0</v>
      </c>
      <c r="AU45" s="56">
        <f>Participantes!AG44</f>
        <v>2</v>
      </c>
      <c r="AV45" s="56">
        <f>Participantes!AH44</f>
        <v>0</v>
      </c>
      <c r="AW45" s="58">
        <f t="shared" si="15"/>
        <v>0</v>
      </c>
      <c r="AX45" s="56">
        <f>Participantes!AI44</f>
        <v>3</v>
      </c>
      <c r="AY45" s="56">
        <f>Participantes!AJ44</f>
        <v>1</v>
      </c>
      <c r="AZ45" s="58">
        <f t="shared" si="16"/>
        <v>3</v>
      </c>
      <c r="BA45" s="56">
        <f>Participantes!AK44</f>
        <v>1</v>
      </c>
      <c r="BB45" s="56">
        <f>Participantes!AL44</f>
        <v>5</v>
      </c>
      <c r="BC45" s="58">
        <f t="shared" si="17"/>
        <v>1</v>
      </c>
      <c r="BD45" s="56">
        <f>Participantes!AM44</f>
        <v>2</v>
      </c>
      <c r="BE45" s="56">
        <f>Participantes!AN44</f>
        <v>0</v>
      </c>
      <c r="BF45" s="58">
        <f t="shared" si="18"/>
        <v>1</v>
      </c>
      <c r="BG45" s="56">
        <f>Participantes!AO44</f>
        <v>3</v>
      </c>
      <c r="BH45" s="56">
        <f>Participantes!AP44</f>
        <v>0</v>
      </c>
      <c r="BI45" s="58">
        <f t="shared" si="19"/>
        <v>1</v>
      </c>
      <c r="BJ45" s="56">
        <f>Participantes!AQ44</f>
        <v>1</v>
      </c>
      <c r="BK45" s="56">
        <f>Participantes!AR44</f>
        <v>2</v>
      </c>
      <c r="BL45" s="58">
        <f t="shared" si="20"/>
        <v>0</v>
      </c>
      <c r="BM45" s="56">
        <f>Participantes!AS44</f>
        <v>2</v>
      </c>
      <c r="BN45" s="56">
        <f>Participantes!AT44</f>
        <v>1</v>
      </c>
      <c r="BO45" s="58">
        <f t="shared" si="21"/>
        <v>1</v>
      </c>
      <c r="BP45" s="56">
        <f>Participantes!AU44</f>
        <v>6</v>
      </c>
      <c r="BQ45" s="56">
        <f>Participantes!AV44</f>
        <v>0</v>
      </c>
      <c r="BR45" s="58">
        <f t="shared" si="22"/>
        <v>0</v>
      </c>
      <c r="BS45" s="56">
        <f>Participantes!AW44</f>
        <v>0</v>
      </c>
      <c r="BT45" s="56">
        <f>Participantes!AX44</f>
        <v>3</v>
      </c>
      <c r="BU45" s="58">
        <f t="shared" si="23"/>
        <v>1</v>
      </c>
      <c r="BV45" s="56">
        <f>Participantes!AY44</f>
        <v>2</v>
      </c>
      <c r="BW45" s="56">
        <f>Participantes!AZ44</f>
        <v>1</v>
      </c>
      <c r="BX45" s="58">
        <f t="shared" si="24"/>
        <v>0</v>
      </c>
      <c r="BY45" s="56">
        <f>Participantes!BA44</f>
        <v>2</v>
      </c>
      <c r="BZ45" s="56">
        <f>Participantes!BB44</f>
        <v>1</v>
      </c>
      <c r="CA45" s="58">
        <f t="shared" si="25"/>
        <v>1</v>
      </c>
      <c r="CB45" s="56">
        <f>Participantes!BC44</f>
        <v>2</v>
      </c>
      <c r="CC45" s="56">
        <f>Participantes!BD44</f>
        <v>2</v>
      </c>
      <c r="CD45" s="58">
        <f t="shared" si="26"/>
        <v>0</v>
      </c>
      <c r="CE45" s="56">
        <f>Participantes!BE44</f>
        <v>1</v>
      </c>
      <c r="CF45" s="56">
        <f>Participantes!BF44</f>
        <v>1</v>
      </c>
      <c r="CG45" s="58">
        <f t="shared" si="27"/>
        <v>0</v>
      </c>
      <c r="CH45" s="56">
        <f>Participantes!BG44</f>
        <v>3</v>
      </c>
      <c r="CI45" s="56">
        <f>Participantes!BH44</f>
        <v>0</v>
      </c>
      <c r="CJ45" s="58">
        <f t="shared" si="28"/>
        <v>3</v>
      </c>
      <c r="CK45" s="56">
        <f>Participantes!BI44</f>
        <v>1</v>
      </c>
      <c r="CL45" s="56">
        <f>Participantes!BJ44</f>
        <v>1</v>
      </c>
      <c r="CM45" s="58">
        <f t="shared" si="29"/>
        <v>0</v>
      </c>
      <c r="CN45" s="56">
        <f>Participantes!BK44</f>
        <v>1</v>
      </c>
      <c r="CO45" s="56">
        <f>Participantes!BL44</f>
        <v>0</v>
      </c>
      <c r="CP45" s="58">
        <f t="shared" si="30"/>
        <v>0</v>
      </c>
      <c r="CQ45" s="56">
        <f>Participantes!BM44</f>
        <v>2</v>
      </c>
      <c r="CR45" s="56">
        <f>Participantes!BN44</f>
        <v>0</v>
      </c>
      <c r="CS45" s="58">
        <f t="shared" si="31"/>
        <v>3</v>
      </c>
      <c r="CT45" s="56">
        <f>Participantes!BO44</f>
        <v>2</v>
      </c>
      <c r="CU45" s="56">
        <f>Participantes!BP44</f>
        <v>0</v>
      </c>
      <c r="CV45" s="58">
        <f t="shared" si="32"/>
        <v>1</v>
      </c>
      <c r="CW45" s="56">
        <f>Participantes!BQ44</f>
        <v>3</v>
      </c>
      <c r="CX45" s="56">
        <f>Participantes!BR44</f>
        <v>1</v>
      </c>
      <c r="CY45" s="58">
        <f t="shared" si="33"/>
        <v>0</v>
      </c>
      <c r="CZ45" s="56">
        <f>Participantes!BS44</f>
        <v>2</v>
      </c>
      <c r="DA45" s="56">
        <f>Participantes!BT44</f>
        <v>1</v>
      </c>
      <c r="DB45" s="58">
        <f t="shared" si="34"/>
        <v>1</v>
      </c>
      <c r="DC45" s="56">
        <f>Participantes!BU44</f>
        <v>0</v>
      </c>
      <c r="DD45" s="56">
        <f>Participantes!BV44</f>
        <v>2</v>
      </c>
      <c r="DE45" s="58">
        <f t="shared" si="35"/>
        <v>1</v>
      </c>
      <c r="DF45" s="56">
        <f>Participantes!BW44</f>
        <v>1</v>
      </c>
      <c r="DG45" s="56">
        <f>Participantes!BX44</f>
        <v>0</v>
      </c>
      <c r="DH45" s="58">
        <f t="shared" si="36"/>
        <v>0</v>
      </c>
      <c r="DI45" s="56">
        <f>Participantes!BY44</f>
        <v>2</v>
      </c>
      <c r="DJ45" s="56">
        <f>Participantes!BZ44</f>
        <v>1</v>
      </c>
      <c r="DK45" s="58">
        <f t="shared" si="37"/>
        <v>1</v>
      </c>
      <c r="DL45" s="56">
        <f>Participantes!CA44</f>
        <v>1</v>
      </c>
      <c r="DM45" s="56">
        <f>Participantes!CB44</f>
        <v>0</v>
      </c>
      <c r="DN45" s="58">
        <f t="shared" si="38"/>
        <v>0</v>
      </c>
      <c r="DO45" s="56">
        <f>Participantes!CC44</f>
        <v>0</v>
      </c>
      <c r="DP45" s="56">
        <f>Participantes!CD44</f>
        <v>3</v>
      </c>
      <c r="DQ45" s="58">
        <f t="shared" si="39"/>
        <v>1</v>
      </c>
      <c r="DR45" s="56">
        <f>Participantes!CE44</f>
        <v>4</v>
      </c>
      <c r="DS45" s="56">
        <f>Participantes!CF44</f>
        <v>0</v>
      </c>
      <c r="DT45" s="58">
        <f t="shared" si="40"/>
        <v>1</v>
      </c>
      <c r="DU45" s="56">
        <f>Participantes!CG44</f>
        <v>2</v>
      </c>
      <c r="DV45" s="56">
        <f>Participantes!CH44</f>
        <v>0</v>
      </c>
      <c r="DW45" s="58">
        <f t="shared" si="41"/>
        <v>1</v>
      </c>
      <c r="DX45" s="56">
        <f>Participantes!CI44</f>
        <v>2</v>
      </c>
      <c r="DY45" s="56">
        <f>Participantes!CJ44</f>
        <v>0</v>
      </c>
      <c r="DZ45" s="58">
        <f t="shared" si="42"/>
        <v>3</v>
      </c>
      <c r="EA45" s="56">
        <f>Participantes!CK44</f>
        <v>0</v>
      </c>
      <c r="EB45" s="56">
        <f>Participantes!CL44</f>
        <v>2</v>
      </c>
      <c r="EC45" s="58">
        <f t="shared" si="43"/>
        <v>1</v>
      </c>
      <c r="ED45" s="56">
        <f>Participantes!CM44</f>
        <v>2</v>
      </c>
      <c r="EE45" s="56">
        <f>Participantes!CN44</f>
        <v>0</v>
      </c>
      <c r="EF45" s="58">
        <f t="shared" si="44"/>
        <v>0</v>
      </c>
      <c r="EG45" s="56">
        <f>Participantes!CO44</f>
        <v>1</v>
      </c>
      <c r="EH45" s="56">
        <f>Participantes!CP44</f>
        <v>3</v>
      </c>
      <c r="EI45" s="58">
        <f t="shared" si="45"/>
        <v>1</v>
      </c>
      <c r="EJ45" s="56">
        <f>Participantes!CQ44</f>
        <v>4</v>
      </c>
      <c r="EK45" s="56">
        <f>Participantes!CR44</f>
        <v>0</v>
      </c>
      <c r="EL45" s="58">
        <f t="shared" si="46"/>
        <v>1</v>
      </c>
      <c r="EM45" s="56">
        <f>Participantes!CS44</f>
        <v>3</v>
      </c>
      <c r="EN45" s="56">
        <f>Participantes!CT44</f>
        <v>1</v>
      </c>
      <c r="EO45" s="58">
        <f t="shared" si="47"/>
        <v>1</v>
      </c>
      <c r="EP45" s="56">
        <f>Participantes!CU44</f>
        <v>1</v>
      </c>
      <c r="EQ45" s="56">
        <f>Participantes!CV44</f>
        <v>3</v>
      </c>
      <c r="ER45" s="58">
        <f t="shared" si="48"/>
        <v>1</v>
      </c>
      <c r="ES45" s="56">
        <f>Participantes!CW44</f>
        <v>3</v>
      </c>
      <c r="ET45" s="56">
        <f>Participantes!CX44</f>
        <v>0</v>
      </c>
      <c r="EU45" s="58">
        <f t="shared" si="49"/>
        <v>1</v>
      </c>
      <c r="EV45" s="56">
        <f>Participantes!CY44</f>
        <v>0</v>
      </c>
      <c r="EW45" s="56">
        <f>Participantes!CZ44</f>
        <v>1</v>
      </c>
      <c r="EX45" s="58">
        <f t="shared" si="50"/>
        <v>0</v>
      </c>
      <c r="EY45" s="56">
        <f>Participantes!DA44</f>
        <v>1</v>
      </c>
      <c r="EZ45" s="56">
        <f>Participantes!DB44</f>
        <v>1</v>
      </c>
      <c r="FA45" s="58">
        <f t="shared" si="51"/>
        <v>0</v>
      </c>
      <c r="FB45" s="56">
        <f>Participantes!DC44</f>
        <v>1</v>
      </c>
      <c r="FC45" s="56">
        <f>Participantes!DD44</f>
        <v>2</v>
      </c>
      <c r="FD45" s="58">
        <f t="shared" si="52"/>
        <v>1</v>
      </c>
      <c r="FE45" s="56">
        <f>Participantes!DE44</f>
        <v>0</v>
      </c>
      <c r="FF45" s="56">
        <f>Participantes!DF44</f>
        <v>2</v>
      </c>
      <c r="FG45" s="58">
        <f t="shared" si="53"/>
        <v>0</v>
      </c>
      <c r="FH45" s="56">
        <f>Participantes!DG44</f>
        <v>1</v>
      </c>
      <c r="FI45" s="56">
        <f>Participantes!DH44</f>
        <v>2</v>
      </c>
      <c r="FJ45" s="58">
        <f t="shared" si="54"/>
        <v>1</v>
      </c>
      <c r="FK45" s="56">
        <f>Participantes!DI44</f>
        <v>2</v>
      </c>
      <c r="FL45" s="56">
        <f>Participantes!DJ44</f>
        <v>2</v>
      </c>
      <c r="FM45" s="58">
        <f t="shared" si="55"/>
        <v>0</v>
      </c>
      <c r="FN45" s="56">
        <f>Participantes!DK44</f>
        <v>2</v>
      </c>
      <c r="FO45" s="56">
        <f>Participantes!DL44</f>
        <v>1</v>
      </c>
      <c r="FP45" s="58">
        <f t="shared" si="56"/>
        <v>0</v>
      </c>
      <c r="FQ45" s="56">
        <f>Participantes!DM44</f>
        <v>1</v>
      </c>
      <c r="FR45" s="56">
        <f>Participantes!DN44</f>
        <v>3</v>
      </c>
      <c r="FS45" s="58">
        <f t="shared" si="57"/>
        <v>3</v>
      </c>
      <c r="FT45" s="56">
        <f>Participantes!DO44</f>
        <v>1</v>
      </c>
      <c r="FU45" s="56">
        <f>Participantes!DP44</f>
        <v>1</v>
      </c>
      <c r="FV45" s="58">
        <f t="shared" si="58"/>
        <v>0</v>
      </c>
      <c r="FW45" s="56">
        <f>Participantes!DQ44</f>
        <v>1</v>
      </c>
      <c r="FX45" s="56">
        <f>Participantes!DR44</f>
        <v>0</v>
      </c>
      <c r="FY45" s="58">
        <f t="shared" si="59"/>
        <v>0</v>
      </c>
      <c r="FZ45" s="56">
        <f>Participantes!DS44</f>
        <v>2</v>
      </c>
      <c r="GA45" s="56">
        <f>Participantes!DT44</f>
        <v>1</v>
      </c>
      <c r="GB45" s="58">
        <f t="shared" si="60"/>
        <v>0</v>
      </c>
      <c r="GC45" s="56">
        <f>Participantes!DU44</f>
        <v>1</v>
      </c>
      <c r="GD45" s="56">
        <f>Participantes!DV44</f>
        <v>0</v>
      </c>
      <c r="GE45" s="58">
        <f t="shared" si="61"/>
        <v>1</v>
      </c>
      <c r="GF45" s="56">
        <f>Participantes!DW44</f>
        <v>2</v>
      </c>
      <c r="GG45" s="56">
        <f>Participantes!DX44</f>
        <v>1</v>
      </c>
      <c r="GH45" s="58">
        <f t="shared" si="62"/>
        <v>0</v>
      </c>
      <c r="GI45" s="56">
        <f>Participantes!DY44</f>
        <v>0</v>
      </c>
      <c r="GJ45" s="56">
        <f>Participantes!DZ44</f>
        <v>5</v>
      </c>
      <c r="GK45" s="58">
        <f t="shared" si="63"/>
        <v>1</v>
      </c>
      <c r="GL45" s="56">
        <f>Participantes!EA44</f>
        <v>1</v>
      </c>
      <c r="GM45" s="56">
        <f>Participantes!EB44</f>
        <v>1</v>
      </c>
      <c r="GN45" s="58">
        <f t="shared" si="64"/>
        <v>1</v>
      </c>
      <c r="GO45" s="56">
        <f>Participantes!EC44</f>
        <v>2</v>
      </c>
      <c r="GP45" s="56">
        <f>Participantes!ED44</f>
        <v>2</v>
      </c>
      <c r="GQ45" s="58">
        <f t="shared" si="65"/>
        <v>0</v>
      </c>
      <c r="GR45" s="56">
        <f>Participantes!EE44</f>
        <v>2</v>
      </c>
      <c r="GS45" s="56">
        <f>Participantes!EF44</f>
        <v>4</v>
      </c>
      <c r="GT45" s="58" t="str">
        <f t="shared" si="66"/>
        <v/>
      </c>
      <c r="GU45" s="56">
        <f>Participantes!EG44</f>
        <v>1</v>
      </c>
      <c r="GV45" s="56">
        <f>Participantes!EH44</f>
        <v>1</v>
      </c>
      <c r="GW45" s="58" t="str">
        <f t="shared" si="67"/>
        <v/>
      </c>
      <c r="GX45" s="56">
        <f>Participantes!EI44</f>
        <v>1</v>
      </c>
      <c r="GY45" s="56">
        <f>Participantes!EJ44</f>
        <v>1</v>
      </c>
      <c r="GZ45" s="58" t="str">
        <f t="shared" si="68"/>
        <v/>
      </c>
      <c r="HA45" s="56">
        <f>Participantes!EK44</f>
        <v>0</v>
      </c>
      <c r="HB45" s="56">
        <f>Participantes!EL44</f>
        <v>4</v>
      </c>
      <c r="HC45" s="58" t="str">
        <f t="shared" si="69"/>
        <v/>
      </c>
      <c r="HD45" s="56">
        <f>Participantes!EM44</f>
        <v>2</v>
      </c>
      <c r="HE45" s="56">
        <f>Participantes!EN44</f>
        <v>2</v>
      </c>
      <c r="HF45" s="58" t="str">
        <f t="shared" si="70"/>
        <v/>
      </c>
      <c r="HG45" s="56">
        <f>Participantes!EO44</f>
        <v>2</v>
      </c>
      <c r="HH45" s="56">
        <f>Participantes!EP44</f>
        <v>1</v>
      </c>
      <c r="HI45" s="58" t="str">
        <f t="shared" si="71"/>
        <v/>
      </c>
      <c r="HJ45" s="59">
        <f t="shared" si="72"/>
        <v>52</v>
      </c>
    </row>
    <row r="46" spans="1:218" ht="15" customHeight="1" x14ac:dyDescent="0.25">
      <c r="A46" s="57" t="str">
        <f>Participantes!B45</f>
        <v>Quinnie</v>
      </c>
      <c r="B46" s="56">
        <f>Participantes!C45</f>
        <v>2</v>
      </c>
      <c r="C46" s="56">
        <f>Participantes!D45</f>
        <v>0</v>
      </c>
      <c r="D46" s="58">
        <f t="shared" si="0"/>
        <v>3</v>
      </c>
      <c r="E46" s="56">
        <f>Participantes!E45</f>
        <v>1</v>
      </c>
      <c r="F46" s="56">
        <f>Participantes!F45</f>
        <v>1</v>
      </c>
      <c r="G46" s="58">
        <f t="shared" si="1"/>
        <v>0</v>
      </c>
      <c r="H46" s="56">
        <f>Participantes!G45</f>
        <v>2</v>
      </c>
      <c r="I46" s="56">
        <f>Participantes!H45</f>
        <v>1</v>
      </c>
      <c r="J46" s="58">
        <f t="shared" si="2"/>
        <v>0</v>
      </c>
      <c r="K46" s="56">
        <f>Participantes!I45</f>
        <v>1</v>
      </c>
      <c r="L46" s="56">
        <f>Participantes!J45</f>
        <v>1</v>
      </c>
      <c r="M46" s="58">
        <f t="shared" si="3"/>
        <v>0</v>
      </c>
      <c r="N46" s="56">
        <f>Participantes!K45</f>
        <v>0</v>
      </c>
      <c r="O46" s="56">
        <f>Participantes!L45</f>
        <v>2</v>
      </c>
      <c r="P46" s="58">
        <f t="shared" si="4"/>
        <v>1</v>
      </c>
      <c r="Q46" s="56">
        <f>Participantes!M45</f>
        <v>1</v>
      </c>
      <c r="R46" s="56">
        <f>Participantes!N45</f>
        <v>2</v>
      </c>
      <c r="S46" s="58">
        <f t="shared" si="5"/>
        <v>0</v>
      </c>
      <c r="T46" s="56">
        <f>Participantes!O45</f>
        <v>2</v>
      </c>
      <c r="U46" s="56">
        <f>Participantes!P45</f>
        <v>1</v>
      </c>
      <c r="V46" s="58">
        <f t="shared" si="6"/>
        <v>0</v>
      </c>
      <c r="W46" s="56">
        <f>Participantes!Q45</f>
        <v>0</v>
      </c>
      <c r="X46" s="56">
        <f>Participantes!R45</f>
        <v>2</v>
      </c>
      <c r="Y46" s="58">
        <f t="shared" si="7"/>
        <v>0</v>
      </c>
      <c r="Z46" s="56">
        <f>Participantes!S45</f>
        <v>1</v>
      </c>
      <c r="AA46" s="56">
        <f>Participantes!T45</f>
        <v>1</v>
      </c>
      <c r="AB46" s="58">
        <f t="shared" si="8"/>
        <v>0</v>
      </c>
      <c r="AC46" s="56">
        <f>Participantes!U45</f>
        <v>5</v>
      </c>
      <c r="AD46" s="56">
        <f>Participantes!V45</f>
        <v>0</v>
      </c>
      <c r="AE46" s="58">
        <f t="shared" si="9"/>
        <v>1</v>
      </c>
      <c r="AF46" s="56">
        <f>Participantes!W45</f>
        <v>2</v>
      </c>
      <c r="AG46" s="56">
        <f>Participantes!X45</f>
        <v>2</v>
      </c>
      <c r="AH46" s="58">
        <f t="shared" si="10"/>
        <v>3</v>
      </c>
      <c r="AI46" s="56">
        <f>Participantes!Y45</f>
        <v>3</v>
      </c>
      <c r="AJ46" s="56">
        <f>Participantes!Z45</f>
        <v>0</v>
      </c>
      <c r="AK46" s="58">
        <f t="shared" si="11"/>
        <v>1</v>
      </c>
      <c r="AL46" s="56">
        <f>Participantes!AA45</f>
        <v>0</v>
      </c>
      <c r="AM46" s="56">
        <f>Participantes!AB45</f>
        <v>2</v>
      </c>
      <c r="AN46" s="58">
        <f t="shared" si="12"/>
        <v>0</v>
      </c>
      <c r="AO46" s="56">
        <f>Participantes!AC45</f>
        <v>5</v>
      </c>
      <c r="AP46" s="56">
        <f>Participantes!AD45</f>
        <v>0</v>
      </c>
      <c r="AQ46" s="58">
        <f t="shared" si="13"/>
        <v>0</v>
      </c>
      <c r="AR46" s="56">
        <f>Participantes!AE45</f>
        <v>2</v>
      </c>
      <c r="AS46" s="56">
        <f>Participantes!AF45</f>
        <v>0</v>
      </c>
      <c r="AT46" s="58">
        <f t="shared" si="14"/>
        <v>0</v>
      </c>
      <c r="AU46" s="56">
        <f>Participantes!AG45</f>
        <v>3</v>
      </c>
      <c r="AV46" s="56">
        <f>Participantes!AH45</f>
        <v>1</v>
      </c>
      <c r="AW46" s="58">
        <f t="shared" si="15"/>
        <v>0</v>
      </c>
      <c r="AX46" s="56">
        <f>Participantes!AI45</f>
        <v>3</v>
      </c>
      <c r="AY46" s="56">
        <f>Participantes!AJ45</f>
        <v>1</v>
      </c>
      <c r="AZ46" s="58">
        <f t="shared" si="16"/>
        <v>3</v>
      </c>
      <c r="BA46" s="56">
        <f>Participantes!AK45</f>
        <v>0</v>
      </c>
      <c r="BB46" s="56">
        <f>Participantes!AL45</f>
        <v>3</v>
      </c>
      <c r="BC46" s="58">
        <f t="shared" si="17"/>
        <v>1</v>
      </c>
      <c r="BD46" s="56">
        <f>Participantes!AM45</f>
        <v>2</v>
      </c>
      <c r="BE46" s="56">
        <f>Participantes!AN45</f>
        <v>1</v>
      </c>
      <c r="BF46" s="58">
        <f t="shared" si="18"/>
        <v>1</v>
      </c>
      <c r="BG46" s="56">
        <f>Participantes!AO45</f>
        <v>2</v>
      </c>
      <c r="BH46" s="56">
        <f>Participantes!AP45</f>
        <v>0</v>
      </c>
      <c r="BI46" s="58">
        <f t="shared" si="19"/>
        <v>1</v>
      </c>
      <c r="BJ46" s="56">
        <f>Participantes!AQ45</f>
        <v>1</v>
      </c>
      <c r="BK46" s="56">
        <f>Participantes!AR45</f>
        <v>1</v>
      </c>
      <c r="BL46" s="58">
        <f t="shared" si="20"/>
        <v>0</v>
      </c>
      <c r="BM46" s="56">
        <f>Participantes!AS45</f>
        <v>2</v>
      </c>
      <c r="BN46" s="56">
        <f>Participantes!AT45</f>
        <v>1</v>
      </c>
      <c r="BO46" s="58">
        <f t="shared" si="21"/>
        <v>1</v>
      </c>
      <c r="BP46" s="56">
        <f>Participantes!AU45</f>
        <v>3</v>
      </c>
      <c r="BQ46" s="56">
        <f>Participantes!AV45</f>
        <v>0</v>
      </c>
      <c r="BR46" s="58">
        <f t="shared" si="22"/>
        <v>0</v>
      </c>
      <c r="BS46" s="56">
        <f>Participantes!AW45</f>
        <v>0</v>
      </c>
      <c r="BT46" s="56">
        <f>Participantes!AX45</f>
        <v>2</v>
      </c>
      <c r="BU46" s="58">
        <f t="shared" si="23"/>
        <v>1</v>
      </c>
      <c r="BV46" s="56">
        <f>Participantes!AY45</f>
        <v>1</v>
      </c>
      <c r="BW46" s="56">
        <f>Participantes!AZ45</f>
        <v>0</v>
      </c>
      <c r="BX46" s="58">
        <f t="shared" si="24"/>
        <v>0</v>
      </c>
      <c r="BY46" s="56">
        <f>Participantes!BA45</f>
        <v>2</v>
      </c>
      <c r="BZ46" s="56">
        <f>Participantes!BB45</f>
        <v>1</v>
      </c>
      <c r="CA46" s="58">
        <f t="shared" si="25"/>
        <v>1</v>
      </c>
      <c r="CB46" s="56">
        <f>Participantes!BC45</f>
        <v>2</v>
      </c>
      <c r="CC46" s="56">
        <f>Participantes!BD45</f>
        <v>0</v>
      </c>
      <c r="CD46" s="58">
        <f t="shared" si="26"/>
        <v>1</v>
      </c>
      <c r="CE46" s="56">
        <f>Participantes!BE45</f>
        <v>2</v>
      </c>
      <c r="CF46" s="56">
        <f>Participantes!BF45</f>
        <v>1</v>
      </c>
      <c r="CG46" s="58">
        <f t="shared" si="27"/>
        <v>1</v>
      </c>
      <c r="CH46" s="56">
        <f>Participantes!BG45</f>
        <v>4</v>
      </c>
      <c r="CI46" s="56">
        <f>Participantes!BH45</f>
        <v>0</v>
      </c>
      <c r="CJ46" s="58">
        <f t="shared" si="28"/>
        <v>1</v>
      </c>
      <c r="CK46" s="56">
        <f>Participantes!BI45</f>
        <v>1</v>
      </c>
      <c r="CL46" s="56">
        <f>Participantes!BJ45</f>
        <v>2</v>
      </c>
      <c r="CM46" s="58">
        <f t="shared" si="29"/>
        <v>1</v>
      </c>
      <c r="CN46" s="56">
        <f>Participantes!BK45</f>
        <v>1</v>
      </c>
      <c r="CO46" s="56">
        <f>Participantes!BL45</f>
        <v>1</v>
      </c>
      <c r="CP46" s="58">
        <f t="shared" si="30"/>
        <v>0</v>
      </c>
      <c r="CQ46" s="56">
        <f>Participantes!BM45</f>
        <v>2</v>
      </c>
      <c r="CR46" s="56">
        <f>Participantes!BN45</f>
        <v>1</v>
      </c>
      <c r="CS46" s="58">
        <f t="shared" si="31"/>
        <v>1</v>
      </c>
      <c r="CT46" s="56">
        <f>Participantes!BO45</f>
        <v>3</v>
      </c>
      <c r="CU46" s="56">
        <f>Participantes!BP45</f>
        <v>0</v>
      </c>
      <c r="CV46" s="58">
        <f t="shared" si="32"/>
        <v>1</v>
      </c>
      <c r="CW46" s="56">
        <f>Participantes!BQ45</f>
        <v>3</v>
      </c>
      <c r="CX46" s="56">
        <f>Participantes!BR45</f>
        <v>0</v>
      </c>
      <c r="CY46" s="58">
        <f t="shared" si="33"/>
        <v>0</v>
      </c>
      <c r="CZ46" s="56">
        <f>Participantes!BS45</f>
        <v>2</v>
      </c>
      <c r="DA46" s="56">
        <f>Participantes!BT45</f>
        <v>1</v>
      </c>
      <c r="DB46" s="58">
        <f t="shared" si="34"/>
        <v>1</v>
      </c>
      <c r="DC46" s="56">
        <f>Participantes!BU45</f>
        <v>0</v>
      </c>
      <c r="DD46" s="56">
        <f>Participantes!BV45</f>
        <v>2</v>
      </c>
      <c r="DE46" s="58">
        <f t="shared" si="35"/>
        <v>1</v>
      </c>
      <c r="DF46" s="56">
        <f>Participantes!BW45</f>
        <v>3</v>
      </c>
      <c r="DG46" s="56">
        <f>Participantes!BX45</f>
        <v>0</v>
      </c>
      <c r="DH46" s="58">
        <f t="shared" si="36"/>
        <v>0</v>
      </c>
      <c r="DI46" s="56">
        <f>Participantes!BY45</f>
        <v>4</v>
      </c>
      <c r="DJ46" s="56">
        <f>Participantes!BZ45</f>
        <v>0</v>
      </c>
      <c r="DK46" s="58">
        <f t="shared" si="37"/>
        <v>3</v>
      </c>
      <c r="DL46" s="56">
        <f>Participantes!CA45</f>
        <v>3</v>
      </c>
      <c r="DM46" s="56">
        <f>Participantes!CB45</f>
        <v>1</v>
      </c>
      <c r="DN46" s="58">
        <f t="shared" si="38"/>
        <v>0</v>
      </c>
      <c r="DO46" s="56">
        <f>Participantes!CC45</f>
        <v>0</v>
      </c>
      <c r="DP46" s="56">
        <f>Participantes!CD45</f>
        <v>2</v>
      </c>
      <c r="DQ46" s="58">
        <f t="shared" si="39"/>
        <v>1</v>
      </c>
      <c r="DR46" s="56">
        <f>Participantes!CE45</f>
        <v>3</v>
      </c>
      <c r="DS46" s="56">
        <f>Participantes!CF45</f>
        <v>1</v>
      </c>
      <c r="DT46" s="58">
        <f t="shared" si="40"/>
        <v>1</v>
      </c>
      <c r="DU46" s="56">
        <f>Participantes!CG45</f>
        <v>4</v>
      </c>
      <c r="DV46" s="56">
        <f>Participantes!CH45</f>
        <v>0</v>
      </c>
      <c r="DW46" s="58">
        <f t="shared" si="41"/>
        <v>1</v>
      </c>
      <c r="DX46" s="56">
        <f>Participantes!CI45</f>
        <v>2</v>
      </c>
      <c r="DY46" s="56">
        <f>Participantes!CJ45</f>
        <v>0</v>
      </c>
      <c r="DZ46" s="58">
        <f t="shared" si="42"/>
        <v>3</v>
      </c>
      <c r="EA46" s="56">
        <f>Participantes!CK45</f>
        <v>0</v>
      </c>
      <c r="EB46" s="56">
        <f>Participantes!CL45</f>
        <v>2</v>
      </c>
      <c r="EC46" s="58">
        <f t="shared" si="43"/>
        <v>1</v>
      </c>
      <c r="ED46" s="56">
        <f>Participantes!CM45</f>
        <v>3</v>
      </c>
      <c r="EE46" s="56">
        <f>Participantes!CN45</f>
        <v>0</v>
      </c>
      <c r="EF46" s="58">
        <f t="shared" si="44"/>
        <v>0</v>
      </c>
      <c r="EG46" s="56">
        <f>Participantes!CO45</f>
        <v>0</v>
      </c>
      <c r="EH46" s="56">
        <f>Participantes!CP45</f>
        <v>3</v>
      </c>
      <c r="EI46" s="58">
        <f t="shared" si="45"/>
        <v>1</v>
      </c>
      <c r="EJ46" s="56">
        <f>Participantes!CQ45</f>
        <v>3</v>
      </c>
      <c r="EK46" s="56">
        <f>Participantes!CR45</f>
        <v>0</v>
      </c>
      <c r="EL46" s="58">
        <f t="shared" si="46"/>
        <v>1</v>
      </c>
      <c r="EM46" s="56">
        <f>Participantes!CS45</f>
        <v>3</v>
      </c>
      <c r="EN46" s="56">
        <f>Participantes!CT45</f>
        <v>0</v>
      </c>
      <c r="EO46" s="58">
        <f t="shared" si="47"/>
        <v>1</v>
      </c>
      <c r="EP46" s="56">
        <f>Participantes!CU45</f>
        <v>1</v>
      </c>
      <c r="EQ46" s="56">
        <f>Participantes!CV45</f>
        <v>3</v>
      </c>
      <c r="ER46" s="58">
        <f t="shared" si="48"/>
        <v>1</v>
      </c>
      <c r="ES46" s="56">
        <f>Participantes!CW45</f>
        <v>3</v>
      </c>
      <c r="ET46" s="56">
        <f>Participantes!CX45</f>
        <v>0</v>
      </c>
      <c r="EU46" s="58">
        <f t="shared" si="49"/>
        <v>1</v>
      </c>
      <c r="EV46" s="56">
        <f>Participantes!CY45</f>
        <v>1</v>
      </c>
      <c r="EW46" s="56">
        <f>Participantes!CZ45</f>
        <v>1</v>
      </c>
      <c r="EX46" s="58">
        <f t="shared" si="50"/>
        <v>0</v>
      </c>
      <c r="EY46" s="56">
        <f>Participantes!DA45</f>
        <v>2</v>
      </c>
      <c r="EZ46" s="56">
        <f>Participantes!DB45</f>
        <v>1</v>
      </c>
      <c r="FA46" s="58">
        <f t="shared" si="51"/>
        <v>1</v>
      </c>
      <c r="FB46" s="56">
        <f>Participantes!DC45</f>
        <v>1</v>
      </c>
      <c r="FC46" s="56">
        <f>Participantes!DD45</f>
        <v>2</v>
      </c>
      <c r="FD46" s="58">
        <f t="shared" si="52"/>
        <v>1</v>
      </c>
      <c r="FE46" s="56">
        <f>Participantes!DE45</f>
        <v>1</v>
      </c>
      <c r="FF46" s="56">
        <f>Participantes!DF45</f>
        <v>1</v>
      </c>
      <c r="FG46" s="58">
        <f t="shared" si="53"/>
        <v>0</v>
      </c>
      <c r="FH46" s="56">
        <f>Participantes!DG45</f>
        <v>0</v>
      </c>
      <c r="FI46" s="56">
        <f>Participantes!DH45</f>
        <v>2</v>
      </c>
      <c r="FJ46" s="58">
        <f t="shared" si="54"/>
        <v>3</v>
      </c>
      <c r="FK46" s="56">
        <f>Participantes!DI45</f>
        <v>2</v>
      </c>
      <c r="FL46" s="56">
        <f>Participantes!DJ45</f>
        <v>2</v>
      </c>
      <c r="FM46" s="58">
        <f t="shared" si="55"/>
        <v>0</v>
      </c>
      <c r="FN46" s="56">
        <f>Participantes!DK45</f>
        <v>1</v>
      </c>
      <c r="FO46" s="56">
        <f>Participantes!DL45</f>
        <v>1</v>
      </c>
      <c r="FP46" s="58">
        <f t="shared" si="56"/>
        <v>3</v>
      </c>
      <c r="FQ46" s="56">
        <f>Participantes!DM45</f>
        <v>0</v>
      </c>
      <c r="FR46" s="56">
        <f>Participantes!DN45</f>
        <v>3</v>
      </c>
      <c r="FS46" s="58">
        <f t="shared" si="57"/>
        <v>1</v>
      </c>
      <c r="FT46" s="56">
        <f>Participantes!DO45</f>
        <v>2</v>
      </c>
      <c r="FU46" s="56">
        <f>Participantes!DP45</f>
        <v>2</v>
      </c>
      <c r="FV46" s="58">
        <f t="shared" si="58"/>
        <v>0</v>
      </c>
      <c r="FW46" s="56">
        <f>Participantes!DQ45</f>
        <v>1</v>
      </c>
      <c r="FX46" s="56">
        <f>Participantes!DR45</f>
        <v>0</v>
      </c>
      <c r="FY46" s="58">
        <f t="shared" si="59"/>
        <v>0</v>
      </c>
      <c r="FZ46" s="56">
        <f>Participantes!DS45</f>
        <v>1</v>
      </c>
      <c r="GA46" s="56">
        <f>Participantes!DT45</f>
        <v>2</v>
      </c>
      <c r="GB46" s="58">
        <f t="shared" si="60"/>
        <v>1</v>
      </c>
      <c r="GC46" s="56">
        <f>Participantes!DU45</f>
        <v>1</v>
      </c>
      <c r="GD46" s="56">
        <f>Participantes!DV45</f>
        <v>0</v>
      </c>
      <c r="GE46" s="58">
        <f t="shared" si="61"/>
        <v>1</v>
      </c>
      <c r="GF46" s="56">
        <f>Participantes!DW45</f>
        <v>1</v>
      </c>
      <c r="GG46" s="56">
        <f>Participantes!DX45</f>
        <v>1</v>
      </c>
      <c r="GH46" s="58">
        <f t="shared" si="62"/>
        <v>3</v>
      </c>
      <c r="GI46" s="56">
        <f>Participantes!DY45</f>
        <v>0</v>
      </c>
      <c r="GJ46" s="56">
        <f>Participantes!DZ45</f>
        <v>4</v>
      </c>
      <c r="GK46" s="58">
        <f t="shared" si="63"/>
        <v>1</v>
      </c>
      <c r="GL46" s="56">
        <f>Participantes!EA45</f>
        <v>1</v>
      </c>
      <c r="GM46" s="56">
        <f>Participantes!EB45</f>
        <v>2</v>
      </c>
      <c r="GN46" s="58">
        <f t="shared" si="64"/>
        <v>0</v>
      </c>
      <c r="GO46" s="56">
        <f>Participantes!EC45</f>
        <v>1</v>
      </c>
      <c r="GP46" s="56">
        <f>Participantes!ED45</f>
        <v>3</v>
      </c>
      <c r="GQ46" s="58">
        <f t="shared" si="65"/>
        <v>1</v>
      </c>
      <c r="GR46" s="56">
        <f>Participantes!EE45</f>
        <v>0</v>
      </c>
      <c r="GS46" s="56">
        <f>Participantes!EF45</f>
        <v>5</v>
      </c>
      <c r="GT46" s="58" t="str">
        <f t="shared" si="66"/>
        <v/>
      </c>
      <c r="GU46" s="56">
        <f>Participantes!EG45</f>
        <v>3</v>
      </c>
      <c r="GV46" s="56">
        <f>Participantes!EH45</f>
        <v>1</v>
      </c>
      <c r="GW46" s="58" t="str">
        <f t="shared" si="67"/>
        <v/>
      </c>
      <c r="GX46" s="56">
        <f>Participantes!EI45</f>
        <v>2</v>
      </c>
      <c r="GY46" s="56">
        <f>Participantes!EJ45</f>
        <v>2</v>
      </c>
      <c r="GZ46" s="58" t="str">
        <f t="shared" si="68"/>
        <v/>
      </c>
      <c r="HA46" s="56">
        <f>Participantes!EK45</f>
        <v>0</v>
      </c>
      <c r="HB46" s="56">
        <f>Participantes!EL45</f>
        <v>3</v>
      </c>
      <c r="HC46" s="58" t="str">
        <f t="shared" si="69"/>
        <v/>
      </c>
      <c r="HD46" s="56">
        <f>Participantes!EM45</f>
        <v>2</v>
      </c>
      <c r="HE46" s="56">
        <f>Participantes!EN45</f>
        <v>2</v>
      </c>
      <c r="HF46" s="58" t="str">
        <f t="shared" si="70"/>
        <v/>
      </c>
      <c r="HG46" s="56">
        <f>Participantes!EO45</f>
        <v>0</v>
      </c>
      <c r="HH46" s="56">
        <f>Participantes!EP45</f>
        <v>0</v>
      </c>
      <c r="HI46" s="58" t="str">
        <f t="shared" si="71"/>
        <v/>
      </c>
      <c r="HJ46" s="59">
        <f t="shared" si="72"/>
        <v>57</v>
      </c>
    </row>
    <row r="47" spans="1:218" ht="15" customHeight="1" x14ac:dyDescent="0.25">
      <c r="A47" s="57" t="str">
        <f>Participantes!B46</f>
        <v>Radames</v>
      </c>
      <c r="B47" s="56">
        <f>Participantes!C46</f>
        <v>2</v>
      </c>
      <c r="C47" s="56">
        <f>Participantes!D46</f>
        <v>0</v>
      </c>
      <c r="D47" s="58">
        <f t="shared" si="0"/>
        <v>3</v>
      </c>
      <c r="E47" s="56">
        <f>Participantes!E46</f>
        <v>0</v>
      </c>
      <c r="F47" s="56">
        <f>Participantes!F46</f>
        <v>1</v>
      </c>
      <c r="G47" s="58">
        <f t="shared" si="1"/>
        <v>0</v>
      </c>
      <c r="H47" s="56">
        <f>Participantes!G46</f>
        <v>1</v>
      </c>
      <c r="I47" s="56">
        <f>Participantes!H46</f>
        <v>0</v>
      </c>
      <c r="J47" s="58">
        <f t="shared" si="2"/>
        <v>0</v>
      </c>
      <c r="K47" s="56">
        <f>Participantes!I46</f>
        <v>2</v>
      </c>
      <c r="L47" s="56">
        <f>Participantes!J46</f>
        <v>0</v>
      </c>
      <c r="M47" s="58">
        <f t="shared" si="3"/>
        <v>1</v>
      </c>
      <c r="N47" s="56">
        <f>Participantes!K46</f>
        <v>1</v>
      </c>
      <c r="O47" s="56">
        <f>Participantes!L46</f>
        <v>3</v>
      </c>
      <c r="P47" s="58">
        <f t="shared" si="4"/>
        <v>1</v>
      </c>
      <c r="Q47" s="56">
        <f>Participantes!M46</f>
        <v>2</v>
      </c>
      <c r="R47" s="56">
        <f>Participantes!N46</f>
        <v>2</v>
      </c>
      <c r="S47" s="58">
        <f t="shared" si="5"/>
        <v>0</v>
      </c>
      <c r="T47" s="56">
        <f>Participantes!O46</f>
        <v>3</v>
      </c>
      <c r="U47" s="56">
        <f>Participantes!P46</f>
        <v>0</v>
      </c>
      <c r="V47" s="58">
        <f t="shared" si="6"/>
        <v>0</v>
      </c>
      <c r="W47" s="56">
        <f>Participantes!Q46</f>
        <v>1</v>
      </c>
      <c r="X47" s="56">
        <f>Participantes!R46</f>
        <v>2</v>
      </c>
      <c r="Y47" s="58">
        <f t="shared" si="7"/>
        <v>0</v>
      </c>
      <c r="Z47" s="56">
        <f>Participantes!S46</f>
        <v>1</v>
      </c>
      <c r="AA47" s="56">
        <f>Participantes!T46</f>
        <v>1</v>
      </c>
      <c r="AB47" s="58">
        <f t="shared" si="8"/>
        <v>0</v>
      </c>
      <c r="AC47" s="56">
        <f>Participantes!U46</f>
        <v>4</v>
      </c>
      <c r="AD47" s="56">
        <f>Participantes!V46</f>
        <v>0</v>
      </c>
      <c r="AE47" s="58">
        <f t="shared" si="9"/>
        <v>1</v>
      </c>
      <c r="AF47" s="56">
        <f>Participantes!W46</f>
        <v>3</v>
      </c>
      <c r="AG47" s="56">
        <f>Participantes!X46</f>
        <v>2</v>
      </c>
      <c r="AH47" s="58">
        <f t="shared" si="10"/>
        <v>0</v>
      </c>
      <c r="AI47" s="56">
        <f>Participantes!Y46</f>
        <v>2</v>
      </c>
      <c r="AJ47" s="56">
        <f>Participantes!Z46</f>
        <v>0</v>
      </c>
      <c r="AK47" s="58">
        <f t="shared" si="11"/>
        <v>1</v>
      </c>
      <c r="AL47" s="56">
        <f>Participantes!AA46</f>
        <v>1</v>
      </c>
      <c r="AM47" s="56">
        <f>Participantes!AB46</f>
        <v>2</v>
      </c>
      <c r="AN47" s="58">
        <f t="shared" si="12"/>
        <v>0</v>
      </c>
      <c r="AO47" s="56">
        <f>Participantes!AC46</f>
        <v>3</v>
      </c>
      <c r="AP47" s="56">
        <f>Participantes!AD46</f>
        <v>1</v>
      </c>
      <c r="AQ47" s="58">
        <f t="shared" si="13"/>
        <v>0</v>
      </c>
      <c r="AR47" s="56">
        <f>Participantes!AE46</f>
        <v>2</v>
      </c>
      <c r="AS47" s="56">
        <f>Participantes!AF46</f>
        <v>2</v>
      </c>
      <c r="AT47" s="58">
        <f t="shared" si="14"/>
        <v>3</v>
      </c>
      <c r="AU47" s="56">
        <f>Participantes!AG46</f>
        <v>3</v>
      </c>
      <c r="AV47" s="56">
        <f>Participantes!AH46</f>
        <v>2</v>
      </c>
      <c r="AW47" s="58">
        <f t="shared" si="15"/>
        <v>0</v>
      </c>
      <c r="AX47" s="56">
        <f>Participantes!AI46</f>
        <v>2</v>
      </c>
      <c r="AY47" s="56">
        <f>Participantes!AJ46</f>
        <v>0</v>
      </c>
      <c r="AZ47" s="58">
        <f t="shared" si="16"/>
        <v>1</v>
      </c>
      <c r="BA47" s="56">
        <f>Participantes!AK46</f>
        <v>0</v>
      </c>
      <c r="BB47" s="56">
        <f>Participantes!AL46</f>
        <v>1</v>
      </c>
      <c r="BC47" s="58">
        <f t="shared" si="17"/>
        <v>1</v>
      </c>
      <c r="BD47" s="56">
        <f>Participantes!AM46</f>
        <v>4</v>
      </c>
      <c r="BE47" s="56">
        <f>Participantes!AN46</f>
        <v>1</v>
      </c>
      <c r="BF47" s="58">
        <f t="shared" si="18"/>
        <v>1</v>
      </c>
      <c r="BG47" s="56">
        <f>Participantes!AO46</f>
        <v>2</v>
      </c>
      <c r="BH47" s="56">
        <f>Participantes!AP46</f>
        <v>2</v>
      </c>
      <c r="BI47" s="58">
        <f t="shared" si="19"/>
        <v>0</v>
      </c>
      <c r="BJ47" s="56">
        <f>Participantes!AQ46</f>
        <v>1</v>
      </c>
      <c r="BK47" s="56">
        <f>Participantes!AR46</f>
        <v>2</v>
      </c>
      <c r="BL47" s="58">
        <f t="shared" si="20"/>
        <v>0</v>
      </c>
      <c r="BM47" s="56">
        <f>Participantes!AS46</f>
        <v>3</v>
      </c>
      <c r="BN47" s="56">
        <f>Participantes!AT46</f>
        <v>2</v>
      </c>
      <c r="BO47" s="58">
        <f t="shared" si="21"/>
        <v>1</v>
      </c>
      <c r="BP47" s="56">
        <f>Participantes!AU46</f>
        <v>3</v>
      </c>
      <c r="BQ47" s="56">
        <f>Participantes!AV46</f>
        <v>1</v>
      </c>
      <c r="BR47" s="58">
        <f t="shared" si="22"/>
        <v>0</v>
      </c>
      <c r="BS47" s="56">
        <f>Participantes!AW46</f>
        <v>0</v>
      </c>
      <c r="BT47" s="56">
        <f>Participantes!AX46</f>
        <v>2</v>
      </c>
      <c r="BU47" s="58">
        <f t="shared" si="23"/>
        <v>1</v>
      </c>
      <c r="BV47" s="56">
        <f>Participantes!AY46</f>
        <v>2</v>
      </c>
      <c r="BW47" s="56">
        <f>Participantes!AZ46</f>
        <v>2</v>
      </c>
      <c r="BX47" s="58">
        <f t="shared" si="24"/>
        <v>1</v>
      </c>
      <c r="BY47" s="56">
        <f>Participantes!BA46</f>
        <v>0</v>
      </c>
      <c r="BZ47" s="56">
        <f>Participantes!BB46</f>
        <v>0</v>
      </c>
      <c r="CA47" s="58">
        <f t="shared" si="25"/>
        <v>0</v>
      </c>
      <c r="CB47" s="56">
        <f>Participantes!BC46</f>
        <v>1</v>
      </c>
      <c r="CC47" s="56">
        <f>Participantes!BD46</f>
        <v>0</v>
      </c>
      <c r="CD47" s="58">
        <f t="shared" si="26"/>
        <v>1</v>
      </c>
      <c r="CE47" s="56">
        <f>Participantes!BE46</f>
        <v>2</v>
      </c>
      <c r="CF47" s="56">
        <f>Participantes!BF46</f>
        <v>0</v>
      </c>
      <c r="CG47" s="58">
        <f t="shared" si="27"/>
        <v>1</v>
      </c>
      <c r="CH47" s="56">
        <f>Participantes!BG46</f>
        <v>4</v>
      </c>
      <c r="CI47" s="56">
        <f>Participantes!BH46</f>
        <v>1</v>
      </c>
      <c r="CJ47" s="58">
        <f t="shared" si="28"/>
        <v>1</v>
      </c>
      <c r="CK47" s="56">
        <f>Participantes!BI46</f>
        <v>1</v>
      </c>
      <c r="CL47" s="56">
        <f>Participantes!BJ46</f>
        <v>2</v>
      </c>
      <c r="CM47" s="58">
        <f t="shared" si="29"/>
        <v>1</v>
      </c>
      <c r="CN47" s="56">
        <f>Participantes!BK46</f>
        <v>2</v>
      </c>
      <c r="CO47" s="56">
        <f>Participantes!BL46</f>
        <v>3</v>
      </c>
      <c r="CP47" s="58">
        <f t="shared" si="30"/>
        <v>1</v>
      </c>
      <c r="CQ47" s="56">
        <f>Participantes!BM46</f>
        <v>1</v>
      </c>
      <c r="CR47" s="56">
        <f>Participantes!BN46</f>
        <v>1</v>
      </c>
      <c r="CS47" s="58">
        <f t="shared" si="31"/>
        <v>0</v>
      </c>
      <c r="CT47" s="56">
        <f>Participantes!BO46</f>
        <v>2</v>
      </c>
      <c r="CU47" s="56">
        <f>Participantes!BP46</f>
        <v>0</v>
      </c>
      <c r="CV47" s="58">
        <f t="shared" si="32"/>
        <v>1</v>
      </c>
      <c r="CW47" s="56">
        <f>Participantes!BQ46</f>
        <v>2</v>
      </c>
      <c r="CX47" s="56">
        <f>Participantes!BR46</f>
        <v>0</v>
      </c>
      <c r="CY47" s="58">
        <f t="shared" si="33"/>
        <v>0</v>
      </c>
      <c r="CZ47" s="56">
        <f>Participantes!BS46</f>
        <v>2</v>
      </c>
      <c r="DA47" s="56">
        <f>Participantes!BT46</f>
        <v>0</v>
      </c>
      <c r="DB47" s="58">
        <f t="shared" si="34"/>
        <v>1</v>
      </c>
      <c r="DC47" s="56">
        <f>Participantes!BU46</f>
        <v>0</v>
      </c>
      <c r="DD47" s="56">
        <f>Participantes!BV46</f>
        <v>2</v>
      </c>
      <c r="DE47" s="58">
        <f t="shared" si="35"/>
        <v>1</v>
      </c>
      <c r="DF47" s="56">
        <f>Participantes!BW46</f>
        <v>1</v>
      </c>
      <c r="DG47" s="56">
        <f>Participantes!BX46</f>
        <v>0</v>
      </c>
      <c r="DH47" s="58">
        <f t="shared" si="36"/>
        <v>0</v>
      </c>
      <c r="DI47" s="56">
        <f>Participantes!BY46</f>
        <v>3</v>
      </c>
      <c r="DJ47" s="56">
        <f>Participantes!BZ46</f>
        <v>1</v>
      </c>
      <c r="DK47" s="58">
        <f t="shared" si="37"/>
        <v>1</v>
      </c>
      <c r="DL47" s="56">
        <f>Participantes!CA46</f>
        <v>2</v>
      </c>
      <c r="DM47" s="56">
        <f>Participantes!CB46</f>
        <v>1</v>
      </c>
      <c r="DN47" s="58">
        <f t="shared" si="38"/>
        <v>0</v>
      </c>
      <c r="DO47" s="56">
        <f>Participantes!CC46</f>
        <v>2</v>
      </c>
      <c r="DP47" s="56">
        <f>Participantes!CD46</f>
        <v>2</v>
      </c>
      <c r="DQ47" s="58">
        <f t="shared" si="39"/>
        <v>0</v>
      </c>
      <c r="DR47" s="56">
        <f>Participantes!CE46</f>
        <v>2</v>
      </c>
      <c r="DS47" s="56">
        <f>Participantes!CF46</f>
        <v>0</v>
      </c>
      <c r="DT47" s="58">
        <f t="shared" si="40"/>
        <v>1</v>
      </c>
      <c r="DU47" s="56">
        <f>Participantes!CG46</f>
        <v>3</v>
      </c>
      <c r="DV47" s="56">
        <f>Participantes!CH46</f>
        <v>1</v>
      </c>
      <c r="DW47" s="58">
        <f t="shared" si="41"/>
        <v>1</v>
      </c>
      <c r="DX47" s="56">
        <f>Participantes!CI46</f>
        <v>2</v>
      </c>
      <c r="DY47" s="56">
        <f>Participantes!CJ46</f>
        <v>1</v>
      </c>
      <c r="DZ47" s="58">
        <f t="shared" si="42"/>
        <v>1</v>
      </c>
      <c r="EA47" s="56">
        <f>Participantes!CK46</f>
        <v>0</v>
      </c>
      <c r="EB47" s="56">
        <f>Participantes!CL46</f>
        <v>0</v>
      </c>
      <c r="EC47" s="58">
        <f t="shared" si="43"/>
        <v>0</v>
      </c>
      <c r="ED47" s="56">
        <f>Participantes!CM46</f>
        <v>3</v>
      </c>
      <c r="EE47" s="56">
        <f>Participantes!CN46</f>
        <v>0</v>
      </c>
      <c r="EF47" s="58">
        <f t="shared" si="44"/>
        <v>0</v>
      </c>
      <c r="EG47" s="56">
        <f>Participantes!CO46</f>
        <v>1</v>
      </c>
      <c r="EH47" s="56">
        <f>Participantes!CP46</f>
        <v>1</v>
      </c>
      <c r="EI47" s="58">
        <f t="shared" si="45"/>
        <v>0</v>
      </c>
      <c r="EJ47" s="56">
        <f>Participantes!CQ46</f>
        <v>2</v>
      </c>
      <c r="EK47" s="56">
        <f>Participantes!CR46</f>
        <v>1</v>
      </c>
      <c r="EL47" s="58">
        <f t="shared" si="46"/>
        <v>1</v>
      </c>
      <c r="EM47" s="56">
        <f>Participantes!CS46</f>
        <v>2</v>
      </c>
      <c r="EN47" s="56">
        <f>Participantes!CT46</f>
        <v>0</v>
      </c>
      <c r="EO47" s="58">
        <f t="shared" si="47"/>
        <v>1</v>
      </c>
      <c r="EP47" s="56">
        <f>Participantes!CU46</f>
        <v>0</v>
      </c>
      <c r="EQ47" s="56">
        <f>Participantes!CV46</f>
        <v>3</v>
      </c>
      <c r="ER47" s="58">
        <f t="shared" si="48"/>
        <v>3</v>
      </c>
      <c r="ES47" s="56">
        <f>Participantes!CW46</f>
        <v>1</v>
      </c>
      <c r="ET47" s="56">
        <f>Participantes!CX46</f>
        <v>1</v>
      </c>
      <c r="EU47" s="58">
        <f t="shared" si="49"/>
        <v>0</v>
      </c>
      <c r="EV47" s="56">
        <f>Participantes!CY46</f>
        <v>2</v>
      </c>
      <c r="EW47" s="56">
        <f>Participantes!CZ46</f>
        <v>2</v>
      </c>
      <c r="EX47" s="58">
        <f t="shared" si="50"/>
        <v>0</v>
      </c>
      <c r="EY47" s="56">
        <f>Participantes!DA46</f>
        <v>2</v>
      </c>
      <c r="EZ47" s="56">
        <f>Participantes!DB46</f>
        <v>1</v>
      </c>
      <c r="FA47" s="58">
        <f t="shared" si="51"/>
        <v>1</v>
      </c>
      <c r="FB47" s="56">
        <f>Participantes!DC46</f>
        <v>1</v>
      </c>
      <c r="FC47" s="56">
        <f>Participantes!DD46</f>
        <v>2</v>
      </c>
      <c r="FD47" s="58">
        <f t="shared" si="52"/>
        <v>1</v>
      </c>
      <c r="FE47" s="56">
        <f>Participantes!DE46</f>
        <v>0</v>
      </c>
      <c r="FF47" s="56">
        <f>Participantes!DF46</f>
        <v>2</v>
      </c>
      <c r="FG47" s="58">
        <f t="shared" si="53"/>
        <v>0</v>
      </c>
      <c r="FH47" s="56">
        <f>Participantes!DG46</f>
        <v>0</v>
      </c>
      <c r="FI47" s="56">
        <f>Participantes!DH46</f>
        <v>2</v>
      </c>
      <c r="FJ47" s="58">
        <f t="shared" si="54"/>
        <v>3</v>
      </c>
      <c r="FK47" s="56">
        <f>Participantes!DI46</f>
        <v>0</v>
      </c>
      <c r="FL47" s="56">
        <f>Participantes!DJ46</f>
        <v>2</v>
      </c>
      <c r="FM47" s="58">
        <f t="shared" si="55"/>
        <v>0</v>
      </c>
      <c r="FN47" s="56">
        <f>Participantes!DK46</f>
        <v>0</v>
      </c>
      <c r="FO47" s="56">
        <f>Participantes!DL46</f>
        <v>0</v>
      </c>
      <c r="FP47" s="58">
        <f t="shared" si="56"/>
        <v>1</v>
      </c>
      <c r="FQ47" s="56">
        <f>Participantes!DM46</f>
        <v>1</v>
      </c>
      <c r="FR47" s="56">
        <f>Participantes!DN46</f>
        <v>2</v>
      </c>
      <c r="FS47" s="58">
        <f t="shared" si="57"/>
        <v>1</v>
      </c>
      <c r="FT47" s="56">
        <f>Participantes!DO46</f>
        <v>1</v>
      </c>
      <c r="FU47" s="56">
        <f>Participantes!DP46</f>
        <v>2</v>
      </c>
      <c r="FV47" s="58">
        <f t="shared" si="58"/>
        <v>0</v>
      </c>
      <c r="FW47" s="56">
        <f>Participantes!DQ46</f>
        <v>2</v>
      </c>
      <c r="FX47" s="56">
        <f>Participantes!DR46</f>
        <v>1</v>
      </c>
      <c r="FY47" s="58">
        <f t="shared" si="59"/>
        <v>0</v>
      </c>
      <c r="FZ47" s="56">
        <f>Participantes!DS46</f>
        <v>2</v>
      </c>
      <c r="GA47" s="56">
        <f>Participantes!DT46</f>
        <v>3</v>
      </c>
      <c r="GB47" s="58">
        <f t="shared" si="60"/>
        <v>1</v>
      </c>
      <c r="GC47" s="56">
        <f>Participantes!DU46</f>
        <v>2</v>
      </c>
      <c r="GD47" s="56">
        <f>Participantes!DV46</f>
        <v>1</v>
      </c>
      <c r="GE47" s="58">
        <f t="shared" si="61"/>
        <v>1</v>
      </c>
      <c r="GF47" s="56">
        <f>Participantes!DW46</f>
        <v>2</v>
      </c>
      <c r="GG47" s="56">
        <f>Participantes!DX46</f>
        <v>1</v>
      </c>
      <c r="GH47" s="58">
        <f t="shared" si="62"/>
        <v>0</v>
      </c>
      <c r="GI47" s="56">
        <f>Participantes!DY46</f>
        <v>0</v>
      </c>
      <c r="GJ47" s="56">
        <f>Participantes!DZ46</f>
        <v>2</v>
      </c>
      <c r="GK47" s="58">
        <f t="shared" si="63"/>
        <v>1</v>
      </c>
      <c r="GL47" s="56">
        <f>Participantes!EA46</f>
        <v>2</v>
      </c>
      <c r="GM47" s="56">
        <f>Participantes!EB46</f>
        <v>1</v>
      </c>
      <c r="GN47" s="58">
        <f t="shared" si="64"/>
        <v>0</v>
      </c>
      <c r="GO47" s="56">
        <f>Participantes!EC46</f>
        <v>2</v>
      </c>
      <c r="GP47" s="56">
        <f>Participantes!ED46</f>
        <v>3</v>
      </c>
      <c r="GQ47" s="58">
        <f t="shared" si="65"/>
        <v>1</v>
      </c>
      <c r="GR47" s="56">
        <f>Participantes!EE46</f>
        <v>1</v>
      </c>
      <c r="GS47" s="56">
        <f>Participantes!EF46</f>
        <v>4</v>
      </c>
      <c r="GT47" s="58" t="str">
        <f t="shared" si="66"/>
        <v/>
      </c>
      <c r="GU47" s="56">
        <f>Participantes!EG46</f>
        <v>2</v>
      </c>
      <c r="GV47" s="56">
        <f>Participantes!EH46</f>
        <v>0</v>
      </c>
      <c r="GW47" s="58" t="str">
        <f t="shared" si="67"/>
        <v/>
      </c>
      <c r="GX47" s="56">
        <f>Participantes!EI46</f>
        <v>0</v>
      </c>
      <c r="GY47" s="56">
        <f>Participantes!EJ46</f>
        <v>2</v>
      </c>
      <c r="GZ47" s="58" t="str">
        <f t="shared" si="68"/>
        <v/>
      </c>
      <c r="HA47" s="56">
        <f>Participantes!EK46</f>
        <v>1</v>
      </c>
      <c r="HB47" s="56">
        <f>Participantes!EL46</f>
        <v>3</v>
      </c>
      <c r="HC47" s="58" t="str">
        <f t="shared" si="69"/>
        <v/>
      </c>
      <c r="HD47" s="56">
        <f>Participantes!EM46</f>
        <v>1</v>
      </c>
      <c r="HE47" s="56">
        <f>Participantes!EN46</f>
        <v>2</v>
      </c>
      <c r="HF47" s="58" t="str">
        <f t="shared" si="70"/>
        <v/>
      </c>
      <c r="HG47" s="56">
        <f>Participantes!EO46</f>
        <v>1</v>
      </c>
      <c r="HH47" s="56">
        <f>Participantes!EP46</f>
        <v>0</v>
      </c>
      <c r="HI47" s="58" t="str">
        <f t="shared" si="71"/>
        <v/>
      </c>
      <c r="HJ47" s="59">
        <f t="shared" si="72"/>
        <v>44</v>
      </c>
    </row>
    <row r="48" spans="1:218" ht="15" customHeight="1" x14ac:dyDescent="0.25">
      <c r="A48" s="57" t="str">
        <f>Participantes!B47</f>
        <v>Saul</v>
      </c>
      <c r="B48" s="56">
        <f>Participantes!C47</f>
        <v>2</v>
      </c>
      <c r="C48" s="56">
        <f>Participantes!D47</f>
        <v>0</v>
      </c>
      <c r="D48" s="58">
        <f t="shared" si="0"/>
        <v>3</v>
      </c>
      <c r="E48" s="56">
        <f>Participantes!E47</f>
        <v>1</v>
      </c>
      <c r="F48" s="56">
        <f>Participantes!F47</f>
        <v>1</v>
      </c>
      <c r="G48" s="58">
        <f t="shared" si="1"/>
        <v>0</v>
      </c>
      <c r="H48" s="56">
        <f>Participantes!G47</f>
        <v>1</v>
      </c>
      <c r="I48" s="56">
        <f>Participantes!H47</f>
        <v>0</v>
      </c>
      <c r="J48" s="58">
        <f t="shared" si="2"/>
        <v>0</v>
      </c>
      <c r="K48" s="56">
        <f>Participantes!I47</f>
        <v>2</v>
      </c>
      <c r="L48" s="56">
        <f>Participantes!J47</f>
        <v>1</v>
      </c>
      <c r="M48" s="58">
        <f t="shared" si="3"/>
        <v>1</v>
      </c>
      <c r="N48" s="56">
        <f>Participantes!K47</f>
        <v>0</v>
      </c>
      <c r="O48" s="56">
        <f>Participantes!L47</f>
        <v>1</v>
      </c>
      <c r="P48" s="58">
        <f t="shared" si="4"/>
        <v>3</v>
      </c>
      <c r="Q48" s="56">
        <f>Participantes!M47</f>
        <v>1</v>
      </c>
      <c r="R48" s="56">
        <f>Participantes!N47</f>
        <v>2</v>
      </c>
      <c r="S48" s="58">
        <f t="shared" si="5"/>
        <v>0</v>
      </c>
      <c r="T48" s="56">
        <f>Participantes!O47</f>
        <v>3</v>
      </c>
      <c r="U48" s="56">
        <f>Participantes!P47</f>
        <v>1</v>
      </c>
      <c r="V48" s="58">
        <f t="shared" si="6"/>
        <v>0</v>
      </c>
      <c r="W48" s="56">
        <f>Participantes!Q47</f>
        <v>0</v>
      </c>
      <c r="X48" s="56">
        <f>Participantes!R47</f>
        <v>2</v>
      </c>
      <c r="Y48" s="58">
        <f t="shared" si="7"/>
        <v>0</v>
      </c>
      <c r="Z48" s="56">
        <f>Participantes!S47</f>
        <v>1</v>
      </c>
      <c r="AA48" s="56">
        <f>Participantes!T47</f>
        <v>1</v>
      </c>
      <c r="AB48" s="58">
        <f t="shared" si="8"/>
        <v>0</v>
      </c>
      <c r="AC48" s="56">
        <f>Participantes!U47</f>
        <v>2</v>
      </c>
      <c r="AD48" s="56">
        <f>Participantes!V47</f>
        <v>0</v>
      </c>
      <c r="AE48" s="58">
        <f t="shared" si="9"/>
        <v>1</v>
      </c>
      <c r="AF48" s="56">
        <f>Participantes!W47</f>
        <v>2</v>
      </c>
      <c r="AG48" s="56">
        <f>Participantes!X47</f>
        <v>1</v>
      </c>
      <c r="AH48" s="58">
        <f t="shared" si="10"/>
        <v>0</v>
      </c>
      <c r="AI48" s="56">
        <f>Participantes!Y47</f>
        <v>1</v>
      </c>
      <c r="AJ48" s="56">
        <f>Participantes!Z47</f>
        <v>0</v>
      </c>
      <c r="AK48" s="58">
        <f t="shared" si="11"/>
        <v>1</v>
      </c>
      <c r="AL48" s="56">
        <f>Participantes!AA47</f>
        <v>0</v>
      </c>
      <c r="AM48" s="56">
        <f>Participantes!AB47</f>
        <v>2</v>
      </c>
      <c r="AN48" s="58">
        <f t="shared" si="12"/>
        <v>0</v>
      </c>
      <c r="AO48" s="56">
        <f>Participantes!AC47</f>
        <v>3</v>
      </c>
      <c r="AP48" s="56">
        <f>Participantes!AD47</f>
        <v>0</v>
      </c>
      <c r="AQ48" s="58">
        <f t="shared" si="13"/>
        <v>0</v>
      </c>
      <c r="AR48" s="56">
        <f>Participantes!AE47</f>
        <v>1</v>
      </c>
      <c r="AS48" s="56">
        <f>Participantes!AF47</f>
        <v>0</v>
      </c>
      <c r="AT48" s="58">
        <f t="shared" si="14"/>
        <v>0</v>
      </c>
      <c r="AU48" s="56">
        <f>Participantes!AG47</f>
        <v>2</v>
      </c>
      <c r="AV48" s="56">
        <f>Participantes!AH47</f>
        <v>0</v>
      </c>
      <c r="AW48" s="58">
        <f t="shared" si="15"/>
        <v>0</v>
      </c>
      <c r="AX48" s="56">
        <f>Participantes!AI47</f>
        <v>2</v>
      </c>
      <c r="AY48" s="56">
        <f>Participantes!AJ47</f>
        <v>1</v>
      </c>
      <c r="AZ48" s="58">
        <f t="shared" si="16"/>
        <v>1</v>
      </c>
      <c r="BA48" s="56">
        <f>Participantes!AK47</f>
        <v>0</v>
      </c>
      <c r="BB48" s="56">
        <f>Participantes!AL47</f>
        <v>2</v>
      </c>
      <c r="BC48" s="58">
        <f t="shared" si="17"/>
        <v>1</v>
      </c>
      <c r="BD48" s="56">
        <f>Participantes!AM47</f>
        <v>2</v>
      </c>
      <c r="BE48" s="56">
        <f>Participantes!AN47</f>
        <v>0</v>
      </c>
      <c r="BF48" s="58">
        <f t="shared" si="18"/>
        <v>1</v>
      </c>
      <c r="BG48" s="56">
        <f>Participantes!AO47</f>
        <v>1</v>
      </c>
      <c r="BH48" s="56">
        <f>Participantes!AP47</f>
        <v>0</v>
      </c>
      <c r="BI48" s="58">
        <f t="shared" si="19"/>
        <v>1</v>
      </c>
      <c r="BJ48" s="56">
        <f>Participantes!AQ47</f>
        <v>1</v>
      </c>
      <c r="BK48" s="56">
        <f>Participantes!AR47</f>
        <v>1</v>
      </c>
      <c r="BL48" s="58">
        <f t="shared" si="20"/>
        <v>0</v>
      </c>
      <c r="BM48" s="56">
        <f>Participantes!AS47</f>
        <v>2</v>
      </c>
      <c r="BN48" s="56">
        <f>Participantes!AT47</f>
        <v>1</v>
      </c>
      <c r="BO48" s="58">
        <f t="shared" si="21"/>
        <v>1</v>
      </c>
      <c r="BP48" s="56">
        <f>Participantes!AU47</f>
        <v>3</v>
      </c>
      <c r="BQ48" s="56">
        <f>Participantes!AV47</f>
        <v>0</v>
      </c>
      <c r="BR48" s="58">
        <f t="shared" si="22"/>
        <v>0</v>
      </c>
      <c r="BS48" s="56">
        <f>Participantes!AW47</f>
        <v>0</v>
      </c>
      <c r="BT48" s="56">
        <f>Participantes!AX47</f>
        <v>1</v>
      </c>
      <c r="BU48" s="58">
        <f t="shared" si="23"/>
        <v>1</v>
      </c>
      <c r="BV48" s="56">
        <f>Participantes!AY47</f>
        <v>1</v>
      </c>
      <c r="BW48" s="56">
        <f>Participantes!AZ47</f>
        <v>0</v>
      </c>
      <c r="BX48" s="58">
        <f t="shared" si="24"/>
        <v>0</v>
      </c>
      <c r="BY48" s="56">
        <f>Participantes!BA47</f>
        <v>2</v>
      </c>
      <c r="BZ48" s="56">
        <f>Participantes!BB47</f>
        <v>0</v>
      </c>
      <c r="CA48" s="58">
        <f t="shared" si="25"/>
        <v>1</v>
      </c>
      <c r="CB48" s="56">
        <f>Participantes!BC47</f>
        <v>2</v>
      </c>
      <c r="CC48" s="56">
        <f>Participantes!BD47</f>
        <v>1</v>
      </c>
      <c r="CD48" s="58">
        <f t="shared" si="26"/>
        <v>1</v>
      </c>
      <c r="CE48" s="56">
        <f>Participantes!BE47</f>
        <v>1</v>
      </c>
      <c r="CF48" s="56">
        <f>Participantes!BF47</f>
        <v>1</v>
      </c>
      <c r="CG48" s="58">
        <f t="shared" si="27"/>
        <v>0</v>
      </c>
      <c r="CH48" s="56">
        <f>Participantes!BG47</f>
        <v>3</v>
      </c>
      <c r="CI48" s="56">
        <f>Participantes!BH47</f>
        <v>1</v>
      </c>
      <c r="CJ48" s="58">
        <f t="shared" si="28"/>
        <v>1</v>
      </c>
      <c r="CK48" s="56">
        <f>Participantes!BI47</f>
        <v>0</v>
      </c>
      <c r="CL48" s="56">
        <f>Participantes!BJ47</f>
        <v>1</v>
      </c>
      <c r="CM48" s="58">
        <f t="shared" si="29"/>
        <v>3</v>
      </c>
      <c r="CN48" s="56">
        <f>Participantes!BK47</f>
        <v>1</v>
      </c>
      <c r="CO48" s="56">
        <f>Participantes!BL47</f>
        <v>2</v>
      </c>
      <c r="CP48" s="58">
        <f t="shared" si="30"/>
        <v>1</v>
      </c>
      <c r="CQ48" s="56">
        <f>Participantes!BM47</f>
        <v>2</v>
      </c>
      <c r="CR48" s="56">
        <f>Participantes!BN47</f>
        <v>1</v>
      </c>
      <c r="CS48" s="58">
        <f t="shared" si="31"/>
        <v>1</v>
      </c>
      <c r="CT48" s="56">
        <f>Participantes!BO47</f>
        <v>3</v>
      </c>
      <c r="CU48" s="56">
        <f>Participantes!BP47</f>
        <v>0</v>
      </c>
      <c r="CV48" s="58">
        <f t="shared" si="32"/>
        <v>1</v>
      </c>
      <c r="CW48" s="56">
        <f>Participantes!BQ47</f>
        <v>1</v>
      </c>
      <c r="CX48" s="56">
        <f>Participantes!BR47</f>
        <v>0</v>
      </c>
      <c r="CY48" s="58">
        <f t="shared" si="33"/>
        <v>0</v>
      </c>
      <c r="CZ48" s="56">
        <f>Participantes!BS47</f>
        <v>2</v>
      </c>
      <c r="DA48" s="56">
        <f>Participantes!BT47</f>
        <v>0</v>
      </c>
      <c r="DB48" s="58">
        <f t="shared" si="34"/>
        <v>1</v>
      </c>
      <c r="DC48" s="56">
        <f>Participantes!BU47</f>
        <v>1</v>
      </c>
      <c r="DD48" s="56">
        <f>Participantes!BV47</f>
        <v>1</v>
      </c>
      <c r="DE48" s="58">
        <f t="shared" si="35"/>
        <v>0</v>
      </c>
      <c r="DF48" s="56">
        <f>Participantes!BW47</f>
        <v>1</v>
      </c>
      <c r="DG48" s="56">
        <f>Participantes!BX47</f>
        <v>0</v>
      </c>
      <c r="DH48" s="58">
        <f t="shared" si="36"/>
        <v>0</v>
      </c>
      <c r="DI48" s="56">
        <f>Participantes!BY47</f>
        <v>2</v>
      </c>
      <c r="DJ48" s="56">
        <f>Participantes!BZ47</f>
        <v>0</v>
      </c>
      <c r="DK48" s="58">
        <f t="shared" si="37"/>
        <v>1</v>
      </c>
      <c r="DL48" s="56">
        <f>Participantes!CA47</f>
        <v>2</v>
      </c>
      <c r="DM48" s="56">
        <f>Participantes!CB47</f>
        <v>1</v>
      </c>
      <c r="DN48" s="58">
        <f t="shared" si="38"/>
        <v>0</v>
      </c>
      <c r="DO48" s="56">
        <f>Participantes!CC47</f>
        <v>0</v>
      </c>
      <c r="DP48" s="56">
        <f>Participantes!CD47</f>
        <v>1</v>
      </c>
      <c r="DQ48" s="58">
        <f t="shared" si="39"/>
        <v>1</v>
      </c>
      <c r="DR48" s="56">
        <f>Participantes!CE47</f>
        <v>0</v>
      </c>
      <c r="DS48" s="56">
        <f>Participantes!CF47</f>
        <v>0</v>
      </c>
      <c r="DT48" s="58">
        <f t="shared" si="40"/>
        <v>0</v>
      </c>
      <c r="DU48" s="56">
        <f>Participantes!CG47</f>
        <v>2</v>
      </c>
      <c r="DV48" s="56">
        <f>Participantes!CH47</f>
        <v>0</v>
      </c>
      <c r="DW48" s="58">
        <f t="shared" si="41"/>
        <v>1</v>
      </c>
      <c r="DX48" s="56">
        <f>Participantes!CI47</f>
        <v>2</v>
      </c>
      <c r="DY48" s="56">
        <f>Participantes!CJ47</f>
        <v>0</v>
      </c>
      <c r="DZ48" s="58">
        <f t="shared" si="42"/>
        <v>3</v>
      </c>
      <c r="EA48" s="56">
        <f>Participantes!CK47</f>
        <v>1</v>
      </c>
      <c r="EB48" s="56">
        <f>Participantes!CL47</f>
        <v>1</v>
      </c>
      <c r="EC48" s="58">
        <f t="shared" si="43"/>
        <v>0</v>
      </c>
      <c r="ED48" s="56">
        <f>Participantes!CM47</f>
        <v>3</v>
      </c>
      <c r="EE48" s="56">
        <f>Participantes!CN47</f>
        <v>1</v>
      </c>
      <c r="EF48" s="58">
        <f t="shared" si="44"/>
        <v>0</v>
      </c>
      <c r="EG48" s="56">
        <f>Participantes!CO47</f>
        <v>1</v>
      </c>
      <c r="EH48" s="56">
        <f>Participantes!CP47</f>
        <v>2</v>
      </c>
      <c r="EI48" s="58">
        <f t="shared" si="45"/>
        <v>1</v>
      </c>
      <c r="EJ48" s="56">
        <f>Participantes!CQ47</f>
        <v>2</v>
      </c>
      <c r="EK48" s="56">
        <f>Participantes!CR47</f>
        <v>0</v>
      </c>
      <c r="EL48" s="58">
        <f t="shared" si="46"/>
        <v>1</v>
      </c>
      <c r="EM48" s="56">
        <f>Participantes!CS47</f>
        <v>1</v>
      </c>
      <c r="EN48" s="56">
        <f>Participantes!CT47</f>
        <v>0</v>
      </c>
      <c r="EO48" s="58">
        <f t="shared" si="47"/>
        <v>3</v>
      </c>
      <c r="EP48" s="56">
        <f>Participantes!CU47</f>
        <v>0</v>
      </c>
      <c r="EQ48" s="56">
        <f>Participantes!CV47</f>
        <v>3</v>
      </c>
      <c r="ER48" s="58">
        <f t="shared" si="48"/>
        <v>3</v>
      </c>
      <c r="ES48" s="56">
        <f>Participantes!CW47</f>
        <v>1</v>
      </c>
      <c r="ET48" s="56">
        <f>Participantes!CX47</f>
        <v>1</v>
      </c>
      <c r="EU48" s="58">
        <f t="shared" si="49"/>
        <v>0</v>
      </c>
      <c r="EV48" s="56">
        <f>Participantes!CY47</f>
        <v>1</v>
      </c>
      <c r="EW48" s="56">
        <f>Participantes!CZ47</f>
        <v>1</v>
      </c>
      <c r="EX48" s="58">
        <f t="shared" si="50"/>
        <v>0</v>
      </c>
      <c r="EY48" s="56">
        <f>Participantes!DA47</f>
        <v>0</v>
      </c>
      <c r="EZ48" s="56">
        <f>Participantes!DB47</f>
        <v>0</v>
      </c>
      <c r="FA48" s="58">
        <f t="shared" si="51"/>
        <v>0</v>
      </c>
      <c r="FB48" s="56">
        <f>Participantes!DC47</f>
        <v>0</v>
      </c>
      <c r="FC48" s="56">
        <f>Participantes!DD47</f>
        <v>1</v>
      </c>
      <c r="FD48" s="58">
        <f t="shared" si="52"/>
        <v>1</v>
      </c>
      <c r="FE48" s="56">
        <f>Participantes!DE47</f>
        <v>1</v>
      </c>
      <c r="FF48" s="56">
        <f>Participantes!DF47</f>
        <v>1</v>
      </c>
      <c r="FG48" s="58">
        <f t="shared" si="53"/>
        <v>0</v>
      </c>
      <c r="FH48" s="56">
        <f>Participantes!DG47</f>
        <v>0</v>
      </c>
      <c r="FI48" s="56">
        <f>Participantes!DH47</f>
        <v>1</v>
      </c>
      <c r="FJ48" s="58">
        <f t="shared" si="54"/>
        <v>1</v>
      </c>
      <c r="FK48" s="56">
        <f>Participantes!DI47</f>
        <v>1</v>
      </c>
      <c r="FL48" s="56">
        <f>Participantes!DJ47</f>
        <v>3</v>
      </c>
      <c r="FM48" s="58">
        <f t="shared" si="55"/>
        <v>0</v>
      </c>
      <c r="FN48" s="56">
        <f>Participantes!DK47</f>
        <v>2</v>
      </c>
      <c r="FO48" s="56">
        <f>Participantes!DL47</f>
        <v>1</v>
      </c>
      <c r="FP48" s="58">
        <f t="shared" si="56"/>
        <v>0</v>
      </c>
      <c r="FQ48" s="56">
        <f>Participantes!DM47</f>
        <v>0</v>
      </c>
      <c r="FR48" s="56">
        <f>Participantes!DN47</f>
        <v>2</v>
      </c>
      <c r="FS48" s="58">
        <f t="shared" si="57"/>
        <v>1</v>
      </c>
      <c r="FT48" s="56">
        <f>Participantes!DO47</f>
        <v>0</v>
      </c>
      <c r="FU48" s="56">
        <f>Participantes!DP47</f>
        <v>1</v>
      </c>
      <c r="FV48" s="58">
        <f t="shared" si="58"/>
        <v>0</v>
      </c>
      <c r="FW48" s="56">
        <f>Participantes!DQ47</f>
        <v>2</v>
      </c>
      <c r="FX48" s="56">
        <f>Participantes!DR47</f>
        <v>1</v>
      </c>
      <c r="FY48" s="58">
        <f t="shared" si="59"/>
        <v>0</v>
      </c>
      <c r="FZ48" s="56">
        <f>Participantes!DS47</f>
        <v>0</v>
      </c>
      <c r="GA48" s="56">
        <f>Participantes!DT47</f>
        <v>2</v>
      </c>
      <c r="GB48" s="58">
        <f t="shared" si="60"/>
        <v>1</v>
      </c>
      <c r="GC48" s="56">
        <f>Participantes!DU47</f>
        <v>1</v>
      </c>
      <c r="GD48" s="56">
        <f>Participantes!DV47</f>
        <v>1</v>
      </c>
      <c r="GE48" s="58">
        <f t="shared" si="61"/>
        <v>0</v>
      </c>
      <c r="GF48" s="56">
        <f>Participantes!DW47</f>
        <v>2</v>
      </c>
      <c r="GG48" s="56">
        <f>Participantes!DX47</f>
        <v>1</v>
      </c>
      <c r="GH48" s="58">
        <f t="shared" si="62"/>
        <v>0</v>
      </c>
      <c r="GI48" s="56">
        <f>Participantes!DY47</f>
        <v>0</v>
      </c>
      <c r="GJ48" s="56">
        <f>Participantes!DZ47</f>
        <v>2</v>
      </c>
      <c r="GK48" s="58">
        <f t="shared" si="63"/>
        <v>1</v>
      </c>
      <c r="GL48" s="56">
        <f>Participantes!EA47</f>
        <v>1</v>
      </c>
      <c r="GM48" s="56">
        <f>Participantes!EB47</f>
        <v>1</v>
      </c>
      <c r="GN48" s="58">
        <f t="shared" si="64"/>
        <v>1</v>
      </c>
      <c r="GO48" s="56">
        <f>Participantes!EC47</f>
        <v>1</v>
      </c>
      <c r="GP48" s="56">
        <f>Participantes!ED47</f>
        <v>2</v>
      </c>
      <c r="GQ48" s="58">
        <f t="shared" si="65"/>
        <v>1</v>
      </c>
      <c r="GR48" s="56">
        <f>Participantes!EE47</f>
        <v>1</v>
      </c>
      <c r="GS48" s="56">
        <f>Participantes!EF47</f>
        <v>3</v>
      </c>
      <c r="GT48" s="58" t="str">
        <f t="shared" si="66"/>
        <v/>
      </c>
      <c r="GU48" s="56">
        <f>Participantes!EG47</f>
        <v>2</v>
      </c>
      <c r="GV48" s="56">
        <f>Participantes!EH47</f>
        <v>1</v>
      </c>
      <c r="GW48" s="58" t="str">
        <f t="shared" si="67"/>
        <v/>
      </c>
      <c r="GX48" s="56">
        <f>Participantes!EI47</f>
        <v>1</v>
      </c>
      <c r="GY48" s="56">
        <f>Participantes!EJ47</f>
        <v>1</v>
      </c>
      <c r="GZ48" s="58" t="str">
        <f t="shared" si="68"/>
        <v/>
      </c>
      <c r="HA48" s="56">
        <f>Participantes!EK47</f>
        <v>0</v>
      </c>
      <c r="HB48" s="56">
        <f>Participantes!EL47</f>
        <v>3</v>
      </c>
      <c r="HC48" s="58" t="str">
        <f t="shared" si="69"/>
        <v/>
      </c>
      <c r="HD48" s="56">
        <f>Participantes!EM47</f>
        <v>1</v>
      </c>
      <c r="HE48" s="56">
        <f>Participantes!EN47</f>
        <v>2</v>
      </c>
      <c r="HF48" s="58" t="str">
        <f t="shared" si="70"/>
        <v/>
      </c>
      <c r="HG48" s="56">
        <f>Participantes!EO47</f>
        <v>0</v>
      </c>
      <c r="HH48" s="56">
        <f>Participantes!EP47</f>
        <v>0</v>
      </c>
      <c r="HI48" s="58" t="str">
        <f t="shared" si="71"/>
        <v/>
      </c>
      <c r="HJ48" s="59">
        <f t="shared" si="72"/>
        <v>46</v>
      </c>
    </row>
    <row r="49" spans="1:218" ht="15" customHeight="1" x14ac:dyDescent="0.25">
      <c r="A49" s="57" t="str">
        <f>Participantes!B48</f>
        <v>Silvia</v>
      </c>
      <c r="B49" s="56">
        <f>Participantes!C48</f>
        <v>2</v>
      </c>
      <c r="C49" s="56">
        <f>Participantes!D48</f>
        <v>0</v>
      </c>
      <c r="D49" s="58">
        <f t="shared" si="0"/>
        <v>3</v>
      </c>
      <c r="E49" s="56">
        <f>Participantes!E48</f>
        <v>1</v>
      </c>
      <c r="F49" s="56">
        <f>Participantes!F48</f>
        <v>1</v>
      </c>
      <c r="G49" s="58">
        <f t="shared" si="1"/>
        <v>0</v>
      </c>
      <c r="H49" s="56">
        <f>Participantes!G48</f>
        <v>2</v>
      </c>
      <c r="I49" s="56">
        <f>Participantes!H48</f>
        <v>0</v>
      </c>
      <c r="J49" s="58">
        <f t="shared" si="2"/>
        <v>0</v>
      </c>
      <c r="K49" s="56">
        <f>Participantes!I48</f>
        <v>2</v>
      </c>
      <c r="L49" s="56">
        <f>Participantes!J48</f>
        <v>1</v>
      </c>
      <c r="M49" s="58">
        <f t="shared" si="3"/>
        <v>1</v>
      </c>
      <c r="N49" s="56">
        <f>Participantes!K48</f>
        <v>1</v>
      </c>
      <c r="O49" s="56">
        <f>Participantes!L48</f>
        <v>2</v>
      </c>
      <c r="P49" s="58">
        <f t="shared" si="4"/>
        <v>1</v>
      </c>
      <c r="Q49" s="56">
        <f>Participantes!M48</f>
        <v>1</v>
      </c>
      <c r="R49" s="56">
        <f>Participantes!N48</f>
        <v>1</v>
      </c>
      <c r="S49" s="58">
        <f t="shared" si="5"/>
        <v>0</v>
      </c>
      <c r="T49" s="56">
        <f>Participantes!O48</f>
        <v>2</v>
      </c>
      <c r="U49" s="56">
        <f>Participantes!P48</f>
        <v>1</v>
      </c>
      <c r="V49" s="58">
        <f t="shared" si="6"/>
        <v>0</v>
      </c>
      <c r="W49" s="56">
        <f>Participantes!Q48</f>
        <v>1</v>
      </c>
      <c r="X49" s="56">
        <f>Participantes!R48</f>
        <v>2</v>
      </c>
      <c r="Y49" s="58">
        <f t="shared" si="7"/>
        <v>0</v>
      </c>
      <c r="Z49" s="56">
        <f>Participantes!S48</f>
        <v>1</v>
      </c>
      <c r="AA49" s="56">
        <f>Participantes!T48</f>
        <v>1</v>
      </c>
      <c r="AB49" s="58">
        <f t="shared" si="8"/>
        <v>0</v>
      </c>
      <c r="AC49" s="56">
        <f>Participantes!U48</f>
        <v>3</v>
      </c>
      <c r="AD49" s="56">
        <f>Participantes!V48</f>
        <v>0</v>
      </c>
      <c r="AE49" s="58">
        <f t="shared" si="9"/>
        <v>1</v>
      </c>
      <c r="AF49" s="56">
        <f>Participantes!W48</f>
        <v>2</v>
      </c>
      <c r="AG49" s="56">
        <f>Participantes!X48</f>
        <v>1</v>
      </c>
      <c r="AH49" s="58">
        <f t="shared" si="10"/>
        <v>0</v>
      </c>
      <c r="AI49" s="56">
        <f>Participantes!Y48</f>
        <v>2</v>
      </c>
      <c r="AJ49" s="56">
        <f>Participantes!Z48</f>
        <v>0</v>
      </c>
      <c r="AK49" s="58">
        <f t="shared" si="11"/>
        <v>1</v>
      </c>
      <c r="AL49" s="56">
        <f>Participantes!AA48</f>
        <v>0</v>
      </c>
      <c r="AM49" s="56">
        <f>Participantes!AB48</f>
        <v>2</v>
      </c>
      <c r="AN49" s="58">
        <f t="shared" si="12"/>
        <v>0</v>
      </c>
      <c r="AO49" s="56">
        <f>Participantes!AC48</f>
        <v>3</v>
      </c>
      <c r="AP49" s="56">
        <f>Participantes!AD48</f>
        <v>0</v>
      </c>
      <c r="AQ49" s="58">
        <f t="shared" si="13"/>
        <v>0</v>
      </c>
      <c r="AR49" s="56">
        <f>Participantes!AE48</f>
        <v>1</v>
      </c>
      <c r="AS49" s="56">
        <f>Participantes!AF48</f>
        <v>1</v>
      </c>
      <c r="AT49" s="58">
        <f t="shared" si="14"/>
        <v>1</v>
      </c>
      <c r="AU49" s="56">
        <f>Participantes!AG48</f>
        <v>2</v>
      </c>
      <c r="AV49" s="56">
        <f>Participantes!AH48</f>
        <v>0</v>
      </c>
      <c r="AW49" s="58">
        <f t="shared" si="15"/>
        <v>0</v>
      </c>
      <c r="AX49" s="56">
        <f>Participantes!AI48</f>
        <v>2</v>
      </c>
      <c r="AY49" s="56">
        <f>Participantes!AJ48</f>
        <v>1</v>
      </c>
      <c r="AZ49" s="58">
        <f t="shared" si="16"/>
        <v>1</v>
      </c>
      <c r="BA49" s="56">
        <f>Participantes!AK48</f>
        <v>0</v>
      </c>
      <c r="BB49" s="56">
        <f>Participantes!AL48</f>
        <v>2</v>
      </c>
      <c r="BC49" s="58">
        <f t="shared" si="17"/>
        <v>1</v>
      </c>
      <c r="BD49" s="56">
        <f>Participantes!AM48</f>
        <v>3</v>
      </c>
      <c r="BE49" s="56">
        <f>Participantes!AN48</f>
        <v>0</v>
      </c>
      <c r="BF49" s="58">
        <f t="shared" si="18"/>
        <v>3</v>
      </c>
      <c r="BG49" s="56">
        <f>Participantes!AO48</f>
        <v>2</v>
      </c>
      <c r="BH49" s="56">
        <f>Participantes!AP48</f>
        <v>0</v>
      </c>
      <c r="BI49" s="58">
        <f t="shared" si="19"/>
        <v>1</v>
      </c>
      <c r="BJ49" s="56">
        <f>Participantes!AQ48</f>
        <v>1</v>
      </c>
      <c r="BK49" s="56">
        <f>Participantes!AR48</f>
        <v>1</v>
      </c>
      <c r="BL49" s="58">
        <f t="shared" si="20"/>
        <v>0</v>
      </c>
      <c r="BM49" s="56">
        <f>Participantes!AS48</f>
        <v>2</v>
      </c>
      <c r="BN49" s="56">
        <f>Participantes!AT48</f>
        <v>1</v>
      </c>
      <c r="BO49" s="58">
        <f t="shared" si="21"/>
        <v>1</v>
      </c>
      <c r="BP49" s="56">
        <f>Participantes!AU48</f>
        <v>3</v>
      </c>
      <c r="BQ49" s="56">
        <f>Participantes!AV48</f>
        <v>0</v>
      </c>
      <c r="BR49" s="58">
        <f t="shared" si="22"/>
        <v>0</v>
      </c>
      <c r="BS49" s="56">
        <f>Participantes!AW48</f>
        <v>1</v>
      </c>
      <c r="BT49" s="56">
        <f>Participantes!AX48</f>
        <v>2</v>
      </c>
      <c r="BU49" s="58">
        <f t="shared" si="23"/>
        <v>1</v>
      </c>
      <c r="BV49" s="56">
        <f>Participantes!AY48</f>
        <v>1</v>
      </c>
      <c r="BW49" s="56">
        <f>Participantes!AZ48</f>
        <v>0</v>
      </c>
      <c r="BX49" s="58">
        <f t="shared" si="24"/>
        <v>0</v>
      </c>
      <c r="BY49" s="56">
        <f>Participantes!BA48</f>
        <v>2</v>
      </c>
      <c r="BZ49" s="56">
        <f>Participantes!BB48</f>
        <v>0</v>
      </c>
      <c r="CA49" s="58">
        <f t="shared" si="25"/>
        <v>1</v>
      </c>
      <c r="CB49" s="56">
        <f>Participantes!BC48</f>
        <v>2</v>
      </c>
      <c r="CC49" s="56">
        <f>Participantes!BD48</f>
        <v>1</v>
      </c>
      <c r="CD49" s="58">
        <f t="shared" si="26"/>
        <v>1</v>
      </c>
      <c r="CE49" s="56">
        <f>Participantes!BE48</f>
        <v>2</v>
      </c>
      <c r="CF49" s="56">
        <f>Participantes!BF48</f>
        <v>1</v>
      </c>
      <c r="CG49" s="58">
        <f t="shared" si="27"/>
        <v>1</v>
      </c>
      <c r="CH49" s="56">
        <f>Participantes!BG48</f>
        <v>2</v>
      </c>
      <c r="CI49" s="56">
        <f>Participantes!BH48</f>
        <v>1</v>
      </c>
      <c r="CJ49" s="58">
        <f t="shared" si="28"/>
        <v>1</v>
      </c>
      <c r="CK49" s="56">
        <f>Participantes!BI48</f>
        <v>1</v>
      </c>
      <c r="CL49" s="56">
        <f>Participantes!BJ48</f>
        <v>1</v>
      </c>
      <c r="CM49" s="58">
        <f t="shared" si="29"/>
        <v>0</v>
      </c>
      <c r="CN49" s="56">
        <f>Participantes!BK48</f>
        <v>2</v>
      </c>
      <c r="CO49" s="56">
        <f>Participantes!BL48</f>
        <v>1</v>
      </c>
      <c r="CP49" s="58">
        <f t="shared" si="30"/>
        <v>0</v>
      </c>
      <c r="CQ49" s="56">
        <f>Participantes!BM48</f>
        <v>2</v>
      </c>
      <c r="CR49" s="56">
        <f>Participantes!BN48</f>
        <v>0</v>
      </c>
      <c r="CS49" s="58">
        <f t="shared" si="31"/>
        <v>3</v>
      </c>
      <c r="CT49" s="56">
        <f>Participantes!BO48</f>
        <v>2</v>
      </c>
      <c r="CU49" s="56">
        <f>Participantes!BP48</f>
        <v>1</v>
      </c>
      <c r="CV49" s="58">
        <f t="shared" si="32"/>
        <v>3</v>
      </c>
      <c r="CW49" s="56">
        <f>Participantes!BQ48</f>
        <v>0</v>
      </c>
      <c r="CX49" s="56">
        <f>Participantes!BR48</f>
        <v>2</v>
      </c>
      <c r="CY49" s="58">
        <f t="shared" si="33"/>
        <v>0</v>
      </c>
      <c r="CZ49" s="56">
        <f>Participantes!BS48</f>
        <v>2</v>
      </c>
      <c r="DA49" s="56">
        <f>Participantes!BT48</f>
        <v>1</v>
      </c>
      <c r="DB49" s="58">
        <f t="shared" si="34"/>
        <v>1</v>
      </c>
      <c r="DC49" s="56">
        <f>Participantes!BU48</f>
        <v>1</v>
      </c>
      <c r="DD49" s="56">
        <f>Participantes!BV48</f>
        <v>0</v>
      </c>
      <c r="DE49" s="58">
        <f t="shared" si="35"/>
        <v>0</v>
      </c>
      <c r="DF49" s="56">
        <f>Participantes!BW48</f>
        <v>2</v>
      </c>
      <c r="DG49" s="56">
        <f>Participantes!BX48</f>
        <v>0</v>
      </c>
      <c r="DH49" s="58">
        <f t="shared" si="36"/>
        <v>0</v>
      </c>
      <c r="DI49" s="56">
        <f>Participantes!BY48</f>
        <v>2</v>
      </c>
      <c r="DJ49" s="56">
        <f>Participantes!BZ48</f>
        <v>0</v>
      </c>
      <c r="DK49" s="58">
        <f t="shared" si="37"/>
        <v>1</v>
      </c>
      <c r="DL49" s="56">
        <f>Participantes!CA48</f>
        <v>2</v>
      </c>
      <c r="DM49" s="56">
        <f>Participantes!CB48</f>
        <v>0</v>
      </c>
      <c r="DN49" s="58">
        <f t="shared" si="38"/>
        <v>0</v>
      </c>
      <c r="DO49" s="56">
        <f>Participantes!CC48</f>
        <v>0</v>
      </c>
      <c r="DP49" s="56">
        <f>Participantes!CD48</f>
        <v>1</v>
      </c>
      <c r="DQ49" s="58">
        <f t="shared" si="39"/>
        <v>1</v>
      </c>
      <c r="DR49" s="56">
        <f>Participantes!CE48</f>
        <v>3</v>
      </c>
      <c r="DS49" s="56">
        <f>Participantes!CF48</f>
        <v>0</v>
      </c>
      <c r="DT49" s="58">
        <f t="shared" si="40"/>
        <v>1</v>
      </c>
      <c r="DU49" s="56">
        <f>Participantes!CG48</f>
        <v>2</v>
      </c>
      <c r="DV49" s="56">
        <f>Participantes!CH48</f>
        <v>0</v>
      </c>
      <c r="DW49" s="58">
        <f t="shared" si="41"/>
        <v>1</v>
      </c>
      <c r="DX49" s="56">
        <f>Participantes!CI48</f>
        <v>3</v>
      </c>
      <c r="DY49" s="56">
        <f>Participantes!CJ48</f>
        <v>0</v>
      </c>
      <c r="DZ49" s="58">
        <f t="shared" si="42"/>
        <v>1</v>
      </c>
      <c r="EA49" s="56">
        <f>Participantes!CK48</f>
        <v>0</v>
      </c>
      <c r="EB49" s="56">
        <f>Participantes!CL48</f>
        <v>2</v>
      </c>
      <c r="EC49" s="58">
        <f t="shared" si="43"/>
        <v>1</v>
      </c>
      <c r="ED49" s="56">
        <f>Participantes!CM48</f>
        <v>3</v>
      </c>
      <c r="EE49" s="56">
        <f>Participantes!CN48</f>
        <v>1</v>
      </c>
      <c r="EF49" s="58">
        <f t="shared" si="44"/>
        <v>0</v>
      </c>
      <c r="EG49" s="56">
        <f>Participantes!CO48</f>
        <v>1</v>
      </c>
      <c r="EH49" s="56">
        <f>Participantes!CP48</f>
        <v>1</v>
      </c>
      <c r="EI49" s="58">
        <f t="shared" si="45"/>
        <v>0</v>
      </c>
      <c r="EJ49" s="56">
        <f>Participantes!CQ48</f>
        <v>3</v>
      </c>
      <c r="EK49" s="56">
        <f>Participantes!CR48</f>
        <v>0</v>
      </c>
      <c r="EL49" s="58">
        <f t="shared" si="46"/>
        <v>1</v>
      </c>
      <c r="EM49" s="56">
        <f>Participantes!CS48</f>
        <v>2</v>
      </c>
      <c r="EN49" s="56">
        <f>Participantes!CT48</f>
        <v>0</v>
      </c>
      <c r="EO49" s="58">
        <f t="shared" si="47"/>
        <v>1</v>
      </c>
      <c r="EP49" s="56">
        <f>Participantes!CU48</f>
        <v>1</v>
      </c>
      <c r="EQ49" s="56">
        <f>Participantes!CV48</f>
        <v>2</v>
      </c>
      <c r="ER49" s="58">
        <f t="shared" si="48"/>
        <v>1</v>
      </c>
      <c r="ES49" s="56">
        <f>Participantes!CW48</f>
        <v>2</v>
      </c>
      <c r="ET49" s="56">
        <f>Participantes!CX48</f>
        <v>0</v>
      </c>
      <c r="EU49" s="58">
        <f t="shared" si="49"/>
        <v>1</v>
      </c>
      <c r="EV49" s="56">
        <f>Participantes!CY48</f>
        <v>1</v>
      </c>
      <c r="EW49" s="56">
        <f>Participantes!CZ48</f>
        <v>1</v>
      </c>
      <c r="EX49" s="58">
        <f t="shared" si="50"/>
        <v>0</v>
      </c>
      <c r="EY49" s="56">
        <f>Participantes!DA48</f>
        <v>1</v>
      </c>
      <c r="EZ49" s="56">
        <f>Participantes!DB48</f>
        <v>1</v>
      </c>
      <c r="FA49" s="58">
        <f t="shared" si="51"/>
        <v>0</v>
      </c>
      <c r="FB49" s="56">
        <f>Participantes!DC48</f>
        <v>1</v>
      </c>
      <c r="FC49" s="56">
        <f>Participantes!DD48</f>
        <v>2</v>
      </c>
      <c r="FD49" s="58">
        <f t="shared" si="52"/>
        <v>1</v>
      </c>
      <c r="FE49" s="56">
        <f>Participantes!DE48</f>
        <v>1</v>
      </c>
      <c r="FF49" s="56">
        <f>Participantes!DF48</f>
        <v>1</v>
      </c>
      <c r="FG49" s="58">
        <f t="shared" si="53"/>
        <v>0</v>
      </c>
      <c r="FH49" s="56">
        <f>Participantes!DG48</f>
        <v>0</v>
      </c>
      <c r="FI49" s="56">
        <f>Participantes!DH48</f>
        <v>1</v>
      </c>
      <c r="FJ49" s="58">
        <f t="shared" si="54"/>
        <v>1</v>
      </c>
      <c r="FK49" s="56">
        <f>Participantes!DI48</f>
        <v>1</v>
      </c>
      <c r="FL49" s="56">
        <f>Participantes!DJ48</f>
        <v>2</v>
      </c>
      <c r="FM49" s="58">
        <f t="shared" si="55"/>
        <v>0</v>
      </c>
      <c r="FN49" s="56">
        <f>Participantes!DK48</f>
        <v>1</v>
      </c>
      <c r="FO49" s="56">
        <f>Participantes!DL48</f>
        <v>1</v>
      </c>
      <c r="FP49" s="58">
        <f t="shared" si="56"/>
        <v>3</v>
      </c>
      <c r="FQ49" s="56">
        <f>Participantes!DM48</f>
        <v>0</v>
      </c>
      <c r="FR49" s="56">
        <f>Participantes!DN48</f>
        <v>2</v>
      </c>
      <c r="FS49" s="58">
        <f t="shared" si="57"/>
        <v>1</v>
      </c>
      <c r="FT49" s="56">
        <f>Participantes!DO48</f>
        <v>1</v>
      </c>
      <c r="FU49" s="56">
        <f>Participantes!DP48</f>
        <v>1</v>
      </c>
      <c r="FV49" s="58">
        <f t="shared" si="58"/>
        <v>0</v>
      </c>
      <c r="FW49" s="56">
        <f>Participantes!DQ48</f>
        <v>1</v>
      </c>
      <c r="FX49" s="56">
        <f>Participantes!DR48</f>
        <v>2</v>
      </c>
      <c r="FY49" s="58">
        <f t="shared" si="59"/>
        <v>0</v>
      </c>
      <c r="FZ49" s="56">
        <f>Participantes!DS48</f>
        <v>1</v>
      </c>
      <c r="GA49" s="56">
        <f>Participantes!DT48</f>
        <v>2</v>
      </c>
      <c r="GB49" s="58">
        <f t="shared" si="60"/>
        <v>1</v>
      </c>
      <c r="GC49" s="56">
        <f>Participantes!DU48</f>
        <v>2</v>
      </c>
      <c r="GD49" s="56">
        <f>Participantes!DV48</f>
        <v>0</v>
      </c>
      <c r="GE49" s="58">
        <f t="shared" si="61"/>
        <v>1</v>
      </c>
      <c r="GF49" s="56">
        <f>Participantes!DW48</f>
        <v>1</v>
      </c>
      <c r="GG49" s="56">
        <f>Participantes!DX48</f>
        <v>1</v>
      </c>
      <c r="GH49" s="58">
        <f t="shared" si="62"/>
        <v>3</v>
      </c>
      <c r="GI49" s="56">
        <f>Participantes!DY48</f>
        <v>0</v>
      </c>
      <c r="GJ49" s="56">
        <f>Participantes!DZ48</f>
        <v>2</v>
      </c>
      <c r="GK49" s="58">
        <f t="shared" si="63"/>
        <v>1</v>
      </c>
      <c r="GL49" s="56">
        <f>Participantes!EA48</f>
        <v>1</v>
      </c>
      <c r="GM49" s="56">
        <f>Participantes!EB48</f>
        <v>0</v>
      </c>
      <c r="GN49" s="58">
        <f t="shared" si="64"/>
        <v>0</v>
      </c>
      <c r="GO49" s="56">
        <f>Participantes!EC48</f>
        <v>1</v>
      </c>
      <c r="GP49" s="56">
        <f>Participantes!ED48</f>
        <v>1</v>
      </c>
      <c r="GQ49" s="58">
        <f t="shared" si="65"/>
        <v>0</v>
      </c>
      <c r="GR49" s="56">
        <f>Participantes!EE48</f>
        <v>0</v>
      </c>
      <c r="GS49" s="56">
        <f>Participantes!EF48</f>
        <v>2</v>
      </c>
      <c r="GT49" s="58" t="str">
        <f t="shared" si="66"/>
        <v/>
      </c>
      <c r="GU49" s="56">
        <f>Participantes!EG48</f>
        <v>2</v>
      </c>
      <c r="GV49" s="56">
        <f>Participantes!EH48</f>
        <v>1</v>
      </c>
      <c r="GW49" s="58" t="str">
        <f t="shared" si="67"/>
        <v/>
      </c>
      <c r="GX49" s="56">
        <f>Participantes!EI48</f>
        <v>0</v>
      </c>
      <c r="GY49" s="56">
        <f>Participantes!EJ48</f>
        <v>2</v>
      </c>
      <c r="GZ49" s="58" t="str">
        <f t="shared" si="68"/>
        <v/>
      </c>
      <c r="HA49" s="56">
        <f>Participantes!EK48</f>
        <v>0</v>
      </c>
      <c r="HB49" s="56">
        <f>Participantes!EL48</f>
        <v>3</v>
      </c>
      <c r="HC49" s="58" t="str">
        <f t="shared" si="69"/>
        <v/>
      </c>
      <c r="HD49" s="56">
        <f>Participantes!EM48</f>
        <v>1</v>
      </c>
      <c r="HE49" s="56">
        <f>Participantes!EN48</f>
        <v>1</v>
      </c>
      <c r="HF49" s="58" t="str">
        <f t="shared" si="70"/>
        <v/>
      </c>
      <c r="HG49" s="56">
        <f>Participantes!EO48</f>
        <v>1</v>
      </c>
      <c r="HH49" s="56">
        <f>Participantes!EP48</f>
        <v>1</v>
      </c>
      <c r="HI49" s="58" t="str">
        <f t="shared" si="71"/>
        <v/>
      </c>
      <c r="HJ49" s="59">
        <f t="shared" si="72"/>
        <v>49</v>
      </c>
    </row>
    <row r="50" spans="1:218" ht="15" customHeight="1" x14ac:dyDescent="0.25">
      <c r="A50" s="57" t="str">
        <f>Participantes!B49</f>
        <v>Walder</v>
      </c>
      <c r="B50" s="56">
        <f>Participantes!C49</f>
        <v>3</v>
      </c>
      <c r="C50" s="56">
        <f>Participantes!D49</f>
        <v>1</v>
      </c>
      <c r="D50" s="58">
        <f t="shared" si="0"/>
        <v>1</v>
      </c>
      <c r="E50" s="56">
        <f>Participantes!E49</f>
        <v>2</v>
      </c>
      <c r="F50" s="56">
        <f>Participantes!F49</f>
        <v>2</v>
      </c>
      <c r="G50" s="58">
        <f t="shared" si="1"/>
        <v>0</v>
      </c>
      <c r="H50" s="56">
        <f>Participantes!G49</f>
        <v>1</v>
      </c>
      <c r="I50" s="56">
        <f>Participantes!H49</f>
        <v>2</v>
      </c>
      <c r="J50" s="58">
        <f t="shared" si="2"/>
        <v>0</v>
      </c>
      <c r="K50" s="56">
        <f>Participantes!I49</f>
        <v>1</v>
      </c>
      <c r="L50" s="56">
        <f>Participantes!J49</f>
        <v>0</v>
      </c>
      <c r="M50" s="58">
        <f t="shared" si="3"/>
        <v>1</v>
      </c>
      <c r="N50" s="56">
        <f>Participantes!K49</f>
        <v>0</v>
      </c>
      <c r="O50" s="56">
        <f>Participantes!L49</f>
        <v>1</v>
      </c>
      <c r="P50" s="58">
        <f t="shared" si="4"/>
        <v>3</v>
      </c>
      <c r="Q50" s="56">
        <f>Participantes!M49</f>
        <v>1</v>
      </c>
      <c r="R50" s="56">
        <f>Participantes!N49</f>
        <v>2</v>
      </c>
      <c r="S50" s="58">
        <f t="shared" si="5"/>
        <v>0</v>
      </c>
      <c r="T50" s="56">
        <f>Participantes!O49</f>
        <v>2</v>
      </c>
      <c r="U50" s="56">
        <f>Participantes!P49</f>
        <v>2</v>
      </c>
      <c r="V50" s="58">
        <f t="shared" si="6"/>
        <v>1</v>
      </c>
      <c r="W50" s="56">
        <f>Participantes!Q49</f>
        <v>0</v>
      </c>
      <c r="X50" s="56">
        <f>Participantes!R49</f>
        <v>3</v>
      </c>
      <c r="Y50" s="58">
        <f t="shared" si="7"/>
        <v>0</v>
      </c>
      <c r="Z50" s="56">
        <f>Participantes!S49</f>
        <v>1</v>
      </c>
      <c r="AA50" s="56">
        <f>Participantes!T49</f>
        <v>1</v>
      </c>
      <c r="AB50" s="58">
        <f t="shared" si="8"/>
        <v>0</v>
      </c>
      <c r="AC50" s="56">
        <f>Participantes!U49</f>
        <v>4</v>
      </c>
      <c r="AD50" s="56">
        <f>Participantes!V49</f>
        <v>0</v>
      </c>
      <c r="AE50" s="58">
        <f t="shared" si="9"/>
        <v>1</v>
      </c>
      <c r="AF50" s="56">
        <f>Participantes!W49</f>
        <v>2</v>
      </c>
      <c r="AG50" s="56">
        <f>Participantes!X49</f>
        <v>1</v>
      </c>
      <c r="AH50" s="58">
        <f t="shared" si="10"/>
        <v>0</v>
      </c>
      <c r="AI50" s="56">
        <f>Participantes!Y49</f>
        <v>3</v>
      </c>
      <c r="AJ50" s="56">
        <f>Participantes!Z49</f>
        <v>1</v>
      </c>
      <c r="AK50" s="58">
        <f t="shared" si="11"/>
        <v>1</v>
      </c>
      <c r="AL50" s="56">
        <f>Participantes!AA49</f>
        <v>0</v>
      </c>
      <c r="AM50" s="56">
        <f>Participantes!AB49</f>
        <v>3</v>
      </c>
      <c r="AN50" s="58">
        <f t="shared" si="12"/>
        <v>0</v>
      </c>
      <c r="AO50" s="56">
        <f>Participantes!AC49</f>
        <v>8</v>
      </c>
      <c r="AP50" s="56">
        <f>Participantes!AD49</f>
        <v>0</v>
      </c>
      <c r="AQ50" s="58">
        <f t="shared" si="13"/>
        <v>0</v>
      </c>
      <c r="AR50" s="56">
        <f>Participantes!AE49</f>
        <v>2</v>
      </c>
      <c r="AS50" s="56">
        <f>Participantes!AF49</f>
        <v>0</v>
      </c>
      <c r="AT50" s="58">
        <f t="shared" si="14"/>
        <v>0</v>
      </c>
      <c r="AU50" s="56">
        <f>Participantes!AG49</f>
        <v>2</v>
      </c>
      <c r="AV50" s="56">
        <f>Participantes!AH49</f>
        <v>1</v>
      </c>
      <c r="AW50" s="58">
        <f t="shared" si="15"/>
        <v>0</v>
      </c>
      <c r="AX50" s="56">
        <f>Participantes!AI49</f>
        <v>2</v>
      </c>
      <c r="AY50" s="56">
        <f>Participantes!AJ49</f>
        <v>0</v>
      </c>
      <c r="AZ50" s="58">
        <f t="shared" si="16"/>
        <v>1</v>
      </c>
      <c r="BA50" s="56">
        <f>Participantes!AK49</f>
        <v>0</v>
      </c>
      <c r="BB50" s="56">
        <f>Participantes!AL49</f>
        <v>4</v>
      </c>
      <c r="BC50" s="58">
        <f t="shared" si="17"/>
        <v>1</v>
      </c>
      <c r="BD50" s="56">
        <f>Participantes!AM49</f>
        <v>3</v>
      </c>
      <c r="BE50" s="56">
        <f>Participantes!AN49</f>
        <v>0</v>
      </c>
      <c r="BF50" s="58">
        <f t="shared" si="18"/>
        <v>3</v>
      </c>
      <c r="BG50" s="56">
        <f>Participantes!AO49</f>
        <v>2</v>
      </c>
      <c r="BH50" s="56">
        <f>Participantes!AP49</f>
        <v>0</v>
      </c>
      <c r="BI50" s="58">
        <f t="shared" si="19"/>
        <v>1</v>
      </c>
      <c r="BJ50" s="56">
        <f>Participantes!AQ49</f>
        <v>1</v>
      </c>
      <c r="BK50" s="56">
        <f>Participantes!AR49</f>
        <v>1</v>
      </c>
      <c r="BL50" s="58">
        <f t="shared" si="20"/>
        <v>0</v>
      </c>
      <c r="BM50" s="56">
        <f>Participantes!AS49</f>
        <v>2</v>
      </c>
      <c r="BN50" s="56">
        <f>Participantes!AT49</f>
        <v>1</v>
      </c>
      <c r="BO50" s="58">
        <f t="shared" si="21"/>
        <v>1</v>
      </c>
      <c r="BP50" s="56">
        <f>Participantes!AU49</f>
        <v>3</v>
      </c>
      <c r="BQ50" s="56">
        <f>Participantes!AV49</f>
        <v>0</v>
      </c>
      <c r="BR50" s="58">
        <f t="shared" si="22"/>
        <v>0</v>
      </c>
      <c r="BS50" s="56">
        <f>Participantes!AW49</f>
        <v>1</v>
      </c>
      <c r="BT50" s="56">
        <f>Participantes!AX49</f>
        <v>2</v>
      </c>
      <c r="BU50" s="58">
        <f t="shared" si="23"/>
        <v>1</v>
      </c>
      <c r="BV50" s="56">
        <f>Participantes!AY49</f>
        <v>2</v>
      </c>
      <c r="BW50" s="56">
        <f>Participantes!AZ49</f>
        <v>1</v>
      </c>
      <c r="BX50" s="58">
        <f t="shared" si="24"/>
        <v>0</v>
      </c>
      <c r="BY50" s="56">
        <f>Participantes!BA49</f>
        <v>2</v>
      </c>
      <c r="BZ50" s="56">
        <f>Participantes!BB49</f>
        <v>0</v>
      </c>
      <c r="CA50" s="58">
        <f t="shared" si="25"/>
        <v>1</v>
      </c>
      <c r="CB50" s="56">
        <f>Participantes!BC49</f>
        <v>1</v>
      </c>
      <c r="CC50" s="56">
        <f>Participantes!BD49</f>
        <v>0</v>
      </c>
      <c r="CD50" s="58">
        <f t="shared" si="26"/>
        <v>1</v>
      </c>
      <c r="CE50" s="56">
        <f>Participantes!BE49</f>
        <v>0</v>
      </c>
      <c r="CF50" s="56">
        <f>Participantes!BF49</f>
        <v>2</v>
      </c>
      <c r="CG50" s="58">
        <f t="shared" si="27"/>
        <v>0</v>
      </c>
      <c r="CH50" s="56">
        <f>Participantes!BG49</f>
        <v>4</v>
      </c>
      <c r="CI50" s="56">
        <f>Participantes!BH49</f>
        <v>0</v>
      </c>
      <c r="CJ50" s="58">
        <f t="shared" si="28"/>
        <v>1</v>
      </c>
      <c r="CK50" s="56">
        <f>Participantes!BI49</f>
        <v>0</v>
      </c>
      <c r="CL50" s="56">
        <f>Participantes!BJ49</f>
        <v>2</v>
      </c>
      <c r="CM50" s="58">
        <f t="shared" si="29"/>
        <v>1</v>
      </c>
      <c r="CN50" s="56">
        <f>Participantes!BK49</f>
        <v>1</v>
      </c>
      <c r="CO50" s="56">
        <f>Participantes!BL49</f>
        <v>1</v>
      </c>
      <c r="CP50" s="58">
        <f t="shared" si="30"/>
        <v>0</v>
      </c>
      <c r="CQ50" s="56">
        <f>Participantes!BM49</f>
        <v>3</v>
      </c>
      <c r="CR50" s="56">
        <f>Participantes!BN49</f>
        <v>0</v>
      </c>
      <c r="CS50" s="58">
        <f t="shared" si="31"/>
        <v>1</v>
      </c>
      <c r="CT50" s="56">
        <f>Participantes!BO49</f>
        <v>4</v>
      </c>
      <c r="CU50" s="56">
        <f>Participantes!BP49</f>
        <v>2</v>
      </c>
      <c r="CV50" s="58">
        <f t="shared" si="32"/>
        <v>1</v>
      </c>
      <c r="CW50" s="56">
        <f>Participantes!BQ49</f>
        <v>4</v>
      </c>
      <c r="CX50" s="56">
        <f>Participantes!BR49</f>
        <v>0</v>
      </c>
      <c r="CY50" s="58">
        <f t="shared" si="33"/>
        <v>0</v>
      </c>
      <c r="CZ50" s="56">
        <f>Participantes!BS49</f>
        <v>1</v>
      </c>
      <c r="DA50" s="56">
        <f>Participantes!BT49</f>
        <v>1</v>
      </c>
      <c r="DB50" s="58">
        <f t="shared" si="34"/>
        <v>0</v>
      </c>
      <c r="DC50" s="56">
        <f>Participantes!BU49</f>
        <v>0</v>
      </c>
      <c r="DD50" s="56">
        <f>Participantes!BV49</f>
        <v>2</v>
      </c>
      <c r="DE50" s="58">
        <f t="shared" si="35"/>
        <v>1</v>
      </c>
      <c r="DF50" s="56">
        <f>Participantes!BW49</f>
        <v>6</v>
      </c>
      <c r="DG50" s="56">
        <f>Participantes!BX49</f>
        <v>0</v>
      </c>
      <c r="DH50" s="58">
        <f t="shared" si="36"/>
        <v>0</v>
      </c>
      <c r="DI50" s="56">
        <f>Participantes!BY49</f>
        <v>4</v>
      </c>
      <c r="DJ50" s="56">
        <f>Participantes!BZ49</f>
        <v>0</v>
      </c>
      <c r="DK50" s="58">
        <f t="shared" si="37"/>
        <v>3</v>
      </c>
      <c r="DL50" s="56">
        <f>Participantes!CA49</f>
        <v>3</v>
      </c>
      <c r="DM50" s="56">
        <f>Participantes!CB49</f>
        <v>0</v>
      </c>
      <c r="DN50" s="58">
        <f t="shared" si="38"/>
        <v>0</v>
      </c>
      <c r="DO50" s="56">
        <f>Participantes!CC49</f>
        <v>0</v>
      </c>
      <c r="DP50" s="56">
        <f>Participantes!CD49</f>
        <v>2</v>
      </c>
      <c r="DQ50" s="58">
        <f t="shared" si="39"/>
        <v>1</v>
      </c>
      <c r="DR50" s="56">
        <f>Participantes!CE49</f>
        <v>3</v>
      </c>
      <c r="DS50" s="56">
        <f>Participantes!CF49</f>
        <v>1</v>
      </c>
      <c r="DT50" s="58">
        <f t="shared" si="40"/>
        <v>1</v>
      </c>
      <c r="DU50" s="56">
        <f>Participantes!CG49</f>
        <v>5</v>
      </c>
      <c r="DV50" s="56">
        <f>Participantes!CH49</f>
        <v>2</v>
      </c>
      <c r="DW50" s="58">
        <f t="shared" si="41"/>
        <v>1</v>
      </c>
      <c r="DX50" s="56">
        <f>Participantes!CI49</f>
        <v>4</v>
      </c>
      <c r="DY50" s="56">
        <f>Participantes!CJ49</f>
        <v>1</v>
      </c>
      <c r="DZ50" s="58">
        <f t="shared" si="42"/>
        <v>1</v>
      </c>
      <c r="EA50" s="56">
        <f>Participantes!CK49</f>
        <v>0</v>
      </c>
      <c r="EB50" s="56">
        <f>Participantes!CL49</f>
        <v>3</v>
      </c>
      <c r="EC50" s="58">
        <f t="shared" si="43"/>
        <v>1</v>
      </c>
      <c r="ED50" s="56">
        <f>Participantes!CM49</f>
        <v>3</v>
      </c>
      <c r="EE50" s="56">
        <f>Participantes!CN49</f>
        <v>1</v>
      </c>
      <c r="EF50" s="58">
        <f t="shared" si="44"/>
        <v>0</v>
      </c>
      <c r="EG50" s="56">
        <f>Participantes!CO49</f>
        <v>1</v>
      </c>
      <c r="EH50" s="56">
        <f>Participantes!CP49</f>
        <v>1</v>
      </c>
      <c r="EI50" s="58">
        <f t="shared" si="45"/>
        <v>0</v>
      </c>
      <c r="EJ50" s="56">
        <f>Participantes!CQ49</f>
        <v>5</v>
      </c>
      <c r="EK50" s="56">
        <f>Participantes!CR49</f>
        <v>1</v>
      </c>
      <c r="EL50" s="58">
        <f t="shared" si="46"/>
        <v>1</v>
      </c>
      <c r="EM50" s="56">
        <f>Participantes!CS49</f>
        <v>4</v>
      </c>
      <c r="EN50" s="56">
        <f>Participantes!CT49</f>
        <v>1</v>
      </c>
      <c r="EO50" s="58">
        <f t="shared" si="47"/>
        <v>1</v>
      </c>
      <c r="EP50" s="56">
        <f>Participantes!CU49</f>
        <v>0</v>
      </c>
      <c r="EQ50" s="56">
        <f>Participantes!CV49</f>
        <v>3</v>
      </c>
      <c r="ER50" s="58">
        <f t="shared" si="48"/>
        <v>3</v>
      </c>
      <c r="ES50" s="56">
        <f>Participantes!CW49</f>
        <v>3</v>
      </c>
      <c r="ET50" s="56">
        <f>Participantes!CX49</f>
        <v>0</v>
      </c>
      <c r="EU50" s="58">
        <f t="shared" si="49"/>
        <v>1</v>
      </c>
      <c r="EV50" s="56">
        <f>Participantes!CY49</f>
        <v>4</v>
      </c>
      <c r="EW50" s="56">
        <f>Participantes!CZ49</f>
        <v>1</v>
      </c>
      <c r="EX50" s="58">
        <f t="shared" si="50"/>
        <v>1</v>
      </c>
      <c r="EY50" s="56">
        <f>Participantes!DA49</f>
        <v>2</v>
      </c>
      <c r="EZ50" s="56">
        <f>Participantes!DB49</f>
        <v>2</v>
      </c>
      <c r="FA50" s="58">
        <f t="shared" si="51"/>
        <v>0</v>
      </c>
      <c r="FB50" s="56">
        <f>Participantes!DC49</f>
        <v>1</v>
      </c>
      <c r="FC50" s="56">
        <f>Participantes!DD49</f>
        <v>3</v>
      </c>
      <c r="FD50" s="58">
        <f t="shared" si="52"/>
        <v>1</v>
      </c>
      <c r="FE50" s="56">
        <f>Participantes!DE49</f>
        <v>0</v>
      </c>
      <c r="FF50" s="56">
        <f>Participantes!DF49</f>
        <v>4</v>
      </c>
      <c r="FG50" s="58">
        <f t="shared" si="53"/>
        <v>0</v>
      </c>
      <c r="FH50" s="56">
        <f>Participantes!DG49</f>
        <v>0</v>
      </c>
      <c r="FI50" s="56">
        <f>Participantes!DH49</f>
        <v>3</v>
      </c>
      <c r="FJ50" s="58">
        <f t="shared" si="54"/>
        <v>1</v>
      </c>
      <c r="FK50" s="56">
        <f>Participantes!DI49</f>
        <v>1</v>
      </c>
      <c r="FL50" s="56">
        <f>Participantes!DJ49</f>
        <v>3</v>
      </c>
      <c r="FM50" s="58">
        <f t="shared" si="55"/>
        <v>0</v>
      </c>
      <c r="FN50" s="56">
        <f>Participantes!DK49</f>
        <v>2</v>
      </c>
      <c r="FO50" s="56">
        <f>Participantes!DL49</f>
        <v>2</v>
      </c>
      <c r="FP50" s="58">
        <f t="shared" si="56"/>
        <v>1</v>
      </c>
      <c r="FQ50" s="56">
        <f>Participantes!DM49</f>
        <v>1</v>
      </c>
      <c r="FR50" s="56">
        <f>Participantes!DN49</f>
        <v>4</v>
      </c>
      <c r="FS50" s="58">
        <f t="shared" si="57"/>
        <v>1</v>
      </c>
      <c r="FT50" s="56">
        <f>Participantes!DO49</f>
        <v>2</v>
      </c>
      <c r="FU50" s="56">
        <f>Participantes!DP49</f>
        <v>2</v>
      </c>
      <c r="FV50" s="58">
        <f t="shared" si="58"/>
        <v>0</v>
      </c>
      <c r="FW50" s="56">
        <f>Participantes!DQ49</f>
        <v>1</v>
      </c>
      <c r="FX50" s="56">
        <f>Participantes!DR49</f>
        <v>0</v>
      </c>
      <c r="FY50" s="58">
        <f t="shared" si="59"/>
        <v>0</v>
      </c>
      <c r="FZ50" s="56">
        <f>Participantes!DS49</f>
        <v>2</v>
      </c>
      <c r="GA50" s="56">
        <f>Participantes!DT49</f>
        <v>2</v>
      </c>
      <c r="GB50" s="58">
        <f t="shared" si="60"/>
        <v>0</v>
      </c>
      <c r="GC50" s="56">
        <f>Participantes!DU49</f>
        <v>3</v>
      </c>
      <c r="GD50" s="56">
        <f>Participantes!DV49</f>
        <v>1</v>
      </c>
      <c r="GE50" s="58">
        <f t="shared" si="61"/>
        <v>1</v>
      </c>
      <c r="GF50" s="56">
        <f>Participantes!DW49</f>
        <v>4</v>
      </c>
      <c r="GG50" s="56">
        <f>Participantes!DX49</f>
        <v>2</v>
      </c>
      <c r="GH50" s="58">
        <f t="shared" si="62"/>
        <v>0</v>
      </c>
      <c r="GI50" s="56">
        <f>Participantes!DY49</f>
        <v>0</v>
      </c>
      <c r="GJ50" s="56">
        <f>Participantes!DZ49</f>
        <v>5</v>
      </c>
      <c r="GK50" s="58">
        <f t="shared" si="63"/>
        <v>1</v>
      </c>
      <c r="GL50" s="56">
        <f>Participantes!EA49</f>
        <v>1</v>
      </c>
      <c r="GM50" s="56">
        <f>Participantes!EB49</f>
        <v>3</v>
      </c>
      <c r="GN50" s="58">
        <f t="shared" si="64"/>
        <v>0</v>
      </c>
      <c r="GO50" s="56">
        <f>Participantes!EC49</f>
        <v>2</v>
      </c>
      <c r="GP50" s="56">
        <f>Participantes!ED49</f>
        <v>4</v>
      </c>
      <c r="GQ50" s="58">
        <f t="shared" si="65"/>
        <v>1</v>
      </c>
      <c r="GR50" s="56">
        <f>Participantes!EE49</f>
        <v>1</v>
      </c>
      <c r="GS50" s="56">
        <f>Participantes!EF49</f>
        <v>1</v>
      </c>
      <c r="GT50" s="58" t="str">
        <f t="shared" si="66"/>
        <v/>
      </c>
      <c r="GU50" s="56">
        <f>Participantes!EG49</f>
        <v>3</v>
      </c>
      <c r="GV50" s="56">
        <f>Participantes!EH49</f>
        <v>2</v>
      </c>
      <c r="GW50" s="58" t="str">
        <f t="shared" si="67"/>
        <v/>
      </c>
      <c r="GX50" s="56">
        <f>Participantes!EI49</f>
        <v>1</v>
      </c>
      <c r="GY50" s="56">
        <f>Participantes!EJ49</f>
        <v>1</v>
      </c>
      <c r="GZ50" s="58" t="str">
        <f t="shared" si="68"/>
        <v/>
      </c>
      <c r="HA50" s="56">
        <f>Participantes!EK49</f>
        <v>0</v>
      </c>
      <c r="HB50" s="56">
        <f>Participantes!EL49</f>
        <v>5</v>
      </c>
      <c r="HC50" s="58" t="str">
        <f t="shared" si="69"/>
        <v/>
      </c>
      <c r="HD50" s="56">
        <f>Participantes!EM49</f>
        <v>3</v>
      </c>
      <c r="HE50" s="56">
        <f>Participantes!EN49</f>
        <v>3</v>
      </c>
      <c r="HF50" s="58" t="str">
        <f t="shared" si="70"/>
        <v/>
      </c>
      <c r="HG50" s="56">
        <f>Participantes!EO49</f>
        <v>1</v>
      </c>
      <c r="HH50" s="56">
        <f>Participantes!EP49</f>
        <v>2</v>
      </c>
      <c r="HI50" s="58" t="str">
        <f t="shared" si="71"/>
        <v/>
      </c>
      <c r="HJ50" s="59">
        <f t="shared" si="72"/>
        <v>45</v>
      </c>
    </row>
    <row r="51" spans="1:218" ht="15" customHeight="1" x14ac:dyDescent="0.25">
      <c r="A51" s="57" t="str">
        <f>Participantes!B50</f>
        <v>Waldo</v>
      </c>
      <c r="B51" s="56">
        <f>Participantes!C50</f>
        <v>2</v>
      </c>
      <c r="C51" s="56">
        <f>Participantes!D50</f>
        <v>0</v>
      </c>
      <c r="D51" s="58">
        <f t="shared" si="0"/>
        <v>3</v>
      </c>
      <c r="E51" s="56">
        <f>Participantes!E50</f>
        <v>1</v>
      </c>
      <c r="F51" s="56">
        <f>Participantes!F50</f>
        <v>1</v>
      </c>
      <c r="G51" s="58">
        <f t="shared" si="1"/>
        <v>0</v>
      </c>
      <c r="H51" s="56">
        <f>Participantes!G50</f>
        <v>2</v>
      </c>
      <c r="I51" s="56">
        <f>Participantes!H50</f>
        <v>1</v>
      </c>
      <c r="J51" s="58">
        <f t="shared" si="2"/>
        <v>0</v>
      </c>
      <c r="K51" s="56">
        <f>Participantes!I50</f>
        <v>1</v>
      </c>
      <c r="L51" s="56">
        <f>Participantes!J50</f>
        <v>1</v>
      </c>
      <c r="M51" s="58">
        <f t="shared" si="3"/>
        <v>0</v>
      </c>
      <c r="N51" s="56">
        <f>Participantes!K50</f>
        <v>1</v>
      </c>
      <c r="O51" s="56">
        <f>Participantes!L50</f>
        <v>2</v>
      </c>
      <c r="P51" s="58">
        <f t="shared" si="4"/>
        <v>1</v>
      </c>
      <c r="Q51" s="56">
        <f>Participantes!M50</f>
        <v>1</v>
      </c>
      <c r="R51" s="56">
        <f>Participantes!N50</f>
        <v>2</v>
      </c>
      <c r="S51" s="58">
        <f t="shared" si="5"/>
        <v>0</v>
      </c>
      <c r="T51" s="56">
        <f>Participantes!O50</f>
        <v>1</v>
      </c>
      <c r="U51" s="56">
        <f>Participantes!P50</f>
        <v>2</v>
      </c>
      <c r="V51" s="58">
        <f t="shared" si="6"/>
        <v>0</v>
      </c>
      <c r="W51" s="56">
        <f>Participantes!Q50</f>
        <v>0</v>
      </c>
      <c r="X51" s="56">
        <f>Participantes!R50</f>
        <v>3</v>
      </c>
      <c r="Y51" s="58">
        <f t="shared" si="7"/>
        <v>0</v>
      </c>
      <c r="Z51" s="56">
        <f>Participantes!S50</f>
        <v>2</v>
      </c>
      <c r="AA51" s="56">
        <f>Participantes!T50</f>
        <v>1</v>
      </c>
      <c r="AB51" s="58">
        <f t="shared" si="8"/>
        <v>1</v>
      </c>
      <c r="AC51" s="56">
        <f>Participantes!U50</f>
        <v>4</v>
      </c>
      <c r="AD51" s="56">
        <f>Participantes!V50</f>
        <v>0</v>
      </c>
      <c r="AE51" s="58">
        <f t="shared" si="9"/>
        <v>1</v>
      </c>
      <c r="AF51" s="56">
        <f>Participantes!W50</f>
        <v>2</v>
      </c>
      <c r="AG51" s="56">
        <f>Participantes!X50</f>
        <v>2</v>
      </c>
      <c r="AH51" s="58">
        <f t="shared" si="10"/>
        <v>3</v>
      </c>
      <c r="AI51" s="56">
        <f>Participantes!Y50</f>
        <v>2</v>
      </c>
      <c r="AJ51" s="56">
        <f>Participantes!Z50</f>
        <v>1</v>
      </c>
      <c r="AK51" s="58">
        <f t="shared" si="11"/>
        <v>1</v>
      </c>
      <c r="AL51" s="56">
        <f>Participantes!AA50</f>
        <v>0</v>
      </c>
      <c r="AM51" s="56">
        <f>Participantes!AB50</f>
        <v>2</v>
      </c>
      <c r="AN51" s="58">
        <f t="shared" si="12"/>
        <v>0</v>
      </c>
      <c r="AO51" s="56">
        <f>Participantes!AC50</f>
        <v>3</v>
      </c>
      <c r="AP51" s="56">
        <f>Participantes!AD50</f>
        <v>0</v>
      </c>
      <c r="AQ51" s="58">
        <f t="shared" si="13"/>
        <v>0</v>
      </c>
      <c r="AR51" s="56">
        <f>Participantes!AE50</f>
        <v>2</v>
      </c>
      <c r="AS51" s="56">
        <f>Participantes!AF50</f>
        <v>0</v>
      </c>
      <c r="AT51" s="58">
        <f t="shared" si="14"/>
        <v>0</v>
      </c>
      <c r="AU51" s="56">
        <f>Participantes!AG50</f>
        <v>3</v>
      </c>
      <c r="AV51" s="56">
        <f>Participantes!AH50</f>
        <v>2</v>
      </c>
      <c r="AW51" s="58">
        <f t="shared" si="15"/>
        <v>0</v>
      </c>
      <c r="AX51" s="56">
        <f>Participantes!AI50</f>
        <v>2</v>
      </c>
      <c r="AY51" s="56">
        <f>Participantes!AJ50</f>
        <v>1</v>
      </c>
      <c r="AZ51" s="58">
        <f t="shared" si="16"/>
        <v>1</v>
      </c>
      <c r="BA51" s="56">
        <f>Participantes!AK50</f>
        <v>0</v>
      </c>
      <c r="BB51" s="56">
        <f>Participantes!AL50</f>
        <v>4</v>
      </c>
      <c r="BC51" s="58">
        <f t="shared" si="17"/>
        <v>1</v>
      </c>
      <c r="BD51" s="56">
        <f>Participantes!AM50</f>
        <v>3</v>
      </c>
      <c r="BE51" s="56">
        <f>Participantes!AN50</f>
        <v>1</v>
      </c>
      <c r="BF51" s="58">
        <f t="shared" si="18"/>
        <v>1</v>
      </c>
      <c r="BG51" s="56">
        <f>Participantes!AO50</f>
        <v>3</v>
      </c>
      <c r="BH51" s="56">
        <f>Participantes!AP50</f>
        <v>0</v>
      </c>
      <c r="BI51" s="58">
        <f t="shared" si="19"/>
        <v>1</v>
      </c>
      <c r="BJ51" s="56">
        <f>Participantes!AQ50</f>
        <v>1</v>
      </c>
      <c r="BK51" s="56">
        <f>Participantes!AR50</f>
        <v>2</v>
      </c>
      <c r="BL51" s="58">
        <f t="shared" si="20"/>
        <v>0</v>
      </c>
      <c r="BM51" s="56">
        <f>Participantes!AS50</f>
        <v>1</v>
      </c>
      <c r="BN51" s="56">
        <f>Participantes!AT50</f>
        <v>1</v>
      </c>
      <c r="BO51" s="58">
        <f t="shared" si="21"/>
        <v>0</v>
      </c>
      <c r="BP51" s="56">
        <f>Participantes!AU50</f>
        <v>8</v>
      </c>
      <c r="BQ51" s="56">
        <f>Participantes!AV50</f>
        <v>0</v>
      </c>
      <c r="BR51" s="58">
        <f t="shared" si="22"/>
        <v>0</v>
      </c>
      <c r="BS51" s="56">
        <f>Participantes!AW50</f>
        <v>0</v>
      </c>
      <c r="BT51" s="56">
        <f>Participantes!AX50</f>
        <v>4</v>
      </c>
      <c r="BU51" s="58">
        <f t="shared" si="23"/>
        <v>1</v>
      </c>
      <c r="BV51" s="56">
        <f>Participantes!AY50</f>
        <v>3</v>
      </c>
      <c r="BW51" s="56">
        <f>Participantes!AZ50</f>
        <v>2</v>
      </c>
      <c r="BX51" s="58">
        <f t="shared" si="24"/>
        <v>0</v>
      </c>
      <c r="BY51" s="56">
        <f>Participantes!BA50</f>
        <v>4</v>
      </c>
      <c r="BZ51" s="56">
        <f>Participantes!BB50</f>
        <v>2</v>
      </c>
      <c r="CA51" s="58">
        <f t="shared" si="25"/>
        <v>1</v>
      </c>
      <c r="CB51" s="56">
        <f>Participantes!BC50</f>
        <v>3</v>
      </c>
      <c r="CC51" s="56">
        <f>Participantes!BD50</f>
        <v>1</v>
      </c>
      <c r="CD51" s="58">
        <f t="shared" si="26"/>
        <v>1</v>
      </c>
      <c r="CE51" s="56">
        <f>Participantes!BE50</f>
        <v>2</v>
      </c>
      <c r="CF51" s="56">
        <f>Participantes!BF50</f>
        <v>2</v>
      </c>
      <c r="CG51" s="58">
        <f t="shared" si="27"/>
        <v>0</v>
      </c>
      <c r="CH51" s="56">
        <f>Participantes!BG50</f>
        <v>3</v>
      </c>
      <c r="CI51" s="56">
        <f>Participantes!BH50</f>
        <v>0</v>
      </c>
      <c r="CJ51" s="58">
        <f t="shared" si="28"/>
        <v>3</v>
      </c>
      <c r="CK51" s="56">
        <f>Participantes!BI50</f>
        <v>1</v>
      </c>
      <c r="CL51" s="56">
        <f>Participantes!BJ50</f>
        <v>3</v>
      </c>
      <c r="CM51" s="58">
        <f t="shared" si="29"/>
        <v>1</v>
      </c>
      <c r="CN51" s="56">
        <f>Participantes!BK50</f>
        <v>2</v>
      </c>
      <c r="CO51" s="56">
        <f>Participantes!BL50</f>
        <v>1</v>
      </c>
      <c r="CP51" s="58">
        <f t="shared" si="30"/>
        <v>0</v>
      </c>
      <c r="CQ51" s="56">
        <f>Participantes!BM50</f>
        <v>2</v>
      </c>
      <c r="CR51" s="56">
        <f>Participantes!BN50</f>
        <v>1</v>
      </c>
      <c r="CS51" s="58">
        <f t="shared" si="31"/>
        <v>1</v>
      </c>
      <c r="CT51" s="56">
        <f>Participantes!BO50</f>
        <v>2</v>
      </c>
      <c r="CU51" s="56">
        <f>Participantes!BP50</f>
        <v>2</v>
      </c>
      <c r="CV51" s="58">
        <f t="shared" si="32"/>
        <v>0</v>
      </c>
      <c r="CW51" s="56">
        <f>Participantes!BQ50</f>
        <v>2</v>
      </c>
      <c r="CX51" s="56">
        <f>Participantes!BR50</f>
        <v>0</v>
      </c>
      <c r="CY51" s="58">
        <f t="shared" si="33"/>
        <v>0</v>
      </c>
      <c r="CZ51" s="56">
        <f>Participantes!BS50</f>
        <v>2</v>
      </c>
      <c r="DA51" s="56">
        <f>Participantes!BT50</f>
        <v>0</v>
      </c>
      <c r="DB51" s="58">
        <f t="shared" si="34"/>
        <v>1</v>
      </c>
      <c r="DC51" s="56">
        <f>Participantes!BU50</f>
        <v>1</v>
      </c>
      <c r="DD51" s="56">
        <f>Participantes!BV50</f>
        <v>2</v>
      </c>
      <c r="DE51" s="58">
        <f t="shared" si="35"/>
        <v>1</v>
      </c>
      <c r="DF51" s="56">
        <f>Participantes!BW50</f>
        <v>3</v>
      </c>
      <c r="DG51" s="56">
        <f>Participantes!BX50</f>
        <v>0</v>
      </c>
      <c r="DH51" s="58">
        <f t="shared" si="36"/>
        <v>0</v>
      </c>
      <c r="DI51" s="56">
        <f>Participantes!BY50</f>
        <v>3</v>
      </c>
      <c r="DJ51" s="56">
        <f>Participantes!BZ50</f>
        <v>0</v>
      </c>
      <c r="DK51" s="58">
        <f t="shared" si="37"/>
        <v>1</v>
      </c>
      <c r="DL51" s="56">
        <f>Participantes!CA50</f>
        <v>2</v>
      </c>
      <c r="DM51" s="56">
        <f>Participantes!CB50</f>
        <v>1</v>
      </c>
      <c r="DN51" s="58">
        <f t="shared" si="38"/>
        <v>0</v>
      </c>
      <c r="DO51" s="56">
        <f>Participantes!CC50</f>
        <v>1</v>
      </c>
      <c r="DP51" s="56">
        <f>Participantes!CD50</f>
        <v>3</v>
      </c>
      <c r="DQ51" s="58">
        <f t="shared" si="39"/>
        <v>3</v>
      </c>
      <c r="DR51" s="56">
        <f>Participantes!CE50</f>
        <v>1</v>
      </c>
      <c r="DS51" s="56">
        <f>Participantes!CF50</f>
        <v>1</v>
      </c>
      <c r="DT51" s="58">
        <f t="shared" si="40"/>
        <v>0</v>
      </c>
      <c r="DU51" s="56">
        <f>Participantes!CG50</f>
        <v>4</v>
      </c>
      <c r="DV51" s="56">
        <f>Participantes!CH50</f>
        <v>0</v>
      </c>
      <c r="DW51" s="58">
        <f t="shared" si="41"/>
        <v>1</v>
      </c>
      <c r="DX51" s="56">
        <f>Participantes!CI50</f>
        <v>2</v>
      </c>
      <c r="DY51" s="56">
        <f>Participantes!CJ50</f>
        <v>1</v>
      </c>
      <c r="DZ51" s="58">
        <f t="shared" si="42"/>
        <v>1</v>
      </c>
      <c r="EA51" s="56">
        <f>Participantes!CK50</f>
        <v>0</v>
      </c>
      <c r="EB51" s="56">
        <f>Participantes!CL50</f>
        <v>2</v>
      </c>
      <c r="EC51" s="58">
        <f t="shared" si="43"/>
        <v>1</v>
      </c>
      <c r="ED51" s="56">
        <f>Participantes!CM50</f>
        <v>2</v>
      </c>
      <c r="EE51" s="56">
        <f>Participantes!CN50</f>
        <v>0</v>
      </c>
      <c r="EF51" s="58">
        <f t="shared" si="44"/>
        <v>0</v>
      </c>
      <c r="EG51" s="56">
        <f>Participantes!CO50</f>
        <v>0</v>
      </c>
      <c r="EH51" s="56">
        <f>Participantes!CP50</f>
        <v>2</v>
      </c>
      <c r="EI51" s="58">
        <f t="shared" si="45"/>
        <v>1</v>
      </c>
      <c r="EJ51" s="56">
        <f>Participantes!CQ50</f>
        <v>2</v>
      </c>
      <c r="EK51" s="56">
        <f>Participantes!CR50</f>
        <v>0</v>
      </c>
      <c r="EL51" s="58">
        <f t="shared" si="46"/>
        <v>1</v>
      </c>
      <c r="EM51" s="56">
        <f>Participantes!CS50</f>
        <v>2</v>
      </c>
      <c r="EN51" s="56">
        <f>Participantes!CT50</f>
        <v>1</v>
      </c>
      <c r="EO51" s="58">
        <f t="shared" si="47"/>
        <v>1</v>
      </c>
      <c r="EP51" s="56">
        <f>Participantes!CU50</f>
        <v>0</v>
      </c>
      <c r="EQ51" s="56">
        <f>Participantes!CV50</f>
        <v>4</v>
      </c>
      <c r="ER51" s="58">
        <f t="shared" si="48"/>
        <v>1</v>
      </c>
      <c r="ES51" s="56">
        <f>Participantes!CW50</f>
        <v>3</v>
      </c>
      <c r="ET51" s="56">
        <f>Participantes!CX50</f>
        <v>0</v>
      </c>
      <c r="EU51" s="58">
        <f t="shared" si="49"/>
        <v>1</v>
      </c>
      <c r="EV51" s="56">
        <f>Participantes!CY50</f>
        <v>3</v>
      </c>
      <c r="EW51" s="56">
        <f>Participantes!CZ50</f>
        <v>1</v>
      </c>
      <c r="EX51" s="58">
        <f t="shared" si="50"/>
        <v>1</v>
      </c>
      <c r="EY51" s="56">
        <f>Participantes!DA50</f>
        <v>2</v>
      </c>
      <c r="EZ51" s="56">
        <f>Participantes!DB50</f>
        <v>0</v>
      </c>
      <c r="FA51" s="58">
        <f t="shared" si="51"/>
        <v>1</v>
      </c>
      <c r="FB51" s="56">
        <f>Participantes!DC50</f>
        <v>2</v>
      </c>
      <c r="FC51" s="56">
        <f>Participantes!DD50</f>
        <v>2</v>
      </c>
      <c r="FD51" s="58">
        <f t="shared" si="52"/>
        <v>0</v>
      </c>
      <c r="FE51" s="56">
        <f>Participantes!DE50</f>
        <v>0</v>
      </c>
      <c r="FF51" s="56">
        <f>Participantes!DF50</f>
        <v>3</v>
      </c>
      <c r="FG51" s="58">
        <f t="shared" si="53"/>
        <v>0</v>
      </c>
      <c r="FH51" s="56">
        <f>Participantes!DG50</f>
        <v>1</v>
      </c>
      <c r="FI51" s="56">
        <f>Participantes!DH50</f>
        <v>3</v>
      </c>
      <c r="FJ51" s="58">
        <f t="shared" si="54"/>
        <v>1</v>
      </c>
      <c r="FK51" s="56">
        <f>Participantes!DI50</f>
        <v>2</v>
      </c>
      <c r="FL51" s="56">
        <f>Participantes!DJ50</f>
        <v>3</v>
      </c>
      <c r="FM51" s="58">
        <f t="shared" si="55"/>
        <v>0</v>
      </c>
      <c r="FN51" s="56">
        <f>Participantes!DK50</f>
        <v>2</v>
      </c>
      <c r="FO51" s="56">
        <f>Participantes!DL50</f>
        <v>1</v>
      </c>
      <c r="FP51" s="58">
        <f t="shared" si="56"/>
        <v>0</v>
      </c>
      <c r="FQ51" s="56">
        <f>Participantes!DM50</f>
        <v>0</v>
      </c>
      <c r="FR51" s="56">
        <f>Participantes!DN50</f>
        <v>4</v>
      </c>
      <c r="FS51" s="58">
        <f t="shared" si="57"/>
        <v>1</v>
      </c>
      <c r="FT51" s="56">
        <f>Participantes!DO50</f>
        <v>2</v>
      </c>
      <c r="FU51" s="56">
        <f>Participantes!DP50</f>
        <v>3</v>
      </c>
      <c r="FV51" s="58">
        <f t="shared" si="58"/>
        <v>0</v>
      </c>
      <c r="FW51" s="56">
        <f>Participantes!DQ50</f>
        <v>4</v>
      </c>
      <c r="FX51" s="56">
        <f>Participantes!DR50</f>
        <v>1</v>
      </c>
      <c r="FY51" s="58">
        <f t="shared" si="59"/>
        <v>0</v>
      </c>
      <c r="FZ51" s="56">
        <f>Participantes!DS50</f>
        <v>2</v>
      </c>
      <c r="GA51" s="56">
        <f>Participantes!DT50</f>
        <v>2</v>
      </c>
      <c r="GB51" s="58">
        <f t="shared" si="60"/>
        <v>0</v>
      </c>
      <c r="GC51" s="56">
        <f>Participantes!DU50</f>
        <v>3</v>
      </c>
      <c r="GD51" s="56">
        <f>Participantes!DV50</f>
        <v>0</v>
      </c>
      <c r="GE51" s="58">
        <f t="shared" si="61"/>
        <v>1</v>
      </c>
      <c r="GF51" s="56">
        <f>Participantes!DW50</f>
        <v>4</v>
      </c>
      <c r="GG51" s="56">
        <f>Participantes!DX50</f>
        <v>1</v>
      </c>
      <c r="GH51" s="58">
        <f t="shared" si="62"/>
        <v>0</v>
      </c>
      <c r="GI51" s="56">
        <f>Participantes!DY50</f>
        <v>1</v>
      </c>
      <c r="GJ51" s="56">
        <f>Participantes!DZ50</f>
        <v>4</v>
      </c>
      <c r="GK51" s="58">
        <f t="shared" si="63"/>
        <v>1</v>
      </c>
      <c r="GL51" s="56">
        <f>Participantes!EA50</f>
        <v>2</v>
      </c>
      <c r="GM51" s="56">
        <f>Participantes!EB50</f>
        <v>1</v>
      </c>
      <c r="GN51" s="58">
        <f t="shared" si="64"/>
        <v>0</v>
      </c>
      <c r="GO51" s="56">
        <f>Participantes!EC50</f>
        <v>1</v>
      </c>
      <c r="GP51" s="56">
        <f>Participantes!ED50</f>
        <v>2</v>
      </c>
      <c r="GQ51" s="58">
        <f t="shared" si="65"/>
        <v>1</v>
      </c>
      <c r="GR51" s="56">
        <f>Participantes!EE50</f>
        <v>0</v>
      </c>
      <c r="GS51" s="56">
        <f>Participantes!EF50</f>
        <v>4</v>
      </c>
      <c r="GT51" s="58" t="str">
        <f t="shared" si="66"/>
        <v/>
      </c>
      <c r="GU51" s="56">
        <f>Participantes!EG50</f>
        <v>2</v>
      </c>
      <c r="GV51" s="56">
        <f>Participantes!EH50</f>
        <v>0</v>
      </c>
      <c r="GW51" s="58" t="str">
        <f t="shared" si="67"/>
        <v/>
      </c>
      <c r="GX51" s="56">
        <f>Participantes!EI50</f>
        <v>1</v>
      </c>
      <c r="GY51" s="56">
        <f>Participantes!EJ50</f>
        <v>3</v>
      </c>
      <c r="GZ51" s="58" t="str">
        <f t="shared" si="68"/>
        <v/>
      </c>
      <c r="HA51" s="56">
        <f>Participantes!EK50</f>
        <v>1</v>
      </c>
      <c r="HB51" s="56">
        <f>Participantes!EL50</f>
        <v>2</v>
      </c>
      <c r="HC51" s="58" t="str">
        <f t="shared" si="69"/>
        <v/>
      </c>
      <c r="HD51" s="56">
        <f>Participantes!EM50</f>
        <v>1</v>
      </c>
      <c r="HE51" s="56">
        <f>Participantes!EN50</f>
        <v>1</v>
      </c>
      <c r="HF51" s="58" t="str">
        <f t="shared" si="70"/>
        <v/>
      </c>
      <c r="HG51" s="56">
        <f>Participantes!EO50</f>
        <v>3</v>
      </c>
      <c r="HH51" s="56">
        <f>Participantes!EP50</f>
        <v>0</v>
      </c>
      <c r="HI51" s="58" t="str">
        <f t="shared" si="71"/>
        <v/>
      </c>
      <c r="HJ51" s="59">
        <f t="shared" si="72"/>
        <v>43</v>
      </c>
    </row>
    <row r="52" spans="1:218" ht="15.75" customHeight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</row>
    <row r="53" spans="1:218" ht="15.75" customHeight="1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  <c r="GP53" s="56"/>
      <c r="GQ53" s="56"/>
      <c r="GR53" s="56"/>
      <c r="GS53" s="56"/>
      <c r="GT53" s="56"/>
      <c r="GU53" s="56"/>
      <c r="GV53" s="56"/>
      <c r="GW53" s="56"/>
      <c r="GX53" s="56"/>
      <c r="GY53" s="56"/>
      <c r="GZ53" s="56"/>
      <c r="HA53" s="56"/>
      <c r="HB53" s="56"/>
      <c r="HC53" s="56"/>
      <c r="HD53" s="56"/>
      <c r="HE53" s="56"/>
      <c r="HF53" s="56"/>
      <c r="HG53" s="56"/>
      <c r="HH53" s="56"/>
      <c r="HI53" s="56"/>
      <c r="HJ53" s="56"/>
    </row>
    <row r="54" spans="1:218" ht="15.75" customHeight="1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</row>
    <row r="55" spans="1:218" ht="15.75" customHeight="1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</row>
    <row r="56" spans="1:218" ht="15.75" customHeight="1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</row>
    <row r="57" spans="1:218" ht="15.75" customHeigh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</row>
    <row r="58" spans="1:218" ht="15.75" customHeigh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  <c r="GP58" s="56"/>
      <c r="GQ58" s="56"/>
      <c r="GR58" s="56"/>
      <c r="GS58" s="56"/>
      <c r="GT58" s="56"/>
      <c r="GU58" s="56"/>
      <c r="GV58" s="56"/>
      <c r="GW58" s="56"/>
      <c r="GX58" s="56"/>
      <c r="GY58" s="56"/>
      <c r="GZ58" s="56"/>
      <c r="HA58" s="56"/>
      <c r="HB58" s="56"/>
      <c r="HC58" s="56"/>
      <c r="HD58" s="56"/>
      <c r="HE58" s="56"/>
      <c r="HF58" s="56"/>
      <c r="HG58" s="56"/>
      <c r="HH58" s="56"/>
      <c r="HI58" s="56"/>
      <c r="HJ58" s="56"/>
    </row>
    <row r="59" spans="1:218" ht="15.75" customHeight="1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U59" s="56"/>
      <c r="GV59" s="56"/>
      <c r="GW59" s="56"/>
      <c r="GX59" s="56"/>
      <c r="GY59" s="56"/>
      <c r="GZ59" s="56"/>
      <c r="HA59" s="56"/>
      <c r="HB59" s="56"/>
      <c r="HC59" s="56"/>
      <c r="HD59" s="56"/>
      <c r="HE59" s="56"/>
      <c r="HF59" s="56"/>
      <c r="HG59" s="56"/>
      <c r="HH59" s="56"/>
      <c r="HI59" s="56"/>
      <c r="HJ59" s="56"/>
    </row>
    <row r="60" spans="1:218" ht="15.75" customHeight="1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</row>
    <row r="61" spans="1:218" ht="15.75" customHeight="1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</row>
    <row r="62" spans="1:218" ht="15.75" customHeight="1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56"/>
      <c r="GV62" s="56"/>
      <c r="GW62" s="56"/>
      <c r="GX62" s="56"/>
      <c r="GY62" s="56"/>
      <c r="GZ62" s="56"/>
      <c r="HA62" s="56"/>
      <c r="HB62" s="56"/>
      <c r="HC62" s="56"/>
      <c r="HD62" s="56"/>
      <c r="HE62" s="56"/>
      <c r="HF62" s="56"/>
      <c r="HG62" s="56"/>
      <c r="HH62" s="56"/>
      <c r="HI62" s="56"/>
      <c r="HJ62" s="56"/>
    </row>
    <row r="63" spans="1:218" ht="15.75" customHeight="1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56"/>
      <c r="GV63" s="56"/>
      <c r="GW63" s="56"/>
      <c r="GX63" s="56"/>
      <c r="GY63" s="56"/>
      <c r="GZ63" s="56"/>
      <c r="HA63" s="56"/>
      <c r="HB63" s="56"/>
      <c r="HC63" s="56"/>
      <c r="HD63" s="56"/>
      <c r="HE63" s="56"/>
      <c r="HF63" s="56"/>
      <c r="HG63" s="56"/>
      <c r="HH63" s="56"/>
      <c r="HI63" s="56"/>
      <c r="HJ63" s="56"/>
    </row>
    <row r="64" spans="1:218" ht="15.75" customHeight="1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56"/>
      <c r="GV64" s="56"/>
      <c r="GW64" s="56"/>
      <c r="GX64" s="56"/>
      <c r="GY64" s="56"/>
      <c r="GZ64" s="56"/>
      <c r="HA64" s="56"/>
      <c r="HB64" s="56"/>
      <c r="HC64" s="56"/>
      <c r="HD64" s="56"/>
      <c r="HE64" s="56"/>
      <c r="HF64" s="56"/>
      <c r="HG64" s="56"/>
      <c r="HH64" s="56"/>
      <c r="HI64" s="56"/>
      <c r="HJ64" s="56"/>
    </row>
    <row r="65" spans="1:218" ht="15.75" customHeight="1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  <c r="FK65" s="56"/>
      <c r="FL65" s="56"/>
      <c r="FM65" s="56"/>
      <c r="FN65" s="56"/>
      <c r="FO65" s="56"/>
      <c r="FP65" s="56"/>
      <c r="FQ65" s="56"/>
      <c r="FR65" s="56"/>
      <c r="FS65" s="56"/>
      <c r="FT65" s="56"/>
      <c r="FU65" s="56"/>
      <c r="FV65" s="56"/>
      <c r="FW65" s="56"/>
      <c r="FX65" s="56"/>
      <c r="FY65" s="56"/>
      <c r="FZ65" s="56"/>
      <c r="GA65" s="56"/>
      <c r="GB65" s="56"/>
      <c r="GC65" s="56"/>
      <c r="GD65" s="56"/>
      <c r="GE65" s="56"/>
      <c r="GF65" s="56"/>
      <c r="GG65" s="56"/>
      <c r="GH65" s="56"/>
      <c r="GI65" s="56"/>
      <c r="GJ65" s="56"/>
      <c r="GK65" s="56"/>
      <c r="GL65" s="56"/>
      <c r="GM65" s="56"/>
      <c r="GN65" s="56"/>
      <c r="GO65" s="56"/>
      <c r="GP65" s="56"/>
      <c r="GQ65" s="56"/>
      <c r="GR65" s="56"/>
      <c r="GS65" s="56"/>
      <c r="GT65" s="56"/>
      <c r="GU65" s="56"/>
      <c r="GV65" s="56"/>
      <c r="GW65" s="56"/>
      <c r="GX65" s="56"/>
      <c r="GY65" s="56"/>
      <c r="GZ65" s="56"/>
      <c r="HA65" s="56"/>
      <c r="HB65" s="56"/>
      <c r="HC65" s="56"/>
      <c r="HD65" s="56"/>
      <c r="HE65" s="56"/>
      <c r="HF65" s="56"/>
      <c r="HG65" s="56"/>
      <c r="HH65" s="56"/>
      <c r="HI65" s="56"/>
      <c r="HJ65" s="56"/>
    </row>
    <row r="66" spans="1:218" ht="15.75" customHeight="1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  <c r="FK66" s="56"/>
      <c r="FL66" s="56"/>
      <c r="FM66" s="56"/>
      <c r="FN66" s="56"/>
      <c r="FO66" s="56"/>
      <c r="FP66" s="56"/>
      <c r="FQ66" s="56"/>
      <c r="FR66" s="56"/>
      <c r="FS66" s="56"/>
      <c r="FT66" s="56"/>
      <c r="FU66" s="56"/>
      <c r="FV66" s="56"/>
      <c r="FW66" s="56"/>
      <c r="FX66" s="56"/>
      <c r="FY66" s="56"/>
      <c r="FZ66" s="56"/>
      <c r="GA66" s="56"/>
      <c r="GB66" s="56"/>
      <c r="GC66" s="56"/>
      <c r="GD66" s="56"/>
      <c r="GE66" s="56"/>
      <c r="GF66" s="56"/>
      <c r="GG66" s="56"/>
      <c r="GH66" s="56"/>
      <c r="GI66" s="56"/>
      <c r="GJ66" s="56"/>
      <c r="GK66" s="56"/>
      <c r="GL66" s="56"/>
      <c r="GM66" s="56"/>
      <c r="GN66" s="56"/>
      <c r="GO66" s="56"/>
      <c r="GP66" s="56"/>
      <c r="GQ66" s="56"/>
      <c r="GR66" s="56"/>
      <c r="GS66" s="56"/>
      <c r="GT66" s="56"/>
      <c r="GU66" s="56"/>
      <c r="GV66" s="56"/>
      <c r="GW66" s="56"/>
      <c r="GX66" s="56"/>
      <c r="GY66" s="56"/>
      <c r="GZ66" s="56"/>
      <c r="HA66" s="56"/>
      <c r="HB66" s="56"/>
      <c r="HC66" s="56"/>
      <c r="HD66" s="56"/>
      <c r="HE66" s="56"/>
      <c r="HF66" s="56"/>
      <c r="HG66" s="56"/>
      <c r="HH66" s="56"/>
      <c r="HI66" s="56"/>
      <c r="HJ66" s="56"/>
    </row>
    <row r="67" spans="1:218" ht="15.75" customHeigh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  <c r="CY67" s="56"/>
      <c r="CZ67" s="56"/>
      <c r="DA67" s="56"/>
      <c r="DB67" s="56"/>
      <c r="DC67" s="56"/>
      <c r="DD67" s="56"/>
      <c r="DE67" s="56"/>
      <c r="DF67" s="56"/>
      <c r="DG67" s="56"/>
      <c r="DH67" s="56"/>
      <c r="DI67" s="56"/>
      <c r="DJ67" s="56"/>
      <c r="DK67" s="56"/>
      <c r="DL67" s="56"/>
      <c r="DM67" s="56"/>
      <c r="DN67" s="56"/>
      <c r="DO67" s="56"/>
      <c r="DP67" s="56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  <c r="FK67" s="56"/>
      <c r="FL67" s="56"/>
      <c r="FM67" s="56"/>
      <c r="FN67" s="56"/>
      <c r="FO67" s="56"/>
      <c r="FP67" s="56"/>
      <c r="FQ67" s="56"/>
      <c r="FR67" s="56"/>
      <c r="FS67" s="56"/>
      <c r="FT67" s="56"/>
      <c r="FU67" s="56"/>
      <c r="FV67" s="56"/>
      <c r="FW67" s="56"/>
      <c r="FX67" s="56"/>
      <c r="FY67" s="56"/>
      <c r="FZ67" s="56"/>
      <c r="GA67" s="56"/>
      <c r="GB67" s="56"/>
      <c r="GC67" s="56"/>
      <c r="GD67" s="56"/>
      <c r="GE67" s="56"/>
      <c r="GF67" s="56"/>
      <c r="GG67" s="56"/>
      <c r="GH67" s="56"/>
      <c r="GI67" s="56"/>
      <c r="GJ67" s="56"/>
      <c r="GK67" s="56"/>
      <c r="GL67" s="56"/>
      <c r="GM67" s="56"/>
      <c r="GN67" s="56"/>
      <c r="GO67" s="56"/>
      <c r="GP67" s="56"/>
      <c r="GQ67" s="56"/>
      <c r="GR67" s="56"/>
      <c r="GS67" s="56"/>
      <c r="GT67" s="56"/>
      <c r="GU67" s="56"/>
      <c r="GV67" s="56"/>
      <c r="GW67" s="56"/>
      <c r="GX67" s="56"/>
      <c r="GY67" s="56"/>
      <c r="GZ67" s="56"/>
      <c r="HA67" s="56"/>
      <c r="HB67" s="56"/>
      <c r="HC67" s="56"/>
      <c r="HD67" s="56"/>
      <c r="HE67" s="56"/>
      <c r="HF67" s="56"/>
      <c r="HG67" s="56"/>
      <c r="HH67" s="56"/>
      <c r="HI67" s="56"/>
      <c r="HJ67" s="56"/>
    </row>
    <row r="68" spans="1:218" ht="15.75" customHeight="1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  <c r="FK68" s="56"/>
      <c r="FL68" s="56"/>
      <c r="FM68" s="56"/>
      <c r="FN68" s="56"/>
      <c r="FO68" s="56"/>
      <c r="FP68" s="56"/>
      <c r="FQ68" s="56"/>
      <c r="FR68" s="56"/>
      <c r="FS68" s="56"/>
      <c r="FT68" s="56"/>
      <c r="FU68" s="56"/>
      <c r="FV68" s="56"/>
      <c r="FW68" s="56"/>
      <c r="FX68" s="56"/>
      <c r="FY68" s="56"/>
      <c r="FZ68" s="56"/>
      <c r="GA68" s="56"/>
      <c r="GB68" s="56"/>
      <c r="GC68" s="56"/>
      <c r="GD68" s="56"/>
      <c r="GE68" s="56"/>
      <c r="GF68" s="56"/>
      <c r="GG68" s="56"/>
      <c r="GH68" s="56"/>
      <c r="GI68" s="56"/>
      <c r="GJ68" s="56"/>
      <c r="GK68" s="56"/>
      <c r="GL68" s="56"/>
      <c r="GM68" s="56"/>
      <c r="GN68" s="56"/>
      <c r="GO68" s="56"/>
      <c r="GP68" s="56"/>
      <c r="GQ68" s="56"/>
      <c r="GR68" s="56"/>
      <c r="GS68" s="56"/>
      <c r="GT68" s="56"/>
      <c r="GU68" s="56"/>
      <c r="GV68" s="56"/>
      <c r="GW68" s="56"/>
      <c r="GX68" s="56"/>
      <c r="GY68" s="56"/>
      <c r="GZ68" s="56"/>
      <c r="HA68" s="56"/>
      <c r="HB68" s="56"/>
      <c r="HC68" s="56"/>
      <c r="HD68" s="56"/>
      <c r="HE68" s="56"/>
      <c r="HF68" s="56"/>
      <c r="HG68" s="56"/>
      <c r="HH68" s="56"/>
      <c r="HI68" s="56"/>
      <c r="HJ68" s="56"/>
    </row>
    <row r="69" spans="1:218" ht="15.75" customHeight="1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  <c r="FK69" s="56"/>
      <c r="FL69" s="56"/>
      <c r="FM69" s="56"/>
      <c r="FN69" s="56"/>
      <c r="FO69" s="56"/>
      <c r="FP69" s="56"/>
      <c r="FQ69" s="56"/>
      <c r="FR69" s="56"/>
      <c r="FS69" s="56"/>
      <c r="FT69" s="56"/>
      <c r="FU69" s="56"/>
      <c r="FV69" s="56"/>
      <c r="FW69" s="56"/>
      <c r="FX69" s="56"/>
      <c r="FY69" s="56"/>
      <c r="FZ69" s="56"/>
      <c r="GA69" s="56"/>
      <c r="GB69" s="56"/>
      <c r="GC69" s="56"/>
      <c r="GD69" s="56"/>
      <c r="GE69" s="56"/>
      <c r="GF69" s="56"/>
      <c r="GG69" s="56"/>
      <c r="GH69" s="56"/>
      <c r="GI69" s="56"/>
      <c r="GJ69" s="56"/>
      <c r="GK69" s="56"/>
      <c r="GL69" s="56"/>
      <c r="GM69" s="56"/>
      <c r="GN69" s="56"/>
      <c r="GO69" s="56"/>
      <c r="GP69" s="56"/>
      <c r="GQ69" s="56"/>
      <c r="GR69" s="56"/>
      <c r="GS69" s="56"/>
      <c r="GT69" s="56"/>
      <c r="GU69" s="56"/>
      <c r="GV69" s="56"/>
      <c r="GW69" s="56"/>
      <c r="GX69" s="56"/>
      <c r="GY69" s="56"/>
      <c r="GZ69" s="56"/>
      <c r="HA69" s="56"/>
      <c r="HB69" s="56"/>
      <c r="HC69" s="56"/>
      <c r="HD69" s="56"/>
      <c r="HE69" s="56"/>
      <c r="HF69" s="56"/>
      <c r="HG69" s="56"/>
      <c r="HH69" s="56"/>
      <c r="HI69" s="56"/>
      <c r="HJ69" s="56"/>
    </row>
    <row r="70" spans="1:218" ht="15.75" customHeight="1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  <c r="FK70" s="56"/>
      <c r="FL70" s="56"/>
      <c r="FM70" s="56"/>
      <c r="FN70" s="56"/>
      <c r="FO70" s="56"/>
      <c r="FP70" s="56"/>
      <c r="FQ70" s="56"/>
      <c r="FR70" s="56"/>
      <c r="FS70" s="56"/>
      <c r="FT70" s="56"/>
      <c r="FU70" s="56"/>
      <c r="FV70" s="56"/>
      <c r="FW70" s="56"/>
      <c r="FX70" s="56"/>
      <c r="FY70" s="56"/>
      <c r="FZ70" s="56"/>
      <c r="GA70" s="56"/>
      <c r="GB70" s="56"/>
      <c r="GC70" s="56"/>
      <c r="GD70" s="56"/>
      <c r="GE70" s="56"/>
      <c r="GF70" s="56"/>
      <c r="GG70" s="56"/>
      <c r="GH70" s="56"/>
      <c r="GI70" s="56"/>
      <c r="GJ70" s="56"/>
      <c r="GK70" s="56"/>
      <c r="GL70" s="56"/>
      <c r="GM70" s="56"/>
      <c r="GN70" s="56"/>
      <c r="GO70" s="56"/>
      <c r="GP70" s="56"/>
      <c r="GQ70" s="56"/>
      <c r="GR70" s="56"/>
      <c r="GS70" s="56"/>
      <c r="GT70" s="56"/>
      <c r="GU70" s="56"/>
      <c r="GV70" s="56"/>
      <c r="GW70" s="56"/>
      <c r="GX70" s="56"/>
      <c r="GY70" s="56"/>
      <c r="GZ70" s="56"/>
      <c r="HA70" s="56"/>
      <c r="HB70" s="56"/>
      <c r="HC70" s="56"/>
      <c r="HD70" s="56"/>
      <c r="HE70" s="56"/>
      <c r="HF70" s="56"/>
      <c r="HG70" s="56"/>
      <c r="HH70" s="56"/>
      <c r="HI70" s="56"/>
      <c r="HJ70" s="56"/>
    </row>
    <row r="71" spans="1:218" ht="15.75" customHeight="1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  <c r="FK71" s="56"/>
      <c r="FL71" s="56"/>
      <c r="FM71" s="56"/>
      <c r="FN71" s="56"/>
      <c r="FO71" s="56"/>
      <c r="FP71" s="56"/>
      <c r="FQ71" s="56"/>
      <c r="FR71" s="56"/>
      <c r="FS71" s="56"/>
      <c r="FT71" s="56"/>
      <c r="FU71" s="56"/>
      <c r="FV71" s="56"/>
      <c r="FW71" s="56"/>
      <c r="FX71" s="56"/>
      <c r="FY71" s="56"/>
      <c r="FZ71" s="56"/>
      <c r="GA71" s="56"/>
      <c r="GB71" s="56"/>
      <c r="GC71" s="56"/>
      <c r="GD71" s="56"/>
      <c r="GE71" s="56"/>
      <c r="GF71" s="56"/>
      <c r="GG71" s="56"/>
      <c r="GH71" s="56"/>
      <c r="GI71" s="56"/>
      <c r="GJ71" s="56"/>
      <c r="GK71" s="56"/>
      <c r="GL71" s="56"/>
      <c r="GM71" s="56"/>
      <c r="GN71" s="56"/>
      <c r="GO71" s="56"/>
      <c r="GP71" s="56"/>
      <c r="GQ71" s="56"/>
      <c r="GR71" s="56"/>
      <c r="GS71" s="56"/>
      <c r="GT71" s="56"/>
      <c r="GU71" s="56"/>
      <c r="GV71" s="56"/>
      <c r="GW71" s="56"/>
      <c r="GX71" s="56"/>
      <c r="GY71" s="56"/>
      <c r="GZ71" s="56"/>
      <c r="HA71" s="56"/>
      <c r="HB71" s="56"/>
      <c r="HC71" s="56"/>
      <c r="HD71" s="56"/>
      <c r="HE71" s="56"/>
      <c r="HF71" s="56"/>
      <c r="HG71" s="56"/>
      <c r="HH71" s="56"/>
      <c r="HI71" s="56"/>
      <c r="HJ71" s="56"/>
    </row>
    <row r="72" spans="1:218" ht="15.75" customHeight="1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  <c r="FK72" s="56"/>
      <c r="FL72" s="56"/>
      <c r="FM72" s="56"/>
      <c r="FN72" s="56"/>
      <c r="FO72" s="56"/>
      <c r="FP72" s="56"/>
      <c r="FQ72" s="56"/>
      <c r="FR72" s="56"/>
      <c r="FS72" s="56"/>
      <c r="FT72" s="56"/>
      <c r="FU72" s="56"/>
      <c r="FV72" s="56"/>
      <c r="FW72" s="56"/>
      <c r="FX72" s="56"/>
      <c r="FY72" s="56"/>
      <c r="FZ72" s="56"/>
      <c r="GA72" s="56"/>
      <c r="GB72" s="56"/>
      <c r="GC72" s="56"/>
      <c r="GD72" s="56"/>
      <c r="GE72" s="56"/>
      <c r="GF72" s="56"/>
      <c r="GG72" s="56"/>
      <c r="GH72" s="56"/>
      <c r="GI72" s="56"/>
      <c r="GJ72" s="56"/>
      <c r="GK72" s="56"/>
      <c r="GL72" s="56"/>
      <c r="GM72" s="56"/>
      <c r="GN72" s="56"/>
      <c r="GO72" s="56"/>
      <c r="GP72" s="56"/>
      <c r="GQ72" s="56"/>
      <c r="GR72" s="56"/>
      <c r="GS72" s="56"/>
      <c r="GT72" s="56"/>
      <c r="GU72" s="56"/>
      <c r="GV72" s="56"/>
      <c r="GW72" s="56"/>
      <c r="GX72" s="56"/>
      <c r="GY72" s="56"/>
      <c r="GZ72" s="56"/>
      <c r="HA72" s="56"/>
      <c r="HB72" s="56"/>
      <c r="HC72" s="56"/>
      <c r="HD72" s="56"/>
      <c r="HE72" s="56"/>
      <c r="HF72" s="56"/>
      <c r="HG72" s="56"/>
      <c r="HH72" s="56"/>
      <c r="HI72" s="56"/>
      <c r="HJ72" s="56"/>
    </row>
    <row r="73" spans="1:218" ht="15.75" customHeight="1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  <c r="EG73" s="56"/>
      <c r="EH73" s="56"/>
      <c r="EI73" s="56"/>
      <c r="EJ73" s="56"/>
      <c r="EK73" s="56"/>
      <c r="EL73" s="56"/>
      <c r="EM73" s="56"/>
      <c r="EN73" s="56"/>
      <c r="EO73" s="56"/>
      <c r="EP73" s="56"/>
      <c r="EQ73" s="56"/>
      <c r="ER73" s="56"/>
      <c r="ES73" s="56"/>
      <c r="ET73" s="56"/>
      <c r="EU73" s="56"/>
      <c r="EV73" s="56"/>
      <c r="EW73" s="56"/>
      <c r="EX73" s="56"/>
      <c r="EY73" s="56"/>
      <c r="EZ73" s="56"/>
      <c r="FA73" s="56"/>
      <c r="FB73" s="56"/>
      <c r="FC73" s="56"/>
      <c r="FD73" s="56"/>
      <c r="FE73" s="56"/>
      <c r="FF73" s="56"/>
      <c r="FG73" s="56"/>
      <c r="FH73" s="56"/>
      <c r="FI73" s="56"/>
      <c r="FJ73" s="56"/>
      <c r="FK73" s="56"/>
      <c r="FL73" s="56"/>
      <c r="FM73" s="56"/>
      <c r="FN73" s="56"/>
      <c r="FO73" s="56"/>
      <c r="FP73" s="56"/>
      <c r="FQ73" s="56"/>
      <c r="FR73" s="56"/>
      <c r="FS73" s="56"/>
      <c r="FT73" s="56"/>
      <c r="FU73" s="56"/>
      <c r="FV73" s="56"/>
      <c r="FW73" s="56"/>
      <c r="FX73" s="56"/>
      <c r="FY73" s="56"/>
      <c r="FZ73" s="56"/>
      <c r="GA73" s="56"/>
      <c r="GB73" s="56"/>
      <c r="GC73" s="56"/>
      <c r="GD73" s="56"/>
      <c r="GE73" s="56"/>
      <c r="GF73" s="56"/>
      <c r="GG73" s="56"/>
      <c r="GH73" s="56"/>
      <c r="GI73" s="56"/>
      <c r="GJ73" s="56"/>
      <c r="GK73" s="56"/>
      <c r="GL73" s="56"/>
      <c r="GM73" s="56"/>
      <c r="GN73" s="56"/>
      <c r="GO73" s="56"/>
      <c r="GP73" s="56"/>
      <c r="GQ73" s="56"/>
      <c r="GR73" s="56"/>
      <c r="GS73" s="56"/>
      <c r="GT73" s="56"/>
      <c r="GU73" s="56"/>
      <c r="GV73" s="56"/>
      <c r="GW73" s="56"/>
      <c r="GX73" s="56"/>
      <c r="GY73" s="56"/>
      <c r="GZ73" s="56"/>
      <c r="HA73" s="56"/>
      <c r="HB73" s="56"/>
      <c r="HC73" s="56"/>
      <c r="HD73" s="56"/>
      <c r="HE73" s="56"/>
      <c r="HF73" s="56"/>
      <c r="HG73" s="56"/>
      <c r="HH73" s="56"/>
      <c r="HI73" s="56"/>
      <c r="HJ73" s="56"/>
    </row>
    <row r="74" spans="1:218" ht="15.75" customHeight="1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  <c r="DQ74" s="56"/>
      <c r="DR74" s="56"/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56"/>
      <c r="EU74" s="56"/>
      <c r="EV74" s="56"/>
      <c r="EW74" s="56"/>
      <c r="EX74" s="56"/>
      <c r="EY74" s="56"/>
      <c r="EZ74" s="56"/>
      <c r="FA74" s="56"/>
      <c r="FB74" s="56"/>
      <c r="FC74" s="56"/>
      <c r="FD74" s="56"/>
      <c r="FE74" s="56"/>
      <c r="FF74" s="56"/>
      <c r="FG74" s="56"/>
      <c r="FH74" s="56"/>
      <c r="FI74" s="56"/>
      <c r="FJ74" s="56"/>
      <c r="FK74" s="56"/>
      <c r="FL74" s="56"/>
      <c r="FM74" s="56"/>
      <c r="FN74" s="56"/>
      <c r="FO74" s="56"/>
      <c r="FP74" s="56"/>
      <c r="FQ74" s="56"/>
      <c r="FR74" s="56"/>
      <c r="FS74" s="56"/>
      <c r="FT74" s="56"/>
      <c r="FU74" s="56"/>
      <c r="FV74" s="56"/>
      <c r="FW74" s="56"/>
      <c r="FX74" s="56"/>
      <c r="FY74" s="56"/>
      <c r="FZ74" s="56"/>
      <c r="GA74" s="56"/>
      <c r="GB74" s="56"/>
      <c r="GC74" s="56"/>
      <c r="GD74" s="56"/>
      <c r="GE74" s="56"/>
      <c r="GF74" s="56"/>
      <c r="GG74" s="56"/>
      <c r="GH74" s="56"/>
      <c r="GI74" s="56"/>
      <c r="GJ74" s="56"/>
      <c r="GK74" s="56"/>
      <c r="GL74" s="56"/>
      <c r="GM74" s="56"/>
      <c r="GN74" s="56"/>
      <c r="GO74" s="56"/>
      <c r="GP74" s="56"/>
      <c r="GQ74" s="56"/>
      <c r="GR74" s="56"/>
      <c r="GS74" s="56"/>
      <c r="GT74" s="56"/>
      <c r="GU74" s="56"/>
      <c r="GV74" s="56"/>
      <c r="GW74" s="56"/>
      <c r="GX74" s="56"/>
      <c r="GY74" s="56"/>
      <c r="GZ74" s="56"/>
      <c r="HA74" s="56"/>
      <c r="HB74" s="56"/>
      <c r="HC74" s="56"/>
      <c r="HD74" s="56"/>
      <c r="HE74" s="56"/>
      <c r="HF74" s="56"/>
      <c r="HG74" s="56"/>
      <c r="HH74" s="56"/>
      <c r="HI74" s="56"/>
      <c r="HJ74" s="56"/>
    </row>
    <row r="75" spans="1:218" ht="15.75" customHeight="1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  <c r="CZ75" s="56"/>
      <c r="DA75" s="56"/>
      <c r="DB75" s="56"/>
      <c r="DC75" s="56"/>
      <c r="DD75" s="56"/>
      <c r="DE75" s="56"/>
      <c r="DF75" s="56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56"/>
      <c r="ET75" s="56"/>
      <c r="EU75" s="56"/>
      <c r="EV75" s="56"/>
      <c r="EW75" s="56"/>
      <c r="EX75" s="56"/>
      <c r="EY75" s="56"/>
      <c r="EZ75" s="56"/>
      <c r="FA75" s="56"/>
      <c r="FB75" s="56"/>
      <c r="FC75" s="56"/>
      <c r="FD75" s="56"/>
      <c r="FE75" s="56"/>
      <c r="FF75" s="56"/>
      <c r="FG75" s="56"/>
      <c r="FH75" s="56"/>
      <c r="FI75" s="56"/>
      <c r="FJ75" s="56"/>
      <c r="FK75" s="56"/>
      <c r="FL75" s="56"/>
      <c r="FM75" s="56"/>
      <c r="FN75" s="56"/>
      <c r="FO75" s="56"/>
      <c r="FP75" s="56"/>
      <c r="FQ75" s="56"/>
      <c r="FR75" s="56"/>
      <c r="FS75" s="56"/>
      <c r="FT75" s="56"/>
      <c r="FU75" s="56"/>
      <c r="FV75" s="56"/>
      <c r="FW75" s="56"/>
      <c r="FX75" s="56"/>
      <c r="FY75" s="56"/>
      <c r="FZ75" s="56"/>
      <c r="GA75" s="56"/>
      <c r="GB75" s="56"/>
      <c r="GC75" s="56"/>
      <c r="GD75" s="56"/>
      <c r="GE75" s="56"/>
      <c r="GF75" s="56"/>
      <c r="GG75" s="56"/>
      <c r="GH75" s="56"/>
      <c r="GI75" s="56"/>
      <c r="GJ75" s="56"/>
      <c r="GK75" s="56"/>
      <c r="GL75" s="56"/>
      <c r="GM75" s="56"/>
      <c r="GN75" s="56"/>
      <c r="GO75" s="56"/>
      <c r="GP75" s="56"/>
      <c r="GQ75" s="56"/>
      <c r="GR75" s="56"/>
      <c r="GS75" s="56"/>
      <c r="GT75" s="56"/>
      <c r="GU75" s="56"/>
      <c r="GV75" s="56"/>
      <c r="GW75" s="56"/>
      <c r="GX75" s="56"/>
      <c r="GY75" s="56"/>
      <c r="GZ75" s="56"/>
      <c r="HA75" s="56"/>
      <c r="HB75" s="56"/>
      <c r="HC75" s="56"/>
      <c r="HD75" s="56"/>
      <c r="HE75" s="56"/>
      <c r="HF75" s="56"/>
      <c r="HG75" s="56"/>
      <c r="HH75" s="56"/>
      <c r="HI75" s="56"/>
      <c r="HJ75" s="56"/>
    </row>
    <row r="76" spans="1:218" ht="15.75" customHeight="1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  <c r="CV76" s="56"/>
      <c r="CW76" s="56"/>
      <c r="CX76" s="56"/>
      <c r="CY76" s="56"/>
      <c r="CZ76" s="56"/>
      <c r="DA76" s="56"/>
      <c r="DB76" s="56"/>
      <c r="DC76" s="56"/>
      <c r="DD76" s="56"/>
      <c r="DE76" s="56"/>
      <c r="DF76" s="56"/>
      <c r="DG76" s="56"/>
      <c r="DH76" s="56"/>
      <c r="DI76" s="56"/>
      <c r="DJ76" s="56"/>
      <c r="DK76" s="56"/>
      <c r="DL76" s="56"/>
      <c r="DM76" s="56"/>
      <c r="DN76" s="56"/>
      <c r="DO76" s="56"/>
      <c r="DP76" s="56"/>
      <c r="DQ76" s="56"/>
      <c r="DR76" s="56"/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G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  <c r="FE76" s="56"/>
      <c r="FF76" s="56"/>
      <c r="FG76" s="56"/>
      <c r="FH76" s="56"/>
      <c r="FI76" s="56"/>
      <c r="FJ76" s="56"/>
      <c r="FK76" s="56"/>
      <c r="FL76" s="56"/>
      <c r="FM76" s="56"/>
      <c r="FN76" s="56"/>
      <c r="FO76" s="56"/>
      <c r="FP76" s="56"/>
      <c r="FQ76" s="56"/>
      <c r="FR76" s="56"/>
      <c r="FS76" s="56"/>
      <c r="FT76" s="56"/>
      <c r="FU76" s="56"/>
      <c r="FV76" s="56"/>
      <c r="FW76" s="56"/>
      <c r="FX76" s="56"/>
      <c r="FY76" s="56"/>
      <c r="FZ76" s="56"/>
      <c r="GA76" s="56"/>
      <c r="GB76" s="56"/>
      <c r="GC76" s="56"/>
      <c r="GD76" s="56"/>
      <c r="GE76" s="56"/>
      <c r="GF76" s="56"/>
      <c r="GG76" s="56"/>
      <c r="GH76" s="56"/>
      <c r="GI76" s="56"/>
      <c r="GJ76" s="56"/>
      <c r="GK76" s="56"/>
      <c r="GL76" s="56"/>
      <c r="GM76" s="56"/>
      <c r="GN76" s="56"/>
      <c r="GO76" s="56"/>
      <c r="GP76" s="56"/>
      <c r="GQ76" s="56"/>
      <c r="GR76" s="56"/>
      <c r="GS76" s="56"/>
      <c r="GT76" s="56"/>
      <c r="GU76" s="56"/>
      <c r="GV76" s="56"/>
      <c r="GW76" s="56"/>
      <c r="GX76" s="56"/>
      <c r="GY76" s="56"/>
      <c r="GZ76" s="56"/>
      <c r="HA76" s="56"/>
      <c r="HB76" s="56"/>
      <c r="HC76" s="56"/>
      <c r="HD76" s="56"/>
      <c r="HE76" s="56"/>
      <c r="HF76" s="56"/>
      <c r="HG76" s="56"/>
      <c r="HH76" s="56"/>
      <c r="HI76" s="56"/>
      <c r="HJ76" s="56"/>
    </row>
    <row r="77" spans="1:218" ht="15.75" customHeight="1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N77" s="56"/>
      <c r="EO77" s="56"/>
      <c r="EP77" s="56"/>
      <c r="EQ77" s="56"/>
      <c r="ER77" s="56"/>
      <c r="ES77" s="56"/>
      <c r="ET77" s="56"/>
      <c r="EU77" s="56"/>
      <c r="EV77" s="56"/>
      <c r="EW77" s="56"/>
      <c r="EX77" s="56"/>
      <c r="EY77" s="56"/>
      <c r="EZ77" s="56"/>
      <c r="FA77" s="56"/>
      <c r="FB77" s="56"/>
      <c r="FC77" s="56"/>
      <c r="FD77" s="56"/>
      <c r="FE77" s="56"/>
      <c r="FF77" s="56"/>
      <c r="FG77" s="56"/>
      <c r="FH77" s="56"/>
      <c r="FI77" s="56"/>
      <c r="FJ77" s="56"/>
      <c r="FK77" s="56"/>
      <c r="FL77" s="56"/>
      <c r="FM77" s="56"/>
      <c r="FN77" s="56"/>
      <c r="FO77" s="56"/>
      <c r="FP77" s="56"/>
      <c r="FQ77" s="56"/>
      <c r="FR77" s="56"/>
      <c r="FS77" s="56"/>
      <c r="FT77" s="56"/>
      <c r="FU77" s="56"/>
      <c r="FV77" s="56"/>
      <c r="FW77" s="56"/>
      <c r="FX77" s="56"/>
      <c r="FY77" s="56"/>
      <c r="FZ77" s="56"/>
      <c r="GA77" s="56"/>
      <c r="GB77" s="56"/>
      <c r="GC77" s="56"/>
      <c r="GD77" s="56"/>
      <c r="GE77" s="56"/>
      <c r="GF77" s="56"/>
      <c r="GG77" s="56"/>
      <c r="GH77" s="56"/>
      <c r="GI77" s="56"/>
      <c r="GJ77" s="56"/>
      <c r="GK77" s="56"/>
      <c r="GL77" s="56"/>
      <c r="GM77" s="56"/>
      <c r="GN77" s="56"/>
      <c r="GO77" s="56"/>
      <c r="GP77" s="56"/>
      <c r="GQ77" s="56"/>
      <c r="GR77" s="56"/>
      <c r="GS77" s="56"/>
      <c r="GT77" s="56"/>
      <c r="GU77" s="56"/>
      <c r="GV77" s="56"/>
      <c r="GW77" s="56"/>
      <c r="GX77" s="56"/>
      <c r="GY77" s="56"/>
      <c r="GZ77" s="56"/>
      <c r="HA77" s="56"/>
      <c r="HB77" s="56"/>
      <c r="HC77" s="56"/>
      <c r="HD77" s="56"/>
      <c r="HE77" s="56"/>
      <c r="HF77" s="56"/>
      <c r="HG77" s="56"/>
      <c r="HH77" s="56"/>
      <c r="HI77" s="56"/>
      <c r="HJ77" s="56"/>
    </row>
    <row r="78" spans="1:218" ht="15.75" customHeight="1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  <c r="CZ78" s="56"/>
      <c r="DA78" s="56"/>
      <c r="DB78" s="56"/>
      <c r="DC78" s="56"/>
      <c r="DD78" s="56"/>
      <c r="DE78" s="56"/>
      <c r="DF78" s="56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  <c r="EL78" s="56"/>
      <c r="EM78" s="56"/>
      <c r="EN78" s="56"/>
      <c r="EO78" s="56"/>
      <c r="EP78" s="56"/>
      <c r="EQ78" s="56"/>
      <c r="ER78" s="56"/>
      <c r="ES78" s="56"/>
      <c r="ET78" s="56"/>
      <c r="EU78" s="56"/>
      <c r="EV78" s="56"/>
      <c r="EW78" s="56"/>
      <c r="EX78" s="56"/>
      <c r="EY78" s="56"/>
      <c r="EZ78" s="56"/>
      <c r="FA78" s="56"/>
      <c r="FB78" s="56"/>
      <c r="FC78" s="56"/>
      <c r="FD78" s="56"/>
      <c r="FE78" s="56"/>
      <c r="FF78" s="56"/>
      <c r="FG78" s="56"/>
      <c r="FH78" s="56"/>
      <c r="FI78" s="56"/>
      <c r="FJ78" s="56"/>
      <c r="FK78" s="56"/>
      <c r="FL78" s="56"/>
      <c r="FM78" s="56"/>
      <c r="FN78" s="56"/>
      <c r="FO78" s="56"/>
      <c r="FP78" s="56"/>
      <c r="FQ78" s="56"/>
      <c r="FR78" s="56"/>
      <c r="FS78" s="56"/>
      <c r="FT78" s="56"/>
      <c r="FU78" s="56"/>
      <c r="FV78" s="56"/>
      <c r="FW78" s="56"/>
      <c r="FX78" s="56"/>
      <c r="FY78" s="56"/>
      <c r="FZ78" s="56"/>
      <c r="GA78" s="56"/>
      <c r="GB78" s="56"/>
      <c r="GC78" s="56"/>
      <c r="GD78" s="56"/>
      <c r="GE78" s="56"/>
      <c r="GF78" s="56"/>
      <c r="GG78" s="56"/>
      <c r="GH78" s="56"/>
      <c r="GI78" s="56"/>
      <c r="GJ78" s="56"/>
      <c r="GK78" s="56"/>
      <c r="GL78" s="56"/>
      <c r="GM78" s="56"/>
      <c r="GN78" s="56"/>
      <c r="GO78" s="56"/>
      <c r="GP78" s="56"/>
      <c r="GQ78" s="56"/>
      <c r="GR78" s="56"/>
      <c r="GS78" s="56"/>
      <c r="GT78" s="56"/>
      <c r="GU78" s="56"/>
      <c r="GV78" s="56"/>
      <c r="GW78" s="56"/>
      <c r="GX78" s="56"/>
      <c r="GY78" s="56"/>
      <c r="GZ78" s="56"/>
      <c r="HA78" s="56"/>
      <c r="HB78" s="56"/>
      <c r="HC78" s="56"/>
      <c r="HD78" s="56"/>
      <c r="HE78" s="56"/>
      <c r="HF78" s="56"/>
      <c r="HG78" s="56"/>
      <c r="HH78" s="56"/>
      <c r="HI78" s="56"/>
      <c r="HJ78" s="56"/>
    </row>
    <row r="79" spans="1:218" ht="15.75" customHeight="1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  <c r="CZ79" s="56"/>
      <c r="DA79" s="56"/>
      <c r="DB79" s="56"/>
      <c r="DC79" s="56"/>
      <c r="DD79" s="56"/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6"/>
      <c r="FK79" s="56"/>
      <c r="FL79" s="56"/>
      <c r="FM79" s="56"/>
      <c r="FN79" s="56"/>
      <c r="FO79" s="56"/>
      <c r="FP79" s="56"/>
      <c r="FQ79" s="56"/>
      <c r="FR79" s="56"/>
      <c r="FS79" s="56"/>
      <c r="FT79" s="56"/>
      <c r="FU79" s="56"/>
      <c r="FV79" s="56"/>
      <c r="FW79" s="56"/>
      <c r="FX79" s="56"/>
      <c r="FY79" s="56"/>
      <c r="FZ79" s="56"/>
      <c r="GA79" s="56"/>
      <c r="GB79" s="56"/>
      <c r="GC79" s="56"/>
      <c r="GD79" s="56"/>
      <c r="GE79" s="56"/>
      <c r="GF79" s="56"/>
      <c r="GG79" s="56"/>
      <c r="GH79" s="56"/>
      <c r="GI79" s="56"/>
      <c r="GJ79" s="56"/>
      <c r="GK79" s="56"/>
      <c r="GL79" s="56"/>
      <c r="GM79" s="56"/>
      <c r="GN79" s="56"/>
      <c r="GO79" s="56"/>
      <c r="GP79" s="56"/>
      <c r="GQ79" s="56"/>
      <c r="GR79" s="56"/>
      <c r="GS79" s="56"/>
      <c r="GT79" s="56"/>
      <c r="GU79" s="56"/>
      <c r="GV79" s="56"/>
      <c r="GW79" s="56"/>
      <c r="GX79" s="56"/>
      <c r="GY79" s="56"/>
      <c r="GZ79" s="56"/>
      <c r="HA79" s="56"/>
      <c r="HB79" s="56"/>
      <c r="HC79" s="56"/>
      <c r="HD79" s="56"/>
      <c r="HE79" s="56"/>
      <c r="HF79" s="56"/>
      <c r="HG79" s="56"/>
      <c r="HH79" s="56"/>
      <c r="HI79" s="56"/>
      <c r="HJ79" s="56"/>
    </row>
    <row r="80" spans="1:218" ht="15.75" customHeight="1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  <c r="FK80" s="56"/>
      <c r="FL80" s="56"/>
      <c r="FM80" s="56"/>
      <c r="FN80" s="56"/>
      <c r="FO80" s="56"/>
      <c r="FP80" s="56"/>
      <c r="FQ80" s="56"/>
      <c r="FR80" s="56"/>
      <c r="FS80" s="56"/>
      <c r="FT80" s="56"/>
      <c r="FU80" s="56"/>
      <c r="FV80" s="56"/>
      <c r="FW80" s="56"/>
      <c r="FX80" s="56"/>
      <c r="FY80" s="56"/>
      <c r="FZ80" s="56"/>
      <c r="GA80" s="56"/>
      <c r="GB80" s="56"/>
      <c r="GC80" s="56"/>
      <c r="GD80" s="56"/>
      <c r="GE80" s="56"/>
      <c r="GF80" s="56"/>
      <c r="GG80" s="56"/>
      <c r="GH80" s="56"/>
      <c r="GI80" s="56"/>
      <c r="GJ80" s="56"/>
      <c r="GK80" s="56"/>
      <c r="GL80" s="56"/>
      <c r="GM80" s="56"/>
      <c r="GN80" s="56"/>
      <c r="GO80" s="56"/>
      <c r="GP80" s="56"/>
      <c r="GQ80" s="56"/>
      <c r="GR80" s="56"/>
      <c r="GS80" s="56"/>
      <c r="GT80" s="56"/>
      <c r="GU80" s="56"/>
      <c r="GV80" s="56"/>
      <c r="GW80" s="56"/>
      <c r="GX80" s="56"/>
      <c r="GY80" s="56"/>
      <c r="GZ80" s="56"/>
      <c r="HA80" s="56"/>
      <c r="HB80" s="56"/>
      <c r="HC80" s="56"/>
      <c r="HD80" s="56"/>
      <c r="HE80" s="56"/>
      <c r="HF80" s="56"/>
      <c r="HG80" s="56"/>
      <c r="HH80" s="56"/>
      <c r="HI80" s="56"/>
      <c r="HJ80" s="56"/>
    </row>
    <row r="81" spans="1:218" ht="15.75" customHeight="1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  <c r="FK81" s="56"/>
      <c r="FL81" s="56"/>
      <c r="FM81" s="56"/>
      <c r="FN81" s="56"/>
      <c r="FO81" s="56"/>
      <c r="FP81" s="56"/>
      <c r="FQ81" s="56"/>
      <c r="FR81" s="56"/>
      <c r="FS81" s="56"/>
      <c r="FT81" s="56"/>
      <c r="FU81" s="56"/>
      <c r="FV81" s="56"/>
      <c r="FW81" s="56"/>
      <c r="FX81" s="56"/>
      <c r="FY81" s="56"/>
      <c r="FZ81" s="56"/>
      <c r="GA81" s="56"/>
      <c r="GB81" s="56"/>
      <c r="GC81" s="56"/>
      <c r="GD81" s="56"/>
      <c r="GE81" s="56"/>
      <c r="GF81" s="56"/>
      <c r="GG81" s="56"/>
      <c r="GH81" s="56"/>
      <c r="GI81" s="56"/>
      <c r="GJ81" s="56"/>
      <c r="GK81" s="56"/>
      <c r="GL81" s="56"/>
      <c r="GM81" s="56"/>
      <c r="GN81" s="56"/>
      <c r="GO81" s="56"/>
      <c r="GP81" s="56"/>
      <c r="GQ81" s="56"/>
      <c r="GR81" s="56"/>
      <c r="GS81" s="56"/>
      <c r="GT81" s="56"/>
      <c r="GU81" s="56"/>
      <c r="GV81" s="56"/>
      <c r="GW81" s="56"/>
      <c r="GX81" s="56"/>
      <c r="GY81" s="56"/>
      <c r="GZ81" s="56"/>
      <c r="HA81" s="56"/>
      <c r="HB81" s="56"/>
      <c r="HC81" s="56"/>
      <c r="HD81" s="56"/>
      <c r="HE81" s="56"/>
      <c r="HF81" s="56"/>
      <c r="HG81" s="56"/>
      <c r="HH81" s="56"/>
      <c r="HI81" s="56"/>
      <c r="HJ81" s="56"/>
    </row>
    <row r="82" spans="1:218" ht="15.75" customHeight="1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  <c r="FK82" s="56"/>
      <c r="FL82" s="56"/>
      <c r="FM82" s="56"/>
      <c r="FN82" s="56"/>
      <c r="FO82" s="56"/>
      <c r="FP82" s="56"/>
      <c r="FQ82" s="56"/>
      <c r="FR82" s="56"/>
      <c r="FS82" s="56"/>
      <c r="FT82" s="56"/>
      <c r="FU82" s="56"/>
      <c r="FV82" s="56"/>
      <c r="FW82" s="56"/>
      <c r="FX82" s="56"/>
      <c r="FY82" s="56"/>
      <c r="FZ82" s="56"/>
      <c r="GA82" s="56"/>
      <c r="GB82" s="56"/>
      <c r="GC82" s="56"/>
      <c r="GD82" s="56"/>
      <c r="GE82" s="56"/>
      <c r="GF82" s="56"/>
      <c r="GG82" s="56"/>
      <c r="GH82" s="56"/>
      <c r="GI82" s="56"/>
      <c r="GJ82" s="56"/>
      <c r="GK82" s="56"/>
      <c r="GL82" s="56"/>
      <c r="GM82" s="56"/>
      <c r="GN82" s="56"/>
      <c r="GO82" s="56"/>
      <c r="GP82" s="56"/>
      <c r="GQ82" s="56"/>
      <c r="GR82" s="56"/>
      <c r="GS82" s="56"/>
      <c r="GT82" s="56"/>
      <c r="GU82" s="56"/>
      <c r="GV82" s="56"/>
      <c r="GW82" s="56"/>
      <c r="GX82" s="56"/>
      <c r="GY82" s="56"/>
      <c r="GZ82" s="56"/>
      <c r="HA82" s="56"/>
      <c r="HB82" s="56"/>
      <c r="HC82" s="56"/>
      <c r="HD82" s="56"/>
      <c r="HE82" s="56"/>
      <c r="HF82" s="56"/>
      <c r="HG82" s="56"/>
      <c r="HH82" s="56"/>
      <c r="HI82" s="56"/>
      <c r="HJ82" s="56"/>
    </row>
    <row r="83" spans="1:218" ht="15.75" customHeight="1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  <c r="FK83" s="56"/>
      <c r="FL83" s="56"/>
      <c r="FM83" s="56"/>
      <c r="FN83" s="56"/>
      <c r="FO83" s="56"/>
      <c r="FP83" s="56"/>
      <c r="FQ83" s="56"/>
      <c r="FR83" s="56"/>
      <c r="FS83" s="56"/>
      <c r="FT83" s="56"/>
      <c r="FU83" s="56"/>
      <c r="FV83" s="56"/>
      <c r="FW83" s="56"/>
      <c r="FX83" s="56"/>
      <c r="FY83" s="56"/>
      <c r="FZ83" s="56"/>
      <c r="GA83" s="56"/>
      <c r="GB83" s="56"/>
      <c r="GC83" s="56"/>
      <c r="GD83" s="56"/>
      <c r="GE83" s="56"/>
      <c r="GF83" s="56"/>
      <c r="GG83" s="56"/>
      <c r="GH83" s="56"/>
      <c r="GI83" s="56"/>
      <c r="GJ83" s="56"/>
      <c r="GK83" s="56"/>
      <c r="GL83" s="56"/>
      <c r="GM83" s="56"/>
      <c r="GN83" s="56"/>
      <c r="GO83" s="56"/>
      <c r="GP83" s="56"/>
      <c r="GQ83" s="56"/>
      <c r="GR83" s="56"/>
      <c r="GS83" s="56"/>
      <c r="GT83" s="56"/>
      <c r="GU83" s="56"/>
      <c r="GV83" s="56"/>
      <c r="GW83" s="56"/>
      <c r="GX83" s="56"/>
      <c r="GY83" s="56"/>
      <c r="GZ83" s="56"/>
      <c r="HA83" s="56"/>
      <c r="HB83" s="56"/>
      <c r="HC83" s="56"/>
      <c r="HD83" s="56"/>
      <c r="HE83" s="56"/>
      <c r="HF83" s="56"/>
      <c r="HG83" s="56"/>
      <c r="HH83" s="56"/>
      <c r="HI83" s="56"/>
      <c r="HJ83" s="56"/>
    </row>
    <row r="84" spans="1:218" ht="15.75" customHeight="1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  <c r="FK84" s="56"/>
      <c r="FL84" s="56"/>
      <c r="FM84" s="56"/>
      <c r="FN84" s="56"/>
      <c r="FO84" s="56"/>
      <c r="FP84" s="56"/>
      <c r="FQ84" s="56"/>
      <c r="FR84" s="56"/>
      <c r="FS84" s="56"/>
      <c r="FT84" s="56"/>
      <c r="FU84" s="56"/>
      <c r="FV84" s="56"/>
      <c r="FW84" s="56"/>
      <c r="FX84" s="56"/>
      <c r="FY84" s="56"/>
      <c r="FZ84" s="56"/>
      <c r="GA84" s="56"/>
      <c r="GB84" s="56"/>
      <c r="GC84" s="56"/>
      <c r="GD84" s="56"/>
      <c r="GE84" s="56"/>
      <c r="GF84" s="56"/>
      <c r="GG84" s="56"/>
      <c r="GH84" s="56"/>
      <c r="GI84" s="56"/>
      <c r="GJ84" s="56"/>
      <c r="GK84" s="56"/>
      <c r="GL84" s="56"/>
      <c r="GM84" s="56"/>
      <c r="GN84" s="56"/>
      <c r="GO84" s="56"/>
      <c r="GP84" s="56"/>
      <c r="GQ84" s="56"/>
      <c r="GR84" s="56"/>
      <c r="GS84" s="56"/>
      <c r="GT84" s="56"/>
      <c r="GU84" s="56"/>
      <c r="GV84" s="56"/>
      <c r="GW84" s="56"/>
      <c r="GX84" s="56"/>
      <c r="GY84" s="56"/>
      <c r="GZ84" s="56"/>
      <c r="HA84" s="56"/>
      <c r="HB84" s="56"/>
      <c r="HC84" s="56"/>
      <c r="HD84" s="56"/>
      <c r="HE84" s="56"/>
      <c r="HF84" s="56"/>
      <c r="HG84" s="56"/>
      <c r="HH84" s="56"/>
      <c r="HI84" s="56"/>
      <c r="HJ84" s="56"/>
    </row>
    <row r="85" spans="1:218" ht="15.75" customHeight="1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  <c r="FK85" s="56"/>
      <c r="FL85" s="56"/>
      <c r="FM85" s="56"/>
      <c r="FN85" s="56"/>
      <c r="FO85" s="56"/>
      <c r="FP85" s="56"/>
      <c r="FQ85" s="56"/>
      <c r="FR85" s="56"/>
      <c r="FS85" s="56"/>
      <c r="FT85" s="56"/>
      <c r="FU85" s="56"/>
      <c r="FV85" s="56"/>
      <c r="FW85" s="56"/>
      <c r="FX85" s="56"/>
      <c r="FY85" s="56"/>
      <c r="FZ85" s="56"/>
      <c r="GA85" s="56"/>
      <c r="GB85" s="56"/>
      <c r="GC85" s="56"/>
      <c r="GD85" s="56"/>
      <c r="GE85" s="56"/>
      <c r="GF85" s="56"/>
      <c r="GG85" s="56"/>
      <c r="GH85" s="56"/>
      <c r="GI85" s="56"/>
      <c r="GJ85" s="56"/>
      <c r="GK85" s="56"/>
      <c r="GL85" s="56"/>
      <c r="GM85" s="56"/>
      <c r="GN85" s="56"/>
      <c r="GO85" s="56"/>
      <c r="GP85" s="56"/>
      <c r="GQ85" s="56"/>
      <c r="GR85" s="56"/>
      <c r="GS85" s="56"/>
      <c r="GT85" s="56"/>
      <c r="GU85" s="56"/>
      <c r="GV85" s="56"/>
      <c r="GW85" s="56"/>
      <c r="GX85" s="56"/>
      <c r="GY85" s="56"/>
      <c r="GZ85" s="56"/>
      <c r="HA85" s="56"/>
      <c r="HB85" s="56"/>
      <c r="HC85" s="56"/>
      <c r="HD85" s="56"/>
      <c r="HE85" s="56"/>
      <c r="HF85" s="56"/>
      <c r="HG85" s="56"/>
      <c r="HH85" s="56"/>
      <c r="HI85" s="56"/>
      <c r="HJ85" s="56"/>
    </row>
    <row r="86" spans="1:218" ht="15.75" customHeight="1" x14ac:dyDescent="0.2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  <c r="FK86" s="56"/>
      <c r="FL86" s="56"/>
      <c r="FM86" s="56"/>
      <c r="FN86" s="56"/>
      <c r="FO86" s="56"/>
      <c r="FP86" s="56"/>
      <c r="FQ86" s="56"/>
      <c r="FR86" s="56"/>
      <c r="FS86" s="56"/>
      <c r="FT86" s="56"/>
      <c r="FU86" s="56"/>
      <c r="FV86" s="56"/>
      <c r="FW86" s="56"/>
      <c r="FX86" s="56"/>
      <c r="FY86" s="56"/>
      <c r="FZ86" s="56"/>
      <c r="GA86" s="56"/>
      <c r="GB86" s="56"/>
      <c r="GC86" s="56"/>
      <c r="GD86" s="56"/>
      <c r="GE86" s="56"/>
      <c r="GF86" s="56"/>
      <c r="GG86" s="56"/>
      <c r="GH86" s="56"/>
      <c r="GI86" s="56"/>
      <c r="GJ86" s="56"/>
      <c r="GK86" s="56"/>
      <c r="GL86" s="56"/>
      <c r="GM86" s="56"/>
      <c r="GN86" s="56"/>
      <c r="GO86" s="56"/>
      <c r="GP86" s="56"/>
      <c r="GQ86" s="56"/>
      <c r="GR86" s="56"/>
      <c r="GS86" s="56"/>
      <c r="GT86" s="56"/>
      <c r="GU86" s="56"/>
      <c r="GV86" s="56"/>
      <c r="GW86" s="56"/>
      <c r="GX86" s="56"/>
      <c r="GY86" s="56"/>
      <c r="GZ86" s="56"/>
      <c r="HA86" s="56"/>
      <c r="HB86" s="56"/>
      <c r="HC86" s="56"/>
      <c r="HD86" s="56"/>
      <c r="HE86" s="56"/>
      <c r="HF86" s="56"/>
      <c r="HG86" s="56"/>
      <c r="HH86" s="56"/>
      <c r="HI86" s="56"/>
      <c r="HJ86" s="56"/>
    </row>
    <row r="87" spans="1:218" ht="15.75" customHeight="1" x14ac:dyDescent="0.2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</row>
    <row r="88" spans="1:218" ht="15.75" customHeight="1" x14ac:dyDescent="0.2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  <c r="FK88" s="56"/>
      <c r="FL88" s="56"/>
      <c r="FM88" s="56"/>
      <c r="FN88" s="56"/>
      <c r="FO88" s="56"/>
      <c r="FP88" s="56"/>
      <c r="FQ88" s="56"/>
      <c r="FR88" s="56"/>
      <c r="FS88" s="56"/>
      <c r="FT88" s="56"/>
      <c r="FU88" s="56"/>
      <c r="FV88" s="56"/>
      <c r="FW88" s="56"/>
      <c r="FX88" s="56"/>
      <c r="FY88" s="56"/>
      <c r="FZ88" s="56"/>
      <c r="GA88" s="56"/>
      <c r="GB88" s="56"/>
      <c r="GC88" s="56"/>
      <c r="GD88" s="56"/>
      <c r="GE88" s="56"/>
      <c r="GF88" s="56"/>
      <c r="GG88" s="56"/>
      <c r="GH88" s="56"/>
      <c r="GI88" s="56"/>
      <c r="GJ88" s="56"/>
      <c r="GK88" s="56"/>
      <c r="GL88" s="56"/>
      <c r="GM88" s="56"/>
      <c r="GN88" s="56"/>
      <c r="GO88" s="56"/>
      <c r="GP88" s="56"/>
      <c r="GQ88" s="56"/>
      <c r="GR88" s="56"/>
      <c r="GS88" s="56"/>
      <c r="GT88" s="56"/>
      <c r="GU88" s="56"/>
      <c r="GV88" s="56"/>
      <c r="GW88" s="56"/>
      <c r="GX88" s="56"/>
      <c r="GY88" s="56"/>
      <c r="GZ88" s="56"/>
      <c r="HA88" s="56"/>
      <c r="HB88" s="56"/>
      <c r="HC88" s="56"/>
      <c r="HD88" s="56"/>
      <c r="HE88" s="56"/>
      <c r="HF88" s="56"/>
      <c r="HG88" s="56"/>
      <c r="HH88" s="56"/>
      <c r="HI88" s="56"/>
      <c r="HJ88" s="56"/>
    </row>
    <row r="89" spans="1:218" ht="15.75" customHeight="1" x14ac:dyDescent="0.2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  <c r="FK89" s="56"/>
      <c r="FL89" s="56"/>
      <c r="FM89" s="56"/>
      <c r="FN89" s="56"/>
      <c r="FO89" s="56"/>
      <c r="FP89" s="56"/>
      <c r="FQ89" s="56"/>
      <c r="FR89" s="56"/>
      <c r="FS89" s="56"/>
      <c r="FT89" s="56"/>
      <c r="FU89" s="56"/>
      <c r="FV89" s="56"/>
      <c r="FW89" s="56"/>
      <c r="FX89" s="56"/>
      <c r="FY89" s="56"/>
      <c r="FZ89" s="56"/>
      <c r="GA89" s="56"/>
      <c r="GB89" s="56"/>
      <c r="GC89" s="56"/>
      <c r="GD89" s="56"/>
      <c r="GE89" s="56"/>
      <c r="GF89" s="56"/>
      <c r="GG89" s="56"/>
      <c r="GH89" s="56"/>
      <c r="GI89" s="56"/>
      <c r="GJ89" s="56"/>
      <c r="GK89" s="56"/>
      <c r="GL89" s="56"/>
      <c r="GM89" s="56"/>
      <c r="GN89" s="56"/>
      <c r="GO89" s="56"/>
      <c r="GP89" s="56"/>
      <c r="GQ89" s="56"/>
      <c r="GR89" s="56"/>
      <c r="GS89" s="56"/>
      <c r="GT89" s="56"/>
      <c r="GU89" s="56"/>
      <c r="GV89" s="56"/>
      <c r="GW89" s="56"/>
      <c r="GX89" s="56"/>
      <c r="GY89" s="56"/>
      <c r="GZ89" s="56"/>
      <c r="HA89" s="56"/>
      <c r="HB89" s="56"/>
      <c r="HC89" s="56"/>
      <c r="HD89" s="56"/>
      <c r="HE89" s="56"/>
      <c r="HF89" s="56"/>
      <c r="HG89" s="56"/>
      <c r="HH89" s="56"/>
      <c r="HI89" s="56"/>
      <c r="HJ89" s="56"/>
    </row>
    <row r="90" spans="1:218" ht="15.75" customHeight="1" x14ac:dyDescent="0.2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  <c r="FK90" s="56"/>
      <c r="FL90" s="56"/>
      <c r="FM90" s="56"/>
      <c r="FN90" s="56"/>
      <c r="FO90" s="56"/>
      <c r="FP90" s="56"/>
      <c r="FQ90" s="56"/>
      <c r="FR90" s="56"/>
      <c r="FS90" s="56"/>
      <c r="FT90" s="56"/>
      <c r="FU90" s="56"/>
      <c r="FV90" s="56"/>
      <c r="FW90" s="56"/>
      <c r="FX90" s="56"/>
      <c r="FY90" s="56"/>
      <c r="FZ90" s="56"/>
      <c r="GA90" s="56"/>
      <c r="GB90" s="56"/>
      <c r="GC90" s="56"/>
      <c r="GD90" s="56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6"/>
      <c r="GU90" s="56"/>
      <c r="GV90" s="56"/>
      <c r="GW90" s="56"/>
      <c r="GX90" s="56"/>
      <c r="GY90" s="56"/>
      <c r="GZ90" s="56"/>
      <c r="HA90" s="56"/>
      <c r="HB90" s="56"/>
      <c r="HC90" s="56"/>
      <c r="HD90" s="56"/>
      <c r="HE90" s="56"/>
      <c r="HF90" s="56"/>
      <c r="HG90" s="56"/>
      <c r="HH90" s="56"/>
      <c r="HI90" s="56"/>
      <c r="HJ90" s="56"/>
    </row>
    <row r="91" spans="1:218" ht="15.75" customHeight="1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  <c r="FK91" s="56"/>
      <c r="FL91" s="56"/>
      <c r="FM91" s="56"/>
      <c r="FN91" s="56"/>
      <c r="FO91" s="56"/>
      <c r="FP91" s="56"/>
      <c r="FQ91" s="56"/>
      <c r="FR91" s="56"/>
      <c r="FS91" s="56"/>
      <c r="FT91" s="56"/>
      <c r="FU91" s="56"/>
      <c r="FV91" s="56"/>
      <c r="FW91" s="56"/>
      <c r="FX91" s="56"/>
      <c r="FY91" s="56"/>
      <c r="FZ91" s="56"/>
      <c r="GA91" s="56"/>
      <c r="GB91" s="56"/>
      <c r="GC91" s="56"/>
      <c r="GD91" s="56"/>
      <c r="GE91" s="56"/>
      <c r="GF91" s="56"/>
      <c r="GG91" s="56"/>
      <c r="GH91" s="56"/>
      <c r="GI91" s="56"/>
      <c r="GJ91" s="56"/>
      <c r="GK91" s="56"/>
      <c r="GL91" s="56"/>
      <c r="GM91" s="56"/>
      <c r="GN91" s="56"/>
      <c r="GO91" s="56"/>
      <c r="GP91" s="56"/>
      <c r="GQ91" s="56"/>
      <c r="GR91" s="56"/>
      <c r="GS91" s="56"/>
      <c r="GT91" s="56"/>
      <c r="GU91" s="56"/>
      <c r="GV91" s="56"/>
      <c r="GW91" s="56"/>
      <c r="GX91" s="56"/>
      <c r="GY91" s="56"/>
      <c r="GZ91" s="56"/>
      <c r="HA91" s="56"/>
      <c r="HB91" s="56"/>
      <c r="HC91" s="56"/>
      <c r="HD91" s="56"/>
      <c r="HE91" s="56"/>
      <c r="HF91" s="56"/>
      <c r="HG91" s="56"/>
      <c r="HH91" s="56"/>
      <c r="HI91" s="56"/>
      <c r="HJ91" s="56"/>
    </row>
    <row r="92" spans="1:218" ht="15.75" customHeight="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  <c r="FK92" s="56"/>
      <c r="FL92" s="56"/>
      <c r="FM92" s="56"/>
      <c r="FN92" s="56"/>
      <c r="FO92" s="56"/>
      <c r="FP92" s="56"/>
      <c r="FQ92" s="56"/>
      <c r="FR92" s="56"/>
      <c r="FS92" s="56"/>
      <c r="FT92" s="56"/>
      <c r="FU92" s="56"/>
      <c r="FV92" s="56"/>
      <c r="FW92" s="56"/>
      <c r="FX92" s="56"/>
      <c r="FY92" s="56"/>
      <c r="FZ92" s="56"/>
      <c r="GA92" s="56"/>
      <c r="GB92" s="56"/>
      <c r="GC92" s="56"/>
      <c r="GD92" s="56"/>
      <c r="GE92" s="56"/>
      <c r="GF92" s="56"/>
      <c r="GG92" s="56"/>
      <c r="GH92" s="56"/>
      <c r="GI92" s="56"/>
      <c r="GJ92" s="56"/>
      <c r="GK92" s="56"/>
      <c r="GL92" s="56"/>
      <c r="GM92" s="56"/>
      <c r="GN92" s="56"/>
      <c r="GO92" s="56"/>
      <c r="GP92" s="56"/>
      <c r="GQ92" s="56"/>
      <c r="GR92" s="56"/>
      <c r="GS92" s="56"/>
      <c r="GT92" s="56"/>
      <c r="GU92" s="56"/>
      <c r="GV92" s="56"/>
      <c r="GW92" s="56"/>
      <c r="GX92" s="56"/>
      <c r="GY92" s="56"/>
      <c r="GZ92" s="56"/>
      <c r="HA92" s="56"/>
      <c r="HB92" s="56"/>
      <c r="HC92" s="56"/>
      <c r="HD92" s="56"/>
      <c r="HE92" s="56"/>
      <c r="HF92" s="56"/>
      <c r="HG92" s="56"/>
      <c r="HH92" s="56"/>
      <c r="HI92" s="56"/>
      <c r="HJ92" s="56"/>
    </row>
    <row r="93" spans="1:218" ht="15.75" customHeight="1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  <c r="FK93" s="56"/>
      <c r="FL93" s="56"/>
      <c r="FM93" s="56"/>
      <c r="FN93" s="56"/>
      <c r="FO93" s="56"/>
      <c r="FP93" s="56"/>
      <c r="FQ93" s="56"/>
      <c r="FR93" s="56"/>
      <c r="FS93" s="56"/>
      <c r="FT93" s="56"/>
      <c r="FU93" s="56"/>
      <c r="FV93" s="56"/>
      <c r="FW93" s="56"/>
      <c r="FX93" s="56"/>
      <c r="FY93" s="56"/>
      <c r="FZ93" s="56"/>
      <c r="GA93" s="56"/>
      <c r="GB93" s="56"/>
      <c r="GC93" s="56"/>
      <c r="GD93" s="56"/>
      <c r="GE93" s="56"/>
      <c r="GF93" s="56"/>
      <c r="GG93" s="56"/>
      <c r="GH93" s="56"/>
      <c r="GI93" s="56"/>
      <c r="GJ93" s="56"/>
      <c r="GK93" s="56"/>
      <c r="GL93" s="56"/>
      <c r="GM93" s="56"/>
      <c r="GN93" s="56"/>
      <c r="GO93" s="56"/>
      <c r="GP93" s="56"/>
      <c r="GQ93" s="56"/>
      <c r="GR93" s="56"/>
      <c r="GS93" s="56"/>
      <c r="GT93" s="56"/>
      <c r="GU93" s="56"/>
      <c r="GV93" s="56"/>
      <c r="GW93" s="56"/>
      <c r="GX93" s="56"/>
      <c r="GY93" s="56"/>
      <c r="GZ93" s="56"/>
      <c r="HA93" s="56"/>
      <c r="HB93" s="56"/>
      <c r="HC93" s="56"/>
      <c r="HD93" s="56"/>
      <c r="HE93" s="56"/>
      <c r="HF93" s="56"/>
      <c r="HG93" s="56"/>
      <c r="HH93" s="56"/>
      <c r="HI93" s="56"/>
      <c r="HJ93" s="56"/>
    </row>
    <row r="94" spans="1:218" ht="15.75" customHeight="1" x14ac:dyDescent="0.2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  <c r="FK94" s="56"/>
      <c r="FL94" s="56"/>
      <c r="FM94" s="56"/>
      <c r="FN94" s="56"/>
      <c r="FO94" s="56"/>
      <c r="FP94" s="56"/>
      <c r="FQ94" s="56"/>
      <c r="FR94" s="56"/>
      <c r="FS94" s="56"/>
      <c r="FT94" s="56"/>
      <c r="FU94" s="56"/>
      <c r="FV94" s="56"/>
      <c r="FW94" s="56"/>
      <c r="FX94" s="56"/>
      <c r="FY94" s="56"/>
      <c r="FZ94" s="56"/>
      <c r="GA94" s="56"/>
      <c r="GB94" s="56"/>
      <c r="GC94" s="56"/>
      <c r="GD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6"/>
      <c r="GU94" s="56"/>
      <c r="GV94" s="56"/>
      <c r="GW94" s="56"/>
      <c r="GX94" s="56"/>
      <c r="GY94" s="56"/>
      <c r="GZ94" s="56"/>
      <c r="HA94" s="56"/>
      <c r="HB94" s="56"/>
      <c r="HC94" s="56"/>
      <c r="HD94" s="56"/>
      <c r="HE94" s="56"/>
      <c r="HF94" s="56"/>
      <c r="HG94" s="56"/>
      <c r="HH94" s="56"/>
      <c r="HI94" s="56"/>
      <c r="HJ94" s="56"/>
    </row>
    <row r="95" spans="1:218" ht="15.75" customHeight="1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  <c r="FK95" s="56"/>
      <c r="FL95" s="56"/>
      <c r="FM95" s="56"/>
      <c r="FN95" s="56"/>
      <c r="FO95" s="56"/>
      <c r="FP95" s="56"/>
      <c r="FQ95" s="56"/>
      <c r="FR95" s="56"/>
      <c r="FS95" s="56"/>
      <c r="FT95" s="56"/>
      <c r="FU95" s="56"/>
      <c r="FV95" s="56"/>
      <c r="FW95" s="56"/>
      <c r="FX95" s="56"/>
      <c r="FY95" s="56"/>
      <c r="FZ95" s="56"/>
      <c r="GA95" s="56"/>
      <c r="GB95" s="56"/>
      <c r="GC95" s="56"/>
      <c r="GD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6"/>
      <c r="GU95" s="56"/>
      <c r="GV95" s="56"/>
      <c r="GW95" s="56"/>
      <c r="GX95" s="56"/>
      <c r="GY95" s="56"/>
      <c r="GZ95" s="56"/>
      <c r="HA95" s="56"/>
      <c r="HB95" s="56"/>
      <c r="HC95" s="56"/>
      <c r="HD95" s="56"/>
      <c r="HE95" s="56"/>
      <c r="HF95" s="56"/>
      <c r="HG95" s="56"/>
      <c r="HH95" s="56"/>
      <c r="HI95" s="56"/>
      <c r="HJ95" s="56"/>
    </row>
    <row r="96" spans="1:218" ht="15.75" customHeight="1" x14ac:dyDescent="0.2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  <c r="FK96" s="56"/>
      <c r="FL96" s="56"/>
      <c r="FM96" s="56"/>
      <c r="FN96" s="56"/>
      <c r="FO96" s="56"/>
      <c r="FP96" s="56"/>
      <c r="FQ96" s="56"/>
      <c r="FR96" s="56"/>
      <c r="FS96" s="56"/>
      <c r="FT96" s="56"/>
      <c r="FU96" s="56"/>
      <c r="FV96" s="56"/>
      <c r="FW96" s="56"/>
      <c r="FX96" s="56"/>
      <c r="FY96" s="56"/>
      <c r="FZ96" s="56"/>
      <c r="GA96" s="56"/>
      <c r="GB96" s="56"/>
      <c r="GC96" s="56"/>
      <c r="GD96" s="56"/>
      <c r="GE96" s="56"/>
      <c r="GF96" s="56"/>
      <c r="GG96" s="56"/>
      <c r="GH96" s="56"/>
      <c r="GI96" s="56"/>
      <c r="GJ96" s="56"/>
      <c r="GK96" s="56"/>
      <c r="GL96" s="56"/>
      <c r="GM96" s="56"/>
      <c r="GN96" s="56"/>
      <c r="GO96" s="56"/>
      <c r="GP96" s="56"/>
      <c r="GQ96" s="56"/>
      <c r="GR96" s="56"/>
      <c r="GS96" s="56"/>
      <c r="GT96" s="56"/>
      <c r="GU96" s="56"/>
      <c r="GV96" s="56"/>
      <c r="GW96" s="56"/>
      <c r="GX96" s="56"/>
      <c r="GY96" s="56"/>
      <c r="GZ96" s="56"/>
      <c r="HA96" s="56"/>
      <c r="HB96" s="56"/>
      <c r="HC96" s="56"/>
      <c r="HD96" s="56"/>
      <c r="HE96" s="56"/>
      <c r="HF96" s="56"/>
      <c r="HG96" s="56"/>
      <c r="HH96" s="56"/>
      <c r="HI96" s="56"/>
      <c r="HJ96" s="56"/>
    </row>
    <row r="97" spans="1:218" ht="15.75" customHeight="1" x14ac:dyDescent="0.2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  <c r="FK97" s="56"/>
      <c r="FL97" s="56"/>
      <c r="FM97" s="56"/>
      <c r="FN97" s="56"/>
      <c r="FO97" s="56"/>
      <c r="FP97" s="56"/>
      <c r="FQ97" s="56"/>
      <c r="FR97" s="56"/>
      <c r="FS97" s="56"/>
      <c r="FT97" s="56"/>
      <c r="FU97" s="56"/>
      <c r="FV97" s="56"/>
      <c r="FW97" s="56"/>
      <c r="FX97" s="56"/>
      <c r="FY97" s="56"/>
      <c r="FZ97" s="56"/>
      <c r="GA97" s="56"/>
      <c r="GB97" s="56"/>
      <c r="GC97" s="56"/>
      <c r="GD97" s="56"/>
      <c r="GE97" s="56"/>
      <c r="GF97" s="56"/>
      <c r="GG97" s="56"/>
      <c r="GH97" s="56"/>
      <c r="GI97" s="56"/>
      <c r="GJ97" s="56"/>
      <c r="GK97" s="56"/>
      <c r="GL97" s="56"/>
      <c r="GM97" s="56"/>
      <c r="GN97" s="56"/>
      <c r="GO97" s="56"/>
      <c r="GP97" s="56"/>
      <c r="GQ97" s="56"/>
      <c r="GR97" s="56"/>
      <c r="GS97" s="56"/>
      <c r="GT97" s="56"/>
      <c r="GU97" s="56"/>
      <c r="GV97" s="56"/>
      <c r="GW97" s="56"/>
      <c r="GX97" s="56"/>
      <c r="GY97" s="56"/>
      <c r="GZ97" s="56"/>
      <c r="HA97" s="56"/>
      <c r="HB97" s="56"/>
      <c r="HC97" s="56"/>
      <c r="HD97" s="56"/>
      <c r="HE97" s="56"/>
      <c r="HF97" s="56"/>
      <c r="HG97" s="56"/>
      <c r="HH97" s="56"/>
      <c r="HI97" s="56"/>
      <c r="HJ97" s="56"/>
    </row>
    <row r="98" spans="1:218" ht="15.75" customHeight="1" x14ac:dyDescent="0.2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  <c r="FK98" s="56"/>
      <c r="FL98" s="56"/>
      <c r="FM98" s="56"/>
      <c r="FN98" s="56"/>
      <c r="FO98" s="56"/>
      <c r="FP98" s="56"/>
      <c r="FQ98" s="56"/>
      <c r="FR98" s="56"/>
      <c r="FS98" s="56"/>
      <c r="FT98" s="56"/>
      <c r="FU98" s="56"/>
      <c r="FV98" s="56"/>
      <c r="FW98" s="56"/>
      <c r="FX98" s="56"/>
      <c r="FY98" s="56"/>
      <c r="FZ98" s="56"/>
      <c r="GA98" s="56"/>
      <c r="GB98" s="56"/>
      <c r="GC98" s="56"/>
      <c r="GD98" s="56"/>
      <c r="GE98" s="56"/>
      <c r="GF98" s="56"/>
      <c r="GG98" s="56"/>
      <c r="GH98" s="56"/>
      <c r="GI98" s="56"/>
      <c r="GJ98" s="56"/>
      <c r="GK98" s="56"/>
      <c r="GL98" s="56"/>
      <c r="GM98" s="56"/>
      <c r="GN98" s="56"/>
      <c r="GO98" s="56"/>
      <c r="GP98" s="56"/>
      <c r="GQ98" s="56"/>
      <c r="GR98" s="56"/>
      <c r="GS98" s="56"/>
      <c r="GT98" s="56"/>
      <c r="GU98" s="56"/>
      <c r="GV98" s="56"/>
      <c r="GW98" s="56"/>
      <c r="GX98" s="56"/>
      <c r="GY98" s="56"/>
      <c r="GZ98" s="56"/>
      <c r="HA98" s="56"/>
      <c r="HB98" s="56"/>
      <c r="HC98" s="56"/>
      <c r="HD98" s="56"/>
      <c r="HE98" s="56"/>
      <c r="HF98" s="56"/>
      <c r="HG98" s="56"/>
      <c r="HH98" s="56"/>
      <c r="HI98" s="56"/>
      <c r="HJ98" s="56"/>
    </row>
    <row r="99" spans="1:218" ht="15.75" customHeight="1" x14ac:dyDescent="0.2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  <c r="FK99" s="56"/>
      <c r="FL99" s="56"/>
      <c r="FM99" s="56"/>
      <c r="FN99" s="56"/>
      <c r="FO99" s="56"/>
      <c r="FP99" s="56"/>
      <c r="FQ99" s="56"/>
      <c r="FR99" s="56"/>
      <c r="FS99" s="56"/>
      <c r="FT99" s="56"/>
      <c r="FU99" s="56"/>
      <c r="FV99" s="56"/>
      <c r="FW99" s="56"/>
      <c r="FX99" s="56"/>
      <c r="FY99" s="56"/>
      <c r="FZ99" s="56"/>
      <c r="GA99" s="56"/>
      <c r="GB99" s="56"/>
      <c r="GC99" s="56"/>
      <c r="GD99" s="56"/>
      <c r="GE99" s="56"/>
      <c r="GF99" s="56"/>
      <c r="GG99" s="56"/>
      <c r="GH99" s="56"/>
      <c r="GI99" s="56"/>
      <c r="GJ99" s="56"/>
      <c r="GK99" s="56"/>
      <c r="GL99" s="56"/>
      <c r="GM99" s="56"/>
      <c r="GN99" s="56"/>
      <c r="GO99" s="56"/>
      <c r="GP99" s="56"/>
      <c r="GQ99" s="56"/>
      <c r="GR99" s="56"/>
      <c r="GS99" s="56"/>
      <c r="GT99" s="56"/>
      <c r="GU99" s="56"/>
      <c r="GV99" s="56"/>
      <c r="GW99" s="56"/>
      <c r="GX99" s="56"/>
      <c r="GY99" s="56"/>
      <c r="GZ99" s="56"/>
      <c r="HA99" s="56"/>
      <c r="HB99" s="56"/>
      <c r="HC99" s="56"/>
      <c r="HD99" s="56"/>
      <c r="HE99" s="56"/>
      <c r="HF99" s="56"/>
      <c r="HG99" s="56"/>
      <c r="HH99" s="56"/>
      <c r="HI99" s="56"/>
      <c r="HJ99" s="56"/>
    </row>
    <row r="100" spans="1:218" ht="15.75" customHeight="1" x14ac:dyDescent="0.2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  <c r="FK100" s="56"/>
      <c r="FL100" s="56"/>
      <c r="FM100" s="56"/>
      <c r="FN100" s="56"/>
      <c r="FO100" s="56"/>
      <c r="FP100" s="56"/>
      <c r="FQ100" s="56"/>
      <c r="FR100" s="56"/>
      <c r="FS100" s="56"/>
      <c r="FT100" s="56"/>
      <c r="FU100" s="56"/>
      <c r="FV100" s="56"/>
      <c r="FW100" s="56"/>
      <c r="FX100" s="56"/>
      <c r="FY100" s="56"/>
      <c r="FZ100" s="56"/>
      <c r="GA100" s="56"/>
      <c r="GB100" s="56"/>
      <c r="GC100" s="56"/>
      <c r="GD100" s="56"/>
      <c r="GE100" s="56"/>
      <c r="GF100" s="56"/>
      <c r="GG100" s="56"/>
      <c r="GH100" s="56"/>
      <c r="GI100" s="56"/>
      <c r="GJ100" s="56"/>
      <c r="GK100" s="56"/>
      <c r="GL100" s="56"/>
      <c r="GM100" s="56"/>
      <c r="GN100" s="56"/>
      <c r="GO100" s="56"/>
      <c r="GP100" s="56"/>
      <c r="GQ100" s="56"/>
      <c r="GR100" s="56"/>
      <c r="GS100" s="56"/>
      <c r="GT100" s="56"/>
      <c r="GU100" s="56"/>
      <c r="GV100" s="56"/>
      <c r="GW100" s="56"/>
      <c r="GX100" s="56"/>
      <c r="GY100" s="56"/>
      <c r="GZ100" s="56"/>
      <c r="HA100" s="56"/>
      <c r="HB100" s="56"/>
      <c r="HC100" s="56"/>
      <c r="HD100" s="56"/>
      <c r="HE100" s="56"/>
      <c r="HF100" s="56"/>
      <c r="HG100" s="56"/>
      <c r="HH100" s="56"/>
      <c r="HI100" s="56"/>
      <c r="HJ100" s="56"/>
    </row>
    <row r="101" spans="1:218" ht="15.75" customHeight="1" x14ac:dyDescent="0.2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6"/>
      <c r="CV101" s="56"/>
      <c r="CW101" s="56"/>
      <c r="CX101" s="56"/>
      <c r="CY101" s="56"/>
      <c r="CZ101" s="56"/>
      <c r="DA101" s="56"/>
      <c r="DB101" s="56"/>
      <c r="DC101" s="56"/>
      <c r="DD101" s="56"/>
      <c r="DE101" s="56"/>
      <c r="DF101" s="56"/>
      <c r="DG101" s="56"/>
      <c r="DH101" s="56"/>
      <c r="DI101" s="56"/>
      <c r="DJ101" s="56"/>
      <c r="DK101" s="56"/>
      <c r="DL101" s="56"/>
      <c r="DM101" s="56"/>
      <c r="DN101" s="56"/>
      <c r="DO101" s="56"/>
      <c r="DP101" s="56"/>
      <c r="DQ101" s="56"/>
      <c r="DR101" s="56"/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  <c r="EG101" s="56"/>
      <c r="EH101" s="56"/>
      <c r="EI101" s="56"/>
      <c r="EJ101" s="56"/>
      <c r="EK101" s="56"/>
      <c r="EL101" s="56"/>
      <c r="EM101" s="56"/>
      <c r="EN101" s="56"/>
      <c r="EO101" s="56"/>
      <c r="EP101" s="56"/>
      <c r="EQ101" s="56"/>
      <c r="ER101" s="56"/>
      <c r="ES101" s="56"/>
      <c r="ET101" s="56"/>
      <c r="EU101" s="56"/>
      <c r="EV101" s="56"/>
      <c r="EW101" s="56"/>
      <c r="EX101" s="56"/>
      <c r="EY101" s="56"/>
      <c r="EZ101" s="56"/>
      <c r="FA101" s="56"/>
      <c r="FB101" s="56"/>
      <c r="FC101" s="56"/>
      <c r="FD101" s="56"/>
      <c r="FE101" s="56"/>
      <c r="FF101" s="56"/>
      <c r="FG101" s="56"/>
      <c r="FH101" s="56"/>
      <c r="FI101" s="56"/>
      <c r="FJ101" s="56"/>
      <c r="FK101" s="56"/>
      <c r="FL101" s="56"/>
      <c r="FM101" s="56"/>
      <c r="FN101" s="56"/>
      <c r="FO101" s="56"/>
      <c r="FP101" s="56"/>
      <c r="FQ101" s="56"/>
      <c r="FR101" s="56"/>
      <c r="FS101" s="56"/>
      <c r="FT101" s="56"/>
      <c r="FU101" s="56"/>
      <c r="FV101" s="56"/>
      <c r="FW101" s="56"/>
      <c r="FX101" s="56"/>
      <c r="FY101" s="56"/>
      <c r="FZ101" s="56"/>
      <c r="GA101" s="56"/>
      <c r="GB101" s="56"/>
      <c r="GC101" s="56"/>
      <c r="GD101" s="56"/>
      <c r="GE101" s="56"/>
      <c r="GF101" s="56"/>
      <c r="GG101" s="56"/>
      <c r="GH101" s="56"/>
      <c r="GI101" s="56"/>
      <c r="GJ101" s="56"/>
      <c r="GK101" s="56"/>
      <c r="GL101" s="56"/>
      <c r="GM101" s="56"/>
      <c r="GN101" s="56"/>
      <c r="GO101" s="56"/>
      <c r="GP101" s="56"/>
      <c r="GQ101" s="56"/>
      <c r="GR101" s="56"/>
      <c r="GS101" s="56"/>
      <c r="GT101" s="56"/>
      <c r="GU101" s="56"/>
      <c r="GV101" s="56"/>
      <c r="GW101" s="56"/>
      <c r="GX101" s="56"/>
      <c r="GY101" s="56"/>
      <c r="GZ101" s="56"/>
      <c r="HA101" s="56"/>
      <c r="HB101" s="56"/>
      <c r="HC101" s="56"/>
      <c r="HD101" s="56"/>
      <c r="HE101" s="56"/>
      <c r="HF101" s="56"/>
      <c r="HG101" s="56"/>
      <c r="HH101" s="56"/>
      <c r="HI101" s="56"/>
      <c r="HJ101" s="56"/>
    </row>
    <row r="102" spans="1:218" ht="15.75" customHeight="1" x14ac:dyDescent="0.2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  <c r="CZ102" s="56"/>
      <c r="DA102" s="56"/>
      <c r="DB102" s="56"/>
      <c r="DC102" s="56"/>
      <c r="DD102" s="56"/>
      <c r="DE102" s="56"/>
      <c r="DF102" s="56"/>
      <c r="DG102" s="56"/>
      <c r="DH102" s="56"/>
      <c r="DI102" s="56"/>
      <c r="DJ102" s="56"/>
      <c r="DK102" s="56"/>
      <c r="DL102" s="56"/>
      <c r="DM102" s="56"/>
      <c r="DN102" s="56"/>
      <c r="DO102" s="56"/>
      <c r="DP102" s="56"/>
      <c r="DQ102" s="56"/>
      <c r="DR102" s="56"/>
      <c r="DS102" s="56"/>
      <c r="DT102" s="56"/>
      <c r="DU102" s="56"/>
      <c r="DV102" s="56"/>
      <c r="DW102" s="56"/>
      <c r="DX102" s="56"/>
      <c r="DY102" s="56"/>
      <c r="DZ102" s="56"/>
      <c r="EA102" s="56"/>
      <c r="EB102" s="56"/>
      <c r="EC102" s="56"/>
      <c r="ED102" s="56"/>
      <c r="EE102" s="56"/>
      <c r="EF102" s="56"/>
      <c r="EG102" s="56"/>
      <c r="EH102" s="56"/>
      <c r="EI102" s="56"/>
      <c r="EJ102" s="56"/>
      <c r="EK102" s="56"/>
      <c r="EL102" s="56"/>
      <c r="EM102" s="56"/>
      <c r="EN102" s="56"/>
      <c r="EO102" s="56"/>
      <c r="EP102" s="56"/>
      <c r="EQ102" s="56"/>
      <c r="ER102" s="56"/>
      <c r="ES102" s="56"/>
      <c r="ET102" s="56"/>
      <c r="EU102" s="56"/>
      <c r="EV102" s="56"/>
      <c r="EW102" s="56"/>
      <c r="EX102" s="56"/>
      <c r="EY102" s="56"/>
      <c r="EZ102" s="56"/>
      <c r="FA102" s="56"/>
      <c r="FB102" s="56"/>
      <c r="FC102" s="56"/>
      <c r="FD102" s="56"/>
      <c r="FE102" s="56"/>
      <c r="FF102" s="56"/>
      <c r="FG102" s="56"/>
      <c r="FH102" s="56"/>
      <c r="FI102" s="56"/>
      <c r="FJ102" s="56"/>
      <c r="FK102" s="56"/>
      <c r="FL102" s="56"/>
      <c r="FM102" s="56"/>
      <c r="FN102" s="56"/>
      <c r="FO102" s="56"/>
      <c r="FP102" s="56"/>
      <c r="FQ102" s="56"/>
      <c r="FR102" s="56"/>
      <c r="FS102" s="56"/>
      <c r="FT102" s="56"/>
      <c r="FU102" s="56"/>
      <c r="FV102" s="56"/>
      <c r="FW102" s="56"/>
      <c r="FX102" s="56"/>
      <c r="FY102" s="56"/>
      <c r="FZ102" s="56"/>
      <c r="GA102" s="56"/>
      <c r="GB102" s="56"/>
      <c r="GC102" s="56"/>
      <c r="GD102" s="56"/>
      <c r="GE102" s="56"/>
      <c r="GF102" s="56"/>
      <c r="GG102" s="56"/>
      <c r="GH102" s="56"/>
      <c r="GI102" s="56"/>
      <c r="GJ102" s="56"/>
      <c r="GK102" s="56"/>
      <c r="GL102" s="56"/>
      <c r="GM102" s="56"/>
      <c r="GN102" s="56"/>
      <c r="GO102" s="56"/>
      <c r="GP102" s="56"/>
      <c r="GQ102" s="56"/>
      <c r="GR102" s="56"/>
      <c r="GS102" s="56"/>
      <c r="GT102" s="56"/>
      <c r="GU102" s="56"/>
      <c r="GV102" s="56"/>
      <c r="GW102" s="56"/>
      <c r="GX102" s="56"/>
      <c r="GY102" s="56"/>
      <c r="GZ102" s="56"/>
      <c r="HA102" s="56"/>
      <c r="HB102" s="56"/>
      <c r="HC102" s="56"/>
      <c r="HD102" s="56"/>
      <c r="HE102" s="56"/>
      <c r="HF102" s="56"/>
      <c r="HG102" s="56"/>
      <c r="HH102" s="56"/>
      <c r="HI102" s="56"/>
      <c r="HJ102" s="56"/>
    </row>
    <row r="103" spans="1:218" ht="15.75" customHeight="1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  <c r="CX103" s="56"/>
      <c r="CY103" s="56"/>
      <c r="CZ103" s="56"/>
      <c r="DA103" s="56"/>
      <c r="DB103" s="56"/>
      <c r="DC103" s="56"/>
      <c r="DD103" s="56"/>
      <c r="DE103" s="56"/>
      <c r="DF103" s="56"/>
      <c r="DG103" s="56"/>
      <c r="DH103" s="56"/>
      <c r="DI103" s="56"/>
      <c r="DJ103" s="56"/>
      <c r="DK103" s="56"/>
      <c r="DL103" s="56"/>
      <c r="DM103" s="56"/>
      <c r="DN103" s="56"/>
      <c r="DO103" s="56"/>
      <c r="DP103" s="56"/>
      <c r="DQ103" s="56"/>
      <c r="DR103" s="56"/>
      <c r="DS103" s="56"/>
      <c r="DT103" s="56"/>
      <c r="DU103" s="56"/>
      <c r="DV103" s="56"/>
      <c r="DW103" s="56"/>
      <c r="DX103" s="56"/>
      <c r="DY103" s="56"/>
      <c r="DZ103" s="56"/>
      <c r="EA103" s="56"/>
      <c r="EB103" s="56"/>
      <c r="EC103" s="56"/>
      <c r="ED103" s="56"/>
      <c r="EE103" s="56"/>
      <c r="EF103" s="56"/>
      <c r="EG103" s="56"/>
      <c r="EH103" s="56"/>
      <c r="EI103" s="56"/>
      <c r="EJ103" s="56"/>
      <c r="EK103" s="56"/>
      <c r="EL103" s="56"/>
      <c r="EM103" s="56"/>
      <c r="EN103" s="56"/>
      <c r="EO103" s="56"/>
      <c r="EP103" s="56"/>
      <c r="EQ103" s="56"/>
      <c r="ER103" s="56"/>
      <c r="ES103" s="56"/>
      <c r="ET103" s="56"/>
      <c r="EU103" s="56"/>
      <c r="EV103" s="56"/>
      <c r="EW103" s="56"/>
      <c r="EX103" s="56"/>
      <c r="EY103" s="56"/>
      <c r="EZ103" s="56"/>
      <c r="FA103" s="56"/>
      <c r="FB103" s="56"/>
      <c r="FC103" s="56"/>
      <c r="FD103" s="56"/>
      <c r="FE103" s="56"/>
      <c r="FF103" s="56"/>
      <c r="FG103" s="56"/>
      <c r="FH103" s="56"/>
      <c r="FI103" s="56"/>
      <c r="FJ103" s="56"/>
      <c r="FK103" s="56"/>
      <c r="FL103" s="56"/>
      <c r="FM103" s="56"/>
      <c r="FN103" s="56"/>
      <c r="FO103" s="56"/>
      <c r="FP103" s="56"/>
      <c r="FQ103" s="56"/>
      <c r="FR103" s="56"/>
      <c r="FS103" s="56"/>
      <c r="FT103" s="56"/>
      <c r="FU103" s="56"/>
      <c r="FV103" s="56"/>
      <c r="FW103" s="56"/>
      <c r="FX103" s="56"/>
      <c r="FY103" s="56"/>
      <c r="FZ103" s="56"/>
      <c r="GA103" s="56"/>
      <c r="GB103" s="56"/>
      <c r="GC103" s="56"/>
      <c r="GD103" s="56"/>
      <c r="GE103" s="56"/>
      <c r="GF103" s="56"/>
      <c r="GG103" s="56"/>
      <c r="GH103" s="56"/>
      <c r="GI103" s="56"/>
      <c r="GJ103" s="56"/>
      <c r="GK103" s="56"/>
      <c r="GL103" s="56"/>
      <c r="GM103" s="56"/>
      <c r="GN103" s="56"/>
      <c r="GO103" s="56"/>
      <c r="GP103" s="56"/>
      <c r="GQ103" s="56"/>
      <c r="GR103" s="56"/>
      <c r="GS103" s="56"/>
      <c r="GT103" s="56"/>
      <c r="GU103" s="56"/>
      <c r="GV103" s="56"/>
      <c r="GW103" s="56"/>
      <c r="GX103" s="56"/>
      <c r="GY103" s="56"/>
      <c r="GZ103" s="56"/>
      <c r="HA103" s="56"/>
      <c r="HB103" s="56"/>
      <c r="HC103" s="56"/>
      <c r="HD103" s="56"/>
      <c r="HE103" s="56"/>
      <c r="HF103" s="56"/>
      <c r="HG103" s="56"/>
      <c r="HH103" s="56"/>
      <c r="HI103" s="56"/>
      <c r="HJ103" s="56"/>
    </row>
    <row r="104" spans="1:218" ht="15.75" customHeight="1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  <c r="DA104" s="56"/>
      <c r="DB104" s="56"/>
      <c r="DC104" s="56"/>
      <c r="DD104" s="56"/>
      <c r="DE104" s="56"/>
      <c r="DF104" s="56"/>
      <c r="DG104" s="56"/>
      <c r="DH104" s="56"/>
      <c r="DI104" s="56"/>
      <c r="DJ104" s="56"/>
      <c r="DK104" s="56"/>
      <c r="DL104" s="56"/>
      <c r="DM104" s="56"/>
      <c r="DN104" s="56"/>
      <c r="DO104" s="56"/>
      <c r="DP104" s="56"/>
      <c r="DQ104" s="56"/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56"/>
      <c r="EN104" s="56"/>
      <c r="EO104" s="56"/>
      <c r="EP104" s="56"/>
      <c r="EQ104" s="56"/>
      <c r="ER104" s="56"/>
      <c r="ES104" s="56"/>
      <c r="ET104" s="56"/>
      <c r="EU104" s="56"/>
      <c r="EV104" s="56"/>
      <c r="EW104" s="56"/>
      <c r="EX104" s="56"/>
      <c r="EY104" s="56"/>
      <c r="EZ104" s="56"/>
      <c r="FA104" s="56"/>
      <c r="FB104" s="56"/>
      <c r="FC104" s="56"/>
      <c r="FD104" s="56"/>
      <c r="FE104" s="56"/>
      <c r="FF104" s="56"/>
      <c r="FG104" s="56"/>
      <c r="FH104" s="56"/>
      <c r="FI104" s="56"/>
      <c r="FJ104" s="56"/>
      <c r="FK104" s="56"/>
      <c r="FL104" s="56"/>
      <c r="FM104" s="56"/>
      <c r="FN104" s="56"/>
      <c r="FO104" s="56"/>
      <c r="FP104" s="56"/>
      <c r="FQ104" s="56"/>
      <c r="FR104" s="56"/>
      <c r="FS104" s="56"/>
      <c r="FT104" s="56"/>
      <c r="FU104" s="56"/>
      <c r="FV104" s="56"/>
      <c r="FW104" s="56"/>
      <c r="FX104" s="56"/>
      <c r="FY104" s="56"/>
      <c r="FZ104" s="56"/>
      <c r="GA104" s="56"/>
      <c r="GB104" s="56"/>
      <c r="GC104" s="56"/>
      <c r="GD104" s="56"/>
      <c r="GE104" s="56"/>
      <c r="GF104" s="56"/>
      <c r="GG104" s="56"/>
      <c r="GH104" s="56"/>
      <c r="GI104" s="56"/>
      <c r="GJ104" s="56"/>
      <c r="GK104" s="56"/>
      <c r="GL104" s="56"/>
      <c r="GM104" s="56"/>
      <c r="GN104" s="56"/>
      <c r="GO104" s="56"/>
      <c r="GP104" s="56"/>
      <c r="GQ104" s="56"/>
      <c r="GR104" s="56"/>
      <c r="GS104" s="56"/>
      <c r="GT104" s="56"/>
      <c r="GU104" s="56"/>
      <c r="GV104" s="56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</row>
    <row r="105" spans="1:218" ht="15.75" customHeight="1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56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  <c r="EL105" s="56"/>
      <c r="EM105" s="56"/>
      <c r="EN105" s="56"/>
      <c r="EO105" s="56"/>
      <c r="EP105" s="56"/>
      <c r="EQ105" s="56"/>
      <c r="ER105" s="56"/>
      <c r="ES105" s="56"/>
      <c r="ET105" s="56"/>
      <c r="EU105" s="56"/>
      <c r="EV105" s="56"/>
      <c r="EW105" s="56"/>
      <c r="EX105" s="56"/>
      <c r="EY105" s="56"/>
      <c r="EZ105" s="56"/>
      <c r="FA105" s="56"/>
      <c r="FB105" s="56"/>
      <c r="FC105" s="56"/>
      <c r="FD105" s="56"/>
      <c r="FE105" s="56"/>
      <c r="FF105" s="56"/>
      <c r="FG105" s="56"/>
      <c r="FH105" s="56"/>
      <c r="FI105" s="56"/>
      <c r="FJ105" s="56"/>
      <c r="FK105" s="56"/>
      <c r="FL105" s="56"/>
      <c r="FM105" s="56"/>
      <c r="FN105" s="56"/>
      <c r="FO105" s="56"/>
      <c r="FP105" s="56"/>
      <c r="FQ105" s="56"/>
      <c r="FR105" s="56"/>
      <c r="FS105" s="56"/>
      <c r="FT105" s="56"/>
      <c r="FU105" s="56"/>
      <c r="FV105" s="56"/>
      <c r="FW105" s="56"/>
      <c r="FX105" s="56"/>
      <c r="FY105" s="56"/>
      <c r="FZ105" s="56"/>
      <c r="GA105" s="56"/>
      <c r="GB105" s="56"/>
      <c r="GC105" s="56"/>
      <c r="GD105" s="56"/>
      <c r="GE105" s="56"/>
      <c r="GF105" s="56"/>
      <c r="GG105" s="56"/>
      <c r="GH105" s="56"/>
      <c r="GI105" s="56"/>
      <c r="GJ105" s="56"/>
      <c r="GK105" s="56"/>
      <c r="GL105" s="56"/>
      <c r="GM105" s="56"/>
      <c r="GN105" s="56"/>
      <c r="GO105" s="56"/>
      <c r="GP105" s="56"/>
      <c r="GQ105" s="56"/>
      <c r="GR105" s="56"/>
      <c r="GS105" s="56"/>
      <c r="GT105" s="56"/>
      <c r="GU105" s="56"/>
      <c r="GV105" s="56"/>
      <c r="GW105" s="56"/>
      <c r="GX105" s="56"/>
      <c r="GY105" s="56"/>
      <c r="GZ105" s="56"/>
      <c r="HA105" s="56"/>
      <c r="HB105" s="56"/>
      <c r="HC105" s="56"/>
      <c r="HD105" s="56"/>
      <c r="HE105" s="56"/>
      <c r="HF105" s="56"/>
      <c r="HG105" s="56"/>
      <c r="HH105" s="56"/>
      <c r="HI105" s="56"/>
      <c r="HJ105" s="56"/>
    </row>
    <row r="106" spans="1:218" ht="15.75" customHeight="1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  <c r="DA106" s="56"/>
      <c r="DB106" s="56"/>
      <c r="DC106" s="56"/>
      <c r="DD106" s="56"/>
      <c r="DE106" s="56"/>
      <c r="DF106" s="56"/>
      <c r="DG106" s="56"/>
      <c r="DH106" s="56"/>
      <c r="DI106" s="56"/>
      <c r="DJ106" s="56"/>
      <c r="DK106" s="56"/>
      <c r="DL106" s="56"/>
      <c r="DM106" s="56"/>
      <c r="DN106" s="56"/>
      <c r="DO106" s="56"/>
      <c r="DP106" s="56"/>
      <c r="DQ106" s="56"/>
      <c r="DR106" s="56"/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  <c r="EG106" s="56"/>
      <c r="EH106" s="56"/>
      <c r="EI106" s="56"/>
      <c r="EJ106" s="56"/>
      <c r="EK106" s="56"/>
      <c r="EL106" s="56"/>
      <c r="EM106" s="56"/>
      <c r="EN106" s="56"/>
      <c r="EO106" s="56"/>
      <c r="EP106" s="56"/>
      <c r="EQ106" s="56"/>
      <c r="ER106" s="56"/>
      <c r="ES106" s="56"/>
      <c r="ET106" s="56"/>
      <c r="EU106" s="56"/>
      <c r="EV106" s="56"/>
      <c r="EW106" s="56"/>
      <c r="EX106" s="56"/>
      <c r="EY106" s="56"/>
      <c r="EZ106" s="56"/>
      <c r="FA106" s="56"/>
      <c r="FB106" s="56"/>
      <c r="FC106" s="56"/>
      <c r="FD106" s="56"/>
      <c r="FE106" s="56"/>
      <c r="FF106" s="56"/>
      <c r="FG106" s="56"/>
      <c r="FH106" s="56"/>
      <c r="FI106" s="56"/>
      <c r="FJ106" s="56"/>
      <c r="FK106" s="56"/>
      <c r="FL106" s="56"/>
      <c r="FM106" s="56"/>
      <c r="FN106" s="56"/>
      <c r="FO106" s="56"/>
      <c r="FP106" s="56"/>
      <c r="FQ106" s="56"/>
      <c r="FR106" s="56"/>
      <c r="FS106" s="56"/>
      <c r="FT106" s="56"/>
      <c r="FU106" s="56"/>
      <c r="FV106" s="56"/>
      <c r="FW106" s="56"/>
      <c r="FX106" s="56"/>
      <c r="FY106" s="56"/>
      <c r="FZ106" s="56"/>
      <c r="GA106" s="56"/>
      <c r="GB106" s="56"/>
      <c r="GC106" s="56"/>
      <c r="GD106" s="56"/>
      <c r="GE106" s="56"/>
      <c r="GF106" s="56"/>
      <c r="GG106" s="56"/>
      <c r="GH106" s="56"/>
      <c r="GI106" s="56"/>
      <c r="GJ106" s="56"/>
      <c r="GK106" s="56"/>
      <c r="GL106" s="56"/>
      <c r="GM106" s="56"/>
      <c r="GN106" s="56"/>
      <c r="GO106" s="56"/>
      <c r="GP106" s="56"/>
      <c r="GQ106" s="56"/>
      <c r="GR106" s="56"/>
      <c r="GS106" s="56"/>
      <c r="GT106" s="56"/>
      <c r="GU106" s="56"/>
      <c r="GV106" s="56"/>
      <c r="GW106" s="56"/>
      <c r="GX106" s="56"/>
      <c r="GY106" s="56"/>
      <c r="GZ106" s="56"/>
      <c r="HA106" s="56"/>
      <c r="HB106" s="56"/>
      <c r="HC106" s="56"/>
      <c r="HD106" s="56"/>
      <c r="HE106" s="56"/>
      <c r="HF106" s="56"/>
      <c r="HG106" s="56"/>
      <c r="HH106" s="56"/>
      <c r="HI106" s="56"/>
      <c r="HJ106" s="56"/>
    </row>
    <row r="107" spans="1:218" ht="15.75" customHeight="1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56"/>
      <c r="CP107" s="56"/>
      <c r="CQ107" s="56"/>
      <c r="CR107" s="56"/>
      <c r="CS107" s="56"/>
      <c r="CT107" s="56"/>
      <c r="CU107" s="56"/>
      <c r="CV107" s="56"/>
      <c r="CW107" s="56"/>
      <c r="CX107" s="56"/>
      <c r="CY107" s="56"/>
      <c r="CZ107" s="56"/>
      <c r="DA107" s="56"/>
      <c r="DB107" s="56"/>
      <c r="DC107" s="56"/>
      <c r="DD107" s="56"/>
      <c r="DE107" s="56"/>
      <c r="DF107" s="56"/>
      <c r="DG107" s="56"/>
      <c r="DH107" s="56"/>
      <c r="DI107" s="56"/>
      <c r="DJ107" s="56"/>
      <c r="DK107" s="56"/>
      <c r="DL107" s="56"/>
      <c r="DM107" s="56"/>
      <c r="DN107" s="56"/>
      <c r="DO107" s="56"/>
      <c r="DP107" s="56"/>
      <c r="DQ107" s="56"/>
      <c r="DR107" s="56"/>
      <c r="DS107" s="56"/>
      <c r="DT107" s="56"/>
      <c r="DU107" s="56"/>
      <c r="DV107" s="56"/>
      <c r="DW107" s="56"/>
      <c r="DX107" s="56"/>
      <c r="DY107" s="56"/>
      <c r="DZ107" s="56"/>
      <c r="EA107" s="56"/>
      <c r="EB107" s="56"/>
      <c r="EC107" s="56"/>
      <c r="ED107" s="56"/>
      <c r="EE107" s="56"/>
      <c r="EF107" s="56"/>
      <c r="EG107" s="56"/>
      <c r="EH107" s="56"/>
      <c r="EI107" s="56"/>
      <c r="EJ107" s="56"/>
      <c r="EK107" s="56"/>
      <c r="EL107" s="56"/>
      <c r="EM107" s="56"/>
      <c r="EN107" s="56"/>
      <c r="EO107" s="56"/>
      <c r="EP107" s="56"/>
      <c r="EQ107" s="56"/>
      <c r="ER107" s="56"/>
      <c r="ES107" s="56"/>
      <c r="ET107" s="56"/>
      <c r="EU107" s="56"/>
      <c r="EV107" s="56"/>
      <c r="EW107" s="56"/>
      <c r="EX107" s="56"/>
      <c r="EY107" s="56"/>
      <c r="EZ107" s="56"/>
      <c r="FA107" s="56"/>
      <c r="FB107" s="56"/>
      <c r="FC107" s="56"/>
      <c r="FD107" s="56"/>
      <c r="FE107" s="56"/>
      <c r="FF107" s="56"/>
      <c r="FG107" s="56"/>
      <c r="FH107" s="56"/>
      <c r="FI107" s="56"/>
      <c r="FJ107" s="56"/>
      <c r="FK107" s="56"/>
      <c r="FL107" s="56"/>
      <c r="FM107" s="56"/>
      <c r="FN107" s="56"/>
      <c r="FO107" s="56"/>
      <c r="FP107" s="56"/>
      <c r="FQ107" s="56"/>
      <c r="FR107" s="56"/>
      <c r="FS107" s="56"/>
      <c r="FT107" s="56"/>
      <c r="FU107" s="56"/>
      <c r="FV107" s="56"/>
      <c r="FW107" s="56"/>
      <c r="FX107" s="56"/>
      <c r="FY107" s="56"/>
      <c r="FZ107" s="56"/>
      <c r="GA107" s="56"/>
      <c r="GB107" s="56"/>
      <c r="GC107" s="56"/>
      <c r="GD107" s="56"/>
      <c r="GE107" s="56"/>
      <c r="GF107" s="56"/>
      <c r="GG107" s="56"/>
      <c r="GH107" s="56"/>
      <c r="GI107" s="56"/>
      <c r="GJ107" s="56"/>
      <c r="GK107" s="56"/>
      <c r="GL107" s="56"/>
      <c r="GM107" s="56"/>
      <c r="GN107" s="56"/>
      <c r="GO107" s="56"/>
      <c r="GP107" s="56"/>
      <c r="GQ107" s="56"/>
      <c r="GR107" s="56"/>
      <c r="GS107" s="56"/>
      <c r="GT107" s="56"/>
      <c r="GU107" s="56"/>
      <c r="GV107" s="56"/>
      <c r="GW107" s="56"/>
      <c r="GX107" s="56"/>
      <c r="GY107" s="56"/>
      <c r="GZ107" s="56"/>
      <c r="HA107" s="56"/>
      <c r="HB107" s="56"/>
      <c r="HC107" s="56"/>
      <c r="HD107" s="56"/>
      <c r="HE107" s="56"/>
      <c r="HF107" s="56"/>
      <c r="HG107" s="56"/>
      <c r="HH107" s="56"/>
      <c r="HI107" s="56"/>
      <c r="HJ107" s="56"/>
    </row>
    <row r="108" spans="1:218" ht="15.75" customHeight="1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6"/>
      <c r="CV108" s="56"/>
      <c r="CW108" s="56"/>
      <c r="CX108" s="56"/>
      <c r="CY108" s="56"/>
      <c r="CZ108" s="56"/>
      <c r="DA108" s="56"/>
      <c r="DB108" s="56"/>
      <c r="DC108" s="56"/>
      <c r="DD108" s="56"/>
      <c r="DE108" s="56"/>
      <c r="DF108" s="56"/>
      <c r="DG108" s="56"/>
      <c r="DH108" s="56"/>
      <c r="DI108" s="56"/>
      <c r="DJ108" s="56"/>
      <c r="DK108" s="56"/>
      <c r="DL108" s="56"/>
      <c r="DM108" s="56"/>
      <c r="DN108" s="56"/>
      <c r="DO108" s="56"/>
      <c r="DP108" s="56"/>
      <c r="DQ108" s="56"/>
      <c r="DR108" s="56"/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  <c r="EG108" s="56"/>
      <c r="EH108" s="56"/>
      <c r="EI108" s="56"/>
      <c r="EJ108" s="56"/>
      <c r="EK108" s="56"/>
      <c r="EL108" s="56"/>
      <c r="EM108" s="56"/>
      <c r="EN108" s="56"/>
      <c r="EO108" s="56"/>
      <c r="EP108" s="56"/>
      <c r="EQ108" s="56"/>
      <c r="ER108" s="56"/>
      <c r="ES108" s="56"/>
      <c r="ET108" s="56"/>
      <c r="EU108" s="56"/>
      <c r="EV108" s="56"/>
      <c r="EW108" s="56"/>
      <c r="EX108" s="56"/>
      <c r="EY108" s="56"/>
      <c r="EZ108" s="56"/>
      <c r="FA108" s="56"/>
      <c r="FB108" s="56"/>
      <c r="FC108" s="56"/>
      <c r="FD108" s="56"/>
      <c r="FE108" s="56"/>
      <c r="FF108" s="56"/>
      <c r="FG108" s="56"/>
      <c r="FH108" s="56"/>
      <c r="FI108" s="56"/>
      <c r="FJ108" s="56"/>
      <c r="FK108" s="56"/>
      <c r="FL108" s="56"/>
      <c r="FM108" s="56"/>
      <c r="FN108" s="56"/>
      <c r="FO108" s="56"/>
      <c r="FP108" s="56"/>
      <c r="FQ108" s="56"/>
      <c r="FR108" s="56"/>
      <c r="FS108" s="56"/>
      <c r="FT108" s="56"/>
      <c r="FU108" s="56"/>
      <c r="FV108" s="56"/>
      <c r="FW108" s="56"/>
      <c r="FX108" s="56"/>
      <c r="FY108" s="56"/>
      <c r="FZ108" s="56"/>
      <c r="GA108" s="56"/>
      <c r="GB108" s="56"/>
      <c r="GC108" s="56"/>
      <c r="GD108" s="56"/>
      <c r="GE108" s="56"/>
      <c r="GF108" s="56"/>
      <c r="GG108" s="56"/>
      <c r="GH108" s="56"/>
      <c r="GI108" s="56"/>
      <c r="GJ108" s="56"/>
      <c r="GK108" s="56"/>
      <c r="GL108" s="56"/>
      <c r="GM108" s="56"/>
      <c r="GN108" s="56"/>
      <c r="GO108" s="56"/>
      <c r="GP108" s="56"/>
      <c r="GQ108" s="56"/>
      <c r="GR108" s="56"/>
      <c r="GS108" s="56"/>
      <c r="GT108" s="56"/>
      <c r="GU108" s="56"/>
      <c r="GV108" s="56"/>
      <c r="GW108" s="56"/>
      <c r="GX108" s="56"/>
      <c r="GY108" s="56"/>
      <c r="GZ108" s="56"/>
      <c r="HA108" s="56"/>
      <c r="HB108" s="56"/>
      <c r="HC108" s="56"/>
      <c r="HD108" s="56"/>
      <c r="HE108" s="56"/>
      <c r="HF108" s="56"/>
      <c r="HG108" s="56"/>
      <c r="HH108" s="56"/>
      <c r="HI108" s="56"/>
      <c r="HJ108" s="56"/>
    </row>
    <row r="109" spans="1:218" ht="15.75" customHeight="1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6"/>
      <c r="CV109" s="56"/>
      <c r="CW109" s="56"/>
      <c r="CX109" s="56"/>
      <c r="CY109" s="56"/>
      <c r="CZ109" s="56"/>
      <c r="DA109" s="56"/>
      <c r="DB109" s="56"/>
      <c r="DC109" s="56"/>
      <c r="DD109" s="56"/>
      <c r="DE109" s="56"/>
      <c r="DF109" s="56"/>
      <c r="DG109" s="56"/>
      <c r="DH109" s="56"/>
      <c r="DI109" s="56"/>
      <c r="DJ109" s="56"/>
      <c r="DK109" s="56"/>
      <c r="DL109" s="56"/>
      <c r="DM109" s="56"/>
      <c r="DN109" s="56"/>
      <c r="DO109" s="56"/>
      <c r="DP109" s="56"/>
      <c r="DQ109" s="56"/>
      <c r="DR109" s="56"/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  <c r="EG109" s="56"/>
      <c r="EH109" s="56"/>
      <c r="EI109" s="56"/>
      <c r="EJ109" s="56"/>
      <c r="EK109" s="56"/>
      <c r="EL109" s="56"/>
      <c r="EM109" s="56"/>
      <c r="EN109" s="56"/>
      <c r="EO109" s="56"/>
      <c r="EP109" s="56"/>
      <c r="EQ109" s="56"/>
      <c r="ER109" s="56"/>
      <c r="ES109" s="56"/>
      <c r="ET109" s="56"/>
      <c r="EU109" s="56"/>
      <c r="EV109" s="56"/>
      <c r="EW109" s="56"/>
      <c r="EX109" s="56"/>
      <c r="EY109" s="56"/>
      <c r="EZ109" s="56"/>
      <c r="FA109" s="56"/>
      <c r="FB109" s="56"/>
      <c r="FC109" s="56"/>
      <c r="FD109" s="56"/>
      <c r="FE109" s="56"/>
      <c r="FF109" s="56"/>
      <c r="FG109" s="56"/>
      <c r="FH109" s="56"/>
      <c r="FI109" s="56"/>
      <c r="FJ109" s="56"/>
      <c r="FK109" s="56"/>
      <c r="FL109" s="56"/>
      <c r="FM109" s="56"/>
      <c r="FN109" s="56"/>
      <c r="FO109" s="56"/>
      <c r="FP109" s="56"/>
      <c r="FQ109" s="56"/>
      <c r="FR109" s="56"/>
      <c r="FS109" s="56"/>
      <c r="FT109" s="56"/>
      <c r="FU109" s="56"/>
      <c r="FV109" s="56"/>
      <c r="FW109" s="56"/>
      <c r="FX109" s="56"/>
      <c r="FY109" s="56"/>
      <c r="FZ109" s="56"/>
      <c r="GA109" s="56"/>
      <c r="GB109" s="56"/>
      <c r="GC109" s="56"/>
      <c r="GD109" s="56"/>
      <c r="GE109" s="56"/>
      <c r="GF109" s="56"/>
      <c r="GG109" s="56"/>
      <c r="GH109" s="56"/>
      <c r="GI109" s="56"/>
      <c r="GJ109" s="56"/>
      <c r="GK109" s="56"/>
      <c r="GL109" s="56"/>
      <c r="GM109" s="56"/>
      <c r="GN109" s="56"/>
      <c r="GO109" s="56"/>
      <c r="GP109" s="56"/>
      <c r="GQ109" s="56"/>
      <c r="GR109" s="56"/>
      <c r="GS109" s="56"/>
      <c r="GT109" s="56"/>
      <c r="GU109" s="56"/>
      <c r="GV109" s="56"/>
      <c r="GW109" s="56"/>
      <c r="GX109" s="56"/>
      <c r="GY109" s="56"/>
      <c r="GZ109" s="56"/>
      <c r="HA109" s="56"/>
      <c r="HB109" s="56"/>
      <c r="HC109" s="56"/>
      <c r="HD109" s="56"/>
      <c r="HE109" s="56"/>
      <c r="HF109" s="56"/>
      <c r="HG109" s="56"/>
      <c r="HH109" s="56"/>
      <c r="HI109" s="56"/>
      <c r="HJ109" s="56"/>
    </row>
    <row r="110" spans="1:218" ht="15.75" customHeight="1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6"/>
      <c r="CV110" s="56"/>
      <c r="CW110" s="56"/>
      <c r="CX110" s="56"/>
      <c r="CY110" s="56"/>
      <c r="CZ110" s="56"/>
      <c r="DA110" s="56"/>
      <c r="DB110" s="56"/>
      <c r="DC110" s="56"/>
      <c r="DD110" s="56"/>
      <c r="DE110" s="56"/>
      <c r="DF110" s="56"/>
      <c r="DG110" s="56"/>
      <c r="DH110" s="56"/>
      <c r="DI110" s="56"/>
      <c r="DJ110" s="56"/>
      <c r="DK110" s="56"/>
      <c r="DL110" s="56"/>
      <c r="DM110" s="56"/>
      <c r="DN110" s="56"/>
      <c r="DO110" s="56"/>
      <c r="DP110" s="56"/>
      <c r="DQ110" s="56"/>
      <c r="DR110" s="56"/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  <c r="EG110" s="56"/>
      <c r="EH110" s="56"/>
      <c r="EI110" s="56"/>
      <c r="EJ110" s="56"/>
      <c r="EK110" s="56"/>
      <c r="EL110" s="56"/>
      <c r="EM110" s="56"/>
      <c r="EN110" s="56"/>
      <c r="EO110" s="56"/>
      <c r="EP110" s="56"/>
      <c r="EQ110" s="56"/>
      <c r="ER110" s="56"/>
      <c r="ES110" s="56"/>
      <c r="ET110" s="56"/>
      <c r="EU110" s="56"/>
      <c r="EV110" s="56"/>
      <c r="EW110" s="56"/>
      <c r="EX110" s="56"/>
      <c r="EY110" s="56"/>
      <c r="EZ110" s="56"/>
      <c r="FA110" s="56"/>
      <c r="FB110" s="56"/>
      <c r="FC110" s="56"/>
      <c r="FD110" s="56"/>
      <c r="FE110" s="56"/>
      <c r="FF110" s="56"/>
      <c r="FG110" s="56"/>
      <c r="FH110" s="56"/>
      <c r="FI110" s="56"/>
      <c r="FJ110" s="56"/>
      <c r="FK110" s="56"/>
      <c r="FL110" s="56"/>
      <c r="FM110" s="56"/>
      <c r="FN110" s="56"/>
      <c r="FO110" s="56"/>
      <c r="FP110" s="56"/>
      <c r="FQ110" s="56"/>
      <c r="FR110" s="56"/>
      <c r="FS110" s="56"/>
      <c r="FT110" s="56"/>
      <c r="FU110" s="56"/>
      <c r="FV110" s="56"/>
      <c r="FW110" s="56"/>
      <c r="FX110" s="56"/>
      <c r="FY110" s="56"/>
      <c r="FZ110" s="56"/>
      <c r="GA110" s="56"/>
      <c r="GB110" s="56"/>
      <c r="GC110" s="56"/>
      <c r="GD110" s="56"/>
      <c r="GE110" s="56"/>
      <c r="GF110" s="56"/>
      <c r="GG110" s="56"/>
      <c r="GH110" s="56"/>
      <c r="GI110" s="56"/>
      <c r="GJ110" s="56"/>
      <c r="GK110" s="56"/>
      <c r="GL110" s="56"/>
      <c r="GM110" s="56"/>
      <c r="GN110" s="56"/>
      <c r="GO110" s="56"/>
      <c r="GP110" s="56"/>
      <c r="GQ110" s="56"/>
      <c r="GR110" s="56"/>
      <c r="GS110" s="56"/>
      <c r="GT110" s="56"/>
      <c r="GU110" s="56"/>
      <c r="GV110" s="56"/>
      <c r="GW110" s="56"/>
      <c r="GX110" s="56"/>
      <c r="GY110" s="56"/>
      <c r="GZ110" s="56"/>
      <c r="HA110" s="56"/>
      <c r="HB110" s="56"/>
      <c r="HC110" s="56"/>
      <c r="HD110" s="56"/>
      <c r="HE110" s="56"/>
      <c r="HF110" s="56"/>
      <c r="HG110" s="56"/>
      <c r="HH110" s="56"/>
      <c r="HI110" s="56"/>
      <c r="HJ110" s="56"/>
    </row>
    <row r="111" spans="1:218" ht="15.75" customHeight="1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56"/>
      <c r="CW111" s="56"/>
      <c r="CX111" s="56"/>
      <c r="CY111" s="56"/>
      <c r="CZ111" s="56"/>
      <c r="DA111" s="56"/>
      <c r="DB111" s="56"/>
      <c r="DC111" s="56"/>
      <c r="DD111" s="56"/>
      <c r="DE111" s="56"/>
      <c r="DF111" s="56"/>
      <c r="DG111" s="56"/>
      <c r="DH111" s="56"/>
      <c r="DI111" s="56"/>
      <c r="DJ111" s="56"/>
      <c r="DK111" s="56"/>
      <c r="DL111" s="56"/>
      <c r="DM111" s="56"/>
      <c r="DN111" s="56"/>
      <c r="DO111" s="56"/>
      <c r="DP111" s="56"/>
      <c r="DQ111" s="56"/>
      <c r="DR111" s="56"/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  <c r="EG111" s="56"/>
      <c r="EH111" s="56"/>
      <c r="EI111" s="56"/>
      <c r="EJ111" s="56"/>
      <c r="EK111" s="56"/>
      <c r="EL111" s="56"/>
      <c r="EM111" s="56"/>
      <c r="EN111" s="56"/>
      <c r="EO111" s="56"/>
      <c r="EP111" s="56"/>
      <c r="EQ111" s="56"/>
      <c r="ER111" s="56"/>
      <c r="ES111" s="56"/>
      <c r="ET111" s="56"/>
      <c r="EU111" s="56"/>
      <c r="EV111" s="56"/>
      <c r="EW111" s="56"/>
      <c r="EX111" s="56"/>
      <c r="EY111" s="56"/>
      <c r="EZ111" s="56"/>
      <c r="FA111" s="56"/>
      <c r="FB111" s="56"/>
      <c r="FC111" s="56"/>
      <c r="FD111" s="56"/>
      <c r="FE111" s="56"/>
      <c r="FF111" s="56"/>
      <c r="FG111" s="56"/>
      <c r="FH111" s="56"/>
      <c r="FI111" s="56"/>
      <c r="FJ111" s="56"/>
      <c r="FK111" s="56"/>
      <c r="FL111" s="56"/>
      <c r="FM111" s="56"/>
      <c r="FN111" s="56"/>
      <c r="FO111" s="56"/>
      <c r="FP111" s="56"/>
      <c r="FQ111" s="56"/>
      <c r="FR111" s="56"/>
      <c r="FS111" s="56"/>
      <c r="FT111" s="56"/>
      <c r="FU111" s="56"/>
      <c r="FV111" s="56"/>
      <c r="FW111" s="56"/>
      <c r="FX111" s="56"/>
      <c r="FY111" s="56"/>
      <c r="FZ111" s="56"/>
      <c r="GA111" s="56"/>
      <c r="GB111" s="56"/>
      <c r="GC111" s="56"/>
      <c r="GD111" s="56"/>
      <c r="GE111" s="56"/>
      <c r="GF111" s="56"/>
      <c r="GG111" s="56"/>
      <c r="GH111" s="56"/>
      <c r="GI111" s="56"/>
      <c r="GJ111" s="56"/>
      <c r="GK111" s="56"/>
      <c r="GL111" s="56"/>
      <c r="GM111" s="56"/>
      <c r="GN111" s="56"/>
      <c r="GO111" s="56"/>
      <c r="GP111" s="56"/>
      <c r="GQ111" s="56"/>
      <c r="GR111" s="56"/>
      <c r="GS111" s="56"/>
      <c r="GT111" s="56"/>
      <c r="GU111" s="56"/>
      <c r="GV111" s="56"/>
      <c r="GW111" s="56"/>
      <c r="GX111" s="56"/>
      <c r="GY111" s="56"/>
      <c r="GZ111" s="56"/>
      <c r="HA111" s="56"/>
      <c r="HB111" s="56"/>
      <c r="HC111" s="56"/>
      <c r="HD111" s="56"/>
      <c r="HE111" s="56"/>
      <c r="HF111" s="56"/>
      <c r="HG111" s="56"/>
      <c r="HH111" s="56"/>
      <c r="HI111" s="56"/>
      <c r="HJ111" s="56"/>
    </row>
    <row r="112" spans="1:218" ht="15.75" customHeight="1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6"/>
      <c r="CV112" s="56"/>
      <c r="CW112" s="56"/>
      <c r="CX112" s="56"/>
      <c r="CY112" s="56"/>
      <c r="CZ112" s="56"/>
      <c r="DA112" s="56"/>
      <c r="DB112" s="56"/>
      <c r="DC112" s="56"/>
      <c r="DD112" s="56"/>
      <c r="DE112" s="56"/>
      <c r="DF112" s="56"/>
      <c r="DG112" s="56"/>
      <c r="DH112" s="56"/>
      <c r="DI112" s="56"/>
      <c r="DJ112" s="56"/>
      <c r="DK112" s="56"/>
      <c r="DL112" s="56"/>
      <c r="DM112" s="56"/>
      <c r="DN112" s="56"/>
      <c r="DO112" s="56"/>
      <c r="DP112" s="56"/>
      <c r="DQ112" s="56"/>
      <c r="DR112" s="56"/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  <c r="EG112" s="56"/>
      <c r="EH112" s="56"/>
      <c r="EI112" s="56"/>
      <c r="EJ112" s="56"/>
      <c r="EK112" s="56"/>
      <c r="EL112" s="56"/>
      <c r="EM112" s="56"/>
      <c r="EN112" s="56"/>
      <c r="EO112" s="56"/>
      <c r="EP112" s="56"/>
      <c r="EQ112" s="56"/>
      <c r="ER112" s="56"/>
      <c r="ES112" s="56"/>
      <c r="ET112" s="56"/>
      <c r="EU112" s="56"/>
      <c r="EV112" s="56"/>
      <c r="EW112" s="56"/>
      <c r="EX112" s="56"/>
      <c r="EY112" s="56"/>
      <c r="EZ112" s="56"/>
      <c r="FA112" s="56"/>
      <c r="FB112" s="56"/>
      <c r="FC112" s="56"/>
      <c r="FD112" s="56"/>
      <c r="FE112" s="56"/>
      <c r="FF112" s="56"/>
      <c r="FG112" s="56"/>
      <c r="FH112" s="56"/>
      <c r="FI112" s="56"/>
      <c r="FJ112" s="56"/>
      <c r="FK112" s="56"/>
      <c r="FL112" s="56"/>
      <c r="FM112" s="56"/>
      <c r="FN112" s="56"/>
      <c r="FO112" s="56"/>
      <c r="FP112" s="56"/>
      <c r="FQ112" s="56"/>
      <c r="FR112" s="56"/>
      <c r="FS112" s="56"/>
      <c r="FT112" s="56"/>
      <c r="FU112" s="56"/>
      <c r="FV112" s="56"/>
      <c r="FW112" s="56"/>
      <c r="FX112" s="56"/>
      <c r="FY112" s="56"/>
      <c r="FZ112" s="56"/>
      <c r="GA112" s="56"/>
      <c r="GB112" s="56"/>
      <c r="GC112" s="56"/>
      <c r="GD112" s="56"/>
      <c r="GE112" s="56"/>
      <c r="GF112" s="56"/>
      <c r="GG112" s="56"/>
      <c r="GH112" s="56"/>
      <c r="GI112" s="56"/>
      <c r="GJ112" s="56"/>
      <c r="GK112" s="56"/>
      <c r="GL112" s="56"/>
      <c r="GM112" s="56"/>
      <c r="GN112" s="56"/>
      <c r="GO112" s="56"/>
      <c r="GP112" s="56"/>
      <c r="GQ112" s="56"/>
      <c r="GR112" s="56"/>
      <c r="GS112" s="56"/>
      <c r="GT112" s="56"/>
      <c r="GU112" s="56"/>
      <c r="GV112" s="56"/>
      <c r="GW112" s="56"/>
      <c r="GX112" s="56"/>
      <c r="GY112" s="56"/>
      <c r="GZ112" s="56"/>
      <c r="HA112" s="56"/>
      <c r="HB112" s="56"/>
      <c r="HC112" s="56"/>
      <c r="HD112" s="56"/>
      <c r="HE112" s="56"/>
      <c r="HF112" s="56"/>
      <c r="HG112" s="56"/>
      <c r="HH112" s="56"/>
      <c r="HI112" s="56"/>
      <c r="HJ112" s="56"/>
    </row>
    <row r="113" spans="1:218" ht="15.75" customHeight="1" x14ac:dyDescent="0.2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  <c r="EL113" s="56"/>
      <c r="EM113" s="56"/>
      <c r="EN113" s="56"/>
      <c r="EO113" s="56"/>
      <c r="EP113" s="56"/>
      <c r="EQ113" s="56"/>
      <c r="ER113" s="56"/>
      <c r="ES113" s="56"/>
      <c r="ET113" s="56"/>
      <c r="EU113" s="56"/>
      <c r="EV113" s="56"/>
      <c r="EW113" s="56"/>
      <c r="EX113" s="56"/>
      <c r="EY113" s="56"/>
      <c r="EZ113" s="56"/>
      <c r="FA113" s="56"/>
      <c r="FB113" s="56"/>
      <c r="FC113" s="56"/>
      <c r="FD113" s="56"/>
      <c r="FE113" s="56"/>
      <c r="FF113" s="56"/>
      <c r="FG113" s="56"/>
      <c r="FH113" s="56"/>
      <c r="FI113" s="56"/>
      <c r="FJ113" s="56"/>
      <c r="FK113" s="56"/>
      <c r="FL113" s="56"/>
      <c r="FM113" s="56"/>
      <c r="FN113" s="56"/>
      <c r="FO113" s="56"/>
      <c r="FP113" s="56"/>
      <c r="FQ113" s="56"/>
      <c r="FR113" s="56"/>
      <c r="FS113" s="56"/>
      <c r="FT113" s="56"/>
      <c r="FU113" s="56"/>
      <c r="FV113" s="56"/>
      <c r="FW113" s="56"/>
      <c r="FX113" s="56"/>
      <c r="FY113" s="56"/>
      <c r="FZ113" s="56"/>
      <c r="GA113" s="56"/>
      <c r="GB113" s="56"/>
      <c r="GC113" s="56"/>
      <c r="GD113" s="56"/>
      <c r="GE113" s="56"/>
      <c r="GF113" s="56"/>
      <c r="GG113" s="56"/>
      <c r="GH113" s="56"/>
      <c r="GI113" s="56"/>
      <c r="GJ113" s="56"/>
      <c r="GK113" s="56"/>
      <c r="GL113" s="56"/>
      <c r="GM113" s="56"/>
      <c r="GN113" s="56"/>
      <c r="GO113" s="56"/>
      <c r="GP113" s="56"/>
      <c r="GQ113" s="56"/>
      <c r="GR113" s="56"/>
      <c r="GS113" s="56"/>
      <c r="GT113" s="56"/>
      <c r="GU113" s="56"/>
      <c r="GV113" s="56"/>
      <c r="GW113" s="56"/>
      <c r="GX113" s="56"/>
      <c r="GY113" s="56"/>
      <c r="GZ113" s="56"/>
      <c r="HA113" s="56"/>
      <c r="HB113" s="56"/>
      <c r="HC113" s="56"/>
      <c r="HD113" s="56"/>
      <c r="HE113" s="56"/>
      <c r="HF113" s="56"/>
      <c r="HG113" s="56"/>
      <c r="HH113" s="56"/>
      <c r="HI113" s="56"/>
      <c r="HJ113" s="56"/>
    </row>
    <row r="114" spans="1:218" ht="15.75" customHeight="1" x14ac:dyDescent="0.2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  <c r="HC114" s="56"/>
      <c r="HD114" s="56"/>
      <c r="HE114" s="56"/>
      <c r="HF114" s="56"/>
      <c r="HG114" s="56"/>
      <c r="HH114" s="56"/>
      <c r="HI114" s="56"/>
      <c r="HJ114" s="56"/>
    </row>
    <row r="115" spans="1:218" ht="15.75" customHeight="1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  <c r="GG115" s="56"/>
      <c r="GH115" s="56"/>
      <c r="GI115" s="56"/>
      <c r="GJ115" s="56"/>
      <c r="GK115" s="56"/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/>
      <c r="GX115" s="56"/>
      <c r="GY115" s="56"/>
      <c r="GZ115" s="56"/>
      <c r="HA115" s="56"/>
      <c r="HB115" s="56"/>
      <c r="HC115" s="56"/>
      <c r="HD115" s="56"/>
      <c r="HE115" s="56"/>
      <c r="HF115" s="56"/>
      <c r="HG115" s="56"/>
      <c r="HH115" s="56"/>
      <c r="HI115" s="56"/>
      <c r="HJ115" s="56"/>
    </row>
    <row r="116" spans="1:218" ht="15.75" customHeight="1" x14ac:dyDescent="0.2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  <c r="HC116" s="56"/>
      <c r="HD116" s="56"/>
      <c r="HE116" s="56"/>
      <c r="HF116" s="56"/>
      <c r="HG116" s="56"/>
      <c r="HH116" s="56"/>
      <c r="HI116" s="56"/>
      <c r="HJ116" s="56"/>
    </row>
    <row r="117" spans="1:218" ht="15.75" customHeight="1" x14ac:dyDescent="0.2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  <c r="GG117" s="56"/>
      <c r="GH117" s="56"/>
      <c r="GI117" s="56"/>
      <c r="GJ117" s="56"/>
      <c r="GK117" s="56"/>
      <c r="GL117" s="56"/>
      <c r="GM117" s="56"/>
      <c r="GN117" s="56"/>
      <c r="GO117" s="56"/>
      <c r="GP117" s="56"/>
      <c r="GQ117" s="56"/>
      <c r="GR117" s="56"/>
      <c r="GS117" s="56"/>
      <c r="GT117" s="56"/>
      <c r="GU117" s="56"/>
      <c r="GV117" s="56"/>
      <c r="GW117" s="56"/>
      <c r="GX117" s="56"/>
      <c r="GY117" s="56"/>
      <c r="GZ117" s="56"/>
      <c r="HA117" s="56"/>
      <c r="HB117" s="56"/>
      <c r="HC117" s="56"/>
      <c r="HD117" s="56"/>
      <c r="HE117" s="56"/>
      <c r="HF117" s="56"/>
      <c r="HG117" s="56"/>
      <c r="HH117" s="56"/>
      <c r="HI117" s="56"/>
      <c r="HJ117" s="56"/>
    </row>
    <row r="118" spans="1:218" ht="15.75" customHeight="1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  <c r="GG118" s="56"/>
      <c r="GH118" s="56"/>
      <c r="GI118" s="56"/>
      <c r="GJ118" s="56"/>
      <c r="GK118" s="56"/>
      <c r="GL118" s="56"/>
      <c r="GM118" s="56"/>
      <c r="GN118" s="56"/>
      <c r="GO118" s="56"/>
      <c r="GP118" s="56"/>
      <c r="GQ118" s="56"/>
      <c r="GR118" s="56"/>
      <c r="GS118" s="56"/>
      <c r="GT118" s="56"/>
      <c r="GU118" s="56"/>
      <c r="GV118" s="56"/>
      <c r="GW118" s="56"/>
      <c r="GX118" s="56"/>
      <c r="GY118" s="56"/>
      <c r="GZ118" s="56"/>
      <c r="HA118" s="56"/>
      <c r="HB118" s="56"/>
      <c r="HC118" s="56"/>
      <c r="HD118" s="56"/>
      <c r="HE118" s="56"/>
      <c r="HF118" s="56"/>
      <c r="HG118" s="56"/>
      <c r="HH118" s="56"/>
      <c r="HI118" s="56"/>
      <c r="HJ118" s="56"/>
    </row>
    <row r="119" spans="1:218" ht="15.75" customHeight="1" x14ac:dyDescent="0.2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</row>
    <row r="120" spans="1:218" ht="15.75" customHeight="1" x14ac:dyDescent="0.2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</row>
    <row r="121" spans="1:218" ht="15.75" customHeight="1" x14ac:dyDescent="0.2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6"/>
      <c r="CV121" s="56"/>
      <c r="CW121" s="56"/>
      <c r="CX121" s="56"/>
      <c r="CY121" s="56"/>
      <c r="CZ121" s="56"/>
      <c r="DA121" s="56"/>
      <c r="DB121" s="56"/>
      <c r="DC121" s="56"/>
      <c r="DD121" s="56"/>
      <c r="DE121" s="56"/>
      <c r="DF121" s="56"/>
      <c r="DG121" s="56"/>
      <c r="DH121" s="56"/>
      <c r="DI121" s="56"/>
      <c r="DJ121" s="56"/>
      <c r="DK121" s="56"/>
      <c r="DL121" s="56"/>
      <c r="DM121" s="56"/>
      <c r="DN121" s="56"/>
      <c r="DO121" s="56"/>
      <c r="DP121" s="56"/>
      <c r="DQ121" s="56"/>
      <c r="DR121" s="56"/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  <c r="EG121" s="56"/>
      <c r="EH121" s="56"/>
      <c r="EI121" s="56"/>
      <c r="EJ121" s="56"/>
      <c r="EK121" s="56"/>
      <c r="EL121" s="56"/>
      <c r="EM121" s="56"/>
      <c r="EN121" s="56"/>
      <c r="EO121" s="56"/>
      <c r="EP121" s="56"/>
      <c r="EQ121" s="56"/>
      <c r="ER121" s="56"/>
      <c r="ES121" s="56"/>
      <c r="ET121" s="56"/>
      <c r="EU121" s="56"/>
      <c r="EV121" s="56"/>
      <c r="EW121" s="56"/>
      <c r="EX121" s="56"/>
      <c r="EY121" s="56"/>
      <c r="EZ121" s="56"/>
      <c r="FA121" s="56"/>
      <c r="FB121" s="56"/>
      <c r="FC121" s="56"/>
      <c r="FD121" s="56"/>
      <c r="FE121" s="56"/>
      <c r="FF121" s="56"/>
      <c r="FG121" s="56"/>
      <c r="FH121" s="56"/>
      <c r="FI121" s="56"/>
      <c r="FJ121" s="56"/>
      <c r="FK121" s="56"/>
      <c r="FL121" s="56"/>
      <c r="FM121" s="56"/>
      <c r="FN121" s="56"/>
      <c r="FO121" s="56"/>
      <c r="FP121" s="56"/>
      <c r="FQ121" s="56"/>
      <c r="FR121" s="56"/>
      <c r="FS121" s="56"/>
      <c r="FT121" s="56"/>
      <c r="FU121" s="56"/>
      <c r="FV121" s="56"/>
      <c r="FW121" s="56"/>
      <c r="FX121" s="56"/>
      <c r="FY121" s="56"/>
      <c r="FZ121" s="56"/>
      <c r="GA121" s="56"/>
      <c r="GB121" s="56"/>
      <c r="GC121" s="56"/>
      <c r="GD121" s="56"/>
      <c r="GE121" s="56"/>
      <c r="GF121" s="56"/>
      <c r="GG121" s="56"/>
      <c r="GH121" s="56"/>
      <c r="GI121" s="56"/>
      <c r="GJ121" s="56"/>
      <c r="GK121" s="56"/>
      <c r="GL121" s="56"/>
      <c r="GM121" s="56"/>
      <c r="GN121" s="56"/>
      <c r="GO121" s="56"/>
      <c r="GP121" s="56"/>
      <c r="GQ121" s="56"/>
      <c r="GR121" s="56"/>
      <c r="GS121" s="56"/>
      <c r="GT121" s="56"/>
      <c r="GU121" s="56"/>
      <c r="GV121" s="56"/>
      <c r="GW121" s="56"/>
      <c r="GX121" s="56"/>
      <c r="GY121" s="56"/>
      <c r="GZ121" s="56"/>
      <c r="HA121" s="56"/>
      <c r="HB121" s="56"/>
      <c r="HC121" s="56"/>
      <c r="HD121" s="56"/>
      <c r="HE121" s="56"/>
      <c r="HF121" s="56"/>
      <c r="HG121" s="56"/>
      <c r="HH121" s="56"/>
      <c r="HI121" s="56"/>
      <c r="HJ121" s="56"/>
    </row>
    <row r="122" spans="1:218" ht="15.75" customHeight="1" x14ac:dyDescent="0.2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  <c r="CZ122" s="56"/>
      <c r="DA122" s="56"/>
      <c r="DB122" s="56"/>
      <c r="DC122" s="56"/>
      <c r="DD122" s="56"/>
      <c r="DE122" s="56"/>
      <c r="DF122" s="56"/>
      <c r="DG122" s="56"/>
      <c r="DH122" s="56"/>
      <c r="DI122" s="56"/>
      <c r="DJ122" s="56"/>
      <c r="DK122" s="56"/>
      <c r="DL122" s="56"/>
      <c r="DM122" s="56"/>
      <c r="DN122" s="56"/>
      <c r="DO122" s="56"/>
      <c r="DP122" s="56"/>
      <c r="DQ122" s="56"/>
      <c r="DR122" s="56"/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  <c r="EG122" s="56"/>
      <c r="EH122" s="56"/>
      <c r="EI122" s="56"/>
      <c r="EJ122" s="56"/>
      <c r="EK122" s="56"/>
      <c r="EL122" s="56"/>
      <c r="EM122" s="56"/>
      <c r="EN122" s="56"/>
      <c r="EO122" s="56"/>
      <c r="EP122" s="56"/>
      <c r="EQ122" s="56"/>
      <c r="ER122" s="56"/>
      <c r="ES122" s="56"/>
      <c r="ET122" s="56"/>
      <c r="EU122" s="56"/>
      <c r="EV122" s="56"/>
      <c r="EW122" s="56"/>
      <c r="EX122" s="56"/>
      <c r="EY122" s="56"/>
      <c r="EZ122" s="56"/>
      <c r="FA122" s="56"/>
      <c r="FB122" s="56"/>
      <c r="FC122" s="56"/>
      <c r="FD122" s="56"/>
      <c r="FE122" s="56"/>
      <c r="FF122" s="56"/>
      <c r="FG122" s="56"/>
      <c r="FH122" s="56"/>
      <c r="FI122" s="56"/>
      <c r="FJ122" s="56"/>
      <c r="FK122" s="56"/>
      <c r="FL122" s="56"/>
      <c r="FM122" s="56"/>
      <c r="FN122" s="56"/>
      <c r="FO122" s="56"/>
      <c r="FP122" s="56"/>
      <c r="FQ122" s="56"/>
      <c r="FR122" s="56"/>
      <c r="FS122" s="56"/>
      <c r="FT122" s="56"/>
      <c r="FU122" s="56"/>
      <c r="FV122" s="56"/>
      <c r="FW122" s="56"/>
      <c r="FX122" s="56"/>
      <c r="FY122" s="56"/>
      <c r="FZ122" s="56"/>
      <c r="GA122" s="56"/>
      <c r="GB122" s="56"/>
      <c r="GC122" s="56"/>
      <c r="GD122" s="56"/>
      <c r="GE122" s="56"/>
      <c r="GF122" s="56"/>
      <c r="GG122" s="56"/>
      <c r="GH122" s="56"/>
      <c r="GI122" s="56"/>
      <c r="GJ122" s="56"/>
      <c r="GK122" s="56"/>
      <c r="GL122" s="56"/>
      <c r="GM122" s="56"/>
      <c r="GN122" s="56"/>
      <c r="GO122" s="56"/>
      <c r="GP122" s="56"/>
      <c r="GQ122" s="56"/>
      <c r="GR122" s="56"/>
      <c r="GS122" s="56"/>
      <c r="GT122" s="56"/>
      <c r="GU122" s="56"/>
      <c r="GV122" s="56"/>
      <c r="GW122" s="56"/>
      <c r="GX122" s="56"/>
      <c r="GY122" s="56"/>
      <c r="GZ122" s="56"/>
      <c r="HA122" s="56"/>
      <c r="HB122" s="56"/>
      <c r="HC122" s="56"/>
      <c r="HD122" s="56"/>
      <c r="HE122" s="56"/>
      <c r="HF122" s="56"/>
      <c r="HG122" s="56"/>
      <c r="HH122" s="56"/>
      <c r="HI122" s="56"/>
      <c r="HJ122" s="56"/>
    </row>
    <row r="123" spans="1:218" ht="15.75" customHeight="1" x14ac:dyDescent="0.2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56"/>
      <c r="DF123" s="56"/>
      <c r="DG123" s="56"/>
      <c r="DH123" s="56"/>
      <c r="DI123" s="56"/>
      <c r="DJ123" s="56"/>
      <c r="DK123" s="56"/>
      <c r="DL123" s="56"/>
      <c r="DM123" s="56"/>
      <c r="DN123" s="56"/>
      <c r="DO123" s="56"/>
      <c r="DP123" s="56"/>
      <c r="DQ123" s="56"/>
      <c r="DR123" s="56"/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  <c r="EG123" s="56"/>
      <c r="EH123" s="56"/>
      <c r="EI123" s="56"/>
      <c r="EJ123" s="56"/>
      <c r="EK123" s="56"/>
      <c r="EL123" s="56"/>
      <c r="EM123" s="56"/>
      <c r="EN123" s="56"/>
      <c r="EO123" s="56"/>
      <c r="EP123" s="56"/>
      <c r="EQ123" s="56"/>
      <c r="ER123" s="56"/>
      <c r="ES123" s="56"/>
      <c r="ET123" s="56"/>
      <c r="EU123" s="56"/>
      <c r="EV123" s="56"/>
      <c r="EW123" s="56"/>
      <c r="EX123" s="56"/>
      <c r="EY123" s="56"/>
      <c r="EZ123" s="56"/>
      <c r="FA123" s="56"/>
      <c r="FB123" s="56"/>
      <c r="FC123" s="56"/>
      <c r="FD123" s="56"/>
      <c r="FE123" s="56"/>
      <c r="FF123" s="56"/>
      <c r="FG123" s="56"/>
      <c r="FH123" s="56"/>
      <c r="FI123" s="56"/>
      <c r="FJ123" s="56"/>
      <c r="FK123" s="56"/>
      <c r="FL123" s="56"/>
      <c r="FM123" s="56"/>
      <c r="FN123" s="56"/>
      <c r="FO123" s="56"/>
      <c r="FP123" s="56"/>
      <c r="FQ123" s="56"/>
      <c r="FR123" s="56"/>
      <c r="FS123" s="56"/>
      <c r="FT123" s="56"/>
      <c r="FU123" s="56"/>
      <c r="FV123" s="56"/>
      <c r="FW123" s="56"/>
      <c r="FX123" s="56"/>
      <c r="FY123" s="56"/>
      <c r="FZ123" s="56"/>
      <c r="GA123" s="56"/>
      <c r="GB123" s="56"/>
      <c r="GC123" s="56"/>
      <c r="GD123" s="56"/>
      <c r="GE123" s="56"/>
      <c r="GF123" s="56"/>
      <c r="GG123" s="56"/>
      <c r="GH123" s="56"/>
      <c r="GI123" s="56"/>
      <c r="GJ123" s="56"/>
      <c r="GK123" s="56"/>
      <c r="GL123" s="56"/>
      <c r="GM123" s="56"/>
      <c r="GN123" s="56"/>
      <c r="GO123" s="56"/>
      <c r="GP123" s="56"/>
      <c r="GQ123" s="56"/>
      <c r="GR123" s="56"/>
      <c r="GS123" s="56"/>
      <c r="GT123" s="56"/>
      <c r="GU123" s="56"/>
      <c r="GV123" s="56"/>
      <c r="GW123" s="56"/>
      <c r="GX123" s="56"/>
      <c r="GY123" s="56"/>
      <c r="GZ123" s="56"/>
      <c r="HA123" s="56"/>
      <c r="HB123" s="56"/>
      <c r="HC123" s="56"/>
      <c r="HD123" s="56"/>
      <c r="HE123" s="56"/>
      <c r="HF123" s="56"/>
      <c r="HG123" s="56"/>
      <c r="HH123" s="56"/>
      <c r="HI123" s="56"/>
      <c r="HJ123" s="56"/>
    </row>
    <row r="124" spans="1:218" ht="15.75" customHeight="1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  <c r="CZ124" s="56"/>
      <c r="DA124" s="56"/>
      <c r="DB124" s="56"/>
      <c r="DC124" s="56"/>
      <c r="DD124" s="56"/>
      <c r="DE124" s="56"/>
      <c r="DF124" s="56"/>
      <c r="DG124" s="56"/>
      <c r="DH124" s="56"/>
      <c r="DI124" s="56"/>
      <c r="DJ124" s="56"/>
      <c r="DK124" s="56"/>
      <c r="DL124" s="56"/>
      <c r="DM124" s="56"/>
      <c r="DN124" s="56"/>
      <c r="DO124" s="56"/>
      <c r="DP124" s="56"/>
      <c r="DQ124" s="56"/>
      <c r="DR124" s="56"/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  <c r="EG124" s="56"/>
      <c r="EH124" s="56"/>
      <c r="EI124" s="56"/>
      <c r="EJ124" s="56"/>
      <c r="EK124" s="56"/>
      <c r="EL124" s="56"/>
      <c r="EM124" s="56"/>
      <c r="EN124" s="56"/>
      <c r="EO124" s="56"/>
      <c r="EP124" s="56"/>
      <c r="EQ124" s="56"/>
      <c r="ER124" s="56"/>
      <c r="ES124" s="56"/>
      <c r="ET124" s="56"/>
      <c r="EU124" s="56"/>
      <c r="EV124" s="56"/>
      <c r="EW124" s="56"/>
      <c r="EX124" s="56"/>
      <c r="EY124" s="56"/>
      <c r="EZ124" s="56"/>
      <c r="FA124" s="56"/>
      <c r="FB124" s="56"/>
      <c r="FC124" s="56"/>
      <c r="FD124" s="56"/>
      <c r="FE124" s="56"/>
      <c r="FF124" s="56"/>
      <c r="FG124" s="56"/>
      <c r="FH124" s="56"/>
      <c r="FI124" s="56"/>
      <c r="FJ124" s="56"/>
      <c r="FK124" s="56"/>
      <c r="FL124" s="56"/>
      <c r="FM124" s="56"/>
      <c r="FN124" s="56"/>
      <c r="FO124" s="56"/>
      <c r="FP124" s="56"/>
      <c r="FQ124" s="56"/>
      <c r="FR124" s="56"/>
      <c r="FS124" s="56"/>
      <c r="FT124" s="56"/>
      <c r="FU124" s="56"/>
      <c r="FV124" s="56"/>
      <c r="FW124" s="56"/>
      <c r="FX124" s="56"/>
      <c r="FY124" s="56"/>
      <c r="FZ124" s="56"/>
      <c r="GA124" s="56"/>
      <c r="GB124" s="56"/>
      <c r="GC124" s="56"/>
      <c r="GD124" s="56"/>
      <c r="GE124" s="56"/>
      <c r="GF124" s="56"/>
      <c r="GG124" s="56"/>
      <c r="GH124" s="56"/>
      <c r="GI124" s="56"/>
      <c r="GJ124" s="56"/>
      <c r="GK124" s="56"/>
      <c r="GL124" s="56"/>
      <c r="GM124" s="56"/>
      <c r="GN124" s="56"/>
      <c r="GO124" s="56"/>
      <c r="GP124" s="56"/>
      <c r="GQ124" s="56"/>
      <c r="GR124" s="56"/>
      <c r="GS124" s="56"/>
      <c r="GT124" s="56"/>
      <c r="GU124" s="56"/>
      <c r="GV124" s="56"/>
      <c r="GW124" s="56"/>
      <c r="GX124" s="56"/>
      <c r="GY124" s="56"/>
      <c r="GZ124" s="56"/>
      <c r="HA124" s="56"/>
      <c r="HB124" s="56"/>
      <c r="HC124" s="56"/>
      <c r="HD124" s="56"/>
      <c r="HE124" s="56"/>
      <c r="HF124" s="56"/>
      <c r="HG124" s="56"/>
      <c r="HH124" s="56"/>
      <c r="HI124" s="56"/>
      <c r="HJ124" s="56"/>
    </row>
    <row r="125" spans="1:218" ht="15.75" customHeight="1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6"/>
      <c r="DF125" s="56"/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  <c r="EG125" s="56"/>
      <c r="EH125" s="56"/>
      <c r="EI125" s="56"/>
      <c r="EJ125" s="56"/>
      <c r="EK125" s="56"/>
      <c r="EL125" s="56"/>
      <c r="EM125" s="56"/>
      <c r="EN125" s="56"/>
      <c r="EO125" s="56"/>
      <c r="EP125" s="56"/>
      <c r="EQ125" s="56"/>
      <c r="ER125" s="56"/>
      <c r="ES125" s="56"/>
      <c r="ET125" s="56"/>
      <c r="EU125" s="56"/>
      <c r="EV125" s="56"/>
      <c r="EW125" s="56"/>
      <c r="EX125" s="56"/>
      <c r="EY125" s="56"/>
      <c r="EZ125" s="56"/>
      <c r="FA125" s="56"/>
      <c r="FB125" s="56"/>
      <c r="FC125" s="56"/>
      <c r="FD125" s="56"/>
      <c r="FE125" s="56"/>
      <c r="FF125" s="56"/>
      <c r="FG125" s="56"/>
      <c r="FH125" s="56"/>
      <c r="FI125" s="56"/>
      <c r="FJ125" s="56"/>
      <c r="FK125" s="56"/>
      <c r="FL125" s="56"/>
      <c r="FM125" s="56"/>
      <c r="FN125" s="56"/>
      <c r="FO125" s="56"/>
      <c r="FP125" s="56"/>
      <c r="FQ125" s="56"/>
      <c r="FR125" s="56"/>
      <c r="FS125" s="56"/>
      <c r="FT125" s="56"/>
      <c r="FU125" s="56"/>
      <c r="FV125" s="56"/>
      <c r="FW125" s="56"/>
      <c r="FX125" s="56"/>
      <c r="FY125" s="56"/>
      <c r="FZ125" s="56"/>
      <c r="GA125" s="56"/>
      <c r="GB125" s="56"/>
      <c r="GC125" s="56"/>
      <c r="GD125" s="56"/>
      <c r="GE125" s="56"/>
      <c r="GF125" s="56"/>
      <c r="GG125" s="56"/>
      <c r="GH125" s="56"/>
      <c r="GI125" s="56"/>
      <c r="GJ125" s="56"/>
      <c r="GK125" s="56"/>
      <c r="GL125" s="56"/>
      <c r="GM125" s="56"/>
      <c r="GN125" s="56"/>
      <c r="GO125" s="56"/>
      <c r="GP125" s="56"/>
      <c r="GQ125" s="56"/>
      <c r="GR125" s="56"/>
      <c r="GS125" s="56"/>
      <c r="GT125" s="56"/>
      <c r="GU125" s="56"/>
      <c r="GV125" s="56"/>
      <c r="GW125" s="56"/>
      <c r="GX125" s="56"/>
      <c r="GY125" s="56"/>
      <c r="GZ125" s="56"/>
      <c r="HA125" s="56"/>
      <c r="HB125" s="56"/>
      <c r="HC125" s="56"/>
      <c r="HD125" s="56"/>
      <c r="HE125" s="56"/>
      <c r="HF125" s="56"/>
      <c r="HG125" s="56"/>
      <c r="HH125" s="56"/>
      <c r="HI125" s="56"/>
      <c r="HJ125" s="56"/>
    </row>
    <row r="126" spans="1:218" ht="15.75" customHeight="1" x14ac:dyDescent="0.2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  <c r="DD126" s="56"/>
      <c r="DE126" s="56"/>
      <c r="DF126" s="56"/>
      <c r="DG126" s="56"/>
      <c r="DH126" s="56"/>
      <c r="DI126" s="56"/>
      <c r="DJ126" s="56"/>
      <c r="DK126" s="56"/>
      <c r="DL126" s="56"/>
      <c r="DM126" s="56"/>
      <c r="DN126" s="56"/>
      <c r="DO126" s="56"/>
      <c r="DP126" s="56"/>
      <c r="DQ126" s="56"/>
      <c r="DR126" s="56"/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  <c r="EG126" s="56"/>
      <c r="EH126" s="56"/>
      <c r="EI126" s="56"/>
      <c r="EJ126" s="56"/>
      <c r="EK126" s="56"/>
      <c r="EL126" s="56"/>
      <c r="EM126" s="56"/>
      <c r="EN126" s="56"/>
      <c r="EO126" s="56"/>
      <c r="EP126" s="56"/>
      <c r="EQ126" s="56"/>
      <c r="ER126" s="56"/>
      <c r="ES126" s="56"/>
      <c r="ET126" s="56"/>
      <c r="EU126" s="56"/>
      <c r="EV126" s="56"/>
      <c r="EW126" s="56"/>
      <c r="EX126" s="56"/>
      <c r="EY126" s="56"/>
      <c r="EZ126" s="56"/>
      <c r="FA126" s="56"/>
      <c r="FB126" s="56"/>
      <c r="FC126" s="56"/>
      <c r="FD126" s="56"/>
      <c r="FE126" s="56"/>
      <c r="FF126" s="56"/>
      <c r="FG126" s="56"/>
      <c r="FH126" s="56"/>
      <c r="FI126" s="56"/>
      <c r="FJ126" s="56"/>
      <c r="FK126" s="56"/>
      <c r="FL126" s="56"/>
      <c r="FM126" s="56"/>
      <c r="FN126" s="56"/>
      <c r="FO126" s="56"/>
      <c r="FP126" s="56"/>
      <c r="FQ126" s="56"/>
      <c r="FR126" s="56"/>
      <c r="FS126" s="56"/>
      <c r="FT126" s="56"/>
      <c r="FU126" s="56"/>
      <c r="FV126" s="56"/>
      <c r="FW126" s="56"/>
      <c r="FX126" s="56"/>
      <c r="FY126" s="56"/>
      <c r="FZ126" s="56"/>
      <c r="GA126" s="56"/>
      <c r="GB126" s="56"/>
      <c r="GC126" s="56"/>
      <c r="GD126" s="56"/>
      <c r="GE126" s="56"/>
      <c r="GF126" s="56"/>
      <c r="GG126" s="56"/>
      <c r="GH126" s="56"/>
      <c r="GI126" s="56"/>
      <c r="GJ126" s="56"/>
      <c r="GK126" s="56"/>
      <c r="GL126" s="56"/>
      <c r="GM126" s="56"/>
      <c r="GN126" s="56"/>
      <c r="GO126" s="56"/>
      <c r="GP126" s="56"/>
      <c r="GQ126" s="56"/>
      <c r="GR126" s="56"/>
      <c r="GS126" s="56"/>
      <c r="GT126" s="56"/>
      <c r="GU126" s="56"/>
      <c r="GV126" s="56"/>
      <c r="GW126" s="56"/>
      <c r="GX126" s="56"/>
      <c r="GY126" s="56"/>
      <c r="GZ126" s="56"/>
      <c r="HA126" s="56"/>
      <c r="HB126" s="56"/>
      <c r="HC126" s="56"/>
      <c r="HD126" s="56"/>
      <c r="HE126" s="56"/>
      <c r="HF126" s="56"/>
      <c r="HG126" s="56"/>
      <c r="HH126" s="56"/>
      <c r="HI126" s="56"/>
      <c r="HJ126" s="56"/>
    </row>
    <row r="127" spans="1:218" ht="15.75" customHeight="1" x14ac:dyDescent="0.2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  <c r="DD127" s="56"/>
      <c r="DE127" s="56"/>
      <c r="DF127" s="56"/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  <c r="EG127" s="56"/>
      <c r="EH127" s="56"/>
      <c r="EI127" s="56"/>
      <c r="EJ127" s="56"/>
      <c r="EK127" s="56"/>
      <c r="EL127" s="56"/>
      <c r="EM127" s="56"/>
      <c r="EN127" s="56"/>
      <c r="EO127" s="56"/>
      <c r="EP127" s="56"/>
      <c r="EQ127" s="56"/>
      <c r="ER127" s="56"/>
      <c r="ES127" s="56"/>
      <c r="ET127" s="56"/>
      <c r="EU127" s="56"/>
      <c r="EV127" s="56"/>
      <c r="EW127" s="56"/>
      <c r="EX127" s="56"/>
      <c r="EY127" s="56"/>
      <c r="EZ127" s="56"/>
      <c r="FA127" s="56"/>
      <c r="FB127" s="56"/>
      <c r="FC127" s="56"/>
      <c r="FD127" s="56"/>
      <c r="FE127" s="56"/>
      <c r="FF127" s="56"/>
      <c r="FG127" s="56"/>
      <c r="FH127" s="56"/>
      <c r="FI127" s="56"/>
      <c r="FJ127" s="56"/>
      <c r="FK127" s="56"/>
      <c r="FL127" s="56"/>
      <c r="FM127" s="56"/>
      <c r="FN127" s="56"/>
      <c r="FO127" s="56"/>
      <c r="FP127" s="56"/>
      <c r="FQ127" s="56"/>
      <c r="FR127" s="56"/>
      <c r="FS127" s="56"/>
      <c r="FT127" s="56"/>
      <c r="FU127" s="56"/>
      <c r="FV127" s="56"/>
      <c r="FW127" s="56"/>
      <c r="FX127" s="56"/>
      <c r="FY127" s="56"/>
      <c r="FZ127" s="56"/>
      <c r="GA127" s="56"/>
      <c r="GB127" s="56"/>
      <c r="GC127" s="56"/>
      <c r="GD127" s="56"/>
      <c r="GE127" s="56"/>
      <c r="GF127" s="56"/>
      <c r="GG127" s="56"/>
      <c r="GH127" s="56"/>
      <c r="GI127" s="56"/>
      <c r="GJ127" s="56"/>
      <c r="GK127" s="56"/>
      <c r="GL127" s="56"/>
      <c r="GM127" s="56"/>
      <c r="GN127" s="56"/>
      <c r="GO127" s="56"/>
      <c r="GP127" s="56"/>
      <c r="GQ127" s="56"/>
      <c r="GR127" s="56"/>
      <c r="GS127" s="56"/>
      <c r="GT127" s="56"/>
      <c r="GU127" s="56"/>
      <c r="GV127" s="56"/>
      <c r="GW127" s="56"/>
      <c r="GX127" s="56"/>
      <c r="GY127" s="56"/>
      <c r="GZ127" s="56"/>
      <c r="HA127" s="56"/>
      <c r="HB127" s="56"/>
      <c r="HC127" s="56"/>
      <c r="HD127" s="56"/>
      <c r="HE127" s="56"/>
      <c r="HF127" s="56"/>
      <c r="HG127" s="56"/>
      <c r="HH127" s="56"/>
      <c r="HI127" s="56"/>
      <c r="HJ127" s="56"/>
    </row>
    <row r="128" spans="1:218" ht="15.75" customHeight="1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6"/>
      <c r="DF128" s="56"/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  <c r="EG128" s="56"/>
      <c r="EH128" s="56"/>
      <c r="EI128" s="56"/>
      <c r="EJ128" s="56"/>
      <c r="EK128" s="56"/>
      <c r="EL128" s="56"/>
      <c r="EM128" s="56"/>
      <c r="EN128" s="56"/>
      <c r="EO128" s="56"/>
      <c r="EP128" s="56"/>
      <c r="EQ128" s="56"/>
      <c r="ER128" s="56"/>
      <c r="ES128" s="56"/>
      <c r="ET128" s="56"/>
      <c r="EU128" s="56"/>
      <c r="EV128" s="56"/>
      <c r="EW128" s="56"/>
      <c r="EX128" s="56"/>
      <c r="EY128" s="56"/>
      <c r="EZ128" s="56"/>
      <c r="FA128" s="56"/>
      <c r="FB128" s="56"/>
      <c r="FC128" s="56"/>
      <c r="FD128" s="56"/>
      <c r="FE128" s="56"/>
      <c r="FF128" s="56"/>
      <c r="FG128" s="56"/>
      <c r="FH128" s="56"/>
      <c r="FI128" s="56"/>
      <c r="FJ128" s="56"/>
      <c r="FK128" s="56"/>
      <c r="FL128" s="56"/>
      <c r="FM128" s="56"/>
      <c r="FN128" s="56"/>
      <c r="FO128" s="56"/>
      <c r="FP128" s="56"/>
      <c r="FQ128" s="56"/>
      <c r="FR128" s="56"/>
      <c r="FS128" s="56"/>
      <c r="FT128" s="56"/>
      <c r="FU128" s="56"/>
      <c r="FV128" s="56"/>
      <c r="FW128" s="56"/>
      <c r="FX128" s="56"/>
      <c r="FY128" s="56"/>
      <c r="FZ128" s="56"/>
      <c r="GA128" s="56"/>
      <c r="GB128" s="56"/>
      <c r="GC128" s="56"/>
      <c r="GD128" s="56"/>
      <c r="GE128" s="56"/>
      <c r="GF128" s="56"/>
      <c r="GG128" s="56"/>
      <c r="GH128" s="56"/>
      <c r="GI128" s="56"/>
      <c r="GJ128" s="56"/>
      <c r="GK128" s="56"/>
      <c r="GL128" s="56"/>
      <c r="GM128" s="56"/>
      <c r="GN128" s="56"/>
      <c r="GO128" s="56"/>
      <c r="GP128" s="56"/>
      <c r="GQ128" s="56"/>
      <c r="GR128" s="56"/>
      <c r="GS128" s="56"/>
      <c r="GT128" s="56"/>
      <c r="GU128" s="56"/>
      <c r="GV128" s="56"/>
      <c r="GW128" s="56"/>
      <c r="GX128" s="56"/>
      <c r="GY128" s="56"/>
      <c r="GZ128" s="56"/>
      <c r="HA128" s="56"/>
      <c r="HB128" s="56"/>
      <c r="HC128" s="56"/>
      <c r="HD128" s="56"/>
      <c r="HE128" s="56"/>
      <c r="HF128" s="56"/>
      <c r="HG128" s="56"/>
      <c r="HH128" s="56"/>
      <c r="HI128" s="56"/>
      <c r="HJ128" s="56"/>
    </row>
    <row r="129" spans="1:218" ht="15.75" customHeight="1" x14ac:dyDescent="0.2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</row>
    <row r="130" spans="1:218" ht="15.75" customHeight="1" x14ac:dyDescent="0.2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  <c r="EL130" s="56"/>
      <c r="EM130" s="56"/>
      <c r="EN130" s="56"/>
      <c r="EO130" s="56"/>
      <c r="EP130" s="56"/>
      <c r="EQ130" s="56"/>
      <c r="ER130" s="56"/>
      <c r="ES130" s="56"/>
      <c r="ET130" s="56"/>
      <c r="EU130" s="56"/>
      <c r="EV130" s="56"/>
      <c r="EW130" s="56"/>
      <c r="EX130" s="56"/>
      <c r="EY130" s="56"/>
      <c r="EZ130" s="56"/>
      <c r="FA130" s="56"/>
      <c r="FB130" s="56"/>
      <c r="FC130" s="56"/>
      <c r="FD130" s="56"/>
      <c r="FE130" s="56"/>
      <c r="FF130" s="56"/>
      <c r="FG130" s="56"/>
      <c r="FH130" s="56"/>
      <c r="FI130" s="56"/>
      <c r="FJ130" s="56"/>
      <c r="FK130" s="56"/>
      <c r="FL130" s="56"/>
      <c r="FM130" s="56"/>
      <c r="FN130" s="56"/>
      <c r="FO130" s="56"/>
      <c r="FP130" s="56"/>
      <c r="FQ130" s="56"/>
      <c r="FR130" s="56"/>
      <c r="FS130" s="56"/>
      <c r="FT130" s="56"/>
      <c r="FU130" s="56"/>
      <c r="FV130" s="56"/>
      <c r="FW130" s="56"/>
      <c r="FX130" s="56"/>
      <c r="FY130" s="56"/>
      <c r="FZ130" s="56"/>
      <c r="GA130" s="56"/>
      <c r="GB130" s="56"/>
      <c r="GC130" s="56"/>
      <c r="GD130" s="56"/>
      <c r="GE130" s="56"/>
      <c r="GF130" s="56"/>
      <c r="GG130" s="56"/>
      <c r="GH130" s="56"/>
      <c r="GI130" s="56"/>
      <c r="GJ130" s="56"/>
      <c r="GK130" s="56"/>
      <c r="GL130" s="56"/>
      <c r="GM130" s="56"/>
      <c r="GN130" s="56"/>
      <c r="GO130" s="56"/>
      <c r="GP130" s="56"/>
      <c r="GQ130" s="56"/>
      <c r="GR130" s="56"/>
      <c r="GS130" s="56"/>
      <c r="GT130" s="56"/>
      <c r="GU130" s="56"/>
      <c r="GV130" s="56"/>
      <c r="GW130" s="56"/>
      <c r="GX130" s="56"/>
      <c r="GY130" s="56"/>
      <c r="GZ130" s="56"/>
      <c r="HA130" s="56"/>
      <c r="HB130" s="56"/>
      <c r="HC130" s="56"/>
      <c r="HD130" s="56"/>
      <c r="HE130" s="56"/>
      <c r="HF130" s="56"/>
      <c r="HG130" s="56"/>
      <c r="HH130" s="56"/>
      <c r="HI130" s="56"/>
      <c r="HJ130" s="56"/>
    </row>
    <row r="131" spans="1:218" ht="15.75" customHeight="1" x14ac:dyDescent="0.2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  <c r="CZ131" s="56"/>
      <c r="DA131" s="56"/>
      <c r="DB131" s="56"/>
      <c r="DC131" s="56"/>
      <c r="DD131" s="56"/>
      <c r="DE131" s="56"/>
      <c r="DF131" s="56"/>
      <c r="DG131" s="56"/>
      <c r="DH131" s="56"/>
      <c r="DI131" s="56"/>
      <c r="DJ131" s="56"/>
      <c r="DK131" s="56"/>
      <c r="DL131" s="56"/>
      <c r="DM131" s="56"/>
      <c r="DN131" s="56"/>
      <c r="DO131" s="56"/>
      <c r="DP131" s="56"/>
      <c r="DQ131" s="56"/>
      <c r="DR131" s="56"/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  <c r="EG131" s="56"/>
      <c r="EH131" s="56"/>
      <c r="EI131" s="56"/>
      <c r="EJ131" s="56"/>
      <c r="EK131" s="56"/>
      <c r="EL131" s="56"/>
      <c r="EM131" s="56"/>
      <c r="EN131" s="56"/>
      <c r="EO131" s="56"/>
      <c r="EP131" s="56"/>
      <c r="EQ131" s="56"/>
      <c r="ER131" s="56"/>
      <c r="ES131" s="56"/>
      <c r="ET131" s="56"/>
      <c r="EU131" s="56"/>
      <c r="EV131" s="56"/>
      <c r="EW131" s="56"/>
      <c r="EX131" s="56"/>
      <c r="EY131" s="56"/>
      <c r="EZ131" s="56"/>
      <c r="FA131" s="56"/>
      <c r="FB131" s="56"/>
      <c r="FC131" s="56"/>
      <c r="FD131" s="56"/>
      <c r="FE131" s="56"/>
      <c r="FF131" s="56"/>
      <c r="FG131" s="56"/>
      <c r="FH131" s="56"/>
      <c r="FI131" s="56"/>
      <c r="FJ131" s="56"/>
      <c r="FK131" s="56"/>
      <c r="FL131" s="56"/>
      <c r="FM131" s="56"/>
      <c r="FN131" s="56"/>
      <c r="FO131" s="56"/>
      <c r="FP131" s="56"/>
      <c r="FQ131" s="56"/>
      <c r="FR131" s="56"/>
      <c r="FS131" s="56"/>
      <c r="FT131" s="56"/>
      <c r="FU131" s="56"/>
      <c r="FV131" s="56"/>
      <c r="FW131" s="56"/>
      <c r="FX131" s="56"/>
      <c r="FY131" s="56"/>
      <c r="FZ131" s="56"/>
      <c r="GA131" s="56"/>
      <c r="GB131" s="56"/>
      <c r="GC131" s="56"/>
      <c r="GD131" s="56"/>
      <c r="GE131" s="56"/>
      <c r="GF131" s="56"/>
      <c r="GG131" s="56"/>
      <c r="GH131" s="56"/>
      <c r="GI131" s="56"/>
      <c r="GJ131" s="56"/>
      <c r="GK131" s="56"/>
      <c r="GL131" s="56"/>
      <c r="GM131" s="56"/>
      <c r="GN131" s="56"/>
      <c r="GO131" s="56"/>
      <c r="GP131" s="56"/>
      <c r="GQ131" s="56"/>
      <c r="GR131" s="56"/>
      <c r="GS131" s="56"/>
      <c r="GT131" s="56"/>
      <c r="GU131" s="56"/>
      <c r="GV131" s="56"/>
      <c r="GW131" s="56"/>
      <c r="GX131" s="56"/>
      <c r="GY131" s="56"/>
      <c r="GZ131" s="56"/>
      <c r="HA131" s="56"/>
      <c r="HB131" s="56"/>
      <c r="HC131" s="56"/>
      <c r="HD131" s="56"/>
      <c r="HE131" s="56"/>
      <c r="HF131" s="56"/>
      <c r="HG131" s="56"/>
      <c r="HH131" s="56"/>
      <c r="HI131" s="56"/>
      <c r="HJ131" s="56"/>
    </row>
    <row r="132" spans="1:218" ht="15.75" customHeight="1" x14ac:dyDescent="0.2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  <c r="CZ132" s="56"/>
      <c r="DA132" s="56"/>
      <c r="DB132" s="56"/>
      <c r="DC132" s="56"/>
      <c r="DD132" s="56"/>
      <c r="DE132" s="56"/>
      <c r="DF132" s="56"/>
      <c r="DG132" s="56"/>
      <c r="DH132" s="56"/>
      <c r="DI132" s="56"/>
      <c r="DJ132" s="56"/>
      <c r="DK132" s="56"/>
      <c r="DL132" s="56"/>
      <c r="DM132" s="56"/>
      <c r="DN132" s="56"/>
      <c r="DO132" s="56"/>
      <c r="DP132" s="56"/>
      <c r="DQ132" s="56"/>
      <c r="DR132" s="56"/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  <c r="EG132" s="56"/>
      <c r="EH132" s="56"/>
      <c r="EI132" s="56"/>
      <c r="EJ132" s="56"/>
      <c r="EK132" s="56"/>
      <c r="EL132" s="56"/>
      <c r="EM132" s="56"/>
      <c r="EN132" s="56"/>
      <c r="EO132" s="56"/>
      <c r="EP132" s="56"/>
      <c r="EQ132" s="56"/>
      <c r="ER132" s="56"/>
      <c r="ES132" s="56"/>
      <c r="ET132" s="56"/>
      <c r="EU132" s="56"/>
      <c r="EV132" s="56"/>
      <c r="EW132" s="56"/>
      <c r="EX132" s="56"/>
      <c r="EY132" s="56"/>
      <c r="EZ132" s="56"/>
      <c r="FA132" s="56"/>
      <c r="FB132" s="56"/>
      <c r="FC132" s="56"/>
      <c r="FD132" s="56"/>
      <c r="FE132" s="56"/>
      <c r="FF132" s="56"/>
      <c r="FG132" s="56"/>
      <c r="FH132" s="56"/>
      <c r="FI132" s="56"/>
      <c r="FJ132" s="56"/>
      <c r="FK132" s="56"/>
      <c r="FL132" s="56"/>
      <c r="FM132" s="56"/>
      <c r="FN132" s="56"/>
      <c r="FO132" s="56"/>
      <c r="FP132" s="56"/>
      <c r="FQ132" s="56"/>
      <c r="FR132" s="56"/>
      <c r="FS132" s="56"/>
      <c r="FT132" s="56"/>
      <c r="FU132" s="56"/>
      <c r="FV132" s="56"/>
      <c r="FW132" s="56"/>
      <c r="FX132" s="56"/>
      <c r="FY132" s="56"/>
      <c r="FZ132" s="56"/>
      <c r="GA132" s="56"/>
      <c r="GB132" s="56"/>
      <c r="GC132" s="56"/>
      <c r="GD132" s="56"/>
      <c r="GE132" s="56"/>
      <c r="GF132" s="56"/>
      <c r="GG132" s="56"/>
      <c r="GH132" s="56"/>
      <c r="GI132" s="56"/>
      <c r="GJ132" s="56"/>
      <c r="GK132" s="56"/>
      <c r="GL132" s="56"/>
      <c r="GM132" s="56"/>
      <c r="GN132" s="56"/>
      <c r="GO132" s="56"/>
      <c r="GP132" s="56"/>
      <c r="GQ132" s="56"/>
      <c r="GR132" s="56"/>
      <c r="GS132" s="56"/>
      <c r="GT132" s="56"/>
      <c r="GU132" s="56"/>
      <c r="GV132" s="56"/>
      <c r="GW132" s="56"/>
      <c r="GX132" s="56"/>
      <c r="GY132" s="56"/>
      <c r="GZ132" s="56"/>
      <c r="HA132" s="56"/>
      <c r="HB132" s="56"/>
      <c r="HC132" s="56"/>
      <c r="HD132" s="56"/>
      <c r="HE132" s="56"/>
      <c r="HF132" s="56"/>
      <c r="HG132" s="56"/>
      <c r="HH132" s="56"/>
      <c r="HI132" s="56"/>
      <c r="HJ132" s="56"/>
    </row>
    <row r="133" spans="1:218" ht="15.75" customHeight="1" x14ac:dyDescent="0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6"/>
      <c r="CV133" s="56"/>
      <c r="CW133" s="56"/>
      <c r="CX133" s="56"/>
      <c r="CY133" s="56"/>
      <c r="CZ133" s="56"/>
      <c r="DA133" s="56"/>
      <c r="DB133" s="56"/>
      <c r="DC133" s="56"/>
      <c r="DD133" s="56"/>
      <c r="DE133" s="56"/>
      <c r="DF133" s="56"/>
      <c r="DG133" s="56"/>
      <c r="DH133" s="56"/>
      <c r="DI133" s="56"/>
      <c r="DJ133" s="56"/>
      <c r="DK133" s="56"/>
      <c r="DL133" s="56"/>
      <c r="DM133" s="56"/>
      <c r="DN133" s="56"/>
      <c r="DO133" s="56"/>
      <c r="DP133" s="56"/>
      <c r="DQ133" s="56"/>
      <c r="DR133" s="56"/>
      <c r="DS133" s="56"/>
      <c r="DT133" s="56"/>
      <c r="DU133" s="56"/>
      <c r="DV133" s="56"/>
      <c r="DW133" s="56"/>
      <c r="DX133" s="56"/>
      <c r="DY133" s="56"/>
      <c r="DZ133" s="56"/>
      <c r="EA133" s="56"/>
      <c r="EB133" s="56"/>
      <c r="EC133" s="56"/>
      <c r="ED133" s="56"/>
      <c r="EE133" s="56"/>
      <c r="EF133" s="56"/>
      <c r="EG133" s="56"/>
      <c r="EH133" s="56"/>
      <c r="EI133" s="56"/>
      <c r="EJ133" s="56"/>
      <c r="EK133" s="56"/>
      <c r="EL133" s="56"/>
      <c r="EM133" s="56"/>
      <c r="EN133" s="56"/>
      <c r="EO133" s="56"/>
      <c r="EP133" s="56"/>
      <c r="EQ133" s="56"/>
      <c r="ER133" s="56"/>
      <c r="ES133" s="56"/>
      <c r="ET133" s="56"/>
      <c r="EU133" s="56"/>
      <c r="EV133" s="56"/>
      <c r="EW133" s="56"/>
      <c r="EX133" s="56"/>
      <c r="EY133" s="56"/>
      <c r="EZ133" s="56"/>
      <c r="FA133" s="56"/>
      <c r="FB133" s="56"/>
      <c r="FC133" s="56"/>
      <c r="FD133" s="56"/>
      <c r="FE133" s="56"/>
      <c r="FF133" s="56"/>
      <c r="FG133" s="56"/>
      <c r="FH133" s="56"/>
      <c r="FI133" s="56"/>
      <c r="FJ133" s="56"/>
      <c r="FK133" s="56"/>
      <c r="FL133" s="56"/>
      <c r="FM133" s="56"/>
      <c r="FN133" s="56"/>
      <c r="FO133" s="56"/>
      <c r="FP133" s="56"/>
      <c r="FQ133" s="56"/>
      <c r="FR133" s="56"/>
      <c r="FS133" s="56"/>
      <c r="FT133" s="56"/>
      <c r="FU133" s="56"/>
      <c r="FV133" s="56"/>
      <c r="FW133" s="56"/>
      <c r="FX133" s="56"/>
      <c r="FY133" s="56"/>
      <c r="FZ133" s="56"/>
      <c r="GA133" s="56"/>
      <c r="GB133" s="56"/>
      <c r="GC133" s="56"/>
      <c r="GD133" s="56"/>
      <c r="GE133" s="56"/>
      <c r="GF133" s="56"/>
      <c r="GG133" s="56"/>
      <c r="GH133" s="56"/>
      <c r="GI133" s="56"/>
      <c r="GJ133" s="56"/>
      <c r="GK133" s="56"/>
      <c r="GL133" s="56"/>
      <c r="GM133" s="56"/>
      <c r="GN133" s="56"/>
      <c r="GO133" s="56"/>
      <c r="GP133" s="56"/>
      <c r="GQ133" s="56"/>
      <c r="GR133" s="56"/>
      <c r="GS133" s="56"/>
      <c r="GT133" s="56"/>
      <c r="GU133" s="56"/>
      <c r="GV133" s="56"/>
      <c r="GW133" s="56"/>
      <c r="GX133" s="56"/>
      <c r="GY133" s="56"/>
      <c r="GZ133" s="56"/>
      <c r="HA133" s="56"/>
      <c r="HB133" s="56"/>
      <c r="HC133" s="56"/>
      <c r="HD133" s="56"/>
      <c r="HE133" s="56"/>
      <c r="HF133" s="56"/>
      <c r="HG133" s="56"/>
      <c r="HH133" s="56"/>
      <c r="HI133" s="56"/>
      <c r="HJ133" s="56"/>
    </row>
    <row r="134" spans="1:218" ht="15.75" customHeight="1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  <c r="CZ134" s="56"/>
      <c r="DA134" s="56"/>
      <c r="DB134" s="56"/>
      <c r="DC134" s="56"/>
      <c r="DD134" s="56"/>
      <c r="DE134" s="56"/>
      <c r="DF134" s="56"/>
      <c r="DG134" s="56"/>
      <c r="DH134" s="56"/>
      <c r="DI134" s="56"/>
      <c r="DJ134" s="56"/>
      <c r="DK134" s="56"/>
      <c r="DL134" s="56"/>
      <c r="DM134" s="56"/>
      <c r="DN134" s="56"/>
      <c r="DO134" s="56"/>
      <c r="DP134" s="56"/>
      <c r="DQ134" s="56"/>
      <c r="DR134" s="56"/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  <c r="EG134" s="56"/>
      <c r="EH134" s="56"/>
      <c r="EI134" s="56"/>
      <c r="EJ134" s="56"/>
      <c r="EK134" s="56"/>
      <c r="EL134" s="56"/>
      <c r="EM134" s="56"/>
      <c r="EN134" s="56"/>
      <c r="EO134" s="56"/>
      <c r="EP134" s="56"/>
      <c r="EQ134" s="56"/>
      <c r="ER134" s="56"/>
      <c r="ES134" s="56"/>
      <c r="ET134" s="56"/>
      <c r="EU134" s="56"/>
      <c r="EV134" s="56"/>
      <c r="EW134" s="56"/>
      <c r="EX134" s="56"/>
      <c r="EY134" s="56"/>
      <c r="EZ134" s="56"/>
      <c r="FA134" s="56"/>
      <c r="FB134" s="56"/>
      <c r="FC134" s="56"/>
      <c r="FD134" s="56"/>
      <c r="FE134" s="56"/>
      <c r="FF134" s="56"/>
      <c r="FG134" s="56"/>
      <c r="FH134" s="56"/>
      <c r="FI134" s="56"/>
      <c r="FJ134" s="56"/>
      <c r="FK134" s="56"/>
      <c r="FL134" s="56"/>
      <c r="FM134" s="56"/>
      <c r="FN134" s="56"/>
      <c r="FO134" s="56"/>
      <c r="FP134" s="56"/>
      <c r="FQ134" s="56"/>
      <c r="FR134" s="56"/>
      <c r="FS134" s="56"/>
      <c r="FT134" s="56"/>
      <c r="FU134" s="56"/>
      <c r="FV134" s="56"/>
      <c r="FW134" s="56"/>
      <c r="FX134" s="56"/>
      <c r="FY134" s="56"/>
      <c r="FZ134" s="56"/>
      <c r="GA134" s="56"/>
      <c r="GB134" s="56"/>
      <c r="GC134" s="56"/>
      <c r="GD134" s="56"/>
      <c r="GE134" s="56"/>
      <c r="GF134" s="56"/>
      <c r="GG134" s="56"/>
      <c r="GH134" s="56"/>
      <c r="GI134" s="56"/>
      <c r="GJ134" s="56"/>
      <c r="GK134" s="56"/>
      <c r="GL134" s="56"/>
      <c r="GM134" s="56"/>
      <c r="GN134" s="56"/>
      <c r="GO134" s="56"/>
      <c r="GP134" s="56"/>
      <c r="GQ134" s="56"/>
      <c r="GR134" s="56"/>
      <c r="GS134" s="56"/>
      <c r="GT134" s="56"/>
      <c r="GU134" s="56"/>
      <c r="GV134" s="56"/>
      <c r="GW134" s="56"/>
      <c r="GX134" s="56"/>
      <c r="GY134" s="56"/>
      <c r="GZ134" s="56"/>
      <c r="HA134" s="56"/>
      <c r="HB134" s="56"/>
      <c r="HC134" s="56"/>
      <c r="HD134" s="56"/>
      <c r="HE134" s="56"/>
      <c r="HF134" s="56"/>
      <c r="HG134" s="56"/>
      <c r="HH134" s="56"/>
      <c r="HI134" s="56"/>
      <c r="HJ134" s="56"/>
    </row>
    <row r="135" spans="1:218" ht="15.75" customHeight="1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6"/>
      <c r="CV135" s="56"/>
      <c r="CW135" s="56"/>
      <c r="CX135" s="56"/>
      <c r="CY135" s="56"/>
      <c r="CZ135" s="56"/>
      <c r="DA135" s="56"/>
      <c r="DB135" s="56"/>
      <c r="DC135" s="56"/>
      <c r="DD135" s="56"/>
      <c r="DE135" s="56"/>
      <c r="DF135" s="56"/>
      <c r="DG135" s="56"/>
      <c r="DH135" s="56"/>
      <c r="DI135" s="56"/>
      <c r="DJ135" s="56"/>
      <c r="DK135" s="56"/>
      <c r="DL135" s="56"/>
      <c r="DM135" s="56"/>
      <c r="DN135" s="56"/>
      <c r="DO135" s="56"/>
      <c r="DP135" s="56"/>
      <c r="DQ135" s="56"/>
      <c r="DR135" s="56"/>
      <c r="DS135" s="56"/>
      <c r="DT135" s="56"/>
      <c r="DU135" s="56"/>
      <c r="DV135" s="56"/>
      <c r="DW135" s="56"/>
      <c r="DX135" s="56"/>
      <c r="DY135" s="56"/>
      <c r="DZ135" s="56"/>
      <c r="EA135" s="56"/>
      <c r="EB135" s="56"/>
      <c r="EC135" s="56"/>
      <c r="ED135" s="56"/>
      <c r="EE135" s="56"/>
      <c r="EF135" s="56"/>
      <c r="EG135" s="56"/>
      <c r="EH135" s="56"/>
      <c r="EI135" s="56"/>
      <c r="EJ135" s="56"/>
      <c r="EK135" s="56"/>
      <c r="EL135" s="56"/>
      <c r="EM135" s="56"/>
      <c r="EN135" s="56"/>
      <c r="EO135" s="56"/>
      <c r="EP135" s="56"/>
      <c r="EQ135" s="56"/>
      <c r="ER135" s="56"/>
      <c r="ES135" s="56"/>
      <c r="ET135" s="56"/>
      <c r="EU135" s="56"/>
      <c r="EV135" s="56"/>
      <c r="EW135" s="56"/>
      <c r="EX135" s="56"/>
      <c r="EY135" s="56"/>
      <c r="EZ135" s="56"/>
      <c r="FA135" s="56"/>
      <c r="FB135" s="56"/>
      <c r="FC135" s="56"/>
      <c r="FD135" s="56"/>
      <c r="FE135" s="56"/>
      <c r="FF135" s="56"/>
      <c r="FG135" s="56"/>
      <c r="FH135" s="56"/>
      <c r="FI135" s="56"/>
      <c r="FJ135" s="56"/>
      <c r="FK135" s="56"/>
      <c r="FL135" s="56"/>
      <c r="FM135" s="56"/>
      <c r="FN135" s="56"/>
      <c r="FO135" s="56"/>
      <c r="FP135" s="56"/>
      <c r="FQ135" s="56"/>
      <c r="FR135" s="56"/>
      <c r="FS135" s="56"/>
      <c r="FT135" s="56"/>
      <c r="FU135" s="56"/>
      <c r="FV135" s="56"/>
      <c r="FW135" s="56"/>
      <c r="FX135" s="56"/>
      <c r="FY135" s="56"/>
      <c r="FZ135" s="56"/>
      <c r="GA135" s="56"/>
      <c r="GB135" s="56"/>
      <c r="GC135" s="56"/>
      <c r="GD135" s="56"/>
      <c r="GE135" s="56"/>
      <c r="GF135" s="56"/>
      <c r="GG135" s="56"/>
      <c r="GH135" s="56"/>
      <c r="GI135" s="56"/>
      <c r="GJ135" s="56"/>
      <c r="GK135" s="56"/>
      <c r="GL135" s="56"/>
      <c r="GM135" s="56"/>
      <c r="GN135" s="56"/>
      <c r="GO135" s="56"/>
      <c r="GP135" s="56"/>
      <c r="GQ135" s="56"/>
      <c r="GR135" s="56"/>
      <c r="GS135" s="56"/>
      <c r="GT135" s="56"/>
      <c r="GU135" s="56"/>
      <c r="GV135" s="56"/>
      <c r="GW135" s="56"/>
      <c r="GX135" s="56"/>
      <c r="GY135" s="56"/>
      <c r="GZ135" s="56"/>
      <c r="HA135" s="56"/>
      <c r="HB135" s="56"/>
      <c r="HC135" s="56"/>
      <c r="HD135" s="56"/>
      <c r="HE135" s="56"/>
      <c r="HF135" s="56"/>
      <c r="HG135" s="56"/>
      <c r="HH135" s="56"/>
      <c r="HI135" s="56"/>
      <c r="HJ135" s="56"/>
    </row>
    <row r="136" spans="1:218" ht="15.75" customHeight="1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  <c r="HE136" s="56"/>
      <c r="HF136" s="56"/>
      <c r="HG136" s="56"/>
      <c r="HH136" s="56"/>
      <c r="HI136" s="56"/>
      <c r="HJ136" s="56"/>
    </row>
    <row r="137" spans="1:218" ht="15.75" customHeight="1" x14ac:dyDescent="0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  <c r="HE137" s="56"/>
      <c r="HF137" s="56"/>
      <c r="HG137" s="56"/>
      <c r="HH137" s="56"/>
      <c r="HI137" s="56"/>
      <c r="HJ137" s="56"/>
    </row>
    <row r="138" spans="1:218" ht="15.75" customHeight="1" x14ac:dyDescent="0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  <c r="HE138" s="56"/>
      <c r="HF138" s="56"/>
      <c r="HG138" s="56"/>
      <c r="HH138" s="56"/>
      <c r="HI138" s="56"/>
      <c r="HJ138" s="56"/>
    </row>
    <row r="139" spans="1:218" ht="15.75" customHeight="1" x14ac:dyDescent="0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56"/>
      <c r="CP139" s="56"/>
      <c r="CQ139" s="56"/>
      <c r="CR139" s="56"/>
      <c r="CS139" s="56"/>
      <c r="CT139" s="56"/>
      <c r="CU139" s="56"/>
      <c r="CV139" s="56"/>
      <c r="CW139" s="56"/>
      <c r="CX139" s="56"/>
      <c r="CY139" s="56"/>
      <c r="CZ139" s="56"/>
      <c r="DA139" s="56"/>
      <c r="DB139" s="56"/>
      <c r="DC139" s="56"/>
      <c r="DD139" s="56"/>
      <c r="DE139" s="56"/>
      <c r="DF139" s="56"/>
      <c r="DG139" s="56"/>
      <c r="DH139" s="56"/>
      <c r="DI139" s="56"/>
      <c r="DJ139" s="56"/>
      <c r="DK139" s="56"/>
      <c r="DL139" s="56"/>
      <c r="DM139" s="56"/>
      <c r="DN139" s="56"/>
      <c r="DO139" s="56"/>
      <c r="DP139" s="56"/>
      <c r="DQ139" s="56"/>
      <c r="DR139" s="56"/>
      <c r="DS139" s="56"/>
      <c r="DT139" s="56"/>
      <c r="DU139" s="56"/>
      <c r="DV139" s="56"/>
      <c r="DW139" s="56"/>
      <c r="DX139" s="56"/>
      <c r="DY139" s="56"/>
      <c r="DZ139" s="56"/>
      <c r="EA139" s="56"/>
      <c r="EB139" s="56"/>
      <c r="EC139" s="56"/>
      <c r="ED139" s="56"/>
      <c r="EE139" s="56"/>
      <c r="EF139" s="56"/>
      <c r="EG139" s="56"/>
      <c r="EH139" s="56"/>
      <c r="EI139" s="56"/>
      <c r="EJ139" s="56"/>
      <c r="EK139" s="56"/>
      <c r="EL139" s="56"/>
      <c r="EM139" s="56"/>
      <c r="EN139" s="56"/>
      <c r="EO139" s="56"/>
      <c r="EP139" s="56"/>
      <c r="EQ139" s="56"/>
      <c r="ER139" s="56"/>
      <c r="ES139" s="56"/>
      <c r="ET139" s="56"/>
      <c r="EU139" s="56"/>
      <c r="EV139" s="56"/>
      <c r="EW139" s="56"/>
      <c r="EX139" s="56"/>
      <c r="EY139" s="56"/>
      <c r="EZ139" s="56"/>
      <c r="FA139" s="56"/>
      <c r="FB139" s="56"/>
      <c r="FC139" s="56"/>
      <c r="FD139" s="56"/>
      <c r="FE139" s="56"/>
      <c r="FF139" s="56"/>
      <c r="FG139" s="56"/>
      <c r="FH139" s="56"/>
      <c r="FI139" s="56"/>
      <c r="FJ139" s="56"/>
      <c r="FK139" s="56"/>
      <c r="FL139" s="56"/>
      <c r="FM139" s="56"/>
      <c r="FN139" s="56"/>
      <c r="FO139" s="56"/>
      <c r="FP139" s="56"/>
      <c r="FQ139" s="56"/>
      <c r="FR139" s="56"/>
      <c r="FS139" s="56"/>
      <c r="FT139" s="56"/>
      <c r="FU139" s="56"/>
      <c r="FV139" s="56"/>
      <c r="FW139" s="56"/>
      <c r="FX139" s="56"/>
      <c r="FY139" s="56"/>
      <c r="FZ139" s="56"/>
      <c r="GA139" s="56"/>
      <c r="GB139" s="56"/>
      <c r="GC139" s="56"/>
      <c r="GD139" s="56"/>
      <c r="GE139" s="56"/>
      <c r="GF139" s="56"/>
      <c r="GG139" s="56"/>
      <c r="GH139" s="56"/>
      <c r="GI139" s="56"/>
      <c r="GJ139" s="56"/>
      <c r="GK139" s="56"/>
      <c r="GL139" s="56"/>
      <c r="GM139" s="56"/>
      <c r="GN139" s="56"/>
      <c r="GO139" s="56"/>
      <c r="GP139" s="56"/>
      <c r="GQ139" s="56"/>
      <c r="GR139" s="56"/>
      <c r="GS139" s="56"/>
      <c r="GT139" s="56"/>
      <c r="GU139" s="56"/>
      <c r="GV139" s="56"/>
      <c r="GW139" s="56"/>
      <c r="GX139" s="56"/>
      <c r="GY139" s="56"/>
      <c r="GZ139" s="56"/>
      <c r="HA139" s="56"/>
      <c r="HB139" s="56"/>
      <c r="HC139" s="56"/>
      <c r="HD139" s="56"/>
      <c r="HE139" s="56"/>
      <c r="HF139" s="56"/>
      <c r="HG139" s="56"/>
      <c r="HH139" s="56"/>
      <c r="HI139" s="56"/>
      <c r="HJ139" s="56"/>
    </row>
    <row r="140" spans="1:218" ht="15.75" customHeight="1" x14ac:dyDescent="0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6"/>
      <c r="CO140" s="56"/>
      <c r="CP140" s="56"/>
      <c r="CQ140" s="56"/>
      <c r="CR140" s="56"/>
      <c r="CS140" s="56"/>
      <c r="CT140" s="56"/>
      <c r="CU140" s="56"/>
      <c r="CV140" s="56"/>
      <c r="CW140" s="56"/>
      <c r="CX140" s="56"/>
      <c r="CY140" s="56"/>
      <c r="CZ140" s="56"/>
      <c r="DA140" s="56"/>
      <c r="DB140" s="56"/>
      <c r="DC140" s="56"/>
      <c r="DD140" s="56"/>
      <c r="DE140" s="56"/>
      <c r="DF140" s="56"/>
      <c r="DG140" s="56"/>
      <c r="DH140" s="56"/>
      <c r="DI140" s="56"/>
      <c r="DJ140" s="56"/>
      <c r="DK140" s="56"/>
      <c r="DL140" s="56"/>
      <c r="DM140" s="56"/>
      <c r="DN140" s="56"/>
      <c r="DO140" s="56"/>
      <c r="DP140" s="56"/>
      <c r="DQ140" s="56"/>
      <c r="DR140" s="56"/>
      <c r="DS140" s="56"/>
      <c r="DT140" s="56"/>
      <c r="DU140" s="56"/>
      <c r="DV140" s="56"/>
      <c r="DW140" s="56"/>
      <c r="DX140" s="56"/>
      <c r="DY140" s="56"/>
      <c r="DZ140" s="56"/>
      <c r="EA140" s="56"/>
      <c r="EB140" s="56"/>
      <c r="EC140" s="56"/>
      <c r="ED140" s="56"/>
      <c r="EE140" s="56"/>
      <c r="EF140" s="56"/>
      <c r="EG140" s="56"/>
      <c r="EH140" s="56"/>
      <c r="EI140" s="56"/>
      <c r="EJ140" s="56"/>
      <c r="EK140" s="56"/>
      <c r="EL140" s="56"/>
      <c r="EM140" s="56"/>
      <c r="EN140" s="56"/>
      <c r="EO140" s="56"/>
      <c r="EP140" s="56"/>
      <c r="EQ140" s="56"/>
      <c r="ER140" s="56"/>
      <c r="ES140" s="56"/>
      <c r="ET140" s="56"/>
      <c r="EU140" s="56"/>
      <c r="EV140" s="56"/>
      <c r="EW140" s="56"/>
      <c r="EX140" s="56"/>
      <c r="EY140" s="56"/>
      <c r="EZ140" s="56"/>
      <c r="FA140" s="56"/>
      <c r="FB140" s="56"/>
      <c r="FC140" s="56"/>
      <c r="FD140" s="56"/>
      <c r="FE140" s="56"/>
      <c r="FF140" s="56"/>
      <c r="FG140" s="56"/>
      <c r="FH140" s="56"/>
      <c r="FI140" s="56"/>
      <c r="FJ140" s="56"/>
      <c r="FK140" s="56"/>
      <c r="FL140" s="56"/>
      <c r="FM140" s="56"/>
      <c r="FN140" s="56"/>
      <c r="FO140" s="56"/>
      <c r="FP140" s="56"/>
      <c r="FQ140" s="56"/>
      <c r="FR140" s="56"/>
      <c r="FS140" s="56"/>
      <c r="FT140" s="56"/>
      <c r="FU140" s="56"/>
      <c r="FV140" s="56"/>
      <c r="FW140" s="56"/>
      <c r="FX140" s="56"/>
      <c r="FY140" s="56"/>
      <c r="FZ140" s="56"/>
      <c r="GA140" s="56"/>
      <c r="GB140" s="56"/>
      <c r="GC140" s="56"/>
      <c r="GD140" s="56"/>
      <c r="GE140" s="56"/>
      <c r="GF140" s="56"/>
      <c r="GG140" s="56"/>
      <c r="GH140" s="56"/>
      <c r="GI140" s="56"/>
      <c r="GJ140" s="56"/>
      <c r="GK140" s="56"/>
      <c r="GL140" s="56"/>
      <c r="GM140" s="56"/>
      <c r="GN140" s="56"/>
      <c r="GO140" s="56"/>
      <c r="GP140" s="56"/>
      <c r="GQ140" s="56"/>
      <c r="GR140" s="56"/>
      <c r="GS140" s="56"/>
      <c r="GT140" s="56"/>
      <c r="GU140" s="56"/>
      <c r="GV140" s="56"/>
      <c r="GW140" s="56"/>
      <c r="GX140" s="56"/>
      <c r="GY140" s="56"/>
      <c r="GZ140" s="56"/>
      <c r="HA140" s="56"/>
      <c r="HB140" s="56"/>
      <c r="HC140" s="56"/>
      <c r="HD140" s="56"/>
      <c r="HE140" s="56"/>
      <c r="HF140" s="56"/>
      <c r="HG140" s="56"/>
      <c r="HH140" s="56"/>
      <c r="HI140" s="56"/>
      <c r="HJ140" s="56"/>
    </row>
    <row r="141" spans="1:218" ht="15.75" customHeight="1" x14ac:dyDescent="0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56"/>
      <c r="CP141" s="56"/>
      <c r="CQ141" s="56"/>
      <c r="CR141" s="56"/>
      <c r="CS141" s="56"/>
      <c r="CT141" s="56"/>
      <c r="CU141" s="56"/>
      <c r="CV141" s="56"/>
      <c r="CW141" s="56"/>
      <c r="CX141" s="56"/>
      <c r="CY141" s="56"/>
      <c r="CZ141" s="56"/>
      <c r="DA141" s="56"/>
      <c r="DB141" s="56"/>
      <c r="DC141" s="56"/>
      <c r="DD141" s="56"/>
      <c r="DE141" s="56"/>
      <c r="DF141" s="56"/>
      <c r="DG141" s="56"/>
      <c r="DH141" s="56"/>
      <c r="DI141" s="56"/>
      <c r="DJ141" s="56"/>
      <c r="DK141" s="56"/>
      <c r="DL141" s="56"/>
      <c r="DM141" s="56"/>
      <c r="DN141" s="56"/>
      <c r="DO141" s="56"/>
      <c r="DP141" s="56"/>
      <c r="DQ141" s="56"/>
      <c r="DR141" s="56"/>
      <c r="DS141" s="56"/>
      <c r="DT141" s="56"/>
      <c r="DU141" s="56"/>
      <c r="DV141" s="56"/>
      <c r="DW141" s="56"/>
      <c r="DX141" s="56"/>
      <c r="DY141" s="56"/>
      <c r="DZ141" s="56"/>
      <c r="EA141" s="56"/>
      <c r="EB141" s="56"/>
      <c r="EC141" s="56"/>
      <c r="ED141" s="56"/>
      <c r="EE141" s="56"/>
      <c r="EF141" s="56"/>
      <c r="EG141" s="56"/>
      <c r="EH141" s="56"/>
      <c r="EI141" s="56"/>
      <c r="EJ141" s="56"/>
      <c r="EK141" s="56"/>
      <c r="EL141" s="56"/>
      <c r="EM141" s="56"/>
      <c r="EN141" s="56"/>
      <c r="EO141" s="56"/>
      <c r="EP141" s="56"/>
      <c r="EQ141" s="56"/>
      <c r="ER141" s="56"/>
      <c r="ES141" s="56"/>
      <c r="ET141" s="56"/>
      <c r="EU141" s="56"/>
      <c r="EV141" s="56"/>
      <c r="EW141" s="56"/>
      <c r="EX141" s="56"/>
      <c r="EY141" s="56"/>
      <c r="EZ141" s="56"/>
      <c r="FA141" s="56"/>
      <c r="FB141" s="56"/>
      <c r="FC141" s="56"/>
      <c r="FD141" s="56"/>
      <c r="FE141" s="56"/>
      <c r="FF141" s="56"/>
      <c r="FG141" s="56"/>
      <c r="FH141" s="56"/>
      <c r="FI141" s="56"/>
      <c r="FJ141" s="56"/>
      <c r="FK141" s="56"/>
      <c r="FL141" s="56"/>
      <c r="FM141" s="56"/>
      <c r="FN141" s="56"/>
      <c r="FO141" s="56"/>
      <c r="FP141" s="56"/>
      <c r="FQ141" s="56"/>
      <c r="FR141" s="56"/>
      <c r="FS141" s="56"/>
      <c r="FT141" s="56"/>
      <c r="FU141" s="56"/>
      <c r="FV141" s="56"/>
      <c r="FW141" s="56"/>
      <c r="FX141" s="56"/>
      <c r="FY141" s="56"/>
      <c r="FZ141" s="56"/>
      <c r="GA141" s="56"/>
      <c r="GB141" s="56"/>
      <c r="GC141" s="56"/>
      <c r="GD141" s="56"/>
      <c r="GE141" s="56"/>
      <c r="GF141" s="56"/>
      <c r="GG141" s="56"/>
      <c r="GH141" s="56"/>
      <c r="GI141" s="56"/>
      <c r="GJ141" s="56"/>
      <c r="GK141" s="56"/>
      <c r="GL141" s="56"/>
      <c r="GM141" s="56"/>
      <c r="GN141" s="56"/>
      <c r="GO141" s="56"/>
      <c r="GP141" s="56"/>
      <c r="GQ141" s="56"/>
      <c r="GR141" s="56"/>
      <c r="GS141" s="56"/>
      <c r="GT141" s="56"/>
      <c r="GU141" s="56"/>
      <c r="GV141" s="56"/>
      <c r="GW141" s="56"/>
      <c r="GX141" s="56"/>
      <c r="GY141" s="56"/>
      <c r="GZ141" s="56"/>
      <c r="HA141" s="56"/>
      <c r="HB141" s="56"/>
      <c r="HC141" s="56"/>
      <c r="HD141" s="56"/>
      <c r="HE141" s="56"/>
      <c r="HF141" s="56"/>
      <c r="HG141" s="56"/>
      <c r="HH141" s="56"/>
      <c r="HI141" s="56"/>
      <c r="HJ141" s="56"/>
    </row>
    <row r="142" spans="1:218" ht="15.75" customHeight="1" x14ac:dyDescent="0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  <c r="CT142" s="56"/>
      <c r="CU142" s="56"/>
      <c r="CV142" s="56"/>
      <c r="CW142" s="56"/>
      <c r="CX142" s="56"/>
      <c r="CY142" s="56"/>
      <c r="CZ142" s="56"/>
      <c r="DA142" s="56"/>
      <c r="DB142" s="56"/>
      <c r="DC142" s="56"/>
      <c r="DD142" s="56"/>
      <c r="DE142" s="56"/>
      <c r="DF142" s="56"/>
      <c r="DG142" s="56"/>
      <c r="DH142" s="56"/>
      <c r="DI142" s="56"/>
      <c r="DJ142" s="56"/>
      <c r="DK142" s="56"/>
      <c r="DL142" s="56"/>
      <c r="DM142" s="56"/>
      <c r="DN142" s="56"/>
      <c r="DO142" s="56"/>
      <c r="DP142" s="56"/>
      <c r="DQ142" s="56"/>
      <c r="DR142" s="56"/>
      <c r="DS142" s="56"/>
      <c r="DT142" s="56"/>
      <c r="DU142" s="56"/>
      <c r="DV142" s="56"/>
      <c r="DW142" s="56"/>
      <c r="DX142" s="56"/>
      <c r="DY142" s="56"/>
      <c r="DZ142" s="56"/>
      <c r="EA142" s="56"/>
      <c r="EB142" s="56"/>
      <c r="EC142" s="56"/>
      <c r="ED142" s="56"/>
      <c r="EE142" s="56"/>
      <c r="EF142" s="56"/>
      <c r="EG142" s="56"/>
      <c r="EH142" s="56"/>
      <c r="EI142" s="56"/>
      <c r="EJ142" s="56"/>
      <c r="EK142" s="56"/>
      <c r="EL142" s="56"/>
      <c r="EM142" s="56"/>
      <c r="EN142" s="56"/>
      <c r="EO142" s="56"/>
      <c r="EP142" s="56"/>
      <c r="EQ142" s="56"/>
      <c r="ER142" s="56"/>
      <c r="ES142" s="56"/>
      <c r="ET142" s="56"/>
      <c r="EU142" s="56"/>
      <c r="EV142" s="56"/>
      <c r="EW142" s="56"/>
      <c r="EX142" s="56"/>
      <c r="EY142" s="56"/>
      <c r="EZ142" s="56"/>
      <c r="FA142" s="56"/>
      <c r="FB142" s="56"/>
      <c r="FC142" s="56"/>
      <c r="FD142" s="56"/>
      <c r="FE142" s="56"/>
      <c r="FF142" s="56"/>
      <c r="FG142" s="56"/>
      <c r="FH142" s="56"/>
      <c r="FI142" s="56"/>
      <c r="FJ142" s="56"/>
      <c r="FK142" s="56"/>
      <c r="FL142" s="56"/>
      <c r="FM142" s="56"/>
      <c r="FN142" s="56"/>
      <c r="FO142" s="56"/>
      <c r="FP142" s="56"/>
      <c r="FQ142" s="56"/>
      <c r="FR142" s="56"/>
      <c r="FS142" s="56"/>
      <c r="FT142" s="56"/>
      <c r="FU142" s="56"/>
      <c r="FV142" s="56"/>
      <c r="FW142" s="56"/>
      <c r="FX142" s="56"/>
      <c r="FY142" s="56"/>
      <c r="FZ142" s="56"/>
      <c r="GA142" s="56"/>
      <c r="GB142" s="56"/>
      <c r="GC142" s="56"/>
      <c r="GD142" s="56"/>
      <c r="GE142" s="56"/>
      <c r="GF142" s="56"/>
      <c r="GG142" s="56"/>
      <c r="GH142" s="56"/>
      <c r="GI142" s="56"/>
      <c r="GJ142" s="56"/>
      <c r="GK142" s="56"/>
      <c r="GL142" s="56"/>
      <c r="GM142" s="56"/>
      <c r="GN142" s="56"/>
      <c r="GO142" s="56"/>
      <c r="GP142" s="56"/>
      <c r="GQ142" s="56"/>
      <c r="GR142" s="56"/>
      <c r="GS142" s="56"/>
      <c r="GT142" s="56"/>
      <c r="GU142" s="56"/>
      <c r="GV142" s="56"/>
      <c r="GW142" s="56"/>
      <c r="GX142" s="56"/>
      <c r="GY142" s="56"/>
      <c r="GZ142" s="56"/>
      <c r="HA142" s="56"/>
      <c r="HB142" s="56"/>
      <c r="HC142" s="56"/>
      <c r="HD142" s="56"/>
      <c r="HE142" s="56"/>
      <c r="HF142" s="56"/>
      <c r="HG142" s="56"/>
      <c r="HH142" s="56"/>
      <c r="HI142" s="56"/>
      <c r="HJ142" s="56"/>
    </row>
    <row r="143" spans="1:218" ht="15.75" customHeight="1" x14ac:dyDescent="0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56"/>
      <c r="CP143" s="56"/>
      <c r="CQ143" s="56"/>
      <c r="CR143" s="56"/>
      <c r="CS143" s="56"/>
      <c r="CT143" s="56"/>
      <c r="CU143" s="56"/>
      <c r="CV143" s="56"/>
      <c r="CW143" s="56"/>
      <c r="CX143" s="56"/>
      <c r="CY143" s="56"/>
      <c r="CZ143" s="56"/>
      <c r="DA143" s="56"/>
      <c r="DB143" s="56"/>
      <c r="DC143" s="56"/>
      <c r="DD143" s="56"/>
      <c r="DE143" s="56"/>
      <c r="DF143" s="56"/>
      <c r="DG143" s="56"/>
      <c r="DH143" s="56"/>
      <c r="DI143" s="56"/>
      <c r="DJ143" s="56"/>
      <c r="DK143" s="56"/>
      <c r="DL143" s="56"/>
      <c r="DM143" s="56"/>
      <c r="DN143" s="56"/>
      <c r="DO143" s="56"/>
      <c r="DP143" s="56"/>
      <c r="DQ143" s="56"/>
      <c r="DR143" s="56"/>
      <c r="DS143" s="56"/>
      <c r="DT143" s="56"/>
      <c r="DU143" s="56"/>
      <c r="DV143" s="56"/>
      <c r="DW143" s="56"/>
      <c r="DX143" s="56"/>
      <c r="DY143" s="56"/>
      <c r="DZ143" s="56"/>
      <c r="EA143" s="56"/>
      <c r="EB143" s="56"/>
      <c r="EC143" s="56"/>
      <c r="ED143" s="56"/>
      <c r="EE143" s="56"/>
      <c r="EF143" s="56"/>
      <c r="EG143" s="56"/>
      <c r="EH143" s="56"/>
      <c r="EI143" s="56"/>
      <c r="EJ143" s="56"/>
      <c r="EK143" s="56"/>
      <c r="EL143" s="56"/>
      <c r="EM143" s="56"/>
      <c r="EN143" s="56"/>
      <c r="EO143" s="56"/>
      <c r="EP143" s="56"/>
      <c r="EQ143" s="56"/>
      <c r="ER143" s="56"/>
      <c r="ES143" s="56"/>
      <c r="ET143" s="56"/>
      <c r="EU143" s="56"/>
      <c r="EV143" s="56"/>
      <c r="EW143" s="56"/>
      <c r="EX143" s="56"/>
      <c r="EY143" s="56"/>
      <c r="EZ143" s="56"/>
      <c r="FA143" s="56"/>
      <c r="FB143" s="56"/>
      <c r="FC143" s="56"/>
      <c r="FD143" s="56"/>
      <c r="FE143" s="56"/>
      <c r="FF143" s="56"/>
      <c r="FG143" s="56"/>
      <c r="FH143" s="56"/>
      <c r="FI143" s="56"/>
      <c r="FJ143" s="56"/>
      <c r="FK143" s="56"/>
      <c r="FL143" s="56"/>
      <c r="FM143" s="56"/>
      <c r="FN143" s="56"/>
      <c r="FO143" s="56"/>
      <c r="FP143" s="56"/>
      <c r="FQ143" s="56"/>
      <c r="FR143" s="56"/>
      <c r="FS143" s="56"/>
      <c r="FT143" s="56"/>
      <c r="FU143" s="56"/>
      <c r="FV143" s="56"/>
      <c r="FW143" s="56"/>
      <c r="FX143" s="56"/>
      <c r="FY143" s="56"/>
      <c r="FZ143" s="56"/>
      <c r="GA143" s="56"/>
      <c r="GB143" s="56"/>
      <c r="GC143" s="56"/>
      <c r="GD143" s="56"/>
      <c r="GE143" s="56"/>
      <c r="GF143" s="56"/>
      <c r="GG143" s="56"/>
      <c r="GH143" s="56"/>
      <c r="GI143" s="56"/>
      <c r="GJ143" s="56"/>
      <c r="GK143" s="56"/>
      <c r="GL143" s="56"/>
      <c r="GM143" s="56"/>
      <c r="GN143" s="56"/>
      <c r="GO143" s="56"/>
      <c r="GP143" s="56"/>
      <c r="GQ143" s="56"/>
      <c r="GR143" s="56"/>
      <c r="GS143" s="56"/>
      <c r="GT143" s="56"/>
      <c r="GU143" s="56"/>
      <c r="GV143" s="56"/>
      <c r="GW143" s="56"/>
      <c r="GX143" s="56"/>
      <c r="GY143" s="56"/>
      <c r="GZ143" s="56"/>
      <c r="HA143" s="56"/>
      <c r="HB143" s="56"/>
      <c r="HC143" s="56"/>
      <c r="HD143" s="56"/>
      <c r="HE143" s="56"/>
      <c r="HF143" s="56"/>
      <c r="HG143" s="56"/>
      <c r="HH143" s="56"/>
      <c r="HI143" s="56"/>
      <c r="HJ143" s="56"/>
    </row>
    <row r="144" spans="1:218" ht="15.75" customHeight="1" x14ac:dyDescent="0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6"/>
      <c r="CV144" s="56"/>
      <c r="CW144" s="56"/>
      <c r="CX144" s="56"/>
      <c r="CY144" s="56"/>
      <c r="CZ144" s="56"/>
      <c r="DA144" s="56"/>
      <c r="DB144" s="56"/>
      <c r="DC144" s="56"/>
      <c r="DD144" s="56"/>
      <c r="DE144" s="56"/>
      <c r="DF144" s="56"/>
      <c r="DG144" s="56"/>
      <c r="DH144" s="56"/>
      <c r="DI144" s="56"/>
      <c r="DJ144" s="56"/>
      <c r="DK144" s="56"/>
      <c r="DL144" s="56"/>
      <c r="DM144" s="56"/>
      <c r="DN144" s="56"/>
      <c r="DO144" s="56"/>
      <c r="DP144" s="56"/>
      <c r="DQ144" s="56"/>
      <c r="DR144" s="56"/>
      <c r="DS144" s="56"/>
      <c r="DT144" s="56"/>
      <c r="DU144" s="56"/>
      <c r="DV144" s="56"/>
      <c r="DW144" s="56"/>
      <c r="DX144" s="56"/>
      <c r="DY144" s="56"/>
      <c r="DZ144" s="56"/>
      <c r="EA144" s="56"/>
      <c r="EB144" s="56"/>
      <c r="EC144" s="56"/>
      <c r="ED144" s="56"/>
      <c r="EE144" s="56"/>
      <c r="EF144" s="56"/>
      <c r="EG144" s="56"/>
      <c r="EH144" s="56"/>
      <c r="EI144" s="56"/>
      <c r="EJ144" s="56"/>
      <c r="EK144" s="56"/>
      <c r="EL144" s="56"/>
      <c r="EM144" s="56"/>
      <c r="EN144" s="56"/>
      <c r="EO144" s="56"/>
      <c r="EP144" s="56"/>
      <c r="EQ144" s="56"/>
      <c r="ER144" s="56"/>
      <c r="ES144" s="56"/>
      <c r="ET144" s="56"/>
      <c r="EU144" s="56"/>
      <c r="EV144" s="56"/>
      <c r="EW144" s="56"/>
      <c r="EX144" s="56"/>
      <c r="EY144" s="56"/>
      <c r="EZ144" s="56"/>
      <c r="FA144" s="56"/>
      <c r="FB144" s="56"/>
      <c r="FC144" s="56"/>
      <c r="FD144" s="56"/>
      <c r="FE144" s="56"/>
      <c r="FF144" s="56"/>
      <c r="FG144" s="56"/>
      <c r="FH144" s="56"/>
      <c r="FI144" s="56"/>
      <c r="FJ144" s="56"/>
      <c r="FK144" s="56"/>
      <c r="FL144" s="56"/>
      <c r="FM144" s="56"/>
      <c r="FN144" s="56"/>
      <c r="FO144" s="56"/>
      <c r="FP144" s="56"/>
      <c r="FQ144" s="56"/>
      <c r="FR144" s="56"/>
      <c r="FS144" s="56"/>
      <c r="FT144" s="56"/>
      <c r="FU144" s="56"/>
      <c r="FV144" s="56"/>
      <c r="FW144" s="56"/>
      <c r="FX144" s="56"/>
      <c r="FY144" s="56"/>
      <c r="FZ144" s="56"/>
      <c r="GA144" s="56"/>
      <c r="GB144" s="56"/>
      <c r="GC144" s="56"/>
      <c r="GD144" s="56"/>
      <c r="GE144" s="56"/>
      <c r="GF144" s="56"/>
      <c r="GG144" s="56"/>
      <c r="GH144" s="56"/>
      <c r="GI144" s="56"/>
      <c r="GJ144" s="56"/>
      <c r="GK144" s="56"/>
      <c r="GL144" s="56"/>
      <c r="GM144" s="56"/>
      <c r="GN144" s="56"/>
      <c r="GO144" s="56"/>
      <c r="GP144" s="56"/>
      <c r="GQ144" s="56"/>
      <c r="GR144" s="56"/>
      <c r="GS144" s="56"/>
      <c r="GT144" s="56"/>
      <c r="GU144" s="56"/>
      <c r="GV144" s="56"/>
      <c r="GW144" s="56"/>
      <c r="GX144" s="56"/>
      <c r="GY144" s="56"/>
      <c r="GZ144" s="56"/>
      <c r="HA144" s="56"/>
      <c r="HB144" s="56"/>
      <c r="HC144" s="56"/>
      <c r="HD144" s="56"/>
      <c r="HE144" s="56"/>
      <c r="HF144" s="56"/>
      <c r="HG144" s="56"/>
      <c r="HH144" s="56"/>
      <c r="HI144" s="56"/>
      <c r="HJ144" s="56"/>
    </row>
    <row r="145" spans="1:218" ht="15.75" customHeight="1" x14ac:dyDescent="0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6"/>
      <c r="CV145" s="56"/>
      <c r="CW145" s="56"/>
      <c r="CX145" s="56"/>
      <c r="CY145" s="56"/>
      <c r="CZ145" s="56"/>
      <c r="DA145" s="56"/>
      <c r="DB145" s="56"/>
      <c r="DC145" s="56"/>
      <c r="DD145" s="56"/>
      <c r="DE145" s="56"/>
      <c r="DF145" s="56"/>
      <c r="DG145" s="56"/>
      <c r="DH145" s="56"/>
      <c r="DI145" s="56"/>
      <c r="DJ145" s="56"/>
      <c r="DK145" s="56"/>
      <c r="DL145" s="56"/>
      <c r="DM145" s="56"/>
      <c r="DN145" s="56"/>
      <c r="DO145" s="56"/>
      <c r="DP145" s="56"/>
      <c r="DQ145" s="56"/>
      <c r="DR145" s="56"/>
      <c r="DS145" s="56"/>
      <c r="DT145" s="56"/>
      <c r="DU145" s="56"/>
      <c r="DV145" s="56"/>
      <c r="DW145" s="56"/>
      <c r="DX145" s="56"/>
      <c r="DY145" s="56"/>
      <c r="DZ145" s="56"/>
      <c r="EA145" s="56"/>
      <c r="EB145" s="56"/>
      <c r="EC145" s="56"/>
      <c r="ED145" s="56"/>
      <c r="EE145" s="56"/>
      <c r="EF145" s="56"/>
      <c r="EG145" s="56"/>
      <c r="EH145" s="56"/>
      <c r="EI145" s="56"/>
      <c r="EJ145" s="56"/>
      <c r="EK145" s="56"/>
      <c r="EL145" s="56"/>
      <c r="EM145" s="56"/>
      <c r="EN145" s="56"/>
      <c r="EO145" s="56"/>
      <c r="EP145" s="56"/>
      <c r="EQ145" s="56"/>
      <c r="ER145" s="56"/>
      <c r="ES145" s="56"/>
      <c r="ET145" s="56"/>
      <c r="EU145" s="56"/>
      <c r="EV145" s="56"/>
      <c r="EW145" s="56"/>
      <c r="EX145" s="56"/>
      <c r="EY145" s="56"/>
      <c r="EZ145" s="56"/>
      <c r="FA145" s="56"/>
      <c r="FB145" s="56"/>
      <c r="FC145" s="56"/>
      <c r="FD145" s="56"/>
      <c r="FE145" s="56"/>
      <c r="FF145" s="56"/>
      <c r="FG145" s="56"/>
      <c r="FH145" s="56"/>
      <c r="FI145" s="56"/>
      <c r="FJ145" s="56"/>
      <c r="FK145" s="56"/>
      <c r="FL145" s="56"/>
      <c r="FM145" s="56"/>
      <c r="FN145" s="56"/>
      <c r="FO145" s="56"/>
      <c r="FP145" s="56"/>
      <c r="FQ145" s="56"/>
      <c r="FR145" s="56"/>
      <c r="FS145" s="56"/>
      <c r="FT145" s="56"/>
      <c r="FU145" s="56"/>
      <c r="FV145" s="56"/>
      <c r="FW145" s="56"/>
      <c r="FX145" s="56"/>
      <c r="FY145" s="56"/>
      <c r="FZ145" s="56"/>
      <c r="GA145" s="56"/>
      <c r="GB145" s="56"/>
      <c r="GC145" s="56"/>
      <c r="GD145" s="56"/>
      <c r="GE145" s="56"/>
      <c r="GF145" s="56"/>
      <c r="GG145" s="56"/>
      <c r="GH145" s="56"/>
      <c r="GI145" s="56"/>
      <c r="GJ145" s="56"/>
      <c r="GK145" s="56"/>
      <c r="GL145" s="56"/>
      <c r="GM145" s="56"/>
      <c r="GN145" s="56"/>
      <c r="GO145" s="56"/>
      <c r="GP145" s="56"/>
      <c r="GQ145" s="56"/>
      <c r="GR145" s="56"/>
      <c r="GS145" s="56"/>
      <c r="GT145" s="56"/>
      <c r="GU145" s="56"/>
      <c r="GV145" s="56"/>
      <c r="GW145" s="56"/>
      <c r="GX145" s="56"/>
      <c r="GY145" s="56"/>
      <c r="GZ145" s="56"/>
      <c r="HA145" s="56"/>
      <c r="HB145" s="56"/>
      <c r="HC145" s="56"/>
      <c r="HD145" s="56"/>
      <c r="HE145" s="56"/>
      <c r="HF145" s="56"/>
      <c r="HG145" s="56"/>
      <c r="HH145" s="56"/>
      <c r="HI145" s="56"/>
      <c r="HJ145" s="56"/>
    </row>
    <row r="146" spans="1:218" ht="15.75" customHeight="1" x14ac:dyDescent="0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6"/>
      <c r="CV146" s="56"/>
      <c r="CW146" s="56"/>
      <c r="CX146" s="56"/>
      <c r="CY146" s="56"/>
      <c r="CZ146" s="56"/>
      <c r="DA146" s="56"/>
      <c r="DB146" s="56"/>
      <c r="DC146" s="56"/>
      <c r="DD146" s="56"/>
      <c r="DE146" s="56"/>
      <c r="DF146" s="56"/>
      <c r="DG146" s="56"/>
      <c r="DH146" s="56"/>
      <c r="DI146" s="56"/>
      <c r="DJ146" s="56"/>
      <c r="DK146" s="56"/>
      <c r="DL146" s="56"/>
      <c r="DM146" s="56"/>
      <c r="DN146" s="56"/>
      <c r="DO146" s="56"/>
      <c r="DP146" s="56"/>
      <c r="DQ146" s="56"/>
      <c r="DR146" s="56"/>
      <c r="DS146" s="56"/>
      <c r="DT146" s="56"/>
      <c r="DU146" s="56"/>
      <c r="DV146" s="56"/>
      <c r="DW146" s="56"/>
      <c r="DX146" s="56"/>
      <c r="DY146" s="56"/>
      <c r="DZ146" s="56"/>
      <c r="EA146" s="56"/>
      <c r="EB146" s="56"/>
      <c r="EC146" s="56"/>
      <c r="ED146" s="56"/>
      <c r="EE146" s="56"/>
      <c r="EF146" s="56"/>
      <c r="EG146" s="56"/>
      <c r="EH146" s="56"/>
      <c r="EI146" s="56"/>
      <c r="EJ146" s="56"/>
      <c r="EK146" s="56"/>
      <c r="EL146" s="56"/>
      <c r="EM146" s="56"/>
      <c r="EN146" s="56"/>
      <c r="EO146" s="56"/>
      <c r="EP146" s="56"/>
      <c r="EQ146" s="56"/>
      <c r="ER146" s="56"/>
      <c r="ES146" s="56"/>
      <c r="ET146" s="56"/>
      <c r="EU146" s="56"/>
      <c r="EV146" s="56"/>
      <c r="EW146" s="56"/>
      <c r="EX146" s="56"/>
      <c r="EY146" s="56"/>
      <c r="EZ146" s="56"/>
      <c r="FA146" s="56"/>
      <c r="FB146" s="56"/>
      <c r="FC146" s="56"/>
      <c r="FD146" s="56"/>
      <c r="FE146" s="56"/>
      <c r="FF146" s="56"/>
      <c r="FG146" s="56"/>
      <c r="FH146" s="56"/>
      <c r="FI146" s="56"/>
      <c r="FJ146" s="56"/>
      <c r="FK146" s="56"/>
      <c r="FL146" s="56"/>
      <c r="FM146" s="56"/>
      <c r="FN146" s="56"/>
      <c r="FO146" s="56"/>
      <c r="FP146" s="56"/>
      <c r="FQ146" s="56"/>
      <c r="FR146" s="56"/>
      <c r="FS146" s="56"/>
      <c r="FT146" s="56"/>
      <c r="FU146" s="56"/>
      <c r="FV146" s="56"/>
      <c r="FW146" s="56"/>
      <c r="FX146" s="56"/>
      <c r="FY146" s="56"/>
      <c r="FZ146" s="56"/>
      <c r="GA146" s="56"/>
      <c r="GB146" s="56"/>
      <c r="GC146" s="56"/>
      <c r="GD146" s="56"/>
      <c r="GE146" s="56"/>
      <c r="GF146" s="56"/>
      <c r="GG146" s="56"/>
      <c r="GH146" s="56"/>
      <c r="GI146" s="56"/>
      <c r="GJ146" s="56"/>
      <c r="GK146" s="56"/>
      <c r="GL146" s="56"/>
      <c r="GM146" s="56"/>
      <c r="GN146" s="56"/>
      <c r="GO146" s="56"/>
      <c r="GP146" s="56"/>
      <c r="GQ146" s="56"/>
      <c r="GR146" s="56"/>
      <c r="GS146" s="56"/>
      <c r="GT146" s="56"/>
      <c r="GU146" s="56"/>
      <c r="GV146" s="56"/>
      <c r="GW146" s="56"/>
      <c r="GX146" s="56"/>
      <c r="GY146" s="56"/>
      <c r="GZ146" s="56"/>
      <c r="HA146" s="56"/>
      <c r="HB146" s="56"/>
      <c r="HC146" s="56"/>
      <c r="HD146" s="56"/>
      <c r="HE146" s="56"/>
      <c r="HF146" s="56"/>
      <c r="HG146" s="56"/>
      <c r="HH146" s="56"/>
      <c r="HI146" s="56"/>
      <c r="HJ146" s="56"/>
    </row>
    <row r="147" spans="1:218" ht="15.75" customHeight="1" x14ac:dyDescent="0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6"/>
      <c r="CV147" s="56"/>
      <c r="CW147" s="56"/>
      <c r="CX147" s="56"/>
      <c r="CY147" s="56"/>
      <c r="CZ147" s="56"/>
      <c r="DA147" s="56"/>
      <c r="DB147" s="56"/>
      <c r="DC147" s="56"/>
      <c r="DD147" s="56"/>
      <c r="DE147" s="56"/>
      <c r="DF147" s="56"/>
      <c r="DG147" s="56"/>
      <c r="DH147" s="56"/>
      <c r="DI147" s="56"/>
      <c r="DJ147" s="56"/>
      <c r="DK147" s="56"/>
      <c r="DL147" s="56"/>
      <c r="DM147" s="56"/>
      <c r="DN147" s="56"/>
      <c r="DO147" s="56"/>
      <c r="DP147" s="56"/>
      <c r="DQ147" s="56"/>
      <c r="DR147" s="56"/>
      <c r="DS147" s="56"/>
      <c r="DT147" s="56"/>
      <c r="DU147" s="56"/>
      <c r="DV147" s="56"/>
      <c r="DW147" s="56"/>
      <c r="DX147" s="56"/>
      <c r="DY147" s="56"/>
      <c r="DZ147" s="56"/>
      <c r="EA147" s="56"/>
      <c r="EB147" s="56"/>
      <c r="EC147" s="56"/>
      <c r="ED147" s="56"/>
      <c r="EE147" s="56"/>
      <c r="EF147" s="56"/>
      <c r="EG147" s="56"/>
      <c r="EH147" s="56"/>
      <c r="EI147" s="56"/>
      <c r="EJ147" s="56"/>
      <c r="EK147" s="56"/>
      <c r="EL147" s="56"/>
      <c r="EM147" s="56"/>
      <c r="EN147" s="56"/>
      <c r="EO147" s="56"/>
      <c r="EP147" s="56"/>
      <c r="EQ147" s="56"/>
      <c r="ER147" s="56"/>
      <c r="ES147" s="56"/>
      <c r="ET147" s="56"/>
      <c r="EU147" s="56"/>
      <c r="EV147" s="56"/>
      <c r="EW147" s="56"/>
      <c r="EX147" s="56"/>
      <c r="EY147" s="56"/>
      <c r="EZ147" s="56"/>
      <c r="FA147" s="56"/>
      <c r="FB147" s="56"/>
      <c r="FC147" s="56"/>
      <c r="FD147" s="56"/>
      <c r="FE147" s="56"/>
      <c r="FF147" s="56"/>
      <c r="FG147" s="56"/>
      <c r="FH147" s="56"/>
      <c r="FI147" s="56"/>
      <c r="FJ147" s="56"/>
      <c r="FK147" s="56"/>
      <c r="FL147" s="56"/>
      <c r="FM147" s="56"/>
      <c r="FN147" s="56"/>
      <c r="FO147" s="56"/>
      <c r="FP147" s="56"/>
      <c r="FQ147" s="56"/>
      <c r="FR147" s="56"/>
      <c r="FS147" s="56"/>
      <c r="FT147" s="56"/>
      <c r="FU147" s="56"/>
      <c r="FV147" s="56"/>
      <c r="FW147" s="56"/>
      <c r="FX147" s="56"/>
      <c r="FY147" s="56"/>
      <c r="FZ147" s="56"/>
      <c r="GA147" s="56"/>
      <c r="GB147" s="56"/>
      <c r="GC147" s="56"/>
      <c r="GD147" s="56"/>
      <c r="GE147" s="56"/>
      <c r="GF147" s="56"/>
      <c r="GG147" s="56"/>
      <c r="GH147" s="56"/>
      <c r="GI147" s="56"/>
      <c r="GJ147" s="56"/>
      <c r="GK147" s="56"/>
      <c r="GL147" s="56"/>
      <c r="GM147" s="56"/>
      <c r="GN147" s="56"/>
      <c r="GO147" s="56"/>
      <c r="GP147" s="56"/>
      <c r="GQ147" s="56"/>
      <c r="GR147" s="56"/>
      <c r="GS147" s="56"/>
      <c r="GT147" s="56"/>
      <c r="GU147" s="56"/>
      <c r="GV147" s="56"/>
      <c r="GW147" s="56"/>
      <c r="GX147" s="56"/>
      <c r="GY147" s="56"/>
      <c r="GZ147" s="56"/>
      <c r="HA147" s="56"/>
      <c r="HB147" s="56"/>
      <c r="HC147" s="56"/>
      <c r="HD147" s="56"/>
      <c r="HE147" s="56"/>
      <c r="HF147" s="56"/>
      <c r="HG147" s="56"/>
      <c r="HH147" s="56"/>
      <c r="HI147" s="56"/>
      <c r="HJ147" s="56"/>
    </row>
    <row r="148" spans="1:218" ht="15.75" customHeight="1" x14ac:dyDescent="0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6"/>
      <c r="CV148" s="56"/>
      <c r="CW148" s="56"/>
      <c r="CX148" s="56"/>
      <c r="CY148" s="56"/>
      <c r="CZ148" s="56"/>
      <c r="DA148" s="56"/>
      <c r="DB148" s="56"/>
      <c r="DC148" s="56"/>
      <c r="DD148" s="56"/>
      <c r="DE148" s="56"/>
      <c r="DF148" s="56"/>
      <c r="DG148" s="56"/>
      <c r="DH148" s="56"/>
      <c r="DI148" s="56"/>
      <c r="DJ148" s="56"/>
      <c r="DK148" s="56"/>
      <c r="DL148" s="56"/>
      <c r="DM148" s="56"/>
      <c r="DN148" s="56"/>
      <c r="DO148" s="56"/>
      <c r="DP148" s="56"/>
      <c r="DQ148" s="56"/>
      <c r="DR148" s="56"/>
      <c r="DS148" s="56"/>
      <c r="DT148" s="56"/>
      <c r="DU148" s="56"/>
      <c r="DV148" s="56"/>
      <c r="DW148" s="56"/>
      <c r="DX148" s="56"/>
      <c r="DY148" s="56"/>
      <c r="DZ148" s="56"/>
      <c r="EA148" s="56"/>
      <c r="EB148" s="56"/>
      <c r="EC148" s="56"/>
      <c r="ED148" s="56"/>
      <c r="EE148" s="56"/>
      <c r="EF148" s="56"/>
      <c r="EG148" s="56"/>
      <c r="EH148" s="56"/>
      <c r="EI148" s="56"/>
      <c r="EJ148" s="56"/>
      <c r="EK148" s="56"/>
      <c r="EL148" s="56"/>
      <c r="EM148" s="56"/>
      <c r="EN148" s="56"/>
      <c r="EO148" s="56"/>
      <c r="EP148" s="56"/>
      <c r="EQ148" s="56"/>
      <c r="ER148" s="56"/>
      <c r="ES148" s="56"/>
      <c r="ET148" s="56"/>
      <c r="EU148" s="56"/>
      <c r="EV148" s="56"/>
      <c r="EW148" s="56"/>
      <c r="EX148" s="56"/>
      <c r="EY148" s="56"/>
      <c r="EZ148" s="56"/>
      <c r="FA148" s="56"/>
      <c r="FB148" s="56"/>
      <c r="FC148" s="56"/>
      <c r="FD148" s="56"/>
      <c r="FE148" s="56"/>
      <c r="FF148" s="56"/>
      <c r="FG148" s="56"/>
      <c r="FH148" s="56"/>
      <c r="FI148" s="56"/>
      <c r="FJ148" s="56"/>
      <c r="FK148" s="56"/>
      <c r="FL148" s="56"/>
      <c r="FM148" s="56"/>
      <c r="FN148" s="56"/>
      <c r="FO148" s="56"/>
      <c r="FP148" s="56"/>
      <c r="FQ148" s="56"/>
      <c r="FR148" s="56"/>
      <c r="FS148" s="56"/>
      <c r="FT148" s="56"/>
      <c r="FU148" s="56"/>
      <c r="FV148" s="56"/>
      <c r="FW148" s="56"/>
      <c r="FX148" s="56"/>
      <c r="FY148" s="56"/>
      <c r="FZ148" s="56"/>
      <c r="GA148" s="56"/>
      <c r="GB148" s="56"/>
      <c r="GC148" s="56"/>
      <c r="GD148" s="56"/>
      <c r="GE148" s="56"/>
      <c r="GF148" s="56"/>
      <c r="GG148" s="56"/>
      <c r="GH148" s="56"/>
      <c r="GI148" s="56"/>
      <c r="GJ148" s="56"/>
      <c r="GK148" s="56"/>
      <c r="GL148" s="56"/>
      <c r="GM148" s="56"/>
      <c r="GN148" s="56"/>
      <c r="GO148" s="56"/>
      <c r="GP148" s="56"/>
      <c r="GQ148" s="56"/>
      <c r="GR148" s="56"/>
      <c r="GS148" s="56"/>
      <c r="GT148" s="56"/>
      <c r="GU148" s="56"/>
      <c r="GV148" s="56"/>
      <c r="GW148" s="56"/>
      <c r="GX148" s="56"/>
      <c r="GY148" s="56"/>
      <c r="GZ148" s="56"/>
      <c r="HA148" s="56"/>
      <c r="HB148" s="56"/>
      <c r="HC148" s="56"/>
      <c r="HD148" s="56"/>
      <c r="HE148" s="56"/>
      <c r="HF148" s="56"/>
      <c r="HG148" s="56"/>
      <c r="HH148" s="56"/>
      <c r="HI148" s="56"/>
      <c r="HJ148" s="56"/>
    </row>
    <row r="149" spans="1:218" ht="15.75" customHeight="1" x14ac:dyDescent="0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6"/>
      <c r="CV149" s="56"/>
      <c r="CW149" s="56"/>
      <c r="CX149" s="56"/>
      <c r="CY149" s="56"/>
      <c r="CZ149" s="56"/>
      <c r="DA149" s="56"/>
      <c r="DB149" s="56"/>
      <c r="DC149" s="56"/>
      <c r="DD149" s="56"/>
      <c r="DE149" s="56"/>
      <c r="DF149" s="56"/>
      <c r="DG149" s="56"/>
      <c r="DH149" s="56"/>
      <c r="DI149" s="56"/>
      <c r="DJ149" s="56"/>
      <c r="DK149" s="56"/>
      <c r="DL149" s="56"/>
      <c r="DM149" s="56"/>
      <c r="DN149" s="56"/>
      <c r="DO149" s="56"/>
      <c r="DP149" s="56"/>
      <c r="DQ149" s="56"/>
      <c r="DR149" s="56"/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  <c r="EG149" s="56"/>
      <c r="EH149" s="56"/>
      <c r="EI149" s="56"/>
      <c r="EJ149" s="56"/>
      <c r="EK149" s="56"/>
      <c r="EL149" s="56"/>
      <c r="EM149" s="56"/>
      <c r="EN149" s="56"/>
      <c r="EO149" s="56"/>
      <c r="EP149" s="56"/>
      <c r="EQ149" s="56"/>
      <c r="ER149" s="56"/>
      <c r="ES149" s="56"/>
      <c r="ET149" s="56"/>
      <c r="EU149" s="56"/>
      <c r="EV149" s="56"/>
      <c r="EW149" s="56"/>
      <c r="EX149" s="56"/>
      <c r="EY149" s="56"/>
      <c r="EZ149" s="56"/>
      <c r="FA149" s="56"/>
      <c r="FB149" s="56"/>
      <c r="FC149" s="56"/>
      <c r="FD149" s="56"/>
      <c r="FE149" s="56"/>
      <c r="FF149" s="56"/>
      <c r="FG149" s="56"/>
      <c r="FH149" s="56"/>
      <c r="FI149" s="56"/>
      <c r="FJ149" s="56"/>
      <c r="FK149" s="56"/>
      <c r="FL149" s="56"/>
      <c r="FM149" s="56"/>
      <c r="FN149" s="56"/>
      <c r="FO149" s="56"/>
      <c r="FP149" s="56"/>
      <c r="FQ149" s="56"/>
      <c r="FR149" s="56"/>
      <c r="FS149" s="56"/>
      <c r="FT149" s="56"/>
      <c r="FU149" s="56"/>
      <c r="FV149" s="56"/>
      <c r="FW149" s="56"/>
      <c r="FX149" s="56"/>
      <c r="FY149" s="56"/>
      <c r="FZ149" s="56"/>
      <c r="GA149" s="56"/>
      <c r="GB149" s="56"/>
      <c r="GC149" s="56"/>
      <c r="GD149" s="56"/>
      <c r="GE149" s="56"/>
      <c r="GF149" s="56"/>
      <c r="GG149" s="56"/>
      <c r="GH149" s="56"/>
      <c r="GI149" s="56"/>
      <c r="GJ149" s="56"/>
      <c r="GK149" s="56"/>
      <c r="GL149" s="56"/>
      <c r="GM149" s="56"/>
      <c r="GN149" s="56"/>
      <c r="GO149" s="56"/>
      <c r="GP149" s="56"/>
      <c r="GQ149" s="56"/>
      <c r="GR149" s="56"/>
      <c r="GS149" s="56"/>
      <c r="GT149" s="56"/>
      <c r="GU149" s="56"/>
      <c r="GV149" s="56"/>
      <c r="GW149" s="56"/>
      <c r="GX149" s="56"/>
      <c r="GY149" s="56"/>
      <c r="GZ149" s="56"/>
      <c r="HA149" s="56"/>
      <c r="HB149" s="56"/>
      <c r="HC149" s="56"/>
      <c r="HD149" s="56"/>
      <c r="HE149" s="56"/>
      <c r="HF149" s="56"/>
      <c r="HG149" s="56"/>
      <c r="HH149" s="56"/>
      <c r="HI149" s="56"/>
      <c r="HJ149" s="56"/>
    </row>
    <row r="150" spans="1:218" ht="15.75" customHeight="1" x14ac:dyDescent="0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6"/>
      <c r="CV150" s="56"/>
      <c r="CW150" s="56"/>
      <c r="CX150" s="56"/>
      <c r="CY150" s="56"/>
      <c r="CZ150" s="56"/>
      <c r="DA150" s="56"/>
      <c r="DB150" s="56"/>
      <c r="DC150" s="56"/>
      <c r="DD150" s="56"/>
      <c r="DE150" s="56"/>
      <c r="DF150" s="56"/>
      <c r="DG150" s="56"/>
      <c r="DH150" s="56"/>
      <c r="DI150" s="56"/>
      <c r="DJ150" s="56"/>
      <c r="DK150" s="56"/>
      <c r="DL150" s="56"/>
      <c r="DM150" s="56"/>
      <c r="DN150" s="56"/>
      <c r="DO150" s="56"/>
      <c r="DP150" s="56"/>
      <c r="DQ150" s="56"/>
      <c r="DR150" s="56"/>
      <c r="DS150" s="56"/>
      <c r="DT150" s="56"/>
      <c r="DU150" s="56"/>
      <c r="DV150" s="56"/>
      <c r="DW150" s="56"/>
      <c r="DX150" s="56"/>
      <c r="DY150" s="56"/>
      <c r="DZ150" s="56"/>
      <c r="EA150" s="56"/>
      <c r="EB150" s="56"/>
      <c r="EC150" s="56"/>
      <c r="ED150" s="56"/>
      <c r="EE150" s="56"/>
      <c r="EF150" s="56"/>
      <c r="EG150" s="56"/>
      <c r="EH150" s="56"/>
      <c r="EI150" s="56"/>
      <c r="EJ150" s="56"/>
      <c r="EK150" s="56"/>
      <c r="EL150" s="56"/>
      <c r="EM150" s="56"/>
      <c r="EN150" s="56"/>
      <c r="EO150" s="56"/>
      <c r="EP150" s="56"/>
      <c r="EQ150" s="56"/>
      <c r="ER150" s="56"/>
      <c r="ES150" s="56"/>
      <c r="ET150" s="56"/>
      <c r="EU150" s="56"/>
      <c r="EV150" s="56"/>
      <c r="EW150" s="56"/>
      <c r="EX150" s="56"/>
      <c r="EY150" s="56"/>
      <c r="EZ150" s="56"/>
      <c r="FA150" s="56"/>
      <c r="FB150" s="56"/>
      <c r="FC150" s="56"/>
      <c r="FD150" s="56"/>
      <c r="FE150" s="56"/>
      <c r="FF150" s="56"/>
      <c r="FG150" s="56"/>
      <c r="FH150" s="56"/>
      <c r="FI150" s="56"/>
      <c r="FJ150" s="56"/>
      <c r="FK150" s="56"/>
      <c r="FL150" s="56"/>
      <c r="FM150" s="56"/>
      <c r="FN150" s="56"/>
      <c r="FO150" s="56"/>
      <c r="FP150" s="56"/>
      <c r="FQ150" s="56"/>
      <c r="FR150" s="56"/>
      <c r="FS150" s="56"/>
      <c r="FT150" s="56"/>
      <c r="FU150" s="56"/>
      <c r="FV150" s="56"/>
      <c r="FW150" s="56"/>
      <c r="FX150" s="56"/>
      <c r="FY150" s="56"/>
      <c r="FZ150" s="56"/>
      <c r="GA150" s="56"/>
      <c r="GB150" s="56"/>
      <c r="GC150" s="56"/>
      <c r="GD150" s="56"/>
      <c r="GE150" s="56"/>
      <c r="GF150" s="56"/>
      <c r="GG150" s="56"/>
      <c r="GH150" s="56"/>
      <c r="GI150" s="56"/>
      <c r="GJ150" s="56"/>
      <c r="GK150" s="56"/>
      <c r="GL150" s="56"/>
      <c r="GM150" s="56"/>
      <c r="GN150" s="56"/>
      <c r="GO150" s="56"/>
      <c r="GP150" s="56"/>
      <c r="GQ150" s="56"/>
      <c r="GR150" s="56"/>
      <c r="GS150" s="56"/>
      <c r="GT150" s="56"/>
      <c r="GU150" s="56"/>
      <c r="GV150" s="56"/>
      <c r="GW150" s="56"/>
      <c r="GX150" s="56"/>
      <c r="GY150" s="56"/>
      <c r="GZ150" s="56"/>
      <c r="HA150" s="56"/>
      <c r="HB150" s="56"/>
      <c r="HC150" s="56"/>
      <c r="HD150" s="56"/>
      <c r="HE150" s="56"/>
      <c r="HF150" s="56"/>
      <c r="HG150" s="56"/>
      <c r="HH150" s="56"/>
      <c r="HI150" s="56"/>
      <c r="HJ150" s="56"/>
    </row>
    <row r="151" spans="1:218" ht="15.75" customHeight="1" x14ac:dyDescent="0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  <c r="CZ151" s="56"/>
      <c r="DA151" s="56"/>
      <c r="DB151" s="56"/>
      <c r="DC151" s="56"/>
      <c r="DD151" s="56"/>
      <c r="DE151" s="56"/>
      <c r="DF151" s="56"/>
      <c r="DG151" s="56"/>
      <c r="DH151" s="56"/>
      <c r="DI151" s="56"/>
      <c r="DJ151" s="56"/>
      <c r="DK151" s="56"/>
      <c r="DL151" s="56"/>
      <c r="DM151" s="56"/>
      <c r="DN151" s="56"/>
      <c r="DO151" s="56"/>
      <c r="DP151" s="56"/>
      <c r="DQ151" s="56"/>
      <c r="DR151" s="56"/>
      <c r="DS151" s="56"/>
      <c r="DT151" s="56"/>
      <c r="DU151" s="56"/>
      <c r="DV151" s="56"/>
      <c r="DW151" s="56"/>
      <c r="DX151" s="56"/>
      <c r="DY151" s="56"/>
      <c r="DZ151" s="56"/>
      <c r="EA151" s="56"/>
      <c r="EB151" s="56"/>
      <c r="EC151" s="56"/>
      <c r="ED151" s="56"/>
      <c r="EE151" s="56"/>
      <c r="EF151" s="56"/>
      <c r="EG151" s="56"/>
      <c r="EH151" s="56"/>
      <c r="EI151" s="56"/>
      <c r="EJ151" s="56"/>
      <c r="EK151" s="56"/>
      <c r="EL151" s="56"/>
      <c r="EM151" s="56"/>
      <c r="EN151" s="56"/>
      <c r="EO151" s="56"/>
      <c r="EP151" s="56"/>
      <c r="EQ151" s="56"/>
      <c r="ER151" s="56"/>
      <c r="ES151" s="56"/>
      <c r="ET151" s="56"/>
      <c r="EU151" s="56"/>
      <c r="EV151" s="56"/>
      <c r="EW151" s="56"/>
      <c r="EX151" s="56"/>
      <c r="EY151" s="56"/>
      <c r="EZ151" s="56"/>
      <c r="FA151" s="56"/>
      <c r="FB151" s="56"/>
      <c r="FC151" s="56"/>
      <c r="FD151" s="56"/>
      <c r="FE151" s="56"/>
      <c r="FF151" s="56"/>
      <c r="FG151" s="56"/>
      <c r="FH151" s="56"/>
      <c r="FI151" s="56"/>
      <c r="FJ151" s="56"/>
      <c r="FK151" s="56"/>
      <c r="FL151" s="56"/>
      <c r="FM151" s="56"/>
      <c r="FN151" s="56"/>
      <c r="FO151" s="56"/>
      <c r="FP151" s="56"/>
      <c r="FQ151" s="56"/>
      <c r="FR151" s="56"/>
      <c r="FS151" s="56"/>
      <c r="FT151" s="56"/>
      <c r="FU151" s="56"/>
      <c r="FV151" s="56"/>
      <c r="FW151" s="56"/>
      <c r="FX151" s="56"/>
      <c r="FY151" s="56"/>
      <c r="FZ151" s="56"/>
      <c r="GA151" s="56"/>
      <c r="GB151" s="56"/>
      <c r="GC151" s="56"/>
      <c r="GD151" s="56"/>
      <c r="GE151" s="56"/>
      <c r="GF151" s="56"/>
      <c r="GG151" s="56"/>
      <c r="GH151" s="56"/>
      <c r="GI151" s="56"/>
      <c r="GJ151" s="56"/>
      <c r="GK151" s="56"/>
      <c r="GL151" s="56"/>
      <c r="GM151" s="56"/>
      <c r="GN151" s="56"/>
      <c r="GO151" s="56"/>
      <c r="GP151" s="56"/>
      <c r="GQ151" s="56"/>
      <c r="GR151" s="56"/>
      <c r="GS151" s="56"/>
      <c r="GT151" s="56"/>
      <c r="GU151" s="56"/>
      <c r="GV151" s="56"/>
      <c r="GW151" s="56"/>
      <c r="GX151" s="56"/>
      <c r="GY151" s="56"/>
      <c r="GZ151" s="56"/>
      <c r="HA151" s="56"/>
      <c r="HB151" s="56"/>
      <c r="HC151" s="56"/>
      <c r="HD151" s="56"/>
      <c r="HE151" s="56"/>
      <c r="HF151" s="56"/>
      <c r="HG151" s="56"/>
      <c r="HH151" s="56"/>
      <c r="HI151" s="56"/>
      <c r="HJ151" s="56"/>
    </row>
    <row r="152" spans="1:218" ht="15.75" customHeight="1" x14ac:dyDescent="0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  <c r="CR152" s="56"/>
      <c r="CS152" s="56"/>
      <c r="CT152" s="56"/>
      <c r="CU152" s="56"/>
      <c r="CV152" s="56"/>
      <c r="CW152" s="56"/>
      <c r="CX152" s="56"/>
      <c r="CY152" s="56"/>
      <c r="CZ152" s="56"/>
      <c r="DA152" s="56"/>
      <c r="DB152" s="56"/>
      <c r="DC152" s="56"/>
      <c r="DD152" s="56"/>
      <c r="DE152" s="56"/>
      <c r="DF152" s="56"/>
      <c r="DG152" s="56"/>
      <c r="DH152" s="56"/>
      <c r="DI152" s="56"/>
      <c r="DJ152" s="56"/>
      <c r="DK152" s="56"/>
      <c r="DL152" s="56"/>
      <c r="DM152" s="56"/>
      <c r="DN152" s="56"/>
      <c r="DO152" s="56"/>
      <c r="DP152" s="56"/>
      <c r="DQ152" s="56"/>
      <c r="DR152" s="56"/>
      <c r="DS152" s="56"/>
      <c r="DT152" s="56"/>
      <c r="DU152" s="56"/>
      <c r="DV152" s="56"/>
      <c r="DW152" s="56"/>
      <c r="DX152" s="56"/>
      <c r="DY152" s="56"/>
      <c r="DZ152" s="56"/>
      <c r="EA152" s="56"/>
      <c r="EB152" s="56"/>
      <c r="EC152" s="56"/>
      <c r="ED152" s="56"/>
      <c r="EE152" s="56"/>
      <c r="EF152" s="56"/>
      <c r="EG152" s="56"/>
      <c r="EH152" s="56"/>
      <c r="EI152" s="56"/>
      <c r="EJ152" s="56"/>
      <c r="EK152" s="56"/>
      <c r="EL152" s="56"/>
      <c r="EM152" s="56"/>
      <c r="EN152" s="56"/>
      <c r="EO152" s="56"/>
      <c r="EP152" s="56"/>
      <c r="EQ152" s="56"/>
      <c r="ER152" s="56"/>
      <c r="ES152" s="56"/>
      <c r="ET152" s="56"/>
      <c r="EU152" s="56"/>
      <c r="EV152" s="56"/>
      <c r="EW152" s="56"/>
      <c r="EX152" s="56"/>
      <c r="EY152" s="56"/>
      <c r="EZ152" s="56"/>
      <c r="FA152" s="56"/>
      <c r="FB152" s="56"/>
      <c r="FC152" s="56"/>
      <c r="FD152" s="56"/>
      <c r="FE152" s="56"/>
      <c r="FF152" s="56"/>
      <c r="FG152" s="56"/>
      <c r="FH152" s="56"/>
      <c r="FI152" s="56"/>
      <c r="FJ152" s="56"/>
      <c r="FK152" s="56"/>
      <c r="FL152" s="56"/>
      <c r="FM152" s="56"/>
      <c r="FN152" s="56"/>
      <c r="FO152" s="56"/>
      <c r="FP152" s="56"/>
      <c r="FQ152" s="56"/>
      <c r="FR152" s="56"/>
      <c r="FS152" s="56"/>
      <c r="FT152" s="56"/>
      <c r="FU152" s="56"/>
      <c r="FV152" s="56"/>
      <c r="FW152" s="56"/>
      <c r="FX152" s="56"/>
      <c r="FY152" s="56"/>
      <c r="FZ152" s="56"/>
      <c r="GA152" s="56"/>
      <c r="GB152" s="56"/>
      <c r="GC152" s="56"/>
      <c r="GD152" s="56"/>
      <c r="GE152" s="56"/>
      <c r="GF152" s="56"/>
      <c r="GG152" s="56"/>
      <c r="GH152" s="56"/>
      <c r="GI152" s="56"/>
      <c r="GJ152" s="56"/>
      <c r="GK152" s="56"/>
      <c r="GL152" s="56"/>
      <c r="GM152" s="56"/>
      <c r="GN152" s="56"/>
      <c r="GO152" s="56"/>
      <c r="GP152" s="56"/>
      <c r="GQ152" s="56"/>
      <c r="GR152" s="56"/>
      <c r="GS152" s="56"/>
      <c r="GT152" s="56"/>
      <c r="GU152" s="56"/>
      <c r="GV152" s="56"/>
      <c r="GW152" s="56"/>
      <c r="GX152" s="56"/>
      <c r="GY152" s="56"/>
      <c r="GZ152" s="56"/>
      <c r="HA152" s="56"/>
      <c r="HB152" s="56"/>
      <c r="HC152" s="56"/>
      <c r="HD152" s="56"/>
      <c r="HE152" s="56"/>
      <c r="HF152" s="56"/>
      <c r="HG152" s="56"/>
      <c r="HH152" s="56"/>
      <c r="HI152" s="56"/>
      <c r="HJ152" s="56"/>
    </row>
    <row r="153" spans="1:218" ht="15.75" customHeight="1" x14ac:dyDescent="0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56"/>
      <c r="CP153" s="56"/>
      <c r="CQ153" s="56"/>
      <c r="CR153" s="56"/>
      <c r="CS153" s="56"/>
      <c r="CT153" s="56"/>
      <c r="CU153" s="56"/>
      <c r="CV153" s="56"/>
      <c r="CW153" s="56"/>
      <c r="CX153" s="56"/>
      <c r="CY153" s="56"/>
      <c r="CZ153" s="56"/>
      <c r="DA153" s="56"/>
      <c r="DB153" s="56"/>
      <c r="DC153" s="56"/>
      <c r="DD153" s="56"/>
      <c r="DE153" s="56"/>
      <c r="DF153" s="56"/>
      <c r="DG153" s="56"/>
      <c r="DH153" s="56"/>
      <c r="DI153" s="56"/>
      <c r="DJ153" s="56"/>
      <c r="DK153" s="56"/>
      <c r="DL153" s="56"/>
      <c r="DM153" s="56"/>
      <c r="DN153" s="56"/>
      <c r="DO153" s="56"/>
      <c r="DP153" s="56"/>
      <c r="DQ153" s="56"/>
      <c r="DR153" s="56"/>
      <c r="DS153" s="56"/>
      <c r="DT153" s="56"/>
      <c r="DU153" s="56"/>
      <c r="DV153" s="56"/>
      <c r="DW153" s="56"/>
      <c r="DX153" s="56"/>
      <c r="DY153" s="56"/>
      <c r="DZ153" s="56"/>
      <c r="EA153" s="56"/>
      <c r="EB153" s="56"/>
      <c r="EC153" s="56"/>
      <c r="ED153" s="56"/>
      <c r="EE153" s="56"/>
      <c r="EF153" s="56"/>
      <c r="EG153" s="56"/>
      <c r="EH153" s="56"/>
      <c r="EI153" s="56"/>
      <c r="EJ153" s="56"/>
      <c r="EK153" s="56"/>
      <c r="EL153" s="56"/>
      <c r="EM153" s="56"/>
      <c r="EN153" s="56"/>
      <c r="EO153" s="56"/>
      <c r="EP153" s="56"/>
      <c r="EQ153" s="56"/>
      <c r="ER153" s="56"/>
      <c r="ES153" s="56"/>
      <c r="ET153" s="56"/>
      <c r="EU153" s="56"/>
      <c r="EV153" s="56"/>
      <c r="EW153" s="56"/>
      <c r="EX153" s="56"/>
      <c r="EY153" s="56"/>
      <c r="EZ153" s="56"/>
      <c r="FA153" s="56"/>
      <c r="FB153" s="56"/>
      <c r="FC153" s="56"/>
      <c r="FD153" s="56"/>
      <c r="FE153" s="56"/>
      <c r="FF153" s="56"/>
      <c r="FG153" s="56"/>
      <c r="FH153" s="56"/>
      <c r="FI153" s="56"/>
      <c r="FJ153" s="56"/>
      <c r="FK153" s="56"/>
      <c r="FL153" s="56"/>
      <c r="FM153" s="56"/>
      <c r="FN153" s="56"/>
      <c r="FO153" s="56"/>
      <c r="FP153" s="56"/>
      <c r="FQ153" s="56"/>
      <c r="FR153" s="56"/>
      <c r="FS153" s="56"/>
      <c r="FT153" s="56"/>
      <c r="FU153" s="56"/>
      <c r="FV153" s="56"/>
      <c r="FW153" s="56"/>
      <c r="FX153" s="56"/>
      <c r="FY153" s="56"/>
      <c r="FZ153" s="56"/>
      <c r="GA153" s="56"/>
      <c r="GB153" s="56"/>
      <c r="GC153" s="56"/>
      <c r="GD153" s="56"/>
      <c r="GE153" s="56"/>
      <c r="GF153" s="56"/>
      <c r="GG153" s="56"/>
      <c r="GH153" s="56"/>
      <c r="GI153" s="56"/>
      <c r="GJ153" s="56"/>
      <c r="GK153" s="56"/>
      <c r="GL153" s="56"/>
      <c r="GM153" s="56"/>
      <c r="GN153" s="56"/>
      <c r="GO153" s="56"/>
      <c r="GP153" s="56"/>
      <c r="GQ153" s="56"/>
      <c r="GR153" s="56"/>
      <c r="GS153" s="56"/>
      <c r="GT153" s="56"/>
      <c r="GU153" s="56"/>
      <c r="GV153" s="56"/>
      <c r="GW153" s="56"/>
      <c r="GX153" s="56"/>
      <c r="GY153" s="56"/>
      <c r="GZ153" s="56"/>
      <c r="HA153" s="56"/>
      <c r="HB153" s="56"/>
      <c r="HC153" s="56"/>
      <c r="HD153" s="56"/>
      <c r="HE153" s="56"/>
      <c r="HF153" s="56"/>
      <c r="HG153" s="56"/>
      <c r="HH153" s="56"/>
      <c r="HI153" s="56"/>
      <c r="HJ153" s="56"/>
    </row>
    <row r="154" spans="1:218" ht="15.75" customHeight="1" x14ac:dyDescent="0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  <c r="CZ154" s="56"/>
      <c r="DA154" s="56"/>
      <c r="DB154" s="56"/>
      <c r="DC154" s="56"/>
      <c r="DD154" s="56"/>
      <c r="DE154" s="56"/>
      <c r="DF154" s="56"/>
      <c r="DG154" s="56"/>
      <c r="DH154" s="56"/>
      <c r="DI154" s="56"/>
      <c r="DJ154" s="56"/>
      <c r="DK154" s="56"/>
      <c r="DL154" s="56"/>
      <c r="DM154" s="56"/>
      <c r="DN154" s="56"/>
      <c r="DO154" s="56"/>
      <c r="DP154" s="56"/>
      <c r="DQ154" s="56"/>
      <c r="DR154" s="56"/>
      <c r="DS154" s="56"/>
      <c r="DT154" s="56"/>
      <c r="DU154" s="56"/>
      <c r="DV154" s="56"/>
      <c r="DW154" s="56"/>
      <c r="DX154" s="56"/>
      <c r="DY154" s="56"/>
      <c r="DZ154" s="56"/>
      <c r="EA154" s="56"/>
      <c r="EB154" s="56"/>
      <c r="EC154" s="56"/>
      <c r="ED154" s="56"/>
      <c r="EE154" s="56"/>
      <c r="EF154" s="56"/>
      <c r="EG154" s="56"/>
      <c r="EH154" s="56"/>
      <c r="EI154" s="56"/>
      <c r="EJ154" s="56"/>
      <c r="EK154" s="56"/>
      <c r="EL154" s="56"/>
      <c r="EM154" s="56"/>
      <c r="EN154" s="56"/>
      <c r="EO154" s="56"/>
      <c r="EP154" s="56"/>
      <c r="EQ154" s="56"/>
      <c r="ER154" s="56"/>
      <c r="ES154" s="56"/>
      <c r="ET154" s="56"/>
      <c r="EU154" s="56"/>
      <c r="EV154" s="56"/>
      <c r="EW154" s="56"/>
      <c r="EX154" s="56"/>
      <c r="EY154" s="56"/>
      <c r="EZ154" s="56"/>
      <c r="FA154" s="56"/>
      <c r="FB154" s="56"/>
      <c r="FC154" s="56"/>
      <c r="FD154" s="56"/>
      <c r="FE154" s="56"/>
      <c r="FF154" s="56"/>
      <c r="FG154" s="56"/>
      <c r="FH154" s="56"/>
      <c r="FI154" s="56"/>
      <c r="FJ154" s="56"/>
      <c r="FK154" s="56"/>
      <c r="FL154" s="56"/>
      <c r="FM154" s="56"/>
      <c r="FN154" s="56"/>
      <c r="FO154" s="56"/>
      <c r="FP154" s="56"/>
      <c r="FQ154" s="56"/>
      <c r="FR154" s="56"/>
      <c r="FS154" s="56"/>
      <c r="FT154" s="56"/>
      <c r="FU154" s="56"/>
      <c r="FV154" s="56"/>
      <c r="FW154" s="56"/>
      <c r="FX154" s="56"/>
      <c r="FY154" s="56"/>
      <c r="FZ154" s="56"/>
      <c r="GA154" s="56"/>
      <c r="GB154" s="56"/>
      <c r="GC154" s="56"/>
      <c r="GD154" s="56"/>
      <c r="GE154" s="56"/>
      <c r="GF154" s="56"/>
      <c r="GG154" s="56"/>
      <c r="GH154" s="56"/>
      <c r="GI154" s="56"/>
      <c r="GJ154" s="56"/>
      <c r="GK154" s="56"/>
      <c r="GL154" s="56"/>
      <c r="GM154" s="56"/>
      <c r="GN154" s="56"/>
      <c r="GO154" s="56"/>
      <c r="GP154" s="56"/>
      <c r="GQ154" s="56"/>
      <c r="GR154" s="56"/>
      <c r="GS154" s="56"/>
      <c r="GT154" s="56"/>
      <c r="GU154" s="56"/>
      <c r="GV154" s="56"/>
      <c r="GW154" s="56"/>
      <c r="GX154" s="56"/>
      <c r="GY154" s="56"/>
      <c r="GZ154" s="56"/>
      <c r="HA154" s="56"/>
      <c r="HB154" s="56"/>
      <c r="HC154" s="56"/>
      <c r="HD154" s="56"/>
      <c r="HE154" s="56"/>
      <c r="HF154" s="56"/>
      <c r="HG154" s="56"/>
      <c r="HH154" s="56"/>
      <c r="HI154" s="56"/>
      <c r="HJ154" s="56"/>
    </row>
    <row r="155" spans="1:218" ht="15.75" customHeight="1" x14ac:dyDescent="0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6"/>
      <c r="CV155" s="56"/>
      <c r="CW155" s="56"/>
      <c r="CX155" s="56"/>
      <c r="CY155" s="56"/>
      <c r="CZ155" s="56"/>
      <c r="DA155" s="56"/>
      <c r="DB155" s="56"/>
      <c r="DC155" s="56"/>
      <c r="DD155" s="56"/>
      <c r="DE155" s="56"/>
      <c r="DF155" s="56"/>
      <c r="DG155" s="56"/>
      <c r="DH155" s="56"/>
      <c r="DI155" s="56"/>
      <c r="DJ155" s="56"/>
      <c r="DK155" s="56"/>
      <c r="DL155" s="56"/>
      <c r="DM155" s="56"/>
      <c r="DN155" s="56"/>
      <c r="DO155" s="56"/>
      <c r="DP155" s="56"/>
      <c r="DQ155" s="56"/>
      <c r="DR155" s="56"/>
      <c r="DS155" s="56"/>
      <c r="DT155" s="56"/>
      <c r="DU155" s="56"/>
      <c r="DV155" s="56"/>
      <c r="DW155" s="56"/>
      <c r="DX155" s="56"/>
      <c r="DY155" s="56"/>
      <c r="DZ155" s="56"/>
      <c r="EA155" s="56"/>
      <c r="EB155" s="56"/>
      <c r="EC155" s="56"/>
      <c r="ED155" s="56"/>
      <c r="EE155" s="56"/>
      <c r="EF155" s="56"/>
      <c r="EG155" s="56"/>
      <c r="EH155" s="56"/>
      <c r="EI155" s="56"/>
      <c r="EJ155" s="56"/>
      <c r="EK155" s="56"/>
      <c r="EL155" s="56"/>
      <c r="EM155" s="56"/>
      <c r="EN155" s="56"/>
      <c r="EO155" s="56"/>
      <c r="EP155" s="56"/>
      <c r="EQ155" s="56"/>
      <c r="ER155" s="56"/>
      <c r="ES155" s="56"/>
      <c r="ET155" s="56"/>
      <c r="EU155" s="56"/>
      <c r="EV155" s="56"/>
      <c r="EW155" s="56"/>
      <c r="EX155" s="56"/>
      <c r="EY155" s="56"/>
      <c r="EZ155" s="56"/>
      <c r="FA155" s="56"/>
      <c r="FB155" s="56"/>
      <c r="FC155" s="56"/>
      <c r="FD155" s="56"/>
      <c r="FE155" s="56"/>
      <c r="FF155" s="56"/>
      <c r="FG155" s="56"/>
      <c r="FH155" s="56"/>
      <c r="FI155" s="56"/>
      <c r="FJ155" s="56"/>
      <c r="FK155" s="56"/>
      <c r="FL155" s="56"/>
      <c r="FM155" s="56"/>
      <c r="FN155" s="56"/>
      <c r="FO155" s="56"/>
      <c r="FP155" s="56"/>
      <c r="FQ155" s="56"/>
      <c r="FR155" s="56"/>
      <c r="FS155" s="56"/>
      <c r="FT155" s="56"/>
      <c r="FU155" s="56"/>
      <c r="FV155" s="56"/>
      <c r="FW155" s="56"/>
      <c r="FX155" s="56"/>
      <c r="FY155" s="56"/>
      <c r="FZ155" s="56"/>
      <c r="GA155" s="56"/>
      <c r="GB155" s="56"/>
      <c r="GC155" s="56"/>
      <c r="GD155" s="56"/>
      <c r="GE155" s="56"/>
      <c r="GF155" s="56"/>
      <c r="GG155" s="56"/>
      <c r="GH155" s="56"/>
      <c r="GI155" s="56"/>
      <c r="GJ155" s="56"/>
      <c r="GK155" s="56"/>
      <c r="GL155" s="56"/>
      <c r="GM155" s="56"/>
      <c r="GN155" s="56"/>
      <c r="GO155" s="56"/>
      <c r="GP155" s="56"/>
      <c r="GQ155" s="56"/>
      <c r="GR155" s="56"/>
      <c r="GS155" s="56"/>
      <c r="GT155" s="56"/>
      <c r="GU155" s="56"/>
      <c r="GV155" s="56"/>
      <c r="GW155" s="56"/>
      <c r="GX155" s="56"/>
      <c r="GY155" s="56"/>
      <c r="GZ155" s="56"/>
      <c r="HA155" s="56"/>
      <c r="HB155" s="56"/>
      <c r="HC155" s="56"/>
      <c r="HD155" s="56"/>
      <c r="HE155" s="56"/>
      <c r="HF155" s="56"/>
      <c r="HG155" s="56"/>
      <c r="HH155" s="56"/>
      <c r="HI155" s="56"/>
      <c r="HJ155" s="56"/>
    </row>
    <row r="156" spans="1:218" ht="15.75" customHeight="1" x14ac:dyDescent="0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6"/>
      <c r="CV156" s="56"/>
      <c r="CW156" s="56"/>
      <c r="CX156" s="56"/>
      <c r="CY156" s="56"/>
      <c r="CZ156" s="56"/>
      <c r="DA156" s="56"/>
      <c r="DB156" s="56"/>
      <c r="DC156" s="56"/>
      <c r="DD156" s="56"/>
      <c r="DE156" s="56"/>
      <c r="DF156" s="56"/>
      <c r="DG156" s="56"/>
      <c r="DH156" s="56"/>
      <c r="DI156" s="56"/>
      <c r="DJ156" s="56"/>
      <c r="DK156" s="56"/>
      <c r="DL156" s="56"/>
      <c r="DM156" s="56"/>
      <c r="DN156" s="56"/>
      <c r="DO156" s="56"/>
      <c r="DP156" s="56"/>
      <c r="DQ156" s="56"/>
      <c r="DR156" s="56"/>
      <c r="DS156" s="56"/>
      <c r="DT156" s="56"/>
      <c r="DU156" s="56"/>
      <c r="DV156" s="56"/>
      <c r="DW156" s="56"/>
      <c r="DX156" s="56"/>
      <c r="DY156" s="56"/>
      <c r="DZ156" s="56"/>
      <c r="EA156" s="56"/>
      <c r="EB156" s="56"/>
      <c r="EC156" s="56"/>
      <c r="ED156" s="56"/>
      <c r="EE156" s="56"/>
      <c r="EF156" s="56"/>
      <c r="EG156" s="56"/>
      <c r="EH156" s="56"/>
      <c r="EI156" s="56"/>
      <c r="EJ156" s="56"/>
      <c r="EK156" s="56"/>
      <c r="EL156" s="56"/>
      <c r="EM156" s="56"/>
      <c r="EN156" s="56"/>
      <c r="EO156" s="56"/>
      <c r="EP156" s="56"/>
      <c r="EQ156" s="56"/>
      <c r="ER156" s="56"/>
      <c r="ES156" s="56"/>
      <c r="ET156" s="56"/>
      <c r="EU156" s="56"/>
      <c r="EV156" s="56"/>
      <c r="EW156" s="56"/>
      <c r="EX156" s="56"/>
      <c r="EY156" s="56"/>
      <c r="EZ156" s="56"/>
      <c r="FA156" s="56"/>
      <c r="FB156" s="56"/>
      <c r="FC156" s="56"/>
      <c r="FD156" s="56"/>
      <c r="FE156" s="56"/>
      <c r="FF156" s="56"/>
      <c r="FG156" s="56"/>
      <c r="FH156" s="56"/>
      <c r="FI156" s="56"/>
      <c r="FJ156" s="56"/>
      <c r="FK156" s="56"/>
      <c r="FL156" s="56"/>
      <c r="FM156" s="56"/>
      <c r="FN156" s="56"/>
      <c r="FO156" s="56"/>
      <c r="FP156" s="56"/>
      <c r="FQ156" s="56"/>
      <c r="FR156" s="56"/>
      <c r="FS156" s="56"/>
      <c r="FT156" s="56"/>
      <c r="FU156" s="56"/>
      <c r="FV156" s="56"/>
      <c r="FW156" s="56"/>
      <c r="FX156" s="56"/>
      <c r="FY156" s="56"/>
      <c r="FZ156" s="56"/>
      <c r="GA156" s="56"/>
      <c r="GB156" s="56"/>
      <c r="GC156" s="56"/>
      <c r="GD156" s="56"/>
      <c r="GE156" s="56"/>
      <c r="GF156" s="56"/>
      <c r="GG156" s="56"/>
      <c r="GH156" s="56"/>
      <c r="GI156" s="56"/>
      <c r="GJ156" s="56"/>
      <c r="GK156" s="56"/>
      <c r="GL156" s="56"/>
      <c r="GM156" s="56"/>
      <c r="GN156" s="56"/>
      <c r="GO156" s="56"/>
      <c r="GP156" s="56"/>
      <c r="GQ156" s="56"/>
      <c r="GR156" s="56"/>
      <c r="GS156" s="56"/>
      <c r="GT156" s="56"/>
      <c r="GU156" s="56"/>
      <c r="GV156" s="56"/>
      <c r="GW156" s="56"/>
      <c r="GX156" s="56"/>
      <c r="GY156" s="56"/>
      <c r="GZ156" s="56"/>
      <c r="HA156" s="56"/>
      <c r="HB156" s="56"/>
      <c r="HC156" s="56"/>
      <c r="HD156" s="56"/>
      <c r="HE156" s="56"/>
      <c r="HF156" s="56"/>
      <c r="HG156" s="56"/>
      <c r="HH156" s="56"/>
      <c r="HI156" s="56"/>
      <c r="HJ156" s="56"/>
    </row>
    <row r="157" spans="1:218" ht="15.75" customHeight="1" x14ac:dyDescent="0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  <c r="CZ157" s="56"/>
      <c r="DA157" s="56"/>
      <c r="DB157" s="56"/>
      <c r="DC157" s="56"/>
      <c r="DD157" s="56"/>
      <c r="DE157" s="56"/>
      <c r="DF157" s="56"/>
      <c r="DG157" s="56"/>
      <c r="DH157" s="56"/>
      <c r="DI157" s="56"/>
      <c r="DJ157" s="56"/>
      <c r="DK157" s="56"/>
      <c r="DL157" s="56"/>
      <c r="DM157" s="56"/>
      <c r="DN157" s="56"/>
      <c r="DO157" s="56"/>
      <c r="DP157" s="56"/>
      <c r="DQ157" s="56"/>
      <c r="DR157" s="56"/>
      <c r="DS157" s="56"/>
      <c r="DT157" s="56"/>
      <c r="DU157" s="56"/>
      <c r="DV157" s="56"/>
      <c r="DW157" s="56"/>
      <c r="DX157" s="56"/>
      <c r="DY157" s="56"/>
      <c r="DZ157" s="56"/>
      <c r="EA157" s="56"/>
      <c r="EB157" s="56"/>
      <c r="EC157" s="56"/>
      <c r="ED157" s="56"/>
      <c r="EE157" s="56"/>
      <c r="EF157" s="56"/>
      <c r="EG157" s="56"/>
      <c r="EH157" s="56"/>
      <c r="EI157" s="56"/>
      <c r="EJ157" s="56"/>
      <c r="EK157" s="56"/>
      <c r="EL157" s="56"/>
      <c r="EM157" s="56"/>
      <c r="EN157" s="56"/>
      <c r="EO157" s="56"/>
      <c r="EP157" s="56"/>
      <c r="EQ157" s="56"/>
      <c r="ER157" s="56"/>
      <c r="ES157" s="56"/>
      <c r="ET157" s="56"/>
      <c r="EU157" s="56"/>
      <c r="EV157" s="56"/>
      <c r="EW157" s="56"/>
      <c r="EX157" s="56"/>
      <c r="EY157" s="56"/>
      <c r="EZ157" s="56"/>
      <c r="FA157" s="56"/>
      <c r="FB157" s="56"/>
      <c r="FC157" s="56"/>
      <c r="FD157" s="56"/>
      <c r="FE157" s="56"/>
      <c r="FF157" s="56"/>
      <c r="FG157" s="56"/>
      <c r="FH157" s="56"/>
      <c r="FI157" s="56"/>
      <c r="FJ157" s="56"/>
      <c r="FK157" s="56"/>
      <c r="FL157" s="56"/>
      <c r="FM157" s="56"/>
      <c r="FN157" s="56"/>
      <c r="FO157" s="56"/>
      <c r="FP157" s="56"/>
      <c r="FQ157" s="56"/>
      <c r="FR157" s="56"/>
      <c r="FS157" s="56"/>
      <c r="FT157" s="56"/>
      <c r="FU157" s="56"/>
      <c r="FV157" s="56"/>
      <c r="FW157" s="56"/>
      <c r="FX157" s="56"/>
      <c r="FY157" s="56"/>
      <c r="FZ157" s="56"/>
      <c r="GA157" s="56"/>
      <c r="GB157" s="56"/>
      <c r="GC157" s="56"/>
      <c r="GD157" s="56"/>
      <c r="GE157" s="56"/>
      <c r="GF157" s="56"/>
      <c r="GG157" s="56"/>
      <c r="GH157" s="56"/>
      <c r="GI157" s="56"/>
      <c r="GJ157" s="56"/>
      <c r="GK157" s="56"/>
      <c r="GL157" s="56"/>
      <c r="GM157" s="56"/>
      <c r="GN157" s="56"/>
      <c r="GO157" s="56"/>
      <c r="GP157" s="56"/>
      <c r="GQ157" s="56"/>
      <c r="GR157" s="56"/>
      <c r="GS157" s="56"/>
      <c r="GT157" s="56"/>
      <c r="GU157" s="56"/>
      <c r="GV157" s="56"/>
      <c r="GW157" s="56"/>
      <c r="GX157" s="56"/>
      <c r="GY157" s="56"/>
      <c r="GZ157" s="56"/>
      <c r="HA157" s="56"/>
      <c r="HB157" s="56"/>
      <c r="HC157" s="56"/>
      <c r="HD157" s="56"/>
      <c r="HE157" s="56"/>
      <c r="HF157" s="56"/>
      <c r="HG157" s="56"/>
      <c r="HH157" s="56"/>
      <c r="HI157" s="56"/>
      <c r="HJ157" s="56"/>
    </row>
    <row r="158" spans="1:218" ht="15.75" customHeight="1" x14ac:dyDescent="0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6"/>
      <c r="CV158" s="56"/>
      <c r="CW158" s="56"/>
      <c r="CX158" s="56"/>
      <c r="CY158" s="56"/>
      <c r="CZ158" s="56"/>
      <c r="DA158" s="56"/>
      <c r="DB158" s="56"/>
      <c r="DC158" s="56"/>
      <c r="DD158" s="56"/>
      <c r="DE158" s="56"/>
      <c r="DF158" s="56"/>
      <c r="DG158" s="56"/>
      <c r="DH158" s="56"/>
      <c r="DI158" s="56"/>
      <c r="DJ158" s="56"/>
      <c r="DK158" s="56"/>
      <c r="DL158" s="56"/>
      <c r="DM158" s="56"/>
      <c r="DN158" s="56"/>
      <c r="DO158" s="56"/>
      <c r="DP158" s="56"/>
      <c r="DQ158" s="56"/>
      <c r="DR158" s="56"/>
      <c r="DS158" s="56"/>
      <c r="DT158" s="56"/>
      <c r="DU158" s="56"/>
      <c r="DV158" s="56"/>
      <c r="DW158" s="56"/>
      <c r="DX158" s="56"/>
      <c r="DY158" s="56"/>
      <c r="DZ158" s="56"/>
      <c r="EA158" s="56"/>
      <c r="EB158" s="56"/>
      <c r="EC158" s="56"/>
      <c r="ED158" s="56"/>
      <c r="EE158" s="56"/>
      <c r="EF158" s="56"/>
      <c r="EG158" s="56"/>
      <c r="EH158" s="56"/>
      <c r="EI158" s="56"/>
      <c r="EJ158" s="56"/>
      <c r="EK158" s="56"/>
      <c r="EL158" s="56"/>
      <c r="EM158" s="56"/>
      <c r="EN158" s="56"/>
      <c r="EO158" s="56"/>
      <c r="EP158" s="56"/>
      <c r="EQ158" s="56"/>
      <c r="ER158" s="56"/>
      <c r="ES158" s="56"/>
      <c r="ET158" s="56"/>
      <c r="EU158" s="56"/>
      <c r="EV158" s="56"/>
      <c r="EW158" s="56"/>
      <c r="EX158" s="56"/>
      <c r="EY158" s="56"/>
      <c r="EZ158" s="56"/>
      <c r="FA158" s="56"/>
      <c r="FB158" s="56"/>
      <c r="FC158" s="56"/>
      <c r="FD158" s="56"/>
      <c r="FE158" s="56"/>
      <c r="FF158" s="56"/>
      <c r="FG158" s="56"/>
      <c r="FH158" s="56"/>
      <c r="FI158" s="56"/>
      <c r="FJ158" s="56"/>
      <c r="FK158" s="56"/>
      <c r="FL158" s="56"/>
      <c r="FM158" s="56"/>
      <c r="FN158" s="56"/>
      <c r="FO158" s="56"/>
      <c r="FP158" s="56"/>
      <c r="FQ158" s="56"/>
      <c r="FR158" s="56"/>
      <c r="FS158" s="56"/>
      <c r="FT158" s="56"/>
      <c r="FU158" s="56"/>
      <c r="FV158" s="56"/>
      <c r="FW158" s="56"/>
      <c r="FX158" s="56"/>
      <c r="FY158" s="56"/>
      <c r="FZ158" s="56"/>
      <c r="GA158" s="56"/>
      <c r="GB158" s="56"/>
      <c r="GC158" s="56"/>
      <c r="GD158" s="56"/>
      <c r="GE158" s="56"/>
      <c r="GF158" s="56"/>
      <c r="GG158" s="56"/>
      <c r="GH158" s="56"/>
      <c r="GI158" s="56"/>
      <c r="GJ158" s="56"/>
      <c r="GK158" s="56"/>
      <c r="GL158" s="56"/>
      <c r="GM158" s="56"/>
      <c r="GN158" s="56"/>
      <c r="GO158" s="56"/>
      <c r="GP158" s="56"/>
      <c r="GQ158" s="56"/>
      <c r="GR158" s="56"/>
      <c r="GS158" s="56"/>
      <c r="GT158" s="56"/>
      <c r="GU158" s="56"/>
      <c r="GV158" s="56"/>
      <c r="GW158" s="56"/>
      <c r="GX158" s="56"/>
      <c r="GY158" s="56"/>
      <c r="GZ158" s="56"/>
      <c r="HA158" s="56"/>
      <c r="HB158" s="56"/>
      <c r="HC158" s="56"/>
      <c r="HD158" s="56"/>
      <c r="HE158" s="56"/>
      <c r="HF158" s="56"/>
      <c r="HG158" s="56"/>
      <c r="HH158" s="56"/>
      <c r="HI158" s="56"/>
      <c r="HJ158" s="56"/>
    </row>
    <row r="159" spans="1:218" ht="15.75" customHeight="1" x14ac:dyDescent="0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  <c r="CY159" s="56"/>
      <c r="CZ159" s="56"/>
      <c r="DA159" s="56"/>
      <c r="DB159" s="56"/>
      <c r="DC159" s="56"/>
      <c r="DD159" s="56"/>
      <c r="DE159" s="56"/>
      <c r="DF159" s="56"/>
      <c r="DG159" s="56"/>
      <c r="DH159" s="56"/>
      <c r="DI159" s="56"/>
      <c r="DJ159" s="56"/>
      <c r="DK159" s="56"/>
      <c r="DL159" s="56"/>
      <c r="DM159" s="56"/>
      <c r="DN159" s="56"/>
      <c r="DO159" s="56"/>
      <c r="DP159" s="56"/>
      <c r="DQ159" s="56"/>
      <c r="DR159" s="56"/>
      <c r="DS159" s="56"/>
      <c r="DT159" s="56"/>
      <c r="DU159" s="56"/>
      <c r="DV159" s="56"/>
      <c r="DW159" s="56"/>
      <c r="DX159" s="56"/>
      <c r="DY159" s="56"/>
      <c r="DZ159" s="56"/>
      <c r="EA159" s="56"/>
      <c r="EB159" s="56"/>
      <c r="EC159" s="56"/>
      <c r="ED159" s="56"/>
      <c r="EE159" s="56"/>
      <c r="EF159" s="56"/>
      <c r="EG159" s="56"/>
      <c r="EH159" s="56"/>
      <c r="EI159" s="56"/>
      <c r="EJ159" s="56"/>
      <c r="EK159" s="56"/>
      <c r="EL159" s="56"/>
      <c r="EM159" s="56"/>
      <c r="EN159" s="56"/>
      <c r="EO159" s="56"/>
      <c r="EP159" s="56"/>
      <c r="EQ159" s="56"/>
      <c r="ER159" s="56"/>
      <c r="ES159" s="56"/>
      <c r="ET159" s="56"/>
      <c r="EU159" s="56"/>
      <c r="EV159" s="56"/>
      <c r="EW159" s="56"/>
      <c r="EX159" s="56"/>
      <c r="EY159" s="56"/>
      <c r="EZ159" s="56"/>
      <c r="FA159" s="56"/>
      <c r="FB159" s="56"/>
      <c r="FC159" s="56"/>
      <c r="FD159" s="56"/>
      <c r="FE159" s="56"/>
      <c r="FF159" s="56"/>
      <c r="FG159" s="56"/>
      <c r="FH159" s="56"/>
      <c r="FI159" s="56"/>
      <c r="FJ159" s="56"/>
      <c r="FK159" s="56"/>
      <c r="FL159" s="56"/>
      <c r="FM159" s="56"/>
      <c r="FN159" s="56"/>
      <c r="FO159" s="56"/>
      <c r="FP159" s="56"/>
      <c r="FQ159" s="56"/>
      <c r="FR159" s="56"/>
      <c r="FS159" s="56"/>
      <c r="FT159" s="56"/>
      <c r="FU159" s="56"/>
      <c r="FV159" s="56"/>
      <c r="FW159" s="56"/>
      <c r="FX159" s="56"/>
      <c r="FY159" s="56"/>
      <c r="FZ159" s="56"/>
      <c r="GA159" s="56"/>
      <c r="GB159" s="56"/>
      <c r="GC159" s="56"/>
      <c r="GD159" s="56"/>
      <c r="GE159" s="56"/>
      <c r="GF159" s="56"/>
      <c r="GG159" s="56"/>
      <c r="GH159" s="56"/>
      <c r="GI159" s="56"/>
      <c r="GJ159" s="56"/>
      <c r="GK159" s="56"/>
      <c r="GL159" s="56"/>
      <c r="GM159" s="56"/>
      <c r="GN159" s="56"/>
      <c r="GO159" s="56"/>
      <c r="GP159" s="56"/>
      <c r="GQ159" s="56"/>
      <c r="GR159" s="56"/>
      <c r="GS159" s="56"/>
      <c r="GT159" s="56"/>
      <c r="GU159" s="56"/>
      <c r="GV159" s="56"/>
      <c r="GW159" s="56"/>
      <c r="GX159" s="56"/>
      <c r="GY159" s="56"/>
      <c r="GZ159" s="56"/>
      <c r="HA159" s="56"/>
      <c r="HB159" s="56"/>
      <c r="HC159" s="56"/>
      <c r="HD159" s="56"/>
      <c r="HE159" s="56"/>
      <c r="HF159" s="56"/>
      <c r="HG159" s="56"/>
      <c r="HH159" s="56"/>
      <c r="HI159" s="56"/>
      <c r="HJ159" s="56"/>
    </row>
    <row r="160" spans="1:218" ht="15.75" customHeight="1" x14ac:dyDescent="0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/>
      <c r="CX160" s="56"/>
      <c r="CY160" s="56"/>
      <c r="CZ160" s="56"/>
      <c r="DA160" s="56"/>
      <c r="DB160" s="56"/>
      <c r="DC160" s="56"/>
      <c r="DD160" s="56"/>
      <c r="DE160" s="56"/>
      <c r="DF160" s="56"/>
      <c r="DG160" s="56"/>
      <c r="DH160" s="56"/>
      <c r="DI160" s="56"/>
      <c r="DJ160" s="56"/>
      <c r="DK160" s="56"/>
      <c r="DL160" s="56"/>
      <c r="DM160" s="56"/>
      <c r="DN160" s="56"/>
      <c r="DO160" s="56"/>
      <c r="DP160" s="56"/>
      <c r="DQ160" s="56"/>
      <c r="DR160" s="56"/>
      <c r="DS160" s="56"/>
      <c r="DT160" s="56"/>
      <c r="DU160" s="56"/>
      <c r="DV160" s="56"/>
      <c r="DW160" s="56"/>
      <c r="DX160" s="56"/>
      <c r="DY160" s="56"/>
      <c r="DZ160" s="56"/>
      <c r="EA160" s="56"/>
      <c r="EB160" s="56"/>
      <c r="EC160" s="56"/>
      <c r="ED160" s="56"/>
      <c r="EE160" s="56"/>
      <c r="EF160" s="56"/>
      <c r="EG160" s="56"/>
      <c r="EH160" s="56"/>
      <c r="EI160" s="56"/>
      <c r="EJ160" s="56"/>
      <c r="EK160" s="56"/>
      <c r="EL160" s="56"/>
      <c r="EM160" s="56"/>
      <c r="EN160" s="56"/>
      <c r="EO160" s="56"/>
      <c r="EP160" s="56"/>
      <c r="EQ160" s="56"/>
      <c r="ER160" s="56"/>
      <c r="ES160" s="56"/>
      <c r="ET160" s="56"/>
      <c r="EU160" s="56"/>
      <c r="EV160" s="56"/>
      <c r="EW160" s="56"/>
      <c r="EX160" s="56"/>
      <c r="EY160" s="56"/>
      <c r="EZ160" s="56"/>
      <c r="FA160" s="56"/>
      <c r="FB160" s="56"/>
      <c r="FC160" s="56"/>
      <c r="FD160" s="56"/>
      <c r="FE160" s="56"/>
      <c r="FF160" s="56"/>
      <c r="FG160" s="56"/>
      <c r="FH160" s="56"/>
      <c r="FI160" s="56"/>
      <c r="FJ160" s="56"/>
      <c r="FK160" s="56"/>
      <c r="FL160" s="56"/>
      <c r="FM160" s="56"/>
      <c r="FN160" s="56"/>
      <c r="FO160" s="56"/>
      <c r="FP160" s="56"/>
      <c r="FQ160" s="56"/>
      <c r="FR160" s="56"/>
      <c r="FS160" s="56"/>
      <c r="FT160" s="56"/>
      <c r="FU160" s="56"/>
      <c r="FV160" s="56"/>
      <c r="FW160" s="56"/>
      <c r="FX160" s="56"/>
      <c r="FY160" s="56"/>
      <c r="FZ160" s="56"/>
      <c r="GA160" s="56"/>
      <c r="GB160" s="56"/>
      <c r="GC160" s="56"/>
      <c r="GD160" s="56"/>
      <c r="GE160" s="56"/>
      <c r="GF160" s="56"/>
      <c r="GG160" s="56"/>
      <c r="GH160" s="56"/>
      <c r="GI160" s="56"/>
      <c r="GJ160" s="56"/>
      <c r="GK160" s="56"/>
      <c r="GL160" s="56"/>
      <c r="GM160" s="56"/>
      <c r="GN160" s="56"/>
      <c r="GO160" s="56"/>
      <c r="GP160" s="56"/>
      <c r="GQ160" s="56"/>
      <c r="GR160" s="56"/>
      <c r="GS160" s="56"/>
      <c r="GT160" s="56"/>
      <c r="GU160" s="56"/>
      <c r="GV160" s="56"/>
      <c r="GW160" s="56"/>
      <c r="GX160" s="56"/>
      <c r="GY160" s="56"/>
      <c r="GZ160" s="56"/>
      <c r="HA160" s="56"/>
      <c r="HB160" s="56"/>
      <c r="HC160" s="56"/>
      <c r="HD160" s="56"/>
      <c r="HE160" s="56"/>
      <c r="HF160" s="56"/>
      <c r="HG160" s="56"/>
      <c r="HH160" s="56"/>
      <c r="HI160" s="56"/>
      <c r="HJ160" s="56"/>
    </row>
    <row r="161" spans="1:218" ht="15.75" customHeight="1" x14ac:dyDescent="0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  <c r="CT161" s="56"/>
      <c r="CU161" s="56"/>
      <c r="CV161" s="56"/>
      <c r="CW161" s="56"/>
      <c r="CX161" s="56"/>
      <c r="CY161" s="56"/>
      <c r="CZ161" s="56"/>
      <c r="DA161" s="56"/>
      <c r="DB161" s="56"/>
      <c r="DC161" s="56"/>
      <c r="DD161" s="56"/>
      <c r="DE161" s="56"/>
      <c r="DF161" s="56"/>
      <c r="DG161" s="56"/>
      <c r="DH161" s="56"/>
      <c r="DI161" s="56"/>
      <c r="DJ161" s="56"/>
      <c r="DK161" s="56"/>
      <c r="DL161" s="56"/>
      <c r="DM161" s="56"/>
      <c r="DN161" s="56"/>
      <c r="DO161" s="56"/>
      <c r="DP161" s="56"/>
      <c r="DQ161" s="56"/>
      <c r="DR161" s="56"/>
      <c r="DS161" s="56"/>
      <c r="DT161" s="56"/>
      <c r="DU161" s="56"/>
      <c r="DV161" s="56"/>
      <c r="DW161" s="56"/>
      <c r="DX161" s="56"/>
      <c r="DY161" s="56"/>
      <c r="DZ161" s="56"/>
      <c r="EA161" s="56"/>
      <c r="EB161" s="56"/>
      <c r="EC161" s="56"/>
      <c r="ED161" s="56"/>
      <c r="EE161" s="56"/>
      <c r="EF161" s="56"/>
      <c r="EG161" s="56"/>
      <c r="EH161" s="56"/>
      <c r="EI161" s="56"/>
      <c r="EJ161" s="56"/>
      <c r="EK161" s="56"/>
      <c r="EL161" s="56"/>
      <c r="EM161" s="56"/>
      <c r="EN161" s="56"/>
      <c r="EO161" s="56"/>
      <c r="EP161" s="56"/>
      <c r="EQ161" s="56"/>
      <c r="ER161" s="56"/>
      <c r="ES161" s="56"/>
      <c r="ET161" s="56"/>
      <c r="EU161" s="56"/>
      <c r="EV161" s="56"/>
      <c r="EW161" s="56"/>
      <c r="EX161" s="56"/>
      <c r="EY161" s="56"/>
      <c r="EZ161" s="56"/>
      <c r="FA161" s="56"/>
      <c r="FB161" s="56"/>
      <c r="FC161" s="56"/>
      <c r="FD161" s="56"/>
      <c r="FE161" s="56"/>
      <c r="FF161" s="56"/>
      <c r="FG161" s="56"/>
      <c r="FH161" s="56"/>
      <c r="FI161" s="56"/>
      <c r="FJ161" s="56"/>
      <c r="FK161" s="56"/>
      <c r="FL161" s="56"/>
      <c r="FM161" s="56"/>
      <c r="FN161" s="56"/>
      <c r="FO161" s="56"/>
      <c r="FP161" s="56"/>
      <c r="FQ161" s="56"/>
      <c r="FR161" s="56"/>
      <c r="FS161" s="56"/>
      <c r="FT161" s="56"/>
      <c r="FU161" s="56"/>
      <c r="FV161" s="56"/>
      <c r="FW161" s="56"/>
      <c r="FX161" s="56"/>
      <c r="FY161" s="56"/>
      <c r="FZ161" s="56"/>
      <c r="GA161" s="56"/>
      <c r="GB161" s="56"/>
      <c r="GC161" s="56"/>
      <c r="GD161" s="56"/>
      <c r="GE161" s="56"/>
      <c r="GF161" s="56"/>
      <c r="GG161" s="56"/>
      <c r="GH161" s="56"/>
      <c r="GI161" s="56"/>
      <c r="GJ161" s="56"/>
      <c r="GK161" s="56"/>
      <c r="GL161" s="56"/>
      <c r="GM161" s="56"/>
      <c r="GN161" s="56"/>
      <c r="GO161" s="56"/>
      <c r="GP161" s="56"/>
      <c r="GQ161" s="56"/>
      <c r="GR161" s="56"/>
      <c r="GS161" s="56"/>
      <c r="GT161" s="56"/>
      <c r="GU161" s="56"/>
      <c r="GV161" s="56"/>
      <c r="GW161" s="56"/>
      <c r="GX161" s="56"/>
      <c r="GY161" s="56"/>
      <c r="GZ161" s="56"/>
      <c r="HA161" s="56"/>
      <c r="HB161" s="56"/>
      <c r="HC161" s="56"/>
      <c r="HD161" s="56"/>
      <c r="HE161" s="56"/>
      <c r="HF161" s="56"/>
      <c r="HG161" s="56"/>
      <c r="HH161" s="56"/>
      <c r="HI161" s="56"/>
      <c r="HJ161" s="56"/>
    </row>
    <row r="162" spans="1:218" ht="15.75" customHeight="1" x14ac:dyDescent="0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6"/>
      <c r="CV162" s="56"/>
      <c r="CW162" s="56"/>
      <c r="CX162" s="56"/>
      <c r="CY162" s="56"/>
      <c r="CZ162" s="56"/>
      <c r="DA162" s="56"/>
      <c r="DB162" s="56"/>
      <c r="DC162" s="56"/>
      <c r="DD162" s="56"/>
      <c r="DE162" s="56"/>
      <c r="DF162" s="56"/>
      <c r="DG162" s="56"/>
      <c r="DH162" s="56"/>
      <c r="DI162" s="56"/>
      <c r="DJ162" s="56"/>
      <c r="DK162" s="56"/>
      <c r="DL162" s="56"/>
      <c r="DM162" s="56"/>
      <c r="DN162" s="56"/>
      <c r="DO162" s="56"/>
      <c r="DP162" s="56"/>
      <c r="DQ162" s="56"/>
      <c r="DR162" s="56"/>
      <c r="DS162" s="56"/>
      <c r="DT162" s="56"/>
      <c r="DU162" s="56"/>
      <c r="DV162" s="56"/>
      <c r="DW162" s="56"/>
      <c r="DX162" s="56"/>
      <c r="DY162" s="56"/>
      <c r="DZ162" s="56"/>
      <c r="EA162" s="56"/>
      <c r="EB162" s="56"/>
      <c r="EC162" s="56"/>
      <c r="ED162" s="56"/>
      <c r="EE162" s="56"/>
      <c r="EF162" s="56"/>
      <c r="EG162" s="56"/>
      <c r="EH162" s="56"/>
      <c r="EI162" s="56"/>
      <c r="EJ162" s="56"/>
      <c r="EK162" s="56"/>
      <c r="EL162" s="56"/>
      <c r="EM162" s="56"/>
      <c r="EN162" s="56"/>
      <c r="EO162" s="56"/>
      <c r="EP162" s="56"/>
      <c r="EQ162" s="56"/>
      <c r="ER162" s="56"/>
      <c r="ES162" s="56"/>
      <c r="ET162" s="56"/>
      <c r="EU162" s="56"/>
      <c r="EV162" s="56"/>
      <c r="EW162" s="56"/>
      <c r="EX162" s="56"/>
      <c r="EY162" s="56"/>
      <c r="EZ162" s="56"/>
      <c r="FA162" s="56"/>
      <c r="FB162" s="56"/>
      <c r="FC162" s="56"/>
      <c r="FD162" s="56"/>
      <c r="FE162" s="56"/>
      <c r="FF162" s="56"/>
      <c r="FG162" s="56"/>
      <c r="FH162" s="56"/>
      <c r="FI162" s="56"/>
      <c r="FJ162" s="56"/>
      <c r="FK162" s="56"/>
      <c r="FL162" s="56"/>
      <c r="FM162" s="56"/>
      <c r="FN162" s="56"/>
      <c r="FO162" s="56"/>
      <c r="FP162" s="56"/>
      <c r="FQ162" s="56"/>
      <c r="FR162" s="56"/>
      <c r="FS162" s="56"/>
      <c r="FT162" s="56"/>
      <c r="FU162" s="56"/>
      <c r="FV162" s="56"/>
      <c r="FW162" s="56"/>
      <c r="FX162" s="56"/>
      <c r="FY162" s="56"/>
      <c r="FZ162" s="56"/>
      <c r="GA162" s="56"/>
      <c r="GB162" s="56"/>
      <c r="GC162" s="56"/>
      <c r="GD162" s="56"/>
      <c r="GE162" s="56"/>
      <c r="GF162" s="56"/>
      <c r="GG162" s="56"/>
      <c r="GH162" s="56"/>
      <c r="GI162" s="56"/>
      <c r="GJ162" s="56"/>
      <c r="GK162" s="56"/>
      <c r="GL162" s="56"/>
      <c r="GM162" s="56"/>
      <c r="GN162" s="56"/>
      <c r="GO162" s="56"/>
      <c r="GP162" s="56"/>
      <c r="GQ162" s="56"/>
      <c r="GR162" s="56"/>
      <c r="GS162" s="56"/>
      <c r="GT162" s="56"/>
      <c r="GU162" s="56"/>
      <c r="GV162" s="56"/>
      <c r="GW162" s="56"/>
      <c r="GX162" s="56"/>
      <c r="GY162" s="56"/>
      <c r="GZ162" s="56"/>
      <c r="HA162" s="56"/>
      <c r="HB162" s="56"/>
      <c r="HC162" s="56"/>
      <c r="HD162" s="56"/>
      <c r="HE162" s="56"/>
      <c r="HF162" s="56"/>
      <c r="HG162" s="56"/>
      <c r="HH162" s="56"/>
      <c r="HI162" s="56"/>
      <c r="HJ162" s="56"/>
    </row>
    <row r="163" spans="1:218" ht="15.75" customHeight="1" x14ac:dyDescent="0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56"/>
      <c r="DC163" s="56"/>
      <c r="DD163" s="56"/>
      <c r="DE163" s="56"/>
      <c r="DF163" s="56"/>
      <c r="DG163" s="56"/>
      <c r="DH163" s="56"/>
      <c r="DI163" s="56"/>
      <c r="DJ163" s="56"/>
      <c r="DK163" s="56"/>
      <c r="DL163" s="56"/>
      <c r="DM163" s="56"/>
      <c r="DN163" s="56"/>
      <c r="DO163" s="56"/>
      <c r="DP163" s="56"/>
      <c r="DQ163" s="56"/>
      <c r="DR163" s="56"/>
      <c r="DS163" s="56"/>
      <c r="DT163" s="56"/>
      <c r="DU163" s="56"/>
      <c r="DV163" s="56"/>
      <c r="DW163" s="56"/>
      <c r="DX163" s="56"/>
      <c r="DY163" s="56"/>
      <c r="DZ163" s="56"/>
      <c r="EA163" s="56"/>
      <c r="EB163" s="56"/>
      <c r="EC163" s="56"/>
      <c r="ED163" s="56"/>
      <c r="EE163" s="56"/>
      <c r="EF163" s="56"/>
      <c r="EG163" s="56"/>
      <c r="EH163" s="56"/>
      <c r="EI163" s="56"/>
      <c r="EJ163" s="56"/>
      <c r="EK163" s="56"/>
      <c r="EL163" s="56"/>
      <c r="EM163" s="56"/>
      <c r="EN163" s="56"/>
      <c r="EO163" s="56"/>
      <c r="EP163" s="56"/>
      <c r="EQ163" s="56"/>
      <c r="ER163" s="56"/>
      <c r="ES163" s="56"/>
      <c r="ET163" s="56"/>
      <c r="EU163" s="56"/>
      <c r="EV163" s="56"/>
      <c r="EW163" s="56"/>
      <c r="EX163" s="56"/>
      <c r="EY163" s="56"/>
      <c r="EZ163" s="56"/>
      <c r="FA163" s="56"/>
      <c r="FB163" s="56"/>
      <c r="FC163" s="56"/>
      <c r="FD163" s="56"/>
      <c r="FE163" s="56"/>
      <c r="FF163" s="56"/>
      <c r="FG163" s="56"/>
      <c r="FH163" s="56"/>
      <c r="FI163" s="56"/>
      <c r="FJ163" s="56"/>
      <c r="FK163" s="56"/>
      <c r="FL163" s="56"/>
      <c r="FM163" s="56"/>
      <c r="FN163" s="56"/>
      <c r="FO163" s="56"/>
      <c r="FP163" s="56"/>
      <c r="FQ163" s="56"/>
      <c r="FR163" s="56"/>
      <c r="FS163" s="56"/>
      <c r="FT163" s="56"/>
      <c r="FU163" s="56"/>
      <c r="FV163" s="56"/>
      <c r="FW163" s="56"/>
      <c r="FX163" s="56"/>
      <c r="FY163" s="56"/>
      <c r="FZ163" s="56"/>
      <c r="GA163" s="56"/>
      <c r="GB163" s="56"/>
      <c r="GC163" s="56"/>
      <c r="GD163" s="56"/>
      <c r="GE163" s="56"/>
      <c r="GF163" s="56"/>
      <c r="GG163" s="56"/>
      <c r="GH163" s="56"/>
      <c r="GI163" s="56"/>
      <c r="GJ163" s="56"/>
      <c r="GK163" s="56"/>
      <c r="GL163" s="56"/>
      <c r="GM163" s="56"/>
      <c r="GN163" s="56"/>
      <c r="GO163" s="56"/>
      <c r="GP163" s="56"/>
      <c r="GQ163" s="56"/>
      <c r="GR163" s="56"/>
      <c r="GS163" s="56"/>
      <c r="GT163" s="56"/>
      <c r="GU163" s="56"/>
      <c r="GV163" s="56"/>
      <c r="GW163" s="56"/>
      <c r="GX163" s="56"/>
      <c r="GY163" s="56"/>
      <c r="GZ163" s="56"/>
      <c r="HA163" s="56"/>
      <c r="HB163" s="56"/>
      <c r="HC163" s="56"/>
      <c r="HD163" s="56"/>
      <c r="HE163" s="56"/>
      <c r="HF163" s="56"/>
      <c r="HG163" s="56"/>
      <c r="HH163" s="56"/>
      <c r="HI163" s="56"/>
      <c r="HJ163" s="56"/>
    </row>
    <row r="164" spans="1:218" ht="15.75" customHeight="1" x14ac:dyDescent="0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</row>
    <row r="165" spans="1:218" ht="15.75" customHeight="1" x14ac:dyDescent="0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  <c r="CZ165" s="56"/>
      <c r="DA165" s="56"/>
      <c r="DB165" s="56"/>
      <c r="DC165" s="56"/>
      <c r="DD165" s="56"/>
      <c r="DE165" s="56"/>
      <c r="DF165" s="56"/>
      <c r="DG165" s="56"/>
      <c r="DH165" s="56"/>
      <c r="DI165" s="56"/>
      <c r="DJ165" s="56"/>
      <c r="DK165" s="56"/>
      <c r="DL165" s="56"/>
      <c r="DM165" s="56"/>
      <c r="DN165" s="56"/>
      <c r="DO165" s="56"/>
      <c r="DP165" s="56"/>
      <c r="DQ165" s="56"/>
      <c r="DR165" s="56"/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  <c r="EG165" s="56"/>
      <c r="EH165" s="56"/>
      <c r="EI165" s="56"/>
      <c r="EJ165" s="56"/>
      <c r="EK165" s="56"/>
      <c r="EL165" s="56"/>
      <c r="EM165" s="56"/>
      <c r="EN165" s="56"/>
      <c r="EO165" s="56"/>
      <c r="EP165" s="56"/>
      <c r="EQ165" s="56"/>
      <c r="ER165" s="56"/>
      <c r="ES165" s="56"/>
      <c r="ET165" s="56"/>
      <c r="EU165" s="56"/>
      <c r="EV165" s="56"/>
      <c r="EW165" s="56"/>
      <c r="EX165" s="56"/>
      <c r="EY165" s="56"/>
      <c r="EZ165" s="56"/>
      <c r="FA165" s="56"/>
      <c r="FB165" s="56"/>
      <c r="FC165" s="56"/>
      <c r="FD165" s="56"/>
      <c r="FE165" s="56"/>
      <c r="FF165" s="56"/>
      <c r="FG165" s="56"/>
      <c r="FH165" s="56"/>
      <c r="FI165" s="56"/>
      <c r="FJ165" s="56"/>
      <c r="FK165" s="56"/>
      <c r="FL165" s="56"/>
      <c r="FM165" s="56"/>
      <c r="FN165" s="56"/>
      <c r="FO165" s="56"/>
      <c r="FP165" s="56"/>
      <c r="FQ165" s="56"/>
      <c r="FR165" s="56"/>
      <c r="FS165" s="56"/>
      <c r="FT165" s="56"/>
      <c r="FU165" s="56"/>
      <c r="FV165" s="56"/>
      <c r="FW165" s="56"/>
      <c r="FX165" s="56"/>
      <c r="FY165" s="56"/>
      <c r="FZ165" s="56"/>
      <c r="GA165" s="56"/>
      <c r="GB165" s="56"/>
      <c r="GC165" s="56"/>
      <c r="GD165" s="56"/>
      <c r="GE165" s="56"/>
      <c r="GF165" s="56"/>
      <c r="GG165" s="56"/>
      <c r="GH165" s="56"/>
      <c r="GI165" s="56"/>
      <c r="GJ165" s="56"/>
      <c r="GK165" s="56"/>
      <c r="GL165" s="56"/>
      <c r="GM165" s="56"/>
      <c r="GN165" s="56"/>
      <c r="GO165" s="56"/>
      <c r="GP165" s="56"/>
      <c r="GQ165" s="56"/>
      <c r="GR165" s="56"/>
      <c r="GS165" s="56"/>
      <c r="GT165" s="56"/>
      <c r="GU165" s="56"/>
      <c r="GV165" s="56"/>
      <c r="GW165" s="56"/>
      <c r="GX165" s="56"/>
      <c r="GY165" s="56"/>
      <c r="GZ165" s="56"/>
      <c r="HA165" s="56"/>
      <c r="HB165" s="56"/>
      <c r="HC165" s="56"/>
      <c r="HD165" s="56"/>
      <c r="HE165" s="56"/>
      <c r="HF165" s="56"/>
      <c r="HG165" s="56"/>
      <c r="HH165" s="56"/>
      <c r="HI165" s="56"/>
      <c r="HJ165" s="56"/>
    </row>
    <row r="166" spans="1:218" ht="15.75" customHeight="1" x14ac:dyDescent="0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  <c r="CT166" s="56"/>
      <c r="CU166" s="56"/>
      <c r="CV166" s="56"/>
      <c r="CW166" s="56"/>
      <c r="CX166" s="56"/>
      <c r="CY166" s="56"/>
      <c r="CZ166" s="56"/>
      <c r="DA166" s="56"/>
      <c r="DB166" s="56"/>
      <c r="DC166" s="56"/>
      <c r="DD166" s="56"/>
      <c r="DE166" s="56"/>
      <c r="DF166" s="56"/>
      <c r="DG166" s="56"/>
      <c r="DH166" s="56"/>
      <c r="DI166" s="56"/>
      <c r="DJ166" s="56"/>
      <c r="DK166" s="56"/>
      <c r="DL166" s="56"/>
      <c r="DM166" s="56"/>
      <c r="DN166" s="56"/>
      <c r="DO166" s="56"/>
      <c r="DP166" s="56"/>
      <c r="DQ166" s="56"/>
      <c r="DR166" s="56"/>
      <c r="DS166" s="56"/>
      <c r="DT166" s="56"/>
      <c r="DU166" s="56"/>
      <c r="DV166" s="56"/>
      <c r="DW166" s="56"/>
      <c r="DX166" s="56"/>
      <c r="DY166" s="56"/>
      <c r="DZ166" s="56"/>
      <c r="EA166" s="56"/>
      <c r="EB166" s="56"/>
      <c r="EC166" s="56"/>
      <c r="ED166" s="56"/>
      <c r="EE166" s="56"/>
      <c r="EF166" s="56"/>
      <c r="EG166" s="56"/>
      <c r="EH166" s="56"/>
      <c r="EI166" s="56"/>
      <c r="EJ166" s="56"/>
      <c r="EK166" s="56"/>
      <c r="EL166" s="56"/>
      <c r="EM166" s="56"/>
      <c r="EN166" s="56"/>
      <c r="EO166" s="56"/>
      <c r="EP166" s="56"/>
      <c r="EQ166" s="56"/>
      <c r="ER166" s="56"/>
      <c r="ES166" s="56"/>
      <c r="ET166" s="56"/>
      <c r="EU166" s="56"/>
      <c r="EV166" s="56"/>
      <c r="EW166" s="56"/>
      <c r="EX166" s="56"/>
      <c r="EY166" s="56"/>
      <c r="EZ166" s="56"/>
      <c r="FA166" s="56"/>
      <c r="FB166" s="56"/>
      <c r="FC166" s="56"/>
      <c r="FD166" s="56"/>
      <c r="FE166" s="56"/>
      <c r="FF166" s="56"/>
      <c r="FG166" s="56"/>
      <c r="FH166" s="56"/>
      <c r="FI166" s="56"/>
      <c r="FJ166" s="56"/>
      <c r="FK166" s="56"/>
      <c r="FL166" s="56"/>
      <c r="FM166" s="56"/>
      <c r="FN166" s="56"/>
      <c r="FO166" s="56"/>
      <c r="FP166" s="56"/>
      <c r="FQ166" s="56"/>
      <c r="FR166" s="56"/>
      <c r="FS166" s="56"/>
      <c r="FT166" s="56"/>
      <c r="FU166" s="56"/>
      <c r="FV166" s="56"/>
      <c r="FW166" s="56"/>
      <c r="FX166" s="56"/>
      <c r="FY166" s="56"/>
      <c r="FZ166" s="56"/>
      <c r="GA166" s="56"/>
      <c r="GB166" s="56"/>
      <c r="GC166" s="56"/>
      <c r="GD166" s="56"/>
      <c r="GE166" s="56"/>
      <c r="GF166" s="56"/>
      <c r="GG166" s="56"/>
      <c r="GH166" s="56"/>
      <c r="GI166" s="56"/>
      <c r="GJ166" s="56"/>
      <c r="GK166" s="56"/>
      <c r="GL166" s="56"/>
      <c r="GM166" s="56"/>
      <c r="GN166" s="56"/>
      <c r="GO166" s="56"/>
      <c r="GP166" s="56"/>
      <c r="GQ166" s="56"/>
      <c r="GR166" s="56"/>
      <c r="GS166" s="56"/>
      <c r="GT166" s="56"/>
      <c r="GU166" s="56"/>
      <c r="GV166" s="56"/>
      <c r="GW166" s="56"/>
      <c r="GX166" s="56"/>
      <c r="GY166" s="56"/>
      <c r="GZ166" s="56"/>
      <c r="HA166" s="56"/>
      <c r="HB166" s="56"/>
      <c r="HC166" s="56"/>
      <c r="HD166" s="56"/>
      <c r="HE166" s="56"/>
      <c r="HF166" s="56"/>
      <c r="HG166" s="56"/>
      <c r="HH166" s="56"/>
      <c r="HI166" s="56"/>
      <c r="HJ166" s="56"/>
    </row>
    <row r="167" spans="1:218" ht="15.75" customHeight="1" x14ac:dyDescent="0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  <c r="CS167" s="56"/>
      <c r="CT167" s="56"/>
      <c r="CU167" s="56"/>
      <c r="CV167" s="56"/>
      <c r="CW167" s="56"/>
      <c r="CX167" s="56"/>
      <c r="CY167" s="56"/>
      <c r="CZ167" s="56"/>
      <c r="DA167" s="56"/>
      <c r="DB167" s="56"/>
      <c r="DC167" s="56"/>
      <c r="DD167" s="56"/>
      <c r="DE167" s="56"/>
      <c r="DF167" s="56"/>
      <c r="DG167" s="56"/>
      <c r="DH167" s="56"/>
      <c r="DI167" s="56"/>
      <c r="DJ167" s="56"/>
      <c r="DK167" s="56"/>
      <c r="DL167" s="56"/>
      <c r="DM167" s="56"/>
      <c r="DN167" s="56"/>
      <c r="DO167" s="56"/>
      <c r="DP167" s="56"/>
      <c r="DQ167" s="56"/>
      <c r="DR167" s="56"/>
      <c r="DS167" s="56"/>
      <c r="DT167" s="56"/>
      <c r="DU167" s="56"/>
      <c r="DV167" s="56"/>
      <c r="DW167" s="56"/>
      <c r="DX167" s="56"/>
      <c r="DY167" s="56"/>
      <c r="DZ167" s="56"/>
      <c r="EA167" s="56"/>
      <c r="EB167" s="56"/>
      <c r="EC167" s="56"/>
      <c r="ED167" s="56"/>
      <c r="EE167" s="56"/>
      <c r="EF167" s="56"/>
      <c r="EG167" s="56"/>
      <c r="EH167" s="56"/>
      <c r="EI167" s="56"/>
      <c r="EJ167" s="56"/>
      <c r="EK167" s="56"/>
      <c r="EL167" s="56"/>
      <c r="EM167" s="56"/>
      <c r="EN167" s="56"/>
      <c r="EO167" s="56"/>
      <c r="EP167" s="56"/>
      <c r="EQ167" s="56"/>
      <c r="ER167" s="56"/>
      <c r="ES167" s="56"/>
      <c r="ET167" s="56"/>
      <c r="EU167" s="56"/>
      <c r="EV167" s="56"/>
      <c r="EW167" s="56"/>
      <c r="EX167" s="56"/>
      <c r="EY167" s="56"/>
      <c r="EZ167" s="56"/>
      <c r="FA167" s="56"/>
      <c r="FB167" s="56"/>
      <c r="FC167" s="56"/>
      <c r="FD167" s="56"/>
      <c r="FE167" s="56"/>
      <c r="FF167" s="56"/>
      <c r="FG167" s="56"/>
      <c r="FH167" s="56"/>
      <c r="FI167" s="56"/>
      <c r="FJ167" s="56"/>
      <c r="FK167" s="56"/>
      <c r="FL167" s="56"/>
      <c r="FM167" s="56"/>
      <c r="FN167" s="56"/>
      <c r="FO167" s="56"/>
      <c r="FP167" s="56"/>
      <c r="FQ167" s="56"/>
      <c r="FR167" s="56"/>
      <c r="FS167" s="56"/>
      <c r="FT167" s="56"/>
      <c r="FU167" s="56"/>
      <c r="FV167" s="56"/>
      <c r="FW167" s="56"/>
      <c r="FX167" s="56"/>
      <c r="FY167" s="56"/>
      <c r="FZ167" s="56"/>
      <c r="GA167" s="56"/>
      <c r="GB167" s="56"/>
      <c r="GC167" s="56"/>
      <c r="GD167" s="56"/>
      <c r="GE167" s="56"/>
      <c r="GF167" s="56"/>
      <c r="GG167" s="56"/>
      <c r="GH167" s="56"/>
      <c r="GI167" s="56"/>
      <c r="GJ167" s="56"/>
      <c r="GK167" s="56"/>
      <c r="GL167" s="56"/>
      <c r="GM167" s="56"/>
      <c r="GN167" s="56"/>
      <c r="GO167" s="56"/>
      <c r="GP167" s="56"/>
      <c r="GQ167" s="56"/>
      <c r="GR167" s="56"/>
      <c r="GS167" s="56"/>
      <c r="GT167" s="56"/>
      <c r="GU167" s="56"/>
      <c r="GV167" s="56"/>
      <c r="GW167" s="56"/>
      <c r="GX167" s="56"/>
      <c r="GY167" s="56"/>
      <c r="GZ167" s="56"/>
      <c r="HA167" s="56"/>
      <c r="HB167" s="56"/>
      <c r="HC167" s="56"/>
      <c r="HD167" s="56"/>
      <c r="HE167" s="56"/>
      <c r="HF167" s="56"/>
      <c r="HG167" s="56"/>
      <c r="HH167" s="56"/>
      <c r="HI167" s="56"/>
      <c r="HJ167" s="56"/>
    </row>
    <row r="168" spans="1:218" ht="15.75" customHeight="1" x14ac:dyDescent="0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  <c r="CZ168" s="56"/>
      <c r="DA168" s="56"/>
      <c r="DB168" s="56"/>
      <c r="DC168" s="56"/>
      <c r="DD168" s="56"/>
      <c r="DE168" s="56"/>
      <c r="DF168" s="56"/>
      <c r="DG168" s="56"/>
      <c r="DH168" s="56"/>
      <c r="DI168" s="56"/>
      <c r="DJ168" s="56"/>
      <c r="DK168" s="56"/>
      <c r="DL168" s="56"/>
      <c r="DM168" s="56"/>
      <c r="DN168" s="56"/>
      <c r="DO168" s="56"/>
      <c r="DP168" s="56"/>
      <c r="DQ168" s="56"/>
      <c r="DR168" s="56"/>
      <c r="DS168" s="56"/>
      <c r="DT168" s="56"/>
      <c r="DU168" s="56"/>
      <c r="DV168" s="56"/>
      <c r="DW168" s="56"/>
      <c r="DX168" s="56"/>
      <c r="DY168" s="56"/>
      <c r="DZ168" s="56"/>
      <c r="EA168" s="56"/>
      <c r="EB168" s="56"/>
      <c r="EC168" s="56"/>
      <c r="ED168" s="56"/>
      <c r="EE168" s="56"/>
      <c r="EF168" s="56"/>
      <c r="EG168" s="56"/>
      <c r="EH168" s="56"/>
      <c r="EI168" s="56"/>
      <c r="EJ168" s="56"/>
      <c r="EK168" s="56"/>
      <c r="EL168" s="56"/>
      <c r="EM168" s="56"/>
      <c r="EN168" s="56"/>
      <c r="EO168" s="56"/>
      <c r="EP168" s="56"/>
      <c r="EQ168" s="56"/>
      <c r="ER168" s="56"/>
      <c r="ES168" s="56"/>
      <c r="ET168" s="56"/>
      <c r="EU168" s="56"/>
      <c r="EV168" s="56"/>
      <c r="EW168" s="56"/>
      <c r="EX168" s="56"/>
      <c r="EY168" s="56"/>
      <c r="EZ168" s="56"/>
      <c r="FA168" s="56"/>
      <c r="FB168" s="56"/>
      <c r="FC168" s="56"/>
      <c r="FD168" s="56"/>
      <c r="FE168" s="56"/>
      <c r="FF168" s="56"/>
      <c r="FG168" s="56"/>
      <c r="FH168" s="56"/>
      <c r="FI168" s="56"/>
      <c r="FJ168" s="56"/>
      <c r="FK168" s="56"/>
      <c r="FL168" s="56"/>
      <c r="FM168" s="56"/>
      <c r="FN168" s="56"/>
      <c r="FO168" s="56"/>
      <c r="FP168" s="56"/>
      <c r="FQ168" s="56"/>
      <c r="FR168" s="56"/>
      <c r="FS168" s="56"/>
      <c r="FT168" s="56"/>
      <c r="FU168" s="56"/>
      <c r="FV168" s="56"/>
      <c r="FW168" s="56"/>
      <c r="FX168" s="56"/>
      <c r="FY168" s="56"/>
      <c r="FZ168" s="56"/>
      <c r="GA168" s="56"/>
      <c r="GB168" s="56"/>
      <c r="GC168" s="56"/>
      <c r="GD168" s="56"/>
      <c r="GE168" s="56"/>
      <c r="GF168" s="56"/>
      <c r="GG168" s="56"/>
      <c r="GH168" s="56"/>
      <c r="GI168" s="56"/>
      <c r="GJ168" s="56"/>
      <c r="GK168" s="56"/>
      <c r="GL168" s="56"/>
      <c r="GM168" s="56"/>
      <c r="GN168" s="56"/>
      <c r="GO168" s="56"/>
      <c r="GP168" s="56"/>
      <c r="GQ168" s="56"/>
      <c r="GR168" s="56"/>
      <c r="GS168" s="56"/>
      <c r="GT168" s="56"/>
      <c r="GU168" s="56"/>
      <c r="GV168" s="56"/>
      <c r="GW168" s="56"/>
      <c r="GX168" s="56"/>
      <c r="GY168" s="56"/>
      <c r="GZ168" s="56"/>
      <c r="HA168" s="56"/>
      <c r="HB168" s="56"/>
      <c r="HC168" s="56"/>
      <c r="HD168" s="56"/>
      <c r="HE168" s="56"/>
      <c r="HF168" s="56"/>
      <c r="HG168" s="56"/>
      <c r="HH168" s="56"/>
      <c r="HI168" s="56"/>
      <c r="HJ168" s="56"/>
    </row>
    <row r="169" spans="1:218" ht="15.75" customHeight="1" x14ac:dyDescent="0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  <c r="CZ169" s="56"/>
      <c r="DA169" s="56"/>
      <c r="DB169" s="56"/>
      <c r="DC169" s="56"/>
      <c r="DD169" s="56"/>
      <c r="DE169" s="56"/>
      <c r="DF169" s="56"/>
      <c r="DG169" s="56"/>
      <c r="DH169" s="56"/>
      <c r="DI169" s="56"/>
      <c r="DJ169" s="56"/>
      <c r="DK169" s="56"/>
      <c r="DL169" s="56"/>
      <c r="DM169" s="56"/>
      <c r="DN169" s="56"/>
      <c r="DO169" s="56"/>
      <c r="DP169" s="56"/>
      <c r="DQ169" s="56"/>
      <c r="DR169" s="56"/>
      <c r="DS169" s="56"/>
      <c r="DT169" s="56"/>
      <c r="DU169" s="56"/>
      <c r="DV169" s="56"/>
      <c r="DW169" s="56"/>
      <c r="DX169" s="56"/>
      <c r="DY169" s="56"/>
      <c r="DZ169" s="56"/>
      <c r="EA169" s="56"/>
      <c r="EB169" s="56"/>
      <c r="EC169" s="56"/>
      <c r="ED169" s="56"/>
      <c r="EE169" s="56"/>
      <c r="EF169" s="56"/>
      <c r="EG169" s="56"/>
      <c r="EH169" s="56"/>
      <c r="EI169" s="56"/>
      <c r="EJ169" s="56"/>
      <c r="EK169" s="56"/>
      <c r="EL169" s="56"/>
      <c r="EM169" s="56"/>
      <c r="EN169" s="56"/>
      <c r="EO169" s="56"/>
      <c r="EP169" s="56"/>
      <c r="EQ169" s="56"/>
      <c r="ER169" s="56"/>
      <c r="ES169" s="56"/>
      <c r="ET169" s="56"/>
      <c r="EU169" s="56"/>
      <c r="EV169" s="56"/>
      <c r="EW169" s="56"/>
      <c r="EX169" s="56"/>
      <c r="EY169" s="56"/>
      <c r="EZ169" s="56"/>
      <c r="FA169" s="56"/>
      <c r="FB169" s="56"/>
      <c r="FC169" s="56"/>
      <c r="FD169" s="56"/>
      <c r="FE169" s="56"/>
      <c r="FF169" s="56"/>
      <c r="FG169" s="56"/>
      <c r="FH169" s="56"/>
      <c r="FI169" s="56"/>
      <c r="FJ169" s="56"/>
      <c r="FK169" s="56"/>
      <c r="FL169" s="56"/>
      <c r="FM169" s="56"/>
      <c r="FN169" s="56"/>
      <c r="FO169" s="56"/>
      <c r="FP169" s="56"/>
      <c r="FQ169" s="56"/>
      <c r="FR169" s="56"/>
      <c r="FS169" s="56"/>
      <c r="FT169" s="56"/>
      <c r="FU169" s="56"/>
      <c r="FV169" s="56"/>
      <c r="FW169" s="56"/>
      <c r="FX169" s="56"/>
      <c r="FY169" s="56"/>
      <c r="FZ169" s="56"/>
      <c r="GA169" s="56"/>
      <c r="GB169" s="56"/>
      <c r="GC169" s="56"/>
      <c r="GD169" s="56"/>
      <c r="GE169" s="56"/>
      <c r="GF169" s="56"/>
      <c r="GG169" s="56"/>
      <c r="GH169" s="56"/>
      <c r="GI169" s="56"/>
      <c r="GJ169" s="56"/>
      <c r="GK169" s="56"/>
      <c r="GL169" s="56"/>
      <c r="GM169" s="56"/>
      <c r="GN169" s="56"/>
      <c r="GO169" s="56"/>
      <c r="GP169" s="56"/>
      <c r="GQ169" s="56"/>
      <c r="GR169" s="56"/>
      <c r="GS169" s="56"/>
      <c r="GT169" s="56"/>
      <c r="GU169" s="56"/>
      <c r="GV169" s="56"/>
      <c r="GW169" s="56"/>
      <c r="GX169" s="56"/>
      <c r="GY169" s="56"/>
      <c r="GZ169" s="56"/>
      <c r="HA169" s="56"/>
      <c r="HB169" s="56"/>
      <c r="HC169" s="56"/>
      <c r="HD169" s="56"/>
      <c r="HE169" s="56"/>
      <c r="HF169" s="56"/>
      <c r="HG169" s="56"/>
      <c r="HH169" s="56"/>
      <c r="HI169" s="56"/>
      <c r="HJ169" s="56"/>
    </row>
    <row r="170" spans="1:218" ht="15.75" customHeight="1" x14ac:dyDescent="0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6"/>
      <c r="CV170" s="56"/>
      <c r="CW170" s="56"/>
      <c r="CX170" s="56"/>
      <c r="CY170" s="56"/>
      <c r="CZ170" s="56"/>
      <c r="DA170" s="56"/>
      <c r="DB170" s="56"/>
      <c r="DC170" s="56"/>
      <c r="DD170" s="56"/>
      <c r="DE170" s="56"/>
      <c r="DF170" s="56"/>
      <c r="DG170" s="56"/>
      <c r="DH170" s="56"/>
      <c r="DI170" s="56"/>
      <c r="DJ170" s="56"/>
      <c r="DK170" s="56"/>
      <c r="DL170" s="56"/>
      <c r="DM170" s="56"/>
      <c r="DN170" s="56"/>
      <c r="DO170" s="56"/>
      <c r="DP170" s="56"/>
      <c r="DQ170" s="56"/>
      <c r="DR170" s="56"/>
      <c r="DS170" s="56"/>
      <c r="DT170" s="56"/>
      <c r="DU170" s="56"/>
      <c r="DV170" s="56"/>
      <c r="DW170" s="56"/>
      <c r="DX170" s="56"/>
      <c r="DY170" s="56"/>
      <c r="DZ170" s="56"/>
      <c r="EA170" s="56"/>
      <c r="EB170" s="56"/>
      <c r="EC170" s="56"/>
      <c r="ED170" s="56"/>
      <c r="EE170" s="56"/>
      <c r="EF170" s="56"/>
      <c r="EG170" s="56"/>
      <c r="EH170" s="56"/>
      <c r="EI170" s="56"/>
      <c r="EJ170" s="56"/>
      <c r="EK170" s="56"/>
      <c r="EL170" s="56"/>
      <c r="EM170" s="56"/>
      <c r="EN170" s="56"/>
      <c r="EO170" s="56"/>
      <c r="EP170" s="56"/>
      <c r="EQ170" s="56"/>
      <c r="ER170" s="56"/>
      <c r="ES170" s="56"/>
      <c r="ET170" s="56"/>
      <c r="EU170" s="56"/>
      <c r="EV170" s="56"/>
      <c r="EW170" s="56"/>
      <c r="EX170" s="56"/>
      <c r="EY170" s="56"/>
      <c r="EZ170" s="56"/>
      <c r="FA170" s="56"/>
      <c r="FB170" s="56"/>
      <c r="FC170" s="56"/>
      <c r="FD170" s="56"/>
      <c r="FE170" s="56"/>
      <c r="FF170" s="56"/>
      <c r="FG170" s="56"/>
      <c r="FH170" s="56"/>
      <c r="FI170" s="56"/>
      <c r="FJ170" s="56"/>
      <c r="FK170" s="56"/>
      <c r="FL170" s="56"/>
      <c r="FM170" s="56"/>
      <c r="FN170" s="56"/>
      <c r="FO170" s="56"/>
      <c r="FP170" s="56"/>
      <c r="FQ170" s="56"/>
      <c r="FR170" s="56"/>
      <c r="FS170" s="56"/>
      <c r="FT170" s="56"/>
      <c r="FU170" s="56"/>
      <c r="FV170" s="56"/>
      <c r="FW170" s="56"/>
      <c r="FX170" s="56"/>
      <c r="FY170" s="56"/>
      <c r="FZ170" s="56"/>
      <c r="GA170" s="56"/>
      <c r="GB170" s="56"/>
      <c r="GC170" s="56"/>
      <c r="GD170" s="56"/>
      <c r="GE170" s="56"/>
      <c r="GF170" s="56"/>
      <c r="GG170" s="56"/>
      <c r="GH170" s="56"/>
      <c r="GI170" s="56"/>
      <c r="GJ170" s="56"/>
      <c r="GK170" s="56"/>
      <c r="GL170" s="56"/>
      <c r="GM170" s="56"/>
      <c r="GN170" s="56"/>
      <c r="GO170" s="56"/>
      <c r="GP170" s="56"/>
      <c r="GQ170" s="56"/>
      <c r="GR170" s="56"/>
      <c r="GS170" s="56"/>
      <c r="GT170" s="56"/>
      <c r="GU170" s="56"/>
      <c r="GV170" s="56"/>
      <c r="GW170" s="56"/>
      <c r="GX170" s="56"/>
      <c r="GY170" s="56"/>
      <c r="GZ170" s="56"/>
      <c r="HA170" s="56"/>
      <c r="HB170" s="56"/>
      <c r="HC170" s="56"/>
      <c r="HD170" s="56"/>
      <c r="HE170" s="56"/>
      <c r="HF170" s="56"/>
      <c r="HG170" s="56"/>
      <c r="HH170" s="56"/>
      <c r="HI170" s="56"/>
      <c r="HJ170" s="56"/>
    </row>
    <row r="171" spans="1:218" ht="15.75" customHeight="1" x14ac:dyDescent="0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  <c r="CS171" s="56"/>
      <c r="CT171" s="56"/>
      <c r="CU171" s="56"/>
      <c r="CV171" s="56"/>
      <c r="CW171" s="56"/>
      <c r="CX171" s="56"/>
      <c r="CY171" s="56"/>
      <c r="CZ171" s="56"/>
      <c r="DA171" s="56"/>
      <c r="DB171" s="56"/>
      <c r="DC171" s="56"/>
      <c r="DD171" s="56"/>
      <c r="DE171" s="56"/>
      <c r="DF171" s="56"/>
      <c r="DG171" s="56"/>
      <c r="DH171" s="56"/>
      <c r="DI171" s="56"/>
      <c r="DJ171" s="56"/>
      <c r="DK171" s="56"/>
      <c r="DL171" s="56"/>
      <c r="DM171" s="56"/>
      <c r="DN171" s="56"/>
      <c r="DO171" s="56"/>
      <c r="DP171" s="56"/>
      <c r="DQ171" s="56"/>
      <c r="DR171" s="56"/>
      <c r="DS171" s="56"/>
      <c r="DT171" s="56"/>
      <c r="DU171" s="56"/>
      <c r="DV171" s="56"/>
      <c r="DW171" s="56"/>
      <c r="DX171" s="56"/>
      <c r="DY171" s="56"/>
      <c r="DZ171" s="56"/>
      <c r="EA171" s="56"/>
      <c r="EB171" s="56"/>
      <c r="EC171" s="56"/>
      <c r="ED171" s="56"/>
      <c r="EE171" s="56"/>
      <c r="EF171" s="56"/>
      <c r="EG171" s="56"/>
      <c r="EH171" s="56"/>
      <c r="EI171" s="56"/>
      <c r="EJ171" s="56"/>
      <c r="EK171" s="56"/>
      <c r="EL171" s="56"/>
      <c r="EM171" s="56"/>
      <c r="EN171" s="56"/>
      <c r="EO171" s="56"/>
      <c r="EP171" s="56"/>
      <c r="EQ171" s="56"/>
      <c r="ER171" s="56"/>
      <c r="ES171" s="56"/>
      <c r="ET171" s="56"/>
      <c r="EU171" s="56"/>
      <c r="EV171" s="56"/>
      <c r="EW171" s="56"/>
      <c r="EX171" s="56"/>
      <c r="EY171" s="56"/>
      <c r="EZ171" s="56"/>
      <c r="FA171" s="56"/>
      <c r="FB171" s="56"/>
      <c r="FC171" s="56"/>
      <c r="FD171" s="56"/>
      <c r="FE171" s="56"/>
      <c r="FF171" s="56"/>
      <c r="FG171" s="56"/>
      <c r="FH171" s="56"/>
      <c r="FI171" s="56"/>
      <c r="FJ171" s="56"/>
      <c r="FK171" s="56"/>
      <c r="FL171" s="56"/>
      <c r="FM171" s="56"/>
      <c r="FN171" s="56"/>
      <c r="FO171" s="56"/>
      <c r="FP171" s="56"/>
      <c r="FQ171" s="56"/>
      <c r="FR171" s="56"/>
      <c r="FS171" s="56"/>
      <c r="FT171" s="56"/>
      <c r="FU171" s="56"/>
      <c r="FV171" s="56"/>
      <c r="FW171" s="56"/>
      <c r="FX171" s="56"/>
      <c r="FY171" s="56"/>
      <c r="FZ171" s="56"/>
      <c r="GA171" s="56"/>
      <c r="GB171" s="56"/>
      <c r="GC171" s="56"/>
      <c r="GD171" s="56"/>
      <c r="GE171" s="56"/>
      <c r="GF171" s="56"/>
      <c r="GG171" s="56"/>
      <c r="GH171" s="56"/>
      <c r="GI171" s="56"/>
      <c r="GJ171" s="56"/>
      <c r="GK171" s="56"/>
      <c r="GL171" s="56"/>
      <c r="GM171" s="56"/>
      <c r="GN171" s="56"/>
      <c r="GO171" s="56"/>
      <c r="GP171" s="56"/>
      <c r="GQ171" s="56"/>
      <c r="GR171" s="56"/>
      <c r="GS171" s="56"/>
      <c r="GT171" s="56"/>
      <c r="GU171" s="56"/>
      <c r="GV171" s="56"/>
      <c r="GW171" s="56"/>
      <c r="GX171" s="56"/>
      <c r="GY171" s="56"/>
      <c r="GZ171" s="56"/>
      <c r="HA171" s="56"/>
      <c r="HB171" s="56"/>
      <c r="HC171" s="56"/>
      <c r="HD171" s="56"/>
      <c r="HE171" s="56"/>
      <c r="HF171" s="56"/>
      <c r="HG171" s="56"/>
      <c r="HH171" s="56"/>
      <c r="HI171" s="56"/>
      <c r="HJ171" s="56"/>
    </row>
    <row r="172" spans="1:218" ht="15.75" customHeight="1" x14ac:dyDescent="0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  <c r="CS172" s="56"/>
      <c r="CT172" s="56"/>
      <c r="CU172" s="56"/>
      <c r="CV172" s="56"/>
      <c r="CW172" s="56"/>
      <c r="CX172" s="56"/>
      <c r="CY172" s="56"/>
      <c r="CZ172" s="56"/>
      <c r="DA172" s="56"/>
      <c r="DB172" s="56"/>
      <c r="DC172" s="56"/>
      <c r="DD172" s="56"/>
      <c r="DE172" s="56"/>
      <c r="DF172" s="56"/>
      <c r="DG172" s="56"/>
      <c r="DH172" s="56"/>
      <c r="DI172" s="56"/>
      <c r="DJ172" s="56"/>
      <c r="DK172" s="56"/>
      <c r="DL172" s="56"/>
      <c r="DM172" s="56"/>
      <c r="DN172" s="56"/>
      <c r="DO172" s="56"/>
      <c r="DP172" s="56"/>
      <c r="DQ172" s="56"/>
      <c r="DR172" s="56"/>
      <c r="DS172" s="56"/>
      <c r="DT172" s="56"/>
      <c r="DU172" s="56"/>
      <c r="DV172" s="56"/>
      <c r="DW172" s="56"/>
      <c r="DX172" s="56"/>
      <c r="DY172" s="56"/>
      <c r="DZ172" s="56"/>
      <c r="EA172" s="56"/>
      <c r="EB172" s="56"/>
      <c r="EC172" s="56"/>
      <c r="ED172" s="56"/>
      <c r="EE172" s="56"/>
      <c r="EF172" s="56"/>
      <c r="EG172" s="56"/>
      <c r="EH172" s="56"/>
      <c r="EI172" s="56"/>
      <c r="EJ172" s="56"/>
      <c r="EK172" s="56"/>
      <c r="EL172" s="56"/>
      <c r="EM172" s="56"/>
      <c r="EN172" s="56"/>
      <c r="EO172" s="56"/>
      <c r="EP172" s="56"/>
      <c r="EQ172" s="56"/>
      <c r="ER172" s="56"/>
      <c r="ES172" s="56"/>
      <c r="ET172" s="56"/>
      <c r="EU172" s="56"/>
      <c r="EV172" s="56"/>
      <c r="EW172" s="56"/>
      <c r="EX172" s="56"/>
      <c r="EY172" s="56"/>
      <c r="EZ172" s="56"/>
      <c r="FA172" s="56"/>
      <c r="FB172" s="56"/>
      <c r="FC172" s="56"/>
      <c r="FD172" s="56"/>
      <c r="FE172" s="56"/>
      <c r="FF172" s="56"/>
      <c r="FG172" s="56"/>
      <c r="FH172" s="56"/>
      <c r="FI172" s="56"/>
      <c r="FJ172" s="56"/>
      <c r="FK172" s="56"/>
      <c r="FL172" s="56"/>
      <c r="FM172" s="56"/>
      <c r="FN172" s="56"/>
      <c r="FO172" s="56"/>
      <c r="FP172" s="56"/>
      <c r="FQ172" s="56"/>
      <c r="FR172" s="56"/>
      <c r="FS172" s="56"/>
      <c r="FT172" s="56"/>
      <c r="FU172" s="56"/>
      <c r="FV172" s="56"/>
      <c r="FW172" s="56"/>
      <c r="FX172" s="56"/>
      <c r="FY172" s="56"/>
      <c r="FZ172" s="56"/>
      <c r="GA172" s="56"/>
      <c r="GB172" s="56"/>
      <c r="GC172" s="56"/>
      <c r="GD172" s="56"/>
      <c r="GE172" s="56"/>
      <c r="GF172" s="56"/>
      <c r="GG172" s="56"/>
      <c r="GH172" s="56"/>
      <c r="GI172" s="56"/>
      <c r="GJ172" s="56"/>
      <c r="GK172" s="56"/>
      <c r="GL172" s="56"/>
      <c r="GM172" s="56"/>
      <c r="GN172" s="56"/>
      <c r="GO172" s="56"/>
      <c r="GP172" s="56"/>
      <c r="GQ172" s="56"/>
      <c r="GR172" s="56"/>
      <c r="GS172" s="56"/>
      <c r="GT172" s="56"/>
      <c r="GU172" s="56"/>
      <c r="GV172" s="56"/>
      <c r="GW172" s="56"/>
      <c r="GX172" s="56"/>
      <c r="GY172" s="56"/>
      <c r="GZ172" s="56"/>
      <c r="HA172" s="56"/>
      <c r="HB172" s="56"/>
      <c r="HC172" s="56"/>
      <c r="HD172" s="56"/>
      <c r="HE172" s="56"/>
      <c r="HF172" s="56"/>
      <c r="HG172" s="56"/>
      <c r="HH172" s="56"/>
      <c r="HI172" s="56"/>
      <c r="HJ172" s="56"/>
    </row>
    <row r="173" spans="1:218" ht="15.75" customHeight="1" x14ac:dyDescent="0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6"/>
      <c r="CV173" s="56"/>
      <c r="CW173" s="56"/>
      <c r="CX173" s="56"/>
      <c r="CY173" s="56"/>
      <c r="CZ173" s="56"/>
      <c r="DA173" s="56"/>
      <c r="DB173" s="56"/>
      <c r="DC173" s="56"/>
      <c r="DD173" s="56"/>
      <c r="DE173" s="56"/>
      <c r="DF173" s="56"/>
      <c r="DG173" s="56"/>
      <c r="DH173" s="56"/>
      <c r="DI173" s="56"/>
      <c r="DJ173" s="56"/>
      <c r="DK173" s="56"/>
      <c r="DL173" s="56"/>
      <c r="DM173" s="56"/>
      <c r="DN173" s="56"/>
      <c r="DO173" s="56"/>
      <c r="DP173" s="56"/>
      <c r="DQ173" s="56"/>
      <c r="DR173" s="56"/>
      <c r="DS173" s="56"/>
      <c r="DT173" s="56"/>
      <c r="DU173" s="56"/>
      <c r="DV173" s="56"/>
      <c r="DW173" s="56"/>
      <c r="DX173" s="56"/>
      <c r="DY173" s="56"/>
      <c r="DZ173" s="56"/>
      <c r="EA173" s="56"/>
      <c r="EB173" s="56"/>
      <c r="EC173" s="56"/>
      <c r="ED173" s="56"/>
      <c r="EE173" s="56"/>
      <c r="EF173" s="56"/>
      <c r="EG173" s="56"/>
      <c r="EH173" s="56"/>
      <c r="EI173" s="56"/>
      <c r="EJ173" s="56"/>
      <c r="EK173" s="56"/>
      <c r="EL173" s="56"/>
      <c r="EM173" s="56"/>
      <c r="EN173" s="56"/>
      <c r="EO173" s="56"/>
      <c r="EP173" s="56"/>
      <c r="EQ173" s="56"/>
      <c r="ER173" s="56"/>
      <c r="ES173" s="56"/>
      <c r="ET173" s="56"/>
      <c r="EU173" s="56"/>
      <c r="EV173" s="56"/>
      <c r="EW173" s="56"/>
      <c r="EX173" s="56"/>
      <c r="EY173" s="56"/>
      <c r="EZ173" s="56"/>
      <c r="FA173" s="56"/>
      <c r="FB173" s="56"/>
      <c r="FC173" s="56"/>
      <c r="FD173" s="56"/>
      <c r="FE173" s="56"/>
      <c r="FF173" s="56"/>
      <c r="FG173" s="56"/>
      <c r="FH173" s="56"/>
      <c r="FI173" s="56"/>
      <c r="FJ173" s="56"/>
      <c r="FK173" s="56"/>
      <c r="FL173" s="56"/>
      <c r="FM173" s="56"/>
      <c r="FN173" s="56"/>
      <c r="FO173" s="56"/>
      <c r="FP173" s="56"/>
      <c r="FQ173" s="56"/>
      <c r="FR173" s="56"/>
      <c r="FS173" s="56"/>
      <c r="FT173" s="56"/>
      <c r="FU173" s="56"/>
      <c r="FV173" s="56"/>
      <c r="FW173" s="56"/>
      <c r="FX173" s="56"/>
      <c r="FY173" s="56"/>
      <c r="FZ173" s="56"/>
      <c r="GA173" s="56"/>
      <c r="GB173" s="56"/>
      <c r="GC173" s="56"/>
      <c r="GD173" s="56"/>
      <c r="GE173" s="56"/>
      <c r="GF173" s="56"/>
      <c r="GG173" s="56"/>
      <c r="GH173" s="56"/>
      <c r="GI173" s="56"/>
      <c r="GJ173" s="56"/>
      <c r="GK173" s="56"/>
      <c r="GL173" s="56"/>
      <c r="GM173" s="56"/>
      <c r="GN173" s="56"/>
      <c r="GO173" s="56"/>
      <c r="GP173" s="56"/>
      <c r="GQ173" s="56"/>
      <c r="GR173" s="56"/>
      <c r="GS173" s="56"/>
      <c r="GT173" s="56"/>
      <c r="GU173" s="56"/>
      <c r="GV173" s="56"/>
      <c r="GW173" s="56"/>
      <c r="GX173" s="56"/>
      <c r="GY173" s="56"/>
      <c r="GZ173" s="56"/>
      <c r="HA173" s="56"/>
      <c r="HB173" s="56"/>
      <c r="HC173" s="56"/>
      <c r="HD173" s="56"/>
      <c r="HE173" s="56"/>
      <c r="HF173" s="56"/>
      <c r="HG173" s="56"/>
      <c r="HH173" s="56"/>
      <c r="HI173" s="56"/>
      <c r="HJ173" s="56"/>
    </row>
    <row r="174" spans="1:218" ht="15.75" customHeight="1" x14ac:dyDescent="0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  <c r="CZ174" s="56"/>
      <c r="DA174" s="56"/>
      <c r="DB174" s="56"/>
      <c r="DC174" s="56"/>
      <c r="DD174" s="56"/>
      <c r="DE174" s="56"/>
      <c r="DF174" s="56"/>
      <c r="DG174" s="56"/>
      <c r="DH174" s="56"/>
      <c r="DI174" s="56"/>
      <c r="DJ174" s="56"/>
      <c r="DK174" s="56"/>
      <c r="DL174" s="56"/>
      <c r="DM174" s="56"/>
      <c r="DN174" s="56"/>
      <c r="DO174" s="56"/>
      <c r="DP174" s="56"/>
      <c r="DQ174" s="56"/>
      <c r="DR174" s="56"/>
      <c r="DS174" s="56"/>
      <c r="DT174" s="56"/>
      <c r="DU174" s="56"/>
      <c r="DV174" s="56"/>
      <c r="DW174" s="56"/>
      <c r="DX174" s="56"/>
      <c r="DY174" s="56"/>
      <c r="DZ174" s="56"/>
      <c r="EA174" s="56"/>
      <c r="EB174" s="56"/>
      <c r="EC174" s="56"/>
      <c r="ED174" s="56"/>
      <c r="EE174" s="56"/>
      <c r="EF174" s="56"/>
      <c r="EG174" s="56"/>
      <c r="EH174" s="56"/>
      <c r="EI174" s="56"/>
      <c r="EJ174" s="56"/>
      <c r="EK174" s="56"/>
      <c r="EL174" s="56"/>
      <c r="EM174" s="56"/>
      <c r="EN174" s="56"/>
      <c r="EO174" s="56"/>
      <c r="EP174" s="56"/>
      <c r="EQ174" s="56"/>
      <c r="ER174" s="56"/>
      <c r="ES174" s="56"/>
      <c r="ET174" s="56"/>
      <c r="EU174" s="56"/>
      <c r="EV174" s="56"/>
      <c r="EW174" s="56"/>
      <c r="EX174" s="56"/>
      <c r="EY174" s="56"/>
      <c r="EZ174" s="56"/>
      <c r="FA174" s="56"/>
      <c r="FB174" s="56"/>
      <c r="FC174" s="56"/>
      <c r="FD174" s="56"/>
      <c r="FE174" s="56"/>
      <c r="FF174" s="56"/>
      <c r="FG174" s="56"/>
      <c r="FH174" s="56"/>
      <c r="FI174" s="56"/>
      <c r="FJ174" s="56"/>
      <c r="FK174" s="56"/>
      <c r="FL174" s="56"/>
      <c r="FM174" s="56"/>
      <c r="FN174" s="56"/>
      <c r="FO174" s="56"/>
      <c r="FP174" s="56"/>
      <c r="FQ174" s="56"/>
      <c r="FR174" s="56"/>
      <c r="FS174" s="56"/>
      <c r="FT174" s="56"/>
      <c r="FU174" s="56"/>
      <c r="FV174" s="56"/>
      <c r="FW174" s="56"/>
      <c r="FX174" s="56"/>
      <c r="FY174" s="56"/>
      <c r="FZ174" s="56"/>
      <c r="GA174" s="56"/>
      <c r="GB174" s="56"/>
      <c r="GC174" s="56"/>
      <c r="GD174" s="56"/>
      <c r="GE174" s="56"/>
      <c r="GF174" s="56"/>
      <c r="GG174" s="56"/>
      <c r="GH174" s="56"/>
      <c r="GI174" s="56"/>
      <c r="GJ174" s="56"/>
      <c r="GK174" s="56"/>
      <c r="GL174" s="56"/>
      <c r="GM174" s="56"/>
      <c r="GN174" s="56"/>
      <c r="GO174" s="56"/>
      <c r="GP174" s="56"/>
      <c r="GQ174" s="56"/>
      <c r="GR174" s="56"/>
      <c r="GS174" s="56"/>
      <c r="GT174" s="56"/>
      <c r="GU174" s="56"/>
      <c r="GV174" s="56"/>
      <c r="GW174" s="56"/>
      <c r="GX174" s="56"/>
      <c r="GY174" s="56"/>
      <c r="GZ174" s="56"/>
      <c r="HA174" s="56"/>
      <c r="HB174" s="56"/>
      <c r="HC174" s="56"/>
      <c r="HD174" s="56"/>
      <c r="HE174" s="56"/>
      <c r="HF174" s="56"/>
      <c r="HG174" s="56"/>
      <c r="HH174" s="56"/>
      <c r="HI174" s="56"/>
      <c r="HJ174" s="56"/>
    </row>
    <row r="175" spans="1:218" ht="15.75" customHeight="1" x14ac:dyDescent="0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  <c r="CZ175" s="56"/>
      <c r="DA175" s="56"/>
      <c r="DB175" s="56"/>
      <c r="DC175" s="56"/>
      <c r="DD175" s="56"/>
      <c r="DE175" s="56"/>
      <c r="DF175" s="56"/>
      <c r="DG175" s="56"/>
      <c r="DH175" s="56"/>
      <c r="DI175" s="56"/>
      <c r="DJ175" s="56"/>
      <c r="DK175" s="56"/>
      <c r="DL175" s="56"/>
      <c r="DM175" s="56"/>
      <c r="DN175" s="56"/>
      <c r="DO175" s="56"/>
      <c r="DP175" s="56"/>
      <c r="DQ175" s="56"/>
      <c r="DR175" s="56"/>
      <c r="DS175" s="56"/>
      <c r="DT175" s="56"/>
      <c r="DU175" s="56"/>
      <c r="DV175" s="56"/>
      <c r="DW175" s="56"/>
      <c r="DX175" s="56"/>
      <c r="DY175" s="56"/>
      <c r="DZ175" s="56"/>
      <c r="EA175" s="56"/>
      <c r="EB175" s="56"/>
      <c r="EC175" s="56"/>
      <c r="ED175" s="56"/>
      <c r="EE175" s="56"/>
      <c r="EF175" s="56"/>
      <c r="EG175" s="56"/>
      <c r="EH175" s="56"/>
      <c r="EI175" s="56"/>
      <c r="EJ175" s="56"/>
      <c r="EK175" s="56"/>
      <c r="EL175" s="56"/>
      <c r="EM175" s="56"/>
      <c r="EN175" s="56"/>
      <c r="EO175" s="56"/>
      <c r="EP175" s="56"/>
      <c r="EQ175" s="56"/>
      <c r="ER175" s="56"/>
      <c r="ES175" s="56"/>
      <c r="ET175" s="56"/>
      <c r="EU175" s="56"/>
      <c r="EV175" s="56"/>
      <c r="EW175" s="56"/>
      <c r="EX175" s="56"/>
      <c r="EY175" s="56"/>
      <c r="EZ175" s="56"/>
      <c r="FA175" s="56"/>
      <c r="FB175" s="56"/>
      <c r="FC175" s="56"/>
      <c r="FD175" s="56"/>
      <c r="FE175" s="56"/>
      <c r="FF175" s="56"/>
      <c r="FG175" s="56"/>
      <c r="FH175" s="56"/>
      <c r="FI175" s="56"/>
      <c r="FJ175" s="56"/>
      <c r="FK175" s="56"/>
      <c r="FL175" s="56"/>
      <c r="FM175" s="56"/>
      <c r="FN175" s="56"/>
      <c r="FO175" s="56"/>
      <c r="FP175" s="56"/>
      <c r="FQ175" s="56"/>
      <c r="FR175" s="56"/>
      <c r="FS175" s="56"/>
      <c r="FT175" s="56"/>
      <c r="FU175" s="56"/>
      <c r="FV175" s="56"/>
      <c r="FW175" s="56"/>
      <c r="FX175" s="56"/>
      <c r="FY175" s="56"/>
      <c r="FZ175" s="56"/>
      <c r="GA175" s="56"/>
      <c r="GB175" s="56"/>
      <c r="GC175" s="56"/>
      <c r="GD175" s="56"/>
      <c r="GE175" s="56"/>
      <c r="GF175" s="56"/>
      <c r="GG175" s="56"/>
      <c r="GH175" s="56"/>
      <c r="GI175" s="56"/>
      <c r="GJ175" s="56"/>
      <c r="GK175" s="56"/>
      <c r="GL175" s="56"/>
      <c r="GM175" s="56"/>
      <c r="GN175" s="56"/>
      <c r="GO175" s="56"/>
      <c r="GP175" s="56"/>
      <c r="GQ175" s="56"/>
      <c r="GR175" s="56"/>
      <c r="GS175" s="56"/>
      <c r="GT175" s="56"/>
      <c r="GU175" s="56"/>
      <c r="GV175" s="56"/>
      <c r="GW175" s="56"/>
      <c r="GX175" s="56"/>
      <c r="GY175" s="56"/>
      <c r="GZ175" s="56"/>
      <c r="HA175" s="56"/>
      <c r="HB175" s="56"/>
      <c r="HC175" s="56"/>
      <c r="HD175" s="56"/>
      <c r="HE175" s="56"/>
      <c r="HF175" s="56"/>
      <c r="HG175" s="56"/>
      <c r="HH175" s="56"/>
      <c r="HI175" s="56"/>
      <c r="HJ175" s="56"/>
    </row>
    <row r="176" spans="1:218" ht="15.75" customHeight="1" x14ac:dyDescent="0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  <c r="CY176" s="56"/>
      <c r="CZ176" s="56"/>
      <c r="DA176" s="56"/>
      <c r="DB176" s="56"/>
      <c r="DC176" s="56"/>
      <c r="DD176" s="56"/>
      <c r="DE176" s="56"/>
      <c r="DF176" s="56"/>
      <c r="DG176" s="56"/>
      <c r="DH176" s="56"/>
      <c r="DI176" s="56"/>
      <c r="DJ176" s="56"/>
      <c r="DK176" s="56"/>
      <c r="DL176" s="56"/>
      <c r="DM176" s="56"/>
      <c r="DN176" s="56"/>
      <c r="DO176" s="56"/>
      <c r="DP176" s="56"/>
      <c r="DQ176" s="56"/>
      <c r="DR176" s="56"/>
      <c r="DS176" s="56"/>
      <c r="DT176" s="56"/>
      <c r="DU176" s="56"/>
      <c r="DV176" s="56"/>
      <c r="DW176" s="56"/>
      <c r="DX176" s="56"/>
      <c r="DY176" s="56"/>
      <c r="DZ176" s="56"/>
      <c r="EA176" s="56"/>
      <c r="EB176" s="56"/>
      <c r="EC176" s="56"/>
      <c r="ED176" s="56"/>
      <c r="EE176" s="56"/>
      <c r="EF176" s="56"/>
      <c r="EG176" s="56"/>
      <c r="EH176" s="56"/>
      <c r="EI176" s="56"/>
      <c r="EJ176" s="56"/>
      <c r="EK176" s="56"/>
      <c r="EL176" s="56"/>
      <c r="EM176" s="56"/>
      <c r="EN176" s="56"/>
      <c r="EO176" s="56"/>
      <c r="EP176" s="56"/>
      <c r="EQ176" s="56"/>
      <c r="ER176" s="56"/>
      <c r="ES176" s="56"/>
      <c r="ET176" s="56"/>
      <c r="EU176" s="56"/>
      <c r="EV176" s="56"/>
      <c r="EW176" s="56"/>
      <c r="EX176" s="56"/>
      <c r="EY176" s="56"/>
      <c r="EZ176" s="56"/>
      <c r="FA176" s="56"/>
      <c r="FB176" s="56"/>
      <c r="FC176" s="56"/>
      <c r="FD176" s="56"/>
      <c r="FE176" s="56"/>
      <c r="FF176" s="56"/>
      <c r="FG176" s="56"/>
      <c r="FH176" s="56"/>
      <c r="FI176" s="56"/>
      <c r="FJ176" s="56"/>
      <c r="FK176" s="56"/>
      <c r="FL176" s="56"/>
      <c r="FM176" s="56"/>
      <c r="FN176" s="56"/>
      <c r="FO176" s="56"/>
      <c r="FP176" s="56"/>
      <c r="FQ176" s="56"/>
      <c r="FR176" s="56"/>
      <c r="FS176" s="56"/>
      <c r="FT176" s="56"/>
      <c r="FU176" s="56"/>
      <c r="FV176" s="56"/>
      <c r="FW176" s="56"/>
      <c r="FX176" s="56"/>
      <c r="FY176" s="56"/>
      <c r="FZ176" s="56"/>
      <c r="GA176" s="56"/>
      <c r="GB176" s="56"/>
      <c r="GC176" s="56"/>
      <c r="GD176" s="56"/>
      <c r="GE176" s="56"/>
      <c r="GF176" s="56"/>
      <c r="GG176" s="56"/>
      <c r="GH176" s="56"/>
      <c r="GI176" s="56"/>
      <c r="GJ176" s="56"/>
      <c r="GK176" s="56"/>
      <c r="GL176" s="56"/>
      <c r="GM176" s="56"/>
      <c r="GN176" s="56"/>
      <c r="GO176" s="56"/>
      <c r="GP176" s="56"/>
      <c r="GQ176" s="56"/>
      <c r="GR176" s="56"/>
      <c r="GS176" s="56"/>
      <c r="GT176" s="56"/>
      <c r="GU176" s="56"/>
      <c r="GV176" s="56"/>
      <c r="GW176" s="56"/>
      <c r="GX176" s="56"/>
      <c r="GY176" s="56"/>
      <c r="GZ176" s="56"/>
      <c r="HA176" s="56"/>
      <c r="HB176" s="56"/>
      <c r="HC176" s="56"/>
      <c r="HD176" s="56"/>
      <c r="HE176" s="56"/>
      <c r="HF176" s="56"/>
      <c r="HG176" s="56"/>
      <c r="HH176" s="56"/>
      <c r="HI176" s="56"/>
      <c r="HJ176" s="56"/>
    </row>
    <row r="177" spans="1:218" ht="15.75" customHeight="1" x14ac:dyDescent="0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  <c r="CS177" s="56"/>
      <c r="CT177" s="56"/>
      <c r="CU177" s="56"/>
      <c r="CV177" s="56"/>
      <c r="CW177" s="56"/>
      <c r="CX177" s="56"/>
      <c r="CY177" s="56"/>
      <c r="CZ177" s="56"/>
      <c r="DA177" s="56"/>
      <c r="DB177" s="56"/>
      <c r="DC177" s="56"/>
      <c r="DD177" s="56"/>
      <c r="DE177" s="56"/>
      <c r="DF177" s="56"/>
      <c r="DG177" s="56"/>
      <c r="DH177" s="56"/>
      <c r="DI177" s="56"/>
      <c r="DJ177" s="56"/>
      <c r="DK177" s="56"/>
      <c r="DL177" s="56"/>
      <c r="DM177" s="56"/>
      <c r="DN177" s="56"/>
      <c r="DO177" s="56"/>
      <c r="DP177" s="56"/>
      <c r="DQ177" s="56"/>
      <c r="DR177" s="56"/>
      <c r="DS177" s="56"/>
      <c r="DT177" s="56"/>
      <c r="DU177" s="56"/>
      <c r="DV177" s="56"/>
      <c r="DW177" s="56"/>
      <c r="DX177" s="56"/>
      <c r="DY177" s="56"/>
      <c r="DZ177" s="56"/>
      <c r="EA177" s="56"/>
      <c r="EB177" s="56"/>
      <c r="EC177" s="56"/>
      <c r="ED177" s="56"/>
      <c r="EE177" s="56"/>
      <c r="EF177" s="56"/>
      <c r="EG177" s="56"/>
      <c r="EH177" s="56"/>
      <c r="EI177" s="56"/>
      <c r="EJ177" s="56"/>
      <c r="EK177" s="56"/>
      <c r="EL177" s="56"/>
      <c r="EM177" s="56"/>
      <c r="EN177" s="56"/>
      <c r="EO177" s="56"/>
      <c r="EP177" s="56"/>
      <c r="EQ177" s="56"/>
      <c r="ER177" s="56"/>
      <c r="ES177" s="56"/>
      <c r="ET177" s="56"/>
      <c r="EU177" s="56"/>
      <c r="EV177" s="56"/>
      <c r="EW177" s="56"/>
      <c r="EX177" s="56"/>
      <c r="EY177" s="56"/>
      <c r="EZ177" s="56"/>
      <c r="FA177" s="56"/>
      <c r="FB177" s="56"/>
      <c r="FC177" s="56"/>
      <c r="FD177" s="56"/>
      <c r="FE177" s="56"/>
      <c r="FF177" s="56"/>
      <c r="FG177" s="56"/>
      <c r="FH177" s="56"/>
      <c r="FI177" s="56"/>
      <c r="FJ177" s="56"/>
      <c r="FK177" s="56"/>
      <c r="FL177" s="56"/>
      <c r="FM177" s="56"/>
      <c r="FN177" s="56"/>
      <c r="FO177" s="56"/>
      <c r="FP177" s="56"/>
      <c r="FQ177" s="56"/>
      <c r="FR177" s="56"/>
      <c r="FS177" s="56"/>
      <c r="FT177" s="56"/>
      <c r="FU177" s="56"/>
      <c r="FV177" s="56"/>
      <c r="FW177" s="56"/>
      <c r="FX177" s="56"/>
      <c r="FY177" s="56"/>
      <c r="FZ177" s="56"/>
      <c r="GA177" s="56"/>
      <c r="GB177" s="56"/>
      <c r="GC177" s="56"/>
      <c r="GD177" s="56"/>
      <c r="GE177" s="56"/>
      <c r="GF177" s="56"/>
      <c r="GG177" s="56"/>
      <c r="GH177" s="56"/>
      <c r="GI177" s="56"/>
      <c r="GJ177" s="56"/>
      <c r="GK177" s="56"/>
      <c r="GL177" s="56"/>
      <c r="GM177" s="56"/>
      <c r="GN177" s="56"/>
      <c r="GO177" s="56"/>
      <c r="GP177" s="56"/>
      <c r="GQ177" s="56"/>
      <c r="GR177" s="56"/>
      <c r="GS177" s="56"/>
      <c r="GT177" s="56"/>
      <c r="GU177" s="56"/>
      <c r="GV177" s="56"/>
      <c r="GW177" s="56"/>
      <c r="GX177" s="56"/>
      <c r="GY177" s="56"/>
      <c r="GZ177" s="56"/>
      <c r="HA177" s="56"/>
      <c r="HB177" s="56"/>
      <c r="HC177" s="56"/>
      <c r="HD177" s="56"/>
      <c r="HE177" s="56"/>
      <c r="HF177" s="56"/>
      <c r="HG177" s="56"/>
      <c r="HH177" s="56"/>
      <c r="HI177" s="56"/>
      <c r="HJ177" s="56"/>
    </row>
    <row r="178" spans="1:218" ht="15.75" customHeight="1" x14ac:dyDescent="0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56"/>
      <c r="CP178" s="56"/>
      <c r="CQ178" s="56"/>
      <c r="CR178" s="56"/>
      <c r="CS178" s="56"/>
      <c r="CT178" s="56"/>
      <c r="CU178" s="56"/>
      <c r="CV178" s="56"/>
      <c r="CW178" s="56"/>
      <c r="CX178" s="56"/>
      <c r="CY178" s="56"/>
      <c r="CZ178" s="56"/>
      <c r="DA178" s="56"/>
      <c r="DB178" s="56"/>
      <c r="DC178" s="56"/>
      <c r="DD178" s="56"/>
      <c r="DE178" s="56"/>
      <c r="DF178" s="56"/>
      <c r="DG178" s="56"/>
      <c r="DH178" s="56"/>
      <c r="DI178" s="56"/>
      <c r="DJ178" s="56"/>
      <c r="DK178" s="56"/>
      <c r="DL178" s="56"/>
      <c r="DM178" s="56"/>
      <c r="DN178" s="56"/>
      <c r="DO178" s="56"/>
      <c r="DP178" s="56"/>
      <c r="DQ178" s="56"/>
      <c r="DR178" s="56"/>
      <c r="DS178" s="56"/>
      <c r="DT178" s="56"/>
      <c r="DU178" s="56"/>
      <c r="DV178" s="56"/>
      <c r="DW178" s="56"/>
      <c r="DX178" s="56"/>
      <c r="DY178" s="56"/>
      <c r="DZ178" s="56"/>
      <c r="EA178" s="56"/>
      <c r="EB178" s="56"/>
      <c r="EC178" s="56"/>
      <c r="ED178" s="56"/>
      <c r="EE178" s="56"/>
      <c r="EF178" s="56"/>
      <c r="EG178" s="56"/>
      <c r="EH178" s="56"/>
      <c r="EI178" s="56"/>
      <c r="EJ178" s="56"/>
      <c r="EK178" s="56"/>
      <c r="EL178" s="56"/>
      <c r="EM178" s="56"/>
      <c r="EN178" s="56"/>
      <c r="EO178" s="56"/>
      <c r="EP178" s="56"/>
      <c r="EQ178" s="56"/>
      <c r="ER178" s="56"/>
      <c r="ES178" s="56"/>
      <c r="ET178" s="56"/>
      <c r="EU178" s="56"/>
      <c r="EV178" s="56"/>
      <c r="EW178" s="56"/>
      <c r="EX178" s="56"/>
      <c r="EY178" s="56"/>
      <c r="EZ178" s="56"/>
      <c r="FA178" s="56"/>
      <c r="FB178" s="56"/>
      <c r="FC178" s="56"/>
      <c r="FD178" s="56"/>
      <c r="FE178" s="56"/>
      <c r="FF178" s="56"/>
      <c r="FG178" s="56"/>
      <c r="FH178" s="56"/>
      <c r="FI178" s="56"/>
      <c r="FJ178" s="56"/>
      <c r="FK178" s="56"/>
      <c r="FL178" s="56"/>
      <c r="FM178" s="56"/>
      <c r="FN178" s="56"/>
      <c r="FO178" s="56"/>
      <c r="FP178" s="56"/>
      <c r="FQ178" s="56"/>
      <c r="FR178" s="56"/>
      <c r="FS178" s="56"/>
      <c r="FT178" s="56"/>
      <c r="FU178" s="56"/>
      <c r="FV178" s="56"/>
      <c r="FW178" s="56"/>
      <c r="FX178" s="56"/>
      <c r="FY178" s="56"/>
      <c r="FZ178" s="56"/>
      <c r="GA178" s="56"/>
      <c r="GB178" s="56"/>
      <c r="GC178" s="56"/>
      <c r="GD178" s="56"/>
      <c r="GE178" s="56"/>
      <c r="GF178" s="56"/>
      <c r="GG178" s="56"/>
      <c r="GH178" s="56"/>
      <c r="GI178" s="56"/>
      <c r="GJ178" s="56"/>
      <c r="GK178" s="56"/>
      <c r="GL178" s="56"/>
      <c r="GM178" s="56"/>
      <c r="GN178" s="56"/>
      <c r="GO178" s="56"/>
      <c r="GP178" s="56"/>
      <c r="GQ178" s="56"/>
      <c r="GR178" s="56"/>
      <c r="GS178" s="56"/>
      <c r="GT178" s="56"/>
      <c r="GU178" s="56"/>
      <c r="GV178" s="56"/>
      <c r="GW178" s="56"/>
      <c r="GX178" s="56"/>
      <c r="GY178" s="56"/>
      <c r="GZ178" s="56"/>
      <c r="HA178" s="56"/>
      <c r="HB178" s="56"/>
      <c r="HC178" s="56"/>
      <c r="HD178" s="56"/>
      <c r="HE178" s="56"/>
      <c r="HF178" s="56"/>
      <c r="HG178" s="56"/>
      <c r="HH178" s="56"/>
      <c r="HI178" s="56"/>
      <c r="HJ178" s="56"/>
    </row>
    <row r="179" spans="1:218" ht="15.75" customHeight="1" x14ac:dyDescent="0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56"/>
      <c r="EC179" s="56"/>
      <c r="ED179" s="56"/>
      <c r="EE179" s="56"/>
      <c r="EF179" s="56"/>
      <c r="EG179" s="56"/>
      <c r="EH179" s="56"/>
      <c r="EI179" s="56"/>
      <c r="EJ179" s="56"/>
      <c r="EK179" s="56"/>
      <c r="EL179" s="56"/>
      <c r="EM179" s="56"/>
      <c r="EN179" s="56"/>
      <c r="EO179" s="56"/>
      <c r="EP179" s="56"/>
      <c r="EQ179" s="56"/>
      <c r="ER179" s="56"/>
      <c r="ES179" s="56"/>
      <c r="ET179" s="56"/>
      <c r="EU179" s="56"/>
      <c r="EV179" s="56"/>
      <c r="EW179" s="56"/>
      <c r="EX179" s="56"/>
      <c r="EY179" s="56"/>
      <c r="EZ179" s="56"/>
      <c r="FA179" s="56"/>
      <c r="FB179" s="56"/>
      <c r="FC179" s="56"/>
      <c r="FD179" s="56"/>
      <c r="FE179" s="56"/>
      <c r="FF179" s="56"/>
      <c r="FG179" s="56"/>
      <c r="FH179" s="56"/>
      <c r="FI179" s="56"/>
      <c r="FJ179" s="56"/>
      <c r="FK179" s="56"/>
      <c r="FL179" s="56"/>
      <c r="FM179" s="56"/>
      <c r="FN179" s="56"/>
      <c r="FO179" s="56"/>
      <c r="FP179" s="56"/>
      <c r="FQ179" s="56"/>
      <c r="FR179" s="56"/>
      <c r="FS179" s="56"/>
      <c r="FT179" s="56"/>
      <c r="FU179" s="56"/>
      <c r="FV179" s="56"/>
      <c r="FW179" s="56"/>
      <c r="FX179" s="56"/>
      <c r="FY179" s="56"/>
      <c r="FZ179" s="56"/>
      <c r="GA179" s="56"/>
      <c r="GB179" s="56"/>
      <c r="GC179" s="56"/>
      <c r="GD179" s="56"/>
      <c r="GE179" s="56"/>
      <c r="GF179" s="56"/>
      <c r="GG179" s="56"/>
      <c r="GH179" s="56"/>
      <c r="GI179" s="56"/>
      <c r="GJ179" s="56"/>
      <c r="GK179" s="56"/>
      <c r="GL179" s="56"/>
      <c r="GM179" s="56"/>
      <c r="GN179" s="56"/>
      <c r="GO179" s="56"/>
      <c r="GP179" s="56"/>
      <c r="GQ179" s="56"/>
      <c r="GR179" s="56"/>
      <c r="GS179" s="56"/>
      <c r="GT179" s="56"/>
      <c r="GU179" s="56"/>
      <c r="GV179" s="56"/>
      <c r="GW179" s="56"/>
      <c r="GX179" s="56"/>
      <c r="GY179" s="56"/>
      <c r="GZ179" s="56"/>
      <c r="HA179" s="56"/>
      <c r="HB179" s="56"/>
      <c r="HC179" s="56"/>
      <c r="HD179" s="56"/>
      <c r="HE179" s="56"/>
      <c r="HF179" s="56"/>
      <c r="HG179" s="56"/>
      <c r="HH179" s="56"/>
      <c r="HI179" s="56"/>
      <c r="HJ179" s="56"/>
    </row>
    <row r="180" spans="1:218" ht="15.75" customHeight="1" x14ac:dyDescent="0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  <c r="CZ180" s="56"/>
      <c r="DA180" s="56"/>
      <c r="DB180" s="56"/>
      <c r="DC180" s="56"/>
      <c r="DD180" s="56"/>
      <c r="DE180" s="56"/>
      <c r="DF180" s="56"/>
      <c r="DG180" s="56"/>
      <c r="DH180" s="56"/>
      <c r="DI180" s="56"/>
      <c r="DJ180" s="56"/>
      <c r="DK180" s="56"/>
      <c r="DL180" s="56"/>
      <c r="DM180" s="56"/>
      <c r="DN180" s="56"/>
      <c r="DO180" s="56"/>
      <c r="DP180" s="56"/>
      <c r="DQ180" s="56"/>
      <c r="DR180" s="56"/>
      <c r="DS180" s="56"/>
      <c r="DT180" s="56"/>
      <c r="DU180" s="56"/>
      <c r="DV180" s="56"/>
      <c r="DW180" s="56"/>
      <c r="DX180" s="56"/>
      <c r="DY180" s="56"/>
      <c r="DZ180" s="56"/>
      <c r="EA180" s="56"/>
      <c r="EB180" s="56"/>
      <c r="EC180" s="56"/>
      <c r="ED180" s="56"/>
      <c r="EE180" s="56"/>
      <c r="EF180" s="56"/>
      <c r="EG180" s="56"/>
      <c r="EH180" s="56"/>
      <c r="EI180" s="56"/>
      <c r="EJ180" s="56"/>
      <c r="EK180" s="56"/>
      <c r="EL180" s="56"/>
      <c r="EM180" s="56"/>
      <c r="EN180" s="56"/>
      <c r="EO180" s="56"/>
      <c r="EP180" s="56"/>
      <c r="EQ180" s="56"/>
      <c r="ER180" s="56"/>
      <c r="ES180" s="56"/>
      <c r="ET180" s="56"/>
      <c r="EU180" s="56"/>
      <c r="EV180" s="56"/>
      <c r="EW180" s="56"/>
      <c r="EX180" s="56"/>
      <c r="EY180" s="56"/>
      <c r="EZ180" s="56"/>
      <c r="FA180" s="56"/>
      <c r="FB180" s="56"/>
      <c r="FC180" s="56"/>
      <c r="FD180" s="56"/>
      <c r="FE180" s="56"/>
      <c r="FF180" s="56"/>
      <c r="FG180" s="56"/>
      <c r="FH180" s="56"/>
      <c r="FI180" s="56"/>
      <c r="FJ180" s="56"/>
      <c r="FK180" s="56"/>
      <c r="FL180" s="56"/>
      <c r="FM180" s="56"/>
      <c r="FN180" s="56"/>
      <c r="FO180" s="56"/>
      <c r="FP180" s="56"/>
      <c r="FQ180" s="56"/>
      <c r="FR180" s="56"/>
      <c r="FS180" s="56"/>
      <c r="FT180" s="56"/>
      <c r="FU180" s="56"/>
      <c r="FV180" s="56"/>
      <c r="FW180" s="56"/>
      <c r="FX180" s="56"/>
      <c r="FY180" s="56"/>
      <c r="FZ180" s="56"/>
      <c r="GA180" s="56"/>
      <c r="GB180" s="56"/>
      <c r="GC180" s="56"/>
      <c r="GD180" s="56"/>
      <c r="GE180" s="56"/>
      <c r="GF180" s="56"/>
      <c r="GG180" s="56"/>
      <c r="GH180" s="56"/>
      <c r="GI180" s="56"/>
      <c r="GJ180" s="56"/>
      <c r="GK180" s="56"/>
      <c r="GL180" s="56"/>
      <c r="GM180" s="56"/>
      <c r="GN180" s="56"/>
      <c r="GO180" s="56"/>
      <c r="GP180" s="56"/>
      <c r="GQ180" s="56"/>
      <c r="GR180" s="56"/>
      <c r="GS180" s="56"/>
      <c r="GT180" s="56"/>
      <c r="GU180" s="56"/>
      <c r="GV180" s="56"/>
      <c r="GW180" s="56"/>
      <c r="GX180" s="56"/>
      <c r="GY180" s="56"/>
      <c r="GZ180" s="56"/>
      <c r="HA180" s="56"/>
      <c r="HB180" s="56"/>
      <c r="HC180" s="56"/>
      <c r="HD180" s="56"/>
      <c r="HE180" s="56"/>
      <c r="HF180" s="56"/>
      <c r="HG180" s="56"/>
      <c r="HH180" s="56"/>
      <c r="HI180" s="56"/>
      <c r="HJ180" s="56"/>
    </row>
    <row r="181" spans="1:218" ht="15.75" customHeight="1" x14ac:dyDescent="0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  <c r="CZ181" s="56"/>
      <c r="DA181" s="56"/>
      <c r="DB181" s="56"/>
      <c r="DC181" s="56"/>
      <c r="DD181" s="56"/>
      <c r="DE181" s="56"/>
      <c r="DF181" s="56"/>
      <c r="DG181" s="56"/>
      <c r="DH181" s="56"/>
      <c r="DI181" s="56"/>
      <c r="DJ181" s="56"/>
      <c r="DK181" s="56"/>
      <c r="DL181" s="56"/>
      <c r="DM181" s="56"/>
      <c r="DN181" s="56"/>
      <c r="DO181" s="56"/>
      <c r="DP181" s="56"/>
      <c r="DQ181" s="56"/>
      <c r="DR181" s="56"/>
      <c r="DS181" s="56"/>
      <c r="DT181" s="56"/>
      <c r="DU181" s="56"/>
      <c r="DV181" s="56"/>
      <c r="DW181" s="56"/>
      <c r="DX181" s="56"/>
      <c r="DY181" s="56"/>
      <c r="DZ181" s="56"/>
      <c r="EA181" s="56"/>
      <c r="EB181" s="56"/>
      <c r="EC181" s="56"/>
      <c r="ED181" s="56"/>
      <c r="EE181" s="56"/>
      <c r="EF181" s="56"/>
      <c r="EG181" s="56"/>
      <c r="EH181" s="56"/>
      <c r="EI181" s="56"/>
      <c r="EJ181" s="56"/>
      <c r="EK181" s="56"/>
      <c r="EL181" s="56"/>
      <c r="EM181" s="56"/>
      <c r="EN181" s="56"/>
      <c r="EO181" s="56"/>
      <c r="EP181" s="56"/>
      <c r="EQ181" s="56"/>
      <c r="ER181" s="56"/>
      <c r="ES181" s="56"/>
      <c r="ET181" s="56"/>
      <c r="EU181" s="56"/>
      <c r="EV181" s="56"/>
      <c r="EW181" s="56"/>
      <c r="EX181" s="56"/>
      <c r="EY181" s="56"/>
      <c r="EZ181" s="56"/>
      <c r="FA181" s="56"/>
      <c r="FB181" s="56"/>
      <c r="FC181" s="56"/>
      <c r="FD181" s="56"/>
      <c r="FE181" s="56"/>
      <c r="FF181" s="56"/>
      <c r="FG181" s="56"/>
      <c r="FH181" s="56"/>
      <c r="FI181" s="56"/>
      <c r="FJ181" s="56"/>
      <c r="FK181" s="56"/>
      <c r="FL181" s="56"/>
      <c r="FM181" s="56"/>
      <c r="FN181" s="56"/>
      <c r="FO181" s="56"/>
      <c r="FP181" s="56"/>
      <c r="FQ181" s="56"/>
      <c r="FR181" s="56"/>
      <c r="FS181" s="56"/>
      <c r="FT181" s="56"/>
      <c r="FU181" s="56"/>
      <c r="FV181" s="56"/>
      <c r="FW181" s="56"/>
      <c r="FX181" s="56"/>
      <c r="FY181" s="56"/>
      <c r="FZ181" s="56"/>
      <c r="GA181" s="56"/>
      <c r="GB181" s="56"/>
      <c r="GC181" s="56"/>
      <c r="GD181" s="56"/>
      <c r="GE181" s="56"/>
      <c r="GF181" s="56"/>
      <c r="GG181" s="56"/>
      <c r="GH181" s="56"/>
      <c r="GI181" s="56"/>
      <c r="GJ181" s="56"/>
      <c r="GK181" s="56"/>
      <c r="GL181" s="56"/>
      <c r="GM181" s="56"/>
      <c r="GN181" s="56"/>
      <c r="GO181" s="56"/>
      <c r="GP181" s="56"/>
      <c r="GQ181" s="56"/>
      <c r="GR181" s="56"/>
      <c r="GS181" s="56"/>
      <c r="GT181" s="56"/>
      <c r="GU181" s="56"/>
      <c r="GV181" s="56"/>
      <c r="GW181" s="56"/>
      <c r="GX181" s="56"/>
      <c r="GY181" s="56"/>
      <c r="GZ181" s="56"/>
      <c r="HA181" s="56"/>
      <c r="HB181" s="56"/>
      <c r="HC181" s="56"/>
      <c r="HD181" s="56"/>
      <c r="HE181" s="56"/>
      <c r="HF181" s="56"/>
      <c r="HG181" s="56"/>
      <c r="HH181" s="56"/>
      <c r="HI181" s="56"/>
      <c r="HJ181" s="56"/>
    </row>
    <row r="182" spans="1:218" ht="15.75" customHeight="1" x14ac:dyDescent="0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6"/>
      <c r="CV182" s="56"/>
      <c r="CW182" s="56"/>
      <c r="CX182" s="56"/>
      <c r="CY182" s="56"/>
      <c r="CZ182" s="56"/>
      <c r="DA182" s="56"/>
      <c r="DB182" s="56"/>
      <c r="DC182" s="56"/>
      <c r="DD182" s="56"/>
      <c r="DE182" s="56"/>
      <c r="DF182" s="56"/>
      <c r="DG182" s="56"/>
      <c r="DH182" s="56"/>
      <c r="DI182" s="56"/>
      <c r="DJ182" s="56"/>
      <c r="DK182" s="56"/>
      <c r="DL182" s="56"/>
      <c r="DM182" s="56"/>
      <c r="DN182" s="56"/>
      <c r="DO182" s="56"/>
      <c r="DP182" s="56"/>
      <c r="DQ182" s="56"/>
      <c r="DR182" s="56"/>
      <c r="DS182" s="56"/>
      <c r="DT182" s="56"/>
      <c r="DU182" s="56"/>
      <c r="DV182" s="56"/>
      <c r="DW182" s="56"/>
      <c r="DX182" s="56"/>
      <c r="DY182" s="56"/>
      <c r="DZ182" s="56"/>
      <c r="EA182" s="56"/>
      <c r="EB182" s="56"/>
      <c r="EC182" s="56"/>
      <c r="ED182" s="56"/>
      <c r="EE182" s="56"/>
      <c r="EF182" s="56"/>
      <c r="EG182" s="56"/>
      <c r="EH182" s="56"/>
      <c r="EI182" s="56"/>
      <c r="EJ182" s="56"/>
      <c r="EK182" s="56"/>
      <c r="EL182" s="56"/>
      <c r="EM182" s="56"/>
      <c r="EN182" s="56"/>
      <c r="EO182" s="56"/>
      <c r="EP182" s="56"/>
      <c r="EQ182" s="56"/>
      <c r="ER182" s="56"/>
      <c r="ES182" s="56"/>
      <c r="ET182" s="56"/>
      <c r="EU182" s="56"/>
      <c r="EV182" s="56"/>
      <c r="EW182" s="56"/>
      <c r="EX182" s="56"/>
      <c r="EY182" s="56"/>
      <c r="EZ182" s="56"/>
      <c r="FA182" s="56"/>
      <c r="FB182" s="56"/>
      <c r="FC182" s="56"/>
      <c r="FD182" s="56"/>
      <c r="FE182" s="56"/>
      <c r="FF182" s="56"/>
      <c r="FG182" s="56"/>
      <c r="FH182" s="56"/>
      <c r="FI182" s="56"/>
      <c r="FJ182" s="56"/>
      <c r="FK182" s="56"/>
      <c r="FL182" s="56"/>
      <c r="FM182" s="56"/>
      <c r="FN182" s="56"/>
      <c r="FO182" s="56"/>
      <c r="FP182" s="56"/>
      <c r="FQ182" s="56"/>
      <c r="FR182" s="56"/>
      <c r="FS182" s="56"/>
      <c r="FT182" s="56"/>
      <c r="FU182" s="56"/>
      <c r="FV182" s="56"/>
      <c r="FW182" s="56"/>
      <c r="FX182" s="56"/>
      <c r="FY182" s="56"/>
      <c r="FZ182" s="56"/>
      <c r="GA182" s="56"/>
      <c r="GB182" s="56"/>
      <c r="GC182" s="56"/>
      <c r="GD182" s="56"/>
      <c r="GE182" s="56"/>
      <c r="GF182" s="56"/>
      <c r="GG182" s="56"/>
      <c r="GH182" s="56"/>
      <c r="GI182" s="56"/>
      <c r="GJ182" s="56"/>
      <c r="GK182" s="56"/>
      <c r="GL182" s="56"/>
      <c r="GM182" s="56"/>
      <c r="GN182" s="56"/>
      <c r="GO182" s="56"/>
      <c r="GP182" s="56"/>
      <c r="GQ182" s="56"/>
      <c r="GR182" s="56"/>
      <c r="GS182" s="56"/>
      <c r="GT182" s="56"/>
      <c r="GU182" s="56"/>
      <c r="GV182" s="56"/>
      <c r="GW182" s="56"/>
      <c r="GX182" s="56"/>
      <c r="GY182" s="56"/>
      <c r="GZ182" s="56"/>
      <c r="HA182" s="56"/>
      <c r="HB182" s="56"/>
      <c r="HC182" s="56"/>
      <c r="HD182" s="56"/>
      <c r="HE182" s="56"/>
      <c r="HF182" s="56"/>
      <c r="HG182" s="56"/>
      <c r="HH182" s="56"/>
      <c r="HI182" s="56"/>
      <c r="HJ182" s="56"/>
    </row>
    <row r="183" spans="1:218" ht="15.75" customHeight="1" x14ac:dyDescent="0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56"/>
      <c r="CP183" s="56"/>
      <c r="CQ183" s="56"/>
      <c r="CR183" s="56"/>
      <c r="CS183" s="56"/>
      <c r="CT183" s="56"/>
      <c r="CU183" s="56"/>
      <c r="CV183" s="56"/>
      <c r="CW183" s="56"/>
      <c r="CX183" s="56"/>
      <c r="CY183" s="56"/>
      <c r="CZ183" s="56"/>
      <c r="DA183" s="56"/>
      <c r="DB183" s="56"/>
      <c r="DC183" s="56"/>
      <c r="DD183" s="56"/>
      <c r="DE183" s="56"/>
      <c r="DF183" s="56"/>
      <c r="DG183" s="56"/>
      <c r="DH183" s="56"/>
      <c r="DI183" s="56"/>
      <c r="DJ183" s="56"/>
      <c r="DK183" s="56"/>
      <c r="DL183" s="56"/>
      <c r="DM183" s="56"/>
      <c r="DN183" s="56"/>
      <c r="DO183" s="56"/>
      <c r="DP183" s="56"/>
      <c r="DQ183" s="56"/>
      <c r="DR183" s="56"/>
      <c r="DS183" s="56"/>
      <c r="DT183" s="56"/>
      <c r="DU183" s="56"/>
      <c r="DV183" s="56"/>
      <c r="DW183" s="56"/>
      <c r="DX183" s="56"/>
      <c r="DY183" s="56"/>
      <c r="DZ183" s="56"/>
      <c r="EA183" s="56"/>
      <c r="EB183" s="56"/>
      <c r="EC183" s="56"/>
      <c r="ED183" s="56"/>
      <c r="EE183" s="56"/>
      <c r="EF183" s="56"/>
      <c r="EG183" s="56"/>
      <c r="EH183" s="56"/>
      <c r="EI183" s="56"/>
      <c r="EJ183" s="56"/>
      <c r="EK183" s="56"/>
      <c r="EL183" s="56"/>
      <c r="EM183" s="56"/>
      <c r="EN183" s="56"/>
      <c r="EO183" s="56"/>
      <c r="EP183" s="56"/>
      <c r="EQ183" s="56"/>
      <c r="ER183" s="56"/>
      <c r="ES183" s="56"/>
      <c r="ET183" s="56"/>
      <c r="EU183" s="56"/>
      <c r="EV183" s="56"/>
      <c r="EW183" s="56"/>
      <c r="EX183" s="56"/>
      <c r="EY183" s="56"/>
      <c r="EZ183" s="56"/>
      <c r="FA183" s="56"/>
      <c r="FB183" s="56"/>
      <c r="FC183" s="56"/>
      <c r="FD183" s="56"/>
      <c r="FE183" s="56"/>
      <c r="FF183" s="56"/>
      <c r="FG183" s="56"/>
      <c r="FH183" s="56"/>
      <c r="FI183" s="56"/>
      <c r="FJ183" s="56"/>
      <c r="FK183" s="56"/>
      <c r="FL183" s="56"/>
      <c r="FM183" s="56"/>
      <c r="FN183" s="56"/>
      <c r="FO183" s="56"/>
      <c r="FP183" s="56"/>
      <c r="FQ183" s="56"/>
      <c r="FR183" s="56"/>
      <c r="FS183" s="56"/>
      <c r="FT183" s="56"/>
      <c r="FU183" s="56"/>
      <c r="FV183" s="56"/>
      <c r="FW183" s="56"/>
      <c r="FX183" s="56"/>
      <c r="FY183" s="56"/>
      <c r="FZ183" s="56"/>
      <c r="GA183" s="56"/>
      <c r="GB183" s="56"/>
      <c r="GC183" s="56"/>
      <c r="GD183" s="56"/>
      <c r="GE183" s="56"/>
      <c r="GF183" s="56"/>
      <c r="GG183" s="56"/>
      <c r="GH183" s="56"/>
      <c r="GI183" s="56"/>
      <c r="GJ183" s="56"/>
      <c r="GK183" s="56"/>
      <c r="GL183" s="56"/>
      <c r="GM183" s="56"/>
      <c r="GN183" s="56"/>
      <c r="GO183" s="56"/>
      <c r="GP183" s="56"/>
      <c r="GQ183" s="56"/>
      <c r="GR183" s="56"/>
      <c r="GS183" s="56"/>
      <c r="GT183" s="56"/>
      <c r="GU183" s="56"/>
      <c r="GV183" s="56"/>
      <c r="GW183" s="56"/>
      <c r="GX183" s="56"/>
      <c r="GY183" s="56"/>
      <c r="GZ183" s="56"/>
      <c r="HA183" s="56"/>
      <c r="HB183" s="56"/>
      <c r="HC183" s="56"/>
      <c r="HD183" s="56"/>
      <c r="HE183" s="56"/>
      <c r="HF183" s="56"/>
      <c r="HG183" s="56"/>
      <c r="HH183" s="56"/>
      <c r="HI183" s="56"/>
      <c r="HJ183" s="56"/>
    </row>
    <row r="184" spans="1:218" ht="15.75" customHeight="1" x14ac:dyDescent="0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6"/>
      <c r="CV184" s="56"/>
      <c r="CW184" s="56"/>
      <c r="CX184" s="56"/>
      <c r="CY184" s="56"/>
      <c r="CZ184" s="56"/>
      <c r="DA184" s="56"/>
      <c r="DB184" s="56"/>
      <c r="DC184" s="56"/>
      <c r="DD184" s="56"/>
      <c r="DE184" s="56"/>
      <c r="DF184" s="56"/>
      <c r="DG184" s="56"/>
      <c r="DH184" s="56"/>
      <c r="DI184" s="56"/>
      <c r="DJ184" s="56"/>
      <c r="DK184" s="56"/>
      <c r="DL184" s="56"/>
      <c r="DM184" s="56"/>
      <c r="DN184" s="56"/>
      <c r="DO184" s="56"/>
      <c r="DP184" s="56"/>
      <c r="DQ184" s="56"/>
      <c r="DR184" s="56"/>
      <c r="DS184" s="56"/>
      <c r="DT184" s="56"/>
      <c r="DU184" s="56"/>
      <c r="DV184" s="56"/>
      <c r="DW184" s="56"/>
      <c r="DX184" s="56"/>
      <c r="DY184" s="56"/>
      <c r="DZ184" s="56"/>
      <c r="EA184" s="56"/>
      <c r="EB184" s="56"/>
      <c r="EC184" s="56"/>
      <c r="ED184" s="56"/>
      <c r="EE184" s="56"/>
      <c r="EF184" s="56"/>
      <c r="EG184" s="56"/>
      <c r="EH184" s="56"/>
      <c r="EI184" s="56"/>
      <c r="EJ184" s="56"/>
      <c r="EK184" s="56"/>
      <c r="EL184" s="56"/>
      <c r="EM184" s="56"/>
      <c r="EN184" s="56"/>
      <c r="EO184" s="56"/>
      <c r="EP184" s="56"/>
      <c r="EQ184" s="56"/>
      <c r="ER184" s="56"/>
      <c r="ES184" s="56"/>
      <c r="ET184" s="56"/>
      <c r="EU184" s="56"/>
      <c r="EV184" s="56"/>
      <c r="EW184" s="56"/>
      <c r="EX184" s="56"/>
      <c r="EY184" s="56"/>
      <c r="EZ184" s="56"/>
      <c r="FA184" s="56"/>
      <c r="FB184" s="56"/>
      <c r="FC184" s="56"/>
      <c r="FD184" s="56"/>
      <c r="FE184" s="56"/>
      <c r="FF184" s="56"/>
      <c r="FG184" s="56"/>
      <c r="FH184" s="56"/>
      <c r="FI184" s="56"/>
      <c r="FJ184" s="56"/>
      <c r="FK184" s="56"/>
      <c r="FL184" s="56"/>
      <c r="FM184" s="56"/>
      <c r="FN184" s="56"/>
      <c r="FO184" s="56"/>
      <c r="FP184" s="56"/>
      <c r="FQ184" s="56"/>
      <c r="FR184" s="56"/>
      <c r="FS184" s="56"/>
      <c r="FT184" s="56"/>
      <c r="FU184" s="56"/>
      <c r="FV184" s="56"/>
      <c r="FW184" s="56"/>
      <c r="FX184" s="56"/>
      <c r="FY184" s="56"/>
      <c r="FZ184" s="56"/>
      <c r="GA184" s="56"/>
      <c r="GB184" s="56"/>
      <c r="GC184" s="56"/>
      <c r="GD184" s="56"/>
      <c r="GE184" s="56"/>
      <c r="GF184" s="56"/>
      <c r="GG184" s="56"/>
      <c r="GH184" s="56"/>
      <c r="GI184" s="56"/>
      <c r="GJ184" s="56"/>
      <c r="GK184" s="56"/>
      <c r="GL184" s="56"/>
      <c r="GM184" s="56"/>
      <c r="GN184" s="56"/>
      <c r="GO184" s="56"/>
      <c r="GP184" s="56"/>
      <c r="GQ184" s="56"/>
      <c r="GR184" s="56"/>
      <c r="GS184" s="56"/>
      <c r="GT184" s="56"/>
      <c r="GU184" s="56"/>
      <c r="GV184" s="56"/>
      <c r="GW184" s="56"/>
      <c r="GX184" s="56"/>
      <c r="GY184" s="56"/>
      <c r="GZ184" s="56"/>
      <c r="HA184" s="56"/>
      <c r="HB184" s="56"/>
      <c r="HC184" s="56"/>
      <c r="HD184" s="56"/>
      <c r="HE184" s="56"/>
      <c r="HF184" s="56"/>
      <c r="HG184" s="56"/>
      <c r="HH184" s="56"/>
      <c r="HI184" s="56"/>
      <c r="HJ184" s="56"/>
    </row>
    <row r="185" spans="1:218" ht="15.75" customHeight="1" x14ac:dyDescent="0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6"/>
      <c r="CV185" s="56"/>
      <c r="CW185" s="56"/>
      <c r="CX185" s="56"/>
      <c r="CY185" s="56"/>
      <c r="CZ185" s="56"/>
      <c r="DA185" s="56"/>
      <c r="DB185" s="56"/>
      <c r="DC185" s="56"/>
      <c r="DD185" s="56"/>
      <c r="DE185" s="56"/>
      <c r="DF185" s="56"/>
      <c r="DG185" s="56"/>
      <c r="DH185" s="56"/>
      <c r="DI185" s="56"/>
      <c r="DJ185" s="56"/>
      <c r="DK185" s="56"/>
      <c r="DL185" s="56"/>
      <c r="DM185" s="56"/>
      <c r="DN185" s="56"/>
      <c r="DO185" s="56"/>
      <c r="DP185" s="56"/>
      <c r="DQ185" s="56"/>
      <c r="DR185" s="56"/>
      <c r="DS185" s="56"/>
      <c r="DT185" s="56"/>
      <c r="DU185" s="56"/>
      <c r="DV185" s="56"/>
      <c r="DW185" s="56"/>
      <c r="DX185" s="56"/>
      <c r="DY185" s="56"/>
      <c r="DZ185" s="56"/>
      <c r="EA185" s="56"/>
      <c r="EB185" s="56"/>
      <c r="EC185" s="56"/>
      <c r="ED185" s="56"/>
      <c r="EE185" s="56"/>
      <c r="EF185" s="56"/>
      <c r="EG185" s="56"/>
      <c r="EH185" s="56"/>
      <c r="EI185" s="56"/>
      <c r="EJ185" s="56"/>
      <c r="EK185" s="56"/>
      <c r="EL185" s="56"/>
      <c r="EM185" s="56"/>
      <c r="EN185" s="56"/>
      <c r="EO185" s="56"/>
      <c r="EP185" s="56"/>
      <c r="EQ185" s="56"/>
      <c r="ER185" s="56"/>
      <c r="ES185" s="56"/>
      <c r="ET185" s="56"/>
      <c r="EU185" s="56"/>
      <c r="EV185" s="56"/>
      <c r="EW185" s="56"/>
      <c r="EX185" s="56"/>
      <c r="EY185" s="56"/>
      <c r="EZ185" s="56"/>
      <c r="FA185" s="56"/>
      <c r="FB185" s="56"/>
      <c r="FC185" s="56"/>
      <c r="FD185" s="56"/>
      <c r="FE185" s="56"/>
      <c r="FF185" s="56"/>
      <c r="FG185" s="56"/>
      <c r="FH185" s="56"/>
      <c r="FI185" s="56"/>
      <c r="FJ185" s="56"/>
      <c r="FK185" s="56"/>
      <c r="FL185" s="56"/>
      <c r="FM185" s="56"/>
      <c r="FN185" s="56"/>
      <c r="FO185" s="56"/>
      <c r="FP185" s="56"/>
      <c r="FQ185" s="56"/>
      <c r="FR185" s="56"/>
      <c r="FS185" s="56"/>
      <c r="FT185" s="56"/>
      <c r="FU185" s="56"/>
      <c r="FV185" s="56"/>
      <c r="FW185" s="56"/>
      <c r="FX185" s="56"/>
      <c r="FY185" s="56"/>
      <c r="FZ185" s="56"/>
      <c r="GA185" s="56"/>
      <c r="GB185" s="56"/>
      <c r="GC185" s="56"/>
      <c r="GD185" s="56"/>
      <c r="GE185" s="56"/>
      <c r="GF185" s="56"/>
      <c r="GG185" s="56"/>
      <c r="GH185" s="56"/>
      <c r="GI185" s="56"/>
      <c r="GJ185" s="56"/>
      <c r="GK185" s="56"/>
      <c r="GL185" s="56"/>
      <c r="GM185" s="56"/>
      <c r="GN185" s="56"/>
      <c r="GO185" s="56"/>
      <c r="GP185" s="56"/>
      <c r="GQ185" s="56"/>
      <c r="GR185" s="56"/>
      <c r="GS185" s="56"/>
      <c r="GT185" s="56"/>
      <c r="GU185" s="56"/>
      <c r="GV185" s="56"/>
      <c r="GW185" s="56"/>
      <c r="GX185" s="56"/>
      <c r="GY185" s="56"/>
      <c r="GZ185" s="56"/>
      <c r="HA185" s="56"/>
      <c r="HB185" s="56"/>
      <c r="HC185" s="56"/>
      <c r="HD185" s="56"/>
      <c r="HE185" s="56"/>
      <c r="HF185" s="56"/>
      <c r="HG185" s="56"/>
      <c r="HH185" s="56"/>
      <c r="HI185" s="56"/>
      <c r="HJ185" s="56"/>
    </row>
    <row r="186" spans="1:218" ht="15.75" customHeight="1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  <c r="CT186" s="56"/>
      <c r="CU186" s="56"/>
      <c r="CV186" s="56"/>
      <c r="CW186" s="56"/>
      <c r="CX186" s="56"/>
      <c r="CY186" s="56"/>
      <c r="CZ186" s="56"/>
      <c r="DA186" s="56"/>
      <c r="DB186" s="56"/>
      <c r="DC186" s="56"/>
      <c r="DD186" s="56"/>
      <c r="DE186" s="56"/>
      <c r="DF186" s="56"/>
      <c r="DG186" s="56"/>
      <c r="DH186" s="56"/>
      <c r="DI186" s="56"/>
      <c r="DJ186" s="56"/>
      <c r="DK186" s="56"/>
      <c r="DL186" s="56"/>
      <c r="DM186" s="56"/>
      <c r="DN186" s="56"/>
      <c r="DO186" s="56"/>
      <c r="DP186" s="56"/>
      <c r="DQ186" s="56"/>
      <c r="DR186" s="56"/>
      <c r="DS186" s="56"/>
      <c r="DT186" s="56"/>
      <c r="DU186" s="56"/>
      <c r="DV186" s="56"/>
      <c r="DW186" s="56"/>
      <c r="DX186" s="56"/>
      <c r="DY186" s="56"/>
      <c r="DZ186" s="56"/>
      <c r="EA186" s="56"/>
      <c r="EB186" s="56"/>
      <c r="EC186" s="56"/>
      <c r="ED186" s="56"/>
      <c r="EE186" s="56"/>
      <c r="EF186" s="56"/>
      <c r="EG186" s="56"/>
      <c r="EH186" s="56"/>
      <c r="EI186" s="56"/>
      <c r="EJ186" s="56"/>
      <c r="EK186" s="56"/>
      <c r="EL186" s="56"/>
      <c r="EM186" s="56"/>
      <c r="EN186" s="56"/>
      <c r="EO186" s="56"/>
      <c r="EP186" s="56"/>
      <c r="EQ186" s="56"/>
      <c r="ER186" s="56"/>
      <c r="ES186" s="56"/>
      <c r="ET186" s="56"/>
      <c r="EU186" s="56"/>
      <c r="EV186" s="56"/>
      <c r="EW186" s="56"/>
      <c r="EX186" s="56"/>
      <c r="EY186" s="56"/>
      <c r="EZ186" s="56"/>
      <c r="FA186" s="56"/>
      <c r="FB186" s="56"/>
      <c r="FC186" s="56"/>
      <c r="FD186" s="56"/>
      <c r="FE186" s="56"/>
      <c r="FF186" s="56"/>
      <c r="FG186" s="56"/>
      <c r="FH186" s="56"/>
      <c r="FI186" s="56"/>
      <c r="FJ186" s="56"/>
      <c r="FK186" s="56"/>
      <c r="FL186" s="56"/>
      <c r="FM186" s="56"/>
      <c r="FN186" s="56"/>
      <c r="FO186" s="56"/>
      <c r="FP186" s="56"/>
      <c r="FQ186" s="56"/>
      <c r="FR186" s="56"/>
      <c r="FS186" s="56"/>
      <c r="FT186" s="56"/>
      <c r="FU186" s="56"/>
      <c r="FV186" s="56"/>
      <c r="FW186" s="56"/>
      <c r="FX186" s="56"/>
      <c r="FY186" s="56"/>
      <c r="FZ186" s="56"/>
      <c r="GA186" s="56"/>
      <c r="GB186" s="56"/>
      <c r="GC186" s="56"/>
      <c r="GD186" s="56"/>
      <c r="GE186" s="56"/>
      <c r="GF186" s="56"/>
      <c r="GG186" s="56"/>
      <c r="GH186" s="56"/>
      <c r="GI186" s="56"/>
      <c r="GJ186" s="56"/>
      <c r="GK186" s="56"/>
      <c r="GL186" s="56"/>
      <c r="GM186" s="56"/>
      <c r="GN186" s="56"/>
      <c r="GO186" s="56"/>
      <c r="GP186" s="56"/>
      <c r="GQ186" s="56"/>
      <c r="GR186" s="56"/>
      <c r="GS186" s="56"/>
      <c r="GT186" s="56"/>
      <c r="GU186" s="56"/>
      <c r="GV186" s="56"/>
      <c r="GW186" s="56"/>
      <c r="GX186" s="56"/>
      <c r="GY186" s="56"/>
      <c r="GZ186" s="56"/>
      <c r="HA186" s="56"/>
      <c r="HB186" s="56"/>
      <c r="HC186" s="56"/>
      <c r="HD186" s="56"/>
      <c r="HE186" s="56"/>
      <c r="HF186" s="56"/>
      <c r="HG186" s="56"/>
      <c r="HH186" s="56"/>
      <c r="HI186" s="56"/>
      <c r="HJ186" s="56"/>
    </row>
    <row r="187" spans="1:218" ht="15.75" customHeight="1" x14ac:dyDescent="0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6"/>
      <c r="CV187" s="56"/>
      <c r="CW187" s="56"/>
      <c r="CX187" s="56"/>
      <c r="CY187" s="56"/>
      <c r="CZ187" s="56"/>
      <c r="DA187" s="56"/>
      <c r="DB187" s="56"/>
      <c r="DC187" s="56"/>
      <c r="DD187" s="56"/>
      <c r="DE187" s="56"/>
      <c r="DF187" s="56"/>
      <c r="DG187" s="56"/>
      <c r="DH187" s="56"/>
      <c r="DI187" s="56"/>
      <c r="DJ187" s="56"/>
      <c r="DK187" s="56"/>
      <c r="DL187" s="56"/>
      <c r="DM187" s="56"/>
      <c r="DN187" s="56"/>
      <c r="DO187" s="56"/>
      <c r="DP187" s="56"/>
      <c r="DQ187" s="56"/>
      <c r="DR187" s="56"/>
      <c r="DS187" s="56"/>
      <c r="DT187" s="56"/>
      <c r="DU187" s="56"/>
      <c r="DV187" s="56"/>
      <c r="DW187" s="56"/>
      <c r="DX187" s="56"/>
      <c r="DY187" s="56"/>
      <c r="DZ187" s="56"/>
      <c r="EA187" s="56"/>
      <c r="EB187" s="56"/>
      <c r="EC187" s="56"/>
      <c r="ED187" s="56"/>
      <c r="EE187" s="56"/>
      <c r="EF187" s="56"/>
      <c r="EG187" s="56"/>
      <c r="EH187" s="56"/>
      <c r="EI187" s="56"/>
      <c r="EJ187" s="56"/>
      <c r="EK187" s="56"/>
      <c r="EL187" s="56"/>
      <c r="EM187" s="56"/>
      <c r="EN187" s="56"/>
      <c r="EO187" s="56"/>
      <c r="EP187" s="56"/>
      <c r="EQ187" s="56"/>
      <c r="ER187" s="56"/>
      <c r="ES187" s="56"/>
      <c r="ET187" s="56"/>
      <c r="EU187" s="56"/>
      <c r="EV187" s="56"/>
      <c r="EW187" s="56"/>
      <c r="EX187" s="56"/>
      <c r="EY187" s="56"/>
      <c r="EZ187" s="56"/>
      <c r="FA187" s="56"/>
      <c r="FB187" s="56"/>
      <c r="FC187" s="56"/>
      <c r="FD187" s="56"/>
      <c r="FE187" s="56"/>
      <c r="FF187" s="56"/>
      <c r="FG187" s="56"/>
      <c r="FH187" s="56"/>
      <c r="FI187" s="56"/>
      <c r="FJ187" s="56"/>
      <c r="FK187" s="56"/>
      <c r="FL187" s="56"/>
      <c r="FM187" s="56"/>
      <c r="FN187" s="56"/>
      <c r="FO187" s="56"/>
      <c r="FP187" s="56"/>
      <c r="FQ187" s="56"/>
      <c r="FR187" s="56"/>
      <c r="FS187" s="56"/>
      <c r="FT187" s="56"/>
      <c r="FU187" s="56"/>
      <c r="FV187" s="56"/>
      <c r="FW187" s="56"/>
      <c r="FX187" s="56"/>
      <c r="FY187" s="56"/>
      <c r="FZ187" s="56"/>
      <c r="GA187" s="56"/>
      <c r="GB187" s="56"/>
      <c r="GC187" s="56"/>
      <c r="GD187" s="56"/>
      <c r="GE187" s="56"/>
      <c r="GF187" s="56"/>
      <c r="GG187" s="56"/>
      <c r="GH187" s="56"/>
      <c r="GI187" s="56"/>
      <c r="GJ187" s="56"/>
      <c r="GK187" s="56"/>
      <c r="GL187" s="56"/>
      <c r="GM187" s="56"/>
      <c r="GN187" s="56"/>
      <c r="GO187" s="56"/>
      <c r="GP187" s="56"/>
      <c r="GQ187" s="56"/>
      <c r="GR187" s="56"/>
      <c r="GS187" s="56"/>
      <c r="GT187" s="56"/>
      <c r="GU187" s="56"/>
      <c r="GV187" s="56"/>
      <c r="GW187" s="56"/>
      <c r="GX187" s="56"/>
      <c r="GY187" s="56"/>
      <c r="GZ187" s="56"/>
      <c r="HA187" s="56"/>
      <c r="HB187" s="56"/>
      <c r="HC187" s="56"/>
      <c r="HD187" s="56"/>
      <c r="HE187" s="56"/>
      <c r="HF187" s="56"/>
      <c r="HG187" s="56"/>
      <c r="HH187" s="56"/>
      <c r="HI187" s="56"/>
      <c r="HJ187" s="56"/>
    </row>
    <row r="188" spans="1:218" ht="15.75" customHeight="1" x14ac:dyDescent="0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6"/>
      <c r="CV188" s="56"/>
      <c r="CW188" s="56"/>
      <c r="CX188" s="56"/>
      <c r="CY188" s="56"/>
      <c r="CZ188" s="56"/>
      <c r="DA188" s="56"/>
      <c r="DB188" s="56"/>
      <c r="DC188" s="56"/>
      <c r="DD188" s="56"/>
      <c r="DE188" s="56"/>
      <c r="DF188" s="56"/>
      <c r="DG188" s="56"/>
      <c r="DH188" s="56"/>
      <c r="DI188" s="56"/>
      <c r="DJ188" s="56"/>
      <c r="DK188" s="56"/>
      <c r="DL188" s="56"/>
      <c r="DM188" s="56"/>
      <c r="DN188" s="56"/>
      <c r="DO188" s="56"/>
      <c r="DP188" s="56"/>
      <c r="DQ188" s="56"/>
      <c r="DR188" s="56"/>
      <c r="DS188" s="56"/>
      <c r="DT188" s="56"/>
      <c r="DU188" s="56"/>
      <c r="DV188" s="56"/>
      <c r="DW188" s="56"/>
      <c r="DX188" s="56"/>
      <c r="DY188" s="56"/>
      <c r="DZ188" s="56"/>
      <c r="EA188" s="56"/>
      <c r="EB188" s="56"/>
      <c r="EC188" s="56"/>
      <c r="ED188" s="56"/>
      <c r="EE188" s="56"/>
      <c r="EF188" s="56"/>
      <c r="EG188" s="56"/>
      <c r="EH188" s="56"/>
      <c r="EI188" s="56"/>
      <c r="EJ188" s="56"/>
      <c r="EK188" s="56"/>
      <c r="EL188" s="56"/>
      <c r="EM188" s="56"/>
      <c r="EN188" s="56"/>
      <c r="EO188" s="56"/>
      <c r="EP188" s="56"/>
      <c r="EQ188" s="56"/>
      <c r="ER188" s="56"/>
      <c r="ES188" s="56"/>
      <c r="ET188" s="56"/>
      <c r="EU188" s="56"/>
      <c r="EV188" s="56"/>
      <c r="EW188" s="56"/>
      <c r="EX188" s="56"/>
      <c r="EY188" s="56"/>
      <c r="EZ188" s="56"/>
      <c r="FA188" s="56"/>
      <c r="FB188" s="56"/>
      <c r="FC188" s="56"/>
      <c r="FD188" s="56"/>
      <c r="FE188" s="56"/>
      <c r="FF188" s="56"/>
      <c r="FG188" s="56"/>
      <c r="FH188" s="56"/>
      <c r="FI188" s="56"/>
      <c r="FJ188" s="56"/>
      <c r="FK188" s="56"/>
      <c r="FL188" s="56"/>
      <c r="FM188" s="56"/>
      <c r="FN188" s="56"/>
      <c r="FO188" s="56"/>
      <c r="FP188" s="56"/>
      <c r="FQ188" s="56"/>
      <c r="FR188" s="56"/>
      <c r="FS188" s="56"/>
      <c r="FT188" s="56"/>
      <c r="FU188" s="56"/>
      <c r="FV188" s="56"/>
      <c r="FW188" s="56"/>
      <c r="FX188" s="56"/>
      <c r="FY188" s="56"/>
      <c r="FZ188" s="56"/>
      <c r="GA188" s="56"/>
      <c r="GB188" s="56"/>
      <c r="GC188" s="56"/>
      <c r="GD188" s="56"/>
      <c r="GE188" s="56"/>
      <c r="GF188" s="56"/>
      <c r="GG188" s="56"/>
      <c r="GH188" s="56"/>
      <c r="GI188" s="56"/>
      <c r="GJ188" s="56"/>
      <c r="GK188" s="56"/>
      <c r="GL188" s="56"/>
      <c r="GM188" s="56"/>
      <c r="GN188" s="56"/>
      <c r="GO188" s="56"/>
      <c r="GP188" s="56"/>
      <c r="GQ188" s="56"/>
      <c r="GR188" s="56"/>
      <c r="GS188" s="56"/>
      <c r="GT188" s="56"/>
      <c r="GU188" s="56"/>
      <c r="GV188" s="56"/>
      <c r="GW188" s="56"/>
      <c r="GX188" s="56"/>
      <c r="GY188" s="56"/>
      <c r="GZ188" s="56"/>
      <c r="HA188" s="56"/>
      <c r="HB188" s="56"/>
      <c r="HC188" s="56"/>
      <c r="HD188" s="56"/>
      <c r="HE188" s="56"/>
      <c r="HF188" s="56"/>
      <c r="HG188" s="56"/>
      <c r="HH188" s="56"/>
      <c r="HI188" s="56"/>
      <c r="HJ188" s="56"/>
    </row>
    <row r="189" spans="1:218" ht="15.75" customHeight="1" x14ac:dyDescent="0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  <c r="CZ189" s="56"/>
      <c r="DA189" s="56"/>
      <c r="DB189" s="56"/>
      <c r="DC189" s="56"/>
      <c r="DD189" s="56"/>
      <c r="DE189" s="56"/>
      <c r="DF189" s="56"/>
      <c r="DG189" s="56"/>
      <c r="DH189" s="56"/>
      <c r="DI189" s="56"/>
      <c r="DJ189" s="56"/>
      <c r="DK189" s="56"/>
      <c r="DL189" s="56"/>
      <c r="DM189" s="56"/>
      <c r="DN189" s="56"/>
      <c r="DO189" s="56"/>
      <c r="DP189" s="56"/>
      <c r="DQ189" s="56"/>
      <c r="DR189" s="56"/>
      <c r="DS189" s="56"/>
      <c r="DT189" s="56"/>
      <c r="DU189" s="56"/>
      <c r="DV189" s="56"/>
      <c r="DW189" s="56"/>
      <c r="DX189" s="56"/>
      <c r="DY189" s="56"/>
      <c r="DZ189" s="56"/>
      <c r="EA189" s="56"/>
      <c r="EB189" s="56"/>
      <c r="EC189" s="56"/>
      <c r="ED189" s="56"/>
      <c r="EE189" s="56"/>
      <c r="EF189" s="56"/>
      <c r="EG189" s="56"/>
      <c r="EH189" s="56"/>
      <c r="EI189" s="56"/>
      <c r="EJ189" s="56"/>
      <c r="EK189" s="56"/>
      <c r="EL189" s="56"/>
      <c r="EM189" s="56"/>
      <c r="EN189" s="56"/>
      <c r="EO189" s="56"/>
      <c r="EP189" s="56"/>
      <c r="EQ189" s="56"/>
      <c r="ER189" s="56"/>
      <c r="ES189" s="56"/>
      <c r="ET189" s="56"/>
      <c r="EU189" s="56"/>
      <c r="EV189" s="56"/>
      <c r="EW189" s="56"/>
      <c r="EX189" s="56"/>
      <c r="EY189" s="56"/>
      <c r="EZ189" s="56"/>
      <c r="FA189" s="56"/>
      <c r="FB189" s="56"/>
      <c r="FC189" s="56"/>
      <c r="FD189" s="56"/>
      <c r="FE189" s="56"/>
      <c r="FF189" s="56"/>
      <c r="FG189" s="56"/>
      <c r="FH189" s="56"/>
      <c r="FI189" s="56"/>
      <c r="FJ189" s="56"/>
      <c r="FK189" s="56"/>
      <c r="FL189" s="56"/>
      <c r="FM189" s="56"/>
      <c r="FN189" s="56"/>
      <c r="FO189" s="56"/>
      <c r="FP189" s="56"/>
      <c r="FQ189" s="56"/>
      <c r="FR189" s="56"/>
      <c r="FS189" s="56"/>
      <c r="FT189" s="56"/>
      <c r="FU189" s="56"/>
      <c r="FV189" s="56"/>
      <c r="FW189" s="56"/>
      <c r="FX189" s="56"/>
      <c r="FY189" s="56"/>
      <c r="FZ189" s="56"/>
      <c r="GA189" s="56"/>
      <c r="GB189" s="56"/>
      <c r="GC189" s="56"/>
      <c r="GD189" s="56"/>
      <c r="GE189" s="56"/>
      <c r="GF189" s="56"/>
      <c r="GG189" s="56"/>
      <c r="GH189" s="56"/>
      <c r="GI189" s="56"/>
      <c r="GJ189" s="56"/>
      <c r="GK189" s="56"/>
      <c r="GL189" s="56"/>
      <c r="GM189" s="56"/>
      <c r="GN189" s="56"/>
      <c r="GO189" s="56"/>
      <c r="GP189" s="56"/>
      <c r="GQ189" s="56"/>
      <c r="GR189" s="56"/>
      <c r="GS189" s="56"/>
      <c r="GT189" s="56"/>
      <c r="GU189" s="56"/>
      <c r="GV189" s="56"/>
      <c r="GW189" s="56"/>
      <c r="GX189" s="56"/>
      <c r="GY189" s="56"/>
      <c r="GZ189" s="56"/>
      <c r="HA189" s="56"/>
      <c r="HB189" s="56"/>
      <c r="HC189" s="56"/>
      <c r="HD189" s="56"/>
      <c r="HE189" s="56"/>
      <c r="HF189" s="56"/>
      <c r="HG189" s="56"/>
      <c r="HH189" s="56"/>
      <c r="HI189" s="56"/>
      <c r="HJ189" s="56"/>
    </row>
    <row r="190" spans="1:218" ht="15.75" customHeight="1" x14ac:dyDescent="0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  <c r="DQ190" s="56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56"/>
      <c r="EC190" s="56"/>
      <c r="ED190" s="56"/>
      <c r="EE190" s="56"/>
      <c r="EF190" s="56"/>
      <c r="EG190" s="56"/>
      <c r="EH190" s="56"/>
      <c r="EI190" s="56"/>
      <c r="EJ190" s="56"/>
      <c r="EK190" s="56"/>
      <c r="EL190" s="56"/>
      <c r="EM190" s="56"/>
      <c r="EN190" s="56"/>
      <c r="EO190" s="56"/>
      <c r="EP190" s="56"/>
      <c r="EQ190" s="56"/>
      <c r="ER190" s="56"/>
      <c r="ES190" s="56"/>
      <c r="ET190" s="56"/>
      <c r="EU190" s="56"/>
      <c r="EV190" s="56"/>
      <c r="EW190" s="56"/>
      <c r="EX190" s="56"/>
      <c r="EY190" s="56"/>
      <c r="EZ190" s="56"/>
      <c r="FA190" s="56"/>
      <c r="FB190" s="56"/>
      <c r="FC190" s="56"/>
      <c r="FD190" s="56"/>
      <c r="FE190" s="56"/>
      <c r="FF190" s="56"/>
      <c r="FG190" s="56"/>
      <c r="FH190" s="56"/>
      <c r="FI190" s="56"/>
      <c r="FJ190" s="56"/>
      <c r="FK190" s="56"/>
      <c r="FL190" s="56"/>
      <c r="FM190" s="56"/>
      <c r="FN190" s="56"/>
      <c r="FO190" s="56"/>
      <c r="FP190" s="56"/>
      <c r="FQ190" s="56"/>
      <c r="FR190" s="56"/>
      <c r="FS190" s="56"/>
      <c r="FT190" s="56"/>
      <c r="FU190" s="56"/>
      <c r="FV190" s="56"/>
      <c r="FW190" s="56"/>
      <c r="FX190" s="56"/>
      <c r="FY190" s="56"/>
      <c r="FZ190" s="56"/>
      <c r="GA190" s="56"/>
      <c r="GB190" s="56"/>
      <c r="GC190" s="56"/>
      <c r="GD190" s="56"/>
      <c r="GE190" s="56"/>
      <c r="GF190" s="56"/>
      <c r="GG190" s="56"/>
      <c r="GH190" s="56"/>
      <c r="GI190" s="56"/>
      <c r="GJ190" s="56"/>
      <c r="GK190" s="56"/>
      <c r="GL190" s="56"/>
      <c r="GM190" s="56"/>
      <c r="GN190" s="56"/>
      <c r="GO190" s="56"/>
      <c r="GP190" s="56"/>
      <c r="GQ190" s="56"/>
      <c r="GR190" s="56"/>
      <c r="GS190" s="56"/>
      <c r="GT190" s="56"/>
      <c r="GU190" s="56"/>
      <c r="GV190" s="56"/>
      <c r="GW190" s="56"/>
      <c r="GX190" s="56"/>
      <c r="GY190" s="56"/>
      <c r="GZ190" s="56"/>
      <c r="HA190" s="56"/>
      <c r="HB190" s="56"/>
      <c r="HC190" s="56"/>
      <c r="HD190" s="56"/>
      <c r="HE190" s="56"/>
      <c r="HF190" s="56"/>
      <c r="HG190" s="56"/>
      <c r="HH190" s="56"/>
      <c r="HI190" s="56"/>
      <c r="HJ190" s="56"/>
    </row>
    <row r="191" spans="1:218" ht="15.75" customHeight="1" x14ac:dyDescent="0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  <c r="CZ191" s="56"/>
      <c r="DA191" s="56"/>
      <c r="DB191" s="56"/>
      <c r="DC191" s="56"/>
      <c r="DD191" s="56"/>
      <c r="DE191" s="56"/>
      <c r="DF191" s="56"/>
      <c r="DG191" s="56"/>
      <c r="DH191" s="56"/>
      <c r="DI191" s="56"/>
      <c r="DJ191" s="56"/>
      <c r="DK191" s="56"/>
      <c r="DL191" s="56"/>
      <c r="DM191" s="56"/>
      <c r="DN191" s="56"/>
      <c r="DO191" s="56"/>
      <c r="DP191" s="56"/>
      <c r="DQ191" s="56"/>
      <c r="DR191" s="56"/>
      <c r="DS191" s="56"/>
      <c r="DT191" s="56"/>
      <c r="DU191" s="56"/>
      <c r="DV191" s="56"/>
      <c r="DW191" s="56"/>
      <c r="DX191" s="56"/>
      <c r="DY191" s="56"/>
      <c r="DZ191" s="56"/>
      <c r="EA191" s="56"/>
      <c r="EB191" s="56"/>
      <c r="EC191" s="56"/>
      <c r="ED191" s="56"/>
      <c r="EE191" s="56"/>
      <c r="EF191" s="56"/>
      <c r="EG191" s="56"/>
      <c r="EH191" s="56"/>
      <c r="EI191" s="56"/>
      <c r="EJ191" s="56"/>
      <c r="EK191" s="56"/>
      <c r="EL191" s="56"/>
      <c r="EM191" s="56"/>
      <c r="EN191" s="56"/>
      <c r="EO191" s="56"/>
      <c r="EP191" s="56"/>
      <c r="EQ191" s="56"/>
      <c r="ER191" s="56"/>
      <c r="ES191" s="56"/>
      <c r="ET191" s="56"/>
      <c r="EU191" s="56"/>
      <c r="EV191" s="56"/>
      <c r="EW191" s="56"/>
      <c r="EX191" s="56"/>
      <c r="EY191" s="56"/>
      <c r="EZ191" s="56"/>
      <c r="FA191" s="56"/>
      <c r="FB191" s="56"/>
      <c r="FC191" s="56"/>
      <c r="FD191" s="56"/>
      <c r="FE191" s="56"/>
      <c r="FF191" s="56"/>
      <c r="FG191" s="56"/>
      <c r="FH191" s="56"/>
      <c r="FI191" s="56"/>
      <c r="FJ191" s="56"/>
      <c r="FK191" s="56"/>
      <c r="FL191" s="56"/>
      <c r="FM191" s="56"/>
      <c r="FN191" s="56"/>
      <c r="FO191" s="56"/>
      <c r="FP191" s="56"/>
      <c r="FQ191" s="56"/>
      <c r="FR191" s="56"/>
      <c r="FS191" s="56"/>
      <c r="FT191" s="56"/>
      <c r="FU191" s="56"/>
      <c r="FV191" s="56"/>
      <c r="FW191" s="56"/>
      <c r="FX191" s="56"/>
      <c r="FY191" s="56"/>
      <c r="FZ191" s="56"/>
      <c r="GA191" s="56"/>
      <c r="GB191" s="56"/>
      <c r="GC191" s="56"/>
      <c r="GD191" s="56"/>
      <c r="GE191" s="56"/>
      <c r="GF191" s="56"/>
      <c r="GG191" s="56"/>
      <c r="GH191" s="56"/>
      <c r="GI191" s="56"/>
      <c r="GJ191" s="56"/>
      <c r="GK191" s="56"/>
      <c r="GL191" s="56"/>
      <c r="GM191" s="56"/>
      <c r="GN191" s="56"/>
      <c r="GO191" s="56"/>
      <c r="GP191" s="56"/>
      <c r="GQ191" s="56"/>
      <c r="GR191" s="56"/>
      <c r="GS191" s="56"/>
      <c r="GT191" s="56"/>
      <c r="GU191" s="56"/>
      <c r="GV191" s="56"/>
      <c r="GW191" s="56"/>
      <c r="GX191" s="56"/>
      <c r="GY191" s="56"/>
      <c r="GZ191" s="56"/>
      <c r="HA191" s="56"/>
      <c r="HB191" s="56"/>
      <c r="HC191" s="56"/>
      <c r="HD191" s="56"/>
      <c r="HE191" s="56"/>
      <c r="HF191" s="56"/>
      <c r="HG191" s="56"/>
      <c r="HH191" s="56"/>
      <c r="HI191" s="56"/>
      <c r="HJ191" s="56"/>
    </row>
    <row r="192" spans="1:218" ht="15.75" customHeight="1" x14ac:dyDescent="0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  <c r="CW192" s="56"/>
      <c r="CX192" s="56"/>
      <c r="CY192" s="56"/>
      <c r="CZ192" s="56"/>
      <c r="DA192" s="56"/>
      <c r="DB192" s="56"/>
      <c r="DC192" s="56"/>
      <c r="DD192" s="56"/>
      <c r="DE192" s="56"/>
      <c r="DF192" s="56"/>
      <c r="DG192" s="56"/>
      <c r="DH192" s="56"/>
      <c r="DI192" s="56"/>
      <c r="DJ192" s="56"/>
      <c r="DK192" s="56"/>
      <c r="DL192" s="56"/>
      <c r="DM192" s="56"/>
      <c r="DN192" s="56"/>
      <c r="DO192" s="56"/>
      <c r="DP192" s="56"/>
      <c r="DQ192" s="56"/>
      <c r="DR192" s="56"/>
      <c r="DS192" s="56"/>
      <c r="DT192" s="56"/>
      <c r="DU192" s="56"/>
      <c r="DV192" s="56"/>
      <c r="DW192" s="56"/>
      <c r="DX192" s="56"/>
      <c r="DY192" s="56"/>
      <c r="DZ192" s="56"/>
      <c r="EA192" s="56"/>
      <c r="EB192" s="56"/>
      <c r="EC192" s="56"/>
      <c r="ED192" s="56"/>
      <c r="EE192" s="56"/>
      <c r="EF192" s="56"/>
      <c r="EG192" s="56"/>
      <c r="EH192" s="56"/>
      <c r="EI192" s="56"/>
      <c r="EJ192" s="56"/>
      <c r="EK192" s="56"/>
      <c r="EL192" s="56"/>
      <c r="EM192" s="56"/>
      <c r="EN192" s="56"/>
      <c r="EO192" s="56"/>
      <c r="EP192" s="56"/>
      <c r="EQ192" s="56"/>
      <c r="ER192" s="56"/>
      <c r="ES192" s="56"/>
      <c r="ET192" s="56"/>
      <c r="EU192" s="56"/>
      <c r="EV192" s="56"/>
      <c r="EW192" s="56"/>
      <c r="EX192" s="56"/>
      <c r="EY192" s="56"/>
      <c r="EZ192" s="56"/>
      <c r="FA192" s="56"/>
      <c r="FB192" s="56"/>
      <c r="FC192" s="56"/>
      <c r="FD192" s="56"/>
      <c r="FE192" s="56"/>
      <c r="FF192" s="56"/>
      <c r="FG192" s="56"/>
      <c r="FH192" s="56"/>
      <c r="FI192" s="56"/>
      <c r="FJ192" s="56"/>
      <c r="FK192" s="56"/>
      <c r="FL192" s="56"/>
      <c r="FM192" s="56"/>
      <c r="FN192" s="56"/>
      <c r="FO192" s="56"/>
      <c r="FP192" s="56"/>
      <c r="FQ192" s="56"/>
      <c r="FR192" s="56"/>
      <c r="FS192" s="56"/>
      <c r="FT192" s="56"/>
      <c r="FU192" s="56"/>
      <c r="FV192" s="56"/>
      <c r="FW192" s="56"/>
      <c r="FX192" s="56"/>
      <c r="FY192" s="56"/>
      <c r="FZ192" s="56"/>
      <c r="GA192" s="56"/>
      <c r="GB192" s="56"/>
      <c r="GC192" s="56"/>
      <c r="GD192" s="56"/>
      <c r="GE192" s="56"/>
      <c r="GF192" s="56"/>
      <c r="GG192" s="56"/>
      <c r="GH192" s="56"/>
      <c r="GI192" s="56"/>
      <c r="GJ192" s="56"/>
      <c r="GK192" s="56"/>
      <c r="GL192" s="56"/>
      <c r="GM192" s="56"/>
      <c r="GN192" s="56"/>
      <c r="GO192" s="56"/>
      <c r="GP192" s="56"/>
      <c r="GQ192" s="56"/>
      <c r="GR192" s="56"/>
      <c r="GS192" s="56"/>
      <c r="GT192" s="56"/>
      <c r="GU192" s="56"/>
      <c r="GV192" s="56"/>
      <c r="GW192" s="56"/>
      <c r="GX192" s="56"/>
      <c r="GY192" s="56"/>
      <c r="GZ192" s="56"/>
      <c r="HA192" s="56"/>
      <c r="HB192" s="56"/>
      <c r="HC192" s="56"/>
      <c r="HD192" s="56"/>
      <c r="HE192" s="56"/>
      <c r="HF192" s="56"/>
      <c r="HG192" s="56"/>
      <c r="HH192" s="56"/>
      <c r="HI192" s="56"/>
      <c r="HJ192" s="56"/>
    </row>
    <row r="193" spans="1:218" ht="15.75" customHeight="1" x14ac:dyDescent="0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  <c r="CW193" s="56"/>
      <c r="CX193" s="56"/>
      <c r="CY193" s="56"/>
      <c r="CZ193" s="56"/>
      <c r="DA193" s="56"/>
      <c r="DB193" s="56"/>
      <c r="DC193" s="56"/>
      <c r="DD193" s="56"/>
      <c r="DE193" s="56"/>
      <c r="DF193" s="56"/>
      <c r="DG193" s="56"/>
      <c r="DH193" s="56"/>
      <c r="DI193" s="56"/>
      <c r="DJ193" s="56"/>
      <c r="DK193" s="56"/>
      <c r="DL193" s="56"/>
      <c r="DM193" s="56"/>
      <c r="DN193" s="56"/>
      <c r="DO193" s="56"/>
      <c r="DP193" s="56"/>
      <c r="DQ193" s="56"/>
      <c r="DR193" s="56"/>
      <c r="DS193" s="56"/>
      <c r="DT193" s="56"/>
      <c r="DU193" s="56"/>
      <c r="DV193" s="56"/>
      <c r="DW193" s="56"/>
      <c r="DX193" s="56"/>
      <c r="DY193" s="56"/>
      <c r="DZ193" s="56"/>
      <c r="EA193" s="56"/>
      <c r="EB193" s="56"/>
      <c r="EC193" s="56"/>
      <c r="ED193" s="56"/>
      <c r="EE193" s="56"/>
      <c r="EF193" s="56"/>
      <c r="EG193" s="56"/>
      <c r="EH193" s="56"/>
      <c r="EI193" s="56"/>
      <c r="EJ193" s="56"/>
      <c r="EK193" s="56"/>
      <c r="EL193" s="56"/>
      <c r="EM193" s="56"/>
      <c r="EN193" s="56"/>
      <c r="EO193" s="56"/>
      <c r="EP193" s="56"/>
      <c r="EQ193" s="56"/>
      <c r="ER193" s="56"/>
      <c r="ES193" s="56"/>
      <c r="ET193" s="56"/>
      <c r="EU193" s="56"/>
      <c r="EV193" s="56"/>
      <c r="EW193" s="56"/>
      <c r="EX193" s="56"/>
      <c r="EY193" s="56"/>
      <c r="EZ193" s="56"/>
      <c r="FA193" s="56"/>
      <c r="FB193" s="56"/>
      <c r="FC193" s="56"/>
      <c r="FD193" s="56"/>
      <c r="FE193" s="56"/>
      <c r="FF193" s="56"/>
      <c r="FG193" s="56"/>
      <c r="FH193" s="56"/>
      <c r="FI193" s="56"/>
      <c r="FJ193" s="56"/>
      <c r="FK193" s="56"/>
      <c r="FL193" s="56"/>
      <c r="FM193" s="56"/>
      <c r="FN193" s="56"/>
      <c r="FO193" s="56"/>
      <c r="FP193" s="56"/>
      <c r="FQ193" s="56"/>
      <c r="FR193" s="56"/>
      <c r="FS193" s="56"/>
      <c r="FT193" s="56"/>
      <c r="FU193" s="56"/>
      <c r="FV193" s="56"/>
      <c r="FW193" s="56"/>
      <c r="FX193" s="56"/>
      <c r="FY193" s="56"/>
      <c r="FZ193" s="56"/>
      <c r="GA193" s="56"/>
      <c r="GB193" s="56"/>
      <c r="GC193" s="56"/>
      <c r="GD193" s="56"/>
      <c r="GE193" s="56"/>
      <c r="GF193" s="56"/>
      <c r="GG193" s="56"/>
      <c r="GH193" s="56"/>
      <c r="GI193" s="56"/>
      <c r="GJ193" s="56"/>
      <c r="GK193" s="56"/>
      <c r="GL193" s="56"/>
      <c r="GM193" s="56"/>
      <c r="GN193" s="56"/>
      <c r="GO193" s="56"/>
      <c r="GP193" s="56"/>
      <c r="GQ193" s="56"/>
      <c r="GR193" s="56"/>
      <c r="GS193" s="56"/>
      <c r="GT193" s="56"/>
      <c r="GU193" s="56"/>
      <c r="GV193" s="56"/>
      <c r="GW193" s="56"/>
      <c r="GX193" s="56"/>
      <c r="GY193" s="56"/>
      <c r="GZ193" s="56"/>
      <c r="HA193" s="56"/>
      <c r="HB193" s="56"/>
      <c r="HC193" s="56"/>
      <c r="HD193" s="56"/>
      <c r="HE193" s="56"/>
      <c r="HF193" s="56"/>
      <c r="HG193" s="56"/>
      <c r="HH193" s="56"/>
      <c r="HI193" s="56"/>
      <c r="HJ193" s="56"/>
    </row>
    <row r="194" spans="1:218" ht="15.75" customHeight="1" x14ac:dyDescent="0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  <c r="CW194" s="56"/>
      <c r="CX194" s="56"/>
      <c r="CY194" s="56"/>
      <c r="CZ194" s="56"/>
      <c r="DA194" s="56"/>
      <c r="DB194" s="56"/>
      <c r="DC194" s="56"/>
      <c r="DD194" s="56"/>
      <c r="DE194" s="56"/>
      <c r="DF194" s="56"/>
      <c r="DG194" s="56"/>
      <c r="DH194" s="56"/>
      <c r="DI194" s="56"/>
      <c r="DJ194" s="56"/>
      <c r="DK194" s="56"/>
      <c r="DL194" s="56"/>
      <c r="DM194" s="56"/>
      <c r="DN194" s="56"/>
      <c r="DO194" s="56"/>
      <c r="DP194" s="56"/>
      <c r="DQ194" s="56"/>
      <c r="DR194" s="56"/>
      <c r="DS194" s="56"/>
      <c r="DT194" s="56"/>
      <c r="DU194" s="56"/>
      <c r="DV194" s="56"/>
      <c r="DW194" s="56"/>
      <c r="DX194" s="56"/>
      <c r="DY194" s="56"/>
      <c r="DZ194" s="56"/>
      <c r="EA194" s="56"/>
      <c r="EB194" s="56"/>
      <c r="EC194" s="56"/>
      <c r="ED194" s="56"/>
      <c r="EE194" s="56"/>
      <c r="EF194" s="56"/>
      <c r="EG194" s="56"/>
      <c r="EH194" s="56"/>
      <c r="EI194" s="56"/>
      <c r="EJ194" s="56"/>
      <c r="EK194" s="56"/>
      <c r="EL194" s="56"/>
      <c r="EM194" s="56"/>
      <c r="EN194" s="56"/>
      <c r="EO194" s="56"/>
      <c r="EP194" s="56"/>
      <c r="EQ194" s="56"/>
      <c r="ER194" s="56"/>
      <c r="ES194" s="56"/>
      <c r="ET194" s="56"/>
      <c r="EU194" s="56"/>
      <c r="EV194" s="56"/>
      <c r="EW194" s="56"/>
      <c r="EX194" s="56"/>
      <c r="EY194" s="56"/>
      <c r="EZ194" s="56"/>
      <c r="FA194" s="56"/>
      <c r="FB194" s="56"/>
      <c r="FC194" s="56"/>
      <c r="FD194" s="56"/>
      <c r="FE194" s="56"/>
      <c r="FF194" s="56"/>
      <c r="FG194" s="56"/>
      <c r="FH194" s="56"/>
      <c r="FI194" s="56"/>
      <c r="FJ194" s="56"/>
      <c r="FK194" s="56"/>
      <c r="FL194" s="56"/>
      <c r="FM194" s="56"/>
      <c r="FN194" s="56"/>
      <c r="FO194" s="56"/>
      <c r="FP194" s="56"/>
      <c r="FQ194" s="56"/>
      <c r="FR194" s="56"/>
      <c r="FS194" s="56"/>
      <c r="FT194" s="56"/>
      <c r="FU194" s="56"/>
      <c r="FV194" s="56"/>
      <c r="FW194" s="56"/>
      <c r="FX194" s="56"/>
      <c r="FY194" s="56"/>
      <c r="FZ194" s="56"/>
      <c r="GA194" s="56"/>
      <c r="GB194" s="56"/>
      <c r="GC194" s="56"/>
      <c r="GD194" s="56"/>
      <c r="GE194" s="56"/>
      <c r="GF194" s="56"/>
      <c r="GG194" s="56"/>
      <c r="GH194" s="56"/>
      <c r="GI194" s="56"/>
      <c r="GJ194" s="56"/>
      <c r="GK194" s="56"/>
      <c r="GL194" s="56"/>
      <c r="GM194" s="56"/>
      <c r="GN194" s="56"/>
      <c r="GO194" s="56"/>
      <c r="GP194" s="56"/>
      <c r="GQ194" s="56"/>
      <c r="GR194" s="56"/>
      <c r="GS194" s="56"/>
      <c r="GT194" s="56"/>
      <c r="GU194" s="56"/>
      <c r="GV194" s="56"/>
      <c r="GW194" s="56"/>
      <c r="GX194" s="56"/>
      <c r="GY194" s="56"/>
      <c r="GZ194" s="56"/>
      <c r="HA194" s="56"/>
      <c r="HB194" s="56"/>
      <c r="HC194" s="56"/>
      <c r="HD194" s="56"/>
      <c r="HE194" s="56"/>
      <c r="HF194" s="56"/>
      <c r="HG194" s="56"/>
      <c r="HH194" s="56"/>
      <c r="HI194" s="56"/>
      <c r="HJ194" s="56"/>
    </row>
    <row r="195" spans="1:218" ht="15.75" customHeight="1" x14ac:dyDescent="0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  <c r="CW195" s="56"/>
      <c r="CX195" s="56"/>
      <c r="CY195" s="56"/>
      <c r="CZ195" s="56"/>
      <c r="DA195" s="56"/>
      <c r="DB195" s="56"/>
      <c r="DC195" s="56"/>
      <c r="DD195" s="56"/>
      <c r="DE195" s="56"/>
      <c r="DF195" s="56"/>
      <c r="DG195" s="56"/>
      <c r="DH195" s="56"/>
      <c r="DI195" s="56"/>
      <c r="DJ195" s="56"/>
      <c r="DK195" s="56"/>
      <c r="DL195" s="56"/>
      <c r="DM195" s="56"/>
      <c r="DN195" s="56"/>
      <c r="DO195" s="56"/>
      <c r="DP195" s="56"/>
      <c r="DQ195" s="56"/>
      <c r="DR195" s="56"/>
      <c r="DS195" s="56"/>
      <c r="DT195" s="56"/>
      <c r="DU195" s="56"/>
      <c r="DV195" s="56"/>
      <c r="DW195" s="56"/>
      <c r="DX195" s="56"/>
      <c r="DY195" s="56"/>
      <c r="DZ195" s="56"/>
      <c r="EA195" s="56"/>
      <c r="EB195" s="56"/>
      <c r="EC195" s="56"/>
      <c r="ED195" s="56"/>
      <c r="EE195" s="56"/>
      <c r="EF195" s="56"/>
      <c r="EG195" s="56"/>
      <c r="EH195" s="56"/>
      <c r="EI195" s="56"/>
      <c r="EJ195" s="56"/>
      <c r="EK195" s="56"/>
      <c r="EL195" s="56"/>
      <c r="EM195" s="56"/>
      <c r="EN195" s="56"/>
      <c r="EO195" s="56"/>
      <c r="EP195" s="56"/>
      <c r="EQ195" s="56"/>
      <c r="ER195" s="56"/>
      <c r="ES195" s="56"/>
      <c r="ET195" s="56"/>
      <c r="EU195" s="56"/>
      <c r="EV195" s="56"/>
      <c r="EW195" s="56"/>
      <c r="EX195" s="56"/>
      <c r="EY195" s="56"/>
      <c r="EZ195" s="56"/>
      <c r="FA195" s="56"/>
      <c r="FB195" s="56"/>
      <c r="FC195" s="56"/>
      <c r="FD195" s="56"/>
      <c r="FE195" s="56"/>
      <c r="FF195" s="56"/>
      <c r="FG195" s="56"/>
      <c r="FH195" s="56"/>
      <c r="FI195" s="56"/>
      <c r="FJ195" s="56"/>
      <c r="FK195" s="56"/>
      <c r="FL195" s="56"/>
      <c r="FM195" s="56"/>
      <c r="FN195" s="56"/>
      <c r="FO195" s="56"/>
      <c r="FP195" s="56"/>
      <c r="FQ195" s="56"/>
      <c r="FR195" s="56"/>
      <c r="FS195" s="56"/>
      <c r="FT195" s="56"/>
      <c r="FU195" s="56"/>
      <c r="FV195" s="56"/>
      <c r="FW195" s="56"/>
      <c r="FX195" s="56"/>
      <c r="FY195" s="56"/>
      <c r="FZ195" s="56"/>
      <c r="GA195" s="56"/>
      <c r="GB195" s="56"/>
      <c r="GC195" s="56"/>
      <c r="GD195" s="56"/>
      <c r="GE195" s="56"/>
      <c r="GF195" s="56"/>
      <c r="GG195" s="56"/>
      <c r="GH195" s="56"/>
      <c r="GI195" s="56"/>
      <c r="GJ195" s="56"/>
      <c r="GK195" s="56"/>
      <c r="GL195" s="56"/>
      <c r="GM195" s="56"/>
      <c r="GN195" s="56"/>
      <c r="GO195" s="56"/>
      <c r="GP195" s="56"/>
      <c r="GQ195" s="56"/>
      <c r="GR195" s="56"/>
      <c r="GS195" s="56"/>
      <c r="GT195" s="56"/>
      <c r="GU195" s="56"/>
      <c r="GV195" s="56"/>
      <c r="GW195" s="56"/>
      <c r="GX195" s="56"/>
      <c r="GY195" s="56"/>
      <c r="GZ195" s="56"/>
      <c r="HA195" s="56"/>
      <c r="HB195" s="56"/>
      <c r="HC195" s="56"/>
      <c r="HD195" s="56"/>
      <c r="HE195" s="56"/>
      <c r="HF195" s="56"/>
      <c r="HG195" s="56"/>
      <c r="HH195" s="56"/>
      <c r="HI195" s="56"/>
      <c r="HJ195" s="56"/>
    </row>
    <row r="196" spans="1:218" ht="15.75" customHeight="1" x14ac:dyDescent="0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  <c r="CT196" s="56"/>
      <c r="CU196" s="56"/>
      <c r="CV196" s="56"/>
      <c r="CW196" s="56"/>
      <c r="CX196" s="56"/>
      <c r="CY196" s="56"/>
      <c r="CZ196" s="56"/>
      <c r="DA196" s="56"/>
      <c r="DB196" s="56"/>
      <c r="DC196" s="56"/>
      <c r="DD196" s="56"/>
      <c r="DE196" s="56"/>
      <c r="DF196" s="56"/>
      <c r="DG196" s="56"/>
      <c r="DH196" s="56"/>
      <c r="DI196" s="56"/>
      <c r="DJ196" s="56"/>
      <c r="DK196" s="56"/>
      <c r="DL196" s="56"/>
      <c r="DM196" s="56"/>
      <c r="DN196" s="56"/>
      <c r="DO196" s="56"/>
      <c r="DP196" s="56"/>
      <c r="DQ196" s="56"/>
      <c r="DR196" s="56"/>
      <c r="DS196" s="56"/>
      <c r="DT196" s="56"/>
      <c r="DU196" s="56"/>
      <c r="DV196" s="56"/>
      <c r="DW196" s="56"/>
      <c r="DX196" s="56"/>
      <c r="DY196" s="56"/>
      <c r="DZ196" s="56"/>
      <c r="EA196" s="56"/>
      <c r="EB196" s="56"/>
      <c r="EC196" s="56"/>
      <c r="ED196" s="56"/>
      <c r="EE196" s="56"/>
      <c r="EF196" s="56"/>
      <c r="EG196" s="56"/>
      <c r="EH196" s="56"/>
      <c r="EI196" s="56"/>
      <c r="EJ196" s="56"/>
      <c r="EK196" s="56"/>
      <c r="EL196" s="56"/>
      <c r="EM196" s="56"/>
      <c r="EN196" s="56"/>
      <c r="EO196" s="56"/>
      <c r="EP196" s="56"/>
      <c r="EQ196" s="56"/>
      <c r="ER196" s="56"/>
      <c r="ES196" s="56"/>
      <c r="ET196" s="56"/>
      <c r="EU196" s="56"/>
      <c r="EV196" s="56"/>
      <c r="EW196" s="56"/>
      <c r="EX196" s="56"/>
      <c r="EY196" s="56"/>
      <c r="EZ196" s="56"/>
      <c r="FA196" s="56"/>
      <c r="FB196" s="56"/>
      <c r="FC196" s="56"/>
      <c r="FD196" s="56"/>
      <c r="FE196" s="56"/>
      <c r="FF196" s="56"/>
      <c r="FG196" s="56"/>
      <c r="FH196" s="56"/>
      <c r="FI196" s="56"/>
      <c r="FJ196" s="56"/>
      <c r="FK196" s="56"/>
      <c r="FL196" s="56"/>
      <c r="FM196" s="56"/>
      <c r="FN196" s="56"/>
      <c r="FO196" s="56"/>
      <c r="FP196" s="56"/>
      <c r="FQ196" s="56"/>
      <c r="FR196" s="56"/>
      <c r="FS196" s="56"/>
      <c r="FT196" s="56"/>
      <c r="FU196" s="56"/>
      <c r="FV196" s="56"/>
      <c r="FW196" s="56"/>
      <c r="FX196" s="56"/>
      <c r="FY196" s="56"/>
      <c r="FZ196" s="56"/>
      <c r="GA196" s="56"/>
      <c r="GB196" s="56"/>
      <c r="GC196" s="56"/>
      <c r="GD196" s="56"/>
      <c r="GE196" s="56"/>
      <c r="GF196" s="56"/>
      <c r="GG196" s="56"/>
      <c r="GH196" s="56"/>
      <c r="GI196" s="56"/>
      <c r="GJ196" s="56"/>
      <c r="GK196" s="56"/>
      <c r="GL196" s="56"/>
      <c r="GM196" s="56"/>
      <c r="GN196" s="56"/>
      <c r="GO196" s="56"/>
      <c r="GP196" s="56"/>
      <c r="GQ196" s="56"/>
      <c r="GR196" s="56"/>
      <c r="GS196" s="56"/>
      <c r="GT196" s="56"/>
      <c r="GU196" s="56"/>
      <c r="GV196" s="56"/>
      <c r="GW196" s="56"/>
      <c r="GX196" s="56"/>
      <c r="GY196" s="56"/>
      <c r="GZ196" s="56"/>
      <c r="HA196" s="56"/>
      <c r="HB196" s="56"/>
      <c r="HC196" s="56"/>
      <c r="HD196" s="56"/>
      <c r="HE196" s="56"/>
      <c r="HF196" s="56"/>
      <c r="HG196" s="56"/>
      <c r="HH196" s="56"/>
      <c r="HI196" s="56"/>
      <c r="HJ196" s="56"/>
    </row>
    <row r="197" spans="1:218" ht="15.75" customHeight="1" x14ac:dyDescent="0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  <c r="CS197" s="56"/>
      <c r="CT197" s="56"/>
      <c r="CU197" s="56"/>
      <c r="CV197" s="56"/>
      <c r="CW197" s="56"/>
      <c r="CX197" s="56"/>
      <c r="CY197" s="56"/>
      <c r="CZ197" s="56"/>
      <c r="DA197" s="56"/>
      <c r="DB197" s="56"/>
      <c r="DC197" s="56"/>
      <c r="DD197" s="56"/>
      <c r="DE197" s="56"/>
      <c r="DF197" s="56"/>
      <c r="DG197" s="56"/>
      <c r="DH197" s="56"/>
      <c r="DI197" s="56"/>
      <c r="DJ197" s="56"/>
      <c r="DK197" s="56"/>
      <c r="DL197" s="56"/>
      <c r="DM197" s="56"/>
      <c r="DN197" s="56"/>
      <c r="DO197" s="56"/>
      <c r="DP197" s="56"/>
      <c r="DQ197" s="56"/>
      <c r="DR197" s="56"/>
      <c r="DS197" s="56"/>
      <c r="DT197" s="56"/>
      <c r="DU197" s="56"/>
      <c r="DV197" s="56"/>
      <c r="DW197" s="56"/>
      <c r="DX197" s="56"/>
      <c r="DY197" s="56"/>
      <c r="DZ197" s="56"/>
      <c r="EA197" s="56"/>
      <c r="EB197" s="56"/>
      <c r="EC197" s="56"/>
      <c r="ED197" s="56"/>
      <c r="EE197" s="56"/>
      <c r="EF197" s="56"/>
      <c r="EG197" s="56"/>
      <c r="EH197" s="56"/>
      <c r="EI197" s="56"/>
      <c r="EJ197" s="56"/>
      <c r="EK197" s="56"/>
      <c r="EL197" s="56"/>
      <c r="EM197" s="56"/>
      <c r="EN197" s="56"/>
      <c r="EO197" s="56"/>
      <c r="EP197" s="56"/>
      <c r="EQ197" s="56"/>
      <c r="ER197" s="56"/>
      <c r="ES197" s="56"/>
      <c r="ET197" s="56"/>
      <c r="EU197" s="56"/>
      <c r="EV197" s="56"/>
      <c r="EW197" s="56"/>
      <c r="EX197" s="56"/>
      <c r="EY197" s="56"/>
      <c r="EZ197" s="56"/>
      <c r="FA197" s="56"/>
      <c r="FB197" s="56"/>
      <c r="FC197" s="56"/>
      <c r="FD197" s="56"/>
      <c r="FE197" s="56"/>
      <c r="FF197" s="56"/>
      <c r="FG197" s="56"/>
      <c r="FH197" s="56"/>
      <c r="FI197" s="56"/>
      <c r="FJ197" s="56"/>
      <c r="FK197" s="56"/>
      <c r="FL197" s="56"/>
      <c r="FM197" s="56"/>
      <c r="FN197" s="56"/>
      <c r="FO197" s="56"/>
      <c r="FP197" s="56"/>
      <c r="FQ197" s="56"/>
      <c r="FR197" s="56"/>
      <c r="FS197" s="56"/>
      <c r="FT197" s="56"/>
      <c r="FU197" s="56"/>
      <c r="FV197" s="56"/>
      <c r="FW197" s="56"/>
      <c r="FX197" s="56"/>
      <c r="FY197" s="56"/>
      <c r="FZ197" s="56"/>
      <c r="GA197" s="56"/>
      <c r="GB197" s="56"/>
      <c r="GC197" s="56"/>
      <c r="GD197" s="56"/>
      <c r="GE197" s="56"/>
      <c r="GF197" s="56"/>
      <c r="GG197" s="56"/>
      <c r="GH197" s="56"/>
      <c r="GI197" s="56"/>
      <c r="GJ197" s="56"/>
      <c r="GK197" s="56"/>
      <c r="GL197" s="56"/>
      <c r="GM197" s="56"/>
      <c r="GN197" s="56"/>
      <c r="GO197" s="56"/>
      <c r="GP197" s="56"/>
      <c r="GQ197" s="56"/>
      <c r="GR197" s="56"/>
      <c r="GS197" s="56"/>
      <c r="GT197" s="56"/>
      <c r="GU197" s="56"/>
      <c r="GV197" s="56"/>
      <c r="GW197" s="56"/>
      <c r="GX197" s="56"/>
      <c r="GY197" s="56"/>
      <c r="GZ197" s="56"/>
      <c r="HA197" s="56"/>
      <c r="HB197" s="56"/>
      <c r="HC197" s="56"/>
      <c r="HD197" s="56"/>
      <c r="HE197" s="56"/>
      <c r="HF197" s="56"/>
      <c r="HG197" s="56"/>
      <c r="HH197" s="56"/>
      <c r="HI197" s="56"/>
      <c r="HJ197" s="56"/>
    </row>
    <row r="198" spans="1:218" ht="15.75" customHeight="1" x14ac:dyDescent="0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6"/>
      <c r="CV198" s="56"/>
      <c r="CW198" s="56"/>
      <c r="CX198" s="56"/>
      <c r="CY198" s="56"/>
      <c r="CZ198" s="56"/>
      <c r="DA198" s="56"/>
      <c r="DB198" s="56"/>
      <c r="DC198" s="56"/>
      <c r="DD198" s="56"/>
      <c r="DE198" s="56"/>
      <c r="DF198" s="56"/>
      <c r="DG198" s="56"/>
      <c r="DH198" s="56"/>
      <c r="DI198" s="56"/>
      <c r="DJ198" s="56"/>
      <c r="DK198" s="56"/>
      <c r="DL198" s="56"/>
      <c r="DM198" s="56"/>
      <c r="DN198" s="56"/>
      <c r="DO198" s="56"/>
      <c r="DP198" s="56"/>
      <c r="DQ198" s="56"/>
      <c r="DR198" s="56"/>
      <c r="DS198" s="56"/>
      <c r="DT198" s="56"/>
      <c r="DU198" s="56"/>
      <c r="DV198" s="56"/>
      <c r="DW198" s="56"/>
      <c r="DX198" s="56"/>
      <c r="DY198" s="56"/>
      <c r="DZ198" s="56"/>
      <c r="EA198" s="56"/>
      <c r="EB198" s="56"/>
      <c r="EC198" s="56"/>
      <c r="ED198" s="56"/>
      <c r="EE198" s="56"/>
      <c r="EF198" s="56"/>
      <c r="EG198" s="56"/>
      <c r="EH198" s="56"/>
      <c r="EI198" s="56"/>
      <c r="EJ198" s="56"/>
      <c r="EK198" s="56"/>
      <c r="EL198" s="56"/>
      <c r="EM198" s="56"/>
      <c r="EN198" s="56"/>
      <c r="EO198" s="56"/>
      <c r="EP198" s="56"/>
      <c r="EQ198" s="56"/>
      <c r="ER198" s="56"/>
      <c r="ES198" s="56"/>
      <c r="ET198" s="56"/>
      <c r="EU198" s="56"/>
      <c r="EV198" s="56"/>
      <c r="EW198" s="56"/>
      <c r="EX198" s="56"/>
      <c r="EY198" s="56"/>
      <c r="EZ198" s="56"/>
      <c r="FA198" s="56"/>
      <c r="FB198" s="56"/>
      <c r="FC198" s="56"/>
      <c r="FD198" s="56"/>
      <c r="FE198" s="56"/>
      <c r="FF198" s="56"/>
      <c r="FG198" s="56"/>
      <c r="FH198" s="56"/>
      <c r="FI198" s="56"/>
      <c r="FJ198" s="56"/>
      <c r="FK198" s="56"/>
      <c r="FL198" s="56"/>
      <c r="FM198" s="56"/>
      <c r="FN198" s="56"/>
      <c r="FO198" s="56"/>
      <c r="FP198" s="56"/>
      <c r="FQ198" s="56"/>
      <c r="FR198" s="56"/>
      <c r="FS198" s="56"/>
      <c r="FT198" s="56"/>
      <c r="FU198" s="56"/>
      <c r="FV198" s="56"/>
      <c r="FW198" s="56"/>
      <c r="FX198" s="56"/>
      <c r="FY198" s="56"/>
      <c r="FZ198" s="56"/>
      <c r="GA198" s="56"/>
      <c r="GB198" s="56"/>
      <c r="GC198" s="56"/>
      <c r="GD198" s="56"/>
      <c r="GE198" s="56"/>
      <c r="GF198" s="56"/>
      <c r="GG198" s="56"/>
      <c r="GH198" s="56"/>
      <c r="GI198" s="56"/>
      <c r="GJ198" s="56"/>
      <c r="GK198" s="56"/>
      <c r="GL198" s="56"/>
      <c r="GM198" s="56"/>
      <c r="GN198" s="56"/>
      <c r="GO198" s="56"/>
      <c r="GP198" s="56"/>
      <c r="GQ198" s="56"/>
      <c r="GR198" s="56"/>
      <c r="GS198" s="56"/>
      <c r="GT198" s="56"/>
      <c r="GU198" s="56"/>
      <c r="GV198" s="56"/>
      <c r="GW198" s="56"/>
      <c r="GX198" s="56"/>
      <c r="GY198" s="56"/>
      <c r="GZ198" s="56"/>
      <c r="HA198" s="56"/>
      <c r="HB198" s="56"/>
      <c r="HC198" s="56"/>
      <c r="HD198" s="56"/>
      <c r="HE198" s="56"/>
      <c r="HF198" s="56"/>
      <c r="HG198" s="56"/>
      <c r="HH198" s="56"/>
      <c r="HI198" s="56"/>
      <c r="HJ198" s="56"/>
    </row>
    <row r="199" spans="1:218" ht="15.75" customHeight="1" x14ac:dyDescent="0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  <c r="CZ199" s="56"/>
      <c r="DA199" s="56"/>
      <c r="DB199" s="56"/>
      <c r="DC199" s="56"/>
      <c r="DD199" s="56"/>
      <c r="DE199" s="56"/>
      <c r="DF199" s="56"/>
      <c r="DG199" s="56"/>
      <c r="DH199" s="56"/>
      <c r="DI199" s="56"/>
      <c r="DJ199" s="56"/>
      <c r="DK199" s="56"/>
      <c r="DL199" s="56"/>
      <c r="DM199" s="56"/>
      <c r="DN199" s="56"/>
      <c r="DO199" s="56"/>
      <c r="DP199" s="56"/>
      <c r="DQ199" s="56"/>
      <c r="DR199" s="56"/>
      <c r="DS199" s="56"/>
      <c r="DT199" s="56"/>
      <c r="DU199" s="56"/>
      <c r="DV199" s="56"/>
      <c r="DW199" s="56"/>
      <c r="DX199" s="56"/>
      <c r="DY199" s="56"/>
      <c r="DZ199" s="56"/>
      <c r="EA199" s="56"/>
      <c r="EB199" s="56"/>
      <c r="EC199" s="56"/>
      <c r="ED199" s="56"/>
      <c r="EE199" s="56"/>
      <c r="EF199" s="56"/>
      <c r="EG199" s="56"/>
      <c r="EH199" s="56"/>
      <c r="EI199" s="56"/>
      <c r="EJ199" s="56"/>
      <c r="EK199" s="56"/>
      <c r="EL199" s="56"/>
      <c r="EM199" s="56"/>
      <c r="EN199" s="56"/>
      <c r="EO199" s="56"/>
      <c r="EP199" s="56"/>
      <c r="EQ199" s="56"/>
      <c r="ER199" s="56"/>
      <c r="ES199" s="56"/>
      <c r="ET199" s="56"/>
      <c r="EU199" s="56"/>
      <c r="EV199" s="56"/>
      <c r="EW199" s="56"/>
      <c r="EX199" s="56"/>
      <c r="EY199" s="56"/>
      <c r="EZ199" s="56"/>
      <c r="FA199" s="56"/>
      <c r="FB199" s="56"/>
      <c r="FC199" s="56"/>
      <c r="FD199" s="56"/>
      <c r="FE199" s="56"/>
      <c r="FF199" s="56"/>
      <c r="FG199" s="56"/>
      <c r="FH199" s="56"/>
      <c r="FI199" s="56"/>
      <c r="FJ199" s="56"/>
      <c r="FK199" s="56"/>
      <c r="FL199" s="56"/>
      <c r="FM199" s="56"/>
      <c r="FN199" s="56"/>
      <c r="FO199" s="56"/>
      <c r="FP199" s="56"/>
      <c r="FQ199" s="56"/>
      <c r="FR199" s="56"/>
      <c r="FS199" s="56"/>
      <c r="FT199" s="56"/>
      <c r="FU199" s="56"/>
      <c r="FV199" s="56"/>
      <c r="FW199" s="56"/>
      <c r="FX199" s="56"/>
      <c r="FY199" s="56"/>
      <c r="FZ199" s="56"/>
      <c r="GA199" s="56"/>
      <c r="GB199" s="56"/>
      <c r="GC199" s="56"/>
      <c r="GD199" s="56"/>
      <c r="GE199" s="56"/>
      <c r="GF199" s="56"/>
      <c r="GG199" s="56"/>
      <c r="GH199" s="56"/>
      <c r="GI199" s="56"/>
      <c r="GJ199" s="56"/>
      <c r="GK199" s="56"/>
      <c r="GL199" s="56"/>
      <c r="GM199" s="56"/>
      <c r="GN199" s="56"/>
      <c r="GO199" s="56"/>
      <c r="GP199" s="56"/>
      <c r="GQ199" s="56"/>
      <c r="GR199" s="56"/>
      <c r="GS199" s="56"/>
      <c r="GT199" s="56"/>
      <c r="GU199" s="56"/>
      <c r="GV199" s="56"/>
      <c r="GW199" s="56"/>
      <c r="GX199" s="56"/>
      <c r="GY199" s="56"/>
      <c r="GZ199" s="56"/>
      <c r="HA199" s="56"/>
      <c r="HB199" s="56"/>
      <c r="HC199" s="56"/>
      <c r="HD199" s="56"/>
      <c r="HE199" s="56"/>
      <c r="HF199" s="56"/>
      <c r="HG199" s="56"/>
      <c r="HH199" s="56"/>
      <c r="HI199" s="56"/>
      <c r="HJ199" s="56"/>
    </row>
    <row r="200" spans="1:218" ht="15.75" customHeight="1" x14ac:dyDescent="0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  <c r="CW200" s="56"/>
      <c r="CX200" s="56"/>
      <c r="CY200" s="56"/>
      <c r="CZ200" s="56"/>
      <c r="DA200" s="56"/>
      <c r="DB200" s="56"/>
      <c r="DC200" s="56"/>
      <c r="DD200" s="56"/>
      <c r="DE200" s="56"/>
      <c r="DF200" s="56"/>
      <c r="DG200" s="56"/>
      <c r="DH200" s="56"/>
      <c r="DI200" s="56"/>
      <c r="DJ200" s="56"/>
      <c r="DK200" s="56"/>
      <c r="DL200" s="56"/>
      <c r="DM200" s="56"/>
      <c r="DN200" s="56"/>
      <c r="DO200" s="56"/>
      <c r="DP200" s="56"/>
      <c r="DQ200" s="56"/>
      <c r="DR200" s="56"/>
      <c r="DS200" s="56"/>
      <c r="DT200" s="56"/>
      <c r="DU200" s="56"/>
      <c r="DV200" s="56"/>
      <c r="DW200" s="56"/>
      <c r="DX200" s="56"/>
      <c r="DY200" s="56"/>
      <c r="DZ200" s="56"/>
      <c r="EA200" s="56"/>
      <c r="EB200" s="56"/>
      <c r="EC200" s="56"/>
      <c r="ED200" s="56"/>
      <c r="EE200" s="56"/>
      <c r="EF200" s="56"/>
      <c r="EG200" s="56"/>
      <c r="EH200" s="56"/>
      <c r="EI200" s="56"/>
      <c r="EJ200" s="56"/>
      <c r="EK200" s="56"/>
      <c r="EL200" s="56"/>
      <c r="EM200" s="56"/>
      <c r="EN200" s="56"/>
      <c r="EO200" s="56"/>
      <c r="EP200" s="56"/>
      <c r="EQ200" s="56"/>
      <c r="ER200" s="56"/>
      <c r="ES200" s="56"/>
      <c r="ET200" s="56"/>
      <c r="EU200" s="56"/>
      <c r="EV200" s="56"/>
      <c r="EW200" s="56"/>
      <c r="EX200" s="56"/>
      <c r="EY200" s="56"/>
      <c r="EZ200" s="56"/>
      <c r="FA200" s="56"/>
      <c r="FB200" s="56"/>
      <c r="FC200" s="56"/>
      <c r="FD200" s="56"/>
      <c r="FE200" s="56"/>
      <c r="FF200" s="56"/>
      <c r="FG200" s="56"/>
      <c r="FH200" s="56"/>
      <c r="FI200" s="56"/>
      <c r="FJ200" s="56"/>
      <c r="FK200" s="56"/>
      <c r="FL200" s="56"/>
      <c r="FM200" s="56"/>
      <c r="FN200" s="56"/>
      <c r="FO200" s="56"/>
      <c r="FP200" s="56"/>
      <c r="FQ200" s="56"/>
      <c r="FR200" s="56"/>
      <c r="FS200" s="56"/>
      <c r="FT200" s="56"/>
      <c r="FU200" s="56"/>
      <c r="FV200" s="56"/>
      <c r="FW200" s="56"/>
      <c r="FX200" s="56"/>
      <c r="FY200" s="56"/>
      <c r="FZ200" s="56"/>
      <c r="GA200" s="56"/>
      <c r="GB200" s="56"/>
      <c r="GC200" s="56"/>
      <c r="GD200" s="56"/>
      <c r="GE200" s="56"/>
      <c r="GF200" s="56"/>
      <c r="GG200" s="56"/>
      <c r="GH200" s="56"/>
      <c r="GI200" s="56"/>
      <c r="GJ200" s="56"/>
      <c r="GK200" s="56"/>
      <c r="GL200" s="56"/>
      <c r="GM200" s="56"/>
      <c r="GN200" s="56"/>
      <c r="GO200" s="56"/>
      <c r="GP200" s="56"/>
      <c r="GQ200" s="56"/>
      <c r="GR200" s="56"/>
      <c r="GS200" s="56"/>
      <c r="GT200" s="56"/>
      <c r="GU200" s="56"/>
      <c r="GV200" s="56"/>
      <c r="GW200" s="56"/>
      <c r="GX200" s="56"/>
      <c r="GY200" s="56"/>
      <c r="GZ200" s="56"/>
      <c r="HA200" s="56"/>
      <c r="HB200" s="56"/>
      <c r="HC200" s="56"/>
      <c r="HD200" s="56"/>
      <c r="HE200" s="56"/>
      <c r="HF200" s="56"/>
      <c r="HG200" s="56"/>
      <c r="HH200" s="56"/>
      <c r="HI200" s="56"/>
      <c r="HJ200" s="56"/>
    </row>
    <row r="201" spans="1:218" ht="15.75" customHeight="1" x14ac:dyDescent="0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6"/>
      <c r="CV201" s="56"/>
      <c r="CW201" s="56"/>
      <c r="CX201" s="56"/>
      <c r="CY201" s="56"/>
      <c r="CZ201" s="56"/>
      <c r="DA201" s="56"/>
      <c r="DB201" s="56"/>
      <c r="DC201" s="56"/>
      <c r="DD201" s="56"/>
      <c r="DE201" s="56"/>
      <c r="DF201" s="56"/>
      <c r="DG201" s="56"/>
      <c r="DH201" s="56"/>
      <c r="DI201" s="56"/>
      <c r="DJ201" s="56"/>
      <c r="DK201" s="56"/>
      <c r="DL201" s="56"/>
      <c r="DM201" s="56"/>
      <c r="DN201" s="56"/>
      <c r="DO201" s="56"/>
      <c r="DP201" s="56"/>
      <c r="DQ201" s="56"/>
      <c r="DR201" s="56"/>
      <c r="DS201" s="56"/>
      <c r="DT201" s="56"/>
      <c r="DU201" s="56"/>
      <c r="DV201" s="56"/>
      <c r="DW201" s="56"/>
      <c r="DX201" s="56"/>
      <c r="DY201" s="56"/>
      <c r="DZ201" s="56"/>
      <c r="EA201" s="56"/>
      <c r="EB201" s="56"/>
      <c r="EC201" s="56"/>
      <c r="ED201" s="56"/>
      <c r="EE201" s="56"/>
      <c r="EF201" s="56"/>
      <c r="EG201" s="56"/>
      <c r="EH201" s="56"/>
      <c r="EI201" s="56"/>
      <c r="EJ201" s="56"/>
      <c r="EK201" s="56"/>
      <c r="EL201" s="56"/>
      <c r="EM201" s="56"/>
      <c r="EN201" s="56"/>
      <c r="EO201" s="56"/>
      <c r="EP201" s="56"/>
      <c r="EQ201" s="56"/>
      <c r="ER201" s="56"/>
      <c r="ES201" s="56"/>
      <c r="ET201" s="56"/>
      <c r="EU201" s="56"/>
      <c r="EV201" s="56"/>
      <c r="EW201" s="56"/>
      <c r="EX201" s="56"/>
      <c r="EY201" s="56"/>
      <c r="EZ201" s="56"/>
      <c r="FA201" s="56"/>
      <c r="FB201" s="56"/>
      <c r="FC201" s="56"/>
      <c r="FD201" s="56"/>
      <c r="FE201" s="56"/>
      <c r="FF201" s="56"/>
      <c r="FG201" s="56"/>
      <c r="FH201" s="56"/>
      <c r="FI201" s="56"/>
      <c r="FJ201" s="56"/>
      <c r="FK201" s="56"/>
      <c r="FL201" s="56"/>
      <c r="FM201" s="56"/>
      <c r="FN201" s="56"/>
      <c r="FO201" s="56"/>
      <c r="FP201" s="56"/>
      <c r="FQ201" s="56"/>
      <c r="FR201" s="56"/>
      <c r="FS201" s="56"/>
      <c r="FT201" s="56"/>
      <c r="FU201" s="56"/>
      <c r="FV201" s="56"/>
      <c r="FW201" s="56"/>
      <c r="FX201" s="56"/>
      <c r="FY201" s="56"/>
      <c r="FZ201" s="56"/>
      <c r="GA201" s="56"/>
      <c r="GB201" s="56"/>
      <c r="GC201" s="56"/>
      <c r="GD201" s="56"/>
      <c r="GE201" s="56"/>
      <c r="GF201" s="56"/>
      <c r="GG201" s="56"/>
      <c r="GH201" s="56"/>
      <c r="GI201" s="56"/>
      <c r="GJ201" s="56"/>
      <c r="GK201" s="56"/>
      <c r="GL201" s="56"/>
      <c r="GM201" s="56"/>
      <c r="GN201" s="56"/>
      <c r="GO201" s="56"/>
      <c r="GP201" s="56"/>
      <c r="GQ201" s="56"/>
      <c r="GR201" s="56"/>
      <c r="GS201" s="56"/>
      <c r="GT201" s="56"/>
      <c r="GU201" s="56"/>
      <c r="GV201" s="56"/>
      <c r="GW201" s="56"/>
      <c r="GX201" s="56"/>
      <c r="GY201" s="56"/>
      <c r="GZ201" s="56"/>
      <c r="HA201" s="56"/>
      <c r="HB201" s="56"/>
      <c r="HC201" s="56"/>
      <c r="HD201" s="56"/>
      <c r="HE201" s="56"/>
      <c r="HF201" s="56"/>
      <c r="HG201" s="56"/>
      <c r="HH201" s="56"/>
      <c r="HI201" s="56"/>
      <c r="HJ201" s="56"/>
    </row>
    <row r="202" spans="1:218" ht="15.75" customHeight="1" x14ac:dyDescent="0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  <c r="CS202" s="56"/>
      <c r="CT202" s="56"/>
      <c r="CU202" s="56"/>
      <c r="CV202" s="56"/>
      <c r="CW202" s="56"/>
      <c r="CX202" s="56"/>
      <c r="CY202" s="56"/>
      <c r="CZ202" s="56"/>
      <c r="DA202" s="56"/>
      <c r="DB202" s="56"/>
      <c r="DC202" s="56"/>
      <c r="DD202" s="56"/>
      <c r="DE202" s="56"/>
      <c r="DF202" s="56"/>
      <c r="DG202" s="56"/>
      <c r="DH202" s="56"/>
      <c r="DI202" s="56"/>
      <c r="DJ202" s="56"/>
      <c r="DK202" s="56"/>
      <c r="DL202" s="56"/>
      <c r="DM202" s="56"/>
      <c r="DN202" s="56"/>
      <c r="DO202" s="56"/>
      <c r="DP202" s="56"/>
      <c r="DQ202" s="56"/>
      <c r="DR202" s="56"/>
      <c r="DS202" s="56"/>
      <c r="DT202" s="56"/>
      <c r="DU202" s="56"/>
      <c r="DV202" s="56"/>
      <c r="DW202" s="56"/>
      <c r="DX202" s="56"/>
      <c r="DY202" s="56"/>
      <c r="DZ202" s="56"/>
      <c r="EA202" s="56"/>
      <c r="EB202" s="56"/>
      <c r="EC202" s="56"/>
      <c r="ED202" s="56"/>
      <c r="EE202" s="56"/>
      <c r="EF202" s="56"/>
      <c r="EG202" s="56"/>
      <c r="EH202" s="56"/>
      <c r="EI202" s="56"/>
      <c r="EJ202" s="56"/>
      <c r="EK202" s="56"/>
      <c r="EL202" s="56"/>
      <c r="EM202" s="56"/>
      <c r="EN202" s="56"/>
      <c r="EO202" s="56"/>
      <c r="EP202" s="56"/>
      <c r="EQ202" s="56"/>
      <c r="ER202" s="56"/>
      <c r="ES202" s="56"/>
      <c r="ET202" s="56"/>
      <c r="EU202" s="56"/>
      <c r="EV202" s="56"/>
      <c r="EW202" s="56"/>
      <c r="EX202" s="56"/>
      <c r="EY202" s="56"/>
      <c r="EZ202" s="56"/>
      <c r="FA202" s="56"/>
      <c r="FB202" s="56"/>
      <c r="FC202" s="56"/>
      <c r="FD202" s="56"/>
      <c r="FE202" s="56"/>
      <c r="FF202" s="56"/>
      <c r="FG202" s="56"/>
      <c r="FH202" s="56"/>
      <c r="FI202" s="56"/>
      <c r="FJ202" s="56"/>
      <c r="FK202" s="56"/>
      <c r="FL202" s="56"/>
      <c r="FM202" s="56"/>
      <c r="FN202" s="56"/>
      <c r="FO202" s="56"/>
      <c r="FP202" s="56"/>
      <c r="FQ202" s="56"/>
      <c r="FR202" s="56"/>
      <c r="FS202" s="56"/>
      <c r="FT202" s="56"/>
      <c r="FU202" s="56"/>
      <c r="FV202" s="56"/>
      <c r="FW202" s="56"/>
      <c r="FX202" s="56"/>
      <c r="FY202" s="56"/>
      <c r="FZ202" s="56"/>
      <c r="GA202" s="56"/>
      <c r="GB202" s="56"/>
      <c r="GC202" s="56"/>
      <c r="GD202" s="56"/>
      <c r="GE202" s="56"/>
      <c r="GF202" s="56"/>
      <c r="GG202" s="56"/>
      <c r="GH202" s="56"/>
      <c r="GI202" s="56"/>
      <c r="GJ202" s="56"/>
      <c r="GK202" s="56"/>
      <c r="GL202" s="56"/>
      <c r="GM202" s="56"/>
      <c r="GN202" s="56"/>
      <c r="GO202" s="56"/>
      <c r="GP202" s="56"/>
      <c r="GQ202" s="56"/>
      <c r="GR202" s="56"/>
      <c r="GS202" s="56"/>
      <c r="GT202" s="56"/>
      <c r="GU202" s="56"/>
      <c r="GV202" s="56"/>
      <c r="GW202" s="56"/>
      <c r="GX202" s="56"/>
      <c r="GY202" s="56"/>
      <c r="GZ202" s="56"/>
      <c r="HA202" s="56"/>
      <c r="HB202" s="56"/>
      <c r="HC202" s="56"/>
      <c r="HD202" s="56"/>
      <c r="HE202" s="56"/>
      <c r="HF202" s="56"/>
      <c r="HG202" s="56"/>
      <c r="HH202" s="56"/>
      <c r="HI202" s="56"/>
      <c r="HJ202" s="56"/>
    </row>
    <row r="203" spans="1:218" ht="15.75" customHeight="1" x14ac:dyDescent="0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6"/>
      <c r="CV203" s="56"/>
      <c r="CW203" s="56"/>
      <c r="CX203" s="56"/>
      <c r="CY203" s="56"/>
      <c r="CZ203" s="56"/>
      <c r="DA203" s="56"/>
      <c r="DB203" s="56"/>
      <c r="DC203" s="56"/>
      <c r="DD203" s="56"/>
      <c r="DE203" s="56"/>
      <c r="DF203" s="56"/>
      <c r="DG203" s="56"/>
      <c r="DH203" s="56"/>
      <c r="DI203" s="56"/>
      <c r="DJ203" s="56"/>
      <c r="DK203" s="56"/>
      <c r="DL203" s="56"/>
      <c r="DM203" s="56"/>
      <c r="DN203" s="56"/>
      <c r="DO203" s="56"/>
      <c r="DP203" s="56"/>
      <c r="DQ203" s="56"/>
      <c r="DR203" s="56"/>
      <c r="DS203" s="56"/>
      <c r="DT203" s="56"/>
      <c r="DU203" s="56"/>
      <c r="DV203" s="56"/>
      <c r="DW203" s="56"/>
      <c r="DX203" s="56"/>
      <c r="DY203" s="56"/>
      <c r="DZ203" s="56"/>
      <c r="EA203" s="56"/>
      <c r="EB203" s="56"/>
      <c r="EC203" s="56"/>
      <c r="ED203" s="56"/>
      <c r="EE203" s="56"/>
      <c r="EF203" s="56"/>
      <c r="EG203" s="56"/>
      <c r="EH203" s="56"/>
      <c r="EI203" s="56"/>
      <c r="EJ203" s="56"/>
      <c r="EK203" s="56"/>
      <c r="EL203" s="56"/>
      <c r="EM203" s="56"/>
      <c r="EN203" s="56"/>
      <c r="EO203" s="56"/>
      <c r="EP203" s="56"/>
      <c r="EQ203" s="56"/>
      <c r="ER203" s="56"/>
      <c r="ES203" s="56"/>
      <c r="ET203" s="56"/>
      <c r="EU203" s="56"/>
      <c r="EV203" s="56"/>
      <c r="EW203" s="56"/>
      <c r="EX203" s="56"/>
      <c r="EY203" s="56"/>
      <c r="EZ203" s="56"/>
      <c r="FA203" s="56"/>
      <c r="FB203" s="56"/>
      <c r="FC203" s="56"/>
      <c r="FD203" s="56"/>
      <c r="FE203" s="56"/>
      <c r="FF203" s="56"/>
      <c r="FG203" s="56"/>
      <c r="FH203" s="56"/>
      <c r="FI203" s="56"/>
      <c r="FJ203" s="56"/>
      <c r="FK203" s="56"/>
      <c r="FL203" s="56"/>
      <c r="FM203" s="56"/>
      <c r="FN203" s="56"/>
      <c r="FO203" s="56"/>
      <c r="FP203" s="56"/>
      <c r="FQ203" s="56"/>
      <c r="FR203" s="56"/>
      <c r="FS203" s="56"/>
      <c r="FT203" s="56"/>
      <c r="FU203" s="56"/>
      <c r="FV203" s="56"/>
      <c r="FW203" s="56"/>
      <c r="FX203" s="56"/>
      <c r="FY203" s="56"/>
      <c r="FZ203" s="56"/>
      <c r="GA203" s="56"/>
      <c r="GB203" s="56"/>
      <c r="GC203" s="56"/>
      <c r="GD203" s="56"/>
      <c r="GE203" s="56"/>
      <c r="GF203" s="56"/>
      <c r="GG203" s="56"/>
      <c r="GH203" s="56"/>
      <c r="GI203" s="56"/>
      <c r="GJ203" s="56"/>
      <c r="GK203" s="56"/>
      <c r="GL203" s="56"/>
      <c r="GM203" s="56"/>
      <c r="GN203" s="56"/>
      <c r="GO203" s="56"/>
      <c r="GP203" s="56"/>
      <c r="GQ203" s="56"/>
      <c r="GR203" s="56"/>
      <c r="GS203" s="56"/>
      <c r="GT203" s="56"/>
      <c r="GU203" s="56"/>
      <c r="GV203" s="56"/>
      <c r="GW203" s="56"/>
      <c r="GX203" s="56"/>
      <c r="GY203" s="56"/>
      <c r="GZ203" s="56"/>
      <c r="HA203" s="56"/>
      <c r="HB203" s="56"/>
      <c r="HC203" s="56"/>
      <c r="HD203" s="56"/>
      <c r="HE203" s="56"/>
      <c r="HF203" s="56"/>
      <c r="HG203" s="56"/>
      <c r="HH203" s="56"/>
      <c r="HI203" s="56"/>
      <c r="HJ203" s="56"/>
    </row>
    <row r="204" spans="1:218" ht="15.75" customHeight="1" x14ac:dyDescent="0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  <c r="CW204" s="56"/>
      <c r="CX204" s="56"/>
      <c r="CY204" s="56"/>
      <c r="CZ204" s="56"/>
      <c r="DA204" s="56"/>
      <c r="DB204" s="56"/>
      <c r="DC204" s="56"/>
      <c r="DD204" s="56"/>
      <c r="DE204" s="56"/>
      <c r="DF204" s="56"/>
      <c r="DG204" s="56"/>
      <c r="DH204" s="56"/>
      <c r="DI204" s="56"/>
      <c r="DJ204" s="56"/>
      <c r="DK204" s="56"/>
      <c r="DL204" s="56"/>
      <c r="DM204" s="56"/>
      <c r="DN204" s="56"/>
      <c r="DO204" s="56"/>
      <c r="DP204" s="56"/>
      <c r="DQ204" s="56"/>
      <c r="DR204" s="56"/>
      <c r="DS204" s="56"/>
      <c r="DT204" s="56"/>
      <c r="DU204" s="56"/>
      <c r="DV204" s="56"/>
      <c r="DW204" s="56"/>
      <c r="DX204" s="56"/>
      <c r="DY204" s="56"/>
      <c r="DZ204" s="56"/>
      <c r="EA204" s="56"/>
      <c r="EB204" s="56"/>
      <c r="EC204" s="56"/>
      <c r="ED204" s="56"/>
      <c r="EE204" s="56"/>
      <c r="EF204" s="56"/>
      <c r="EG204" s="56"/>
      <c r="EH204" s="56"/>
      <c r="EI204" s="56"/>
      <c r="EJ204" s="56"/>
      <c r="EK204" s="56"/>
      <c r="EL204" s="56"/>
      <c r="EM204" s="56"/>
      <c r="EN204" s="56"/>
      <c r="EO204" s="56"/>
      <c r="EP204" s="56"/>
      <c r="EQ204" s="56"/>
      <c r="ER204" s="56"/>
      <c r="ES204" s="56"/>
      <c r="ET204" s="56"/>
      <c r="EU204" s="56"/>
      <c r="EV204" s="56"/>
      <c r="EW204" s="56"/>
      <c r="EX204" s="56"/>
      <c r="EY204" s="56"/>
      <c r="EZ204" s="56"/>
      <c r="FA204" s="56"/>
      <c r="FB204" s="56"/>
      <c r="FC204" s="56"/>
      <c r="FD204" s="56"/>
      <c r="FE204" s="56"/>
      <c r="FF204" s="56"/>
      <c r="FG204" s="56"/>
      <c r="FH204" s="56"/>
      <c r="FI204" s="56"/>
      <c r="FJ204" s="56"/>
      <c r="FK204" s="56"/>
      <c r="FL204" s="56"/>
      <c r="FM204" s="56"/>
      <c r="FN204" s="56"/>
      <c r="FO204" s="56"/>
      <c r="FP204" s="56"/>
      <c r="FQ204" s="56"/>
      <c r="FR204" s="56"/>
      <c r="FS204" s="56"/>
      <c r="FT204" s="56"/>
      <c r="FU204" s="56"/>
      <c r="FV204" s="56"/>
      <c r="FW204" s="56"/>
      <c r="FX204" s="56"/>
      <c r="FY204" s="56"/>
      <c r="FZ204" s="56"/>
      <c r="GA204" s="56"/>
      <c r="GB204" s="56"/>
      <c r="GC204" s="56"/>
      <c r="GD204" s="56"/>
      <c r="GE204" s="56"/>
      <c r="GF204" s="56"/>
      <c r="GG204" s="56"/>
      <c r="GH204" s="56"/>
      <c r="GI204" s="56"/>
      <c r="GJ204" s="56"/>
      <c r="GK204" s="56"/>
      <c r="GL204" s="56"/>
      <c r="GM204" s="56"/>
      <c r="GN204" s="56"/>
      <c r="GO204" s="56"/>
      <c r="GP204" s="56"/>
      <c r="GQ204" s="56"/>
      <c r="GR204" s="56"/>
      <c r="GS204" s="56"/>
      <c r="GT204" s="56"/>
      <c r="GU204" s="56"/>
      <c r="GV204" s="56"/>
      <c r="GW204" s="56"/>
      <c r="GX204" s="56"/>
      <c r="GY204" s="56"/>
      <c r="GZ204" s="56"/>
      <c r="HA204" s="56"/>
      <c r="HB204" s="56"/>
      <c r="HC204" s="56"/>
      <c r="HD204" s="56"/>
      <c r="HE204" s="56"/>
      <c r="HF204" s="56"/>
      <c r="HG204" s="56"/>
      <c r="HH204" s="56"/>
      <c r="HI204" s="56"/>
      <c r="HJ204" s="56"/>
    </row>
    <row r="205" spans="1:218" ht="15.75" customHeight="1" x14ac:dyDescent="0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  <c r="CW205" s="56"/>
      <c r="CX205" s="56"/>
      <c r="CY205" s="56"/>
      <c r="CZ205" s="56"/>
      <c r="DA205" s="56"/>
      <c r="DB205" s="56"/>
      <c r="DC205" s="56"/>
      <c r="DD205" s="56"/>
      <c r="DE205" s="56"/>
      <c r="DF205" s="56"/>
      <c r="DG205" s="56"/>
      <c r="DH205" s="56"/>
      <c r="DI205" s="56"/>
      <c r="DJ205" s="56"/>
      <c r="DK205" s="56"/>
      <c r="DL205" s="56"/>
      <c r="DM205" s="56"/>
      <c r="DN205" s="56"/>
      <c r="DO205" s="56"/>
      <c r="DP205" s="56"/>
      <c r="DQ205" s="56"/>
      <c r="DR205" s="56"/>
      <c r="DS205" s="56"/>
      <c r="DT205" s="56"/>
      <c r="DU205" s="56"/>
      <c r="DV205" s="56"/>
      <c r="DW205" s="56"/>
      <c r="DX205" s="56"/>
      <c r="DY205" s="56"/>
      <c r="DZ205" s="56"/>
      <c r="EA205" s="56"/>
      <c r="EB205" s="56"/>
      <c r="EC205" s="56"/>
      <c r="ED205" s="56"/>
      <c r="EE205" s="56"/>
      <c r="EF205" s="56"/>
      <c r="EG205" s="56"/>
      <c r="EH205" s="56"/>
      <c r="EI205" s="56"/>
      <c r="EJ205" s="56"/>
      <c r="EK205" s="56"/>
      <c r="EL205" s="56"/>
      <c r="EM205" s="56"/>
      <c r="EN205" s="56"/>
      <c r="EO205" s="56"/>
      <c r="EP205" s="56"/>
      <c r="EQ205" s="56"/>
      <c r="ER205" s="56"/>
      <c r="ES205" s="56"/>
      <c r="ET205" s="56"/>
      <c r="EU205" s="56"/>
      <c r="EV205" s="56"/>
      <c r="EW205" s="56"/>
      <c r="EX205" s="56"/>
      <c r="EY205" s="56"/>
      <c r="EZ205" s="56"/>
      <c r="FA205" s="56"/>
      <c r="FB205" s="56"/>
      <c r="FC205" s="56"/>
      <c r="FD205" s="56"/>
      <c r="FE205" s="56"/>
      <c r="FF205" s="56"/>
      <c r="FG205" s="56"/>
      <c r="FH205" s="56"/>
      <c r="FI205" s="56"/>
      <c r="FJ205" s="56"/>
      <c r="FK205" s="56"/>
      <c r="FL205" s="56"/>
      <c r="FM205" s="56"/>
      <c r="FN205" s="56"/>
      <c r="FO205" s="56"/>
      <c r="FP205" s="56"/>
      <c r="FQ205" s="56"/>
      <c r="FR205" s="56"/>
      <c r="FS205" s="56"/>
      <c r="FT205" s="56"/>
      <c r="FU205" s="56"/>
      <c r="FV205" s="56"/>
      <c r="FW205" s="56"/>
      <c r="FX205" s="56"/>
      <c r="FY205" s="56"/>
      <c r="FZ205" s="56"/>
      <c r="GA205" s="56"/>
      <c r="GB205" s="56"/>
      <c r="GC205" s="56"/>
      <c r="GD205" s="56"/>
      <c r="GE205" s="56"/>
      <c r="GF205" s="56"/>
      <c r="GG205" s="56"/>
      <c r="GH205" s="56"/>
      <c r="GI205" s="56"/>
      <c r="GJ205" s="56"/>
      <c r="GK205" s="56"/>
      <c r="GL205" s="56"/>
      <c r="GM205" s="56"/>
      <c r="GN205" s="56"/>
      <c r="GO205" s="56"/>
      <c r="GP205" s="56"/>
      <c r="GQ205" s="56"/>
      <c r="GR205" s="56"/>
      <c r="GS205" s="56"/>
      <c r="GT205" s="56"/>
      <c r="GU205" s="56"/>
      <c r="GV205" s="56"/>
      <c r="GW205" s="56"/>
      <c r="GX205" s="56"/>
      <c r="GY205" s="56"/>
      <c r="GZ205" s="56"/>
      <c r="HA205" s="56"/>
      <c r="HB205" s="56"/>
      <c r="HC205" s="56"/>
      <c r="HD205" s="56"/>
      <c r="HE205" s="56"/>
      <c r="HF205" s="56"/>
      <c r="HG205" s="56"/>
      <c r="HH205" s="56"/>
      <c r="HI205" s="56"/>
      <c r="HJ205" s="56"/>
    </row>
    <row r="206" spans="1:218" ht="15.75" customHeight="1" x14ac:dyDescent="0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6"/>
      <c r="CV206" s="56"/>
      <c r="CW206" s="56"/>
      <c r="CX206" s="56"/>
      <c r="CY206" s="56"/>
      <c r="CZ206" s="56"/>
      <c r="DA206" s="56"/>
      <c r="DB206" s="56"/>
      <c r="DC206" s="56"/>
      <c r="DD206" s="56"/>
      <c r="DE206" s="56"/>
      <c r="DF206" s="56"/>
      <c r="DG206" s="56"/>
      <c r="DH206" s="56"/>
      <c r="DI206" s="56"/>
      <c r="DJ206" s="56"/>
      <c r="DK206" s="56"/>
      <c r="DL206" s="56"/>
      <c r="DM206" s="56"/>
      <c r="DN206" s="56"/>
      <c r="DO206" s="56"/>
      <c r="DP206" s="56"/>
      <c r="DQ206" s="56"/>
      <c r="DR206" s="56"/>
      <c r="DS206" s="56"/>
      <c r="DT206" s="56"/>
      <c r="DU206" s="56"/>
      <c r="DV206" s="56"/>
      <c r="DW206" s="56"/>
      <c r="DX206" s="56"/>
      <c r="DY206" s="56"/>
      <c r="DZ206" s="56"/>
      <c r="EA206" s="56"/>
      <c r="EB206" s="56"/>
      <c r="EC206" s="56"/>
      <c r="ED206" s="56"/>
      <c r="EE206" s="56"/>
      <c r="EF206" s="56"/>
      <c r="EG206" s="56"/>
      <c r="EH206" s="56"/>
      <c r="EI206" s="56"/>
      <c r="EJ206" s="56"/>
      <c r="EK206" s="56"/>
      <c r="EL206" s="56"/>
      <c r="EM206" s="56"/>
      <c r="EN206" s="56"/>
      <c r="EO206" s="56"/>
      <c r="EP206" s="56"/>
      <c r="EQ206" s="56"/>
      <c r="ER206" s="56"/>
      <c r="ES206" s="56"/>
      <c r="ET206" s="56"/>
      <c r="EU206" s="56"/>
      <c r="EV206" s="56"/>
      <c r="EW206" s="56"/>
      <c r="EX206" s="56"/>
      <c r="EY206" s="56"/>
      <c r="EZ206" s="56"/>
      <c r="FA206" s="56"/>
      <c r="FB206" s="56"/>
      <c r="FC206" s="56"/>
      <c r="FD206" s="56"/>
      <c r="FE206" s="56"/>
      <c r="FF206" s="56"/>
      <c r="FG206" s="56"/>
      <c r="FH206" s="56"/>
      <c r="FI206" s="56"/>
      <c r="FJ206" s="56"/>
      <c r="FK206" s="56"/>
      <c r="FL206" s="56"/>
      <c r="FM206" s="56"/>
      <c r="FN206" s="56"/>
      <c r="FO206" s="56"/>
      <c r="FP206" s="56"/>
      <c r="FQ206" s="56"/>
      <c r="FR206" s="56"/>
      <c r="FS206" s="56"/>
      <c r="FT206" s="56"/>
      <c r="FU206" s="56"/>
      <c r="FV206" s="56"/>
      <c r="FW206" s="56"/>
      <c r="FX206" s="56"/>
      <c r="FY206" s="56"/>
      <c r="FZ206" s="56"/>
      <c r="GA206" s="56"/>
      <c r="GB206" s="56"/>
      <c r="GC206" s="56"/>
      <c r="GD206" s="56"/>
      <c r="GE206" s="56"/>
      <c r="GF206" s="56"/>
      <c r="GG206" s="56"/>
      <c r="GH206" s="56"/>
      <c r="GI206" s="56"/>
      <c r="GJ206" s="56"/>
      <c r="GK206" s="56"/>
      <c r="GL206" s="56"/>
      <c r="GM206" s="56"/>
      <c r="GN206" s="56"/>
      <c r="GO206" s="56"/>
      <c r="GP206" s="56"/>
      <c r="GQ206" s="56"/>
      <c r="GR206" s="56"/>
      <c r="GS206" s="56"/>
      <c r="GT206" s="56"/>
      <c r="GU206" s="56"/>
      <c r="GV206" s="56"/>
      <c r="GW206" s="56"/>
      <c r="GX206" s="56"/>
      <c r="GY206" s="56"/>
      <c r="GZ206" s="56"/>
      <c r="HA206" s="56"/>
      <c r="HB206" s="56"/>
      <c r="HC206" s="56"/>
      <c r="HD206" s="56"/>
      <c r="HE206" s="56"/>
      <c r="HF206" s="56"/>
      <c r="HG206" s="56"/>
      <c r="HH206" s="56"/>
      <c r="HI206" s="56"/>
      <c r="HJ206" s="56"/>
    </row>
    <row r="207" spans="1:218" ht="15.75" customHeight="1" x14ac:dyDescent="0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  <c r="CS207" s="56"/>
      <c r="CT207" s="56"/>
      <c r="CU207" s="56"/>
      <c r="CV207" s="56"/>
      <c r="CW207" s="56"/>
      <c r="CX207" s="56"/>
      <c r="CY207" s="56"/>
      <c r="CZ207" s="56"/>
      <c r="DA207" s="56"/>
      <c r="DB207" s="56"/>
      <c r="DC207" s="56"/>
      <c r="DD207" s="56"/>
      <c r="DE207" s="56"/>
      <c r="DF207" s="56"/>
      <c r="DG207" s="56"/>
      <c r="DH207" s="56"/>
      <c r="DI207" s="56"/>
      <c r="DJ207" s="56"/>
      <c r="DK207" s="56"/>
      <c r="DL207" s="56"/>
      <c r="DM207" s="56"/>
      <c r="DN207" s="56"/>
      <c r="DO207" s="56"/>
      <c r="DP207" s="56"/>
      <c r="DQ207" s="56"/>
      <c r="DR207" s="56"/>
      <c r="DS207" s="56"/>
      <c r="DT207" s="56"/>
      <c r="DU207" s="56"/>
      <c r="DV207" s="56"/>
      <c r="DW207" s="56"/>
      <c r="DX207" s="56"/>
      <c r="DY207" s="56"/>
      <c r="DZ207" s="56"/>
      <c r="EA207" s="56"/>
      <c r="EB207" s="56"/>
      <c r="EC207" s="56"/>
      <c r="ED207" s="56"/>
      <c r="EE207" s="56"/>
      <c r="EF207" s="56"/>
      <c r="EG207" s="56"/>
      <c r="EH207" s="56"/>
      <c r="EI207" s="56"/>
      <c r="EJ207" s="56"/>
      <c r="EK207" s="56"/>
      <c r="EL207" s="56"/>
      <c r="EM207" s="56"/>
      <c r="EN207" s="56"/>
      <c r="EO207" s="56"/>
      <c r="EP207" s="56"/>
      <c r="EQ207" s="56"/>
      <c r="ER207" s="56"/>
      <c r="ES207" s="56"/>
      <c r="ET207" s="56"/>
      <c r="EU207" s="56"/>
      <c r="EV207" s="56"/>
      <c r="EW207" s="56"/>
      <c r="EX207" s="56"/>
      <c r="EY207" s="56"/>
      <c r="EZ207" s="56"/>
      <c r="FA207" s="56"/>
      <c r="FB207" s="56"/>
      <c r="FC207" s="56"/>
      <c r="FD207" s="56"/>
      <c r="FE207" s="56"/>
      <c r="FF207" s="56"/>
      <c r="FG207" s="56"/>
      <c r="FH207" s="56"/>
      <c r="FI207" s="56"/>
      <c r="FJ207" s="56"/>
      <c r="FK207" s="56"/>
      <c r="FL207" s="56"/>
      <c r="FM207" s="56"/>
      <c r="FN207" s="56"/>
      <c r="FO207" s="56"/>
      <c r="FP207" s="56"/>
      <c r="FQ207" s="56"/>
      <c r="FR207" s="56"/>
      <c r="FS207" s="56"/>
      <c r="FT207" s="56"/>
      <c r="FU207" s="56"/>
      <c r="FV207" s="56"/>
      <c r="FW207" s="56"/>
      <c r="FX207" s="56"/>
      <c r="FY207" s="56"/>
      <c r="FZ207" s="56"/>
      <c r="GA207" s="56"/>
      <c r="GB207" s="56"/>
      <c r="GC207" s="56"/>
      <c r="GD207" s="56"/>
      <c r="GE207" s="56"/>
      <c r="GF207" s="56"/>
      <c r="GG207" s="56"/>
      <c r="GH207" s="56"/>
      <c r="GI207" s="56"/>
      <c r="GJ207" s="56"/>
      <c r="GK207" s="56"/>
      <c r="GL207" s="56"/>
      <c r="GM207" s="56"/>
      <c r="GN207" s="56"/>
      <c r="GO207" s="56"/>
      <c r="GP207" s="56"/>
      <c r="GQ207" s="56"/>
      <c r="GR207" s="56"/>
      <c r="GS207" s="56"/>
      <c r="GT207" s="56"/>
      <c r="GU207" s="56"/>
      <c r="GV207" s="56"/>
      <c r="GW207" s="56"/>
      <c r="GX207" s="56"/>
      <c r="GY207" s="56"/>
      <c r="GZ207" s="56"/>
      <c r="HA207" s="56"/>
      <c r="HB207" s="56"/>
      <c r="HC207" s="56"/>
      <c r="HD207" s="56"/>
      <c r="HE207" s="56"/>
      <c r="HF207" s="56"/>
      <c r="HG207" s="56"/>
      <c r="HH207" s="56"/>
      <c r="HI207" s="56"/>
      <c r="HJ207" s="56"/>
    </row>
    <row r="208" spans="1:218" ht="15.75" customHeight="1" x14ac:dyDescent="0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  <c r="CS208" s="56"/>
      <c r="CT208" s="56"/>
      <c r="CU208" s="56"/>
      <c r="CV208" s="56"/>
      <c r="CW208" s="56"/>
      <c r="CX208" s="56"/>
      <c r="CY208" s="56"/>
      <c r="CZ208" s="56"/>
      <c r="DA208" s="56"/>
      <c r="DB208" s="56"/>
      <c r="DC208" s="56"/>
      <c r="DD208" s="56"/>
      <c r="DE208" s="56"/>
      <c r="DF208" s="56"/>
      <c r="DG208" s="56"/>
      <c r="DH208" s="56"/>
      <c r="DI208" s="56"/>
      <c r="DJ208" s="56"/>
      <c r="DK208" s="56"/>
      <c r="DL208" s="56"/>
      <c r="DM208" s="56"/>
      <c r="DN208" s="56"/>
      <c r="DO208" s="56"/>
      <c r="DP208" s="56"/>
      <c r="DQ208" s="56"/>
      <c r="DR208" s="56"/>
      <c r="DS208" s="56"/>
      <c r="DT208" s="56"/>
      <c r="DU208" s="56"/>
      <c r="DV208" s="56"/>
      <c r="DW208" s="56"/>
      <c r="DX208" s="56"/>
      <c r="DY208" s="56"/>
      <c r="DZ208" s="56"/>
      <c r="EA208" s="56"/>
      <c r="EB208" s="56"/>
      <c r="EC208" s="56"/>
      <c r="ED208" s="56"/>
      <c r="EE208" s="56"/>
      <c r="EF208" s="56"/>
      <c r="EG208" s="56"/>
      <c r="EH208" s="56"/>
      <c r="EI208" s="56"/>
      <c r="EJ208" s="56"/>
      <c r="EK208" s="56"/>
      <c r="EL208" s="56"/>
      <c r="EM208" s="56"/>
      <c r="EN208" s="56"/>
      <c r="EO208" s="56"/>
      <c r="EP208" s="56"/>
      <c r="EQ208" s="56"/>
      <c r="ER208" s="56"/>
      <c r="ES208" s="56"/>
      <c r="ET208" s="56"/>
      <c r="EU208" s="56"/>
      <c r="EV208" s="56"/>
      <c r="EW208" s="56"/>
      <c r="EX208" s="56"/>
      <c r="EY208" s="56"/>
      <c r="EZ208" s="56"/>
      <c r="FA208" s="56"/>
      <c r="FB208" s="56"/>
      <c r="FC208" s="56"/>
      <c r="FD208" s="56"/>
      <c r="FE208" s="56"/>
      <c r="FF208" s="56"/>
      <c r="FG208" s="56"/>
      <c r="FH208" s="56"/>
      <c r="FI208" s="56"/>
      <c r="FJ208" s="56"/>
      <c r="FK208" s="56"/>
      <c r="FL208" s="56"/>
      <c r="FM208" s="56"/>
      <c r="FN208" s="56"/>
      <c r="FO208" s="56"/>
      <c r="FP208" s="56"/>
      <c r="FQ208" s="56"/>
      <c r="FR208" s="56"/>
      <c r="FS208" s="56"/>
      <c r="FT208" s="56"/>
      <c r="FU208" s="56"/>
      <c r="FV208" s="56"/>
      <c r="FW208" s="56"/>
      <c r="FX208" s="56"/>
      <c r="FY208" s="56"/>
      <c r="FZ208" s="56"/>
      <c r="GA208" s="56"/>
      <c r="GB208" s="56"/>
      <c r="GC208" s="56"/>
      <c r="GD208" s="56"/>
      <c r="GE208" s="56"/>
      <c r="GF208" s="56"/>
      <c r="GG208" s="56"/>
      <c r="GH208" s="56"/>
      <c r="GI208" s="56"/>
      <c r="GJ208" s="56"/>
      <c r="GK208" s="56"/>
      <c r="GL208" s="56"/>
      <c r="GM208" s="56"/>
      <c r="GN208" s="56"/>
      <c r="GO208" s="56"/>
      <c r="GP208" s="56"/>
      <c r="GQ208" s="56"/>
      <c r="GR208" s="56"/>
      <c r="GS208" s="56"/>
      <c r="GT208" s="56"/>
      <c r="GU208" s="56"/>
      <c r="GV208" s="56"/>
      <c r="GW208" s="56"/>
      <c r="GX208" s="56"/>
      <c r="GY208" s="56"/>
      <c r="GZ208" s="56"/>
      <c r="HA208" s="56"/>
      <c r="HB208" s="56"/>
      <c r="HC208" s="56"/>
      <c r="HD208" s="56"/>
      <c r="HE208" s="56"/>
      <c r="HF208" s="56"/>
      <c r="HG208" s="56"/>
      <c r="HH208" s="56"/>
      <c r="HI208" s="56"/>
      <c r="HJ208" s="56"/>
    </row>
    <row r="209" spans="1:218" ht="15.75" customHeight="1" x14ac:dyDescent="0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6"/>
      <c r="CV209" s="56"/>
      <c r="CW209" s="56"/>
      <c r="CX209" s="56"/>
      <c r="CY209" s="56"/>
      <c r="CZ209" s="56"/>
      <c r="DA209" s="56"/>
      <c r="DB209" s="56"/>
      <c r="DC209" s="56"/>
      <c r="DD209" s="56"/>
      <c r="DE209" s="56"/>
      <c r="DF209" s="56"/>
      <c r="DG209" s="56"/>
      <c r="DH209" s="56"/>
      <c r="DI209" s="56"/>
      <c r="DJ209" s="56"/>
      <c r="DK209" s="56"/>
      <c r="DL209" s="56"/>
      <c r="DM209" s="56"/>
      <c r="DN209" s="56"/>
      <c r="DO209" s="56"/>
      <c r="DP209" s="56"/>
      <c r="DQ209" s="56"/>
      <c r="DR209" s="56"/>
      <c r="DS209" s="56"/>
      <c r="DT209" s="56"/>
      <c r="DU209" s="56"/>
      <c r="DV209" s="56"/>
      <c r="DW209" s="56"/>
      <c r="DX209" s="56"/>
      <c r="DY209" s="56"/>
      <c r="DZ209" s="56"/>
      <c r="EA209" s="56"/>
      <c r="EB209" s="56"/>
      <c r="EC209" s="56"/>
      <c r="ED209" s="56"/>
      <c r="EE209" s="56"/>
      <c r="EF209" s="56"/>
      <c r="EG209" s="56"/>
      <c r="EH209" s="56"/>
      <c r="EI209" s="56"/>
      <c r="EJ209" s="56"/>
      <c r="EK209" s="56"/>
      <c r="EL209" s="56"/>
      <c r="EM209" s="56"/>
      <c r="EN209" s="56"/>
      <c r="EO209" s="56"/>
      <c r="EP209" s="56"/>
      <c r="EQ209" s="56"/>
      <c r="ER209" s="56"/>
      <c r="ES209" s="56"/>
      <c r="ET209" s="56"/>
      <c r="EU209" s="56"/>
      <c r="EV209" s="56"/>
      <c r="EW209" s="56"/>
      <c r="EX209" s="56"/>
      <c r="EY209" s="56"/>
      <c r="EZ209" s="56"/>
      <c r="FA209" s="56"/>
      <c r="FB209" s="56"/>
      <c r="FC209" s="56"/>
      <c r="FD209" s="56"/>
      <c r="FE209" s="56"/>
      <c r="FF209" s="56"/>
      <c r="FG209" s="56"/>
      <c r="FH209" s="56"/>
      <c r="FI209" s="56"/>
      <c r="FJ209" s="56"/>
      <c r="FK209" s="56"/>
      <c r="FL209" s="56"/>
      <c r="FM209" s="56"/>
      <c r="FN209" s="56"/>
      <c r="FO209" s="56"/>
      <c r="FP209" s="56"/>
      <c r="FQ209" s="56"/>
      <c r="FR209" s="56"/>
      <c r="FS209" s="56"/>
      <c r="FT209" s="56"/>
      <c r="FU209" s="56"/>
      <c r="FV209" s="56"/>
      <c r="FW209" s="56"/>
      <c r="FX209" s="56"/>
      <c r="FY209" s="56"/>
      <c r="FZ209" s="56"/>
      <c r="GA209" s="56"/>
      <c r="GB209" s="56"/>
      <c r="GC209" s="56"/>
      <c r="GD209" s="56"/>
      <c r="GE209" s="56"/>
      <c r="GF209" s="56"/>
      <c r="GG209" s="56"/>
      <c r="GH209" s="56"/>
      <c r="GI209" s="56"/>
      <c r="GJ209" s="56"/>
      <c r="GK209" s="56"/>
      <c r="GL209" s="56"/>
      <c r="GM209" s="56"/>
      <c r="GN209" s="56"/>
      <c r="GO209" s="56"/>
      <c r="GP209" s="56"/>
      <c r="GQ209" s="56"/>
      <c r="GR209" s="56"/>
      <c r="GS209" s="56"/>
      <c r="GT209" s="56"/>
      <c r="GU209" s="56"/>
      <c r="GV209" s="56"/>
      <c r="GW209" s="56"/>
      <c r="GX209" s="56"/>
      <c r="GY209" s="56"/>
      <c r="GZ209" s="56"/>
      <c r="HA209" s="56"/>
      <c r="HB209" s="56"/>
      <c r="HC209" s="56"/>
      <c r="HD209" s="56"/>
      <c r="HE209" s="56"/>
      <c r="HF209" s="56"/>
      <c r="HG209" s="56"/>
      <c r="HH209" s="56"/>
      <c r="HI209" s="56"/>
      <c r="HJ209" s="56"/>
    </row>
    <row r="210" spans="1:218" ht="15.75" customHeight="1" x14ac:dyDescent="0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  <c r="CW210" s="56"/>
      <c r="CX210" s="56"/>
      <c r="CY210" s="56"/>
      <c r="CZ210" s="56"/>
      <c r="DA210" s="56"/>
      <c r="DB210" s="56"/>
      <c r="DC210" s="56"/>
      <c r="DD210" s="56"/>
      <c r="DE210" s="56"/>
      <c r="DF210" s="56"/>
      <c r="DG210" s="56"/>
      <c r="DH210" s="56"/>
      <c r="DI210" s="56"/>
      <c r="DJ210" s="56"/>
      <c r="DK210" s="56"/>
      <c r="DL210" s="56"/>
      <c r="DM210" s="56"/>
      <c r="DN210" s="56"/>
      <c r="DO210" s="56"/>
      <c r="DP210" s="56"/>
      <c r="DQ210" s="56"/>
      <c r="DR210" s="56"/>
      <c r="DS210" s="56"/>
      <c r="DT210" s="56"/>
      <c r="DU210" s="56"/>
      <c r="DV210" s="56"/>
      <c r="DW210" s="56"/>
      <c r="DX210" s="56"/>
      <c r="DY210" s="56"/>
      <c r="DZ210" s="56"/>
      <c r="EA210" s="56"/>
      <c r="EB210" s="56"/>
      <c r="EC210" s="56"/>
      <c r="ED210" s="56"/>
      <c r="EE210" s="56"/>
      <c r="EF210" s="56"/>
      <c r="EG210" s="56"/>
      <c r="EH210" s="56"/>
      <c r="EI210" s="56"/>
      <c r="EJ210" s="56"/>
      <c r="EK210" s="56"/>
      <c r="EL210" s="56"/>
      <c r="EM210" s="56"/>
      <c r="EN210" s="56"/>
      <c r="EO210" s="56"/>
      <c r="EP210" s="56"/>
      <c r="EQ210" s="56"/>
      <c r="ER210" s="56"/>
      <c r="ES210" s="56"/>
      <c r="ET210" s="56"/>
      <c r="EU210" s="56"/>
      <c r="EV210" s="56"/>
      <c r="EW210" s="56"/>
      <c r="EX210" s="56"/>
      <c r="EY210" s="56"/>
      <c r="EZ210" s="56"/>
      <c r="FA210" s="56"/>
      <c r="FB210" s="56"/>
      <c r="FC210" s="56"/>
      <c r="FD210" s="56"/>
      <c r="FE210" s="56"/>
      <c r="FF210" s="56"/>
      <c r="FG210" s="56"/>
      <c r="FH210" s="56"/>
      <c r="FI210" s="56"/>
      <c r="FJ210" s="56"/>
      <c r="FK210" s="56"/>
      <c r="FL210" s="56"/>
      <c r="FM210" s="56"/>
      <c r="FN210" s="56"/>
      <c r="FO210" s="56"/>
      <c r="FP210" s="56"/>
      <c r="FQ210" s="56"/>
      <c r="FR210" s="56"/>
      <c r="FS210" s="56"/>
      <c r="FT210" s="56"/>
      <c r="FU210" s="56"/>
      <c r="FV210" s="56"/>
      <c r="FW210" s="56"/>
      <c r="FX210" s="56"/>
      <c r="FY210" s="56"/>
      <c r="FZ210" s="56"/>
      <c r="GA210" s="56"/>
      <c r="GB210" s="56"/>
      <c r="GC210" s="56"/>
      <c r="GD210" s="56"/>
      <c r="GE210" s="56"/>
      <c r="GF210" s="56"/>
      <c r="GG210" s="56"/>
      <c r="GH210" s="56"/>
      <c r="GI210" s="56"/>
      <c r="GJ210" s="56"/>
      <c r="GK210" s="56"/>
      <c r="GL210" s="56"/>
      <c r="GM210" s="56"/>
      <c r="GN210" s="56"/>
      <c r="GO210" s="56"/>
      <c r="GP210" s="56"/>
      <c r="GQ210" s="56"/>
      <c r="GR210" s="56"/>
      <c r="GS210" s="56"/>
      <c r="GT210" s="56"/>
      <c r="GU210" s="56"/>
      <c r="GV210" s="56"/>
      <c r="GW210" s="56"/>
      <c r="GX210" s="56"/>
      <c r="GY210" s="56"/>
      <c r="GZ210" s="56"/>
      <c r="HA210" s="56"/>
      <c r="HB210" s="56"/>
      <c r="HC210" s="56"/>
      <c r="HD210" s="56"/>
      <c r="HE210" s="56"/>
      <c r="HF210" s="56"/>
      <c r="HG210" s="56"/>
      <c r="HH210" s="56"/>
      <c r="HI210" s="56"/>
      <c r="HJ210" s="56"/>
    </row>
    <row r="211" spans="1:218" ht="15.75" customHeight="1" x14ac:dyDescent="0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  <c r="CW211" s="56"/>
      <c r="CX211" s="56"/>
      <c r="CY211" s="56"/>
      <c r="CZ211" s="56"/>
      <c r="DA211" s="56"/>
      <c r="DB211" s="56"/>
      <c r="DC211" s="56"/>
      <c r="DD211" s="56"/>
      <c r="DE211" s="56"/>
      <c r="DF211" s="56"/>
      <c r="DG211" s="56"/>
      <c r="DH211" s="56"/>
      <c r="DI211" s="56"/>
      <c r="DJ211" s="56"/>
      <c r="DK211" s="56"/>
      <c r="DL211" s="56"/>
      <c r="DM211" s="56"/>
      <c r="DN211" s="56"/>
      <c r="DO211" s="56"/>
      <c r="DP211" s="56"/>
      <c r="DQ211" s="56"/>
      <c r="DR211" s="56"/>
      <c r="DS211" s="56"/>
      <c r="DT211" s="56"/>
      <c r="DU211" s="56"/>
      <c r="DV211" s="56"/>
      <c r="DW211" s="56"/>
      <c r="DX211" s="56"/>
      <c r="DY211" s="56"/>
      <c r="DZ211" s="56"/>
      <c r="EA211" s="56"/>
      <c r="EB211" s="56"/>
      <c r="EC211" s="56"/>
      <c r="ED211" s="56"/>
      <c r="EE211" s="56"/>
      <c r="EF211" s="56"/>
      <c r="EG211" s="56"/>
      <c r="EH211" s="56"/>
      <c r="EI211" s="56"/>
      <c r="EJ211" s="56"/>
      <c r="EK211" s="56"/>
      <c r="EL211" s="56"/>
      <c r="EM211" s="56"/>
      <c r="EN211" s="56"/>
      <c r="EO211" s="56"/>
      <c r="EP211" s="56"/>
      <c r="EQ211" s="56"/>
      <c r="ER211" s="56"/>
      <c r="ES211" s="56"/>
      <c r="ET211" s="56"/>
      <c r="EU211" s="56"/>
      <c r="EV211" s="56"/>
      <c r="EW211" s="56"/>
      <c r="EX211" s="56"/>
      <c r="EY211" s="56"/>
      <c r="EZ211" s="56"/>
      <c r="FA211" s="56"/>
      <c r="FB211" s="56"/>
      <c r="FC211" s="56"/>
      <c r="FD211" s="56"/>
      <c r="FE211" s="56"/>
      <c r="FF211" s="56"/>
      <c r="FG211" s="56"/>
      <c r="FH211" s="56"/>
      <c r="FI211" s="56"/>
      <c r="FJ211" s="56"/>
      <c r="FK211" s="56"/>
      <c r="FL211" s="56"/>
      <c r="FM211" s="56"/>
      <c r="FN211" s="56"/>
      <c r="FO211" s="56"/>
      <c r="FP211" s="56"/>
      <c r="FQ211" s="56"/>
      <c r="FR211" s="56"/>
      <c r="FS211" s="56"/>
      <c r="FT211" s="56"/>
      <c r="FU211" s="56"/>
      <c r="FV211" s="56"/>
      <c r="FW211" s="56"/>
      <c r="FX211" s="56"/>
      <c r="FY211" s="56"/>
      <c r="FZ211" s="56"/>
      <c r="GA211" s="56"/>
      <c r="GB211" s="56"/>
      <c r="GC211" s="56"/>
      <c r="GD211" s="56"/>
      <c r="GE211" s="56"/>
      <c r="GF211" s="56"/>
      <c r="GG211" s="56"/>
      <c r="GH211" s="56"/>
      <c r="GI211" s="56"/>
      <c r="GJ211" s="56"/>
      <c r="GK211" s="56"/>
      <c r="GL211" s="56"/>
      <c r="GM211" s="56"/>
      <c r="GN211" s="56"/>
      <c r="GO211" s="56"/>
      <c r="GP211" s="56"/>
      <c r="GQ211" s="56"/>
      <c r="GR211" s="56"/>
      <c r="GS211" s="56"/>
      <c r="GT211" s="56"/>
      <c r="GU211" s="56"/>
      <c r="GV211" s="56"/>
      <c r="GW211" s="56"/>
      <c r="GX211" s="56"/>
      <c r="GY211" s="56"/>
      <c r="GZ211" s="56"/>
      <c r="HA211" s="56"/>
      <c r="HB211" s="56"/>
      <c r="HC211" s="56"/>
      <c r="HD211" s="56"/>
      <c r="HE211" s="56"/>
      <c r="HF211" s="56"/>
      <c r="HG211" s="56"/>
      <c r="HH211" s="56"/>
      <c r="HI211" s="56"/>
      <c r="HJ211" s="56"/>
    </row>
    <row r="212" spans="1:218" ht="15.75" customHeight="1" x14ac:dyDescent="0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6"/>
      <c r="CV212" s="56"/>
      <c r="CW212" s="56"/>
      <c r="CX212" s="56"/>
      <c r="CY212" s="56"/>
      <c r="CZ212" s="56"/>
      <c r="DA212" s="56"/>
      <c r="DB212" s="56"/>
      <c r="DC212" s="56"/>
      <c r="DD212" s="56"/>
      <c r="DE212" s="56"/>
      <c r="DF212" s="56"/>
      <c r="DG212" s="56"/>
      <c r="DH212" s="56"/>
      <c r="DI212" s="56"/>
      <c r="DJ212" s="56"/>
      <c r="DK212" s="56"/>
      <c r="DL212" s="56"/>
      <c r="DM212" s="56"/>
      <c r="DN212" s="56"/>
      <c r="DO212" s="56"/>
      <c r="DP212" s="56"/>
      <c r="DQ212" s="56"/>
      <c r="DR212" s="56"/>
      <c r="DS212" s="56"/>
      <c r="DT212" s="56"/>
      <c r="DU212" s="56"/>
      <c r="DV212" s="56"/>
      <c r="DW212" s="56"/>
      <c r="DX212" s="56"/>
      <c r="DY212" s="56"/>
      <c r="DZ212" s="56"/>
      <c r="EA212" s="56"/>
      <c r="EB212" s="56"/>
      <c r="EC212" s="56"/>
      <c r="ED212" s="56"/>
      <c r="EE212" s="56"/>
      <c r="EF212" s="56"/>
      <c r="EG212" s="56"/>
      <c r="EH212" s="56"/>
      <c r="EI212" s="56"/>
      <c r="EJ212" s="56"/>
      <c r="EK212" s="56"/>
      <c r="EL212" s="56"/>
      <c r="EM212" s="56"/>
      <c r="EN212" s="56"/>
      <c r="EO212" s="56"/>
      <c r="EP212" s="56"/>
      <c r="EQ212" s="56"/>
      <c r="ER212" s="56"/>
      <c r="ES212" s="56"/>
      <c r="ET212" s="56"/>
      <c r="EU212" s="56"/>
      <c r="EV212" s="56"/>
      <c r="EW212" s="56"/>
      <c r="EX212" s="56"/>
      <c r="EY212" s="56"/>
      <c r="EZ212" s="56"/>
      <c r="FA212" s="56"/>
      <c r="FB212" s="56"/>
      <c r="FC212" s="56"/>
      <c r="FD212" s="56"/>
      <c r="FE212" s="56"/>
      <c r="FF212" s="56"/>
      <c r="FG212" s="56"/>
      <c r="FH212" s="56"/>
      <c r="FI212" s="56"/>
      <c r="FJ212" s="56"/>
      <c r="FK212" s="56"/>
      <c r="FL212" s="56"/>
      <c r="FM212" s="56"/>
      <c r="FN212" s="56"/>
      <c r="FO212" s="56"/>
      <c r="FP212" s="56"/>
      <c r="FQ212" s="56"/>
      <c r="FR212" s="56"/>
      <c r="FS212" s="56"/>
      <c r="FT212" s="56"/>
      <c r="FU212" s="56"/>
      <c r="FV212" s="56"/>
      <c r="FW212" s="56"/>
      <c r="FX212" s="56"/>
      <c r="FY212" s="56"/>
      <c r="FZ212" s="56"/>
      <c r="GA212" s="56"/>
      <c r="GB212" s="56"/>
      <c r="GC212" s="56"/>
      <c r="GD212" s="56"/>
      <c r="GE212" s="56"/>
      <c r="GF212" s="56"/>
      <c r="GG212" s="56"/>
      <c r="GH212" s="56"/>
      <c r="GI212" s="56"/>
      <c r="GJ212" s="56"/>
      <c r="GK212" s="56"/>
      <c r="GL212" s="56"/>
      <c r="GM212" s="56"/>
      <c r="GN212" s="56"/>
      <c r="GO212" s="56"/>
      <c r="GP212" s="56"/>
      <c r="GQ212" s="56"/>
      <c r="GR212" s="56"/>
      <c r="GS212" s="56"/>
      <c r="GT212" s="56"/>
      <c r="GU212" s="56"/>
      <c r="GV212" s="56"/>
      <c r="GW212" s="56"/>
      <c r="GX212" s="56"/>
      <c r="GY212" s="56"/>
      <c r="GZ212" s="56"/>
      <c r="HA212" s="56"/>
      <c r="HB212" s="56"/>
      <c r="HC212" s="56"/>
      <c r="HD212" s="56"/>
      <c r="HE212" s="56"/>
      <c r="HF212" s="56"/>
      <c r="HG212" s="56"/>
      <c r="HH212" s="56"/>
      <c r="HI212" s="56"/>
      <c r="HJ212" s="56"/>
    </row>
    <row r="213" spans="1:218" ht="15.75" customHeight="1" x14ac:dyDescent="0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  <c r="CS213" s="56"/>
      <c r="CT213" s="56"/>
      <c r="CU213" s="56"/>
      <c r="CV213" s="56"/>
      <c r="CW213" s="56"/>
      <c r="CX213" s="56"/>
      <c r="CY213" s="56"/>
      <c r="CZ213" s="56"/>
      <c r="DA213" s="56"/>
      <c r="DB213" s="56"/>
      <c r="DC213" s="56"/>
      <c r="DD213" s="56"/>
      <c r="DE213" s="56"/>
      <c r="DF213" s="56"/>
      <c r="DG213" s="56"/>
      <c r="DH213" s="56"/>
      <c r="DI213" s="56"/>
      <c r="DJ213" s="56"/>
      <c r="DK213" s="56"/>
      <c r="DL213" s="56"/>
      <c r="DM213" s="56"/>
      <c r="DN213" s="56"/>
      <c r="DO213" s="56"/>
      <c r="DP213" s="56"/>
      <c r="DQ213" s="56"/>
      <c r="DR213" s="56"/>
      <c r="DS213" s="56"/>
      <c r="DT213" s="56"/>
      <c r="DU213" s="56"/>
      <c r="DV213" s="56"/>
      <c r="DW213" s="56"/>
      <c r="DX213" s="56"/>
      <c r="DY213" s="56"/>
      <c r="DZ213" s="56"/>
      <c r="EA213" s="56"/>
      <c r="EB213" s="56"/>
      <c r="EC213" s="56"/>
      <c r="ED213" s="56"/>
      <c r="EE213" s="56"/>
      <c r="EF213" s="56"/>
      <c r="EG213" s="56"/>
      <c r="EH213" s="56"/>
      <c r="EI213" s="56"/>
      <c r="EJ213" s="56"/>
      <c r="EK213" s="56"/>
      <c r="EL213" s="56"/>
      <c r="EM213" s="56"/>
      <c r="EN213" s="56"/>
      <c r="EO213" s="56"/>
      <c r="EP213" s="56"/>
      <c r="EQ213" s="56"/>
      <c r="ER213" s="56"/>
      <c r="ES213" s="56"/>
      <c r="ET213" s="56"/>
      <c r="EU213" s="56"/>
      <c r="EV213" s="56"/>
      <c r="EW213" s="56"/>
      <c r="EX213" s="56"/>
      <c r="EY213" s="56"/>
      <c r="EZ213" s="56"/>
      <c r="FA213" s="56"/>
      <c r="FB213" s="56"/>
      <c r="FC213" s="56"/>
      <c r="FD213" s="56"/>
      <c r="FE213" s="56"/>
      <c r="FF213" s="56"/>
      <c r="FG213" s="56"/>
      <c r="FH213" s="56"/>
      <c r="FI213" s="56"/>
      <c r="FJ213" s="56"/>
      <c r="FK213" s="56"/>
      <c r="FL213" s="56"/>
      <c r="FM213" s="56"/>
      <c r="FN213" s="56"/>
      <c r="FO213" s="56"/>
      <c r="FP213" s="56"/>
      <c r="FQ213" s="56"/>
      <c r="FR213" s="56"/>
      <c r="FS213" s="56"/>
      <c r="FT213" s="56"/>
      <c r="FU213" s="56"/>
      <c r="FV213" s="56"/>
      <c r="FW213" s="56"/>
      <c r="FX213" s="56"/>
      <c r="FY213" s="56"/>
      <c r="FZ213" s="56"/>
      <c r="GA213" s="56"/>
      <c r="GB213" s="56"/>
      <c r="GC213" s="56"/>
      <c r="GD213" s="56"/>
      <c r="GE213" s="56"/>
      <c r="GF213" s="56"/>
      <c r="GG213" s="56"/>
      <c r="GH213" s="56"/>
      <c r="GI213" s="56"/>
      <c r="GJ213" s="56"/>
      <c r="GK213" s="56"/>
      <c r="GL213" s="56"/>
      <c r="GM213" s="56"/>
      <c r="GN213" s="56"/>
      <c r="GO213" s="56"/>
      <c r="GP213" s="56"/>
      <c r="GQ213" s="56"/>
      <c r="GR213" s="56"/>
      <c r="GS213" s="56"/>
      <c r="GT213" s="56"/>
      <c r="GU213" s="56"/>
      <c r="GV213" s="56"/>
      <c r="GW213" s="56"/>
      <c r="GX213" s="56"/>
      <c r="GY213" s="56"/>
      <c r="GZ213" s="56"/>
      <c r="HA213" s="56"/>
      <c r="HB213" s="56"/>
      <c r="HC213" s="56"/>
      <c r="HD213" s="56"/>
      <c r="HE213" s="56"/>
      <c r="HF213" s="56"/>
      <c r="HG213" s="56"/>
      <c r="HH213" s="56"/>
      <c r="HI213" s="56"/>
      <c r="HJ213" s="56"/>
    </row>
    <row r="214" spans="1:218" ht="15.75" customHeight="1" x14ac:dyDescent="0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6"/>
      <c r="CV214" s="56"/>
      <c r="CW214" s="56"/>
      <c r="CX214" s="56"/>
      <c r="CY214" s="56"/>
      <c r="CZ214" s="56"/>
      <c r="DA214" s="56"/>
      <c r="DB214" s="56"/>
      <c r="DC214" s="56"/>
      <c r="DD214" s="56"/>
      <c r="DE214" s="56"/>
      <c r="DF214" s="56"/>
      <c r="DG214" s="56"/>
      <c r="DH214" s="56"/>
      <c r="DI214" s="56"/>
      <c r="DJ214" s="56"/>
      <c r="DK214" s="56"/>
      <c r="DL214" s="56"/>
      <c r="DM214" s="56"/>
      <c r="DN214" s="56"/>
      <c r="DO214" s="56"/>
      <c r="DP214" s="56"/>
      <c r="DQ214" s="56"/>
      <c r="DR214" s="56"/>
      <c r="DS214" s="56"/>
      <c r="DT214" s="56"/>
      <c r="DU214" s="56"/>
      <c r="DV214" s="56"/>
      <c r="DW214" s="56"/>
      <c r="DX214" s="56"/>
      <c r="DY214" s="56"/>
      <c r="DZ214" s="56"/>
      <c r="EA214" s="56"/>
      <c r="EB214" s="56"/>
      <c r="EC214" s="56"/>
      <c r="ED214" s="56"/>
      <c r="EE214" s="56"/>
      <c r="EF214" s="56"/>
      <c r="EG214" s="56"/>
      <c r="EH214" s="56"/>
      <c r="EI214" s="56"/>
      <c r="EJ214" s="56"/>
      <c r="EK214" s="56"/>
      <c r="EL214" s="56"/>
      <c r="EM214" s="56"/>
      <c r="EN214" s="56"/>
      <c r="EO214" s="56"/>
      <c r="EP214" s="56"/>
      <c r="EQ214" s="56"/>
      <c r="ER214" s="56"/>
      <c r="ES214" s="56"/>
      <c r="ET214" s="56"/>
      <c r="EU214" s="56"/>
      <c r="EV214" s="56"/>
      <c r="EW214" s="56"/>
      <c r="EX214" s="56"/>
      <c r="EY214" s="56"/>
      <c r="EZ214" s="56"/>
      <c r="FA214" s="56"/>
      <c r="FB214" s="56"/>
      <c r="FC214" s="56"/>
      <c r="FD214" s="56"/>
      <c r="FE214" s="56"/>
      <c r="FF214" s="56"/>
      <c r="FG214" s="56"/>
      <c r="FH214" s="56"/>
      <c r="FI214" s="56"/>
      <c r="FJ214" s="56"/>
      <c r="FK214" s="56"/>
      <c r="FL214" s="56"/>
      <c r="FM214" s="56"/>
      <c r="FN214" s="56"/>
      <c r="FO214" s="56"/>
      <c r="FP214" s="56"/>
      <c r="FQ214" s="56"/>
      <c r="FR214" s="56"/>
      <c r="FS214" s="56"/>
      <c r="FT214" s="56"/>
      <c r="FU214" s="56"/>
      <c r="FV214" s="56"/>
      <c r="FW214" s="56"/>
      <c r="FX214" s="56"/>
      <c r="FY214" s="56"/>
      <c r="FZ214" s="56"/>
      <c r="GA214" s="56"/>
      <c r="GB214" s="56"/>
      <c r="GC214" s="56"/>
      <c r="GD214" s="56"/>
      <c r="GE214" s="56"/>
      <c r="GF214" s="56"/>
      <c r="GG214" s="56"/>
      <c r="GH214" s="56"/>
      <c r="GI214" s="56"/>
      <c r="GJ214" s="56"/>
      <c r="GK214" s="56"/>
      <c r="GL214" s="56"/>
      <c r="GM214" s="56"/>
      <c r="GN214" s="56"/>
      <c r="GO214" s="56"/>
      <c r="GP214" s="56"/>
      <c r="GQ214" s="56"/>
      <c r="GR214" s="56"/>
      <c r="GS214" s="56"/>
      <c r="GT214" s="56"/>
      <c r="GU214" s="56"/>
      <c r="GV214" s="56"/>
      <c r="GW214" s="56"/>
      <c r="GX214" s="56"/>
      <c r="GY214" s="56"/>
      <c r="GZ214" s="56"/>
      <c r="HA214" s="56"/>
      <c r="HB214" s="56"/>
      <c r="HC214" s="56"/>
      <c r="HD214" s="56"/>
      <c r="HE214" s="56"/>
      <c r="HF214" s="56"/>
      <c r="HG214" s="56"/>
      <c r="HH214" s="56"/>
      <c r="HI214" s="56"/>
      <c r="HJ214" s="56"/>
    </row>
    <row r="215" spans="1:218" ht="15.75" customHeight="1" x14ac:dyDescent="0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  <c r="CW215" s="56"/>
      <c r="CX215" s="56"/>
      <c r="CY215" s="56"/>
      <c r="CZ215" s="56"/>
      <c r="DA215" s="56"/>
      <c r="DB215" s="56"/>
      <c r="DC215" s="56"/>
      <c r="DD215" s="56"/>
      <c r="DE215" s="56"/>
      <c r="DF215" s="56"/>
      <c r="DG215" s="56"/>
      <c r="DH215" s="56"/>
      <c r="DI215" s="56"/>
      <c r="DJ215" s="56"/>
      <c r="DK215" s="56"/>
      <c r="DL215" s="56"/>
      <c r="DM215" s="56"/>
      <c r="DN215" s="56"/>
      <c r="DO215" s="56"/>
      <c r="DP215" s="56"/>
      <c r="DQ215" s="56"/>
      <c r="DR215" s="56"/>
      <c r="DS215" s="56"/>
      <c r="DT215" s="56"/>
      <c r="DU215" s="56"/>
      <c r="DV215" s="56"/>
      <c r="DW215" s="56"/>
      <c r="DX215" s="56"/>
      <c r="DY215" s="56"/>
      <c r="DZ215" s="56"/>
      <c r="EA215" s="56"/>
      <c r="EB215" s="56"/>
      <c r="EC215" s="56"/>
      <c r="ED215" s="56"/>
      <c r="EE215" s="56"/>
      <c r="EF215" s="56"/>
      <c r="EG215" s="56"/>
      <c r="EH215" s="56"/>
      <c r="EI215" s="56"/>
      <c r="EJ215" s="56"/>
      <c r="EK215" s="56"/>
      <c r="EL215" s="56"/>
      <c r="EM215" s="56"/>
      <c r="EN215" s="56"/>
      <c r="EO215" s="56"/>
      <c r="EP215" s="56"/>
      <c r="EQ215" s="56"/>
      <c r="ER215" s="56"/>
      <c r="ES215" s="56"/>
      <c r="ET215" s="56"/>
      <c r="EU215" s="56"/>
      <c r="EV215" s="56"/>
      <c r="EW215" s="56"/>
      <c r="EX215" s="56"/>
      <c r="EY215" s="56"/>
      <c r="EZ215" s="56"/>
      <c r="FA215" s="56"/>
      <c r="FB215" s="56"/>
      <c r="FC215" s="56"/>
      <c r="FD215" s="56"/>
      <c r="FE215" s="56"/>
      <c r="FF215" s="56"/>
      <c r="FG215" s="56"/>
      <c r="FH215" s="56"/>
      <c r="FI215" s="56"/>
      <c r="FJ215" s="56"/>
      <c r="FK215" s="56"/>
      <c r="FL215" s="56"/>
      <c r="FM215" s="56"/>
      <c r="FN215" s="56"/>
      <c r="FO215" s="56"/>
      <c r="FP215" s="56"/>
      <c r="FQ215" s="56"/>
      <c r="FR215" s="56"/>
      <c r="FS215" s="56"/>
      <c r="FT215" s="56"/>
      <c r="FU215" s="56"/>
      <c r="FV215" s="56"/>
      <c r="FW215" s="56"/>
      <c r="FX215" s="56"/>
      <c r="FY215" s="56"/>
      <c r="FZ215" s="56"/>
      <c r="GA215" s="56"/>
      <c r="GB215" s="56"/>
      <c r="GC215" s="56"/>
      <c r="GD215" s="56"/>
      <c r="GE215" s="56"/>
      <c r="GF215" s="56"/>
      <c r="GG215" s="56"/>
      <c r="GH215" s="56"/>
      <c r="GI215" s="56"/>
      <c r="GJ215" s="56"/>
      <c r="GK215" s="56"/>
      <c r="GL215" s="56"/>
      <c r="GM215" s="56"/>
      <c r="GN215" s="56"/>
      <c r="GO215" s="56"/>
      <c r="GP215" s="56"/>
      <c r="GQ215" s="56"/>
      <c r="GR215" s="56"/>
      <c r="GS215" s="56"/>
      <c r="GT215" s="56"/>
      <c r="GU215" s="56"/>
      <c r="GV215" s="56"/>
      <c r="GW215" s="56"/>
      <c r="GX215" s="56"/>
      <c r="GY215" s="56"/>
      <c r="GZ215" s="56"/>
      <c r="HA215" s="56"/>
      <c r="HB215" s="56"/>
      <c r="HC215" s="56"/>
      <c r="HD215" s="56"/>
      <c r="HE215" s="56"/>
      <c r="HF215" s="56"/>
      <c r="HG215" s="56"/>
      <c r="HH215" s="56"/>
      <c r="HI215" s="56"/>
      <c r="HJ215" s="56"/>
    </row>
    <row r="216" spans="1:218" ht="15.75" customHeight="1" x14ac:dyDescent="0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  <c r="CT216" s="56"/>
      <c r="CU216" s="56"/>
      <c r="CV216" s="56"/>
      <c r="CW216" s="56"/>
      <c r="CX216" s="56"/>
      <c r="CY216" s="56"/>
      <c r="CZ216" s="56"/>
      <c r="DA216" s="56"/>
      <c r="DB216" s="56"/>
      <c r="DC216" s="56"/>
      <c r="DD216" s="56"/>
      <c r="DE216" s="56"/>
      <c r="DF216" s="56"/>
      <c r="DG216" s="56"/>
      <c r="DH216" s="56"/>
      <c r="DI216" s="56"/>
      <c r="DJ216" s="56"/>
      <c r="DK216" s="56"/>
      <c r="DL216" s="56"/>
      <c r="DM216" s="56"/>
      <c r="DN216" s="56"/>
      <c r="DO216" s="56"/>
      <c r="DP216" s="56"/>
      <c r="DQ216" s="56"/>
      <c r="DR216" s="56"/>
      <c r="DS216" s="56"/>
      <c r="DT216" s="56"/>
      <c r="DU216" s="56"/>
      <c r="DV216" s="56"/>
      <c r="DW216" s="56"/>
      <c r="DX216" s="56"/>
      <c r="DY216" s="56"/>
      <c r="DZ216" s="56"/>
      <c r="EA216" s="56"/>
      <c r="EB216" s="56"/>
      <c r="EC216" s="56"/>
      <c r="ED216" s="56"/>
      <c r="EE216" s="56"/>
      <c r="EF216" s="56"/>
      <c r="EG216" s="56"/>
      <c r="EH216" s="56"/>
      <c r="EI216" s="56"/>
      <c r="EJ216" s="56"/>
      <c r="EK216" s="56"/>
      <c r="EL216" s="56"/>
      <c r="EM216" s="56"/>
      <c r="EN216" s="56"/>
      <c r="EO216" s="56"/>
      <c r="EP216" s="56"/>
      <c r="EQ216" s="56"/>
      <c r="ER216" s="56"/>
      <c r="ES216" s="56"/>
      <c r="ET216" s="56"/>
      <c r="EU216" s="56"/>
      <c r="EV216" s="56"/>
      <c r="EW216" s="56"/>
      <c r="EX216" s="56"/>
      <c r="EY216" s="56"/>
      <c r="EZ216" s="56"/>
      <c r="FA216" s="56"/>
      <c r="FB216" s="56"/>
      <c r="FC216" s="56"/>
      <c r="FD216" s="56"/>
      <c r="FE216" s="56"/>
      <c r="FF216" s="56"/>
      <c r="FG216" s="56"/>
      <c r="FH216" s="56"/>
      <c r="FI216" s="56"/>
      <c r="FJ216" s="56"/>
      <c r="FK216" s="56"/>
      <c r="FL216" s="56"/>
      <c r="FM216" s="56"/>
      <c r="FN216" s="56"/>
      <c r="FO216" s="56"/>
      <c r="FP216" s="56"/>
      <c r="FQ216" s="56"/>
      <c r="FR216" s="56"/>
      <c r="FS216" s="56"/>
      <c r="FT216" s="56"/>
      <c r="FU216" s="56"/>
      <c r="FV216" s="56"/>
      <c r="FW216" s="56"/>
      <c r="FX216" s="56"/>
      <c r="FY216" s="56"/>
      <c r="FZ216" s="56"/>
      <c r="GA216" s="56"/>
      <c r="GB216" s="56"/>
      <c r="GC216" s="56"/>
      <c r="GD216" s="56"/>
      <c r="GE216" s="56"/>
      <c r="GF216" s="56"/>
      <c r="GG216" s="56"/>
      <c r="GH216" s="56"/>
      <c r="GI216" s="56"/>
      <c r="GJ216" s="56"/>
      <c r="GK216" s="56"/>
      <c r="GL216" s="56"/>
      <c r="GM216" s="56"/>
      <c r="GN216" s="56"/>
      <c r="GO216" s="56"/>
      <c r="GP216" s="56"/>
      <c r="GQ216" s="56"/>
      <c r="GR216" s="56"/>
      <c r="GS216" s="56"/>
      <c r="GT216" s="56"/>
      <c r="GU216" s="56"/>
      <c r="GV216" s="56"/>
      <c r="GW216" s="56"/>
      <c r="GX216" s="56"/>
      <c r="GY216" s="56"/>
      <c r="GZ216" s="56"/>
      <c r="HA216" s="56"/>
      <c r="HB216" s="56"/>
      <c r="HC216" s="56"/>
      <c r="HD216" s="56"/>
      <c r="HE216" s="56"/>
      <c r="HF216" s="56"/>
      <c r="HG216" s="56"/>
      <c r="HH216" s="56"/>
      <c r="HI216" s="56"/>
      <c r="HJ216" s="56"/>
    </row>
    <row r="217" spans="1:218" ht="15.75" customHeight="1" x14ac:dyDescent="0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6"/>
      <c r="CV217" s="56"/>
      <c r="CW217" s="56"/>
      <c r="CX217" s="56"/>
      <c r="CY217" s="56"/>
      <c r="CZ217" s="56"/>
      <c r="DA217" s="56"/>
      <c r="DB217" s="56"/>
      <c r="DC217" s="56"/>
      <c r="DD217" s="56"/>
      <c r="DE217" s="56"/>
      <c r="DF217" s="56"/>
      <c r="DG217" s="56"/>
      <c r="DH217" s="56"/>
      <c r="DI217" s="56"/>
      <c r="DJ217" s="56"/>
      <c r="DK217" s="56"/>
      <c r="DL217" s="56"/>
      <c r="DM217" s="56"/>
      <c r="DN217" s="56"/>
      <c r="DO217" s="56"/>
      <c r="DP217" s="56"/>
      <c r="DQ217" s="56"/>
      <c r="DR217" s="56"/>
      <c r="DS217" s="56"/>
      <c r="DT217" s="56"/>
      <c r="DU217" s="56"/>
      <c r="DV217" s="56"/>
      <c r="DW217" s="56"/>
      <c r="DX217" s="56"/>
      <c r="DY217" s="56"/>
      <c r="DZ217" s="56"/>
      <c r="EA217" s="56"/>
      <c r="EB217" s="56"/>
      <c r="EC217" s="56"/>
      <c r="ED217" s="56"/>
      <c r="EE217" s="56"/>
      <c r="EF217" s="56"/>
      <c r="EG217" s="56"/>
      <c r="EH217" s="56"/>
      <c r="EI217" s="56"/>
      <c r="EJ217" s="56"/>
      <c r="EK217" s="56"/>
      <c r="EL217" s="56"/>
      <c r="EM217" s="56"/>
      <c r="EN217" s="56"/>
      <c r="EO217" s="56"/>
      <c r="EP217" s="56"/>
      <c r="EQ217" s="56"/>
      <c r="ER217" s="56"/>
      <c r="ES217" s="56"/>
      <c r="ET217" s="56"/>
      <c r="EU217" s="56"/>
      <c r="EV217" s="56"/>
      <c r="EW217" s="56"/>
      <c r="EX217" s="56"/>
      <c r="EY217" s="56"/>
      <c r="EZ217" s="56"/>
      <c r="FA217" s="56"/>
      <c r="FB217" s="56"/>
      <c r="FC217" s="56"/>
      <c r="FD217" s="56"/>
      <c r="FE217" s="56"/>
      <c r="FF217" s="56"/>
      <c r="FG217" s="56"/>
      <c r="FH217" s="56"/>
      <c r="FI217" s="56"/>
      <c r="FJ217" s="56"/>
      <c r="FK217" s="56"/>
      <c r="FL217" s="56"/>
      <c r="FM217" s="56"/>
      <c r="FN217" s="56"/>
      <c r="FO217" s="56"/>
      <c r="FP217" s="56"/>
      <c r="FQ217" s="56"/>
      <c r="FR217" s="56"/>
      <c r="FS217" s="56"/>
      <c r="FT217" s="56"/>
      <c r="FU217" s="56"/>
      <c r="FV217" s="56"/>
      <c r="FW217" s="56"/>
      <c r="FX217" s="56"/>
      <c r="FY217" s="56"/>
      <c r="FZ217" s="56"/>
      <c r="GA217" s="56"/>
      <c r="GB217" s="56"/>
      <c r="GC217" s="56"/>
      <c r="GD217" s="56"/>
      <c r="GE217" s="56"/>
      <c r="GF217" s="56"/>
      <c r="GG217" s="56"/>
      <c r="GH217" s="56"/>
      <c r="GI217" s="56"/>
      <c r="GJ217" s="56"/>
      <c r="GK217" s="56"/>
      <c r="GL217" s="56"/>
      <c r="GM217" s="56"/>
      <c r="GN217" s="56"/>
      <c r="GO217" s="56"/>
      <c r="GP217" s="56"/>
      <c r="GQ217" s="56"/>
      <c r="GR217" s="56"/>
      <c r="GS217" s="56"/>
      <c r="GT217" s="56"/>
      <c r="GU217" s="56"/>
      <c r="GV217" s="56"/>
      <c r="GW217" s="56"/>
      <c r="GX217" s="56"/>
      <c r="GY217" s="56"/>
      <c r="GZ217" s="56"/>
      <c r="HA217" s="56"/>
      <c r="HB217" s="56"/>
      <c r="HC217" s="56"/>
      <c r="HD217" s="56"/>
      <c r="HE217" s="56"/>
      <c r="HF217" s="56"/>
      <c r="HG217" s="56"/>
      <c r="HH217" s="56"/>
      <c r="HI217" s="56"/>
      <c r="HJ217" s="56"/>
    </row>
    <row r="218" spans="1:218" ht="15.75" customHeight="1" x14ac:dyDescent="0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  <c r="CT218" s="56"/>
      <c r="CU218" s="56"/>
      <c r="CV218" s="56"/>
      <c r="CW218" s="56"/>
      <c r="CX218" s="56"/>
      <c r="CY218" s="56"/>
      <c r="CZ218" s="56"/>
      <c r="DA218" s="56"/>
      <c r="DB218" s="56"/>
      <c r="DC218" s="56"/>
      <c r="DD218" s="56"/>
      <c r="DE218" s="56"/>
      <c r="DF218" s="56"/>
      <c r="DG218" s="56"/>
      <c r="DH218" s="56"/>
      <c r="DI218" s="56"/>
      <c r="DJ218" s="56"/>
      <c r="DK218" s="56"/>
      <c r="DL218" s="56"/>
      <c r="DM218" s="56"/>
      <c r="DN218" s="56"/>
      <c r="DO218" s="56"/>
      <c r="DP218" s="56"/>
      <c r="DQ218" s="56"/>
      <c r="DR218" s="56"/>
      <c r="DS218" s="56"/>
      <c r="DT218" s="56"/>
      <c r="DU218" s="56"/>
      <c r="DV218" s="56"/>
      <c r="DW218" s="56"/>
      <c r="DX218" s="56"/>
      <c r="DY218" s="56"/>
      <c r="DZ218" s="56"/>
      <c r="EA218" s="56"/>
      <c r="EB218" s="56"/>
      <c r="EC218" s="56"/>
      <c r="ED218" s="56"/>
      <c r="EE218" s="56"/>
      <c r="EF218" s="56"/>
      <c r="EG218" s="56"/>
      <c r="EH218" s="56"/>
      <c r="EI218" s="56"/>
      <c r="EJ218" s="56"/>
      <c r="EK218" s="56"/>
      <c r="EL218" s="56"/>
      <c r="EM218" s="56"/>
      <c r="EN218" s="56"/>
      <c r="EO218" s="56"/>
      <c r="EP218" s="56"/>
      <c r="EQ218" s="56"/>
      <c r="ER218" s="56"/>
      <c r="ES218" s="56"/>
      <c r="ET218" s="56"/>
      <c r="EU218" s="56"/>
      <c r="EV218" s="56"/>
      <c r="EW218" s="56"/>
      <c r="EX218" s="56"/>
      <c r="EY218" s="56"/>
      <c r="EZ218" s="56"/>
      <c r="FA218" s="56"/>
      <c r="FB218" s="56"/>
      <c r="FC218" s="56"/>
      <c r="FD218" s="56"/>
      <c r="FE218" s="56"/>
      <c r="FF218" s="56"/>
      <c r="FG218" s="56"/>
      <c r="FH218" s="56"/>
      <c r="FI218" s="56"/>
      <c r="FJ218" s="56"/>
      <c r="FK218" s="56"/>
      <c r="FL218" s="56"/>
      <c r="FM218" s="56"/>
      <c r="FN218" s="56"/>
      <c r="FO218" s="56"/>
      <c r="FP218" s="56"/>
      <c r="FQ218" s="56"/>
      <c r="FR218" s="56"/>
      <c r="FS218" s="56"/>
      <c r="FT218" s="56"/>
      <c r="FU218" s="56"/>
      <c r="FV218" s="56"/>
      <c r="FW218" s="56"/>
      <c r="FX218" s="56"/>
      <c r="FY218" s="56"/>
      <c r="FZ218" s="56"/>
      <c r="GA218" s="56"/>
      <c r="GB218" s="56"/>
      <c r="GC218" s="56"/>
      <c r="GD218" s="56"/>
      <c r="GE218" s="56"/>
      <c r="GF218" s="56"/>
      <c r="GG218" s="56"/>
      <c r="GH218" s="56"/>
      <c r="GI218" s="56"/>
      <c r="GJ218" s="56"/>
      <c r="GK218" s="56"/>
      <c r="GL218" s="56"/>
      <c r="GM218" s="56"/>
      <c r="GN218" s="56"/>
      <c r="GO218" s="56"/>
      <c r="GP218" s="56"/>
      <c r="GQ218" s="56"/>
      <c r="GR218" s="56"/>
      <c r="GS218" s="56"/>
      <c r="GT218" s="56"/>
      <c r="GU218" s="56"/>
      <c r="GV218" s="56"/>
      <c r="GW218" s="56"/>
      <c r="GX218" s="56"/>
      <c r="GY218" s="56"/>
      <c r="GZ218" s="56"/>
      <c r="HA218" s="56"/>
      <c r="HB218" s="56"/>
      <c r="HC218" s="56"/>
      <c r="HD218" s="56"/>
      <c r="HE218" s="56"/>
      <c r="HF218" s="56"/>
      <c r="HG218" s="56"/>
      <c r="HH218" s="56"/>
      <c r="HI218" s="56"/>
      <c r="HJ218" s="56"/>
    </row>
    <row r="219" spans="1:218" ht="15.75" customHeight="1" x14ac:dyDescent="0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6"/>
      <c r="CV219" s="56"/>
      <c r="CW219" s="56"/>
      <c r="CX219" s="56"/>
      <c r="CY219" s="56"/>
      <c r="CZ219" s="56"/>
      <c r="DA219" s="56"/>
      <c r="DB219" s="56"/>
      <c r="DC219" s="56"/>
      <c r="DD219" s="56"/>
      <c r="DE219" s="56"/>
      <c r="DF219" s="56"/>
      <c r="DG219" s="56"/>
      <c r="DH219" s="56"/>
      <c r="DI219" s="56"/>
      <c r="DJ219" s="56"/>
      <c r="DK219" s="56"/>
      <c r="DL219" s="56"/>
      <c r="DM219" s="56"/>
      <c r="DN219" s="56"/>
      <c r="DO219" s="56"/>
      <c r="DP219" s="56"/>
      <c r="DQ219" s="56"/>
      <c r="DR219" s="56"/>
      <c r="DS219" s="56"/>
      <c r="DT219" s="56"/>
      <c r="DU219" s="56"/>
      <c r="DV219" s="56"/>
      <c r="DW219" s="56"/>
      <c r="DX219" s="56"/>
      <c r="DY219" s="56"/>
      <c r="DZ219" s="56"/>
      <c r="EA219" s="56"/>
      <c r="EB219" s="56"/>
      <c r="EC219" s="56"/>
      <c r="ED219" s="56"/>
      <c r="EE219" s="56"/>
      <c r="EF219" s="56"/>
      <c r="EG219" s="56"/>
      <c r="EH219" s="56"/>
      <c r="EI219" s="56"/>
      <c r="EJ219" s="56"/>
      <c r="EK219" s="56"/>
      <c r="EL219" s="56"/>
      <c r="EM219" s="56"/>
      <c r="EN219" s="56"/>
      <c r="EO219" s="56"/>
      <c r="EP219" s="56"/>
      <c r="EQ219" s="56"/>
      <c r="ER219" s="56"/>
      <c r="ES219" s="56"/>
      <c r="ET219" s="56"/>
      <c r="EU219" s="56"/>
      <c r="EV219" s="56"/>
      <c r="EW219" s="56"/>
      <c r="EX219" s="56"/>
      <c r="EY219" s="56"/>
      <c r="EZ219" s="56"/>
      <c r="FA219" s="56"/>
      <c r="FB219" s="56"/>
      <c r="FC219" s="56"/>
      <c r="FD219" s="56"/>
      <c r="FE219" s="56"/>
      <c r="FF219" s="56"/>
      <c r="FG219" s="56"/>
      <c r="FH219" s="56"/>
      <c r="FI219" s="56"/>
      <c r="FJ219" s="56"/>
      <c r="FK219" s="56"/>
      <c r="FL219" s="56"/>
      <c r="FM219" s="56"/>
      <c r="FN219" s="56"/>
      <c r="FO219" s="56"/>
      <c r="FP219" s="56"/>
      <c r="FQ219" s="56"/>
      <c r="FR219" s="56"/>
      <c r="FS219" s="56"/>
      <c r="FT219" s="56"/>
      <c r="FU219" s="56"/>
      <c r="FV219" s="56"/>
      <c r="FW219" s="56"/>
      <c r="FX219" s="56"/>
      <c r="FY219" s="56"/>
      <c r="FZ219" s="56"/>
      <c r="GA219" s="56"/>
      <c r="GB219" s="56"/>
      <c r="GC219" s="56"/>
      <c r="GD219" s="56"/>
      <c r="GE219" s="56"/>
      <c r="GF219" s="56"/>
      <c r="GG219" s="56"/>
      <c r="GH219" s="56"/>
      <c r="GI219" s="56"/>
      <c r="GJ219" s="56"/>
      <c r="GK219" s="56"/>
      <c r="GL219" s="56"/>
      <c r="GM219" s="56"/>
      <c r="GN219" s="56"/>
      <c r="GO219" s="56"/>
      <c r="GP219" s="56"/>
      <c r="GQ219" s="56"/>
      <c r="GR219" s="56"/>
      <c r="GS219" s="56"/>
      <c r="GT219" s="56"/>
      <c r="GU219" s="56"/>
      <c r="GV219" s="56"/>
      <c r="GW219" s="56"/>
      <c r="GX219" s="56"/>
      <c r="GY219" s="56"/>
      <c r="GZ219" s="56"/>
      <c r="HA219" s="56"/>
      <c r="HB219" s="56"/>
      <c r="HC219" s="56"/>
      <c r="HD219" s="56"/>
      <c r="HE219" s="56"/>
      <c r="HF219" s="56"/>
      <c r="HG219" s="56"/>
      <c r="HH219" s="56"/>
      <c r="HI219" s="56"/>
      <c r="HJ219" s="56"/>
    </row>
    <row r="220" spans="1:218" ht="15.75" customHeight="1" x14ac:dyDescent="0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  <c r="CW220" s="56"/>
      <c r="CX220" s="56"/>
      <c r="CY220" s="56"/>
      <c r="CZ220" s="56"/>
      <c r="DA220" s="56"/>
      <c r="DB220" s="56"/>
      <c r="DC220" s="56"/>
      <c r="DD220" s="56"/>
      <c r="DE220" s="56"/>
      <c r="DF220" s="56"/>
      <c r="DG220" s="56"/>
      <c r="DH220" s="56"/>
      <c r="DI220" s="56"/>
      <c r="DJ220" s="56"/>
      <c r="DK220" s="56"/>
      <c r="DL220" s="56"/>
      <c r="DM220" s="56"/>
      <c r="DN220" s="56"/>
      <c r="DO220" s="56"/>
      <c r="DP220" s="56"/>
      <c r="DQ220" s="56"/>
      <c r="DR220" s="56"/>
      <c r="DS220" s="56"/>
      <c r="DT220" s="56"/>
      <c r="DU220" s="56"/>
      <c r="DV220" s="56"/>
      <c r="DW220" s="56"/>
      <c r="DX220" s="56"/>
      <c r="DY220" s="56"/>
      <c r="DZ220" s="56"/>
      <c r="EA220" s="56"/>
      <c r="EB220" s="56"/>
      <c r="EC220" s="56"/>
      <c r="ED220" s="56"/>
      <c r="EE220" s="56"/>
      <c r="EF220" s="56"/>
      <c r="EG220" s="56"/>
      <c r="EH220" s="56"/>
      <c r="EI220" s="56"/>
      <c r="EJ220" s="56"/>
      <c r="EK220" s="56"/>
      <c r="EL220" s="56"/>
      <c r="EM220" s="56"/>
      <c r="EN220" s="56"/>
      <c r="EO220" s="56"/>
      <c r="EP220" s="56"/>
      <c r="EQ220" s="56"/>
      <c r="ER220" s="56"/>
      <c r="ES220" s="56"/>
      <c r="ET220" s="56"/>
      <c r="EU220" s="56"/>
      <c r="EV220" s="56"/>
      <c r="EW220" s="56"/>
      <c r="EX220" s="56"/>
      <c r="EY220" s="56"/>
      <c r="EZ220" s="56"/>
      <c r="FA220" s="56"/>
      <c r="FB220" s="56"/>
      <c r="FC220" s="56"/>
      <c r="FD220" s="56"/>
      <c r="FE220" s="56"/>
      <c r="FF220" s="56"/>
      <c r="FG220" s="56"/>
      <c r="FH220" s="56"/>
      <c r="FI220" s="56"/>
      <c r="FJ220" s="56"/>
      <c r="FK220" s="56"/>
      <c r="FL220" s="56"/>
      <c r="FM220" s="56"/>
      <c r="FN220" s="56"/>
      <c r="FO220" s="56"/>
      <c r="FP220" s="56"/>
      <c r="FQ220" s="56"/>
      <c r="FR220" s="56"/>
      <c r="FS220" s="56"/>
      <c r="FT220" s="56"/>
      <c r="FU220" s="56"/>
      <c r="FV220" s="56"/>
      <c r="FW220" s="56"/>
      <c r="FX220" s="56"/>
      <c r="FY220" s="56"/>
      <c r="FZ220" s="56"/>
      <c r="GA220" s="56"/>
      <c r="GB220" s="56"/>
      <c r="GC220" s="56"/>
      <c r="GD220" s="56"/>
      <c r="GE220" s="56"/>
      <c r="GF220" s="56"/>
      <c r="GG220" s="56"/>
      <c r="GH220" s="56"/>
      <c r="GI220" s="56"/>
      <c r="GJ220" s="56"/>
      <c r="GK220" s="56"/>
      <c r="GL220" s="56"/>
      <c r="GM220" s="56"/>
      <c r="GN220" s="56"/>
      <c r="GO220" s="56"/>
      <c r="GP220" s="56"/>
      <c r="GQ220" s="56"/>
      <c r="GR220" s="56"/>
      <c r="GS220" s="56"/>
      <c r="GT220" s="56"/>
      <c r="GU220" s="56"/>
      <c r="GV220" s="56"/>
      <c r="GW220" s="56"/>
      <c r="GX220" s="56"/>
      <c r="GY220" s="56"/>
      <c r="GZ220" s="56"/>
      <c r="HA220" s="56"/>
      <c r="HB220" s="56"/>
      <c r="HC220" s="56"/>
      <c r="HD220" s="56"/>
      <c r="HE220" s="56"/>
      <c r="HF220" s="56"/>
      <c r="HG220" s="56"/>
      <c r="HH220" s="56"/>
      <c r="HI220" s="56"/>
      <c r="HJ220" s="56"/>
    </row>
    <row r="221" spans="1:218" ht="15.75" customHeight="1" x14ac:dyDescent="0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  <c r="CW221" s="56"/>
      <c r="CX221" s="56"/>
      <c r="CY221" s="56"/>
      <c r="CZ221" s="56"/>
      <c r="DA221" s="56"/>
      <c r="DB221" s="56"/>
      <c r="DC221" s="56"/>
      <c r="DD221" s="56"/>
      <c r="DE221" s="56"/>
      <c r="DF221" s="56"/>
      <c r="DG221" s="56"/>
      <c r="DH221" s="56"/>
      <c r="DI221" s="56"/>
      <c r="DJ221" s="56"/>
      <c r="DK221" s="56"/>
      <c r="DL221" s="56"/>
      <c r="DM221" s="56"/>
      <c r="DN221" s="56"/>
      <c r="DO221" s="56"/>
      <c r="DP221" s="56"/>
      <c r="DQ221" s="56"/>
      <c r="DR221" s="56"/>
      <c r="DS221" s="56"/>
      <c r="DT221" s="56"/>
      <c r="DU221" s="56"/>
      <c r="DV221" s="56"/>
      <c r="DW221" s="56"/>
      <c r="DX221" s="56"/>
      <c r="DY221" s="56"/>
      <c r="DZ221" s="56"/>
      <c r="EA221" s="56"/>
      <c r="EB221" s="56"/>
      <c r="EC221" s="56"/>
      <c r="ED221" s="56"/>
      <c r="EE221" s="56"/>
      <c r="EF221" s="56"/>
      <c r="EG221" s="56"/>
      <c r="EH221" s="56"/>
      <c r="EI221" s="56"/>
      <c r="EJ221" s="56"/>
      <c r="EK221" s="56"/>
      <c r="EL221" s="56"/>
      <c r="EM221" s="56"/>
      <c r="EN221" s="56"/>
      <c r="EO221" s="56"/>
      <c r="EP221" s="56"/>
      <c r="EQ221" s="56"/>
      <c r="ER221" s="56"/>
      <c r="ES221" s="56"/>
      <c r="ET221" s="56"/>
      <c r="EU221" s="56"/>
      <c r="EV221" s="56"/>
      <c r="EW221" s="56"/>
      <c r="EX221" s="56"/>
      <c r="EY221" s="56"/>
      <c r="EZ221" s="56"/>
      <c r="FA221" s="56"/>
      <c r="FB221" s="56"/>
      <c r="FC221" s="56"/>
      <c r="FD221" s="56"/>
      <c r="FE221" s="56"/>
      <c r="FF221" s="56"/>
      <c r="FG221" s="56"/>
      <c r="FH221" s="56"/>
      <c r="FI221" s="56"/>
      <c r="FJ221" s="56"/>
      <c r="FK221" s="56"/>
      <c r="FL221" s="56"/>
      <c r="FM221" s="56"/>
      <c r="FN221" s="56"/>
      <c r="FO221" s="56"/>
      <c r="FP221" s="56"/>
      <c r="FQ221" s="56"/>
      <c r="FR221" s="56"/>
      <c r="FS221" s="56"/>
      <c r="FT221" s="56"/>
      <c r="FU221" s="56"/>
      <c r="FV221" s="56"/>
      <c r="FW221" s="56"/>
      <c r="FX221" s="56"/>
      <c r="FY221" s="56"/>
      <c r="FZ221" s="56"/>
      <c r="GA221" s="56"/>
      <c r="GB221" s="56"/>
      <c r="GC221" s="56"/>
      <c r="GD221" s="56"/>
      <c r="GE221" s="56"/>
      <c r="GF221" s="56"/>
      <c r="GG221" s="56"/>
      <c r="GH221" s="56"/>
      <c r="GI221" s="56"/>
      <c r="GJ221" s="56"/>
      <c r="GK221" s="56"/>
      <c r="GL221" s="56"/>
      <c r="GM221" s="56"/>
      <c r="GN221" s="56"/>
      <c r="GO221" s="56"/>
      <c r="GP221" s="56"/>
      <c r="GQ221" s="56"/>
      <c r="GR221" s="56"/>
      <c r="GS221" s="56"/>
      <c r="GT221" s="56"/>
      <c r="GU221" s="56"/>
      <c r="GV221" s="56"/>
      <c r="GW221" s="56"/>
      <c r="GX221" s="56"/>
      <c r="GY221" s="56"/>
      <c r="GZ221" s="56"/>
      <c r="HA221" s="56"/>
      <c r="HB221" s="56"/>
      <c r="HC221" s="56"/>
      <c r="HD221" s="56"/>
      <c r="HE221" s="56"/>
      <c r="HF221" s="56"/>
      <c r="HG221" s="56"/>
      <c r="HH221" s="56"/>
      <c r="HI221" s="56"/>
      <c r="HJ221" s="56"/>
    </row>
    <row r="222" spans="1:218" ht="15.75" customHeight="1" x14ac:dyDescent="0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/>
      <c r="CW222" s="56"/>
      <c r="CX222" s="56"/>
      <c r="CY222" s="56"/>
      <c r="CZ222" s="56"/>
      <c r="DA222" s="56"/>
      <c r="DB222" s="56"/>
      <c r="DC222" s="56"/>
      <c r="DD222" s="56"/>
      <c r="DE222" s="56"/>
      <c r="DF222" s="56"/>
      <c r="DG222" s="56"/>
      <c r="DH222" s="56"/>
      <c r="DI222" s="56"/>
      <c r="DJ222" s="56"/>
      <c r="DK222" s="56"/>
      <c r="DL222" s="56"/>
      <c r="DM222" s="56"/>
      <c r="DN222" s="56"/>
      <c r="DO222" s="56"/>
      <c r="DP222" s="56"/>
      <c r="DQ222" s="56"/>
      <c r="DR222" s="56"/>
      <c r="DS222" s="56"/>
      <c r="DT222" s="56"/>
      <c r="DU222" s="56"/>
      <c r="DV222" s="56"/>
      <c r="DW222" s="56"/>
      <c r="DX222" s="56"/>
      <c r="DY222" s="56"/>
      <c r="DZ222" s="56"/>
      <c r="EA222" s="56"/>
      <c r="EB222" s="56"/>
      <c r="EC222" s="56"/>
      <c r="ED222" s="56"/>
      <c r="EE222" s="56"/>
      <c r="EF222" s="56"/>
      <c r="EG222" s="56"/>
      <c r="EH222" s="56"/>
      <c r="EI222" s="56"/>
      <c r="EJ222" s="56"/>
      <c r="EK222" s="56"/>
      <c r="EL222" s="56"/>
      <c r="EM222" s="56"/>
      <c r="EN222" s="56"/>
      <c r="EO222" s="56"/>
      <c r="EP222" s="56"/>
      <c r="EQ222" s="56"/>
      <c r="ER222" s="56"/>
      <c r="ES222" s="56"/>
      <c r="ET222" s="56"/>
      <c r="EU222" s="56"/>
      <c r="EV222" s="56"/>
      <c r="EW222" s="56"/>
      <c r="EX222" s="56"/>
      <c r="EY222" s="56"/>
      <c r="EZ222" s="56"/>
      <c r="FA222" s="56"/>
      <c r="FB222" s="56"/>
      <c r="FC222" s="56"/>
      <c r="FD222" s="56"/>
      <c r="FE222" s="56"/>
      <c r="FF222" s="56"/>
      <c r="FG222" s="56"/>
      <c r="FH222" s="56"/>
      <c r="FI222" s="56"/>
      <c r="FJ222" s="56"/>
      <c r="FK222" s="56"/>
      <c r="FL222" s="56"/>
      <c r="FM222" s="56"/>
      <c r="FN222" s="56"/>
      <c r="FO222" s="56"/>
      <c r="FP222" s="56"/>
      <c r="FQ222" s="56"/>
      <c r="FR222" s="56"/>
      <c r="FS222" s="56"/>
      <c r="FT222" s="56"/>
      <c r="FU222" s="56"/>
      <c r="FV222" s="56"/>
      <c r="FW222" s="56"/>
      <c r="FX222" s="56"/>
      <c r="FY222" s="56"/>
      <c r="FZ222" s="56"/>
      <c r="GA222" s="56"/>
      <c r="GB222" s="56"/>
      <c r="GC222" s="56"/>
      <c r="GD222" s="56"/>
      <c r="GE222" s="56"/>
      <c r="GF222" s="56"/>
      <c r="GG222" s="56"/>
      <c r="GH222" s="56"/>
      <c r="GI222" s="56"/>
      <c r="GJ222" s="56"/>
      <c r="GK222" s="56"/>
      <c r="GL222" s="56"/>
      <c r="GM222" s="56"/>
      <c r="GN222" s="56"/>
      <c r="GO222" s="56"/>
      <c r="GP222" s="56"/>
      <c r="GQ222" s="56"/>
      <c r="GR222" s="56"/>
      <c r="GS222" s="56"/>
      <c r="GT222" s="56"/>
      <c r="GU222" s="56"/>
      <c r="GV222" s="56"/>
      <c r="GW222" s="56"/>
      <c r="GX222" s="56"/>
      <c r="GY222" s="56"/>
      <c r="GZ222" s="56"/>
      <c r="HA222" s="56"/>
      <c r="HB222" s="56"/>
      <c r="HC222" s="56"/>
      <c r="HD222" s="56"/>
      <c r="HE222" s="56"/>
      <c r="HF222" s="56"/>
      <c r="HG222" s="56"/>
      <c r="HH222" s="56"/>
      <c r="HI222" s="56"/>
      <c r="HJ222" s="56"/>
    </row>
    <row r="223" spans="1:218" ht="15.75" customHeight="1" x14ac:dyDescent="0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  <c r="CW223" s="56"/>
      <c r="CX223" s="56"/>
      <c r="CY223" s="56"/>
      <c r="CZ223" s="56"/>
      <c r="DA223" s="56"/>
      <c r="DB223" s="56"/>
      <c r="DC223" s="56"/>
      <c r="DD223" s="56"/>
      <c r="DE223" s="56"/>
      <c r="DF223" s="56"/>
      <c r="DG223" s="56"/>
      <c r="DH223" s="56"/>
      <c r="DI223" s="56"/>
      <c r="DJ223" s="56"/>
      <c r="DK223" s="56"/>
      <c r="DL223" s="56"/>
      <c r="DM223" s="56"/>
      <c r="DN223" s="56"/>
      <c r="DO223" s="56"/>
      <c r="DP223" s="56"/>
      <c r="DQ223" s="56"/>
      <c r="DR223" s="56"/>
      <c r="DS223" s="56"/>
      <c r="DT223" s="56"/>
      <c r="DU223" s="56"/>
      <c r="DV223" s="56"/>
      <c r="DW223" s="56"/>
      <c r="DX223" s="56"/>
      <c r="DY223" s="56"/>
      <c r="DZ223" s="56"/>
      <c r="EA223" s="56"/>
      <c r="EB223" s="56"/>
      <c r="EC223" s="56"/>
      <c r="ED223" s="56"/>
      <c r="EE223" s="56"/>
      <c r="EF223" s="56"/>
      <c r="EG223" s="56"/>
      <c r="EH223" s="56"/>
      <c r="EI223" s="56"/>
      <c r="EJ223" s="56"/>
      <c r="EK223" s="56"/>
      <c r="EL223" s="56"/>
      <c r="EM223" s="56"/>
      <c r="EN223" s="56"/>
      <c r="EO223" s="56"/>
      <c r="EP223" s="56"/>
      <c r="EQ223" s="56"/>
      <c r="ER223" s="56"/>
      <c r="ES223" s="56"/>
      <c r="ET223" s="56"/>
      <c r="EU223" s="56"/>
      <c r="EV223" s="56"/>
      <c r="EW223" s="56"/>
      <c r="EX223" s="56"/>
      <c r="EY223" s="56"/>
      <c r="EZ223" s="56"/>
      <c r="FA223" s="56"/>
      <c r="FB223" s="56"/>
      <c r="FC223" s="56"/>
      <c r="FD223" s="56"/>
      <c r="FE223" s="56"/>
      <c r="FF223" s="56"/>
      <c r="FG223" s="56"/>
      <c r="FH223" s="56"/>
      <c r="FI223" s="56"/>
      <c r="FJ223" s="56"/>
      <c r="FK223" s="56"/>
      <c r="FL223" s="56"/>
      <c r="FM223" s="56"/>
      <c r="FN223" s="56"/>
      <c r="FO223" s="56"/>
      <c r="FP223" s="56"/>
      <c r="FQ223" s="56"/>
      <c r="FR223" s="56"/>
      <c r="FS223" s="56"/>
      <c r="FT223" s="56"/>
      <c r="FU223" s="56"/>
      <c r="FV223" s="56"/>
      <c r="FW223" s="56"/>
      <c r="FX223" s="56"/>
      <c r="FY223" s="56"/>
      <c r="FZ223" s="56"/>
      <c r="GA223" s="56"/>
      <c r="GB223" s="56"/>
      <c r="GC223" s="56"/>
      <c r="GD223" s="56"/>
      <c r="GE223" s="56"/>
      <c r="GF223" s="56"/>
      <c r="GG223" s="56"/>
      <c r="GH223" s="56"/>
      <c r="GI223" s="56"/>
      <c r="GJ223" s="56"/>
      <c r="GK223" s="56"/>
      <c r="GL223" s="56"/>
      <c r="GM223" s="56"/>
      <c r="GN223" s="56"/>
      <c r="GO223" s="56"/>
      <c r="GP223" s="56"/>
      <c r="GQ223" s="56"/>
      <c r="GR223" s="56"/>
      <c r="GS223" s="56"/>
      <c r="GT223" s="56"/>
      <c r="GU223" s="56"/>
      <c r="GV223" s="56"/>
      <c r="GW223" s="56"/>
      <c r="GX223" s="56"/>
      <c r="GY223" s="56"/>
      <c r="GZ223" s="56"/>
      <c r="HA223" s="56"/>
      <c r="HB223" s="56"/>
      <c r="HC223" s="56"/>
      <c r="HD223" s="56"/>
      <c r="HE223" s="56"/>
      <c r="HF223" s="56"/>
      <c r="HG223" s="56"/>
      <c r="HH223" s="56"/>
      <c r="HI223" s="56"/>
      <c r="HJ223" s="56"/>
    </row>
    <row r="224" spans="1:218" ht="15.75" customHeight="1" x14ac:dyDescent="0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  <c r="DF224" s="56"/>
      <c r="DG224" s="56"/>
      <c r="DH224" s="56"/>
      <c r="DI224" s="56"/>
      <c r="DJ224" s="56"/>
      <c r="DK224" s="56"/>
      <c r="DL224" s="56"/>
      <c r="DM224" s="56"/>
      <c r="DN224" s="56"/>
      <c r="DO224" s="56"/>
      <c r="DP224" s="56"/>
      <c r="DQ224" s="56"/>
      <c r="DR224" s="56"/>
      <c r="DS224" s="56"/>
      <c r="DT224" s="56"/>
      <c r="DU224" s="56"/>
      <c r="DV224" s="56"/>
      <c r="DW224" s="56"/>
      <c r="DX224" s="56"/>
      <c r="DY224" s="56"/>
      <c r="DZ224" s="56"/>
      <c r="EA224" s="56"/>
      <c r="EB224" s="56"/>
      <c r="EC224" s="56"/>
      <c r="ED224" s="56"/>
      <c r="EE224" s="56"/>
      <c r="EF224" s="56"/>
      <c r="EG224" s="56"/>
      <c r="EH224" s="56"/>
      <c r="EI224" s="56"/>
      <c r="EJ224" s="56"/>
      <c r="EK224" s="56"/>
      <c r="EL224" s="56"/>
      <c r="EM224" s="56"/>
      <c r="EN224" s="56"/>
      <c r="EO224" s="56"/>
      <c r="EP224" s="56"/>
      <c r="EQ224" s="56"/>
      <c r="ER224" s="56"/>
      <c r="ES224" s="56"/>
      <c r="ET224" s="56"/>
      <c r="EU224" s="56"/>
      <c r="EV224" s="56"/>
      <c r="EW224" s="56"/>
      <c r="EX224" s="56"/>
      <c r="EY224" s="56"/>
      <c r="EZ224" s="56"/>
      <c r="FA224" s="56"/>
      <c r="FB224" s="56"/>
      <c r="FC224" s="56"/>
      <c r="FD224" s="56"/>
      <c r="FE224" s="56"/>
      <c r="FF224" s="56"/>
      <c r="FG224" s="56"/>
      <c r="FH224" s="56"/>
      <c r="FI224" s="56"/>
      <c r="FJ224" s="56"/>
      <c r="FK224" s="56"/>
      <c r="FL224" s="56"/>
      <c r="FM224" s="56"/>
      <c r="FN224" s="56"/>
      <c r="FO224" s="56"/>
      <c r="FP224" s="56"/>
      <c r="FQ224" s="56"/>
      <c r="FR224" s="56"/>
      <c r="FS224" s="56"/>
      <c r="FT224" s="56"/>
      <c r="FU224" s="56"/>
      <c r="FV224" s="56"/>
      <c r="FW224" s="56"/>
      <c r="FX224" s="56"/>
      <c r="FY224" s="56"/>
      <c r="FZ224" s="56"/>
      <c r="GA224" s="56"/>
      <c r="GB224" s="56"/>
      <c r="GC224" s="56"/>
      <c r="GD224" s="56"/>
      <c r="GE224" s="56"/>
      <c r="GF224" s="56"/>
      <c r="GG224" s="56"/>
      <c r="GH224" s="56"/>
      <c r="GI224" s="56"/>
      <c r="GJ224" s="56"/>
      <c r="GK224" s="56"/>
      <c r="GL224" s="56"/>
      <c r="GM224" s="56"/>
      <c r="GN224" s="56"/>
      <c r="GO224" s="56"/>
      <c r="GP224" s="56"/>
      <c r="GQ224" s="56"/>
      <c r="GR224" s="56"/>
      <c r="GS224" s="56"/>
      <c r="GT224" s="56"/>
      <c r="GU224" s="56"/>
      <c r="GV224" s="56"/>
      <c r="GW224" s="56"/>
      <c r="GX224" s="56"/>
      <c r="GY224" s="56"/>
      <c r="GZ224" s="56"/>
      <c r="HA224" s="56"/>
      <c r="HB224" s="56"/>
      <c r="HC224" s="56"/>
      <c r="HD224" s="56"/>
      <c r="HE224" s="56"/>
      <c r="HF224" s="56"/>
      <c r="HG224" s="56"/>
      <c r="HH224" s="56"/>
      <c r="HI224" s="56"/>
      <c r="HJ224" s="56"/>
    </row>
    <row r="225" spans="1:218" ht="15.75" customHeight="1" x14ac:dyDescent="0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/>
      <c r="CZ225" s="56"/>
      <c r="DA225" s="56"/>
      <c r="DB225" s="56"/>
      <c r="DC225" s="56"/>
      <c r="DD225" s="56"/>
      <c r="DE225" s="56"/>
      <c r="DF225" s="56"/>
      <c r="DG225" s="56"/>
      <c r="DH225" s="56"/>
      <c r="DI225" s="56"/>
      <c r="DJ225" s="56"/>
      <c r="DK225" s="56"/>
      <c r="DL225" s="56"/>
      <c r="DM225" s="56"/>
      <c r="DN225" s="56"/>
      <c r="DO225" s="56"/>
      <c r="DP225" s="56"/>
      <c r="DQ225" s="56"/>
      <c r="DR225" s="56"/>
      <c r="DS225" s="56"/>
      <c r="DT225" s="56"/>
      <c r="DU225" s="56"/>
      <c r="DV225" s="56"/>
      <c r="DW225" s="56"/>
      <c r="DX225" s="56"/>
      <c r="DY225" s="56"/>
      <c r="DZ225" s="56"/>
      <c r="EA225" s="56"/>
      <c r="EB225" s="56"/>
      <c r="EC225" s="56"/>
      <c r="ED225" s="56"/>
      <c r="EE225" s="56"/>
      <c r="EF225" s="56"/>
      <c r="EG225" s="56"/>
      <c r="EH225" s="56"/>
      <c r="EI225" s="56"/>
      <c r="EJ225" s="56"/>
      <c r="EK225" s="56"/>
      <c r="EL225" s="56"/>
      <c r="EM225" s="56"/>
      <c r="EN225" s="56"/>
      <c r="EO225" s="56"/>
      <c r="EP225" s="56"/>
      <c r="EQ225" s="56"/>
      <c r="ER225" s="56"/>
      <c r="ES225" s="56"/>
      <c r="ET225" s="56"/>
      <c r="EU225" s="56"/>
      <c r="EV225" s="56"/>
      <c r="EW225" s="56"/>
      <c r="EX225" s="56"/>
      <c r="EY225" s="56"/>
      <c r="EZ225" s="56"/>
      <c r="FA225" s="56"/>
      <c r="FB225" s="56"/>
      <c r="FC225" s="56"/>
      <c r="FD225" s="56"/>
      <c r="FE225" s="56"/>
      <c r="FF225" s="56"/>
      <c r="FG225" s="56"/>
      <c r="FH225" s="56"/>
      <c r="FI225" s="56"/>
      <c r="FJ225" s="56"/>
      <c r="FK225" s="56"/>
      <c r="FL225" s="56"/>
      <c r="FM225" s="56"/>
      <c r="FN225" s="56"/>
      <c r="FO225" s="56"/>
      <c r="FP225" s="56"/>
      <c r="FQ225" s="56"/>
      <c r="FR225" s="56"/>
      <c r="FS225" s="56"/>
      <c r="FT225" s="56"/>
      <c r="FU225" s="56"/>
      <c r="FV225" s="56"/>
      <c r="FW225" s="56"/>
      <c r="FX225" s="56"/>
      <c r="FY225" s="56"/>
      <c r="FZ225" s="56"/>
      <c r="GA225" s="56"/>
      <c r="GB225" s="56"/>
      <c r="GC225" s="56"/>
      <c r="GD225" s="56"/>
      <c r="GE225" s="56"/>
      <c r="GF225" s="56"/>
      <c r="GG225" s="56"/>
      <c r="GH225" s="56"/>
      <c r="GI225" s="56"/>
      <c r="GJ225" s="56"/>
      <c r="GK225" s="56"/>
      <c r="GL225" s="56"/>
      <c r="GM225" s="56"/>
      <c r="GN225" s="56"/>
      <c r="GO225" s="56"/>
      <c r="GP225" s="56"/>
      <c r="GQ225" s="56"/>
      <c r="GR225" s="56"/>
      <c r="GS225" s="56"/>
      <c r="GT225" s="56"/>
      <c r="GU225" s="56"/>
      <c r="GV225" s="56"/>
      <c r="GW225" s="56"/>
      <c r="GX225" s="56"/>
      <c r="GY225" s="56"/>
      <c r="GZ225" s="56"/>
      <c r="HA225" s="56"/>
      <c r="HB225" s="56"/>
      <c r="HC225" s="56"/>
      <c r="HD225" s="56"/>
      <c r="HE225" s="56"/>
      <c r="HF225" s="56"/>
      <c r="HG225" s="56"/>
      <c r="HH225" s="56"/>
      <c r="HI225" s="56"/>
      <c r="HJ225" s="56"/>
    </row>
    <row r="226" spans="1:218" ht="15.75" customHeight="1" x14ac:dyDescent="0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  <c r="CW226" s="56"/>
      <c r="CX226" s="56"/>
      <c r="CY226" s="56"/>
      <c r="CZ226" s="56"/>
      <c r="DA226" s="56"/>
      <c r="DB226" s="56"/>
      <c r="DC226" s="56"/>
      <c r="DD226" s="56"/>
      <c r="DE226" s="56"/>
      <c r="DF226" s="56"/>
      <c r="DG226" s="56"/>
      <c r="DH226" s="56"/>
      <c r="DI226" s="56"/>
      <c r="DJ226" s="56"/>
      <c r="DK226" s="56"/>
      <c r="DL226" s="56"/>
      <c r="DM226" s="56"/>
      <c r="DN226" s="56"/>
      <c r="DO226" s="56"/>
      <c r="DP226" s="56"/>
      <c r="DQ226" s="56"/>
      <c r="DR226" s="56"/>
      <c r="DS226" s="56"/>
      <c r="DT226" s="56"/>
      <c r="DU226" s="56"/>
      <c r="DV226" s="56"/>
      <c r="DW226" s="56"/>
      <c r="DX226" s="56"/>
      <c r="DY226" s="56"/>
      <c r="DZ226" s="56"/>
      <c r="EA226" s="56"/>
      <c r="EB226" s="56"/>
      <c r="EC226" s="56"/>
      <c r="ED226" s="56"/>
      <c r="EE226" s="56"/>
      <c r="EF226" s="56"/>
      <c r="EG226" s="56"/>
      <c r="EH226" s="56"/>
      <c r="EI226" s="56"/>
      <c r="EJ226" s="56"/>
      <c r="EK226" s="56"/>
      <c r="EL226" s="56"/>
      <c r="EM226" s="56"/>
      <c r="EN226" s="56"/>
      <c r="EO226" s="56"/>
      <c r="EP226" s="56"/>
      <c r="EQ226" s="56"/>
      <c r="ER226" s="56"/>
      <c r="ES226" s="56"/>
      <c r="ET226" s="56"/>
      <c r="EU226" s="56"/>
      <c r="EV226" s="56"/>
      <c r="EW226" s="56"/>
      <c r="EX226" s="56"/>
      <c r="EY226" s="56"/>
      <c r="EZ226" s="56"/>
      <c r="FA226" s="56"/>
      <c r="FB226" s="56"/>
      <c r="FC226" s="56"/>
      <c r="FD226" s="56"/>
      <c r="FE226" s="56"/>
      <c r="FF226" s="56"/>
      <c r="FG226" s="56"/>
      <c r="FH226" s="56"/>
      <c r="FI226" s="56"/>
      <c r="FJ226" s="56"/>
      <c r="FK226" s="56"/>
      <c r="FL226" s="56"/>
      <c r="FM226" s="56"/>
      <c r="FN226" s="56"/>
      <c r="FO226" s="56"/>
      <c r="FP226" s="56"/>
      <c r="FQ226" s="56"/>
      <c r="FR226" s="56"/>
      <c r="FS226" s="56"/>
      <c r="FT226" s="56"/>
      <c r="FU226" s="56"/>
      <c r="FV226" s="56"/>
      <c r="FW226" s="56"/>
      <c r="FX226" s="56"/>
      <c r="FY226" s="56"/>
      <c r="FZ226" s="56"/>
      <c r="GA226" s="56"/>
      <c r="GB226" s="56"/>
      <c r="GC226" s="56"/>
      <c r="GD226" s="56"/>
      <c r="GE226" s="56"/>
      <c r="GF226" s="56"/>
      <c r="GG226" s="56"/>
      <c r="GH226" s="56"/>
      <c r="GI226" s="56"/>
      <c r="GJ226" s="56"/>
      <c r="GK226" s="56"/>
      <c r="GL226" s="56"/>
      <c r="GM226" s="56"/>
      <c r="GN226" s="56"/>
      <c r="GO226" s="56"/>
      <c r="GP226" s="56"/>
      <c r="GQ226" s="56"/>
      <c r="GR226" s="56"/>
      <c r="GS226" s="56"/>
      <c r="GT226" s="56"/>
      <c r="GU226" s="56"/>
      <c r="GV226" s="56"/>
      <c r="GW226" s="56"/>
      <c r="GX226" s="56"/>
      <c r="GY226" s="56"/>
      <c r="GZ226" s="56"/>
      <c r="HA226" s="56"/>
      <c r="HB226" s="56"/>
      <c r="HC226" s="56"/>
      <c r="HD226" s="56"/>
      <c r="HE226" s="56"/>
      <c r="HF226" s="56"/>
      <c r="HG226" s="56"/>
      <c r="HH226" s="56"/>
      <c r="HI226" s="56"/>
      <c r="HJ226" s="56"/>
    </row>
    <row r="227" spans="1:218" ht="15.75" customHeight="1" x14ac:dyDescent="0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6"/>
      <c r="CV227" s="56"/>
      <c r="CW227" s="56"/>
      <c r="CX227" s="56"/>
      <c r="CY227" s="56"/>
      <c r="CZ227" s="56"/>
      <c r="DA227" s="56"/>
      <c r="DB227" s="56"/>
      <c r="DC227" s="56"/>
      <c r="DD227" s="56"/>
      <c r="DE227" s="56"/>
      <c r="DF227" s="56"/>
      <c r="DG227" s="56"/>
      <c r="DH227" s="56"/>
      <c r="DI227" s="56"/>
      <c r="DJ227" s="56"/>
      <c r="DK227" s="56"/>
      <c r="DL227" s="56"/>
      <c r="DM227" s="56"/>
      <c r="DN227" s="56"/>
      <c r="DO227" s="56"/>
      <c r="DP227" s="56"/>
      <c r="DQ227" s="56"/>
      <c r="DR227" s="56"/>
      <c r="DS227" s="56"/>
      <c r="DT227" s="56"/>
      <c r="DU227" s="56"/>
      <c r="DV227" s="56"/>
      <c r="DW227" s="56"/>
      <c r="DX227" s="56"/>
      <c r="DY227" s="56"/>
      <c r="DZ227" s="56"/>
      <c r="EA227" s="56"/>
      <c r="EB227" s="56"/>
      <c r="EC227" s="56"/>
      <c r="ED227" s="56"/>
      <c r="EE227" s="56"/>
      <c r="EF227" s="56"/>
      <c r="EG227" s="56"/>
      <c r="EH227" s="56"/>
      <c r="EI227" s="56"/>
      <c r="EJ227" s="56"/>
      <c r="EK227" s="56"/>
      <c r="EL227" s="56"/>
      <c r="EM227" s="56"/>
      <c r="EN227" s="56"/>
      <c r="EO227" s="56"/>
      <c r="EP227" s="56"/>
      <c r="EQ227" s="56"/>
      <c r="ER227" s="56"/>
      <c r="ES227" s="56"/>
      <c r="ET227" s="56"/>
      <c r="EU227" s="56"/>
      <c r="EV227" s="56"/>
      <c r="EW227" s="56"/>
      <c r="EX227" s="56"/>
      <c r="EY227" s="56"/>
      <c r="EZ227" s="56"/>
      <c r="FA227" s="56"/>
      <c r="FB227" s="56"/>
      <c r="FC227" s="56"/>
      <c r="FD227" s="56"/>
      <c r="FE227" s="56"/>
      <c r="FF227" s="56"/>
      <c r="FG227" s="56"/>
      <c r="FH227" s="56"/>
      <c r="FI227" s="56"/>
      <c r="FJ227" s="56"/>
      <c r="FK227" s="56"/>
      <c r="FL227" s="56"/>
      <c r="FM227" s="56"/>
      <c r="FN227" s="56"/>
      <c r="FO227" s="56"/>
      <c r="FP227" s="56"/>
      <c r="FQ227" s="56"/>
      <c r="FR227" s="56"/>
      <c r="FS227" s="56"/>
      <c r="FT227" s="56"/>
      <c r="FU227" s="56"/>
      <c r="FV227" s="56"/>
      <c r="FW227" s="56"/>
      <c r="FX227" s="56"/>
      <c r="FY227" s="56"/>
      <c r="FZ227" s="56"/>
      <c r="GA227" s="56"/>
      <c r="GB227" s="56"/>
      <c r="GC227" s="56"/>
      <c r="GD227" s="56"/>
      <c r="GE227" s="56"/>
      <c r="GF227" s="56"/>
      <c r="GG227" s="56"/>
      <c r="GH227" s="56"/>
      <c r="GI227" s="56"/>
      <c r="GJ227" s="56"/>
      <c r="GK227" s="56"/>
      <c r="GL227" s="56"/>
      <c r="GM227" s="56"/>
      <c r="GN227" s="56"/>
      <c r="GO227" s="56"/>
      <c r="GP227" s="56"/>
      <c r="GQ227" s="56"/>
      <c r="GR227" s="56"/>
      <c r="GS227" s="56"/>
      <c r="GT227" s="56"/>
      <c r="GU227" s="56"/>
      <c r="GV227" s="56"/>
      <c r="GW227" s="56"/>
      <c r="GX227" s="56"/>
      <c r="GY227" s="56"/>
      <c r="GZ227" s="56"/>
      <c r="HA227" s="56"/>
      <c r="HB227" s="56"/>
      <c r="HC227" s="56"/>
      <c r="HD227" s="56"/>
      <c r="HE227" s="56"/>
      <c r="HF227" s="56"/>
      <c r="HG227" s="56"/>
      <c r="HH227" s="56"/>
      <c r="HI227" s="56"/>
      <c r="HJ227" s="56"/>
    </row>
    <row r="228" spans="1:218" ht="15.75" customHeight="1" x14ac:dyDescent="0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6"/>
      <c r="CV228" s="56"/>
      <c r="CW228" s="56"/>
      <c r="CX228" s="56"/>
      <c r="CY228" s="56"/>
      <c r="CZ228" s="56"/>
      <c r="DA228" s="56"/>
      <c r="DB228" s="56"/>
      <c r="DC228" s="56"/>
      <c r="DD228" s="56"/>
      <c r="DE228" s="56"/>
      <c r="DF228" s="56"/>
      <c r="DG228" s="56"/>
      <c r="DH228" s="56"/>
      <c r="DI228" s="56"/>
      <c r="DJ228" s="56"/>
      <c r="DK228" s="56"/>
      <c r="DL228" s="56"/>
      <c r="DM228" s="56"/>
      <c r="DN228" s="56"/>
      <c r="DO228" s="56"/>
      <c r="DP228" s="56"/>
      <c r="DQ228" s="56"/>
      <c r="DR228" s="56"/>
      <c r="DS228" s="56"/>
      <c r="DT228" s="56"/>
      <c r="DU228" s="56"/>
      <c r="DV228" s="56"/>
      <c r="DW228" s="56"/>
      <c r="DX228" s="56"/>
      <c r="DY228" s="56"/>
      <c r="DZ228" s="56"/>
      <c r="EA228" s="56"/>
      <c r="EB228" s="56"/>
      <c r="EC228" s="56"/>
      <c r="ED228" s="56"/>
      <c r="EE228" s="56"/>
      <c r="EF228" s="56"/>
      <c r="EG228" s="56"/>
      <c r="EH228" s="56"/>
      <c r="EI228" s="56"/>
      <c r="EJ228" s="56"/>
      <c r="EK228" s="56"/>
      <c r="EL228" s="56"/>
      <c r="EM228" s="56"/>
      <c r="EN228" s="56"/>
      <c r="EO228" s="56"/>
      <c r="EP228" s="56"/>
      <c r="EQ228" s="56"/>
      <c r="ER228" s="56"/>
      <c r="ES228" s="56"/>
      <c r="ET228" s="56"/>
      <c r="EU228" s="56"/>
      <c r="EV228" s="56"/>
      <c r="EW228" s="56"/>
      <c r="EX228" s="56"/>
      <c r="EY228" s="56"/>
      <c r="EZ228" s="56"/>
      <c r="FA228" s="56"/>
      <c r="FB228" s="56"/>
      <c r="FC228" s="56"/>
      <c r="FD228" s="56"/>
      <c r="FE228" s="56"/>
      <c r="FF228" s="56"/>
      <c r="FG228" s="56"/>
      <c r="FH228" s="56"/>
      <c r="FI228" s="56"/>
      <c r="FJ228" s="56"/>
      <c r="FK228" s="56"/>
      <c r="FL228" s="56"/>
      <c r="FM228" s="56"/>
      <c r="FN228" s="56"/>
      <c r="FO228" s="56"/>
      <c r="FP228" s="56"/>
      <c r="FQ228" s="56"/>
      <c r="FR228" s="56"/>
      <c r="FS228" s="56"/>
      <c r="FT228" s="56"/>
      <c r="FU228" s="56"/>
      <c r="FV228" s="56"/>
      <c r="FW228" s="56"/>
      <c r="FX228" s="56"/>
      <c r="FY228" s="56"/>
      <c r="FZ228" s="56"/>
      <c r="GA228" s="56"/>
      <c r="GB228" s="56"/>
      <c r="GC228" s="56"/>
      <c r="GD228" s="56"/>
      <c r="GE228" s="56"/>
      <c r="GF228" s="56"/>
      <c r="GG228" s="56"/>
      <c r="GH228" s="56"/>
      <c r="GI228" s="56"/>
      <c r="GJ228" s="56"/>
      <c r="GK228" s="56"/>
      <c r="GL228" s="56"/>
      <c r="GM228" s="56"/>
      <c r="GN228" s="56"/>
      <c r="GO228" s="56"/>
      <c r="GP228" s="56"/>
      <c r="GQ228" s="56"/>
      <c r="GR228" s="56"/>
      <c r="GS228" s="56"/>
      <c r="GT228" s="56"/>
      <c r="GU228" s="56"/>
      <c r="GV228" s="56"/>
      <c r="GW228" s="56"/>
      <c r="GX228" s="56"/>
      <c r="GY228" s="56"/>
      <c r="GZ228" s="56"/>
      <c r="HA228" s="56"/>
      <c r="HB228" s="56"/>
      <c r="HC228" s="56"/>
      <c r="HD228" s="56"/>
      <c r="HE228" s="56"/>
      <c r="HF228" s="56"/>
      <c r="HG228" s="56"/>
      <c r="HH228" s="56"/>
      <c r="HI228" s="56"/>
      <c r="HJ228" s="56"/>
    </row>
    <row r="229" spans="1:218" ht="15.75" customHeight="1" x14ac:dyDescent="0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  <c r="CZ229" s="56"/>
      <c r="DA229" s="56"/>
      <c r="DB229" s="56"/>
      <c r="DC229" s="56"/>
      <c r="DD229" s="56"/>
      <c r="DE229" s="56"/>
      <c r="DF229" s="56"/>
      <c r="DG229" s="56"/>
      <c r="DH229" s="56"/>
      <c r="DI229" s="56"/>
      <c r="DJ229" s="56"/>
      <c r="DK229" s="56"/>
      <c r="DL229" s="56"/>
      <c r="DM229" s="56"/>
      <c r="DN229" s="56"/>
      <c r="DO229" s="56"/>
      <c r="DP229" s="56"/>
      <c r="DQ229" s="56"/>
      <c r="DR229" s="56"/>
      <c r="DS229" s="56"/>
      <c r="DT229" s="56"/>
      <c r="DU229" s="56"/>
      <c r="DV229" s="56"/>
      <c r="DW229" s="56"/>
      <c r="DX229" s="56"/>
      <c r="DY229" s="56"/>
      <c r="DZ229" s="56"/>
      <c r="EA229" s="56"/>
      <c r="EB229" s="56"/>
      <c r="EC229" s="56"/>
      <c r="ED229" s="56"/>
      <c r="EE229" s="56"/>
      <c r="EF229" s="56"/>
      <c r="EG229" s="56"/>
      <c r="EH229" s="56"/>
      <c r="EI229" s="56"/>
      <c r="EJ229" s="56"/>
      <c r="EK229" s="56"/>
      <c r="EL229" s="56"/>
      <c r="EM229" s="56"/>
      <c r="EN229" s="56"/>
      <c r="EO229" s="56"/>
      <c r="EP229" s="56"/>
      <c r="EQ229" s="56"/>
      <c r="ER229" s="56"/>
      <c r="ES229" s="56"/>
      <c r="ET229" s="56"/>
      <c r="EU229" s="56"/>
      <c r="EV229" s="56"/>
      <c r="EW229" s="56"/>
      <c r="EX229" s="56"/>
      <c r="EY229" s="56"/>
      <c r="EZ229" s="56"/>
      <c r="FA229" s="56"/>
      <c r="FB229" s="56"/>
      <c r="FC229" s="56"/>
      <c r="FD229" s="56"/>
      <c r="FE229" s="56"/>
      <c r="FF229" s="56"/>
      <c r="FG229" s="56"/>
      <c r="FH229" s="56"/>
      <c r="FI229" s="56"/>
      <c r="FJ229" s="56"/>
      <c r="FK229" s="56"/>
      <c r="FL229" s="56"/>
      <c r="FM229" s="56"/>
      <c r="FN229" s="56"/>
      <c r="FO229" s="56"/>
      <c r="FP229" s="56"/>
      <c r="FQ229" s="56"/>
      <c r="FR229" s="56"/>
      <c r="FS229" s="56"/>
      <c r="FT229" s="56"/>
      <c r="FU229" s="56"/>
      <c r="FV229" s="56"/>
      <c r="FW229" s="56"/>
      <c r="FX229" s="56"/>
      <c r="FY229" s="56"/>
      <c r="FZ229" s="56"/>
      <c r="GA229" s="56"/>
      <c r="GB229" s="56"/>
      <c r="GC229" s="56"/>
      <c r="GD229" s="56"/>
      <c r="GE229" s="56"/>
      <c r="GF229" s="56"/>
      <c r="GG229" s="56"/>
      <c r="GH229" s="56"/>
      <c r="GI229" s="56"/>
      <c r="GJ229" s="56"/>
      <c r="GK229" s="56"/>
      <c r="GL229" s="56"/>
      <c r="GM229" s="56"/>
      <c r="GN229" s="56"/>
      <c r="GO229" s="56"/>
      <c r="GP229" s="56"/>
      <c r="GQ229" s="56"/>
      <c r="GR229" s="56"/>
      <c r="GS229" s="56"/>
      <c r="GT229" s="56"/>
      <c r="GU229" s="56"/>
      <c r="GV229" s="56"/>
      <c r="GW229" s="56"/>
      <c r="GX229" s="56"/>
      <c r="GY229" s="56"/>
      <c r="GZ229" s="56"/>
      <c r="HA229" s="56"/>
      <c r="HB229" s="56"/>
      <c r="HC229" s="56"/>
      <c r="HD229" s="56"/>
      <c r="HE229" s="56"/>
      <c r="HF229" s="56"/>
      <c r="HG229" s="56"/>
      <c r="HH229" s="56"/>
      <c r="HI229" s="56"/>
      <c r="HJ229" s="56"/>
    </row>
    <row r="230" spans="1:218" ht="15.75" customHeight="1" x14ac:dyDescent="0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  <c r="CW230" s="56"/>
      <c r="CX230" s="56"/>
      <c r="CY230" s="56"/>
      <c r="CZ230" s="56"/>
      <c r="DA230" s="56"/>
      <c r="DB230" s="56"/>
      <c r="DC230" s="56"/>
      <c r="DD230" s="56"/>
      <c r="DE230" s="56"/>
      <c r="DF230" s="56"/>
      <c r="DG230" s="56"/>
      <c r="DH230" s="56"/>
      <c r="DI230" s="56"/>
      <c r="DJ230" s="56"/>
      <c r="DK230" s="56"/>
      <c r="DL230" s="56"/>
      <c r="DM230" s="56"/>
      <c r="DN230" s="56"/>
      <c r="DO230" s="56"/>
      <c r="DP230" s="56"/>
      <c r="DQ230" s="56"/>
      <c r="DR230" s="56"/>
      <c r="DS230" s="56"/>
      <c r="DT230" s="56"/>
      <c r="DU230" s="56"/>
      <c r="DV230" s="56"/>
      <c r="DW230" s="56"/>
      <c r="DX230" s="56"/>
      <c r="DY230" s="56"/>
      <c r="DZ230" s="56"/>
      <c r="EA230" s="56"/>
      <c r="EB230" s="56"/>
      <c r="EC230" s="56"/>
      <c r="ED230" s="56"/>
      <c r="EE230" s="56"/>
      <c r="EF230" s="56"/>
      <c r="EG230" s="56"/>
      <c r="EH230" s="56"/>
      <c r="EI230" s="56"/>
      <c r="EJ230" s="56"/>
      <c r="EK230" s="56"/>
      <c r="EL230" s="56"/>
      <c r="EM230" s="56"/>
      <c r="EN230" s="56"/>
      <c r="EO230" s="56"/>
      <c r="EP230" s="56"/>
      <c r="EQ230" s="56"/>
      <c r="ER230" s="56"/>
      <c r="ES230" s="56"/>
      <c r="ET230" s="56"/>
      <c r="EU230" s="56"/>
      <c r="EV230" s="56"/>
      <c r="EW230" s="56"/>
      <c r="EX230" s="56"/>
      <c r="EY230" s="56"/>
      <c r="EZ230" s="56"/>
      <c r="FA230" s="56"/>
      <c r="FB230" s="56"/>
      <c r="FC230" s="56"/>
      <c r="FD230" s="56"/>
      <c r="FE230" s="56"/>
      <c r="FF230" s="56"/>
      <c r="FG230" s="56"/>
      <c r="FH230" s="56"/>
      <c r="FI230" s="56"/>
      <c r="FJ230" s="56"/>
      <c r="FK230" s="56"/>
      <c r="FL230" s="56"/>
      <c r="FM230" s="56"/>
      <c r="FN230" s="56"/>
      <c r="FO230" s="56"/>
      <c r="FP230" s="56"/>
      <c r="FQ230" s="56"/>
      <c r="FR230" s="56"/>
      <c r="FS230" s="56"/>
      <c r="FT230" s="56"/>
      <c r="FU230" s="56"/>
      <c r="FV230" s="56"/>
      <c r="FW230" s="56"/>
      <c r="FX230" s="56"/>
      <c r="FY230" s="56"/>
      <c r="FZ230" s="56"/>
      <c r="GA230" s="56"/>
      <c r="GB230" s="56"/>
      <c r="GC230" s="56"/>
      <c r="GD230" s="56"/>
      <c r="GE230" s="56"/>
      <c r="GF230" s="56"/>
      <c r="GG230" s="56"/>
      <c r="GH230" s="56"/>
      <c r="GI230" s="56"/>
      <c r="GJ230" s="56"/>
      <c r="GK230" s="56"/>
      <c r="GL230" s="56"/>
      <c r="GM230" s="56"/>
      <c r="GN230" s="56"/>
      <c r="GO230" s="56"/>
      <c r="GP230" s="56"/>
      <c r="GQ230" s="56"/>
      <c r="GR230" s="56"/>
      <c r="GS230" s="56"/>
      <c r="GT230" s="56"/>
      <c r="GU230" s="56"/>
      <c r="GV230" s="56"/>
      <c r="GW230" s="56"/>
      <c r="GX230" s="56"/>
      <c r="GY230" s="56"/>
      <c r="GZ230" s="56"/>
      <c r="HA230" s="56"/>
      <c r="HB230" s="56"/>
      <c r="HC230" s="56"/>
      <c r="HD230" s="56"/>
      <c r="HE230" s="56"/>
      <c r="HF230" s="56"/>
      <c r="HG230" s="56"/>
      <c r="HH230" s="56"/>
      <c r="HI230" s="56"/>
      <c r="HJ230" s="56"/>
    </row>
    <row r="231" spans="1:218" ht="15.75" customHeight="1" x14ac:dyDescent="0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6"/>
      <c r="CV231" s="56"/>
      <c r="CW231" s="56"/>
      <c r="CX231" s="56"/>
      <c r="CY231" s="56"/>
      <c r="CZ231" s="56"/>
      <c r="DA231" s="56"/>
      <c r="DB231" s="56"/>
      <c r="DC231" s="56"/>
      <c r="DD231" s="56"/>
      <c r="DE231" s="56"/>
      <c r="DF231" s="56"/>
      <c r="DG231" s="56"/>
      <c r="DH231" s="56"/>
      <c r="DI231" s="56"/>
      <c r="DJ231" s="56"/>
      <c r="DK231" s="56"/>
      <c r="DL231" s="56"/>
      <c r="DM231" s="56"/>
      <c r="DN231" s="56"/>
      <c r="DO231" s="56"/>
      <c r="DP231" s="56"/>
      <c r="DQ231" s="56"/>
      <c r="DR231" s="56"/>
      <c r="DS231" s="56"/>
      <c r="DT231" s="56"/>
      <c r="DU231" s="56"/>
      <c r="DV231" s="56"/>
      <c r="DW231" s="56"/>
      <c r="DX231" s="56"/>
      <c r="DY231" s="56"/>
      <c r="DZ231" s="56"/>
      <c r="EA231" s="56"/>
      <c r="EB231" s="56"/>
      <c r="EC231" s="56"/>
      <c r="ED231" s="56"/>
      <c r="EE231" s="56"/>
      <c r="EF231" s="56"/>
      <c r="EG231" s="56"/>
      <c r="EH231" s="56"/>
      <c r="EI231" s="56"/>
      <c r="EJ231" s="56"/>
      <c r="EK231" s="56"/>
      <c r="EL231" s="56"/>
      <c r="EM231" s="56"/>
      <c r="EN231" s="56"/>
      <c r="EO231" s="56"/>
      <c r="EP231" s="56"/>
      <c r="EQ231" s="56"/>
      <c r="ER231" s="56"/>
      <c r="ES231" s="56"/>
      <c r="ET231" s="56"/>
      <c r="EU231" s="56"/>
      <c r="EV231" s="56"/>
      <c r="EW231" s="56"/>
      <c r="EX231" s="56"/>
      <c r="EY231" s="56"/>
      <c r="EZ231" s="56"/>
      <c r="FA231" s="56"/>
      <c r="FB231" s="56"/>
      <c r="FC231" s="56"/>
      <c r="FD231" s="56"/>
      <c r="FE231" s="56"/>
      <c r="FF231" s="56"/>
      <c r="FG231" s="56"/>
      <c r="FH231" s="56"/>
      <c r="FI231" s="56"/>
      <c r="FJ231" s="56"/>
      <c r="FK231" s="56"/>
      <c r="FL231" s="56"/>
      <c r="FM231" s="56"/>
      <c r="FN231" s="56"/>
      <c r="FO231" s="56"/>
      <c r="FP231" s="56"/>
      <c r="FQ231" s="56"/>
      <c r="FR231" s="56"/>
      <c r="FS231" s="56"/>
      <c r="FT231" s="56"/>
      <c r="FU231" s="56"/>
      <c r="FV231" s="56"/>
      <c r="FW231" s="56"/>
      <c r="FX231" s="56"/>
      <c r="FY231" s="56"/>
      <c r="FZ231" s="56"/>
      <c r="GA231" s="56"/>
      <c r="GB231" s="56"/>
      <c r="GC231" s="56"/>
      <c r="GD231" s="56"/>
      <c r="GE231" s="56"/>
      <c r="GF231" s="56"/>
      <c r="GG231" s="56"/>
      <c r="GH231" s="56"/>
      <c r="GI231" s="56"/>
      <c r="GJ231" s="56"/>
      <c r="GK231" s="56"/>
      <c r="GL231" s="56"/>
      <c r="GM231" s="56"/>
      <c r="GN231" s="56"/>
      <c r="GO231" s="56"/>
      <c r="GP231" s="56"/>
      <c r="GQ231" s="56"/>
      <c r="GR231" s="56"/>
      <c r="GS231" s="56"/>
      <c r="GT231" s="56"/>
      <c r="GU231" s="56"/>
      <c r="GV231" s="56"/>
      <c r="GW231" s="56"/>
      <c r="GX231" s="56"/>
      <c r="GY231" s="56"/>
      <c r="GZ231" s="56"/>
      <c r="HA231" s="56"/>
      <c r="HB231" s="56"/>
      <c r="HC231" s="56"/>
      <c r="HD231" s="56"/>
      <c r="HE231" s="56"/>
      <c r="HF231" s="56"/>
      <c r="HG231" s="56"/>
      <c r="HH231" s="56"/>
      <c r="HI231" s="56"/>
      <c r="HJ231" s="56"/>
    </row>
    <row r="232" spans="1:218" ht="15.75" customHeight="1" x14ac:dyDescent="0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  <c r="CW232" s="56"/>
      <c r="CX232" s="56"/>
      <c r="CY232" s="56"/>
      <c r="CZ232" s="56"/>
      <c r="DA232" s="56"/>
      <c r="DB232" s="56"/>
      <c r="DC232" s="56"/>
      <c r="DD232" s="56"/>
      <c r="DE232" s="56"/>
      <c r="DF232" s="56"/>
      <c r="DG232" s="56"/>
      <c r="DH232" s="56"/>
      <c r="DI232" s="56"/>
      <c r="DJ232" s="56"/>
      <c r="DK232" s="56"/>
      <c r="DL232" s="56"/>
      <c r="DM232" s="56"/>
      <c r="DN232" s="56"/>
      <c r="DO232" s="56"/>
      <c r="DP232" s="56"/>
      <c r="DQ232" s="56"/>
      <c r="DR232" s="56"/>
      <c r="DS232" s="56"/>
      <c r="DT232" s="56"/>
      <c r="DU232" s="56"/>
      <c r="DV232" s="56"/>
      <c r="DW232" s="56"/>
      <c r="DX232" s="56"/>
      <c r="DY232" s="56"/>
      <c r="DZ232" s="56"/>
      <c r="EA232" s="56"/>
      <c r="EB232" s="56"/>
      <c r="EC232" s="56"/>
      <c r="ED232" s="56"/>
      <c r="EE232" s="56"/>
      <c r="EF232" s="56"/>
      <c r="EG232" s="56"/>
      <c r="EH232" s="56"/>
      <c r="EI232" s="56"/>
      <c r="EJ232" s="56"/>
      <c r="EK232" s="56"/>
      <c r="EL232" s="56"/>
      <c r="EM232" s="56"/>
      <c r="EN232" s="56"/>
      <c r="EO232" s="56"/>
      <c r="EP232" s="56"/>
      <c r="EQ232" s="56"/>
      <c r="ER232" s="56"/>
      <c r="ES232" s="56"/>
      <c r="ET232" s="56"/>
      <c r="EU232" s="56"/>
      <c r="EV232" s="56"/>
      <c r="EW232" s="56"/>
      <c r="EX232" s="56"/>
      <c r="EY232" s="56"/>
      <c r="EZ232" s="56"/>
      <c r="FA232" s="56"/>
      <c r="FB232" s="56"/>
      <c r="FC232" s="56"/>
      <c r="FD232" s="56"/>
      <c r="FE232" s="56"/>
      <c r="FF232" s="56"/>
      <c r="FG232" s="56"/>
      <c r="FH232" s="56"/>
      <c r="FI232" s="56"/>
      <c r="FJ232" s="56"/>
      <c r="FK232" s="56"/>
      <c r="FL232" s="56"/>
      <c r="FM232" s="56"/>
      <c r="FN232" s="56"/>
      <c r="FO232" s="56"/>
      <c r="FP232" s="56"/>
      <c r="FQ232" s="56"/>
      <c r="FR232" s="56"/>
      <c r="FS232" s="56"/>
      <c r="FT232" s="56"/>
      <c r="FU232" s="56"/>
      <c r="FV232" s="56"/>
      <c r="FW232" s="56"/>
      <c r="FX232" s="56"/>
      <c r="FY232" s="56"/>
      <c r="FZ232" s="56"/>
      <c r="GA232" s="56"/>
      <c r="GB232" s="56"/>
      <c r="GC232" s="56"/>
      <c r="GD232" s="56"/>
      <c r="GE232" s="56"/>
      <c r="GF232" s="56"/>
      <c r="GG232" s="56"/>
      <c r="GH232" s="56"/>
      <c r="GI232" s="56"/>
      <c r="GJ232" s="56"/>
      <c r="GK232" s="56"/>
      <c r="GL232" s="56"/>
      <c r="GM232" s="56"/>
      <c r="GN232" s="56"/>
      <c r="GO232" s="56"/>
      <c r="GP232" s="56"/>
      <c r="GQ232" s="56"/>
      <c r="GR232" s="56"/>
      <c r="GS232" s="56"/>
      <c r="GT232" s="56"/>
      <c r="GU232" s="56"/>
      <c r="GV232" s="56"/>
      <c r="GW232" s="56"/>
      <c r="GX232" s="56"/>
      <c r="GY232" s="56"/>
      <c r="GZ232" s="56"/>
      <c r="HA232" s="56"/>
      <c r="HB232" s="56"/>
      <c r="HC232" s="56"/>
      <c r="HD232" s="56"/>
      <c r="HE232" s="56"/>
      <c r="HF232" s="56"/>
      <c r="HG232" s="56"/>
      <c r="HH232" s="56"/>
      <c r="HI232" s="56"/>
      <c r="HJ232" s="56"/>
    </row>
    <row r="233" spans="1:218" ht="15.75" customHeight="1" x14ac:dyDescent="0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6"/>
      <c r="CV233" s="56"/>
      <c r="CW233" s="56"/>
      <c r="CX233" s="56"/>
      <c r="CY233" s="56"/>
      <c r="CZ233" s="56"/>
      <c r="DA233" s="56"/>
      <c r="DB233" s="56"/>
      <c r="DC233" s="56"/>
      <c r="DD233" s="56"/>
      <c r="DE233" s="56"/>
      <c r="DF233" s="56"/>
      <c r="DG233" s="56"/>
      <c r="DH233" s="56"/>
      <c r="DI233" s="56"/>
      <c r="DJ233" s="56"/>
      <c r="DK233" s="56"/>
      <c r="DL233" s="56"/>
      <c r="DM233" s="56"/>
      <c r="DN233" s="56"/>
      <c r="DO233" s="56"/>
      <c r="DP233" s="56"/>
      <c r="DQ233" s="56"/>
      <c r="DR233" s="56"/>
      <c r="DS233" s="56"/>
      <c r="DT233" s="56"/>
      <c r="DU233" s="56"/>
      <c r="DV233" s="56"/>
      <c r="DW233" s="56"/>
      <c r="DX233" s="56"/>
      <c r="DY233" s="56"/>
      <c r="DZ233" s="56"/>
      <c r="EA233" s="56"/>
      <c r="EB233" s="56"/>
      <c r="EC233" s="56"/>
      <c r="ED233" s="56"/>
      <c r="EE233" s="56"/>
      <c r="EF233" s="56"/>
      <c r="EG233" s="56"/>
      <c r="EH233" s="56"/>
      <c r="EI233" s="56"/>
      <c r="EJ233" s="56"/>
      <c r="EK233" s="56"/>
      <c r="EL233" s="56"/>
      <c r="EM233" s="56"/>
      <c r="EN233" s="56"/>
      <c r="EO233" s="56"/>
      <c r="EP233" s="56"/>
      <c r="EQ233" s="56"/>
      <c r="ER233" s="56"/>
      <c r="ES233" s="56"/>
      <c r="ET233" s="56"/>
      <c r="EU233" s="56"/>
      <c r="EV233" s="56"/>
      <c r="EW233" s="56"/>
      <c r="EX233" s="56"/>
      <c r="EY233" s="56"/>
      <c r="EZ233" s="56"/>
      <c r="FA233" s="56"/>
      <c r="FB233" s="56"/>
      <c r="FC233" s="56"/>
      <c r="FD233" s="56"/>
      <c r="FE233" s="56"/>
      <c r="FF233" s="56"/>
      <c r="FG233" s="56"/>
      <c r="FH233" s="56"/>
      <c r="FI233" s="56"/>
      <c r="FJ233" s="56"/>
      <c r="FK233" s="56"/>
      <c r="FL233" s="56"/>
      <c r="FM233" s="56"/>
      <c r="FN233" s="56"/>
      <c r="FO233" s="56"/>
      <c r="FP233" s="56"/>
      <c r="FQ233" s="56"/>
      <c r="FR233" s="56"/>
      <c r="FS233" s="56"/>
      <c r="FT233" s="56"/>
      <c r="FU233" s="56"/>
      <c r="FV233" s="56"/>
      <c r="FW233" s="56"/>
      <c r="FX233" s="56"/>
      <c r="FY233" s="56"/>
      <c r="FZ233" s="56"/>
      <c r="GA233" s="56"/>
      <c r="GB233" s="56"/>
      <c r="GC233" s="56"/>
      <c r="GD233" s="56"/>
      <c r="GE233" s="56"/>
      <c r="GF233" s="56"/>
      <c r="GG233" s="56"/>
      <c r="GH233" s="56"/>
      <c r="GI233" s="56"/>
      <c r="GJ233" s="56"/>
      <c r="GK233" s="56"/>
      <c r="GL233" s="56"/>
      <c r="GM233" s="56"/>
      <c r="GN233" s="56"/>
      <c r="GO233" s="56"/>
      <c r="GP233" s="56"/>
      <c r="GQ233" s="56"/>
      <c r="GR233" s="56"/>
      <c r="GS233" s="56"/>
      <c r="GT233" s="56"/>
      <c r="GU233" s="56"/>
      <c r="GV233" s="56"/>
      <c r="GW233" s="56"/>
      <c r="GX233" s="56"/>
      <c r="GY233" s="56"/>
      <c r="GZ233" s="56"/>
      <c r="HA233" s="56"/>
      <c r="HB233" s="56"/>
      <c r="HC233" s="56"/>
      <c r="HD233" s="56"/>
      <c r="HE233" s="56"/>
      <c r="HF233" s="56"/>
      <c r="HG233" s="56"/>
      <c r="HH233" s="56"/>
      <c r="HI233" s="56"/>
      <c r="HJ233" s="56"/>
    </row>
    <row r="234" spans="1:218" ht="15.75" customHeight="1" x14ac:dyDescent="0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  <c r="CW234" s="56"/>
      <c r="CX234" s="56"/>
      <c r="CY234" s="56"/>
      <c r="CZ234" s="56"/>
      <c r="DA234" s="56"/>
      <c r="DB234" s="56"/>
      <c r="DC234" s="56"/>
      <c r="DD234" s="56"/>
      <c r="DE234" s="56"/>
      <c r="DF234" s="56"/>
      <c r="DG234" s="56"/>
      <c r="DH234" s="56"/>
      <c r="DI234" s="56"/>
      <c r="DJ234" s="56"/>
      <c r="DK234" s="56"/>
      <c r="DL234" s="56"/>
      <c r="DM234" s="56"/>
      <c r="DN234" s="56"/>
      <c r="DO234" s="56"/>
      <c r="DP234" s="56"/>
      <c r="DQ234" s="56"/>
      <c r="DR234" s="56"/>
      <c r="DS234" s="56"/>
      <c r="DT234" s="56"/>
      <c r="DU234" s="56"/>
      <c r="DV234" s="56"/>
      <c r="DW234" s="56"/>
      <c r="DX234" s="56"/>
      <c r="DY234" s="56"/>
      <c r="DZ234" s="56"/>
      <c r="EA234" s="56"/>
      <c r="EB234" s="56"/>
      <c r="EC234" s="56"/>
      <c r="ED234" s="56"/>
      <c r="EE234" s="56"/>
      <c r="EF234" s="56"/>
      <c r="EG234" s="56"/>
      <c r="EH234" s="56"/>
      <c r="EI234" s="56"/>
      <c r="EJ234" s="56"/>
      <c r="EK234" s="56"/>
      <c r="EL234" s="56"/>
      <c r="EM234" s="56"/>
      <c r="EN234" s="56"/>
      <c r="EO234" s="56"/>
      <c r="EP234" s="56"/>
      <c r="EQ234" s="56"/>
      <c r="ER234" s="56"/>
      <c r="ES234" s="56"/>
      <c r="ET234" s="56"/>
      <c r="EU234" s="56"/>
      <c r="EV234" s="56"/>
      <c r="EW234" s="56"/>
      <c r="EX234" s="56"/>
      <c r="EY234" s="56"/>
      <c r="EZ234" s="56"/>
      <c r="FA234" s="56"/>
      <c r="FB234" s="56"/>
      <c r="FC234" s="56"/>
      <c r="FD234" s="56"/>
      <c r="FE234" s="56"/>
      <c r="FF234" s="56"/>
      <c r="FG234" s="56"/>
      <c r="FH234" s="56"/>
      <c r="FI234" s="56"/>
      <c r="FJ234" s="56"/>
      <c r="FK234" s="56"/>
      <c r="FL234" s="56"/>
      <c r="FM234" s="56"/>
      <c r="FN234" s="56"/>
      <c r="FO234" s="56"/>
      <c r="FP234" s="56"/>
      <c r="FQ234" s="56"/>
      <c r="FR234" s="56"/>
      <c r="FS234" s="56"/>
      <c r="FT234" s="56"/>
      <c r="FU234" s="56"/>
      <c r="FV234" s="56"/>
      <c r="FW234" s="56"/>
      <c r="FX234" s="56"/>
      <c r="FY234" s="56"/>
      <c r="FZ234" s="56"/>
      <c r="GA234" s="56"/>
      <c r="GB234" s="56"/>
      <c r="GC234" s="56"/>
      <c r="GD234" s="56"/>
      <c r="GE234" s="56"/>
      <c r="GF234" s="56"/>
      <c r="GG234" s="56"/>
      <c r="GH234" s="56"/>
      <c r="GI234" s="56"/>
      <c r="GJ234" s="56"/>
      <c r="GK234" s="56"/>
      <c r="GL234" s="56"/>
      <c r="GM234" s="56"/>
      <c r="GN234" s="56"/>
      <c r="GO234" s="56"/>
      <c r="GP234" s="56"/>
      <c r="GQ234" s="56"/>
      <c r="GR234" s="56"/>
      <c r="GS234" s="56"/>
      <c r="GT234" s="56"/>
      <c r="GU234" s="56"/>
      <c r="GV234" s="56"/>
      <c r="GW234" s="56"/>
      <c r="GX234" s="56"/>
      <c r="GY234" s="56"/>
      <c r="GZ234" s="56"/>
      <c r="HA234" s="56"/>
      <c r="HB234" s="56"/>
      <c r="HC234" s="56"/>
      <c r="HD234" s="56"/>
      <c r="HE234" s="56"/>
      <c r="HF234" s="56"/>
      <c r="HG234" s="56"/>
      <c r="HH234" s="56"/>
      <c r="HI234" s="56"/>
      <c r="HJ234" s="56"/>
    </row>
    <row r="235" spans="1:218" ht="15.75" customHeight="1" x14ac:dyDescent="0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6"/>
      <c r="CV235" s="56"/>
      <c r="CW235" s="56"/>
      <c r="CX235" s="56"/>
      <c r="CY235" s="56"/>
      <c r="CZ235" s="56"/>
      <c r="DA235" s="56"/>
      <c r="DB235" s="56"/>
      <c r="DC235" s="56"/>
      <c r="DD235" s="56"/>
      <c r="DE235" s="56"/>
      <c r="DF235" s="56"/>
      <c r="DG235" s="56"/>
      <c r="DH235" s="56"/>
      <c r="DI235" s="56"/>
      <c r="DJ235" s="56"/>
      <c r="DK235" s="56"/>
      <c r="DL235" s="56"/>
      <c r="DM235" s="56"/>
      <c r="DN235" s="56"/>
      <c r="DO235" s="56"/>
      <c r="DP235" s="56"/>
      <c r="DQ235" s="56"/>
      <c r="DR235" s="56"/>
      <c r="DS235" s="56"/>
      <c r="DT235" s="56"/>
      <c r="DU235" s="56"/>
      <c r="DV235" s="56"/>
      <c r="DW235" s="56"/>
      <c r="DX235" s="56"/>
      <c r="DY235" s="56"/>
      <c r="DZ235" s="56"/>
      <c r="EA235" s="56"/>
      <c r="EB235" s="56"/>
      <c r="EC235" s="56"/>
      <c r="ED235" s="56"/>
      <c r="EE235" s="56"/>
      <c r="EF235" s="56"/>
      <c r="EG235" s="56"/>
      <c r="EH235" s="56"/>
      <c r="EI235" s="56"/>
      <c r="EJ235" s="56"/>
      <c r="EK235" s="56"/>
      <c r="EL235" s="56"/>
      <c r="EM235" s="56"/>
      <c r="EN235" s="56"/>
      <c r="EO235" s="56"/>
      <c r="EP235" s="56"/>
      <c r="EQ235" s="56"/>
      <c r="ER235" s="56"/>
      <c r="ES235" s="56"/>
      <c r="ET235" s="56"/>
      <c r="EU235" s="56"/>
      <c r="EV235" s="56"/>
      <c r="EW235" s="56"/>
      <c r="EX235" s="56"/>
      <c r="EY235" s="56"/>
      <c r="EZ235" s="56"/>
      <c r="FA235" s="56"/>
      <c r="FB235" s="56"/>
      <c r="FC235" s="56"/>
      <c r="FD235" s="56"/>
      <c r="FE235" s="56"/>
      <c r="FF235" s="56"/>
      <c r="FG235" s="56"/>
      <c r="FH235" s="56"/>
      <c r="FI235" s="56"/>
      <c r="FJ235" s="56"/>
      <c r="FK235" s="56"/>
      <c r="FL235" s="56"/>
      <c r="FM235" s="56"/>
      <c r="FN235" s="56"/>
      <c r="FO235" s="56"/>
      <c r="FP235" s="56"/>
      <c r="FQ235" s="56"/>
      <c r="FR235" s="56"/>
      <c r="FS235" s="56"/>
      <c r="FT235" s="56"/>
      <c r="FU235" s="56"/>
      <c r="FV235" s="56"/>
      <c r="FW235" s="56"/>
      <c r="FX235" s="56"/>
      <c r="FY235" s="56"/>
      <c r="FZ235" s="56"/>
      <c r="GA235" s="56"/>
      <c r="GB235" s="56"/>
      <c r="GC235" s="56"/>
      <c r="GD235" s="56"/>
      <c r="GE235" s="56"/>
      <c r="GF235" s="56"/>
      <c r="GG235" s="56"/>
      <c r="GH235" s="56"/>
      <c r="GI235" s="56"/>
      <c r="GJ235" s="56"/>
      <c r="GK235" s="56"/>
      <c r="GL235" s="56"/>
      <c r="GM235" s="56"/>
      <c r="GN235" s="56"/>
      <c r="GO235" s="56"/>
      <c r="GP235" s="56"/>
      <c r="GQ235" s="56"/>
      <c r="GR235" s="56"/>
      <c r="GS235" s="56"/>
      <c r="GT235" s="56"/>
      <c r="GU235" s="56"/>
      <c r="GV235" s="56"/>
      <c r="GW235" s="56"/>
      <c r="GX235" s="56"/>
      <c r="GY235" s="56"/>
      <c r="GZ235" s="56"/>
      <c r="HA235" s="56"/>
      <c r="HB235" s="56"/>
      <c r="HC235" s="56"/>
      <c r="HD235" s="56"/>
      <c r="HE235" s="56"/>
      <c r="HF235" s="56"/>
      <c r="HG235" s="56"/>
      <c r="HH235" s="56"/>
      <c r="HI235" s="56"/>
      <c r="HJ235" s="56"/>
    </row>
    <row r="236" spans="1:218" ht="15.75" customHeight="1" x14ac:dyDescent="0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  <c r="CT236" s="56"/>
      <c r="CU236" s="56"/>
      <c r="CV236" s="56"/>
      <c r="CW236" s="56"/>
      <c r="CX236" s="56"/>
      <c r="CY236" s="56"/>
      <c r="CZ236" s="56"/>
      <c r="DA236" s="56"/>
      <c r="DB236" s="56"/>
      <c r="DC236" s="56"/>
      <c r="DD236" s="56"/>
      <c r="DE236" s="56"/>
      <c r="DF236" s="56"/>
      <c r="DG236" s="56"/>
      <c r="DH236" s="56"/>
      <c r="DI236" s="56"/>
      <c r="DJ236" s="56"/>
      <c r="DK236" s="56"/>
      <c r="DL236" s="56"/>
      <c r="DM236" s="56"/>
      <c r="DN236" s="56"/>
      <c r="DO236" s="56"/>
      <c r="DP236" s="56"/>
      <c r="DQ236" s="56"/>
      <c r="DR236" s="56"/>
      <c r="DS236" s="56"/>
      <c r="DT236" s="56"/>
      <c r="DU236" s="56"/>
      <c r="DV236" s="56"/>
      <c r="DW236" s="56"/>
      <c r="DX236" s="56"/>
      <c r="DY236" s="56"/>
      <c r="DZ236" s="56"/>
      <c r="EA236" s="56"/>
      <c r="EB236" s="56"/>
      <c r="EC236" s="56"/>
      <c r="ED236" s="56"/>
      <c r="EE236" s="56"/>
      <c r="EF236" s="56"/>
      <c r="EG236" s="56"/>
      <c r="EH236" s="56"/>
      <c r="EI236" s="56"/>
      <c r="EJ236" s="56"/>
      <c r="EK236" s="56"/>
      <c r="EL236" s="56"/>
      <c r="EM236" s="56"/>
      <c r="EN236" s="56"/>
      <c r="EO236" s="56"/>
      <c r="EP236" s="56"/>
      <c r="EQ236" s="56"/>
      <c r="ER236" s="56"/>
      <c r="ES236" s="56"/>
      <c r="ET236" s="56"/>
      <c r="EU236" s="56"/>
      <c r="EV236" s="56"/>
      <c r="EW236" s="56"/>
      <c r="EX236" s="56"/>
      <c r="EY236" s="56"/>
      <c r="EZ236" s="56"/>
      <c r="FA236" s="56"/>
      <c r="FB236" s="56"/>
      <c r="FC236" s="56"/>
      <c r="FD236" s="56"/>
      <c r="FE236" s="56"/>
      <c r="FF236" s="56"/>
      <c r="FG236" s="56"/>
      <c r="FH236" s="56"/>
      <c r="FI236" s="56"/>
      <c r="FJ236" s="56"/>
      <c r="FK236" s="56"/>
      <c r="FL236" s="56"/>
      <c r="FM236" s="56"/>
      <c r="FN236" s="56"/>
      <c r="FO236" s="56"/>
      <c r="FP236" s="56"/>
      <c r="FQ236" s="56"/>
      <c r="FR236" s="56"/>
      <c r="FS236" s="56"/>
      <c r="FT236" s="56"/>
      <c r="FU236" s="56"/>
      <c r="FV236" s="56"/>
      <c r="FW236" s="56"/>
      <c r="FX236" s="56"/>
      <c r="FY236" s="56"/>
      <c r="FZ236" s="56"/>
      <c r="GA236" s="56"/>
      <c r="GB236" s="56"/>
      <c r="GC236" s="56"/>
      <c r="GD236" s="56"/>
      <c r="GE236" s="56"/>
      <c r="GF236" s="56"/>
      <c r="GG236" s="56"/>
      <c r="GH236" s="56"/>
      <c r="GI236" s="56"/>
      <c r="GJ236" s="56"/>
      <c r="GK236" s="56"/>
      <c r="GL236" s="56"/>
      <c r="GM236" s="56"/>
      <c r="GN236" s="56"/>
      <c r="GO236" s="56"/>
      <c r="GP236" s="56"/>
      <c r="GQ236" s="56"/>
      <c r="GR236" s="56"/>
      <c r="GS236" s="56"/>
      <c r="GT236" s="56"/>
      <c r="GU236" s="56"/>
      <c r="GV236" s="56"/>
      <c r="GW236" s="56"/>
      <c r="GX236" s="56"/>
      <c r="GY236" s="56"/>
      <c r="GZ236" s="56"/>
      <c r="HA236" s="56"/>
      <c r="HB236" s="56"/>
      <c r="HC236" s="56"/>
      <c r="HD236" s="56"/>
      <c r="HE236" s="56"/>
      <c r="HF236" s="56"/>
      <c r="HG236" s="56"/>
      <c r="HH236" s="56"/>
      <c r="HI236" s="56"/>
      <c r="HJ236" s="56"/>
    </row>
    <row r="237" spans="1:218" ht="15.75" customHeight="1" x14ac:dyDescent="0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6"/>
      <c r="CV237" s="56"/>
      <c r="CW237" s="56"/>
      <c r="CX237" s="56"/>
      <c r="CY237" s="56"/>
      <c r="CZ237" s="56"/>
      <c r="DA237" s="56"/>
      <c r="DB237" s="56"/>
      <c r="DC237" s="56"/>
      <c r="DD237" s="56"/>
      <c r="DE237" s="56"/>
      <c r="DF237" s="56"/>
      <c r="DG237" s="56"/>
      <c r="DH237" s="56"/>
      <c r="DI237" s="56"/>
      <c r="DJ237" s="56"/>
      <c r="DK237" s="56"/>
      <c r="DL237" s="56"/>
      <c r="DM237" s="56"/>
      <c r="DN237" s="56"/>
      <c r="DO237" s="56"/>
      <c r="DP237" s="56"/>
      <c r="DQ237" s="56"/>
      <c r="DR237" s="56"/>
      <c r="DS237" s="56"/>
      <c r="DT237" s="56"/>
      <c r="DU237" s="56"/>
      <c r="DV237" s="56"/>
      <c r="DW237" s="56"/>
      <c r="DX237" s="56"/>
      <c r="DY237" s="56"/>
      <c r="DZ237" s="56"/>
      <c r="EA237" s="56"/>
      <c r="EB237" s="56"/>
      <c r="EC237" s="56"/>
      <c r="ED237" s="56"/>
      <c r="EE237" s="56"/>
      <c r="EF237" s="56"/>
      <c r="EG237" s="56"/>
      <c r="EH237" s="56"/>
      <c r="EI237" s="56"/>
      <c r="EJ237" s="56"/>
      <c r="EK237" s="56"/>
      <c r="EL237" s="56"/>
      <c r="EM237" s="56"/>
      <c r="EN237" s="56"/>
      <c r="EO237" s="56"/>
      <c r="EP237" s="56"/>
      <c r="EQ237" s="56"/>
      <c r="ER237" s="56"/>
      <c r="ES237" s="56"/>
      <c r="ET237" s="56"/>
      <c r="EU237" s="56"/>
      <c r="EV237" s="56"/>
      <c r="EW237" s="56"/>
      <c r="EX237" s="56"/>
      <c r="EY237" s="56"/>
      <c r="EZ237" s="56"/>
      <c r="FA237" s="56"/>
      <c r="FB237" s="56"/>
      <c r="FC237" s="56"/>
      <c r="FD237" s="56"/>
      <c r="FE237" s="56"/>
      <c r="FF237" s="56"/>
      <c r="FG237" s="56"/>
      <c r="FH237" s="56"/>
      <c r="FI237" s="56"/>
      <c r="FJ237" s="56"/>
      <c r="FK237" s="56"/>
      <c r="FL237" s="56"/>
      <c r="FM237" s="56"/>
      <c r="FN237" s="56"/>
      <c r="FO237" s="56"/>
      <c r="FP237" s="56"/>
      <c r="FQ237" s="56"/>
      <c r="FR237" s="56"/>
      <c r="FS237" s="56"/>
      <c r="FT237" s="56"/>
      <c r="FU237" s="56"/>
      <c r="FV237" s="56"/>
      <c r="FW237" s="56"/>
      <c r="FX237" s="56"/>
      <c r="FY237" s="56"/>
      <c r="FZ237" s="56"/>
      <c r="GA237" s="56"/>
      <c r="GB237" s="56"/>
      <c r="GC237" s="56"/>
      <c r="GD237" s="56"/>
      <c r="GE237" s="56"/>
      <c r="GF237" s="56"/>
      <c r="GG237" s="56"/>
      <c r="GH237" s="56"/>
      <c r="GI237" s="56"/>
      <c r="GJ237" s="56"/>
      <c r="GK237" s="56"/>
      <c r="GL237" s="56"/>
      <c r="GM237" s="56"/>
      <c r="GN237" s="56"/>
      <c r="GO237" s="56"/>
      <c r="GP237" s="56"/>
      <c r="GQ237" s="56"/>
      <c r="GR237" s="56"/>
      <c r="GS237" s="56"/>
      <c r="GT237" s="56"/>
      <c r="GU237" s="56"/>
      <c r="GV237" s="56"/>
      <c r="GW237" s="56"/>
      <c r="GX237" s="56"/>
      <c r="GY237" s="56"/>
      <c r="GZ237" s="56"/>
      <c r="HA237" s="56"/>
      <c r="HB237" s="56"/>
      <c r="HC237" s="56"/>
      <c r="HD237" s="56"/>
      <c r="HE237" s="56"/>
      <c r="HF237" s="56"/>
      <c r="HG237" s="56"/>
      <c r="HH237" s="56"/>
      <c r="HI237" s="56"/>
      <c r="HJ237" s="56"/>
    </row>
    <row r="238" spans="1:218" ht="15.75" customHeight="1" x14ac:dyDescent="0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  <c r="CW238" s="56"/>
      <c r="CX238" s="56"/>
      <c r="CY238" s="56"/>
      <c r="CZ238" s="56"/>
      <c r="DA238" s="56"/>
      <c r="DB238" s="56"/>
      <c r="DC238" s="56"/>
      <c r="DD238" s="56"/>
      <c r="DE238" s="56"/>
      <c r="DF238" s="56"/>
      <c r="DG238" s="56"/>
      <c r="DH238" s="56"/>
      <c r="DI238" s="56"/>
      <c r="DJ238" s="56"/>
      <c r="DK238" s="56"/>
      <c r="DL238" s="56"/>
      <c r="DM238" s="56"/>
      <c r="DN238" s="56"/>
      <c r="DO238" s="56"/>
      <c r="DP238" s="56"/>
      <c r="DQ238" s="56"/>
      <c r="DR238" s="56"/>
      <c r="DS238" s="56"/>
      <c r="DT238" s="56"/>
      <c r="DU238" s="56"/>
      <c r="DV238" s="56"/>
      <c r="DW238" s="56"/>
      <c r="DX238" s="56"/>
      <c r="DY238" s="56"/>
      <c r="DZ238" s="56"/>
      <c r="EA238" s="56"/>
      <c r="EB238" s="56"/>
      <c r="EC238" s="56"/>
      <c r="ED238" s="56"/>
      <c r="EE238" s="56"/>
      <c r="EF238" s="56"/>
      <c r="EG238" s="56"/>
      <c r="EH238" s="56"/>
      <c r="EI238" s="56"/>
      <c r="EJ238" s="56"/>
      <c r="EK238" s="56"/>
      <c r="EL238" s="56"/>
      <c r="EM238" s="56"/>
      <c r="EN238" s="56"/>
      <c r="EO238" s="56"/>
      <c r="EP238" s="56"/>
      <c r="EQ238" s="56"/>
      <c r="ER238" s="56"/>
      <c r="ES238" s="56"/>
      <c r="ET238" s="56"/>
      <c r="EU238" s="56"/>
      <c r="EV238" s="56"/>
      <c r="EW238" s="56"/>
      <c r="EX238" s="56"/>
      <c r="EY238" s="56"/>
      <c r="EZ238" s="56"/>
      <c r="FA238" s="56"/>
      <c r="FB238" s="56"/>
      <c r="FC238" s="56"/>
      <c r="FD238" s="56"/>
      <c r="FE238" s="56"/>
      <c r="FF238" s="56"/>
      <c r="FG238" s="56"/>
      <c r="FH238" s="56"/>
      <c r="FI238" s="56"/>
      <c r="FJ238" s="56"/>
      <c r="FK238" s="56"/>
      <c r="FL238" s="56"/>
      <c r="FM238" s="56"/>
      <c r="FN238" s="56"/>
      <c r="FO238" s="56"/>
      <c r="FP238" s="56"/>
      <c r="FQ238" s="56"/>
      <c r="FR238" s="56"/>
      <c r="FS238" s="56"/>
      <c r="FT238" s="56"/>
      <c r="FU238" s="56"/>
      <c r="FV238" s="56"/>
      <c r="FW238" s="56"/>
      <c r="FX238" s="56"/>
      <c r="FY238" s="56"/>
      <c r="FZ238" s="56"/>
      <c r="GA238" s="56"/>
      <c r="GB238" s="56"/>
      <c r="GC238" s="56"/>
      <c r="GD238" s="56"/>
      <c r="GE238" s="56"/>
      <c r="GF238" s="56"/>
      <c r="GG238" s="56"/>
      <c r="GH238" s="56"/>
      <c r="GI238" s="56"/>
      <c r="GJ238" s="56"/>
      <c r="GK238" s="56"/>
      <c r="GL238" s="56"/>
      <c r="GM238" s="56"/>
      <c r="GN238" s="56"/>
      <c r="GO238" s="56"/>
      <c r="GP238" s="56"/>
      <c r="GQ238" s="56"/>
      <c r="GR238" s="56"/>
      <c r="GS238" s="56"/>
      <c r="GT238" s="56"/>
      <c r="GU238" s="56"/>
      <c r="GV238" s="56"/>
      <c r="GW238" s="56"/>
      <c r="GX238" s="56"/>
      <c r="GY238" s="56"/>
      <c r="GZ238" s="56"/>
      <c r="HA238" s="56"/>
      <c r="HB238" s="56"/>
      <c r="HC238" s="56"/>
      <c r="HD238" s="56"/>
      <c r="HE238" s="56"/>
      <c r="HF238" s="56"/>
      <c r="HG238" s="56"/>
      <c r="HH238" s="56"/>
      <c r="HI238" s="56"/>
      <c r="HJ238" s="56"/>
    </row>
    <row r="239" spans="1:218" ht="15.75" customHeight="1" x14ac:dyDescent="0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56"/>
      <c r="DU239" s="56"/>
      <c r="DV239" s="56"/>
      <c r="DW239" s="56"/>
      <c r="DX239" s="56"/>
      <c r="DY239" s="56"/>
      <c r="DZ239" s="56"/>
      <c r="EA239" s="56"/>
      <c r="EB239" s="56"/>
      <c r="EC239" s="56"/>
      <c r="ED239" s="56"/>
      <c r="EE239" s="56"/>
      <c r="EF239" s="56"/>
      <c r="EG239" s="56"/>
      <c r="EH239" s="56"/>
      <c r="EI239" s="56"/>
      <c r="EJ239" s="56"/>
      <c r="EK239" s="56"/>
      <c r="EL239" s="56"/>
      <c r="EM239" s="56"/>
      <c r="EN239" s="56"/>
      <c r="EO239" s="56"/>
      <c r="EP239" s="56"/>
      <c r="EQ239" s="56"/>
      <c r="ER239" s="56"/>
      <c r="ES239" s="56"/>
      <c r="ET239" s="56"/>
      <c r="EU239" s="56"/>
      <c r="EV239" s="56"/>
      <c r="EW239" s="56"/>
      <c r="EX239" s="56"/>
      <c r="EY239" s="56"/>
      <c r="EZ239" s="56"/>
      <c r="FA239" s="56"/>
      <c r="FB239" s="56"/>
      <c r="FC239" s="56"/>
      <c r="FD239" s="56"/>
      <c r="FE239" s="56"/>
      <c r="FF239" s="56"/>
      <c r="FG239" s="56"/>
      <c r="FH239" s="56"/>
      <c r="FI239" s="56"/>
      <c r="FJ239" s="56"/>
      <c r="FK239" s="56"/>
      <c r="FL239" s="56"/>
      <c r="FM239" s="56"/>
      <c r="FN239" s="56"/>
      <c r="FO239" s="56"/>
      <c r="FP239" s="56"/>
      <c r="FQ239" s="56"/>
      <c r="FR239" s="56"/>
      <c r="FS239" s="56"/>
      <c r="FT239" s="56"/>
      <c r="FU239" s="56"/>
      <c r="FV239" s="56"/>
      <c r="FW239" s="56"/>
      <c r="FX239" s="56"/>
      <c r="FY239" s="56"/>
      <c r="FZ239" s="56"/>
      <c r="GA239" s="56"/>
      <c r="GB239" s="56"/>
      <c r="GC239" s="56"/>
      <c r="GD239" s="56"/>
      <c r="GE239" s="56"/>
      <c r="GF239" s="56"/>
      <c r="GG239" s="56"/>
      <c r="GH239" s="56"/>
      <c r="GI239" s="56"/>
      <c r="GJ239" s="56"/>
      <c r="GK239" s="56"/>
      <c r="GL239" s="56"/>
      <c r="GM239" s="56"/>
      <c r="GN239" s="56"/>
      <c r="GO239" s="56"/>
      <c r="GP239" s="56"/>
      <c r="GQ239" s="56"/>
      <c r="GR239" s="56"/>
      <c r="GS239" s="56"/>
      <c r="GT239" s="56"/>
      <c r="GU239" s="56"/>
      <c r="GV239" s="56"/>
      <c r="GW239" s="56"/>
      <c r="GX239" s="56"/>
      <c r="GY239" s="56"/>
      <c r="GZ239" s="56"/>
      <c r="HA239" s="56"/>
      <c r="HB239" s="56"/>
      <c r="HC239" s="56"/>
      <c r="HD239" s="56"/>
      <c r="HE239" s="56"/>
      <c r="HF239" s="56"/>
      <c r="HG239" s="56"/>
      <c r="HH239" s="56"/>
      <c r="HI239" s="56"/>
      <c r="HJ239" s="56"/>
    </row>
    <row r="240" spans="1:218" ht="15.75" customHeight="1" x14ac:dyDescent="0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  <c r="CZ240" s="56"/>
      <c r="DA240" s="56"/>
      <c r="DB240" s="56"/>
      <c r="DC240" s="56"/>
      <c r="DD240" s="56"/>
      <c r="DE240" s="56"/>
      <c r="DF240" s="56"/>
      <c r="DG240" s="56"/>
      <c r="DH240" s="56"/>
      <c r="DI240" s="56"/>
      <c r="DJ240" s="56"/>
      <c r="DK240" s="56"/>
      <c r="DL240" s="56"/>
      <c r="DM240" s="56"/>
      <c r="DN240" s="56"/>
      <c r="DO240" s="56"/>
      <c r="DP240" s="56"/>
      <c r="DQ240" s="56"/>
      <c r="DR240" s="56"/>
      <c r="DS240" s="56"/>
      <c r="DT240" s="56"/>
      <c r="DU240" s="56"/>
      <c r="DV240" s="56"/>
      <c r="DW240" s="56"/>
      <c r="DX240" s="56"/>
      <c r="DY240" s="56"/>
      <c r="DZ240" s="56"/>
      <c r="EA240" s="56"/>
      <c r="EB240" s="56"/>
      <c r="EC240" s="56"/>
      <c r="ED240" s="56"/>
      <c r="EE240" s="56"/>
      <c r="EF240" s="56"/>
      <c r="EG240" s="56"/>
      <c r="EH240" s="56"/>
      <c r="EI240" s="56"/>
      <c r="EJ240" s="56"/>
      <c r="EK240" s="56"/>
      <c r="EL240" s="56"/>
      <c r="EM240" s="56"/>
      <c r="EN240" s="56"/>
      <c r="EO240" s="56"/>
      <c r="EP240" s="56"/>
      <c r="EQ240" s="56"/>
      <c r="ER240" s="56"/>
      <c r="ES240" s="56"/>
      <c r="ET240" s="56"/>
      <c r="EU240" s="56"/>
      <c r="EV240" s="56"/>
      <c r="EW240" s="56"/>
      <c r="EX240" s="56"/>
      <c r="EY240" s="56"/>
      <c r="EZ240" s="56"/>
      <c r="FA240" s="56"/>
      <c r="FB240" s="56"/>
      <c r="FC240" s="56"/>
      <c r="FD240" s="56"/>
      <c r="FE240" s="56"/>
      <c r="FF240" s="56"/>
      <c r="FG240" s="56"/>
      <c r="FH240" s="56"/>
      <c r="FI240" s="56"/>
      <c r="FJ240" s="56"/>
      <c r="FK240" s="56"/>
      <c r="FL240" s="56"/>
      <c r="FM240" s="56"/>
      <c r="FN240" s="56"/>
      <c r="FO240" s="56"/>
      <c r="FP240" s="56"/>
      <c r="FQ240" s="56"/>
      <c r="FR240" s="56"/>
      <c r="FS240" s="56"/>
      <c r="FT240" s="56"/>
      <c r="FU240" s="56"/>
      <c r="FV240" s="56"/>
      <c r="FW240" s="56"/>
      <c r="FX240" s="56"/>
      <c r="FY240" s="56"/>
      <c r="FZ240" s="56"/>
      <c r="GA240" s="56"/>
      <c r="GB240" s="56"/>
      <c r="GC240" s="56"/>
      <c r="GD240" s="56"/>
      <c r="GE240" s="56"/>
      <c r="GF240" s="56"/>
      <c r="GG240" s="56"/>
      <c r="GH240" s="56"/>
      <c r="GI240" s="56"/>
      <c r="GJ240" s="56"/>
      <c r="GK240" s="56"/>
      <c r="GL240" s="56"/>
      <c r="GM240" s="56"/>
      <c r="GN240" s="56"/>
      <c r="GO240" s="56"/>
      <c r="GP240" s="56"/>
      <c r="GQ240" s="56"/>
      <c r="GR240" s="56"/>
      <c r="GS240" s="56"/>
      <c r="GT240" s="56"/>
      <c r="GU240" s="56"/>
      <c r="GV240" s="56"/>
      <c r="GW240" s="56"/>
      <c r="GX240" s="56"/>
      <c r="GY240" s="56"/>
      <c r="GZ240" s="56"/>
      <c r="HA240" s="56"/>
      <c r="HB240" s="56"/>
      <c r="HC240" s="56"/>
      <c r="HD240" s="56"/>
      <c r="HE240" s="56"/>
      <c r="HF240" s="56"/>
      <c r="HG240" s="56"/>
      <c r="HH240" s="56"/>
      <c r="HI240" s="56"/>
      <c r="HJ240" s="56"/>
    </row>
    <row r="241" spans="1:218" ht="15.75" customHeight="1" x14ac:dyDescent="0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6"/>
      <c r="CV241" s="56"/>
      <c r="CW241" s="56"/>
      <c r="CX241" s="56"/>
      <c r="CY241" s="56"/>
      <c r="CZ241" s="56"/>
      <c r="DA241" s="56"/>
      <c r="DB241" s="56"/>
      <c r="DC241" s="56"/>
      <c r="DD241" s="56"/>
      <c r="DE241" s="56"/>
      <c r="DF241" s="56"/>
      <c r="DG241" s="56"/>
      <c r="DH241" s="56"/>
      <c r="DI241" s="56"/>
      <c r="DJ241" s="56"/>
      <c r="DK241" s="56"/>
      <c r="DL241" s="56"/>
      <c r="DM241" s="56"/>
      <c r="DN241" s="56"/>
      <c r="DO241" s="56"/>
      <c r="DP241" s="56"/>
      <c r="DQ241" s="56"/>
      <c r="DR241" s="56"/>
      <c r="DS241" s="56"/>
      <c r="DT241" s="56"/>
      <c r="DU241" s="56"/>
      <c r="DV241" s="56"/>
      <c r="DW241" s="56"/>
      <c r="DX241" s="56"/>
      <c r="DY241" s="56"/>
      <c r="DZ241" s="56"/>
      <c r="EA241" s="56"/>
      <c r="EB241" s="56"/>
      <c r="EC241" s="56"/>
      <c r="ED241" s="56"/>
      <c r="EE241" s="56"/>
      <c r="EF241" s="56"/>
      <c r="EG241" s="56"/>
      <c r="EH241" s="56"/>
      <c r="EI241" s="56"/>
      <c r="EJ241" s="56"/>
      <c r="EK241" s="56"/>
      <c r="EL241" s="56"/>
      <c r="EM241" s="56"/>
      <c r="EN241" s="56"/>
      <c r="EO241" s="56"/>
      <c r="EP241" s="56"/>
      <c r="EQ241" s="56"/>
      <c r="ER241" s="56"/>
      <c r="ES241" s="56"/>
      <c r="ET241" s="56"/>
      <c r="EU241" s="56"/>
      <c r="EV241" s="56"/>
      <c r="EW241" s="56"/>
      <c r="EX241" s="56"/>
      <c r="EY241" s="56"/>
      <c r="EZ241" s="56"/>
      <c r="FA241" s="56"/>
      <c r="FB241" s="56"/>
      <c r="FC241" s="56"/>
      <c r="FD241" s="56"/>
      <c r="FE241" s="56"/>
      <c r="FF241" s="56"/>
      <c r="FG241" s="56"/>
      <c r="FH241" s="56"/>
      <c r="FI241" s="56"/>
      <c r="FJ241" s="56"/>
      <c r="FK241" s="56"/>
      <c r="FL241" s="56"/>
      <c r="FM241" s="56"/>
      <c r="FN241" s="56"/>
      <c r="FO241" s="56"/>
      <c r="FP241" s="56"/>
      <c r="FQ241" s="56"/>
      <c r="FR241" s="56"/>
      <c r="FS241" s="56"/>
      <c r="FT241" s="56"/>
      <c r="FU241" s="56"/>
      <c r="FV241" s="56"/>
      <c r="FW241" s="56"/>
      <c r="FX241" s="56"/>
      <c r="FY241" s="56"/>
      <c r="FZ241" s="56"/>
      <c r="GA241" s="56"/>
      <c r="GB241" s="56"/>
      <c r="GC241" s="56"/>
      <c r="GD241" s="56"/>
      <c r="GE241" s="56"/>
      <c r="GF241" s="56"/>
      <c r="GG241" s="56"/>
      <c r="GH241" s="56"/>
      <c r="GI241" s="56"/>
      <c r="GJ241" s="56"/>
      <c r="GK241" s="56"/>
      <c r="GL241" s="56"/>
      <c r="GM241" s="56"/>
      <c r="GN241" s="56"/>
      <c r="GO241" s="56"/>
      <c r="GP241" s="56"/>
      <c r="GQ241" s="56"/>
      <c r="GR241" s="56"/>
      <c r="GS241" s="56"/>
      <c r="GT241" s="56"/>
      <c r="GU241" s="56"/>
      <c r="GV241" s="56"/>
      <c r="GW241" s="56"/>
      <c r="GX241" s="56"/>
      <c r="GY241" s="56"/>
      <c r="GZ241" s="56"/>
      <c r="HA241" s="56"/>
      <c r="HB241" s="56"/>
      <c r="HC241" s="56"/>
      <c r="HD241" s="56"/>
      <c r="HE241" s="56"/>
      <c r="HF241" s="56"/>
      <c r="HG241" s="56"/>
      <c r="HH241" s="56"/>
      <c r="HI241" s="56"/>
      <c r="HJ241" s="56"/>
    </row>
    <row r="242" spans="1:218" ht="15.75" customHeight="1" x14ac:dyDescent="0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  <c r="DF242" s="56"/>
      <c r="DG242" s="56"/>
      <c r="DH242" s="56"/>
      <c r="DI242" s="56"/>
      <c r="DJ242" s="56"/>
      <c r="DK242" s="56"/>
      <c r="DL242" s="56"/>
      <c r="DM242" s="56"/>
      <c r="DN242" s="56"/>
      <c r="DO242" s="56"/>
      <c r="DP242" s="56"/>
      <c r="DQ242" s="56"/>
      <c r="DR242" s="56"/>
      <c r="DS242" s="56"/>
      <c r="DT242" s="56"/>
      <c r="DU242" s="56"/>
      <c r="DV242" s="56"/>
      <c r="DW242" s="56"/>
      <c r="DX242" s="56"/>
      <c r="DY242" s="56"/>
      <c r="DZ242" s="56"/>
      <c r="EA242" s="56"/>
      <c r="EB242" s="56"/>
      <c r="EC242" s="56"/>
      <c r="ED242" s="56"/>
      <c r="EE242" s="56"/>
      <c r="EF242" s="56"/>
      <c r="EG242" s="56"/>
      <c r="EH242" s="56"/>
      <c r="EI242" s="56"/>
      <c r="EJ242" s="56"/>
      <c r="EK242" s="56"/>
      <c r="EL242" s="56"/>
      <c r="EM242" s="56"/>
      <c r="EN242" s="56"/>
      <c r="EO242" s="56"/>
      <c r="EP242" s="56"/>
      <c r="EQ242" s="56"/>
      <c r="ER242" s="56"/>
      <c r="ES242" s="56"/>
      <c r="ET242" s="56"/>
      <c r="EU242" s="56"/>
      <c r="EV242" s="56"/>
      <c r="EW242" s="56"/>
      <c r="EX242" s="56"/>
      <c r="EY242" s="56"/>
      <c r="EZ242" s="56"/>
      <c r="FA242" s="56"/>
      <c r="FB242" s="56"/>
      <c r="FC242" s="56"/>
      <c r="FD242" s="56"/>
      <c r="FE242" s="56"/>
      <c r="FF242" s="56"/>
      <c r="FG242" s="56"/>
      <c r="FH242" s="56"/>
      <c r="FI242" s="56"/>
      <c r="FJ242" s="56"/>
      <c r="FK242" s="56"/>
      <c r="FL242" s="56"/>
      <c r="FM242" s="56"/>
      <c r="FN242" s="56"/>
      <c r="FO242" s="56"/>
      <c r="FP242" s="56"/>
      <c r="FQ242" s="56"/>
      <c r="FR242" s="56"/>
      <c r="FS242" s="56"/>
      <c r="FT242" s="56"/>
      <c r="FU242" s="56"/>
      <c r="FV242" s="56"/>
      <c r="FW242" s="56"/>
      <c r="FX242" s="56"/>
      <c r="FY242" s="56"/>
      <c r="FZ242" s="56"/>
      <c r="GA242" s="56"/>
      <c r="GB242" s="56"/>
      <c r="GC242" s="56"/>
      <c r="GD242" s="56"/>
      <c r="GE242" s="56"/>
      <c r="GF242" s="56"/>
      <c r="GG242" s="56"/>
      <c r="GH242" s="56"/>
      <c r="GI242" s="56"/>
      <c r="GJ242" s="56"/>
      <c r="GK242" s="56"/>
      <c r="GL242" s="56"/>
      <c r="GM242" s="56"/>
      <c r="GN242" s="56"/>
      <c r="GO242" s="56"/>
      <c r="GP242" s="56"/>
      <c r="GQ242" s="56"/>
      <c r="GR242" s="56"/>
      <c r="GS242" s="56"/>
      <c r="GT242" s="56"/>
      <c r="GU242" s="56"/>
      <c r="GV242" s="56"/>
      <c r="GW242" s="56"/>
      <c r="GX242" s="56"/>
      <c r="GY242" s="56"/>
      <c r="GZ242" s="56"/>
      <c r="HA242" s="56"/>
      <c r="HB242" s="56"/>
      <c r="HC242" s="56"/>
      <c r="HD242" s="56"/>
      <c r="HE242" s="56"/>
      <c r="HF242" s="56"/>
      <c r="HG242" s="56"/>
      <c r="HH242" s="56"/>
      <c r="HI242" s="56"/>
      <c r="HJ242" s="56"/>
    </row>
    <row r="243" spans="1:218" ht="15.75" customHeight="1" x14ac:dyDescent="0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6"/>
      <c r="CV243" s="56"/>
      <c r="CW243" s="56"/>
      <c r="CX243" s="56"/>
      <c r="CY243" s="56"/>
      <c r="CZ243" s="56"/>
      <c r="DA243" s="56"/>
      <c r="DB243" s="56"/>
      <c r="DC243" s="56"/>
      <c r="DD243" s="56"/>
      <c r="DE243" s="56"/>
      <c r="DF243" s="56"/>
      <c r="DG243" s="56"/>
      <c r="DH243" s="56"/>
      <c r="DI243" s="56"/>
      <c r="DJ243" s="56"/>
      <c r="DK243" s="56"/>
      <c r="DL243" s="56"/>
      <c r="DM243" s="56"/>
      <c r="DN243" s="56"/>
      <c r="DO243" s="56"/>
      <c r="DP243" s="56"/>
      <c r="DQ243" s="56"/>
      <c r="DR243" s="56"/>
      <c r="DS243" s="56"/>
      <c r="DT243" s="56"/>
      <c r="DU243" s="56"/>
      <c r="DV243" s="56"/>
      <c r="DW243" s="56"/>
      <c r="DX243" s="56"/>
      <c r="DY243" s="56"/>
      <c r="DZ243" s="56"/>
      <c r="EA243" s="56"/>
      <c r="EB243" s="56"/>
      <c r="EC243" s="56"/>
      <c r="ED243" s="56"/>
      <c r="EE243" s="56"/>
      <c r="EF243" s="56"/>
      <c r="EG243" s="56"/>
      <c r="EH243" s="56"/>
      <c r="EI243" s="56"/>
      <c r="EJ243" s="56"/>
      <c r="EK243" s="56"/>
      <c r="EL243" s="56"/>
      <c r="EM243" s="56"/>
      <c r="EN243" s="56"/>
      <c r="EO243" s="56"/>
      <c r="EP243" s="56"/>
      <c r="EQ243" s="56"/>
      <c r="ER243" s="56"/>
      <c r="ES243" s="56"/>
      <c r="ET243" s="56"/>
      <c r="EU243" s="56"/>
      <c r="EV243" s="56"/>
      <c r="EW243" s="56"/>
      <c r="EX243" s="56"/>
      <c r="EY243" s="56"/>
      <c r="EZ243" s="56"/>
      <c r="FA243" s="56"/>
      <c r="FB243" s="56"/>
      <c r="FC243" s="56"/>
      <c r="FD243" s="56"/>
      <c r="FE243" s="56"/>
      <c r="FF243" s="56"/>
      <c r="FG243" s="56"/>
      <c r="FH243" s="56"/>
      <c r="FI243" s="56"/>
      <c r="FJ243" s="56"/>
      <c r="FK243" s="56"/>
      <c r="FL243" s="56"/>
      <c r="FM243" s="56"/>
      <c r="FN243" s="56"/>
      <c r="FO243" s="56"/>
      <c r="FP243" s="56"/>
      <c r="FQ243" s="56"/>
      <c r="FR243" s="56"/>
      <c r="FS243" s="56"/>
      <c r="FT243" s="56"/>
      <c r="FU243" s="56"/>
      <c r="FV243" s="56"/>
      <c r="FW243" s="56"/>
      <c r="FX243" s="56"/>
      <c r="FY243" s="56"/>
      <c r="FZ243" s="56"/>
      <c r="GA243" s="56"/>
      <c r="GB243" s="56"/>
      <c r="GC243" s="56"/>
      <c r="GD243" s="56"/>
      <c r="GE243" s="56"/>
      <c r="GF243" s="56"/>
      <c r="GG243" s="56"/>
      <c r="GH243" s="56"/>
      <c r="GI243" s="56"/>
      <c r="GJ243" s="56"/>
      <c r="GK243" s="56"/>
      <c r="GL243" s="56"/>
      <c r="GM243" s="56"/>
      <c r="GN243" s="56"/>
      <c r="GO243" s="56"/>
      <c r="GP243" s="56"/>
      <c r="GQ243" s="56"/>
      <c r="GR243" s="56"/>
      <c r="GS243" s="56"/>
      <c r="GT243" s="56"/>
      <c r="GU243" s="56"/>
      <c r="GV243" s="56"/>
      <c r="GW243" s="56"/>
      <c r="GX243" s="56"/>
      <c r="GY243" s="56"/>
      <c r="GZ243" s="56"/>
      <c r="HA243" s="56"/>
      <c r="HB243" s="56"/>
      <c r="HC243" s="56"/>
      <c r="HD243" s="56"/>
      <c r="HE243" s="56"/>
      <c r="HF243" s="56"/>
      <c r="HG243" s="56"/>
      <c r="HH243" s="56"/>
      <c r="HI243" s="56"/>
      <c r="HJ243" s="56"/>
    </row>
    <row r="244" spans="1:218" ht="15.75" customHeight="1" x14ac:dyDescent="0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  <c r="DF244" s="56"/>
      <c r="DG244" s="56"/>
      <c r="DH244" s="56"/>
      <c r="DI244" s="56"/>
      <c r="DJ244" s="56"/>
      <c r="DK244" s="56"/>
      <c r="DL244" s="56"/>
      <c r="DM244" s="56"/>
      <c r="DN244" s="56"/>
      <c r="DO244" s="56"/>
      <c r="DP244" s="56"/>
      <c r="DQ244" s="56"/>
      <c r="DR244" s="56"/>
      <c r="DS244" s="56"/>
      <c r="DT244" s="56"/>
      <c r="DU244" s="56"/>
      <c r="DV244" s="56"/>
      <c r="DW244" s="56"/>
      <c r="DX244" s="56"/>
      <c r="DY244" s="56"/>
      <c r="DZ244" s="56"/>
      <c r="EA244" s="56"/>
      <c r="EB244" s="56"/>
      <c r="EC244" s="56"/>
      <c r="ED244" s="56"/>
      <c r="EE244" s="56"/>
      <c r="EF244" s="56"/>
      <c r="EG244" s="56"/>
      <c r="EH244" s="56"/>
      <c r="EI244" s="56"/>
      <c r="EJ244" s="56"/>
      <c r="EK244" s="56"/>
      <c r="EL244" s="56"/>
      <c r="EM244" s="56"/>
      <c r="EN244" s="56"/>
      <c r="EO244" s="56"/>
      <c r="EP244" s="56"/>
      <c r="EQ244" s="56"/>
      <c r="ER244" s="56"/>
      <c r="ES244" s="56"/>
      <c r="ET244" s="56"/>
      <c r="EU244" s="56"/>
      <c r="EV244" s="56"/>
      <c r="EW244" s="56"/>
      <c r="EX244" s="56"/>
      <c r="EY244" s="56"/>
      <c r="EZ244" s="56"/>
      <c r="FA244" s="56"/>
      <c r="FB244" s="56"/>
      <c r="FC244" s="56"/>
      <c r="FD244" s="56"/>
      <c r="FE244" s="56"/>
      <c r="FF244" s="56"/>
      <c r="FG244" s="56"/>
      <c r="FH244" s="56"/>
      <c r="FI244" s="56"/>
      <c r="FJ244" s="56"/>
      <c r="FK244" s="56"/>
      <c r="FL244" s="56"/>
      <c r="FM244" s="56"/>
      <c r="FN244" s="56"/>
      <c r="FO244" s="56"/>
      <c r="FP244" s="56"/>
      <c r="FQ244" s="56"/>
      <c r="FR244" s="56"/>
      <c r="FS244" s="56"/>
      <c r="FT244" s="56"/>
      <c r="FU244" s="56"/>
      <c r="FV244" s="56"/>
      <c r="FW244" s="56"/>
      <c r="FX244" s="56"/>
      <c r="FY244" s="56"/>
      <c r="FZ244" s="56"/>
      <c r="GA244" s="56"/>
      <c r="GB244" s="56"/>
      <c r="GC244" s="56"/>
      <c r="GD244" s="56"/>
      <c r="GE244" s="56"/>
      <c r="GF244" s="56"/>
      <c r="GG244" s="56"/>
      <c r="GH244" s="56"/>
      <c r="GI244" s="56"/>
      <c r="GJ244" s="56"/>
      <c r="GK244" s="56"/>
      <c r="GL244" s="56"/>
      <c r="GM244" s="56"/>
      <c r="GN244" s="56"/>
      <c r="GO244" s="56"/>
      <c r="GP244" s="56"/>
      <c r="GQ244" s="56"/>
      <c r="GR244" s="56"/>
      <c r="GS244" s="56"/>
      <c r="GT244" s="56"/>
      <c r="GU244" s="56"/>
      <c r="GV244" s="56"/>
      <c r="GW244" s="56"/>
      <c r="GX244" s="56"/>
      <c r="GY244" s="56"/>
      <c r="GZ244" s="56"/>
      <c r="HA244" s="56"/>
      <c r="HB244" s="56"/>
      <c r="HC244" s="56"/>
      <c r="HD244" s="56"/>
      <c r="HE244" s="56"/>
      <c r="HF244" s="56"/>
      <c r="HG244" s="56"/>
      <c r="HH244" s="56"/>
      <c r="HI244" s="56"/>
      <c r="HJ244" s="56"/>
    </row>
    <row r="245" spans="1:218" ht="15.75" customHeight="1" x14ac:dyDescent="0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  <c r="CW245" s="56"/>
      <c r="CX245" s="56"/>
      <c r="CY245" s="56"/>
      <c r="CZ245" s="56"/>
      <c r="DA245" s="56"/>
      <c r="DB245" s="56"/>
      <c r="DC245" s="56"/>
      <c r="DD245" s="56"/>
      <c r="DE245" s="56"/>
      <c r="DF245" s="56"/>
      <c r="DG245" s="56"/>
      <c r="DH245" s="56"/>
      <c r="DI245" s="56"/>
      <c r="DJ245" s="56"/>
      <c r="DK245" s="56"/>
      <c r="DL245" s="56"/>
      <c r="DM245" s="56"/>
      <c r="DN245" s="56"/>
      <c r="DO245" s="56"/>
      <c r="DP245" s="56"/>
      <c r="DQ245" s="56"/>
      <c r="DR245" s="56"/>
      <c r="DS245" s="56"/>
      <c r="DT245" s="56"/>
      <c r="DU245" s="56"/>
      <c r="DV245" s="56"/>
      <c r="DW245" s="56"/>
      <c r="DX245" s="56"/>
      <c r="DY245" s="56"/>
      <c r="DZ245" s="56"/>
      <c r="EA245" s="56"/>
      <c r="EB245" s="56"/>
      <c r="EC245" s="56"/>
      <c r="ED245" s="56"/>
      <c r="EE245" s="56"/>
      <c r="EF245" s="56"/>
      <c r="EG245" s="56"/>
      <c r="EH245" s="56"/>
      <c r="EI245" s="56"/>
      <c r="EJ245" s="56"/>
      <c r="EK245" s="56"/>
      <c r="EL245" s="56"/>
      <c r="EM245" s="56"/>
      <c r="EN245" s="56"/>
      <c r="EO245" s="56"/>
      <c r="EP245" s="56"/>
      <c r="EQ245" s="56"/>
      <c r="ER245" s="56"/>
      <c r="ES245" s="56"/>
      <c r="ET245" s="56"/>
      <c r="EU245" s="56"/>
      <c r="EV245" s="56"/>
      <c r="EW245" s="56"/>
      <c r="EX245" s="56"/>
      <c r="EY245" s="56"/>
      <c r="EZ245" s="56"/>
      <c r="FA245" s="56"/>
      <c r="FB245" s="56"/>
      <c r="FC245" s="56"/>
      <c r="FD245" s="56"/>
      <c r="FE245" s="56"/>
      <c r="FF245" s="56"/>
      <c r="FG245" s="56"/>
      <c r="FH245" s="56"/>
      <c r="FI245" s="56"/>
      <c r="FJ245" s="56"/>
      <c r="FK245" s="56"/>
      <c r="FL245" s="56"/>
      <c r="FM245" s="56"/>
      <c r="FN245" s="56"/>
      <c r="FO245" s="56"/>
      <c r="FP245" s="56"/>
      <c r="FQ245" s="56"/>
      <c r="FR245" s="56"/>
      <c r="FS245" s="56"/>
      <c r="FT245" s="56"/>
      <c r="FU245" s="56"/>
      <c r="FV245" s="56"/>
      <c r="FW245" s="56"/>
      <c r="FX245" s="56"/>
      <c r="FY245" s="56"/>
      <c r="FZ245" s="56"/>
      <c r="GA245" s="56"/>
      <c r="GB245" s="56"/>
      <c r="GC245" s="56"/>
      <c r="GD245" s="56"/>
      <c r="GE245" s="56"/>
      <c r="GF245" s="56"/>
      <c r="GG245" s="56"/>
      <c r="GH245" s="56"/>
      <c r="GI245" s="56"/>
      <c r="GJ245" s="56"/>
      <c r="GK245" s="56"/>
      <c r="GL245" s="56"/>
      <c r="GM245" s="56"/>
      <c r="GN245" s="56"/>
      <c r="GO245" s="56"/>
      <c r="GP245" s="56"/>
      <c r="GQ245" s="56"/>
      <c r="GR245" s="56"/>
      <c r="GS245" s="56"/>
      <c r="GT245" s="56"/>
      <c r="GU245" s="56"/>
      <c r="GV245" s="56"/>
      <c r="GW245" s="56"/>
      <c r="GX245" s="56"/>
      <c r="GY245" s="56"/>
      <c r="GZ245" s="56"/>
      <c r="HA245" s="56"/>
      <c r="HB245" s="56"/>
      <c r="HC245" s="56"/>
      <c r="HD245" s="56"/>
      <c r="HE245" s="56"/>
      <c r="HF245" s="56"/>
      <c r="HG245" s="56"/>
      <c r="HH245" s="56"/>
      <c r="HI245" s="56"/>
      <c r="HJ245" s="56"/>
    </row>
    <row r="246" spans="1:218" ht="15.75" customHeight="1" x14ac:dyDescent="0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6"/>
      <c r="CV246" s="56"/>
      <c r="CW246" s="56"/>
      <c r="CX246" s="56"/>
      <c r="CY246" s="56"/>
      <c r="CZ246" s="56"/>
      <c r="DA246" s="56"/>
      <c r="DB246" s="56"/>
      <c r="DC246" s="56"/>
      <c r="DD246" s="56"/>
      <c r="DE246" s="56"/>
      <c r="DF246" s="56"/>
      <c r="DG246" s="56"/>
      <c r="DH246" s="56"/>
      <c r="DI246" s="56"/>
      <c r="DJ246" s="56"/>
      <c r="DK246" s="56"/>
      <c r="DL246" s="56"/>
      <c r="DM246" s="56"/>
      <c r="DN246" s="56"/>
      <c r="DO246" s="56"/>
      <c r="DP246" s="56"/>
      <c r="DQ246" s="56"/>
      <c r="DR246" s="56"/>
      <c r="DS246" s="56"/>
      <c r="DT246" s="56"/>
      <c r="DU246" s="56"/>
      <c r="DV246" s="56"/>
      <c r="DW246" s="56"/>
      <c r="DX246" s="56"/>
      <c r="DY246" s="56"/>
      <c r="DZ246" s="56"/>
      <c r="EA246" s="56"/>
      <c r="EB246" s="56"/>
      <c r="EC246" s="56"/>
      <c r="ED246" s="56"/>
      <c r="EE246" s="56"/>
      <c r="EF246" s="56"/>
      <c r="EG246" s="56"/>
      <c r="EH246" s="56"/>
      <c r="EI246" s="56"/>
      <c r="EJ246" s="56"/>
      <c r="EK246" s="56"/>
      <c r="EL246" s="56"/>
      <c r="EM246" s="56"/>
      <c r="EN246" s="56"/>
      <c r="EO246" s="56"/>
      <c r="EP246" s="56"/>
      <c r="EQ246" s="56"/>
      <c r="ER246" s="56"/>
      <c r="ES246" s="56"/>
      <c r="ET246" s="56"/>
      <c r="EU246" s="56"/>
      <c r="EV246" s="56"/>
      <c r="EW246" s="56"/>
      <c r="EX246" s="56"/>
      <c r="EY246" s="56"/>
      <c r="EZ246" s="56"/>
      <c r="FA246" s="56"/>
      <c r="FB246" s="56"/>
      <c r="FC246" s="56"/>
      <c r="FD246" s="56"/>
      <c r="FE246" s="56"/>
      <c r="FF246" s="56"/>
      <c r="FG246" s="56"/>
      <c r="FH246" s="56"/>
      <c r="FI246" s="56"/>
      <c r="FJ246" s="56"/>
      <c r="FK246" s="56"/>
      <c r="FL246" s="56"/>
      <c r="FM246" s="56"/>
      <c r="FN246" s="56"/>
      <c r="FO246" s="56"/>
      <c r="FP246" s="56"/>
      <c r="FQ246" s="56"/>
      <c r="FR246" s="56"/>
      <c r="FS246" s="56"/>
      <c r="FT246" s="56"/>
      <c r="FU246" s="56"/>
      <c r="FV246" s="56"/>
      <c r="FW246" s="56"/>
      <c r="FX246" s="56"/>
      <c r="FY246" s="56"/>
      <c r="FZ246" s="56"/>
      <c r="GA246" s="56"/>
      <c r="GB246" s="56"/>
      <c r="GC246" s="56"/>
      <c r="GD246" s="56"/>
      <c r="GE246" s="56"/>
      <c r="GF246" s="56"/>
      <c r="GG246" s="56"/>
      <c r="GH246" s="56"/>
      <c r="GI246" s="56"/>
      <c r="GJ246" s="56"/>
      <c r="GK246" s="56"/>
      <c r="GL246" s="56"/>
      <c r="GM246" s="56"/>
      <c r="GN246" s="56"/>
      <c r="GO246" s="56"/>
      <c r="GP246" s="56"/>
      <c r="GQ246" s="56"/>
      <c r="GR246" s="56"/>
      <c r="GS246" s="56"/>
      <c r="GT246" s="56"/>
      <c r="GU246" s="56"/>
      <c r="GV246" s="56"/>
      <c r="GW246" s="56"/>
      <c r="GX246" s="56"/>
      <c r="GY246" s="56"/>
      <c r="GZ246" s="56"/>
      <c r="HA246" s="56"/>
      <c r="HB246" s="56"/>
      <c r="HC246" s="56"/>
      <c r="HD246" s="56"/>
      <c r="HE246" s="56"/>
      <c r="HF246" s="56"/>
      <c r="HG246" s="56"/>
      <c r="HH246" s="56"/>
      <c r="HI246" s="56"/>
      <c r="HJ246" s="56"/>
    </row>
    <row r="247" spans="1:218" ht="15.75" customHeight="1" x14ac:dyDescent="0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  <c r="DF247" s="56"/>
      <c r="DG247" s="56"/>
      <c r="DH247" s="56"/>
      <c r="DI247" s="56"/>
      <c r="DJ247" s="56"/>
      <c r="DK247" s="56"/>
      <c r="DL247" s="56"/>
      <c r="DM247" s="56"/>
      <c r="DN247" s="56"/>
      <c r="DO247" s="56"/>
      <c r="DP247" s="56"/>
      <c r="DQ247" s="56"/>
      <c r="DR247" s="56"/>
      <c r="DS247" s="56"/>
      <c r="DT247" s="56"/>
      <c r="DU247" s="56"/>
      <c r="DV247" s="56"/>
      <c r="DW247" s="56"/>
      <c r="DX247" s="56"/>
      <c r="DY247" s="56"/>
      <c r="DZ247" s="56"/>
      <c r="EA247" s="56"/>
      <c r="EB247" s="56"/>
      <c r="EC247" s="56"/>
      <c r="ED247" s="56"/>
      <c r="EE247" s="56"/>
      <c r="EF247" s="56"/>
      <c r="EG247" s="56"/>
      <c r="EH247" s="56"/>
      <c r="EI247" s="56"/>
      <c r="EJ247" s="56"/>
      <c r="EK247" s="56"/>
      <c r="EL247" s="56"/>
      <c r="EM247" s="56"/>
      <c r="EN247" s="56"/>
      <c r="EO247" s="56"/>
      <c r="EP247" s="56"/>
      <c r="EQ247" s="56"/>
      <c r="ER247" s="56"/>
      <c r="ES247" s="56"/>
      <c r="ET247" s="56"/>
      <c r="EU247" s="56"/>
      <c r="EV247" s="56"/>
      <c r="EW247" s="56"/>
      <c r="EX247" s="56"/>
      <c r="EY247" s="56"/>
      <c r="EZ247" s="56"/>
      <c r="FA247" s="56"/>
      <c r="FB247" s="56"/>
      <c r="FC247" s="56"/>
      <c r="FD247" s="56"/>
      <c r="FE247" s="56"/>
      <c r="FF247" s="56"/>
      <c r="FG247" s="56"/>
      <c r="FH247" s="56"/>
      <c r="FI247" s="56"/>
      <c r="FJ247" s="56"/>
      <c r="FK247" s="56"/>
      <c r="FL247" s="56"/>
      <c r="FM247" s="56"/>
      <c r="FN247" s="56"/>
      <c r="FO247" s="56"/>
      <c r="FP247" s="56"/>
      <c r="FQ247" s="56"/>
      <c r="FR247" s="56"/>
      <c r="FS247" s="56"/>
      <c r="FT247" s="56"/>
      <c r="FU247" s="56"/>
      <c r="FV247" s="56"/>
      <c r="FW247" s="56"/>
      <c r="FX247" s="56"/>
      <c r="FY247" s="56"/>
      <c r="FZ247" s="56"/>
      <c r="GA247" s="56"/>
      <c r="GB247" s="56"/>
      <c r="GC247" s="56"/>
      <c r="GD247" s="56"/>
      <c r="GE247" s="56"/>
      <c r="GF247" s="56"/>
      <c r="GG247" s="56"/>
      <c r="GH247" s="56"/>
      <c r="GI247" s="56"/>
      <c r="GJ247" s="56"/>
      <c r="GK247" s="56"/>
      <c r="GL247" s="56"/>
      <c r="GM247" s="56"/>
      <c r="GN247" s="56"/>
      <c r="GO247" s="56"/>
      <c r="GP247" s="56"/>
      <c r="GQ247" s="56"/>
      <c r="GR247" s="56"/>
      <c r="GS247" s="56"/>
      <c r="GT247" s="56"/>
      <c r="GU247" s="56"/>
      <c r="GV247" s="56"/>
      <c r="GW247" s="56"/>
      <c r="GX247" s="56"/>
      <c r="GY247" s="56"/>
      <c r="GZ247" s="56"/>
      <c r="HA247" s="56"/>
      <c r="HB247" s="56"/>
      <c r="HC247" s="56"/>
      <c r="HD247" s="56"/>
      <c r="HE247" s="56"/>
      <c r="HF247" s="56"/>
      <c r="HG247" s="56"/>
      <c r="HH247" s="56"/>
      <c r="HI247" s="56"/>
      <c r="HJ247" s="56"/>
    </row>
    <row r="248" spans="1:218" ht="15.75" customHeight="1" x14ac:dyDescent="0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  <c r="CW248" s="56"/>
      <c r="CX248" s="56"/>
      <c r="CY248" s="56"/>
      <c r="CZ248" s="56"/>
      <c r="DA248" s="56"/>
      <c r="DB248" s="56"/>
      <c r="DC248" s="56"/>
      <c r="DD248" s="56"/>
      <c r="DE248" s="56"/>
      <c r="DF248" s="56"/>
      <c r="DG248" s="56"/>
      <c r="DH248" s="56"/>
      <c r="DI248" s="56"/>
      <c r="DJ248" s="56"/>
      <c r="DK248" s="56"/>
      <c r="DL248" s="56"/>
      <c r="DM248" s="56"/>
      <c r="DN248" s="56"/>
      <c r="DO248" s="56"/>
      <c r="DP248" s="56"/>
      <c r="DQ248" s="56"/>
      <c r="DR248" s="56"/>
      <c r="DS248" s="56"/>
      <c r="DT248" s="56"/>
      <c r="DU248" s="56"/>
      <c r="DV248" s="56"/>
      <c r="DW248" s="56"/>
      <c r="DX248" s="56"/>
      <c r="DY248" s="56"/>
      <c r="DZ248" s="56"/>
      <c r="EA248" s="56"/>
      <c r="EB248" s="56"/>
      <c r="EC248" s="56"/>
      <c r="ED248" s="56"/>
      <c r="EE248" s="56"/>
      <c r="EF248" s="56"/>
      <c r="EG248" s="56"/>
      <c r="EH248" s="56"/>
      <c r="EI248" s="56"/>
      <c r="EJ248" s="56"/>
      <c r="EK248" s="56"/>
      <c r="EL248" s="56"/>
      <c r="EM248" s="56"/>
      <c r="EN248" s="56"/>
      <c r="EO248" s="56"/>
      <c r="EP248" s="56"/>
      <c r="EQ248" s="56"/>
      <c r="ER248" s="56"/>
      <c r="ES248" s="56"/>
      <c r="ET248" s="56"/>
      <c r="EU248" s="56"/>
      <c r="EV248" s="56"/>
      <c r="EW248" s="56"/>
      <c r="EX248" s="56"/>
      <c r="EY248" s="56"/>
      <c r="EZ248" s="56"/>
      <c r="FA248" s="56"/>
      <c r="FB248" s="56"/>
      <c r="FC248" s="56"/>
      <c r="FD248" s="56"/>
      <c r="FE248" s="56"/>
      <c r="FF248" s="56"/>
      <c r="FG248" s="56"/>
      <c r="FH248" s="56"/>
      <c r="FI248" s="56"/>
      <c r="FJ248" s="56"/>
      <c r="FK248" s="56"/>
      <c r="FL248" s="56"/>
      <c r="FM248" s="56"/>
      <c r="FN248" s="56"/>
      <c r="FO248" s="56"/>
      <c r="FP248" s="56"/>
      <c r="FQ248" s="56"/>
      <c r="FR248" s="56"/>
      <c r="FS248" s="56"/>
      <c r="FT248" s="56"/>
      <c r="FU248" s="56"/>
      <c r="FV248" s="56"/>
      <c r="FW248" s="56"/>
      <c r="FX248" s="56"/>
      <c r="FY248" s="56"/>
      <c r="FZ248" s="56"/>
      <c r="GA248" s="56"/>
      <c r="GB248" s="56"/>
      <c r="GC248" s="56"/>
      <c r="GD248" s="56"/>
      <c r="GE248" s="56"/>
      <c r="GF248" s="56"/>
      <c r="GG248" s="56"/>
      <c r="GH248" s="56"/>
      <c r="GI248" s="56"/>
      <c r="GJ248" s="56"/>
      <c r="GK248" s="56"/>
      <c r="GL248" s="56"/>
      <c r="GM248" s="56"/>
      <c r="GN248" s="56"/>
      <c r="GO248" s="56"/>
      <c r="GP248" s="56"/>
      <c r="GQ248" s="56"/>
      <c r="GR248" s="56"/>
      <c r="GS248" s="56"/>
      <c r="GT248" s="56"/>
      <c r="GU248" s="56"/>
      <c r="GV248" s="56"/>
      <c r="GW248" s="56"/>
      <c r="GX248" s="56"/>
      <c r="GY248" s="56"/>
      <c r="GZ248" s="56"/>
      <c r="HA248" s="56"/>
      <c r="HB248" s="56"/>
      <c r="HC248" s="56"/>
      <c r="HD248" s="56"/>
      <c r="HE248" s="56"/>
      <c r="HF248" s="56"/>
      <c r="HG248" s="56"/>
      <c r="HH248" s="56"/>
      <c r="HI248" s="56"/>
      <c r="HJ248" s="56"/>
    </row>
    <row r="249" spans="1:218" ht="15.75" customHeight="1" x14ac:dyDescent="0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  <c r="CW249" s="56"/>
      <c r="CX249" s="56"/>
      <c r="CY249" s="56"/>
      <c r="CZ249" s="56"/>
      <c r="DA249" s="56"/>
      <c r="DB249" s="56"/>
      <c r="DC249" s="56"/>
      <c r="DD249" s="56"/>
      <c r="DE249" s="56"/>
      <c r="DF249" s="56"/>
      <c r="DG249" s="56"/>
      <c r="DH249" s="56"/>
      <c r="DI249" s="56"/>
      <c r="DJ249" s="56"/>
      <c r="DK249" s="56"/>
      <c r="DL249" s="56"/>
      <c r="DM249" s="56"/>
      <c r="DN249" s="56"/>
      <c r="DO249" s="56"/>
      <c r="DP249" s="56"/>
      <c r="DQ249" s="56"/>
      <c r="DR249" s="56"/>
      <c r="DS249" s="56"/>
      <c r="DT249" s="56"/>
      <c r="DU249" s="56"/>
      <c r="DV249" s="56"/>
      <c r="DW249" s="56"/>
      <c r="DX249" s="56"/>
      <c r="DY249" s="56"/>
      <c r="DZ249" s="56"/>
      <c r="EA249" s="56"/>
      <c r="EB249" s="56"/>
      <c r="EC249" s="56"/>
      <c r="ED249" s="56"/>
      <c r="EE249" s="56"/>
      <c r="EF249" s="56"/>
      <c r="EG249" s="56"/>
      <c r="EH249" s="56"/>
      <c r="EI249" s="56"/>
      <c r="EJ249" s="56"/>
      <c r="EK249" s="56"/>
      <c r="EL249" s="56"/>
      <c r="EM249" s="56"/>
      <c r="EN249" s="56"/>
      <c r="EO249" s="56"/>
      <c r="EP249" s="56"/>
      <c r="EQ249" s="56"/>
      <c r="ER249" s="56"/>
      <c r="ES249" s="56"/>
      <c r="ET249" s="56"/>
      <c r="EU249" s="56"/>
      <c r="EV249" s="56"/>
      <c r="EW249" s="56"/>
      <c r="EX249" s="56"/>
      <c r="EY249" s="56"/>
      <c r="EZ249" s="56"/>
      <c r="FA249" s="56"/>
      <c r="FB249" s="56"/>
      <c r="FC249" s="56"/>
      <c r="FD249" s="56"/>
      <c r="FE249" s="56"/>
      <c r="FF249" s="56"/>
      <c r="FG249" s="56"/>
      <c r="FH249" s="56"/>
      <c r="FI249" s="56"/>
      <c r="FJ249" s="56"/>
      <c r="FK249" s="56"/>
      <c r="FL249" s="56"/>
      <c r="FM249" s="56"/>
      <c r="FN249" s="56"/>
      <c r="FO249" s="56"/>
      <c r="FP249" s="56"/>
      <c r="FQ249" s="56"/>
      <c r="FR249" s="56"/>
      <c r="FS249" s="56"/>
      <c r="FT249" s="56"/>
      <c r="FU249" s="56"/>
      <c r="FV249" s="56"/>
      <c r="FW249" s="56"/>
      <c r="FX249" s="56"/>
      <c r="FY249" s="56"/>
      <c r="FZ249" s="56"/>
      <c r="GA249" s="56"/>
      <c r="GB249" s="56"/>
      <c r="GC249" s="56"/>
      <c r="GD249" s="56"/>
      <c r="GE249" s="56"/>
      <c r="GF249" s="56"/>
      <c r="GG249" s="56"/>
      <c r="GH249" s="56"/>
      <c r="GI249" s="56"/>
      <c r="GJ249" s="56"/>
      <c r="GK249" s="56"/>
      <c r="GL249" s="56"/>
      <c r="GM249" s="56"/>
      <c r="GN249" s="56"/>
      <c r="GO249" s="56"/>
      <c r="GP249" s="56"/>
      <c r="GQ249" s="56"/>
      <c r="GR249" s="56"/>
      <c r="GS249" s="56"/>
      <c r="GT249" s="56"/>
      <c r="GU249" s="56"/>
      <c r="GV249" s="56"/>
      <c r="GW249" s="56"/>
      <c r="GX249" s="56"/>
      <c r="GY249" s="56"/>
      <c r="GZ249" s="56"/>
      <c r="HA249" s="56"/>
      <c r="HB249" s="56"/>
      <c r="HC249" s="56"/>
      <c r="HD249" s="56"/>
      <c r="HE249" s="56"/>
      <c r="HF249" s="56"/>
      <c r="HG249" s="56"/>
      <c r="HH249" s="56"/>
      <c r="HI249" s="56"/>
      <c r="HJ249" s="56"/>
    </row>
    <row r="250" spans="1:218" ht="15.75" customHeight="1" x14ac:dyDescent="0.2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6"/>
      <c r="CV250" s="56"/>
      <c r="CW250" s="56"/>
      <c r="CX250" s="56"/>
      <c r="CY250" s="56"/>
      <c r="CZ250" s="56"/>
      <c r="DA250" s="56"/>
      <c r="DB250" s="56"/>
      <c r="DC250" s="56"/>
      <c r="DD250" s="56"/>
      <c r="DE250" s="56"/>
      <c r="DF250" s="56"/>
      <c r="DG250" s="56"/>
      <c r="DH250" s="56"/>
      <c r="DI250" s="56"/>
      <c r="DJ250" s="56"/>
      <c r="DK250" s="56"/>
      <c r="DL250" s="56"/>
      <c r="DM250" s="56"/>
      <c r="DN250" s="56"/>
      <c r="DO250" s="56"/>
      <c r="DP250" s="56"/>
      <c r="DQ250" s="56"/>
      <c r="DR250" s="56"/>
      <c r="DS250" s="56"/>
      <c r="DT250" s="56"/>
      <c r="DU250" s="56"/>
      <c r="DV250" s="56"/>
      <c r="DW250" s="56"/>
      <c r="DX250" s="56"/>
      <c r="DY250" s="56"/>
      <c r="DZ250" s="56"/>
      <c r="EA250" s="56"/>
      <c r="EB250" s="56"/>
      <c r="EC250" s="56"/>
      <c r="ED250" s="56"/>
      <c r="EE250" s="56"/>
      <c r="EF250" s="56"/>
      <c r="EG250" s="56"/>
      <c r="EH250" s="56"/>
      <c r="EI250" s="56"/>
      <c r="EJ250" s="56"/>
      <c r="EK250" s="56"/>
      <c r="EL250" s="56"/>
      <c r="EM250" s="56"/>
      <c r="EN250" s="56"/>
      <c r="EO250" s="56"/>
      <c r="EP250" s="56"/>
      <c r="EQ250" s="56"/>
      <c r="ER250" s="56"/>
      <c r="ES250" s="56"/>
      <c r="ET250" s="56"/>
      <c r="EU250" s="56"/>
      <c r="EV250" s="56"/>
      <c r="EW250" s="56"/>
      <c r="EX250" s="56"/>
      <c r="EY250" s="56"/>
      <c r="EZ250" s="56"/>
      <c r="FA250" s="56"/>
      <c r="FB250" s="56"/>
      <c r="FC250" s="56"/>
      <c r="FD250" s="56"/>
      <c r="FE250" s="56"/>
      <c r="FF250" s="56"/>
      <c r="FG250" s="56"/>
      <c r="FH250" s="56"/>
      <c r="FI250" s="56"/>
      <c r="FJ250" s="56"/>
      <c r="FK250" s="56"/>
      <c r="FL250" s="56"/>
      <c r="FM250" s="56"/>
      <c r="FN250" s="56"/>
      <c r="FO250" s="56"/>
      <c r="FP250" s="56"/>
      <c r="FQ250" s="56"/>
      <c r="FR250" s="56"/>
      <c r="FS250" s="56"/>
      <c r="FT250" s="56"/>
      <c r="FU250" s="56"/>
      <c r="FV250" s="56"/>
      <c r="FW250" s="56"/>
      <c r="FX250" s="56"/>
      <c r="FY250" s="56"/>
      <c r="FZ250" s="56"/>
      <c r="GA250" s="56"/>
      <c r="GB250" s="56"/>
      <c r="GC250" s="56"/>
      <c r="GD250" s="56"/>
      <c r="GE250" s="56"/>
      <c r="GF250" s="56"/>
      <c r="GG250" s="56"/>
      <c r="GH250" s="56"/>
      <c r="GI250" s="56"/>
      <c r="GJ250" s="56"/>
      <c r="GK250" s="56"/>
      <c r="GL250" s="56"/>
      <c r="GM250" s="56"/>
      <c r="GN250" s="56"/>
      <c r="GO250" s="56"/>
      <c r="GP250" s="56"/>
      <c r="GQ250" s="56"/>
      <c r="GR250" s="56"/>
      <c r="GS250" s="56"/>
      <c r="GT250" s="56"/>
      <c r="GU250" s="56"/>
      <c r="GV250" s="56"/>
      <c r="GW250" s="56"/>
      <c r="GX250" s="56"/>
      <c r="GY250" s="56"/>
      <c r="GZ250" s="56"/>
      <c r="HA250" s="56"/>
      <c r="HB250" s="56"/>
      <c r="HC250" s="56"/>
      <c r="HD250" s="56"/>
      <c r="HE250" s="56"/>
      <c r="HF250" s="56"/>
      <c r="HG250" s="56"/>
      <c r="HH250" s="56"/>
      <c r="HI250" s="56"/>
      <c r="HJ250" s="56"/>
    </row>
    <row r="251" spans="1:218" ht="15.75" customHeight="1" x14ac:dyDescent="0.2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  <c r="CS251" s="56"/>
      <c r="CT251" s="56"/>
      <c r="CU251" s="56"/>
      <c r="CV251" s="56"/>
      <c r="CW251" s="56"/>
      <c r="CX251" s="56"/>
      <c r="CY251" s="56"/>
      <c r="CZ251" s="56"/>
      <c r="DA251" s="56"/>
      <c r="DB251" s="56"/>
      <c r="DC251" s="56"/>
      <c r="DD251" s="56"/>
      <c r="DE251" s="56"/>
      <c r="DF251" s="56"/>
      <c r="DG251" s="56"/>
      <c r="DH251" s="56"/>
      <c r="DI251" s="56"/>
      <c r="DJ251" s="56"/>
      <c r="DK251" s="56"/>
      <c r="DL251" s="56"/>
      <c r="DM251" s="56"/>
      <c r="DN251" s="56"/>
      <c r="DO251" s="56"/>
      <c r="DP251" s="56"/>
      <c r="DQ251" s="56"/>
      <c r="DR251" s="56"/>
      <c r="DS251" s="56"/>
      <c r="DT251" s="56"/>
      <c r="DU251" s="56"/>
      <c r="DV251" s="56"/>
      <c r="DW251" s="56"/>
      <c r="DX251" s="56"/>
      <c r="DY251" s="56"/>
      <c r="DZ251" s="56"/>
      <c r="EA251" s="56"/>
      <c r="EB251" s="56"/>
      <c r="EC251" s="56"/>
      <c r="ED251" s="56"/>
      <c r="EE251" s="56"/>
      <c r="EF251" s="56"/>
      <c r="EG251" s="56"/>
      <c r="EH251" s="56"/>
      <c r="EI251" s="56"/>
      <c r="EJ251" s="56"/>
      <c r="EK251" s="56"/>
      <c r="EL251" s="56"/>
      <c r="EM251" s="56"/>
      <c r="EN251" s="56"/>
      <c r="EO251" s="56"/>
      <c r="EP251" s="56"/>
      <c r="EQ251" s="56"/>
      <c r="ER251" s="56"/>
      <c r="ES251" s="56"/>
      <c r="ET251" s="56"/>
      <c r="EU251" s="56"/>
      <c r="EV251" s="56"/>
      <c r="EW251" s="56"/>
      <c r="EX251" s="56"/>
      <c r="EY251" s="56"/>
      <c r="EZ251" s="56"/>
      <c r="FA251" s="56"/>
      <c r="FB251" s="56"/>
      <c r="FC251" s="56"/>
      <c r="FD251" s="56"/>
      <c r="FE251" s="56"/>
      <c r="FF251" s="56"/>
      <c r="FG251" s="56"/>
      <c r="FH251" s="56"/>
      <c r="FI251" s="56"/>
      <c r="FJ251" s="56"/>
      <c r="FK251" s="56"/>
      <c r="FL251" s="56"/>
      <c r="FM251" s="56"/>
      <c r="FN251" s="56"/>
      <c r="FO251" s="56"/>
      <c r="FP251" s="56"/>
      <c r="FQ251" s="56"/>
      <c r="FR251" s="56"/>
      <c r="FS251" s="56"/>
      <c r="FT251" s="56"/>
      <c r="FU251" s="56"/>
      <c r="FV251" s="56"/>
      <c r="FW251" s="56"/>
      <c r="FX251" s="56"/>
      <c r="FY251" s="56"/>
      <c r="FZ251" s="56"/>
      <c r="GA251" s="56"/>
      <c r="GB251" s="56"/>
      <c r="GC251" s="56"/>
      <c r="GD251" s="56"/>
      <c r="GE251" s="56"/>
      <c r="GF251" s="56"/>
      <c r="GG251" s="56"/>
      <c r="GH251" s="56"/>
      <c r="GI251" s="56"/>
      <c r="GJ251" s="56"/>
      <c r="GK251" s="56"/>
      <c r="GL251" s="56"/>
      <c r="GM251" s="56"/>
      <c r="GN251" s="56"/>
      <c r="GO251" s="56"/>
      <c r="GP251" s="56"/>
      <c r="GQ251" s="56"/>
      <c r="GR251" s="56"/>
      <c r="GS251" s="56"/>
      <c r="GT251" s="56"/>
      <c r="GU251" s="56"/>
      <c r="GV251" s="56"/>
      <c r="GW251" s="56"/>
      <c r="GX251" s="56"/>
      <c r="GY251" s="56"/>
      <c r="GZ251" s="56"/>
      <c r="HA251" s="56"/>
      <c r="HB251" s="56"/>
      <c r="HC251" s="56"/>
      <c r="HD251" s="56"/>
      <c r="HE251" s="56"/>
      <c r="HF251" s="56"/>
      <c r="HG251" s="56"/>
      <c r="HH251" s="56"/>
      <c r="HI251" s="56"/>
      <c r="HJ251" s="56"/>
    </row>
    <row r="252" spans="1:218" ht="15.75" customHeight="1" x14ac:dyDescent="0.2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  <c r="CS252" s="56"/>
      <c r="CT252" s="56"/>
      <c r="CU252" s="56"/>
      <c r="CV252" s="56"/>
      <c r="CW252" s="56"/>
      <c r="CX252" s="56"/>
      <c r="CY252" s="56"/>
      <c r="CZ252" s="56"/>
      <c r="DA252" s="56"/>
      <c r="DB252" s="56"/>
      <c r="DC252" s="56"/>
      <c r="DD252" s="56"/>
      <c r="DE252" s="56"/>
      <c r="DF252" s="56"/>
      <c r="DG252" s="56"/>
      <c r="DH252" s="56"/>
      <c r="DI252" s="56"/>
      <c r="DJ252" s="56"/>
      <c r="DK252" s="56"/>
      <c r="DL252" s="56"/>
      <c r="DM252" s="56"/>
      <c r="DN252" s="56"/>
      <c r="DO252" s="56"/>
      <c r="DP252" s="56"/>
      <c r="DQ252" s="56"/>
      <c r="DR252" s="56"/>
      <c r="DS252" s="56"/>
      <c r="DT252" s="56"/>
      <c r="DU252" s="56"/>
      <c r="DV252" s="56"/>
      <c r="DW252" s="56"/>
      <c r="DX252" s="56"/>
      <c r="DY252" s="56"/>
      <c r="DZ252" s="56"/>
      <c r="EA252" s="56"/>
      <c r="EB252" s="56"/>
      <c r="EC252" s="56"/>
      <c r="ED252" s="56"/>
      <c r="EE252" s="56"/>
      <c r="EF252" s="56"/>
      <c r="EG252" s="56"/>
      <c r="EH252" s="56"/>
      <c r="EI252" s="56"/>
      <c r="EJ252" s="56"/>
      <c r="EK252" s="56"/>
      <c r="EL252" s="56"/>
      <c r="EM252" s="56"/>
      <c r="EN252" s="56"/>
      <c r="EO252" s="56"/>
      <c r="EP252" s="56"/>
      <c r="EQ252" s="56"/>
      <c r="ER252" s="56"/>
      <c r="ES252" s="56"/>
      <c r="ET252" s="56"/>
      <c r="EU252" s="56"/>
      <c r="EV252" s="56"/>
      <c r="EW252" s="56"/>
      <c r="EX252" s="56"/>
      <c r="EY252" s="56"/>
      <c r="EZ252" s="56"/>
      <c r="FA252" s="56"/>
      <c r="FB252" s="56"/>
      <c r="FC252" s="56"/>
      <c r="FD252" s="56"/>
      <c r="FE252" s="56"/>
      <c r="FF252" s="56"/>
      <c r="FG252" s="56"/>
      <c r="FH252" s="56"/>
      <c r="FI252" s="56"/>
      <c r="FJ252" s="56"/>
      <c r="FK252" s="56"/>
      <c r="FL252" s="56"/>
      <c r="FM252" s="56"/>
      <c r="FN252" s="56"/>
      <c r="FO252" s="56"/>
      <c r="FP252" s="56"/>
      <c r="FQ252" s="56"/>
      <c r="FR252" s="56"/>
      <c r="FS252" s="56"/>
      <c r="FT252" s="56"/>
      <c r="FU252" s="56"/>
      <c r="FV252" s="56"/>
      <c r="FW252" s="56"/>
      <c r="FX252" s="56"/>
      <c r="FY252" s="56"/>
      <c r="FZ252" s="56"/>
      <c r="GA252" s="56"/>
      <c r="GB252" s="56"/>
      <c r="GC252" s="56"/>
      <c r="GD252" s="56"/>
      <c r="GE252" s="56"/>
      <c r="GF252" s="56"/>
      <c r="GG252" s="56"/>
      <c r="GH252" s="56"/>
      <c r="GI252" s="56"/>
      <c r="GJ252" s="56"/>
      <c r="GK252" s="56"/>
      <c r="GL252" s="56"/>
      <c r="GM252" s="56"/>
      <c r="GN252" s="56"/>
      <c r="GO252" s="56"/>
      <c r="GP252" s="56"/>
      <c r="GQ252" s="56"/>
      <c r="GR252" s="56"/>
      <c r="GS252" s="56"/>
      <c r="GT252" s="56"/>
      <c r="GU252" s="56"/>
      <c r="GV252" s="56"/>
      <c r="GW252" s="56"/>
      <c r="GX252" s="56"/>
      <c r="GY252" s="56"/>
      <c r="GZ252" s="56"/>
      <c r="HA252" s="56"/>
      <c r="HB252" s="56"/>
      <c r="HC252" s="56"/>
      <c r="HD252" s="56"/>
      <c r="HE252" s="56"/>
      <c r="HF252" s="56"/>
      <c r="HG252" s="56"/>
      <c r="HH252" s="56"/>
      <c r="HI252" s="56"/>
      <c r="HJ252" s="56"/>
    </row>
    <row r="253" spans="1:218" ht="15.75" customHeight="1" x14ac:dyDescent="0.2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  <c r="CS253" s="56"/>
      <c r="CT253" s="56"/>
      <c r="CU253" s="56"/>
      <c r="CV253" s="56"/>
      <c r="CW253" s="56"/>
      <c r="CX253" s="56"/>
      <c r="CY253" s="56"/>
      <c r="CZ253" s="56"/>
      <c r="DA253" s="56"/>
      <c r="DB253" s="56"/>
      <c r="DC253" s="56"/>
      <c r="DD253" s="56"/>
      <c r="DE253" s="56"/>
      <c r="DF253" s="56"/>
      <c r="DG253" s="56"/>
      <c r="DH253" s="56"/>
      <c r="DI253" s="56"/>
      <c r="DJ253" s="56"/>
      <c r="DK253" s="56"/>
      <c r="DL253" s="56"/>
      <c r="DM253" s="56"/>
      <c r="DN253" s="56"/>
      <c r="DO253" s="56"/>
      <c r="DP253" s="56"/>
      <c r="DQ253" s="56"/>
      <c r="DR253" s="56"/>
      <c r="DS253" s="56"/>
      <c r="DT253" s="56"/>
      <c r="DU253" s="56"/>
      <c r="DV253" s="56"/>
      <c r="DW253" s="56"/>
      <c r="DX253" s="56"/>
      <c r="DY253" s="56"/>
      <c r="DZ253" s="56"/>
      <c r="EA253" s="56"/>
      <c r="EB253" s="56"/>
      <c r="EC253" s="56"/>
      <c r="ED253" s="56"/>
      <c r="EE253" s="56"/>
      <c r="EF253" s="56"/>
      <c r="EG253" s="56"/>
      <c r="EH253" s="56"/>
      <c r="EI253" s="56"/>
      <c r="EJ253" s="56"/>
      <c r="EK253" s="56"/>
      <c r="EL253" s="56"/>
      <c r="EM253" s="56"/>
      <c r="EN253" s="56"/>
      <c r="EO253" s="56"/>
      <c r="EP253" s="56"/>
      <c r="EQ253" s="56"/>
      <c r="ER253" s="56"/>
      <c r="ES253" s="56"/>
      <c r="ET253" s="56"/>
      <c r="EU253" s="56"/>
      <c r="EV253" s="56"/>
      <c r="EW253" s="56"/>
      <c r="EX253" s="56"/>
      <c r="EY253" s="56"/>
      <c r="EZ253" s="56"/>
      <c r="FA253" s="56"/>
      <c r="FB253" s="56"/>
      <c r="FC253" s="56"/>
      <c r="FD253" s="56"/>
      <c r="FE253" s="56"/>
      <c r="FF253" s="56"/>
      <c r="FG253" s="56"/>
      <c r="FH253" s="56"/>
      <c r="FI253" s="56"/>
      <c r="FJ253" s="56"/>
      <c r="FK253" s="56"/>
      <c r="FL253" s="56"/>
      <c r="FM253" s="56"/>
      <c r="FN253" s="56"/>
      <c r="FO253" s="56"/>
      <c r="FP253" s="56"/>
      <c r="FQ253" s="56"/>
      <c r="FR253" s="56"/>
      <c r="FS253" s="56"/>
      <c r="FT253" s="56"/>
      <c r="FU253" s="56"/>
      <c r="FV253" s="56"/>
      <c r="FW253" s="56"/>
      <c r="FX253" s="56"/>
      <c r="FY253" s="56"/>
      <c r="FZ253" s="56"/>
      <c r="GA253" s="56"/>
      <c r="GB253" s="56"/>
      <c r="GC253" s="56"/>
      <c r="GD253" s="56"/>
      <c r="GE253" s="56"/>
      <c r="GF253" s="56"/>
      <c r="GG253" s="56"/>
      <c r="GH253" s="56"/>
      <c r="GI253" s="56"/>
      <c r="GJ253" s="56"/>
      <c r="GK253" s="56"/>
      <c r="GL253" s="56"/>
      <c r="GM253" s="56"/>
      <c r="GN253" s="56"/>
      <c r="GO253" s="56"/>
      <c r="GP253" s="56"/>
      <c r="GQ253" s="56"/>
      <c r="GR253" s="56"/>
      <c r="GS253" s="56"/>
      <c r="GT253" s="56"/>
      <c r="GU253" s="56"/>
      <c r="GV253" s="56"/>
      <c r="GW253" s="56"/>
      <c r="GX253" s="56"/>
      <c r="GY253" s="56"/>
      <c r="GZ253" s="56"/>
      <c r="HA253" s="56"/>
      <c r="HB253" s="56"/>
      <c r="HC253" s="56"/>
      <c r="HD253" s="56"/>
      <c r="HE253" s="56"/>
      <c r="HF253" s="56"/>
      <c r="HG253" s="56"/>
      <c r="HH253" s="56"/>
      <c r="HI253" s="56"/>
      <c r="HJ253" s="56"/>
    </row>
    <row r="254" spans="1:218" ht="15.75" customHeight="1" x14ac:dyDescent="0.2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  <c r="CS254" s="56"/>
      <c r="CT254" s="56"/>
      <c r="CU254" s="56"/>
      <c r="CV254" s="56"/>
      <c r="CW254" s="56"/>
      <c r="CX254" s="56"/>
      <c r="CY254" s="56"/>
      <c r="CZ254" s="56"/>
      <c r="DA254" s="56"/>
      <c r="DB254" s="56"/>
      <c r="DC254" s="56"/>
      <c r="DD254" s="56"/>
      <c r="DE254" s="56"/>
      <c r="DF254" s="56"/>
      <c r="DG254" s="56"/>
      <c r="DH254" s="56"/>
      <c r="DI254" s="56"/>
      <c r="DJ254" s="56"/>
      <c r="DK254" s="56"/>
      <c r="DL254" s="56"/>
      <c r="DM254" s="56"/>
      <c r="DN254" s="56"/>
      <c r="DO254" s="56"/>
      <c r="DP254" s="56"/>
      <c r="DQ254" s="56"/>
      <c r="DR254" s="56"/>
      <c r="DS254" s="56"/>
      <c r="DT254" s="56"/>
      <c r="DU254" s="56"/>
      <c r="DV254" s="56"/>
      <c r="DW254" s="56"/>
      <c r="DX254" s="56"/>
      <c r="DY254" s="56"/>
      <c r="DZ254" s="56"/>
      <c r="EA254" s="56"/>
      <c r="EB254" s="56"/>
      <c r="EC254" s="56"/>
      <c r="ED254" s="56"/>
      <c r="EE254" s="56"/>
      <c r="EF254" s="56"/>
      <c r="EG254" s="56"/>
      <c r="EH254" s="56"/>
      <c r="EI254" s="56"/>
      <c r="EJ254" s="56"/>
      <c r="EK254" s="56"/>
      <c r="EL254" s="56"/>
      <c r="EM254" s="56"/>
      <c r="EN254" s="56"/>
      <c r="EO254" s="56"/>
      <c r="EP254" s="56"/>
      <c r="EQ254" s="56"/>
      <c r="ER254" s="56"/>
      <c r="ES254" s="56"/>
      <c r="ET254" s="56"/>
      <c r="EU254" s="56"/>
      <c r="EV254" s="56"/>
      <c r="EW254" s="56"/>
      <c r="EX254" s="56"/>
      <c r="EY254" s="56"/>
      <c r="EZ254" s="56"/>
      <c r="FA254" s="56"/>
      <c r="FB254" s="56"/>
      <c r="FC254" s="56"/>
      <c r="FD254" s="56"/>
      <c r="FE254" s="56"/>
      <c r="FF254" s="56"/>
      <c r="FG254" s="56"/>
      <c r="FH254" s="56"/>
      <c r="FI254" s="56"/>
      <c r="FJ254" s="56"/>
      <c r="FK254" s="56"/>
      <c r="FL254" s="56"/>
      <c r="FM254" s="56"/>
      <c r="FN254" s="56"/>
      <c r="FO254" s="56"/>
      <c r="FP254" s="56"/>
      <c r="FQ254" s="56"/>
      <c r="FR254" s="56"/>
      <c r="FS254" s="56"/>
      <c r="FT254" s="56"/>
      <c r="FU254" s="56"/>
      <c r="FV254" s="56"/>
      <c r="FW254" s="56"/>
      <c r="FX254" s="56"/>
      <c r="FY254" s="56"/>
      <c r="FZ254" s="56"/>
      <c r="GA254" s="56"/>
      <c r="GB254" s="56"/>
      <c r="GC254" s="56"/>
      <c r="GD254" s="56"/>
      <c r="GE254" s="56"/>
      <c r="GF254" s="56"/>
      <c r="GG254" s="56"/>
      <c r="GH254" s="56"/>
      <c r="GI254" s="56"/>
      <c r="GJ254" s="56"/>
      <c r="GK254" s="56"/>
      <c r="GL254" s="56"/>
      <c r="GM254" s="56"/>
      <c r="GN254" s="56"/>
      <c r="GO254" s="56"/>
      <c r="GP254" s="56"/>
      <c r="GQ254" s="56"/>
      <c r="GR254" s="56"/>
      <c r="GS254" s="56"/>
      <c r="GT254" s="56"/>
      <c r="GU254" s="56"/>
      <c r="GV254" s="56"/>
      <c r="GW254" s="56"/>
      <c r="GX254" s="56"/>
      <c r="GY254" s="56"/>
      <c r="GZ254" s="56"/>
      <c r="HA254" s="56"/>
      <c r="HB254" s="56"/>
      <c r="HC254" s="56"/>
      <c r="HD254" s="56"/>
      <c r="HE254" s="56"/>
      <c r="HF254" s="56"/>
      <c r="HG254" s="56"/>
      <c r="HH254" s="56"/>
      <c r="HI254" s="56"/>
      <c r="HJ254" s="56"/>
    </row>
    <row r="255" spans="1:218" ht="15.75" customHeight="1" x14ac:dyDescent="0.2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56"/>
      <c r="CP255" s="56"/>
      <c r="CQ255" s="56"/>
      <c r="CR255" s="56"/>
      <c r="CS255" s="56"/>
      <c r="CT255" s="56"/>
      <c r="CU255" s="56"/>
      <c r="CV255" s="56"/>
      <c r="CW255" s="56"/>
      <c r="CX255" s="56"/>
      <c r="CY255" s="56"/>
      <c r="CZ255" s="56"/>
      <c r="DA255" s="56"/>
      <c r="DB255" s="56"/>
      <c r="DC255" s="56"/>
      <c r="DD255" s="56"/>
      <c r="DE255" s="56"/>
      <c r="DF255" s="56"/>
      <c r="DG255" s="56"/>
      <c r="DH255" s="56"/>
      <c r="DI255" s="56"/>
      <c r="DJ255" s="56"/>
      <c r="DK255" s="56"/>
      <c r="DL255" s="56"/>
      <c r="DM255" s="56"/>
      <c r="DN255" s="56"/>
      <c r="DO255" s="56"/>
      <c r="DP255" s="56"/>
      <c r="DQ255" s="56"/>
      <c r="DR255" s="56"/>
      <c r="DS255" s="56"/>
      <c r="DT255" s="56"/>
      <c r="DU255" s="56"/>
      <c r="DV255" s="56"/>
      <c r="DW255" s="56"/>
      <c r="DX255" s="56"/>
      <c r="DY255" s="56"/>
      <c r="DZ255" s="56"/>
      <c r="EA255" s="56"/>
      <c r="EB255" s="56"/>
      <c r="EC255" s="56"/>
      <c r="ED255" s="56"/>
      <c r="EE255" s="56"/>
      <c r="EF255" s="56"/>
      <c r="EG255" s="56"/>
      <c r="EH255" s="56"/>
      <c r="EI255" s="56"/>
      <c r="EJ255" s="56"/>
      <c r="EK255" s="56"/>
      <c r="EL255" s="56"/>
      <c r="EM255" s="56"/>
      <c r="EN255" s="56"/>
      <c r="EO255" s="56"/>
      <c r="EP255" s="56"/>
      <c r="EQ255" s="56"/>
      <c r="ER255" s="56"/>
      <c r="ES255" s="56"/>
      <c r="ET255" s="56"/>
      <c r="EU255" s="56"/>
      <c r="EV255" s="56"/>
      <c r="EW255" s="56"/>
      <c r="EX255" s="56"/>
      <c r="EY255" s="56"/>
      <c r="EZ255" s="56"/>
      <c r="FA255" s="56"/>
      <c r="FB255" s="56"/>
      <c r="FC255" s="56"/>
      <c r="FD255" s="56"/>
      <c r="FE255" s="56"/>
      <c r="FF255" s="56"/>
      <c r="FG255" s="56"/>
      <c r="FH255" s="56"/>
      <c r="FI255" s="56"/>
      <c r="FJ255" s="56"/>
      <c r="FK255" s="56"/>
      <c r="FL255" s="56"/>
      <c r="FM255" s="56"/>
      <c r="FN255" s="56"/>
      <c r="FO255" s="56"/>
      <c r="FP255" s="56"/>
      <c r="FQ255" s="56"/>
      <c r="FR255" s="56"/>
      <c r="FS255" s="56"/>
      <c r="FT255" s="56"/>
      <c r="FU255" s="56"/>
      <c r="FV255" s="56"/>
      <c r="FW255" s="56"/>
      <c r="FX255" s="56"/>
      <c r="FY255" s="56"/>
      <c r="FZ255" s="56"/>
      <c r="GA255" s="56"/>
      <c r="GB255" s="56"/>
      <c r="GC255" s="56"/>
      <c r="GD255" s="56"/>
      <c r="GE255" s="56"/>
      <c r="GF255" s="56"/>
      <c r="GG255" s="56"/>
      <c r="GH255" s="56"/>
      <c r="GI255" s="56"/>
      <c r="GJ255" s="56"/>
      <c r="GK255" s="56"/>
      <c r="GL255" s="56"/>
      <c r="GM255" s="56"/>
      <c r="GN255" s="56"/>
      <c r="GO255" s="56"/>
      <c r="GP255" s="56"/>
      <c r="GQ255" s="56"/>
      <c r="GR255" s="56"/>
      <c r="GS255" s="56"/>
      <c r="GT255" s="56"/>
      <c r="GU255" s="56"/>
      <c r="GV255" s="56"/>
      <c r="GW255" s="56"/>
      <c r="GX255" s="56"/>
      <c r="GY255" s="56"/>
      <c r="GZ255" s="56"/>
      <c r="HA255" s="56"/>
      <c r="HB255" s="56"/>
      <c r="HC255" s="56"/>
      <c r="HD255" s="56"/>
      <c r="HE255" s="56"/>
      <c r="HF255" s="56"/>
      <c r="HG255" s="56"/>
      <c r="HH255" s="56"/>
      <c r="HI255" s="56"/>
      <c r="HJ255" s="56"/>
    </row>
    <row r="256" spans="1:218" ht="15.75" customHeight="1" x14ac:dyDescent="0.2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  <c r="BV256" s="56"/>
      <c r="BW256" s="56"/>
      <c r="BX256" s="56"/>
      <c r="BY256" s="56"/>
      <c r="BZ256" s="56"/>
      <c r="CA256" s="56"/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  <c r="CL256" s="56"/>
      <c r="CM256" s="56"/>
      <c r="CN256" s="56"/>
      <c r="CO256" s="56"/>
      <c r="CP256" s="56"/>
      <c r="CQ256" s="56"/>
      <c r="CR256" s="56"/>
      <c r="CS256" s="56"/>
      <c r="CT256" s="56"/>
      <c r="CU256" s="56"/>
      <c r="CV256" s="56"/>
      <c r="CW256" s="56"/>
      <c r="CX256" s="56"/>
      <c r="CY256" s="56"/>
      <c r="CZ256" s="56"/>
      <c r="DA256" s="56"/>
      <c r="DB256" s="56"/>
      <c r="DC256" s="56"/>
      <c r="DD256" s="56"/>
      <c r="DE256" s="56"/>
      <c r="DF256" s="56"/>
      <c r="DG256" s="56"/>
      <c r="DH256" s="56"/>
      <c r="DI256" s="56"/>
      <c r="DJ256" s="56"/>
      <c r="DK256" s="56"/>
      <c r="DL256" s="56"/>
      <c r="DM256" s="56"/>
      <c r="DN256" s="56"/>
      <c r="DO256" s="56"/>
      <c r="DP256" s="56"/>
      <c r="DQ256" s="56"/>
      <c r="DR256" s="56"/>
      <c r="DS256" s="56"/>
      <c r="DT256" s="56"/>
      <c r="DU256" s="56"/>
      <c r="DV256" s="56"/>
      <c r="DW256" s="56"/>
      <c r="DX256" s="56"/>
      <c r="DY256" s="56"/>
      <c r="DZ256" s="56"/>
      <c r="EA256" s="56"/>
      <c r="EB256" s="56"/>
      <c r="EC256" s="56"/>
      <c r="ED256" s="56"/>
      <c r="EE256" s="56"/>
      <c r="EF256" s="56"/>
      <c r="EG256" s="56"/>
      <c r="EH256" s="56"/>
      <c r="EI256" s="56"/>
      <c r="EJ256" s="56"/>
      <c r="EK256" s="56"/>
      <c r="EL256" s="56"/>
      <c r="EM256" s="56"/>
      <c r="EN256" s="56"/>
      <c r="EO256" s="56"/>
      <c r="EP256" s="56"/>
      <c r="EQ256" s="56"/>
      <c r="ER256" s="56"/>
      <c r="ES256" s="56"/>
      <c r="ET256" s="56"/>
      <c r="EU256" s="56"/>
      <c r="EV256" s="56"/>
      <c r="EW256" s="56"/>
      <c r="EX256" s="56"/>
      <c r="EY256" s="56"/>
      <c r="EZ256" s="56"/>
      <c r="FA256" s="56"/>
      <c r="FB256" s="56"/>
      <c r="FC256" s="56"/>
      <c r="FD256" s="56"/>
      <c r="FE256" s="56"/>
      <c r="FF256" s="56"/>
      <c r="FG256" s="56"/>
      <c r="FH256" s="56"/>
      <c r="FI256" s="56"/>
      <c r="FJ256" s="56"/>
      <c r="FK256" s="56"/>
      <c r="FL256" s="56"/>
      <c r="FM256" s="56"/>
      <c r="FN256" s="56"/>
      <c r="FO256" s="56"/>
      <c r="FP256" s="56"/>
      <c r="FQ256" s="56"/>
      <c r="FR256" s="56"/>
      <c r="FS256" s="56"/>
      <c r="FT256" s="56"/>
      <c r="FU256" s="56"/>
      <c r="FV256" s="56"/>
      <c r="FW256" s="56"/>
      <c r="FX256" s="56"/>
      <c r="FY256" s="56"/>
      <c r="FZ256" s="56"/>
      <c r="GA256" s="56"/>
      <c r="GB256" s="56"/>
      <c r="GC256" s="56"/>
      <c r="GD256" s="56"/>
      <c r="GE256" s="56"/>
      <c r="GF256" s="56"/>
      <c r="GG256" s="56"/>
      <c r="GH256" s="56"/>
      <c r="GI256" s="56"/>
      <c r="GJ256" s="56"/>
      <c r="GK256" s="56"/>
      <c r="GL256" s="56"/>
      <c r="GM256" s="56"/>
      <c r="GN256" s="56"/>
      <c r="GO256" s="56"/>
      <c r="GP256" s="56"/>
      <c r="GQ256" s="56"/>
      <c r="GR256" s="56"/>
      <c r="GS256" s="56"/>
      <c r="GT256" s="56"/>
      <c r="GU256" s="56"/>
      <c r="GV256" s="56"/>
      <c r="GW256" s="56"/>
      <c r="GX256" s="56"/>
      <c r="GY256" s="56"/>
      <c r="GZ256" s="56"/>
      <c r="HA256" s="56"/>
      <c r="HB256" s="56"/>
      <c r="HC256" s="56"/>
      <c r="HD256" s="56"/>
      <c r="HE256" s="56"/>
      <c r="HF256" s="56"/>
      <c r="HG256" s="56"/>
      <c r="HH256" s="56"/>
      <c r="HI256" s="56"/>
      <c r="HJ256" s="56"/>
    </row>
    <row r="257" spans="1:218" ht="15.75" customHeight="1" x14ac:dyDescent="0.2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  <c r="BV257" s="56"/>
      <c r="BW257" s="56"/>
      <c r="BX257" s="56"/>
      <c r="BY257" s="56"/>
      <c r="BZ257" s="56"/>
      <c r="CA257" s="56"/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  <c r="CL257" s="56"/>
      <c r="CM257" s="56"/>
      <c r="CN257" s="56"/>
      <c r="CO257" s="56"/>
      <c r="CP257" s="56"/>
      <c r="CQ257" s="56"/>
      <c r="CR257" s="56"/>
      <c r="CS257" s="56"/>
      <c r="CT257" s="56"/>
      <c r="CU257" s="56"/>
      <c r="CV257" s="56"/>
      <c r="CW257" s="56"/>
      <c r="CX257" s="56"/>
      <c r="CY257" s="56"/>
      <c r="CZ257" s="56"/>
      <c r="DA257" s="56"/>
      <c r="DB257" s="56"/>
      <c r="DC257" s="56"/>
      <c r="DD257" s="56"/>
      <c r="DE257" s="56"/>
      <c r="DF257" s="56"/>
      <c r="DG257" s="56"/>
      <c r="DH257" s="56"/>
      <c r="DI257" s="56"/>
      <c r="DJ257" s="56"/>
      <c r="DK257" s="56"/>
      <c r="DL257" s="56"/>
      <c r="DM257" s="56"/>
      <c r="DN257" s="56"/>
      <c r="DO257" s="56"/>
      <c r="DP257" s="56"/>
      <c r="DQ257" s="56"/>
      <c r="DR257" s="56"/>
      <c r="DS257" s="56"/>
      <c r="DT257" s="56"/>
      <c r="DU257" s="56"/>
      <c r="DV257" s="56"/>
      <c r="DW257" s="56"/>
      <c r="DX257" s="56"/>
      <c r="DY257" s="56"/>
      <c r="DZ257" s="56"/>
      <c r="EA257" s="56"/>
      <c r="EB257" s="56"/>
      <c r="EC257" s="56"/>
      <c r="ED257" s="56"/>
      <c r="EE257" s="56"/>
      <c r="EF257" s="56"/>
      <c r="EG257" s="56"/>
      <c r="EH257" s="56"/>
      <c r="EI257" s="56"/>
      <c r="EJ257" s="56"/>
      <c r="EK257" s="56"/>
      <c r="EL257" s="56"/>
      <c r="EM257" s="56"/>
      <c r="EN257" s="56"/>
      <c r="EO257" s="56"/>
      <c r="EP257" s="56"/>
      <c r="EQ257" s="56"/>
      <c r="ER257" s="56"/>
      <c r="ES257" s="56"/>
      <c r="ET257" s="56"/>
      <c r="EU257" s="56"/>
      <c r="EV257" s="56"/>
      <c r="EW257" s="56"/>
      <c r="EX257" s="56"/>
      <c r="EY257" s="56"/>
      <c r="EZ257" s="56"/>
      <c r="FA257" s="56"/>
      <c r="FB257" s="56"/>
      <c r="FC257" s="56"/>
      <c r="FD257" s="56"/>
      <c r="FE257" s="56"/>
      <c r="FF257" s="56"/>
      <c r="FG257" s="56"/>
      <c r="FH257" s="56"/>
      <c r="FI257" s="56"/>
      <c r="FJ257" s="56"/>
      <c r="FK257" s="56"/>
      <c r="FL257" s="56"/>
      <c r="FM257" s="56"/>
      <c r="FN257" s="56"/>
      <c r="FO257" s="56"/>
      <c r="FP257" s="56"/>
      <c r="FQ257" s="56"/>
      <c r="FR257" s="56"/>
      <c r="FS257" s="56"/>
      <c r="FT257" s="56"/>
      <c r="FU257" s="56"/>
      <c r="FV257" s="56"/>
      <c r="FW257" s="56"/>
      <c r="FX257" s="56"/>
      <c r="FY257" s="56"/>
      <c r="FZ257" s="56"/>
      <c r="GA257" s="56"/>
      <c r="GB257" s="56"/>
      <c r="GC257" s="56"/>
      <c r="GD257" s="56"/>
      <c r="GE257" s="56"/>
      <c r="GF257" s="56"/>
      <c r="GG257" s="56"/>
      <c r="GH257" s="56"/>
      <c r="GI257" s="56"/>
      <c r="GJ257" s="56"/>
      <c r="GK257" s="56"/>
      <c r="GL257" s="56"/>
      <c r="GM257" s="56"/>
      <c r="GN257" s="56"/>
      <c r="GO257" s="56"/>
      <c r="GP257" s="56"/>
      <c r="GQ257" s="56"/>
      <c r="GR257" s="56"/>
      <c r="GS257" s="56"/>
      <c r="GT257" s="56"/>
      <c r="GU257" s="56"/>
      <c r="GV257" s="56"/>
      <c r="GW257" s="56"/>
      <c r="GX257" s="56"/>
      <c r="GY257" s="56"/>
      <c r="GZ257" s="56"/>
      <c r="HA257" s="56"/>
      <c r="HB257" s="56"/>
      <c r="HC257" s="56"/>
      <c r="HD257" s="56"/>
      <c r="HE257" s="56"/>
      <c r="HF257" s="56"/>
      <c r="HG257" s="56"/>
      <c r="HH257" s="56"/>
      <c r="HI257" s="56"/>
      <c r="HJ257" s="56"/>
    </row>
    <row r="258" spans="1:218" ht="15.75" customHeight="1" x14ac:dyDescent="0.2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  <c r="BV258" s="56"/>
      <c r="BW258" s="56"/>
      <c r="BX258" s="56"/>
      <c r="BY258" s="56"/>
      <c r="BZ258" s="56"/>
      <c r="CA258" s="56"/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  <c r="CL258" s="56"/>
      <c r="CM258" s="56"/>
      <c r="CN258" s="56"/>
      <c r="CO258" s="56"/>
      <c r="CP258" s="56"/>
      <c r="CQ258" s="56"/>
      <c r="CR258" s="56"/>
      <c r="CS258" s="56"/>
      <c r="CT258" s="56"/>
      <c r="CU258" s="56"/>
      <c r="CV258" s="56"/>
      <c r="CW258" s="56"/>
      <c r="CX258" s="56"/>
      <c r="CY258" s="56"/>
      <c r="CZ258" s="56"/>
      <c r="DA258" s="56"/>
      <c r="DB258" s="56"/>
      <c r="DC258" s="56"/>
      <c r="DD258" s="56"/>
      <c r="DE258" s="56"/>
      <c r="DF258" s="56"/>
      <c r="DG258" s="56"/>
      <c r="DH258" s="56"/>
      <c r="DI258" s="56"/>
      <c r="DJ258" s="56"/>
      <c r="DK258" s="56"/>
      <c r="DL258" s="56"/>
      <c r="DM258" s="56"/>
      <c r="DN258" s="56"/>
      <c r="DO258" s="56"/>
      <c r="DP258" s="56"/>
      <c r="DQ258" s="56"/>
      <c r="DR258" s="56"/>
      <c r="DS258" s="56"/>
      <c r="DT258" s="56"/>
      <c r="DU258" s="56"/>
      <c r="DV258" s="56"/>
      <c r="DW258" s="56"/>
      <c r="DX258" s="56"/>
      <c r="DY258" s="56"/>
      <c r="DZ258" s="56"/>
      <c r="EA258" s="56"/>
      <c r="EB258" s="56"/>
      <c r="EC258" s="56"/>
      <c r="ED258" s="56"/>
      <c r="EE258" s="56"/>
      <c r="EF258" s="56"/>
      <c r="EG258" s="56"/>
      <c r="EH258" s="56"/>
      <c r="EI258" s="56"/>
      <c r="EJ258" s="56"/>
      <c r="EK258" s="56"/>
      <c r="EL258" s="56"/>
      <c r="EM258" s="56"/>
      <c r="EN258" s="56"/>
      <c r="EO258" s="56"/>
      <c r="EP258" s="56"/>
      <c r="EQ258" s="56"/>
      <c r="ER258" s="56"/>
      <c r="ES258" s="56"/>
      <c r="ET258" s="56"/>
      <c r="EU258" s="56"/>
      <c r="EV258" s="56"/>
      <c r="EW258" s="56"/>
      <c r="EX258" s="56"/>
      <c r="EY258" s="56"/>
      <c r="EZ258" s="56"/>
      <c r="FA258" s="56"/>
      <c r="FB258" s="56"/>
      <c r="FC258" s="56"/>
      <c r="FD258" s="56"/>
      <c r="FE258" s="56"/>
      <c r="FF258" s="56"/>
      <c r="FG258" s="56"/>
      <c r="FH258" s="56"/>
      <c r="FI258" s="56"/>
      <c r="FJ258" s="56"/>
      <c r="FK258" s="56"/>
      <c r="FL258" s="56"/>
      <c r="FM258" s="56"/>
      <c r="FN258" s="56"/>
      <c r="FO258" s="56"/>
      <c r="FP258" s="56"/>
      <c r="FQ258" s="56"/>
      <c r="FR258" s="56"/>
      <c r="FS258" s="56"/>
      <c r="FT258" s="56"/>
      <c r="FU258" s="56"/>
      <c r="FV258" s="56"/>
      <c r="FW258" s="56"/>
      <c r="FX258" s="56"/>
      <c r="FY258" s="56"/>
      <c r="FZ258" s="56"/>
      <c r="GA258" s="56"/>
      <c r="GB258" s="56"/>
      <c r="GC258" s="56"/>
      <c r="GD258" s="56"/>
      <c r="GE258" s="56"/>
      <c r="GF258" s="56"/>
      <c r="GG258" s="56"/>
      <c r="GH258" s="56"/>
      <c r="GI258" s="56"/>
      <c r="GJ258" s="56"/>
      <c r="GK258" s="56"/>
      <c r="GL258" s="56"/>
      <c r="GM258" s="56"/>
      <c r="GN258" s="56"/>
      <c r="GO258" s="56"/>
      <c r="GP258" s="56"/>
      <c r="GQ258" s="56"/>
      <c r="GR258" s="56"/>
      <c r="GS258" s="56"/>
      <c r="GT258" s="56"/>
      <c r="GU258" s="56"/>
      <c r="GV258" s="56"/>
      <c r="GW258" s="56"/>
      <c r="GX258" s="56"/>
      <c r="GY258" s="56"/>
      <c r="GZ258" s="56"/>
      <c r="HA258" s="56"/>
      <c r="HB258" s="56"/>
      <c r="HC258" s="56"/>
      <c r="HD258" s="56"/>
      <c r="HE258" s="56"/>
      <c r="HF258" s="56"/>
      <c r="HG258" s="56"/>
      <c r="HH258" s="56"/>
      <c r="HI258" s="56"/>
      <c r="HJ258" s="56"/>
    </row>
    <row r="259" spans="1:218" ht="15.75" customHeight="1" x14ac:dyDescent="0.2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56"/>
      <c r="CP259" s="56"/>
      <c r="CQ259" s="56"/>
      <c r="CR259" s="56"/>
      <c r="CS259" s="56"/>
      <c r="CT259" s="56"/>
      <c r="CU259" s="56"/>
      <c r="CV259" s="56"/>
      <c r="CW259" s="56"/>
      <c r="CX259" s="56"/>
      <c r="CY259" s="56"/>
      <c r="CZ259" s="56"/>
      <c r="DA259" s="56"/>
      <c r="DB259" s="56"/>
      <c r="DC259" s="56"/>
      <c r="DD259" s="56"/>
      <c r="DE259" s="56"/>
      <c r="DF259" s="56"/>
      <c r="DG259" s="56"/>
      <c r="DH259" s="56"/>
      <c r="DI259" s="56"/>
      <c r="DJ259" s="56"/>
      <c r="DK259" s="56"/>
      <c r="DL259" s="56"/>
      <c r="DM259" s="56"/>
      <c r="DN259" s="56"/>
      <c r="DO259" s="56"/>
      <c r="DP259" s="56"/>
      <c r="DQ259" s="56"/>
      <c r="DR259" s="56"/>
      <c r="DS259" s="56"/>
      <c r="DT259" s="56"/>
      <c r="DU259" s="56"/>
      <c r="DV259" s="56"/>
      <c r="DW259" s="56"/>
      <c r="DX259" s="56"/>
      <c r="DY259" s="56"/>
      <c r="DZ259" s="56"/>
      <c r="EA259" s="56"/>
      <c r="EB259" s="56"/>
      <c r="EC259" s="56"/>
      <c r="ED259" s="56"/>
      <c r="EE259" s="56"/>
      <c r="EF259" s="56"/>
      <c r="EG259" s="56"/>
      <c r="EH259" s="56"/>
      <c r="EI259" s="56"/>
      <c r="EJ259" s="56"/>
      <c r="EK259" s="56"/>
      <c r="EL259" s="56"/>
      <c r="EM259" s="56"/>
      <c r="EN259" s="56"/>
      <c r="EO259" s="56"/>
      <c r="EP259" s="56"/>
      <c r="EQ259" s="56"/>
      <c r="ER259" s="56"/>
      <c r="ES259" s="56"/>
      <c r="ET259" s="56"/>
      <c r="EU259" s="56"/>
      <c r="EV259" s="56"/>
      <c r="EW259" s="56"/>
      <c r="EX259" s="56"/>
      <c r="EY259" s="56"/>
      <c r="EZ259" s="56"/>
      <c r="FA259" s="56"/>
      <c r="FB259" s="56"/>
      <c r="FC259" s="56"/>
      <c r="FD259" s="56"/>
      <c r="FE259" s="56"/>
      <c r="FF259" s="56"/>
      <c r="FG259" s="56"/>
      <c r="FH259" s="56"/>
      <c r="FI259" s="56"/>
      <c r="FJ259" s="56"/>
      <c r="FK259" s="56"/>
      <c r="FL259" s="56"/>
      <c r="FM259" s="56"/>
      <c r="FN259" s="56"/>
      <c r="FO259" s="56"/>
      <c r="FP259" s="56"/>
      <c r="FQ259" s="56"/>
      <c r="FR259" s="56"/>
      <c r="FS259" s="56"/>
      <c r="FT259" s="56"/>
      <c r="FU259" s="56"/>
      <c r="FV259" s="56"/>
      <c r="FW259" s="56"/>
      <c r="FX259" s="56"/>
      <c r="FY259" s="56"/>
      <c r="FZ259" s="56"/>
      <c r="GA259" s="56"/>
      <c r="GB259" s="56"/>
      <c r="GC259" s="56"/>
      <c r="GD259" s="56"/>
      <c r="GE259" s="56"/>
      <c r="GF259" s="56"/>
      <c r="GG259" s="56"/>
      <c r="GH259" s="56"/>
      <c r="GI259" s="56"/>
      <c r="GJ259" s="56"/>
      <c r="GK259" s="56"/>
      <c r="GL259" s="56"/>
      <c r="GM259" s="56"/>
      <c r="GN259" s="56"/>
      <c r="GO259" s="56"/>
      <c r="GP259" s="56"/>
      <c r="GQ259" s="56"/>
      <c r="GR259" s="56"/>
      <c r="GS259" s="56"/>
      <c r="GT259" s="56"/>
      <c r="GU259" s="56"/>
      <c r="GV259" s="56"/>
      <c r="GW259" s="56"/>
      <c r="GX259" s="56"/>
      <c r="GY259" s="56"/>
      <c r="GZ259" s="56"/>
      <c r="HA259" s="56"/>
      <c r="HB259" s="56"/>
      <c r="HC259" s="56"/>
      <c r="HD259" s="56"/>
      <c r="HE259" s="56"/>
      <c r="HF259" s="56"/>
      <c r="HG259" s="56"/>
      <c r="HH259" s="56"/>
      <c r="HI259" s="56"/>
      <c r="HJ259" s="56"/>
    </row>
    <row r="260" spans="1:218" ht="15.75" customHeight="1" x14ac:dyDescent="0.2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56"/>
      <c r="CP260" s="56"/>
      <c r="CQ260" s="56"/>
      <c r="CR260" s="56"/>
      <c r="CS260" s="56"/>
      <c r="CT260" s="56"/>
      <c r="CU260" s="56"/>
      <c r="CV260" s="56"/>
      <c r="CW260" s="56"/>
      <c r="CX260" s="56"/>
      <c r="CY260" s="56"/>
      <c r="CZ260" s="56"/>
      <c r="DA260" s="56"/>
      <c r="DB260" s="56"/>
      <c r="DC260" s="56"/>
      <c r="DD260" s="56"/>
      <c r="DE260" s="56"/>
      <c r="DF260" s="56"/>
      <c r="DG260" s="56"/>
      <c r="DH260" s="56"/>
      <c r="DI260" s="56"/>
      <c r="DJ260" s="56"/>
      <c r="DK260" s="56"/>
      <c r="DL260" s="56"/>
      <c r="DM260" s="56"/>
      <c r="DN260" s="56"/>
      <c r="DO260" s="56"/>
      <c r="DP260" s="56"/>
      <c r="DQ260" s="56"/>
      <c r="DR260" s="56"/>
      <c r="DS260" s="56"/>
      <c r="DT260" s="56"/>
      <c r="DU260" s="56"/>
      <c r="DV260" s="56"/>
      <c r="DW260" s="56"/>
      <c r="DX260" s="56"/>
      <c r="DY260" s="56"/>
      <c r="DZ260" s="56"/>
      <c r="EA260" s="56"/>
      <c r="EB260" s="56"/>
      <c r="EC260" s="56"/>
      <c r="ED260" s="56"/>
      <c r="EE260" s="56"/>
      <c r="EF260" s="56"/>
      <c r="EG260" s="56"/>
      <c r="EH260" s="56"/>
      <c r="EI260" s="56"/>
      <c r="EJ260" s="56"/>
      <c r="EK260" s="56"/>
      <c r="EL260" s="56"/>
      <c r="EM260" s="56"/>
      <c r="EN260" s="56"/>
      <c r="EO260" s="56"/>
      <c r="EP260" s="56"/>
      <c r="EQ260" s="56"/>
      <c r="ER260" s="56"/>
      <c r="ES260" s="56"/>
      <c r="ET260" s="56"/>
      <c r="EU260" s="56"/>
      <c r="EV260" s="56"/>
      <c r="EW260" s="56"/>
      <c r="EX260" s="56"/>
      <c r="EY260" s="56"/>
      <c r="EZ260" s="56"/>
      <c r="FA260" s="56"/>
      <c r="FB260" s="56"/>
      <c r="FC260" s="56"/>
      <c r="FD260" s="56"/>
      <c r="FE260" s="56"/>
      <c r="FF260" s="56"/>
      <c r="FG260" s="56"/>
      <c r="FH260" s="56"/>
      <c r="FI260" s="56"/>
      <c r="FJ260" s="56"/>
      <c r="FK260" s="56"/>
      <c r="FL260" s="56"/>
      <c r="FM260" s="56"/>
      <c r="FN260" s="56"/>
      <c r="FO260" s="56"/>
      <c r="FP260" s="56"/>
      <c r="FQ260" s="56"/>
      <c r="FR260" s="56"/>
      <c r="FS260" s="56"/>
      <c r="FT260" s="56"/>
      <c r="FU260" s="56"/>
      <c r="FV260" s="56"/>
      <c r="FW260" s="56"/>
      <c r="FX260" s="56"/>
      <c r="FY260" s="56"/>
      <c r="FZ260" s="56"/>
      <c r="GA260" s="56"/>
      <c r="GB260" s="56"/>
      <c r="GC260" s="56"/>
      <c r="GD260" s="56"/>
      <c r="GE260" s="56"/>
      <c r="GF260" s="56"/>
      <c r="GG260" s="56"/>
      <c r="GH260" s="56"/>
      <c r="GI260" s="56"/>
      <c r="GJ260" s="56"/>
      <c r="GK260" s="56"/>
      <c r="GL260" s="56"/>
      <c r="GM260" s="56"/>
      <c r="GN260" s="56"/>
      <c r="GO260" s="56"/>
      <c r="GP260" s="56"/>
      <c r="GQ260" s="56"/>
      <c r="GR260" s="56"/>
      <c r="GS260" s="56"/>
      <c r="GT260" s="56"/>
      <c r="GU260" s="56"/>
      <c r="GV260" s="56"/>
      <c r="GW260" s="56"/>
      <c r="GX260" s="56"/>
      <c r="GY260" s="56"/>
      <c r="GZ260" s="56"/>
      <c r="HA260" s="56"/>
      <c r="HB260" s="56"/>
      <c r="HC260" s="56"/>
      <c r="HD260" s="56"/>
      <c r="HE260" s="56"/>
      <c r="HF260" s="56"/>
      <c r="HG260" s="56"/>
      <c r="HH260" s="56"/>
      <c r="HI260" s="56"/>
      <c r="HJ260" s="56"/>
    </row>
    <row r="261" spans="1:218" ht="15.75" customHeight="1" x14ac:dyDescent="0.2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  <c r="CS261" s="56"/>
      <c r="CT261" s="56"/>
      <c r="CU261" s="56"/>
      <c r="CV261" s="56"/>
      <c r="CW261" s="56"/>
      <c r="CX261" s="56"/>
      <c r="CY261" s="56"/>
      <c r="CZ261" s="56"/>
      <c r="DA261" s="56"/>
      <c r="DB261" s="56"/>
      <c r="DC261" s="56"/>
      <c r="DD261" s="56"/>
      <c r="DE261" s="56"/>
      <c r="DF261" s="56"/>
      <c r="DG261" s="56"/>
      <c r="DH261" s="56"/>
      <c r="DI261" s="56"/>
      <c r="DJ261" s="56"/>
      <c r="DK261" s="56"/>
      <c r="DL261" s="56"/>
      <c r="DM261" s="56"/>
      <c r="DN261" s="56"/>
      <c r="DO261" s="56"/>
      <c r="DP261" s="56"/>
      <c r="DQ261" s="56"/>
      <c r="DR261" s="56"/>
      <c r="DS261" s="56"/>
      <c r="DT261" s="56"/>
      <c r="DU261" s="56"/>
      <c r="DV261" s="56"/>
      <c r="DW261" s="56"/>
      <c r="DX261" s="56"/>
      <c r="DY261" s="56"/>
      <c r="DZ261" s="56"/>
      <c r="EA261" s="56"/>
      <c r="EB261" s="56"/>
      <c r="EC261" s="56"/>
      <c r="ED261" s="56"/>
      <c r="EE261" s="56"/>
      <c r="EF261" s="56"/>
      <c r="EG261" s="56"/>
      <c r="EH261" s="56"/>
      <c r="EI261" s="56"/>
      <c r="EJ261" s="56"/>
      <c r="EK261" s="56"/>
      <c r="EL261" s="56"/>
      <c r="EM261" s="56"/>
      <c r="EN261" s="56"/>
      <c r="EO261" s="56"/>
      <c r="EP261" s="56"/>
      <c r="EQ261" s="56"/>
      <c r="ER261" s="56"/>
      <c r="ES261" s="56"/>
      <c r="ET261" s="56"/>
      <c r="EU261" s="56"/>
      <c r="EV261" s="56"/>
      <c r="EW261" s="56"/>
      <c r="EX261" s="56"/>
      <c r="EY261" s="56"/>
      <c r="EZ261" s="56"/>
      <c r="FA261" s="56"/>
      <c r="FB261" s="56"/>
      <c r="FC261" s="56"/>
      <c r="FD261" s="56"/>
      <c r="FE261" s="56"/>
      <c r="FF261" s="56"/>
      <c r="FG261" s="56"/>
      <c r="FH261" s="56"/>
      <c r="FI261" s="56"/>
      <c r="FJ261" s="56"/>
      <c r="FK261" s="56"/>
      <c r="FL261" s="56"/>
      <c r="FM261" s="56"/>
      <c r="FN261" s="56"/>
      <c r="FO261" s="56"/>
      <c r="FP261" s="56"/>
      <c r="FQ261" s="56"/>
      <c r="FR261" s="56"/>
      <c r="FS261" s="56"/>
      <c r="FT261" s="56"/>
      <c r="FU261" s="56"/>
      <c r="FV261" s="56"/>
      <c r="FW261" s="56"/>
      <c r="FX261" s="56"/>
      <c r="FY261" s="56"/>
      <c r="FZ261" s="56"/>
      <c r="GA261" s="56"/>
      <c r="GB261" s="56"/>
      <c r="GC261" s="56"/>
      <c r="GD261" s="56"/>
      <c r="GE261" s="56"/>
      <c r="GF261" s="56"/>
      <c r="GG261" s="56"/>
      <c r="GH261" s="56"/>
      <c r="GI261" s="56"/>
      <c r="GJ261" s="56"/>
      <c r="GK261" s="56"/>
      <c r="GL261" s="56"/>
      <c r="GM261" s="56"/>
      <c r="GN261" s="56"/>
      <c r="GO261" s="56"/>
      <c r="GP261" s="56"/>
      <c r="GQ261" s="56"/>
      <c r="GR261" s="56"/>
      <c r="GS261" s="56"/>
      <c r="GT261" s="56"/>
      <c r="GU261" s="56"/>
      <c r="GV261" s="56"/>
      <c r="GW261" s="56"/>
      <c r="GX261" s="56"/>
      <c r="GY261" s="56"/>
      <c r="GZ261" s="56"/>
      <c r="HA261" s="56"/>
      <c r="HB261" s="56"/>
      <c r="HC261" s="56"/>
      <c r="HD261" s="56"/>
      <c r="HE261" s="56"/>
      <c r="HF261" s="56"/>
      <c r="HG261" s="56"/>
      <c r="HH261" s="56"/>
      <c r="HI261" s="56"/>
      <c r="HJ261" s="56"/>
    </row>
    <row r="262" spans="1:218" ht="15.75" customHeight="1" x14ac:dyDescent="0.2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  <c r="CS262" s="56"/>
      <c r="CT262" s="56"/>
      <c r="CU262" s="56"/>
      <c r="CV262" s="56"/>
      <c r="CW262" s="56"/>
      <c r="CX262" s="56"/>
      <c r="CY262" s="56"/>
      <c r="CZ262" s="56"/>
      <c r="DA262" s="56"/>
      <c r="DB262" s="56"/>
      <c r="DC262" s="56"/>
      <c r="DD262" s="56"/>
      <c r="DE262" s="56"/>
      <c r="DF262" s="56"/>
      <c r="DG262" s="56"/>
      <c r="DH262" s="56"/>
      <c r="DI262" s="56"/>
      <c r="DJ262" s="56"/>
      <c r="DK262" s="56"/>
      <c r="DL262" s="56"/>
      <c r="DM262" s="56"/>
      <c r="DN262" s="56"/>
      <c r="DO262" s="56"/>
      <c r="DP262" s="56"/>
      <c r="DQ262" s="56"/>
      <c r="DR262" s="56"/>
      <c r="DS262" s="56"/>
      <c r="DT262" s="56"/>
      <c r="DU262" s="56"/>
      <c r="DV262" s="56"/>
      <c r="DW262" s="56"/>
      <c r="DX262" s="56"/>
      <c r="DY262" s="56"/>
      <c r="DZ262" s="56"/>
      <c r="EA262" s="56"/>
      <c r="EB262" s="56"/>
      <c r="EC262" s="56"/>
      <c r="ED262" s="56"/>
      <c r="EE262" s="56"/>
      <c r="EF262" s="56"/>
      <c r="EG262" s="56"/>
      <c r="EH262" s="56"/>
      <c r="EI262" s="56"/>
      <c r="EJ262" s="56"/>
      <c r="EK262" s="56"/>
      <c r="EL262" s="56"/>
      <c r="EM262" s="56"/>
      <c r="EN262" s="56"/>
      <c r="EO262" s="56"/>
      <c r="EP262" s="56"/>
      <c r="EQ262" s="56"/>
      <c r="ER262" s="56"/>
      <c r="ES262" s="56"/>
      <c r="ET262" s="56"/>
      <c r="EU262" s="56"/>
      <c r="EV262" s="56"/>
      <c r="EW262" s="56"/>
      <c r="EX262" s="56"/>
      <c r="EY262" s="56"/>
      <c r="EZ262" s="56"/>
      <c r="FA262" s="56"/>
      <c r="FB262" s="56"/>
      <c r="FC262" s="56"/>
      <c r="FD262" s="56"/>
      <c r="FE262" s="56"/>
      <c r="FF262" s="56"/>
      <c r="FG262" s="56"/>
      <c r="FH262" s="56"/>
      <c r="FI262" s="56"/>
      <c r="FJ262" s="56"/>
      <c r="FK262" s="56"/>
      <c r="FL262" s="56"/>
      <c r="FM262" s="56"/>
      <c r="FN262" s="56"/>
      <c r="FO262" s="56"/>
      <c r="FP262" s="56"/>
      <c r="FQ262" s="56"/>
      <c r="FR262" s="56"/>
      <c r="FS262" s="56"/>
      <c r="FT262" s="56"/>
      <c r="FU262" s="56"/>
      <c r="FV262" s="56"/>
      <c r="FW262" s="56"/>
      <c r="FX262" s="56"/>
      <c r="FY262" s="56"/>
      <c r="FZ262" s="56"/>
      <c r="GA262" s="56"/>
      <c r="GB262" s="56"/>
      <c r="GC262" s="56"/>
      <c r="GD262" s="56"/>
      <c r="GE262" s="56"/>
      <c r="GF262" s="56"/>
      <c r="GG262" s="56"/>
      <c r="GH262" s="56"/>
      <c r="GI262" s="56"/>
      <c r="GJ262" s="56"/>
      <c r="GK262" s="56"/>
      <c r="GL262" s="56"/>
      <c r="GM262" s="56"/>
      <c r="GN262" s="56"/>
      <c r="GO262" s="56"/>
      <c r="GP262" s="56"/>
      <c r="GQ262" s="56"/>
      <c r="GR262" s="56"/>
      <c r="GS262" s="56"/>
      <c r="GT262" s="56"/>
      <c r="GU262" s="56"/>
      <c r="GV262" s="56"/>
      <c r="GW262" s="56"/>
      <c r="GX262" s="56"/>
      <c r="GY262" s="56"/>
      <c r="GZ262" s="56"/>
      <c r="HA262" s="56"/>
      <c r="HB262" s="56"/>
      <c r="HC262" s="56"/>
      <c r="HD262" s="56"/>
      <c r="HE262" s="56"/>
      <c r="HF262" s="56"/>
      <c r="HG262" s="56"/>
      <c r="HH262" s="56"/>
      <c r="HI262" s="56"/>
      <c r="HJ262" s="56"/>
    </row>
    <row r="263" spans="1:218" ht="15.75" customHeight="1" x14ac:dyDescent="0.2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  <c r="CS263" s="56"/>
      <c r="CT263" s="56"/>
      <c r="CU263" s="56"/>
      <c r="CV263" s="56"/>
      <c r="CW263" s="56"/>
      <c r="CX263" s="56"/>
      <c r="CY263" s="56"/>
      <c r="CZ263" s="56"/>
      <c r="DA263" s="56"/>
      <c r="DB263" s="56"/>
      <c r="DC263" s="56"/>
      <c r="DD263" s="56"/>
      <c r="DE263" s="56"/>
      <c r="DF263" s="56"/>
      <c r="DG263" s="56"/>
      <c r="DH263" s="56"/>
      <c r="DI263" s="56"/>
      <c r="DJ263" s="56"/>
      <c r="DK263" s="56"/>
      <c r="DL263" s="56"/>
      <c r="DM263" s="56"/>
      <c r="DN263" s="56"/>
      <c r="DO263" s="56"/>
      <c r="DP263" s="56"/>
      <c r="DQ263" s="56"/>
      <c r="DR263" s="56"/>
      <c r="DS263" s="56"/>
      <c r="DT263" s="56"/>
      <c r="DU263" s="56"/>
      <c r="DV263" s="56"/>
      <c r="DW263" s="56"/>
      <c r="DX263" s="56"/>
      <c r="DY263" s="56"/>
      <c r="DZ263" s="56"/>
      <c r="EA263" s="56"/>
      <c r="EB263" s="56"/>
      <c r="EC263" s="56"/>
      <c r="ED263" s="56"/>
      <c r="EE263" s="56"/>
      <c r="EF263" s="56"/>
      <c r="EG263" s="56"/>
      <c r="EH263" s="56"/>
      <c r="EI263" s="56"/>
      <c r="EJ263" s="56"/>
      <c r="EK263" s="56"/>
      <c r="EL263" s="56"/>
      <c r="EM263" s="56"/>
      <c r="EN263" s="56"/>
      <c r="EO263" s="56"/>
      <c r="EP263" s="56"/>
      <c r="EQ263" s="56"/>
      <c r="ER263" s="56"/>
      <c r="ES263" s="56"/>
      <c r="ET263" s="56"/>
      <c r="EU263" s="56"/>
      <c r="EV263" s="56"/>
      <c r="EW263" s="56"/>
      <c r="EX263" s="56"/>
      <c r="EY263" s="56"/>
      <c r="EZ263" s="56"/>
      <c r="FA263" s="56"/>
      <c r="FB263" s="56"/>
      <c r="FC263" s="56"/>
      <c r="FD263" s="56"/>
      <c r="FE263" s="56"/>
      <c r="FF263" s="56"/>
      <c r="FG263" s="56"/>
      <c r="FH263" s="56"/>
      <c r="FI263" s="56"/>
      <c r="FJ263" s="56"/>
      <c r="FK263" s="56"/>
      <c r="FL263" s="56"/>
      <c r="FM263" s="56"/>
      <c r="FN263" s="56"/>
      <c r="FO263" s="56"/>
      <c r="FP263" s="56"/>
      <c r="FQ263" s="56"/>
      <c r="FR263" s="56"/>
      <c r="FS263" s="56"/>
      <c r="FT263" s="56"/>
      <c r="FU263" s="56"/>
      <c r="FV263" s="56"/>
      <c r="FW263" s="56"/>
      <c r="FX263" s="56"/>
      <c r="FY263" s="56"/>
      <c r="FZ263" s="56"/>
      <c r="GA263" s="56"/>
      <c r="GB263" s="56"/>
      <c r="GC263" s="56"/>
      <c r="GD263" s="56"/>
      <c r="GE263" s="56"/>
      <c r="GF263" s="56"/>
      <c r="GG263" s="56"/>
      <c r="GH263" s="56"/>
      <c r="GI263" s="56"/>
      <c r="GJ263" s="56"/>
      <c r="GK263" s="56"/>
      <c r="GL263" s="56"/>
      <c r="GM263" s="56"/>
      <c r="GN263" s="56"/>
      <c r="GO263" s="56"/>
      <c r="GP263" s="56"/>
      <c r="GQ263" s="56"/>
      <c r="GR263" s="56"/>
      <c r="GS263" s="56"/>
      <c r="GT263" s="56"/>
      <c r="GU263" s="56"/>
      <c r="GV263" s="56"/>
      <c r="GW263" s="56"/>
      <c r="GX263" s="56"/>
      <c r="GY263" s="56"/>
      <c r="GZ263" s="56"/>
      <c r="HA263" s="56"/>
      <c r="HB263" s="56"/>
      <c r="HC263" s="56"/>
      <c r="HD263" s="56"/>
      <c r="HE263" s="56"/>
      <c r="HF263" s="56"/>
      <c r="HG263" s="56"/>
      <c r="HH263" s="56"/>
      <c r="HI263" s="56"/>
      <c r="HJ263" s="56"/>
    </row>
    <row r="264" spans="1:218" ht="15.75" customHeight="1" x14ac:dyDescent="0.2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  <c r="CT264" s="56"/>
      <c r="CU264" s="56"/>
      <c r="CV264" s="56"/>
      <c r="CW264" s="56"/>
      <c r="CX264" s="56"/>
      <c r="CY264" s="56"/>
      <c r="CZ264" s="56"/>
      <c r="DA264" s="56"/>
      <c r="DB264" s="56"/>
      <c r="DC264" s="56"/>
      <c r="DD264" s="56"/>
      <c r="DE264" s="56"/>
      <c r="DF264" s="56"/>
      <c r="DG264" s="56"/>
      <c r="DH264" s="56"/>
      <c r="DI264" s="56"/>
      <c r="DJ264" s="56"/>
      <c r="DK264" s="56"/>
      <c r="DL264" s="56"/>
      <c r="DM264" s="56"/>
      <c r="DN264" s="56"/>
      <c r="DO264" s="56"/>
      <c r="DP264" s="56"/>
      <c r="DQ264" s="56"/>
      <c r="DR264" s="56"/>
      <c r="DS264" s="56"/>
      <c r="DT264" s="56"/>
      <c r="DU264" s="56"/>
      <c r="DV264" s="56"/>
      <c r="DW264" s="56"/>
      <c r="DX264" s="56"/>
      <c r="DY264" s="56"/>
      <c r="DZ264" s="56"/>
      <c r="EA264" s="56"/>
      <c r="EB264" s="56"/>
      <c r="EC264" s="56"/>
      <c r="ED264" s="56"/>
      <c r="EE264" s="56"/>
      <c r="EF264" s="56"/>
      <c r="EG264" s="56"/>
      <c r="EH264" s="56"/>
      <c r="EI264" s="56"/>
      <c r="EJ264" s="56"/>
      <c r="EK264" s="56"/>
      <c r="EL264" s="56"/>
      <c r="EM264" s="56"/>
      <c r="EN264" s="56"/>
      <c r="EO264" s="56"/>
      <c r="EP264" s="56"/>
      <c r="EQ264" s="56"/>
      <c r="ER264" s="56"/>
      <c r="ES264" s="56"/>
      <c r="ET264" s="56"/>
      <c r="EU264" s="56"/>
      <c r="EV264" s="56"/>
      <c r="EW264" s="56"/>
      <c r="EX264" s="56"/>
      <c r="EY264" s="56"/>
      <c r="EZ264" s="56"/>
      <c r="FA264" s="56"/>
      <c r="FB264" s="56"/>
      <c r="FC264" s="56"/>
      <c r="FD264" s="56"/>
      <c r="FE264" s="56"/>
      <c r="FF264" s="56"/>
      <c r="FG264" s="56"/>
      <c r="FH264" s="56"/>
      <c r="FI264" s="56"/>
      <c r="FJ264" s="56"/>
      <c r="FK264" s="56"/>
      <c r="FL264" s="56"/>
      <c r="FM264" s="56"/>
      <c r="FN264" s="56"/>
      <c r="FO264" s="56"/>
      <c r="FP264" s="56"/>
      <c r="FQ264" s="56"/>
      <c r="FR264" s="56"/>
      <c r="FS264" s="56"/>
      <c r="FT264" s="56"/>
      <c r="FU264" s="56"/>
      <c r="FV264" s="56"/>
      <c r="FW264" s="56"/>
      <c r="FX264" s="56"/>
      <c r="FY264" s="56"/>
      <c r="FZ264" s="56"/>
      <c r="GA264" s="56"/>
      <c r="GB264" s="56"/>
      <c r="GC264" s="56"/>
      <c r="GD264" s="56"/>
      <c r="GE264" s="56"/>
      <c r="GF264" s="56"/>
      <c r="GG264" s="56"/>
      <c r="GH264" s="56"/>
      <c r="GI264" s="56"/>
      <c r="GJ264" s="56"/>
      <c r="GK264" s="56"/>
      <c r="GL264" s="56"/>
      <c r="GM264" s="56"/>
      <c r="GN264" s="56"/>
      <c r="GO264" s="56"/>
      <c r="GP264" s="56"/>
      <c r="GQ264" s="56"/>
      <c r="GR264" s="56"/>
      <c r="GS264" s="56"/>
      <c r="GT264" s="56"/>
      <c r="GU264" s="56"/>
      <c r="GV264" s="56"/>
      <c r="GW264" s="56"/>
      <c r="GX264" s="56"/>
      <c r="GY264" s="56"/>
      <c r="GZ264" s="56"/>
      <c r="HA264" s="56"/>
      <c r="HB264" s="56"/>
      <c r="HC264" s="56"/>
      <c r="HD264" s="56"/>
      <c r="HE264" s="56"/>
      <c r="HF264" s="56"/>
      <c r="HG264" s="56"/>
      <c r="HH264" s="56"/>
      <c r="HI264" s="56"/>
      <c r="HJ264" s="56"/>
    </row>
    <row r="265" spans="1:218" ht="15.75" customHeight="1" x14ac:dyDescent="0.2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  <c r="CT265" s="56"/>
      <c r="CU265" s="56"/>
      <c r="CV265" s="56"/>
      <c r="CW265" s="56"/>
      <c r="CX265" s="56"/>
      <c r="CY265" s="56"/>
      <c r="CZ265" s="56"/>
      <c r="DA265" s="56"/>
      <c r="DB265" s="56"/>
      <c r="DC265" s="56"/>
      <c r="DD265" s="56"/>
      <c r="DE265" s="56"/>
      <c r="DF265" s="56"/>
      <c r="DG265" s="56"/>
      <c r="DH265" s="56"/>
      <c r="DI265" s="56"/>
      <c r="DJ265" s="56"/>
      <c r="DK265" s="56"/>
      <c r="DL265" s="56"/>
      <c r="DM265" s="56"/>
      <c r="DN265" s="56"/>
      <c r="DO265" s="56"/>
      <c r="DP265" s="56"/>
      <c r="DQ265" s="56"/>
      <c r="DR265" s="56"/>
      <c r="DS265" s="56"/>
      <c r="DT265" s="56"/>
      <c r="DU265" s="56"/>
      <c r="DV265" s="56"/>
      <c r="DW265" s="56"/>
      <c r="DX265" s="56"/>
      <c r="DY265" s="56"/>
      <c r="DZ265" s="56"/>
      <c r="EA265" s="56"/>
      <c r="EB265" s="56"/>
      <c r="EC265" s="56"/>
      <c r="ED265" s="56"/>
      <c r="EE265" s="56"/>
      <c r="EF265" s="56"/>
      <c r="EG265" s="56"/>
      <c r="EH265" s="56"/>
      <c r="EI265" s="56"/>
      <c r="EJ265" s="56"/>
      <c r="EK265" s="56"/>
      <c r="EL265" s="56"/>
      <c r="EM265" s="56"/>
      <c r="EN265" s="56"/>
      <c r="EO265" s="56"/>
      <c r="EP265" s="56"/>
      <c r="EQ265" s="56"/>
      <c r="ER265" s="56"/>
      <c r="ES265" s="56"/>
      <c r="ET265" s="56"/>
      <c r="EU265" s="56"/>
      <c r="EV265" s="56"/>
      <c r="EW265" s="56"/>
      <c r="EX265" s="56"/>
      <c r="EY265" s="56"/>
      <c r="EZ265" s="56"/>
      <c r="FA265" s="56"/>
      <c r="FB265" s="56"/>
      <c r="FC265" s="56"/>
      <c r="FD265" s="56"/>
      <c r="FE265" s="56"/>
      <c r="FF265" s="56"/>
      <c r="FG265" s="56"/>
      <c r="FH265" s="56"/>
      <c r="FI265" s="56"/>
      <c r="FJ265" s="56"/>
      <c r="FK265" s="56"/>
      <c r="FL265" s="56"/>
      <c r="FM265" s="56"/>
      <c r="FN265" s="56"/>
      <c r="FO265" s="56"/>
      <c r="FP265" s="56"/>
      <c r="FQ265" s="56"/>
      <c r="FR265" s="56"/>
      <c r="FS265" s="56"/>
      <c r="FT265" s="56"/>
      <c r="FU265" s="56"/>
      <c r="FV265" s="56"/>
      <c r="FW265" s="56"/>
      <c r="FX265" s="56"/>
      <c r="FY265" s="56"/>
      <c r="FZ265" s="56"/>
      <c r="GA265" s="56"/>
      <c r="GB265" s="56"/>
      <c r="GC265" s="56"/>
      <c r="GD265" s="56"/>
      <c r="GE265" s="56"/>
      <c r="GF265" s="56"/>
      <c r="GG265" s="56"/>
      <c r="GH265" s="56"/>
      <c r="GI265" s="56"/>
      <c r="GJ265" s="56"/>
      <c r="GK265" s="56"/>
      <c r="GL265" s="56"/>
      <c r="GM265" s="56"/>
      <c r="GN265" s="56"/>
      <c r="GO265" s="56"/>
      <c r="GP265" s="56"/>
      <c r="GQ265" s="56"/>
      <c r="GR265" s="56"/>
      <c r="GS265" s="56"/>
      <c r="GT265" s="56"/>
      <c r="GU265" s="56"/>
      <c r="GV265" s="56"/>
      <c r="GW265" s="56"/>
      <c r="GX265" s="56"/>
      <c r="GY265" s="56"/>
      <c r="GZ265" s="56"/>
      <c r="HA265" s="56"/>
      <c r="HB265" s="56"/>
      <c r="HC265" s="56"/>
      <c r="HD265" s="56"/>
      <c r="HE265" s="56"/>
      <c r="HF265" s="56"/>
      <c r="HG265" s="56"/>
      <c r="HH265" s="56"/>
      <c r="HI265" s="56"/>
      <c r="HJ265" s="56"/>
    </row>
    <row r="266" spans="1:218" ht="15.75" customHeight="1" x14ac:dyDescent="0.2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  <c r="CL266" s="56"/>
      <c r="CM266" s="56"/>
      <c r="CN266" s="56"/>
      <c r="CO266" s="56"/>
      <c r="CP266" s="56"/>
      <c r="CQ266" s="56"/>
      <c r="CR266" s="56"/>
      <c r="CS266" s="56"/>
      <c r="CT266" s="56"/>
      <c r="CU266" s="56"/>
      <c r="CV266" s="56"/>
      <c r="CW266" s="56"/>
      <c r="CX266" s="56"/>
      <c r="CY266" s="56"/>
      <c r="CZ266" s="56"/>
      <c r="DA266" s="56"/>
      <c r="DB266" s="56"/>
      <c r="DC266" s="56"/>
      <c r="DD266" s="56"/>
      <c r="DE266" s="56"/>
      <c r="DF266" s="56"/>
      <c r="DG266" s="56"/>
      <c r="DH266" s="56"/>
      <c r="DI266" s="56"/>
      <c r="DJ266" s="56"/>
      <c r="DK266" s="56"/>
      <c r="DL266" s="56"/>
      <c r="DM266" s="56"/>
      <c r="DN266" s="56"/>
      <c r="DO266" s="56"/>
      <c r="DP266" s="56"/>
      <c r="DQ266" s="56"/>
      <c r="DR266" s="56"/>
      <c r="DS266" s="56"/>
      <c r="DT266" s="56"/>
      <c r="DU266" s="56"/>
      <c r="DV266" s="56"/>
      <c r="DW266" s="56"/>
      <c r="DX266" s="56"/>
      <c r="DY266" s="56"/>
      <c r="DZ266" s="56"/>
      <c r="EA266" s="56"/>
      <c r="EB266" s="56"/>
      <c r="EC266" s="56"/>
      <c r="ED266" s="56"/>
      <c r="EE266" s="56"/>
      <c r="EF266" s="56"/>
      <c r="EG266" s="56"/>
      <c r="EH266" s="56"/>
      <c r="EI266" s="56"/>
      <c r="EJ266" s="56"/>
      <c r="EK266" s="56"/>
      <c r="EL266" s="56"/>
      <c r="EM266" s="56"/>
      <c r="EN266" s="56"/>
      <c r="EO266" s="56"/>
      <c r="EP266" s="56"/>
      <c r="EQ266" s="56"/>
      <c r="ER266" s="56"/>
      <c r="ES266" s="56"/>
      <c r="ET266" s="56"/>
      <c r="EU266" s="56"/>
      <c r="EV266" s="56"/>
      <c r="EW266" s="56"/>
      <c r="EX266" s="56"/>
      <c r="EY266" s="56"/>
      <c r="EZ266" s="56"/>
      <c r="FA266" s="56"/>
      <c r="FB266" s="56"/>
      <c r="FC266" s="56"/>
      <c r="FD266" s="56"/>
      <c r="FE266" s="56"/>
      <c r="FF266" s="56"/>
      <c r="FG266" s="56"/>
      <c r="FH266" s="56"/>
      <c r="FI266" s="56"/>
      <c r="FJ266" s="56"/>
      <c r="FK266" s="56"/>
      <c r="FL266" s="56"/>
      <c r="FM266" s="56"/>
      <c r="FN266" s="56"/>
      <c r="FO266" s="56"/>
      <c r="FP266" s="56"/>
      <c r="FQ266" s="56"/>
      <c r="FR266" s="56"/>
      <c r="FS266" s="56"/>
      <c r="FT266" s="56"/>
      <c r="FU266" s="56"/>
      <c r="FV266" s="56"/>
      <c r="FW266" s="56"/>
      <c r="FX266" s="56"/>
      <c r="FY266" s="56"/>
      <c r="FZ266" s="56"/>
      <c r="GA266" s="56"/>
      <c r="GB266" s="56"/>
      <c r="GC266" s="56"/>
      <c r="GD266" s="56"/>
      <c r="GE266" s="56"/>
      <c r="GF266" s="56"/>
      <c r="GG266" s="56"/>
      <c r="GH266" s="56"/>
      <c r="GI266" s="56"/>
      <c r="GJ266" s="56"/>
      <c r="GK266" s="56"/>
      <c r="GL266" s="56"/>
      <c r="GM266" s="56"/>
      <c r="GN266" s="56"/>
      <c r="GO266" s="56"/>
      <c r="GP266" s="56"/>
      <c r="GQ266" s="56"/>
      <c r="GR266" s="56"/>
      <c r="GS266" s="56"/>
      <c r="GT266" s="56"/>
      <c r="GU266" s="56"/>
      <c r="GV266" s="56"/>
      <c r="GW266" s="56"/>
      <c r="GX266" s="56"/>
      <c r="GY266" s="56"/>
      <c r="GZ266" s="56"/>
      <c r="HA266" s="56"/>
      <c r="HB266" s="56"/>
      <c r="HC266" s="56"/>
      <c r="HD266" s="56"/>
      <c r="HE266" s="56"/>
      <c r="HF266" s="56"/>
      <c r="HG266" s="56"/>
      <c r="HH266" s="56"/>
      <c r="HI266" s="56"/>
      <c r="HJ266" s="56"/>
    </row>
    <row r="267" spans="1:218" ht="15.75" customHeight="1" x14ac:dyDescent="0.2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  <c r="CL267" s="56"/>
      <c r="CM267" s="56"/>
      <c r="CN267" s="56"/>
      <c r="CO267" s="56"/>
      <c r="CP267" s="56"/>
      <c r="CQ267" s="56"/>
      <c r="CR267" s="56"/>
      <c r="CS267" s="56"/>
      <c r="CT267" s="56"/>
      <c r="CU267" s="56"/>
      <c r="CV267" s="56"/>
      <c r="CW267" s="56"/>
      <c r="CX267" s="56"/>
      <c r="CY267" s="56"/>
      <c r="CZ267" s="56"/>
      <c r="DA267" s="56"/>
      <c r="DB267" s="56"/>
      <c r="DC267" s="56"/>
      <c r="DD267" s="56"/>
      <c r="DE267" s="56"/>
      <c r="DF267" s="56"/>
      <c r="DG267" s="56"/>
      <c r="DH267" s="56"/>
      <c r="DI267" s="56"/>
      <c r="DJ267" s="56"/>
      <c r="DK267" s="56"/>
      <c r="DL267" s="56"/>
      <c r="DM267" s="56"/>
      <c r="DN267" s="56"/>
      <c r="DO267" s="56"/>
      <c r="DP267" s="56"/>
      <c r="DQ267" s="56"/>
      <c r="DR267" s="56"/>
      <c r="DS267" s="56"/>
      <c r="DT267" s="56"/>
      <c r="DU267" s="56"/>
      <c r="DV267" s="56"/>
      <c r="DW267" s="56"/>
      <c r="DX267" s="56"/>
      <c r="DY267" s="56"/>
      <c r="DZ267" s="56"/>
      <c r="EA267" s="56"/>
      <c r="EB267" s="56"/>
      <c r="EC267" s="56"/>
      <c r="ED267" s="56"/>
      <c r="EE267" s="56"/>
      <c r="EF267" s="56"/>
      <c r="EG267" s="56"/>
      <c r="EH267" s="56"/>
      <c r="EI267" s="56"/>
      <c r="EJ267" s="56"/>
      <c r="EK267" s="56"/>
      <c r="EL267" s="56"/>
      <c r="EM267" s="56"/>
      <c r="EN267" s="56"/>
      <c r="EO267" s="56"/>
      <c r="EP267" s="56"/>
      <c r="EQ267" s="56"/>
      <c r="ER267" s="56"/>
      <c r="ES267" s="56"/>
      <c r="ET267" s="56"/>
      <c r="EU267" s="56"/>
      <c r="EV267" s="56"/>
      <c r="EW267" s="56"/>
      <c r="EX267" s="56"/>
      <c r="EY267" s="56"/>
      <c r="EZ267" s="56"/>
      <c r="FA267" s="56"/>
      <c r="FB267" s="56"/>
      <c r="FC267" s="56"/>
      <c r="FD267" s="56"/>
      <c r="FE267" s="56"/>
      <c r="FF267" s="56"/>
      <c r="FG267" s="56"/>
      <c r="FH267" s="56"/>
      <c r="FI267" s="56"/>
      <c r="FJ267" s="56"/>
      <c r="FK267" s="56"/>
      <c r="FL267" s="56"/>
      <c r="FM267" s="56"/>
      <c r="FN267" s="56"/>
      <c r="FO267" s="56"/>
      <c r="FP267" s="56"/>
      <c r="FQ267" s="56"/>
      <c r="FR267" s="56"/>
      <c r="FS267" s="56"/>
      <c r="FT267" s="56"/>
      <c r="FU267" s="56"/>
      <c r="FV267" s="56"/>
      <c r="FW267" s="56"/>
      <c r="FX267" s="56"/>
      <c r="FY267" s="56"/>
      <c r="FZ267" s="56"/>
      <c r="GA267" s="56"/>
      <c r="GB267" s="56"/>
      <c r="GC267" s="56"/>
      <c r="GD267" s="56"/>
      <c r="GE267" s="56"/>
      <c r="GF267" s="56"/>
      <c r="GG267" s="56"/>
      <c r="GH267" s="56"/>
      <c r="GI267" s="56"/>
      <c r="GJ267" s="56"/>
      <c r="GK267" s="56"/>
      <c r="GL267" s="56"/>
      <c r="GM267" s="56"/>
      <c r="GN267" s="56"/>
      <c r="GO267" s="56"/>
      <c r="GP267" s="56"/>
      <c r="GQ267" s="56"/>
      <c r="GR267" s="56"/>
      <c r="GS267" s="56"/>
      <c r="GT267" s="56"/>
      <c r="GU267" s="56"/>
      <c r="GV267" s="56"/>
      <c r="GW267" s="56"/>
      <c r="GX267" s="56"/>
      <c r="GY267" s="56"/>
      <c r="GZ267" s="56"/>
      <c r="HA267" s="56"/>
      <c r="HB267" s="56"/>
      <c r="HC267" s="56"/>
      <c r="HD267" s="56"/>
      <c r="HE267" s="56"/>
      <c r="HF267" s="56"/>
      <c r="HG267" s="56"/>
      <c r="HH267" s="56"/>
      <c r="HI267" s="56"/>
      <c r="HJ267" s="56"/>
    </row>
    <row r="268" spans="1:218" ht="15.75" customHeight="1" x14ac:dyDescent="0.2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  <c r="CL268" s="56"/>
      <c r="CM268" s="56"/>
      <c r="CN268" s="56"/>
      <c r="CO268" s="56"/>
      <c r="CP268" s="56"/>
      <c r="CQ268" s="56"/>
      <c r="CR268" s="56"/>
      <c r="CS268" s="56"/>
      <c r="CT268" s="56"/>
      <c r="CU268" s="56"/>
      <c r="CV268" s="56"/>
      <c r="CW268" s="56"/>
      <c r="CX268" s="56"/>
      <c r="CY268" s="56"/>
      <c r="CZ268" s="56"/>
      <c r="DA268" s="56"/>
      <c r="DB268" s="56"/>
      <c r="DC268" s="56"/>
      <c r="DD268" s="56"/>
      <c r="DE268" s="56"/>
      <c r="DF268" s="56"/>
      <c r="DG268" s="56"/>
      <c r="DH268" s="56"/>
      <c r="DI268" s="56"/>
      <c r="DJ268" s="56"/>
      <c r="DK268" s="56"/>
      <c r="DL268" s="56"/>
      <c r="DM268" s="56"/>
      <c r="DN268" s="56"/>
      <c r="DO268" s="56"/>
      <c r="DP268" s="56"/>
      <c r="DQ268" s="56"/>
      <c r="DR268" s="56"/>
      <c r="DS268" s="56"/>
      <c r="DT268" s="56"/>
      <c r="DU268" s="56"/>
      <c r="DV268" s="56"/>
      <c r="DW268" s="56"/>
      <c r="DX268" s="56"/>
      <c r="DY268" s="56"/>
      <c r="DZ268" s="56"/>
      <c r="EA268" s="56"/>
      <c r="EB268" s="56"/>
      <c r="EC268" s="56"/>
      <c r="ED268" s="56"/>
      <c r="EE268" s="56"/>
      <c r="EF268" s="56"/>
      <c r="EG268" s="56"/>
      <c r="EH268" s="56"/>
      <c r="EI268" s="56"/>
      <c r="EJ268" s="56"/>
      <c r="EK268" s="56"/>
      <c r="EL268" s="56"/>
      <c r="EM268" s="56"/>
      <c r="EN268" s="56"/>
      <c r="EO268" s="56"/>
      <c r="EP268" s="56"/>
      <c r="EQ268" s="56"/>
      <c r="ER268" s="56"/>
      <c r="ES268" s="56"/>
      <c r="ET268" s="56"/>
      <c r="EU268" s="56"/>
      <c r="EV268" s="56"/>
      <c r="EW268" s="56"/>
      <c r="EX268" s="56"/>
      <c r="EY268" s="56"/>
      <c r="EZ268" s="56"/>
      <c r="FA268" s="56"/>
      <c r="FB268" s="56"/>
      <c r="FC268" s="56"/>
      <c r="FD268" s="56"/>
      <c r="FE268" s="56"/>
      <c r="FF268" s="56"/>
      <c r="FG268" s="56"/>
      <c r="FH268" s="56"/>
      <c r="FI268" s="56"/>
      <c r="FJ268" s="56"/>
      <c r="FK268" s="56"/>
      <c r="FL268" s="56"/>
      <c r="FM268" s="56"/>
      <c r="FN268" s="56"/>
      <c r="FO268" s="56"/>
      <c r="FP268" s="56"/>
      <c r="FQ268" s="56"/>
      <c r="FR268" s="56"/>
      <c r="FS268" s="56"/>
      <c r="FT268" s="56"/>
      <c r="FU268" s="56"/>
      <c r="FV268" s="56"/>
      <c r="FW268" s="56"/>
      <c r="FX268" s="56"/>
      <c r="FY268" s="56"/>
      <c r="FZ268" s="56"/>
      <c r="GA268" s="56"/>
      <c r="GB268" s="56"/>
      <c r="GC268" s="56"/>
      <c r="GD268" s="56"/>
      <c r="GE268" s="56"/>
      <c r="GF268" s="56"/>
      <c r="GG268" s="56"/>
      <c r="GH268" s="56"/>
      <c r="GI268" s="56"/>
      <c r="GJ268" s="56"/>
      <c r="GK268" s="56"/>
      <c r="GL268" s="56"/>
      <c r="GM268" s="56"/>
      <c r="GN268" s="56"/>
      <c r="GO268" s="56"/>
      <c r="GP268" s="56"/>
      <c r="GQ268" s="56"/>
      <c r="GR268" s="56"/>
      <c r="GS268" s="56"/>
      <c r="GT268" s="56"/>
      <c r="GU268" s="56"/>
      <c r="GV268" s="56"/>
      <c r="GW268" s="56"/>
      <c r="GX268" s="56"/>
      <c r="GY268" s="56"/>
      <c r="GZ268" s="56"/>
      <c r="HA268" s="56"/>
      <c r="HB268" s="56"/>
      <c r="HC268" s="56"/>
      <c r="HD268" s="56"/>
      <c r="HE268" s="56"/>
      <c r="HF268" s="56"/>
      <c r="HG268" s="56"/>
      <c r="HH268" s="56"/>
      <c r="HI268" s="56"/>
      <c r="HJ268" s="56"/>
    </row>
    <row r="269" spans="1:218" ht="15.75" customHeight="1" x14ac:dyDescent="0.2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  <c r="CL269" s="56"/>
      <c r="CM269" s="56"/>
      <c r="CN269" s="56"/>
      <c r="CO269" s="56"/>
      <c r="CP269" s="56"/>
      <c r="CQ269" s="56"/>
      <c r="CR269" s="56"/>
      <c r="CS269" s="56"/>
      <c r="CT269" s="56"/>
      <c r="CU269" s="56"/>
      <c r="CV269" s="56"/>
      <c r="CW269" s="56"/>
      <c r="CX269" s="56"/>
      <c r="CY269" s="56"/>
      <c r="CZ269" s="56"/>
      <c r="DA269" s="56"/>
      <c r="DB269" s="56"/>
      <c r="DC269" s="56"/>
      <c r="DD269" s="56"/>
      <c r="DE269" s="56"/>
      <c r="DF269" s="56"/>
      <c r="DG269" s="56"/>
      <c r="DH269" s="56"/>
      <c r="DI269" s="56"/>
      <c r="DJ269" s="56"/>
      <c r="DK269" s="56"/>
      <c r="DL269" s="56"/>
      <c r="DM269" s="56"/>
      <c r="DN269" s="56"/>
      <c r="DO269" s="56"/>
      <c r="DP269" s="56"/>
      <c r="DQ269" s="56"/>
      <c r="DR269" s="56"/>
      <c r="DS269" s="56"/>
      <c r="DT269" s="56"/>
      <c r="DU269" s="56"/>
      <c r="DV269" s="56"/>
      <c r="DW269" s="56"/>
      <c r="DX269" s="56"/>
      <c r="DY269" s="56"/>
      <c r="DZ269" s="56"/>
      <c r="EA269" s="56"/>
      <c r="EB269" s="56"/>
      <c r="EC269" s="56"/>
      <c r="ED269" s="56"/>
      <c r="EE269" s="56"/>
      <c r="EF269" s="56"/>
      <c r="EG269" s="56"/>
      <c r="EH269" s="56"/>
      <c r="EI269" s="56"/>
      <c r="EJ269" s="56"/>
      <c r="EK269" s="56"/>
      <c r="EL269" s="56"/>
      <c r="EM269" s="56"/>
      <c r="EN269" s="56"/>
      <c r="EO269" s="56"/>
      <c r="EP269" s="56"/>
      <c r="EQ269" s="56"/>
      <c r="ER269" s="56"/>
      <c r="ES269" s="56"/>
      <c r="ET269" s="56"/>
      <c r="EU269" s="56"/>
      <c r="EV269" s="56"/>
      <c r="EW269" s="56"/>
      <c r="EX269" s="56"/>
      <c r="EY269" s="56"/>
      <c r="EZ269" s="56"/>
      <c r="FA269" s="56"/>
      <c r="FB269" s="56"/>
      <c r="FC269" s="56"/>
      <c r="FD269" s="56"/>
      <c r="FE269" s="56"/>
      <c r="FF269" s="56"/>
      <c r="FG269" s="56"/>
      <c r="FH269" s="56"/>
      <c r="FI269" s="56"/>
      <c r="FJ269" s="56"/>
      <c r="FK269" s="56"/>
      <c r="FL269" s="56"/>
      <c r="FM269" s="56"/>
      <c r="FN269" s="56"/>
      <c r="FO269" s="56"/>
      <c r="FP269" s="56"/>
      <c r="FQ269" s="56"/>
      <c r="FR269" s="56"/>
      <c r="FS269" s="56"/>
      <c r="FT269" s="56"/>
      <c r="FU269" s="56"/>
      <c r="FV269" s="56"/>
      <c r="FW269" s="56"/>
      <c r="FX269" s="56"/>
      <c r="FY269" s="56"/>
      <c r="FZ269" s="56"/>
      <c r="GA269" s="56"/>
      <c r="GB269" s="56"/>
      <c r="GC269" s="56"/>
      <c r="GD269" s="56"/>
      <c r="GE269" s="56"/>
      <c r="GF269" s="56"/>
      <c r="GG269" s="56"/>
      <c r="GH269" s="56"/>
      <c r="GI269" s="56"/>
      <c r="GJ269" s="56"/>
      <c r="GK269" s="56"/>
      <c r="GL269" s="56"/>
      <c r="GM269" s="56"/>
      <c r="GN269" s="56"/>
      <c r="GO269" s="56"/>
      <c r="GP269" s="56"/>
      <c r="GQ269" s="56"/>
      <c r="GR269" s="56"/>
      <c r="GS269" s="56"/>
      <c r="GT269" s="56"/>
      <c r="GU269" s="56"/>
      <c r="GV269" s="56"/>
      <c r="GW269" s="56"/>
      <c r="GX269" s="56"/>
      <c r="GY269" s="56"/>
      <c r="GZ269" s="56"/>
      <c r="HA269" s="56"/>
      <c r="HB269" s="56"/>
      <c r="HC269" s="56"/>
      <c r="HD269" s="56"/>
      <c r="HE269" s="56"/>
      <c r="HF269" s="56"/>
      <c r="HG269" s="56"/>
      <c r="HH269" s="56"/>
      <c r="HI269" s="56"/>
      <c r="HJ269" s="56"/>
    </row>
    <row r="270" spans="1:218" ht="15.75" customHeight="1" x14ac:dyDescent="0.2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  <c r="CL270" s="56"/>
      <c r="CM270" s="56"/>
      <c r="CN270" s="56"/>
      <c r="CO270" s="56"/>
      <c r="CP270" s="56"/>
      <c r="CQ270" s="56"/>
      <c r="CR270" s="56"/>
      <c r="CS270" s="56"/>
      <c r="CT270" s="56"/>
      <c r="CU270" s="56"/>
      <c r="CV270" s="56"/>
      <c r="CW270" s="56"/>
      <c r="CX270" s="56"/>
      <c r="CY270" s="56"/>
      <c r="CZ270" s="56"/>
      <c r="DA270" s="56"/>
      <c r="DB270" s="56"/>
      <c r="DC270" s="56"/>
      <c r="DD270" s="56"/>
      <c r="DE270" s="56"/>
      <c r="DF270" s="56"/>
      <c r="DG270" s="56"/>
      <c r="DH270" s="56"/>
      <c r="DI270" s="56"/>
      <c r="DJ270" s="56"/>
      <c r="DK270" s="56"/>
      <c r="DL270" s="56"/>
      <c r="DM270" s="56"/>
      <c r="DN270" s="56"/>
      <c r="DO270" s="56"/>
      <c r="DP270" s="56"/>
      <c r="DQ270" s="56"/>
      <c r="DR270" s="56"/>
      <c r="DS270" s="56"/>
      <c r="DT270" s="56"/>
      <c r="DU270" s="56"/>
      <c r="DV270" s="56"/>
      <c r="DW270" s="56"/>
      <c r="DX270" s="56"/>
      <c r="DY270" s="56"/>
      <c r="DZ270" s="56"/>
      <c r="EA270" s="56"/>
      <c r="EB270" s="56"/>
      <c r="EC270" s="56"/>
      <c r="ED270" s="56"/>
      <c r="EE270" s="56"/>
      <c r="EF270" s="56"/>
      <c r="EG270" s="56"/>
      <c r="EH270" s="56"/>
      <c r="EI270" s="56"/>
      <c r="EJ270" s="56"/>
      <c r="EK270" s="56"/>
      <c r="EL270" s="56"/>
      <c r="EM270" s="56"/>
      <c r="EN270" s="56"/>
      <c r="EO270" s="56"/>
      <c r="EP270" s="56"/>
      <c r="EQ270" s="56"/>
      <c r="ER270" s="56"/>
      <c r="ES270" s="56"/>
      <c r="ET270" s="56"/>
      <c r="EU270" s="56"/>
      <c r="EV270" s="56"/>
      <c r="EW270" s="56"/>
      <c r="EX270" s="56"/>
      <c r="EY270" s="56"/>
      <c r="EZ270" s="56"/>
      <c r="FA270" s="56"/>
      <c r="FB270" s="56"/>
      <c r="FC270" s="56"/>
      <c r="FD270" s="56"/>
      <c r="FE270" s="56"/>
      <c r="FF270" s="56"/>
      <c r="FG270" s="56"/>
      <c r="FH270" s="56"/>
      <c r="FI270" s="56"/>
      <c r="FJ270" s="56"/>
      <c r="FK270" s="56"/>
      <c r="FL270" s="56"/>
      <c r="FM270" s="56"/>
      <c r="FN270" s="56"/>
      <c r="FO270" s="56"/>
      <c r="FP270" s="56"/>
      <c r="FQ270" s="56"/>
      <c r="FR270" s="56"/>
      <c r="FS270" s="56"/>
      <c r="FT270" s="56"/>
      <c r="FU270" s="56"/>
      <c r="FV270" s="56"/>
      <c r="FW270" s="56"/>
      <c r="FX270" s="56"/>
      <c r="FY270" s="56"/>
      <c r="FZ270" s="56"/>
      <c r="GA270" s="56"/>
      <c r="GB270" s="56"/>
      <c r="GC270" s="56"/>
      <c r="GD270" s="56"/>
      <c r="GE270" s="56"/>
      <c r="GF270" s="56"/>
      <c r="GG270" s="56"/>
      <c r="GH270" s="56"/>
      <c r="GI270" s="56"/>
      <c r="GJ270" s="56"/>
      <c r="GK270" s="56"/>
      <c r="GL270" s="56"/>
      <c r="GM270" s="56"/>
      <c r="GN270" s="56"/>
      <c r="GO270" s="56"/>
      <c r="GP270" s="56"/>
      <c r="GQ270" s="56"/>
      <c r="GR270" s="56"/>
      <c r="GS270" s="56"/>
      <c r="GT270" s="56"/>
      <c r="GU270" s="56"/>
      <c r="GV270" s="56"/>
      <c r="GW270" s="56"/>
      <c r="GX270" s="56"/>
      <c r="GY270" s="56"/>
      <c r="GZ270" s="56"/>
      <c r="HA270" s="56"/>
      <c r="HB270" s="56"/>
      <c r="HC270" s="56"/>
      <c r="HD270" s="56"/>
      <c r="HE270" s="56"/>
      <c r="HF270" s="56"/>
      <c r="HG270" s="56"/>
      <c r="HH270" s="56"/>
      <c r="HI270" s="56"/>
      <c r="HJ270" s="56"/>
    </row>
    <row r="271" spans="1:218" ht="15.75" customHeight="1" x14ac:dyDescent="0.2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56"/>
      <c r="CJ271" s="56"/>
      <c r="CK271" s="56"/>
      <c r="CL271" s="56"/>
      <c r="CM271" s="56"/>
      <c r="CN271" s="56"/>
      <c r="CO271" s="56"/>
      <c r="CP271" s="56"/>
      <c r="CQ271" s="56"/>
      <c r="CR271" s="56"/>
      <c r="CS271" s="56"/>
      <c r="CT271" s="56"/>
      <c r="CU271" s="56"/>
      <c r="CV271" s="56"/>
      <c r="CW271" s="56"/>
      <c r="CX271" s="56"/>
      <c r="CY271" s="56"/>
      <c r="CZ271" s="56"/>
      <c r="DA271" s="56"/>
      <c r="DB271" s="56"/>
      <c r="DC271" s="56"/>
      <c r="DD271" s="56"/>
      <c r="DE271" s="56"/>
      <c r="DF271" s="56"/>
      <c r="DG271" s="56"/>
      <c r="DH271" s="56"/>
      <c r="DI271" s="56"/>
      <c r="DJ271" s="56"/>
      <c r="DK271" s="56"/>
      <c r="DL271" s="56"/>
      <c r="DM271" s="56"/>
      <c r="DN271" s="56"/>
      <c r="DO271" s="56"/>
      <c r="DP271" s="56"/>
      <c r="DQ271" s="56"/>
      <c r="DR271" s="56"/>
      <c r="DS271" s="56"/>
      <c r="DT271" s="56"/>
      <c r="DU271" s="56"/>
      <c r="DV271" s="56"/>
      <c r="DW271" s="56"/>
      <c r="DX271" s="56"/>
      <c r="DY271" s="56"/>
      <c r="DZ271" s="56"/>
      <c r="EA271" s="56"/>
      <c r="EB271" s="56"/>
      <c r="EC271" s="56"/>
      <c r="ED271" s="56"/>
      <c r="EE271" s="56"/>
      <c r="EF271" s="56"/>
      <c r="EG271" s="56"/>
      <c r="EH271" s="56"/>
      <c r="EI271" s="56"/>
      <c r="EJ271" s="56"/>
      <c r="EK271" s="56"/>
      <c r="EL271" s="56"/>
      <c r="EM271" s="56"/>
      <c r="EN271" s="56"/>
      <c r="EO271" s="56"/>
      <c r="EP271" s="56"/>
      <c r="EQ271" s="56"/>
      <c r="ER271" s="56"/>
      <c r="ES271" s="56"/>
      <c r="ET271" s="56"/>
      <c r="EU271" s="56"/>
      <c r="EV271" s="56"/>
      <c r="EW271" s="56"/>
      <c r="EX271" s="56"/>
      <c r="EY271" s="56"/>
      <c r="EZ271" s="56"/>
      <c r="FA271" s="56"/>
      <c r="FB271" s="56"/>
      <c r="FC271" s="56"/>
      <c r="FD271" s="56"/>
      <c r="FE271" s="56"/>
      <c r="FF271" s="56"/>
      <c r="FG271" s="56"/>
      <c r="FH271" s="56"/>
      <c r="FI271" s="56"/>
      <c r="FJ271" s="56"/>
      <c r="FK271" s="56"/>
      <c r="FL271" s="56"/>
      <c r="FM271" s="56"/>
      <c r="FN271" s="56"/>
      <c r="FO271" s="56"/>
      <c r="FP271" s="56"/>
      <c r="FQ271" s="56"/>
      <c r="FR271" s="56"/>
      <c r="FS271" s="56"/>
      <c r="FT271" s="56"/>
      <c r="FU271" s="56"/>
      <c r="FV271" s="56"/>
      <c r="FW271" s="56"/>
      <c r="FX271" s="56"/>
      <c r="FY271" s="56"/>
      <c r="FZ271" s="56"/>
      <c r="GA271" s="56"/>
      <c r="GB271" s="56"/>
      <c r="GC271" s="56"/>
      <c r="GD271" s="56"/>
      <c r="GE271" s="56"/>
      <c r="GF271" s="56"/>
      <c r="GG271" s="56"/>
      <c r="GH271" s="56"/>
      <c r="GI271" s="56"/>
      <c r="GJ271" s="56"/>
      <c r="GK271" s="56"/>
      <c r="GL271" s="56"/>
      <c r="GM271" s="56"/>
      <c r="GN271" s="56"/>
      <c r="GO271" s="56"/>
      <c r="GP271" s="56"/>
      <c r="GQ271" s="56"/>
      <c r="GR271" s="56"/>
      <c r="GS271" s="56"/>
      <c r="GT271" s="56"/>
      <c r="GU271" s="56"/>
      <c r="GV271" s="56"/>
      <c r="GW271" s="56"/>
      <c r="GX271" s="56"/>
      <c r="GY271" s="56"/>
      <c r="GZ271" s="56"/>
      <c r="HA271" s="56"/>
      <c r="HB271" s="56"/>
      <c r="HC271" s="56"/>
      <c r="HD271" s="56"/>
      <c r="HE271" s="56"/>
      <c r="HF271" s="56"/>
      <c r="HG271" s="56"/>
      <c r="HH271" s="56"/>
      <c r="HI271" s="56"/>
      <c r="HJ271" s="56"/>
    </row>
    <row r="272" spans="1:218" ht="15.75" customHeight="1" x14ac:dyDescent="0.2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56"/>
      <c r="CJ272" s="56"/>
      <c r="CK272" s="56"/>
      <c r="CL272" s="56"/>
      <c r="CM272" s="56"/>
      <c r="CN272" s="56"/>
      <c r="CO272" s="56"/>
      <c r="CP272" s="56"/>
      <c r="CQ272" s="56"/>
      <c r="CR272" s="56"/>
      <c r="CS272" s="56"/>
      <c r="CT272" s="56"/>
      <c r="CU272" s="56"/>
      <c r="CV272" s="56"/>
      <c r="CW272" s="56"/>
      <c r="CX272" s="56"/>
      <c r="CY272" s="56"/>
      <c r="CZ272" s="56"/>
      <c r="DA272" s="56"/>
      <c r="DB272" s="56"/>
      <c r="DC272" s="56"/>
      <c r="DD272" s="56"/>
      <c r="DE272" s="56"/>
      <c r="DF272" s="56"/>
      <c r="DG272" s="56"/>
      <c r="DH272" s="56"/>
      <c r="DI272" s="56"/>
      <c r="DJ272" s="56"/>
      <c r="DK272" s="56"/>
      <c r="DL272" s="56"/>
      <c r="DM272" s="56"/>
      <c r="DN272" s="56"/>
      <c r="DO272" s="56"/>
      <c r="DP272" s="56"/>
      <c r="DQ272" s="56"/>
      <c r="DR272" s="56"/>
      <c r="DS272" s="56"/>
      <c r="DT272" s="56"/>
      <c r="DU272" s="56"/>
      <c r="DV272" s="56"/>
      <c r="DW272" s="56"/>
      <c r="DX272" s="56"/>
      <c r="DY272" s="56"/>
      <c r="DZ272" s="56"/>
      <c r="EA272" s="56"/>
      <c r="EB272" s="56"/>
      <c r="EC272" s="56"/>
      <c r="ED272" s="56"/>
      <c r="EE272" s="56"/>
      <c r="EF272" s="56"/>
      <c r="EG272" s="56"/>
      <c r="EH272" s="56"/>
      <c r="EI272" s="56"/>
      <c r="EJ272" s="56"/>
      <c r="EK272" s="56"/>
      <c r="EL272" s="56"/>
      <c r="EM272" s="56"/>
      <c r="EN272" s="56"/>
      <c r="EO272" s="56"/>
      <c r="EP272" s="56"/>
      <c r="EQ272" s="56"/>
      <c r="ER272" s="56"/>
      <c r="ES272" s="56"/>
      <c r="ET272" s="56"/>
      <c r="EU272" s="56"/>
      <c r="EV272" s="56"/>
      <c r="EW272" s="56"/>
      <c r="EX272" s="56"/>
      <c r="EY272" s="56"/>
      <c r="EZ272" s="56"/>
      <c r="FA272" s="56"/>
      <c r="FB272" s="56"/>
      <c r="FC272" s="56"/>
      <c r="FD272" s="56"/>
      <c r="FE272" s="56"/>
      <c r="FF272" s="56"/>
      <c r="FG272" s="56"/>
      <c r="FH272" s="56"/>
      <c r="FI272" s="56"/>
      <c r="FJ272" s="56"/>
      <c r="FK272" s="56"/>
      <c r="FL272" s="56"/>
      <c r="FM272" s="56"/>
      <c r="FN272" s="56"/>
      <c r="FO272" s="56"/>
      <c r="FP272" s="56"/>
      <c r="FQ272" s="56"/>
      <c r="FR272" s="56"/>
      <c r="FS272" s="56"/>
      <c r="FT272" s="56"/>
      <c r="FU272" s="56"/>
      <c r="FV272" s="56"/>
      <c r="FW272" s="56"/>
      <c r="FX272" s="56"/>
      <c r="FY272" s="56"/>
      <c r="FZ272" s="56"/>
      <c r="GA272" s="56"/>
      <c r="GB272" s="56"/>
      <c r="GC272" s="56"/>
      <c r="GD272" s="56"/>
      <c r="GE272" s="56"/>
      <c r="GF272" s="56"/>
      <c r="GG272" s="56"/>
      <c r="GH272" s="56"/>
      <c r="GI272" s="56"/>
      <c r="GJ272" s="56"/>
      <c r="GK272" s="56"/>
      <c r="GL272" s="56"/>
      <c r="GM272" s="56"/>
      <c r="GN272" s="56"/>
      <c r="GO272" s="56"/>
      <c r="GP272" s="56"/>
      <c r="GQ272" s="56"/>
      <c r="GR272" s="56"/>
      <c r="GS272" s="56"/>
      <c r="GT272" s="56"/>
      <c r="GU272" s="56"/>
      <c r="GV272" s="56"/>
      <c r="GW272" s="56"/>
      <c r="GX272" s="56"/>
      <c r="GY272" s="56"/>
      <c r="GZ272" s="56"/>
      <c r="HA272" s="56"/>
      <c r="HB272" s="56"/>
      <c r="HC272" s="56"/>
      <c r="HD272" s="56"/>
      <c r="HE272" s="56"/>
      <c r="HF272" s="56"/>
      <c r="HG272" s="56"/>
      <c r="HH272" s="56"/>
      <c r="HI272" s="56"/>
      <c r="HJ272" s="56"/>
    </row>
    <row r="273" spans="1:218" ht="15.75" customHeight="1" x14ac:dyDescent="0.2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56"/>
      <c r="CJ273" s="56"/>
      <c r="CK273" s="56"/>
      <c r="CL273" s="56"/>
      <c r="CM273" s="56"/>
      <c r="CN273" s="56"/>
      <c r="CO273" s="56"/>
      <c r="CP273" s="56"/>
      <c r="CQ273" s="56"/>
      <c r="CR273" s="56"/>
      <c r="CS273" s="56"/>
      <c r="CT273" s="56"/>
      <c r="CU273" s="56"/>
      <c r="CV273" s="56"/>
      <c r="CW273" s="56"/>
      <c r="CX273" s="56"/>
      <c r="CY273" s="56"/>
      <c r="CZ273" s="56"/>
      <c r="DA273" s="56"/>
      <c r="DB273" s="56"/>
      <c r="DC273" s="56"/>
      <c r="DD273" s="56"/>
      <c r="DE273" s="56"/>
      <c r="DF273" s="56"/>
      <c r="DG273" s="56"/>
      <c r="DH273" s="56"/>
      <c r="DI273" s="56"/>
      <c r="DJ273" s="56"/>
      <c r="DK273" s="56"/>
      <c r="DL273" s="56"/>
      <c r="DM273" s="56"/>
      <c r="DN273" s="56"/>
      <c r="DO273" s="56"/>
      <c r="DP273" s="56"/>
      <c r="DQ273" s="56"/>
      <c r="DR273" s="56"/>
      <c r="DS273" s="56"/>
      <c r="DT273" s="56"/>
      <c r="DU273" s="56"/>
      <c r="DV273" s="56"/>
      <c r="DW273" s="56"/>
      <c r="DX273" s="56"/>
      <c r="DY273" s="56"/>
      <c r="DZ273" s="56"/>
      <c r="EA273" s="56"/>
      <c r="EB273" s="56"/>
      <c r="EC273" s="56"/>
      <c r="ED273" s="56"/>
      <c r="EE273" s="56"/>
      <c r="EF273" s="56"/>
      <c r="EG273" s="56"/>
      <c r="EH273" s="56"/>
      <c r="EI273" s="56"/>
      <c r="EJ273" s="56"/>
      <c r="EK273" s="56"/>
      <c r="EL273" s="56"/>
      <c r="EM273" s="56"/>
      <c r="EN273" s="56"/>
      <c r="EO273" s="56"/>
      <c r="EP273" s="56"/>
      <c r="EQ273" s="56"/>
      <c r="ER273" s="56"/>
      <c r="ES273" s="56"/>
      <c r="ET273" s="56"/>
      <c r="EU273" s="56"/>
      <c r="EV273" s="56"/>
      <c r="EW273" s="56"/>
      <c r="EX273" s="56"/>
      <c r="EY273" s="56"/>
      <c r="EZ273" s="56"/>
      <c r="FA273" s="56"/>
      <c r="FB273" s="56"/>
      <c r="FC273" s="56"/>
      <c r="FD273" s="56"/>
      <c r="FE273" s="56"/>
      <c r="FF273" s="56"/>
      <c r="FG273" s="56"/>
      <c r="FH273" s="56"/>
      <c r="FI273" s="56"/>
      <c r="FJ273" s="56"/>
      <c r="FK273" s="56"/>
      <c r="FL273" s="56"/>
      <c r="FM273" s="56"/>
      <c r="FN273" s="56"/>
      <c r="FO273" s="56"/>
      <c r="FP273" s="56"/>
      <c r="FQ273" s="56"/>
      <c r="FR273" s="56"/>
      <c r="FS273" s="56"/>
      <c r="FT273" s="56"/>
      <c r="FU273" s="56"/>
      <c r="FV273" s="56"/>
      <c r="FW273" s="56"/>
      <c r="FX273" s="56"/>
      <c r="FY273" s="56"/>
      <c r="FZ273" s="56"/>
      <c r="GA273" s="56"/>
      <c r="GB273" s="56"/>
      <c r="GC273" s="56"/>
      <c r="GD273" s="56"/>
      <c r="GE273" s="56"/>
      <c r="GF273" s="56"/>
      <c r="GG273" s="56"/>
      <c r="GH273" s="56"/>
      <c r="GI273" s="56"/>
      <c r="GJ273" s="56"/>
      <c r="GK273" s="56"/>
      <c r="GL273" s="56"/>
      <c r="GM273" s="56"/>
      <c r="GN273" s="56"/>
      <c r="GO273" s="56"/>
      <c r="GP273" s="56"/>
      <c r="GQ273" s="56"/>
      <c r="GR273" s="56"/>
      <c r="GS273" s="56"/>
      <c r="GT273" s="56"/>
      <c r="GU273" s="56"/>
      <c r="GV273" s="56"/>
      <c r="GW273" s="56"/>
      <c r="GX273" s="56"/>
      <c r="GY273" s="56"/>
      <c r="GZ273" s="56"/>
      <c r="HA273" s="56"/>
      <c r="HB273" s="56"/>
      <c r="HC273" s="56"/>
      <c r="HD273" s="56"/>
      <c r="HE273" s="56"/>
      <c r="HF273" s="56"/>
      <c r="HG273" s="56"/>
      <c r="HH273" s="56"/>
      <c r="HI273" s="56"/>
      <c r="HJ273" s="56"/>
    </row>
    <row r="274" spans="1:218" ht="15.75" customHeight="1" x14ac:dyDescent="0.2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56"/>
      <c r="CP274" s="56"/>
      <c r="CQ274" s="56"/>
      <c r="CR274" s="56"/>
      <c r="CS274" s="56"/>
      <c r="CT274" s="56"/>
      <c r="CU274" s="56"/>
      <c r="CV274" s="56"/>
      <c r="CW274" s="56"/>
      <c r="CX274" s="56"/>
      <c r="CY274" s="56"/>
      <c r="CZ274" s="56"/>
      <c r="DA274" s="56"/>
      <c r="DB274" s="56"/>
      <c r="DC274" s="56"/>
      <c r="DD274" s="56"/>
      <c r="DE274" s="56"/>
      <c r="DF274" s="56"/>
      <c r="DG274" s="56"/>
      <c r="DH274" s="56"/>
      <c r="DI274" s="56"/>
      <c r="DJ274" s="56"/>
      <c r="DK274" s="56"/>
      <c r="DL274" s="56"/>
      <c r="DM274" s="56"/>
      <c r="DN274" s="56"/>
      <c r="DO274" s="56"/>
      <c r="DP274" s="56"/>
      <c r="DQ274" s="56"/>
      <c r="DR274" s="56"/>
      <c r="DS274" s="56"/>
      <c r="DT274" s="56"/>
      <c r="DU274" s="56"/>
      <c r="DV274" s="56"/>
      <c r="DW274" s="56"/>
      <c r="DX274" s="56"/>
      <c r="DY274" s="56"/>
      <c r="DZ274" s="56"/>
      <c r="EA274" s="56"/>
      <c r="EB274" s="56"/>
      <c r="EC274" s="56"/>
      <c r="ED274" s="56"/>
      <c r="EE274" s="56"/>
      <c r="EF274" s="56"/>
      <c r="EG274" s="56"/>
      <c r="EH274" s="56"/>
      <c r="EI274" s="56"/>
      <c r="EJ274" s="56"/>
      <c r="EK274" s="56"/>
      <c r="EL274" s="56"/>
      <c r="EM274" s="56"/>
      <c r="EN274" s="56"/>
      <c r="EO274" s="56"/>
      <c r="EP274" s="56"/>
      <c r="EQ274" s="56"/>
      <c r="ER274" s="56"/>
      <c r="ES274" s="56"/>
      <c r="ET274" s="56"/>
      <c r="EU274" s="56"/>
      <c r="EV274" s="56"/>
      <c r="EW274" s="56"/>
      <c r="EX274" s="56"/>
      <c r="EY274" s="56"/>
      <c r="EZ274" s="56"/>
      <c r="FA274" s="56"/>
      <c r="FB274" s="56"/>
      <c r="FC274" s="56"/>
      <c r="FD274" s="56"/>
      <c r="FE274" s="56"/>
      <c r="FF274" s="56"/>
      <c r="FG274" s="56"/>
      <c r="FH274" s="56"/>
      <c r="FI274" s="56"/>
      <c r="FJ274" s="56"/>
      <c r="FK274" s="56"/>
      <c r="FL274" s="56"/>
      <c r="FM274" s="56"/>
      <c r="FN274" s="56"/>
      <c r="FO274" s="56"/>
      <c r="FP274" s="56"/>
      <c r="FQ274" s="56"/>
      <c r="FR274" s="56"/>
      <c r="FS274" s="56"/>
      <c r="FT274" s="56"/>
      <c r="FU274" s="56"/>
      <c r="FV274" s="56"/>
      <c r="FW274" s="56"/>
      <c r="FX274" s="56"/>
      <c r="FY274" s="56"/>
      <c r="FZ274" s="56"/>
      <c r="GA274" s="56"/>
      <c r="GB274" s="56"/>
      <c r="GC274" s="56"/>
      <c r="GD274" s="56"/>
      <c r="GE274" s="56"/>
      <c r="GF274" s="56"/>
      <c r="GG274" s="56"/>
      <c r="GH274" s="56"/>
      <c r="GI274" s="56"/>
      <c r="GJ274" s="56"/>
      <c r="GK274" s="56"/>
      <c r="GL274" s="56"/>
      <c r="GM274" s="56"/>
      <c r="GN274" s="56"/>
      <c r="GO274" s="56"/>
      <c r="GP274" s="56"/>
      <c r="GQ274" s="56"/>
      <c r="GR274" s="56"/>
      <c r="GS274" s="56"/>
      <c r="GT274" s="56"/>
      <c r="GU274" s="56"/>
      <c r="GV274" s="56"/>
      <c r="GW274" s="56"/>
      <c r="GX274" s="56"/>
      <c r="GY274" s="56"/>
      <c r="GZ274" s="56"/>
      <c r="HA274" s="56"/>
      <c r="HB274" s="56"/>
      <c r="HC274" s="56"/>
      <c r="HD274" s="56"/>
      <c r="HE274" s="56"/>
      <c r="HF274" s="56"/>
      <c r="HG274" s="56"/>
      <c r="HH274" s="56"/>
      <c r="HI274" s="56"/>
      <c r="HJ274" s="56"/>
    </row>
    <row r="275" spans="1:218" ht="15.75" customHeight="1" x14ac:dyDescent="0.2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  <c r="CL275" s="56"/>
      <c r="CM275" s="56"/>
      <c r="CN275" s="56"/>
      <c r="CO275" s="56"/>
      <c r="CP275" s="56"/>
      <c r="CQ275" s="56"/>
      <c r="CR275" s="56"/>
      <c r="CS275" s="56"/>
      <c r="CT275" s="56"/>
      <c r="CU275" s="56"/>
      <c r="CV275" s="56"/>
      <c r="CW275" s="56"/>
      <c r="CX275" s="56"/>
      <c r="CY275" s="56"/>
      <c r="CZ275" s="56"/>
      <c r="DA275" s="56"/>
      <c r="DB275" s="56"/>
      <c r="DC275" s="56"/>
      <c r="DD275" s="56"/>
      <c r="DE275" s="56"/>
      <c r="DF275" s="56"/>
      <c r="DG275" s="56"/>
      <c r="DH275" s="56"/>
      <c r="DI275" s="56"/>
      <c r="DJ275" s="56"/>
      <c r="DK275" s="56"/>
      <c r="DL275" s="56"/>
      <c r="DM275" s="56"/>
      <c r="DN275" s="56"/>
      <c r="DO275" s="56"/>
      <c r="DP275" s="56"/>
      <c r="DQ275" s="56"/>
      <c r="DR275" s="56"/>
      <c r="DS275" s="56"/>
      <c r="DT275" s="56"/>
      <c r="DU275" s="56"/>
      <c r="DV275" s="56"/>
      <c r="DW275" s="56"/>
      <c r="DX275" s="56"/>
      <c r="DY275" s="56"/>
      <c r="DZ275" s="56"/>
      <c r="EA275" s="56"/>
      <c r="EB275" s="56"/>
      <c r="EC275" s="56"/>
      <c r="ED275" s="56"/>
      <c r="EE275" s="56"/>
      <c r="EF275" s="56"/>
      <c r="EG275" s="56"/>
      <c r="EH275" s="56"/>
      <c r="EI275" s="56"/>
      <c r="EJ275" s="56"/>
      <c r="EK275" s="56"/>
      <c r="EL275" s="56"/>
      <c r="EM275" s="56"/>
      <c r="EN275" s="56"/>
      <c r="EO275" s="56"/>
      <c r="EP275" s="56"/>
      <c r="EQ275" s="56"/>
      <c r="ER275" s="56"/>
      <c r="ES275" s="56"/>
      <c r="ET275" s="56"/>
      <c r="EU275" s="56"/>
      <c r="EV275" s="56"/>
      <c r="EW275" s="56"/>
      <c r="EX275" s="56"/>
      <c r="EY275" s="56"/>
      <c r="EZ275" s="56"/>
      <c r="FA275" s="56"/>
      <c r="FB275" s="56"/>
      <c r="FC275" s="56"/>
      <c r="FD275" s="56"/>
      <c r="FE275" s="56"/>
      <c r="FF275" s="56"/>
      <c r="FG275" s="56"/>
      <c r="FH275" s="56"/>
      <c r="FI275" s="56"/>
      <c r="FJ275" s="56"/>
      <c r="FK275" s="56"/>
      <c r="FL275" s="56"/>
      <c r="FM275" s="56"/>
      <c r="FN275" s="56"/>
      <c r="FO275" s="56"/>
      <c r="FP275" s="56"/>
      <c r="FQ275" s="56"/>
      <c r="FR275" s="56"/>
      <c r="FS275" s="56"/>
      <c r="FT275" s="56"/>
      <c r="FU275" s="56"/>
      <c r="FV275" s="56"/>
      <c r="FW275" s="56"/>
      <c r="FX275" s="56"/>
      <c r="FY275" s="56"/>
      <c r="FZ275" s="56"/>
      <c r="GA275" s="56"/>
      <c r="GB275" s="56"/>
      <c r="GC275" s="56"/>
      <c r="GD275" s="56"/>
      <c r="GE275" s="56"/>
      <c r="GF275" s="56"/>
      <c r="GG275" s="56"/>
      <c r="GH275" s="56"/>
      <c r="GI275" s="56"/>
      <c r="GJ275" s="56"/>
      <c r="GK275" s="56"/>
      <c r="GL275" s="56"/>
      <c r="GM275" s="56"/>
      <c r="GN275" s="56"/>
      <c r="GO275" s="56"/>
      <c r="GP275" s="56"/>
      <c r="GQ275" s="56"/>
      <c r="GR275" s="56"/>
      <c r="GS275" s="56"/>
      <c r="GT275" s="56"/>
      <c r="GU275" s="56"/>
      <c r="GV275" s="56"/>
      <c r="GW275" s="56"/>
      <c r="GX275" s="56"/>
      <c r="GY275" s="56"/>
      <c r="GZ275" s="56"/>
      <c r="HA275" s="56"/>
      <c r="HB275" s="56"/>
      <c r="HC275" s="56"/>
      <c r="HD275" s="56"/>
      <c r="HE275" s="56"/>
      <c r="HF275" s="56"/>
      <c r="HG275" s="56"/>
      <c r="HH275" s="56"/>
      <c r="HI275" s="56"/>
      <c r="HJ275" s="56"/>
    </row>
    <row r="276" spans="1:218" ht="15.75" customHeight="1" x14ac:dyDescent="0.2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  <c r="CL276" s="56"/>
      <c r="CM276" s="56"/>
      <c r="CN276" s="56"/>
      <c r="CO276" s="56"/>
      <c r="CP276" s="56"/>
      <c r="CQ276" s="56"/>
      <c r="CR276" s="56"/>
      <c r="CS276" s="56"/>
      <c r="CT276" s="56"/>
      <c r="CU276" s="56"/>
      <c r="CV276" s="56"/>
      <c r="CW276" s="56"/>
      <c r="CX276" s="56"/>
      <c r="CY276" s="56"/>
      <c r="CZ276" s="56"/>
      <c r="DA276" s="56"/>
      <c r="DB276" s="56"/>
      <c r="DC276" s="56"/>
      <c r="DD276" s="56"/>
      <c r="DE276" s="56"/>
      <c r="DF276" s="56"/>
      <c r="DG276" s="56"/>
      <c r="DH276" s="56"/>
      <c r="DI276" s="56"/>
      <c r="DJ276" s="56"/>
      <c r="DK276" s="56"/>
      <c r="DL276" s="56"/>
      <c r="DM276" s="56"/>
      <c r="DN276" s="56"/>
      <c r="DO276" s="56"/>
      <c r="DP276" s="56"/>
      <c r="DQ276" s="56"/>
      <c r="DR276" s="56"/>
      <c r="DS276" s="56"/>
      <c r="DT276" s="56"/>
      <c r="DU276" s="56"/>
      <c r="DV276" s="56"/>
      <c r="DW276" s="56"/>
      <c r="DX276" s="56"/>
      <c r="DY276" s="56"/>
      <c r="DZ276" s="56"/>
      <c r="EA276" s="56"/>
      <c r="EB276" s="56"/>
      <c r="EC276" s="56"/>
      <c r="ED276" s="56"/>
      <c r="EE276" s="56"/>
      <c r="EF276" s="56"/>
      <c r="EG276" s="56"/>
      <c r="EH276" s="56"/>
      <c r="EI276" s="56"/>
      <c r="EJ276" s="56"/>
      <c r="EK276" s="56"/>
      <c r="EL276" s="56"/>
      <c r="EM276" s="56"/>
      <c r="EN276" s="56"/>
      <c r="EO276" s="56"/>
      <c r="EP276" s="56"/>
      <c r="EQ276" s="56"/>
      <c r="ER276" s="56"/>
      <c r="ES276" s="56"/>
      <c r="ET276" s="56"/>
      <c r="EU276" s="56"/>
      <c r="EV276" s="56"/>
      <c r="EW276" s="56"/>
      <c r="EX276" s="56"/>
      <c r="EY276" s="56"/>
      <c r="EZ276" s="56"/>
      <c r="FA276" s="56"/>
      <c r="FB276" s="56"/>
      <c r="FC276" s="56"/>
      <c r="FD276" s="56"/>
      <c r="FE276" s="56"/>
      <c r="FF276" s="56"/>
      <c r="FG276" s="56"/>
      <c r="FH276" s="56"/>
      <c r="FI276" s="56"/>
      <c r="FJ276" s="56"/>
      <c r="FK276" s="56"/>
      <c r="FL276" s="56"/>
      <c r="FM276" s="56"/>
      <c r="FN276" s="56"/>
      <c r="FO276" s="56"/>
      <c r="FP276" s="56"/>
      <c r="FQ276" s="56"/>
      <c r="FR276" s="56"/>
      <c r="FS276" s="56"/>
      <c r="FT276" s="56"/>
      <c r="FU276" s="56"/>
      <c r="FV276" s="56"/>
      <c r="FW276" s="56"/>
      <c r="FX276" s="56"/>
      <c r="FY276" s="56"/>
      <c r="FZ276" s="56"/>
      <c r="GA276" s="56"/>
      <c r="GB276" s="56"/>
      <c r="GC276" s="56"/>
      <c r="GD276" s="56"/>
      <c r="GE276" s="56"/>
      <c r="GF276" s="56"/>
      <c r="GG276" s="56"/>
      <c r="GH276" s="56"/>
      <c r="GI276" s="56"/>
      <c r="GJ276" s="56"/>
      <c r="GK276" s="56"/>
      <c r="GL276" s="56"/>
      <c r="GM276" s="56"/>
      <c r="GN276" s="56"/>
      <c r="GO276" s="56"/>
      <c r="GP276" s="56"/>
      <c r="GQ276" s="56"/>
      <c r="GR276" s="56"/>
      <c r="GS276" s="56"/>
      <c r="GT276" s="56"/>
      <c r="GU276" s="56"/>
      <c r="GV276" s="56"/>
      <c r="GW276" s="56"/>
      <c r="GX276" s="56"/>
      <c r="GY276" s="56"/>
      <c r="GZ276" s="56"/>
      <c r="HA276" s="56"/>
      <c r="HB276" s="56"/>
      <c r="HC276" s="56"/>
      <c r="HD276" s="56"/>
      <c r="HE276" s="56"/>
      <c r="HF276" s="56"/>
      <c r="HG276" s="56"/>
      <c r="HH276" s="56"/>
      <c r="HI276" s="56"/>
      <c r="HJ276" s="56"/>
    </row>
    <row r="277" spans="1:218" ht="15.75" customHeight="1" x14ac:dyDescent="0.2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  <c r="CZ277" s="56"/>
      <c r="DA277" s="56"/>
      <c r="DB277" s="56"/>
      <c r="DC277" s="56"/>
      <c r="DD277" s="56"/>
      <c r="DE277" s="56"/>
      <c r="DF277" s="56"/>
      <c r="DG277" s="56"/>
      <c r="DH277" s="56"/>
      <c r="DI277" s="56"/>
      <c r="DJ277" s="56"/>
      <c r="DK277" s="56"/>
      <c r="DL277" s="56"/>
      <c r="DM277" s="56"/>
      <c r="DN277" s="56"/>
      <c r="DO277" s="56"/>
      <c r="DP277" s="56"/>
      <c r="DQ277" s="56"/>
      <c r="DR277" s="56"/>
      <c r="DS277" s="56"/>
      <c r="DT277" s="56"/>
      <c r="DU277" s="56"/>
      <c r="DV277" s="56"/>
      <c r="DW277" s="56"/>
      <c r="DX277" s="56"/>
      <c r="DY277" s="56"/>
      <c r="DZ277" s="56"/>
      <c r="EA277" s="56"/>
      <c r="EB277" s="56"/>
      <c r="EC277" s="56"/>
      <c r="ED277" s="56"/>
      <c r="EE277" s="56"/>
      <c r="EF277" s="56"/>
      <c r="EG277" s="56"/>
      <c r="EH277" s="56"/>
      <c r="EI277" s="56"/>
      <c r="EJ277" s="56"/>
      <c r="EK277" s="56"/>
      <c r="EL277" s="56"/>
      <c r="EM277" s="56"/>
      <c r="EN277" s="56"/>
      <c r="EO277" s="56"/>
      <c r="EP277" s="56"/>
      <c r="EQ277" s="56"/>
      <c r="ER277" s="56"/>
      <c r="ES277" s="56"/>
      <c r="ET277" s="56"/>
      <c r="EU277" s="56"/>
      <c r="EV277" s="56"/>
      <c r="EW277" s="56"/>
      <c r="EX277" s="56"/>
      <c r="EY277" s="56"/>
      <c r="EZ277" s="56"/>
      <c r="FA277" s="56"/>
      <c r="FB277" s="56"/>
      <c r="FC277" s="56"/>
      <c r="FD277" s="56"/>
      <c r="FE277" s="56"/>
      <c r="FF277" s="56"/>
      <c r="FG277" s="56"/>
      <c r="FH277" s="56"/>
      <c r="FI277" s="56"/>
      <c r="FJ277" s="56"/>
      <c r="FK277" s="56"/>
      <c r="FL277" s="56"/>
      <c r="FM277" s="56"/>
      <c r="FN277" s="56"/>
      <c r="FO277" s="56"/>
      <c r="FP277" s="56"/>
      <c r="FQ277" s="56"/>
      <c r="FR277" s="56"/>
      <c r="FS277" s="56"/>
      <c r="FT277" s="56"/>
      <c r="FU277" s="56"/>
      <c r="FV277" s="56"/>
      <c r="FW277" s="56"/>
      <c r="FX277" s="56"/>
      <c r="FY277" s="56"/>
      <c r="FZ277" s="56"/>
      <c r="GA277" s="56"/>
      <c r="GB277" s="56"/>
      <c r="GC277" s="56"/>
      <c r="GD277" s="56"/>
      <c r="GE277" s="56"/>
      <c r="GF277" s="56"/>
      <c r="GG277" s="56"/>
      <c r="GH277" s="56"/>
      <c r="GI277" s="56"/>
      <c r="GJ277" s="56"/>
      <c r="GK277" s="56"/>
      <c r="GL277" s="56"/>
      <c r="GM277" s="56"/>
      <c r="GN277" s="56"/>
      <c r="GO277" s="56"/>
      <c r="GP277" s="56"/>
      <c r="GQ277" s="56"/>
      <c r="GR277" s="56"/>
      <c r="GS277" s="56"/>
      <c r="GT277" s="56"/>
      <c r="GU277" s="56"/>
      <c r="GV277" s="56"/>
      <c r="GW277" s="56"/>
      <c r="GX277" s="56"/>
      <c r="GY277" s="56"/>
      <c r="GZ277" s="56"/>
      <c r="HA277" s="56"/>
      <c r="HB277" s="56"/>
      <c r="HC277" s="56"/>
      <c r="HD277" s="56"/>
      <c r="HE277" s="56"/>
      <c r="HF277" s="56"/>
      <c r="HG277" s="56"/>
      <c r="HH277" s="56"/>
      <c r="HI277" s="56"/>
      <c r="HJ277" s="56"/>
    </row>
    <row r="278" spans="1:218" ht="15.75" customHeight="1" x14ac:dyDescent="0.2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  <c r="BV278" s="56"/>
      <c r="BW278" s="56"/>
      <c r="BX278" s="56"/>
      <c r="BY278" s="56"/>
      <c r="BZ278" s="56"/>
      <c r="CA278" s="56"/>
      <c r="CB278" s="56"/>
      <c r="CC278" s="56"/>
      <c r="CD278" s="56"/>
      <c r="CE278" s="56"/>
      <c r="CF278" s="56"/>
      <c r="CG278" s="56"/>
      <c r="CH278" s="56"/>
      <c r="CI278" s="56"/>
      <c r="CJ278" s="56"/>
      <c r="CK278" s="56"/>
      <c r="CL278" s="56"/>
      <c r="CM278" s="56"/>
      <c r="CN278" s="56"/>
      <c r="CO278" s="56"/>
      <c r="CP278" s="56"/>
      <c r="CQ278" s="56"/>
      <c r="CR278" s="56"/>
      <c r="CS278" s="56"/>
      <c r="CT278" s="56"/>
      <c r="CU278" s="56"/>
      <c r="CV278" s="56"/>
      <c r="CW278" s="56"/>
      <c r="CX278" s="56"/>
      <c r="CY278" s="56"/>
      <c r="CZ278" s="56"/>
      <c r="DA278" s="56"/>
      <c r="DB278" s="56"/>
      <c r="DC278" s="56"/>
      <c r="DD278" s="56"/>
      <c r="DE278" s="56"/>
      <c r="DF278" s="56"/>
      <c r="DG278" s="56"/>
      <c r="DH278" s="56"/>
      <c r="DI278" s="56"/>
      <c r="DJ278" s="56"/>
      <c r="DK278" s="56"/>
      <c r="DL278" s="56"/>
      <c r="DM278" s="56"/>
      <c r="DN278" s="56"/>
      <c r="DO278" s="56"/>
      <c r="DP278" s="56"/>
      <c r="DQ278" s="56"/>
      <c r="DR278" s="56"/>
      <c r="DS278" s="56"/>
      <c r="DT278" s="56"/>
      <c r="DU278" s="56"/>
      <c r="DV278" s="56"/>
      <c r="DW278" s="56"/>
      <c r="DX278" s="56"/>
      <c r="DY278" s="56"/>
      <c r="DZ278" s="56"/>
      <c r="EA278" s="56"/>
      <c r="EB278" s="56"/>
      <c r="EC278" s="56"/>
      <c r="ED278" s="56"/>
      <c r="EE278" s="56"/>
      <c r="EF278" s="56"/>
      <c r="EG278" s="56"/>
      <c r="EH278" s="56"/>
      <c r="EI278" s="56"/>
      <c r="EJ278" s="56"/>
      <c r="EK278" s="56"/>
      <c r="EL278" s="56"/>
      <c r="EM278" s="56"/>
      <c r="EN278" s="56"/>
      <c r="EO278" s="56"/>
      <c r="EP278" s="56"/>
      <c r="EQ278" s="56"/>
      <c r="ER278" s="56"/>
      <c r="ES278" s="56"/>
      <c r="ET278" s="56"/>
      <c r="EU278" s="56"/>
      <c r="EV278" s="56"/>
      <c r="EW278" s="56"/>
      <c r="EX278" s="56"/>
      <c r="EY278" s="56"/>
      <c r="EZ278" s="56"/>
      <c r="FA278" s="56"/>
      <c r="FB278" s="56"/>
      <c r="FC278" s="56"/>
      <c r="FD278" s="56"/>
      <c r="FE278" s="56"/>
      <c r="FF278" s="56"/>
      <c r="FG278" s="56"/>
      <c r="FH278" s="56"/>
      <c r="FI278" s="56"/>
      <c r="FJ278" s="56"/>
      <c r="FK278" s="56"/>
      <c r="FL278" s="56"/>
      <c r="FM278" s="56"/>
      <c r="FN278" s="56"/>
      <c r="FO278" s="56"/>
      <c r="FP278" s="56"/>
      <c r="FQ278" s="56"/>
      <c r="FR278" s="56"/>
      <c r="FS278" s="56"/>
      <c r="FT278" s="56"/>
      <c r="FU278" s="56"/>
      <c r="FV278" s="56"/>
      <c r="FW278" s="56"/>
      <c r="FX278" s="56"/>
      <c r="FY278" s="56"/>
      <c r="FZ278" s="56"/>
      <c r="GA278" s="56"/>
      <c r="GB278" s="56"/>
      <c r="GC278" s="56"/>
      <c r="GD278" s="56"/>
      <c r="GE278" s="56"/>
      <c r="GF278" s="56"/>
      <c r="GG278" s="56"/>
      <c r="GH278" s="56"/>
      <c r="GI278" s="56"/>
      <c r="GJ278" s="56"/>
      <c r="GK278" s="56"/>
      <c r="GL278" s="56"/>
      <c r="GM278" s="56"/>
      <c r="GN278" s="56"/>
      <c r="GO278" s="56"/>
      <c r="GP278" s="56"/>
      <c r="GQ278" s="56"/>
      <c r="GR278" s="56"/>
      <c r="GS278" s="56"/>
      <c r="GT278" s="56"/>
      <c r="GU278" s="56"/>
      <c r="GV278" s="56"/>
      <c r="GW278" s="56"/>
      <c r="GX278" s="56"/>
      <c r="GY278" s="56"/>
      <c r="GZ278" s="56"/>
      <c r="HA278" s="56"/>
      <c r="HB278" s="56"/>
      <c r="HC278" s="56"/>
      <c r="HD278" s="56"/>
      <c r="HE278" s="56"/>
      <c r="HF278" s="56"/>
      <c r="HG278" s="56"/>
      <c r="HH278" s="56"/>
      <c r="HI278" s="56"/>
      <c r="HJ278" s="56"/>
    </row>
    <row r="279" spans="1:218" ht="15.75" customHeight="1" x14ac:dyDescent="0.2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  <c r="CS279" s="56"/>
      <c r="CT279" s="56"/>
      <c r="CU279" s="56"/>
      <c r="CV279" s="56"/>
      <c r="CW279" s="56"/>
      <c r="CX279" s="56"/>
      <c r="CY279" s="56"/>
      <c r="CZ279" s="56"/>
      <c r="DA279" s="56"/>
      <c r="DB279" s="56"/>
      <c r="DC279" s="56"/>
      <c r="DD279" s="56"/>
      <c r="DE279" s="56"/>
      <c r="DF279" s="56"/>
      <c r="DG279" s="56"/>
      <c r="DH279" s="56"/>
      <c r="DI279" s="56"/>
      <c r="DJ279" s="56"/>
      <c r="DK279" s="56"/>
      <c r="DL279" s="56"/>
      <c r="DM279" s="56"/>
      <c r="DN279" s="56"/>
      <c r="DO279" s="56"/>
      <c r="DP279" s="56"/>
      <c r="DQ279" s="56"/>
      <c r="DR279" s="56"/>
      <c r="DS279" s="56"/>
      <c r="DT279" s="56"/>
      <c r="DU279" s="56"/>
      <c r="DV279" s="56"/>
      <c r="DW279" s="56"/>
      <c r="DX279" s="56"/>
      <c r="DY279" s="56"/>
      <c r="DZ279" s="56"/>
      <c r="EA279" s="56"/>
      <c r="EB279" s="56"/>
      <c r="EC279" s="56"/>
      <c r="ED279" s="56"/>
      <c r="EE279" s="56"/>
      <c r="EF279" s="56"/>
      <c r="EG279" s="56"/>
      <c r="EH279" s="56"/>
      <c r="EI279" s="56"/>
      <c r="EJ279" s="56"/>
      <c r="EK279" s="56"/>
      <c r="EL279" s="56"/>
      <c r="EM279" s="56"/>
      <c r="EN279" s="56"/>
      <c r="EO279" s="56"/>
      <c r="EP279" s="56"/>
      <c r="EQ279" s="56"/>
      <c r="ER279" s="56"/>
      <c r="ES279" s="56"/>
      <c r="ET279" s="56"/>
      <c r="EU279" s="56"/>
      <c r="EV279" s="56"/>
      <c r="EW279" s="56"/>
      <c r="EX279" s="56"/>
      <c r="EY279" s="56"/>
      <c r="EZ279" s="56"/>
      <c r="FA279" s="56"/>
      <c r="FB279" s="56"/>
      <c r="FC279" s="56"/>
      <c r="FD279" s="56"/>
      <c r="FE279" s="56"/>
      <c r="FF279" s="56"/>
      <c r="FG279" s="56"/>
      <c r="FH279" s="56"/>
      <c r="FI279" s="56"/>
      <c r="FJ279" s="56"/>
      <c r="FK279" s="56"/>
      <c r="FL279" s="56"/>
      <c r="FM279" s="56"/>
      <c r="FN279" s="56"/>
      <c r="FO279" s="56"/>
      <c r="FP279" s="56"/>
      <c r="FQ279" s="56"/>
      <c r="FR279" s="56"/>
      <c r="FS279" s="56"/>
      <c r="FT279" s="56"/>
      <c r="FU279" s="56"/>
      <c r="FV279" s="56"/>
      <c r="FW279" s="56"/>
      <c r="FX279" s="56"/>
      <c r="FY279" s="56"/>
      <c r="FZ279" s="56"/>
      <c r="GA279" s="56"/>
      <c r="GB279" s="56"/>
      <c r="GC279" s="56"/>
      <c r="GD279" s="56"/>
      <c r="GE279" s="56"/>
      <c r="GF279" s="56"/>
      <c r="GG279" s="56"/>
      <c r="GH279" s="56"/>
      <c r="GI279" s="56"/>
      <c r="GJ279" s="56"/>
      <c r="GK279" s="56"/>
      <c r="GL279" s="56"/>
      <c r="GM279" s="56"/>
      <c r="GN279" s="56"/>
      <c r="GO279" s="56"/>
      <c r="GP279" s="56"/>
      <c r="GQ279" s="56"/>
      <c r="GR279" s="56"/>
      <c r="GS279" s="56"/>
      <c r="GT279" s="56"/>
      <c r="GU279" s="56"/>
      <c r="GV279" s="56"/>
      <c r="GW279" s="56"/>
      <c r="GX279" s="56"/>
      <c r="GY279" s="56"/>
      <c r="GZ279" s="56"/>
      <c r="HA279" s="56"/>
      <c r="HB279" s="56"/>
      <c r="HC279" s="56"/>
      <c r="HD279" s="56"/>
      <c r="HE279" s="56"/>
      <c r="HF279" s="56"/>
      <c r="HG279" s="56"/>
      <c r="HH279" s="56"/>
      <c r="HI279" s="56"/>
      <c r="HJ279" s="56"/>
    </row>
    <row r="280" spans="1:218" ht="15.75" customHeight="1" x14ac:dyDescent="0.2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56"/>
      <c r="CP280" s="56"/>
      <c r="CQ280" s="56"/>
      <c r="CR280" s="56"/>
      <c r="CS280" s="56"/>
      <c r="CT280" s="56"/>
      <c r="CU280" s="56"/>
      <c r="CV280" s="56"/>
      <c r="CW280" s="56"/>
      <c r="CX280" s="56"/>
      <c r="CY280" s="56"/>
      <c r="CZ280" s="56"/>
      <c r="DA280" s="56"/>
      <c r="DB280" s="56"/>
      <c r="DC280" s="56"/>
      <c r="DD280" s="56"/>
      <c r="DE280" s="56"/>
      <c r="DF280" s="56"/>
      <c r="DG280" s="56"/>
      <c r="DH280" s="56"/>
      <c r="DI280" s="56"/>
      <c r="DJ280" s="56"/>
      <c r="DK280" s="56"/>
      <c r="DL280" s="56"/>
      <c r="DM280" s="56"/>
      <c r="DN280" s="56"/>
      <c r="DO280" s="56"/>
      <c r="DP280" s="56"/>
      <c r="DQ280" s="56"/>
      <c r="DR280" s="56"/>
      <c r="DS280" s="56"/>
      <c r="DT280" s="56"/>
      <c r="DU280" s="56"/>
      <c r="DV280" s="56"/>
      <c r="DW280" s="56"/>
      <c r="DX280" s="56"/>
      <c r="DY280" s="56"/>
      <c r="DZ280" s="56"/>
      <c r="EA280" s="56"/>
      <c r="EB280" s="56"/>
      <c r="EC280" s="56"/>
      <c r="ED280" s="56"/>
      <c r="EE280" s="56"/>
      <c r="EF280" s="56"/>
      <c r="EG280" s="56"/>
      <c r="EH280" s="56"/>
      <c r="EI280" s="56"/>
      <c r="EJ280" s="56"/>
      <c r="EK280" s="56"/>
      <c r="EL280" s="56"/>
      <c r="EM280" s="56"/>
      <c r="EN280" s="56"/>
      <c r="EO280" s="56"/>
      <c r="EP280" s="56"/>
      <c r="EQ280" s="56"/>
      <c r="ER280" s="56"/>
      <c r="ES280" s="56"/>
      <c r="ET280" s="56"/>
      <c r="EU280" s="56"/>
      <c r="EV280" s="56"/>
      <c r="EW280" s="56"/>
      <c r="EX280" s="56"/>
      <c r="EY280" s="56"/>
      <c r="EZ280" s="56"/>
      <c r="FA280" s="56"/>
      <c r="FB280" s="56"/>
      <c r="FC280" s="56"/>
      <c r="FD280" s="56"/>
      <c r="FE280" s="56"/>
      <c r="FF280" s="56"/>
      <c r="FG280" s="56"/>
      <c r="FH280" s="56"/>
      <c r="FI280" s="56"/>
      <c r="FJ280" s="56"/>
      <c r="FK280" s="56"/>
      <c r="FL280" s="56"/>
      <c r="FM280" s="56"/>
      <c r="FN280" s="56"/>
      <c r="FO280" s="56"/>
      <c r="FP280" s="56"/>
      <c r="FQ280" s="56"/>
      <c r="FR280" s="56"/>
      <c r="FS280" s="56"/>
      <c r="FT280" s="56"/>
      <c r="FU280" s="56"/>
      <c r="FV280" s="56"/>
      <c r="FW280" s="56"/>
      <c r="FX280" s="56"/>
      <c r="FY280" s="56"/>
      <c r="FZ280" s="56"/>
      <c r="GA280" s="56"/>
      <c r="GB280" s="56"/>
      <c r="GC280" s="56"/>
      <c r="GD280" s="56"/>
      <c r="GE280" s="56"/>
      <c r="GF280" s="56"/>
      <c r="GG280" s="56"/>
      <c r="GH280" s="56"/>
      <c r="GI280" s="56"/>
      <c r="GJ280" s="56"/>
      <c r="GK280" s="56"/>
      <c r="GL280" s="56"/>
      <c r="GM280" s="56"/>
      <c r="GN280" s="56"/>
      <c r="GO280" s="56"/>
      <c r="GP280" s="56"/>
      <c r="GQ280" s="56"/>
      <c r="GR280" s="56"/>
      <c r="GS280" s="56"/>
      <c r="GT280" s="56"/>
      <c r="GU280" s="56"/>
      <c r="GV280" s="56"/>
      <c r="GW280" s="56"/>
      <c r="GX280" s="56"/>
      <c r="GY280" s="56"/>
      <c r="GZ280" s="56"/>
      <c r="HA280" s="56"/>
      <c r="HB280" s="56"/>
      <c r="HC280" s="56"/>
      <c r="HD280" s="56"/>
      <c r="HE280" s="56"/>
      <c r="HF280" s="56"/>
      <c r="HG280" s="56"/>
      <c r="HH280" s="56"/>
      <c r="HI280" s="56"/>
      <c r="HJ280" s="56"/>
    </row>
    <row r="281" spans="1:218" ht="15.75" customHeight="1" x14ac:dyDescent="0.2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  <c r="CL281" s="56"/>
      <c r="CM281" s="56"/>
      <c r="CN281" s="56"/>
      <c r="CO281" s="56"/>
      <c r="CP281" s="56"/>
      <c r="CQ281" s="56"/>
      <c r="CR281" s="56"/>
      <c r="CS281" s="56"/>
      <c r="CT281" s="56"/>
      <c r="CU281" s="56"/>
      <c r="CV281" s="56"/>
      <c r="CW281" s="56"/>
      <c r="CX281" s="56"/>
      <c r="CY281" s="56"/>
      <c r="CZ281" s="56"/>
      <c r="DA281" s="56"/>
      <c r="DB281" s="56"/>
      <c r="DC281" s="56"/>
      <c r="DD281" s="56"/>
      <c r="DE281" s="56"/>
      <c r="DF281" s="56"/>
      <c r="DG281" s="56"/>
      <c r="DH281" s="56"/>
      <c r="DI281" s="56"/>
      <c r="DJ281" s="56"/>
      <c r="DK281" s="56"/>
      <c r="DL281" s="56"/>
      <c r="DM281" s="56"/>
      <c r="DN281" s="56"/>
      <c r="DO281" s="56"/>
      <c r="DP281" s="56"/>
      <c r="DQ281" s="56"/>
      <c r="DR281" s="56"/>
      <c r="DS281" s="56"/>
      <c r="DT281" s="56"/>
      <c r="DU281" s="56"/>
      <c r="DV281" s="56"/>
      <c r="DW281" s="56"/>
      <c r="DX281" s="56"/>
      <c r="DY281" s="56"/>
      <c r="DZ281" s="56"/>
      <c r="EA281" s="56"/>
      <c r="EB281" s="56"/>
      <c r="EC281" s="56"/>
      <c r="ED281" s="56"/>
      <c r="EE281" s="56"/>
      <c r="EF281" s="56"/>
      <c r="EG281" s="56"/>
      <c r="EH281" s="56"/>
      <c r="EI281" s="56"/>
      <c r="EJ281" s="56"/>
      <c r="EK281" s="56"/>
      <c r="EL281" s="56"/>
      <c r="EM281" s="56"/>
      <c r="EN281" s="56"/>
      <c r="EO281" s="56"/>
      <c r="EP281" s="56"/>
      <c r="EQ281" s="56"/>
      <c r="ER281" s="56"/>
      <c r="ES281" s="56"/>
      <c r="ET281" s="56"/>
      <c r="EU281" s="56"/>
      <c r="EV281" s="56"/>
      <c r="EW281" s="56"/>
      <c r="EX281" s="56"/>
      <c r="EY281" s="56"/>
      <c r="EZ281" s="56"/>
      <c r="FA281" s="56"/>
      <c r="FB281" s="56"/>
      <c r="FC281" s="56"/>
      <c r="FD281" s="56"/>
      <c r="FE281" s="56"/>
      <c r="FF281" s="56"/>
      <c r="FG281" s="56"/>
      <c r="FH281" s="56"/>
      <c r="FI281" s="56"/>
      <c r="FJ281" s="56"/>
      <c r="FK281" s="56"/>
      <c r="FL281" s="56"/>
      <c r="FM281" s="56"/>
      <c r="FN281" s="56"/>
      <c r="FO281" s="56"/>
      <c r="FP281" s="56"/>
      <c r="FQ281" s="56"/>
      <c r="FR281" s="56"/>
      <c r="FS281" s="56"/>
      <c r="FT281" s="56"/>
      <c r="FU281" s="56"/>
      <c r="FV281" s="56"/>
      <c r="FW281" s="56"/>
      <c r="FX281" s="56"/>
      <c r="FY281" s="56"/>
      <c r="FZ281" s="56"/>
      <c r="GA281" s="56"/>
      <c r="GB281" s="56"/>
      <c r="GC281" s="56"/>
      <c r="GD281" s="56"/>
      <c r="GE281" s="56"/>
      <c r="GF281" s="56"/>
      <c r="GG281" s="56"/>
      <c r="GH281" s="56"/>
      <c r="GI281" s="56"/>
      <c r="GJ281" s="56"/>
      <c r="GK281" s="56"/>
      <c r="GL281" s="56"/>
      <c r="GM281" s="56"/>
      <c r="GN281" s="56"/>
      <c r="GO281" s="56"/>
      <c r="GP281" s="56"/>
      <c r="GQ281" s="56"/>
      <c r="GR281" s="56"/>
      <c r="GS281" s="56"/>
      <c r="GT281" s="56"/>
      <c r="GU281" s="56"/>
      <c r="GV281" s="56"/>
      <c r="GW281" s="56"/>
      <c r="GX281" s="56"/>
      <c r="GY281" s="56"/>
      <c r="GZ281" s="56"/>
      <c r="HA281" s="56"/>
      <c r="HB281" s="56"/>
      <c r="HC281" s="56"/>
      <c r="HD281" s="56"/>
      <c r="HE281" s="56"/>
      <c r="HF281" s="56"/>
      <c r="HG281" s="56"/>
      <c r="HH281" s="56"/>
      <c r="HI281" s="56"/>
      <c r="HJ281" s="56"/>
    </row>
    <row r="282" spans="1:218" ht="15.75" customHeight="1" x14ac:dyDescent="0.2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  <c r="CL282" s="56"/>
      <c r="CM282" s="56"/>
      <c r="CN282" s="56"/>
      <c r="CO282" s="56"/>
      <c r="CP282" s="56"/>
      <c r="CQ282" s="56"/>
      <c r="CR282" s="56"/>
      <c r="CS282" s="56"/>
      <c r="CT282" s="56"/>
      <c r="CU282" s="56"/>
      <c r="CV282" s="56"/>
      <c r="CW282" s="56"/>
      <c r="CX282" s="56"/>
      <c r="CY282" s="56"/>
      <c r="CZ282" s="56"/>
      <c r="DA282" s="56"/>
      <c r="DB282" s="56"/>
      <c r="DC282" s="56"/>
      <c r="DD282" s="56"/>
      <c r="DE282" s="56"/>
      <c r="DF282" s="56"/>
      <c r="DG282" s="56"/>
      <c r="DH282" s="56"/>
      <c r="DI282" s="56"/>
      <c r="DJ282" s="56"/>
      <c r="DK282" s="56"/>
      <c r="DL282" s="56"/>
      <c r="DM282" s="56"/>
      <c r="DN282" s="56"/>
      <c r="DO282" s="56"/>
      <c r="DP282" s="56"/>
      <c r="DQ282" s="56"/>
      <c r="DR282" s="56"/>
      <c r="DS282" s="56"/>
      <c r="DT282" s="56"/>
      <c r="DU282" s="56"/>
      <c r="DV282" s="56"/>
      <c r="DW282" s="56"/>
      <c r="DX282" s="56"/>
      <c r="DY282" s="56"/>
      <c r="DZ282" s="56"/>
      <c r="EA282" s="56"/>
      <c r="EB282" s="56"/>
      <c r="EC282" s="56"/>
      <c r="ED282" s="56"/>
      <c r="EE282" s="56"/>
      <c r="EF282" s="56"/>
      <c r="EG282" s="56"/>
      <c r="EH282" s="56"/>
      <c r="EI282" s="56"/>
      <c r="EJ282" s="56"/>
      <c r="EK282" s="56"/>
      <c r="EL282" s="56"/>
      <c r="EM282" s="56"/>
      <c r="EN282" s="56"/>
      <c r="EO282" s="56"/>
      <c r="EP282" s="56"/>
      <c r="EQ282" s="56"/>
      <c r="ER282" s="56"/>
      <c r="ES282" s="56"/>
      <c r="ET282" s="56"/>
      <c r="EU282" s="56"/>
      <c r="EV282" s="56"/>
      <c r="EW282" s="56"/>
      <c r="EX282" s="56"/>
      <c r="EY282" s="56"/>
      <c r="EZ282" s="56"/>
      <c r="FA282" s="56"/>
      <c r="FB282" s="56"/>
      <c r="FC282" s="56"/>
      <c r="FD282" s="56"/>
      <c r="FE282" s="56"/>
      <c r="FF282" s="56"/>
      <c r="FG282" s="56"/>
      <c r="FH282" s="56"/>
      <c r="FI282" s="56"/>
      <c r="FJ282" s="56"/>
      <c r="FK282" s="56"/>
      <c r="FL282" s="56"/>
      <c r="FM282" s="56"/>
      <c r="FN282" s="56"/>
      <c r="FO282" s="56"/>
      <c r="FP282" s="56"/>
      <c r="FQ282" s="56"/>
      <c r="FR282" s="56"/>
      <c r="FS282" s="56"/>
      <c r="FT282" s="56"/>
      <c r="FU282" s="56"/>
      <c r="FV282" s="56"/>
      <c r="FW282" s="56"/>
      <c r="FX282" s="56"/>
      <c r="FY282" s="56"/>
      <c r="FZ282" s="56"/>
      <c r="GA282" s="56"/>
      <c r="GB282" s="56"/>
      <c r="GC282" s="56"/>
      <c r="GD282" s="56"/>
      <c r="GE282" s="56"/>
      <c r="GF282" s="56"/>
      <c r="GG282" s="56"/>
      <c r="GH282" s="56"/>
      <c r="GI282" s="56"/>
      <c r="GJ282" s="56"/>
      <c r="GK282" s="56"/>
      <c r="GL282" s="56"/>
      <c r="GM282" s="56"/>
      <c r="GN282" s="56"/>
      <c r="GO282" s="56"/>
      <c r="GP282" s="56"/>
      <c r="GQ282" s="56"/>
      <c r="GR282" s="56"/>
      <c r="GS282" s="56"/>
      <c r="GT282" s="56"/>
      <c r="GU282" s="56"/>
      <c r="GV282" s="56"/>
      <c r="GW282" s="56"/>
      <c r="GX282" s="56"/>
      <c r="GY282" s="56"/>
      <c r="GZ282" s="56"/>
      <c r="HA282" s="56"/>
      <c r="HB282" s="56"/>
      <c r="HC282" s="56"/>
      <c r="HD282" s="56"/>
      <c r="HE282" s="56"/>
      <c r="HF282" s="56"/>
      <c r="HG282" s="56"/>
      <c r="HH282" s="56"/>
      <c r="HI282" s="56"/>
      <c r="HJ282" s="56"/>
    </row>
    <row r="283" spans="1:218" ht="15.75" customHeight="1" x14ac:dyDescent="0.2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  <c r="CL283" s="56"/>
      <c r="CM283" s="56"/>
      <c r="CN283" s="56"/>
      <c r="CO283" s="56"/>
      <c r="CP283" s="56"/>
      <c r="CQ283" s="56"/>
      <c r="CR283" s="56"/>
      <c r="CS283" s="56"/>
      <c r="CT283" s="56"/>
      <c r="CU283" s="56"/>
      <c r="CV283" s="56"/>
      <c r="CW283" s="56"/>
      <c r="CX283" s="56"/>
      <c r="CY283" s="56"/>
      <c r="CZ283" s="56"/>
      <c r="DA283" s="56"/>
      <c r="DB283" s="56"/>
      <c r="DC283" s="56"/>
      <c r="DD283" s="56"/>
      <c r="DE283" s="56"/>
      <c r="DF283" s="56"/>
      <c r="DG283" s="56"/>
      <c r="DH283" s="56"/>
      <c r="DI283" s="56"/>
      <c r="DJ283" s="56"/>
      <c r="DK283" s="56"/>
      <c r="DL283" s="56"/>
      <c r="DM283" s="56"/>
      <c r="DN283" s="56"/>
      <c r="DO283" s="56"/>
      <c r="DP283" s="56"/>
      <c r="DQ283" s="56"/>
      <c r="DR283" s="56"/>
      <c r="DS283" s="56"/>
      <c r="DT283" s="56"/>
      <c r="DU283" s="56"/>
      <c r="DV283" s="56"/>
      <c r="DW283" s="56"/>
      <c r="DX283" s="56"/>
      <c r="DY283" s="56"/>
      <c r="DZ283" s="56"/>
      <c r="EA283" s="56"/>
      <c r="EB283" s="56"/>
      <c r="EC283" s="56"/>
      <c r="ED283" s="56"/>
      <c r="EE283" s="56"/>
      <c r="EF283" s="56"/>
      <c r="EG283" s="56"/>
      <c r="EH283" s="56"/>
      <c r="EI283" s="56"/>
      <c r="EJ283" s="56"/>
      <c r="EK283" s="56"/>
      <c r="EL283" s="56"/>
      <c r="EM283" s="56"/>
      <c r="EN283" s="56"/>
      <c r="EO283" s="56"/>
      <c r="EP283" s="56"/>
      <c r="EQ283" s="56"/>
      <c r="ER283" s="56"/>
      <c r="ES283" s="56"/>
      <c r="ET283" s="56"/>
      <c r="EU283" s="56"/>
      <c r="EV283" s="56"/>
      <c r="EW283" s="56"/>
      <c r="EX283" s="56"/>
      <c r="EY283" s="56"/>
      <c r="EZ283" s="56"/>
      <c r="FA283" s="56"/>
      <c r="FB283" s="56"/>
      <c r="FC283" s="56"/>
      <c r="FD283" s="56"/>
      <c r="FE283" s="56"/>
      <c r="FF283" s="56"/>
      <c r="FG283" s="56"/>
      <c r="FH283" s="56"/>
      <c r="FI283" s="56"/>
      <c r="FJ283" s="56"/>
      <c r="FK283" s="56"/>
      <c r="FL283" s="56"/>
      <c r="FM283" s="56"/>
      <c r="FN283" s="56"/>
      <c r="FO283" s="56"/>
      <c r="FP283" s="56"/>
      <c r="FQ283" s="56"/>
      <c r="FR283" s="56"/>
      <c r="FS283" s="56"/>
      <c r="FT283" s="56"/>
      <c r="FU283" s="56"/>
      <c r="FV283" s="56"/>
      <c r="FW283" s="56"/>
      <c r="FX283" s="56"/>
      <c r="FY283" s="56"/>
      <c r="FZ283" s="56"/>
      <c r="GA283" s="56"/>
      <c r="GB283" s="56"/>
      <c r="GC283" s="56"/>
      <c r="GD283" s="56"/>
      <c r="GE283" s="56"/>
      <c r="GF283" s="56"/>
      <c r="GG283" s="56"/>
      <c r="GH283" s="56"/>
      <c r="GI283" s="56"/>
      <c r="GJ283" s="56"/>
      <c r="GK283" s="56"/>
      <c r="GL283" s="56"/>
      <c r="GM283" s="56"/>
      <c r="GN283" s="56"/>
      <c r="GO283" s="56"/>
      <c r="GP283" s="56"/>
      <c r="GQ283" s="56"/>
      <c r="GR283" s="56"/>
      <c r="GS283" s="56"/>
      <c r="GT283" s="56"/>
      <c r="GU283" s="56"/>
      <c r="GV283" s="56"/>
      <c r="GW283" s="56"/>
      <c r="GX283" s="56"/>
      <c r="GY283" s="56"/>
      <c r="GZ283" s="56"/>
      <c r="HA283" s="56"/>
      <c r="HB283" s="56"/>
      <c r="HC283" s="56"/>
      <c r="HD283" s="56"/>
      <c r="HE283" s="56"/>
      <c r="HF283" s="56"/>
      <c r="HG283" s="56"/>
      <c r="HH283" s="56"/>
      <c r="HI283" s="56"/>
      <c r="HJ283" s="56"/>
    </row>
    <row r="284" spans="1:218" ht="15.75" customHeight="1" x14ac:dyDescent="0.2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56"/>
      <c r="CP284" s="56"/>
      <c r="CQ284" s="56"/>
      <c r="CR284" s="56"/>
      <c r="CS284" s="56"/>
      <c r="CT284" s="56"/>
      <c r="CU284" s="56"/>
      <c r="CV284" s="56"/>
      <c r="CW284" s="56"/>
      <c r="CX284" s="56"/>
      <c r="CY284" s="56"/>
      <c r="CZ284" s="56"/>
      <c r="DA284" s="56"/>
      <c r="DB284" s="56"/>
      <c r="DC284" s="56"/>
      <c r="DD284" s="56"/>
      <c r="DE284" s="56"/>
      <c r="DF284" s="56"/>
      <c r="DG284" s="56"/>
      <c r="DH284" s="56"/>
      <c r="DI284" s="56"/>
      <c r="DJ284" s="56"/>
      <c r="DK284" s="56"/>
      <c r="DL284" s="56"/>
      <c r="DM284" s="56"/>
      <c r="DN284" s="56"/>
      <c r="DO284" s="56"/>
      <c r="DP284" s="56"/>
      <c r="DQ284" s="56"/>
      <c r="DR284" s="56"/>
      <c r="DS284" s="56"/>
      <c r="DT284" s="56"/>
      <c r="DU284" s="56"/>
      <c r="DV284" s="56"/>
      <c r="DW284" s="56"/>
      <c r="DX284" s="56"/>
      <c r="DY284" s="56"/>
      <c r="DZ284" s="56"/>
      <c r="EA284" s="56"/>
      <c r="EB284" s="56"/>
      <c r="EC284" s="56"/>
      <c r="ED284" s="56"/>
      <c r="EE284" s="56"/>
      <c r="EF284" s="56"/>
      <c r="EG284" s="56"/>
      <c r="EH284" s="56"/>
      <c r="EI284" s="56"/>
      <c r="EJ284" s="56"/>
      <c r="EK284" s="56"/>
      <c r="EL284" s="56"/>
      <c r="EM284" s="56"/>
      <c r="EN284" s="56"/>
      <c r="EO284" s="56"/>
      <c r="EP284" s="56"/>
      <c r="EQ284" s="56"/>
      <c r="ER284" s="56"/>
      <c r="ES284" s="56"/>
      <c r="ET284" s="56"/>
      <c r="EU284" s="56"/>
      <c r="EV284" s="56"/>
      <c r="EW284" s="56"/>
      <c r="EX284" s="56"/>
      <c r="EY284" s="56"/>
      <c r="EZ284" s="56"/>
      <c r="FA284" s="56"/>
      <c r="FB284" s="56"/>
      <c r="FC284" s="56"/>
      <c r="FD284" s="56"/>
      <c r="FE284" s="56"/>
      <c r="FF284" s="56"/>
      <c r="FG284" s="56"/>
      <c r="FH284" s="56"/>
      <c r="FI284" s="56"/>
      <c r="FJ284" s="56"/>
      <c r="FK284" s="56"/>
      <c r="FL284" s="56"/>
      <c r="FM284" s="56"/>
      <c r="FN284" s="56"/>
      <c r="FO284" s="56"/>
      <c r="FP284" s="56"/>
      <c r="FQ284" s="56"/>
      <c r="FR284" s="56"/>
      <c r="FS284" s="56"/>
      <c r="FT284" s="56"/>
      <c r="FU284" s="56"/>
      <c r="FV284" s="56"/>
      <c r="FW284" s="56"/>
      <c r="FX284" s="56"/>
      <c r="FY284" s="56"/>
      <c r="FZ284" s="56"/>
      <c r="GA284" s="56"/>
      <c r="GB284" s="56"/>
      <c r="GC284" s="56"/>
      <c r="GD284" s="56"/>
      <c r="GE284" s="56"/>
      <c r="GF284" s="56"/>
      <c r="GG284" s="56"/>
      <c r="GH284" s="56"/>
      <c r="GI284" s="56"/>
      <c r="GJ284" s="56"/>
      <c r="GK284" s="56"/>
      <c r="GL284" s="56"/>
      <c r="GM284" s="56"/>
      <c r="GN284" s="56"/>
      <c r="GO284" s="56"/>
      <c r="GP284" s="56"/>
      <c r="GQ284" s="56"/>
      <c r="GR284" s="56"/>
      <c r="GS284" s="56"/>
      <c r="GT284" s="56"/>
      <c r="GU284" s="56"/>
      <c r="GV284" s="56"/>
      <c r="GW284" s="56"/>
      <c r="GX284" s="56"/>
      <c r="GY284" s="56"/>
      <c r="GZ284" s="56"/>
      <c r="HA284" s="56"/>
      <c r="HB284" s="56"/>
      <c r="HC284" s="56"/>
      <c r="HD284" s="56"/>
      <c r="HE284" s="56"/>
      <c r="HF284" s="56"/>
      <c r="HG284" s="56"/>
      <c r="HH284" s="56"/>
      <c r="HI284" s="56"/>
      <c r="HJ284" s="56"/>
    </row>
    <row r="285" spans="1:218" ht="15.75" customHeight="1" x14ac:dyDescent="0.2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56"/>
      <c r="CP285" s="56"/>
      <c r="CQ285" s="56"/>
      <c r="CR285" s="56"/>
      <c r="CS285" s="56"/>
      <c r="CT285" s="56"/>
      <c r="CU285" s="56"/>
      <c r="CV285" s="56"/>
      <c r="CW285" s="56"/>
      <c r="CX285" s="56"/>
      <c r="CY285" s="56"/>
      <c r="CZ285" s="56"/>
      <c r="DA285" s="56"/>
      <c r="DB285" s="56"/>
      <c r="DC285" s="56"/>
      <c r="DD285" s="56"/>
      <c r="DE285" s="56"/>
      <c r="DF285" s="56"/>
      <c r="DG285" s="56"/>
      <c r="DH285" s="56"/>
      <c r="DI285" s="56"/>
      <c r="DJ285" s="56"/>
      <c r="DK285" s="56"/>
      <c r="DL285" s="56"/>
      <c r="DM285" s="56"/>
      <c r="DN285" s="56"/>
      <c r="DO285" s="56"/>
      <c r="DP285" s="56"/>
      <c r="DQ285" s="56"/>
      <c r="DR285" s="56"/>
      <c r="DS285" s="56"/>
      <c r="DT285" s="56"/>
      <c r="DU285" s="56"/>
      <c r="DV285" s="56"/>
      <c r="DW285" s="56"/>
      <c r="DX285" s="56"/>
      <c r="DY285" s="56"/>
      <c r="DZ285" s="56"/>
      <c r="EA285" s="56"/>
      <c r="EB285" s="56"/>
      <c r="EC285" s="56"/>
      <c r="ED285" s="56"/>
      <c r="EE285" s="56"/>
      <c r="EF285" s="56"/>
      <c r="EG285" s="56"/>
      <c r="EH285" s="56"/>
      <c r="EI285" s="56"/>
      <c r="EJ285" s="56"/>
      <c r="EK285" s="56"/>
      <c r="EL285" s="56"/>
      <c r="EM285" s="56"/>
      <c r="EN285" s="56"/>
      <c r="EO285" s="56"/>
      <c r="EP285" s="56"/>
      <c r="EQ285" s="56"/>
      <c r="ER285" s="56"/>
      <c r="ES285" s="56"/>
      <c r="ET285" s="56"/>
      <c r="EU285" s="56"/>
      <c r="EV285" s="56"/>
      <c r="EW285" s="56"/>
      <c r="EX285" s="56"/>
      <c r="EY285" s="56"/>
      <c r="EZ285" s="56"/>
      <c r="FA285" s="56"/>
      <c r="FB285" s="56"/>
      <c r="FC285" s="56"/>
      <c r="FD285" s="56"/>
      <c r="FE285" s="56"/>
      <c r="FF285" s="56"/>
      <c r="FG285" s="56"/>
      <c r="FH285" s="56"/>
      <c r="FI285" s="56"/>
      <c r="FJ285" s="56"/>
      <c r="FK285" s="56"/>
      <c r="FL285" s="56"/>
      <c r="FM285" s="56"/>
      <c r="FN285" s="56"/>
      <c r="FO285" s="56"/>
      <c r="FP285" s="56"/>
      <c r="FQ285" s="56"/>
      <c r="FR285" s="56"/>
      <c r="FS285" s="56"/>
      <c r="FT285" s="56"/>
      <c r="FU285" s="56"/>
      <c r="FV285" s="56"/>
      <c r="FW285" s="56"/>
      <c r="FX285" s="56"/>
      <c r="FY285" s="56"/>
      <c r="FZ285" s="56"/>
      <c r="GA285" s="56"/>
      <c r="GB285" s="56"/>
      <c r="GC285" s="56"/>
      <c r="GD285" s="56"/>
      <c r="GE285" s="56"/>
      <c r="GF285" s="56"/>
      <c r="GG285" s="56"/>
      <c r="GH285" s="56"/>
      <c r="GI285" s="56"/>
      <c r="GJ285" s="56"/>
      <c r="GK285" s="56"/>
      <c r="GL285" s="56"/>
      <c r="GM285" s="56"/>
      <c r="GN285" s="56"/>
      <c r="GO285" s="56"/>
      <c r="GP285" s="56"/>
      <c r="GQ285" s="56"/>
      <c r="GR285" s="56"/>
      <c r="GS285" s="56"/>
      <c r="GT285" s="56"/>
      <c r="GU285" s="56"/>
      <c r="GV285" s="56"/>
      <c r="GW285" s="56"/>
      <c r="GX285" s="56"/>
      <c r="GY285" s="56"/>
      <c r="GZ285" s="56"/>
      <c r="HA285" s="56"/>
      <c r="HB285" s="56"/>
      <c r="HC285" s="56"/>
      <c r="HD285" s="56"/>
      <c r="HE285" s="56"/>
      <c r="HF285" s="56"/>
      <c r="HG285" s="56"/>
      <c r="HH285" s="56"/>
      <c r="HI285" s="56"/>
      <c r="HJ285" s="56"/>
    </row>
    <row r="286" spans="1:218" ht="15.75" customHeight="1" x14ac:dyDescent="0.2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56"/>
      <c r="CP286" s="56"/>
      <c r="CQ286" s="56"/>
      <c r="CR286" s="56"/>
      <c r="CS286" s="56"/>
      <c r="CT286" s="56"/>
      <c r="CU286" s="56"/>
      <c r="CV286" s="56"/>
      <c r="CW286" s="56"/>
      <c r="CX286" s="56"/>
      <c r="CY286" s="56"/>
      <c r="CZ286" s="56"/>
      <c r="DA286" s="56"/>
      <c r="DB286" s="56"/>
      <c r="DC286" s="56"/>
      <c r="DD286" s="56"/>
      <c r="DE286" s="56"/>
      <c r="DF286" s="56"/>
      <c r="DG286" s="56"/>
      <c r="DH286" s="56"/>
      <c r="DI286" s="56"/>
      <c r="DJ286" s="56"/>
      <c r="DK286" s="56"/>
      <c r="DL286" s="56"/>
      <c r="DM286" s="56"/>
      <c r="DN286" s="56"/>
      <c r="DO286" s="56"/>
      <c r="DP286" s="56"/>
      <c r="DQ286" s="56"/>
      <c r="DR286" s="56"/>
      <c r="DS286" s="56"/>
      <c r="DT286" s="56"/>
      <c r="DU286" s="56"/>
      <c r="DV286" s="56"/>
      <c r="DW286" s="56"/>
      <c r="DX286" s="56"/>
      <c r="DY286" s="56"/>
      <c r="DZ286" s="56"/>
      <c r="EA286" s="56"/>
      <c r="EB286" s="56"/>
      <c r="EC286" s="56"/>
      <c r="ED286" s="56"/>
      <c r="EE286" s="56"/>
      <c r="EF286" s="56"/>
      <c r="EG286" s="56"/>
      <c r="EH286" s="56"/>
      <c r="EI286" s="56"/>
      <c r="EJ286" s="56"/>
      <c r="EK286" s="56"/>
      <c r="EL286" s="56"/>
      <c r="EM286" s="56"/>
      <c r="EN286" s="56"/>
      <c r="EO286" s="56"/>
      <c r="EP286" s="56"/>
      <c r="EQ286" s="56"/>
      <c r="ER286" s="56"/>
      <c r="ES286" s="56"/>
      <c r="ET286" s="56"/>
      <c r="EU286" s="56"/>
      <c r="EV286" s="56"/>
      <c r="EW286" s="56"/>
      <c r="EX286" s="56"/>
      <c r="EY286" s="56"/>
      <c r="EZ286" s="56"/>
      <c r="FA286" s="56"/>
      <c r="FB286" s="56"/>
      <c r="FC286" s="56"/>
      <c r="FD286" s="56"/>
      <c r="FE286" s="56"/>
      <c r="FF286" s="56"/>
      <c r="FG286" s="56"/>
      <c r="FH286" s="56"/>
      <c r="FI286" s="56"/>
      <c r="FJ286" s="56"/>
      <c r="FK286" s="56"/>
      <c r="FL286" s="56"/>
      <c r="FM286" s="56"/>
      <c r="FN286" s="56"/>
      <c r="FO286" s="56"/>
      <c r="FP286" s="56"/>
      <c r="FQ286" s="56"/>
      <c r="FR286" s="56"/>
      <c r="FS286" s="56"/>
      <c r="FT286" s="56"/>
      <c r="FU286" s="56"/>
      <c r="FV286" s="56"/>
      <c r="FW286" s="56"/>
      <c r="FX286" s="56"/>
      <c r="FY286" s="56"/>
      <c r="FZ286" s="56"/>
      <c r="GA286" s="56"/>
      <c r="GB286" s="56"/>
      <c r="GC286" s="56"/>
      <c r="GD286" s="56"/>
      <c r="GE286" s="56"/>
      <c r="GF286" s="56"/>
      <c r="GG286" s="56"/>
      <c r="GH286" s="56"/>
      <c r="GI286" s="56"/>
      <c r="GJ286" s="56"/>
      <c r="GK286" s="56"/>
      <c r="GL286" s="56"/>
      <c r="GM286" s="56"/>
      <c r="GN286" s="56"/>
      <c r="GO286" s="56"/>
      <c r="GP286" s="56"/>
      <c r="GQ286" s="56"/>
      <c r="GR286" s="56"/>
      <c r="GS286" s="56"/>
      <c r="GT286" s="56"/>
      <c r="GU286" s="56"/>
      <c r="GV286" s="56"/>
      <c r="GW286" s="56"/>
      <c r="GX286" s="56"/>
      <c r="GY286" s="56"/>
      <c r="GZ286" s="56"/>
      <c r="HA286" s="56"/>
      <c r="HB286" s="56"/>
      <c r="HC286" s="56"/>
      <c r="HD286" s="56"/>
      <c r="HE286" s="56"/>
      <c r="HF286" s="56"/>
      <c r="HG286" s="56"/>
      <c r="HH286" s="56"/>
      <c r="HI286" s="56"/>
      <c r="HJ286" s="56"/>
    </row>
    <row r="287" spans="1:218" ht="15.75" customHeight="1" x14ac:dyDescent="0.2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  <c r="CL287" s="56"/>
      <c r="CM287" s="56"/>
      <c r="CN287" s="56"/>
      <c r="CO287" s="56"/>
      <c r="CP287" s="56"/>
      <c r="CQ287" s="56"/>
      <c r="CR287" s="56"/>
      <c r="CS287" s="56"/>
      <c r="CT287" s="56"/>
      <c r="CU287" s="56"/>
      <c r="CV287" s="56"/>
      <c r="CW287" s="56"/>
      <c r="CX287" s="56"/>
      <c r="CY287" s="56"/>
      <c r="CZ287" s="56"/>
      <c r="DA287" s="56"/>
      <c r="DB287" s="56"/>
      <c r="DC287" s="56"/>
      <c r="DD287" s="56"/>
      <c r="DE287" s="56"/>
      <c r="DF287" s="56"/>
      <c r="DG287" s="56"/>
      <c r="DH287" s="56"/>
      <c r="DI287" s="56"/>
      <c r="DJ287" s="56"/>
      <c r="DK287" s="56"/>
      <c r="DL287" s="56"/>
      <c r="DM287" s="56"/>
      <c r="DN287" s="56"/>
      <c r="DO287" s="56"/>
      <c r="DP287" s="56"/>
      <c r="DQ287" s="56"/>
      <c r="DR287" s="56"/>
      <c r="DS287" s="56"/>
      <c r="DT287" s="56"/>
      <c r="DU287" s="56"/>
      <c r="DV287" s="56"/>
      <c r="DW287" s="56"/>
      <c r="DX287" s="56"/>
      <c r="DY287" s="56"/>
      <c r="DZ287" s="56"/>
      <c r="EA287" s="56"/>
      <c r="EB287" s="56"/>
      <c r="EC287" s="56"/>
      <c r="ED287" s="56"/>
      <c r="EE287" s="56"/>
      <c r="EF287" s="56"/>
      <c r="EG287" s="56"/>
      <c r="EH287" s="56"/>
      <c r="EI287" s="56"/>
      <c r="EJ287" s="56"/>
      <c r="EK287" s="56"/>
      <c r="EL287" s="56"/>
      <c r="EM287" s="56"/>
      <c r="EN287" s="56"/>
      <c r="EO287" s="56"/>
      <c r="EP287" s="56"/>
      <c r="EQ287" s="56"/>
      <c r="ER287" s="56"/>
      <c r="ES287" s="56"/>
      <c r="ET287" s="56"/>
      <c r="EU287" s="56"/>
      <c r="EV287" s="56"/>
      <c r="EW287" s="56"/>
      <c r="EX287" s="56"/>
      <c r="EY287" s="56"/>
      <c r="EZ287" s="56"/>
      <c r="FA287" s="56"/>
      <c r="FB287" s="56"/>
      <c r="FC287" s="56"/>
      <c r="FD287" s="56"/>
      <c r="FE287" s="56"/>
      <c r="FF287" s="56"/>
      <c r="FG287" s="56"/>
      <c r="FH287" s="56"/>
      <c r="FI287" s="56"/>
      <c r="FJ287" s="56"/>
      <c r="FK287" s="56"/>
      <c r="FL287" s="56"/>
      <c r="FM287" s="56"/>
      <c r="FN287" s="56"/>
      <c r="FO287" s="56"/>
      <c r="FP287" s="56"/>
      <c r="FQ287" s="56"/>
      <c r="FR287" s="56"/>
      <c r="FS287" s="56"/>
      <c r="FT287" s="56"/>
      <c r="FU287" s="56"/>
      <c r="FV287" s="56"/>
      <c r="FW287" s="56"/>
      <c r="FX287" s="56"/>
      <c r="FY287" s="56"/>
      <c r="FZ287" s="56"/>
      <c r="GA287" s="56"/>
      <c r="GB287" s="56"/>
      <c r="GC287" s="56"/>
      <c r="GD287" s="56"/>
      <c r="GE287" s="56"/>
      <c r="GF287" s="56"/>
      <c r="GG287" s="56"/>
      <c r="GH287" s="56"/>
      <c r="GI287" s="56"/>
      <c r="GJ287" s="56"/>
      <c r="GK287" s="56"/>
      <c r="GL287" s="56"/>
      <c r="GM287" s="56"/>
      <c r="GN287" s="56"/>
      <c r="GO287" s="56"/>
      <c r="GP287" s="56"/>
      <c r="GQ287" s="56"/>
      <c r="GR287" s="56"/>
      <c r="GS287" s="56"/>
      <c r="GT287" s="56"/>
      <c r="GU287" s="56"/>
      <c r="GV287" s="56"/>
      <c r="GW287" s="56"/>
      <c r="GX287" s="56"/>
      <c r="GY287" s="56"/>
      <c r="GZ287" s="56"/>
      <c r="HA287" s="56"/>
      <c r="HB287" s="56"/>
      <c r="HC287" s="56"/>
      <c r="HD287" s="56"/>
      <c r="HE287" s="56"/>
      <c r="HF287" s="56"/>
      <c r="HG287" s="56"/>
      <c r="HH287" s="56"/>
      <c r="HI287" s="56"/>
      <c r="HJ287" s="56"/>
    </row>
    <row r="288" spans="1:218" ht="15.75" customHeight="1" x14ac:dyDescent="0.2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  <c r="CL288" s="56"/>
      <c r="CM288" s="56"/>
      <c r="CN288" s="56"/>
      <c r="CO288" s="56"/>
      <c r="CP288" s="56"/>
      <c r="CQ288" s="56"/>
      <c r="CR288" s="56"/>
      <c r="CS288" s="56"/>
      <c r="CT288" s="56"/>
      <c r="CU288" s="56"/>
      <c r="CV288" s="56"/>
      <c r="CW288" s="56"/>
      <c r="CX288" s="56"/>
      <c r="CY288" s="56"/>
      <c r="CZ288" s="56"/>
      <c r="DA288" s="56"/>
      <c r="DB288" s="56"/>
      <c r="DC288" s="56"/>
      <c r="DD288" s="56"/>
      <c r="DE288" s="56"/>
      <c r="DF288" s="56"/>
      <c r="DG288" s="56"/>
      <c r="DH288" s="56"/>
      <c r="DI288" s="56"/>
      <c r="DJ288" s="56"/>
      <c r="DK288" s="56"/>
      <c r="DL288" s="56"/>
      <c r="DM288" s="56"/>
      <c r="DN288" s="56"/>
      <c r="DO288" s="56"/>
      <c r="DP288" s="56"/>
      <c r="DQ288" s="56"/>
      <c r="DR288" s="56"/>
      <c r="DS288" s="56"/>
      <c r="DT288" s="56"/>
      <c r="DU288" s="56"/>
      <c r="DV288" s="56"/>
      <c r="DW288" s="56"/>
      <c r="DX288" s="56"/>
      <c r="DY288" s="56"/>
      <c r="DZ288" s="56"/>
      <c r="EA288" s="56"/>
      <c r="EB288" s="56"/>
      <c r="EC288" s="56"/>
      <c r="ED288" s="56"/>
      <c r="EE288" s="56"/>
      <c r="EF288" s="56"/>
      <c r="EG288" s="56"/>
      <c r="EH288" s="56"/>
      <c r="EI288" s="56"/>
      <c r="EJ288" s="56"/>
      <c r="EK288" s="56"/>
      <c r="EL288" s="56"/>
      <c r="EM288" s="56"/>
      <c r="EN288" s="56"/>
      <c r="EO288" s="56"/>
      <c r="EP288" s="56"/>
      <c r="EQ288" s="56"/>
      <c r="ER288" s="56"/>
      <c r="ES288" s="56"/>
      <c r="ET288" s="56"/>
      <c r="EU288" s="56"/>
      <c r="EV288" s="56"/>
      <c r="EW288" s="56"/>
      <c r="EX288" s="56"/>
      <c r="EY288" s="56"/>
      <c r="EZ288" s="56"/>
      <c r="FA288" s="56"/>
      <c r="FB288" s="56"/>
      <c r="FC288" s="56"/>
      <c r="FD288" s="56"/>
      <c r="FE288" s="56"/>
      <c r="FF288" s="56"/>
      <c r="FG288" s="56"/>
      <c r="FH288" s="56"/>
      <c r="FI288" s="56"/>
      <c r="FJ288" s="56"/>
      <c r="FK288" s="56"/>
      <c r="FL288" s="56"/>
      <c r="FM288" s="56"/>
      <c r="FN288" s="56"/>
      <c r="FO288" s="56"/>
      <c r="FP288" s="56"/>
      <c r="FQ288" s="56"/>
      <c r="FR288" s="56"/>
      <c r="FS288" s="56"/>
      <c r="FT288" s="56"/>
      <c r="FU288" s="56"/>
      <c r="FV288" s="56"/>
      <c r="FW288" s="56"/>
      <c r="FX288" s="56"/>
      <c r="FY288" s="56"/>
      <c r="FZ288" s="56"/>
      <c r="GA288" s="56"/>
      <c r="GB288" s="56"/>
      <c r="GC288" s="56"/>
      <c r="GD288" s="56"/>
      <c r="GE288" s="56"/>
      <c r="GF288" s="56"/>
      <c r="GG288" s="56"/>
      <c r="GH288" s="56"/>
      <c r="GI288" s="56"/>
      <c r="GJ288" s="56"/>
      <c r="GK288" s="56"/>
      <c r="GL288" s="56"/>
      <c r="GM288" s="56"/>
      <c r="GN288" s="56"/>
      <c r="GO288" s="56"/>
      <c r="GP288" s="56"/>
      <c r="GQ288" s="56"/>
      <c r="GR288" s="56"/>
      <c r="GS288" s="56"/>
      <c r="GT288" s="56"/>
      <c r="GU288" s="56"/>
      <c r="GV288" s="56"/>
      <c r="GW288" s="56"/>
      <c r="GX288" s="56"/>
      <c r="GY288" s="56"/>
      <c r="GZ288" s="56"/>
      <c r="HA288" s="56"/>
      <c r="HB288" s="56"/>
      <c r="HC288" s="56"/>
      <c r="HD288" s="56"/>
      <c r="HE288" s="56"/>
      <c r="HF288" s="56"/>
      <c r="HG288" s="56"/>
      <c r="HH288" s="56"/>
      <c r="HI288" s="56"/>
      <c r="HJ288" s="56"/>
    </row>
    <row r="289" spans="1:218" ht="15.75" customHeight="1" x14ac:dyDescent="0.2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56"/>
      <c r="CP289" s="56"/>
      <c r="CQ289" s="56"/>
      <c r="CR289" s="56"/>
      <c r="CS289" s="56"/>
      <c r="CT289" s="56"/>
      <c r="CU289" s="56"/>
      <c r="CV289" s="56"/>
      <c r="CW289" s="56"/>
      <c r="CX289" s="56"/>
      <c r="CY289" s="56"/>
      <c r="CZ289" s="56"/>
      <c r="DA289" s="56"/>
      <c r="DB289" s="56"/>
      <c r="DC289" s="56"/>
      <c r="DD289" s="56"/>
      <c r="DE289" s="56"/>
      <c r="DF289" s="56"/>
      <c r="DG289" s="56"/>
      <c r="DH289" s="56"/>
      <c r="DI289" s="56"/>
      <c r="DJ289" s="56"/>
      <c r="DK289" s="56"/>
      <c r="DL289" s="56"/>
      <c r="DM289" s="56"/>
      <c r="DN289" s="56"/>
      <c r="DO289" s="56"/>
      <c r="DP289" s="56"/>
      <c r="DQ289" s="56"/>
      <c r="DR289" s="56"/>
      <c r="DS289" s="56"/>
      <c r="DT289" s="56"/>
      <c r="DU289" s="56"/>
      <c r="DV289" s="56"/>
      <c r="DW289" s="56"/>
      <c r="DX289" s="56"/>
      <c r="DY289" s="56"/>
      <c r="DZ289" s="56"/>
      <c r="EA289" s="56"/>
      <c r="EB289" s="56"/>
      <c r="EC289" s="56"/>
      <c r="ED289" s="56"/>
      <c r="EE289" s="56"/>
      <c r="EF289" s="56"/>
      <c r="EG289" s="56"/>
      <c r="EH289" s="56"/>
      <c r="EI289" s="56"/>
      <c r="EJ289" s="56"/>
      <c r="EK289" s="56"/>
      <c r="EL289" s="56"/>
      <c r="EM289" s="56"/>
      <c r="EN289" s="56"/>
      <c r="EO289" s="56"/>
      <c r="EP289" s="56"/>
      <c r="EQ289" s="56"/>
      <c r="ER289" s="56"/>
      <c r="ES289" s="56"/>
      <c r="ET289" s="56"/>
      <c r="EU289" s="56"/>
      <c r="EV289" s="56"/>
      <c r="EW289" s="56"/>
      <c r="EX289" s="56"/>
      <c r="EY289" s="56"/>
      <c r="EZ289" s="56"/>
      <c r="FA289" s="56"/>
      <c r="FB289" s="56"/>
      <c r="FC289" s="56"/>
      <c r="FD289" s="56"/>
      <c r="FE289" s="56"/>
      <c r="FF289" s="56"/>
      <c r="FG289" s="56"/>
      <c r="FH289" s="56"/>
      <c r="FI289" s="56"/>
      <c r="FJ289" s="56"/>
      <c r="FK289" s="56"/>
      <c r="FL289" s="56"/>
      <c r="FM289" s="56"/>
      <c r="FN289" s="56"/>
      <c r="FO289" s="56"/>
      <c r="FP289" s="56"/>
      <c r="FQ289" s="56"/>
      <c r="FR289" s="56"/>
      <c r="FS289" s="56"/>
      <c r="FT289" s="56"/>
      <c r="FU289" s="56"/>
      <c r="FV289" s="56"/>
      <c r="FW289" s="56"/>
      <c r="FX289" s="56"/>
      <c r="FY289" s="56"/>
      <c r="FZ289" s="56"/>
      <c r="GA289" s="56"/>
      <c r="GB289" s="56"/>
      <c r="GC289" s="56"/>
      <c r="GD289" s="56"/>
      <c r="GE289" s="56"/>
      <c r="GF289" s="56"/>
      <c r="GG289" s="56"/>
      <c r="GH289" s="56"/>
      <c r="GI289" s="56"/>
      <c r="GJ289" s="56"/>
      <c r="GK289" s="56"/>
      <c r="GL289" s="56"/>
      <c r="GM289" s="56"/>
      <c r="GN289" s="56"/>
      <c r="GO289" s="56"/>
      <c r="GP289" s="56"/>
      <c r="GQ289" s="56"/>
      <c r="GR289" s="56"/>
      <c r="GS289" s="56"/>
      <c r="GT289" s="56"/>
      <c r="GU289" s="56"/>
      <c r="GV289" s="56"/>
      <c r="GW289" s="56"/>
      <c r="GX289" s="56"/>
      <c r="GY289" s="56"/>
      <c r="GZ289" s="56"/>
      <c r="HA289" s="56"/>
      <c r="HB289" s="56"/>
      <c r="HC289" s="56"/>
      <c r="HD289" s="56"/>
      <c r="HE289" s="56"/>
      <c r="HF289" s="56"/>
      <c r="HG289" s="56"/>
      <c r="HH289" s="56"/>
      <c r="HI289" s="56"/>
      <c r="HJ289" s="56"/>
    </row>
    <row r="290" spans="1:218" ht="15.75" customHeight="1" x14ac:dyDescent="0.2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  <c r="CL290" s="56"/>
      <c r="CM290" s="56"/>
      <c r="CN290" s="56"/>
      <c r="CO290" s="56"/>
      <c r="CP290" s="56"/>
      <c r="CQ290" s="56"/>
      <c r="CR290" s="56"/>
      <c r="CS290" s="56"/>
      <c r="CT290" s="56"/>
      <c r="CU290" s="56"/>
      <c r="CV290" s="56"/>
      <c r="CW290" s="56"/>
      <c r="CX290" s="56"/>
      <c r="CY290" s="56"/>
      <c r="CZ290" s="56"/>
      <c r="DA290" s="56"/>
      <c r="DB290" s="56"/>
      <c r="DC290" s="56"/>
      <c r="DD290" s="56"/>
      <c r="DE290" s="56"/>
      <c r="DF290" s="56"/>
      <c r="DG290" s="56"/>
      <c r="DH290" s="56"/>
      <c r="DI290" s="56"/>
      <c r="DJ290" s="56"/>
      <c r="DK290" s="56"/>
      <c r="DL290" s="56"/>
      <c r="DM290" s="56"/>
      <c r="DN290" s="56"/>
      <c r="DO290" s="56"/>
      <c r="DP290" s="56"/>
      <c r="DQ290" s="56"/>
      <c r="DR290" s="56"/>
      <c r="DS290" s="56"/>
      <c r="DT290" s="56"/>
      <c r="DU290" s="56"/>
      <c r="DV290" s="56"/>
      <c r="DW290" s="56"/>
      <c r="DX290" s="56"/>
      <c r="DY290" s="56"/>
      <c r="DZ290" s="56"/>
      <c r="EA290" s="56"/>
      <c r="EB290" s="56"/>
      <c r="EC290" s="56"/>
      <c r="ED290" s="56"/>
      <c r="EE290" s="56"/>
      <c r="EF290" s="56"/>
      <c r="EG290" s="56"/>
      <c r="EH290" s="56"/>
      <c r="EI290" s="56"/>
      <c r="EJ290" s="56"/>
      <c r="EK290" s="56"/>
      <c r="EL290" s="56"/>
      <c r="EM290" s="56"/>
      <c r="EN290" s="56"/>
      <c r="EO290" s="56"/>
      <c r="EP290" s="56"/>
      <c r="EQ290" s="56"/>
      <c r="ER290" s="56"/>
      <c r="ES290" s="56"/>
      <c r="ET290" s="56"/>
      <c r="EU290" s="56"/>
      <c r="EV290" s="56"/>
      <c r="EW290" s="56"/>
      <c r="EX290" s="56"/>
      <c r="EY290" s="56"/>
      <c r="EZ290" s="56"/>
      <c r="FA290" s="56"/>
      <c r="FB290" s="56"/>
      <c r="FC290" s="56"/>
      <c r="FD290" s="56"/>
      <c r="FE290" s="56"/>
      <c r="FF290" s="56"/>
      <c r="FG290" s="56"/>
      <c r="FH290" s="56"/>
      <c r="FI290" s="56"/>
      <c r="FJ290" s="56"/>
      <c r="FK290" s="56"/>
      <c r="FL290" s="56"/>
      <c r="FM290" s="56"/>
      <c r="FN290" s="56"/>
      <c r="FO290" s="56"/>
      <c r="FP290" s="56"/>
      <c r="FQ290" s="56"/>
      <c r="FR290" s="56"/>
      <c r="FS290" s="56"/>
      <c r="FT290" s="56"/>
      <c r="FU290" s="56"/>
      <c r="FV290" s="56"/>
      <c r="FW290" s="56"/>
      <c r="FX290" s="56"/>
      <c r="FY290" s="56"/>
      <c r="FZ290" s="56"/>
      <c r="GA290" s="56"/>
      <c r="GB290" s="56"/>
      <c r="GC290" s="56"/>
      <c r="GD290" s="56"/>
      <c r="GE290" s="56"/>
      <c r="GF290" s="56"/>
      <c r="GG290" s="56"/>
      <c r="GH290" s="56"/>
      <c r="GI290" s="56"/>
      <c r="GJ290" s="56"/>
      <c r="GK290" s="56"/>
      <c r="GL290" s="56"/>
      <c r="GM290" s="56"/>
      <c r="GN290" s="56"/>
      <c r="GO290" s="56"/>
      <c r="GP290" s="56"/>
      <c r="GQ290" s="56"/>
      <c r="GR290" s="56"/>
      <c r="GS290" s="56"/>
      <c r="GT290" s="56"/>
      <c r="GU290" s="56"/>
      <c r="GV290" s="56"/>
      <c r="GW290" s="56"/>
      <c r="GX290" s="56"/>
      <c r="GY290" s="56"/>
      <c r="GZ290" s="56"/>
      <c r="HA290" s="56"/>
      <c r="HB290" s="56"/>
      <c r="HC290" s="56"/>
      <c r="HD290" s="56"/>
      <c r="HE290" s="56"/>
      <c r="HF290" s="56"/>
      <c r="HG290" s="56"/>
      <c r="HH290" s="56"/>
      <c r="HI290" s="56"/>
      <c r="HJ290" s="56"/>
    </row>
    <row r="291" spans="1:218" ht="15.75" customHeight="1" x14ac:dyDescent="0.2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  <c r="CL291" s="56"/>
      <c r="CM291" s="56"/>
      <c r="CN291" s="56"/>
      <c r="CO291" s="56"/>
      <c r="CP291" s="56"/>
      <c r="CQ291" s="56"/>
      <c r="CR291" s="56"/>
      <c r="CS291" s="56"/>
      <c r="CT291" s="56"/>
      <c r="CU291" s="56"/>
      <c r="CV291" s="56"/>
      <c r="CW291" s="56"/>
      <c r="CX291" s="56"/>
      <c r="CY291" s="56"/>
      <c r="CZ291" s="56"/>
      <c r="DA291" s="56"/>
      <c r="DB291" s="56"/>
      <c r="DC291" s="56"/>
      <c r="DD291" s="56"/>
      <c r="DE291" s="56"/>
      <c r="DF291" s="56"/>
      <c r="DG291" s="56"/>
      <c r="DH291" s="56"/>
      <c r="DI291" s="56"/>
      <c r="DJ291" s="56"/>
      <c r="DK291" s="56"/>
      <c r="DL291" s="56"/>
      <c r="DM291" s="56"/>
      <c r="DN291" s="56"/>
      <c r="DO291" s="56"/>
      <c r="DP291" s="56"/>
      <c r="DQ291" s="56"/>
      <c r="DR291" s="56"/>
      <c r="DS291" s="56"/>
      <c r="DT291" s="56"/>
      <c r="DU291" s="56"/>
      <c r="DV291" s="56"/>
      <c r="DW291" s="56"/>
      <c r="DX291" s="56"/>
      <c r="DY291" s="56"/>
      <c r="DZ291" s="56"/>
      <c r="EA291" s="56"/>
      <c r="EB291" s="56"/>
      <c r="EC291" s="56"/>
      <c r="ED291" s="56"/>
      <c r="EE291" s="56"/>
      <c r="EF291" s="56"/>
      <c r="EG291" s="56"/>
      <c r="EH291" s="56"/>
      <c r="EI291" s="56"/>
      <c r="EJ291" s="56"/>
      <c r="EK291" s="56"/>
      <c r="EL291" s="56"/>
      <c r="EM291" s="56"/>
      <c r="EN291" s="56"/>
      <c r="EO291" s="56"/>
      <c r="EP291" s="56"/>
      <c r="EQ291" s="56"/>
      <c r="ER291" s="56"/>
      <c r="ES291" s="56"/>
      <c r="ET291" s="56"/>
      <c r="EU291" s="56"/>
      <c r="EV291" s="56"/>
      <c r="EW291" s="56"/>
      <c r="EX291" s="56"/>
      <c r="EY291" s="56"/>
      <c r="EZ291" s="56"/>
      <c r="FA291" s="56"/>
      <c r="FB291" s="56"/>
      <c r="FC291" s="56"/>
      <c r="FD291" s="56"/>
      <c r="FE291" s="56"/>
      <c r="FF291" s="56"/>
      <c r="FG291" s="56"/>
      <c r="FH291" s="56"/>
      <c r="FI291" s="56"/>
      <c r="FJ291" s="56"/>
      <c r="FK291" s="56"/>
      <c r="FL291" s="56"/>
      <c r="FM291" s="56"/>
      <c r="FN291" s="56"/>
      <c r="FO291" s="56"/>
      <c r="FP291" s="56"/>
      <c r="FQ291" s="56"/>
      <c r="FR291" s="56"/>
      <c r="FS291" s="56"/>
      <c r="FT291" s="56"/>
      <c r="FU291" s="56"/>
      <c r="FV291" s="56"/>
      <c r="FW291" s="56"/>
      <c r="FX291" s="56"/>
      <c r="FY291" s="56"/>
      <c r="FZ291" s="56"/>
      <c r="GA291" s="56"/>
      <c r="GB291" s="56"/>
      <c r="GC291" s="56"/>
      <c r="GD291" s="56"/>
      <c r="GE291" s="56"/>
      <c r="GF291" s="56"/>
      <c r="GG291" s="56"/>
      <c r="GH291" s="56"/>
      <c r="GI291" s="56"/>
      <c r="GJ291" s="56"/>
      <c r="GK291" s="56"/>
      <c r="GL291" s="56"/>
      <c r="GM291" s="56"/>
      <c r="GN291" s="56"/>
      <c r="GO291" s="56"/>
      <c r="GP291" s="56"/>
      <c r="GQ291" s="56"/>
      <c r="GR291" s="56"/>
      <c r="GS291" s="56"/>
      <c r="GT291" s="56"/>
      <c r="GU291" s="56"/>
      <c r="GV291" s="56"/>
      <c r="GW291" s="56"/>
      <c r="GX291" s="56"/>
      <c r="GY291" s="56"/>
      <c r="GZ291" s="56"/>
      <c r="HA291" s="56"/>
      <c r="HB291" s="56"/>
      <c r="HC291" s="56"/>
      <c r="HD291" s="56"/>
      <c r="HE291" s="56"/>
      <c r="HF291" s="56"/>
      <c r="HG291" s="56"/>
      <c r="HH291" s="56"/>
      <c r="HI291" s="56"/>
      <c r="HJ291" s="56"/>
    </row>
    <row r="292" spans="1:218" ht="15.75" customHeight="1" x14ac:dyDescent="0.2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56"/>
      <c r="CP292" s="56"/>
      <c r="CQ292" s="56"/>
      <c r="CR292" s="56"/>
      <c r="CS292" s="56"/>
      <c r="CT292" s="56"/>
      <c r="CU292" s="56"/>
      <c r="CV292" s="56"/>
      <c r="CW292" s="56"/>
      <c r="CX292" s="56"/>
      <c r="CY292" s="56"/>
      <c r="CZ292" s="56"/>
      <c r="DA292" s="56"/>
      <c r="DB292" s="56"/>
      <c r="DC292" s="56"/>
      <c r="DD292" s="56"/>
      <c r="DE292" s="56"/>
      <c r="DF292" s="56"/>
      <c r="DG292" s="56"/>
      <c r="DH292" s="56"/>
      <c r="DI292" s="56"/>
      <c r="DJ292" s="56"/>
      <c r="DK292" s="56"/>
      <c r="DL292" s="56"/>
      <c r="DM292" s="56"/>
      <c r="DN292" s="56"/>
      <c r="DO292" s="56"/>
      <c r="DP292" s="56"/>
      <c r="DQ292" s="56"/>
      <c r="DR292" s="56"/>
      <c r="DS292" s="56"/>
      <c r="DT292" s="56"/>
      <c r="DU292" s="56"/>
      <c r="DV292" s="56"/>
      <c r="DW292" s="56"/>
      <c r="DX292" s="56"/>
      <c r="DY292" s="56"/>
      <c r="DZ292" s="56"/>
      <c r="EA292" s="56"/>
      <c r="EB292" s="56"/>
      <c r="EC292" s="56"/>
      <c r="ED292" s="56"/>
      <c r="EE292" s="56"/>
      <c r="EF292" s="56"/>
      <c r="EG292" s="56"/>
      <c r="EH292" s="56"/>
      <c r="EI292" s="56"/>
      <c r="EJ292" s="56"/>
      <c r="EK292" s="56"/>
      <c r="EL292" s="56"/>
      <c r="EM292" s="56"/>
      <c r="EN292" s="56"/>
      <c r="EO292" s="56"/>
      <c r="EP292" s="56"/>
      <c r="EQ292" s="56"/>
      <c r="ER292" s="56"/>
      <c r="ES292" s="56"/>
      <c r="ET292" s="56"/>
      <c r="EU292" s="56"/>
      <c r="EV292" s="56"/>
      <c r="EW292" s="56"/>
      <c r="EX292" s="56"/>
      <c r="EY292" s="56"/>
      <c r="EZ292" s="56"/>
      <c r="FA292" s="56"/>
      <c r="FB292" s="56"/>
      <c r="FC292" s="56"/>
      <c r="FD292" s="56"/>
      <c r="FE292" s="56"/>
      <c r="FF292" s="56"/>
      <c r="FG292" s="56"/>
      <c r="FH292" s="56"/>
      <c r="FI292" s="56"/>
      <c r="FJ292" s="56"/>
      <c r="FK292" s="56"/>
      <c r="FL292" s="56"/>
      <c r="FM292" s="56"/>
      <c r="FN292" s="56"/>
      <c r="FO292" s="56"/>
      <c r="FP292" s="56"/>
      <c r="FQ292" s="56"/>
      <c r="FR292" s="56"/>
      <c r="FS292" s="56"/>
      <c r="FT292" s="56"/>
      <c r="FU292" s="56"/>
      <c r="FV292" s="56"/>
      <c r="FW292" s="56"/>
      <c r="FX292" s="56"/>
      <c r="FY292" s="56"/>
      <c r="FZ292" s="56"/>
      <c r="GA292" s="56"/>
      <c r="GB292" s="56"/>
      <c r="GC292" s="56"/>
      <c r="GD292" s="56"/>
      <c r="GE292" s="56"/>
      <c r="GF292" s="56"/>
      <c r="GG292" s="56"/>
      <c r="GH292" s="56"/>
      <c r="GI292" s="56"/>
      <c r="GJ292" s="56"/>
      <c r="GK292" s="56"/>
      <c r="GL292" s="56"/>
      <c r="GM292" s="56"/>
      <c r="GN292" s="56"/>
      <c r="GO292" s="56"/>
      <c r="GP292" s="56"/>
      <c r="GQ292" s="56"/>
      <c r="GR292" s="56"/>
      <c r="GS292" s="56"/>
      <c r="GT292" s="56"/>
      <c r="GU292" s="56"/>
      <c r="GV292" s="56"/>
      <c r="GW292" s="56"/>
      <c r="GX292" s="56"/>
      <c r="GY292" s="56"/>
      <c r="GZ292" s="56"/>
      <c r="HA292" s="56"/>
      <c r="HB292" s="56"/>
      <c r="HC292" s="56"/>
      <c r="HD292" s="56"/>
      <c r="HE292" s="56"/>
      <c r="HF292" s="56"/>
      <c r="HG292" s="56"/>
      <c r="HH292" s="56"/>
      <c r="HI292" s="56"/>
      <c r="HJ292" s="56"/>
    </row>
    <row r="293" spans="1:218" ht="15.75" customHeight="1" x14ac:dyDescent="0.2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  <c r="CL293" s="56"/>
      <c r="CM293" s="56"/>
      <c r="CN293" s="56"/>
      <c r="CO293" s="56"/>
      <c r="CP293" s="56"/>
      <c r="CQ293" s="56"/>
      <c r="CR293" s="56"/>
      <c r="CS293" s="56"/>
      <c r="CT293" s="56"/>
      <c r="CU293" s="56"/>
      <c r="CV293" s="56"/>
      <c r="CW293" s="56"/>
      <c r="CX293" s="56"/>
      <c r="CY293" s="56"/>
      <c r="CZ293" s="56"/>
      <c r="DA293" s="56"/>
      <c r="DB293" s="56"/>
      <c r="DC293" s="56"/>
      <c r="DD293" s="56"/>
      <c r="DE293" s="56"/>
      <c r="DF293" s="56"/>
      <c r="DG293" s="56"/>
      <c r="DH293" s="56"/>
      <c r="DI293" s="56"/>
      <c r="DJ293" s="56"/>
      <c r="DK293" s="56"/>
      <c r="DL293" s="56"/>
      <c r="DM293" s="56"/>
      <c r="DN293" s="56"/>
      <c r="DO293" s="56"/>
      <c r="DP293" s="56"/>
      <c r="DQ293" s="56"/>
      <c r="DR293" s="56"/>
      <c r="DS293" s="56"/>
      <c r="DT293" s="56"/>
      <c r="DU293" s="56"/>
      <c r="DV293" s="56"/>
      <c r="DW293" s="56"/>
      <c r="DX293" s="56"/>
      <c r="DY293" s="56"/>
      <c r="DZ293" s="56"/>
      <c r="EA293" s="56"/>
      <c r="EB293" s="56"/>
      <c r="EC293" s="56"/>
      <c r="ED293" s="56"/>
      <c r="EE293" s="56"/>
      <c r="EF293" s="56"/>
      <c r="EG293" s="56"/>
      <c r="EH293" s="56"/>
      <c r="EI293" s="56"/>
      <c r="EJ293" s="56"/>
      <c r="EK293" s="56"/>
      <c r="EL293" s="56"/>
      <c r="EM293" s="56"/>
      <c r="EN293" s="56"/>
      <c r="EO293" s="56"/>
      <c r="EP293" s="56"/>
      <c r="EQ293" s="56"/>
      <c r="ER293" s="56"/>
      <c r="ES293" s="56"/>
      <c r="ET293" s="56"/>
      <c r="EU293" s="56"/>
      <c r="EV293" s="56"/>
      <c r="EW293" s="56"/>
      <c r="EX293" s="56"/>
      <c r="EY293" s="56"/>
      <c r="EZ293" s="56"/>
      <c r="FA293" s="56"/>
      <c r="FB293" s="56"/>
      <c r="FC293" s="56"/>
      <c r="FD293" s="56"/>
      <c r="FE293" s="56"/>
      <c r="FF293" s="56"/>
      <c r="FG293" s="56"/>
      <c r="FH293" s="56"/>
      <c r="FI293" s="56"/>
      <c r="FJ293" s="56"/>
      <c r="FK293" s="56"/>
      <c r="FL293" s="56"/>
      <c r="FM293" s="56"/>
      <c r="FN293" s="56"/>
      <c r="FO293" s="56"/>
      <c r="FP293" s="56"/>
      <c r="FQ293" s="56"/>
      <c r="FR293" s="56"/>
      <c r="FS293" s="56"/>
      <c r="FT293" s="56"/>
      <c r="FU293" s="56"/>
      <c r="FV293" s="56"/>
      <c r="FW293" s="56"/>
      <c r="FX293" s="56"/>
      <c r="FY293" s="56"/>
      <c r="FZ293" s="56"/>
      <c r="GA293" s="56"/>
      <c r="GB293" s="56"/>
      <c r="GC293" s="56"/>
      <c r="GD293" s="56"/>
      <c r="GE293" s="56"/>
      <c r="GF293" s="56"/>
      <c r="GG293" s="56"/>
      <c r="GH293" s="56"/>
      <c r="GI293" s="56"/>
      <c r="GJ293" s="56"/>
      <c r="GK293" s="56"/>
      <c r="GL293" s="56"/>
      <c r="GM293" s="56"/>
      <c r="GN293" s="56"/>
      <c r="GO293" s="56"/>
      <c r="GP293" s="56"/>
      <c r="GQ293" s="56"/>
      <c r="GR293" s="56"/>
      <c r="GS293" s="56"/>
      <c r="GT293" s="56"/>
      <c r="GU293" s="56"/>
      <c r="GV293" s="56"/>
      <c r="GW293" s="56"/>
      <c r="GX293" s="56"/>
      <c r="GY293" s="56"/>
      <c r="GZ293" s="56"/>
      <c r="HA293" s="56"/>
      <c r="HB293" s="56"/>
      <c r="HC293" s="56"/>
      <c r="HD293" s="56"/>
      <c r="HE293" s="56"/>
      <c r="HF293" s="56"/>
      <c r="HG293" s="56"/>
      <c r="HH293" s="56"/>
      <c r="HI293" s="56"/>
      <c r="HJ293" s="56"/>
    </row>
    <row r="294" spans="1:218" ht="15.75" customHeight="1" x14ac:dyDescent="0.2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56"/>
      <c r="CP294" s="56"/>
      <c r="CQ294" s="56"/>
      <c r="CR294" s="56"/>
      <c r="CS294" s="56"/>
      <c r="CT294" s="56"/>
      <c r="CU294" s="56"/>
      <c r="CV294" s="56"/>
      <c r="CW294" s="56"/>
      <c r="CX294" s="56"/>
      <c r="CY294" s="56"/>
      <c r="CZ294" s="56"/>
      <c r="DA294" s="56"/>
      <c r="DB294" s="56"/>
      <c r="DC294" s="56"/>
      <c r="DD294" s="56"/>
      <c r="DE294" s="56"/>
      <c r="DF294" s="56"/>
      <c r="DG294" s="56"/>
      <c r="DH294" s="56"/>
      <c r="DI294" s="56"/>
      <c r="DJ294" s="56"/>
      <c r="DK294" s="56"/>
      <c r="DL294" s="56"/>
      <c r="DM294" s="56"/>
      <c r="DN294" s="56"/>
      <c r="DO294" s="56"/>
      <c r="DP294" s="56"/>
      <c r="DQ294" s="56"/>
      <c r="DR294" s="56"/>
      <c r="DS294" s="56"/>
      <c r="DT294" s="56"/>
      <c r="DU294" s="56"/>
      <c r="DV294" s="56"/>
      <c r="DW294" s="56"/>
      <c r="DX294" s="56"/>
      <c r="DY294" s="56"/>
      <c r="DZ294" s="56"/>
      <c r="EA294" s="56"/>
      <c r="EB294" s="56"/>
      <c r="EC294" s="56"/>
      <c r="ED294" s="56"/>
      <c r="EE294" s="56"/>
      <c r="EF294" s="56"/>
      <c r="EG294" s="56"/>
      <c r="EH294" s="56"/>
      <c r="EI294" s="56"/>
      <c r="EJ294" s="56"/>
      <c r="EK294" s="56"/>
      <c r="EL294" s="56"/>
      <c r="EM294" s="56"/>
      <c r="EN294" s="56"/>
      <c r="EO294" s="56"/>
      <c r="EP294" s="56"/>
      <c r="EQ294" s="56"/>
      <c r="ER294" s="56"/>
      <c r="ES294" s="56"/>
      <c r="ET294" s="56"/>
      <c r="EU294" s="56"/>
      <c r="EV294" s="56"/>
      <c r="EW294" s="56"/>
      <c r="EX294" s="56"/>
      <c r="EY294" s="56"/>
      <c r="EZ294" s="56"/>
      <c r="FA294" s="56"/>
      <c r="FB294" s="56"/>
      <c r="FC294" s="56"/>
      <c r="FD294" s="56"/>
      <c r="FE294" s="56"/>
      <c r="FF294" s="56"/>
      <c r="FG294" s="56"/>
      <c r="FH294" s="56"/>
      <c r="FI294" s="56"/>
      <c r="FJ294" s="56"/>
      <c r="FK294" s="56"/>
      <c r="FL294" s="56"/>
      <c r="FM294" s="56"/>
      <c r="FN294" s="56"/>
      <c r="FO294" s="56"/>
      <c r="FP294" s="56"/>
      <c r="FQ294" s="56"/>
      <c r="FR294" s="56"/>
      <c r="FS294" s="56"/>
      <c r="FT294" s="56"/>
      <c r="FU294" s="56"/>
      <c r="FV294" s="56"/>
      <c r="FW294" s="56"/>
      <c r="FX294" s="56"/>
      <c r="FY294" s="56"/>
      <c r="FZ294" s="56"/>
      <c r="GA294" s="56"/>
      <c r="GB294" s="56"/>
      <c r="GC294" s="56"/>
      <c r="GD294" s="56"/>
      <c r="GE294" s="56"/>
      <c r="GF294" s="56"/>
      <c r="GG294" s="56"/>
      <c r="GH294" s="56"/>
      <c r="GI294" s="56"/>
      <c r="GJ294" s="56"/>
      <c r="GK294" s="56"/>
      <c r="GL294" s="56"/>
      <c r="GM294" s="56"/>
      <c r="GN294" s="56"/>
      <c r="GO294" s="56"/>
      <c r="GP294" s="56"/>
      <c r="GQ294" s="56"/>
      <c r="GR294" s="56"/>
      <c r="GS294" s="56"/>
      <c r="GT294" s="56"/>
      <c r="GU294" s="56"/>
      <c r="GV294" s="56"/>
      <c r="GW294" s="56"/>
      <c r="GX294" s="56"/>
      <c r="GY294" s="56"/>
      <c r="GZ294" s="56"/>
      <c r="HA294" s="56"/>
      <c r="HB294" s="56"/>
      <c r="HC294" s="56"/>
      <c r="HD294" s="56"/>
      <c r="HE294" s="56"/>
      <c r="HF294" s="56"/>
      <c r="HG294" s="56"/>
      <c r="HH294" s="56"/>
      <c r="HI294" s="56"/>
      <c r="HJ294" s="56"/>
    </row>
    <row r="295" spans="1:218" ht="15.75" customHeight="1" x14ac:dyDescent="0.2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56"/>
      <c r="CP295" s="56"/>
      <c r="CQ295" s="56"/>
      <c r="CR295" s="56"/>
      <c r="CS295" s="56"/>
      <c r="CT295" s="56"/>
      <c r="CU295" s="56"/>
      <c r="CV295" s="56"/>
      <c r="CW295" s="56"/>
      <c r="CX295" s="56"/>
      <c r="CY295" s="56"/>
      <c r="CZ295" s="56"/>
      <c r="DA295" s="56"/>
      <c r="DB295" s="56"/>
      <c r="DC295" s="56"/>
      <c r="DD295" s="56"/>
      <c r="DE295" s="56"/>
      <c r="DF295" s="56"/>
      <c r="DG295" s="56"/>
      <c r="DH295" s="56"/>
      <c r="DI295" s="56"/>
      <c r="DJ295" s="56"/>
      <c r="DK295" s="56"/>
      <c r="DL295" s="56"/>
      <c r="DM295" s="56"/>
      <c r="DN295" s="56"/>
      <c r="DO295" s="56"/>
      <c r="DP295" s="56"/>
      <c r="DQ295" s="56"/>
      <c r="DR295" s="56"/>
      <c r="DS295" s="56"/>
      <c r="DT295" s="56"/>
      <c r="DU295" s="56"/>
      <c r="DV295" s="56"/>
      <c r="DW295" s="56"/>
      <c r="DX295" s="56"/>
      <c r="DY295" s="56"/>
      <c r="DZ295" s="56"/>
      <c r="EA295" s="56"/>
      <c r="EB295" s="56"/>
      <c r="EC295" s="56"/>
      <c r="ED295" s="56"/>
      <c r="EE295" s="56"/>
      <c r="EF295" s="56"/>
      <c r="EG295" s="56"/>
      <c r="EH295" s="56"/>
      <c r="EI295" s="56"/>
      <c r="EJ295" s="56"/>
      <c r="EK295" s="56"/>
      <c r="EL295" s="56"/>
      <c r="EM295" s="56"/>
      <c r="EN295" s="56"/>
      <c r="EO295" s="56"/>
      <c r="EP295" s="56"/>
      <c r="EQ295" s="56"/>
      <c r="ER295" s="56"/>
      <c r="ES295" s="56"/>
      <c r="ET295" s="56"/>
      <c r="EU295" s="56"/>
      <c r="EV295" s="56"/>
      <c r="EW295" s="56"/>
      <c r="EX295" s="56"/>
      <c r="EY295" s="56"/>
      <c r="EZ295" s="56"/>
      <c r="FA295" s="56"/>
      <c r="FB295" s="56"/>
      <c r="FC295" s="56"/>
      <c r="FD295" s="56"/>
      <c r="FE295" s="56"/>
      <c r="FF295" s="56"/>
      <c r="FG295" s="56"/>
      <c r="FH295" s="56"/>
      <c r="FI295" s="56"/>
      <c r="FJ295" s="56"/>
      <c r="FK295" s="56"/>
      <c r="FL295" s="56"/>
      <c r="FM295" s="56"/>
      <c r="FN295" s="56"/>
      <c r="FO295" s="56"/>
      <c r="FP295" s="56"/>
      <c r="FQ295" s="56"/>
      <c r="FR295" s="56"/>
      <c r="FS295" s="56"/>
      <c r="FT295" s="56"/>
      <c r="FU295" s="56"/>
      <c r="FV295" s="56"/>
      <c r="FW295" s="56"/>
      <c r="FX295" s="56"/>
      <c r="FY295" s="56"/>
      <c r="FZ295" s="56"/>
      <c r="GA295" s="56"/>
      <c r="GB295" s="56"/>
      <c r="GC295" s="56"/>
      <c r="GD295" s="56"/>
      <c r="GE295" s="56"/>
      <c r="GF295" s="56"/>
      <c r="GG295" s="56"/>
      <c r="GH295" s="56"/>
      <c r="GI295" s="56"/>
      <c r="GJ295" s="56"/>
      <c r="GK295" s="56"/>
      <c r="GL295" s="56"/>
      <c r="GM295" s="56"/>
      <c r="GN295" s="56"/>
      <c r="GO295" s="56"/>
      <c r="GP295" s="56"/>
      <c r="GQ295" s="56"/>
      <c r="GR295" s="56"/>
      <c r="GS295" s="56"/>
      <c r="GT295" s="56"/>
      <c r="GU295" s="56"/>
      <c r="GV295" s="56"/>
      <c r="GW295" s="56"/>
      <c r="GX295" s="56"/>
      <c r="GY295" s="56"/>
      <c r="GZ295" s="56"/>
      <c r="HA295" s="56"/>
      <c r="HB295" s="56"/>
      <c r="HC295" s="56"/>
      <c r="HD295" s="56"/>
      <c r="HE295" s="56"/>
      <c r="HF295" s="56"/>
      <c r="HG295" s="56"/>
      <c r="HH295" s="56"/>
      <c r="HI295" s="56"/>
      <c r="HJ295" s="56"/>
    </row>
    <row r="296" spans="1:218" ht="15.75" customHeight="1" x14ac:dyDescent="0.2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  <c r="CL296" s="56"/>
      <c r="CM296" s="56"/>
      <c r="CN296" s="56"/>
      <c r="CO296" s="56"/>
      <c r="CP296" s="56"/>
      <c r="CQ296" s="56"/>
      <c r="CR296" s="56"/>
      <c r="CS296" s="56"/>
      <c r="CT296" s="56"/>
      <c r="CU296" s="56"/>
      <c r="CV296" s="56"/>
      <c r="CW296" s="56"/>
      <c r="CX296" s="56"/>
      <c r="CY296" s="56"/>
      <c r="CZ296" s="56"/>
      <c r="DA296" s="56"/>
      <c r="DB296" s="56"/>
      <c r="DC296" s="56"/>
      <c r="DD296" s="56"/>
      <c r="DE296" s="56"/>
      <c r="DF296" s="56"/>
      <c r="DG296" s="56"/>
      <c r="DH296" s="56"/>
      <c r="DI296" s="56"/>
      <c r="DJ296" s="56"/>
      <c r="DK296" s="56"/>
      <c r="DL296" s="56"/>
      <c r="DM296" s="56"/>
      <c r="DN296" s="56"/>
      <c r="DO296" s="56"/>
      <c r="DP296" s="56"/>
      <c r="DQ296" s="56"/>
      <c r="DR296" s="56"/>
      <c r="DS296" s="56"/>
      <c r="DT296" s="56"/>
      <c r="DU296" s="56"/>
      <c r="DV296" s="56"/>
      <c r="DW296" s="56"/>
      <c r="DX296" s="56"/>
      <c r="DY296" s="56"/>
      <c r="DZ296" s="56"/>
      <c r="EA296" s="56"/>
      <c r="EB296" s="56"/>
      <c r="EC296" s="56"/>
      <c r="ED296" s="56"/>
      <c r="EE296" s="56"/>
      <c r="EF296" s="56"/>
      <c r="EG296" s="56"/>
      <c r="EH296" s="56"/>
      <c r="EI296" s="56"/>
      <c r="EJ296" s="56"/>
      <c r="EK296" s="56"/>
      <c r="EL296" s="56"/>
      <c r="EM296" s="56"/>
      <c r="EN296" s="56"/>
      <c r="EO296" s="56"/>
      <c r="EP296" s="56"/>
      <c r="EQ296" s="56"/>
      <c r="ER296" s="56"/>
      <c r="ES296" s="56"/>
      <c r="ET296" s="56"/>
      <c r="EU296" s="56"/>
      <c r="EV296" s="56"/>
      <c r="EW296" s="56"/>
      <c r="EX296" s="56"/>
      <c r="EY296" s="56"/>
      <c r="EZ296" s="56"/>
      <c r="FA296" s="56"/>
      <c r="FB296" s="56"/>
      <c r="FC296" s="56"/>
      <c r="FD296" s="56"/>
      <c r="FE296" s="56"/>
      <c r="FF296" s="56"/>
      <c r="FG296" s="56"/>
      <c r="FH296" s="56"/>
      <c r="FI296" s="56"/>
      <c r="FJ296" s="56"/>
      <c r="FK296" s="56"/>
      <c r="FL296" s="56"/>
      <c r="FM296" s="56"/>
      <c r="FN296" s="56"/>
      <c r="FO296" s="56"/>
      <c r="FP296" s="56"/>
      <c r="FQ296" s="56"/>
      <c r="FR296" s="56"/>
      <c r="FS296" s="56"/>
      <c r="FT296" s="56"/>
      <c r="FU296" s="56"/>
      <c r="FV296" s="56"/>
      <c r="FW296" s="56"/>
      <c r="FX296" s="56"/>
      <c r="FY296" s="56"/>
      <c r="FZ296" s="56"/>
      <c r="GA296" s="56"/>
      <c r="GB296" s="56"/>
      <c r="GC296" s="56"/>
      <c r="GD296" s="56"/>
      <c r="GE296" s="56"/>
      <c r="GF296" s="56"/>
      <c r="GG296" s="56"/>
      <c r="GH296" s="56"/>
      <c r="GI296" s="56"/>
      <c r="GJ296" s="56"/>
      <c r="GK296" s="56"/>
      <c r="GL296" s="56"/>
      <c r="GM296" s="56"/>
      <c r="GN296" s="56"/>
      <c r="GO296" s="56"/>
      <c r="GP296" s="56"/>
      <c r="GQ296" s="56"/>
      <c r="GR296" s="56"/>
      <c r="GS296" s="56"/>
      <c r="GT296" s="56"/>
      <c r="GU296" s="56"/>
      <c r="GV296" s="56"/>
      <c r="GW296" s="56"/>
      <c r="GX296" s="56"/>
      <c r="GY296" s="56"/>
      <c r="GZ296" s="56"/>
      <c r="HA296" s="56"/>
      <c r="HB296" s="56"/>
      <c r="HC296" s="56"/>
      <c r="HD296" s="56"/>
      <c r="HE296" s="56"/>
      <c r="HF296" s="56"/>
      <c r="HG296" s="56"/>
      <c r="HH296" s="56"/>
      <c r="HI296" s="56"/>
      <c r="HJ296" s="56"/>
    </row>
    <row r="297" spans="1:218" ht="15.75" customHeight="1" x14ac:dyDescent="0.2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  <c r="CL297" s="56"/>
      <c r="CM297" s="56"/>
      <c r="CN297" s="56"/>
      <c r="CO297" s="56"/>
      <c r="CP297" s="56"/>
      <c r="CQ297" s="56"/>
      <c r="CR297" s="56"/>
      <c r="CS297" s="56"/>
      <c r="CT297" s="56"/>
      <c r="CU297" s="56"/>
      <c r="CV297" s="56"/>
      <c r="CW297" s="56"/>
      <c r="CX297" s="56"/>
      <c r="CY297" s="56"/>
      <c r="CZ297" s="56"/>
      <c r="DA297" s="56"/>
      <c r="DB297" s="56"/>
      <c r="DC297" s="56"/>
      <c r="DD297" s="56"/>
      <c r="DE297" s="56"/>
      <c r="DF297" s="56"/>
      <c r="DG297" s="56"/>
      <c r="DH297" s="56"/>
      <c r="DI297" s="56"/>
      <c r="DJ297" s="56"/>
      <c r="DK297" s="56"/>
      <c r="DL297" s="56"/>
      <c r="DM297" s="56"/>
      <c r="DN297" s="56"/>
      <c r="DO297" s="56"/>
      <c r="DP297" s="56"/>
      <c r="DQ297" s="56"/>
      <c r="DR297" s="56"/>
      <c r="DS297" s="56"/>
      <c r="DT297" s="56"/>
      <c r="DU297" s="56"/>
      <c r="DV297" s="56"/>
      <c r="DW297" s="56"/>
      <c r="DX297" s="56"/>
      <c r="DY297" s="56"/>
      <c r="DZ297" s="56"/>
      <c r="EA297" s="56"/>
      <c r="EB297" s="56"/>
      <c r="EC297" s="56"/>
      <c r="ED297" s="56"/>
      <c r="EE297" s="56"/>
      <c r="EF297" s="56"/>
      <c r="EG297" s="56"/>
      <c r="EH297" s="56"/>
      <c r="EI297" s="56"/>
      <c r="EJ297" s="56"/>
      <c r="EK297" s="56"/>
      <c r="EL297" s="56"/>
      <c r="EM297" s="56"/>
      <c r="EN297" s="56"/>
      <c r="EO297" s="56"/>
      <c r="EP297" s="56"/>
      <c r="EQ297" s="56"/>
      <c r="ER297" s="56"/>
      <c r="ES297" s="56"/>
      <c r="ET297" s="56"/>
      <c r="EU297" s="56"/>
      <c r="EV297" s="56"/>
      <c r="EW297" s="56"/>
      <c r="EX297" s="56"/>
      <c r="EY297" s="56"/>
      <c r="EZ297" s="56"/>
      <c r="FA297" s="56"/>
      <c r="FB297" s="56"/>
      <c r="FC297" s="56"/>
      <c r="FD297" s="56"/>
      <c r="FE297" s="56"/>
      <c r="FF297" s="56"/>
      <c r="FG297" s="56"/>
      <c r="FH297" s="56"/>
      <c r="FI297" s="56"/>
      <c r="FJ297" s="56"/>
      <c r="FK297" s="56"/>
      <c r="FL297" s="56"/>
      <c r="FM297" s="56"/>
      <c r="FN297" s="56"/>
      <c r="FO297" s="56"/>
      <c r="FP297" s="56"/>
      <c r="FQ297" s="56"/>
      <c r="FR297" s="56"/>
      <c r="FS297" s="56"/>
      <c r="FT297" s="56"/>
      <c r="FU297" s="56"/>
      <c r="FV297" s="56"/>
      <c r="FW297" s="56"/>
      <c r="FX297" s="56"/>
      <c r="FY297" s="56"/>
      <c r="FZ297" s="56"/>
      <c r="GA297" s="56"/>
      <c r="GB297" s="56"/>
      <c r="GC297" s="56"/>
      <c r="GD297" s="56"/>
      <c r="GE297" s="56"/>
      <c r="GF297" s="56"/>
      <c r="GG297" s="56"/>
      <c r="GH297" s="56"/>
      <c r="GI297" s="56"/>
      <c r="GJ297" s="56"/>
      <c r="GK297" s="56"/>
      <c r="GL297" s="56"/>
      <c r="GM297" s="56"/>
      <c r="GN297" s="56"/>
      <c r="GO297" s="56"/>
      <c r="GP297" s="56"/>
      <c r="GQ297" s="56"/>
      <c r="GR297" s="56"/>
      <c r="GS297" s="56"/>
      <c r="GT297" s="56"/>
      <c r="GU297" s="56"/>
      <c r="GV297" s="56"/>
      <c r="GW297" s="56"/>
      <c r="GX297" s="56"/>
      <c r="GY297" s="56"/>
      <c r="GZ297" s="56"/>
      <c r="HA297" s="56"/>
      <c r="HB297" s="56"/>
      <c r="HC297" s="56"/>
      <c r="HD297" s="56"/>
      <c r="HE297" s="56"/>
      <c r="HF297" s="56"/>
      <c r="HG297" s="56"/>
      <c r="HH297" s="56"/>
      <c r="HI297" s="56"/>
      <c r="HJ297" s="56"/>
    </row>
    <row r="298" spans="1:218" ht="15.75" customHeight="1" x14ac:dyDescent="0.2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  <c r="CR298" s="56"/>
      <c r="CS298" s="56"/>
      <c r="CT298" s="56"/>
      <c r="CU298" s="56"/>
      <c r="CV298" s="56"/>
      <c r="CW298" s="56"/>
      <c r="CX298" s="56"/>
      <c r="CY298" s="56"/>
      <c r="CZ298" s="56"/>
      <c r="DA298" s="56"/>
      <c r="DB298" s="56"/>
      <c r="DC298" s="56"/>
      <c r="DD298" s="56"/>
      <c r="DE298" s="56"/>
      <c r="DF298" s="56"/>
      <c r="DG298" s="56"/>
      <c r="DH298" s="56"/>
      <c r="DI298" s="56"/>
      <c r="DJ298" s="56"/>
      <c r="DK298" s="56"/>
      <c r="DL298" s="56"/>
      <c r="DM298" s="56"/>
      <c r="DN298" s="56"/>
      <c r="DO298" s="56"/>
      <c r="DP298" s="56"/>
      <c r="DQ298" s="56"/>
      <c r="DR298" s="56"/>
      <c r="DS298" s="56"/>
      <c r="DT298" s="56"/>
      <c r="DU298" s="56"/>
      <c r="DV298" s="56"/>
      <c r="DW298" s="56"/>
      <c r="DX298" s="56"/>
      <c r="DY298" s="56"/>
      <c r="DZ298" s="56"/>
      <c r="EA298" s="56"/>
      <c r="EB298" s="56"/>
      <c r="EC298" s="56"/>
      <c r="ED298" s="56"/>
      <c r="EE298" s="56"/>
      <c r="EF298" s="56"/>
      <c r="EG298" s="56"/>
      <c r="EH298" s="56"/>
      <c r="EI298" s="56"/>
      <c r="EJ298" s="56"/>
      <c r="EK298" s="56"/>
      <c r="EL298" s="56"/>
      <c r="EM298" s="56"/>
      <c r="EN298" s="56"/>
      <c r="EO298" s="56"/>
      <c r="EP298" s="56"/>
      <c r="EQ298" s="56"/>
      <c r="ER298" s="56"/>
      <c r="ES298" s="56"/>
      <c r="ET298" s="56"/>
      <c r="EU298" s="56"/>
      <c r="EV298" s="56"/>
      <c r="EW298" s="56"/>
      <c r="EX298" s="56"/>
      <c r="EY298" s="56"/>
      <c r="EZ298" s="56"/>
      <c r="FA298" s="56"/>
      <c r="FB298" s="56"/>
      <c r="FC298" s="56"/>
      <c r="FD298" s="56"/>
      <c r="FE298" s="56"/>
      <c r="FF298" s="56"/>
      <c r="FG298" s="56"/>
      <c r="FH298" s="56"/>
      <c r="FI298" s="56"/>
      <c r="FJ298" s="56"/>
      <c r="FK298" s="56"/>
      <c r="FL298" s="56"/>
      <c r="FM298" s="56"/>
      <c r="FN298" s="56"/>
      <c r="FO298" s="56"/>
      <c r="FP298" s="56"/>
      <c r="FQ298" s="56"/>
      <c r="FR298" s="56"/>
      <c r="FS298" s="56"/>
      <c r="FT298" s="56"/>
      <c r="FU298" s="56"/>
      <c r="FV298" s="56"/>
      <c r="FW298" s="56"/>
      <c r="FX298" s="56"/>
      <c r="FY298" s="56"/>
      <c r="FZ298" s="56"/>
      <c r="GA298" s="56"/>
      <c r="GB298" s="56"/>
      <c r="GC298" s="56"/>
      <c r="GD298" s="56"/>
      <c r="GE298" s="56"/>
      <c r="GF298" s="56"/>
      <c r="GG298" s="56"/>
      <c r="GH298" s="56"/>
      <c r="GI298" s="56"/>
      <c r="GJ298" s="56"/>
      <c r="GK298" s="56"/>
      <c r="GL298" s="56"/>
      <c r="GM298" s="56"/>
      <c r="GN298" s="56"/>
      <c r="GO298" s="56"/>
      <c r="GP298" s="56"/>
      <c r="GQ298" s="56"/>
      <c r="GR298" s="56"/>
      <c r="GS298" s="56"/>
      <c r="GT298" s="56"/>
      <c r="GU298" s="56"/>
      <c r="GV298" s="56"/>
      <c r="GW298" s="56"/>
      <c r="GX298" s="56"/>
      <c r="GY298" s="56"/>
      <c r="GZ298" s="56"/>
      <c r="HA298" s="56"/>
      <c r="HB298" s="56"/>
      <c r="HC298" s="56"/>
      <c r="HD298" s="56"/>
      <c r="HE298" s="56"/>
      <c r="HF298" s="56"/>
      <c r="HG298" s="56"/>
      <c r="HH298" s="56"/>
      <c r="HI298" s="56"/>
      <c r="HJ298" s="56"/>
    </row>
    <row r="299" spans="1:218" ht="15.75" customHeight="1" x14ac:dyDescent="0.2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  <c r="CS299" s="56"/>
      <c r="CT299" s="56"/>
      <c r="CU299" s="56"/>
      <c r="CV299" s="56"/>
      <c r="CW299" s="56"/>
      <c r="CX299" s="56"/>
      <c r="CY299" s="56"/>
      <c r="CZ299" s="56"/>
      <c r="DA299" s="56"/>
      <c r="DB299" s="56"/>
      <c r="DC299" s="56"/>
      <c r="DD299" s="56"/>
      <c r="DE299" s="56"/>
      <c r="DF299" s="56"/>
      <c r="DG299" s="56"/>
      <c r="DH299" s="56"/>
      <c r="DI299" s="56"/>
      <c r="DJ299" s="56"/>
      <c r="DK299" s="56"/>
      <c r="DL299" s="56"/>
      <c r="DM299" s="56"/>
      <c r="DN299" s="56"/>
      <c r="DO299" s="56"/>
      <c r="DP299" s="56"/>
      <c r="DQ299" s="56"/>
      <c r="DR299" s="56"/>
      <c r="DS299" s="56"/>
      <c r="DT299" s="56"/>
      <c r="DU299" s="56"/>
      <c r="DV299" s="56"/>
      <c r="DW299" s="56"/>
      <c r="DX299" s="56"/>
      <c r="DY299" s="56"/>
      <c r="DZ299" s="56"/>
      <c r="EA299" s="56"/>
      <c r="EB299" s="56"/>
      <c r="EC299" s="56"/>
      <c r="ED299" s="56"/>
      <c r="EE299" s="56"/>
      <c r="EF299" s="56"/>
      <c r="EG299" s="56"/>
      <c r="EH299" s="56"/>
      <c r="EI299" s="56"/>
      <c r="EJ299" s="56"/>
      <c r="EK299" s="56"/>
      <c r="EL299" s="56"/>
      <c r="EM299" s="56"/>
      <c r="EN299" s="56"/>
      <c r="EO299" s="56"/>
      <c r="EP299" s="56"/>
      <c r="EQ299" s="56"/>
      <c r="ER299" s="56"/>
      <c r="ES299" s="56"/>
      <c r="ET299" s="56"/>
      <c r="EU299" s="56"/>
      <c r="EV299" s="56"/>
      <c r="EW299" s="56"/>
      <c r="EX299" s="56"/>
      <c r="EY299" s="56"/>
      <c r="EZ299" s="56"/>
      <c r="FA299" s="56"/>
      <c r="FB299" s="56"/>
      <c r="FC299" s="56"/>
      <c r="FD299" s="56"/>
      <c r="FE299" s="56"/>
      <c r="FF299" s="56"/>
      <c r="FG299" s="56"/>
      <c r="FH299" s="56"/>
      <c r="FI299" s="56"/>
      <c r="FJ299" s="56"/>
      <c r="FK299" s="56"/>
      <c r="FL299" s="56"/>
      <c r="FM299" s="56"/>
      <c r="FN299" s="56"/>
      <c r="FO299" s="56"/>
      <c r="FP299" s="56"/>
      <c r="FQ299" s="56"/>
      <c r="FR299" s="56"/>
      <c r="FS299" s="56"/>
      <c r="FT299" s="56"/>
      <c r="FU299" s="56"/>
      <c r="FV299" s="56"/>
      <c r="FW299" s="56"/>
      <c r="FX299" s="56"/>
      <c r="FY299" s="56"/>
      <c r="FZ299" s="56"/>
      <c r="GA299" s="56"/>
      <c r="GB299" s="56"/>
      <c r="GC299" s="56"/>
      <c r="GD299" s="56"/>
      <c r="GE299" s="56"/>
      <c r="GF299" s="56"/>
      <c r="GG299" s="56"/>
      <c r="GH299" s="56"/>
      <c r="GI299" s="56"/>
      <c r="GJ299" s="56"/>
      <c r="GK299" s="56"/>
      <c r="GL299" s="56"/>
      <c r="GM299" s="56"/>
      <c r="GN299" s="56"/>
      <c r="GO299" s="56"/>
      <c r="GP299" s="56"/>
      <c r="GQ299" s="56"/>
      <c r="GR299" s="56"/>
      <c r="GS299" s="56"/>
      <c r="GT299" s="56"/>
      <c r="GU299" s="56"/>
      <c r="GV299" s="56"/>
      <c r="GW299" s="56"/>
      <c r="GX299" s="56"/>
      <c r="GY299" s="56"/>
      <c r="GZ299" s="56"/>
      <c r="HA299" s="56"/>
      <c r="HB299" s="56"/>
      <c r="HC299" s="56"/>
      <c r="HD299" s="56"/>
      <c r="HE299" s="56"/>
      <c r="HF299" s="56"/>
      <c r="HG299" s="56"/>
      <c r="HH299" s="56"/>
      <c r="HI299" s="56"/>
      <c r="HJ299" s="56"/>
    </row>
    <row r="300" spans="1:218" ht="15.75" customHeight="1" x14ac:dyDescent="0.2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  <c r="CL300" s="56"/>
      <c r="CM300" s="56"/>
      <c r="CN300" s="56"/>
      <c r="CO300" s="56"/>
      <c r="CP300" s="56"/>
      <c r="CQ300" s="56"/>
      <c r="CR300" s="56"/>
      <c r="CS300" s="56"/>
      <c r="CT300" s="56"/>
      <c r="CU300" s="56"/>
      <c r="CV300" s="56"/>
      <c r="CW300" s="56"/>
      <c r="CX300" s="56"/>
      <c r="CY300" s="56"/>
      <c r="CZ300" s="56"/>
      <c r="DA300" s="56"/>
      <c r="DB300" s="56"/>
      <c r="DC300" s="56"/>
      <c r="DD300" s="56"/>
      <c r="DE300" s="56"/>
      <c r="DF300" s="56"/>
      <c r="DG300" s="56"/>
      <c r="DH300" s="56"/>
      <c r="DI300" s="56"/>
      <c r="DJ300" s="56"/>
      <c r="DK300" s="56"/>
      <c r="DL300" s="56"/>
      <c r="DM300" s="56"/>
      <c r="DN300" s="56"/>
      <c r="DO300" s="56"/>
      <c r="DP300" s="56"/>
      <c r="DQ300" s="56"/>
      <c r="DR300" s="56"/>
      <c r="DS300" s="56"/>
      <c r="DT300" s="56"/>
      <c r="DU300" s="56"/>
      <c r="DV300" s="56"/>
      <c r="DW300" s="56"/>
      <c r="DX300" s="56"/>
      <c r="DY300" s="56"/>
      <c r="DZ300" s="56"/>
      <c r="EA300" s="56"/>
      <c r="EB300" s="56"/>
      <c r="EC300" s="56"/>
      <c r="ED300" s="56"/>
      <c r="EE300" s="56"/>
      <c r="EF300" s="56"/>
      <c r="EG300" s="56"/>
      <c r="EH300" s="56"/>
      <c r="EI300" s="56"/>
      <c r="EJ300" s="56"/>
      <c r="EK300" s="56"/>
      <c r="EL300" s="56"/>
      <c r="EM300" s="56"/>
      <c r="EN300" s="56"/>
      <c r="EO300" s="56"/>
      <c r="EP300" s="56"/>
      <c r="EQ300" s="56"/>
      <c r="ER300" s="56"/>
      <c r="ES300" s="56"/>
      <c r="ET300" s="56"/>
      <c r="EU300" s="56"/>
      <c r="EV300" s="56"/>
      <c r="EW300" s="56"/>
      <c r="EX300" s="56"/>
      <c r="EY300" s="56"/>
      <c r="EZ300" s="56"/>
      <c r="FA300" s="56"/>
      <c r="FB300" s="56"/>
      <c r="FC300" s="56"/>
      <c r="FD300" s="56"/>
      <c r="FE300" s="56"/>
      <c r="FF300" s="56"/>
      <c r="FG300" s="56"/>
      <c r="FH300" s="56"/>
      <c r="FI300" s="56"/>
      <c r="FJ300" s="56"/>
      <c r="FK300" s="56"/>
      <c r="FL300" s="56"/>
      <c r="FM300" s="56"/>
      <c r="FN300" s="56"/>
      <c r="FO300" s="56"/>
      <c r="FP300" s="56"/>
      <c r="FQ300" s="56"/>
      <c r="FR300" s="56"/>
      <c r="FS300" s="56"/>
      <c r="FT300" s="56"/>
      <c r="FU300" s="56"/>
      <c r="FV300" s="56"/>
      <c r="FW300" s="56"/>
      <c r="FX300" s="56"/>
      <c r="FY300" s="56"/>
      <c r="FZ300" s="56"/>
      <c r="GA300" s="56"/>
      <c r="GB300" s="56"/>
      <c r="GC300" s="56"/>
      <c r="GD300" s="56"/>
      <c r="GE300" s="56"/>
      <c r="GF300" s="56"/>
      <c r="GG300" s="56"/>
      <c r="GH300" s="56"/>
      <c r="GI300" s="56"/>
      <c r="GJ300" s="56"/>
      <c r="GK300" s="56"/>
      <c r="GL300" s="56"/>
      <c r="GM300" s="56"/>
      <c r="GN300" s="56"/>
      <c r="GO300" s="56"/>
      <c r="GP300" s="56"/>
      <c r="GQ300" s="56"/>
      <c r="GR300" s="56"/>
      <c r="GS300" s="56"/>
      <c r="GT300" s="56"/>
      <c r="GU300" s="56"/>
      <c r="GV300" s="56"/>
      <c r="GW300" s="56"/>
      <c r="GX300" s="56"/>
      <c r="GY300" s="56"/>
      <c r="GZ300" s="56"/>
      <c r="HA300" s="56"/>
      <c r="HB300" s="56"/>
      <c r="HC300" s="56"/>
      <c r="HD300" s="56"/>
      <c r="HE300" s="56"/>
      <c r="HF300" s="56"/>
      <c r="HG300" s="56"/>
      <c r="HH300" s="56"/>
      <c r="HI300" s="56"/>
      <c r="HJ300" s="56"/>
    </row>
    <row r="301" spans="1:218" ht="15.75" customHeight="1" x14ac:dyDescent="0.2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  <c r="CL301" s="56"/>
      <c r="CM301" s="56"/>
      <c r="CN301" s="56"/>
      <c r="CO301" s="56"/>
      <c r="CP301" s="56"/>
      <c r="CQ301" s="56"/>
      <c r="CR301" s="56"/>
      <c r="CS301" s="56"/>
      <c r="CT301" s="56"/>
      <c r="CU301" s="56"/>
      <c r="CV301" s="56"/>
      <c r="CW301" s="56"/>
      <c r="CX301" s="56"/>
      <c r="CY301" s="56"/>
      <c r="CZ301" s="56"/>
      <c r="DA301" s="56"/>
      <c r="DB301" s="56"/>
      <c r="DC301" s="56"/>
      <c r="DD301" s="56"/>
      <c r="DE301" s="56"/>
      <c r="DF301" s="56"/>
      <c r="DG301" s="56"/>
      <c r="DH301" s="56"/>
      <c r="DI301" s="56"/>
      <c r="DJ301" s="56"/>
      <c r="DK301" s="56"/>
      <c r="DL301" s="56"/>
      <c r="DM301" s="56"/>
      <c r="DN301" s="56"/>
      <c r="DO301" s="56"/>
      <c r="DP301" s="56"/>
      <c r="DQ301" s="56"/>
      <c r="DR301" s="56"/>
      <c r="DS301" s="56"/>
      <c r="DT301" s="56"/>
      <c r="DU301" s="56"/>
      <c r="DV301" s="56"/>
      <c r="DW301" s="56"/>
      <c r="DX301" s="56"/>
      <c r="DY301" s="56"/>
      <c r="DZ301" s="56"/>
      <c r="EA301" s="56"/>
      <c r="EB301" s="56"/>
      <c r="EC301" s="56"/>
      <c r="ED301" s="56"/>
      <c r="EE301" s="56"/>
      <c r="EF301" s="56"/>
      <c r="EG301" s="56"/>
      <c r="EH301" s="56"/>
      <c r="EI301" s="56"/>
      <c r="EJ301" s="56"/>
      <c r="EK301" s="56"/>
      <c r="EL301" s="56"/>
      <c r="EM301" s="56"/>
      <c r="EN301" s="56"/>
      <c r="EO301" s="56"/>
      <c r="EP301" s="56"/>
      <c r="EQ301" s="56"/>
      <c r="ER301" s="56"/>
      <c r="ES301" s="56"/>
      <c r="ET301" s="56"/>
      <c r="EU301" s="56"/>
      <c r="EV301" s="56"/>
      <c r="EW301" s="56"/>
      <c r="EX301" s="56"/>
      <c r="EY301" s="56"/>
      <c r="EZ301" s="56"/>
      <c r="FA301" s="56"/>
      <c r="FB301" s="56"/>
      <c r="FC301" s="56"/>
      <c r="FD301" s="56"/>
      <c r="FE301" s="56"/>
      <c r="FF301" s="56"/>
      <c r="FG301" s="56"/>
      <c r="FH301" s="56"/>
      <c r="FI301" s="56"/>
      <c r="FJ301" s="56"/>
      <c r="FK301" s="56"/>
      <c r="FL301" s="56"/>
      <c r="FM301" s="56"/>
      <c r="FN301" s="56"/>
      <c r="FO301" s="56"/>
      <c r="FP301" s="56"/>
      <c r="FQ301" s="56"/>
      <c r="FR301" s="56"/>
      <c r="FS301" s="56"/>
      <c r="FT301" s="56"/>
      <c r="FU301" s="56"/>
      <c r="FV301" s="56"/>
      <c r="FW301" s="56"/>
      <c r="FX301" s="56"/>
      <c r="FY301" s="56"/>
      <c r="FZ301" s="56"/>
      <c r="GA301" s="56"/>
      <c r="GB301" s="56"/>
      <c r="GC301" s="56"/>
      <c r="GD301" s="56"/>
      <c r="GE301" s="56"/>
      <c r="GF301" s="56"/>
      <c r="GG301" s="56"/>
      <c r="GH301" s="56"/>
      <c r="GI301" s="56"/>
      <c r="GJ301" s="56"/>
      <c r="GK301" s="56"/>
      <c r="GL301" s="56"/>
      <c r="GM301" s="56"/>
      <c r="GN301" s="56"/>
      <c r="GO301" s="56"/>
      <c r="GP301" s="56"/>
      <c r="GQ301" s="56"/>
      <c r="GR301" s="56"/>
      <c r="GS301" s="56"/>
      <c r="GT301" s="56"/>
      <c r="GU301" s="56"/>
      <c r="GV301" s="56"/>
      <c r="GW301" s="56"/>
      <c r="GX301" s="56"/>
      <c r="GY301" s="56"/>
      <c r="GZ301" s="56"/>
      <c r="HA301" s="56"/>
      <c r="HB301" s="56"/>
      <c r="HC301" s="56"/>
      <c r="HD301" s="56"/>
      <c r="HE301" s="56"/>
      <c r="HF301" s="56"/>
      <c r="HG301" s="56"/>
      <c r="HH301" s="56"/>
      <c r="HI301" s="56"/>
      <c r="HJ301" s="56"/>
    </row>
    <row r="302" spans="1:218" ht="15.75" customHeight="1" x14ac:dyDescent="0.2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  <c r="BV302" s="56"/>
      <c r="BW302" s="56"/>
      <c r="BX302" s="56"/>
      <c r="BY302" s="56"/>
      <c r="BZ302" s="56"/>
      <c r="CA302" s="56"/>
      <c r="CB302" s="56"/>
      <c r="CC302" s="56"/>
      <c r="CD302" s="56"/>
      <c r="CE302" s="56"/>
      <c r="CF302" s="56"/>
      <c r="CG302" s="56"/>
      <c r="CH302" s="56"/>
      <c r="CI302" s="56"/>
      <c r="CJ302" s="56"/>
      <c r="CK302" s="56"/>
      <c r="CL302" s="56"/>
      <c r="CM302" s="56"/>
      <c r="CN302" s="56"/>
      <c r="CO302" s="56"/>
      <c r="CP302" s="56"/>
      <c r="CQ302" s="56"/>
      <c r="CR302" s="56"/>
      <c r="CS302" s="56"/>
      <c r="CT302" s="56"/>
      <c r="CU302" s="56"/>
      <c r="CV302" s="56"/>
      <c r="CW302" s="56"/>
      <c r="CX302" s="56"/>
      <c r="CY302" s="56"/>
      <c r="CZ302" s="56"/>
      <c r="DA302" s="56"/>
      <c r="DB302" s="56"/>
      <c r="DC302" s="56"/>
      <c r="DD302" s="56"/>
      <c r="DE302" s="56"/>
      <c r="DF302" s="56"/>
      <c r="DG302" s="56"/>
      <c r="DH302" s="56"/>
      <c r="DI302" s="56"/>
      <c r="DJ302" s="56"/>
      <c r="DK302" s="56"/>
      <c r="DL302" s="56"/>
      <c r="DM302" s="56"/>
      <c r="DN302" s="56"/>
      <c r="DO302" s="56"/>
      <c r="DP302" s="56"/>
      <c r="DQ302" s="56"/>
      <c r="DR302" s="56"/>
      <c r="DS302" s="56"/>
      <c r="DT302" s="56"/>
      <c r="DU302" s="56"/>
      <c r="DV302" s="56"/>
      <c r="DW302" s="56"/>
      <c r="DX302" s="56"/>
      <c r="DY302" s="56"/>
      <c r="DZ302" s="56"/>
      <c r="EA302" s="56"/>
      <c r="EB302" s="56"/>
      <c r="EC302" s="56"/>
      <c r="ED302" s="56"/>
      <c r="EE302" s="56"/>
      <c r="EF302" s="56"/>
      <c r="EG302" s="56"/>
      <c r="EH302" s="56"/>
      <c r="EI302" s="56"/>
      <c r="EJ302" s="56"/>
      <c r="EK302" s="56"/>
      <c r="EL302" s="56"/>
      <c r="EM302" s="56"/>
      <c r="EN302" s="56"/>
      <c r="EO302" s="56"/>
      <c r="EP302" s="56"/>
      <c r="EQ302" s="56"/>
      <c r="ER302" s="56"/>
      <c r="ES302" s="56"/>
      <c r="ET302" s="56"/>
      <c r="EU302" s="56"/>
      <c r="EV302" s="56"/>
      <c r="EW302" s="56"/>
      <c r="EX302" s="56"/>
      <c r="EY302" s="56"/>
      <c r="EZ302" s="56"/>
      <c r="FA302" s="56"/>
      <c r="FB302" s="56"/>
      <c r="FC302" s="56"/>
      <c r="FD302" s="56"/>
      <c r="FE302" s="56"/>
      <c r="FF302" s="56"/>
      <c r="FG302" s="56"/>
      <c r="FH302" s="56"/>
      <c r="FI302" s="56"/>
      <c r="FJ302" s="56"/>
      <c r="FK302" s="56"/>
      <c r="FL302" s="56"/>
      <c r="FM302" s="56"/>
      <c r="FN302" s="56"/>
      <c r="FO302" s="56"/>
      <c r="FP302" s="56"/>
      <c r="FQ302" s="56"/>
      <c r="FR302" s="56"/>
      <c r="FS302" s="56"/>
      <c r="FT302" s="56"/>
      <c r="FU302" s="56"/>
      <c r="FV302" s="56"/>
      <c r="FW302" s="56"/>
      <c r="FX302" s="56"/>
      <c r="FY302" s="56"/>
      <c r="FZ302" s="56"/>
      <c r="GA302" s="56"/>
      <c r="GB302" s="56"/>
      <c r="GC302" s="56"/>
      <c r="GD302" s="56"/>
      <c r="GE302" s="56"/>
      <c r="GF302" s="56"/>
      <c r="GG302" s="56"/>
      <c r="GH302" s="56"/>
      <c r="GI302" s="56"/>
      <c r="GJ302" s="56"/>
      <c r="GK302" s="56"/>
      <c r="GL302" s="56"/>
      <c r="GM302" s="56"/>
      <c r="GN302" s="56"/>
      <c r="GO302" s="56"/>
      <c r="GP302" s="56"/>
      <c r="GQ302" s="56"/>
      <c r="GR302" s="56"/>
      <c r="GS302" s="56"/>
      <c r="GT302" s="56"/>
      <c r="GU302" s="56"/>
      <c r="GV302" s="56"/>
      <c r="GW302" s="56"/>
      <c r="GX302" s="56"/>
      <c r="GY302" s="56"/>
      <c r="GZ302" s="56"/>
      <c r="HA302" s="56"/>
      <c r="HB302" s="56"/>
      <c r="HC302" s="56"/>
      <c r="HD302" s="56"/>
      <c r="HE302" s="56"/>
      <c r="HF302" s="56"/>
      <c r="HG302" s="56"/>
      <c r="HH302" s="56"/>
      <c r="HI302" s="56"/>
      <c r="HJ302" s="56"/>
    </row>
    <row r="303" spans="1:218" ht="15.75" customHeight="1" x14ac:dyDescent="0.2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56"/>
      <c r="CP303" s="56"/>
      <c r="CQ303" s="56"/>
      <c r="CR303" s="56"/>
      <c r="CS303" s="56"/>
      <c r="CT303" s="56"/>
      <c r="CU303" s="56"/>
      <c r="CV303" s="56"/>
      <c r="CW303" s="56"/>
      <c r="CX303" s="56"/>
      <c r="CY303" s="56"/>
      <c r="CZ303" s="56"/>
      <c r="DA303" s="56"/>
      <c r="DB303" s="56"/>
      <c r="DC303" s="56"/>
      <c r="DD303" s="56"/>
      <c r="DE303" s="56"/>
      <c r="DF303" s="56"/>
      <c r="DG303" s="56"/>
      <c r="DH303" s="56"/>
      <c r="DI303" s="56"/>
      <c r="DJ303" s="56"/>
      <c r="DK303" s="56"/>
      <c r="DL303" s="56"/>
      <c r="DM303" s="56"/>
      <c r="DN303" s="56"/>
      <c r="DO303" s="56"/>
      <c r="DP303" s="56"/>
      <c r="DQ303" s="56"/>
      <c r="DR303" s="56"/>
      <c r="DS303" s="56"/>
      <c r="DT303" s="56"/>
      <c r="DU303" s="56"/>
      <c r="DV303" s="56"/>
      <c r="DW303" s="56"/>
      <c r="DX303" s="56"/>
      <c r="DY303" s="56"/>
      <c r="DZ303" s="56"/>
      <c r="EA303" s="56"/>
      <c r="EB303" s="56"/>
      <c r="EC303" s="56"/>
      <c r="ED303" s="56"/>
      <c r="EE303" s="56"/>
      <c r="EF303" s="56"/>
      <c r="EG303" s="56"/>
      <c r="EH303" s="56"/>
      <c r="EI303" s="56"/>
      <c r="EJ303" s="56"/>
      <c r="EK303" s="56"/>
      <c r="EL303" s="56"/>
      <c r="EM303" s="56"/>
      <c r="EN303" s="56"/>
      <c r="EO303" s="56"/>
      <c r="EP303" s="56"/>
      <c r="EQ303" s="56"/>
      <c r="ER303" s="56"/>
      <c r="ES303" s="56"/>
      <c r="ET303" s="56"/>
      <c r="EU303" s="56"/>
      <c r="EV303" s="56"/>
      <c r="EW303" s="56"/>
      <c r="EX303" s="56"/>
      <c r="EY303" s="56"/>
      <c r="EZ303" s="56"/>
      <c r="FA303" s="56"/>
      <c r="FB303" s="56"/>
      <c r="FC303" s="56"/>
      <c r="FD303" s="56"/>
      <c r="FE303" s="56"/>
      <c r="FF303" s="56"/>
      <c r="FG303" s="56"/>
      <c r="FH303" s="56"/>
      <c r="FI303" s="56"/>
      <c r="FJ303" s="56"/>
      <c r="FK303" s="56"/>
      <c r="FL303" s="56"/>
      <c r="FM303" s="56"/>
      <c r="FN303" s="56"/>
      <c r="FO303" s="56"/>
      <c r="FP303" s="56"/>
      <c r="FQ303" s="56"/>
      <c r="FR303" s="56"/>
      <c r="FS303" s="56"/>
      <c r="FT303" s="56"/>
      <c r="FU303" s="56"/>
      <c r="FV303" s="56"/>
      <c r="FW303" s="56"/>
      <c r="FX303" s="56"/>
      <c r="FY303" s="56"/>
      <c r="FZ303" s="56"/>
      <c r="GA303" s="56"/>
      <c r="GB303" s="56"/>
      <c r="GC303" s="56"/>
      <c r="GD303" s="56"/>
      <c r="GE303" s="56"/>
      <c r="GF303" s="56"/>
      <c r="GG303" s="56"/>
      <c r="GH303" s="56"/>
      <c r="GI303" s="56"/>
      <c r="GJ303" s="56"/>
      <c r="GK303" s="56"/>
      <c r="GL303" s="56"/>
      <c r="GM303" s="56"/>
      <c r="GN303" s="56"/>
      <c r="GO303" s="56"/>
      <c r="GP303" s="56"/>
      <c r="GQ303" s="56"/>
      <c r="GR303" s="56"/>
      <c r="GS303" s="56"/>
      <c r="GT303" s="56"/>
      <c r="GU303" s="56"/>
      <c r="GV303" s="56"/>
      <c r="GW303" s="56"/>
      <c r="GX303" s="56"/>
      <c r="GY303" s="56"/>
      <c r="GZ303" s="56"/>
      <c r="HA303" s="56"/>
      <c r="HB303" s="56"/>
      <c r="HC303" s="56"/>
      <c r="HD303" s="56"/>
      <c r="HE303" s="56"/>
      <c r="HF303" s="56"/>
      <c r="HG303" s="56"/>
      <c r="HH303" s="56"/>
      <c r="HI303" s="56"/>
      <c r="HJ303" s="56"/>
    </row>
    <row r="304" spans="1:218" ht="15.75" customHeight="1" x14ac:dyDescent="0.2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56"/>
      <c r="CP304" s="56"/>
      <c r="CQ304" s="56"/>
      <c r="CR304" s="56"/>
      <c r="CS304" s="56"/>
      <c r="CT304" s="56"/>
      <c r="CU304" s="56"/>
      <c r="CV304" s="56"/>
      <c r="CW304" s="56"/>
      <c r="CX304" s="56"/>
      <c r="CY304" s="56"/>
      <c r="CZ304" s="56"/>
      <c r="DA304" s="56"/>
      <c r="DB304" s="56"/>
      <c r="DC304" s="56"/>
      <c r="DD304" s="56"/>
      <c r="DE304" s="56"/>
      <c r="DF304" s="56"/>
      <c r="DG304" s="56"/>
      <c r="DH304" s="56"/>
      <c r="DI304" s="56"/>
      <c r="DJ304" s="56"/>
      <c r="DK304" s="56"/>
      <c r="DL304" s="56"/>
      <c r="DM304" s="56"/>
      <c r="DN304" s="56"/>
      <c r="DO304" s="56"/>
      <c r="DP304" s="56"/>
      <c r="DQ304" s="56"/>
      <c r="DR304" s="56"/>
      <c r="DS304" s="56"/>
      <c r="DT304" s="56"/>
      <c r="DU304" s="56"/>
      <c r="DV304" s="56"/>
      <c r="DW304" s="56"/>
      <c r="DX304" s="56"/>
      <c r="DY304" s="56"/>
      <c r="DZ304" s="56"/>
      <c r="EA304" s="56"/>
      <c r="EB304" s="56"/>
      <c r="EC304" s="56"/>
      <c r="ED304" s="56"/>
      <c r="EE304" s="56"/>
      <c r="EF304" s="56"/>
      <c r="EG304" s="56"/>
      <c r="EH304" s="56"/>
      <c r="EI304" s="56"/>
      <c r="EJ304" s="56"/>
      <c r="EK304" s="56"/>
      <c r="EL304" s="56"/>
      <c r="EM304" s="56"/>
      <c r="EN304" s="56"/>
      <c r="EO304" s="56"/>
      <c r="EP304" s="56"/>
      <c r="EQ304" s="56"/>
      <c r="ER304" s="56"/>
      <c r="ES304" s="56"/>
      <c r="ET304" s="56"/>
      <c r="EU304" s="56"/>
      <c r="EV304" s="56"/>
      <c r="EW304" s="56"/>
      <c r="EX304" s="56"/>
      <c r="EY304" s="56"/>
      <c r="EZ304" s="56"/>
      <c r="FA304" s="56"/>
      <c r="FB304" s="56"/>
      <c r="FC304" s="56"/>
      <c r="FD304" s="56"/>
      <c r="FE304" s="56"/>
      <c r="FF304" s="56"/>
      <c r="FG304" s="56"/>
      <c r="FH304" s="56"/>
      <c r="FI304" s="56"/>
      <c r="FJ304" s="56"/>
      <c r="FK304" s="56"/>
      <c r="FL304" s="56"/>
      <c r="FM304" s="56"/>
      <c r="FN304" s="56"/>
      <c r="FO304" s="56"/>
      <c r="FP304" s="56"/>
      <c r="FQ304" s="56"/>
      <c r="FR304" s="56"/>
      <c r="FS304" s="56"/>
      <c r="FT304" s="56"/>
      <c r="FU304" s="56"/>
      <c r="FV304" s="56"/>
      <c r="FW304" s="56"/>
      <c r="FX304" s="56"/>
      <c r="FY304" s="56"/>
      <c r="FZ304" s="56"/>
      <c r="GA304" s="56"/>
      <c r="GB304" s="56"/>
      <c r="GC304" s="56"/>
      <c r="GD304" s="56"/>
      <c r="GE304" s="56"/>
      <c r="GF304" s="56"/>
      <c r="GG304" s="56"/>
      <c r="GH304" s="56"/>
      <c r="GI304" s="56"/>
      <c r="GJ304" s="56"/>
      <c r="GK304" s="56"/>
      <c r="GL304" s="56"/>
      <c r="GM304" s="56"/>
      <c r="GN304" s="56"/>
      <c r="GO304" s="56"/>
      <c r="GP304" s="56"/>
      <c r="GQ304" s="56"/>
      <c r="GR304" s="56"/>
      <c r="GS304" s="56"/>
      <c r="GT304" s="56"/>
      <c r="GU304" s="56"/>
      <c r="GV304" s="56"/>
      <c r="GW304" s="56"/>
      <c r="GX304" s="56"/>
      <c r="GY304" s="56"/>
      <c r="GZ304" s="56"/>
      <c r="HA304" s="56"/>
      <c r="HB304" s="56"/>
      <c r="HC304" s="56"/>
      <c r="HD304" s="56"/>
      <c r="HE304" s="56"/>
      <c r="HF304" s="56"/>
      <c r="HG304" s="56"/>
      <c r="HH304" s="56"/>
      <c r="HI304" s="56"/>
      <c r="HJ304" s="56"/>
    </row>
    <row r="305" spans="1:218" ht="15.75" customHeight="1" x14ac:dyDescent="0.2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  <c r="CS305" s="56"/>
      <c r="CT305" s="56"/>
      <c r="CU305" s="56"/>
      <c r="CV305" s="56"/>
      <c r="CW305" s="56"/>
      <c r="CX305" s="56"/>
      <c r="CY305" s="56"/>
      <c r="CZ305" s="56"/>
      <c r="DA305" s="56"/>
      <c r="DB305" s="56"/>
      <c r="DC305" s="56"/>
      <c r="DD305" s="56"/>
      <c r="DE305" s="56"/>
      <c r="DF305" s="56"/>
      <c r="DG305" s="56"/>
      <c r="DH305" s="56"/>
      <c r="DI305" s="56"/>
      <c r="DJ305" s="56"/>
      <c r="DK305" s="56"/>
      <c r="DL305" s="56"/>
      <c r="DM305" s="56"/>
      <c r="DN305" s="56"/>
      <c r="DO305" s="56"/>
      <c r="DP305" s="56"/>
      <c r="DQ305" s="56"/>
      <c r="DR305" s="56"/>
      <c r="DS305" s="56"/>
      <c r="DT305" s="56"/>
      <c r="DU305" s="56"/>
      <c r="DV305" s="56"/>
      <c r="DW305" s="56"/>
      <c r="DX305" s="56"/>
      <c r="DY305" s="56"/>
      <c r="DZ305" s="56"/>
      <c r="EA305" s="56"/>
      <c r="EB305" s="56"/>
      <c r="EC305" s="56"/>
      <c r="ED305" s="56"/>
      <c r="EE305" s="56"/>
      <c r="EF305" s="56"/>
      <c r="EG305" s="56"/>
      <c r="EH305" s="56"/>
      <c r="EI305" s="56"/>
      <c r="EJ305" s="56"/>
      <c r="EK305" s="56"/>
      <c r="EL305" s="56"/>
      <c r="EM305" s="56"/>
      <c r="EN305" s="56"/>
      <c r="EO305" s="56"/>
      <c r="EP305" s="56"/>
      <c r="EQ305" s="56"/>
      <c r="ER305" s="56"/>
      <c r="ES305" s="56"/>
      <c r="ET305" s="56"/>
      <c r="EU305" s="56"/>
      <c r="EV305" s="56"/>
      <c r="EW305" s="56"/>
      <c r="EX305" s="56"/>
      <c r="EY305" s="56"/>
      <c r="EZ305" s="56"/>
      <c r="FA305" s="56"/>
      <c r="FB305" s="56"/>
      <c r="FC305" s="56"/>
      <c r="FD305" s="56"/>
      <c r="FE305" s="56"/>
      <c r="FF305" s="56"/>
      <c r="FG305" s="56"/>
      <c r="FH305" s="56"/>
      <c r="FI305" s="56"/>
      <c r="FJ305" s="56"/>
      <c r="FK305" s="56"/>
      <c r="FL305" s="56"/>
      <c r="FM305" s="56"/>
      <c r="FN305" s="56"/>
      <c r="FO305" s="56"/>
      <c r="FP305" s="56"/>
      <c r="FQ305" s="56"/>
      <c r="FR305" s="56"/>
      <c r="FS305" s="56"/>
      <c r="FT305" s="56"/>
      <c r="FU305" s="56"/>
      <c r="FV305" s="56"/>
      <c r="FW305" s="56"/>
      <c r="FX305" s="56"/>
      <c r="FY305" s="56"/>
      <c r="FZ305" s="56"/>
      <c r="GA305" s="56"/>
      <c r="GB305" s="56"/>
      <c r="GC305" s="56"/>
      <c r="GD305" s="56"/>
      <c r="GE305" s="56"/>
      <c r="GF305" s="56"/>
      <c r="GG305" s="56"/>
      <c r="GH305" s="56"/>
      <c r="GI305" s="56"/>
      <c r="GJ305" s="56"/>
      <c r="GK305" s="56"/>
      <c r="GL305" s="56"/>
      <c r="GM305" s="56"/>
      <c r="GN305" s="56"/>
      <c r="GO305" s="56"/>
      <c r="GP305" s="56"/>
      <c r="GQ305" s="56"/>
      <c r="GR305" s="56"/>
      <c r="GS305" s="56"/>
      <c r="GT305" s="56"/>
      <c r="GU305" s="56"/>
      <c r="GV305" s="56"/>
      <c r="GW305" s="56"/>
      <c r="GX305" s="56"/>
      <c r="GY305" s="56"/>
      <c r="GZ305" s="56"/>
      <c r="HA305" s="56"/>
      <c r="HB305" s="56"/>
      <c r="HC305" s="56"/>
      <c r="HD305" s="56"/>
      <c r="HE305" s="56"/>
      <c r="HF305" s="56"/>
      <c r="HG305" s="56"/>
      <c r="HH305" s="56"/>
      <c r="HI305" s="56"/>
      <c r="HJ305" s="56"/>
    </row>
    <row r="306" spans="1:218" ht="15.75" customHeight="1" x14ac:dyDescent="0.2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  <c r="CL306" s="56"/>
      <c r="CM306" s="56"/>
      <c r="CN306" s="56"/>
      <c r="CO306" s="56"/>
      <c r="CP306" s="56"/>
      <c r="CQ306" s="56"/>
      <c r="CR306" s="56"/>
      <c r="CS306" s="56"/>
      <c r="CT306" s="56"/>
      <c r="CU306" s="56"/>
      <c r="CV306" s="56"/>
      <c r="CW306" s="56"/>
      <c r="CX306" s="56"/>
      <c r="CY306" s="56"/>
      <c r="CZ306" s="56"/>
      <c r="DA306" s="56"/>
      <c r="DB306" s="56"/>
      <c r="DC306" s="56"/>
      <c r="DD306" s="56"/>
      <c r="DE306" s="56"/>
      <c r="DF306" s="56"/>
      <c r="DG306" s="56"/>
      <c r="DH306" s="56"/>
      <c r="DI306" s="56"/>
      <c r="DJ306" s="56"/>
      <c r="DK306" s="56"/>
      <c r="DL306" s="56"/>
      <c r="DM306" s="56"/>
      <c r="DN306" s="56"/>
      <c r="DO306" s="56"/>
      <c r="DP306" s="56"/>
      <c r="DQ306" s="56"/>
      <c r="DR306" s="56"/>
      <c r="DS306" s="56"/>
      <c r="DT306" s="56"/>
      <c r="DU306" s="56"/>
      <c r="DV306" s="56"/>
      <c r="DW306" s="56"/>
      <c r="DX306" s="56"/>
      <c r="DY306" s="56"/>
      <c r="DZ306" s="56"/>
      <c r="EA306" s="56"/>
      <c r="EB306" s="56"/>
      <c r="EC306" s="56"/>
      <c r="ED306" s="56"/>
      <c r="EE306" s="56"/>
      <c r="EF306" s="56"/>
      <c r="EG306" s="56"/>
      <c r="EH306" s="56"/>
      <c r="EI306" s="56"/>
      <c r="EJ306" s="56"/>
      <c r="EK306" s="56"/>
      <c r="EL306" s="56"/>
      <c r="EM306" s="56"/>
      <c r="EN306" s="56"/>
      <c r="EO306" s="56"/>
      <c r="EP306" s="56"/>
      <c r="EQ306" s="56"/>
      <c r="ER306" s="56"/>
      <c r="ES306" s="56"/>
      <c r="ET306" s="56"/>
      <c r="EU306" s="56"/>
      <c r="EV306" s="56"/>
      <c r="EW306" s="56"/>
      <c r="EX306" s="56"/>
      <c r="EY306" s="56"/>
      <c r="EZ306" s="56"/>
      <c r="FA306" s="56"/>
      <c r="FB306" s="56"/>
      <c r="FC306" s="56"/>
      <c r="FD306" s="56"/>
      <c r="FE306" s="56"/>
      <c r="FF306" s="56"/>
      <c r="FG306" s="56"/>
      <c r="FH306" s="56"/>
      <c r="FI306" s="56"/>
      <c r="FJ306" s="56"/>
      <c r="FK306" s="56"/>
      <c r="FL306" s="56"/>
      <c r="FM306" s="56"/>
      <c r="FN306" s="56"/>
      <c r="FO306" s="56"/>
      <c r="FP306" s="56"/>
      <c r="FQ306" s="56"/>
      <c r="FR306" s="56"/>
      <c r="FS306" s="56"/>
      <c r="FT306" s="56"/>
      <c r="FU306" s="56"/>
      <c r="FV306" s="56"/>
      <c r="FW306" s="56"/>
      <c r="FX306" s="56"/>
      <c r="FY306" s="56"/>
      <c r="FZ306" s="56"/>
      <c r="GA306" s="56"/>
      <c r="GB306" s="56"/>
      <c r="GC306" s="56"/>
      <c r="GD306" s="56"/>
      <c r="GE306" s="56"/>
      <c r="GF306" s="56"/>
      <c r="GG306" s="56"/>
      <c r="GH306" s="56"/>
      <c r="GI306" s="56"/>
      <c r="GJ306" s="56"/>
      <c r="GK306" s="56"/>
      <c r="GL306" s="56"/>
      <c r="GM306" s="56"/>
      <c r="GN306" s="56"/>
      <c r="GO306" s="56"/>
      <c r="GP306" s="56"/>
      <c r="GQ306" s="56"/>
      <c r="GR306" s="56"/>
      <c r="GS306" s="56"/>
      <c r="GT306" s="56"/>
      <c r="GU306" s="56"/>
      <c r="GV306" s="56"/>
      <c r="GW306" s="56"/>
      <c r="GX306" s="56"/>
      <c r="GY306" s="56"/>
      <c r="GZ306" s="56"/>
      <c r="HA306" s="56"/>
      <c r="HB306" s="56"/>
      <c r="HC306" s="56"/>
      <c r="HD306" s="56"/>
      <c r="HE306" s="56"/>
      <c r="HF306" s="56"/>
      <c r="HG306" s="56"/>
      <c r="HH306" s="56"/>
      <c r="HI306" s="56"/>
      <c r="HJ306" s="56"/>
    </row>
    <row r="307" spans="1:218" ht="15.75" customHeight="1" x14ac:dyDescent="0.2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  <c r="CL307" s="56"/>
      <c r="CM307" s="56"/>
      <c r="CN307" s="56"/>
      <c r="CO307" s="56"/>
      <c r="CP307" s="56"/>
      <c r="CQ307" s="56"/>
      <c r="CR307" s="56"/>
      <c r="CS307" s="56"/>
      <c r="CT307" s="56"/>
      <c r="CU307" s="56"/>
      <c r="CV307" s="56"/>
      <c r="CW307" s="56"/>
      <c r="CX307" s="56"/>
      <c r="CY307" s="56"/>
      <c r="CZ307" s="56"/>
      <c r="DA307" s="56"/>
      <c r="DB307" s="56"/>
      <c r="DC307" s="56"/>
      <c r="DD307" s="56"/>
      <c r="DE307" s="56"/>
      <c r="DF307" s="56"/>
      <c r="DG307" s="56"/>
      <c r="DH307" s="56"/>
      <c r="DI307" s="56"/>
      <c r="DJ307" s="56"/>
      <c r="DK307" s="56"/>
      <c r="DL307" s="56"/>
      <c r="DM307" s="56"/>
      <c r="DN307" s="56"/>
      <c r="DO307" s="56"/>
      <c r="DP307" s="56"/>
      <c r="DQ307" s="56"/>
      <c r="DR307" s="56"/>
      <c r="DS307" s="56"/>
      <c r="DT307" s="56"/>
      <c r="DU307" s="56"/>
      <c r="DV307" s="56"/>
      <c r="DW307" s="56"/>
      <c r="DX307" s="56"/>
      <c r="DY307" s="56"/>
      <c r="DZ307" s="56"/>
      <c r="EA307" s="56"/>
      <c r="EB307" s="56"/>
      <c r="EC307" s="56"/>
      <c r="ED307" s="56"/>
      <c r="EE307" s="56"/>
      <c r="EF307" s="56"/>
      <c r="EG307" s="56"/>
      <c r="EH307" s="56"/>
      <c r="EI307" s="56"/>
      <c r="EJ307" s="56"/>
      <c r="EK307" s="56"/>
      <c r="EL307" s="56"/>
      <c r="EM307" s="56"/>
      <c r="EN307" s="56"/>
      <c r="EO307" s="56"/>
      <c r="EP307" s="56"/>
      <c r="EQ307" s="56"/>
      <c r="ER307" s="56"/>
      <c r="ES307" s="56"/>
      <c r="ET307" s="56"/>
      <c r="EU307" s="56"/>
      <c r="EV307" s="56"/>
      <c r="EW307" s="56"/>
      <c r="EX307" s="56"/>
      <c r="EY307" s="56"/>
      <c r="EZ307" s="56"/>
      <c r="FA307" s="56"/>
      <c r="FB307" s="56"/>
      <c r="FC307" s="56"/>
      <c r="FD307" s="56"/>
      <c r="FE307" s="56"/>
      <c r="FF307" s="56"/>
      <c r="FG307" s="56"/>
      <c r="FH307" s="56"/>
      <c r="FI307" s="56"/>
      <c r="FJ307" s="56"/>
      <c r="FK307" s="56"/>
      <c r="FL307" s="56"/>
      <c r="FM307" s="56"/>
      <c r="FN307" s="56"/>
      <c r="FO307" s="56"/>
      <c r="FP307" s="56"/>
      <c r="FQ307" s="56"/>
      <c r="FR307" s="56"/>
      <c r="FS307" s="56"/>
      <c r="FT307" s="56"/>
      <c r="FU307" s="56"/>
      <c r="FV307" s="56"/>
      <c r="FW307" s="56"/>
      <c r="FX307" s="56"/>
      <c r="FY307" s="56"/>
      <c r="FZ307" s="56"/>
      <c r="GA307" s="56"/>
      <c r="GB307" s="56"/>
      <c r="GC307" s="56"/>
      <c r="GD307" s="56"/>
      <c r="GE307" s="56"/>
      <c r="GF307" s="56"/>
      <c r="GG307" s="56"/>
      <c r="GH307" s="56"/>
      <c r="GI307" s="56"/>
      <c r="GJ307" s="56"/>
      <c r="GK307" s="56"/>
      <c r="GL307" s="56"/>
      <c r="GM307" s="56"/>
      <c r="GN307" s="56"/>
      <c r="GO307" s="56"/>
      <c r="GP307" s="56"/>
      <c r="GQ307" s="56"/>
      <c r="GR307" s="56"/>
      <c r="GS307" s="56"/>
      <c r="GT307" s="56"/>
      <c r="GU307" s="56"/>
      <c r="GV307" s="56"/>
      <c r="GW307" s="56"/>
      <c r="GX307" s="56"/>
      <c r="GY307" s="56"/>
      <c r="GZ307" s="56"/>
      <c r="HA307" s="56"/>
      <c r="HB307" s="56"/>
      <c r="HC307" s="56"/>
      <c r="HD307" s="56"/>
      <c r="HE307" s="56"/>
      <c r="HF307" s="56"/>
      <c r="HG307" s="56"/>
      <c r="HH307" s="56"/>
      <c r="HI307" s="56"/>
      <c r="HJ307" s="56"/>
    </row>
    <row r="308" spans="1:218" ht="15.75" customHeight="1" x14ac:dyDescent="0.2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  <c r="CL308" s="56"/>
      <c r="CM308" s="56"/>
      <c r="CN308" s="56"/>
      <c r="CO308" s="56"/>
      <c r="CP308" s="56"/>
      <c r="CQ308" s="56"/>
      <c r="CR308" s="56"/>
      <c r="CS308" s="56"/>
      <c r="CT308" s="56"/>
      <c r="CU308" s="56"/>
      <c r="CV308" s="56"/>
      <c r="CW308" s="56"/>
      <c r="CX308" s="56"/>
      <c r="CY308" s="56"/>
      <c r="CZ308" s="56"/>
      <c r="DA308" s="56"/>
      <c r="DB308" s="56"/>
      <c r="DC308" s="56"/>
      <c r="DD308" s="56"/>
      <c r="DE308" s="56"/>
      <c r="DF308" s="56"/>
      <c r="DG308" s="56"/>
      <c r="DH308" s="56"/>
      <c r="DI308" s="56"/>
      <c r="DJ308" s="56"/>
      <c r="DK308" s="56"/>
      <c r="DL308" s="56"/>
      <c r="DM308" s="56"/>
      <c r="DN308" s="56"/>
      <c r="DO308" s="56"/>
      <c r="DP308" s="56"/>
      <c r="DQ308" s="56"/>
      <c r="DR308" s="56"/>
      <c r="DS308" s="56"/>
      <c r="DT308" s="56"/>
      <c r="DU308" s="56"/>
      <c r="DV308" s="56"/>
      <c r="DW308" s="56"/>
      <c r="DX308" s="56"/>
      <c r="DY308" s="56"/>
      <c r="DZ308" s="56"/>
      <c r="EA308" s="56"/>
      <c r="EB308" s="56"/>
      <c r="EC308" s="56"/>
      <c r="ED308" s="56"/>
      <c r="EE308" s="56"/>
      <c r="EF308" s="56"/>
      <c r="EG308" s="56"/>
      <c r="EH308" s="56"/>
      <c r="EI308" s="56"/>
      <c r="EJ308" s="56"/>
      <c r="EK308" s="56"/>
      <c r="EL308" s="56"/>
      <c r="EM308" s="56"/>
      <c r="EN308" s="56"/>
      <c r="EO308" s="56"/>
      <c r="EP308" s="56"/>
      <c r="EQ308" s="56"/>
      <c r="ER308" s="56"/>
      <c r="ES308" s="56"/>
      <c r="ET308" s="56"/>
      <c r="EU308" s="56"/>
      <c r="EV308" s="56"/>
      <c r="EW308" s="56"/>
      <c r="EX308" s="56"/>
      <c r="EY308" s="56"/>
      <c r="EZ308" s="56"/>
      <c r="FA308" s="56"/>
      <c r="FB308" s="56"/>
      <c r="FC308" s="56"/>
      <c r="FD308" s="56"/>
      <c r="FE308" s="56"/>
      <c r="FF308" s="56"/>
      <c r="FG308" s="56"/>
      <c r="FH308" s="56"/>
      <c r="FI308" s="56"/>
      <c r="FJ308" s="56"/>
      <c r="FK308" s="56"/>
      <c r="FL308" s="56"/>
      <c r="FM308" s="56"/>
      <c r="FN308" s="56"/>
      <c r="FO308" s="56"/>
      <c r="FP308" s="56"/>
      <c r="FQ308" s="56"/>
      <c r="FR308" s="56"/>
      <c r="FS308" s="56"/>
      <c r="FT308" s="56"/>
      <c r="FU308" s="56"/>
      <c r="FV308" s="56"/>
      <c r="FW308" s="56"/>
      <c r="FX308" s="56"/>
      <c r="FY308" s="56"/>
      <c r="FZ308" s="56"/>
      <c r="GA308" s="56"/>
      <c r="GB308" s="56"/>
      <c r="GC308" s="56"/>
      <c r="GD308" s="56"/>
      <c r="GE308" s="56"/>
      <c r="GF308" s="56"/>
      <c r="GG308" s="56"/>
      <c r="GH308" s="56"/>
      <c r="GI308" s="56"/>
      <c r="GJ308" s="56"/>
      <c r="GK308" s="56"/>
      <c r="GL308" s="56"/>
      <c r="GM308" s="56"/>
      <c r="GN308" s="56"/>
      <c r="GO308" s="56"/>
      <c r="GP308" s="56"/>
      <c r="GQ308" s="56"/>
      <c r="GR308" s="56"/>
      <c r="GS308" s="56"/>
      <c r="GT308" s="56"/>
      <c r="GU308" s="56"/>
      <c r="GV308" s="56"/>
      <c r="GW308" s="56"/>
      <c r="GX308" s="56"/>
      <c r="GY308" s="56"/>
      <c r="GZ308" s="56"/>
      <c r="HA308" s="56"/>
      <c r="HB308" s="56"/>
      <c r="HC308" s="56"/>
      <c r="HD308" s="56"/>
      <c r="HE308" s="56"/>
      <c r="HF308" s="56"/>
      <c r="HG308" s="56"/>
      <c r="HH308" s="56"/>
      <c r="HI308" s="56"/>
      <c r="HJ308" s="56"/>
    </row>
    <row r="309" spans="1:218" ht="15.75" customHeight="1" x14ac:dyDescent="0.2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56"/>
      <c r="CP309" s="56"/>
      <c r="CQ309" s="56"/>
      <c r="CR309" s="56"/>
      <c r="CS309" s="56"/>
      <c r="CT309" s="56"/>
      <c r="CU309" s="56"/>
      <c r="CV309" s="56"/>
      <c r="CW309" s="56"/>
      <c r="CX309" s="56"/>
      <c r="CY309" s="56"/>
      <c r="CZ309" s="56"/>
      <c r="DA309" s="56"/>
      <c r="DB309" s="56"/>
      <c r="DC309" s="56"/>
      <c r="DD309" s="56"/>
      <c r="DE309" s="56"/>
      <c r="DF309" s="56"/>
      <c r="DG309" s="56"/>
      <c r="DH309" s="56"/>
      <c r="DI309" s="56"/>
      <c r="DJ309" s="56"/>
      <c r="DK309" s="56"/>
      <c r="DL309" s="56"/>
      <c r="DM309" s="56"/>
      <c r="DN309" s="56"/>
      <c r="DO309" s="56"/>
      <c r="DP309" s="56"/>
      <c r="DQ309" s="56"/>
      <c r="DR309" s="56"/>
      <c r="DS309" s="56"/>
      <c r="DT309" s="56"/>
      <c r="DU309" s="56"/>
      <c r="DV309" s="56"/>
      <c r="DW309" s="56"/>
      <c r="DX309" s="56"/>
      <c r="DY309" s="56"/>
      <c r="DZ309" s="56"/>
      <c r="EA309" s="56"/>
      <c r="EB309" s="56"/>
      <c r="EC309" s="56"/>
      <c r="ED309" s="56"/>
      <c r="EE309" s="56"/>
      <c r="EF309" s="56"/>
      <c r="EG309" s="56"/>
      <c r="EH309" s="56"/>
      <c r="EI309" s="56"/>
      <c r="EJ309" s="56"/>
      <c r="EK309" s="56"/>
      <c r="EL309" s="56"/>
      <c r="EM309" s="56"/>
      <c r="EN309" s="56"/>
      <c r="EO309" s="56"/>
      <c r="EP309" s="56"/>
      <c r="EQ309" s="56"/>
      <c r="ER309" s="56"/>
      <c r="ES309" s="56"/>
      <c r="ET309" s="56"/>
      <c r="EU309" s="56"/>
      <c r="EV309" s="56"/>
      <c r="EW309" s="56"/>
      <c r="EX309" s="56"/>
      <c r="EY309" s="56"/>
      <c r="EZ309" s="56"/>
      <c r="FA309" s="56"/>
      <c r="FB309" s="56"/>
      <c r="FC309" s="56"/>
      <c r="FD309" s="56"/>
      <c r="FE309" s="56"/>
      <c r="FF309" s="56"/>
      <c r="FG309" s="56"/>
      <c r="FH309" s="56"/>
      <c r="FI309" s="56"/>
      <c r="FJ309" s="56"/>
      <c r="FK309" s="56"/>
      <c r="FL309" s="56"/>
      <c r="FM309" s="56"/>
      <c r="FN309" s="56"/>
      <c r="FO309" s="56"/>
      <c r="FP309" s="56"/>
      <c r="FQ309" s="56"/>
      <c r="FR309" s="56"/>
      <c r="FS309" s="56"/>
      <c r="FT309" s="56"/>
      <c r="FU309" s="56"/>
      <c r="FV309" s="56"/>
      <c r="FW309" s="56"/>
      <c r="FX309" s="56"/>
      <c r="FY309" s="56"/>
      <c r="FZ309" s="56"/>
      <c r="GA309" s="56"/>
      <c r="GB309" s="56"/>
      <c r="GC309" s="56"/>
      <c r="GD309" s="56"/>
      <c r="GE309" s="56"/>
      <c r="GF309" s="56"/>
      <c r="GG309" s="56"/>
      <c r="GH309" s="56"/>
      <c r="GI309" s="56"/>
      <c r="GJ309" s="56"/>
      <c r="GK309" s="56"/>
      <c r="GL309" s="56"/>
      <c r="GM309" s="56"/>
      <c r="GN309" s="56"/>
      <c r="GO309" s="56"/>
      <c r="GP309" s="56"/>
      <c r="GQ309" s="56"/>
      <c r="GR309" s="56"/>
      <c r="GS309" s="56"/>
      <c r="GT309" s="56"/>
      <c r="GU309" s="56"/>
      <c r="GV309" s="56"/>
      <c r="GW309" s="56"/>
      <c r="GX309" s="56"/>
      <c r="GY309" s="56"/>
      <c r="GZ309" s="56"/>
      <c r="HA309" s="56"/>
      <c r="HB309" s="56"/>
      <c r="HC309" s="56"/>
      <c r="HD309" s="56"/>
      <c r="HE309" s="56"/>
      <c r="HF309" s="56"/>
      <c r="HG309" s="56"/>
      <c r="HH309" s="56"/>
      <c r="HI309" s="56"/>
      <c r="HJ309" s="56"/>
    </row>
    <row r="310" spans="1:218" ht="15.75" customHeight="1" x14ac:dyDescent="0.2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  <c r="CS310" s="56"/>
      <c r="CT310" s="56"/>
      <c r="CU310" s="56"/>
      <c r="CV310" s="56"/>
      <c r="CW310" s="56"/>
      <c r="CX310" s="56"/>
      <c r="CY310" s="56"/>
      <c r="CZ310" s="56"/>
      <c r="DA310" s="56"/>
      <c r="DB310" s="56"/>
      <c r="DC310" s="56"/>
      <c r="DD310" s="56"/>
      <c r="DE310" s="56"/>
      <c r="DF310" s="56"/>
      <c r="DG310" s="56"/>
      <c r="DH310" s="56"/>
      <c r="DI310" s="56"/>
      <c r="DJ310" s="56"/>
      <c r="DK310" s="56"/>
      <c r="DL310" s="56"/>
      <c r="DM310" s="56"/>
      <c r="DN310" s="56"/>
      <c r="DO310" s="56"/>
      <c r="DP310" s="56"/>
      <c r="DQ310" s="56"/>
      <c r="DR310" s="56"/>
      <c r="DS310" s="56"/>
      <c r="DT310" s="56"/>
      <c r="DU310" s="56"/>
      <c r="DV310" s="56"/>
      <c r="DW310" s="56"/>
      <c r="DX310" s="56"/>
      <c r="DY310" s="56"/>
      <c r="DZ310" s="56"/>
      <c r="EA310" s="56"/>
      <c r="EB310" s="56"/>
      <c r="EC310" s="56"/>
      <c r="ED310" s="56"/>
      <c r="EE310" s="56"/>
      <c r="EF310" s="56"/>
      <c r="EG310" s="56"/>
      <c r="EH310" s="56"/>
      <c r="EI310" s="56"/>
      <c r="EJ310" s="56"/>
      <c r="EK310" s="56"/>
      <c r="EL310" s="56"/>
      <c r="EM310" s="56"/>
      <c r="EN310" s="56"/>
      <c r="EO310" s="56"/>
      <c r="EP310" s="56"/>
      <c r="EQ310" s="56"/>
      <c r="ER310" s="56"/>
      <c r="ES310" s="56"/>
      <c r="ET310" s="56"/>
      <c r="EU310" s="56"/>
      <c r="EV310" s="56"/>
      <c r="EW310" s="56"/>
      <c r="EX310" s="56"/>
      <c r="EY310" s="56"/>
      <c r="EZ310" s="56"/>
      <c r="FA310" s="56"/>
      <c r="FB310" s="56"/>
      <c r="FC310" s="56"/>
      <c r="FD310" s="56"/>
      <c r="FE310" s="56"/>
      <c r="FF310" s="56"/>
      <c r="FG310" s="56"/>
      <c r="FH310" s="56"/>
      <c r="FI310" s="56"/>
      <c r="FJ310" s="56"/>
      <c r="FK310" s="56"/>
      <c r="FL310" s="56"/>
      <c r="FM310" s="56"/>
      <c r="FN310" s="56"/>
      <c r="FO310" s="56"/>
      <c r="FP310" s="56"/>
      <c r="FQ310" s="56"/>
      <c r="FR310" s="56"/>
      <c r="FS310" s="56"/>
      <c r="FT310" s="56"/>
      <c r="FU310" s="56"/>
      <c r="FV310" s="56"/>
      <c r="FW310" s="56"/>
      <c r="FX310" s="56"/>
      <c r="FY310" s="56"/>
      <c r="FZ310" s="56"/>
      <c r="GA310" s="56"/>
      <c r="GB310" s="56"/>
      <c r="GC310" s="56"/>
      <c r="GD310" s="56"/>
      <c r="GE310" s="56"/>
      <c r="GF310" s="56"/>
      <c r="GG310" s="56"/>
      <c r="GH310" s="56"/>
      <c r="GI310" s="56"/>
      <c r="GJ310" s="56"/>
      <c r="GK310" s="56"/>
      <c r="GL310" s="56"/>
      <c r="GM310" s="56"/>
      <c r="GN310" s="56"/>
      <c r="GO310" s="56"/>
      <c r="GP310" s="56"/>
      <c r="GQ310" s="56"/>
      <c r="GR310" s="56"/>
      <c r="GS310" s="56"/>
      <c r="GT310" s="56"/>
      <c r="GU310" s="56"/>
      <c r="GV310" s="56"/>
      <c r="GW310" s="56"/>
      <c r="GX310" s="56"/>
      <c r="GY310" s="56"/>
      <c r="GZ310" s="56"/>
      <c r="HA310" s="56"/>
      <c r="HB310" s="56"/>
      <c r="HC310" s="56"/>
      <c r="HD310" s="56"/>
      <c r="HE310" s="56"/>
      <c r="HF310" s="56"/>
      <c r="HG310" s="56"/>
      <c r="HH310" s="56"/>
      <c r="HI310" s="56"/>
      <c r="HJ310" s="56"/>
    </row>
    <row r="311" spans="1:218" ht="15.75" customHeight="1" x14ac:dyDescent="0.2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6"/>
      <c r="CA311" s="56"/>
      <c r="CB311" s="56"/>
      <c r="CC311" s="56"/>
      <c r="CD311" s="56"/>
      <c r="CE311" s="56"/>
      <c r="CF311" s="56"/>
      <c r="CG311" s="56"/>
      <c r="CH311" s="56"/>
      <c r="CI311" s="56"/>
      <c r="CJ311" s="56"/>
      <c r="CK311" s="56"/>
      <c r="CL311" s="56"/>
      <c r="CM311" s="56"/>
      <c r="CN311" s="56"/>
      <c r="CO311" s="56"/>
      <c r="CP311" s="56"/>
      <c r="CQ311" s="56"/>
      <c r="CR311" s="56"/>
      <c r="CS311" s="56"/>
      <c r="CT311" s="56"/>
      <c r="CU311" s="56"/>
      <c r="CV311" s="56"/>
      <c r="CW311" s="56"/>
      <c r="CX311" s="56"/>
      <c r="CY311" s="56"/>
      <c r="CZ311" s="56"/>
      <c r="DA311" s="56"/>
      <c r="DB311" s="56"/>
      <c r="DC311" s="56"/>
      <c r="DD311" s="56"/>
      <c r="DE311" s="56"/>
      <c r="DF311" s="56"/>
      <c r="DG311" s="56"/>
      <c r="DH311" s="56"/>
      <c r="DI311" s="56"/>
      <c r="DJ311" s="56"/>
      <c r="DK311" s="56"/>
      <c r="DL311" s="56"/>
      <c r="DM311" s="56"/>
      <c r="DN311" s="56"/>
      <c r="DO311" s="56"/>
      <c r="DP311" s="56"/>
      <c r="DQ311" s="56"/>
      <c r="DR311" s="56"/>
      <c r="DS311" s="56"/>
      <c r="DT311" s="56"/>
      <c r="DU311" s="56"/>
      <c r="DV311" s="56"/>
      <c r="DW311" s="56"/>
      <c r="DX311" s="56"/>
      <c r="DY311" s="56"/>
      <c r="DZ311" s="56"/>
      <c r="EA311" s="56"/>
      <c r="EB311" s="56"/>
      <c r="EC311" s="56"/>
      <c r="ED311" s="56"/>
      <c r="EE311" s="56"/>
      <c r="EF311" s="56"/>
      <c r="EG311" s="56"/>
      <c r="EH311" s="56"/>
      <c r="EI311" s="56"/>
      <c r="EJ311" s="56"/>
      <c r="EK311" s="56"/>
      <c r="EL311" s="56"/>
      <c r="EM311" s="56"/>
      <c r="EN311" s="56"/>
      <c r="EO311" s="56"/>
      <c r="EP311" s="56"/>
      <c r="EQ311" s="56"/>
      <c r="ER311" s="56"/>
      <c r="ES311" s="56"/>
      <c r="ET311" s="56"/>
      <c r="EU311" s="56"/>
      <c r="EV311" s="56"/>
      <c r="EW311" s="56"/>
      <c r="EX311" s="56"/>
      <c r="EY311" s="56"/>
      <c r="EZ311" s="56"/>
      <c r="FA311" s="56"/>
      <c r="FB311" s="56"/>
      <c r="FC311" s="56"/>
      <c r="FD311" s="56"/>
      <c r="FE311" s="56"/>
      <c r="FF311" s="56"/>
      <c r="FG311" s="56"/>
      <c r="FH311" s="56"/>
      <c r="FI311" s="56"/>
      <c r="FJ311" s="56"/>
      <c r="FK311" s="56"/>
      <c r="FL311" s="56"/>
      <c r="FM311" s="56"/>
      <c r="FN311" s="56"/>
      <c r="FO311" s="56"/>
      <c r="FP311" s="56"/>
      <c r="FQ311" s="56"/>
      <c r="FR311" s="56"/>
      <c r="FS311" s="56"/>
      <c r="FT311" s="56"/>
      <c r="FU311" s="56"/>
      <c r="FV311" s="56"/>
      <c r="FW311" s="56"/>
      <c r="FX311" s="56"/>
      <c r="FY311" s="56"/>
      <c r="FZ311" s="56"/>
      <c r="GA311" s="56"/>
      <c r="GB311" s="56"/>
      <c r="GC311" s="56"/>
      <c r="GD311" s="56"/>
      <c r="GE311" s="56"/>
      <c r="GF311" s="56"/>
      <c r="GG311" s="56"/>
      <c r="GH311" s="56"/>
      <c r="GI311" s="56"/>
      <c r="GJ311" s="56"/>
      <c r="GK311" s="56"/>
      <c r="GL311" s="56"/>
      <c r="GM311" s="56"/>
      <c r="GN311" s="56"/>
      <c r="GO311" s="56"/>
      <c r="GP311" s="56"/>
      <c r="GQ311" s="56"/>
      <c r="GR311" s="56"/>
      <c r="GS311" s="56"/>
      <c r="GT311" s="56"/>
      <c r="GU311" s="56"/>
      <c r="GV311" s="56"/>
      <c r="GW311" s="56"/>
      <c r="GX311" s="56"/>
      <c r="GY311" s="56"/>
      <c r="GZ311" s="56"/>
      <c r="HA311" s="56"/>
      <c r="HB311" s="56"/>
      <c r="HC311" s="56"/>
      <c r="HD311" s="56"/>
      <c r="HE311" s="56"/>
      <c r="HF311" s="56"/>
      <c r="HG311" s="56"/>
      <c r="HH311" s="56"/>
      <c r="HI311" s="56"/>
      <c r="HJ311" s="56"/>
    </row>
    <row r="312" spans="1:218" ht="15.75" customHeight="1" x14ac:dyDescent="0.2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  <c r="CL312" s="56"/>
      <c r="CM312" s="56"/>
      <c r="CN312" s="56"/>
      <c r="CO312" s="56"/>
      <c r="CP312" s="56"/>
      <c r="CQ312" s="56"/>
      <c r="CR312" s="56"/>
      <c r="CS312" s="56"/>
      <c r="CT312" s="56"/>
      <c r="CU312" s="56"/>
      <c r="CV312" s="56"/>
      <c r="CW312" s="56"/>
      <c r="CX312" s="56"/>
      <c r="CY312" s="56"/>
      <c r="CZ312" s="56"/>
      <c r="DA312" s="56"/>
      <c r="DB312" s="56"/>
      <c r="DC312" s="56"/>
      <c r="DD312" s="56"/>
      <c r="DE312" s="56"/>
      <c r="DF312" s="56"/>
      <c r="DG312" s="56"/>
      <c r="DH312" s="56"/>
      <c r="DI312" s="56"/>
      <c r="DJ312" s="56"/>
      <c r="DK312" s="56"/>
      <c r="DL312" s="56"/>
      <c r="DM312" s="56"/>
      <c r="DN312" s="56"/>
      <c r="DO312" s="56"/>
      <c r="DP312" s="56"/>
      <c r="DQ312" s="56"/>
      <c r="DR312" s="56"/>
      <c r="DS312" s="56"/>
      <c r="DT312" s="56"/>
      <c r="DU312" s="56"/>
      <c r="DV312" s="56"/>
      <c r="DW312" s="56"/>
      <c r="DX312" s="56"/>
      <c r="DY312" s="56"/>
      <c r="DZ312" s="56"/>
      <c r="EA312" s="56"/>
      <c r="EB312" s="56"/>
      <c r="EC312" s="56"/>
      <c r="ED312" s="56"/>
      <c r="EE312" s="56"/>
      <c r="EF312" s="56"/>
      <c r="EG312" s="56"/>
      <c r="EH312" s="56"/>
      <c r="EI312" s="56"/>
      <c r="EJ312" s="56"/>
      <c r="EK312" s="56"/>
      <c r="EL312" s="56"/>
      <c r="EM312" s="56"/>
      <c r="EN312" s="56"/>
      <c r="EO312" s="56"/>
      <c r="EP312" s="56"/>
      <c r="EQ312" s="56"/>
      <c r="ER312" s="56"/>
      <c r="ES312" s="56"/>
      <c r="ET312" s="56"/>
      <c r="EU312" s="56"/>
      <c r="EV312" s="56"/>
      <c r="EW312" s="56"/>
      <c r="EX312" s="56"/>
      <c r="EY312" s="56"/>
      <c r="EZ312" s="56"/>
      <c r="FA312" s="56"/>
      <c r="FB312" s="56"/>
      <c r="FC312" s="56"/>
      <c r="FD312" s="56"/>
      <c r="FE312" s="56"/>
      <c r="FF312" s="56"/>
      <c r="FG312" s="56"/>
      <c r="FH312" s="56"/>
      <c r="FI312" s="56"/>
      <c r="FJ312" s="56"/>
      <c r="FK312" s="56"/>
      <c r="FL312" s="56"/>
      <c r="FM312" s="56"/>
      <c r="FN312" s="56"/>
      <c r="FO312" s="56"/>
      <c r="FP312" s="56"/>
      <c r="FQ312" s="56"/>
      <c r="FR312" s="56"/>
      <c r="FS312" s="56"/>
      <c r="FT312" s="56"/>
      <c r="FU312" s="56"/>
      <c r="FV312" s="56"/>
      <c r="FW312" s="56"/>
      <c r="FX312" s="56"/>
      <c r="FY312" s="56"/>
      <c r="FZ312" s="56"/>
      <c r="GA312" s="56"/>
      <c r="GB312" s="56"/>
      <c r="GC312" s="56"/>
      <c r="GD312" s="56"/>
      <c r="GE312" s="56"/>
      <c r="GF312" s="56"/>
      <c r="GG312" s="56"/>
      <c r="GH312" s="56"/>
      <c r="GI312" s="56"/>
      <c r="GJ312" s="56"/>
      <c r="GK312" s="56"/>
      <c r="GL312" s="56"/>
      <c r="GM312" s="56"/>
      <c r="GN312" s="56"/>
      <c r="GO312" s="56"/>
      <c r="GP312" s="56"/>
      <c r="GQ312" s="56"/>
      <c r="GR312" s="56"/>
      <c r="GS312" s="56"/>
      <c r="GT312" s="56"/>
      <c r="GU312" s="56"/>
      <c r="GV312" s="56"/>
      <c r="GW312" s="56"/>
      <c r="GX312" s="56"/>
      <c r="GY312" s="56"/>
      <c r="GZ312" s="56"/>
      <c r="HA312" s="56"/>
      <c r="HB312" s="56"/>
      <c r="HC312" s="56"/>
      <c r="HD312" s="56"/>
      <c r="HE312" s="56"/>
      <c r="HF312" s="56"/>
      <c r="HG312" s="56"/>
      <c r="HH312" s="56"/>
      <c r="HI312" s="56"/>
      <c r="HJ312" s="56"/>
    </row>
    <row r="313" spans="1:218" ht="15.75" customHeight="1" x14ac:dyDescent="0.2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  <c r="BV313" s="56"/>
      <c r="BW313" s="56"/>
      <c r="BX313" s="56"/>
      <c r="BY313" s="56"/>
      <c r="BZ313" s="56"/>
      <c r="CA313" s="56"/>
      <c r="CB313" s="56"/>
      <c r="CC313" s="56"/>
      <c r="CD313" s="56"/>
      <c r="CE313" s="56"/>
      <c r="CF313" s="56"/>
      <c r="CG313" s="56"/>
      <c r="CH313" s="56"/>
      <c r="CI313" s="56"/>
      <c r="CJ313" s="56"/>
      <c r="CK313" s="56"/>
      <c r="CL313" s="56"/>
      <c r="CM313" s="56"/>
      <c r="CN313" s="56"/>
      <c r="CO313" s="56"/>
      <c r="CP313" s="56"/>
      <c r="CQ313" s="56"/>
      <c r="CR313" s="56"/>
      <c r="CS313" s="56"/>
      <c r="CT313" s="56"/>
      <c r="CU313" s="56"/>
      <c r="CV313" s="56"/>
      <c r="CW313" s="56"/>
      <c r="CX313" s="56"/>
      <c r="CY313" s="56"/>
      <c r="CZ313" s="56"/>
      <c r="DA313" s="56"/>
      <c r="DB313" s="56"/>
      <c r="DC313" s="56"/>
      <c r="DD313" s="56"/>
      <c r="DE313" s="56"/>
      <c r="DF313" s="56"/>
      <c r="DG313" s="56"/>
      <c r="DH313" s="56"/>
      <c r="DI313" s="56"/>
      <c r="DJ313" s="56"/>
      <c r="DK313" s="56"/>
      <c r="DL313" s="56"/>
      <c r="DM313" s="56"/>
      <c r="DN313" s="56"/>
      <c r="DO313" s="56"/>
      <c r="DP313" s="56"/>
      <c r="DQ313" s="56"/>
      <c r="DR313" s="56"/>
      <c r="DS313" s="56"/>
      <c r="DT313" s="56"/>
      <c r="DU313" s="56"/>
      <c r="DV313" s="56"/>
      <c r="DW313" s="56"/>
      <c r="DX313" s="56"/>
      <c r="DY313" s="56"/>
      <c r="DZ313" s="56"/>
      <c r="EA313" s="56"/>
      <c r="EB313" s="56"/>
      <c r="EC313" s="56"/>
      <c r="ED313" s="56"/>
      <c r="EE313" s="56"/>
      <c r="EF313" s="56"/>
      <c r="EG313" s="56"/>
      <c r="EH313" s="56"/>
      <c r="EI313" s="56"/>
      <c r="EJ313" s="56"/>
      <c r="EK313" s="56"/>
      <c r="EL313" s="56"/>
      <c r="EM313" s="56"/>
      <c r="EN313" s="56"/>
      <c r="EO313" s="56"/>
      <c r="EP313" s="56"/>
      <c r="EQ313" s="56"/>
      <c r="ER313" s="56"/>
      <c r="ES313" s="56"/>
      <c r="ET313" s="56"/>
      <c r="EU313" s="56"/>
      <c r="EV313" s="56"/>
      <c r="EW313" s="56"/>
      <c r="EX313" s="56"/>
      <c r="EY313" s="56"/>
      <c r="EZ313" s="56"/>
      <c r="FA313" s="56"/>
      <c r="FB313" s="56"/>
      <c r="FC313" s="56"/>
      <c r="FD313" s="56"/>
      <c r="FE313" s="56"/>
      <c r="FF313" s="56"/>
      <c r="FG313" s="56"/>
      <c r="FH313" s="56"/>
      <c r="FI313" s="56"/>
      <c r="FJ313" s="56"/>
      <c r="FK313" s="56"/>
      <c r="FL313" s="56"/>
      <c r="FM313" s="56"/>
      <c r="FN313" s="56"/>
      <c r="FO313" s="56"/>
      <c r="FP313" s="56"/>
      <c r="FQ313" s="56"/>
      <c r="FR313" s="56"/>
      <c r="FS313" s="56"/>
      <c r="FT313" s="56"/>
      <c r="FU313" s="56"/>
      <c r="FV313" s="56"/>
      <c r="FW313" s="56"/>
      <c r="FX313" s="56"/>
      <c r="FY313" s="56"/>
      <c r="FZ313" s="56"/>
      <c r="GA313" s="56"/>
      <c r="GB313" s="56"/>
      <c r="GC313" s="56"/>
      <c r="GD313" s="56"/>
      <c r="GE313" s="56"/>
      <c r="GF313" s="56"/>
      <c r="GG313" s="56"/>
      <c r="GH313" s="56"/>
      <c r="GI313" s="56"/>
      <c r="GJ313" s="56"/>
      <c r="GK313" s="56"/>
      <c r="GL313" s="56"/>
      <c r="GM313" s="56"/>
      <c r="GN313" s="56"/>
      <c r="GO313" s="56"/>
      <c r="GP313" s="56"/>
      <c r="GQ313" s="56"/>
      <c r="GR313" s="56"/>
      <c r="GS313" s="56"/>
      <c r="GT313" s="56"/>
      <c r="GU313" s="56"/>
      <c r="GV313" s="56"/>
      <c r="GW313" s="56"/>
      <c r="GX313" s="56"/>
      <c r="GY313" s="56"/>
      <c r="GZ313" s="56"/>
      <c r="HA313" s="56"/>
      <c r="HB313" s="56"/>
      <c r="HC313" s="56"/>
      <c r="HD313" s="56"/>
      <c r="HE313" s="56"/>
      <c r="HF313" s="56"/>
      <c r="HG313" s="56"/>
      <c r="HH313" s="56"/>
      <c r="HI313" s="56"/>
      <c r="HJ313" s="56"/>
    </row>
    <row r="314" spans="1:218" ht="15.75" customHeight="1" x14ac:dyDescent="0.2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  <c r="CL314" s="56"/>
      <c r="CM314" s="56"/>
      <c r="CN314" s="56"/>
      <c r="CO314" s="56"/>
      <c r="CP314" s="56"/>
      <c r="CQ314" s="56"/>
      <c r="CR314" s="56"/>
      <c r="CS314" s="56"/>
      <c r="CT314" s="56"/>
      <c r="CU314" s="56"/>
      <c r="CV314" s="56"/>
      <c r="CW314" s="56"/>
      <c r="CX314" s="56"/>
      <c r="CY314" s="56"/>
      <c r="CZ314" s="56"/>
      <c r="DA314" s="56"/>
      <c r="DB314" s="56"/>
      <c r="DC314" s="56"/>
      <c r="DD314" s="56"/>
      <c r="DE314" s="56"/>
      <c r="DF314" s="56"/>
      <c r="DG314" s="56"/>
      <c r="DH314" s="56"/>
      <c r="DI314" s="56"/>
      <c r="DJ314" s="56"/>
      <c r="DK314" s="56"/>
      <c r="DL314" s="56"/>
      <c r="DM314" s="56"/>
      <c r="DN314" s="56"/>
      <c r="DO314" s="56"/>
      <c r="DP314" s="56"/>
      <c r="DQ314" s="56"/>
      <c r="DR314" s="56"/>
      <c r="DS314" s="56"/>
      <c r="DT314" s="56"/>
      <c r="DU314" s="56"/>
      <c r="DV314" s="56"/>
      <c r="DW314" s="56"/>
      <c r="DX314" s="56"/>
      <c r="DY314" s="56"/>
      <c r="DZ314" s="56"/>
      <c r="EA314" s="56"/>
      <c r="EB314" s="56"/>
      <c r="EC314" s="56"/>
      <c r="ED314" s="56"/>
      <c r="EE314" s="56"/>
      <c r="EF314" s="56"/>
      <c r="EG314" s="56"/>
      <c r="EH314" s="56"/>
      <c r="EI314" s="56"/>
      <c r="EJ314" s="56"/>
      <c r="EK314" s="56"/>
      <c r="EL314" s="56"/>
      <c r="EM314" s="56"/>
      <c r="EN314" s="56"/>
      <c r="EO314" s="56"/>
      <c r="EP314" s="56"/>
      <c r="EQ314" s="56"/>
      <c r="ER314" s="56"/>
      <c r="ES314" s="56"/>
      <c r="ET314" s="56"/>
      <c r="EU314" s="56"/>
      <c r="EV314" s="56"/>
      <c r="EW314" s="56"/>
      <c r="EX314" s="56"/>
      <c r="EY314" s="56"/>
      <c r="EZ314" s="56"/>
      <c r="FA314" s="56"/>
      <c r="FB314" s="56"/>
      <c r="FC314" s="56"/>
      <c r="FD314" s="56"/>
      <c r="FE314" s="56"/>
      <c r="FF314" s="56"/>
      <c r="FG314" s="56"/>
      <c r="FH314" s="56"/>
      <c r="FI314" s="56"/>
      <c r="FJ314" s="56"/>
      <c r="FK314" s="56"/>
      <c r="FL314" s="56"/>
      <c r="FM314" s="56"/>
      <c r="FN314" s="56"/>
      <c r="FO314" s="56"/>
      <c r="FP314" s="56"/>
      <c r="FQ314" s="56"/>
      <c r="FR314" s="56"/>
      <c r="FS314" s="56"/>
      <c r="FT314" s="56"/>
      <c r="FU314" s="56"/>
      <c r="FV314" s="56"/>
      <c r="FW314" s="56"/>
      <c r="FX314" s="56"/>
      <c r="FY314" s="56"/>
      <c r="FZ314" s="56"/>
      <c r="GA314" s="56"/>
      <c r="GB314" s="56"/>
      <c r="GC314" s="56"/>
      <c r="GD314" s="56"/>
      <c r="GE314" s="56"/>
      <c r="GF314" s="56"/>
      <c r="GG314" s="56"/>
      <c r="GH314" s="56"/>
      <c r="GI314" s="56"/>
      <c r="GJ314" s="56"/>
      <c r="GK314" s="56"/>
      <c r="GL314" s="56"/>
      <c r="GM314" s="56"/>
      <c r="GN314" s="56"/>
      <c r="GO314" s="56"/>
      <c r="GP314" s="56"/>
      <c r="GQ314" s="56"/>
      <c r="GR314" s="56"/>
      <c r="GS314" s="56"/>
      <c r="GT314" s="56"/>
      <c r="GU314" s="56"/>
      <c r="GV314" s="56"/>
      <c r="GW314" s="56"/>
      <c r="GX314" s="56"/>
      <c r="GY314" s="56"/>
      <c r="GZ314" s="56"/>
      <c r="HA314" s="56"/>
      <c r="HB314" s="56"/>
      <c r="HC314" s="56"/>
      <c r="HD314" s="56"/>
      <c r="HE314" s="56"/>
      <c r="HF314" s="56"/>
      <c r="HG314" s="56"/>
      <c r="HH314" s="56"/>
      <c r="HI314" s="56"/>
      <c r="HJ314" s="56"/>
    </row>
    <row r="315" spans="1:218" ht="15.75" customHeight="1" x14ac:dyDescent="0.2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  <c r="CL315" s="56"/>
      <c r="CM315" s="56"/>
      <c r="CN315" s="56"/>
      <c r="CO315" s="56"/>
      <c r="CP315" s="56"/>
      <c r="CQ315" s="56"/>
      <c r="CR315" s="56"/>
      <c r="CS315" s="56"/>
      <c r="CT315" s="56"/>
      <c r="CU315" s="56"/>
      <c r="CV315" s="56"/>
      <c r="CW315" s="56"/>
      <c r="CX315" s="56"/>
      <c r="CY315" s="56"/>
      <c r="CZ315" s="56"/>
      <c r="DA315" s="56"/>
      <c r="DB315" s="56"/>
      <c r="DC315" s="56"/>
      <c r="DD315" s="56"/>
      <c r="DE315" s="56"/>
      <c r="DF315" s="56"/>
      <c r="DG315" s="56"/>
      <c r="DH315" s="56"/>
      <c r="DI315" s="56"/>
      <c r="DJ315" s="56"/>
      <c r="DK315" s="56"/>
      <c r="DL315" s="56"/>
      <c r="DM315" s="56"/>
      <c r="DN315" s="56"/>
      <c r="DO315" s="56"/>
      <c r="DP315" s="56"/>
      <c r="DQ315" s="56"/>
      <c r="DR315" s="56"/>
      <c r="DS315" s="56"/>
      <c r="DT315" s="56"/>
      <c r="DU315" s="56"/>
      <c r="DV315" s="56"/>
      <c r="DW315" s="56"/>
      <c r="DX315" s="56"/>
      <c r="DY315" s="56"/>
      <c r="DZ315" s="56"/>
      <c r="EA315" s="56"/>
      <c r="EB315" s="56"/>
      <c r="EC315" s="56"/>
      <c r="ED315" s="56"/>
      <c r="EE315" s="56"/>
      <c r="EF315" s="56"/>
      <c r="EG315" s="56"/>
      <c r="EH315" s="56"/>
      <c r="EI315" s="56"/>
      <c r="EJ315" s="56"/>
      <c r="EK315" s="56"/>
      <c r="EL315" s="56"/>
      <c r="EM315" s="56"/>
      <c r="EN315" s="56"/>
      <c r="EO315" s="56"/>
      <c r="EP315" s="56"/>
      <c r="EQ315" s="56"/>
      <c r="ER315" s="56"/>
      <c r="ES315" s="56"/>
      <c r="ET315" s="56"/>
      <c r="EU315" s="56"/>
      <c r="EV315" s="56"/>
      <c r="EW315" s="56"/>
      <c r="EX315" s="56"/>
      <c r="EY315" s="56"/>
      <c r="EZ315" s="56"/>
      <c r="FA315" s="56"/>
      <c r="FB315" s="56"/>
      <c r="FC315" s="56"/>
      <c r="FD315" s="56"/>
      <c r="FE315" s="56"/>
      <c r="FF315" s="56"/>
      <c r="FG315" s="56"/>
      <c r="FH315" s="56"/>
      <c r="FI315" s="56"/>
      <c r="FJ315" s="56"/>
      <c r="FK315" s="56"/>
      <c r="FL315" s="56"/>
      <c r="FM315" s="56"/>
      <c r="FN315" s="56"/>
      <c r="FO315" s="56"/>
      <c r="FP315" s="56"/>
      <c r="FQ315" s="56"/>
      <c r="FR315" s="56"/>
      <c r="FS315" s="56"/>
      <c r="FT315" s="56"/>
      <c r="FU315" s="56"/>
      <c r="FV315" s="56"/>
      <c r="FW315" s="56"/>
      <c r="FX315" s="56"/>
      <c r="FY315" s="56"/>
      <c r="FZ315" s="56"/>
      <c r="GA315" s="56"/>
      <c r="GB315" s="56"/>
      <c r="GC315" s="56"/>
      <c r="GD315" s="56"/>
      <c r="GE315" s="56"/>
      <c r="GF315" s="56"/>
      <c r="GG315" s="56"/>
      <c r="GH315" s="56"/>
      <c r="GI315" s="56"/>
      <c r="GJ315" s="56"/>
      <c r="GK315" s="56"/>
      <c r="GL315" s="56"/>
      <c r="GM315" s="56"/>
      <c r="GN315" s="56"/>
      <c r="GO315" s="56"/>
      <c r="GP315" s="56"/>
      <c r="GQ315" s="56"/>
      <c r="GR315" s="56"/>
      <c r="GS315" s="56"/>
      <c r="GT315" s="56"/>
      <c r="GU315" s="56"/>
      <c r="GV315" s="56"/>
      <c r="GW315" s="56"/>
      <c r="GX315" s="56"/>
      <c r="GY315" s="56"/>
      <c r="GZ315" s="56"/>
      <c r="HA315" s="56"/>
      <c r="HB315" s="56"/>
      <c r="HC315" s="56"/>
      <c r="HD315" s="56"/>
      <c r="HE315" s="56"/>
      <c r="HF315" s="56"/>
      <c r="HG315" s="56"/>
      <c r="HH315" s="56"/>
      <c r="HI315" s="56"/>
      <c r="HJ315" s="56"/>
    </row>
    <row r="316" spans="1:218" ht="15.75" customHeight="1" x14ac:dyDescent="0.2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  <c r="CS316" s="56"/>
      <c r="CT316" s="56"/>
      <c r="CU316" s="56"/>
      <c r="CV316" s="56"/>
      <c r="CW316" s="56"/>
      <c r="CX316" s="56"/>
      <c r="CY316" s="56"/>
      <c r="CZ316" s="56"/>
      <c r="DA316" s="56"/>
      <c r="DB316" s="56"/>
      <c r="DC316" s="56"/>
      <c r="DD316" s="56"/>
      <c r="DE316" s="56"/>
      <c r="DF316" s="56"/>
      <c r="DG316" s="56"/>
      <c r="DH316" s="56"/>
      <c r="DI316" s="56"/>
      <c r="DJ316" s="56"/>
      <c r="DK316" s="56"/>
      <c r="DL316" s="56"/>
      <c r="DM316" s="56"/>
      <c r="DN316" s="56"/>
      <c r="DO316" s="56"/>
      <c r="DP316" s="56"/>
      <c r="DQ316" s="56"/>
      <c r="DR316" s="56"/>
      <c r="DS316" s="56"/>
      <c r="DT316" s="56"/>
      <c r="DU316" s="56"/>
      <c r="DV316" s="56"/>
      <c r="DW316" s="56"/>
      <c r="DX316" s="56"/>
      <c r="DY316" s="56"/>
      <c r="DZ316" s="56"/>
      <c r="EA316" s="56"/>
      <c r="EB316" s="56"/>
      <c r="EC316" s="56"/>
      <c r="ED316" s="56"/>
      <c r="EE316" s="56"/>
      <c r="EF316" s="56"/>
      <c r="EG316" s="56"/>
      <c r="EH316" s="56"/>
      <c r="EI316" s="56"/>
      <c r="EJ316" s="56"/>
      <c r="EK316" s="56"/>
      <c r="EL316" s="56"/>
      <c r="EM316" s="56"/>
      <c r="EN316" s="56"/>
      <c r="EO316" s="56"/>
      <c r="EP316" s="56"/>
      <c r="EQ316" s="56"/>
      <c r="ER316" s="56"/>
      <c r="ES316" s="56"/>
      <c r="ET316" s="56"/>
      <c r="EU316" s="56"/>
      <c r="EV316" s="56"/>
      <c r="EW316" s="56"/>
      <c r="EX316" s="56"/>
      <c r="EY316" s="56"/>
      <c r="EZ316" s="56"/>
      <c r="FA316" s="56"/>
      <c r="FB316" s="56"/>
      <c r="FC316" s="56"/>
      <c r="FD316" s="56"/>
      <c r="FE316" s="56"/>
      <c r="FF316" s="56"/>
      <c r="FG316" s="56"/>
      <c r="FH316" s="56"/>
      <c r="FI316" s="56"/>
      <c r="FJ316" s="56"/>
      <c r="FK316" s="56"/>
      <c r="FL316" s="56"/>
      <c r="FM316" s="56"/>
      <c r="FN316" s="56"/>
      <c r="FO316" s="56"/>
      <c r="FP316" s="56"/>
      <c r="FQ316" s="56"/>
      <c r="FR316" s="56"/>
      <c r="FS316" s="56"/>
      <c r="FT316" s="56"/>
      <c r="FU316" s="56"/>
      <c r="FV316" s="56"/>
      <c r="FW316" s="56"/>
      <c r="FX316" s="56"/>
      <c r="FY316" s="56"/>
      <c r="FZ316" s="56"/>
      <c r="GA316" s="56"/>
      <c r="GB316" s="56"/>
      <c r="GC316" s="56"/>
      <c r="GD316" s="56"/>
      <c r="GE316" s="56"/>
      <c r="GF316" s="56"/>
      <c r="GG316" s="56"/>
      <c r="GH316" s="56"/>
      <c r="GI316" s="56"/>
      <c r="GJ316" s="56"/>
      <c r="GK316" s="56"/>
      <c r="GL316" s="56"/>
      <c r="GM316" s="56"/>
      <c r="GN316" s="56"/>
      <c r="GO316" s="56"/>
      <c r="GP316" s="56"/>
      <c r="GQ316" s="56"/>
      <c r="GR316" s="56"/>
      <c r="GS316" s="56"/>
      <c r="GT316" s="56"/>
      <c r="GU316" s="56"/>
      <c r="GV316" s="56"/>
      <c r="GW316" s="56"/>
      <c r="GX316" s="56"/>
      <c r="GY316" s="56"/>
      <c r="GZ316" s="56"/>
      <c r="HA316" s="56"/>
      <c r="HB316" s="56"/>
      <c r="HC316" s="56"/>
      <c r="HD316" s="56"/>
      <c r="HE316" s="56"/>
      <c r="HF316" s="56"/>
      <c r="HG316" s="56"/>
      <c r="HH316" s="56"/>
      <c r="HI316" s="56"/>
      <c r="HJ316" s="56"/>
    </row>
    <row r="317" spans="1:218" ht="15.75" customHeight="1" x14ac:dyDescent="0.2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  <c r="CL317" s="56"/>
      <c r="CM317" s="56"/>
      <c r="CN317" s="56"/>
      <c r="CO317" s="56"/>
      <c r="CP317" s="56"/>
      <c r="CQ317" s="56"/>
      <c r="CR317" s="56"/>
      <c r="CS317" s="56"/>
      <c r="CT317" s="56"/>
      <c r="CU317" s="56"/>
      <c r="CV317" s="56"/>
      <c r="CW317" s="56"/>
      <c r="CX317" s="56"/>
      <c r="CY317" s="56"/>
      <c r="CZ317" s="56"/>
      <c r="DA317" s="56"/>
      <c r="DB317" s="56"/>
      <c r="DC317" s="56"/>
      <c r="DD317" s="56"/>
      <c r="DE317" s="56"/>
      <c r="DF317" s="56"/>
      <c r="DG317" s="56"/>
      <c r="DH317" s="56"/>
      <c r="DI317" s="56"/>
      <c r="DJ317" s="56"/>
      <c r="DK317" s="56"/>
      <c r="DL317" s="56"/>
      <c r="DM317" s="56"/>
      <c r="DN317" s="56"/>
      <c r="DO317" s="56"/>
      <c r="DP317" s="56"/>
      <c r="DQ317" s="56"/>
      <c r="DR317" s="56"/>
      <c r="DS317" s="56"/>
      <c r="DT317" s="56"/>
      <c r="DU317" s="56"/>
      <c r="DV317" s="56"/>
      <c r="DW317" s="56"/>
      <c r="DX317" s="56"/>
      <c r="DY317" s="56"/>
      <c r="DZ317" s="56"/>
      <c r="EA317" s="56"/>
      <c r="EB317" s="56"/>
      <c r="EC317" s="56"/>
      <c r="ED317" s="56"/>
      <c r="EE317" s="56"/>
      <c r="EF317" s="56"/>
      <c r="EG317" s="56"/>
      <c r="EH317" s="56"/>
      <c r="EI317" s="56"/>
      <c r="EJ317" s="56"/>
      <c r="EK317" s="56"/>
      <c r="EL317" s="56"/>
      <c r="EM317" s="56"/>
      <c r="EN317" s="56"/>
      <c r="EO317" s="56"/>
      <c r="EP317" s="56"/>
      <c r="EQ317" s="56"/>
      <c r="ER317" s="56"/>
      <c r="ES317" s="56"/>
      <c r="ET317" s="56"/>
      <c r="EU317" s="56"/>
      <c r="EV317" s="56"/>
      <c r="EW317" s="56"/>
      <c r="EX317" s="56"/>
      <c r="EY317" s="56"/>
      <c r="EZ317" s="56"/>
      <c r="FA317" s="56"/>
      <c r="FB317" s="56"/>
      <c r="FC317" s="56"/>
      <c r="FD317" s="56"/>
      <c r="FE317" s="56"/>
      <c r="FF317" s="56"/>
      <c r="FG317" s="56"/>
      <c r="FH317" s="56"/>
      <c r="FI317" s="56"/>
      <c r="FJ317" s="56"/>
      <c r="FK317" s="56"/>
      <c r="FL317" s="56"/>
      <c r="FM317" s="56"/>
      <c r="FN317" s="56"/>
      <c r="FO317" s="56"/>
      <c r="FP317" s="56"/>
      <c r="FQ317" s="56"/>
      <c r="FR317" s="56"/>
      <c r="FS317" s="56"/>
      <c r="FT317" s="56"/>
      <c r="FU317" s="56"/>
      <c r="FV317" s="56"/>
      <c r="FW317" s="56"/>
      <c r="FX317" s="56"/>
      <c r="FY317" s="56"/>
      <c r="FZ317" s="56"/>
      <c r="GA317" s="56"/>
      <c r="GB317" s="56"/>
      <c r="GC317" s="56"/>
      <c r="GD317" s="56"/>
      <c r="GE317" s="56"/>
      <c r="GF317" s="56"/>
      <c r="GG317" s="56"/>
      <c r="GH317" s="56"/>
      <c r="GI317" s="56"/>
      <c r="GJ317" s="56"/>
      <c r="GK317" s="56"/>
      <c r="GL317" s="56"/>
      <c r="GM317" s="56"/>
      <c r="GN317" s="56"/>
      <c r="GO317" s="56"/>
      <c r="GP317" s="56"/>
      <c r="GQ317" s="56"/>
      <c r="GR317" s="56"/>
      <c r="GS317" s="56"/>
      <c r="GT317" s="56"/>
      <c r="GU317" s="56"/>
      <c r="GV317" s="56"/>
      <c r="GW317" s="56"/>
      <c r="GX317" s="56"/>
      <c r="GY317" s="56"/>
      <c r="GZ317" s="56"/>
      <c r="HA317" s="56"/>
      <c r="HB317" s="56"/>
      <c r="HC317" s="56"/>
      <c r="HD317" s="56"/>
      <c r="HE317" s="56"/>
      <c r="HF317" s="56"/>
      <c r="HG317" s="56"/>
      <c r="HH317" s="56"/>
      <c r="HI317" s="56"/>
      <c r="HJ317" s="56"/>
    </row>
    <row r="318" spans="1:218" ht="15.75" customHeight="1" x14ac:dyDescent="0.2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  <c r="CS318" s="56"/>
      <c r="CT318" s="56"/>
      <c r="CU318" s="56"/>
      <c r="CV318" s="56"/>
      <c r="CW318" s="56"/>
      <c r="CX318" s="56"/>
      <c r="CY318" s="56"/>
      <c r="CZ318" s="56"/>
      <c r="DA318" s="56"/>
      <c r="DB318" s="56"/>
      <c r="DC318" s="56"/>
      <c r="DD318" s="56"/>
      <c r="DE318" s="56"/>
      <c r="DF318" s="56"/>
      <c r="DG318" s="56"/>
      <c r="DH318" s="56"/>
      <c r="DI318" s="56"/>
      <c r="DJ318" s="56"/>
      <c r="DK318" s="56"/>
      <c r="DL318" s="56"/>
      <c r="DM318" s="56"/>
      <c r="DN318" s="56"/>
      <c r="DO318" s="56"/>
      <c r="DP318" s="56"/>
      <c r="DQ318" s="56"/>
      <c r="DR318" s="56"/>
      <c r="DS318" s="56"/>
      <c r="DT318" s="56"/>
      <c r="DU318" s="56"/>
      <c r="DV318" s="56"/>
      <c r="DW318" s="56"/>
      <c r="DX318" s="56"/>
      <c r="DY318" s="56"/>
      <c r="DZ318" s="56"/>
      <c r="EA318" s="56"/>
      <c r="EB318" s="56"/>
      <c r="EC318" s="56"/>
      <c r="ED318" s="56"/>
      <c r="EE318" s="56"/>
      <c r="EF318" s="56"/>
      <c r="EG318" s="56"/>
      <c r="EH318" s="56"/>
      <c r="EI318" s="56"/>
      <c r="EJ318" s="56"/>
      <c r="EK318" s="56"/>
      <c r="EL318" s="56"/>
      <c r="EM318" s="56"/>
      <c r="EN318" s="56"/>
      <c r="EO318" s="56"/>
      <c r="EP318" s="56"/>
      <c r="EQ318" s="56"/>
      <c r="ER318" s="56"/>
      <c r="ES318" s="56"/>
      <c r="ET318" s="56"/>
      <c r="EU318" s="56"/>
      <c r="EV318" s="56"/>
      <c r="EW318" s="56"/>
      <c r="EX318" s="56"/>
      <c r="EY318" s="56"/>
      <c r="EZ318" s="56"/>
      <c r="FA318" s="56"/>
      <c r="FB318" s="56"/>
      <c r="FC318" s="56"/>
      <c r="FD318" s="56"/>
      <c r="FE318" s="56"/>
      <c r="FF318" s="56"/>
      <c r="FG318" s="56"/>
      <c r="FH318" s="56"/>
      <c r="FI318" s="56"/>
      <c r="FJ318" s="56"/>
      <c r="FK318" s="56"/>
      <c r="FL318" s="56"/>
      <c r="FM318" s="56"/>
      <c r="FN318" s="56"/>
      <c r="FO318" s="56"/>
      <c r="FP318" s="56"/>
      <c r="FQ318" s="56"/>
      <c r="FR318" s="56"/>
      <c r="FS318" s="56"/>
      <c r="FT318" s="56"/>
      <c r="FU318" s="56"/>
      <c r="FV318" s="56"/>
      <c r="FW318" s="56"/>
      <c r="FX318" s="56"/>
      <c r="FY318" s="56"/>
      <c r="FZ318" s="56"/>
      <c r="GA318" s="56"/>
      <c r="GB318" s="56"/>
      <c r="GC318" s="56"/>
      <c r="GD318" s="56"/>
      <c r="GE318" s="56"/>
      <c r="GF318" s="56"/>
      <c r="GG318" s="56"/>
      <c r="GH318" s="56"/>
      <c r="GI318" s="56"/>
      <c r="GJ318" s="56"/>
      <c r="GK318" s="56"/>
      <c r="GL318" s="56"/>
      <c r="GM318" s="56"/>
      <c r="GN318" s="56"/>
      <c r="GO318" s="56"/>
      <c r="GP318" s="56"/>
      <c r="GQ318" s="56"/>
      <c r="GR318" s="56"/>
      <c r="GS318" s="56"/>
      <c r="GT318" s="56"/>
      <c r="GU318" s="56"/>
      <c r="GV318" s="56"/>
      <c r="GW318" s="56"/>
      <c r="GX318" s="56"/>
      <c r="GY318" s="56"/>
      <c r="GZ318" s="56"/>
      <c r="HA318" s="56"/>
      <c r="HB318" s="56"/>
      <c r="HC318" s="56"/>
      <c r="HD318" s="56"/>
      <c r="HE318" s="56"/>
      <c r="HF318" s="56"/>
      <c r="HG318" s="56"/>
      <c r="HH318" s="56"/>
      <c r="HI318" s="56"/>
      <c r="HJ318" s="56"/>
    </row>
    <row r="319" spans="1:218" ht="15.75" customHeight="1" x14ac:dyDescent="0.2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56"/>
      <c r="CP319" s="56"/>
      <c r="CQ319" s="56"/>
      <c r="CR319" s="56"/>
      <c r="CS319" s="56"/>
      <c r="CT319" s="56"/>
      <c r="CU319" s="56"/>
      <c r="CV319" s="56"/>
      <c r="CW319" s="56"/>
      <c r="CX319" s="56"/>
      <c r="CY319" s="56"/>
      <c r="CZ319" s="56"/>
      <c r="DA319" s="56"/>
      <c r="DB319" s="56"/>
      <c r="DC319" s="56"/>
      <c r="DD319" s="56"/>
      <c r="DE319" s="56"/>
      <c r="DF319" s="56"/>
      <c r="DG319" s="56"/>
      <c r="DH319" s="56"/>
      <c r="DI319" s="56"/>
      <c r="DJ319" s="56"/>
      <c r="DK319" s="56"/>
      <c r="DL319" s="56"/>
      <c r="DM319" s="56"/>
      <c r="DN319" s="56"/>
      <c r="DO319" s="56"/>
      <c r="DP319" s="56"/>
      <c r="DQ319" s="56"/>
      <c r="DR319" s="56"/>
      <c r="DS319" s="56"/>
      <c r="DT319" s="56"/>
      <c r="DU319" s="56"/>
      <c r="DV319" s="56"/>
      <c r="DW319" s="56"/>
      <c r="DX319" s="56"/>
      <c r="DY319" s="56"/>
      <c r="DZ319" s="56"/>
      <c r="EA319" s="56"/>
      <c r="EB319" s="56"/>
      <c r="EC319" s="56"/>
      <c r="ED319" s="56"/>
      <c r="EE319" s="56"/>
      <c r="EF319" s="56"/>
      <c r="EG319" s="56"/>
      <c r="EH319" s="56"/>
      <c r="EI319" s="56"/>
      <c r="EJ319" s="56"/>
      <c r="EK319" s="56"/>
      <c r="EL319" s="56"/>
      <c r="EM319" s="56"/>
      <c r="EN319" s="56"/>
      <c r="EO319" s="56"/>
      <c r="EP319" s="56"/>
      <c r="EQ319" s="56"/>
      <c r="ER319" s="56"/>
      <c r="ES319" s="56"/>
      <c r="ET319" s="56"/>
      <c r="EU319" s="56"/>
      <c r="EV319" s="56"/>
      <c r="EW319" s="56"/>
      <c r="EX319" s="56"/>
      <c r="EY319" s="56"/>
      <c r="EZ319" s="56"/>
      <c r="FA319" s="56"/>
      <c r="FB319" s="56"/>
      <c r="FC319" s="56"/>
      <c r="FD319" s="56"/>
      <c r="FE319" s="56"/>
      <c r="FF319" s="56"/>
      <c r="FG319" s="56"/>
      <c r="FH319" s="56"/>
      <c r="FI319" s="56"/>
      <c r="FJ319" s="56"/>
      <c r="FK319" s="56"/>
      <c r="FL319" s="56"/>
      <c r="FM319" s="56"/>
      <c r="FN319" s="56"/>
      <c r="FO319" s="56"/>
      <c r="FP319" s="56"/>
      <c r="FQ319" s="56"/>
      <c r="FR319" s="56"/>
      <c r="FS319" s="56"/>
      <c r="FT319" s="56"/>
      <c r="FU319" s="56"/>
      <c r="FV319" s="56"/>
      <c r="FW319" s="56"/>
      <c r="FX319" s="56"/>
      <c r="FY319" s="56"/>
      <c r="FZ319" s="56"/>
      <c r="GA319" s="56"/>
      <c r="GB319" s="56"/>
      <c r="GC319" s="56"/>
      <c r="GD319" s="56"/>
      <c r="GE319" s="56"/>
      <c r="GF319" s="56"/>
      <c r="GG319" s="56"/>
      <c r="GH319" s="56"/>
      <c r="GI319" s="56"/>
      <c r="GJ319" s="56"/>
      <c r="GK319" s="56"/>
      <c r="GL319" s="56"/>
      <c r="GM319" s="56"/>
      <c r="GN319" s="56"/>
      <c r="GO319" s="56"/>
      <c r="GP319" s="56"/>
      <c r="GQ319" s="56"/>
      <c r="GR319" s="56"/>
      <c r="GS319" s="56"/>
      <c r="GT319" s="56"/>
      <c r="GU319" s="56"/>
      <c r="GV319" s="56"/>
      <c r="GW319" s="56"/>
      <c r="GX319" s="56"/>
      <c r="GY319" s="56"/>
      <c r="GZ319" s="56"/>
      <c r="HA319" s="56"/>
      <c r="HB319" s="56"/>
      <c r="HC319" s="56"/>
      <c r="HD319" s="56"/>
      <c r="HE319" s="56"/>
      <c r="HF319" s="56"/>
      <c r="HG319" s="56"/>
      <c r="HH319" s="56"/>
      <c r="HI319" s="56"/>
      <c r="HJ319" s="56"/>
    </row>
    <row r="320" spans="1:218" ht="15.75" customHeight="1" x14ac:dyDescent="0.2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  <c r="CL320" s="56"/>
      <c r="CM320" s="56"/>
      <c r="CN320" s="56"/>
      <c r="CO320" s="56"/>
      <c r="CP320" s="56"/>
      <c r="CQ320" s="56"/>
      <c r="CR320" s="56"/>
      <c r="CS320" s="56"/>
      <c r="CT320" s="56"/>
      <c r="CU320" s="56"/>
      <c r="CV320" s="56"/>
      <c r="CW320" s="56"/>
      <c r="CX320" s="56"/>
      <c r="CY320" s="56"/>
      <c r="CZ320" s="56"/>
      <c r="DA320" s="56"/>
      <c r="DB320" s="56"/>
      <c r="DC320" s="56"/>
      <c r="DD320" s="56"/>
      <c r="DE320" s="56"/>
      <c r="DF320" s="56"/>
      <c r="DG320" s="56"/>
      <c r="DH320" s="56"/>
      <c r="DI320" s="56"/>
      <c r="DJ320" s="56"/>
      <c r="DK320" s="56"/>
      <c r="DL320" s="56"/>
      <c r="DM320" s="56"/>
      <c r="DN320" s="56"/>
      <c r="DO320" s="56"/>
      <c r="DP320" s="56"/>
      <c r="DQ320" s="56"/>
      <c r="DR320" s="56"/>
      <c r="DS320" s="56"/>
      <c r="DT320" s="56"/>
      <c r="DU320" s="56"/>
      <c r="DV320" s="56"/>
      <c r="DW320" s="56"/>
      <c r="DX320" s="56"/>
      <c r="DY320" s="56"/>
      <c r="DZ320" s="56"/>
      <c r="EA320" s="56"/>
      <c r="EB320" s="56"/>
      <c r="EC320" s="56"/>
      <c r="ED320" s="56"/>
      <c r="EE320" s="56"/>
      <c r="EF320" s="56"/>
      <c r="EG320" s="56"/>
      <c r="EH320" s="56"/>
      <c r="EI320" s="56"/>
      <c r="EJ320" s="56"/>
      <c r="EK320" s="56"/>
      <c r="EL320" s="56"/>
      <c r="EM320" s="56"/>
      <c r="EN320" s="56"/>
      <c r="EO320" s="56"/>
      <c r="EP320" s="56"/>
      <c r="EQ320" s="56"/>
      <c r="ER320" s="56"/>
      <c r="ES320" s="56"/>
      <c r="ET320" s="56"/>
      <c r="EU320" s="56"/>
      <c r="EV320" s="56"/>
      <c r="EW320" s="56"/>
      <c r="EX320" s="56"/>
      <c r="EY320" s="56"/>
      <c r="EZ320" s="56"/>
      <c r="FA320" s="56"/>
      <c r="FB320" s="56"/>
      <c r="FC320" s="56"/>
      <c r="FD320" s="56"/>
      <c r="FE320" s="56"/>
      <c r="FF320" s="56"/>
      <c r="FG320" s="56"/>
      <c r="FH320" s="56"/>
      <c r="FI320" s="56"/>
      <c r="FJ320" s="56"/>
      <c r="FK320" s="56"/>
      <c r="FL320" s="56"/>
      <c r="FM320" s="56"/>
      <c r="FN320" s="56"/>
      <c r="FO320" s="56"/>
      <c r="FP320" s="56"/>
      <c r="FQ320" s="56"/>
      <c r="FR320" s="56"/>
      <c r="FS320" s="56"/>
      <c r="FT320" s="56"/>
      <c r="FU320" s="56"/>
      <c r="FV320" s="56"/>
      <c r="FW320" s="56"/>
      <c r="FX320" s="56"/>
      <c r="FY320" s="56"/>
      <c r="FZ320" s="56"/>
      <c r="GA320" s="56"/>
      <c r="GB320" s="56"/>
      <c r="GC320" s="56"/>
      <c r="GD320" s="56"/>
      <c r="GE320" s="56"/>
      <c r="GF320" s="56"/>
      <c r="GG320" s="56"/>
      <c r="GH320" s="56"/>
      <c r="GI320" s="56"/>
      <c r="GJ320" s="56"/>
      <c r="GK320" s="56"/>
      <c r="GL320" s="56"/>
      <c r="GM320" s="56"/>
      <c r="GN320" s="56"/>
      <c r="GO320" s="56"/>
      <c r="GP320" s="56"/>
      <c r="GQ320" s="56"/>
      <c r="GR320" s="56"/>
      <c r="GS320" s="56"/>
      <c r="GT320" s="56"/>
      <c r="GU320" s="56"/>
      <c r="GV320" s="56"/>
      <c r="GW320" s="56"/>
      <c r="GX320" s="56"/>
      <c r="GY320" s="56"/>
      <c r="GZ320" s="56"/>
      <c r="HA320" s="56"/>
      <c r="HB320" s="56"/>
      <c r="HC320" s="56"/>
      <c r="HD320" s="56"/>
      <c r="HE320" s="56"/>
      <c r="HF320" s="56"/>
      <c r="HG320" s="56"/>
      <c r="HH320" s="56"/>
      <c r="HI320" s="56"/>
      <c r="HJ320" s="56"/>
    </row>
    <row r="321" spans="1:218" ht="15.75" customHeight="1" x14ac:dyDescent="0.2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  <c r="CL321" s="56"/>
      <c r="CM321" s="56"/>
      <c r="CN321" s="56"/>
      <c r="CO321" s="56"/>
      <c r="CP321" s="56"/>
      <c r="CQ321" s="56"/>
      <c r="CR321" s="56"/>
      <c r="CS321" s="56"/>
      <c r="CT321" s="56"/>
      <c r="CU321" s="56"/>
      <c r="CV321" s="56"/>
      <c r="CW321" s="56"/>
      <c r="CX321" s="56"/>
      <c r="CY321" s="56"/>
      <c r="CZ321" s="56"/>
      <c r="DA321" s="56"/>
      <c r="DB321" s="56"/>
      <c r="DC321" s="56"/>
      <c r="DD321" s="56"/>
      <c r="DE321" s="56"/>
      <c r="DF321" s="56"/>
      <c r="DG321" s="56"/>
      <c r="DH321" s="56"/>
      <c r="DI321" s="56"/>
      <c r="DJ321" s="56"/>
      <c r="DK321" s="56"/>
      <c r="DL321" s="56"/>
      <c r="DM321" s="56"/>
      <c r="DN321" s="56"/>
      <c r="DO321" s="56"/>
      <c r="DP321" s="56"/>
      <c r="DQ321" s="56"/>
      <c r="DR321" s="56"/>
      <c r="DS321" s="56"/>
      <c r="DT321" s="56"/>
      <c r="DU321" s="56"/>
      <c r="DV321" s="56"/>
      <c r="DW321" s="56"/>
      <c r="DX321" s="56"/>
      <c r="DY321" s="56"/>
      <c r="DZ321" s="56"/>
      <c r="EA321" s="56"/>
      <c r="EB321" s="56"/>
      <c r="EC321" s="56"/>
      <c r="ED321" s="56"/>
      <c r="EE321" s="56"/>
      <c r="EF321" s="56"/>
      <c r="EG321" s="56"/>
      <c r="EH321" s="56"/>
      <c r="EI321" s="56"/>
      <c r="EJ321" s="56"/>
      <c r="EK321" s="56"/>
      <c r="EL321" s="56"/>
      <c r="EM321" s="56"/>
      <c r="EN321" s="56"/>
      <c r="EO321" s="56"/>
      <c r="EP321" s="56"/>
      <c r="EQ321" s="56"/>
      <c r="ER321" s="56"/>
      <c r="ES321" s="56"/>
      <c r="ET321" s="56"/>
      <c r="EU321" s="56"/>
      <c r="EV321" s="56"/>
      <c r="EW321" s="56"/>
      <c r="EX321" s="56"/>
      <c r="EY321" s="56"/>
      <c r="EZ321" s="56"/>
      <c r="FA321" s="56"/>
      <c r="FB321" s="56"/>
      <c r="FC321" s="56"/>
      <c r="FD321" s="56"/>
      <c r="FE321" s="56"/>
      <c r="FF321" s="56"/>
      <c r="FG321" s="56"/>
      <c r="FH321" s="56"/>
      <c r="FI321" s="56"/>
      <c r="FJ321" s="56"/>
      <c r="FK321" s="56"/>
      <c r="FL321" s="56"/>
      <c r="FM321" s="56"/>
      <c r="FN321" s="56"/>
      <c r="FO321" s="56"/>
      <c r="FP321" s="56"/>
      <c r="FQ321" s="56"/>
      <c r="FR321" s="56"/>
      <c r="FS321" s="56"/>
      <c r="FT321" s="56"/>
      <c r="FU321" s="56"/>
      <c r="FV321" s="56"/>
      <c r="FW321" s="56"/>
      <c r="FX321" s="56"/>
      <c r="FY321" s="56"/>
      <c r="FZ321" s="56"/>
      <c r="GA321" s="56"/>
      <c r="GB321" s="56"/>
      <c r="GC321" s="56"/>
      <c r="GD321" s="56"/>
      <c r="GE321" s="56"/>
      <c r="GF321" s="56"/>
      <c r="GG321" s="56"/>
      <c r="GH321" s="56"/>
      <c r="GI321" s="56"/>
      <c r="GJ321" s="56"/>
      <c r="GK321" s="56"/>
      <c r="GL321" s="56"/>
      <c r="GM321" s="56"/>
      <c r="GN321" s="56"/>
      <c r="GO321" s="56"/>
      <c r="GP321" s="56"/>
      <c r="GQ321" s="56"/>
      <c r="GR321" s="56"/>
      <c r="GS321" s="56"/>
      <c r="GT321" s="56"/>
      <c r="GU321" s="56"/>
      <c r="GV321" s="56"/>
      <c r="GW321" s="56"/>
      <c r="GX321" s="56"/>
      <c r="GY321" s="56"/>
      <c r="GZ321" s="56"/>
      <c r="HA321" s="56"/>
      <c r="HB321" s="56"/>
      <c r="HC321" s="56"/>
      <c r="HD321" s="56"/>
      <c r="HE321" s="56"/>
      <c r="HF321" s="56"/>
      <c r="HG321" s="56"/>
      <c r="HH321" s="56"/>
      <c r="HI321" s="56"/>
      <c r="HJ321" s="56"/>
    </row>
    <row r="322" spans="1:218" ht="15.75" customHeight="1" x14ac:dyDescent="0.2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56"/>
      <c r="CP322" s="56"/>
      <c r="CQ322" s="56"/>
      <c r="CR322" s="56"/>
      <c r="CS322" s="56"/>
      <c r="CT322" s="56"/>
      <c r="CU322" s="56"/>
      <c r="CV322" s="56"/>
      <c r="CW322" s="56"/>
      <c r="CX322" s="56"/>
      <c r="CY322" s="56"/>
      <c r="CZ322" s="56"/>
      <c r="DA322" s="56"/>
      <c r="DB322" s="56"/>
      <c r="DC322" s="56"/>
      <c r="DD322" s="56"/>
      <c r="DE322" s="56"/>
      <c r="DF322" s="56"/>
      <c r="DG322" s="56"/>
      <c r="DH322" s="56"/>
      <c r="DI322" s="56"/>
      <c r="DJ322" s="56"/>
      <c r="DK322" s="56"/>
      <c r="DL322" s="56"/>
      <c r="DM322" s="56"/>
      <c r="DN322" s="56"/>
      <c r="DO322" s="56"/>
      <c r="DP322" s="56"/>
      <c r="DQ322" s="56"/>
      <c r="DR322" s="56"/>
      <c r="DS322" s="56"/>
      <c r="DT322" s="56"/>
      <c r="DU322" s="56"/>
      <c r="DV322" s="56"/>
      <c r="DW322" s="56"/>
      <c r="DX322" s="56"/>
      <c r="DY322" s="56"/>
      <c r="DZ322" s="56"/>
      <c r="EA322" s="56"/>
      <c r="EB322" s="56"/>
      <c r="EC322" s="56"/>
      <c r="ED322" s="56"/>
      <c r="EE322" s="56"/>
      <c r="EF322" s="56"/>
      <c r="EG322" s="56"/>
      <c r="EH322" s="56"/>
      <c r="EI322" s="56"/>
      <c r="EJ322" s="56"/>
      <c r="EK322" s="56"/>
      <c r="EL322" s="56"/>
      <c r="EM322" s="56"/>
      <c r="EN322" s="56"/>
      <c r="EO322" s="56"/>
      <c r="EP322" s="56"/>
      <c r="EQ322" s="56"/>
      <c r="ER322" s="56"/>
      <c r="ES322" s="56"/>
      <c r="ET322" s="56"/>
      <c r="EU322" s="56"/>
      <c r="EV322" s="56"/>
      <c r="EW322" s="56"/>
      <c r="EX322" s="56"/>
      <c r="EY322" s="56"/>
      <c r="EZ322" s="56"/>
      <c r="FA322" s="56"/>
      <c r="FB322" s="56"/>
      <c r="FC322" s="56"/>
      <c r="FD322" s="56"/>
      <c r="FE322" s="56"/>
      <c r="FF322" s="56"/>
      <c r="FG322" s="56"/>
      <c r="FH322" s="56"/>
      <c r="FI322" s="56"/>
      <c r="FJ322" s="56"/>
      <c r="FK322" s="56"/>
      <c r="FL322" s="56"/>
      <c r="FM322" s="56"/>
      <c r="FN322" s="56"/>
      <c r="FO322" s="56"/>
      <c r="FP322" s="56"/>
      <c r="FQ322" s="56"/>
      <c r="FR322" s="56"/>
      <c r="FS322" s="56"/>
      <c r="FT322" s="56"/>
      <c r="FU322" s="56"/>
      <c r="FV322" s="56"/>
      <c r="FW322" s="56"/>
      <c r="FX322" s="56"/>
      <c r="FY322" s="56"/>
      <c r="FZ322" s="56"/>
      <c r="GA322" s="56"/>
      <c r="GB322" s="56"/>
      <c r="GC322" s="56"/>
      <c r="GD322" s="56"/>
      <c r="GE322" s="56"/>
      <c r="GF322" s="56"/>
      <c r="GG322" s="56"/>
      <c r="GH322" s="56"/>
      <c r="GI322" s="56"/>
      <c r="GJ322" s="56"/>
      <c r="GK322" s="56"/>
      <c r="GL322" s="56"/>
      <c r="GM322" s="56"/>
      <c r="GN322" s="56"/>
      <c r="GO322" s="56"/>
      <c r="GP322" s="56"/>
      <c r="GQ322" s="56"/>
      <c r="GR322" s="56"/>
      <c r="GS322" s="56"/>
      <c r="GT322" s="56"/>
      <c r="GU322" s="56"/>
      <c r="GV322" s="56"/>
      <c r="GW322" s="56"/>
      <c r="GX322" s="56"/>
      <c r="GY322" s="56"/>
      <c r="GZ322" s="56"/>
      <c r="HA322" s="56"/>
      <c r="HB322" s="56"/>
      <c r="HC322" s="56"/>
      <c r="HD322" s="56"/>
      <c r="HE322" s="56"/>
      <c r="HF322" s="56"/>
      <c r="HG322" s="56"/>
      <c r="HH322" s="56"/>
      <c r="HI322" s="56"/>
      <c r="HJ322" s="56"/>
    </row>
    <row r="323" spans="1:218" ht="15.75" customHeight="1" x14ac:dyDescent="0.2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</row>
    <row r="324" spans="1:218" ht="15.75" customHeight="1" x14ac:dyDescent="0.2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56"/>
      <c r="CP324" s="56"/>
      <c r="CQ324" s="56"/>
      <c r="CR324" s="56"/>
      <c r="CS324" s="56"/>
      <c r="CT324" s="56"/>
      <c r="CU324" s="56"/>
      <c r="CV324" s="56"/>
      <c r="CW324" s="56"/>
      <c r="CX324" s="56"/>
      <c r="CY324" s="56"/>
      <c r="CZ324" s="56"/>
      <c r="DA324" s="56"/>
      <c r="DB324" s="56"/>
      <c r="DC324" s="56"/>
      <c r="DD324" s="56"/>
      <c r="DE324" s="56"/>
      <c r="DF324" s="56"/>
      <c r="DG324" s="56"/>
      <c r="DH324" s="56"/>
      <c r="DI324" s="56"/>
      <c r="DJ324" s="56"/>
      <c r="DK324" s="56"/>
      <c r="DL324" s="56"/>
      <c r="DM324" s="56"/>
      <c r="DN324" s="56"/>
      <c r="DO324" s="56"/>
      <c r="DP324" s="56"/>
      <c r="DQ324" s="56"/>
      <c r="DR324" s="56"/>
      <c r="DS324" s="56"/>
      <c r="DT324" s="56"/>
      <c r="DU324" s="56"/>
      <c r="DV324" s="56"/>
      <c r="DW324" s="56"/>
      <c r="DX324" s="56"/>
      <c r="DY324" s="56"/>
      <c r="DZ324" s="56"/>
      <c r="EA324" s="56"/>
      <c r="EB324" s="56"/>
      <c r="EC324" s="56"/>
      <c r="ED324" s="56"/>
      <c r="EE324" s="56"/>
      <c r="EF324" s="56"/>
      <c r="EG324" s="56"/>
      <c r="EH324" s="56"/>
      <c r="EI324" s="56"/>
      <c r="EJ324" s="56"/>
      <c r="EK324" s="56"/>
      <c r="EL324" s="56"/>
      <c r="EM324" s="56"/>
      <c r="EN324" s="56"/>
      <c r="EO324" s="56"/>
      <c r="EP324" s="56"/>
      <c r="EQ324" s="56"/>
      <c r="ER324" s="56"/>
      <c r="ES324" s="56"/>
      <c r="ET324" s="56"/>
      <c r="EU324" s="56"/>
      <c r="EV324" s="56"/>
      <c r="EW324" s="56"/>
      <c r="EX324" s="56"/>
      <c r="EY324" s="56"/>
      <c r="EZ324" s="56"/>
      <c r="FA324" s="56"/>
      <c r="FB324" s="56"/>
      <c r="FC324" s="56"/>
      <c r="FD324" s="56"/>
      <c r="FE324" s="56"/>
      <c r="FF324" s="56"/>
      <c r="FG324" s="56"/>
      <c r="FH324" s="56"/>
      <c r="FI324" s="56"/>
      <c r="FJ324" s="56"/>
      <c r="FK324" s="56"/>
      <c r="FL324" s="56"/>
      <c r="FM324" s="56"/>
      <c r="FN324" s="56"/>
      <c r="FO324" s="56"/>
      <c r="FP324" s="56"/>
      <c r="FQ324" s="56"/>
      <c r="FR324" s="56"/>
      <c r="FS324" s="56"/>
      <c r="FT324" s="56"/>
      <c r="FU324" s="56"/>
      <c r="FV324" s="56"/>
      <c r="FW324" s="56"/>
      <c r="FX324" s="56"/>
      <c r="FY324" s="56"/>
      <c r="FZ324" s="56"/>
      <c r="GA324" s="56"/>
      <c r="GB324" s="56"/>
      <c r="GC324" s="56"/>
      <c r="GD324" s="56"/>
      <c r="GE324" s="56"/>
      <c r="GF324" s="56"/>
      <c r="GG324" s="56"/>
      <c r="GH324" s="56"/>
      <c r="GI324" s="56"/>
      <c r="GJ324" s="56"/>
      <c r="GK324" s="56"/>
      <c r="GL324" s="56"/>
      <c r="GM324" s="56"/>
      <c r="GN324" s="56"/>
      <c r="GO324" s="56"/>
      <c r="GP324" s="56"/>
      <c r="GQ324" s="56"/>
      <c r="GR324" s="56"/>
      <c r="GS324" s="56"/>
      <c r="GT324" s="56"/>
      <c r="GU324" s="56"/>
      <c r="GV324" s="56"/>
      <c r="GW324" s="56"/>
      <c r="GX324" s="56"/>
      <c r="GY324" s="56"/>
      <c r="GZ324" s="56"/>
      <c r="HA324" s="56"/>
      <c r="HB324" s="56"/>
      <c r="HC324" s="56"/>
      <c r="HD324" s="56"/>
      <c r="HE324" s="56"/>
      <c r="HF324" s="56"/>
      <c r="HG324" s="56"/>
      <c r="HH324" s="56"/>
      <c r="HI324" s="56"/>
      <c r="HJ324" s="56"/>
    </row>
    <row r="325" spans="1:218" ht="15.75" customHeight="1" x14ac:dyDescent="0.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  <c r="CL325" s="56"/>
      <c r="CM325" s="56"/>
      <c r="CN325" s="56"/>
      <c r="CO325" s="56"/>
      <c r="CP325" s="56"/>
      <c r="CQ325" s="56"/>
      <c r="CR325" s="56"/>
      <c r="CS325" s="56"/>
      <c r="CT325" s="56"/>
      <c r="CU325" s="56"/>
      <c r="CV325" s="56"/>
      <c r="CW325" s="56"/>
      <c r="CX325" s="56"/>
      <c r="CY325" s="56"/>
      <c r="CZ325" s="56"/>
      <c r="DA325" s="56"/>
      <c r="DB325" s="56"/>
      <c r="DC325" s="56"/>
      <c r="DD325" s="56"/>
      <c r="DE325" s="56"/>
      <c r="DF325" s="56"/>
      <c r="DG325" s="56"/>
      <c r="DH325" s="56"/>
      <c r="DI325" s="56"/>
      <c r="DJ325" s="56"/>
      <c r="DK325" s="56"/>
      <c r="DL325" s="56"/>
      <c r="DM325" s="56"/>
      <c r="DN325" s="56"/>
      <c r="DO325" s="56"/>
      <c r="DP325" s="56"/>
      <c r="DQ325" s="56"/>
      <c r="DR325" s="56"/>
      <c r="DS325" s="56"/>
      <c r="DT325" s="56"/>
      <c r="DU325" s="56"/>
      <c r="DV325" s="56"/>
      <c r="DW325" s="56"/>
      <c r="DX325" s="56"/>
      <c r="DY325" s="56"/>
      <c r="DZ325" s="56"/>
      <c r="EA325" s="56"/>
      <c r="EB325" s="56"/>
      <c r="EC325" s="56"/>
      <c r="ED325" s="56"/>
      <c r="EE325" s="56"/>
      <c r="EF325" s="56"/>
      <c r="EG325" s="56"/>
      <c r="EH325" s="56"/>
      <c r="EI325" s="56"/>
      <c r="EJ325" s="56"/>
      <c r="EK325" s="56"/>
      <c r="EL325" s="56"/>
      <c r="EM325" s="56"/>
      <c r="EN325" s="56"/>
      <c r="EO325" s="56"/>
      <c r="EP325" s="56"/>
      <c r="EQ325" s="56"/>
      <c r="ER325" s="56"/>
      <c r="ES325" s="56"/>
      <c r="ET325" s="56"/>
      <c r="EU325" s="56"/>
      <c r="EV325" s="56"/>
      <c r="EW325" s="56"/>
      <c r="EX325" s="56"/>
      <c r="EY325" s="56"/>
      <c r="EZ325" s="56"/>
      <c r="FA325" s="56"/>
      <c r="FB325" s="56"/>
      <c r="FC325" s="56"/>
      <c r="FD325" s="56"/>
      <c r="FE325" s="56"/>
      <c r="FF325" s="56"/>
      <c r="FG325" s="56"/>
      <c r="FH325" s="56"/>
      <c r="FI325" s="56"/>
      <c r="FJ325" s="56"/>
      <c r="FK325" s="56"/>
      <c r="FL325" s="56"/>
      <c r="FM325" s="56"/>
      <c r="FN325" s="56"/>
      <c r="FO325" s="56"/>
      <c r="FP325" s="56"/>
      <c r="FQ325" s="56"/>
      <c r="FR325" s="56"/>
      <c r="FS325" s="56"/>
      <c r="FT325" s="56"/>
      <c r="FU325" s="56"/>
      <c r="FV325" s="56"/>
      <c r="FW325" s="56"/>
      <c r="FX325" s="56"/>
      <c r="FY325" s="56"/>
      <c r="FZ325" s="56"/>
      <c r="GA325" s="56"/>
      <c r="GB325" s="56"/>
      <c r="GC325" s="56"/>
      <c r="GD325" s="56"/>
      <c r="GE325" s="56"/>
      <c r="GF325" s="56"/>
      <c r="GG325" s="56"/>
      <c r="GH325" s="56"/>
      <c r="GI325" s="56"/>
      <c r="GJ325" s="56"/>
      <c r="GK325" s="56"/>
      <c r="GL325" s="56"/>
      <c r="GM325" s="56"/>
      <c r="GN325" s="56"/>
      <c r="GO325" s="56"/>
      <c r="GP325" s="56"/>
      <c r="GQ325" s="56"/>
      <c r="GR325" s="56"/>
      <c r="GS325" s="56"/>
      <c r="GT325" s="56"/>
      <c r="GU325" s="56"/>
      <c r="GV325" s="56"/>
      <c r="GW325" s="56"/>
      <c r="GX325" s="56"/>
      <c r="GY325" s="56"/>
      <c r="GZ325" s="56"/>
      <c r="HA325" s="56"/>
      <c r="HB325" s="56"/>
      <c r="HC325" s="56"/>
      <c r="HD325" s="56"/>
      <c r="HE325" s="56"/>
      <c r="HF325" s="56"/>
      <c r="HG325" s="56"/>
      <c r="HH325" s="56"/>
      <c r="HI325" s="56"/>
      <c r="HJ325" s="56"/>
    </row>
    <row r="326" spans="1:218" ht="15.75" customHeight="1" x14ac:dyDescent="0.2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  <c r="CL326" s="56"/>
      <c r="CM326" s="56"/>
      <c r="CN326" s="56"/>
      <c r="CO326" s="56"/>
      <c r="CP326" s="56"/>
      <c r="CQ326" s="56"/>
      <c r="CR326" s="56"/>
      <c r="CS326" s="56"/>
      <c r="CT326" s="56"/>
      <c r="CU326" s="56"/>
      <c r="CV326" s="56"/>
      <c r="CW326" s="56"/>
      <c r="CX326" s="56"/>
      <c r="CY326" s="56"/>
      <c r="CZ326" s="56"/>
      <c r="DA326" s="56"/>
      <c r="DB326" s="56"/>
      <c r="DC326" s="56"/>
      <c r="DD326" s="56"/>
      <c r="DE326" s="56"/>
      <c r="DF326" s="56"/>
      <c r="DG326" s="56"/>
      <c r="DH326" s="56"/>
      <c r="DI326" s="56"/>
      <c r="DJ326" s="56"/>
      <c r="DK326" s="56"/>
      <c r="DL326" s="56"/>
      <c r="DM326" s="56"/>
      <c r="DN326" s="56"/>
      <c r="DO326" s="56"/>
      <c r="DP326" s="56"/>
      <c r="DQ326" s="56"/>
      <c r="DR326" s="56"/>
      <c r="DS326" s="56"/>
      <c r="DT326" s="56"/>
      <c r="DU326" s="56"/>
      <c r="DV326" s="56"/>
      <c r="DW326" s="56"/>
      <c r="DX326" s="56"/>
      <c r="DY326" s="56"/>
      <c r="DZ326" s="56"/>
      <c r="EA326" s="56"/>
      <c r="EB326" s="56"/>
      <c r="EC326" s="56"/>
      <c r="ED326" s="56"/>
      <c r="EE326" s="56"/>
      <c r="EF326" s="56"/>
      <c r="EG326" s="56"/>
      <c r="EH326" s="56"/>
      <c r="EI326" s="56"/>
      <c r="EJ326" s="56"/>
      <c r="EK326" s="56"/>
      <c r="EL326" s="56"/>
      <c r="EM326" s="56"/>
      <c r="EN326" s="56"/>
      <c r="EO326" s="56"/>
      <c r="EP326" s="56"/>
      <c r="EQ326" s="56"/>
      <c r="ER326" s="56"/>
      <c r="ES326" s="56"/>
      <c r="ET326" s="56"/>
      <c r="EU326" s="56"/>
      <c r="EV326" s="56"/>
      <c r="EW326" s="56"/>
      <c r="EX326" s="56"/>
      <c r="EY326" s="56"/>
      <c r="EZ326" s="56"/>
      <c r="FA326" s="56"/>
      <c r="FB326" s="56"/>
      <c r="FC326" s="56"/>
      <c r="FD326" s="56"/>
      <c r="FE326" s="56"/>
      <c r="FF326" s="56"/>
      <c r="FG326" s="56"/>
      <c r="FH326" s="56"/>
      <c r="FI326" s="56"/>
      <c r="FJ326" s="56"/>
      <c r="FK326" s="56"/>
      <c r="FL326" s="56"/>
      <c r="FM326" s="56"/>
      <c r="FN326" s="56"/>
      <c r="FO326" s="56"/>
      <c r="FP326" s="56"/>
      <c r="FQ326" s="56"/>
      <c r="FR326" s="56"/>
      <c r="FS326" s="56"/>
      <c r="FT326" s="56"/>
      <c r="FU326" s="56"/>
      <c r="FV326" s="56"/>
      <c r="FW326" s="56"/>
      <c r="FX326" s="56"/>
      <c r="FY326" s="56"/>
      <c r="FZ326" s="56"/>
      <c r="GA326" s="56"/>
      <c r="GB326" s="56"/>
      <c r="GC326" s="56"/>
      <c r="GD326" s="56"/>
      <c r="GE326" s="56"/>
      <c r="GF326" s="56"/>
      <c r="GG326" s="56"/>
      <c r="GH326" s="56"/>
      <c r="GI326" s="56"/>
      <c r="GJ326" s="56"/>
      <c r="GK326" s="56"/>
      <c r="GL326" s="56"/>
      <c r="GM326" s="56"/>
      <c r="GN326" s="56"/>
      <c r="GO326" s="56"/>
      <c r="GP326" s="56"/>
      <c r="GQ326" s="56"/>
      <c r="GR326" s="56"/>
      <c r="GS326" s="56"/>
      <c r="GT326" s="56"/>
      <c r="GU326" s="56"/>
      <c r="GV326" s="56"/>
      <c r="GW326" s="56"/>
      <c r="GX326" s="56"/>
      <c r="GY326" s="56"/>
      <c r="GZ326" s="56"/>
      <c r="HA326" s="56"/>
      <c r="HB326" s="56"/>
      <c r="HC326" s="56"/>
      <c r="HD326" s="56"/>
      <c r="HE326" s="56"/>
      <c r="HF326" s="56"/>
      <c r="HG326" s="56"/>
      <c r="HH326" s="56"/>
      <c r="HI326" s="56"/>
      <c r="HJ326" s="56"/>
    </row>
    <row r="327" spans="1:218" ht="15.75" customHeight="1" x14ac:dyDescent="0.2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  <c r="CL327" s="56"/>
      <c r="CM327" s="56"/>
      <c r="CN327" s="56"/>
      <c r="CO327" s="56"/>
      <c r="CP327" s="56"/>
      <c r="CQ327" s="56"/>
      <c r="CR327" s="56"/>
      <c r="CS327" s="56"/>
      <c r="CT327" s="56"/>
      <c r="CU327" s="56"/>
      <c r="CV327" s="56"/>
      <c r="CW327" s="56"/>
      <c r="CX327" s="56"/>
      <c r="CY327" s="56"/>
      <c r="CZ327" s="56"/>
      <c r="DA327" s="56"/>
      <c r="DB327" s="56"/>
      <c r="DC327" s="56"/>
      <c r="DD327" s="56"/>
      <c r="DE327" s="56"/>
      <c r="DF327" s="56"/>
      <c r="DG327" s="56"/>
      <c r="DH327" s="56"/>
      <c r="DI327" s="56"/>
      <c r="DJ327" s="56"/>
      <c r="DK327" s="56"/>
      <c r="DL327" s="56"/>
      <c r="DM327" s="56"/>
      <c r="DN327" s="56"/>
      <c r="DO327" s="56"/>
      <c r="DP327" s="56"/>
      <c r="DQ327" s="56"/>
      <c r="DR327" s="56"/>
      <c r="DS327" s="56"/>
      <c r="DT327" s="56"/>
      <c r="DU327" s="56"/>
      <c r="DV327" s="56"/>
      <c r="DW327" s="56"/>
      <c r="DX327" s="56"/>
      <c r="DY327" s="56"/>
      <c r="DZ327" s="56"/>
      <c r="EA327" s="56"/>
      <c r="EB327" s="56"/>
      <c r="EC327" s="56"/>
      <c r="ED327" s="56"/>
      <c r="EE327" s="56"/>
      <c r="EF327" s="56"/>
      <c r="EG327" s="56"/>
      <c r="EH327" s="56"/>
      <c r="EI327" s="56"/>
      <c r="EJ327" s="56"/>
      <c r="EK327" s="56"/>
      <c r="EL327" s="56"/>
      <c r="EM327" s="56"/>
      <c r="EN327" s="56"/>
      <c r="EO327" s="56"/>
      <c r="EP327" s="56"/>
      <c r="EQ327" s="56"/>
      <c r="ER327" s="56"/>
      <c r="ES327" s="56"/>
      <c r="ET327" s="56"/>
      <c r="EU327" s="56"/>
      <c r="EV327" s="56"/>
      <c r="EW327" s="56"/>
      <c r="EX327" s="56"/>
      <c r="EY327" s="56"/>
      <c r="EZ327" s="56"/>
      <c r="FA327" s="56"/>
      <c r="FB327" s="56"/>
      <c r="FC327" s="56"/>
      <c r="FD327" s="56"/>
      <c r="FE327" s="56"/>
      <c r="FF327" s="56"/>
      <c r="FG327" s="56"/>
      <c r="FH327" s="56"/>
      <c r="FI327" s="56"/>
      <c r="FJ327" s="56"/>
      <c r="FK327" s="56"/>
      <c r="FL327" s="56"/>
      <c r="FM327" s="56"/>
      <c r="FN327" s="56"/>
      <c r="FO327" s="56"/>
      <c r="FP327" s="56"/>
      <c r="FQ327" s="56"/>
      <c r="FR327" s="56"/>
      <c r="FS327" s="56"/>
      <c r="FT327" s="56"/>
      <c r="FU327" s="56"/>
      <c r="FV327" s="56"/>
      <c r="FW327" s="56"/>
      <c r="FX327" s="56"/>
      <c r="FY327" s="56"/>
      <c r="FZ327" s="56"/>
      <c r="GA327" s="56"/>
      <c r="GB327" s="56"/>
      <c r="GC327" s="56"/>
      <c r="GD327" s="56"/>
      <c r="GE327" s="56"/>
      <c r="GF327" s="56"/>
      <c r="GG327" s="56"/>
      <c r="GH327" s="56"/>
      <c r="GI327" s="56"/>
      <c r="GJ327" s="56"/>
      <c r="GK327" s="56"/>
      <c r="GL327" s="56"/>
      <c r="GM327" s="56"/>
      <c r="GN327" s="56"/>
      <c r="GO327" s="56"/>
      <c r="GP327" s="56"/>
      <c r="GQ327" s="56"/>
      <c r="GR327" s="56"/>
      <c r="GS327" s="56"/>
      <c r="GT327" s="56"/>
      <c r="GU327" s="56"/>
      <c r="GV327" s="56"/>
      <c r="GW327" s="56"/>
      <c r="GX327" s="56"/>
      <c r="GY327" s="56"/>
      <c r="GZ327" s="56"/>
      <c r="HA327" s="56"/>
      <c r="HB327" s="56"/>
      <c r="HC327" s="56"/>
      <c r="HD327" s="56"/>
      <c r="HE327" s="56"/>
      <c r="HF327" s="56"/>
      <c r="HG327" s="56"/>
      <c r="HH327" s="56"/>
      <c r="HI327" s="56"/>
      <c r="HJ327" s="56"/>
    </row>
    <row r="328" spans="1:218" ht="15.75" customHeight="1" x14ac:dyDescent="0.2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  <c r="CS328" s="56"/>
      <c r="CT328" s="56"/>
      <c r="CU328" s="56"/>
      <c r="CV328" s="56"/>
      <c r="CW328" s="56"/>
      <c r="CX328" s="56"/>
      <c r="CY328" s="56"/>
      <c r="CZ328" s="56"/>
      <c r="DA328" s="56"/>
      <c r="DB328" s="56"/>
      <c r="DC328" s="56"/>
      <c r="DD328" s="56"/>
      <c r="DE328" s="56"/>
      <c r="DF328" s="56"/>
      <c r="DG328" s="56"/>
      <c r="DH328" s="56"/>
      <c r="DI328" s="56"/>
      <c r="DJ328" s="56"/>
      <c r="DK328" s="56"/>
      <c r="DL328" s="56"/>
      <c r="DM328" s="56"/>
      <c r="DN328" s="56"/>
      <c r="DO328" s="56"/>
      <c r="DP328" s="56"/>
      <c r="DQ328" s="56"/>
      <c r="DR328" s="56"/>
      <c r="DS328" s="56"/>
      <c r="DT328" s="56"/>
      <c r="DU328" s="56"/>
      <c r="DV328" s="56"/>
      <c r="DW328" s="56"/>
      <c r="DX328" s="56"/>
      <c r="DY328" s="56"/>
      <c r="DZ328" s="56"/>
      <c r="EA328" s="56"/>
      <c r="EB328" s="56"/>
      <c r="EC328" s="56"/>
      <c r="ED328" s="56"/>
      <c r="EE328" s="56"/>
      <c r="EF328" s="56"/>
      <c r="EG328" s="56"/>
      <c r="EH328" s="56"/>
      <c r="EI328" s="56"/>
      <c r="EJ328" s="56"/>
      <c r="EK328" s="56"/>
      <c r="EL328" s="56"/>
      <c r="EM328" s="56"/>
      <c r="EN328" s="56"/>
      <c r="EO328" s="56"/>
      <c r="EP328" s="56"/>
      <c r="EQ328" s="56"/>
      <c r="ER328" s="56"/>
      <c r="ES328" s="56"/>
      <c r="ET328" s="56"/>
      <c r="EU328" s="56"/>
      <c r="EV328" s="56"/>
      <c r="EW328" s="56"/>
      <c r="EX328" s="56"/>
      <c r="EY328" s="56"/>
      <c r="EZ328" s="56"/>
      <c r="FA328" s="56"/>
      <c r="FB328" s="56"/>
      <c r="FC328" s="56"/>
      <c r="FD328" s="56"/>
      <c r="FE328" s="56"/>
      <c r="FF328" s="56"/>
      <c r="FG328" s="56"/>
      <c r="FH328" s="56"/>
      <c r="FI328" s="56"/>
      <c r="FJ328" s="56"/>
      <c r="FK328" s="56"/>
      <c r="FL328" s="56"/>
      <c r="FM328" s="56"/>
      <c r="FN328" s="56"/>
      <c r="FO328" s="56"/>
      <c r="FP328" s="56"/>
      <c r="FQ328" s="56"/>
      <c r="FR328" s="56"/>
      <c r="FS328" s="56"/>
      <c r="FT328" s="56"/>
      <c r="FU328" s="56"/>
      <c r="FV328" s="56"/>
      <c r="FW328" s="56"/>
      <c r="FX328" s="56"/>
      <c r="FY328" s="56"/>
      <c r="FZ328" s="56"/>
      <c r="GA328" s="56"/>
      <c r="GB328" s="56"/>
      <c r="GC328" s="56"/>
      <c r="GD328" s="56"/>
      <c r="GE328" s="56"/>
      <c r="GF328" s="56"/>
      <c r="GG328" s="56"/>
      <c r="GH328" s="56"/>
      <c r="GI328" s="56"/>
      <c r="GJ328" s="56"/>
      <c r="GK328" s="56"/>
      <c r="GL328" s="56"/>
      <c r="GM328" s="56"/>
      <c r="GN328" s="56"/>
      <c r="GO328" s="56"/>
      <c r="GP328" s="56"/>
      <c r="GQ328" s="56"/>
      <c r="GR328" s="56"/>
      <c r="GS328" s="56"/>
      <c r="GT328" s="56"/>
      <c r="GU328" s="56"/>
      <c r="GV328" s="56"/>
      <c r="GW328" s="56"/>
      <c r="GX328" s="56"/>
      <c r="GY328" s="56"/>
      <c r="GZ328" s="56"/>
      <c r="HA328" s="56"/>
      <c r="HB328" s="56"/>
      <c r="HC328" s="56"/>
      <c r="HD328" s="56"/>
      <c r="HE328" s="56"/>
      <c r="HF328" s="56"/>
      <c r="HG328" s="56"/>
      <c r="HH328" s="56"/>
      <c r="HI328" s="56"/>
      <c r="HJ328" s="56"/>
    </row>
    <row r="329" spans="1:218" ht="15.75" customHeight="1" x14ac:dyDescent="0.2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6"/>
      <c r="CV329" s="56"/>
      <c r="CW329" s="56"/>
      <c r="CX329" s="56"/>
      <c r="CY329" s="56"/>
      <c r="CZ329" s="56"/>
      <c r="DA329" s="56"/>
      <c r="DB329" s="56"/>
      <c r="DC329" s="56"/>
      <c r="DD329" s="56"/>
      <c r="DE329" s="56"/>
      <c r="DF329" s="56"/>
      <c r="DG329" s="56"/>
      <c r="DH329" s="56"/>
      <c r="DI329" s="56"/>
      <c r="DJ329" s="56"/>
      <c r="DK329" s="56"/>
      <c r="DL329" s="56"/>
      <c r="DM329" s="56"/>
      <c r="DN329" s="56"/>
      <c r="DO329" s="56"/>
      <c r="DP329" s="56"/>
      <c r="DQ329" s="56"/>
      <c r="DR329" s="56"/>
      <c r="DS329" s="56"/>
      <c r="DT329" s="56"/>
      <c r="DU329" s="56"/>
      <c r="DV329" s="56"/>
      <c r="DW329" s="56"/>
      <c r="DX329" s="56"/>
      <c r="DY329" s="56"/>
      <c r="DZ329" s="56"/>
      <c r="EA329" s="56"/>
      <c r="EB329" s="56"/>
      <c r="EC329" s="56"/>
      <c r="ED329" s="56"/>
      <c r="EE329" s="56"/>
      <c r="EF329" s="56"/>
      <c r="EG329" s="56"/>
      <c r="EH329" s="56"/>
      <c r="EI329" s="56"/>
      <c r="EJ329" s="56"/>
      <c r="EK329" s="56"/>
      <c r="EL329" s="56"/>
      <c r="EM329" s="56"/>
      <c r="EN329" s="56"/>
      <c r="EO329" s="56"/>
      <c r="EP329" s="56"/>
      <c r="EQ329" s="56"/>
      <c r="ER329" s="56"/>
      <c r="ES329" s="56"/>
      <c r="ET329" s="56"/>
      <c r="EU329" s="56"/>
      <c r="EV329" s="56"/>
      <c r="EW329" s="56"/>
      <c r="EX329" s="56"/>
      <c r="EY329" s="56"/>
      <c r="EZ329" s="56"/>
      <c r="FA329" s="56"/>
      <c r="FB329" s="56"/>
      <c r="FC329" s="56"/>
      <c r="FD329" s="56"/>
      <c r="FE329" s="56"/>
      <c r="FF329" s="56"/>
      <c r="FG329" s="56"/>
      <c r="FH329" s="56"/>
      <c r="FI329" s="56"/>
      <c r="FJ329" s="56"/>
      <c r="FK329" s="56"/>
      <c r="FL329" s="56"/>
      <c r="FM329" s="56"/>
      <c r="FN329" s="56"/>
      <c r="FO329" s="56"/>
      <c r="FP329" s="56"/>
      <c r="FQ329" s="56"/>
      <c r="FR329" s="56"/>
      <c r="FS329" s="56"/>
      <c r="FT329" s="56"/>
      <c r="FU329" s="56"/>
      <c r="FV329" s="56"/>
      <c r="FW329" s="56"/>
      <c r="FX329" s="56"/>
      <c r="FY329" s="56"/>
      <c r="FZ329" s="56"/>
      <c r="GA329" s="56"/>
      <c r="GB329" s="56"/>
      <c r="GC329" s="56"/>
      <c r="GD329" s="56"/>
      <c r="GE329" s="56"/>
      <c r="GF329" s="56"/>
      <c r="GG329" s="56"/>
      <c r="GH329" s="56"/>
      <c r="GI329" s="56"/>
      <c r="GJ329" s="56"/>
      <c r="GK329" s="56"/>
      <c r="GL329" s="56"/>
      <c r="GM329" s="56"/>
      <c r="GN329" s="56"/>
      <c r="GO329" s="56"/>
      <c r="GP329" s="56"/>
      <c r="GQ329" s="56"/>
      <c r="GR329" s="56"/>
      <c r="GS329" s="56"/>
      <c r="GT329" s="56"/>
      <c r="GU329" s="56"/>
      <c r="GV329" s="56"/>
      <c r="GW329" s="56"/>
      <c r="GX329" s="56"/>
      <c r="GY329" s="56"/>
      <c r="GZ329" s="56"/>
      <c r="HA329" s="56"/>
      <c r="HB329" s="56"/>
      <c r="HC329" s="56"/>
      <c r="HD329" s="56"/>
      <c r="HE329" s="56"/>
      <c r="HF329" s="56"/>
      <c r="HG329" s="56"/>
      <c r="HH329" s="56"/>
      <c r="HI329" s="56"/>
      <c r="HJ329" s="56"/>
    </row>
    <row r="330" spans="1:218" ht="15.75" customHeight="1" x14ac:dyDescent="0.2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  <c r="CL330" s="56"/>
      <c r="CM330" s="56"/>
      <c r="CN330" s="56"/>
      <c r="CO330" s="56"/>
      <c r="CP330" s="56"/>
      <c r="CQ330" s="56"/>
      <c r="CR330" s="56"/>
      <c r="CS330" s="56"/>
      <c r="CT330" s="56"/>
      <c r="CU330" s="56"/>
      <c r="CV330" s="56"/>
      <c r="CW330" s="56"/>
      <c r="CX330" s="56"/>
      <c r="CY330" s="56"/>
      <c r="CZ330" s="56"/>
      <c r="DA330" s="56"/>
      <c r="DB330" s="56"/>
      <c r="DC330" s="56"/>
      <c r="DD330" s="56"/>
      <c r="DE330" s="56"/>
      <c r="DF330" s="56"/>
      <c r="DG330" s="56"/>
      <c r="DH330" s="56"/>
      <c r="DI330" s="56"/>
      <c r="DJ330" s="56"/>
      <c r="DK330" s="56"/>
      <c r="DL330" s="56"/>
      <c r="DM330" s="56"/>
      <c r="DN330" s="56"/>
      <c r="DO330" s="56"/>
      <c r="DP330" s="56"/>
      <c r="DQ330" s="56"/>
      <c r="DR330" s="56"/>
      <c r="DS330" s="56"/>
      <c r="DT330" s="56"/>
      <c r="DU330" s="56"/>
      <c r="DV330" s="56"/>
      <c r="DW330" s="56"/>
      <c r="DX330" s="56"/>
      <c r="DY330" s="56"/>
      <c r="DZ330" s="56"/>
      <c r="EA330" s="56"/>
      <c r="EB330" s="56"/>
      <c r="EC330" s="56"/>
      <c r="ED330" s="56"/>
      <c r="EE330" s="56"/>
      <c r="EF330" s="56"/>
      <c r="EG330" s="56"/>
      <c r="EH330" s="56"/>
      <c r="EI330" s="56"/>
      <c r="EJ330" s="56"/>
      <c r="EK330" s="56"/>
      <c r="EL330" s="56"/>
      <c r="EM330" s="56"/>
      <c r="EN330" s="56"/>
      <c r="EO330" s="56"/>
      <c r="EP330" s="56"/>
      <c r="EQ330" s="56"/>
      <c r="ER330" s="56"/>
      <c r="ES330" s="56"/>
      <c r="ET330" s="56"/>
      <c r="EU330" s="56"/>
      <c r="EV330" s="56"/>
      <c r="EW330" s="56"/>
      <c r="EX330" s="56"/>
      <c r="EY330" s="56"/>
      <c r="EZ330" s="56"/>
      <c r="FA330" s="56"/>
      <c r="FB330" s="56"/>
      <c r="FC330" s="56"/>
      <c r="FD330" s="56"/>
      <c r="FE330" s="56"/>
      <c r="FF330" s="56"/>
      <c r="FG330" s="56"/>
      <c r="FH330" s="56"/>
      <c r="FI330" s="56"/>
      <c r="FJ330" s="56"/>
      <c r="FK330" s="56"/>
      <c r="FL330" s="56"/>
      <c r="FM330" s="56"/>
      <c r="FN330" s="56"/>
      <c r="FO330" s="56"/>
      <c r="FP330" s="56"/>
      <c r="FQ330" s="56"/>
      <c r="FR330" s="56"/>
      <c r="FS330" s="56"/>
      <c r="FT330" s="56"/>
      <c r="FU330" s="56"/>
      <c r="FV330" s="56"/>
      <c r="FW330" s="56"/>
      <c r="FX330" s="56"/>
      <c r="FY330" s="56"/>
      <c r="FZ330" s="56"/>
      <c r="GA330" s="56"/>
      <c r="GB330" s="56"/>
      <c r="GC330" s="56"/>
      <c r="GD330" s="56"/>
      <c r="GE330" s="56"/>
      <c r="GF330" s="56"/>
      <c r="GG330" s="56"/>
      <c r="GH330" s="56"/>
      <c r="GI330" s="56"/>
      <c r="GJ330" s="56"/>
      <c r="GK330" s="56"/>
      <c r="GL330" s="56"/>
      <c r="GM330" s="56"/>
      <c r="GN330" s="56"/>
      <c r="GO330" s="56"/>
      <c r="GP330" s="56"/>
      <c r="GQ330" s="56"/>
      <c r="GR330" s="56"/>
      <c r="GS330" s="56"/>
      <c r="GT330" s="56"/>
      <c r="GU330" s="56"/>
      <c r="GV330" s="56"/>
      <c r="GW330" s="56"/>
      <c r="GX330" s="56"/>
      <c r="GY330" s="56"/>
      <c r="GZ330" s="56"/>
      <c r="HA330" s="56"/>
      <c r="HB330" s="56"/>
      <c r="HC330" s="56"/>
      <c r="HD330" s="56"/>
      <c r="HE330" s="56"/>
      <c r="HF330" s="56"/>
      <c r="HG330" s="56"/>
      <c r="HH330" s="56"/>
      <c r="HI330" s="56"/>
      <c r="HJ330" s="56"/>
    </row>
    <row r="331" spans="1:218" ht="15.75" customHeight="1" x14ac:dyDescent="0.2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  <c r="CL331" s="56"/>
      <c r="CM331" s="56"/>
      <c r="CN331" s="56"/>
      <c r="CO331" s="56"/>
      <c r="CP331" s="56"/>
      <c r="CQ331" s="56"/>
      <c r="CR331" s="56"/>
      <c r="CS331" s="56"/>
      <c r="CT331" s="56"/>
      <c r="CU331" s="56"/>
      <c r="CV331" s="56"/>
      <c r="CW331" s="56"/>
      <c r="CX331" s="56"/>
      <c r="CY331" s="56"/>
      <c r="CZ331" s="56"/>
      <c r="DA331" s="56"/>
      <c r="DB331" s="56"/>
      <c r="DC331" s="56"/>
      <c r="DD331" s="56"/>
      <c r="DE331" s="56"/>
      <c r="DF331" s="56"/>
      <c r="DG331" s="56"/>
      <c r="DH331" s="56"/>
      <c r="DI331" s="56"/>
      <c r="DJ331" s="56"/>
      <c r="DK331" s="56"/>
      <c r="DL331" s="56"/>
      <c r="DM331" s="56"/>
      <c r="DN331" s="56"/>
      <c r="DO331" s="56"/>
      <c r="DP331" s="56"/>
      <c r="DQ331" s="56"/>
      <c r="DR331" s="56"/>
      <c r="DS331" s="56"/>
      <c r="DT331" s="56"/>
      <c r="DU331" s="56"/>
      <c r="DV331" s="56"/>
      <c r="DW331" s="56"/>
      <c r="DX331" s="56"/>
      <c r="DY331" s="56"/>
      <c r="DZ331" s="56"/>
      <c r="EA331" s="56"/>
      <c r="EB331" s="56"/>
      <c r="EC331" s="56"/>
      <c r="ED331" s="56"/>
      <c r="EE331" s="56"/>
      <c r="EF331" s="56"/>
      <c r="EG331" s="56"/>
      <c r="EH331" s="56"/>
      <c r="EI331" s="56"/>
      <c r="EJ331" s="56"/>
      <c r="EK331" s="56"/>
      <c r="EL331" s="56"/>
      <c r="EM331" s="56"/>
      <c r="EN331" s="56"/>
      <c r="EO331" s="56"/>
      <c r="EP331" s="56"/>
      <c r="EQ331" s="56"/>
      <c r="ER331" s="56"/>
      <c r="ES331" s="56"/>
      <c r="ET331" s="56"/>
      <c r="EU331" s="56"/>
      <c r="EV331" s="56"/>
      <c r="EW331" s="56"/>
      <c r="EX331" s="56"/>
      <c r="EY331" s="56"/>
      <c r="EZ331" s="56"/>
      <c r="FA331" s="56"/>
      <c r="FB331" s="56"/>
      <c r="FC331" s="56"/>
      <c r="FD331" s="56"/>
      <c r="FE331" s="56"/>
      <c r="FF331" s="56"/>
      <c r="FG331" s="56"/>
      <c r="FH331" s="56"/>
      <c r="FI331" s="56"/>
      <c r="FJ331" s="56"/>
      <c r="FK331" s="56"/>
      <c r="FL331" s="56"/>
      <c r="FM331" s="56"/>
      <c r="FN331" s="56"/>
      <c r="FO331" s="56"/>
      <c r="FP331" s="56"/>
      <c r="FQ331" s="56"/>
      <c r="FR331" s="56"/>
      <c r="FS331" s="56"/>
      <c r="FT331" s="56"/>
      <c r="FU331" s="56"/>
      <c r="FV331" s="56"/>
      <c r="FW331" s="56"/>
      <c r="FX331" s="56"/>
      <c r="FY331" s="56"/>
      <c r="FZ331" s="56"/>
      <c r="GA331" s="56"/>
      <c r="GB331" s="56"/>
      <c r="GC331" s="56"/>
      <c r="GD331" s="56"/>
      <c r="GE331" s="56"/>
      <c r="GF331" s="56"/>
      <c r="GG331" s="56"/>
      <c r="GH331" s="56"/>
      <c r="GI331" s="56"/>
      <c r="GJ331" s="56"/>
      <c r="GK331" s="56"/>
      <c r="GL331" s="56"/>
      <c r="GM331" s="56"/>
      <c r="GN331" s="56"/>
      <c r="GO331" s="56"/>
      <c r="GP331" s="56"/>
      <c r="GQ331" s="56"/>
      <c r="GR331" s="56"/>
      <c r="GS331" s="56"/>
      <c r="GT331" s="56"/>
      <c r="GU331" s="56"/>
      <c r="GV331" s="56"/>
      <c r="GW331" s="56"/>
      <c r="GX331" s="56"/>
      <c r="GY331" s="56"/>
      <c r="GZ331" s="56"/>
      <c r="HA331" s="56"/>
      <c r="HB331" s="56"/>
      <c r="HC331" s="56"/>
      <c r="HD331" s="56"/>
      <c r="HE331" s="56"/>
      <c r="HF331" s="56"/>
      <c r="HG331" s="56"/>
      <c r="HH331" s="56"/>
      <c r="HI331" s="56"/>
      <c r="HJ331" s="56"/>
    </row>
    <row r="332" spans="1:218" ht="15.75" customHeight="1" x14ac:dyDescent="0.2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  <c r="CL332" s="56"/>
      <c r="CM332" s="56"/>
      <c r="CN332" s="56"/>
      <c r="CO332" s="56"/>
      <c r="CP332" s="56"/>
      <c r="CQ332" s="56"/>
      <c r="CR332" s="56"/>
      <c r="CS332" s="56"/>
      <c r="CT332" s="56"/>
      <c r="CU332" s="56"/>
      <c r="CV332" s="56"/>
      <c r="CW332" s="56"/>
      <c r="CX332" s="56"/>
      <c r="CY332" s="56"/>
      <c r="CZ332" s="56"/>
      <c r="DA332" s="56"/>
      <c r="DB332" s="56"/>
      <c r="DC332" s="56"/>
      <c r="DD332" s="56"/>
      <c r="DE332" s="56"/>
      <c r="DF332" s="56"/>
      <c r="DG332" s="56"/>
      <c r="DH332" s="56"/>
      <c r="DI332" s="56"/>
      <c r="DJ332" s="56"/>
      <c r="DK332" s="56"/>
      <c r="DL332" s="56"/>
      <c r="DM332" s="56"/>
      <c r="DN332" s="56"/>
      <c r="DO332" s="56"/>
      <c r="DP332" s="56"/>
      <c r="DQ332" s="56"/>
      <c r="DR332" s="56"/>
      <c r="DS332" s="56"/>
      <c r="DT332" s="56"/>
      <c r="DU332" s="56"/>
      <c r="DV332" s="56"/>
      <c r="DW332" s="56"/>
      <c r="DX332" s="56"/>
      <c r="DY332" s="56"/>
      <c r="DZ332" s="56"/>
      <c r="EA332" s="56"/>
      <c r="EB332" s="56"/>
      <c r="EC332" s="56"/>
      <c r="ED332" s="56"/>
      <c r="EE332" s="56"/>
      <c r="EF332" s="56"/>
      <c r="EG332" s="56"/>
      <c r="EH332" s="56"/>
      <c r="EI332" s="56"/>
      <c r="EJ332" s="56"/>
      <c r="EK332" s="56"/>
      <c r="EL332" s="56"/>
      <c r="EM332" s="56"/>
      <c r="EN332" s="56"/>
      <c r="EO332" s="56"/>
      <c r="EP332" s="56"/>
      <c r="EQ332" s="56"/>
      <c r="ER332" s="56"/>
      <c r="ES332" s="56"/>
      <c r="ET332" s="56"/>
      <c r="EU332" s="56"/>
      <c r="EV332" s="56"/>
      <c r="EW332" s="56"/>
      <c r="EX332" s="56"/>
      <c r="EY332" s="56"/>
      <c r="EZ332" s="56"/>
      <c r="FA332" s="56"/>
      <c r="FB332" s="56"/>
      <c r="FC332" s="56"/>
      <c r="FD332" s="56"/>
      <c r="FE332" s="56"/>
      <c r="FF332" s="56"/>
      <c r="FG332" s="56"/>
      <c r="FH332" s="56"/>
      <c r="FI332" s="56"/>
      <c r="FJ332" s="56"/>
      <c r="FK332" s="56"/>
      <c r="FL332" s="56"/>
      <c r="FM332" s="56"/>
      <c r="FN332" s="56"/>
      <c r="FO332" s="56"/>
      <c r="FP332" s="56"/>
      <c r="FQ332" s="56"/>
      <c r="FR332" s="56"/>
      <c r="FS332" s="56"/>
      <c r="FT332" s="56"/>
      <c r="FU332" s="56"/>
      <c r="FV332" s="56"/>
      <c r="FW332" s="56"/>
      <c r="FX332" s="56"/>
      <c r="FY332" s="56"/>
      <c r="FZ332" s="56"/>
      <c r="GA332" s="56"/>
      <c r="GB332" s="56"/>
      <c r="GC332" s="56"/>
      <c r="GD332" s="56"/>
      <c r="GE332" s="56"/>
      <c r="GF332" s="56"/>
      <c r="GG332" s="56"/>
      <c r="GH332" s="56"/>
      <c r="GI332" s="56"/>
      <c r="GJ332" s="56"/>
      <c r="GK332" s="56"/>
      <c r="GL332" s="56"/>
      <c r="GM332" s="56"/>
      <c r="GN332" s="56"/>
      <c r="GO332" s="56"/>
      <c r="GP332" s="56"/>
      <c r="GQ332" s="56"/>
      <c r="GR332" s="56"/>
      <c r="GS332" s="56"/>
      <c r="GT332" s="56"/>
      <c r="GU332" s="56"/>
      <c r="GV332" s="56"/>
      <c r="GW332" s="56"/>
      <c r="GX332" s="56"/>
      <c r="GY332" s="56"/>
      <c r="GZ332" s="56"/>
      <c r="HA332" s="56"/>
      <c r="HB332" s="56"/>
      <c r="HC332" s="56"/>
      <c r="HD332" s="56"/>
      <c r="HE332" s="56"/>
      <c r="HF332" s="56"/>
      <c r="HG332" s="56"/>
      <c r="HH332" s="56"/>
      <c r="HI332" s="56"/>
      <c r="HJ332" s="56"/>
    </row>
    <row r="333" spans="1:218" ht="15.75" customHeight="1" x14ac:dyDescent="0.2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56"/>
      <c r="CP333" s="56"/>
      <c r="CQ333" s="56"/>
      <c r="CR333" s="56"/>
      <c r="CS333" s="56"/>
      <c r="CT333" s="56"/>
      <c r="CU333" s="56"/>
      <c r="CV333" s="56"/>
      <c r="CW333" s="56"/>
      <c r="CX333" s="56"/>
      <c r="CY333" s="56"/>
      <c r="CZ333" s="56"/>
      <c r="DA333" s="56"/>
      <c r="DB333" s="56"/>
      <c r="DC333" s="56"/>
      <c r="DD333" s="56"/>
      <c r="DE333" s="56"/>
      <c r="DF333" s="56"/>
      <c r="DG333" s="56"/>
      <c r="DH333" s="56"/>
      <c r="DI333" s="56"/>
      <c r="DJ333" s="56"/>
      <c r="DK333" s="56"/>
      <c r="DL333" s="56"/>
      <c r="DM333" s="56"/>
      <c r="DN333" s="56"/>
      <c r="DO333" s="56"/>
      <c r="DP333" s="56"/>
      <c r="DQ333" s="56"/>
      <c r="DR333" s="56"/>
      <c r="DS333" s="56"/>
      <c r="DT333" s="56"/>
      <c r="DU333" s="56"/>
      <c r="DV333" s="56"/>
      <c r="DW333" s="56"/>
      <c r="DX333" s="56"/>
      <c r="DY333" s="56"/>
      <c r="DZ333" s="56"/>
      <c r="EA333" s="56"/>
      <c r="EB333" s="56"/>
      <c r="EC333" s="56"/>
      <c r="ED333" s="56"/>
      <c r="EE333" s="56"/>
      <c r="EF333" s="56"/>
      <c r="EG333" s="56"/>
      <c r="EH333" s="56"/>
      <c r="EI333" s="56"/>
      <c r="EJ333" s="56"/>
      <c r="EK333" s="56"/>
      <c r="EL333" s="56"/>
      <c r="EM333" s="56"/>
      <c r="EN333" s="56"/>
      <c r="EO333" s="56"/>
      <c r="EP333" s="56"/>
      <c r="EQ333" s="56"/>
      <c r="ER333" s="56"/>
      <c r="ES333" s="56"/>
      <c r="ET333" s="56"/>
      <c r="EU333" s="56"/>
      <c r="EV333" s="56"/>
      <c r="EW333" s="56"/>
      <c r="EX333" s="56"/>
      <c r="EY333" s="56"/>
      <c r="EZ333" s="56"/>
      <c r="FA333" s="56"/>
      <c r="FB333" s="56"/>
      <c r="FC333" s="56"/>
      <c r="FD333" s="56"/>
      <c r="FE333" s="56"/>
      <c r="FF333" s="56"/>
      <c r="FG333" s="56"/>
      <c r="FH333" s="56"/>
      <c r="FI333" s="56"/>
      <c r="FJ333" s="56"/>
      <c r="FK333" s="56"/>
      <c r="FL333" s="56"/>
      <c r="FM333" s="56"/>
      <c r="FN333" s="56"/>
      <c r="FO333" s="56"/>
      <c r="FP333" s="56"/>
      <c r="FQ333" s="56"/>
      <c r="FR333" s="56"/>
      <c r="FS333" s="56"/>
      <c r="FT333" s="56"/>
      <c r="FU333" s="56"/>
      <c r="FV333" s="56"/>
      <c r="FW333" s="56"/>
      <c r="FX333" s="56"/>
      <c r="FY333" s="56"/>
      <c r="FZ333" s="56"/>
      <c r="GA333" s="56"/>
      <c r="GB333" s="56"/>
      <c r="GC333" s="56"/>
      <c r="GD333" s="56"/>
      <c r="GE333" s="56"/>
      <c r="GF333" s="56"/>
      <c r="GG333" s="56"/>
      <c r="GH333" s="56"/>
      <c r="GI333" s="56"/>
      <c r="GJ333" s="56"/>
      <c r="GK333" s="56"/>
      <c r="GL333" s="56"/>
      <c r="GM333" s="56"/>
      <c r="GN333" s="56"/>
      <c r="GO333" s="56"/>
      <c r="GP333" s="56"/>
      <c r="GQ333" s="56"/>
      <c r="GR333" s="56"/>
      <c r="GS333" s="56"/>
      <c r="GT333" s="56"/>
      <c r="GU333" s="56"/>
      <c r="GV333" s="56"/>
      <c r="GW333" s="56"/>
      <c r="GX333" s="56"/>
      <c r="GY333" s="56"/>
      <c r="GZ333" s="56"/>
      <c r="HA333" s="56"/>
      <c r="HB333" s="56"/>
      <c r="HC333" s="56"/>
      <c r="HD333" s="56"/>
      <c r="HE333" s="56"/>
      <c r="HF333" s="56"/>
      <c r="HG333" s="56"/>
      <c r="HH333" s="56"/>
      <c r="HI333" s="56"/>
      <c r="HJ333" s="56"/>
    </row>
    <row r="334" spans="1:218" ht="15.75" customHeight="1" x14ac:dyDescent="0.2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56"/>
      <c r="CP334" s="56"/>
      <c r="CQ334" s="56"/>
      <c r="CR334" s="56"/>
      <c r="CS334" s="56"/>
      <c r="CT334" s="56"/>
      <c r="CU334" s="56"/>
      <c r="CV334" s="56"/>
      <c r="CW334" s="56"/>
      <c r="CX334" s="56"/>
      <c r="CY334" s="56"/>
      <c r="CZ334" s="56"/>
      <c r="DA334" s="56"/>
      <c r="DB334" s="56"/>
      <c r="DC334" s="56"/>
      <c r="DD334" s="56"/>
      <c r="DE334" s="56"/>
      <c r="DF334" s="56"/>
      <c r="DG334" s="56"/>
      <c r="DH334" s="56"/>
      <c r="DI334" s="56"/>
      <c r="DJ334" s="56"/>
      <c r="DK334" s="56"/>
      <c r="DL334" s="56"/>
      <c r="DM334" s="56"/>
      <c r="DN334" s="56"/>
      <c r="DO334" s="56"/>
      <c r="DP334" s="56"/>
      <c r="DQ334" s="56"/>
      <c r="DR334" s="56"/>
      <c r="DS334" s="56"/>
      <c r="DT334" s="56"/>
      <c r="DU334" s="56"/>
      <c r="DV334" s="56"/>
      <c r="DW334" s="56"/>
      <c r="DX334" s="56"/>
      <c r="DY334" s="56"/>
      <c r="DZ334" s="56"/>
      <c r="EA334" s="56"/>
      <c r="EB334" s="56"/>
      <c r="EC334" s="56"/>
      <c r="ED334" s="56"/>
      <c r="EE334" s="56"/>
      <c r="EF334" s="56"/>
      <c r="EG334" s="56"/>
      <c r="EH334" s="56"/>
      <c r="EI334" s="56"/>
      <c r="EJ334" s="56"/>
      <c r="EK334" s="56"/>
      <c r="EL334" s="56"/>
      <c r="EM334" s="56"/>
      <c r="EN334" s="56"/>
      <c r="EO334" s="56"/>
      <c r="EP334" s="56"/>
      <c r="EQ334" s="56"/>
      <c r="ER334" s="56"/>
      <c r="ES334" s="56"/>
      <c r="ET334" s="56"/>
      <c r="EU334" s="56"/>
      <c r="EV334" s="56"/>
      <c r="EW334" s="56"/>
      <c r="EX334" s="56"/>
      <c r="EY334" s="56"/>
      <c r="EZ334" s="56"/>
      <c r="FA334" s="56"/>
      <c r="FB334" s="56"/>
      <c r="FC334" s="56"/>
      <c r="FD334" s="56"/>
      <c r="FE334" s="56"/>
      <c r="FF334" s="56"/>
      <c r="FG334" s="56"/>
      <c r="FH334" s="56"/>
      <c r="FI334" s="56"/>
      <c r="FJ334" s="56"/>
      <c r="FK334" s="56"/>
      <c r="FL334" s="56"/>
      <c r="FM334" s="56"/>
      <c r="FN334" s="56"/>
      <c r="FO334" s="56"/>
      <c r="FP334" s="56"/>
      <c r="FQ334" s="56"/>
      <c r="FR334" s="56"/>
      <c r="FS334" s="56"/>
      <c r="FT334" s="56"/>
      <c r="FU334" s="56"/>
      <c r="FV334" s="56"/>
      <c r="FW334" s="56"/>
      <c r="FX334" s="56"/>
      <c r="FY334" s="56"/>
      <c r="FZ334" s="56"/>
      <c r="GA334" s="56"/>
      <c r="GB334" s="56"/>
      <c r="GC334" s="56"/>
      <c r="GD334" s="56"/>
      <c r="GE334" s="56"/>
      <c r="GF334" s="56"/>
      <c r="GG334" s="56"/>
      <c r="GH334" s="56"/>
      <c r="GI334" s="56"/>
      <c r="GJ334" s="56"/>
      <c r="GK334" s="56"/>
      <c r="GL334" s="56"/>
      <c r="GM334" s="56"/>
      <c r="GN334" s="56"/>
      <c r="GO334" s="56"/>
      <c r="GP334" s="56"/>
      <c r="GQ334" s="56"/>
      <c r="GR334" s="56"/>
      <c r="GS334" s="56"/>
      <c r="GT334" s="56"/>
      <c r="GU334" s="56"/>
      <c r="GV334" s="56"/>
      <c r="GW334" s="56"/>
      <c r="GX334" s="56"/>
      <c r="GY334" s="56"/>
      <c r="GZ334" s="56"/>
      <c r="HA334" s="56"/>
      <c r="HB334" s="56"/>
      <c r="HC334" s="56"/>
      <c r="HD334" s="56"/>
      <c r="HE334" s="56"/>
      <c r="HF334" s="56"/>
      <c r="HG334" s="56"/>
      <c r="HH334" s="56"/>
      <c r="HI334" s="56"/>
      <c r="HJ334" s="56"/>
    </row>
    <row r="335" spans="1:218" ht="15.75" customHeight="1" x14ac:dyDescent="0.2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  <c r="CL335" s="56"/>
      <c r="CM335" s="56"/>
      <c r="CN335" s="56"/>
      <c r="CO335" s="56"/>
      <c r="CP335" s="56"/>
      <c r="CQ335" s="56"/>
      <c r="CR335" s="56"/>
      <c r="CS335" s="56"/>
      <c r="CT335" s="56"/>
      <c r="CU335" s="56"/>
      <c r="CV335" s="56"/>
      <c r="CW335" s="56"/>
      <c r="CX335" s="56"/>
      <c r="CY335" s="56"/>
      <c r="CZ335" s="56"/>
      <c r="DA335" s="56"/>
      <c r="DB335" s="56"/>
      <c r="DC335" s="56"/>
      <c r="DD335" s="56"/>
      <c r="DE335" s="56"/>
      <c r="DF335" s="56"/>
      <c r="DG335" s="56"/>
      <c r="DH335" s="56"/>
      <c r="DI335" s="56"/>
      <c r="DJ335" s="56"/>
      <c r="DK335" s="56"/>
      <c r="DL335" s="56"/>
      <c r="DM335" s="56"/>
      <c r="DN335" s="56"/>
      <c r="DO335" s="56"/>
      <c r="DP335" s="56"/>
      <c r="DQ335" s="56"/>
      <c r="DR335" s="56"/>
      <c r="DS335" s="56"/>
      <c r="DT335" s="56"/>
      <c r="DU335" s="56"/>
      <c r="DV335" s="56"/>
      <c r="DW335" s="56"/>
      <c r="DX335" s="56"/>
      <c r="DY335" s="56"/>
      <c r="DZ335" s="56"/>
      <c r="EA335" s="56"/>
      <c r="EB335" s="56"/>
      <c r="EC335" s="56"/>
      <c r="ED335" s="56"/>
      <c r="EE335" s="56"/>
      <c r="EF335" s="56"/>
      <c r="EG335" s="56"/>
      <c r="EH335" s="56"/>
      <c r="EI335" s="56"/>
      <c r="EJ335" s="56"/>
      <c r="EK335" s="56"/>
      <c r="EL335" s="56"/>
      <c r="EM335" s="56"/>
      <c r="EN335" s="56"/>
      <c r="EO335" s="56"/>
      <c r="EP335" s="56"/>
      <c r="EQ335" s="56"/>
      <c r="ER335" s="56"/>
      <c r="ES335" s="56"/>
      <c r="ET335" s="56"/>
      <c r="EU335" s="56"/>
      <c r="EV335" s="56"/>
      <c r="EW335" s="56"/>
      <c r="EX335" s="56"/>
      <c r="EY335" s="56"/>
      <c r="EZ335" s="56"/>
      <c r="FA335" s="56"/>
      <c r="FB335" s="56"/>
      <c r="FC335" s="56"/>
      <c r="FD335" s="56"/>
      <c r="FE335" s="56"/>
      <c r="FF335" s="56"/>
      <c r="FG335" s="56"/>
      <c r="FH335" s="56"/>
      <c r="FI335" s="56"/>
      <c r="FJ335" s="56"/>
      <c r="FK335" s="56"/>
      <c r="FL335" s="56"/>
      <c r="FM335" s="56"/>
      <c r="FN335" s="56"/>
      <c r="FO335" s="56"/>
      <c r="FP335" s="56"/>
      <c r="FQ335" s="56"/>
      <c r="FR335" s="56"/>
      <c r="FS335" s="56"/>
      <c r="FT335" s="56"/>
      <c r="FU335" s="56"/>
      <c r="FV335" s="56"/>
      <c r="FW335" s="56"/>
      <c r="FX335" s="56"/>
      <c r="FY335" s="56"/>
      <c r="FZ335" s="56"/>
      <c r="GA335" s="56"/>
      <c r="GB335" s="56"/>
      <c r="GC335" s="56"/>
      <c r="GD335" s="56"/>
      <c r="GE335" s="56"/>
      <c r="GF335" s="56"/>
      <c r="GG335" s="56"/>
      <c r="GH335" s="56"/>
      <c r="GI335" s="56"/>
      <c r="GJ335" s="56"/>
      <c r="GK335" s="56"/>
      <c r="GL335" s="56"/>
      <c r="GM335" s="56"/>
      <c r="GN335" s="56"/>
      <c r="GO335" s="56"/>
      <c r="GP335" s="56"/>
      <c r="GQ335" s="56"/>
      <c r="GR335" s="56"/>
      <c r="GS335" s="56"/>
      <c r="GT335" s="56"/>
      <c r="GU335" s="56"/>
      <c r="GV335" s="56"/>
      <c r="GW335" s="56"/>
      <c r="GX335" s="56"/>
      <c r="GY335" s="56"/>
      <c r="GZ335" s="56"/>
      <c r="HA335" s="56"/>
      <c r="HB335" s="56"/>
      <c r="HC335" s="56"/>
      <c r="HD335" s="56"/>
      <c r="HE335" s="56"/>
      <c r="HF335" s="56"/>
      <c r="HG335" s="56"/>
      <c r="HH335" s="56"/>
      <c r="HI335" s="56"/>
      <c r="HJ335" s="56"/>
    </row>
    <row r="336" spans="1:218" ht="15.75" customHeight="1" x14ac:dyDescent="0.2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  <c r="CL336" s="56"/>
      <c r="CM336" s="56"/>
      <c r="CN336" s="56"/>
      <c r="CO336" s="56"/>
      <c r="CP336" s="56"/>
      <c r="CQ336" s="56"/>
      <c r="CR336" s="56"/>
      <c r="CS336" s="56"/>
      <c r="CT336" s="56"/>
      <c r="CU336" s="56"/>
      <c r="CV336" s="56"/>
      <c r="CW336" s="56"/>
      <c r="CX336" s="56"/>
      <c r="CY336" s="56"/>
      <c r="CZ336" s="56"/>
      <c r="DA336" s="56"/>
      <c r="DB336" s="56"/>
      <c r="DC336" s="56"/>
      <c r="DD336" s="56"/>
      <c r="DE336" s="56"/>
      <c r="DF336" s="56"/>
      <c r="DG336" s="56"/>
      <c r="DH336" s="56"/>
      <c r="DI336" s="56"/>
      <c r="DJ336" s="56"/>
      <c r="DK336" s="56"/>
      <c r="DL336" s="56"/>
      <c r="DM336" s="56"/>
      <c r="DN336" s="56"/>
      <c r="DO336" s="56"/>
      <c r="DP336" s="56"/>
      <c r="DQ336" s="56"/>
      <c r="DR336" s="56"/>
      <c r="DS336" s="56"/>
      <c r="DT336" s="56"/>
      <c r="DU336" s="56"/>
      <c r="DV336" s="56"/>
      <c r="DW336" s="56"/>
      <c r="DX336" s="56"/>
      <c r="DY336" s="56"/>
      <c r="DZ336" s="56"/>
      <c r="EA336" s="56"/>
      <c r="EB336" s="56"/>
      <c r="EC336" s="56"/>
      <c r="ED336" s="56"/>
      <c r="EE336" s="56"/>
      <c r="EF336" s="56"/>
      <c r="EG336" s="56"/>
      <c r="EH336" s="56"/>
      <c r="EI336" s="56"/>
      <c r="EJ336" s="56"/>
      <c r="EK336" s="56"/>
      <c r="EL336" s="56"/>
      <c r="EM336" s="56"/>
      <c r="EN336" s="56"/>
      <c r="EO336" s="56"/>
      <c r="EP336" s="56"/>
      <c r="EQ336" s="56"/>
      <c r="ER336" s="56"/>
      <c r="ES336" s="56"/>
      <c r="ET336" s="56"/>
      <c r="EU336" s="56"/>
      <c r="EV336" s="56"/>
      <c r="EW336" s="56"/>
      <c r="EX336" s="56"/>
      <c r="EY336" s="56"/>
      <c r="EZ336" s="56"/>
      <c r="FA336" s="56"/>
      <c r="FB336" s="56"/>
      <c r="FC336" s="56"/>
      <c r="FD336" s="56"/>
      <c r="FE336" s="56"/>
      <c r="FF336" s="56"/>
      <c r="FG336" s="56"/>
      <c r="FH336" s="56"/>
      <c r="FI336" s="56"/>
      <c r="FJ336" s="56"/>
      <c r="FK336" s="56"/>
      <c r="FL336" s="56"/>
      <c r="FM336" s="56"/>
      <c r="FN336" s="56"/>
      <c r="FO336" s="56"/>
      <c r="FP336" s="56"/>
      <c r="FQ336" s="56"/>
      <c r="FR336" s="56"/>
      <c r="FS336" s="56"/>
      <c r="FT336" s="56"/>
      <c r="FU336" s="56"/>
      <c r="FV336" s="56"/>
      <c r="FW336" s="56"/>
      <c r="FX336" s="56"/>
      <c r="FY336" s="56"/>
      <c r="FZ336" s="56"/>
      <c r="GA336" s="56"/>
      <c r="GB336" s="56"/>
      <c r="GC336" s="56"/>
      <c r="GD336" s="56"/>
      <c r="GE336" s="56"/>
      <c r="GF336" s="56"/>
      <c r="GG336" s="56"/>
      <c r="GH336" s="56"/>
      <c r="GI336" s="56"/>
      <c r="GJ336" s="56"/>
      <c r="GK336" s="56"/>
      <c r="GL336" s="56"/>
      <c r="GM336" s="56"/>
      <c r="GN336" s="56"/>
      <c r="GO336" s="56"/>
      <c r="GP336" s="56"/>
      <c r="GQ336" s="56"/>
      <c r="GR336" s="56"/>
      <c r="GS336" s="56"/>
      <c r="GT336" s="56"/>
      <c r="GU336" s="56"/>
      <c r="GV336" s="56"/>
      <c r="GW336" s="56"/>
      <c r="GX336" s="56"/>
      <c r="GY336" s="56"/>
      <c r="GZ336" s="56"/>
      <c r="HA336" s="56"/>
      <c r="HB336" s="56"/>
      <c r="HC336" s="56"/>
      <c r="HD336" s="56"/>
      <c r="HE336" s="56"/>
      <c r="HF336" s="56"/>
      <c r="HG336" s="56"/>
      <c r="HH336" s="56"/>
      <c r="HI336" s="56"/>
      <c r="HJ336" s="56"/>
    </row>
    <row r="337" spans="1:218" ht="15.75" customHeight="1" x14ac:dyDescent="0.2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56"/>
      <c r="CP337" s="56"/>
      <c r="CQ337" s="56"/>
      <c r="CR337" s="56"/>
      <c r="CS337" s="56"/>
      <c r="CT337" s="56"/>
      <c r="CU337" s="56"/>
      <c r="CV337" s="56"/>
      <c r="CW337" s="56"/>
      <c r="CX337" s="56"/>
      <c r="CY337" s="56"/>
      <c r="CZ337" s="56"/>
      <c r="DA337" s="56"/>
      <c r="DB337" s="56"/>
      <c r="DC337" s="56"/>
      <c r="DD337" s="56"/>
      <c r="DE337" s="56"/>
      <c r="DF337" s="56"/>
      <c r="DG337" s="56"/>
      <c r="DH337" s="56"/>
      <c r="DI337" s="56"/>
      <c r="DJ337" s="56"/>
      <c r="DK337" s="56"/>
      <c r="DL337" s="56"/>
      <c r="DM337" s="56"/>
      <c r="DN337" s="56"/>
      <c r="DO337" s="56"/>
      <c r="DP337" s="56"/>
      <c r="DQ337" s="56"/>
      <c r="DR337" s="56"/>
      <c r="DS337" s="56"/>
      <c r="DT337" s="56"/>
      <c r="DU337" s="56"/>
      <c r="DV337" s="56"/>
      <c r="DW337" s="56"/>
      <c r="DX337" s="56"/>
      <c r="DY337" s="56"/>
      <c r="DZ337" s="56"/>
      <c r="EA337" s="56"/>
      <c r="EB337" s="56"/>
      <c r="EC337" s="56"/>
      <c r="ED337" s="56"/>
      <c r="EE337" s="56"/>
      <c r="EF337" s="56"/>
      <c r="EG337" s="56"/>
      <c r="EH337" s="56"/>
      <c r="EI337" s="56"/>
      <c r="EJ337" s="56"/>
      <c r="EK337" s="56"/>
      <c r="EL337" s="56"/>
      <c r="EM337" s="56"/>
      <c r="EN337" s="56"/>
      <c r="EO337" s="56"/>
      <c r="EP337" s="56"/>
      <c r="EQ337" s="56"/>
      <c r="ER337" s="56"/>
      <c r="ES337" s="56"/>
      <c r="ET337" s="56"/>
      <c r="EU337" s="56"/>
      <c r="EV337" s="56"/>
      <c r="EW337" s="56"/>
      <c r="EX337" s="56"/>
      <c r="EY337" s="56"/>
      <c r="EZ337" s="56"/>
      <c r="FA337" s="56"/>
      <c r="FB337" s="56"/>
      <c r="FC337" s="56"/>
      <c r="FD337" s="56"/>
      <c r="FE337" s="56"/>
      <c r="FF337" s="56"/>
      <c r="FG337" s="56"/>
      <c r="FH337" s="56"/>
      <c r="FI337" s="56"/>
      <c r="FJ337" s="56"/>
      <c r="FK337" s="56"/>
      <c r="FL337" s="56"/>
      <c r="FM337" s="56"/>
      <c r="FN337" s="56"/>
      <c r="FO337" s="56"/>
      <c r="FP337" s="56"/>
      <c r="FQ337" s="56"/>
      <c r="FR337" s="56"/>
      <c r="FS337" s="56"/>
      <c r="FT337" s="56"/>
      <c r="FU337" s="56"/>
      <c r="FV337" s="56"/>
      <c r="FW337" s="56"/>
      <c r="FX337" s="56"/>
      <c r="FY337" s="56"/>
      <c r="FZ337" s="56"/>
      <c r="GA337" s="56"/>
      <c r="GB337" s="56"/>
      <c r="GC337" s="56"/>
      <c r="GD337" s="56"/>
      <c r="GE337" s="56"/>
      <c r="GF337" s="56"/>
      <c r="GG337" s="56"/>
      <c r="GH337" s="56"/>
      <c r="GI337" s="56"/>
      <c r="GJ337" s="56"/>
      <c r="GK337" s="56"/>
      <c r="GL337" s="56"/>
      <c r="GM337" s="56"/>
      <c r="GN337" s="56"/>
      <c r="GO337" s="56"/>
      <c r="GP337" s="56"/>
      <c r="GQ337" s="56"/>
      <c r="GR337" s="56"/>
      <c r="GS337" s="56"/>
      <c r="GT337" s="56"/>
      <c r="GU337" s="56"/>
      <c r="GV337" s="56"/>
      <c r="GW337" s="56"/>
      <c r="GX337" s="56"/>
      <c r="GY337" s="56"/>
      <c r="GZ337" s="56"/>
      <c r="HA337" s="56"/>
      <c r="HB337" s="56"/>
      <c r="HC337" s="56"/>
      <c r="HD337" s="56"/>
      <c r="HE337" s="56"/>
      <c r="HF337" s="56"/>
      <c r="HG337" s="56"/>
      <c r="HH337" s="56"/>
      <c r="HI337" s="56"/>
      <c r="HJ337" s="56"/>
    </row>
    <row r="338" spans="1:218" ht="15.75" customHeight="1" x14ac:dyDescent="0.2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6"/>
      <c r="CV338" s="56"/>
      <c r="CW338" s="56"/>
      <c r="CX338" s="56"/>
      <c r="CY338" s="56"/>
      <c r="CZ338" s="56"/>
      <c r="DA338" s="56"/>
      <c r="DB338" s="56"/>
      <c r="DC338" s="56"/>
      <c r="DD338" s="56"/>
      <c r="DE338" s="56"/>
      <c r="DF338" s="56"/>
      <c r="DG338" s="56"/>
      <c r="DH338" s="56"/>
      <c r="DI338" s="56"/>
      <c r="DJ338" s="56"/>
      <c r="DK338" s="56"/>
      <c r="DL338" s="56"/>
      <c r="DM338" s="56"/>
      <c r="DN338" s="56"/>
      <c r="DO338" s="56"/>
      <c r="DP338" s="56"/>
      <c r="DQ338" s="56"/>
      <c r="DR338" s="56"/>
      <c r="DS338" s="56"/>
      <c r="DT338" s="56"/>
      <c r="DU338" s="56"/>
      <c r="DV338" s="56"/>
      <c r="DW338" s="56"/>
      <c r="DX338" s="56"/>
      <c r="DY338" s="56"/>
      <c r="DZ338" s="56"/>
      <c r="EA338" s="56"/>
      <c r="EB338" s="56"/>
      <c r="EC338" s="56"/>
      <c r="ED338" s="56"/>
      <c r="EE338" s="56"/>
      <c r="EF338" s="56"/>
      <c r="EG338" s="56"/>
      <c r="EH338" s="56"/>
      <c r="EI338" s="56"/>
      <c r="EJ338" s="56"/>
      <c r="EK338" s="56"/>
      <c r="EL338" s="56"/>
      <c r="EM338" s="56"/>
      <c r="EN338" s="56"/>
      <c r="EO338" s="56"/>
      <c r="EP338" s="56"/>
      <c r="EQ338" s="56"/>
      <c r="ER338" s="56"/>
      <c r="ES338" s="56"/>
      <c r="ET338" s="56"/>
      <c r="EU338" s="56"/>
      <c r="EV338" s="56"/>
      <c r="EW338" s="56"/>
      <c r="EX338" s="56"/>
      <c r="EY338" s="56"/>
      <c r="EZ338" s="56"/>
      <c r="FA338" s="56"/>
      <c r="FB338" s="56"/>
      <c r="FC338" s="56"/>
      <c r="FD338" s="56"/>
      <c r="FE338" s="56"/>
      <c r="FF338" s="56"/>
      <c r="FG338" s="56"/>
      <c r="FH338" s="56"/>
      <c r="FI338" s="56"/>
      <c r="FJ338" s="56"/>
      <c r="FK338" s="56"/>
      <c r="FL338" s="56"/>
      <c r="FM338" s="56"/>
      <c r="FN338" s="56"/>
      <c r="FO338" s="56"/>
      <c r="FP338" s="56"/>
      <c r="FQ338" s="56"/>
      <c r="FR338" s="56"/>
      <c r="FS338" s="56"/>
      <c r="FT338" s="56"/>
      <c r="FU338" s="56"/>
      <c r="FV338" s="56"/>
      <c r="FW338" s="56"/>
      <c r="FX338" s="56"/>
      <c r="FY338" s="56"/>
      <c r="FZ338" s="56"/>
      <c r="GA338" s="56"/>
      <c r="GB338" s="56"/>
      <c r="GC338" s="56"/>
      <c r="GD338" s="56"/>
      <c r="GE338" s="56"/>
      <c r="GF338" s="56"/>
      <c r="GG338" s="56"/>
      <c r="GH338" s="56"/>
      <c r="GI338" s="56"/>
      <c r="GJ338" s="56"/>
      <c r="GK338" s="56"/>
      <c r="GL338" s="56"/>
      <c r="GM338" s="56"/>
      <c r="GN338" s="56"/>
      <c r="GO338" s="56"/>
      <c r="GP338" s="56"/>
      <c r="GQ338" s="56"/>
      <c r="GR338" s="56"/>
      <c r="GS338" s="56"/>
      <c r="GT338" s="56"/>
      <c r="GU338" s="56"/>
      <c r="GV338" s="56"/>
      <c r="GW338" s="56"/>
      <c r="GX338" s="56"/>
      <c r="GY338" s="56"/>
      <c r="GZ338" s="56"/>
      <c r="HA338" s="56"/>
      <c r="HB338" s="56"/>
      <c r="HC338" s="56"/>
      <c r="HD338" s="56"/>
      <c r="HE338" s="56"/>
      <c r="HF338" s="56"/>
      <c r="HG338" s="56"/>
      <c r="HH338" s="56"/>
      <c r="HI338" s="56"/>
      <c r="HJ338" s="56"/>
    </row>
    <row r="339" spans="1:218" ht="15.75" customHeight="1" x14ac:dyDescent="0.2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  <c r="CS339" s="56"/>
      <c r="CT339" s="56"/>
      <c r="CU339" s="56"/>
      <c r="CV339" s="56"/>
      <c r="CW339" s="56"/>
      <c r="CX339" s="56"/>
      <c r="CY339" s="56"/>
      <c r="CZ339" s="56"/>
      <c r="DA339" s="56"/>
      <c r="DB339" s="56"/>
      <c r="DC339" s="56"/>
      <c r="DD339" s="56"/>
      <c r="DE339" s="56"/>
      <c r="DF339" s="56"/>
      <c r="DG339" s="56"/>
      <c r="DH339" s="56"/>
      <c r="DI339" s="56"/>
      <c r="DJ339" s="56"/>
      <c r="DK339" s="56"/>
      <c r="DL339" s="56"/>
      <c r="DM339" s="56"/>
      <c r="DN339" s="56"/>
      <c r="DO339" s="56"/>
      <c r="DP339" s="56"/>
      <c r="DQ339" s="56"/>
      <c r="DR339" s="56"/>
      <c r="DS339" s="56"/>
      <c r="DT339" s="56"/>
      <c r="DU339" s="56"/>
      <c r="DV339" s="56"/>
      <c r="DW339" s="56"/>
      <c r="DX339" s="56"/>
      <c r="DY339" s="56"/>
      <c r="DZ339" s="56"/>
      <c r="EA339" s="56"/>
      <c r="EB339" s="56"/>
      <c r="EC339" s="56"/>
      <c r="ED339" s="56"/>
      <c r="EE339" s="56"/>
      <c r="EF339" s="56"/>
      <c r="EG339" s="56"/>
      <c r="EH339" s="56"/>
      <c r="EI339" s="56"/>
      <c r="EJ339" s="56"/>
      <c r="EK339" s="56"/>
      <c r="EL339" s="56"/>
      <c r="EM339" s="56"/>
      <c r="EN339" s="56"/>
      <c r="EO339" s="56"/>
      <c r="EP339" s="56"/>
      <c r="EQ339" s="56"/>
      <c r="ER339" s="56"/>
      <c r="ES339" s="56"/>
      <c r="ET339" s="56"/>
      <c r="EU339" s="56"/>
      <c r="EV339" s="56"/>
      <c r="EW339" s="56"/>
      <c r="EX339" s="56"/>
      <c r="EY339" s="56"/>
      <c r="EZ339" s="56"/>
      <c r="FA339" s="56"/>
      <c r="FB339" s="56"/>
      <c r="FC339" s="56"/>
      <c r="FD339" s="56"/>
      <c r="FE339" s="56"/>
      <c r="FF339" s="56"/>
      <c r="FG339" s="56"/>
      <c r="FH339" s="56"/>
      <c r="FI339" s="56"/>
      <c r="FJ339" s="56"/>
      <c r="FK339" s="56"/>
      <c r="FL339" s="56"/>
      <c r="FM339" s="56"/>
      <c r="FN339" s="56"/>
      <c r="FO339" s="56"/>
      <c r="FP339" s="56"/>
      <c r="FQ339" s="56"/>
      <c r="FR339" s="56"/>
      <c r="FS339" s="56"/>
      <c r="FT339" s="56"/>
      <c r="FU339" s="56"/>
      <c r="FV339" s="56"/>
      <c r="FW339" s="56"/>
      <c r="FX339" s="56"/>
      <c r="FY339" s="56"/>
      <c r="FZ339" s="56"/>
      <c r="GA339" s="56"/>
      <c r="GB339" s="56"/>
      <c r="GC339" s="56"/>
      <c r="GD339" s="56"/>
      <c r="GE339" s="56"/>
      <c r="GF339" s="56"/>
      <c r="GG339" s="56"/>
      <c r="GH339" s="56"/>
      <c r="GI339" s="56"/>
      <c r="GJ339" s="56"/>
      <c r="GK339" s="56"/>
      <c r="GL339" s="56"/>
      <c r="GM339" s="56"/>
      <c r="GN339" s="56"/>
      <c r="GO339" s="56"/>
      <c r="GP339" s="56"/>
      <c r="GQ339" s="56"/>
      <c r="GR339" s="56"/>
      <c r="GS339" s="56"/>
      <c r="GT339" s="56"/>
      <c r="GU339" s="56"/>
      <c r="GV339" s="56"/>
      <c r="GW339" s="56"/>
      <c r="GX339" s="56"/>
      <c r="GY339" s="56"/>
      <c r="GZ339" s="56"/>
      <c r="HA339" s="56"/>
      <c r="HB339" s="56"/>
      <c r="HC339" s="56"/>
      <c r="HD339" s="56"/>
      <c r="HE339" s="56"/>
      <c r="HF339" s="56"/>
      <c r="HG339" s="56"/>
      <c r="HH339" s="56"/>
      <c r="HI339" s="56"/>
      <c r="HJ339" s="56"/>
    </row>
    <row r="340" spans="1:218" ht="15.75" customHeight="1" x14ac:dyDescent="0.2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  <c r="CL340" s="56"/>
      <c r="CM340" s="56"/>
      <c r="CN340" s="56"/>
      <c r="CO340" s="56"/>
      <c r="CP340" s="56"/>
      <c r="CQ340" s="56"/>
      <c r="CR340" s="56"/>
      <c r="CS340" s="56"/>
      <c r="CT340" s="56"/>
      <c r="CU340" s="56"/>
      <c r="CV340" s="56"/>
      <c r="CW340" s="56"/>
      <c r="CX340" s="56"/>
      <c r="CY340" s="56"/>
      <c r="CZ340" s="56"/>
      <c r="DA340" s="56"/>
      <c r="DB340" s="56"/>
      <c r="DC340" s="56"/>
      <c r="DD340" s="56"/>
      <c r="DE340" s="56"/>
      <c r="DF340" s="56"/>
      <c r="DG340" s="56"/>
      <c r="DH340" s="56"/>
      <c r="DI340" s="56"/>
      <c r="DJ340" s="56"/>
      <c r="DK340" s="56"/>
      <c r="DL340" s="56"/>
      <c r="DM340" s="56"/>
      <c r="DN340" s="56"/>
      <c r="DO340" s="56"/>
      <c r="DP340" s="56"/>
      <c r="DQ340" s="56"/>
      <c r="DR340" s="56"/>
      <c r="DS340" s="56"/>
      <c r="DT340" s="56"/>
      <c r="DU340" s="56"/>
      <c r="DV340" s="56"/>
      <c r="DW340" s="56"/>
      <c r="DX340" s="56"/>
      <c r="DY340" s="56"/>
      <c r="DZ340" s="56"/>
      <c r="EA340" s="56"/>
      <c r="EB340" s="56"/>
      <c r="EC340" s="56"/>
      <c r="ED340" s="56"/>
      <c r="EE340" s="56"/>
      <c r="EF340" s="56"/>
      <c r="EG340" s="56"/>
      <c r="EH340" s="56"/>
      <c r="EI340" s="56"/>
      <c r="EJ340" s="56"/>
      <c r="EK340" s="56"/>
      <c r="EL340" s="56"/>
      <c r="EM340" s="56"/>
      <c r="EN340" s="56"/>
      <c r="EO340" s="56"/>
      <c r="EP340" s="56"/>
      <c r="EQ340" s="56"/>
      <c r="ER340" s="56"/>
      <c r="ES340" s="56"/>
      <c r="ET340" s="56"/>
      <c r="EU340" s="56"/>
      <c r="EV340" s="56"/>
      <c r="EW340" s="56"/>
      <c r="EX340" s="56"/>
      <c r="EY340" s="56"/>
      <c r="EZ340" s="56"/>
      <c r="FA340" s="56"/>
      <c r="FB340" s="56"/>
      <c r="FC340" s="56"/>
      <c r="FD340" s="56"/>
      <c r="FE340" s="56"/>
      <c r="FF340" s="56"/>
      <c r="FG340" s="56"/>
      <c r="FH340" s="56"/>
      <c r="FI340" s="56"/>
      <c r="FJ340" s="56"/>
      <c r="FK340" s="56"/>
      <c r="FL340" s="56"/>
      <c r="FM340" s="56"/>
      <c r="FN340" s="56"/>
      <c r="FO340" s="56"/>
      <c r="FP340" s="56"/>
      <c r="FQ340" s="56"/>
      <c r="FR340" s="56"/>
      <c r="FS340" s="56"/>
      <c r="FT340" s="56"/>
      <c r="FU340" s="56"/>
      <c r="FV340" s="56"/>
      <c r="FW340" s="56"/>
      <c r="FX340" s="56"/>
      <c r="FY340" s="56"/>
      <c r="FZ340" s="56"/>
      <c r="GA340" s="56"/>
      <c r="GB340" s="56"/>
      <c r="GC340" s="56"/>
      <c r="GD340" s="56"/>
      <c r="GE340" s="56"/>
      <c r="GF340" s="56"/>
      <c r="GG340" s="56"/>
      <c r="GH340" s="56"/>
      <c r="GI340" s="56"/>
      <c r="GJ340" s="56"/>
      <c r="GK340" s="56"/>
      <c r="GL340" s="56"/>
      <c r="GM340" s="56"/>
      <c r="GN340" s="56"/>
      <c r="GO340" s="56"/>
      <c r="GP340" s="56"/>
      <c r="GQ340" s="56"/>
      <c r="GR340" s="56"/>
      <c r="GS340" s="56"/>
      <c r="GT340" s="56"/>
      <c r="GU340" s="56"/>
      <c r="GV340" s="56"/>
      <c r="GW340" s="56"/>
      <c r="GX340" s="56"/>
      <c r="GY340" s="56"/>
      <c r="GZ340" s="56"/>
      <c r="HA340" s="56"/>
      <c r="HB340" s="56"/>
      <c r="HC340" s="56"/>
      <c r="HD340" s="56"/>
      <c r="HE340" s="56"/>
      <c r="HF340" s="56"/>
      <c r="HG340" s="56"/>
      <c r="HH340" s="56"/>
      <c r="HI340" s="56"/>
      <c r="HJ340" s="56"/>
    </row>
    <row r="341" spans="1:218" ht="15.75" customHeight="1" x14ac:dyDescent="0.2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  <c r="CL341" s="56"/>
      <c r="CM341" s="56"/>
      <c r="CN341" s="56"/>
      <c r="CO341" s="56"/>
      <c r="CP341" s="56"/>
      <c r="CQ341" s="56"/>
      <c r="CR341" s="56"/>
      <c r="CS341" s="56"/>
      <c r="CT341" s="56"/>
      <c r="CU341" s="56"/>
      <c r="CV341" s="56"/>
      <c r="CW341" s="56"/>
      <c r="CX341" s="56"/>
      <c r="CY341" s="56"/>
      <c r="CZ341" s="56"/>
      <c r="DA341" s="56"/>
      <c r="DB341" s="56"/>
      <c r="DC341" s="56"/>
      <c r="DD341" s="56"/>
      <c r="DE341" s="56"/>
      <c r="DF341" s="56"/>
      <c r="DG341" s="56"/>
      <c r="DH341" s="56"/>
      <c r="DI341" s="56"/>
      <c r="DJ341" s="56"/>
      <c r="DK341" s="56"/>
      <c r="DL341" s="56"/>
      <c r="DM341" s="56"/>
      <c r="DN341" s="56"/>
      <c r="DO341" s="56"/>
      <c r="DP341" s="56"/>
      <c r="DQ341" s="56"/>
      <c r="DR341" s="56"/>
      <c r="DS341" s="56"/>
      <c r="DT341" s="56"/>
      <c r="DU341" s="56"/>
      <c r="DV341" s="56"/>
      <c r="DW341" s="56"/>
      <c r="DX341" s="56"/>
      <c r="DY341" s="56"/>
      <c r="DZ341" s="56"/>
      <c r="EA341" s="56"/>
      <c r="EB341" s="56"/>
      <c r="EC341" s="56"/>
      <c r="ED341" s="56"/>
      <c r="EE341" s="56"/>
      <c r="EF341" s="56"/>
      <c r="EG341" s="56"/>
      <c r="EH341" s="56"/>
      <c r="EI341" s="56"/>
      <c r="EJ341" s="56"/>
      <c r="EK341" s="56"/>
      <c r="EL341" s="56"/>
      <c r="EM341" s="56"/>
      <c r="EN341" s="56"/>
      <c r="EO341" s="56"/>
      <c r="EP341" s="56"/>
      <c r="EQ341" s="56"/>
      <c r="ER341" s="56"/>
      <c r="ES341" s="56"/>
      <c r="ET341" s="56"/>
      <c r="EU341" s="56"/>
      <c r="EV341" s="56"/>
      <c r="EW341" s="56"/>
      <c r="EX341" s="56"/>
      <c r="EY341" s="56"/>
      <c r="EZ341" s="56"/>
      <c r="FA341" s="56"/>
      <c r="FB341" s="56"/>
      <c r="FC341" s="56"/>
      <c r="FD341" s="56"/>
      <c r="FE341" s="56"/>
      <c r="FF341" s="56"/>
      <c r="FG341" s="56"/>
      <c r="FH341" s="56"/>
      <c r="FI341" s="56"/>
      <c r="FJ341" s="56"/>
      <c r="FK341" s="56"/>
      <c r="FL341" s="56"/>
      <c r="FM341" s="56"/>
      <c r="FN341" s="56"/>
      <c r="FO341" s="56"/>
      <c r="FP341" s="56"/>
      <c r="FQ341" s="56"/>
      <c r="FR341" s="56"/>
      <c r="FS341" s="56"/>
      <c r="FT341" s="56"/>
      <c r="FU341" s="56"/>
      <c r="FV341" s="56"/>
      <c r="FW341" s="56"/>
      <c r="FX341" s="56"/>
      <c r="FY341" s="56"/>
      <c r="FZ341" s="56"/>
      <c r="GA341" s="56"/>
      <c r="GB341" s="56"/>
      <c r="GC341" s="56"/>
      <c r="GD341" s="56"/>
      <c r="GE341" s="56"/>
      <c r="GF341" s="56"/>
      <c r="GG341" s="56"/>
      <c r="GH341" s="56"/>
      <c r="GI341" s="56"/>
      <c r="GJ341" s="56"/>
      <c r="GK341" s="56"/>
      <c r="GL341" s="56"/>
      <c r="GM341" s="56"/>
      <c r="GN341" s="56"/>
      <c r="GO341" s="56"/>
      <c r="GP341" s="56"/>
      <c r="GQ341" s="56"/>
      <c r="GR341" s="56"/>
      <c r="GS341" s="56"/>
      <c r="GT341" s="56"/>
      <c r="GU341" s="56"/>
      <c r="GV341" s="56"/>
      <c r="GW341" s="56"/>
      <c r="GX341" s="56"/>
      <c r="GY341" s="56"/>
      <c r="GZ341" s="56"/>
      <c r="HA341" s="56"/>
      <c r="HB341" s="56"/>
      <c r="HC341" s="56"/>
      <c r="HD341" s="56"/>
      <c r="HE341" s="56"/>
      <c r="HF341" s="56"/>
      <c r="HG341" s="56"/>
      <c r="HH341" s="56"/>
      <c r="HI341" s="56"/>
      <c r="HJ341" s="56"/>
    </row>
    <row r="342" spans="1:218" ht="15.75" customHeight="1" x14ac:dyDescent="0.2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  <c r="CL342" s="56"/>
      <c r="CM342" s="56"/>
      <c r="CN342" s="56"/>
      <c r="CO342" s="56"/>
      <c r="CP342" s="56"/>
      <c r="CQ342" s="56"/>
      <c r="CR342" s="56"/>
      <c r="CS342" s="56"/>
      <c r="CT342" s="56"/>
      <c r="CU342" s="56"/>
      <c r="CV342" s="56"/>
      <c r="CW342" s="56"/>
      <c r="CX342" s="56"/>
      <c r="CY342" s="56"/>
      <c r="CZ342" s="56"/>
      <c r="DA342" s="56"/>
      <c r="DB342" s="56"/>
      <c r="DC342" s="56"/>
      <c r="DD342" s="56"/>
      <c r="DE342" s="56"/>
      <c r="DF342" s="56"/>
      <c r="DG342" s="56"/>
      <c r="DH342" s="56"/>
      <c r="DI342" s="56"/>
      <c r="DJ342" s="56"/>
      <c r="DK342" s="56"/>
      <c r="DL342" s="56"/>
      <c r="DM342" s="56"/>
      <c r="DN342" s="56"/>
      <c r="DO342" s="56"/>
      <c r="DP342" s="56"/>
      <c r="DQ342" s="56"/>
      <c r="DR342" s="56"/>
      <c r="DS342" s="56"/>
      <c r="DT342" s="56"/>
      <c r="DU342" s="56"/>
      <c r="DV342" s="56"/>
      <c r="DW342" s="56"/>
      <c r="DX342" s="56"/>
      <c r="DY342" s="56"/>
      <c r="DZ342" s="56"/>
      <c r="EA342" s="56"/>
      <c r="EB342" s="56"/>
      <c r="EC342" s="56"/>
      <c r="ED342" s="56"/>
      <c r="EE342" s="56"/>
      <c r="EF342" s="56"/>
      <c r="EG342" s="56"/>
      <c r="EH342" s="56"/>
      <c r="EI342" s="56"/>
      <c r="EJ342" s="56"/>
      <c r="EK342" s="56"/>
      <c r="EL342" s="56"/>
      <c r="EM342" s="56"/>
      <c r="EN342" s="56"/>
      <c r="EO342" s="56"/>
      <c r="EP342" s="56"/>
      <c r="EQ342" s="56"/>
      <c r="ER342" s="56"/>
      <c r="ES342" s="56"/>
      <c r="ET342" s="56"/>
      <c r="EU342" s="56"/>
      <c r="EV342" s="56"/>
      <c r="EW342" s="56"/>
      <c r="EX342" s="56"/>
      <c r="EY342" s="56"/>
      <c r="EZ342" s="56"/>
      <c r="FA342" s="56"/>
      <c r="FB342" s="56"/>
      <c r="FC342" s="56"/>
      <c r="FD342" s="56"/>
      <c r="FE342" s="56"/>
      <c r="FF342" s="56"/>
      <c r="FG342" s="56"/>
      <c r="FH342" s="56"/>
      <c r="FI342" s="56"/>
      <c r="FJ342" s="56"/>
      <c r="FK342" s="56"/>
      <c r="FL342" s="56"/>
      <c r="FM342" s="56"/>
      <c r="FN342" s="56"/>
      <c r="FO342" s="56"/>
      <c r="FP342" s="56"/>
      <c r="FQ342" s="56"/>
      <c r="FR342" s="56"/>
      <c r="FS342" s="56"/>
      <c r="FT342" s="56"/>
      <c r="FU342" s="56"/>
      <c r="FV342" s="56"/>
      <c r="FW342" s="56"/>
      <c r="FX342" s="56"/>
      <c r="FY342" s="56"/>
      <c r="FZ342" s="56"/>
      <c r="GA342" s="56"/>
      <c r="GB342" s="56"/>
      <c r="GC342" s="56"/>
      <c r="GD342" s="56"/>
      <c r="GE342" s="56"/>
      <c r="GF342" s="56"/>
      <c r="GG342" s="56"/>
      <c r="GH342" s="56"/>
      <c r="GI342" s="56"/>
      <c r="GJ342" s="56"/>
      <c r="GK342" s="56"/>
      <c r="GL342" s="56"/>
      <c r="GM342" s="56"/>
      <c r="GN342" s="56"/>
      <c r="GO342" s="56"/>
      <c r="GP342" s="56"/>
      <c r="GQ342" s="56"/>
      <c r="GR342" s="56"/>
      <c r="GS342" s="56"/>
      <c r="GT342" s="56"/>
      <c r="GU342" s="56"/>
      <c r="GV342" s="56"/>
      <c r="GW342" s="56"/>
      <c r="GX342" s="56"/>
      <c r="GY342" s="56"/>
      <c r="GZ342" s="56"/>
      <c r="HA342" s="56"/>
      <c r="HB342" s="56"/>
      <c r="HC342" s="56"/>
      <c r="HD342" s="56"/>
      <c r="HE342" s="56"/>
      <c r="HF342" s="56"/>
      <c r="HG342" s="56"/>
      <c r="HH342" s="56"/>
      <c r="HI342" s="56"/>
      <c r="HJ342" s="56"/>
    </row>
    <row r="343" spans="1:218" ht="15.75" customHeight="1" x14ac:dyDescent="0.2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56"/>
      <c r="CP343" s="56"/>
      <c r="CQ343" s="56"/>
      <c r="CR343" s="56"/>
      <c r="CS343" s="56"/>
      <c r="CT343" s="56"/>
      <c r="CU343" s="56"/>
      <c r="CV343" s="56"/>
      <c r="CW343" s="56"/>
      <c r="CX343" s="56"/>
      <c r="CY343" s="56"/>
      <c r="CZ343" s="56"/>
      <c r="DA343" s="56"/>
      <c r="DB343" s="56"/>
      <c r="DC343" s="56"/>
      <c r="DD343" s="56"/>
      <c r="DE343" s="56"/>
      <c r="DF343" s="56"/>
      <c r="DG343" s="56"/>
      <c r="DH343" s="56"/>
      <c r="DI343" s="56"/>
      <c r="DJ343" s="56"/>
      <c r="DK343" s="56"/>
      <c r="DL343" s="56"/>
      <c r="DM343" s="56"/>
      <c r="DN343" s="56"/>
      <c r="DO343" s="56"/>
      <c r="DP343" s="56"/>
      <c r="DQ343" s="56"/>
      <c r="DR343" s="56"/>
      <c r="DS343" s="56"/>
      <c r="DT343" s="56"/>
      <c r="DU343" s="56"/>
      <c r="DV343" s="56"/>
      <c r="DW343" s="56"/>
      <c r="DX343" s="56"/>
      <c r="DY343" s="56"/>
      <c r="DZ343" s="56"/>
      <c r="EA343" s="56"/>
      <c r="EB343" s="56"/>
      <c r="EC343" s="56"/>
      <c r="ED343" s="56"/>
      <c r="EE343" s="56"/>
      <c r="EF343" s="56"/>
      <c r="EG343" s="56"/>
      <c r="EH343" s="56"/>
      <c r="EI343" s="56"/>
      <c r="EJ343" s="56"/>
      <c r="EK343" s="56"/>
      <c r="EL343" s="56"/>
      <c r="EM343" s="56"/>
      <c r="EN343" s="56"/>
      <c r="EO343" s="56"/>
      <c r="EP343" s="56"/>
      <c r="EQ343" s="56"/>
      <c r="ER343" s="56"/>
      <c r="ES343" s="56"/>
      <c r="ET343" s="56"/>
      <c r="EU343" s="56"/>
      <c r="EV343" s="56"/>
      <c r="EW343" s="56"/>
      <c r="EX343" s="56"/>
      <c r="EY343" s="56"/>
      <c r="EZ343" s="56"/>
      <c r="FA343" s="56"/>
      <c r="FB343" s="56"/>
      <c r="FC343" s="56"/>
      <c r="FD343" s="56"/>
      <c r="FE343" s="56"/>
      <c r="FF343" s="56"/>
      <c r="FG343" s="56"/>
      <c r="FH343" s="56"/>
      <c r="FI343" s="56"/>
      <c r="FJ343" s="56"/>
      <c r="FK343" s="56"/>
      <c r="FL343" s="56"/>
      <c r="FM343" s="56"/>
      <c r="FN343" s="56"/>
      <c r="FO343" s="56"/>
      <c r="FP343" s="56"/>
      <c r="FQ343" s="56"/>
      <c r="FR343" s="56"/>
      <c r="FS343" s="56"/>
      <c r="FT343" s="56"/>
      <c r="FU343" s="56"/>
      <c r="FV343" s="56"/>
      <c r="FW343" s="56"/>
      <c r="FX343" s="56"/>
      <c r="FY343" s="56"/>
      <c r="FZ343" s="56"/>
      <c r="GA343" s="56"/>
      <c r="GB343" s="56"/>
      <c r="GC343" s="56"/>
      <c r="GD343" s="56"/>
      <c r="GE343" s="56"/>
      <c r="GF343" s="56"/>
      <c r="GG343" s="56"/>
      <c r="GH343" s="56"/>
      <c r="GI343" s="56"/>
      <c r="GJ343" s="56"/>
      <c r="GK343" s="56"/>
      <c r="GL343" s="56"/>
      <c r="GM343" s="56"/>
      <c r="GN343" s="56"/>
      <c r="GO343" s="56"/>
      <c r="GP343" s="56"/>
      <c r="GQ343" s="56"/>
      <c r="GR343" s="56"/>
      <c r="GS343" s="56"/>
      <c r="GT343" s="56"/>
      <c r="GU343" s="56"/>
      <c r="GV343" s="56"/>
      <c r="GW343" s="56"/>
      <c r="GX343" s="56"/>
      <c r="GY343" s="56"/>
      <c r="GZ343" s="56"/>
      <c r="HA343" s="56"/>
      <c r="HB343" s="56"/>
      <c r="HC343" s="56"/>
      <c r="HD343" s="56"/>
      <c r="HE343" s="56"/>
      <c r="HF343" s="56"/>
      <c r="HG343" s="56"/>
      <c r="HH343" s="56"/>
      <c r="HI343" s="56"/>
      <c r="HJ343" s="56"/>
    </row>
    <row r="344" spans="1:218" ht="15.75" customHeight="1" x14ac:dyDescent="0.2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56"/>
      <c r="CP344" s="56"/>
      <c r="CQ344" s="56"/>
      <c r="CR344" s="56"/>
      <c r="CS344" s="56"/>
      <c r="CT344" s="56"/>
      <c r="CU344" s="56"/>
      <c r="CV344" s="56"/>
      <c r="CW344" s="56"/>
      <c r="CX344" s="56"/>
      <c r="CY344" s="56"/>
      <c r="CZ344" s="56"/>
      <c r="DA344" s="56"/>
      <c r="DB344" s="56"/>
      <c r="DC344" s="56"/>
      <c r="DD344" s="56"/>
      <c r="DE344" s="56"/>
      <c r="DF344" s="56"/>
      <c r="DG344" s="56"/>
      <c r="DH344" s="56"/>
      <c r="DI344" s="56"/>
      <c r="DJ344" s="56"/>
      <c r="DK344" s="56"/>
      <c r="DL344" s="56"/>
      <c r="DM344" s="56"/>
      <c r="DN344" s="56"/>
      <c r="DO344" s="56"/>
      <c r="DP344" s="56"/>
      <c r="DQ344" s="56"/>
      <c r="DR344" s="56"/>
      <c r="DS344" s="56"/>
      <c r="DT344" s="56"/>
      <c r="DU344" s="56"/>
      <c r="DV344" s="56"/>
      <c r="DW344" s="56"/>
      <c r="DX344" s="56"/>
      <c r="DY344" s="56"/>
      <c r="DZ344" s="56"/>
      <c r="EA344" s="56"/>
      <c r="EB344" s="56"/>
      <c r="EC344" s="56"/>
      <c r="ED344" s="56"/>
      <c r="EE344" s="56"/>
      <c r="EF344" s="56"/>
      <c r="EG344" s="56"/>
      <c r="EH344" s="56"/>
      <c r="EI344" s="56"/>
      <c r="EJ344" s="56"/>
      <c r="EK344" s="56"/>
      <c r="EL344" s="56"/>
      <c r="EM344" s="56"/>
      <c r="EN344" s="56"/>
      <c r="EO344" s="56"/>
      <c r="EP344" s="56"/>
      <c r="EQ344" s="56"/>
      <c r="ER344" s="56"/>
      <c r="ES344" s="56"/>
      <c r="ET344" s="56"/>
      <c r="EU344" s="56"/>
      <c r="EV344" s="56"/>
      <c r="EW344" s="56"/>
      <c r="EX344" s="56"/>
      <c r="EY344" s="56"/>
      <c r="EZ344" s="56"/>
      <c r="FA344" s="56"/>
      <c r="FB344" s="56"/>
      <c r="FC344" s="56"/>
      <c r="FD344" s="56"/>
      <c r="FE344" s="56"/>
      <c r="FF344" s="56"/>
      <c r="FG344" s="56"/>
      <c r="FH344" s="56"/>
      <c r="FI344" s="56"/>
      <c r="FJ344" s="56"/>
      <c r="FK344" s="56"/>
      <c r="FL344" s="56"/>
      <c r="FM344" s="56"/>
      <c r="FN344" s="56"/>
      <c r="FO344" s="56"/>
      <c r="FP344" s="56"/>
      <c r="FQ344" s="56"/>
      <c r="FR344" s="56"/>
      <c r="FS344" s="56"/>
      <c r="FT344" s="56"/>
      <c r="FU344" s="56"/>
      <c r="FV344" s="56"/>
      <c r="FW344" s="56"/>
      <c r="FX344" s="56"/>
      <c r="FY344" s="56"/>
      <c r="FZ344" s="56"/>
      <c r="GA344" s="56"/>
      <c r="GB344" s="56"/>
      <c r="GC344" s="56"/>
      <c r="GD344" s="56"/>
      <c r="GE344" s="56"/>
      <c r="GF344" s="56"/>
      <c r="GG344" s="56"/>
      <c r="GH344" s="56"/>
      <c r="GI344" s="56"/>
      <c r="GJ344" s="56"/>
      <c r="GK344" s="56"/>
      <c r="GL344" s="56"/>
      <c r="GM344" s="56"/>
      <c r="GN344" s="56"/>
      <c r="GO344" s="56"/>
      <c r="GP344" s="56"/>
      <c r="GQ344" s="56"/>
      <c r="GR344" s="56"/>
      <c r="GS344" s="56"/>
      <c r="GT344" s="56"/>
      <c r="GU344" s="56"/>
      <c r="GV344" s="56"/>
      <c r="GW344" s="56"/>
      <c r="GX344" s="56"/>
      <c r="GY344" s="56"/>
      <c r="GZ344" s="56"/>
      <c r="HA344" s="56"/>
      <c r="HB344" s="56"/>
      <c r="HC344" s="56"/>
      <c r="HD344" s="56"/>
      <c r="HE344" s="56"/>
      <c r="HF344" s="56"/>
      <c r="HG344" s="56"/>
      <c r="HH344" s="56"/>
      <c r="HI344" s="56"/>
      <c r="HJ344" s="56"/>
    </row>
    <row r="345" spans="1:218" ht="15.75" customHeight="1" x14ac:dyDescent="0.2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  <c r="CL345" s="56"/>
      <c r="CM345" s="56"/>
      <c r="CN345" s="56"/>
      <c r="CO345" s="56"/>
      <c r="CP345" s="56"/>
      <c r="CQ345" s="56"/>
      <c r="CR345" s="56"/>
      <c r="CS345" s="56"/>
      <c r="CT345" s="56"/>
      <c r="CU345" s="56"/>
      <c r="CV345" s="56"/>
      <c r="CW345" s="56"/>
      <c r="CX345" s="56"/>
      <c r="CY345" s="56"/>
      <c r="CZ345" s="56"/>
      <c r="DA345" s="56"/>
      <c r="DB345" s="56"/>
      <c r="DC345" s="56"/>
      <c r="DD345" s="56"/>
      <c r="DE345" s="56"/>
      <c r="DF345" s="56"/>
      <c r="DG345" s="56"/>
      <c r="DH345" s="56"/>
      <c r="DI345" s="56"/>
      <c r="DJ345" s="56"/>
      <c r="DK345" s="56"/>
      <c r="DL345" s="56"/>
      <c r="DM345" s="56"/>
      <c r="DN345" s="56"/>
      <c r="DO345" s="56"/>
      <c r="DP345" s="56"/>
      <c r="DQ345" s="56"/>
      <c r="DR345" s="56"/>
      <c r="DS345" s="56"/>
      <c r="DT345" s="56"/>
      <c r="DU345" s="56"/>
      <c r="DV345" s="56"/>
      <c r="DW345" s="56"/>
      <c r="DX345" s="56"/>
      <c r="DY345" s="56"/>
      <c r="DZ345" s="56"/>
      <c r="EA345" s="56"/>
      <c r="EB345" s="56"/>
      <c r="EC345" s="56"/>
      <c r="ED345" s="56"/>
      <c r="EE345" s="56"/>
      <c r="EF345" s="56"/>
      <c r="EG345" s="56"/>
      <c r="EH345" s="56"/>
      <c r="EI345" s="56"/>
      <c r="EJ345" s="56"/>
      <c r="EK345" s="56"/>
      <c r="EL345" s="56"/>
      <c r="EM345" s="56"/>
      <c r="EN345" s="56"/>
      <c r="EO345" s="56"/>
      <c r="EP345" s="56"/>
      <c r="EQ345" s="56"/>
      <c r="ER345" s="56"/>
      <c r="ES345" s="56"/>
      <c r="ET345" s="56"/>
      <c r="EU345" s="56"/>
      <c r="EV345" s="56"/>
      <c r="EW345" s="56"/>
      <c r="EX345" s="56"/>
      <c r="EY345" s="56"/>
      <c r="EZ345" s="56"/>
      <c r="FA345" s="56"/>
      <c r="FB345" s="56"/>
      <c r="FC345" s="56"/>
      <c r="FD345" s="56"/>
      <c r="FE345" s="56"/>
      <c r="FF345" s="56"/>
      <c r="FG345" s="56"/>
      <c r="FH345" s="56"/>
      <c r="FI345" s="56"/>
      <c r="FJ345" s="56"/>
      <c r="FK345" s="56"/>
      <c r="FL345" s="56"/>
      <c r="FM345" s="56"/>
      <c r="FN345" s="56"/>
      <c r="FO345" s="56"/>
      <c r="FP345" s="56"/>
      <c r="FQ345" s="56"/>
      <c r="FR345" s="56"/>
      <c r="FS345" s="56"/>
      <c r="FT345" s="56"/>
      <c r="FU345" s="56"/>
      <c r="FV345" s="56"/>
      <c r="FW345" s="56"/>
      <c r="FX345" s="56"/>
      <c r="FY345" s="56"/>
      <c r="FZ345" s="56"/>
      <c r="GA345" s="56"/>
      <c r="GB345" s="56"/>
      <c r="GC345" s="56"/>
      <c r="GD345" s="56"/>
      <c r="GE345" s="56"/>
      <c r="GF345" s="56"/>
      <c r="GG345" s="56"/>
      <c r="GH345" s="56"/>
      <c r="GI345" s="56"/>
      <c r="GJ345" s="56"/>
      <c r="GK345" s="56"/>
      <c r="GL345" s="56"/>
      <c r="GM345" s="56"/>
      <c r="GN345" s="56"/>
      <c r="GO345" s="56"/>
      <c r="GP345" s="56"/>
      <c r="GQ345" s="56"/>
      <c r="GR345" s="56"/>
      <c r="GS345" s="56"/>
      <c r="GT345" s="56"/>
      <c r="GU345" s="56"/>
      <c r="GV345" s="56"/>
      <c r="GW345" s="56"/>
      <c r="GX345" s="56"/>
      <c r="GY345" s="56"/>
      <c r="GZ345" s="56"/>
      <c r="HA345" s="56"/>
      <c r="HB345" s="56"/>
      <c r="HC345" s="56"/>
      <c r="HD345" s="56"/>
      <c r="HE345" s="56"/>
      <c r="HF345" s="56"/>
      <c r="HG345" s="56"/>
      <c r="HH345" s="56"/>
      <c r="HI345" s="56"/>
      <c r="HJ345" s="56"/>
    </row>
    <row r="346" spans="1:218" ht="15.75" customHeight="1" x14ac:dyDescent="0.2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  <c r="CL346" s="56"/>
      <c r="CM346" s="56"/>
      <c r="CN346" s="56"/>
      <c r="CO346" s="56"/>
      <c r="CP346" s="56"/>
      <c r="CQ346" s="56"/>
      <c r="CR346" s="56"/>
      <c r="CS346" s="56"/>
      <c r="CT346" s="56"/>
      <c r="CU346" s="56"/>
      <c r="CV346" s="56"/>
      <c r="CW346" s="56"/>
      <c r="CX346" s="56"/>
      <c r="CY346" s="56"/>
      <c r="CZ346" s="56"/>
      <c r="DA346" s="56"/>
      <c r="DB346" s="56"/>
      <c r="DC346" s="56"/>
      <c r="DD346" s="56"/>
      <c r="DE346" s="56"/>
      <c r="DF346" s="56"/>
      <c r="DG346" s="56"/>
      <c r="DH346" s="56"/>
      <c r="DI346" s="56"/>
      <c r="DJ346" s="56"/>
      <c r="DK346" s="56"/>
      <c r="DL346" s="56"/>
      <c r="DM346" s="56"/>
      <c r="DN346" s="56"/>
      <c r="DO346" s="56"/>
      <c r="DP346" s="56"/>
      <c r="DQ346" s="56"/>
      <c r="DR346" s="56"/>
      <c r="DS346" s="56"/>
      <c r="DT346" s="56"/>
      <c r="DU346" s="56"/>
      <c r="DV346" s="56"/>
      <c r="DW346" s="56"/>
      <c r="DX346" s="56"/>
      <c r="DY346" s="56"/>
      <c r="DZ346" s="56"/>
      <c r="EA346" s="56"/>
      <c r="EB346" s="56"/>
      <c r="EC346" s="56"/>
      <c r="ED346" s="56"/>
      <c r="EE346" s="56"/>
      <c r="EF346" s="56"/>
      <c r="EG346" s="56"/>
      <c r="EH346" s="56"/>
      <c r="EI346" s="56"/>
      <c r="EJ346" s="56"/>
      <c r="EK346" s="56"/>
      <c r="EL346" s="56"/>
      <c r="EM346" s="56"/>
      <c r="EN346" s="56"/>
      <c r="EO346" s="56"/>
      <c r="EP346" s="56"/>
      <c r="EQ346" s="56"/>
      <c r="ER346" s="56"/>
      <c r="ES346" s="56"/>
      <c r="ET346" s="56"/>
      <c r="EU346" s="56"/>
      <c r="EV346" s="56"/>
      <c r="EW346" s="56"/>
      <c r="EX346" s="56"/>
      <c r="EY346" s="56"/>
      <c r="EZ346" s="56"/>
      <c r="FA346" s="56"/>
      <c r="FB346" s="56"/>
      <c r="FC346" s="56"/>
      <c r="FD346" s="56"/>
      <c r="FE346" s="56"/>
      <c r="FF346" s="56"/>
      <c r="FG346" s="56"/>
      <c r="FH346" s="56"/>
      <c r="FI346" s="56"/>
      <c r="FJ346" s="56"/>
      <c r="FK346" s="56"/>
      <c r="FL346" s="56"/>
      <c r="FM346" s="56"/>
      <c r="FN346" s="56"/>
      <c r="FO346" s="56"/>
      <c r="FP346" s="56"/>
      <c r="FQ346" s="56"/>
      <c r="FR346" s="56"/>
      <c r="FS346" s="56"/>
      <c r="FT346" s="56"/>
      <c r="FU346" s="56"/>
      <c r="FV346" s="56"/>
      <c r="FW346" s="56"/>
      <c r="FX346" s="56"/>
      <c r="FY346" s="56"/>
      <c r="FZ346" s="56"/>
      <c r="GA346" s="56"/>
      <c r="GB346" s="56"/>
      <c r="GC346" s="56"/>
      <c r="GD346" s="56"/>
      <c r="GE346" s="56"/>
      <c r="GF346" s="56"/>
      <c r="GG346" s="56"/>
      <c r="GH346" s="56"/>
      <c r="GI346" s="56"/>
      <c r="GJ346" s="56"/>
      <c r="GK346" s="56"/>
      <c r="GL346" s="56"/>
      <c r="GM346" s="56"/>
      <c r="GN346" s="56"/>
      <c r="GO346" s="56"/>
      <c r="GP346" s="56"/>
      <c r="GQ346" s="56"/>
      <c r="GR346" s="56"/>
      <c r="GS346" s="56"/>
      <c r="GT346" s="56"/>
      <c r="GU346" s="56"/>
      <c r="GV346" s="56"/>
      <c r="GW346" s="56"/>
      <c r="GX346" s="56"/>
      <c r="GY346" s="56"/>
      <c r="GZ346" s="56"/>
      <c r="HA346" s="56"/>
      <c r="HB346" s="56"/>
      <c r="HC346" s="56"/>
      <c r="HD346" s="56"/>
      <c r="HE346" s="56"/>
      <c r="HF346" s="56"/>
      <c r="HG346" s="56"/>
      <c r="HH346" s="56"/>
      <c r="HI346" s="56"/>
      <c r="HJ346" s="56"/>
    </row>
    <row r="347" spans="1:218" ht="15.75" customHeight="1" x14ac:dyDescent="0.2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56"/>
      <c r="CP347" s="56"/>
      <c r="CQ347" s="56"/>
      <c r="CR347" s="56"/>
      <c r="CS347" s="56"/>
      <c r="CT347" s="56"/>
      <c r="CU347" s="56"/>
      <c r="CV347" s="56"/>
      <c r="CW347" s="56"/>
      <c r="CX347" s="56"/>
      <c r="CY347" s="56"/>
      <c r="CZ347" s="56"/>
      <c r="DA347" s="56"/>
      <c r="DB347" s="56"/>
      <c r="DC347" s="56"/>
      <c r="DD347" s="56"/>
      <c r="DE347" s="56"/>
      <c r="DF347" s="56"/>
      <c r="DG347" s="56"/>
      <c r="DH347" s="56"/>
      <c r="DI347" s="56"/>
      <c r="DJ347" s="56"/>
      <c r="DK347" s="56"/>
      <c r="DL347" s="56"/>
      <c r="DM347" s="56"/>
      <c r="DN347" s="56"/>
      <c r="DO347" s="56"/>
      <c r="DP347" s="56"/>
      <c r="DQ347" s="56"/>
      <c r="DR347" s="56"/>
      <c r="DS347" s="56"/>
      <c r="DT347" s="56"/>
      <c r="DU347" s="56"/>
      <c r="DV347" s="56"/>
      <c r="DW347" s="56"/>
      <c r="DX347" s="56"/>
      <c r="DY347" s="56"/>
      <c r="DZ347" s="56"/>
      <c r="EA347" s="56"/>
      <c r="EB347" s="56"/>
      <c r="EC347" s="56"/>
      <c r="ED347" s="56"/>
      <c r="EE347" s="56"/>
      <c r="EF347" s="56"/>
      <c r="EG347" s="56"/>
      <c r="EH347" s="56"/>
      <c r="EI347" s="56"/>
      <c r="EJ347" s="56"/>
      <c r="EK347" s="56"/>
      <c r="EL347" s="56"/>
      <c r="EM347" s="56"/>
      <c r="EN347" s="56"/>
      <c r="EO347" s="56"/>
      <c r="EP347" s="56"/>
      <c r="EQ347" s="56"/>
      <c r="ER347" s="56"/>
      <c r="ES347" s="56"/>
      <c r="ET347" s="56"/>
      <c r="EU347" s="56"/>
      <c r="EV347" s="56"/>
      <c r="EW347" s="56"/>
      <c r="EX347" s="56"/>
      <c r="EY347" s="56"/>
      <c r="EZ347" s="56"/>
      <c r="FA347" s="56"/>
      <c r="FB347" s="56"/>
      <c r="FC347" s="56"/>
      <c r="FD347" s="56"/>
      <c r="FE347" s="56"/>
      <c r="FF347" s="56"/>
      <c r="FG347" s="56"/>
      <c r="FH347" s="56"/>
      <c r="FI347" s="56"/>
      <c r="FJ347" s="56"/>
      <c r="FK347" s="56"/>
      <c r="FL347" s="56"/>
      <c r="FM347" s="56"/>
      <c r="FN347" s="56"/>
      <c r="FO347" s="56"/>
      <c r="FP347" s="56"/>
      <c r="FQ347" s="56"/>
      <c r="FR347" s="56"/>
      <c r="FS347" s="56"/>
      <c r="FT347" s="56"/>
      <c r="FU347" s="56"/>
      <c r="FV347" s="56"/>
      <c r="FW347" s="56"/>
      <c r="FX347" s="56"/>
      <c r="FY347" s="56"/>
      <c r="FZ347" s="56"/>
      <c r="GA347" s="56"/>
      <c r="GB347" s="56"/>
      <c r="GC347" s="56"/>
      <c r="GD347" s="56"/>
      <c r="GE347" s="56"/>
      <c r="GF347" s="56"/>
      <c r="GG347" s="56"/>
      <c r="GH347" s="56"/>
      <c r="GI347" s="56"/>
      <c r="GJ347" s="56"/>
      <c r="GK347" s="56"/>
      <c r="GL347" s="56"/>
      <c r="GM347" s="56"/>
      <c r="GN347" s="56"/>
      <c r="GO347" s="56"/>
      <c r="GP347" s="56"/>
      <c r="GQ347" s="56"/>
      <c r="GR347" s="56"/>
      <c r="GS347" s="56"/>
      <c r="GT347" s="56"/>
      <c r="GU347" s="56"/>
      <c r="GV347" s="56"/>
      <c r="GW347" s="56"/>
      <c r="GX347" s="56"/>
      <c r="GY347" s="56"/>
      <c r="GZ347" s="56"/>
      <c r="HA347" s="56"/>
      <c r="HB347" s="56"/>
      <c r="HC347" s="56"/>
      <c r="HD347" s="56"/>
      <c r="HE347" s="56"/>
      <c r="HF347" s="56"/>
      <c r="HG347" s="56"/>
      <c r="HH347" s="56"/>
      <c r="HI347" s="56"/>
      <c r="HJ347" s="56"/>
    </row>
    <row r="348" spans="1:218" ht="15.75" customHeight="1" x14ac:dyDescent="0.2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56"/>
      <c r="CP348" s="56"/>
      <c r="CQ348" s="56"/>
      <c r="CR348" s="56"/>
      <c r="CS348" s="56"/>
      <c r="CT348" s="56"/>
      <c r="CU348" s="56"/>
      <c r="CV348" s="56"/>
      <c r="CW348" s="56"/>
      <c r="CX348" s="56"/>
      <c r="CY348" s="56"/>
      <c r="CZ348" s="56"/>
      <c r="DA348" s="56"/>
      <c r="DB348" s="56"/>
      <c r="DC348" s="56"/>
      <c r="DD348" s="56"/>
      <c r="DE348" s="56"/>
      <c r="DF348" s="56"/>
      <c r="DG348" s="56"/>
      <c r="DH348" s="56"/>
      <c r="DI348" s="56"/>
      <c r="DJ348" s="56"/>
      <c r="DK348" s="56"/>
      <c r="DL348" s="56"/>
      <c r="DM348" s="56"/>
      <c r="DN348" s="56"/>
      <c r="DO348" s="56"/>
      <c r="DP348" s="56"/>
      <c r="DQ348" s="56"/>
      <c r="DR348" s="56"/>
      <c r="DS348" s="56"/>
      <c r="DT348" s="56"/>
      <c r="DU348" s="56"/>
      <c r="DV348" s="56"/>
      <c r="DW348" s="56"/>
      <c r="DX348" s="56"/>
      <c r="DY348" s="56"/>
      <c r="DZ348" s="56"/>
      <c r="EA348" s="56"/>
      <c r="EB348" s="56"/>
      <c r="EC348" s="56"/>
      <c r="ED348" s="56"/>
      <c r="EE348" s="56"/>
      <c r="EF348" s="56"/>
      <c r="EG348" s="56"/>
      <c r="EH348" s="56"/>
      <c r="EI348" s="56"/>
      <c r="EJ348" s="56"/>
      <c r="EK348" s="56"/>
      <c r="EL348" s="56"/>
      <c r="EM348" s="56"/>
      <c r="EN348" s="56"/>
      <c r="EO348" s="56"/>
      <c r="EP348" s="56"/>
      <c r="EQ348" s="56"/>
      <c r="ER348" s="56"/>
      <c r="ES348" s="56"/>
      <c r="ET348" s="56"/>
      <c r="EU348" s="56"/>
      <c r="EV348" s="56"/>
      <c r="EW348" s="56"/>
      <c r="EX348" s="56"/>
      <c r="EY348" s="56"/>
      <c r="EZ348" s="56"/>
      <c r="FA348" s="56"/>
      <c r="FB348" s="56"/>
      <c r="FC348" s="56"/>
      <c r="FD348" s="56"/>
      <c r="FE348" s="56"/>
      <c r="FF348" s="56"/>
      <c r="FG348" s="56"/>
      <c r="FH348" s="56"/>
      <c r="FI348" s="56"/>
      <c r="FJ348" s="56"/>
      <c r="FK348" s="56"/>
      <c r="FL348" s="56"/>
      <c r="FM348" s="56"/>
      <c r="FN348" s="56"/>
      <c r="FO348" s="56"/>
      <c r="FP348" s="56"/>
      <c r="FQ348" s="56"/>
      <c r="FR348" s="56"/>
      <c r="FS348" s="56"/>
      <c r="FT348" s="56"/>
      <c r="FU348" s="56"/>
      <c r="FV348" s="56"/>
      <c r="FW348" s="56"/>
      <c r="FX348" s="56"/>
      <c r="FY348" s="56"/>
      <c r="FZ348" s="56"/>
      <c r="GA348" s="56"/>
      <c r="GB348" s="56"/>
      <c r="GC348" s="56"/>
      <c r="GD348" s="56"/>
      <c r="GE348" s="56"/>
      <c r="GF348" s="56"/>
      <c r="GG348" s="56"/>
      <c r="GH348" s="56"/>
      <c r="GI348" s="56"/>
      <c r="GJ348" s="56"/>
      <c r="GK348" s="56"/>
      <c r="GL348" s="56"/>
      <c r="GM348" s="56"/>
      <c r="GN348" s="56"/>
      <c r="GO348" s="56"/>
      <c r="GP348" s="56"/>
      <c r="GQ348" s="56"/>
      <c r="GR348" s="56"/>
      <c r="GS348" s="56"/>
      <c r="GT348" s="56"/>
      <c r="GU348" s="56"/>
      <c r="GV348" s="56"/>
      <c r="GW348" s="56"/>
      <c r="GX348" s="56"/>
      <c r="GY348" s="56"/>
      <c r="GZ348" s="56"/>
      <c r="HA348" s="56"/>
      <c r="HB348" s="56"/>
      <c r="HC348" s="56"/>
      <c r="HD348" s="56"/>
      <c r="HE348" s="56"/>
      <c r="HF348" s="56"/>
      <c r="HG348" s="56"/>
      <c r="HH348" s="56"/>
      <c r="HI348" s="56"/>
      <c r="HJ348" s="56"/>
    </row>
    <row r="349" spans="1:218" ht="15.75" customHeight="1" x14ac:dyDescent="0.2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56"/>
      <c r="CP349" s="56"/>
      <c r="CQ349" s="56"/>
      <c r="CR349" s="56"/>
      <c r="CS349" s="56"/>
      <c r="CT349" s="56"/>
      <c r="CU349" s="56"/>
      <c r="CV349" s="56"/>
      <c r="CW349" s="56"/>
      <c r="CX349" s="56"/>
      <c r="CY349" s="56"/>
      <c r="CZ349" s="56"/>
      <c r="DA349" s="56"/>
      <c r="DB349" s="56"/>
      <c r="DC349" s="56"/>
      <c r="DD349" s="56"/>
      <c r="DE349" s="56"/>
      <c r="DF349" s="56"/>
      <c r="DG349" s="56"/>
      <c r="DH349" s="56"/>
      <c r="DI349" s="56"/>
      <c r="DJ349" s="56"/>
      <c r="DK349" s="56"/>
      <c r="DL349" s="56"/>
      <c r="DM349" s="56"/>
      <c r="DN349" s="56"/>
      <c r="DO349" s="56"/>
      <c r="DP349" s="56"/>
      <c r="DQ349" s="56"/>
      <c r="DR349" s="56"/>
      <c r="DS349" s="56"/>
      <c r="DT349" s="56"/>
      <c r="DU349" s="56"/>
      <c r="DV349" s="56"/>
      <c r="DW349" s="56"/>
      <c r="DX349" s="56"/>
      <c r="DY349" s="56"/>
      <c r="DZ349" s="56"/>
      <c r="EA349" s="56"/>
      <c r="EB349" s="56"/>
      <c r="EC349" s="56"/>
      <c r="ED349" s="56"/>
      <c r="EE349" s="56"/>
      <c r="EF349" s="56"/>
      <c r="EG349" s="56"/>
      <c r="EH349" s="56"/>
      <c r="EI349" s="56"/>
      <c r="EJ349" s="56"/>
      <c r="EK349" s="56"/>
      <c r="EL349" s="56"/>
      <c r="EM349" s="56"/>
      <c r="EN349" s="56"/>
      <c r="EO349" s="56"/>
      <c r="EP349" s="56"/>
      <c r="EQ349" s="56"/>
      <c r="ER349" s="56"/>
      <c r="ES349" s="56"/>
      <c r="ET349" s="56"/>
      <c r="EU349" s="56"/>
      <c r="EV349" s="56"/>
      <c r="EW349" s="56"/>
      <c r="EX349" s="56"/>
      <c r="EY349" s="56"/>
      <c r="EZ349" s="56"/>
      <c r="FA349" s="56"/>
      <c r="FB349" s="56"/>
      <c r="FC349" s="56"/>
      <c r="FD349" s="56"/>
      <c r="FE349" s="56"/>
      <c r="FF349" s="56"/>
      <c r="FG349" s="56"/>
      <c r="FH349" s="56"/>
      <c r="FI349" s="56"/>
      <c r="FJ349" s="56"/>
      <c r="FK349" s="56"/>
      <c r="FL349" s="56"/>
      <c r="FM349" s="56"/>
      <c r="FN349" s="56"/>
      <c r="FO349" s="56"/>
      <c r="FP349" s="56"/>
      <c r="FQ349" s="56"/>
      <c r="FR349" s="56"/>
      <c r="FS349" s="56"/>
      <c r="FT349" s="56"/>
      <c r="FU349" s="56"/>
      <c r="FV349" s="56"/>
      <c r="FW349" s="56"/>
      <c r="FX349" s="56"/>
      <c r="FY349" s="56"/>
      <c r="FZ349" s="56"/>
      <c r="GA349" s="56"/>
      <c r="GB349" s="56"/>
      <c r="GC349" s="56"/>
      <c r="GD349" s="56"/>
      <c r="GE349" s="56"/>
      <c r="GF349" s="56"/>
      <c r="GG349" s="56"/>
      <c r="GH349" s="56"/>
      <c r="GI349" s="56"/>
      <c r="GJ349" s="56"/>
      <c r="GK349" s="56"/>
      <c r="GL349" s="56"/>
      <c r="GM349" s="56"/>
      <c r="GN349" s="56"/>
      <c r="GO349" s="56"/>
      <c r="GP349" s="56"/>
      <c r="GQ349" s="56"/>
      <c r="GR349" s="56"/>
      <c r="GS349" s="56"/>
      <c r="GT349" s="56"/>
      <c r="GU349" s="56"/>
      <c r="GV349" s="56"/>
      <c r="GW349" s="56"/>
      <c r="GX349" s="56"/>
      <c r="GY349" s="56"/>
      <c r="GZ349" s="56"/>
      <c r="HA349" s="56"/>
      <c r="HB349" s="56"/>
      <c r="HC349" s="56"/>
      <c r="HD349" s="56"/>
      <c r="HE349" s="56"/>
      <c r="HF349" s="56"/>
      <c r="HG349" s="56"/>
      <c r="HH349" s="56"/>
      <c r="HI349" s="56"/>
      <c r="HJ349" s="56"/>
    </row>
    <row r="350" spans="1:218" ht="15.75" customHeight="1" x14ac:dyDescent="0.2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  <c r="BV350" s="56"/>
      <c r="BW350" s="56"/>
      <c r="BX350" s="56"/>
      <c r="BY350" s="56"/>
      <c r="BZ350" s="56"/>
      <c r="CA350" s="56"/>
      <c r="CB350" s="56"/>
      <c r="CC350" s="56"/>
      <c r="CD350" s="56"/>
      <c r="CE350" s="56"/>
      <c r="CF350" s="56"/>
      <c r="CG350" s="56"/>
      <c r="CH350" s="56"/>
      <c r="CI350" s="56"/>
      <c r="CJ350" s="56"/>
      <c r="CK350" s="56"/>
      <c r="CL350" s="56"/>
      <c r="CM350" s="56"/>
      <c r="CN350" s="56"/>
      <c r="CO350" s="56"/>
      <c r="CP350" s="56"/>
      <c r="CQ350" s="56"/>
      <c r="CR350" s="56"/>
      <c r="CS350" s="56"/>
      <c r="CT350" s="56"/>
      <c r="CU350" s="56"/>
      <c r="CV350" s="56"/>
      <c r="CW350" s="56"/>
      <c r="CX350" s="56"/>
      <c r="CY350" s="56"/>
      <c r="CZ350" s="56"/>
      <c r="DA350" s="56"/>
      <c r="DB350" s="56"/>
      <c r="DC350" s="56"/>
      <c r="DD350" s="56"/>
      <c r="DE350" s="56"/>
      <c r="DF350" s="56"/>
      <c r="DG350" s="56"/>
      <c r="DH350" s="56"/>
      <c r="DI350" s="56"/>
      <c r="DJ350" s="56"/>
      <c r="DK350" s="56"/>
      <c r="DL350" s="56"/>
      <c r="DM350" s="56"/>
      <c r="DN350" s="56"/>
      <c r="DO350" s="56"/>
      <c r="DP350" s="56"/>
      <c r="DQ350" s="56"/>
      <c r="DR350" s="56"/>
      <c r="DS350" s="56"/>
      <c r="DT350" s="56"/>
      <c r="DU350" s="56"/>
      <c r="DV350" s="56"/>
      <c r="DW350" s="56"/>
      <c r="DX350" s="56"/>
      <c r="DY350" s="56"/>
      <c r="DZ350" s="56"/>
      <c r="EA350" s="56"/>
      <c r="EB350" s="56"/>
      <c r="EC350" s="56"/>
      <c r="ED350" s="56"/>
      <c r="EE350" s="56"/>
      <c r="EF350" s="56"/>
      <c r="EG350" s="56"/>
      <c r="EH350" s="56"/>
      <c r="EI350" s="56"/>
      <c r="EJ350" s="56"/>
      <c r="EK350" s="56"/>
      <c r="EL350" s="56"/>
      <c r="EM350" s="56"/>
      <c r="EN350" s="56"/>
      <c r="EO350" s="56"/>
      <c r="EP350" s="56"/>
      <c r="EQ350" s="56"/>
      <c r="ER350" s="56"/>
      <c r="ES350" s="56"/>
      <c r="ET350" s="56"/>
      <c r="EU350" s="56"/>
      <c r="EV350" s="56"/>
      <c r="EW350" s="56"/>
      <c r="EX350" s="56"/>
      <c r="EY350" s="56"/>
      <c r="EZ350" s="56"/>
      <c r="FA350" s="56"/>
      <c r="FB350" s="56"/>
      <c r="FC350" s="56"/>
      <c r="FD350" s="56"/>
      <c r="FE350" s="56"/>
      <c r="FF350" s="56"/>
      <c r="FG350" s="56"/>
      <c r="FH350" s="56"/>
      <c r="FI350" s="56"/>
      <c r="FJ350" s="56"/>
      <c r="FK350" s="56"/>
      <c r="FL350" s="56"/>
      <c r="FM350" s="56"/>
      <c r="FN350" s="56"/>
      <c r="FO350" s="56"/>
      <c r="FP350" s="56"/>
      <c r="FQ350" s="56"/>
      <c r="FR350" s="56"/>
      <c r="FS350" s="56"/>
      <c r="FT350" s="56"/>
      <c r="FU350" s="56"/>
      <c r="FV350" s="56"/>
      <c r="FW350" s="56"/>
      <c r="FX350" s="56"/>
      <c r="FY350" s="56"/>
      <c r="FZ350" s="56"/>
      <c r="GA350" s="56"/>
      <c r="GB350" s="56"/>
      <c r="GC350" s="56"/>
      <c r="GD350" s="56"/>
      <c r="GE350" s="56"/>
      <c r="GF350" s="56"/>
      <c r="GG350" s="56"/>
      <c r="GH350" s="56"/>
      <c r="GI350" s="56"/>
      <c r="GJ350" s="56"/>
      <c r="GK350" s="56"/>
      <c r="GL350" s="56"/>
      <c r="GM350" s="56"/>
      <c r="GN350" s="56"/>
      <c r="GO350" s="56"/>
      <c r="GP350" s="56"/>
      <c r="GQ350" s="56"/>
      <c r="GR350" s="56"/>
      <c r="GS350" s="56"/>
      <c r="GT350" s="56"/>
      <c r="GU350" s="56"/>
      <c r="GV350" s="56"/>
      <c r="GW350" s="56"/>
      <c r="GX350" s="56"/>
      <c r="GY350" s="56"/>
      <c r="GZ350" s="56"/>
      <c r="HA350" s="56"/>
      <c r="HB350" s="56"/>
      <c r="HC350" s="56"/>
      <c r="HD350" s="56"/>
      <c r="HE350" s="56"/>
      <c r="HF350" s="56"/>
      <c r="HG350" s="56"/>
      <c r="HH350" s="56"/>
      <c r="HI350" s="56"/>
      <c r="HJ350" s="56"/>
    </row>
    <row r="351" spans="1:218" ht="15.75" customHeight="1" x14ac:dyDescent="0.2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  <c r="CL351" s="56"/>
      <c r="CM351" s="56"/>
      <c r="CN351" s="56"/>
      <c r="CO351" s="56"/>
      <c r="CP351" s="56"/>
      <c r="CQ351" s="56"/>
      <c r="CR351" s="56"/>
      <c r="CS351" s="56"/>
      <c r="CT351" s="56"/>
      <c r="CU351" s="56"/>
      <c r="CV351" s="56"/>
      <c r="CW351" s="56"/>
      <c r="CX351" s="56"/>
      <c r="CY351" s="56"/>
      <c r="CZ351" s="56"/>
      <c r="DA351" s="56"/>
      <c r="DB351" s="56"/>
      <c r="DC351" s="56"/>
      <c r="DD351" s="56"/>
      <c r="DE351" s="56"/>
      <c r="DF351" s="56"/>
      <c r="DG351" s="56"/>
      <c r="DH351" s="56"/>
      <c r="DI351" s="56"/>
      <c r="DJ351" s="56"/>
      <c r="DK351" s="56"/>
      <c r="DL351" s="56"/>
      <c r="DM351" s="56"/>
      <c r="DN351" s="56"/>
      <c r="DO351" s="56"/>
      <c r="DP351" s="56"/>
      <c r="DQ351" s="56"/>
      <c r="DR351" s="56"/>
      <c r="DS351" s="56"/>
      <c r="DT351" s="56"/>
      <c r="DU351" s="56"/>
      <c r="DV351" s="56"/>
      <c r="DW351" s="56"/>
      <c r="DX351" s="56"/>
      <c r="DY351" s="56"/>
      <c r="DZ351" s="56"/>
      <c r="EA351" s="56"/>
      <c r="EB351" s="56"/>
      <c r="EC351" s="56"/>
      <c r="ED351" s="56"/>
      <c r="EE351" s="56"/>
      <c r="EF351" s="56"/>
      <c r="EG351" s="56"/>
      <c r="EH351" s="56"/>
      <c r="EI351" s="56"/>
      <c r="EJ351" s="56"/>
      <c r="EK351" s="56"/>
      <c r="EL351" s="56"/>
      <c r="EM351" s="56"/>
      <c r="EN351" s="56"/>
      <c r="EO351" s="56"/>
      <c r="EP351" s="56"/>
      <c r="EQ351" s="56"/>
      <c r="ER351" s="56"/>
      <c r="ES351" s="56"/>
      <c r="ET351" s="56"/>
      <c r="EU351" s="56"/>
      <c r="EV351" s="56"/>
      <c r="EW351" s="56"/>
      <c r="EX351" s="56"/>
      <c r="EY351" s="56"/>
      <c r="EZ351" s="56"/>
      <c r="FA351" s="56"/>
      <c r="FB351" s="56"/>
      <c r="FC351" s="56"/>
      <c r="FD351" s="56"/>
      <c r="FE351" s="56"/>
      <c r="FF351" s="56"/>
      <c r="FG351" s="56"/>
      <c r="FH351" s="56"/>
      <c r="FI351" s="56"/>
      <c r="FJ351" s="56"/>
      <c r="FK351" s="56"/>
      <c r="FL351" s="56"/>
      <c r="FM351" s="56"/>
      <c r="FN351" s="56"/>
      <c r="FO351" s="56"/>
      <c r="FP351" s="56"/>
      <c r="FQ351" s="56"/>
      <c r="FR351" s="56"/>
      <c r="FS351" s="56"/>
      <c r="FT351" s="56"/>
      <c r="FU351" s="56"/>
      <c r="FV351" s="56"/>
      <c r="FW351" s="56"/>
      <c r="FX351" s="56"/>
      <c r="FY351" s="56"/>
      <c r="FZ351" s="56"/>
      <c r="GA351" s="56"/>
      <c r="GB351" s="56"/>
      <c r="GC351" s="56"/>
      <c r="GD351" s="56"/>
      <c r="GE351" s="56"/>
      <c r="GF351" s="56"/>
      <c r="GG351" s="56"/>
      <c r="GH351" s="56"/>
      <c r="GI351" s="56"/>
      <c r="GJ351" s="56"/>
      <c r="GK351" s="56"/>
      <c r="GL351" s="56"/>
      <c r="GM351" s="56"/>
      <c r="GN351" s="56"/>
      <c r="GO351" s="56"/>
      <c r="GP351" s="56"/>
      <c r="GQ351" s="56"/>
      <c r="GR351" s="56"/>
      <c r="GS351" s="56"/>
      <c r="GT351" s="56"/>
      <c r="GU351" s="56"/>
      <c r="GV351" s="56"/>
      <c r="GW351" s="56"/>
      <c r="GX351" s="56"/>
      <c r="GY351" s="56"/>
      <c r="GZ351" s="56"/>
      <c r="HA351" s="56"/>
      <c r="HB351" s="56"/>
      <c r="HC351" s="56"/>
      <c r="HD351" s="56"/>
      <c r="HE351" s="56"/>
      <c r="HF351" s="56"/>
      <c r="HG351" s="56"/>
      <c r="HH351" s="56"/>
      <c r="HI351" s="56"/>
      <c r="HJ351" s="56"/>
    </row>
    <row r="352" spans="1:218" ht="15.75" customHeight="1" x14ac:dyDescent="0.2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6"/>
      <c r="CA352" s="56"/>
      <c r="CB352" s="56"/>
      <c r="CC352" s="56"/>
      <c r="CD352" s="56"/>
      <c r="CE352" s="56"/>
      <c r="CF352" s="56"/>
      <c r="CG352" s="56"/>
      <c r="CH352" s="56"/>
      <c r="CI352" s="56"/>
      <c r="CJ352" s="56"/>
      <c r="CK352" s="56"/>
      <c r="CL352" s="56"/>
      <c r="CM352" s="56"/>
      <c r="CN352" s="56"/>
      <c r="CO352" s="56"/>
      <c r="CP352" s="56"/>
      <c r="CQ352" s="56"/>
      <c r="CR352" s="56"/>
      <c r="CS352" s="56"/>
      <c r="CT352" s="56"/>
      <c r="CU352" s="56"/>
      <c r="CV352" s="56"/>
      <c r="CW352" s="56"/>
      <c r="CX352" s="56"/>
      <c r="CY352" s="56"/>
      <c r="CZ352" s="56"/>
      <c r="DA352" s="56"/>
      <c r="DB352" s="56"/>
      <c r="DC352" s="56"/>
      <c r="DD352" s="56"/>
      <c r="DE352" s="56"/>
      <c r="DF352" s="56"/>
      <c r="DG352" s="56"/>
      <c r="DH352" s="56"/>
      <c r="DI352" s="56"/>
      <c r="DJ352" s="56"/>
      <c r="DK352" s="56"/>
      <c r="DL352" s="56"/>
      <c r="DM352" s="56"/>
      <c r="DN352" s="56"/>
      <c r="DO352" s="56"/>
      <c r="DP352" s="56"/>
      <c r="DQ352" s="56"/>
      <c r="DR352" s="56"/>
      <c r="DS352" s="56"/>
      <c r="DT352" s="56"/>
      <c r="DU352" s="56"/>
      <c r="DV352" s="56"/>
      <c r="DW352" s="56"/>
      <c r="DX352" s="56"/>
      <c r="DY352" s="56"/>
      <c r="DZ352" s="56"/>
      <c r="EA352" s="56"/>
      <c r="EB352" s="56"/>
      <c r="EC352" s="56"/>
      <c r="ED352" s="56"/>
      <c r="EE352" s="56"/>
      <c r="EF352" s="56"/>
      <c r="EG352" s="56"/>
      <c r="EH352" s="56"/>
      <c r="EI352" s="56"/>
      <c r="EJ352" s="56"/>
      <c r="EK352" s="56"/>
      <c r="EL352" s="56"/>
      <c r="EM352" s="56"/>
      <c r="EN352" s="56"/>
      <c r="EO352" s="56"/>
      <c r="EP352" s="56"/>
      <c r="EQ352" s="56"/>
      <c r="ER352" s="56"/>
      <c r="ES352" s="56"/>
      <c r="ET352" s="56"/>
      <c r="EU352" s="56"/>
      <c r="EV352" s="56"/>
      <c r="EW352" s="56"/>
      <c r="EX352" s="56"/>
      <c r="EY352" s="56"/>
      <c r="EZ352" s="56"/>
      <c r="FA352" s="56"/>
      <c r="FB352" s="56"/>
      <c r="FC352" s="56"/>
      <c r="FD352" s="56"/>
      <c r="FE352" s="56"/>
      <c r="FF352" s="56"/>
      <c r="FG352" s="56"/>
      <c r="FH352" s="56"/>
      <c r="FI352" s="56"/>
      <c r="FJ352" s="56"/>
      <c r="FK352" s="56"/>
      <c r="FL352" s="56"/>
      <c r="FM352" s="56"/>
      <c r="FN352" s="56"/>
      <c r="FO352" s="56"/>
      <c r="FP352" s="56"/>
      <c r="FQ352" s="56"/>
      <c r="FR352" s="56"/>
      <c r="FS352" s="56"/>
      <c r="FT352" s="56"/>
      <c r="FU352" s="56"/>
      <c r="FV352" s="56"/>
      <c r="FW352" s="56"/>
      <c r="FX352" s="56"/>
      <c r="FY352" s="56"/>
      <c r="FZ352" s="56"/>
      <c r="GA352" s="56"/>
      <c r="GB352" s="56"/>
      <c r="GC352" s="56"/>
      <c r="GD352" s="56"/>
      <c r="GE352" s="56"/>
      <c r="GF352" s="56"/>
      <c r="GG352" s="56"/>
      <c r="GH352" s="56"/>
      <c r="GI352" s="56"/>
      <c r="GJ352" s="56"/>
      <c r="GK352" s="56"/>
      <c r="GL352" s="56"/>
      <c r="GM352" s="56"/>
      <c r="GN352" s="56"/>
      <c r="GO352" s="56"/>
      <c r="GP352" s="56"/>
      <c r="GQ352" s="56"/>
      <c r="GR352" s="56"/>
      <c r="GS352" s="56"/>
      <c r="GT352" s="56"/>
      <c r="GU352" s="56"/>
      <c r="GV352" s="56"/>
      <c r="GW352" s="56"/>
      <c r="GX352" s="56"/>
      <c r="GY352" s="56"/>
      <c r="GZ352" s="56"/>
      <c r="HA352" s="56"/>
      <c r="HB352" s="56"/>
      <c r="HC352" s="56"/>
      <c r="HD352" s="56"/>
      <c r="HE352" s="56"/>
      <c r="HF352" s="56"/>
      <c r="HG352" s="56"/>
      <c r="HH352" s="56"/>
      <c r="HI352" s="56"/>
      <c r="HJ352" s="56"/>
    </row>
    <row r="353" spans="1:218" ht="15.75" customHeight="1" x14ac:dyDescent="0.2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  <c r="CS353" s="56"/>
      <c r="CT353" s="56"/>
      <c r="CU353" s="56"/>
      <c r="CV353" s="56"/>
      <c r="CW353" s="56"/>
      <c r="CX353" s="56"/>
      <c r="CY353" s="56"/>
      <c r="CZ353" s="56"/>
      <c r="DA353" s="56"/>
      <c r="DB353" s="56"/>
      <c r="DC353" s="56"/>
      <c r="DD353" s="56"/>
      <c r="DE353" s="56"/>
      <c r="DF353" s="56"/>
      <c r="DG353" s="56"/>
      <c r="DH353" s="56"/>
      <c r="DI353" s="56"/>
      <c r="DJ353" s="56"/>
      <c r="DK353" s="56"/>
      <c r="DL353" s="56"/>
      <c r="DM353" s="56"/>
      <c r="DN353" s="56"/>
      <c r="DO353" s="56"/>
      <c r="DP353" s="56"/>
      <c r="DQ353" s="56"/>
      <c r="DR353" s="56"/>
      <c r="DS353" s="56"/>
      <c r="DT353" s="56"/>
      <c r="DU353" s="56"/>
      <c r="DV353" s="56"/>
      <c r="DW353" s="56"/>
      <c r="DX353" s="56"/>
      <c r="DY353" s="56"/>
      <c r="DZ353" s="56"/>
      <c r="EA353" s="56"/>
      <c r="EB353" s="56"/>
      <c r="EC353" s="56"/>
      <c r="ED353" s="56"/>
      <c r="EE353" s="56"/>
      <c r="EF353" s="56"/>
      <c r="EG353" s="56"/>
      <c r="EH353" s="56"/>
      <c r="EI353" s="56"/>
      <c r="EJ353" s="56"/>
      <c r="EK353" s="56"/>
      <c r="EL353" s="56"/>
      <c r="EM353" s="56"/>
      <c r="EN353" s="56"/>
      <c r="EO353" s="56"/>
      <c r="EP353" s="56"/>
      <c r="EQ353" s="56"/>
      <c r="ER353" s="56"/>
      <c r="ES353" s="56"/>
      <c r="ET353" s="56"/>
      <c r="EU353" s="56"/>
      <c r="EV353" s="56"/>
      <c r="EW353" s="56"/>
      <c r="EX353" s="56"/>
      <c r="EY353" s="56"/>
      <c r="EZ353" s="56"/>
      <c r="FA353" s="56"/>
      <c r="FB353" s="56"/>
      <c r="FC353" s="56"/>
      <c r="FD353" s="56"/>
      <c r="FE353" s="56"/>
      <c r="FF353" s="56"/>
      <c r="FG353" s="56"/>
      <c r="FH353" s="56"/>
      <c r="FI353" s="56"/>
      <c r="FJ353" s="56"/>
      <c r="FK353" s="56"/>
      <c r="FL353" s="56"/>
      <c r="FM353" s="56"/>
      <c r="FN353" s="56"/>
      <c r="FO353" s="56"/>
      <c r="FP353" s="56"/>
      <c r="FQ353" s="56"/>
      <c r="FR353" s="56"/>
      <c r="FS353" s="56"/>
      <c r="FT353" s="56"/>
      <c r="FU353" s="56"/>
      <c r="FV353" s="56"/>
      <c r="FW353" s="56"/>
      <c r="FX353" s="56"/>
      <c r="FY353" s="56"/>
      <c r="FZ353" s="56"/>
      <c r="GA353" s="56"/>
      <c r="GB353" s="56"/>
      <c r="GC353" s="56"/>
      <c r="GD353" s="56"/>
      <c r="GE353" s="56"/>
      <c r="GF353" s="56"/>
      <c r="GG353" s="56"/>
      <c r="GH353" s="56"/>
      <c r="GI353" s="56"/>
      <c r="GJ353" s="56"/>
      <c r="GK353" s="56"/>
      <c r="GL353" s="56"/>
      <c r="GM353" s="56"/>
      <c r="GN353" s="56"/>
      <c r="GO353" s="56"/>
      <c r="GP353" s="56"/>
      <c r="GQ353" s="56"/>
      <c r="GR353" s="56"/>
      <c r="GS353" s="56"/>
      <c r="GT353" s="56"/>
      <c r="GU353" s="56"/>
      <c r="GV353" s="56"/>
      <c r="GW353" s="56"/>
      <c r="GX353" s="56"/>
      <c r="GY353" s="56"/>
      <c r="GZ353" s="56"/>
      <c r="HA353" s="56"/>
      <c r="HB353" s="56"/>
      <c r="HC353" s="56"/>
      <c r="HD353" s="56"/>
      <c r="HE353" s="56"/>
      <c r="HF353" s="56"/>
      <c r="HG353" s="56"/>
      <c r="HH353" s="56"/>
      <c r="HI353" s="56"/>
      <c r="HJ353" s="56"/>
    </row>
    <row r="354" spans="1:218" ht="15.75" customHeight="1" x14ac:dyDescent="0.2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56"/>
      <c r="CP354" s="56"/>
      <c r="CQ354" s="56"/>
      <c r="CR354" s="56"/>
      <c r="CS354" s="56"/>
      <c r="CT354" s="56"/>
      <c r="CU354" s="56"/>
      <c r="CV354" s="56"/>
      <c r="CW354" s="56"/>
      <c r="CX354" s="56"/>
      <c r="CY354" s="56"/>
      <c r="CZ354" s="56"/>
      <c r="DA354" s="56"/>
      <c r="DB354" s="56"/>
      <c r="DC354" s="56"/>
      <c r="DD354" s="56"/>
      <c r="DE354" s="56"/>
      <c r="DF354" s="56"/>
      <c r="DG354" s="56"/>
      <c r="DH354" s="56"/>
      <c r="DI354" s="56"/>
      <c r="DJ354" s="56"/>
      <c r="DK354" s="56"/>
      <c r="DL354" s="56"/>
      <c r="DM354" s="56"/>
      <c r="DN354" s="56"/>
      <c r="DO354" s="56"/>
      <c r="DP354" s="56"/>
      <c r="DQ354" s="56"/>
      <c r="DR354" s="56"/>
      <c r="DS354" s="56"/>
      <c r="DT354" s="56"/>
      <c r="DU354" s="56"/>
      <c r="DV354" s="56"/>
      <c r="DW354" s="56"/>
      <c r="DX354" s="56"/>
      <c r="DY354" s="56"/>
      <c r="DZ354" s="56"/>
      <c r="EA354" s="56"/>
      <c r="EB354" s="56"/>
      <c r="EC354" s="56"/>
      <c r="ED354" s="56"/>
      <c r="EE354" s="56"/>
      <c r="EF354" s="56"/>
      <c r="EG354" s="56"/>
      <c r="EH354" s="56"/>
      <c r="EI354" s="56"/>
      <c r="EJ354" s="56"/>
      <c r="EK354" s="56"/>
      <c r="EL354" s="56"/>
      <c r="EM354" s="56"/>
      <c r="EN354" s="56"/>
      <c r="EO354" s="56"/>
      <c r="EP354" s="56"/>
      <c r="EQ354" s="56"/>
      <c r="ER354" s="56"/>
      <c r="ES354" s="56"/>
      <c r="ET354" s="56"/>
      <c r="EU354" s="56"/>
      <c r="EV354" s="56"/>
      <c r="EW354" s="56"/>
      <c r="EX354" s="56"/>
      <c r="EY354" s="56"/>
      <c r="EZ354" s="56"/>
      <c r="FA354" s="56"/>
      <c r="FB354" s="56"/>
      <c r="FC354" s="56"/>
      <c r="FD354" s="56"/>
      <c r="FE354" s="56"/>
      <c r="FF354" s="56"/>
      <c r="FG354" s="56"/>
      <c r="FH354" s="56"/>
      <c r="FI354" s="56"/>
      <c r="FJ354" s="56"/>
      <c r="FK354" s="56"/>
      <c r="FL354" s="56"/>
      <c r="FM354" s="56"/>
      <c r="FN354" s="56"/>
      <c r="FO354" s="56"/>
      <c r="FP354" s="56"/>
      <c r="FQ354" s="56"/>
      <c r="FR354" s="56"/>
      <c r="FS354" s="56"/>
      <c r="FT354" s="56"/>
      <c r="FU354" s="56"/>
      <c r="FV354" s="56"/>
      <c r="FW354" s="56"/>
      <c r="FX354" s="56"/>
      <c r="FY354" s="56"/>
      <c r="FZ354" s="56"/>
      <c r="GA354" s="56"/>
      <c r="GB354" s="56"/>
      <c r="GC354" s="56"/>
      <c r="GD354" s="56"/>
      <c r="GE354" s="56"/>
      <c r="GF354" s="56"/>
      <c r="GG354" s="56"/>
      <c r="GH354" s="56"/>
      <c r="GI354" s="56"/>
      <c r="GJ354" s="56"/>
      <c r="GK354" s="56"/>
      <c r="GL354" s="56"/>
      <c r="GM354" s="56"/>
      <c r="GN354" s="56"/>
      <c r="GO354" s="56"/>
      <c r="GP354" s="56"/>
      <c r="GQ354" s="56"/>
      <c r="GR354" s="56"/>
      <c r="GS354" s="56"/>
      <c r="GT354" s="56"/>
      <c r="GU354" s="56"/>
      <c r="GV354" s="56"/>
      <c r="GW354" s="56"/>
      <c r="GX354" s="56"/>
      <c r="GY354" s="56"/>
      <c r="GZ354" s="56"/>
      <c r="HA354" s="56"/>
      <c r="HB354" s="56"/>
      <c r="HC354" s="56"/>
      <c r="HD354" s="56"/>
      <c r="HE354" s="56"/>
      <c r="HF354" s="56"/>
      <c r="HG354" s="56"/>
      <c r="HH354" s="56"/>
      <c r="HI354" s="56"/>
      <c r="HJ354" s="56"/>
    </row>
    <row r="355" spans="1:218" ht="15.75" customHeight="1" x14ac:dyDescent="0.2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  <c r="CL355" s="56"/>
      <c r="CM355" s="56"/>
      <c r="CN355" s="56"/>
      <c r="CO355" s="56"/>
      <c r="CP355" s="56"/>
      <c r="CQ355" s="56"/>
      <c r="CR355" s="56"/>
      <c r="CS355" s="56"/>
      <c r="CT355" s="56"/>
      <c r="CU355" s="56"/>
      <c r="CV355" s="56"/>
      <c r="CW355" s="56"/>
      <c r="CX355" s="56"/>
      <c r="CY355" s="56"/>
      <c r="CZ355" s="56"/>
      <c r="DA355" s="56"/>
      <c r="DB355" s="56"/>
      <c r="DC355" s="56"/>
      <c r="DD355" s="56"/>
      <c r="DE355" s="56"/>
      <c r="DF355" s="56"/>
      <c r="DG355" s="56"/>
      <c r="DH355" s="56"/>
      <c r="DI355" s="56"/>
      <c r="DJ355" s="56"/>
      <c r="DK355" s="56"/>
      <c r="DL355" s="56"/>
      <c r="DM355" s="56"/>
      <c r="DN355" s="56"/>
      <c r="DO355" s="56"/>
      <c r="DP355" s="56"/>
      <c r="DQ355" s="56"/>
      <c r="DR355" s="56"/>
      <c r="DS355" s="56"/>
      <c r="DT355" s="56"/>
      <c r="DU355" s="56"/>
      <c r="DV355" s="56"/>
      <c r="DW355" s="56"/>
      <c r="DX355" s="56"/>
      <c r="DY355" s="56"/>
      <c r="DZ355" s="56"/>
      <c r="EA355" s="56"/>
      <c r="EB355" s="56"/>
      <c r="EC355" s="56"/>
      <c r="ED355" s="56"/>
      <c r="EE355" s="56"/>
      <c r="EF355" s="56"/>
      <c r="EG355" s="56"/>
      <c r="EH355" s="56"/>
      <c r="EI355" s="56"/>
      <c r="EJ355" s="56"/>
      <c r="EK355" s="56"/>
      <c r="EL355" s="56"/>
      <c r="EM355" s="56"/>
      <c r="EN355" s="56"/>
      <c r="EO355" s="56"/>
      <c r="EP355" s="56"/>
      <c r="EQ355" s="56"/>
      <c r="ER355" s="56"/>
      <c r="ES355" s="56"/>
      <c r="ET355" s="56"/>
      <c r="EU355" s="56"/>
      <c r="EV355" s="56"/>
      <c r="EW355" s="56"/>
      <c r="EX355" s="56"/>
      <c r="EY355" s="56"/>
      <c r="EZ355" s="56"/>
      <c r="FA355" s="56"/>
      <c r="FB355" s="56"/>
      <c r="FC355" s="56"/>
      <c r="FD355" s="56"/>
      <c r="FE355" s="56"/>
      <c r="FF355" s="56"/>
      <c r="FG355" s="56"/>
      <c r="FH355" s="56"/>
      <c r="FI355" s="56"/>
      <c r="FJ355" s="56"/>
      <c r="FK355" s="56"/>
      <c r="FL355" s="56"/>
      <c r="FM355" s="56"/>
      <c r="FN355" s="56"/>
      <c r="FO355" s="56"/>
      <c r="FP355" s="56"/>
      <c r="FQ355" s="56"/>
      <c r="FR355" s="56"/>
      <c r="FS355" s="56"/>
      <c r="FT355" s="56"/>
      <c r="FU355" s="56"/>
      <c r="FV355" s="56"/>
      <c r="FW355" s="56"/>
      <c r="FX355" s="56"/>
      <c r="FY355" s="56"/>
      <c r="FZ355" s="56"/>
      <c r="GA355" s="56"/>
      <c r="GB355" s="56"/>
      <c r="GC355" s="56"/>
      <c r="GD355" s="56"/>
      <c r="GE355" s="56"/>
      <c r="GF355" s="56"/>
      <c r="GG355" s="56"/>
      <c r="GH355" s="56"/>
      <c r="GI355" s="56"/>
      <c r="GJ355" s="56"/>
      <c r="GK355" s="56"/>
      <c r="GL355" s="56"/>
      <c r="GM355" s="56"/>
      <c r="GN355" s="56"/>
      <c r="GO355" s="56"/>
      <c r="GP355" s="56"/>
      <c r="GQ355" s="56"/>
      <c r="GR355" s="56"/>
      <c r="GS355" s="56"/>
      <c r="GT355" s="56"/>
      <c r="GU355" s="56"/>
      <c r="GV355" s="56"/>
      <c r="GW355" s="56"/>
      <c r="GX355" s="56"/>
      <c r="GY355" s="56"/>
      <c r="GZ355" s="56"/>
      <c r="HA355" s="56"/>
      <c r="HB355" s="56"/>
      <c r="HC355" s="56"/>
      <c r="HD355" s="56"/>
      <c r="HE355" s="56"/>
      <c r="HF355" s="56"/>
      <c r="HG355" s="56"/>
      <c r="HH355" s="56"/>
      <c r="HI355" s="56"/>
      <c r="HJ355" s="56"/>
    </row>
    <row r="356" spans="1:218" ht="15.75" customHeight="1" x14ac:dyDescent="0.2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  <c r="CL356" s="56"/>
      <c r="CM356" s="56"/>
      <c r="CN356" s="56"/>
      <c r="CO356" s="56"/>
      <c r="CP356" s="56"/>
      <c r="CQ356" s="56"/>
      <c r="CR356" s="56"/>
      <c r="CS356" s="56"/>
      <c r="CT356" s="56"/>
      <c r="CU356" s="56"/>
      <c r="CV356" s="56"/>
      <c r="CW356" s="56"/>
      <c r="CX356" s="56"/>
      <c r="CY356" s="56"/>
      <c r="CZ356" s="56"/>
      <c r="DA356" s="56"/>
      <c r="DB356" s="56"/>
      <c r="DC356" s="56"/>
      <c r="DD356" s="56"/>
      <c r="DE356" s="56"/>
      <c r="DF356" s="56"/>
      <c r="DG356" s="56"/>
      <c r="DH356" s="56"/>
      <c r="DI356" s="56"/>
      <c r="DJ356" s="56"/>
      <c r="DK356" s="56"/>
      <c r="DL356" s="56"/>
      <c r="DM356" s="56"/>
      <c r="DN356" s="56"/>
      <c r="DO356" s="56"/>
      <c r="DP356" s="56"/>
      <c r="DQ356" s="56"/>
      <c r="DR356" s="56"/>
      <c r="DS356" s="56"/>
      <c r="DT356" s="56"/>
      <c r="DU356" s="56"/>
      <c r="DV356" s="56"/>
      <c r="DW356" s="56"/>
      <c r="DX356" s="56"/>
      <c r="DY356" s="56"/>
      <c r="DZ356" s="56"/>
      <c r="EA356" s="56"/>
      <c r="EB356" s="56"/>
      <c r="EC356" s="56"/>
      <c r="ED356" s="56"/>
      <c r="EE356" s="56"/>
      <c r="EF356" s="56"/>
      <c r="EG356" s="56"/>
      <c r="EH356" s="56"/>
      <c r="EI356" s="56"/>
      <c r="EJ356" s="56"/>
      <c r="EK356" s="56"/>
      <c r="EL356" s="56"/>
      <c r="EM356" s="56"/>
      <c r="EN356" s="56"/>
      <c r="EO356" s="56"/>
      <c r="EP356" s="56"/>
      <c r="EQ356" s="56"/>
      <c r="ER356" s="56"/>
      <c r="ES356" s="56"/>
      <c r="ET356" s="56"/>
      <c r="EU356" s="56"/>
      <c r="EV356" s="56"/>
      <c r="EW356" s="56"/>
      <c r="EX356" s="56"/>
      <c r="EY356" s="56"/>
      <c r="EZ356" s="56"/>
      <c r="FA356" s="56"/>
      <c r="FB356" s="56"/>
      <c r="FC356" s="56"/>
      <c r="FD356" s="56"/>
      <c r="FE356" s="56"/>
      <c r="FF356" s="56"/>
      <c r="FG356" s="56"/>
      <c r="FH356" s="56"/>
      <c r="FI356" s="56"/>
      <c r="FJ356" s="56"/>
      <c r="FK356" s="56"/>
      <c r="FL356" s="56"/>
      <c r="FM356" s="56"/>
      <c r="FN356" s="56"/>
      <c r="FO356" s="56"/>
      <c r="FP356" s="56"/>
      <c r="FQ356" s="56"/>
      <c r="FR356" s="56"/>
      <c r="FS356" s="56"/>
      <c r="FT356" s="56"/>
      <c r="FU356" s="56"/>
      <c r="FV356" s="56"/>
      <c r="FW356" s="56"/>
      <c r="FX356" s="56"/>
      <c r="FY356" s="56"/>
      <c r="FZ356" s="56"/>
      <c r="GA356" s="56"/>
      <c r="GB356" s="56"/>
      <c r="GC356" s="56"/>
      <c r="GD356" s="56"/>
      <c r="GE356" s="56"/>
      <c r="GF356" s="56"/>
      <c r="GG356" s="56"/>
      <c r="GH356" s="56"/>
      <c r="GI356" s="56"/>
      <c r="GJ356" s="56"/>
      <c r="GK356" s="56"/>
      <c r="GL356" s="56"/>
      <c r="GM356" s="56"/>
      <c r="GN356" s="56"/>
      <c r="GO356" s="56"/>
      <c r="GP356" s="56"/>
      <c r="GQ356" s="56"/>
      <c r="GR356" s="56"/>
      <c r="GS356" s="56"/>
      <c r="GT356" s="56"/>
      <c r="GU356" s="56"/>
      <c r="GV356" s="56"/>
      <c r="GW356" s="56"/>
      <c r="GX356" s="56"/>
      <c r="GY356" s="56"/>
      <c r="GZ356" s="56"/>
      <c r="HA356" s="56"/>
      <c r="HB356" s="56"/>
      <c r="HC356" s="56"/>
      <c r="HD356" s="56"/>
      <c r="HE356" s="56"/>
      <c r="HF356" s="56"/>
      <c r="HG356" s="56"/>
      <c r="HH356" s="56"/>
      <c r="HI356" s="56"/>
      <c r="HJ356" s="56"/>
    </row>
    <row r="357" spans="1:218" ht="15.75" customHeight="1" x14ac:dyDescent="0.2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  <c r="CL357" s="56"/>
      <c r="CM357" s="56"/>
      <c r="CN357" s="56"/>
      <c r="CO357" s="56"/>
      <c r="CP357" s="56"/>
      <c r="CQ357" s="56"/>
      <c r="CR357" s="56"/>
      <c r="CS357" s="56"/>
      <c r="CT357" s="56"/>
      <c r="CU357" s="56"/>
      <c r="CV357" s="56"/>
      <c r="CW357" s="56"/>
      <c r="CX357" s="56"/>
      <c r="CY357" s="56"/>
      <c r="CZ357" s="56"/>
      <c r="DA357" s="56"/>
      <c r="DB357" s="56"/>
      <c r="DC357" s="56"/>
      <c r="DD357" s="56"/>
      <c r="DE357" s="56"/>
      <c r="DF357" s="56"/>
      <c r="DG357" s="56"/>
      <c r="DH357" s="56"/>
      <c r="DI357" s="56"/>
      <c r="DJ357" s="56"/>
      <c r="DK357" s="56"/>
      <c r="DL357" s="56"/>
      <c r="DM357" s="56"/>
      <c r="DN357" s="56"/>
      <c r="DO357" s="56"/>
      <c r="DP357" s="56"/>
      <c r="DQ357" s="56"/>
      <c r="DR357" s="56"/>
      <c r="DS357" s="56"/>
      <c r="DT357" s="56"/>
      <c r="DU357" s="56"/>
      <c r="DV357" s="56"/>
      <c r="DW357" s="56"/>
      <c r="DX357" s="56"/>
      <c r="DY357" s="56"/>
      <c r="DZ357" s="56"/>
      <c r="EA357" s="56"/>
      <c r="EB357" s="56"/>
      <c r="EC357" s="56"/>
      <c r="ED357" s="56"/>
      <c r="EE357" s="56"/>
      <c r="EF357" s="56"/>
      <c r="EG357" s="56"/>
      <c r="EH357" s="56"/>
      <c r="EI357" s="56"/>
      <c r="EJ357" s="56"/>
      <c r="EK357" s="56"/>
      <c r="EL357" s="56"/>
      <c r="EM357" s="56"/>
      <c r="EN357" s="56"/>
      <c r="EO357" s="56"/>
      <c r="EP357" s="56"/>
      <c r="EQ357" s="56"/>
      <c r="ER357" s="56"/>
      <c r="ES357" s="56"/>
      <c r="ET357" s="56"/>
      <c r="EU357" s="56"/>
      <c r="EV357" s="56"/>
      <c r="EW357" s="56"/>
      <c r="EX357" s="56"/>
      <c r="EY357" s="56"/>
      <c r="EZ357" s="56"/>
      <c r="FA357" s="56"/>
      <c r="FB357" s="56"/>
      <c r="FC357" s="56"/>
      <c r="FD357" s="56"/>
      <c r="FE357" s="56"/>
      <c r="FF357" s="56"/>
      <c r="FG357" s="56"/>
      <c r="FH357" s="56"/>
      <c r="FI357" s="56"/>
      <c r="FJ357" s="56"/>
      <c r="FK357" s="56"/>
      <c r="FL357" s="56"/>
      <c r="FM357" s="56"/>
      <c r="FN357" s="56"/>
      <c r="FO357" s="56"/>
      <c r="FP357" s="56"/>
      <c r="FQ357" s="56"/>
      <c r="FR357" s="56"/>
      <c r="FS357" s="56"/>
      <c r="FT357" s="56"/>
      <c r="FU357" s="56"/>
      <c r="FV357" s="56"/>
      <c r="FW357" s="56"/>
      <c r="FX357" s="56"/>
      <c r="FY357" s="56"/>
      <c r="FZ357" s="56"/>
      <c r="GA357" s="56"/>
      <c r="GB357" s="56"/>
      <c r="GC357" s="56"/>
      <c r="GD357" s="56"/>
      <c r="GE357" s="56"/>
      <c r="GF357" s="56"/>
      <c r="GG357" s="56"/>
      <c r="GH357" s="56"/>
      <c r="GI357" s="56"/>
      <c r="GJ357" s="56"/>
      <c r="GK357" s="56"/>
      <c r="GL357" s="56"/>
      <c r="GM357" s="56"/>
      <c r="GN357" s="56"/>
      <c r="GO357" s="56"/>
      <c r="GP357" s="56"/>
      <c r="GQ357" s="56"/>
      <c r="GR357" s="56"/>
      <c r="GS357" s="56"/>
      <c r="GT357" s="56"/>
      <c r="GU357" s="56"/>
      <c r="GV357" s="56"/>
      <c r="GW357" s="56"/>
      <c r="GX357" s="56"/>
      <c r="GY357" s="56"/>
      <c r="GZ357" s="56"/>
      <c r="HA357" s="56"/>
      <c r="HB357" s="56"/>
      <c r="HC357" s="56"/>
      <c r="HD357" s="56"/>
      <c r="HE357" s="56"/>
      <c r="HF357" s="56"/>
      <c r="HG357" s="56"/>
      <c r="HH357" s="56"/>
      <c r="HI357" s="56"/>
      <c r="HJ357" s="56"/>
    </row>
    <row r="358" spans="1:218" ht="15.75" customHeight="1" x14ac:dyDescent="0.2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56"/>
      <c r="CP358" s="56"/>
      <c r="CQ358" s="56"/>
      <c r="CR358" s="56"/>
      <c r="CS358" s="56"/>
      <c r="CT358" s="56"/>
      <c r="CU358" s="56"/>
      <c r="CV358" s="56"/>
      <c r="CW358" s="56"/>
      <c r="CX358" s="56"/>
      <c r="CY358" s="56"/>
      <c r="CZ358" s="56"/>
      <c r="DA358" s="56"/>
      <c r="DB358" s="56"/>
      <c r="DC358" s="56"/>
      <c r="DD358" s="56"/>
      <c r="DE358" s="56"/>
      <c r="DF358" s="56"/>
      <c r="DG358" s="56"/>
      <c r="DH358" s="56"/>
      <c r="DI358" s="56"/>
      <c r="DJ358" s="56"/>
      <c r="DK358" s="56"/>
      <c r="DL358" s="56"/>
      <c r="DM358" s="56"/>
      <c r="DN358" s="56"/>
      <c r="DO358" s="56"/>
      <c r="DP358" s="56"/>
      <c r="DQ358" s="56"/>
      <c r="DR358" s="56"/>
      <c r="DS358" s="56"/>
      <c r="DT358" s="56"/>
      <c r="DU358" s="56"/>
      <c r="DV358" s="56"/>
      <c r="DW358" s="56"/>
      <c r="DX358" s="56"/>
      <c r="DY358" s="56"/>
      <c r="DZ358" s="56"/>
      <c r="EA358" s="56"/>
      <c r="EB358" s="56"/>
      <c r="EC358" s="56"/>
      <c r="ED358" s="56"/>
      <c r="EE358" s="56"/>
      <c r="EF358" s="56"/>
      <c r="EG358" s="56"/>
      <c r="EH358" s="56"/>
      <c r="EI358" s="56"/>
      <c r="EJ358" s="56"/>
      <c r="EK358" s="56"/>
      <c r="EL358" s="56"/>
      <c r="EM358" s="56"/>
      <c r="EN358" s="56"/>
      <c r="EO358" s="56"/>
      <c r="EP358" s="56"/>
      <c r="EQ358" s="56"/>
      <c r="ER358" s="56"/>
      <c r="ES358" s="56"/>
      <c r="ET358" s="56"/>
      <c r="EU358" s="56"/>
      <c r="EV358" s="56"/>
      <c r="EW358" s="56"/>
      <c r="EX358" s="56"/>
      <c r="EY358" s="56"/>
      <c r="EZ358" s="56"/>
      <c r="FA358" s="56"/>
      <c r="FB358" s="56"/>
      <c r="FC358" s="56"/>
      <c r="FD358" s="56"/>
      <c r="FE358" s="56"/>
      <c r="FF358" s="56"/>
      <c r="FG358" s="56"/>
      <c r="FH358" s="56"/>
      <c r="FI358" s="56"/>
      <c r="FJ358" s="56"/>
      <c r="FK358" s="56"/>
      <c r="FL358" s="56"/>
      <c r="FM358" s="56"/>
      <c r="FN358" s="56"/>
      <c r="FO358" s="56"/>
      <c r="FP358" s="56"/>
      <c r="FQ358" s="56"/>
      <c r="FR358" s="56"/>
      <c r="FS358" s="56"/>
      <c r="FT358" s="56"/>
      <c r="FU358" s="56"/>
      <c r="FV358" s="56"/>
      <c r="FW358" s="56"/>
      <c r="FX358" s="56"/>
      <c r="FY358" s="56"/>
      <c r="FZ358" s="56"/>
      <c r="GA358" s="56"/>
      <c r="GB358" s="56"/>
      <c r="GC358" s="56"/>
      <c r="GD358" s="56"/>
      <c r="GE358" s="56"/>
      <c r="GF358" s="56"/>
      <c r="GG358" s="56"/>
      <c r="GH358" s="56"/>
      <c r="GI358" s="56"/>
      <c r="GJ358" s="56"/>
      <c r="GK358" s="56"/>
      <c r="GL358" s="56"/>
      <c r="GM358" s="56"/>
      <c r="GN358" s="56"/>
      <c r="GO358" s="56"/>
      <c r="GP358" s="56"/>
      <c r="GQ358" s="56"/>
      <c r="GR358" s="56"/>
      <c r="GS358" s="56"/>
      <c r="GT358" s="56"/>
      <c r="GU358" s="56"/>
      <c r="GV358" s="56"/>
      <c r="GW358" s="56"/>
      <c r="GX358" s="56"/>
      <c r="GY358" s="56"/>
      <c r="GZ358" s="56"/>
      <c r="HA358" s="56"/>
      <c r="HB358" s="56"/>
      <c r="HC358" s="56"/>
      <c r="HD358" s="56"/>
      <c r="HE358" s="56"/>
      <c r="HF358" s="56"/>
      <c r="HG358" s="56"/>
      <c r="HH358" s="56"/>
      <c r="HI358" s="56"/>
      <c r="HJ358" s="56"/>
    </row>
    <row r="359" spans="1:218" ht="15.75" customHeight="1" x14ac:dyDescent="0.2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  <c r="CR359" s="56"/>
      <c r="CS359" s="56"/>
      <c r="CT359" s="56"/>
      <c r="CU359" s="56"/>
      <c r="CV359" s="56"/>
      <c r="CW359" s="56"/>
      <c r="CX359" s="56"/>
      <c r="CY359" s="56"/>
      <c r="CZ359" s="56"/>
      <c r="DA359" s="56"/>
      <c r="DB359" s="56"/>
      <c r="DC359" s="56"/>
      <c r="DD359" s="56"/>
      <c r="DE359" s="56"/>
      <c r="DF359" s="56"/>
      <c r="DG359" s="56"/>
      <c r="DH359" s="56"/>
      <c r="DI359" s="56"/>
      <c r="DJ359" s="56"/>
      <c r="DK359" s="56"/>
      <c r="DL359" s="56"/>
      <c r="DM359" s="56"/>
      <c r="DN359" s="56"/>
      <c r="DO359" s="56"/>
      <c r="DP359" s="56"/>
      <c r="DQ359" s="56"/>
      <c r="DR359" s="56"/>
      <c r="DS359" s="56"/>
      <c r="DT359" s="56"/>
      <c r="DU359" s="56"/>
      <c r="DV359" s="56"/>
      <c r="DW359" s="56"/>
      <c r="DX359" s="56"/>
      <c r="DY359" s="56"/>
      <c r="DZ359" s="56"/>
      <c r="EA359" s="56"/>
      <c r="EB359" s="56"/>
      <c r="EC359" s="56"/>
      <c r="ED359" s="56"/>
      <c r="EE359" s="56"/>
      <c r="EF359" s="56"/>
      <c r="EG359" s="56"/>
      <c r="EH359" s="56"/>
      <c r="EI359" s="56"/>
      <c r="EJ359" s="56"/>
      <c r="EK359" s="56"/>
      <c r="EL359" s="56"/>
      <c r="EM359" s="56"/>
      <c r="EN359" s="56"/>
      <c r="EO359" s="56"/>
      <c r="EP359" s="56"/>
      <c r="EQ359" s="56"/>
      <c r="ER359" s="56"/>
      <c r="ES359" s="56"/>
      <c r="ET359" s="56"/>
      <c r="EU359" s="56"/>
      <c r="EV359" s="56"/>
      <c r="EW359" s="56"/>
      <c r="EX359" s="56"/>
      <c r="EY359" s="56"/>
      <c r="EZ359" s="56"/>
      <c r="FA359" s="56"/>
      <c r="FB359" s="56"/>
      <c r="FC359" s="56"/>
      <c r="FD359" s="56"/>
      <c r="FE359" s="56"/>
      <c r="FF359" s="56"/>
      <c r="FG359" s="56"/>
      <c r="FH359" s="56"/>
      <c r="FI359" s="56"/>
      <c r="FJ359" s="56"/>
      <c r="FK359" s="56"/>
      <c r="FL359" s="56"/>
      <c r="FM359" s="56"/>
      <c r="FN359" s="56"/>
      <c r="FO359" s="56"/>
      <c r="FP359" s="56"/>
      <c r="FQ359" s="56"/>
      <c r="FR359" s="56"/>
      <c r="FS359" s="56"/>
      <c r="FT359" s="56"/>
      <c r="FU359" s="56"/>
      <c r="FV359" s="56"/>
      <c r="FW359" s="56"/>
      <c r="FX359" s="56"/>
      <c r="FY359" s="56"/>
      <c r="FZ359" s="56"/>
      <c r="GA359" s="56"/>
      <c r="GB359" s="56"/>
      <c r="GC359" s="56"/>
      <c r="GD359" s="56"/>
      <c r="GE359" s="56"/>
      <c r="GF359" s="56"/>
      <c r="GG359" s="56"/>
      <c r="GH359" s="56"/>
      <c r="GI359" s="56"/>
      <c r="GJ359" s="56"/>
      <c r="GK359" s="56"/>
      <c r="GL359" s="56"/>
      <c r="GM359" s="56"/>
      <c r="GN359" s="56"/>
      <c r="GO359" s="56"/>
      <c r="GP359" s="56"/>
      <c r="GQ359" s="56"/>
      <c r="GR359" s="56"/>
      <c r="GS359" s="56"/>
      <c r="GT359" s="56"/>
      <c r="GU359" s="56"/>
      <c r="GV359" s="56"/>
      <c r="GW359" s="56"/>
      <c r="GX359" s="56"/>
      <c r="GY359" s="56"/>
      <c r="GZ359" s="56"/>
      <c r="HA359" s="56"/>
      <c r="HB359" s="56"/>
      <c r="HC359" s="56"/>
      <c r="HD359" s="56"/>
      <c r="HE359" s="56"/>
      <c r="HF359" s="56"/>
      <c r="HG359" s="56"/>
      <c r="HH359" s="56"/>
      <c r="HI359" s="56"/>
      <c r="HJ359" s="56"/>
    </row>
    <row r="360" spans="1:218" ht="15.75" customHeight="1" x14ac:dyDescent="0.2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  <c r="CL360" s="56"/>
      <c r="CM360" s="56"/>
      <c r="CN360" s="56"/>
      <c r="CO360" s="56"/>
      <c r="CP360" s="56"/>
      <c r="CQ360" s="56"/>
      <c r="CR360" s="56"/>
      <c r="CS360" s="56"/>
      <c r="CT360" s="56"/>
      <c r="CU360" s="56"/>
      <c r="CV360" s="56"/>
      <c r="CW360" s="56"/>
      <c r="CX360" s="56"/>
      <c r="CY360" s="56"/>
      <c r="CZ360" s="56"/>
      <c r="DA360" s="56"/>
      <c r="DB360" s="56"/>
      <c r="DC360" s="56"/>
      <c r="DD360" s="56"/>
      <c r="DE360" s="56"/>
      <c r="DF360" s="56"/>
      <c r="DG360" s="56"/>
      <c r="DH360" s="56"/>
      <c r="DI360" s="56"/>
      <c r="DJ360" s="56"/>
      <c r="DK360" s="56"/>
      <c r="DL360" s="56"/>
      <c r="DM360" s="56"/>
      <c r="DN360" s="56"/>
      <c r="DO360" s="56"/>
      <c r="DP360" s="56"/>
      <c r="DQ360" s="56"/>
      <c r="DR360" s="56"/>
      <c r="DS360" s="56"/>
      <c r="DT360" s="56"/>
      <c r="DU360" s="56"/>
      <c r="DV360" s="56"/>
      <c r="DW360" s="56"/>
      <c r="DX360" s="56"/>
      <c r="DY360" s="56"/>
      <c r="DZ360" s="56"/>
      <c r="EA360" s="56"/>
      <c r="EB360" s="56"/>
      <c r="EC360" s="56"/>
      <c r="ED360" s="56"/>
      <c r="EE360" s="56"/>
      <c r="EF360" s="56"/>
      <c r="EG360" s="56"/>
      <c r="EH360" s="56"/>
      <c r="EI360" s="56"/>
      <c r="EJ360" s="56"/>
      <c r="EK360" s="56"/>
      <c r="EL360" s="56"/>
      <c r="EM360" s="56"/>
      <c r="EN360" s="56"/>
      <c r="EO360" s="56"/>
      <c r="EP360" s="56"/>
      <c r="EQ360" s="56"/>
      <c r="ER360" s="56"/>
      <c r="ES360" s="56"/>
      <c r="ET360" s="56"/>
      <c r="EU360" s="56"/>
      <c r="EV360" s="56"/>
      <c r="EW360" s="56"/>
      <c r="EX360" s="56"/>
      <c r="EY360" s="56"/>
      <c r="EZ360" s="56"/>
      <c r="FA360" s="56"/>
      <c r="FB360" s="56"/>
      <c r="FC360" s="56"/>
      <c r="FD360" s="56"/>
      <c r="FE360" s="56"/>
      <c r="FF360" s="56"/>
      <c r="FG360" s="56"/>
      <c r="FH360" s="56"/>
      <c r="FI360" s="56"/>
      <c r="FJ360" s="56"/>
      <c r="FK360" s="56"/>
      <c r="FL360" s="56"/>
      <c r="FM360" s="56"/>
      <c r="FN360" s="56"/>
      <c r="FO360" s="56"/>
      <c r="FP360" s="56"/>
      <c r="FQ360" s="56"/>
      <c r="FR360" s="56"/>
      <c r="FS360" s="56"/>
      <c r="FT360" s="56"/>
      <c r="FU360" s="56"/>
      <c r="FV360" s="56"/>
      <c r="FW360" s="56"/>
      <c r="FX360" s="56"/>
      <c r="FY360" s="56"/>
      <c r="FZ360" s="56"/>
      <c r="GA360" s="56"/>
      <c r="GB360" s="56"/>
      <c r="GC360" s="56"/>
      <c r="GD360" s="56"/>
      <c r="GE360" s="56"/>
      <c r="GF360" s="56"/>
      <c r="GG360" s="56"/>
      <c r="GH360" s="56"/>
      <c r="GI360" s="56"/>
      <c r="GJ360" s="56"/>
      <c r="GK360" s="56"/>
      <c r="GL360" s="56"/>
      <c r="GM360" s="56"/>
      <c r="GN360" s="56"/>
      <c r="GO360" s="56"/>
      <c r="GP360" s="56"/>
      <c r="GQ360" s="56"/>
      <c r="GR360" s="56"/>
      <c r="GS360" s="56"/>
      <c r="GT360" s="56"/>
      <c r="GU360" s="56"/>
      <c r="GV360" s="56"/>
      <c r="GW360" s="56"/>
      <c r="GX360" s="56"/>
      <c r="GY360" s="56"/>
      <c r="GZ360" s="56"/>
      <c r="HA360" s="56"/>
      <c r="HB360" s="56"/>
      <c r="HC360" s="56"/>
      <c r="HD360" s="56"/>
      <c r="HE360" s="56"/>
      <c r="HF360" s="56"/>
      <c r="HG360" s="56"/>
      <c r="HH360" s="56"/>
      <c r="HI360" s="56"/>
      <c r="HJ360" s="56"/>
    </row>
    <row r="361" spans="1:218" ht="15.75" customHeight="1" x14ac:dyDescent="0.2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  <c r="CL361" s="56"/>
      <c r="CM361" s="56"/>
      <c r="CN361" s="56"/>
      <c r="CO361" s="56"/>
      <c r="CP361" s="56"/>
      <c r="CQ361" s="56"/>
      <c r="CR361" s="56"/>
      <c r="CS361" s="56"/>
      <c r="CT361" s="56"/>
      <c r="CU361" s="56"/>
      <c r="CV361" s="56"/>
      <c r="CW361" s="56"/>
      <c r="CX361" s="56"/>
      <c r="CY361" s="56"/>
      <c r="CZ361" s="56"/>
      <c r="DA361" s="56"/>
      <c r="DB361" s="56"/>
      <c r="DC361" s="56"/>
      <c r="DD361" s="56"/>
      <c r="DE361" s="56"/>
      <c r="DF361" s="56"/>
      <c r="DG361" s="56"/>
      <c r="DH361" s="56"/>
      <c r="DI361" s="56"/>
      <c r="DJ361" s="56"/>
      <c r="DK361" s="56"/>
      <c r="DL361" s="56"/>
      <c r="DM361" s="56"/>
      <c r="DN361" s="56"/>
      <c r="DO361" s="56"/>
      <c r="DP361" s="56"/>
      <c r="DQ361" s="56"/>
      <c r="DR361" s="56"/>
      <c r="DS361" s="56"/>
      <c r="DT361" s="56"/>
      <c r="DU361" s="56"/>
      <c r="DV361" s="56"/>
      <c r="DW361" s="56"/>
      <c r="DX361" s="56"/>
      <c r="DY361" s="56"/>
      <c r="DZ361" s="56"/>
      <c r="EA361" s="56"/>
      <c r="EB361" s="56"/>
      <c r="EC361" s="56"/>
      <c r="ED361" s="56"/>
      <c r="EE361" s="56"/>
      <c r="EF361" s="56"/>
      <c r="EG361" s="56"/>
      <c r="EH361" s="56"/>
      <c r="EI361" s="56"/>
      <c r="EJ361" s="56"/>
      <c r="EK361" s="56"/>
      <c r="EL361" s="56"/>
      <c r="EM361" s="56"/>
      <c r="EN361" s="56"/>
      <c r="EO361" s="56"/>
      <c r="EP361" s="56"/>
      <c r="EQ361" s="56"/>
      <c r="ER361" s="56"/>
      <c r="ES361" s="56"/>
      <c r="ET361" s="56"/>
      <c r="EU361" s="56"/>
      <c r="EV361" s="56"/>
      <c r="EW361" s="56"/>
      <c r="EX361" s="56"/>
      <c r="EY361" s="56"/>
      <c r="EZ361" s="56"/>
      <c r="FA361" s="56"/>
      <c r="FB361" s="56"/>
      <c r="FC361" s="56"/>
      <c r="FD361" s="56"/>
      <c r="FE361" s="56"/>
      <c r="FF361" s="56"/>
      <c r="FG361" s="56"/>
      <c r="FH361" s="56"/>
      <c r="FI361" s="56"/>
      <c r="FJ361" s="56"/>
      <c r="FK361" s="56"/>
      <c r="FL361" s="56"/>
      <c r="FM361" s="56"/>
      <c r="FN361" s="56"/>
      <c r="FO361" s="56"/>
      <c r="FP361" s="56"/>
      <c r="FQ361" s="56"/>
      <c r="FR361" s="56"/>
      <c r="FS361" s="56"/>
      <c r="FT361" s="56"/>
      <c r="FU361" s="56"/>
      <c r="FV361" s="56"/>
      <c r="FW361" s="56"/>
      <c r="FX361" s="56"/>
      <c r="FY361" s="56"/>
      <c r="FZ361" s="56"/>
      <c r="GA361" s="56"/>
      <c r="GB361" s="56"/>
      <c r="GC361" s="56"/>
      <c r="GD361" s="56"/>
      <c r="GE361" s="56"/>
      <c r="GF361" s="56"/>
      <c r="GG361" s="56"/>
      <c r="GH361" s="56"/>
      <c r="GI361" s="56"/>
      <c r="GJ361" s="56"/>
      <c r="GK361" s="56"/>
      <c r="GL361" s="56"/>
      <c r="GM361" s="56"/>
      <c r="GN361" s="56"/>
      <c r="GO361" s="56"/>
      <c r="GP361" s="56"/>
      <c r="GQ361" s="56"/>
      <c r="GR361" s="56"/>
      <c r="GS361" s="56"/>
      <c r="GT361" s="56"/>
      <c r="GU361" s="56"/>
      <c r="GV361" s="56"/>
      <c r="GW361" s="56"/>
      <c r="GX361" s="56"/>
      <c r="GY361" s="56"/>
      <c r="GZ361" s="56"/>
      <c r="HA361" s="56"/>
      <c r="HB361" s="56"/>
      <c r="HC361" s="56"/>
      <c r="HD361" s="56"/>
      <c r="HE361" s="56"/>
      <c r="HF361" s="56"/>
      <c r="HG361" s="56"/>
      <c r="HH361" s="56"/>
      <c r="HI361" s="56"/>
      <c r="HJ361" s="56"/>
    </row>
    <row r="362" spans="1:218" ht="15.75" customHeight="1" x14ac:dyDescent="0.2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  <c r="CL362" s="56"/>
      <c r="CM362" s="56"/>
      <c r="CN362" s="56"/>
      <c r="CO362" s="56"/>
      <c r="CP362" s="56"/>
      <c r="CQ362" s="56"/>
      <c r="CR362" s="56"/>
      <c r="CS362" s="56"/>
      <c r="CT362" s="56"/>
      <c r="CU362" s="56"/>
      <c r="CV362" s="56"/>
      <c r="CW362" s="56"/>
      <c r="CX362" s="56"/>
      <c r="CY362" s="56"/>
      <c r="CZ362" s="56"/>
      <c r="DA362" s="56"/>
      <c r="DB362" s="56"/>
      <c r="DC362" s="56"/>
      <c r="DD362" s="56"/>
      <c r="DE362" s="56"/>
      <c r="DF362" s="56"/>
      <c r="DG362" s="56"/>
      <c r="DH362" s="56"/>
      <c r="DI362" s="56"/>
      <c r="DJ362" s="56"/>
      <c r="DK362" s="56"/>
      <c r="DL362" s="56"/>
      <c r="DM362" s="56"/>
      <c r="DN362" s="56"/>
      <c r="DO362" s="56"/>
      <c r="DP362" s="56"/>
      <c r="DQ362" s="56"/>
      <c r="DR362" s="56"/>
      <c r="DS362" s="56"/>
      <c r="DT362" s="56"/>
      <c r="DU362" s="56"/>
      <c r="DV362" s="56"/>
      <c r="DW362" s="56"/>
      <c r="DX362" s="56"/>
      <c r="DY362" s="56"/>
      <c r="DZ362" s="56"/>
      <c r="EA362" s="56"/>
      <c r="EB362" s="56"/>
      <c r="EC362" s="56"/>
      <c r="ED362" s="56"/>
      <c r="EE362" s="56"/>
      <c r="EF362" s="56"/>
      <c r="EG362" s="56"/>
      <c r="EH362" s="56"/>
      <c r="EI362" s="56"/>
      <c r="EJ362" s="56"/>
      <c r="EK362" s="56"/>
      <c r="EL362" s="56"/>
      <c r="EM362" s="56"/>
      <c r="EN362" s="56"/>
      <c r="EO362" s="56"/>
      <c r="EP362" s="56"/>
      <c r="EQ362" s="56"/>
      <c r="ER362" s="56"/>
      <c r="ES362" s="56"/>
      <c r="ET362" s="56"/>
      <c r="EU362" s="56"/>
      <c r="EV362" s="56"/>
      <c r="EW362" s="56"/>
      <c r="EX362" s="56"/>
      <c r="EY362" s="56"/>
      <c r="EZ362" s="56"/>
      <c r="FA362" s="56"/>
      <c r="FB362" s="56"/>
      <c r="FC362" s="56"/>
      <c r="FD362" s="56"/>
      <c r="FE362" s="56"/>
      <c r="FF362" s="56"/>
      <c r="FG362" s="56"/>
      <c r="FH362" s="56"/>
      <c r="FI362" s="56"/>
      <c r="FJ362" s="56"/>
      <c r="FK362" s="56"/>
      <c r="FL362" s="56"/>
      <c r="FM362" s="56"/>
      <c r="FN362" s="56"/>
      <c r="FO362" s="56"/>
      <c r="FP362" s="56"/>
      <c r="FQ362" s="56"/>
      <c r="FR362" s="56"/>
      <c r="FS362" s="56"/>
      <c r="FT362" s="56"/>
      <c r="FU362" s="56"/>
      <c r="FV362" s="56"/>
      <c r="FW362" s="56"/>
      <c r="FX362" s="56"/>
      <c r="FY362" s="56"/>
      <c r="FZ362" s="56"/>
      <c r="GA362" s="56"/>
      <c r="GB362" s="56"/>
      <c r="GC362" s="56"/>
      <c r="GD362" s="56"/>
      <c r="GE362" s="56"/>
      <c r="GF362" s="56"/>
      <c r="GG362" s="56"/>
      <c r="GH362" s="56"/>
      <c r="GI362" s="56"/>
      <c r="GJ362" s="56"/>
      <c r="GK362" s="56"/>
      <c r="GL362" s="56"/>
      <c r="GM362" s="56"/>
      <c r="GN362" s="56"/>
      <c r="GO362" s="56"/>
      <c r="GP362" s="56"/>
      <c r="GQ362" s="56"/>
      <c r="GR362" s="56"/>
      <c r="GS362" s="56"/>
      <c r="GT362" s="56"/>
      <c r="GU362" s="56"/>
      <c r="GV362" s="56"/>
      <c r="GW362" s="56"/>
      <c r="GX362" s="56"/>
      <c r="GY362" s="56"/>
      <c r="GZ362" s="56"/>
      <c r="HA362" s="56"/>
      <c r="HB362" s="56"/>
      <c r="HC362" s="56"/>
      <c r="HD362" s="56"/>
      <c r="HE362" s="56"/>
      <c r="HF362" s="56"/>
      <c r="HG362" s="56"/>
      <c r="HH362" s="56"/>
      <c r="HI362" s="56"/>
      <c r="HJ362" s="56"/>
    </row>
    <row r="363" spans="1:218" ht="15.75" customHeight="1" x14ac:dyDescent="0.2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56"/>
      <c r="CP363" s="56"/>
      <c r="CQ363" s="56"/>
      <c r="CR363" s="56"/>
      <c r="CS363" s="56"/>
      <c r="CT363" s="56"/>
      <c r="CU363" s="56"/>
      <c r="CV363" s="56"/>
      <c r="CW363" s="56"/>
      <c r="CX363" s="56"/>
      <c r="CY363" s="56"/>
      <c r="CZ363" s="56"/>
      <c r="DA363" s="56"/>
      <c r="DB363" s="56"/>
      <c r="DC363" s="56"/>
      <c r="DD363" s="56"/>
      <c r="DE363" s="56"/>
      <c r="DF363" s="56"/>
      <c r="DG363" s="56"/>
      <c r="DH363" s="56"/>
      <c r="DI363" s="56"/>
      <c r="DJ363" s="56"/>
      <c r="DK363" s="56"/>
      <c r="DL363" s="56"/>
      <c r="DM363" s="56"/>
      <c r="DN363" s="56"/>
      <c r="DO363" s="56"/>
      <c r="DP363" s="56"/>
      <c r="DQ363" s="56"/>
      <c r="DR363" s="56"/>
      <c r="DS363" s="56"/>
      <c r="DT363" s="56"/>
      <c r="DU363" s="56"/>
      <c r="DV363" s="56"/>
      <c r="DW363" s="56"/>
      <c r="DX363" s="56"/>
      <c r="DY363" s="56"/>
      <c r="DZ363" s="56"/>
      <c r="EA363" s="56"/>
      <c r="EB363" s="56"/>
      <c r="EC363" s="56"/>
      <c r="ED363" s="56"/>
      <c r="EE363" s="56"/>
      <c r="EF363" s="56"/>
      <c r="EG363" s="56"/>
      <c r="EH363" s="56"/>
      <c r="EI363" s="56"/>
      <c r="EJ363" s="56"/>
      <c r="EK363" s="56"/>
      <c r="EL363" s="56"/>
      <c r="EM363" s="56"/>
      <c r="EN363" s="56"/>
      <c r="EO363" s="56"/>
      <c r="EP363" s="56"/>
      <c r="EQ363" s="56"/>
      <c r="ER363" s="56"/>
      <c r="ES363" s="56"/>
      <c r="ET363" s="56"/>
      <c r="EU363" s="56"/>
      <c r="EV363" s="56"/>
      <c r="EW363" s="56"/>
      <c r="EX363" s="56"/>
      <c r="EY363" s="56"/>
      <c r="EZ363" s="56"/>
      <c r="FA363" s="56"/>
      <c r="FB363" s="56"/>
      <c r="FC363" s="56"/>
      <c r="FD363" s="56"/>
      <c r="FE363" s="56"/>
      <c r="FF363" s="56"/>
      <c r="FG363" s="56"/>
      <c r="FH363" s="56"/>
      <c r="FI363" s="56"/>
      <c r="FJ363" s="56"/>
      <c r="FK363" s="56"/>
      <c r="FL363" s="56"/>
      <c r="FM363" s="56"/>
      <c r="FN363" s="56"/>
      <c r="FO363" s="56"/>
      <c r="FP363" s="56"/>
      <c r="FQ363" s="56"/>
      <c r="FR363" s="56"/>
      <c r="FS363" s="56"/>
      <c r="FT363" s="56"/>
      <c r="FU363" s="56"/>
      <c r="FV363" s="56"/>
      <c r="FW363" s="56"/>
      <c r="FX363" s="56"/>
      <c r="FY363" s="56"/>
      <c r="FZ363" s="56"/>
      <c r="GA363" s="56"/>
      <c r="GB363" s="56"/>
      <c r="GC363" s="56"/>
      <c r="GD363" s="56"/>
      <c r="GE363" s="56"/>
      <c r="GF363" s="56"/>
      <c r="GG363" s="56"/>
      <c r="GH363" s="56"/>
      <c r="GI363" s="56"/>
      <c r="GJ363" s="56"/>
      <c r="GK363" s="56"/>
      <c r="GL363" s="56"/>
      <c r="GM363" s="56"/>
      <c r="GN363" s="56"/>
      <c r="GO363" s="56"/>
      <c r="GP363" s="56"/>
      <c r="GQ363" s="56"/>
      <c r="GR363" s="56"/>
      <c r="GS363" s="56"/>
      <c r="GT363" s="56"/>
      <c r="GU363" s="56"/>
      <c r="GV363" s="56"/>
      <c r="GW363" s="56"/>
      <c r="GX363" s="56"/>
      <c r="GY363" s="56"/>
      <c r="GZ363" s="56"/>
      <c r="HA363" s="56"/>
      <c r="HB363" s="56"/>
      <c r="HC363" s="56"/>
      <c r="HD363" s="56"/>
      <c r="HE363" s="56"/>
      <c r="HF363" s="56"/>
      <c r="HG363" s="56"/>
      <c r="HH363" s="56"/>
      <c r="HI363" s="56"/>
      <c r="HJ363" s="56"/>
    </row>
    <row r="364" spans="1:218" ht="15.75" customHeight="1" x14ac:dyDescent="0.2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56"/>
      <c r="CP364" s="56"/>
      <c r="CQ364" s="56"/>
      <c r="CR364" s="56"/>
      <c r="CS364" s="56"/>
      <c r="CT364" s="56"/>
      <c r="CU364" s="56"/>
      <c r="CV364" s="56"/>
      <c r="CW364" s="56"/>
      <c r="CX364" s="56"/>
      <c r="CY364" s="56"/>
      <c r="CZ364" s="56"/>
      <c r="DA364" s="56"/>
      <c r="DB364" s="56"/>
      <c r="DC364" s="56"/>
      <c r="DD364" s="56"/>
      <c r="DE364" s="56"/>
      <c r="DF364" s="56"/>
      <c r="DG364" s="56"/>
      <c r="DH364" s="56"/>
      <c r="DI364" s="56"/>
      <c r="DJ364" s="56"/>
      <c r="DK364" s="56"/>
      <c r="DL364" s="56"/>
      <c r="DM364" s="56"/>
      <c r="DN364" s="56"/>
      <c r="DO364" s="56"/>
      <c r="DP364" s="56"/>
      <c r="DQ364" s="56"/>
      <c r="DR364" s="56"/>
      <c r="DS364" s="56"/>
      <c r="DT364" s="56"/>
      <c r="DU364" s="56"/>
      <c r="DV364" s="56"/>
      <c r="DW364" s="56"/>
      <c r="DX364" s="56"/>
      <c r="DY364" s="56"/>
      <c r="DZ364" s="56"/>
      <c r="EA364" s="56"/>
      <c r="EB364" s="56"/>
      <c r="EC364" s="56"/>
      <c r="ED364" s="56"/>
      <c r="EE364" s="56"/>
      <c r="EF364" s="56"/>
      <c r="EG364" s="56"/>
      <c r="EH364" s="56"/>
      <c r="EI364" s="56"/>
      <c r="EJ364" s="56"/>
      <c r="EK364" s="56"/>
      <c r="EL364" s="56"/>
      <c r="EM364" s="56"/>
      <c r="EN364" s="56"/>
      <c r="EO364" s="56"/>
      <c r="EP364" s="56"/>
      <c r="EQ364" s="56"/>
      <c r="ER364" s="56"/>
      <c r="ES364" s="56"/>
      <c r="ET364" s="56"/>
      <c r="EU364" s="56"/>
      <c r="EV364" s="56"/>
      <c r="EW364" s="56"/>
      <c r="EX364" s="56"/>
      <c r="EY364" s="56"/>
      <c r="EZ364" s="56"/>
      <c r="FA364" s="56"/>
      <c r="FB364" s="56"/>
      <c r="FC364" s="56"/>
      <c r="FD364" s="56"/>
      <c r="FE364" s="56"/>
      <c r="FF364" s="56"/>
      <c r="FG364" s="56"/>
      <c r="FH364" s="56"/>
      <c r="FI364" s="56"/>
      <c r="FJ364" s="56"/>
      <c r="FK364" s="56"/>
      <c r="FL364" s="56"/>
      <c r="FM364" s="56"/>
      <c r="FN364" s="56"/>
      <c r="FO364" s="56"/>
      <c r="FP364" s="56"/>
      <c r="FQ364" s="56"/>
      <c r="FR364" s="56"/>
      <c r="FS364" s="56"/>
      <c r="FT364" s="56"/>
      <c r="FU364" s="56"/>
      <c r="FV364" s="56"/>
      <c r="FW364" s="56"/>
      <c r="FX364" s="56"/>
      <c r="FY364" s="56"/>
      <c r="FZ364" s="56"/>
      <c r="GA364" s="56"/>
      <c r="GB364" s="56"/>
      <c r="GC364" s="56"/>
      <c r="GD364" s="56"/>
      <c r="GE364" s="56"/>
      <c r="GF364" s="56"/>
      <c r="GG364" s="56"/>
      <c r="GH364" s="56"/>
      <c r="GI364" s="56"/>
      <c r="GJ364" s="56"/>
      <c r="GK364" s="56"/>
      <c r="GL364" s="56"/>
      <c r="GM364" s="56"/>
      <c r="GN364" s="56"/>
      <c r="GO364" s="56"/>
      <c r="GP364" s="56"/>
      <c r="GQ364" s="56"/>
      <c r="GR364" s="56"/>
      <c r="GS364" s="56"/>
      <c r="GT364" s="56"/>
      <c r="GU364" s="56"/>
      <c r="GV364" s="56"/>
      <c r="GW364" s="56"/>
      <c r="GX364" s="56"/>
      <c r="GY364" s="56"/>
      <c r="GZ364" s="56"/>
      <c r="HA364" s="56"/>
      <c r="HB364" s="56"/>
      <c r="HC364" s="56"/>
      <c r="HD364" s="56"/>
      <c r="HE364" s="56"/>
      <c r="HF364" s="56"/>
      <c r="HG364" s="56"/>
      <c r="HH364" s="56"/>
      <c r="HI364" s="56"/>
      <c r="HJ364" s="56"/>
    </row>
    <row r="365" spans="1:218" ht="15.75" customHeight="1" x14ac:dyDescent="0.2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  <c r="BV365" s="56"/>
      <c r="BW365" s="56"/>
      <c r="BX365" s="56"/>
      <c r="BY365" s="56"/>
      <c r="BZ365" s="56"/>
      <c r="CA365" s="56"/>
      <c r="CB365" s="56"/>
      <c r="CC365" s="56"/>
      <c r="CD365" s="56"/>
      <c r="CE365" s="56"/>
      <c r="CF365" s="56"/>
      <c r="CG365" s="56"/>
      <c r="CH365" s="56"/>
      <c r="CI365" s="56"/>
      <c r="CJ365" s="56"/>
      <c r="CK365" s="56"/>
      <c r="CL365" s="56"/>
      <c r="CM365" s="56"/>
      <c r="CN365" s="56"/>
      <c r="CO365" s="56"/>
      <c r="CP365" s="56"/>
      <c r="CQ365" s="56"/>
      <c r="CR365" s="56"/>
      <c r="CS365" s="56"/>
      <c r="CT365" s="56"/>
      <c r="CU365" s="56"/>
      <c r="CV365" s="56"/>
      <c r="CW365" s="56"/>
      <c r="CX365" s="56"/>
      <c r="CY365" s="56"/>
      <c r="CZ365" s="56"/>
      <c r="DA365" s="56"/>
      <c r="DB365" s="56"/>
      <c r="DC365" s="56"/>
      <c r="DD365" s="56"/>
      <c r="DE365" s="56"/>
      <c r="DF365" s="56"/>
      <c r="DG365" s="56"/>
      <c r="DH365" s="56"/>
      <c r="DI365" s="56"/>
      <c r="DJ365" s="56"/>
      <c r="DK365" s="56"/>
      <c r="DL365" s="56"/>
      <c r="DM365" s="56"/>
      <c r="DN365" s="56"/>
      <c r="DO365" s="56"/>
      <c r="DP365" s="56"/>
      <c r="DQ365" s="56"/>
      <c r="DR365" s="56"/>
      <c r="DS365" s="56"/>
      <c r="DT365" s="56"/>
      <c r="DU365" s="56"/>
      <c r="DV365" s="56"/>
      <c r="DW365" s="56"/>
      <c r="DX365" s="56"/>
      <c r="DY365" s="56"/>
      <c r="DZ365" s="56"/>
      <c r="EA365" s="56"/>
      <c r="EB365" s="56"/>
      <c r="EC365" s="56"/>
      <c r="ED365" s="56"/>
      <c r="EE365" s="56"/>
      <c r="EF365" s="56"/>
      <c r="EG365" s="56"/>
      <c r="EH365" s="56"/>
      <c r="EI365" s="56"/>
      <c r="EJ365" s="56"/>
      <c r="EK365" s="56"/>
      <c r="EL365" s="56"/>
      <c r="EM365" s="56"/>
      <c r="EN365" s="56"/>
      <c r="EO365" s="56"/>
      <c r="EP365" s="56"/>
      <c r="EQ365" s="56"/>
      <c r="ER365" s="56"/>
      <c r="ES365" s="56"/>
      <c r="ET365" s="56"/>
      <c r="EU365" s="56"/>
      <c r="EV365" s="56"/>
      <c r="EW365" s="56"/>
      <c r="EX365" s="56"/>
      <c r="EY365" s="56"/>
      <c r="EZ365" s="56"/>
      <c r="FA365" s="56"/>
      <c r="FB365" s="56"/>
      <c r="FC365" s="56"/>
      <c r="FD365" s="56"/>
      <c r="FE365" s="56"/>
      <c r="FF365" s="56"/>
      <c r="FG365" s="56"/>
      <c r="FH365" s="56"/>
      <c r="FI365" s="56"/>
      <c r="FJ365" s="56"/>
      <c r="FK365" s="56"/>
      <c r="FL365" s="56"/>
      <c r="FM365" s="56"/>
      <c r="FN365" s="56"/>
      <c r="FO365" s="56"/>
      <c r="FP365" s="56"/>
      <c r="FQ365" s="56"/>
      <c r="FR365" s="56"/>
      <c r="FS365" s="56"/>
      <c r="FT365" s="56"/>
      <c r="FU365" s="56"/>
      <c r="FV365" s="56"/>
      <c r="FW365" s="56"/>
      <c r="FX365" s="56"/>
      <c r="FY365" s="56"/>
      <c r="FZ365" s="56"/>
      <c r="GA365" s="56"/>
      <c r="GB365" s="56"/>
      <c r="GC365" s="56"/>
      <c r="GD365" s="56"/>
      <c r="GE365" s="56"/>
      <c r="GF365" s="56"/>
      <c r="GG365" s="56"/>
      <c r="GH365" s="56"/>
      <c r="GI365" s="56"/>
      <c r="GJ365" s="56"/>
      <c r="GK365" s="56"/>
      <c r="GL365" s="56"/>
      <c r="GM365" s="56"/>
      <c r="GN365" s="56"/>
      <c r="GO365" s="56"/>
      <c r="GP365" s="56"/>
      <c r="GQ365" s="56"/>
      <c r="GR365" s="56"/>
      <c r="GS365" s="56"/>
      <c r="GT365" s="56"/>
      <c r="GU365" s="56"/>
      <c r="GV365" s="56"/>
      <c r="GW365" s="56"/>
      <c r="GX365" s="56"/>
      <c r="GY365" s="56"/>
      <c r="GZ365" s="56"/>
      <c r="HA365" s="56"/>
      <c r="HB365" s="56"/>
      <c r="HC365" s="56"/>
      <c r="HD365" s="56"/>
      <c r="HE365" s="56"/>
      <c r="HF365" s="56"/>
      <c r="HG365" s="56"/>
      <c r="HH365" s="56"/>
      <c r="HI365" s="56"/>
      <c r="HJ365" s="56"/>
    </row>
    <row r="366" spans="1:218" ht="15.75" customHeight="1" x14ac:dyDescent="0.2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  <c r="CL366" s="56"/>
      <c r="CM366" s="56"/>
      <c r="CN366" s="56"/>
      <c r="CO366" s="56"/>
      <c r="CP366" s="56"/>
      <c r="CQ366" s="56"/>
      <c r="CR366" s="56"/>
      <c r="CS366" s="56"/>
      <c r="CT366" s="56"/>
      <c r="CU366" s="56"/>
      <c r="CV366" s="56"/>
      <c r="CW366" s="56"/>
      <c r="CX366" s="56"/>
      <c r="CY366" s="56"/>
      <c r="CZ366" s="56"/>
      <c r="DA366" s="56"/>
      <c r="DB366" s="56"/>
      <c r="DC366" s="56"/>
      <c r="DD366" s="56"/>
      <c r="DE366" s="56"/>
      <c r="DF366" s="56"/>
      <c r="DG366" s="56"/>
      <c r="DH366" s="56"/>
      <c r="DI366" s="56"/>
      <c r="DJ366" s="56"/>
      <c r="DK366" s="56"/>
      <c r="DL366" s="56"/>
      <c r="DM366" s="56"/>
      <c r="DN366" s="56"/>
      <c r="DO366" s="56"/>
      <c r="DP366" s="56"/>
      <c r="DQ366" s="56"/>
      <c r="DR366" s="56"/>
      <c r="DS366" s="56"/>
      <c r="DT366" s="56"/>
      <c r="DU366" s="56"/>
      <c r="DV366" s="56"/>
      <c r="DW366" s="56"/>
      <c r="DX366" s="56"/>
      <c r="DY366" s="56"/>
      <c r="DZ366" s="56"/>
      <c r="EA366" s="56"/>
      <c r="EB366" s="56"/>
      <c r="EC366" s="56"/>
      <c r="ED366" s="56"/>
      <c r="EE366" s="56"/>
      <c r="EF366" s="56"/>
      <c r="EG366" s="56"/>
      <c r="EH366" s="56"/>
      <c r="EI366" s="56"/>
      <c r="EJ366" s="56"/>
      <c r="EK366" s="56"/>
      <c r="EL366" s="56"/>
      <c r="EM366" s="56"/>
      <c r="EN366" s="56"/>
      <c r="EO366" s="56"/>
      <c r="EP366" s="56"/>
      <c r="EQ366" s="56"/>
      <c r="ER366" s="56"/>
      <c r="ES366" s="56"/>
      <c r="ET366" s="56"/>
      <c r="EU366" s="56"/>
      <c r="EV366" s="56"/>
      <c r="EW366" s="56"/>
      <c r="EX366" s="56"/>
      <c r="EY366" s="56"/>
      <c r="EZ366" s="56"/>
      <c r="FA366" s="56"/>
      <c r="FB366" s="56"/>
      <c r="FC366" s="56"/>
      <c r="FD366" s="56"/>
      <c r="FE366" s="56"/>
      <c r="FF366" s="56"/>
      <c r="FG366" s="56"/>
      <c r="FH366" s="56"/>
      <c r="FI366" s="56"/>
      <c r="FJ366" s="56"/>
      <c r="FK366" s="56"/>
      <c r="FL366" s="56"/>
      <c r="FM366" s="56"/>
      <c r="FN366" s="56"/>
      <c r="FO366" s="56"/>
      <c r="FP366" s="56"/>
      <c r="FQ366" s="56"/>
      <c r="FR366" s="56"/>
      <c r="FS366" s="56"/>
      <c r="FT366" s="56"/>
      <c r="FU366" s="56"/>
      <c r="FV366" s="56"/>
      <c r="FW366" s="56"/>
      <c r="FX366" s="56"/>
      <c r="FY366" s="56"/>
      <c r="FZ366" s="56"/>
      <c r="GA366" s="56"/>
      <c r="GB366" s="56"/>
      <c r="GC366" s="56"/>
      <c r="GD366" s="56"/>
      <c r="GE366" s="56"/>
      <c r="GF366" s="56"/>
      <c r="GG366" s="56"/>
      <c r="GH366" s="56"/>
      <c r="GI366" s="56"/>
      <c r="GJ366" s="56"/>
      <c r="GK366" s="56"/>
      <c r="GL366" s="56"/>
      <c r="GM366" s="56"/>
      <c r="GN366" s="56"/>
      <c r="GO366" s="56"/>
      <c r="GP366" s="56"/>
      <c r="GQ366" s="56"/>
      <c r="GR366" s="56"/>
      <c r="GS366" s="56"/>
      <c r="GT366" s="56"/>
      <c r="GU366" s="56"/>
      <c r="GV366" s="56"/>
      <c r="GW366" s="56"/>
      <c r="GX366" s="56"/>
      <c r="GY366" s="56"/>
      <c r="GZ366" s="56"/>
      <c r="HA366" s="56"/>
      <c r="HB366" s="56"/>
      <c r="HC366" s="56"/>
      <c r="HD366" s="56"/>
      <c r="HE366" s="56"/>
      <c r="HF366" s="56"/>
      <c r="HG366" s="56"/>
      <c r="HH366" s="56"/>
      <c r="HI366" s="56"/>
      <c r="HJ366" s="56"/>
    </row>
    <row r="367" spans="1:218" ht="15.75" customHeight="1" x14ac:dyDescent="0.2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  <c r="CL367" s="56"/>
      <c r="CM367" s="56"/>
      <c r="CN367" s="56"/>
      <c r="CO367" s="56"/>
      <c r="CP367" s="56"/>
      <c r="CQ367" s="56"/>
      <c r="CR367" s="56"/>
      <c r="CS367" s="56"/>
      <c r="CT367" s="56"/>
      <c r="CU367" s="56"/>
      <c r="CV367" s="56"/>
      <c r="CW367" s="56"/>
      <c r="CX367" s="56"/>
      <c r="CY367" s="56"/>
      <c r="CZ367" s="56"/>
      <c r="DA367" s="56"/>
      <c r="DB367" s="56"/>
      <c r="DC367" s="56"/>
      <c r="DD367" s="56"/>
      <c r="DE367" s="56"/>
      <c r="DF367" s="56"/>
      <c r="DG367" s="56"/>
      <c r="DH367" s="56"/>
      <c r="DI367" s="56"/>
      <c r="DJ367" s="56"/>
      <c r="DK367" s="56"/>
      <c r="DL367" s="56"/>
      <c r="DM367" s="56"/>
      <c r="DN367" s="56"/>
      <c r="DO367" s="56"/>
      <c r="DP367" s="56"/>
      <c r="DQ367" s="56"/>
      <c r="DR367" s="56"/>
      <c r="DS367" s="56"/>
      <c r="DT367" s="56"/>
      <c r="DU367" s="56"/>
      <c r="DV367" s="56"/>
      <c r="DW367" s="56"/>
      <c r="DX367" s="56"/>
      <c r="DY367" s="56"/>
      <c r="DZ367" s="56"/>
      <c r="EA367" s="56"/>
      <c r="EB367" s="56"/>
      <c r="EC367" s="56"/>
      <c r="ED367" s="56"/>
      <c r="EE367" s="56"/>
      <c r="EF367" s="56"/>
      <c r="EG367" s="56"/>
      <c r="EH367" s="56"/>
      <c r="EI367" s="56"/>
      <c r="EJ367" s="56"/>
      <c r="EK367" s="56"/>
      <c r="EL367" s="56"/>
      <c r="EM367" s="56"/>
      <c r="EN367" s="56"/>
      <c r="EO367" s="56"/>
      <c r="EP367" s="56"/>
      <c r="EQ367" s="56"/>
      <c r="ER367" s="56"/>
      <c r="ES367" s="56"/>
      <c r="ET367" s="56"/>
      <c r="EU367" s="56"/>
      <c r="EV367" s="56"/>
      <c r="EW367" s="56"/>
      <c r="EX367" s="56"/>
      <c r="EY367" s="56"/>
      <c r="EZ367" s="56"/>
      <c r="FA367" s="56"/>
      <c r="FB367" s="56"/>
      <c r="FC367" s="56"/>
      <c r="FD367" s="56"/>
      <c r="FE367" s="56"/>
      <c r="FF367" s="56"/>
      <c r="FG367" s="56"/>
      <c r="FH367" s="56"/>
      <c r="FI367" s="56"/>
      <c r="FJ367" s="56"/>
      <c r="FK367" s="56"/>
      <c r="FL367" s="56"/>
      <c r="FM367" s="56"/>
      <c r="FN367" s="56"/>
      <c r="FO367" s="56"/>
      <c r="FP367" s="56"/>
      <c r="FQ367" s="56"/>
      <c r="FR367" s="56"/>
      <c r="FS367" s="56"/>
      <c r="FT367" s="56"/>
      <c r="FU367" s="56"/>
      <c r="FV367" s="56"/>
      <c r="FW367" s="56"/>
      <c r="FX367" s="56"/>
      <c r="FY367" s="56"/>
      <c r="FZ367" s="56"/>
      <c r="GA367" s="56"/>
      <c r="GB367" s="56"/>
      <c r="GC367" s="56"/>
      <c r="GD367" s="56"/>
      <c r="GE367" s="56"/>
      <c r="GF367" s="56"/>
      <c r="GG367" s="56"/>
      <c r="GH367" s="56"/>
      <c r="GI367" s="56"/>
      <c r="GJ367" s="56"/>
      <c r="GK367" s="56"/>
      <c r="GL367" s="56"/>
      <c r="GM367" s="56"/>
      <c r="GN367" s="56"/>
      <c r="GO367" s="56"/>
      <c r="GP367" s="56"/>
      <c r="GQ367" s="56"/>
      <c r="GR367" s="56"/>
      <c r="GS367" s="56"/>
      <c r="GT367" s="56"/>
      <c r="GU367" s="56"/>
      <c r="GV367" s="56"/>
      <c r="GW367" s="56"/>
      <c r="GX367" s="56"/>
      <c r="GY367" s="56"/>
      <c r="GZ367" s="56"/>
      <c r="HA367" s="56"/>
      <c r="HB367" s="56"/>
      <c r="HC367" s="56"/>
      <c r="HD367" s="56"/>
      <c r="HE367" s="56"/>
      <c r="HF367" s="56"/>
      <c r="HG367" s="56"/>
      <c r="HH367" s="56"/>
      <c r="HI367" s="56"/>
      <c r="HJ367" s="56"/>
    </row>
    <row r="368" spans="1:218" ht="15.75" customHeight="1" x14ac:dyDescent="0.2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56"/>
      <c r="CP368" s="56"/>
      <c r="CQ368" s="56"/>
      <c r="CR368" s="56"/>
      <c r="CS368" s="56"/>
      <c r="CT368" s="56"/>
      <c r="CU368" s="56"/>
      <c r="CV368" s="56"/>
      <c r="CW368" s="56"/>
      <c r="CX368" s="56"/>
      <c r="CY368" s="56"/>
      <c r="CZ368" s="56"/>
      <c r="DA368" s="56"/>
      <c r="DB368" s="56"/>
      <c r="DC368" s="56"/>
      <c r="DD368" s="56"/>
      <c r="DE368" s="56"/>
      <c r="DF368" s="56"/>
      <c r="DG368" s="56"/>
      <c r="DH368" s="56"/>
      <c r="DI368" s="56"/>
      <c r="DJ368" s="56"/>
      <c r="DK368" s="56"/>
      <c r="DL368" s="56"/>
      <c r="DM368" s="56"/>
      <c r="DN368" s="56"/>
      <c r="DO368" s="56"/>
      <c r="DP368" s="56"/>
      <c r="DQ368" s="56"/>
      <c r="DR368" s="56"/>
      <c r="DS368" s="56"/>
      <c r="DT368" s="56"/>
      <c r="DU368" s="56"/>
      <c r="DV368" s="56"/>
      <c r="DW368" s="56"/>
      <c r="DX368" s="56"/>
      <c r="DY368" s="56"/>
      <c r="DZ368" s="56"/>
      <c r="EA368" s="56"/>
      <c r="EB368" s="56"/>
      <c r="EC368" s="56"/>
      <c r="ED368" s="56"/>
      <c r="EE368" s="56"/>
      <c r="EF368" s="56"/>
      <c r="EG368" s="56"/>
      <c r="EH368" s="56"/>
      <c r="EI368" s="56"/>
      <c r="EJ368" s="56"/>
      <c r="EK368" s="56"/>
      <c r="EL368" s="56"/>
      <c r="EM368" s="56"/>
      <c r="EN368" s="56"/>
      <c r="EO368" s="56"/>
      <c r="EP368" s="56"/>
      <c r="EQ368" s="56"/>
      <c r="ER368" s="56"/>
      <c r="ES368" s="56"/>
      <c r="ET368" s="56"/>
      <c r="EU368" s="56"/>
      <c r="EV368" s="56"/>
      <c r="EW368" s="56"/>
      <c r="EX368" s="56"/>
      <c r="EY368" s="56"/>
      <c r="EZ368" s="56"/>
      <c r="FA368" s="56"/>
      <c r="FB368" s="56"/>
      <c r="FC368" s="56"/>
      <c r="FD368" s="56"/>
      <c r="FE368" s="56"/>
      <c r="FF368" s="56"/>
      <c r="FG368" s="56"/>
      <c r="FH368" s="56"/>
      <c r="FI368" s="56"/>
      <c r="FJ368" s="56"/>
      <c r="FK368" s="56"/>
      <c r="FL368" s="56"/>
      <c r="FM368" s="56"/>
      <c r="FN368" s="56"/>
      <c r="FO368" s="56"/>
      <c r="FP368" s="56"/>
      <c r="FQ368" s="56"/>
      <c r="FR368" s="56"/>
      <c r="FS368" s="56"/>
      <c r="FT368" s="56"/>
      <c r="FU368" s="56"/>
      <c r="FV368" s="56"/>
      <c r="FW368" s="56"/>
      <c r="FX368" s="56"/>
      <c r="FY368" s="56"/>
      <c r="FZ368" s="56"/>
      <c r="GA368" s="56"/>
      <c r="GB368" s="56"/>
      <c r="GC368" s="56"/>
      <c r="GD368" s="56"/>
      <c r="GE368" s="56"/>
      <c r="GF368" s="56"/>
      <c r="GG368" s="56"/>
      <c r="GH368" s="56"/>
      <c r="GI368" s="56"/>
      <c r="GJ368" s="56"/>
      <c r="GK368" s="56"/>
      <c r="GL368" s="56"/>
      <c r="GM368" s="56"/>
      <c r="GN368" s="56"/>
      <c r="GO368" s="56"/>
      <c r="GP368" s="56"/>
      <c r="GQ368" s="56"/>
      <c r="GR368" s="56"/>
      <c r="GS368" s="56"/>
      <c r="GT368" s="56"/>
      <c r="GU368" s="56"/>
      <c r="GV368" s="56"/>
      <c r="GW368" s="56"/>
      <c r="GX368" s="56"/>
      <c r="GY368" s="56"/>
      <c r="GZ368" s="56"/>
      <c r="HA368" s="56"/>
      <c r="HB368" s="56"/>
      <c r="HC368" s="56"/>
      <c r="HD368" s="56"/>
      <c r="HE368" s="56"/>
      <c r="HF368" s="56"/>
      <c r="HG368" s="56"/>
      <c r="HH368" s="56"/>
      <c r="HI368" s="56"/>
      <c r="HJ368" s="56"/>
    </row>
    <row r="369" spans="1:218" ht="15.75" customHeight="1" x14ac:dyDescent="0.2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56"/>
      <c r="CP369" s="56"/>
      <c r="CQ369" s="56"/>
      <c r="CR369" s="56"/>
      <c r="CS369" s="56"/>
      <c r="CT369" s="56"/>
      <c r="CU369" s="56"/>
      <c r="CV369" s="56"/>
      <c r="CW369" s="56"/>
      <c r="CX369" s="56"/>
      <c r="CY369" s="56"/>
      <c r="CZ369" s="56"/>
      <c r="DA369" s="56"/>
      <c r="DB369" s="56"/>
      <c r="DC369" s="56"/>
      <c r="DD369" s="56"/>
      <c r="DE369" s="56"/>
      <c r="DF369" s="56"/>
      <c r="DG369" s="56"/>
      <c r="DH369" s="56"/>
      <c r="DI369" s="56"/>
      <c r="DJ369" s="56"/>
      <c r="DK369" s="56"/>
      <c r="DL369" s="56"/>
      <c r="DM369" s="56"/>
      <c r="DN369" s="56"/>
      <c r="DO369" s="56"/>
      <c r="DP369" s="56"/>
      <c r="DQ369" s="56"/>
      <c r="DR369" s="56"/>
      <c r="DS369" s="56"/>
      <c r="DT369" s="56"/>
      <c r="DU369" s="56"/>
      <c r="DV369" s="56"/>
      <c r="DW369" s="56"/>
      <c r="DX369" s="56"/>
      <c r="DY369" s="56"/>
      <c r="DZ369" s="56"/>
      <c r="EA369" s="56"/>
      <c r="EB369" s="56"/>
      <c r="EC369" s="56"/>
      <c r="ED369" s="56"/>
      <c r="EE369" s="56"/>
      <c r="EF369" s="56"/>
      <c r="EG369" s="56"/>
      <c r="EH369" s="56"/>
      <c r="EI369" s="56"/>
      <c r="EJ369" s="56"/>
      <c r="EK369" s="56"/>
      <c r="EL369" s="56"/>
      <c r="EM369" s="56"/>
      <c r="EN369" s="56"/>
      <c r="EO369" s="56"/>
      <c r="EP369" s="56"/>
      <c r="EQ369" s="56"/>
      <c r="ER369" s="56"/>
      <c r="ES369" s="56"/>
      <c r="ET369" s="56"/>
      <c r="EU369" s="56"/>
      <c r="EV369" s="56"/>
      <c r="EW369" s="56"/>
      <c r="EX369" s="56"/>
      <c r="EY369" s="56"/>
      <c r="EZ369" s="56"/>
      <c r="FA369" s="56"/>
      <c r="FB369" s="56"/>
      <c r="FC369" s="56"/>
      <c r="FD369" s="56"/>
      <c r="FE369" s="56"/>
      <c r="FF369" s="56"/>
      <c r="FG369" s="56"/>
      <c r="FH369" s="56"/>
      <c r="FI369" s="56"/>
      <c r="FJ369" s="56"/>
      <c r="FK369" s="56"/>
      <c r="FL369" s="56"/>
      <c r="FM369" s="56"/>
      <c r="FN369" s="56"/>
      <c r="FO369" s="56"/>
      <c r="FP369" s="56"/>
      <c r="FQ369" s="56"/>
      <c r="FR369" s="56"/>
      <c r="FS369" s="56"/>
      <c r="FT369" s="56"/>
      <c r="FU369" s="56"/>
      <c r="FV369" s="56"/>
      <c r="FW369" s="56"/>
      <c r="FX369" s="56"/>
      <c r="FY369" s="56"/>
      <c r="FZ369" s="56"/>
      <c r="GA369" s="56"/>
      <c r="GB369" s="56"/>
      <c r="GC369" s="56"/>
      <c r="GD369" s="56"/>
      <c r="GE369" s="56"/>
      <c r="GF369" s="56"/>
      <c r="GG369" s="56"/>
      <c r="GH369" s="56"/>
      <c r="GI369" s="56"/>
      <c r="GJ369" s="56"/>
      <c r="GK369" s="56"/>
      <c r="GL369" s="56"/>
      <c r="GM369" s="56"/>
      <c r="GN369" s="56"/>
      <c r="GO369" s="56"/>
      <c r="GP369" s="56"/>
      <c r="GQ369" s="56"/>
      <c r="GR369" s="56"/>
      <c r="GS369" s="56"/>
      <c r="GT369" s="56"/>
      <c r="GU369" s="56"/>
      <c r="GV369" s="56"/>
      <c r="GW369" s="56"/>
      <c r="GX369" s="56"/>
      <c r="GY369" s="56"/>
      <c r="GZ369" s="56"/>
      <c r="HA369" s="56"/>
      <c r="HB369" s="56"/>
      <c r="HC369" s="56"/>
      <c r="HD369" s="56"/>
      <c r="HE369" s="56"/>
      <c r="HF369" s="56"/>
      <c r="HG369" s="56"/>
      <c r="HH369" s="56"/>
      <c r="HI369" s="56"/>
      <c r="HJ369" s="56"/>
    </row>
    <row r="370" spans="1:218" ht="15.75" customHeight="1" x14ac:dyDescent="0.2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  <c r="CL370" s="56"/>
      <c r="CM370" s="56"/>
      <c r="CN370" s="56"/>
      <c r="CO370" s="56"/>
      <c r="CP370" s="56"/>
      <c r="CQ370" s="56"/>
      <c r="CR370" s="56"/>
      <c r="CS370" s="56"/>
      <c r="CT370" s="56"/>
      <c r="CU370" s="56"/>
      <c r="CV370" s="56"/>
      <c r="CW370" s="56"/>
      <c r="CX370" s="56"/>
      <c r="CY370" s="56"/>
      <c r="CZ370" s="56"/>
      <c r="DA370" s="56"/>
      <c r="DB370" s="56"/>
      <c r="DC370" s="56"/>
      <c r="DD370" s="56"/>
      <c r="DE370" s="56"/>
      <c r="DF370" s="56"/>
      <c r="DG370" s="56"/>
      <c r="DH370" s="56"/>
      <c r="DI370" s="56"/>
      <c r="DJ370" s="56"/>
      <c r="DK370" s="56"/>
      <c r="DL370" s="56"/>
      <c r="DM370" s="56"/>
      <c r="DN370" s="56"/>
      <c r="DO370" s="56"/>
      <c r="DP370" s="56"/>
      <c r="DQ370" s="56"/>
      <c r="DR370" s="56"/>
      <c r="DS370" s="56"/>
      <c r="DT370" s="56"/>
      <c r="DU370" s="56"/>
      <c r="DV370" s="56"/>
      <c r="DW370" s="56"/>
      <c r="DX370" s="56"/>
      <c r="DY370" s="56"/>
      <c r="DZ370" s="56"/>
      <c r="EA370" s="56"/>
      <c r="EB370" s="56"/>
      <c r="EC370" s="56"/>
      <c r="ED370" s="56"/>
      <c r="EE370" s="56"/>
      <c r="EF370" s="56"/>
      <c r="EG370" s="56"/>
      <c r="EH370" s="56"/>
      <c r="EI370" s="56"/>
      <c r="EJ370" s="56"/>
      <c r="EK370" s="56"/>
      <c r="EL370" s="56"/>
      <c r="EM370" s="56"/>
      <c r="EN370" s="56"/>
      <c r="EO370" s="56"/>
      <c r="EP370" s="56"/>
      <c r="EQ370" s="56"/>
      <c r="ER370" s="56"/>
      <c r="ES370" s="56"/>
      <c r="ET370" s="56"/>
      <c r="EU370" s="56"/>
      <c r="EV370" s="56"/>
      <c r="EW370" s="56"/>
      <c r="EX370" s="56"/>
      <c r="EY370" s="56"/>
      <c r="EZ370" s="56"/>
      <c r="FA370" s="56"/>
      <c r="FB370" s="56"/>
      <c r="FC370" s="56"/>
      <c r="FD370" s="56"/>
      <c r="FE370" s="56"/>
      <c r="FF370" s="56"/>
      <c r="FG370" s="56"/>
      <c r="FH370" s="56"/>
      <c r="FI370" s="56"/>
      <c r="FJ370" s="56"/>
      <c r="FK370" s="56"/>
      <c r="FL370" s="56"/>
      <c r="FM370" s="56"/>
      <c r="FN370" s="56"/>
      <c r="FO370" s="56"/>
      <c r="FP370" s="56"/>
      <c r="FQ370" s="56"/>
      <c r="FR370" s="56"/>
      <c r="FS370" s="56"/>
      <c r="FT370" s="56"/>
      <c r="FU370" s="56"/>
      <c r="FV370" s="56"/>
      <c r="FW370" s="56"/>
      <c r="FX370" s="56"/>
      <c r="FY370" s="56"/>
      <c r="FZ370" s="56"/>
      <c r="GA370" s="56"/>
      <c r="GB370" s="56"/>
      <c r="GC370" s="56"/>
      <c r="GD370" s="56"/>
      <c r="GE370" s="56"/>
      <c r="GF370" s="56"/>
      <c r="GG370" s="56"/>
      <c r="GH370" s="56"/>
      <c r="GI370" s="56"/>
      <c r="GJ370" s="56"/>
      <c r="GK370" s="56"/>
      <c r="GL370" s="56"/>
      <c r="GM370" s="56"/>
      <c r="GN370" s="56"/>
      <c r="GO370" s="56"/>
      <c r="GP370" s="56"/>
      <c r="GQ370" s="56"/>
      <c r="GR370" s="56"/>
      <c r="GS370" s="56"/>
      <c r="GT370" s="56"/>
      <c r="GU370" s="56"/>
      <c r="GV370" s="56"/>
      <c r="GW370" s="56"/>
      <c r="GX370" s="56"/>
      <c r="GY370" s="56"/>
      <c r="GZ370" s="56"/>
      <c r="HA370" s="56"/>
      <c r="HB370" s="56"/>
      <c r="HC370" s="56"/>
      <c r="HD370" s="56"/>
      <c r="HE370" s="56"/>
      <c r="HF370" s="56"/>
      <c r="HG370" s="56"/>
      <c r="HH370" s="56"/>
      <c r="HI370" s="56"/>
      <c r="HJ370" s="56"/>
    </row>
    <row r="371" spans="1:218" ht="15.75" customHeight="1" x14ac:dyDescent="0.2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  <c r="CL371" s="56"/>
      <c r="CM371" s="56"/>
      <c r="CN371" s="56"/>
      <c r="CO371" s="56"/>
      <c r="CP371" s="56"/>
      <c r="CQ371" s="56"/>
      <c r="CR371" s="56"/>
      <c r="CS371" s="56"/>
      <c r="CT371" s="56"/>
      <c r="CU371" s="56"/>
      <c r="CV371" s="56"/>
      <c r="CW371" s="56"/>
      <c r="CX371" s="56"/>
      <c r="CY371" s="56"/>
      <c r="CZ371" s="56"/>
      <c r="DA371" s="56"/>
      <c r="DB371" s="56"/>
      <c r="DC371" s="56"/>
      <c r="DD371" s="56"/>
      <c r="DE371" s="56"/>
      <c r="DF371" s="56"/>
      <c r="DG371" s="56"/>
      <c r="DH371" s="56"/>
      <c r="DI371" s="56"/>
      <c r="DJ371" s="56"/>
      <c r="DK371" s="56"/>
      <c r="DL371" s="56"/>
      <c r="DM371" s="56"/>
      <c r="DN371" s="56"/>
      <c r="DO371" s="56"/>
      <c r="DP371" s="56"/>
      <c r="DQ371" s="56"/>
      <c r="DR371" s="56"/>
      <c r="DS371" s="56"/>
      <c r="DT371" s="56"/>
      <c r="DU371" s="56"/>
      <c r="DV371" s="56"/>
      <c r="DW371" s="56"/>
      <c r="DX371" s="56"/>
      <c r="DY371" s="56"/>
      <c r="DZ371" s="56"/>
      <c r="EA371" s="56"/>
      <c r="EB371" s="56"/>
      <c r="EC371" s="56"/>
      <c r="ED371" s="56"/>
      <c r="EE371" s="56"/>
      <c r="EF371" s="56"/>
      <c r="EG371" s="56"/>
      <c r="EH371" s="56"/>
      <c r="EI371" s="56"/>
      <c r="EJ371" s="56"/>
      <c r="EK371" s="56"/>
      <c r="EL371" s="56"/>
      <c r="EM371" s="56"/>
      <c r="EN371" s="56"/>
      <c r="EO371" s="56"/>
      <c r="EP371" s="56"/>
      <c r="EQ371" s="56"/>
      <c r="ER371" s="56"/>
      <c r="ES371" s="56"/>
      <c r="ET371" s="56"/>
      <c r="EU371" s="56"/>
      <c r="EV371" s="56"/>
      <c r="EW371" s="56"/>
      <c r="EX371" s="56"/>
      <c r="EY371" s="56"/>
      <c r="EZ371" s="56"/>
      <c r="FA371" s="56"/>
      <c r="FB371" s="56"/>
      <c r="FC371" s="56"/>
      <c r="FD371" s="56"/>
      <c r="FE371" s="56"/>
      <c r="FF371" s="56"/>
      <c r="FG371" s="56"/>
      <c r="FH371" s="56"/>
      <c r="FI371" s="56"/>
      <c r="FJ371" s="56"/>
      <c r="FK371" s="56"/>
      <c r="FL371" s="56"/>
      <c r="FM371" s="56"/>
      <c r="FN371" s="56"/>
      <c r="FO371" s="56"/>
      <c r="FP371" s="56"/>
      <c r="FQ371" s="56"/>
      <c r="FR371" s="56"/>
      <c r="FS371" s="56"/>
      <c r="FT371" s="56"/>
      <c r="FU371" s="56"/>
      <c r="FV371" s="56"/>
      <c r="FW371" s="56"/>
      <c r="FX371" s="56"/>
      <c r="FY371" s="56"/>
      <c r="FZ371" s="56"/>
      <c r="GA371" s="56"/>
      <c r="GB371" s="56"/>
      <c r="GC371" s="56"/>
      <c r="GD371" s="56"/>
      <c r="GE371" s="56"/>
      <c r="GF371" s="56"/>
      <c r="GG371" s="56"/>
      <c r="GH371" s="56"/>
      <c r="GI371" s="56"/>
      <c r="GJ371" s="56"/>
      <c r="GK371" s="56"/>
      <c r="GL371" s="56"/>
      <c r="GM371" s="56"/>
      <c r="GN371" s="56"/>
      <c r="GO371" s="56"/>
      <c r="GP371" s="56"/>
      <c r="GQ371" s="56"/>
      <c r="GR371" s="56"/>
      <c r="GS371" s="56"/>
      <c r="GT371" s="56"/>
      <c r="GU371" s="56"/>
      <c r="GV371" s="56"/>
      <c r="GW371" s="56"/>
      <c r="GX371" s="56"/>
      <c r="GY371" s="56"/>
      <c r="GZ371" s="56"/>
      <c r="HA371" s="56"/>
      <c r="HB371" s="56"/>
      <c r="HC371" s="56"/>
      <c r="HD371" s="56"/>
      <c r="HE371" s="56"/>
      <c r="HF371" s="56"/>
      <c r="HG371" s="56"/>
      <c r="HH371" s="56"/>
      <c r="HI371" s="56"/>
      <c r="HJ371" s="56"/>
    </row>
    <row r="372" spans="1:218" ht="15.75" customHeight="1" x14ac:dyDescent="0.2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  <c r="CL372" s="56"/>
      <c r="CM372" s="56"/>
      <c r="CN372" s="56"/>
      <c r="CO372" s="56"/>
      <c r="CP372" s="56"/>
      <c r="CQ372" s="56"/>
      <c r="CR372" s="56"/>
      <c r="CS372" s="56"/>
      <c r="CT372" s="56"/>
      <c r="CU372" s="56"/>
      <c r="CV372" s="56"/>
      <c r="CW372" s="56"/>
      <c r="CX372" s="56"/>
      <c r="CY372" s="56"/>
      <c r="CZ372" s="56"/>
      <c r="DA372" s="56"/>
      <c r="DB372" s="56"/>
      <c r="DC372" s="56"/>
      <c r="DD372" s="56"/>
      <c r="DE372" s="56"/>
      <c r="DF372" s="56"/>
      <c r="DG372" s="56"/>
      <c r="DH372" s="56"/>
      <c r="DI372" s="56"/>
      <c r="DJ372" s="56"/>
      <c r="DK372" s="56"/>
      <c r="DL372" s="56"/>
      <c r="DM372" s="56"/>
      <c r="DN372" s="56"/>
      <c r="DO372" s="56"/>
      <c r="DP372" s="56"/>
      <c r="DQ372" s="56"/>
      <c r="DR372" s="56"/>
      <c r="DS372" s="56"/>
      <c r="DT372" s="56"/>
      <c r="DU372" s="56"/>
      <c r="DV372" s="56"/>
      <c r="DW372" s="56"/>
      <c r="DX372" s="56"/>
      <c r="DY372" s="56"/>
      <c r="DZ372" s="56"/>
      <c r="EA372" s="56"/>
      <c r="EB372" s="56"/>
      <c r="EC372" s="56"/>
      <c r="ED372" s="56"/>
      <c r="EE372" s="56"/>
      <c r="EF372" s="56"/>
      <c r="EG372" s="56"/>
      <c r="EH372" s="56"/>
      <c r="EI372" s="56"/>
      <c r="EJ372" s="56"/>
      <c r="EK372" s="56"/>
      <c r="EL372" s="56"/>
      <c r="EM372" s="56"/>
      <c r="EN372" s="56"/>
      <c r="EO372" s="56"/>
      <c r="EP372" s="56"/>
      <c r="EQ372" s="56"/>
      <c r="ER372" s="56"/>
      <c r="ES372" s="56"/>
      <c r="ET372" s="56"/>
      <c r="EU372" s="56"/>
      <c r="EV372" s="56"/>
      <c r="EW372" s="56"/>
      <c r="EX372" s="56"/>
      <c r="EY372" s="56"/>
      <c r="EZ372" s="56"/>
      <c r="FA372" s="56"/>
      <c r="FB372" s="56"/>
      <c r="FC372" s="56"/>
      <c r="FD372" s="56"/>
      <c r="FE372" s="56"/>
      <c r="FF372" s="56"/>
      <c r="FG372" s="56"/>
      <c r="FH372" s="56"/>
      <c r="FI372" s="56"/>
      <c r="FJ372" s="56"/>
      <c r="FK372" s="56"/>
      <c r="FL372" s="56"/>
      <c r="FM372" s="56"/>
      <c r="FN372" s="56"/>
      <c r="FO372" s="56"/>
      <c r="FP372" s="56"/>
      <c r="FQ372" s="56"/>
      <c r="FR372" s="56"/>
      <c r="FS372" s="56"/>
      <c r="FT372" s="56"/>
      <c r="FU372" s="56"/>
      <c r="FV372" s="56"/>
      <c r="FW372" s="56"/>
      <c r="FX372" s="56"/>
      <c r="FY372" s="56"/>
      <c r="FZ372" s="56"/>
      <c r="GA372" s="56"/>
      <c r="GB372" s="56"/>
      <c r="GC372" s="56"/>
      <c r="GD372" s="56"/>
      <c r="GE372" s="56"/>
      <c r="GF372" s="56"/>
      <c r="GG372" s="56"/>
      <c r="GH372" s="56"/>
      <c r="GI372" s="56"/>
      <c r="GJ372" s="56"/>
      <c r="GK372" s="56"/>
      <c r="GL372" s="56"/>
      <c r="GM372" s="56"/>
      <c r="GN372" s="56"/>
      <c r="GO372" s="56"/>
      <c r="GP372" s="56"/>
      <c r="GQ372" s="56"/>
      <c r="GR372" s="56"/>
      <c r="GS372" s="56"/>
      <c r="GT372" s="56"/>
      <c r="GU372" s="56"/>
      <c r="GV372" s="56"/>
      <c r="GW372" s="56"/>
      <c r="GX372" s="56"/>
      <c r="GY372" s="56"/>
      <c r="GZ372" s="56"/>
      <c r="HA372" s="56"/>
      <c r="HB372" s="56"/>
      <c r="HC372" s="56"/>
      <c r="HD372" s="56"/>
      <c r="HE372" s="56"/>
      <c r="HF372" s="56"/>
      <c r="HG372" s="56"/>
      <c r="HH372" s="56"/>
      <c r="HI372" s="56"/>
      <c r="HJ372" s="56"/>
    </row>
    <row r="373" spans="1:218" ht="15.75" customHeight="1" x14ac:dyDescent="0.2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56"/>
      <c r="CP373" s="56"/>
      <c r="CQ373" s="56"/>
      <c r="CR373" s="56"/>
      <c r="CS373" s="56"/>
      <c r="CT373" s="56"/>
      <c r="CU373" s="56"/>
      <c r="CV373" s="56"/>
      <c r="CW373" s="56"/>
      <c r="CX373" s="56"/>
      <c r="CY373" s="56"/>
      <c r="CZ373" s="56"/>
      <c r="DA373" s="56"/>
      <c r="DB373" s="56"/>
      <c r="DC373" s="56"/>
      <c r="DD373" s="56"/>
      <c r="DE373" s="56"/>
      <c r="DF373" s="56"/>
      <c r="DG373" s="56"/>
      <c r="DH373" s="56"/>
      <c r="DI373" s="56"/>
      <c r="DJ373" s="56"/>
      <c r="DK373" s="56"/>
      <c r="DL373" s="56"/>
      <c r="DM373" s="56"/>
      <c r="DN373" s="56"/>
      <c r="DO373" s="56"/>
      <c r="DP373" s="56"/>
      <c r="DQ373" s="56"/>
      <c r="DR373" s="56"/>
      <c r="DS373" s="56"/>
      <c r="DT373" s="56"/>
      <c r="DU373" s="56"/>
      <c r="DV373" s="56"/>
      <c r="DW373" s="56"/>
      <c r="DX373" s="56"/>
      <c r="DY373" s="56"/>
      <c r="DZ373" s="56"/>
      <c r="EA373" s="56"/>
      <c r="EB373" s="56"/>
      <c r="EC373" s="56"/>
      <c r="ED373" s="56"/>
      <c r="EE373" s="56"/>
      <c r="EF373" s="56"/>
      <c r="EG373" s="56"/>
      <c r="EH373" s="56"/>
      <c r="EI373" s="56"/>
      <c r="EJ373" s="56"/>
      <c r="EK373" s="56"/>
      <c r="EL373" s="56"/>
      <c r="EM373" s="56"/>
      <c r="EN373" s="56"/>
      <c r="EO373" s="56"/>
      <c r="EP373" s="56"/>
      <c r="EQ373" s="56"/>
      <c r="ER373" s="56"/>
      <c r="ES373" s="56"/>
      <c r="ET373" s="56"/>
      <c r="EU373" s="56"/>
      <c r="EV373" s="56"/>
      <c r="EW373" s="56"/>
      <c r="EX373" s="56"/>
      <c r="EY373" s="56"/>
      <c r="EZ373" s="56"/>
      <c r="FA373" s="56"/>
      <c r="FB373" s="56"/>
      <c r="FC373" s="56"/>
      <c r="FD373" s="56"/>
      <c r="FE373" s="56"/>
      <c r="FF373" s="56"/>
      <c r="FG373" s="56"/>
      <c r="FH373" s="56"/>
      <c r="FI373" s="56"/>
      <c r="FJ373" s="56"/>
      <c r="FK373" s="56"/>
      <c r="FL373" s="56"/>
      <c r="FM373" s="56"/>
      <c r="FN373" s="56"/>
      <c r="FO373" s="56"/>
      <c r="FP373" s="56"/>
      <c r="FQ373" s="56"/>
      <c r="FR373" s="56"/>
      <c r="FS373" s="56"/>
      <c r="FT373" s="56"/>
      <c r="FU373" s="56"/>
      <c r="FV373" s="56"/>
      <c r="FW373" s="56"/>
      <c r="FX373" s="56"/>
      <c r="FY373" s="56"/>
      <c r="FZ373" s="56"/>
      <c r="GA373" s="56"/>
      <c r="GB373" s="56"/>
      <c r="GC373" s="56"/>
      <c r="GD373" s="56"/>
      <c r="GE373" s="56"/>
      <c r="GF373" s="56"/>
      <c r="GG373" s="56"/>
      <c r="GH373" s="56"/>
      <c r="GI373" s="56"/>
      <c r="GJ373" s="56"/>
      <c r="GK373" s="56"/>
      <c r="GL373" s="56"/>
      <c r="GM373" s="56"/>
      <c r="GN373" s="56"/>
      <c r="GO373" s="56"/>
      <c r="GP373" s="56"/>
      <c r="GQ373" s="56"/>
      <c r="GR373" s="56"/>
      <c r="GS373" s="56"/>
      <c r="GT373" s="56"/>
      <c r="GU373" s="56"/>
      <c r="GV373" s="56"/>
      <c r="GW373" s="56"/>
      <c r="GX373" s="56"/>
      <c r="GY373" s="56"/>
      <c r="GZ373" s="56"/>
      <c r="HA373" s="56"/>
      <c r="HB373" s="56"/>
      <c r="HC373" s="56"/>
      <c r="HD373" s="56"/>
      <c r="HE373" s="56"/>
      <c r="HF373" s="56"/>
      <c r="HG373" s="56"/>
      <c r="HH373" s="56"/>
      <c r="HI373" s="56"/>
      <c r="HJ373" s="56"/>
    </row>
    <row r="374" spans="1:218" ht="15.75" customHeight="1" x14ac:dyDescent="0.2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  <c r="CL374" s="56"/>
      <c r="CM374" s="56"/>
      <c r="CN374" s="56"/>
      <c r="CO374" s="56"/>
      <c r="CP374" s="56"/>
      <c r="CQ374" s="56"/>
      <c r="CR374" s="56"/>
      <c r="CS374" s="56"/>
      <c r="CT374" s="56"/>
      <c r="CU374" s="56"/>
      <c r="CV374" s="56"/>
      <c r="CW374" s="56"/>
      <c r="CX374" s="56"/>
      <c r="CY374" s="56"/>
      <c r="CZ374" s="56"/>
      <c r="DA374" s="56"/>
      <c r="DB374" s="56"/>
      <c r="DC374" s="56"/>
      <c r="DD374" s="56"/>
      <c r="DE374" s="56"/>
      <c r="DF374" s="56"/>
      <c r="DG374" s="56"/>
      <c r="DH374" s="56"/>
      <c r="DI374" s="56"/>
      <c r="DJ374" s="56"/>
      <c r="DK374" s="56"/>
      <c r="DL374" s="56"/>
      <c r="DM374" s="56"/>
      <c r="DN374" s="56"/>
      <c r="DO374" s="56"/>
      <c r="DP374" s="56"/>
      <c r="DQ374" s="56"/>
      <c r="DR374" s="56"/>
      <c r="DS374" s="56"/>
      <c r="DT374" s="56"/>
      <c r="DU374" s="56"/>
      <c r="DV374" s="56"/>
      <c r="DW374" s="56"/>
      <c r="DX374" s="56"/>
      <c r="DY374" s="56"/>
      <c r="DZ374" s="56"/>
      <c r="EA374" s="56"/>
      <c r="EB374" s="56"/>
      <c r="EC374" s="56"/>
      <c r="ED374" s="56"/>
      <c r="EE374" s="56"/>
      <c r="EF374" s="56"/>
      <c r="EG374" s="56"/>
      <c r="EH374" s="56"/>
      <c r="EI374" s="56"/>
      <c r="EJ374" s="56"/>
      <c r="EK374" s="56"/>
      <c r="EL374" s="56"/>
      <c r="EM374" s="56"/>
      <c r="EN374" s="56"/>
      <c r="EO374" s="56"/>
      <c r="EP374" s="56"/>
      <c r="EQ374" s="56"/>
      <c r="ER374" s="56"/>
      <c r="ES374" s="56"/>
      <c r="ET374" s="56"/>
      <c r="EU374" s="56"/>
      <c r="EV374" s="56"/>
      <c r="EW374" s="56"/>
      <c r="EX374" s="56"/>
      <c r="EY374" s="56"/>
      <c r="EZ374" s="56"/>
      <c r="FA374" s="56"/>
      <c r="FB374" s="56"/>
      <c r="FC374" s="56"/>
      <c r="FD374" s="56"/>
      <c r="FE374" s="56"/>
      <c r="FF374" s="56"/>
      <c r="FG374" s="56"/>
      <c r="FH374" s="56"/>
      <c r="FI374" s="56"/>
      <c r="FJ374" s="56"/>
      <c r="FK374" s="56"/>
      <c r="FL374" s="56"/>
      <c r="FM374" s="56"/>
      <c r="FN374" s="56"/>
      <c r="FO374" s="56"/>
      <c r="FP374" s="56"/>
      <c r="FQ374" s="56"/>
      <c r="FR374" s="56"/>
      <c r="FS374" s="56"/>
      <c r="FT374" s="56"/>
      <c r="FU374" s="56"/>
      <c r="FV374" s="56"/>
      <c r="FW374" s="56"/>
      <c r="FX374" s="56"/>
      <c r="FY374" s="56"/>
      <c r="FZ374" s="56"/>
      <c r="GA374" s="56"/>
      <c r="GB374" s="56"/>
      <c r="GC374" s="56"/>
      <c r="GD374" s="56"/>
      <c r="GE374" s="56"/>
      <c r="GF374" s="56"/>
      <c r="GG374" s="56"/>
      <c r="GH374" s="56"/>
      <c r="GI374" s="56"/>
      <c r="GJ374" s="56"/>
      <c r="GK374" s="56"/>
      <c r="GL374" s="56"/>
      <c r="GM374" s="56"/>
      <c r="GN374" s="56"/>
      <c r="GO374" s="56"/>
      <c r="GP374" s="56"/>
      <c r="GQ374" s="56"/>
      <c r="GR374" s="56"/>
      <c r="GS374" s="56"/>
      <c r="GT374" s="56"/>
      <c r="GU374" s="56"/>
      <c r="GV374" s="56"/>
      <c r="GW374" s="56"/>
      <c r="GX374" s="56"/>
      <c r="GY374" s="56"/>
      <c r="GZ374" s="56"/>
      <c r="HA374" s="56"/>
      <c r="HB374" s="56"/>
      <c r="HC374" s="56"/>
      <c r="HD374" s="56"/>
      <c r="HE374" s="56"/>
      <c r="HF374" s="56"/>
      <c r="HG374" s="56"/>
      <c r="HH374" s="56"/>
      <c r="HI374" s="56"/>
      <c r="HJ374" s="56"/>
    </row>
    <row r="375" spans="1:218" ht="15.75" customHeight="1" x14ac:dyDescent="0.2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  <c r="CL375" s="56"/>
      <c r="CM375" s="56"/>
      <c r="CN375" s="56"/>
      <c r="CO375" s="56"/>
      <c r="CP375" s="56"/>
      <c r="CQ375" s="56"/>
      <c r="CR375" s="56"/>
      <c r="CS375" s="56"/>
      <c r="CT375" s="56"/>
      <c r="CU375" s="56"/>
      <c r="CV375" s="56"/>
      <c r="CW375" s="56"/>
      <c r="CX375" s="56"/>
      <c r="CY375" s="56"/>
      <c r="CZ375" s="56"/>
      <c r="DA375" s="56"/>
      <c r="DB375" s="56"/>
      <c r="DC375" s="56"/>
      <c r="DD375" s="56"/>
      <c r="DE375" s="56"/>
      <c r="DF375" s="56"/>
      <c r="DG375" s="56"/>
      <c r="DH375" s="56"/>
      <c r="DI375" s="56"/>
      <c r="DJ375" s="56"/>
      <c r="DK375" s="56"/>
      <c r="DL375" s="56"/>
      <c r="DM375" s="56"/>
      <c r="DN375" s="56"/>
      <c r="DO375" s="56"/>
      <c r="DP375" s="56"/>
      <c r="DQ375" s="56"/>
      <c r="DR375" s="56"/>
      <c r="DS375" s="56"/>
      <c r="DT375" s="56"/>
      <c r="DU375" s="56"/>
      <c r="DV375" s="56"/>
      <c r="DW375" s="56"/>
      <c r="DX375" s="56"/>
      <c r="DY375" s="56"/>
      <c r="DZ375" s="56"/>
      <c r="EA375" s="56"/>
      <c r="EB375" s="56"/>
      <c r="EC375" s="56"/>
      <c r="ED375" s="56"/>
      <c r="EE375" s="56"/>
      <c r="EF375" s="56"/>
      <c r="EG375" s="56"/>
      <c r="EH375" s="56"/>
      <c r="EI375" s="56"/>
      <c r="EJ375" s="56"/>
      <c r="EK375" s="56"/>
      <c r="EL375" s="56"/>
      <c r="EM375" s="56"/>
      <c r="EN375" s="56"/>
      <c r="EO375" s="56"/>
      <c r="EP375" s="56"/>
      <c r="EQ375" s="56"/>
      <c r="ER375" s="56"/>
      <c r="ES375" s="56"/>
      <c r="ET375" s="56"/>
      <c r="EU375" s="56"/>
      <c r="EV375" s="56"/>
      <c r="EW375" s="56"/>
      <c r="EX375" s="56"/>
      <c r="EY375" s="56"/>
      <c r="EZ375" s="56"/>
      <c r="FA375" s="56"/>
      <c r="FB375" s="56"/>
      <c r="FC375" s="56"/>
      <c r="FD375" s="56"/>
      <c r="FE375" s="56"/>
      <c r="FF375" s="56"/>
      <c r="FG375" s="56"/>
      <c r="FH375" s="56"/>
      <c r="FI375" s="56"/>
      <c r="FJ375" s="56"/>
      <c r="FK375" s="56"/>
      <c r="FL375" s="56"/>
      <c r="FM375" s="56"/>
      <c r="FN375" s="56"/>
      <c r="FO375" s="56"/>
      <c r="FP375" s="56"/>
      <c r="FQ375" s="56"/>
      <c r="FR375" s="56"/>
      <c r="FS375" s="56"/>
      <c r="FT375" s="56"/>
      <c r="FU375" s="56"/>
      <c r="FV375" s="56"/>
      <c r="FW375" s="56"/>
      <c r="FX375" s="56"/>
      <c r="FY375" s="56"/>
      <c r="FZ375" s="56"/>
      <c r="GA375" s="56"/>
      <c r="GB375" s="56"/>
      <c r="GC375" s="56"/>
      <c r="GD375" s="56"/>
      <c r="GE375" s="56"/>
      <c r="GF375" s="56"/>
      <c r="GG375" s="56"/>
      <c r="GH375" s="56"/>
      <c r="GI375" s="56"/>
      <c r="GJ375" s="56"/>
      <c r="GK375" s="56"/>
      <c r="GL375" s="56"/>
      <c r="GM375" s="56"/>
      <c r="GN375" s="56"/>
      <c r="GO375" s="56"/>
      <c r="GP375" s="56"/>
      <c r="GQ375" s="56"/>
      <c r="GR375" s="56"/>
      <c r="GS375" s="56"/>
      <c r="GT375" s="56"/>
      <c r="GU375" s="56"/>
      <c r="GV375" s="56"/>
      <c r="GW375" s="56"/>
      <c r="GX375" s="56"/>
      <c r="GY375" s="56"/>
      <c r="GZ375" s="56"/>
      <c r="HA375" s="56"/>
      <c r="HB375" s="56"/>
      <c r="HC375" s="56"/>
      <c r="HD375" s="56"/>
      <c r="HE375" s="56"/>
      <c r="HF375" s="56"/>
      <c r="HG375" s="56"/>
      <c r="HH375" s="56"/>
      <c r="HI375" s="56"/>
      <c r="HJ375" s="56"/>
    </row>
    <row r="376" spans="1:218" ht="15.75" customHeight="1" x14ac:dyDescent="0.2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  <c r="CL376" s="56"/>
      <c r="CM376" s="56"/>
      <c r="CN376" s="56"/>
      <c r="CO376" s="56"/>
      <c r="CP376" s="56"/>
      <c r="CQ376" s="56"/>
      <c r="CR376" s="56"/>
      <c r="CS376" s="56"/>
      <c r="CT376" s="56"/>
      <c r="CU376" s="56"/>
      <c r="CV376" s="56"/>
      <c r="CW376" s="56"/>
      <c r="CX376" s="56"/>
      <c r="CY376" s="56"/>
      <c r="CZ376" s="56"/>
      <c r="DA376" s="56"/>
      <c r="DB376" s="56"/>
      <c r="DC376" s="56"/>
      <c r="DD376" s="56"/>
      <c r="DE376" s="56"/>
      <c r="DF376" s="56"/>
      <c r="DG376" s="56"/>
      <c r="DH376" s="56"/>
      <c r="DI376" s="56"/>
      <c r="DJ376" s="56"/>
      <c r="DK376" s="56"/>
      <c r="DL376" s="56"/>
      <c r="DM376" s="56"/>
      <c r="DN376" s="56"/>
      <c r="DO376" s="56"/>
      <c r="DP376" s="56"/>
      <c r="DQ376" s="56"/>
      <c r="DR376" s="56"/>
      <c r="DS376" s="56"/>
      <c r="DT376" s="56"/>
      <c r="DU376" s="56"/>
      <c r="DV376" s="56"/>
      <c r="DW376" s="56"/>
      <c r="DX376" s="56"/>
      <c r="DY376" s="56"/>
      <c r="DZ376" s="56"/>
      <c r="EA376" s="56"/>
      <c r="EB376" s="56"/>
      <c r="EC376" s="56"/>
      <c r="ED376" s="56"/>
      <c r="EE376" s="56"/>
      <c r="EF376" s="56"/>
      <c r="EG376" s="56"/>
      <c r="EH376" s="56"/>
      <c r="EI376" s="56"/>
      <c r="EJ376" s="56"/>
      <c r="EK376" s="56"/>
      <c r="EL376" s="56"/>
      <c r="EM376" s="56"/>
      <c r="EN376" s="56"/>
      <c r="EO376" s="56"/>
      <c r="EP376" s="56"/>
      <c r="EQ376" s="56"/>
      <c r="ER376" s="56"/>
      <c r="ES376" s="56"/>
      <c r="ET376" s="56"/>
      <c r="EU376" s="56"/>
      <c r="EV376" s="56"/>
      <c r="EW376" s="56"/>
      <c r="EX376" s="56"/>
      <c r="EY376" s="56"/>
      <c r="EZ376" s="56"/>
      <c r="FA376" s="56"/>
      <c r="FB376" s="56"/>
      <c r="FC376" s="56"/>
      <c r="FD376" s="56"/>
      <c r="FE376" s="56"/>
      <c r="FF376" s="56"/>
      <c r="FG376" s="56"/>
      <c r="FH376" s="56"/>
      <c r="FI376" s="56"/>
      <c r="FJ376" s="56"/>
      <c r="FK376" s="56"/>
      <c r="FL376" s="56"/>
      <c r="FM376" s="56"/>
      <c r="FN376" s="56"/>
      <c r="FO376" s="56"/>
      <c r="FP376" s="56"/>
      <c r="FQ376" s="56"/>
      <c r="FR376" s="56"/>
      <c r="FS376" s="56"/>
      <c r="FT376" s="56"/>
      <c r="FU376" s="56"/>
      <c r="FV376" s="56"/>
      <c r="FW376" s="56"/>
      <c r="FX376" s="56"/>
      <c r="FY376" s="56"/>
      <c r="FZ376" s="56"/>
      <c r="GA376" s="56"/>
      <c r="GB376" s="56"/>
      <c r="GC376" s="56"/>
      <c r="GD376" s="56"/>
      <c r="GE376" s="56"/>
      <c r="GF376" s="56"/>
      <c r="GG376" s="56"/>
      <c r="GH376" s="56"/>
      <c r="GI376" s="56"/>
      <c r="GJ376" s="56"/>
      <c r="GK376" s="56"/>
      <c r="GL376" s="56"/>
      <c r="GM376" s="56"/>
      <c r="GN376" s="56"/>
      <c r="GO376" s="56"/>
      <c r="GP376" s="56"/>
      <c r="GQ376" s="56"/>
      <c r="GR376" s="56"/>
      <c r="GS376" s="56"/>
      <c r="GT376" s="56"/>
      <c r="GU376" s="56"/>
      <c r="GV376" s="56"/>
      <c r="GW376" s="56"/>
      <c r="GX376" s="56"/>
      <c r="GY376" s="56"/>
      <c r="GZ376" s="56"/>
      <c r="HA376" s="56"/>
      <c r="HB376" s="56"/>
      <c r="HC376" s="56"/>
      <c r="HD376" s="56"/>
      <c r="HE376" s="56"/>
      <c r="HF376" s="56"/>
      <c r="HG376" s="56"/>
      <c r="HH376" s="56"/>
      <c r="HI376" s="56"/>
      <c r="HJ376" s="56"/>
    </row>
    <row r="377" spans="1:218" ht="15.75" customHeight="1" x14ac:dyDescent="0.2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56"/>
      <c r="CP377" s="56"/>
      <c r="CQ377" s="56"/>
      <c r="CR377" s="56"/>
      <c r="CS377" s="56"/>
      <c r="CT377" s="56"/>
      <c r="CU377" s="56"/>
      <c r="CV377" s="56"/>
      <c r="CW377" s="56"/>
      <c r="CX377" s="56"/>
      <c r="CY377" s="56"/>
      <c r="CZ377" s="56"/>
      <c r="DA377" s="56"/>
      <c r="DB377" s="56"/>
      <c r="DC377" s="56"/>
      <c r="DD377" s="56"/>
      <c r="DE377" s="56"/>
      <c r="DF377" s="56"/>
      <c r="DG377" s="56"/>
      <c r="DH377" s="56"/>
      <c r="DI377" s="56"/>
      <c r="DJ377" s="56"/>
      <c r="DK377" s="56"/>
      <c r="DL377" s="56"/>
      <c r="DM377" s="56"/>
      <c r="DN377" s="56"/>
      <c r="DO377" s="56"/>
      <c r="DP377" s="56"/>
      <c r="DQ377" s="56"/>
      <c r="DR377" s="56"/>
      <c r="DS377" s="56"/>
      <c r="DT377" s="56"/>
      <c r="DU377" s="56"/>
      <c r="DV377" s="56"/>
      <c r="DW377" s="56"/>
      <c r="DX377" s="56"/>
      <c r="DY377" s="56"/>
      <c r="DZ377" s="56"/>
      <c r="EA377" s="56"/>
      <c r="EB377" s="56"/>
      <c r="EC377" s="56"/>
      <c r="ED377" s="56"/>
      <c r="EE377" s="56"/>
      <c r="EF377" s="56"/>
      <c r="EG377" s="56"/>
      <c r="EH377" s="56"/>
      <c r="EI377" s="56"/>
      <c r="EJ377" s="56"/>
      <c r="EK377" s="56"/>
      <c r="EL377" s="56"/>
      <c r="EM377" s="56"/>
      <c r="EN377" s="56"/>
      <c r="EO377" s="56"/>
      <c r="EP377" s="56"/>
      <c r="EQ377" s="56"/>
      <c r="ER377" s="56"/>
      <c r="ES377" s="56"/>
      <c r="ET377" s="56"/>
      <c r="EU377" s="56"/>
      <c r="EV377" s="56"/>
      <c r="EW377" s="56"/>
      <c r="EX377" s="56"/>
      <c r="EY377" s="56"/>
      <c r="EZ377" s="56"/>
      <c r="FA377" s="56"/>
      <c r="FB377" s="56"/>
      <c r="FC377" s="56"/>
      <c r="FD377" s="56"/>
      <c r="FE377" s="56"/>
      <c r="FF377" s="56"/>
      <c r="FG377" s="56"/>
      <c r="FH377" s="56"/>
      <c r="FI377" s="56"/>
      <c r="FJ377" s="56"/>
      <c r="FK377" s="56"/>
      <c r="FL377" s="56"/>
      <c r="FM377" s="56"/>
      <c r="FN377" s="56"/>
      <c r="FO377" s="56"/>
      <c r="FP377" s="56"/>
      <c r="FQ377" s="56"/>
      <c r="FR377" s="56"/>
      <c r="FS377" s="56"/>
      <c r="FT377" s="56"/>
      <c r="FU377" s="56"/>
      <c r="FV377" s="56"/>
      <c r="FW377" s="56"/>
      <c r="FX377" s="56"/>
      <c r="FY377" s="56"/>
      <c r="FZ377" s="56"/>
      <c r="GA377" s="56"/>
      <c r="GB377" s="56"/>
      <c r="GC377" s="56"/>
      <c r="GD377" s="56"/>
      <c r="GE377" s="56"/>
      <c r="GF377" s="56"/>
      <c r="GG377" s="56"/>
      <c r="GH377" s="56"/>
      <c r="GI377" s="56"/>
      <c r="GJ377" s="56"/>
      <c r="GK377" s="56"/>
      <c r="GL377" s="56"/>
      <c r="GM377" s="56"/>
      <c r="GN377" s="56"/>
      <c r="GO377" s="56"/>
      <c r="GP377" s="56"/>
      <c r="GQ377" s="56"/>
      <c r="GR377" s="56"/>
      <c r="GS377" s="56"/>
      <c r="GT377" s="56"/>
      <c r="GU377" s="56"/>
      <c r="GV377" s="56"/>
      <c r="GW377" s="56"/>
      <c r="GX377" s="56"/>
      <c r="GY377" s="56"/>
      <c r="GZ377" s="56"/>
      <c r="HA377" s="56"/>
      <c r="HB377" s="56"/>
      <c r="HC377" s="56"/>
      <c r="HD377" s="56"/>
      <c r="HE377" s="56"/>
      <c r="HF377" s="56"/>
      <c r="HG377" s="56"/>
      <c r="HH377" s="56"/>
      <c r="HI377" s="56"/>
      <c r="HJ377" s="56"/>
    </row>
    <row r="378" spans="1:218" ht="15.75" customHeight="1" x14ac:dyDescent="0.2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56"/>
      <c r="CP378" s="56"/>
      <c r="CQ378" s="56"/>
      <c r="CR378" s="56"/>
      <c r="CS378" s="56"/>
      <c r="CT378" s="56"/>
      <c r="CU378" s="56"/>
      <c r="CV378" s="56"/>
      <c r="CW378" s="56"/>
      <c r="CX378" s="56"/>
      <c r="CY378" s="56"/>
      <c r="CZ378" s="56"/>
      <c r="DA378" s="56"/>
      <c r="DB378" s="56"/>
      <c r="DC378" s="56"/>
      <c r="DD378" s="56"/>
      <c r="DE378" s="56"/>
      <c r="DF378" s="56"/>
      <c r="DG378" s="56"/>
      <c r="DH378" s="56"/>
      <c r="DI378" s="56"/>
      <c r="DJ378" s="56"/>
      <c r="DK378" s="56"/>
      <c r="DL378" s="56"/>
      <c r="DM378" s="56"/>
      <c r="DN378" s="56"/>
      <c r="DO378" s="56"/>
      <c r="DP378" s="56"/>
      <c r="DQ378" s="56"/>
      <c r="DR378" s="56"/>
      <c r="DS378" s="56"/>
      <c r="DT378" s="56"/>
      <c r="DU378" s="56"/>
      <c r="DV378" s="56"/>
      <c r="DW378" s="56"/>
      <c r="DX378" s="56"/>
      <c r="DY378" s="56"/>
      <c r="DZ378" s="56"/>
      <c r="EA378" s="56"/>
      <c r="EB378" s="56"/>
      <c r="EC378" s="56"/>
      <c r="ED378" s="56"/>
      <c r="EE378" s="56"/>
      <c r="EF378" s="56"/>
      <c r="EG378" s="56"/>
      <c r="EH378" s="56"/>
      <c r="EI378" s="56"/>
      <c r="EJ378" s="56"/>
      <c r="EK378" s="56"/>
      <c r="EL378" s="56"/>
      <c r="EM378" s="56"/>
      <c r="EN378" s="56"/>
      <c r="EO378" s="56"/>
      <c r="EP378" s="56"/>
      <c r="EQ378" s="56"/>
      <c r="ER378" s="56"/>
      <c r="ES378" s="56"/>
      <c r="ET378" s="56"/>
      <c r="EU378" s="56"/>
      <c r="EV378" s="56"/>
      <c r="EW378" s="56"/>
      <c r="EX378" s="56"/>
      <c r="EY378" s="56"/>
      <c r="EZ378" s="56"/>
      <c r="FA378" s="56"/>
      <c r="FB378" s="56"/>
      <c r="FC378" s="56"/>
      <c r="FD378" s="56"/>
      <c r="FE378" s="56"/>
      <c r="FF378" s="56"/>
      <c r="FG378" s="56"/>
      <c r="FH378" s="56"/>
      <c r="FI378" s="56"/>
      <c r="FJ378" s="56"/>
      <c r="FK378" s="56"/>
      <c r="FL378" s="56"/>
      <c r="FM378" s="56"/>
      <c r="FN378" s="56"/>
      <c r="FO378" s="56"/>
      <c r="FP378" s="56"/>
      <c r="FQ378" s="56"/>
      <c r="FR378" s="56"/>
      <c r="FS378" s="56"/>
      <c r="FT378" s="56"/>
      <c r="FU378" s="56"/>
      <c r="FV378" s="56"/>
      <c r="FW378" s="56"/>
      <c r="FX378" s="56"/>
      <c r="FY378" s="56"/>
      <c r="FZ378" s="56"/>
      <c r="GA378" s="56"/>
      <c r="GB378" s="56"/>
      <c r="GC378" s="56"/>
      <c r="GD378" s="56"/>
      <c r="GE378" s="56"/>
      <c r="GF378" s="56"/>
      <c r="GG378" s="56"/>
      <c r="GH378" s="56"/>
      <c r="GI378" s="56"/>
      <c r="GJ378" s="56"/>
      <c r="GK378" s="56"/>
      <c r="GL378" s="56"/>
      <c r="GM378" s="56"/>
      <c r="GN378" s="56"/>
      <c r="GO378" s="56"/>
      <c r="GP378" s="56"/>
      <c r="GQ378" s="56"/>
      <c r="GR378" s="56"/>
      <c r="GS378" s="56"/>
      <c r="GT378" s="56"/>
      <c r="GU378" s="56"/>
      <c r="GV378" s="56"/>
      <c r="GW378" s="56"/>
      <c r="GX378" s="56"/>
      <c r="GY378" s="56"/>
      <c r="GZ378" s="56"/>
      <c r="HA378" s="56"/>
      <c r="HB378" s="56"/>
      <c r="HC378" s="56"/>
      <c r="HD378" s="56"/>
      <c r="HE378" s="56"/>
      <c r="HF378" s="56"/>
      <c r="HG378" s="56"/>
      <c r="HH378" s="56"/>
      <c r="HI378" s="56"/>
      <c r="HJ378" s="56"/>
    </row>
    <row r="379" spans="1:218" ht="15.75" customHeight="1" x14ac:dyDescent="0.2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  <c r="BV379" s="56"/>
      <c r="BW379" s="56"/>
      <c r="BX379" s="56"/>
      <c r="BY379" s="56"/>
      <c r="BZ379" s="56"/>
      <c r="CA379" s="56"/>
      <c r="CB379" s="56"/>
      <c r="CC379" s="56"/>
      <c r="CD379" s="56"/>
      <c r="CE379" s="56"/>
      <c r="CF379" s="56"/>
      <c r="CG379" s="56"/>
      <c r="CH379" s="56"/>
      <c r="CI379" s="56"/>
      <c r="CJ379" s="56"/>
      <c r="CK379" s="56"/>
      <c r="CL379" s="56"/>
      <c r="CM379" s="56"/>
      <c r="CN379" s="56"/>
      <c r="CO379" s="56"/>
      <c r="CP379" s="56"/>
      <c r="CQ379" s="56"/>
      <c r="CR379" s="56"/>
      <c r="CS379" s="56"/>
      <c r="CT379" s="56"/>
      <c r="CU379" s="56"/>
      <c r="CV379" s="56"/>
      <c r="CW379" s="56"/>
      <c r="CX379" s="56"/>
      <c r="CY379" s="56"/>
      <c r="CZ379" s="56"/>
      <c r="DA379" s="56"/>
      <c r="DB379" s="56"/>
      <c r="DC379" s="56"/>
      <c r="DD379" s="56"/>
      <c r="DE379" s="56"/>
      <c r="DF379" s="56"/>
      <c r="DG379" s="56"/>
      <c r="DH379" s="56"/>
      <c r="DI379" s="56"/>
      <c r="DJ379" s="56"/>
      <c r="DK379" s="56"/>
      <c r="DL379" s="56"/>
      <c r="DM379" s="56"/>
      <c r="DN379" s="56"/>
      <c r="DO379" s="56"/>
      <c r="DP379" s="56"/>
      <c r="DQ379" s="56"/>
      <c r="DR379" s="56"/>
      <c r="DS379" s="56"/>
      <c r="DT379" s="56"/>
      <c r="DU379" s="56"/>
      <c r="DV379" s="56"/>
      <c r="DW379" s="56"/>
      <c r="DX379" s="56"/>
      <c r="DY379" s="56"/>
      <c r="DZ379" s="56"/>
      <c r="EA379" s="56"/>
      <c r="EB379" s="56"/>
      <c r="EC379" s="56"/>
      <c r="ED379" s="56"/>
      <c r="EE379" s="56"/>
      <c r="EF379" s="56"/>
      <c r="EG379" s="56"/>
      <c r="EH379" s="56"/>
      <c r="EI379" s="56"/>
      <c r="EJ379" s="56"/>
      <c r="EK379" s="56"/>
      <c r="EL379" s="56"/>
      <c r="EM379" s="56"/>
      <c r="EN379" s="56"/>
      <c r="EO379" s="56"/>
      <c r="EP379" s="56"/>
      <c r="EQ379" s="56"/>
      <c r="ER379" s="56"/>
      <c r="ES379" s="56"/>
      <c r="ET379" s="56"/>
      <c r="EU379" s="56"/>
      <c r="EV379" s="56"/>
      <c r="EW379" s="56"/>
      <c r="EX379" s="56"/>
      <c r="EY379" s="56"/>
      <c r="EZ379" s="56"/>
      <c r="FA379" s="56"/>
      <c r="FB379" s="56"/>
      <c r="FC379" s="56"/>
      <c r="FD379" s="56"/>
      <c r="FE379" s="56"/>
      <c r="FF379" s="56"/>
      <c r="FG379" s="56"/>
      <c r="FH379" s="56"/>
      <c r="FI379" s="56"/>
      <c r="FJ379" s="56"/>
      <c r="FK379" s="56"/>
      <c r="FL379" s="56"/>
      <c r="FM379" s="56"/>
      <c r="FN379" s="56"/>
      <c r="FO379" s="56"/>
      <c r="FP379" s="56"/>
      <c r="FQ379" s="56"/>
      <c r="FR379" s="56"/>
      <c r="FS379" s="56"/>
      <c r="FT379" s="56"/>
      <c r="FU379" s="56"/>
      <c r="FV379" s="56"/>
      <c r="FW379" s="56"/>
      <c r="FX379" s="56"/>
      <c r="FY379" s="56"/>
      <c r="FZ379" s="56"/>
      <c r="GA379" s="56"/>
      <c r="GB379" s="56"/>
      <c r="GC379" s="56"/>
      <c r="GD379" s="56"/>
      <c r="GE379" s="56"/>
      <c r="GF379" s="56"/>
      <c r="GG379" s="56"/>
      <c r="GH379" s="56"/>
      <c r="GI379" s="56"/>
      <c r="GJ379" s="56"/>
      <c r="GK379" s="56"/>
      <c r="GL379" s="56"/>
      <c r="GM379" s="56"/>
      <c r="GN379" s="56"/>
      <c r="GO379" s="56"/>
      <c r="GP379" s="56"/>
      <c r="GQ379" s="56"/>
      <c r="GR379" s="56"/>
      <c r="GS379" s="56"/>
      <c r="GT379" s="56"/>
      <c r="GU379" s="56"/>
      <c r="GV379" s="56"/>
      <c r="GW379" s="56"/>
      <c r="GX379" s="56"/>
      <c r="GY379" s="56"/>
      <c r="GZ379" s="56"/>
      <c r="HA379" s="56"/>
      <c r="HB379" s="56"/>
      <c r="HC379" s="56"/>
      <c r="HD379" s="56"/>
      <c r="HE379" s="56"/>
      <c r="HF379" s="56"/>
      <c r="HG379" s="56"/>
      <c r="HH379" s="56"/>
      <c r="HI379" s="56"/>
      <c r="HJ379" s="56"/>
    </row>
    <row r="380" spans="1:218" ht="15.75" customHeight="1" x14ac:dyDescent="0.2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  <c r="CL380" s="56"/>
      <c r="CM380" s="56"/>
      <c r="CN380" s="56"/>
      <c r="CO380" s="56"/>
      <c r="CP380" s="56"/>
      <c r="CQ380" s="56"/>
      <c r="CR380" s="56"/>
      <c r="CS380" s="56"/>
      <c r="CT380" s="56"/>
      <c r="CU380" s="56"/>
      <c r="CV380" s="56"/>
      <c r="CW380" s="56"/>
      <c r="CX380" s="56"/>
      <c r="CY380" s="56"/>
      <c r="CZ380" s="56"/>
      <c r="DA380" s="56"/>
      <c r="DB380" s="56"/>
      <c r="DC380" s="56"/>
      <c r="DD380" s="56"/>
      <c r="DE380" s="56"/>
      <c r="DF380" s="56"/>
      <c r="DG380" s="56"/>
      <c r="DH380" s="56"/>
      <c r="DI380" s="56"/>
      <c r="DJ380" s="56"/>
      <c r="DK380" s="56"/>
      <c r="DL380" s="56"/>
      <c r="DM380" s="56"/>
      <c r="DN380" s="56"/>
      <c r="DO380" s="56"/>
      <c r="DP380" s="56"/>
      <c r="DQ380" s="56"/>
      <c r="DR380" s="56"/>
      <c r="DS380" s="56"/>
      <c r="DT380" s="56"/>
      <c r="DU380" s="56"/>
      <c r="DV380" s="56"/>
      <c r="DW380" s="56"/>
      <c r="DX380" s="56"/>
      <c r="DY380" s="56"/>
      <c r="DZ380" s="56"/>
      <c r="EA380" s="56"/>
      <c r="EB380" s="56"/>
      <c r="EC380" s="56"/>
      <c r="ED380" s="56"/>
      <c r="EE380" s="56"/>
      <c r="EF380" s="56"/>
      <c r="EG380" s="56"/>
      <c r="EH380" s="56"/>
      <c r="EI380" s="56"/>
      <c r="EJ380" s="56"/>
      <c r="EK380" s="56"/>
      <c r="EL380" s="56"/>
      <c r="EM380" s="56"/>
      <c r="EN380" s="56"/>
      <c r="EO380" s="56"/>
      <c r="EP380" s="56"/>
      <c r="EQ380" s="56"/>
      <c r="ER380" s="56"/>
      <c r="ES380" s="56"/>
      <c r="ET380" s="56"/>
      <c r="EU380" s="56"/>
      <c r="EV380" s="56"/>
      <c r="EW380" s="56"/>
      <c r="EX380" s="56"/>
      <c r="EY380" s="56"/>
      <c r="EZ380" s="56"/>
      <c r="FA380" s="56"/>
      <c r="FB380" s="56"/>
      <c r="FC380" s="56"/>
      <c r="FD380" s="56"/>
      <c r="FE380" s="56"/>
      <c r="FF380" s="56"/>
      <c r="FG380" s="56"/>
      <c r="FH380" s="56"/>
      <c r="FI380" s="56"/>
      <c r="FJ380" s="56"/>
      <c r="FK380" s="56"/>
      <c r="FL380" s="56"/>
      <c r="FM380" s="56"/>
      <c r="FN380" s="56"/>
      <c r="FO380" s="56"/>
      <c r="FP380" s="56"/>
      <c r="FQ380" s="56"/>
      <c r="FR380" s="56"/>
      <c r="FS380" s="56"/>
      <c r="FT380" s="56"/>
      <c r="FU380" s="56"/>
      <c r="FV380" s="56"/>
      <c r="FW380" s="56"/>
      <c r="FX380" s="56"/>
      <c r="FY380" s="56"/>
      <c r="FZ380" s="56"/>
      <c r="GA380" s="56"/>
      <c r="GB380" s="56"/>
      <c r="GC380" s="56"/>
      <c r="GD380" s="56"/>
      <c r="GE380" s="56"/>
      <c r="GF380" s="56"/>
      <c r="GG380" s="56"/>
      <c r="GH380" s="56"/>
      <c r="GI380" s="56"/>
      <c r="GJ380" s="56"/>
      <c r="GK380" s="56"/>
      <c r="GL380" s="56"/>
      <c r="GM380" s="56"/>
      <c r="GN380" s="56"/>
      <c r="GO380" s="56"/>
      <c r="GP380" s="56"/>
      <c r="GQ380" s="56"/>
      <c r="GR380" s="56"/>
      <c r="GS380" s="56"/>
      <c r="GT380" s="56"/>
      <c r="GU380" s="56"/>
      <c r="GV380" s="56"/>
      <c r="GW380" s="56"/>
      <c r="GX380" s="56"/>
      <c r="GY380" s="56"/>
      <c r="GZ380" s="56"/>
      <c r="HA380" s="56"/>
      <c r="HB380" s="56"/>
      <c r="HC380" s="56"/>
      <c r="HD380" s="56"/>
      <c r="HE380" s="56"/>
      <c r="HF380" s="56"/>
      <c r="HG380" s="56"/>
      <c r="HH380" s="56"/>
      <c r="HI380" s="56"/>
      <c r="HJ380" s="56"/>
    </row>
    <row r="381" spans="1:218" ht="15.75" customHeight="1" x14ac:dyDescent="0.2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  <c r="CL381" s="56"/>
      <c r="CM381" s="56"/>
      <c r="CN381" s="56"/>
      <c r="CO381" s="56"/>
      <c r="CP381" s="56"/>
      <c r="CQ381" s="56"/>
      <c r="CR381" s="56"/>
      <c r="CS381" s="56"/>
      <c r="CT381" s="56"/>
      <c r="CU381" s="56"/>
      <c r="CV381" s="56"/>
      <c r="CW381" s="56"/>
      <c r="CX381" s="56"/>
      <c r="CY381" s="56"/>
      <c r="CZ381" s="56"/>
      <c r="DA381" s="56"/>
      <c r="DB381" s="56"/>
      <c r="DC381" s="56"/>
      <c r="DD381" s="56"/>
      <c r="DE381" s="56"/>
      <c r="DF381" s="56"/>
      <c r="DG381" s="56"/>
      <c r="DH381" s="56"/>
      <c r="DI381" s="56"/>
      <c r="DJ381" s="56"/>
      <c r="DK381" s="56"/>
      <c r="DL381" s="56"/>
      <c r="DM381" s="56"/>
      <c r="DN381" s="56"/>
      <c r="DO381" s="56"/>
      <c r="DP381" s="56"/>
      <c r="DQ381" s="56"/>
      <c r="DR381" s="56"/>
      <c r="DS381" s="56"/>
      <c r="DT381" s="56"/>
      <c r="DU381" s="56"/>
      <c r="DV381" s="56"/>
      <c r="DW381" s="56"/>
      <c r="DX381" s="56"/>
      <c r="DY381" s="56"/>
      <c r="DZ381" s="56"/>
      <c r="EA381" s="56"/>
      <c r="EB381" s="56"/>
      <c r="EC381" s="56"/>
      <c r="ED381" s="56"/>
      <c r="EE381" s="56"/>
      <c r="EF381" s="56"/>
      <c r="EG381" s="56"/>
      <c r="EH381" s="56"/>
      <c r="EI381" s="56"/>
      <c r="EJ381" s="56"/>
      <c r="EK381" s="56"/>
      <c r="EL381" s="56"/>
      <c r="EM381" s="56"/>
      <c r="EN381" s="56"/>
      <c r="EO381" s="56"/>
      <c r="EP381" s="56"/>
      <c r="EQ381" s="56"/>
      <c r="ER381" s="56"/>
      <c r="ES381" s="56"/>
      <c r="ET381" s="56"/>
      <c r="EU381" s="56"/>
      <c r="EV381" s="56"/>
      <c r="EW381" s="56"/>
      <c r="EX381" s="56"/>
      <c r="EY381" s="56"/>
      <c r="EZ381" s="56"/>
      <c r="FA381" s="56"/>
      <c r="FB381" s="56"/>
      <c r="FC381" s="56"/>
      <c r="FD381" s="56"/>
      <c r="FE381" s="56"/>
      <c r="FF381" s="56"/>
      <c r="FG381" s="56"/>
      <c r="FH381" s="56"/>
      <c r="FI381" s="56"/>
      <c r="FJ381" s="56"/>
      <c r="FK381" s="56"/>
      <c r="FL381" s="56"/>
      <c r="FM381" s="56"/>
      <c r="FN381" s="56"/>
      <c r="FO381" s="56"/>
      <c r="FP381" s="56"/>
      <c r="FQ381" s="56"/>
      <c r="FR381" s="56"/>
      <c r="FS381" s="56"/>
      <c r="FT381" s="56"/>
      <c r="FU381" s="56"/>
      <c r="FV381" s="56"/>
      <c r="FW381" s="56"/>
      <c r="FX381" s="56"/>
      <c r="FY381" s="56"/>
      <c r="FZ381" s="56"/>
      <c r="GA381" s="56"/>
      <c r="GB381" s="56"/>
      <c r="GC381" s="56"/>
      <c r="GD381" s="56"/>
      <c r="GE381" s="56"/>
      <c r="GF381" s="56"/>
      <c r="GG381" s="56"/>
      <c r="GH381" s="56"/>
      <c r="GI381" s="56"/>
      <c r="GJ381" s="56"/>
      <c r="GK381" s="56"/>
      <c r="GL381" s="56"/>
      <c r="GM381" s="56"/>
      <c r="GN381" s="56"/>
      <c r="GO381" s="56"/>
      <c r="GP381" s="56"/>
      <c r="GQ381" s="56"/>
      <c r="GR381" s="56"/>
      <c r="GS381" s="56"/>
      <c r="GT381" s="56"/>
      <c r="GU381" s="56"/>
      <c r="GV381" s="56"/>
      <c r="GW381" s="56"/>
      <c r="GX381" s="56"/>
      <c r="GY381" s="56"/>
      <c r="GZ381" s="56"/>
      <c r="HA381" s="56"/>
      <c r="HB381" s="56"/>
      <c r="HC381" s="56"/>
      <c r="HD381" s="56"/>
      <c r="HE381" s="56"/>
      <c r="HF381" s="56"/>
      <c r="HG381" s="56"/>
      <c r="HH381" s="56"/>
      <c r="HI381" s="56"/>
      <c r="HJ381" s="56"/>
    </row>
    <row r="382" spans="1:218" ht="15.75" customHeight="1" x14ac:dyDescent="0.2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56"/>
      <c r="CC382" s="56"/>
      <c r="CD382" s="56"/>
      <c r="CE382" s="56"/>
      <c r="CF382" s="56"/>
      <c r="CG382" s="56"/>
      <c r="CH382" s="56"/>
      <c r="CI382" s="56"/>
      <c r="CJ382" s="56"/>
      <c r="CK382" s="56"/>
      <c r="CL382" s="56"/>
      <c r="CM382" s="56"/>
      <c r="CN382" s="56"/>
      <c r="CO382" s="56"/>
      <c r="CP382" s="56"/>
      <c r="CQ382" s="56"/>
      <c r="CR382" s="56"/>
      <c r="CS382" s="56"/>
      <c r="CT382" s="56"/>
      <c r="CU382" s="56"/>
      <c r="CV382" s="56"/>
      <c r="CW382" s="56"/>
      <c r="CX382" s="56"/>
      <c r="CY382" s="56"/>
      <c r="CZ382" s="56"/>
      <c r="DA382" s="56"/>
      <c r="DB382" s="56"/>
      <c r="DC382" s="56"/>
      <c r="DD382" s="56"/>
      <c r="DE382" s="56"/>
      <c r="DF382" s="56"/>
      <c r="DG382" s="56"/>
      <c r="DH382" s="56"/>
      <c r="DI382" s="56"/>
      <c r="DJ382" s="56"/>
      <c r="DK382" s="56"/>
      <c r="DL382" s="56"/>
      <c r="DM382" s="56"/>
      <c r="DN382" s="56"/>
      <c r="DO382" s="56"/>
      <c r="DP382" s="56"/>
      <c r="DQ382" s="56"/>
      <c r="DR382" s="56"/>
      <c r="DS382" s="56"/>
      <c r="DT382" s="56"/>
      <c r="DU382" s="56"/>
      <c r="DV382" s="56"/>
      <c r="DW382" s="56"/>
      <c r="DX382" s="56"/>
      <c r="DY382" s="56"/>
      <c r="DZ382" s="56"/>
      <c r="EA382" s="56"/>
      <c r="EB382" s="56"/>
      <c r="EC382" s="56"/>
      <c r="ED382" s="56"/>
      <c r="EE382" s="56"/>
      <c r="EF382" s="56"/>
      <c r="EG382" s="56"/>
      <c r="EH382" s="56"/>
      <c r="EI382" s="56"/>
      <c r="EJ382" s="56"/>
      <c r="EK382" s="56"/>
      <c r="EL382" s="56"/>
      <c r="EM382" s="56"/>
      <c r="EN382" s="56"/>
      <c r="EO382" s="56"/>
      <c r="EP382" s="56"/>
      <c r="EQ382" s="56"/>
      <c r="ER382" s="56"/>
      <c r="ES382" s="56"/>
      <c r="ET382" s="56"/>
      <c r="EU382" s="56"/>
      <c r="EV382" s="56"/>
      <c r="EW382" s="56"/>
      <c r="EX382" s="56"/>
      <c r="EY382" s="56"/>
      <c r="EZ382" s="56"/>
      <c r="FA382" s="56"/>
      <c r="FB382" s="56"/>
      <c r="FC382" s="56"/>
      <c r="FD382" s="56"/>
      <c r="FE382" s="56"/>
      <c r="FF382" s="56"/>
      <c r="FG382" s="56"/>
      <c r="FH382" s="56"/>
      <c r="FI382" s="56"/>
      <c r="FJ382" s="56"/>
      <c r="FK382" s="56"/>
      <c r="FL382" s="56"/>
      <c r="FM382" s="56"/>
      <c r="FN382" s="56"/>
      <c r="FO382" s="56"/>
      <c r="FP382" s="56"/>
      <c r="FQ382" s="56"/>
      <c r="FR382" s="56"/>
      <c r="FS382" s="56"/>
      <c r="FT382" s="56"/>
      <c r="FU382" s="56"/>
      <c r="FV382" s="56"/>
      <c r="FW382" s="56"/>
      <c r="FX382" s="56"/>
      <c r="FY382" s="56"/>
      <c r="FZ382" s="56"/>
      <c r="GA382" s="56"/>
      <c r="GB382" s="56"/>
      <c r="GC382" s="56"/>
      <c r="GD382" s="56"/>
      <c r="GE382" s="56"/>
      <c r="GF382" s="56"/>
      <c r="GG382" s="56"/>
      <c r="GH382" s="56"/>
      <c r="GI382" s="56"/>
      <c r="GJ382" s="56"/>
      <c r="GK382" s="56"/>
      <c r="GL382" s="56"/>
      <c r="GM382" s="56"/>
      <c r="GN382" s="56"/>
      <c r="GO382" s="56"/>
      <c r="GP382" s="56"/>
      <c r="GQ382" s="56"/>
      <c r="GR382" s="56"/>
      <c r="GS382" s="56"/>
      <c r="GT382" s="56"/>
      <c r="GU382" s="56"/>
      <c r="GV382" s="56"/>
      <c r="GW382" s="56"/>
      <c r="GX382" s="56"/>
      <c r="GY382" s="56"/>
      <c r="GZ382" s="56"/>
      <c r="HA382" s="56"/>
      <c r="HB382" s="56"/>
      <c r="HC382" s="56"/>
      <c r="HD382" s="56"/>
      <c r="HE382" s="56"/>
      <c r="HF382" s="56"/>
      <c r="HG382" s="56"/>
      <c r="HH382" s="56"/>
      <c r="HI382" s="56"/>
      <c r="HJ382" s="56"/>
    </row>
    <row r="383" spans="1:218" ht="15.75" customHeight="1" x14ac:dyDescent="0.2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56"/>
      <c r="CC383" s="56"/>
      <c r="CD383" s="56"/>
      <c r="CE383" s="56"/>
      <c r="CF383" s="56"/>
      <c r="CG383" s="56"/>
      <c r="CH383" s="56"/>
      <c r="CI383" s="56"/>
      <c r="CJ383" s="56"/>
      <c r="CK383" s="56"/>
      <c r="CL383" s="56"/>
      <c r="CM383" s="56"/>
      <c r="CN383" s="56"/>
      <c r="CO383" s="56"/>
      <c r="CP383" s="56"/>
      <c r="CQ383" s="56"/>
      <c r="CR383" s="56"/>
      <c r="CS383" s="56"/>
      <c r="CT383" s="56"/>
      <c r="CU383" s="56"/>
      <c r="CV383" s="56"/>
      <c r="CW383" s="56"/>
      <c r="CX383" s="56"/>
      <c r="CY383" s="56"/>
      <c r="CZ383" s="56"/>
      <c r="DA383" s="56"/>
      <c r="DB383" s="56"/>
      <c r="DC383" s="56"/>
      <c r="DD383" s="56"/>
      <c r="DE383" s="56"/>
      <c r="DF383" s="56"/>
      <c r="DG383" s="56"/>
      <c r="DH383" s="56"/>
      <c r="DI383" s="56"/>
      <c r="DJ383" s="56"/>
      <c r="DK383" s="56"/>
      <c r="DL383" s="56"/>
      <c r="DM383" s="56"/>
      <c r="DN383" s="56"/>
      <c r="DO383" s="56"/>
      <c r="DP383" s="56"/>
      <c r="DQ383" s="56"/>
      <c r="DR383" s="56"/>
      <c r="DS383" s="56"/>
      <c r="DT383" s="56"/>
      <c r="DU383" s="56"/>
      <c r="DV383" s="56"/>
      <c r="DW383" s="56"/>
      <c r="DX383" s="56"/>
      <c r="DY383" s="56"/>
      <c r="DZ383" s="56"/>
      <c r="EA383" s="56"/>
      <c r="EB383" s="56"/>
      <c r="EC383" s="56"/>
      <c r="ED383" s="56"/>
      <c r="EE383" s="56"/>
      <c r="EF383" s="56"/>
      <c r="EG383" s="56"/>
      <c r="EH383" s="56"/>
      <c r="EI383" s="56"/>
      <c r="EJ383" s="56"/>
      <c r="EK383" s="56"/>
      <c r="EL383" s="56"/>
      <c r="EM383" s="56"/>
      <c r="EN383" s="56"/>
      <c r="EO383" s="56"/>
      <c r="EP383" s="56"/>
      <c r="EQ383" s="56"/>
      <c r="ER383" s="56"/>
      <c r="ES383" s="56"/>
      <c r="ET383" s="56"/>
      <c r="EU383" s="56"/>
      <c r="EV383" s="56"/>
      <c r="EW383" s="56"/>
      <c r="EX383" s="56"/>
      <c r="EY383" s="56"/>
      <c r="EZ383" s="56"/>
      <c r="FA383" s="56"/>
      <c r="FB383" s="56"/>
      <c r="FC383" s="56"/>
      <c r="FD383" s="56"/>
      <c r="FE383" s="56"/>
      <c r="FF383" s="56"/>
      <c r="FG383" s="56"/>
      <c r="FH383" s="56"/>
      <c r="FI383" s="56"/>
      <c r="FJ383" s="56"/>
      <c r="FK383" s="56"/>
      <c r="FL383" s="56"/>
      <c r="FM383" s="56"/>
      <c r="FN383" s="56"/>
      <c r="FO383" s="56"/>
      <c r="FP383" s="56"/>
      <c r="FQ383" s="56"/>
      <c r="FR383" s="56"/>
      <c r="FS383" s="56"/>
      <c r="FT383" s="56"/>
      <c r="FU383" s="56"/>
      <c r="FV383" s="56"/>
      <c r="FW383" s="56"/>
      <c r="FX383" s="56"/>
      <c r="FY383" s="56"/>
      <c r="FZ383" s="56"/>
      <c r="GA383" s="56"/>
      <c r="GB383" s="56"/>
      <c r="GC383" s="56"/>
      <c r="GD383" s="56"/>
      <c r="GE383" s="56"/>
      <c r="GF383" s="56"/>
      <c r="GG383" s="56"/>
      <c r="GH383" s="56"/>
      <c r="GI383" s="56"/>
      <c r="GJ383" s="56"/>
      <c r="GK383" s="56"/>
      <c r="GL383" s="56"/>
      <c r="GM383" s="56"/>
      <c r="GN383" s="56"/>
      <c r="GO383" s="56"/>
      <c r="GP383" s="56"/>
      <c r="GQ383" s="56"/>
      <c r="GR383" s="56"/>
      <c r="GS383" s="56"/>
      <c r="GT383" s="56"/>
      <c r="GU383" s="56"/>
      <c r="GV383" s="56"/>
      <c r="GW383" s="56"/>
      <c r="GX383" s="56"/>
      <c r="GY383" s="56"/>
      <c r="GZ383" s="56"/>
      <c r="HA383" s="56"/>
      <c r="HB383" s="56"/>
      <c r="HC383" s="56"/>
      <c r="HD383" s="56"/>
      <c r="HE383" s="56"/>
      <c r="HF383" s="56"/>
      <c r="HG383" s="56"/>
      <c r="HH383" s="56"/>
      <c r="HI383" s="56"/>
      <c r="HJ383" s="56"/>
    </row>
    <row r="384" spans="1:218" ht="15.75" customHeight="1" x14ac:dyDescent="0.2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  <c r="CL384" s="56"/>
      <c r="CM384" s="56"/>
      <c r="CN384" s="56"/>
      <c r="CO384" s="56"/>
      <c r="CP384" s="56"/>
      <c r="CQ384" s="56"/>
      <c r="CR384" s="56"/>
      <c r="CS384" s="56"/>
      <c r="CT384" s="56"/>
      <c r="CU384" s="56"/>
      <c r="CV384" s="56"/>
      <c r="CW384" s="56"/>
      <c r="CX384" s="56"/>
      <c r="CY384" s="56"/>
      <c r="CZ384" s="56"/>
      <c r="DA384" s="56"/>
      <c r="DB384" s="56"/>
      <c r="DC384" s="56"/>
      <c r="DD384" s="56"/>
      <c r="DE384" s="56"/>
      <c r="DF384" s="56"/>
      <c r="DG384" s="56"/>
      <c r="DH384" s="56"/>
      <c r="DI384" s="56"/>
      <c r="DJ384" s="56"/>
      <c r="DK384" s="56"/>
      <c r="DL384" s="56"/>
      <c r="DM384" s="56"/>
      <c r="DN384" s="56"/>
      <c r="DO384" s="56"/>
      <c r="DP384" s="56"/>
      <c r="DQ384" s="56"/>
      <c r="DR384" s="56"/>
      <c r="DS384" s="56"/>
      <c r="DT384" s="56"/>
      <c r="DU384" s="56"/>
      <c r="DV384" s="56"/>
      <c r="DW384" s="56"/>
      <c r="DX384" s="56"/>
      <c r="DY384" s="56"/>
      <c r="DZ384" s="56"/>
      <c r="EA384" s="56"/>
      <c r="EB384" s="56"/>
      <c r="EC384" s="56"/>
      <c r="ED384" s="56"/>
      <c r="EE384" s="56"/>
      <c r="EF384" s="56"/>
      <c r="EG384" s="56"/>
      <c r="EH384" s="56"/>
      <c r="EI384" s="56"/>
      <c r="EJ384" s="56"/>
      <c r="EK384" s="56"/>
      <c r="EL384" s="56"/>
      <c r="EM384" s="56"/>
      <c r="EN384" s="56"/>
      <c r="EO384" s="56"/>
      <c r="EP384" s="56"/>
      <c r="EQ384" s="56"/>
      <c r="ER384" s="56"/>
      <c r="ES384" s="56"/>
      <c r="ET384" s="56"/>
      <c r="EU384" s="56"/>
      <c r="EV384" s="56"/>
      <c r="EW384" s="56"/>
      <c r="EX384" s="56"/>
      <c r="EY384" s="56"/>
      <c r="EZ384" s="56"/>
      <c r="FA384" s="56"/>
      <c r="FB384" s="56"/>
      <c r="FC384" s="56"/>
      <c r="FD384" s="56"/>
      <c r="FE384" s="56"/>
      <c r="FF384" s="56"/>
      <c r="FG384" s="56"/>
      <c r="FH384" s="56"/>
      <c r="FI384" s="56"/>
      <c r="FJ384" s="56"/>
      <c r="FK384" s="56"/>
      <c r="FL384" s="56"/>
      <c r="FM384" s="56"/>
      <c r="FN384" s="56"/>
      <c r="FO384" s="56"/>
      <c r="FP384" s="56"/>
      <c r="FQ384" s="56"/>
      <c r="FR384" s="56"/>
      <c r="FS384" s="56"/>
      <c r="FT384" s="56"/>
      <c r="FU384" s="56"/>
      <c r="FV384" s="56"/>
      <c r="FW384" s="56"/>
      <c r="FX384" s="56"/>
      <c r="FY384" s="56"/>
      <c r="FZ384" s="56"/>
      <c r="GA384" s="56"/>
      <c r="GB384" s="56"/>
      <c r="GC384" s="56"/>
      <c r="GD384" s="56"/>
      <c r="GE384" s="56"/>
      <c r="GF384" s="56"/>
      <c r="GG384" s="56"/>
      <c r="GH384" s="56"/>
      <c r="GI384" s="56"/>
      <c r="GJ384" s="56"/>
      <c r="GK384" s="56"/>
      <c r="GL384" s="56"/>
      <c r="GM384" s="56"/>
      <c r="GN384" s="56"/>
      <c r="GO384" s="56"/>
      <c r="GP384" s="56"/>
      <c r="GQ384" s="56"/>
      <c r="GR384" s="56"/>
      <c r="GS384" s="56"/>
      <c r="GT384" s="56"/>
      <c r="GU384" s="56"/>
      <c r="GV384" s="56"/>
      <c r="GW384" s="56"/>
      <c r="GX384" s="56"/>
      <c r="GY384" s="56"/>
      <c r="GZ384" s="56"/>
      <c r="HA384" s="56"/>
      <c r="HB384" s="56"/>
      <c r="HC384" s="56"/>
      <c r="HD384" s="56"/>
      <c r="HE384" s="56"/>
      <c r="HF384" s="56"/>
      <c r="HG384" s="56"/>
      <c r="HH384" s="56"/>
      <c r="HI384" s="56"/>
      <c r="HJ384" s="56"/>
    </row>
    <row r="385" spans="1:218" ht="15.75" customHeight="1" x14ac:dyDescent="0.2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  <c r="CL385" s="56"/>
      <c r="CM385" s="56"/>
      <c r="CN385" s="56"/>
      <c r="CO385" s="56"/>
      <c r="CP385" s="56"/>
      <c r="CQ385" s="56"/>
      <c r="CR385" s="56"/>
      <c r="CS385" s="56"/>
      <c r="CT385" s="56"/>
      <c r="CU385" s="56"/>
      <c r="CV385" s="56"/>
      <c r="CW385" s="56"/>
      <c r="CX385" s="56"/>
      <c r="CY385" s="56"/>
      <c r="CZ385" s="56"/>
      <c r="DA385" s="56"/>
      <c r="DB385" s="56"/>
      <c r="DC385" s="56"/>
      <c r="DD385" s="56"/>
      <c r="DE385" s="56"/>
      <c r="DF385" s="56"/>
      <c r="DG385" s="56"/>
      <c r="DH385" s="56"/>
      <c r="DI385" s="56"/>
      <c r="DJ385" s="56"/>
      <c r="DK385" s="56"/>
      <c r="DL385" s="56"/>
      <c r="DM385" s="56"/>
      <c r="DN385" s="56"/>
      <c r="DO385" s="56"/>
      <c r="DP385" s="56"/>
      <c r="DQ385" s="56"/>
      <c r="DR385" s="56"/>
      <c r="DS385" s="56"/>
      <c r="DT385" s="56"/>
      <c r="DU385" s="56"/>
      <c r="DV385" s="56"/>
      <c r="DW385" s="56"/>
      <c r="DX385" s="56"/>
      <c r="DY385" s="56"/>
      <c r="DZ385" s="56"/>
      <c r="EA385" s="56"/>
      <c r="EB385" s="56"/>
      <c r="EC385" s="56"/>
      <c r="ED385" s="56"/>
      <c r="EE385" s="56"/>
      <c r="EF385" s="56"/>
      <c r="EG385" s="56"/>
      <c r="EH385" s="56"/>
      <c r="EI385" s="56"/>
      <c r="EJ385" s="56"/>
      <c r="EK385" s="56"/>
      <c r="EL385" s="56"/>
      <c r="EM385" s="56"/>
      <c r="EN385" s="56"/>
      <c r="EO385" s="56"/>
      <c r="EP385" s="56"/>
      <c r="EQ385" s="56"/>
      <c r="ER385" s="56"/>
      <c r="ES385" s="56"/>
      <c r="ET385" s="56"/>
      <c r="EU385" s="56"/>
      <c r="EV385" s="56"/>
      <c r="EW385" s="56"/>
      <c r="EX385" s="56"/>
      <c r="EY385" s="56"/>
      <c r="EZ385" s="56"/>
      <c r="FA385" s="56"/>
      <c r="FB385" s="56"/>
      <c r="FC385" s="56"/>
      <c r="FD385" s="56"/>
      <c r="FE385" s="56"/>
      <c r="FF385" s="56"/>
      <c r="FG385" s="56"/>
      <c r="FH385" s="56"/>
      <c r="FI385" s="56"/>
      <c r="FJ385" s="56"/>
      <c r="FK385" s="56"/>
      <c r="FL385" s="56"/>
      <c r="FM385" s="56"/>
      <c r="FN385" s="56"/>
      <c r="FO385" s="56"/>
      <c r="FP385" s="56"/>
      <c r="FQ385" s="56"/>
      <c r="FR385" s="56"/>
      <c r="FS385" s="56"/>
      <c r="FT385" s="56"/>
      <c r="FU385" s="56"/>
      <c r="FV385" s="56"/>
      <c r="FW385" s="56"/>
      <c r="FX385" s="56"/>
      <c r="FY385" s="56"/>
      <c r="FZ385" s="56"/>
      <c r="GA385" s="56"/>
      <c r="GB385" s="56"/>
      <c r="GC385" s="56"/>
      <c r="GD385" s="56"/>
      <c r="GE385" s="56"/>
      <c r="GF385" s="56"/>
      <c r="GG385" s="56"/>
      <c r="GH385" s="56"/>
      <c r="GI385" s="56"/>
      <c r="GJ385" s="56"/>
      <c r="GK385" s="56"/>
      <c r="GL385" s="56"/>
      <c r="GM385" s="56"/>
      <c r="GN385" s="56"/>
      <c r="GO385" s="56"/>
      <c r="GP385" s="56"/>
      <c r="GQ385" s="56"/>
      <c r="GR385" s="56"/>
      <c r="GS385" s="56"/>
      <c r="GT385" s="56"/>
      <c r="GU385" s="56"/>
      <c r="GV385" s="56"/>
      <c r="GW385" s="56"/>
      <c r="GX385" s="56"/>
      <c r="GY385" s="56"/>
      <c r="GZ385" s="56"/>
      <c r="HA385" s="56"/>
      <c r="HB385" s="56"/>
      <c r="HC385" s="56"/>
      <c r="HD385" s="56"/>
      <c r="HE385" s="56"/>
      <c r="HF385" s="56"/>
      <c r="HG385" s="56"/>
      <c r="HH385" s="56"/>
      <c r="HI385" s="56"/>
      <c r="HJ385" s="56"/>
    </row>
    <row r="386" spans="1:218" ht="15.75" customHeight="1" x14ac:dyDescent="0.2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  <c r="CL386" s="56"/>
      <c r="CM386" s="56"/>
      <c r="CN386" s="56"/>
      <c r="CO386" s="56"/>
      <c r="CP386" s="56"/>
      <c r="CQ386" s="56"/>
      <c r="CR386" s="56"/>
      <c r="CS386" s="56"/>
      <c r="CT386" s="56"/>
      <c r="CU386" s="56"/>
      <c r="CV386" s="56"/>
      <c r="CW386" s="56"/>
      <c r="CX386" s="56"/>
      <c r="CY386" s="56"/>
      <c r="CZ386" s="56"/>
      <c r="DA386" s="56"/>
      <c r="DB386" s="56"/>
      <c r="DC386" s="56"/>
      <c r="DD386" s="56"/>
      <c r="DE386" s="56"/>
      <c r="DF386" s="56"/>
      <c r="DG386" s="56"/>
      <c r="DH386" s="56"/>
      <c r="DI386" s="56"/>
      <c r="DJ386" s="56"/>
      <c r="DK386" s="56"/>
      <c r="DL386" s="56"/>
      <c r="DM386" s="56"/>
      <c r="DN386" s="56"/>
      <c r="DO386" s="56"/>
      <c r="DP386" s="56"/>
      <c r="DQ386" s="56"/>
      <c r="DR386" s="56"/>
      <c r="DS386" s="56"/>
      <c r="DT386" s="56"/>
      <c r="DU386" s="56"/>
      <c r="DV386" s="56"/>
      <c r="DW386" s="56"/>
      <c r="DX386" s="56"/>
      <c r="DY386" s="56"/>
      <c r="DZ386" s="56"/>
      <c r="EA386" s="56"/>
      <c r="EB386" s="56"/>
      <c r="EC386" s="56"/>
      <c r="ED386" s="56"/>
      <c r="EE386" s="56"/>
      <c r="EF386" s="56"/>
      <c r="EG386" s="56"/>
      <c r="EH386" s="56"/>
      <c r="EI386" s="56"/>
      <c r="EJ386" s="56"/>
      <c r="EK386" s="56"/>
      <c r="EL386" s="56"/>
      <c r="EM386" s="56"/>
      <c r="EN386" s="56"/>
      <c r="EO386" s="56"/>
      <c r="EP386" s="56"/>
      <c r="EQ386" s="56"/>
      <c r="ER386" s="56"/>
      <c r="ES386" s="56"/>
      <c r="ET386" s="56"/>
      <c r="EU386" s="56"/>
      <c r="EV386" s="56"/>
      <c r="EW386" s="56"/>
      <c r="EX386" s="56"/>
      <c r="EY386" s="56"/>
      <c r="EZ386" s="56"/>
      <c r="FA386" s="56"/>
      <c r="FB386" s="56"/>
      <c r="FC386" s="56"/>
      <c r="FD386" s="56"/>
      <c r="FE386" s="56"/>
      <c r="FF386" s="56"/>
      <c r="FG386" s="56"/>
      <c r="FH386" s="56"/>
      <c r="FI386" s="56"/>
      <c r="FJ386" s="56"/>
      <c r="FK386" s="56"/>
      <c r="FL386" s="56"/>
      <c r="FM386" s="56"/>
      <c r="FN386" s="56"/>
      <c r="FO386" s="56"/>
      <c r="FP386" s="56"/>
      <c r="FQ386" s="56"/>
      <c r="FR386" s="56"/>
      <c r="FS386" s="56"/>
      <c r="FT386" s="56"/>
      <c r="FU386" s="56"/>
      <c r="FV386" s="56"/>
      <c r="FW386" s="56"/>
      <c r="FX386" s="56"/>
      <c r="FY386" s="56"/>
      <c r="FZ386" s="56"/>
      <c r="GA386" s="56"/>
      <c r="GB386" s="56"/>
      <c r="GC386" s="56"/>
      <c r="GD386" s="56"/>
      <c r="GE386" s="56"/>
      <c r="GF386" s="56"/>
      <c r="GG386" s="56"/>
      <c r="GH386" s="56"/>
      <c r="GI386" s="56"/>
      <c r="GJ386" s="56"/>
      <c r="GK386" s="56"/>
      <c r="GL386" s="56"/>
      <c r="GM386" s="56"/>
      <c r="GN386" s="56"/>
      <c r="GO386" s="56"/>
      <c r="GP386" s="56"/>
      <c r="GQ386" s="56"/>
      <c r="GR386" s="56"/>
      <c r="GS386" s="56"/>
      <c r="GT386" s="56"/>
      <c r="GU386" s="56"/>
      <c r="GV386" s="56"/>
      <c r="GW386" s="56"/>
      <c r="GX386" s="56"/>
      <c r="GY386" s="56"/>
      <c r="GZ386" s="56"/>
      <c r="HA386" s="56"/>
      <c r="HB386" s="56"/>
      <c r="HC386" s="56"/>
      <c r="HD386" s="56"/>
      <c r="HE386" s="56"/>
      <c r="HF386" s="56"/>
      <c r="HG386" s="56"/>
      <c r="HH386" s="56"/>
      <c r="HI386" s="56"/>
      <c r="HJ386" s="56"/>
    </row>
    <row r="387" spans="1:218" ht="15.75" customHeight="1" x14ac:dyDescent="0.2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  <c r="CL387" s="56"/>
      <c r="CM387" s="56"/>
      <c r="CN387" s="56"/>
      <c r="CO387" s="56"/>
      <c r="CP387" s="56"/>
      <c r="CQ387" s="56"/>
      <c r="CR387" s="56"/>
      <c r="CS387" s="56"/>
      <c r="CT387" s="56"/>
      <c r="CU387" s="56"/>
      <c r="CV387" s="56"/>
      <c r="CW387" s="56"/>
      <c r="CX387" s="56"/>
      <c r="CY387" s="56"/>
      <c r="CZ387" s="56"/>
      <c r="DA387" s="56"/>
      <c r="DB387" s="56"/>
      <c r="DC387" s="56"/>
      <c r="DD387" s="56"/>
      <c r="DE387" s="56"/>
      <c r="DF387" s="56"/>
      <c r="DG387" s="56"/>
      <c r="DH387" s="56"/>
      <c r="DI387" s="56"/>
      <c r="DJ387" s="56"/>
      <c r="DK387" s="56"/>
      <c r="DL387" s="56"/>
      <c r="DM387" s="56"/>
      <c r="DN387" s="56"/>
      <c r="DO387" s="56"/>
      <c r="DP387" s="56"/>
      <c r="DQ387" s="56"/>
      <c r="DR387" s="56"/>
      <c r="DS387" s="56"/>
      <c r="DT387" s="56"/>
      <c r="DU387" s="56"/>
      <c r="DV387" s="56"/>
      <c r="DW387" s="56"/>
      <c r="DX387" s="56"/>
      <c r="DY387" s="56"/>
      <c r="DZ387" s="56"/>
      <c r="EA387" s="56"/>
      <c r="EB387" s="56"/>
      <c r="EC387" s="56"/>
      <c r="ED387" s="56"/>
      <c r="EE387" s="56"/>
      <c r="EF387" s="56"/>
      <c r="EG387" s="56"/>
      <c r="EH387" s="56"/>
      <c r="EI387" s="56"/>
      <c r="EJ387" s="56"/>
      <c r="EK387" s="56"/>
      <c r="EL387" s="56"/>
      <c r="EM387" s="56"/>
      <c r="EN387" s="56"/>
      <c r="EO387" s="56"/>
      <c r="EP387" s="56"/>
      <c r="EQ387" s="56"/>
      <c r="ER387" s="56"/>
      <c r="ES387" s="56"/>
      <c r="ET387" s="56"/>
      <c r="EU387" s="56"/>
      <c r="EV387" s="56"/>
      <c r="EW387" s="56"/>
      <c r="EX387" s="56"/>
      <c r="EY387" s="56"/>
      <c r="EZ387" s="56"/>
      <c r="FA387" s="56"/>
      <c r="FB387" s="56"/>
      <c r="FC387" s="56"/>
      <c r="FD387" s="56"/>
      <c r="FE387" s="56"/>
      <c r="FF387" s="56"/>
      <c r="FG387" s="56"/>
      <c r="FH387" s="56"/>
      <c r="FI387" s="56"/>
      <c r="FJ387" s="56"/>
      <c r="FK387" s="56"/>
      <c r="FL387" s="56"/>
      <c r="FM387" s="56"/>
      <c r="FN387" s="56"/>
      <c r="FO387" s="56"/>
      <c r="FP387" s="56"/>
      <c r="FQ387" s="56"/>
      <c r="FR387" s="56"/>
      <c r="FS387" s="56"/>
      <c r="FT387" s="56"/>
      <c r="FU387" s="56"/>
      <c r="FV387" s="56"/>
      <c r="FW387" s="56"/>
      <c r="FX387" s="56"/>
      <c r="FY387" s="56"/>
      <c r="FZ387" s="56"/>
      <c r="GA387" s="56"/>
      <c r="GB387" s="56"/>
      <c r="GC387" s="56"/>
      <c r="GD387" s="56"/>
      <c r="GE387" s="56"/>
      <c r="GF387" s="56"/>
      <c r="GG387" s="56"/>
      <c r="GH387" s="56"/>
      <c r="GI387" s="56"/>
      <c r="GJ387" s="56"/>
      <c r="GK387" s="56"/>
      <c r="GL387" s="56"/>
      <c r="GM387" s="56"/>
      <c r="GN387" s="56"/>
      <c r="GO387" s="56"/>
      <c r="GP387" s="56"/>
      <c r="GQ387" s="56"/>
      <c r="GR387" s="56"/>
      <c r="GS387" s="56"/>
      <c r="GT387" s="56"/>
      <c r="GU387" s="56"/>
      <c r="GV387" s="56"/>
      <c r="GW387" s="56"/>
      <c r="GX387" s="56"/>
      <c r="GY387" s="56"/>
      <c r="GZ387" s="56"/>
      <c r="HA387" s="56"/>
      <c r="HB387" s="56"/>
      <c r="HC387" s="56"/>
      <c r="HD387" s="56"/>
      <c r="HE387" s="56"/>
      <c r="HF387" s="56"/>
      <c r="HG387" s="56"/>
      <c r="HH387" s="56"/>
      <c r="HI387" s="56"/>
      <c r="HJ387" s="56"/>
    </row>
    <row r="388" spans="1:218" ht="15.75" customHeight="1" x14ac:dyDescent="0.2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  <c r="CL388" s="56"/>
      <c r="CM388" s="56"/>
      <c r="CN388" s="56"/>
      <c r="CO388" s="56"/>
      <c r="CP388" s="56"/>
      <c r="CQ388" s="56"/>
      <c r="CR388" s="56"/>
      <c r="CS388" s="56"/>
      <c r="CT388" s="56"/>
      <c r="CU388" s="56"/>
      <c r="CV388" s="56"/>
      <c r="CW388" s="56"/>
      <c r="CX388" s="56"/>
      <c r="CY388" s="56"/>
      <c r="CZ388" s="56"/>
      <c r="DA388" s="56"/>
      <c r="DB388" s="56"/>
      <c r="DC388" s="56"/>
      <c r="DD388" s="56"/>
      <c r="DE388" s="56"/>
      <c r="DF388" s="56"/>
      <c r="DG388" s="56"/>
      <c r="DH388" s="56"/>
      <c r="DI388" s="56"/>
      <c r="DJ388" s="56"/>
      <c r="DK388" s="56"/>
      <c r="DL388" s="56"/>
      <c r="DM388" s="56"/>
      <c r="DN388" s="56"/>
      <c r="DO388" s="56"/>
      <c r="DP388" s="56"/>
      <c r="DQ388" s="56"/>
      <c r="DR388" s="56"/>
      <c r="DS388" s="56"/>
      <c r="DT388" s="56"/>
      <c r="DU388" s="56"/>
      <c r="DV388" s="56"/>
      <c r="DW388" s="56"/>
      <c r="DX388" s="56"/>
      <c r="DY388" s="56"/>
      <c r="DZ388" s="56"/>
      <c r="EA388" s="56"/>
      <c r="EB388" s="56"/>
      <c r="EC388" s="56"/>
      <c r="ED388" s="56"/>
      <c r="EE388" s="56"/>
      <c r="EF388" s="56"/>
      <c r="EG388" s="56"/>
      <c r="EH388" s="56"/>
      <c r="EI388" s="56"/>
      <c r="EJ388" s="56"/>
      <c r="EK388" s="56"/>
      <c r="EL388" s="56"/>
      <c r="EM388" s="56"/>
      <c r="EN388" s="56"/>
      <c r="EO388" s="56"/>
      <c r="EP388" s="56"/>
      <c r="EQ388" s="56"/>
      <c r="ER388" s="56"/>
      <c r="ES388" s="56"/>
      <c r="ET388" s="56"/>
      <c r="EU388" s="56"/>
      <c r="EV388" s="56"/>
      <c r="EW388" s="56"/>
      <c r="EX388" s="56"/>
      <c r="EY388" s="56"/>
      <c r="EZ388" s="56"/>
      <c r="FA388" s="56"/>
      <c r="FB388" s="56"/>
      <c r="FC388" s="56"/>
      <c r="FD388" s="56"/>
      <c r="FE388" s="56"/>
      <c r="FF388" s="56"/>
      <c r="FG388" s="56"/>
      <c r="FH388" s="56"/>
      <c r="FI388" s="56"/>
      <c r="FJ388" s="56"/>
      <c r="FK388" s="56"/>
      <c r="FL388" s="56"/>
      <c r="FM388" s="56"/>
      <c r="FN388" s="56"/>
      <c r="FO388" s="56"/>
      <c r="FP388" s="56"/>
      <c r="FQ388" s="56"/>
      <c r="FR388" s="56"/>
      <c r="FS388" s="56"/>
      <c r="FT388" s="56"/>
      <c r="FU388" s="56"/>
      <c r="FV388" s="56"/>
      <c r="FW388" s="56"/>
      <c r="FX388" s="56"/>
      <c r="FY388" s="56"/>
      <c r="FZ388" s="56"/>
      <c r="GA388" s="56"/>
      <c r="GB388" s="56"/>
      <c r="GC388" s="56"/>
      <c r="GD388" s="56"/>
      <c r="GE388" s="56"/>
      <c r="GF388" s="56"/>
      <c r="GG388" s="56"/>
      <c r="GH388" s="56"/>
      <c r="GI388" s="56"/>
      <c r="GJ388" s="56"/>
      <c r="GK388" s="56"/>
      <c r="GL388" s="56"/>
      <c r="GM388" s="56"/>
      <c r="GN388" s="56"/>
      <c r="GO388" s="56"/>
      <c r="GP388" s="56"/>
      <c r="GQ388" s="56"/>
      <c r="GR388" s="56"/>
      <c r="GS388" s="56"/>
      <c r="GT388" s="56"/>
      <c r="GU388" s="56"/>
      <c r="GV388" s="56"/>
      <c r="GW388" s="56"/>
      <c r="GX388" s="56"/>
      <c r="GY388" s="56"/>
      <c r="GZ388" s="56"/>
      <c r="HA388" s="56"/>
      <c r="HB388" s="56"/>
      <c r="HC388" s="56"/>
      <c r="HD388" s="56"/>
      <c r="HE388" s="56"/>
      <c r="HF388" s="56"/>
      <c r="HG388" s="56"/>
      <c r="HH388" s="56"/>
      <c r="HI388" s="56"/>
      <c r="HJ388" s="56"/>
    </row>
    <row r="389" spans="1:218" ht="15.75" customHeight="1" x14ac:dyDescent="0.2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6"/>
      <c r="CA389" s="56"/>
      <c r="CB389" s="56"/>
      <c r="CC389" s="56"/>
      <c r="CD389" s="56"/>
      <c r="CE389" s="56"/>
      <c r="CF389" s="56"/>
      <c r="CG389" s="56"/>
      <c r="CH389" s="56"/>
      <c r="CI389" s="56"/>
      <c r="CJ389" s="56"/>
      <c r="CK389" s="56"/>
      <c r="CL389" s="56"/>
      <c r="CM389" s="56"/>
      <c r="CN389" s="56"/>
      <c r="CO389" s="56"/>
      <c r="CP389" s="56"/>
      <c r="CQ389" s="56"/>
      <c r="CR389" s="56"/>
      <c r="CS389" s="56"/>
      <c r="CT389" s="56"/>
      <c r="CU389" s="56"/>
      <c r="CV389" s="56"/>
      <c r="CW389" s="56"/>
      <c r="CX389" s="56"/>
      <c r="CY389" s="56"/>
      <c r="CZ389" s="56"/>
      <c r="DA389" s="56"/>
      <c r="DB389" s="56"/>
      <c r="DC389" s="56"/>
      <c r="DD389" s="56"/>
      <c r="DE389" s="56"/>
      <c r="DF389" s="56"/>
      <c r="DG389" s="56"/>
      <c r="DH389" s="56"/>
      <c r="DI389" s="56"/>
      <c r="DJ389" s="56"/>
      <c r="DK389" s="56"/>
      <c r="DL389" s="56"/>
      <c r="DM389" s="56"/>
      <c r="DN389" s="56"/>
      <c r="DO389" s="56"/>
      <c r="DP389" s="56"/>
      <c r="DQ389" s="56"/>
      <c r="DR389" s="56"/>
      <c r="DS389" s="56"/>
      <c r="DT389" s="56"/>
      <c r="DU389" s="56"/>
      <c r="DV389" s="56"/>
      <c r="DW389" s="56"/>
      <c r="DX389" s="56"/>
      <c r="DY389" s="56"/>
      <c r="DZ389" s="56"/>
      <c r="EA389" s="56"/>
      <c r="EB389" s="56"/>
      <c r="EC389" s="56"/>
      <c r="ED389" s="56"/>
      <c r="EE389" s="56"/>
      <c r="EF389" s="56"/>
      <c r="EG389" s="56"/>
      <c r="EH389" s="56"/>
      <c r="EI389" s="56"/>
      <c r="EJ389" s="56"/>
      <c r="EK389" s="56"/>
      <c r="EL389" s="56"/>
      <c r="EM389" s="56"/>
      <c r="EN389" s="56"/>
      <c r="EO389" s="56"/>
      <c r="EP389" s="56"/>
      <c r="EQ389" s="56"/>
      <c r="ER389" s="56"/>
      <c r="ES389" s="56"/>
      <c r="ET389" s="56"/>
      <c r="EU389" s="56"/>
      <c r="EV389" s="56"/>
      <c r="EW389" s="56"/>
      <c r="EX389" s="56"/>
      <c r="EY389" s="56"/>
      <c r="EZ389" s="56"/>
      <c r="FA389" s="56"/>
      <c r="FB389" s="56"/>
      <c r="FC389" s="56"/>
      <c r="FD389" s="56"/>
      <c r="FE389" s="56"/>
      <c r="FF389" s="56"/>
      <c r="FG389" s="56"/>
      <c r="FH389" s="56"/>
      <c r="FI389" s="56"/>
      <c r="FJ389" s="56"/>
      <c r="FK389" s="56"/>
      <c r="FL389" s="56"/>
      <c r="FM389" s="56"/>
      <c r="FN389" s="56"/>
      <c r="FO389" s="56"/>
      <c r="FP389" s="56"/>
      <c r="FQ389" s="56"/>
      <c r="FR389" s="56"/>
      <c r="FS389" s="56"/>
      <c r="FT389" s="56"/>
      <c r="FU389" s="56"/>
      <c r="FV389" s="56"/>
      <c r="FW389" s="56"/>
      <c r="FX389" s="56"/>
      <c r="FY389" s="56"/>
      <c r="FZ389" s="56"/>
      <c r="GA389" s="56"/>
      <c r="GB389" s="56"/>
      <c r="GC389" s="56"/>
      <c r="GD389" s="56"/>
      <c r="GE389" s="56"/>
      <c r="GF389" s="56"/>
      <c r="GG389" s="56"/>
      <c r="GH389" s="56"/>
      <c r="GI389" s="56"/>
      <c r="GJ389" s="56"/>
      <c r="GK389" s="56"/>
      <c r="GL389" s="56"/>
      <c r="GM389" s="56"/>
      <c r="GN389" s="56"/>
      <c r="GO389" s="56"/>
      <c r="GP389" s="56"/>
      <c r="GQ389" s="56"/>
      <c r="GR389" s="56"/>
      <c r="GS389" s="56"/>
      <c r="GT389" s="56"/>
      <c r="GU389" s="56"/>
      <c r="GV389" s="56"/>
      <c r="GW389" s="56"/>
      <c r="GX389" s="56"/>
      <c r="GY389" s="56"/>
      <c r="GZ389" s="56"/>
      <c r="HA389" s="56"/>
      <c r="HB389" s="56"/>
      <c r="HC389" s="56"/>
      <c r="HD389" s="56"/>
      <c r="HE389" s="56"/>
      <c r="HF389" s="56"/>
      <c r="HG389" s="56"/>
      <c r="HH389" s="56"/>
      <c r="HI389" s="56"/>
      <c r="HJ389" s="56"/>
    </row>
    <row r="390" spans="1:218" ht="15.75" customHeight="1" x14ac:dyDescent="0.2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  <c r="BV390" s="56"/>
      <c r="BW390" s="56"/>
      <c r="BX390" s="56"/>
      <c r="BY390" s="56"/>
      <c r="BZ390" s="56"/>
      <c r="CA390" s="56"/>
      <c r="CB390" s="56"/>
      <c r="CC390" s="56"/>
      <c r="CD390" s="56"/>
      <c r="CE390" s="56"/>
      <c r="CF390" s="56"/>
      <c r="CG390" s="56"/>
      <c r="CH390" s="56"/>
      <c r="CI390" s="56"/>
      <c r="CJ390" s="56"/>
      <c r="CK390" s="56"/>
      <c r="CL390" s="56"/>
      <c r="CM390" s="56"/>
      <c r="CN390" s="56"/>
      <c r="CO390" s="56"/>
      <c r="CP390" s="56"/>
      <c r="CQ390" s="56"/>
      <c r="CR390" s="56"/>
      <c r="CS390" s="56"/>
      <c r="CT390" s="56"/>
      <c r="CU390" s="56"/>
      <c r="CV390" s="56"/>
      <c r="CW390" s="56"/>
      <c r="CX390" s="56"/>
      <c r="CY390" s="56"/>
      <c r="CZ390" s="56"/>
      <c r="DA390" s="56"/>
      <c r="DB390" s="56"/>
      <c r="DC390" s="56"/>
      <c r="DD390" s="56"/>
      <c r="DE390" s="56"/>
      <c r="DF390" s="56"/>
      <c r="DG390" s="56"/>
      <c r="DH390" s="56"/>
      <c r="DI390" s="56"/>
      <c r="DJ390" s="56"/>
      <c r="DK390" s="56"/>
      <c r="DL390" s="56"/>
      <c r="DM390" s="56"/>
      <c r="DN390" s="56"/>
      <c r="DO390" s="56"/>
      <c r="DP390" s="56"/>
      <c r="DQ390" s="56"/>
      <c r="DR390" s="56"/>
      <c r="DS390" s="56"/>
      <c r="DT390" s="56"/>
      <c r="DU390" s="56"/>
      <c r="DV390" s="56"/>
      <c r="DW390" s="56"/>
      <c r="DX390" s="56"/>
      <c r="DY390" s="56"/>
      <c r="DZ390" s="56"/>
      <c r="EA390" s="56"/>
      <c r="EB390" s="56"/>
      <c r="EC390" s="56"/>
      <c r="ED390" s="56"/>
      <c r="EE390" s="56"/>
      <c r="EF390" s="56"/>
      <c r="EG390" s="56"/>
      <c r="EH390" s="56"/>
      <c r="EI390" s="56"/>
      <c r="EJ390" s="56"/>
      <c r="EK390" s="56"/>
      <c r="EL390" s="56"/>
      <c r="EM390" s="56"/>
      <c r="EN390" s="56"/>
      <c r="EO390" s="56"/>
      <c r="EP390" s="56"/>
      <c r="EQ390" s="56"/>
      <c r="ER390" s="56"/>
      <c r="ES390" s="56"/>
      <c r="ET390" s="56"/>
      <c r="EU390" s="56"/>
      <c r="EV390" s="56"/>
      <c r="EW390" s="56"/>
      <c r="EX390" s="56"/>
      <c r="EY390" s="56"/>
      <c r="EZ390" s="56"/>
      <c r="FA390" s="56"/>
      <c r="FB390" s="56"/>
      <c r="FC390" s="56"/>
      <c r="FD390" s="56"/>
      <c r="FE390" s="56"/>
      <c r="FF390" s="56"/>
      <c r="FG390" s="56"/>
      <c r="FH390" s="56"/>
      <c r="FI390" s="56"/>
      <c r="FJ390" s="56"/>
      <c r="FK390" s="56"/>
      <c r="FL390" s="56"/>
      <c r="FM390" s="56"/>
      <c r="FN390" s="56"/>
      <c r="FO390" s="56"/>
      <c r="FP390" s="56"/>
      <c r="FQ390" s="56"/>
      <c r="FR390" s="56"/>
      <c r="FS390" s="56"/>
      <c r="FT390" s="56"/>
      <c r="FU390" s="56"/>
      <c r="FV390" s="56"/>
      <c r="FW390" s="56"/>
      <c r="FX390" s="56"/>
      <c r="FY390" s="56"/>
      <c r="FZ390" s="56"/>
      <c r="GA390" s="56"/>
      <c r="GB390" s="56"/>
      <c r="GC390" s="56"/>
      <c r="GD390" s="56"/>
      <c r="GE390" s="56"/>
      <c r="GF390" s="56"/>
      <c r="GG390" s="56"/>
      <c r="GH390" s="56"/>
      <c r="GI390" s="56"/>
      <c r="GJ390" s="56"/>
      <c r="GK390" s="56"/>
      <c r="GL390" s="56"/>
      <c r="GM390" s="56"/>
      <c r="GN390" s="56"/>
      <c r="GO390" s="56"/>
      <c r="GP390" s="56"/>
      <c r="GQ390" s="56"/>
      <c r="GR390" s="56"/>
      <c r="GS390" s="56"/>
      <c r="GT390" s="56"/>
      <c r="GU390" s="56"/>
      <c r="GV390" s="56"/>
      <c r="GW390" s="56"/>
      <c r="GX390" s="56"/>
      <c r="GY390" s="56"/>
      <c r="GZ390" s="56"/>
      <c r="HA390" s="56"/>
      <c r="HB390" s="56"/>
      <c r="HC390" s="56"/>
      <c r="HD390" s="56"/>
      <c r="HE390" s="56"/>
      <c r="HF390" s="56"/>
      <c r="HG390" s="56"/>
      <c r="HH390" s="56"/>
      <c r="HI390" s="56"/>
      <c r="HJ390" s="56"/>
    </row>
    <row r="391" spans="1:218" ht="15.75" customHeight="1" x14ac:dyDescent="0.2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6"/>
      <c r="CA391" s="56"/>
      <c r="CB391" s="56"/>
      <c r="CC391" s="56"/>
      <c r="CD391" s="56"/>
      <c r="CE391" s="56"/>
      <c r="CF391" s="56"/>
      <c r="CG391" s="56"/>
      <c r="CH391" s="56"/>
      <c r="CI391" s="56"/>
      <c r="CJ391" s="56"/>
      <c r="CK391" s="56"/>
      <c r="CL391" s="56"/>
      <c r="CM391" s="56"/>
      <c r="CN391" s="56"/>
      <c r="CO391" s="56"/>
      <c r="CP391" s="56"/>
      <c r="CQ391" s="56"/>
      <c r="CR391" s="56"/>
      <c r="CS391" s="56"/>
      <c r="CT391" s="56"/>
      <c r="CU391" s="56"/>
      <c r="CV391" s="56"/>
      <c r="CW391" s="56"/>
      <c r="CX391" s="56"/>
      <c r="CY391" s="56"/>
      <c r="CZ391" s="56"/>
      <c r="DA391" s="56"/>
      <c r="DB391" s="56"/>
      <c r="DC391" s="56"/>
      <c r="DD391" s="56"/>
      <c r="DE391" s="56"/>
      <c r="DF391" s="56"/>
      <c r="DG391" s="56"/>
      <c r="DH391" s="56"/>
      <c r="DI391" s="56"/>
      <c r="DJ391" s="56"/>
      <c r="DK391" s="56"/>
      <c r="DL391" s="56"/>
      <c r="DM391" s="56"/>
      <c r="DN391" s="56"/>
      <c r="DO391" s="56"/>
      <c r="DP391" s="56"/>
      <c r="DQ391" s="56"/>
      <c r="DR391" s="56"/>
      <c r="DS391" s="56"/>
      <c r="DT391" s="56"/>
      <c r="DU391" s="56"/>
      <c r="DV391" s="56"/>
      <c r="DW391" s="56"/>
      <c r="DX391" s="56"/>
      <c r="DY391" s="56"/>
      <c r="DZ391" s="56"/>
      <c r="EA391" s="56"/>
      <c r="EB391" s="56"/>
      <c r="EC391" s="56"/>
      <c r="ED391" s="56"/>
      <c r="EE391" s="56"/>
      <c r="EF391" s="56"/>
      <c r="EG391" s="56"/>
      <c r="EH391" s="56"/>
      <c r="EI391" s="56"/>
      <c r="EJ391" s="56"/>
      <c r="EK391" s="56"/>
      <c r="EL391" s="56"/>
      <c r="EM391" s="56"/>
      <c r="EN391" s="56"/>
      <c r="EO391" s="56"/>
      <c r="EP391" s="56"/>
      <c r="EQ391" s="56"/>
      <c r="ER391" s="56"/>
      <c r="ES391" s="56"/>
      <c r="ET391" s="56"/>
      <c r="EU391" s="56"/>
      <c r="EV391" s="56"/>
      <c r="EW391" s="56"/>
      <c r="EX391" s="56"/>
      <c r="EY391" s="56"/>
      <c r="EZ391" s="56"/>
      <c r="FA391" s="56"/>
      <c r="FB391" s="56"/>
      <c r="FC391" s="56"/>
      <c r="FD391" s="56"/>
      <c r="FE391" s="56"/>
      <c r="FF391" s="56"/>
      <c r="FG391" s="56"/>
      <c r="FH391" s="56"/>
      <c r="FI391" s="56"/>
      <c r="FJ391" s="56"/>
      <c r="FK391" s="56"/>
      <c r="FL391" s="56"/>
      <c r="FM391" s="56"/>
      <c r="FN391" s="56"/>
      <c r="FO391" s="56"/>
      <c r="FP391" s="56"/>
      <c r="FQ391" s="56"/>
      <c r="FR391" s="56"/>
      <c r="FS391" s="56"/>
      <c r="FT391" s="56"/>
      <c r="FU391" s="56"/>
      <c r="FV391" s="56"/>
      <c r="FW391" s="56"/>
      <c r="FX391" s="56"/>
      <c r="FY391" s="56"/>
      <c r="FZ391" s="56"/>
      <c r="GA391" s="56"/>
      <c r="GB391" s="56"/>
      <c r="GC391" s="56"/>
      <c r="GD391" s="56"/>
      <c r="GE391" s="56"/>
      <c r="GF391" s="56"/>
      <c r="GG391" s="56"/>
      <c r="GH391" s="56"/>
      <c r="GI391" s="56"/>
      <c r="GJ391" s="56"/>
      <c r="GK391" s="56"/>
      <c r="GL391" s="56"/>
      <c r="GM391" s="56"/>
      <c r="GN391" s="56"/>
      <c r="GO391" s="56"/>
      <c r="GP391" s="56"/>
      <c r="GQ391" s="56"/>
      <c r="GR391" s="56"/>
      <c r="GS391" s="56"/>
      <c r="GT391" s="56"/>
      <c r="GU391" s="56"/>
      <c r="GV391" s="56"/>
      <c r="GW391" s="56"/>
      <c r="GX391" s="56"/>
      <c r="GY391" s="56"/>
      <c r="GZ391" s="56"/>
      <c r="HA391" s="56"/>
      <c r="HB391" s="56"/>
      <c r="HC391" s="56"/>
      <c r="HD391" s="56"/>
      <c r="HE391" s="56"/>
      <c r="HF391" s="56"/>
      <c r="HG391" s="56"/>
      <c r="HH391" s="56"/>
      <c r="HI391" s="56"/>
      <c r="HJ391" s="56"/>
    </row>
    <row r="392" spans="1:218" ht="15.75" customHeight="1" x14ac:dyDescent="0.2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  <c r="CL392" s="56"/>
      <c r="CM392" s="56"/>
      <c r="CN392" s="56"/>
      <c r="CO392" s="56"/>
      <c r="CP392" s="56"/>
      <c r="CQ392" s="56"/>
      <c r="CR392" s="56"/>
      <c r="CS392" s="56"/>
      <c r="CT392" s="56"/>
      <c r="CU392" s="56"/>
      <c r="CV392" s="56"/>
      <c r="CW392" s="56"/>
      <c r="CX392" s="56"/>
      <c r="CY392" s="56"/>
      <c r="CZ392" s="56"/>
      <c r="DA392" s="56"/>
      <c r="DB392" s="56"/>
      <c r="DC392" s="56"/>
      <c r="DD392" s="56"/>
      <c r="DE392" s="56"/>
      <c r="DF392" s="56"/>
      <c r="DG392" s="56"/>
      <c r="DH392" s="56"/>
      <c r="DI392" s="56"/>
      <c r="DJ392" s="56"/>
      <c r="DK392" s="56"/>
      <c r="DL392" s="56"/>
      <c r="DM392" s="56"/>
      <c r="DN392" s="56"/>
      <c r="DO392" s="56"/>
      <c r="DP392" s="56"/>
      <c r="DQ392" s="56"/>
      <c r="DR392" s="56"/>
      <c r="DS392" s="56"/>
      <c r="DT392" s="56"/>
      <c r="DU392" s="56"/>
      <c r="DV392" s="56"/>
      <c r="DW392" s="56"/>
      <c r="DX392" s="56"/>
      <c r="DY392" s="56"/>
      <c r="DZ392" s="56"/>
      <c r="EA392" s="56"/>
      <c r="EB392" s="56"/>
      <c r="EC392" s="56"/>
      <c r="ED392" s="56"/>
      <c r="EE392" s="56"/>
      <c r="EF392" s="56"/>
      <c r="EG392" s="56"/>
      <c r="EH392" s="56"/>
      <c r="EI392" s="56"/>
      <c r="EJ392" s="56"/>
      <c r="EK392" s="56"/>
      <c r="EL392" s="56"/>
      <c r="EM392" s="56"/>
      <c r="EN392" s="56"/>
      <c r="EO392" s="56"/>
      <c r="EP392" s="56"/>
      <c r="EQ392" s="56"/>
      <c r="ER392" s="56"/>
      <c r="ES392" s="56"/>
      <c r="ET392" s="56"/>
      <c r="EU392" s="56"/>
      <c r="EV392" s="56"/>
      <c r="EW392" s="56"/>
      <c r="EX392" s="56"/>
      <c r="EY392" s="56"/>
      <c r="EZ392" s="56"/>
      <c r="FA392" s="56"/>
      <c r="FB392" s="56"/>
      <c r="FC392" s="56"/>
      <c r="FD392" s="56"/>
      <c r="FE392" s="56"/>
      <c r="FF392" s="56"/>
      <c r="FG392" s="56"/>
      <c r="FH392" s="56"/>
      <c r="FI392" s="56"/>
      <c r="FJ392" s="56"/>
      <c r="FK392" s="56"/>
      <c r="FL392" s="56"/>
      <c r="FM392" s="56"/>
      <c r="FN392" s="56"/>
      <c r="FO392" s="56"/>
      <c r="FP392" s="56"/>
      <c r="FQ392" s="56"/>
      <c r="FR392" s="56"/>
      <c r="FS392" s="56"/>
      <c r="FT392" s="56"/>
      <c r="FU392" s="56"/>
      <c r="FV392" s="56"/>
      <c r="FW392" s="56"/>
      <c r="FX392" s="56"/>
      <c r="FY392" s="56"/>
      <c r="FZ392" s="56"/>
      <c r="GA392" s="56"/>
      <c r="GB392" s="56"/>
      <c r="GC392" s="56"/>
      <c r="GD392" s="56"/>
      <c r="GE392" s="56"/>
      <c r="GF392" s="56"/>
      <c r="GG392" s="56"/>
      <c r="GH392" s="56"/>
      <c r="GI392" s="56"/>
      <c r="GJ392" s="56"/>
      <c r="GK392" s="56"/>
      <c r="GL392" s="56"/>
      <c r="GM392" s="56"/>
      <c r="GN392" s="56"/>
      <c r="GO392" s="56"/>
      <c r="GP392" s="56"/>
      <c r="GQ392" s="56"/>
      <c r="GR392" s="56"/>
      <c r="GS392" s="56"/>
      <c r="GT392" s="56"/>
      <c r="GU392" s="56"/>
      <c r="GV392" s="56"/>
      <c r="GW392" s="56"/>
      <c r="GX392" s="56"/>
      <c r="GY392" s="56"/>
      <c r="GZ392" s="56"/>
      <c r="HA392" s="56"/>
      <c r="HB392" s="56"/>
      <c r="HC392" s="56"/>
      <c r="HD392" s="56"/>
      <c r="HE392" s="56"/>
      <c r="HF392" s="56"/>
      <c r="HG392" s="56"/>
      <c r="HH392" s="56"/>
      <c r="HI392" s="56"/>
      <c r="HJ392" s="56"/>
    </row>
    <row r="393" spans="1:218" ht="15.75" customHeight="1" x14ac:dyDescent="0.2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  <c r="CL393" s="56"/>
      <c r="CM393" s="56"/>
      <c r="CN393" s="56"/>
      <c r="CO393" s="56"/>
      <c r="CP393" s="56"/>
      <c r="CQ393" s="56"/>
      <c r="CR393" s="56"/>
      <c r="CS393" s="56"/>
      <c r="CT393" s="56"/>
      <c r="CU393" s="56"/>
      <c r="CV393" s="56"/>
      <c r="CW393" s="56"/>
      <c r="CX393" s="56"/>
      <c r="CY393" s="56"/>
      <c r="CZ393" s="56"/>
      <c r="DA393" s="56"/>
      <c r="DB393" s="56"/>
      <c r="DC393" s="56"/>
      <c r="DD393" s="56"/>
      <c r="DE393" s="56"/>
      <c r="DF393" s="56"/>
      <c r="DG393" s="56"/>
      <c r="DH393" s="56"/>
      <c r="DI393" s="56"/>
      <c r="DJ393" s="56"/>
      <c r="DK393" s="56"/>
      <c r="DL393" s="56"/>
      <c r="DM393" s="56"/>
      <c r="DN393" s="56"/>
      <c r="DO393" s="56"/>
      <c r="DP393" s="56"/>
      <c r="DQ393" s="56"/>
      <c r="DR393" s="56"/>
      <c r="DS393" s="56"/>
      <c r="DT393" s="56"/>
      <c r="DU393" s="56"/>
      <c r="DV393" s="56"/>
      <c r="DW393" s="56"/>
      <c r="DX393" s="56"/>
      <c r="DY393" s="56"/>
      <c r="DZ393" s="56"/>
      <c r="EA393" s="56"/>
      <c r="EB393" s="56"/>
      <c r="EC393" s="56"/>
      <c r="ED393" s="56"/>
      <c r="EE393" s="56"/>
      <c r="EF393" s="56"/>
      <c r="EG393" s="56"/>
      <c r="EH393" s="56"/>
      <c r="EI393" s="56"/>
      <c r="EJ393" s="56"/>
      <c r="EK393" s="56"/>
      <c r="EL393" s="56"/>
      <c r="EM393" s="56"/>
      <c r="EN393" s="56"/>
      <c r="EO393" s="56"/>
      <c r="EP393" s="56"/>
      <c r="EQ393" s="56"/>
      <c r="ER393" s="56"/>
      <c r="ES393" s="56"/>
      <c r="ET393" s="56"/>
      <c r="EU393" s="56"/>
      <c r="EV393" s="56"/>
      <c r="EW393" s="56"/>
      <c r="EX393" s="56"/>
      <c r="EY393" s="56"/>
      <c r="EZ393" s="56"/>
      <c r="FA393" s="56"/>
      <c r="FB393" s="56"/>
      <c r="FC393" s="56"/>
      <c r="FD393" s="56"/>
      <c r="FE393" s="56"/>
      <c r="FF393" s="56"/>
      <c r="FG393" s="56"/>
      <c r="FH393" s="56"/>
      <c r="FI393" s="56"/>
      <c r="FJ393" s="56"/>
      <c r="FK393" s="56"/>
      <c r="FL393" s="56"/>
      <c r="FM393" s="56"/>
      <c r="FN393" s="56"/>
      <c r="FO393" s="56"/>
      <c r="FP393" s="56"/>
      <c r="FQ393" s="56"/>
      <c r="FR393" s="56"/>
      <c r="FS393" s="56"/>
      <c r="FT393" s="56"/>
      <c r="FU393" s="56"/>
      <c r="FV393" s="56"/>
      <c r="FW393" s="56"/>
      <c r="FX393" s="56"/>
      <c r="FY393" s="56"/>
      <c r="FZ393" s="56"/>
      <c r="GA393" s="56"/>
      <c r="GB393" s="56"/>
      <c r="GC393" s="56"/>
      <c r="GD393" s="56"/>
      <c r="GE393" s="56"/>
      <c r="GF393" s="56"/>
      <c r="GG393" s="56"/>
      <c r="GH393" s="56"/>
      <c r="GI393" s="56"/>
      <c r="GJ393" s="56"/>
      <c r="GK393" s="56"/>
      <c r="GL393" s="56"/>
      <c r="GM393" s="56"/>
      <c r="GN393" s="56"/>
      <c r="GO393" s="56"/>
      <c r="GP393" s="56"/>
      <c r="GQ393" s="56"/>
      <c r="GR393" s="56"/>
      <c r="GS393" s="56"/>
      <c r="GT393" s="56"/>
      <c r="GU393" s="56"/>
      <c r="GV393" s="56"/>
      <c r="GW393" s="56"/>
      <c r="GX393" s="56"/>
      <c r="GY393" s="56"/>
      <c r="GZ393" s="56"/>
      <c r="HA393" s="56"/>
      <c r="HB393" s="56"/>
      <c r="HC393" s="56"/>
      <c r="HD393" s="56"/>
      <c r="HE393" s="56"/>
      <c r="HF393" s="56"/>
      <c r="HG393" s="56"/>
      <c r="HH393" s="56"/>
      <c r="HI393" s="56"/>
      <c r="HJ393" s="56"/>
    </row>
    <row r="394" spans="1:218" ht="15.75" customHeight="1" x14ac:dyDescent="0.2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  <c r="CL394" s="56"/>
      <c r="CM394" s="56"/>
      <c r="CN394" s="56"/>
      <c r="CO394" s="56"/>
      <c r="CP394" s="56"/>
      <c r="CQ394" s="56"/>
      <c r="CR394" s="56"/>
      <c r="CS394" s="56"/>
      <c r="CT394" s="56"/>
      <c r="CU394" s="56"/>
      <c r="CV394" s="56"/>
      <c r="CW394" s="56"/>
      <c r="CX394" s="56"/>
      <c r="CY394" s="56"/>
      <c r="CZ394" s="56"/>
      <c r="DA394" s="56"/>
      <c r="DB394" s="56"/>
      <c r="DC394" s="56"/>
      <c r="DD394" s="56"/>
      <c r="DE394" s="56"/>
      <c r="DF394" s="56"/>
      <c r="DG394" s="56"/>
      <c r="DH394" s="56"/>
      <c r="DI394" s="56"/>
      <c r="DJ394" s="56"/>
      <c r="DK394" s="56"/>
      <c r="DL394" s="56"/>
      <c r="DM394" s="56"/>
      <c r="DN394" s="56"/>
      <c r="DO394" s="56"/>
      <c r="DP394" s="56"/>
      <c r="DQ394" s="56"/>
      <c r="DR394" s="56"/>
      <c r="DS394" s="56"/>
      <c r="DT394" s="56"/>
      <c r="DU394" s="56"/>
      <c r="DV394" s="56"/>
      <c r="DW394" s="56"/>
      <c r="DX394" s="56"/>
      <c r="DY394" s="56"/>
      <c r="DZ394" s="56"/>
      <c r="EA394" s="56"/>
      <c r="EB394" s="56"/>
      <c r="EC394" s="56"/>
      <c r="ED394" s="56"/>
      <c r="EE394" s="56"/>
      <c r="EF394" s="56"/>
      <c r="EG394" s="56"/>
      <c r="EH394" s="56"/>
      <c r="EI394" s="56"/>
      <c r="EJ394" s="56"/>
      <c r="EK394" s="56"/>
      <c r="EL394" s="56"/>
      <c r="EM394" s="56"/>
      <c r="EN394" s="56"/>
      <c r="EO394" s="56"/>
      <c r="EP394" s="56"/>
      <c r="EQ394" s="56"/>
      <c r="ER394" s="56"/>
      <c r="ES394" s="56"/>
      <c r="ET394" s="56"/>
      <c r="EU394" s="56"/>
      <c r="EV394" s="56"/>
      <c r="EW394" s="56"/>
      <c r="EX394" s="56"/>
      <c r="EY394" s="56"/>
      <c r="EZ394" s="56"/>
      <c r="FA394" s="56"/>
      <c r="FB394" s="56"/>
      <c r="FC394" s="56"/>
      <c r="FD394" s="56"/>
      <c r="FE394" s="56"/>
      <c r="FF394" s="56"/>
      <c r="FG394" s="56"/>
      <c r="FH394" s="56"/>
      <c r="FI394" s="56"/>
      <c r="FJ394" s="56"/>
      <c r="FK394" s="56"/>
      <c r="FL394" s="56"/>
      <c r="FM394" s="56"/>
      <c r="FN394" s="56"/>
      <c r="FO394" s="56"/>
      <c r="FP394" s="56"/>
      <c r="FQ394" s="56"/>
      <c r="FR394" s="56"/>
      <c r="FS394" s="56"/>
      <c r="FT394" s="56"/>
      <c r="FU394" s="56"/>
      <c r="FV394" s="56"/>
      <c r="FW394" s="56"/>
      <c r="FX394" s="56"/>
      <c r="FY394" s="56"/>
      <c r="FZ394" s="56"/>
      <c r="GA394" s="56"/>
      <c r="GB394" s="56"/>
      <c r="GC394" s="56"/>
      <c r="GD394" s="56"/>
      <c r="GE394" s="56"/>
      <c r="GF394" s="56"/>
      <c r="GG394" s="56"/>
      <c r="GH394" s="56"/>
      <c r="GI394" s="56"/>
      <c r="GJ394" s="56"/>
      <c r="GK394" s="56"/>
      <c r="GL394" s="56"/>
      <c r="GM394" s="56"/>
      <c r="GN394" s="56"/>
      <c r="GO394" s="56"/>
      <c r="GP394" s="56"/>
      <c r="GQ394" s="56"/>
      <c r="GR394" s="56"/>
      <c r="GS394" s="56"/>
      <c r="GT394" s="56"/>
      <c r="GU394" s="56"/>
      <c r="GV394" s="56"/>
      <c r="GW394" s="56"/>
      <c r="GX394" s="56"/>
      <c r="GY394" s="56"/>
      <c r="GZ394" s="56"/>
      <c r="HA394" s="56"/>
      <c r="HB394" s="56"/>
      <c r="HC394" s="56"/>
      <c r="HD394" s="56"/>
      <c r="HE394" s="56"/>
      <c r="HF394" s="56"/>
      <c r="HG394" s="56"/>
      <c r="HH394" s="56"/>
      <c r="HI394" s="56"/>
      <c r="HJ394" s="56"/>
    </row>
    <row r="395" spans="1:218" ht="15.75" customHeight="1" x14ac:dyDescent="0.2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  <c r="CL395" s="56"/>
      <c r="CM395" s="56"/>
      <c r="CN395" s="56"/>
      <c r="CO395" s="56"/>
      <c r="CP395" s="56"/>
      <c r="CQ395" s="56"/>
      <c r="CR395" s="56"/>
      <c r="CS395" s="56"/>
      <c r="CT395" s="56"/>
      <c r="CU395" s="56"/>
      <c r="CV395" s="56"/>
      <c r="CW395" s="56"/>
      <c r="CX395" s="56"/>
      <c r="CY395" s="56"/>
      <c r="CZ395" s="56"/>
      <c r="DA395" s="56"/>
      <c r="DB395" s="56"/>
      <c r="DC395" s="56"/>
      <c r="DD395" s="56"/>
      <c r="DE395" s="56"/>
      <c r="DF395" s="56"/>
      <c r="DG395" s="56"/>
      <c r="DH395" s="56"/>
      <c r="DI395" s="56"/>
      <c r="DJ395" s="56"/>
      <c r="DK395" s="56"/>
      <c r="DL395" s="56"/>
      <c r="DM395" s="56"/>
      <c r="DN395" s="56"/>
      <c r="DO395" s="56"/>
      <c r="DP395" s="56"/>
      <c r="DQ395" s="56"/>
      <c r="DR395" s="56"/>
      <c r="DS395" s="56"/>
      <c r="DT395" s="56"/>
      <c r="DU395" s="56"/>
      <c r="DV395" s="56"/>
      <c r="DW395" s="56"/>
      <c r="DX395" s="56"/>
      <c r="DY395" s="56"/>
      <c r="DZ395" s="56"/>
      <c r="EA395" s="56"/>
      <c r="EB395" s="56"/>
      <c r="EC395" s="56"/>
      <c r="ED395" s="56"/>
      <c r="EE395" s="56"/>
      <c r="EF395" s="56"/>
      <c r="EG395" s="56"/>
      <c r="EH395" s="56"/>
      <c r="EI395" s="56"/>
      <c r="EJ395" s="56"/>
      <c r="EK395" s="56"/>
      <c r="EL395" s="56"/>
      <c r="EM395" s="56"/>
      <c r="EN395" s="56"/>
      <c r="EO395" s="56"/>
      <c r="EP395" s="56"/>
      <c r="EQ395" s="56"/>
      <c r="ER395" s="56"/>
      <c r="ES395" s="56"/>
      <c r="ET395" s="56"/>
      <c r="EU395" s="56"/>
      <c r="EV395" s="56"/>
      <c r="EW395" s="56"/>
      <c r="EX395" s="56"/>
      <c r="EY395" s="56"/>
      <c r="EZ395" s="56"/>
      <c r="FA395" s="56"/>
      <c r="FB395" s="56"/>
      <c r="FC395" s="56"/>
      <c r="FD395" s="56"/>
      <c r="FE395" s="56"/>
      <c r="FF395" s="56"/>
      <c r="FG395" s="56"/>
      <c r="FH395" s="56"/>
      <c r="FI395" s="56"/>
      <c r="FJ395" s="56"/>
      <c r="FK395" s="56"/>
      <c r="FL395" s="56"/>
      <c r="FM395" s="56"/>
      <c r="FN395" s="56"/>
      <c r="FO395" s="56"/>
      <c r="FP395" s="56"/>
      <c r="FQ395" s="56"/>
      <c r="FR395" s="56"/>
      <c r="FS395" s="56"/>
      <c r="FT395" s="56"/>
      <c r="FU395" s="56"/>
      <c r="FV395" s="56"/>
      <c r="FW395" s="56"/>
      <c r="FX395" s="56"/>
      <c r="FY395" s="56"/>
      <c r="FZ395" s="56"/>
      <c r="GA395" s="56"/>
      <c r="GB395" s="56"/>
      <c r="GC395" s="56"/>
      <c r="GD395" s="56"/>
      <c r="GE395" s="56"/>
      <c r="GF395" s="56"/>
      <c r="GG395" s="56"/>
      <c r="GH395" s="56"/>
      <c r="GI395" s="56"/>
      <c r="GJ395" s="56"/>
      <c r="GK395" s="56"/>
      <c r="GL395" s="56"/>
      <c r="GM395" s="56"/>
      <c r="GN395" s="56"/>
      <c r="GO395" s="56"/>
      <c r="GP395" s="56"/>
      <c r="GQ395" s="56"/>
      <c r="GR395" s="56"/>
      <c r="GS395" s="56"/>
      <c r="GT395" s="56"/>
      <c r="GU395" s="56"/>
      <c r="GV395" s="56"/>
      <c r="GW395" s="56"/>
      <c r="GX395" s="56"/>
      <c r="GY395" s="56"/>
      <c r="GZ395" s="56"/>
      <c r="HA395" s="56"/>
      <c r="HB395" s="56"/>
      <c r="HC395" s="56"/>
      <c r="HD395" s="56"/>
      <c r="HE395" s="56"/>
      <c r="HF395" s="56"/>
      <c r="HG395" s="56"/>
      <c r="HH395" s="56"/>
      <c r="HI395" s="56"/>
      <c r="HJ395" s="56"/>
    </row>
    <row r="396" spans="1:218" ht="15.75" customHeight="1" x14ac:dyDescent="0.2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  <c r="CL396" s="56"/>
      <c r="CM396" s="56"/>
      <c r="CN396" s="56"/>
      <c r="CO396" s="56"/>
      <c r="CP396" s="56"/>
      <c r="CQ396" s="56"/>
      <c r="CR396" s="56"/>
      <c r="CS396" s="56"/>
      <c r="CT396" s="56"/>
      <c r="CU396" s="56"/>
      <c r="CV396" s="56"/>
      <c r="CW396" s="56"/>
      <c r="CX396" s="56"/>
      <c r="CY396" s="56"/>
      <c r="CZ396" s="56"/>
      <c r="DA396" s="56"/>
      <c r="DB396" s="56"/>
      <c r="DC396" s="56"/>
      <c r="DD396" s="56"/>
      <c r="DE396" s="56"/>
      <c r="DF396" s="56"/>
      <c r="DG396" s="56"/>
      <c r="DH396" s="56"/>
      <c r="DI396" s="56"/>
      <c r="DJ396" s="56"/>
      <c r="DK396" s="56"/>
      <c r="DL396" s="56"/>
      <c r="DM396" s="56"/>
      <c r="DN396" s="56"/>
      <c r="DO396" s="56"/>
      <c r="DP396" s="56"/>
      <c r="DQ396" s="56"/>
      <c r="DR396" s="56"/>
      <c r="DS396" s="56"/>
      <c r="DT396" s="56"/>
      <c r="DU396" s="56"/>
      <c r="DV396" s="56"/>
      <c r="DW396" s="56"/>
      <c r="DX396" s="56"/>
      <c r="DY396" s="56"/>
      <c r="DZ396" s="56"/>
      <c r="EA396" s="56"/>
      <c r="EB396" s="56"/>
      <c r="EC396" s="56"/>
      <c r="ED396" s="56"/>
      <c r="EE396" s="56"/>
      <c r="EF396" s="56"/>
      <c r="EG396" s="56"/>
      <c r="EH396" s="56"/>
      <c r="EI396" s="56"/>
      <c r="EJ396" s="56"/>
      <c r="EK396" s="56"/>
      <c r="EL396" s="56"/>
      <c r="EM396" s="56"/>
      <c r="EN396" s="56"/>
      <c r="EO396" s="56"/>
      <c r="EP396" s="56"/>
      <c r="EQ396" s="56"/>
      <c r="ER396" s="56"/>
      <c r="ES396" s="56"/>
      <c r="ET396" s="56"/>
      <c r="EU396" s="56"/>
      <c r="EV396" s="56"/>
      <c r="EW396" s="56"/>
      <c r="EX396" s="56"/>
      <c r="EY396" s="56"/>
      <c r="EZ396" s="56"/>
      <c r="FA396" s="56"/>
      <c r="FB396" s="56"/>
      <c r="FC396" s="56"/>
      <c r="FD396" s="56"/>
      <c r="FE396" s="56"/>
      <c r="FF396" s="56"/>
      <c r="FG396" s="56"/>
      <c r="FH396" s="56"/>
      <c r="FI396" s="56"/>
      <c r="FJ396" s="56"/>
      <c r="FK396" s="56"/>
      <c r="FL396" s="56"/>
      <c r="FM396" s="56"/>
      <c r="FN396" s="56"/>
      <c r="FO396" s="56"/>
      <c r="FP396" s="56"/>
      <c r="FQ396" s="56"/>
      <c r="FR396" s="56"/>
      <c r="FS396" s="56"/>
      <c r="FT396" s="56"/>
      <c r="FU396" s="56"/>
      <c r="FV396" s="56"/>
      <c r="FW396" s="56"/>
      <c r="FX396" s="56"/>
      <c r="FY396" s="56"/>
      <c r="FZ396" s="56"/>
      <c r="GA396" s="56"/>
      <c r="GB396" s="56"/>
      <c r="GC396" s="56"/>
      <c r="GD396" s="56"/>
      <c r="GE396" s="56"/>
      <c r="GF396" s="56"/>
      <c r="GG396" s="56"/>
      <c r="GH396" s="56"/>
      <c r="GI396" s="56"/>
      <c r="GJ396" s="56"/>
      <c r="GK396" s="56"/>
      <c r="GL396" s="56"/>
      <c r="GM396" s="56"/>
      <c r="GN396" s="56"/>
      <c r="GO396" s="56"/>
      <c r="GP396" s="56"/>
      <c r="GQ396" s="56"/>
      <c r="GR396" s="56"/>
      <c r="GS396" s="56"/>
      <c r="GT396" s="56"/>
      <c r="GU396" s="56"/>
      <c r="GV396" s="56"/>
      <c r="GW396" s="56"/>
      <c r="GX396" s="56"/>
      <c r="GY396" s="56"/>
      <c r="GZ396" s="56"/>
      <c r="HA396" s="56"/>
      <c r="HB396" s="56"/>
      <c r="HC396" s="56"/>
      <c r="HD396" s="56"/>
      <c r="HE396" s="56"/>
      <c r="HF396" s="56"/>
      <c r="HG396" s="56"/>
      <c r="HH396" s="56"/>
      <c r="HI396" s="56"/>
      <c r="HJ396" s="56"/>
    </row>
    <row r="397" spans="1:218" ht="15.75" customHeight="1" x14ac:dyDescent="0.2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  <c r="CL397" s="56"/>
      <c r="CM397" s="56"/>
      <c r="CN397" s="56"/>
      <c r="CO397" s="56"/>
      <c r="CP397" s="56"/>
      <c r="CQ397" s="56"/>
      <c r="CR397" s="56"/>
      <c r="CS397" s="56"/>
      <c r="CT397" s="56"/>
      <c r="CU397" s="56"/>
      <c r="CV397" s="56"/>
      <c r="CW397" s="56"/>
      <c r="CX397" s="56"/>
      <c r="CY397" s="56"/>
      <c r="CZ397" s="56"/>
      <c r="DA397" s="56"/>
      <c r="DB397" s="56"/>
      <c r="DC397" s="56"/>
      <c r="DD397" s="56"/>
      <c r="DE397" s="56"/>
      <c r="DF397" s="56"/>
      <c r="DG397" s="56"/>
      <c r="DH397" s="56"/>
      <c r="DI397" s="56"/>
      <c r="DJ397" s="56"/>
      <c r="DK397" s="56"/>
      <c r="DL397" s="56"/>
      <c r="DM397" s="56"/>
      <c r="DN397" s="56"/>
      <c r="DO397" s="56"/>
      <c r="DP397" s="56"/>
      <c r="DQ397" s="56"/>
      <c r="DR397" s="56"/>
      <c r="DS397" s="56"/>
      <c r="DT397" s="56"/>
      <c r="DU397" s="56"/>
      <c r="DV397" s="56"/>
      <c r="DW397" s="56"/>
      <c r="DX397" s="56"/>
      <c r="DY397" s="56"/>
      <c r="DZ397" s="56"/>
      <c r="EA397" s="56"/>
      <c r="EB397" s="56"/>
      <c r="EC397" s="56"/>
      <c r="ED397" s="56"/>
      <c r="EE397" s="56"/>
      <c r="EF397" s="56"/>
      <c r="EG397" s="56"/>
      <c r="EH397" s="56"/>
      <c r="EI397" s="56"/>
      <c r="EJ397" s="56"/>
      <c r="EK397" s="56"/>
      <c r="EL397" s="56"/>
      <c r="EM397" s="56"/>
      <c r="EN397" s="56"/>
      <c r="EO397" s="56"/>
      <c r="EP397" s="56"/>
      <c r="EQ397" s="56"/>
      <c r="ER397" s="56"/>
      <c r="ES397" s="56"/>
      <c r="ET397" s="56"/>
      <c r="EU397" s="56"/>
      <c r="EV397" s="56"/>
      <c r="EW397" s="56"/>
      <c r="EX397" s="56"/>
      <c r="EY397" s="56"/>
      <c r="EZ397" s="56"/>
      <c r="FA397" s="56"/>
      <c r="FB397" s="56"/>
      <c r="FC397" s="56"/>
      <c r="FD397" s="56"/>
      <c r="FE397" s="56"/>
      <c r="FF397" s="56"/>
      <c r="FG397" s="56"/>
      <c r="FH397" s="56"/>
      <c r="FI397" s="56"/>
      <c r="FJ397" s="56"/>
      <c r="FK397" s="56"/>
      <c r="FL397" s="56"/>
      <c r="FM397" s="56"/>
      <c r="FN397" s="56"/>
      <c r="FO397" s="56"/>
      <c r="FP397" s="56"/>
      <c r="FQ397" s="56"/>
      <c r="FR397" s="56"/>
      <c r="FS397" s="56"/>
      <c r="FT397" s="56"/>
      <c r="FU397" s="56"/>
      <c r="FV397" s="56"/>
      <c r="FW397" s="56"/>
      <c r="FX397" s="56"/>
      <c r="FY397" s="56"/>
      <c r="FZ397" s="56"/>
      <c r="GA397" s="56"/>
      <c r="GB397" s="56"/>
      <c r="GC397" s="56"/>
      <c r="GD397" s="56"/>
      <c r="GE397" s="56"/>
      <c r="GF397" s="56"/>
      <c r="GG397" s="56"/>
      <c r="GH397" s="56"/>
      <c r="GI397" s="56"/>
      <c r="GJ397" s="56"/>
      <c r="GK397" s="56"/>
      <c r="GL397" s="56"/>
      <c r="GM397" s="56"/>
      <c r="GN397" s="56"/>
      <c r="GO397" s="56"/>
      <c r="GP397" s="56"/>
      <c r="GQ397" s="56"/>
      <c r="GR397" s="56"/>
      <c r="GS397" s="56"/>
      <c r="GT397" s="56"/>
      <c r="GU397" s="56"/>
      <c r="GV397" s="56"/>
      <c r="GW397" s="56"/>
      <c r="GX397" s="56"/>
      <c r="GY397" s="56"/>
      <c r="GZ397" s="56"/>
      <c r="HA397" s="56"/>
      <c r="HB397" s="56"/>
      <c r="HC397" s="56"/>
      <c r="HD397" s="56"/>
      <c r="HE397" s="56"/>
      <c r="HF397" s="56"/>
      <c r="HG397" s="56"/>
      <c r="HH397" s="56"/>
      <c r="HI397" s="56"/>
      <c r="HJ397" s="56"/>
    </row>
    <row r="398" spans="1:218" ht="15.75" customHeight="1" x14ac:dyDescent="0.2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  <c r="CL398" s="56"/>
      <c r="CM398" s="56"/>
      <c r="CN398" s="56"/>
      <c r="CO398" s="56"/>
      <c r="CP398" s="56"/>
      <c r="CQ398" s="56"/>
      <c r="CR398" s="56"/>
      <c r="CS398" s="56"/>
      <c r="CT398" s="56"/>
      <c r="CU398" s="56"/>
      <c r="CV398" s="56"/>
      <c r="CW398" s="56"/>
      <c r="CX398" s="56"/>
      <c r="CY398" s="56"/>
      <c r="CZ398" s="56"/>
      <c r="DA398" s="56"/>
      <c r="DB398" s="56"/>
      <c r="DC398" s="56"/>
      <c r="DD398" s="56"/>
      <c r="DE398" s="56"/>
      <c r="DF398" s="56"/>
      <c r="DG398" s="56"/>
      <c r="DH398" s="56"/>
      <c r="DI398" s="56"/>
      <c r="DJ398" s="56"/>
      <c r="DK398" s="56"/>
      <c r="DL398" s="56"/>
      <c r="DM398" s="56"/>
      <c r="DN398" s="56"/>
      <c r="DO398" s="56"/>
      <c r="DP398" s="56"/>
      <c r="DQ398" s="56"/>
      <c r="DR398" s="56"/>
      <c r="DS398" s="56"/>
      <c r="DT398" s="56"/>
      <c r="DU398" s="56"/>
      <c r="DV398" s="56"/>
      <c r="DW398" s="56"/>
      <c r="DX398" s="56"/>
      <c r="DY398" s="56"/>
      <c r="DZ398" s="56"/>
      <c r="EA398" s="56"/>
      <c r="EB398" s="56"/>
      <c r="EC398" s="56"/>
      <c r="ED398" s="56"/>
      <c r="EE398" s="56"/>
      <c r="EF398" s="56"/>
      <c r="EG398" s="56"/>
      <c r="EH398" s="56"/>
      <c r="EI398" s="56"/>
      <c r="EJ398" s="56"/>
      <c r="EK398" s="56"/>
      <c r="EL398" s="56"/>
      <c r="EM398" s="56"/>
      <c r="EN398" s="56"/>
      <c r="EO398" s="56"/>
      <c r="EP398" s="56"/>
      <c r="EQ398" s="56"/>
      <c r="ER398" s="56"/>
      <c r="ES398" s="56"/>
      <c r="ET398" s="56"/>
      <c r="EU398" s="56"/>
      <c r="EV398" s="56"/>
      <c r="EW398" s="56"/>
      <c r="EX398" s="56"/>
      <c r="EY398" s="56"/>
      <c r="EZ398" s="56"/>
      <c r="FA398" s="56"/>
      <c r="FB398" s="56"/>
      <c r="FC398" s="56"/>
      <c r="FD398" s="56"/>
      <c r="FE398" s="56"/>
      <c r="FF398" s="56"/>
      <c r="FG398" s="56"/>
      <c r="FH398" s="56"/>
      <c r="FI398" s="56"/>
      <c r="FJ398" s="56"/>
      <c r="FK398" s="56"/>
      <c r="FL398" s="56"/>
      <c r="FM398" s="56"/>
      <c r="FN398" s="56"/>
      <c r="FO398" s="56"/>
      <c r="FP398" s="56"/>
      <c r="FQ398" s="56"/>
      <c r="FR398" s="56"/>
      <c r="FS398" s="56"/>
      <c r="FT398" s="56"/>
      <c r="FU398" s="56"/>
      <c r="FV398" s="56"/>
      <c r="FW398" s="56"/>
      <c r="FX398" s="56"/>
      <c r="FY398" s="56"/>
      <c r="FZ398" s="56"/>
      <c r="GA398" s="56"/>
      <c r="GB398" s="56"/>
      <c r="GC398" s="56"/>
      <c r="GD398" s="56"/>
      <c r="GE398" s="56"/>
      <c r="GF398" s="56"/>
      <c r="GG398" s="56"/>
      <c r="GH398" s="56"/>
      <c r="GI398" s="56"/>
      <c r="GJ398" s="56"/>
      <c r="GK398" s="56"/>
      <c r="GL398" s="56"/>
      <c r="GM398" s="56"/>
      <c r="GN398" s="56"/>
      <c r="GO398" s="56"/>
      <c r="GP398" s="56"/>
      <c r="GQ398" s="56"/>
      <c r="GR398" s="56"/>
      <c r="GS398" s="56"/>
      <c r="GT398" s="56"/>
      <c r="GU398" s="56"/>
      <c r="GV398" s="56"/>
      <c r="GW398" s="56"/>
      <c r="GX398" s="56"/>
      <c r="GY398" s="56"/>
      <c r="GZ398" s="56"/>
      <c r="HA398" s="56"/>
      <c r="HB398" s="56"/>
      <c r="HC398" s="56"/>
      <c r="HD398" s="56"/>
      <c r="HE398" s="56"/>
      <c r="HF398" s="56"/>
      <c r="HG398" s="56"/>
      <c r="HH398" s="56"/>
      <c r="HI398" s="56"/>
      <c r="HJ398" s="56"/>
    </row>
    <row r="399" spans="1:218" ht="15.75" customHeight="1" x14ac:dyDescent="0.2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  <c r="CL399" s="56"/>
      <c r="CM399" s="56"/>
      <c r="CN399" s="56"/>
      <c r="CO399" s="56"/>
      <c r="CP399" s="56"/>
      <c r="CQ399" s="56"/>
      <c r="CR399" s="56"/>
      <c r="CS399" s="56"/>
      <c r="CT399" s="56"/>
      <c r="CU399" s="56"/>
      <c r="CV399" s="56"/>
      <c r="CW399" s="56"/>
      <c r="CX399" s="56"/>
      <c r="CY399" s="56"/>
      <c r="CZ399" s="56"/>
      <c r="DA399" s="56"/>
      <c r="DB399" s="56"/>
      <c r="DC399" s="56"/>
      <c r="DD399" s="56"/>
      <c r="DE399" s="56"/>
      <c r="DF399" s="56"/>
      <c r="DG399" s="56"/>
      <c r="DH399" s="56"/>
      <c r="DI399" s="56"/>
      <c r="DJ399" s="56"/>
      <c r="DK399" s="56"/>
      <c r="DL399" s="56"/>
      <c r="DM399" s="56"/>
      <c r="DN399" s="56"/>
      <c r="DO399" s="56"/>
      <c r="DP399" s="56"/>
      <c r="DQ399" s="56"/>
      <c r="DR399" s="56"/>
      <c r="DS399" s="56"/>
      <c r="DT399" s="56"/>
      <c r="DU399" s="56"/>
      <c r="DV399" s="56"/>
      <c r="DW399" s="56"/>
      <c r="DX399" s="56"/>
      <c r="DY399" s="56"/>
      <c r="DZ399" s="56"/>
      <c r="EA399" s="56"/>
      <c r="EB399" s="56"/>
      <c r="EC399" s="56"/>
      <c r="ED399" s="56"/>
      <c r="EE399" s="56"/>
      <c r="EF399" s="56"/>
      <c r="EG399" s="56"/>
      <c r="EH399" s="56"/>
      <c r="EI399" s="56"/>
      <c r="EJ399" s="56"/>
      <c r="EK399" s="56"/>
      <c r="EL399" s="56"/>
      <c r="EM399" s="56"/>
      <c r="EN399" s="56"/>
      <c r="EO399" s="56"/>
      <c r="EP399" s="56"/>
      <c r="EQ399" s="56"/>
      <c r="ER399" s="56"/>
      <c r="ES399" s="56"/>
      <c r="ET399" s="56"/>
      <c r="EU399" s="56"/>
      <c r="EV399" s="56"/>
      <c r="EW399" s="56"/>
      <c r="EX399" s="56"/>
      <c r="EY399" s="56"/>
      <c r="EZ399" s="56"/>
      <c r="FA399" s="56"/>
      <c r="FB399" s="56"/>
      <c r="FC399" s="56"/>
      <c r="FD399" s="56"/>
      <c r="FE399" s="56"/>
      <c r="FF399" s="56"/>
      <c r="FG399" s="56"/>
      <c r="FH399" s="56"/>
      <c r="FI399" s="56"/>
      <c r="FJ399" s="56"/>
      <c r="FK399" s="56"/>
      <c r="FL399" s="56"/>
      <c r="FM399" s="56"/>
      <c r="FN399" s="56"/>
      <c r="FO399" s="56"/>
      <c r="FP399" s="56"/>
      <c r="FQ399" s="56"/>
      <c r="FR399" s="56"/>
      <c r="FS399" s="56"/>
      <c r="FT399" s="56"/>
      <c r="FU399" s="56"/>
      <c r="FV399" s="56"/>
      <c r="FW399" s="56"/>
      <c r="FX399" s="56"/>
      <c r="FY399" s="56"/>
      <c r="FZ399" s="56"/>
      <c r="GA399" s="56"/>
      <c r="GB399" s="56"/>
      <c r="GC399" s="56"/>
      <c r="GD399" s="56"/>
      <c r="GE399" s="56"/>
      <c r="GF399" s="56"/>
      <c r="GG399" s="56"/>
      <c r="GH399" s="56"/>
      <c r="GI399" s="56"/>
      <c r="GJ399" s="56"/>
      <c r="GK399" s="56"/>
      <c r="GL399" s="56"/>
      <c r="GM399" s="56"/>
      <c r="GN399" s="56"/>
      <c r="GO399" s="56"/>
      <c r="GP399" s="56"/>
      <c r="GQ399" s="56"/>
      <c r="GR399" s="56"/>
      <c r="GS399" s="56"/>
      <c r="GT399" s="56"/>
      <c r="GU399" s="56"/>
      <c r="GV399" s="56"/>
      <c r="GW399" s="56"/>
      <c r="GX399" s="56"/>
      <c r="GY399" s="56"/>
      <c r="GZ399" s="56"/>
      <c r="HA399" s="56"/>
      <c r="HB399" s="56"/>
      <c r="HC399" s="56"/>
      <c r="HD399" s="56"/>
      <c r="HE399" s="56"/>
      <c r="HF399" s="56"/>
      <c r="HG399" s="56"/>
      <c r="HH399" s="56"/>
      <c r="HI399" s="56"/>
      <c r="HJ399" s="56"/>
    </row>
    <row r="400" spans="1:218" ht="15.75" customHeight="1" x14ac:dyDescent="0.2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  <c r="CL400" s="56"/>
      <c r="CM400" s="56"/>
      <c r="CN400" s="56"/>
      <c r="CO400" s="56"/>
      <c r="CP400" s="56"/>
      <c r="CQ400" s="56"/>
      <c r="CR400" s="56"/>
      <c r="CS400" s="56"/>
      <c r="CT400" s="56"/>
      <c r="CU400" s="56"/>
      <c r="CV400" s="56"/>
      <c r="CW400" s="56"/>
      <c r="CX400" s="56"/>
      <c r="CY400" s="56"/>
      <c r="CZ400" s="56"/>
      <c r="DA400" s="56"/>
      <c r="DB400" s="56"/>
      <c r="DC400" s="56"/>
      <c r="DD400" s="56"/>
      <c r="DE400" s="56"/>
      <c r="DF400" s="56"/>
      <c r="DG400" s="56"/>
      <c r="DH400" s="56"/>
      <c r="DI400" s="56"/>
      <c r="DJ400" s="56"/>
      <c r="DK400" s="56"/>
      <c r="DL400" s="56"/>
      <c r="DM400" s="56"/>
      <c r="DN400" s="56"/>
      <c r="DO400" s="56"/>
      <c r="DP400" s="56"/>
      <c r="DQ400" s="56"/>
      <c r="DR400" s="56"/>
      <c r="DS400" s="56"/>
      <c r="DT400" s="56"/>
      <c r="DU400" s="56"/>
      <c r="DV400" s="56"/>
      <c r="DW400" s="56"/>
      <c r="DX400" s="56"/>
      <c r="DY400" s="56"/>
      <c r="DZ400" s="56"/>
      <c r="EA400" s="56"/>
      <c r="EB400" s="56"/>
      <c r="EC400" s="56"/>
      <c r="ED400" s="56"/>
      <c r="EE400" s="56"/>
      <c r="EF400" s="56"/>
      <c r="EG400" s="56"/>
      <c r="EH400" s="56"/>
      <c r="EI400" s="56"/>
      <c r="EJ400" s="56"/>
      <c r="EK400" s="56"/>
      <c r="EL400" s="56"/>
      <c r="EM400" s="56"/>
      <c r="EN400" s="56"/>
      <c r="EO400" s="56"/>
      <c r="EP400" s="56"/>
      <c r="EQ400" s="56"/>
      <c r="ER400" s="56"/>
      <c r="ES400" s="56"/>
      <c r="ET400" s="56"/>
      <c r="EU400" s="56"/>
      <c r="EV400" s="56"/>
      <c r="EW400" s="56"/>
      <c r="EX400" s="56"/>
      <c r="EY400" s="56"/>
      <c r="EZ400" s="56"/>
      <c r="FA400" s="56"/>
      <c r="FB400" s="56"/>
      <c r="FC400" s="56"/>
      <c r="FD400" s="56"/>
      <c r="FE400" s="56"/>
      <c r="FF400" s="56"/>
      <c r="FG400" s="56"/>
      <c r="FH400" s="56"/>
      <c r="FI400" s="56"/>
      <c r="FJ400" s="56"/>
      <c r="FK400" s="56"/>
      <c r="FL400" s="56"/>
      <c r="FM400" s="56"/>
      <c r="FN400" s="56"/>
      <c r="FO400" s="56"/>
      <c r="FP400" s="56"/>
      <c r="FQ400" s="56"/>
      <c r="FR400" s="56"/>
      <c r="FS400" s="56"/>
      <c r="FT400" s="56"/>
      <c r="FU400" s="56"/>
      <c r="FV400" s="56"/>
      <c r="FW400" s="56"/>
      <c r="FX400" s="56"/>
      <c r="FY400" s="56"/>
      <c r="FZ400" s="56"/>
      <c r="GA400" s="56"/>
      <c r="GB400" s="56"/>
      <c r="GC400" s="56"/>
      <c r="GD400" s="56"/>
      <c r="GE400" s="56"/>
      <c r="GF400" s="56"/>
      <c r="GG400" s="56"/>
      <c r="GH400" s="56"/>
      <c r="GI400" s="56"/>
      <c r="GJ400" s="56"/>
      <c r="GK400" s="56"/>
      <c r="GL400" s="56"/>
      <c r="GM400" s="56"/>
      <c r="GN400" s="56"/>
      <c r="GO400" s="56"/>
      <c r="GP400" s="56"/>
      <c r="GQ400" s="56"/>
      <c r="GR400" s="56"/>
      <c r="GS400" s="56"/>
      <c r="GT400" s="56"/>
      <c r="GU400" s="56"/>
      <c r="GV400" s="56"/>
      <c r="GW400" s="56"/>
      <c r="GX400" s="56"/>
      <c r="GY400" s="56"/>
      <c r="GZ400" s="56"/>
      <c r="HA400" s="56"/>
      <c r="HB400" s="56"/>
      <c r="HC400" s="56"/>
      <c r="HD400" s="56"/>
      <c r="HE400" s="56"/>
      <c r="HF400" s="56"/>
      <c r="HG400" s="56"/>
      <c r="HH400" s="56"/>
      <c r="HI400" s="56"/>
      <c r="HJ400" s="56"/>
    </row>
    <row r="401" spans="1:218" ht="15.75" customHeight="1" x14ac:dyDescent="0.2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  <c r="CL401" s="56"/>
      <c r="CM401" s="56"/>
      <c r="CN401" s="56"/>
      <c r="CO401" s="56"/>
      <c r="CP401" s="56"/>
      <c r="CQ401" s="56"/>
      <c r="CR401" s="56"/>
      <c r="CS401" s="56"/>
      <c r="CT401" s="56"/>
      <c r="CU401" s="56"/>
      <c r="CV401" s="56"/>
      <c r="CW401" s="56"/>
      <c r="CX401" s="56"/>
      <c r="CY401" s="56"/>
      <c r="CZ401" s="56"/>
      <c r="DA401" s="56"/>
      <c r="DB401" s="56"/>
      <c r="DC401" s="56"/>
      <c r="DD401" s="56"/>
      <c r="DE401" s="56"/>
      <c r="DF401" s="56"/>
      <c r="DG401" s="56"/>
      <c r="DH401" s="56"/>
      <c r="DI401" s="56"/>
      <c r="DJ401" s="56"/>
      <c r="DK401" s="56"/>
      <c r="DL401" s="56"/>
      <c r="DM401" s="56"/>
      <c r="DN401" s="56"/>
      <c r="DO401" s="56"/>
      <c r="DP401" s="56"/>
      <c r="DQ401" s="56"/>
      <c r="DR401" s="56"/>
      <c r="DS401" s="56"/>
      <c r="DT401" s="56"/>
      <c r="DU401" s="56"/>
      <c r="DV401" s="56"/>
      <c r="DW401" s="56"/>
      <c r="DX401" s="56"/>
      <c r="DY401" s="56"/>
      <c r="DZ401" s="56"/>
      <c r="EA401" s="56"/>
      <c r="EB401" s="56"/>
      <c r="EC401" s="56"/>
      <c r="ED401" s="56"/>
      <c r="EE401" s="56"/>
      <c r="EF401" s="56"/>
      <c r="EG401" s="56"/>
      <c r="EH401" s="56"/>
      <c r="EI401" s="56"/>
      <c r="EJ401" s="56"/>
      <c r="EK401" s="56"/>
      <c r="EL401" s="56"/>
      <c r="EM401" s="56"/>
      <c r="EN401" s="56"/>
      <c r="EO401" s="56"/>
      <c r="EP401" s="56"/>
      <c r="EQ401" s="56"/>
      <c r="ER401" s="56"/>
      <c r="ES401" s="56"/>
      <c r="ET401" s="56"/>
      <c r="EU401" s="56"/>
      <c r="EV401" s="56"/>
      <c r="EW401" s="56"/>
      <c r="EX401" s="56"/>
      <c r="EY401" s="56"/>
      <c r="EZ401" s="56"/>
      <c r="FA401" s="56"/>
      <c r="FB401" s="56"/>
      <c r="FC401" s="56"/>
      <c r="FD401" s="56"/>
      <c r="FE401" s="56"/>
      <c r="FF401" s="56"/>
      <c r="FG401" s="56"/>
      <c r="FH401" s="56"/>
      <c r="FI401" s="56"/>
      <c r="FJ401" s="56"/>
      <c r="FK401" s="56"/>
      <c r="FL401" s="56"/>
      <c r="FM401" s="56"/>
      <c r="FN401" s="56"/>
      <c r="FO401" s="56"/>
      <c r="FP401" s="56"/>
      <c r="FQ401" s="56"/>
      <c r="FR401" s="56"/>
      <c r="FS401" s="56"/>
      <c r="FT401" s="56"/>
      <c r="FU401" s="56"/>
      <c r="FV401" s="56"/>
      <c r="FW401" s="56"/>
      <c r="FX401" s="56"/>
      <c r="FY401" s="56"/>
      <c r="FZ401" s="56"/>
      <c r="GA401" s="56"/>
      <c r="GB401" s="56"/>
      <c r="GC401" s="56"/>
      <c r="GD401" s="56"/>
      <c r="GE401" s="56"/>
      <c r="GF401" s="56"/>
      <c r="GG401" s="56"/>
      <c r="GH401" s="56"/>
      <c r="GI401" s="56"/>
      <c r="GJ401" s="56"/>
      <c r="GK401" s="56"/>
      <c r="GL401" s="56"/>
      <c r="GM401" s="56"/>
      <c r="GN401" s="56"/>
      <c r="GO401" s="56"/>
      <c r="GP401" s="56"/>
      <c r="GQ401" s="56"/>
      <c r="GR401" s="56"/>
      <c r="GS401" s="56"/>
      <c r="GT401" s="56"/>
      <c r="GU401" s="56"/>
      <c r="GV401" s="56"/>
      <c r="GW401" s="56"/>
      <c r="GX401" s="56"/>
      <c r="GY401" s="56"/>
      <c r="GZ401" s="56"/>
      <c r="HA401" s="56"/>
      <c r="HB401" s="56"/>
      <c r="HC401" s="56"/>
      <c r="HD401" s="56"/>
      <c r="HE401" s="56"/>
      <c r="HF401" s="56"/>
      <c r="HG401" s="56"/>
      <c r="HH401" s="56"/>
      <c r="HI401" s="56"/>
      <c r="HJ401" s="56"/>
    </row>
    <row r="402" spans="1:218" ht="15.75" customHeight="1" x14ac:dyDescent="0.2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  <c r="BV402" s="56"/>
      <c r="BW402" s="56"/>
      <c r="BX402" s="56"/>
      <c r="BY402" s="56"/>
      <c r="BZ402" s="56"/>
      <c r="CA402" s="56"/>
      <c r="CB402" s="56"/>
      <c r="CC402" s="56"/>
      <c r="CD402" s="56"/>
      <c r="CE402" s="56"/>
      <c r="CF402" s="56"/>
      <c r="CG402" s="56"/>
      <c r="CH402" s="56"/>
      <c r="CI402" s="56"/>
      <c r="CJ402" s="56"/>
      <c r="CK402" s="56"/>
      <c r="CL402" s="56"/>
      <c r="CM402" s="56"/>
      <c r="CN402" s="56"/>
      <c r="CO402" s="56"/>
      <c r="CP402" s="56"/>
      <c r="CQ402" s="56"/>
      <c r="CR402" s="56"/>
      <c r="CS402" s="56"/>
      <c r="CT402" s="56"/>
      <c r="CU402" s="56"/>
      <c r="CV402" s="56"/>
      <c r="CW402" s="56"/>
      <c r="CX402" s="56"/>
      <c r="CY402" s="56"/>
      <c r="CZ402" s="56"/>
      <c r="DA402" s="56"/>
      <c r="DB402" s="56"/>
      <c r="DC402" s="56"/>
      <c r="DD402" s="56"/>
      <c r="DE402" s="56"/>
      <c r="DF402" s="56"/>
      <c r="DG402" s="56"/>
      <c r="DH402" s="56"/>
      <c r="DI402" s="56"/>
      <c r="DJ402" s="56"/>
      <c r="DK402" s="56"/>
      <c r="DL402" s="56"/>
      <c r="DM402" s="56"/>
      <c r="DN402" s="56"/>
      <c r="DO402" s="56"/>
      <c r="DP402" s="56"/>
      <c r="DQ402" s="56"/>
      <c r="DR402" s="56"/>
      <c r="DS402" s="56"/>
      <c r="DT402" s="56"/>
      <c r="DU402" s="56"/>
      <c r="DV402" s="56"/>
      <c r="DW402" s="56"/>
      <c r="DX402" s="56"/>
      <c r="DY402" s="56"/>
      <c r="DZ402" s="56"/>
      <c r="EA402" s="56"/>
      <c r="EB402" s="56"/>
      <c r="EC402" s="56"/>
      <c r="ED402" s="56"/>
      <c r="EE402" s="56"/>
      <c r="EF402" s="56"/>
      <c r="EG402" s="56"/>
      <c r="EH402" s="56"/>
      <c r="EI402" s="56"/>
      <c r="EJ402" s="56"/>
      <c r="EK402" s="56"/>
      <c r="EL402" s="56"/>
      <c r="EM402" s="56"/>
      <c r="EN402" s="56"/>
      <c r="EO402" s="56"/>
      <c r="EP402" s="56"/>
      <c r="EQ402" s="56"/>
      <c r="ER402" s="56"/>
      <c r="ES402" s="56"/>
      <c r="ET402" s="56"/>
      <c r="EU402" s="56"/>
      <c r="EV402" s="56"/>
      <c r="EW402" s="56"/>
      <c r="EX402" s="56"/>
      <c r="EY402" s="56"/>
      <c r="EZ402" s="56"/>
      <c r="FA402" s="56"/>
      <c r="FB402" s="56"/>
      <c r="FC402" s="56"/>
      <c r="FD402" s="56"/>
      <c r="FE402" s="56"/>
      <c r="FF402" s="56"/>
      <c r="FG402" s="56"/>
      <c r="FH402" s="56"/>
      <c r="FI402" s="56"/>
      <c r="FJ402" s="56"/>
      <c r="FK402" s="56"/>
      <c r="FL402" s="56"/>
      <c r="FM402" s="56"/>
      <c r="FN402" s="56"/>
      <c r="FO402" s="56"/>
      <c r="FP402" s="56"/>
      <c r="FQ402" s="56"/>
      <c r="FR402" s="56"/>
      <c r="FS402" s="56"/>
      <c r="FT402" s="56"/>
      <c r="FU402" s="56"/>
      <c r="FV402" s="56"/>
      <c r="FW402" s="56"/>
      <c r="FX402" s="56"/>
      <c r="FY402" s="56"/>
      <c r="FZ402" s="56"/>
      <c r="GA402" s="56"/>
      <c r="GB402" s="56"/>
      <c r="GC402" s="56"/>
      <c r="GD402" s="56"/>
      <c r="GE402" s="56"/>
      <c r="GF402" s="56"/>
      <c r="GG402" s="56"/>
      <c r="GH402" s="56"/>
      <c r="GI402" s="56"/>
      <c r="GJ402" s="56"/>
      <c r="GK402" s="56"/>
      <c r="GL402" s="56"/>
      <c r="GM402" s="56"/>
      <c r="GN402" s="56"/>
      <c r="GO402" s="56"/>
      <c r="GP402" s="56"/>
      <c r="GQ402" s="56"/>
      <c r="GR402" s="56"/>
      <c r="GS402" s="56"/>
      <c r="GT402" s="56"/>
      <c r="GU402" s="56"/>
      <c r="GV402" s="56"/>
      <c r="GW402" s="56"/>
      <c r="GX402" s="56"/>
      <c r="GY402" s="56"/>
      <c r="GZ402" s="56"/>
      <c r="HA402" s="56"/>
      <c r="HB402" s="56"/>
      <c r="HC402" s="56"/>
      <c r="HD402" s="56"/>
      <c r="HE402" s="56"/>
      <c r="HF402" s="56"/>
      <c r="HG402" s="56"/>
      <c r="HH402" s="56"/>
      <c r="HI402" s="56"/>
      <c r="HJ402" s="56"/>
    </row>
    <row r="403" spans="1:218" ht="15.75" customHeight="1" x14ac:dyDescent="0.2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  <c r="BV403" s="56"/>
      <c r="BW403" s="56"/>
      <c r="BX403" s="56"/>
      <c r="BY403" s="56"/>
      <c r="BZ403" s="56"/>
      <c r="CA403" s="56"/>
      <c r="CB403" s="56"/>
      <c r="CC403" s="56"/>
      <c r="CD403" s="56"/>
      <c r="CE403" s="56"/>
      <c r="CF403" s="56"/>
      <c r="CG403" s="56"/>
      <c r="CH403" s="56"/>
      <c r="CI403" s="56"/>
      <c r="CJ403" s="56"/>
      <c r="CK403" s="56"/>
      <c r="CL403" s="56"/>
      <c r="CM403" s="56"/>
      <c r="CN403" s="56"/>
      <c r="CO403" s="56"/>
      <c r="CP403" s="56"/>
      <c r="CQ403" s="56"/>
      <c r="CR403" s="56"/>
      <c r="CS403" s="56"/>
      <c r="CT403" s="56"/>
      <c r="CU403" s="56"/>
      <c r="CV403" s="56"/>
      <c r="CW403" s="56"/>
      <c r="CX403" s="56"/>
      <c r="CY403" s="56"/>
      <c r="CZ403" s="56"/>
      <c r="DA403" s="56"/>
      <c r="DB403" s="56"/>
      <c r="DC403" s="56"/>
      <c r="DD403" s="56"/>
      <c r="DE403" s="56"/>
      <c r="DF403" s="56"/>
      <c r="DG403" s="56"/>
      <c r="DH403" s="56"/>
      <c r="DI403" s="56"/>
      <c r="DJ403" s="56"/>
      <c r="DK403" s="56"/>
      <c r="DL403" s="56"/>
      <c r="DM403" s="56"/>
      <c r="DN403" s="56"/>
      <c r="DO403" s="56"/>
      <c r="DP403" s="56"/>
      <c r="DQ403" s="56"/>
      <c r="DR403" s="56"/>
      <c r="DS403" s="56"/>
      <c r="DT403" s="56"/>
      <c r="DU403" s="56"/>
      <c r="DV403" s="56"/>
      <c r="DW403" s="56"/>
      <c r="DX403" s="56"/>
      <c r="DY403" s="56"/>
      <c r="DZ403" s="56"/>
      <c r="EA403" s="56"/>
      <c r="EB403" s="56"/>
      <c r="EC403" s="56"/>
      <c r="ED403" s="56"/>
      <c r="EE403" s="56"/>
      <c r="EF403" s="56"/>
      <c r="EG403" s="56"/>
      <c r="EH403" s="56"/>
      <c r="EI403" s="56"/>
      <c r="EJ403" s="56"/>
      <c r="EK403" s="56"/>
      <c r="EL403" s="56"/>
      <c r="EM403" s="56"/>
      <c r="EN403" s="56"/>
      <c r="EO403" s="56"/>
      <c r="EP403" s="56"/>
      <c r="EQ403" s="56"/>
      <c r="ER403" s="56"/>
      <c r="ES403" s="56"/>
      <c r="ET403" s="56"/>
      <c r="EU403" s="56"/>
      <c r="EV403" s="56"/>
      <c r="EW403" s="56"/>
      <c r="EX403" s="56"/>
      <c r="EY403" s="56"/>
      <c r="EZ403" s="56"/>
      <c r="FA403" s="56"/>
      <c r="FB403" s="56"/>
      <c r="FC403" s="56"/>
      <c r="FD403" s="56"/>
      <c r="FE403" s="56"/>
      <c r="FF403" s="56"/>
      <c r="FG403" s="56"/>
      <c r="FH403" s="56"/>
      <c r="FI403" s="56"/>
      <c r="FJ403" s="56"/>
      <c r="FK403" s="56"/>
      <c r="FL403" s="56"/>
      <c r="FM403" s="56"/>
      <c r="FN403" s="56"/>
      <c r="FO403" s="56"/>
      <c r="FP403" s="56"/>
      <c r="FQ403" s="56"/>
      <c r="FR403" s="56"/>
      <c r="FS403" s="56"/>
      <c r="FT403" s="56"/>
      <c r="FU403" s="56"/>
      <c r="FV403" s="56"/>
      <c r="FW403" s="56"/>
      <c r="FX403" s="56"/>
      <c r="FY403" s="56"/>
      <c r="FZ403" s="56"/>
      <c r="GA403" s="56"/>
      <c r="GB403" s="56"/>
      <c r="GC403" s="56"/>
      <c r="GD403" s="56"/>
      <c r="GE403" s="56"/>
      <c r="GF403" s="56"/>
      <c r="GG403" s="56"/>
      <c r="GH403" s="56"/>
      <c r="GI403" s="56"/>
      <c r="GJ403" s="56"/>
      <c r="GK403" s="56"/>
      <c r="GL403" s="56"/>
      <c r="GM403" s="56"/>
      <c r="GN403" s="56"/>
      <c r="GO403" s="56"/>
      <c r="GP403" s="56"/>
      <c r="GQ403" s="56"/>
      <c r="GR403" s="56"/>
      <c r="GS403" s="56"/>
      <c r="GT403" s="56"/>
      <c r="GU403" s="56"/>
      <c r="GV403" s="56"/>
      <c r="GW403" s="56"/>
      <c r="GX403" s="56"/>
      <c r="GY403" s="56"/>
      <c r="GZ403" s="56"/>
      <c r="HA403" s="56"/>
      <c r="HB403" s="56"/>
      <c r="HC403" s="56"/>
      <c r="HD403" s="56"/>
      <c r="HE403" s="56"/>
      <c r="HF403" s="56"/>
      <c r="HG403" s="56"/>
      <c r="HH403" s="56"/>
      <c r="HI403" s="56"/>
      <c r="HJ403" s="56"/>
    </row>
    <row r="404" spans="1:218" ht="15.75" customHeight="1" x14ac:dyDescent="0.2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  <c r="BV404" s="56"/>
      <c r="BW404" s="56"/>
      <c r="BX404" s="56"/>
      <c r="BY404" s="56"/>
      <c r="BZ404" s="56"/>
      <c r="CA404" s="56"/>
      <c r="CB404" s="56"/>
      <c r="CC404" s="56"/>
      <c r="CD404" s="56"/>
      <c r="CE404" s="56"/>
      <c r="CF404" s="56"/>
      <c r="CG404" s="56"/>
      <c r="CH404" s="56"/>
      <c r="CI404" s="56"/>
      <c r="CJ404" s="56"/>
      <c r="CK404" s="56"/>
      <c r="CL404" s="56"/>
      <c r="CM404" s="56"/>
      <c r="CN404" s="56"/>
      <c r="CO404" s="56"/>
      <c r="CP404" s="56"/>
      <c r="CQ404" s="56"/>
      <c r="CR404" s="56"/>
      <c r="CS404" s="56"/>
      <c r="CT404" s="56"/>
      <c r="CU404" s="56"/>
      <c r="CV404" s="56"/>
      <c r="CW404" s="56"/>
      <c r="CX404" s="56"/>
      <c r="CY404" s="56"/>
      <c r="CZ404" s="56"/>
      <c r="DA404" s="56"/>
      <c r="DB404" s="56"/>
      <c r="DC404" s="56"/>
      <c r="DD404" s="56"/>
      <c r="DE404" s="56"/>
      <c r="DF404" s="56"/>
      <c r="DG404" s="56"/>
      <c r="DH404" s="56"/>
      <c r="DI404" s="56"/>
      <c r="DJ404" s="56"/>
      <c r="DK404" s="56"/>
      <c r="DL404" s="56"/>
      <c r="DM404" s="56"/>
      <c r="DN404" s="56"/>
      <c r="DO404" s="56"/>
      <c r="DP404" s="56"/>
      <c r="DQ404" s="56"/>
      <c r="DR404" s="56"/>
      <c r="DS404" s="56"/>
      <c r="DT404" s="56"/>
      <c r="DU404" s="56"/>
      <c r="DV404" s="56"/>
      <c r="DW404" s="56"/>
      <c r="DX404" s="56"/>
      <c r="DY404" s="56"/>
      <c r="DZ404" s="56"/>
      <c r="EA404" s="56"/>
      <c r="EB404" s="56"/>
      <c r="EC404" s="56"/>
      <c r="ED404" s="56"/>
      <c r="EE404" s="56"/>
      <c r="EF404" s="56"/>
      <c r="EG404" s="56"/>
      <c r="EH404" s="56"/>
      <c r="EI404" s="56"/>
      <c r="EJ404" s="56"/>
      <c r="EK404" s="56"/>
      <c r="EL404" s="56"/>
      <c r="EM404" s="56"/>
      <c r="EN404" s="56"/>
      <c r="EO404" s="56"/>
      <c r="EP404" s="56"/>
      <c r="EQ404" s="56"/>
      <c r="ER404" s="56"/>
      <c r="ES404" s="56"/>
      <c r="ET404" s="56"/>
      <c r="EU404" s="56"/>
      <c r="EV404" s="56"/>
      <c r="EW404" s="56"/>
      <c r="EX404" s="56"/>
      <c r="EY404" s="56"/>
      <c r="EZ404" s="56"/>
      <c r="FA404" s="56"/>
      <c r="FB404" s="56"/>
      <c r="FC404" s="56"/>
      <c r="FD404" s="56"/>
      <c r="FE404" s="56"/>
      <c r="FF404" s="56"/>
      <c r="FG404" s="56"/>
      <c r="FH404" s="56"/>
      <c r="FI404" s="56"/>
      <c r="FJ404" s="56"/>
      <c r="FK404" s="56"/>
      <c r="FL404" s="56"/>
      <c r="FM404" s="56"/>
      <c r="FN404" s="56"/>
      <c r="FO404" s="56"/>
      <c r="FP404" s="56"/>
      <c r="FQ404" s="56"/>
      <c r="FR404" s="56"/>
      <c r="FS404" s="56"/>
      <c r="FT404" s="56"/>
      <c r="FU404" s="56"/>
      <c r="FV404" s="56"/>
      <c r="FW404" s="56"/>
      <c r="FX404" s="56"/>
      <c r="FY404" s="56"/>
      <c r="FZ404" s="56"/>
      <c r="GA404" s="56"/>
      <c r="GB404" s="56"/>
      <c r="GC404" s="56"/>
      <c r="GD404" s="56"/>
      <c r="GE404" s="56"/>
      <c r="GF404" s="56"/>
      <c r="GG404" s="56"/>
      <c r="GH404" s="56"/>
      <c r="GI404" s="56"/>
      <c r="GJ404" s="56"/>
      <c r="GK404" s="56"/>
      <c r="GL404" s="56"/>
      <c r="GM404" s="56"/>
      <c r="GN404" s="56"/>
      <c r="GO404" s="56"/>
      <c r="GP404" s="56"/>
      <c r="GQ404" s="56"/>
      <c r="GR404" s="56"/>
      <c r="GS404" s="56"/>
      <c r="GT404" s="56"/>
      <c r="GU404" s="56"/>
      <c r="GV404" s="56"/>
      <c r="GW404" s="56"/>
      <c r="GX404" s="56"/>
      <c r="GY404" s="56"/>
      <c r="GZ404" s="56"/>
      <c r="HA404" s="56"/>
      <c r="HB404" s="56"/>
      <c r="HC404" s="56"/>
      <c r="HD404" s="56"/>
      <c r="HE404" s="56"/>
      <c r="HF404" s="56"/>
      <c r="HG404" s="56"/>
      <c r="HH404" s="56"/>
      <c r="HI404" s="56"/>
      <c r="HJ404" s="56"/>
    </row>
    <row r="405" spans="1:218" ht="15.75" customHeight="1" x14ac:dyDescent="0.2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  <c r="BV405" s="56"/>
      <c r="BW405" s="56"/>
      <c r="BX405" s="56"/>
      <c r="BY405" s="56"/>
      <c r="BZ405" s="56"/>
      <c r="CA405" s="56"/>
      <c r="CB405" s="56"/>
      <c r="CC405" s="56"/>
      <c r="CD405" s="56"/>
      <c r="CE405" s="56"/>
      <c r="CF405" s="56"/>
      <c r="CG405" s="56"/>
      <c r="CH405" s="56"/>
      <c r="CI405" s="56"/>
      <c r="CJ405" s="56"/>
      <c r="CK405" s="56"/>
      <c r="CL405" s="56"/>
      <c r="CM405" s="56"/>
      <c r="CN405" s="56"/>
      <c r="CO405" s="56"/>
      <c r="CP405" s="56"/>
      <c r="CQ405" s="56"/>
      <c r="CR405" s="56"/>
      <c r="CS405" s="56"/>
      <c r="CT405" s="56"/>
      <c r="CU405" s="56"/>
      <c r="CV405" s="56"/>
      <c r="CW405" s="56"/>
      <c r="CX405" s="56"/>
      <c r="CY405" s="56"/>
      <c r="CZ405" s="56"/>
      <c r="DA405" s="56"/>
      <c r="DB405" s="56"/>
      <c r="DC405" s="56"/>
      <c r="DD405" s="56"/>
      <c r="DE405" s="56"/>
      <c r="DF405" s="56"/>
      <c r="DG405" s="56"/>
      <c r="DH405" s="56"/>
      <c r="DI405" s="56"/>
      <c r="DJ405" s="56"/>
      <c r="DK405" s="56"/>
      <c r="DL405" s="56"/>
      <c r="DM405" s="56"/>
      <c r="DN405" s="56"/>
      <c r="DO405" s="56"/>
      <c r="DP405" s="56"/>
      <c r="DQ405" s="56"/>
      <c r="DR405" s="56"/>
      <c r="DS405" s="56"/>
      <c r="DT405" s="56"/>
      <c r="DU405" s="56"/>
      <c r="DV405" s="56"/>
      <c r="DW405" s="56"/>
      <c r="DX405" s="56"/>
      <c r="DY405" s="56"/>
      <c r="DZ405" s="56"/>
      <c r="EA405" s="56"/>
      <c r="EB405" s="56"/>
      <c r="EC405" s="56"/>
      <c r="ED405" s="56"/>
      <c r="EE405" s="56"/>
      <c r="EF405" s="56"/>
      <c r="EG405" s="56"/>
      <c r="EH405" s="56"/>
      <c r="EI405" s="56"/>
      <c r="EJ405" s="56"/>
      <c r="EK405" s="56"/>
      <c r="EL405" s="56"/>
      <c r="EM405" s="56"/>
      <c r="EN405" s="56"/>
      <c r="EO405" s="56"/>
      <c r="EP405" s="56"/>
      <c r="EQ405" s="56"/>
      <c r="ER405" s="56"/>
      <c r="ES405" s="56"/>
      <c r="ET405" s="56"/>
      <c r="EU405" s="56"/>
      <c r="EV405" s="56"/>
      <c r="EW405" s="56"/>
      <c r="EX405" s="56"/>
      <c r="EY405" s="56"/>
      <c r="EZ405" s="56"/>
      <c r="FA405" s="56"/>
      <c r="FB405" s="56"/>
      <c r="FC405" s="56"/>
      <c r="FD405" s="56"/>
      <c r="FE405" s="56"/>
      <c r="FF405" s="56"/>
      <c r="FG405" s="56"/>
      <c r="FH405" s="56"/>
      <c r="FI405" s="56"/>
      <c r="FJ405" s="56"/>
      <c r="FK405" s="56"/>
      <c r="FL405" s="56"/>
      <c r="FM405" s="56"/>
      <c r="FN405" s="56"/>
      <c r="FO405" s="56"/>
      <c r="FP405" s="56"/>
      <c r="FQ405" s="56"/>
      <c r="FR405" s="56"/>
      <c r="FS405" s="56"/>
      <c r="FT405" s="56"/>
      <c r="FU405" s="56"/>
      <c r="FV405" s="56"/>
      <c r="FW405" s="56"/>
      <c r="FX405" s="56"/>
      <c r="FY405" s="56"/>
      <c r="FZ405" s="56"/>
      <c r="GA405" s="56"/>
      <c r="GB405" s="56"/>
      <c r="GC405" s="56"/>
      <c r="GD405" s="56"/>
      <c r="GE405" s="56"/>
      <c r="GF405" s="56"/>
      <c r="GG405" s="56"/>
      <c r="GH405" s="56"/>
      <c r="GI405" s="56"/>
      <c r="GJ405" s="56"/>
      <c r="GK405" s="56"/>
      <c r="GL405" s="56"/>
      <c r="GM405" s="56"/>
      <c r="GN405" s="56"/>
      <c r="GO405" s="56"/>
      <c r="GP405" s="56"/>
      <c r="GQ405" s="56"/>
      <c r="GR405" s="56"/>
      <c r="GS405" s="56"/>
      <c r="GT405" s="56"/>
      <c r="GU405" s="56"/>
      <c r="GV405" s="56"/>
      <c r="GW405" s="56"/>
      <c r="GX405" s="56"/>
      <c r="GY405" s="56"/>
      <c r="GZ405" s="56"/>
      <c r="HA405" s="56"/>
      <c r="HB405" s="56"/>
      <c r="HC405" s="56"/>
      <c r="HD405" s="56"/>
      <c r="HE405" s="56"/>
      <c r="HF405" s="56"/>
      <c r="HG405" s="56"/>
      <c r="HH405" s="56"/>
      <c r="HI405" s="56"/>
      <c r="HJ405" s="56"/>
    </row>
    <row r="406" spans="1:218" ht="15.75" customHeight="1" x14ac:dyDescent="0.2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  <c r="BV406" s="56"/>
      <c r="BW406" s="56"/>
      <c r="BX406" s="56"/>
      <c r="BY406" s="56"/>
      <c r="BZ406" s="56"/>
      <c r="CA406" s="56"/>
      <c r="CB406" s="56"/>
      <c r="CC406" s="56"/>
      <c r="CD406" s="56"/>
      <c r="CE406" s="56"/>
      <c r="CF406" s="56"/>
      <c r="CG406" s="56"/>
      <c r="CH406" s="56"/>
      <c r="CI406" s="56"/>
      <c r="CJ406" s="56"/>
      <c r="CK406" s="56"/>
      <c r="CL406" s="56"/>
      <c r="CM406" s="56"/>
      <c r="CN406" s="56"/>
      <c r="CO406" s="56"/>
      <c r="CP406" s="56"/>
      <c r="CQ406" s="56"/>
      <c r="CR406" s="56"/>
      <c r="CS406" s="56"/>
      <c r="CT406" s="56"/>
      <c r="CU406" s="56"/>
      <c r="CV406" s="56"/>
      <c r="CW406" s="56"/>
      <c r="CX406" s="56"/>
      <c r="CY406" s="56"/>
      <c r="CZ406" s="56"/>
      <c r="DA406" s="56"/>
      <c r="DB406" s="56"/>
      <c r="DC406" s="56"/>
      <c r="DD406" s="56"/>
      <c r="DE406" s="56"/>
      <c r="DF406" s="56"/>
      <c r="DG406" s="56"/>
      <c r="DH406" s="56"/>
      <c r="DI406" s="56"/>
      <c r="DJ406" s="56"/>
      <c r="DK406" s="56"/>
      <c r="DL406" s="56"/>
      <c r="DM406" s="56"/>
      <c r="DN406" s="56"/>
      <c r="DO406" s="56"/>
      <c r="DP406" s="56"/>
      <c r="DQ406" s="56"/>
      <c r="DR406" s="56"/>
      <c r="DS406" s="56"/>
      <c r="DT406" s="56"/>
      <c r="DU406" s="56"/>
      <c r="DV406" s="56"/>
      <c r="DW406" s="56"/>
      <c r="DX406" s="56"/>
      <c r="DY406" s="56"/>
      <c r="DZ406" s="56"/>
      <c r="EA406" s="56"/>
      <c r="EB406" s="56"/>
      <c r="EC406" s="56"/>
      <c r="ED406" s="56"/>
      <c r="EE406" s="56"/>
      <c r="EF406" s="56"/>
      <c r="EG406" s="56"/>
      <c r="EH406" s="56"/>
      <c r="EI406" s="56"/>
      <c r="EJ406" s="56"/>
      <c r="EK406" s="56"/>
      <c r="EL406" s="56"/>
      <c r="EM406" s="56"/>
      <c r="EN406" s="56"/>
      <c r="EO406" s="56"/>
      <c r="EP406" s="56"/>
      <c r="EQ406" s="56"/>
      <c r="ER406" s="56"/>
      <c r="ES406" s="56"/>
      <c r="ET406" s="56"/>
      <c r="EU406" s="56"/>
      <c r="EV406" s="56"/>
      <c r="EW406" s="56"/>
      <c r="EX406" s="56"/>
      <c r="EY406" s="56"/>
      <c r="EZ406" s="56"/>
      <c r="FA406" s="56"/>
      <c r="FB406" s="56"/>
      <c r="FC406" s="56"/>
      <c r="FD406" s="56"/>
      <c r="FE406" s="56"/>
      <c r="FF406" s="56"/>
      <c r="FG406" s="56"/>
      <c r="FH406" s="56"/>
      <c r="FI406" s="56"/>
      <c r="FJ406" s="56"/>
      <c r="FK406" s="56"/>
      <c r="FL406" s="56"/>
      <c r="FM406" s="56"/>
      <c r="FN406" s="56"/>
      <c r="FO406" s="56"/>
      <c r="FP406" s="56"/>
      <c r="FQ406" s="56"/>
      <c r="FR406" s="56"/>
      <c r="FS406" s="56"/>
      <c r="FT406" s="56"/>
      <c r="FU406" s="56"/>
      <c r="FV406" s="56"/>
      <c r="FW406" s="56"/>
      <c r="FX406" s="56"/>
      <c r="FY406" s="56"/>
      <c r="FZ406" s="56"/>
      <c r="GA406" s="56"/>
      <c r="GB406" s="56"/>
      <c r="GC406" s="56"/>
      <c r="GD406" s="56"/>
      <c r="GE406" s="56"/>
      <c r="GF406" s="56"/>
      <c r="GG406" s="56"/>
      <c r="GH406" s="56"/>
      <c r="GI406" s="56"/>
      <c r="GJ406" s="56"/>
      <c r="GK406" s="56"/>
      <c r="GL406" s="56"/>
      <c r="GM406" s="56"/>
      <c r="GN406" s="56"/>
      <c r="GO406" s="56"/>
      <c r="GP406" s="56"/>
      <c r="GQ406" s="56"/>
      <c r="GR406" s="56"/>
      <c r="GS406" s="56"/>
      <c r="GT406" s="56"/>
      <c r="GU406" s="56"/>
      <c r="GV406" s="56"/>
      <c r="GW406" s="56"/>
      <c r="GX406" s="56"/>
      <c r="GY406" s="56"/>
      <c r="GZ406" s="56"/>
      <c r="HA406" s="56"/>
      <c r="HB406" s="56"/>
      <c r="HC406" s="56"/>
      <c r="HD406" s="56"/>
      <c r="HE406" s="56"/>
      <c r="HF406" s="56"/>
      <c r="HG406" s="56"/>
      <c r="HH406" s="56"/>
      <c r="HI406" s="56"/>
      <c r="HJ406" s="56"/>
    </row>
    <row r="407" spans="1:218" ht="15.75" customHeight="1" x14ac:dyDescent="0.2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  <c r="BV407" s="56"/>
      <c r="BW407" s="56"/>
      <c r="BX407" s="56"/>
      <c r="BY407" s="56"/>
      <c r="BZ407" s="56"/>
      <c r="CA407" s="56"/>
      <c r="CB407" s="56"/>
      <c r="CC407" s="56"/>
      <c r="CD407" s="56"/>
      <c r="CE407" s="56"/>
      <c r="CF407" s="56"/>
      <c r="CG407" s="56"/>
      <c r="CH407" s="56"/>
      <c r="CI407" s="56"/>
      <c r="CJ407" s="56"/>
      <c r="CK407" s="56"/>
      <c r="CL407" s="56"/>
      <c r="CM407" s="56"/>
      <c r="CN407" s="56"/>
      <c r="CO407" s="56"/>
      <c r="CP407" s="56"/>
      <c r="CQ407" s="56"/>
      <c r="CR407" s="56"/>
      <c r="CS407" s="56"/>
      <c r="CT407" s="56"/>
      <c r="CU407" s="56"/>
      <c r="CV407" s="56"/>
      <c r="CW407" s="56"/>
      <c r="CX407" s="56"/>
      <c r="CY407" s="56"/>
      <c r="CZ407" s="56"/>
      <c r="DA407" s="56"/>
      <c r="DB407" s="56"/>
      <c r="DC407" s="56"/>
      <c r="DD407" s="56"/>
      <c r="DE407" s="56"/>
      <c r="DF407" s="56"/>
      <c r="DG407" s="56"/>
      <c r="DH407" s="56"/>
      <c r="DI407" s="56"/>
      <c r="DJ407" s="56"/>
      <c r="DK407" s="56"/>
      <c r="DL407" s="56"/>
      <c r="DM407" s="56"/>
      <c r="DN407" s="56"/>
      <c r="DO407" s="56"/>
      <c r="DP407" s="56"/>
      <c r="DQ407" s="56"/>
      <c r="DR407" s="56"/>
      <c r="DS407" s="56"/>
      <c r="DT407" s="56"/>
      <c r="DU407" s="56"/>
      <c r="DV407" s="56"/>
      <c r="DW407" s="56"/>
      <c r="DX407" s="56"/>
      <c r="DY407" s="56"/>
      <c r="DZ407" s="56"/>
      <c r="EA407" s="56"/>
      <c r="EB407" s="56"/>
      <c r="EC407" s="56"/>
      <c r="ED407" s="56"/>
      <c r="EE407" s="56"/>
      <c r="EF407" s="56"/>
      <c r="EG407" s="56"/>
      <c r="EH407" s="56"/>
      <c r="EI407" s="56"/>
      <c r="EJ407" s="56"/>
      <c r="EK407" s="56"/>
      <c r="EL407" s="56"/>
      <c r="EM407" s="56"/>
      <c r="EN407" s="56"/>
      <c r="EO407" s="56"/>
      <c r="EP407" s="56"/>
      <c r="EQ407" s="56"/>
      <c r="ER407" s="56"/>
      <c r="ES407" s="56"/>
      <c r="ET407" s="56"/>
      <c r="EU407" s="56"/>
      <c r="EV407" s="56"/>
      <c r="EW407" s="56"/>
      <c r="EX407" s="56"/>
      <c r="EY407" s="56"/>
      <c r="EZ407" s="56"/>
      <c r="FA407" s="56"/>
      <c r="FB407" s="56"/>
      <c r="FC407" s="56"/>
      <c r="FD407" s="56"/>
      <c r="FE407" s="56"/>
      <c r="FF407" s="56"/>
      <c r="FG407" s="56"/>
      <c r="FH407" s="56"/>
      <c r="FI407" s="56"/>
      <c r="FJ407" s="56"/>
      <c r="FK407" s="56"/>
      <c r="FL407" s="56"/>
      <c r="FM407" s="56"/>
      <c r="FN407" s="56"/>
      <c r="FO407" s="56"/>
      <c r="FP407" s="56"/>
      <c r="FQ407" s="56"/>
      <c r="FR407" s="56"/>
      <c r="FS407" s="56"/>
      <c r="FT407" s="56"/>
      <c r="FU407" s="56"/>
      <c r="FV407" s="56"/>
      <c r="FW407" s="56"/>
      <c r="FX407" s="56"/>
      <c r="FY407" s="56"/>
      <c r="FZ407" s="56"/>
      <c r="GA407" s="56"/>
      <c r="GB407" s="56"/>
      <c r="GC407" s="56"/>
      <c r="GD407" s="56"/>
      <c r="GE407" s="56"/>
      <c r="GF407" s="56"/>
      <c r="GG407" s="56"/>
      <c r="GH407" s="56"/>
      <c r="GI407" s="56"/>
      <c r="GJ407" s="56"/>
      <c r="GK407" s="56"/>
      <c r="GL407" s="56"/>
      <c r="GM407" s="56"/>
      <c r="GN407" s="56"/>
      <c r="GO407" s="56"/>
      <c r="GP407" s="56"/>
      <c r="GQ407" s="56"/>
      <c r="GR407" s="56"/>
      <c r="GS407" s="56"/>
      <c r="GT407" s="56"/>
      <c r="GU407" s="56"/>
      <c r="GV407" s="56"/>
      <c r="GW407" s="56"/>
      <c r="GX407" s="56"/>
      <c r="GY407" s="56"/>
      <c r="GZ407" s="56"/>
      <c r="HA407" s="56"/>
      <c r="HB407" s="56"/>
      <c r="HC407" s="56"/>
      <c r="HD407" s="56"/>
      <c r="HE407" s="56"/>
      <c r="HF407" s="56"/>
      <c r="HG407" s="56"/>
      <c r="HH407" s="56"/>
      <c r="HI407" s="56"/>
      <c r="HJ407" s="56"/>
    </row>
    <row r="408" spans="1:218" ht="15.75" customHeight="1" x14ac:dyDescent="0.2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  <c r="BV408" s="56"/>
      <c r="BW408" s="56"/>
      <c r="BX408" s="56"/>
      <c r="BY408" s="56"/>
      <c r="BZ408" s="56"/>
      <c r="CA408" s="56"/>
      <c r="CB408" s="56"/>
      <c r="CC408" s="56"/>
      <c r="CD408" s="56"/>
      <c r="CE408" s="56"/>
      <c r="CF408" s="56"/>
      <c r="CG408" s="56"/>
      <c r="CH408" s="56"/>
      <c r="CI408" s="56"/>
      <c r="CJ408" s="56"/>
      <c r="CK408" s="56"/>
      <c r="CL408" s="56"/>
      <c r="CM408" s="56"/>
      <c r="CN408" s="56"/>
      <c r="CO408" s="56"/>
      <c r="CP408" s="56"/>
      <c r="CQ408" s="56"/>
      <c r="CR408" s="56"/>
      <c r="CS408" s="56"/>
      <c r="CT408" s="56"/>
      <c r="CU408" s="56"/>
      <c r="CV408" s="56"/>
      <c r="CW408" s="56"/>
      <c r="CX408" s="56"/>
      <c r="CY408" s="56"/>
      <c r="CZ408" s="56"/>
      <c r="DA408" s="56"/>
      <c r="DB408" s="56"/>
      <c r="DC408" s="56"/>
      <c r="DD408" s="56"/>
      <c r="DE408" s="56"/>
      <c r="DF408" s="56"/>
      <c r="DG408" s="56"/>
      <c r="DH408" s="56"/>
      <c r="DI408" s="56"/>
      <c r="DJ408" s="56"/>
      <c r="DK408" s="56"/>
      <c r="DL408" s="56"/>
      <c r="DM408" s="56"/>
      <c r="DN408" s="56"/>
      <c r="DO408" s="56"/>
      <c r="DP408" s="56"/>
      <c r="DQ408" s="56"/>
      <c r="DR408" s="56"/>
      <c r="DS408" s="56"/>
      <c r="DT408" s="56"/>
      <c r="DU408" s="56"/>
      <c r="DV408" s="56"/>
      <c r="DW408" s="56"/>
      <c r="DX408" s="56"/>
      <c r="DY408" s="56"/>
      <c r="DZ408" s="56"/>
      <c r="EA408" s="56"/>
      <c r="EB408" s="56"/>
      <c r="EC408" s="56"/>
      <c r="ED408" s="56"/>
      <c r="EE408" s="56"/>
      <c r="EF408" s="56"/>
      <c r="EG408" s="56"/>
      <c r="EH408" s="56"/>
      <c r="EI408" s="56"/>
      <c r="EJ408" s="56"/>
      <c r="EK408" s="56"/>
      <c r="EL408" s="56"/>
      <c r="EM408" s="56"/>
      <c r="EN408" s="56"/>
      <c r="EO408" s="56"/>
      <c r="EP408" s="56"/>
      <c r="EQ408" s="56"/>
      <c r="ER408" s="56"/>
      <c r="ES408" s="56"/>
      <c r="ET408" s="56"/>
      <c r="EU408" s="56"/>
      <c r="EV408" s="56"/>
      <c r="EW408" s="56"/>
      <c r="EX408" s="56"/>
      <c r="EY408" s="56"/>
      <c r="EZ408" s="56"/>
      <c r="FA408" s="56"/>
      <c r="FB408" s="56"/>
      <c r="FC408" s="56"/>
      <c r="FD408" s="56"/>
      <c r="FE408" s="56"/>
      <c r="FF408" s="56"/>
      <c r="FG408" s="56"/>
      <c r="FH408" s="56"/>
      <c r="FI408" s="56"/>
      <c r="FJ408" s="56"/>
      <c r="FK408" s="56"/>
      <c r="FL408" s="56"/>
      <c r="FM408" s="56"/>
      <c r="FN408" s="56"/>
      <c r="FO408" s="56"/>
      <c r="FP408" s="56"/>
      <c r="FQ408" s="56"/>
      <c r="FR408" s="56"/>
      <c r="FS408" s="56"/>
      <c r="FT408" s="56"/>
      <c r="FU408" s="56"/>
      <c r="FV408" s="56"/>
      <c r="FW408" s="56"/>
      <c r="FX408" s="56"/>
      <c r="FY408" s="56"/>
      <c r="FZ408" s="56"/>
      <c r="GA408" s="56"/>
      <c r="GB408" s="56"/>
      <c r="GC408" s="56"/>
      <c r="GD408" s="56"/>
      <c r="GE408" s="56"/>
      <c r="GF408" s="56"/>
      <c r="GG408" s="56"/>
      <c r="GH408" s="56"/>
      <c r="GI408" s="56"/>
      <c r="GJ408" s="56"/>
      <c r="GK408" s="56"/>
      <c r="GL408" s="56"/>
      <c r="GM408" s="56"/>
      <c r="GN408" s="56"/>
      <c r="GO408" s="56"/>
      <c r="GP408" s="56"/>
      <c r="GQ408" s="56"/>
      <c r="GR408" s="56"/>
      <c r="GS408" s="56"/>
      <c r="GT408" s="56"/>
      <c r="GU408" s="56"/>
      <c r="GV408" s="56"/>
      <c r="GW408" s="56"/>
      <c r="GX408" s="56"/>
      <c r="GY408" s="56"/>
      <c r="GZ408" s="56"/>
      <c r="HA408" s="56"/>
      <c r="HB408" s="56"/>
      <c r="HC408" s="56"/>
      <c r="HD408" s="56"/>
      <c r="HE408" s="56"/>
      <c r="HF408" s="56"/>
      <c r="HG408" s="56"/>
      <c r="HH408" s="56"/>
      <c r="HI408" s="56"/>
      <c r="HJ408" s="56"/>
    </row>
    <row r="409" spans="1:218" ht="15.75" customHeight="1" x14ac:dyDescent="0.2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  <c r="BV409" s="56"/>
      <c r="BW409" s="56"/>
      <c r="BX409" s="56"/>
      <c r="BY409" s="56"/>
      <c r="BZ409" s="56"/>
      <c r="CA409" s="56"/>
      <c r="CB409" s="56"/>
      <c r="CC409" s="56"/>
      <c r="CD409" s="56"/>
      <c r="CE409" s="56"/>
      <c r="CF409" s="56"/>
      <c r="CG409" s="56"/>
      <c r="CH409" s="56"/>
      <c r="CI409" s="56"/>
      <c r="CJ409" s="56"/>
      <c r="CK409" s="56"/>
      <c r="CL409" s="56"/>
      <c r="CM409" s="56"/>
      <c r="CN409" s="56"/>
      <c r="CO409" s="56"/>
      <c r="CP409" s="56"/>
      <c r="CQ409" s="56"/>
      <c r="CR409" s="56"/>
      <c r="CS409" s="56"/>
      <c r="CT409" s="56"/>
      <c r="CU409" s="56"/>
      <c r="CV409" s="56"/>
      <c r="CW409" s="56"/>
      <c r="CX409" s="56"/>
      <c r="CY409" s="56"/>
      <c r="CZ409" s="56"/>
      <c r="DA409" s="56"/>
      <c r="DB409" s="56"/>
      <c r="DC409" s="56"/>
      <c r="DD409" s="56"/>
      <c r="DE409" s="56"/>
      <c r="DF409" s="56"/>
      <c r="DG409" s="56"/>
      <c r="DH409" s="56"/>
      <c r="DI409" s="56"/>
      <c r="DJ409" s="56"/>
      <c r="DK409" s="56"/>
      <c r="DL409" s="56"/>
      <c r="DM409" s="56"/>
      <c r="DN409" s="56"/>
      <c r="DO409" s="56"/>
      <c r="DP409" s="56"/>
      <c r="DQ409" s="56"/>
      <c r="DR409" s="56"/>
      <c r="DS409" s="56"/>
      <c r="DT409" s="56"/>
      <c r="DU409" s="56"/>
      <c r="DV409" s="56"/>
      <c r="DW409" s="56"/>
      <c r="DX409" s="56"/>
      <c r="DY409" s="56"/>
      <c r="DZ409" s="56"/>
      <c r="EA409" s="56"/>
      <c r="EB409" s="56"/>
      <c r="EC409" s="56"/>
      <c r="ED409" s="56"/>
      <c r="EE409" s="56"/>
      <c r="EF409" s="56"/>
      <c r="EG409" s="56"/>
      <c r="EH409" s="56"/>
      <c r="EI409" s="56"/>
      <c r="EJ409" s="56"/>
      <c r="EK409" s="56"/>
      <c r="EL409" s="56"/>
      <c r="EM409" s="56"/>
      <c r="EN409" s="56"/>
      <c r="EO409" s="56"/>
      <c r="EP409" s="56"/>
      <c r="EQ409" s="56"/>
      <c r="ER409" s="56"/>
      <c r="ES409" s="56"/>
      <c r="ET409" s="56"/>
      <c r="EU409" s="56"/>
      <c r="EV409" s="56"/>
      <c r="EW409" s="56"/>
      <c r="EX409" s="56"/>
      <c r="EY409" s="56"/>
      <c r="EZ409" s="56"/>
      <c r="FA409" s="56"/>
      <c r="FB409" s="56"/>
      <c r="FC409" s="56"/>
      <c r="FD409" s="56"/>
      <c r="FE409" s="56"/>
      <c r="FF409" s="56"/>
      <c r="FG409" s="56"/>
      <c r="FH409" s="56"/>
      <c r="FI409" s="56"/>
      <c r="FJ409" s="56"/>
      <c r="FK409" s="56"/>
      <c r="FL409" s="56"/>
      <c r="FM409" s="56"/>
      <c r="FN409" s="56"/>
      <c r="FO409" s="56"/>
      <c r="FP409" s="56"/>
      <c r="FQ409" s="56"/>
      <c r="FR409" s="56"/>
      <c r="FS409" s="56"/>
      <c r="FT409" s="56"/>
      <c r="FU409" s="56"/>
      <c r="FV409" s="56"/>
      <c r="FW409" s="56"/>
      <c r="FX409" s="56"/>
      <c r="FY409" s="56"/>
      <c r="FZ409" s="56"/>
      <c r="GA409" s="56"/>
      <c r="GB409" s="56"/>
      <c r="GC409" s="56"/>
      <c r="GD409" s="56"/>
      <c r="GE409" s="56"/>
      <c r="GF409" s="56"/>
      <c r="GG409" s="56"/>
      <c r="GH409" s="56"/>
      <c r="GI409" s="56"/>
      <c r="GJ409" s="56"/>
      <c r="GK409" s="56"/>
      <c r="GL409" s="56"/>
      <c r="GM409" s="56"/>
      <c r="GN409" s="56"/>
      <c r="GO409" s="56"/>
      <c r="GP409" s="56"/>
      <c r="GQ409" s="56"/>
      <c r="GR409" s="56"/>
      <c r="GS409" s="56"/>
      <c r="GT409" s="56"/>
      <c r="GU409" s="56"/>
      <c r="GV409" s="56"/>
      <c r="GW409" s="56"/>
      <c r="GX409" s="56"/>
      <c r="GY409" s="56"/>
      <c r="GZ409" s="56"/>
      <c r="HA409" s="56"/>
      <c r="HB409" s="56"/>
      <c r="HC409" s="56"/>
      <c r="HD409" s="56"/>
      <c r="HE409" s="56"/>
      <c r="HF409" s="56"/>
      <c r="HG409" s="56"/>
      <c r="HH409" s="56"/>
      <c r="HI409" s="56"/>
      <c r="HJ409" s="56"/>
    </row>
    <row r="410" spans="1:218" ht="15.75" customHeight="1" x14ac:dyDescent="0.2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  <c r="BV410" s="56"/>
      <c r="BW410" s="56"/>
      <c r="BX410" s="56"/>
      <c r="BY410" s="56"/>
      <c r="BZ410" s="56"/>
      <c r="CA410" s="56"/>
      <c r="CB410" s="56"/>
      <c r="CC410" s="56"/>
      <c r="CD410" s="56"/>
      <c r="CE410" s="56"/>
      <c r="CF410" s="56"/>
      <c r="CG410" s="56"/>
      <c r="CH410" s="56"/>
      <c r="CI410" s="56"/>
      <c r="CJ410" s="56"/>
      <c r="CK410" s="56"/>
      <c r="CL410" s="56"/>
      <c r="CM410" s="56"/>
      <c r="CN410" s="56"/>
      <c r="CO410" s="56"/>
      <c r="CP410" s="56"/>
      <c r="CQ410" s="56"/>
      <c r="CR410" s="56"/>
      <c r="CS410" s="56"/>
      <c r="CT410" s="56"/>
      <c r="CU410" s="56"/>
      <c r="CV410" s="56"/>
      <c r="CW410" s="56"/>
      <c r="CX410" s="56"/>
      <c r="CY410" s="56"/>
      <c r="CZ410" s="56"/>
      <c r="DA410" s="56"/>
      <c r="DB410" s="56"/>
      <c r="DC410" s="56"/>
      <c r="DD410" s="56"/>
      <c r="DE410" s="56"/>
      <c r="DF410" s="56"/>
      <c r="DG410" s="56"/>
      <c r="DH410" s="56"/>
      <c r="DI410" s="56"/>
      <c r="DJ410" s="56"/>
      <c r="DK410" s="56"/>
      <c r="DL410" s="56"/>
      <c r="DM410" s="56"/>
      <c r="DN410" s="56"/>
      <c r="DO410" s="56"/>
      <c r="DP410" s="56"/>
      <c r="DQ410" s="56"/>
      <c r="DR410" s="56"/>
      <c r="DS410" s="56"/>
      <c r="DT410" s="56"/>
      <c r="DU410" s="56"/>
      <c r="DV410" s="56"/>
      <c r="DW410" s="56"/>
      <c r="DX410" s="56"/>
      <c r="DY410" s="56"/>
      <c r="DZ410" s="56"/>
      <c r="EA410" s="56"/>
      <c r="EB410" s="56"/>
      <c r="EC410" s="56"/>
      <c r="ED410" s="56"/>
      <c r="EE410" s="56"/>
      <c r="EF410" s="56"/>
      <c r="EG410" s="56"/>
      <c r="EH410" s="56"/>
      <c r="EI410" s="56"/>
      <c r="EJ410" s="56"/>
      <c r="EK410" s="56"/>
      <c r="EL410" s="56"/>
      <c r="EM410" s="56"/>
      <c r="EN410" s="56"/>
      <c r="EO410" s="56"/>
      <c r="EP410" s="56"/>
      <c r="EQ410" s="56"/>
      <c r="ER410" s="56"/>
      <c r="ES410" s="56"/>
      <c r="ET410" s="56"/>
      <c r="EU410" s="56"/>
      <c r="EV410" s="56"/>
      <c r="EW410" s="56"/>
      <c r="EX410" s="56"/>
      <c r="EY410" s="56"/>
      <c r="EZ410" s="56"/>
      <c r="FA410" s="56"/>
      <c r="FB410" s="56"/>
      <c r="FC410" s="56"/>
      <c r="FD410" s="56"/>
      <c r="FE410" s="56"/>
      <c r="FF410" s="56"/>
      <c r="FG410" s="56"/>
      <c r="FH410" s="56"/>
      <c r="FI410" s="56"/>
      <c r="FJ410" s="56"/>
      <c r="FK410" s="56"/>
      <c r="FL410" s="56"/>
      <c r="FM410" s="56"/>
      <c r="FN410" s="56"/>
      <c r="FO410" s="56"/>
      <c r="FP410" s="56"/>
      <c r="FQ410" s="56"/>
      <c r="FR410" s="56"/>
      <c r="FS410" s="56"/>
      <c r="FT410" s="56"/>
      <c r="FU410" s="56"/>
      <c r="FV410" s="56"/>
      <c r="FW410" s="56"/>
      <c r="FX410" s="56"/>
      <c r="FY410" s="56"/>
      <c r="FZ410" s="56"/>
      <c r="GA410" s="56"/>
      <c r="GB410" s="56"/>
      <c r="GC410" s="56"/>
      <c r="GD410" s="56"/>
      <c r="GE410" s="56"/>
      <c r="GF410" s="56"/>
      <c r="GG410" s="56"/>
      <c r="GH410" s="56"/>
      <c r="GI410" s="56"/>
      <c r="GJ410" s="56"/>
      <c r="GK410" s="56"/>
      <c r="GL410" s="56"/>
      <c r="GM410" s="56"/>
      <c r="GN410" s="56"/>
      <c r="GO410" s="56"/>
      <c r="GP410" s="56"/>
      <c r="GQ410" s="56"/>
      <c r="GR410" s="56"/>
      <c r="GS410" s="56"/>
      <c r="GT410" s="56"/>
      <c r="GU410" s="56"/>
      <c r="GV410" s="56"/>
      <c r="GW410" s="56"/>
      <c r="GX410" s="56"/>
      <c r="GY410" s="56"/>
      <c r="GZ410" s="56"/>
      <c r="HA410" s="56"/>
      <c r="HB410" s="56"/>
      <c r="HC410" s="56"/>
      <c r="HD410" s="56"/>
      <c r="HE410" s="56"/>
      <c r="HF410" s="56"/>
      <c r="HG410" s="56"/>
      <c r="HH410" s="56"/>
      <c r="HI410" s="56"/>
      <c r="HJ410" s="56"/>
    </row>
    <row r="411" spans="1:218" ht="15.75" customHeight="1" x14ac:dyDescent="0.2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  <c r="BV411" s="56"/>
      <c r="BW411" s="56"/>
      <c r="BX411" s="56"/>
      <c r="BY411" s="56"/>
      <c r="BZ411" s="56"/>
      <c r="CA411" s="56"/>
      <c r="CB411" s="56"/>
      <c r="CC411" s="56"/>
      <c r="CD411" s="56"/>
      <c r="CE411" s="56"/>
      <c r="CF411" s="56"/>
      <c r="CG411" s="56"/>
      <c r="CH411" s="56"/>
      <c r="CI411" s="56"/>
      <c r="CJ411" s="56"/>
      <c r="CK411" s="56"/>
      <c r="CL411" s="56"/>
      <c r="CM411" s="56"/>
      <c r="CN411" s="56"/>
      <c r="CO411" s="56"/>
      <c r="CP411" s="56"/>
      <c r="CQ411" s="56"/>
      <c r="CR411" s="56"/>
      <c r="CS411" s="56"/>
      <c r="CT411" s="56"/>
      <c r="CU411" s="56"/>
      <c r="CV411" s="56"/>
      <c r="CW411" s="56"/>
      <c r="CX411" s="56"/>
      <c r="CY411" s="56"/>
      <c r="CZ411" s="56"/>
      <c r="DA411" s="56"/>
      <c r="DB411" s="56"/>
      <c r="DC411" s="56"/>
      <c r="DD411" s="56"/>
      <c r="DE411" s="56"/>
      <c r="DF411" s="56"/>
      <c r="DG411" s="56"/>
      <c r="DH411" s="56"/>
      <c r="DI411" s="56"/>
      <c r="DJ411" s="56"/>
      <c r="DK411" s="56"/>
      <c r="DL411" s="56"/>
      <c r="DM411" s="56"/>
      <c r="DN411" s="56"/>
      <c r="DO411" s="56"/>
      <c r="DP411" s="56"/>
      <c r="DQ411" s="56"/>
      <c r="DR411" s="56"/>
      <c r="DS411" s="56"/>
      <c r="DT411" s="56"/>
      <c r="DU411" s="56"/>
      <c r="DV411" s="56"/>
      <c r="DW411" s="56"/>
      <c r="DX411" s="56"/>
      <c r="DY411" s="56"/>
      <c r="DZ411" s="56"/>
      <c r="EA411" s="56"/>
      <c r="EB411" s="56"/>
      <c r="EC411" s="56"/>
      <c r="ED411" s="56"/>
      <c r="EE411" s="56"/>
      <c r="EF411" s="56"/>
      <c r="EG411" s="56"/>
      <c r="EH411" s="56"/>
      <c r="EI411" s="56"/>
      <c r="EJ411" s="56"/>
      <c r="EK411" s="56"/>
      <c r="EL411" s="56"/>
      <c r="EM411" s="56"/>
      <c r="EN411" s="56"/>
      <c r="EO411" s="56"/>
      <c r="EP411" s="56"/>
      <c r="EQ411" s="56"/>
      <c r="ER411" s="56"/>
      <c r="ES411" s="56"/>
      <c r="ET411" s="56"/>
      <c r="EU411" s="56"/>
      <c r="EV411" s="56"/>
      <c r="EW411" s="56"/>
      <c r="EX411" s="56"/>
      <c r="EY411" s="56"/>
      <c r="EZ411" s="56"/>
      <c r="FA411" s="56"/>
      <c r="FB411" s="56"/>
      <c r="FC411" s="56"/>
      <c r="FD411" s="56"/>
      <c r="FE411" s="56"/>
      <c r="FF411" s="56"/>
      <c r="FG411" s="56"/>
      <c r="FH411" s="56"/>
      <c r="FI411" s="56"/>
      <c r="FJ411" s="56"/>
      <c r="FK411" s="56"/>
      <c r="FL411" s="56"/>
      <c r="FM411" s="56"/>
      <c r="FN411" s="56"/>
      <c r="FO411" s="56"/>
      <c r="FP411" s="56"/>
      <c r="FQ411" s="56"/>
      <c r="FR411" s="56"/>
      <c r="FS411" s="56"/>
      <c r="FT411" s="56"/>
      <c r="FU411" s="56"/>
      <c r="FV411" s="56"/>
      <c r="FW411" s="56"/>
      <c r="FX411" s="56"/>
      <c r="FY411" s="56"/>
      <c r="FZ411" s="56"/>
      <c r="GA411" s="56"/>
      <c r="GB411" s="56"/>
      <c r="GC411" s="56"/>
      <c r="GD411" s="56"/>
      <c r="GE411" s="56"/>
      <c r="GF411" s="56"/>
      <c r="GG411" s="56"/>
      <c r="GH411" s="56"/>
      <c r="GI411" s="56"/>
      <c r="GJ411" s="56"/>
      <c r="GK411" s="56"/>
      <c r="GL411" s="56"/>
      <c r="GM411" s="56"/>
      <c r="GN411" s="56"/>
      <c r="GO411" s="56"/>
      <c r="GP411" s="56"/>
      <c r="GQ411" s="56"/>
      <c r="GR411" s="56"/>
      <c r="GS411" s="56"/>
      <c r="GT411" s="56"/>
      <c r="GU411" s="56"/>
      <c r="GV411" s="56"/>
      <c r="GW411" s="56"/>
      <c r="GX411" s="56"/>
      <c r="GY411" s="56"/>
      <c r="GZ411" s="56"/>
      <c r="HA411" s="56"/>
      <c r="HB411" s="56"/>
      <c r="HC411" s="56"/>
      <c r="HD411" s="56"/>
      <c r="HE411" s="56"/>
      <c r="HF411" s="56"/>
      <c r="HG411" s="56"/>
      <c r="HH411" s="56"/>
      <c r="HI411" s="56"/>
      <c r="HJ411" s="56"/>
    </row>
    <row r="412" spans="1:218" ht="15.75" customHeight="1" x14ac:dyDescent="0.2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  <c r="BV412" s="56"/>
      <c r="BW412" s="56"/>
      <c r="BX412" s="56"/>
      <c r="BY412" s="56"/>
      <c r="BZ412" s="56"/>
      <c r="CA412" s="56"/>
      <c r="CB412" s="56"/>
      <c r="CC412" s="56"/>
      <c r="CD412" s="56"/>
      <c r="CE412" s="56"/>
      <c r="CF412" s="56"/>
      <c r="CG412" s="56"/>
      <c r="CH412" s="56"/>
      <c r="CI412" s="56"/>
      <c r="CJ412" s="56"/>
      <c r="CK412" s="56"/>
      <c r="CL412" s="56"/>
      <c r="CM412" s="56"/>
      <c r="CN412" s="56"/>
      <c r="CO412" s="56"/>
      <c r="CP412" s="56"/>
      <c r="CQ412" s="56"/>
      <c r="CR412" s="56"/>
      <c r="CS412" s="56"/>
      <c r="CT412" s="56"/>
      <c r="CU412" s="56"/>
      <c r="CV412" s="56"/>
      <c r="CW412" s="56"/>
      <c r="CX412" s="56"/>
      <c r="CY412" s="56"/>
      <c r="CZ412" s="56"/>
      <c r="DA412" s="56"/>
      <c r="DB412" s="56"/>
      <c r="DC412" s="56"/>
      <c r="DD412" s="56"/>
      <c r="DE412" s="56"/>
      <c r="DF412" s="56"/>
      <c r="DG412" s="56"/>
      <c r="DH412" s="56"/>
      <c r="DI412" s="56"/>
      <c r="DJ412" s="56"/>
      <c r="DK412" s="56"/>
      <c r="DL412" s="56"/>
      <c r="DM412" s="56"/>
      <c r="DN412" s="56"/>
      <c r="DO412" s="56"/>
      <c r="DP412" s="56"/>
      <c r="DQ412" s="56"/>
      <c r="DR412" s="56"/>
      <c r="DS412" s="56"/>
      <c r="DT412" s="56"/>
      <c r="DU412" s="56"/>
      <c r="DV412" s="56"/>
      <c r="DW412" s="56"/>
      <c r="DX412" s="56"/>
      <c r="DY412" s="56"/>
      <c r="DZ412" s="56"/>
      <c r="EA412" s="56"/>
      <c r="EB412" s="56"/>
      <c r="EC412" s="56"/>
      <c r="ED412" s="56"/>
      <c r="EE412" s="56"/>
      <c r="EF412" s="56"/>
      <c r="EG412" s="56"/>
      <c r="EH412" s="56"/>
      <c r="EI412" s="56"/>
      <c r="EJ412" s="56"/>
      <c r="EK412" s="56"/>
      <c r="EL412" s="56"/>
      <c r="EM412" s="56"/>
      <c r="EN412" s="56"/>
      <c r="EO412" s="56"/>
      <c r="EP412" s="56"/>
      <c r="EQ412" s="56"/>
      <c r="ER412" s="56"/>
      <c r="ES412" s="56"/>
      <c r="ET412" s="56"/>
      <c r="EU412" s="56"/>
      <c r="EV412" s="56"/>
      <c r="EW412" s="56"/>
      <c r="EX412" s="56"/>
      <c r="EY412" s="56"/>
      <c r="EZ412" s="56"/>
      <c r="FA412" s="56"/>
      <c r="FB412" s="56"/>
      <c r="FC412" s="56"/>
      <c r="FD412" s="56"/>
      <c r="FE412" s="56"/>
      <c r="FF412" s="56"/>
      <c r="FG412" s="56"/>
      <c r="FH412" s="56"/>
      <c r="FI412" s="56"/>
      <c r="FJ412" s="56"/>
      <c r="FK412" s="56"/>
      <c r="FL412" s="56"/>
      <c r="FM412" s="56"/>
      <c r="FN412" s="56"/>
      <c r="FO412" s="56"/>
      <c r="FP412" s="56"/>
      <c r="FQ412" s="56"/>
      <c r="FR412" s="56"/>
      <c r="FS412" s="56"/>
      <c r="FT412" s="56"/>
      <c r="FU412" s="56"/>
      <c r="FV412" s="56"/>
      <c r="FW412" s="56"/>
      <c r="FX412" s="56"/>
      <c r="FY412" s="56"/>
      <c r="FZ412" s="56"/>
      <c r="GA412" s="56"/>
      <c r="GB412" s="56"/>
      <c r="GC412" s="56"/>
      <c r="GD412" s="56"/>
      <c r="GE412" s="56"/>
      <c r="GF412" s="56"/>
      <c r="GG412" s="56"/>
      <c r="GH412" s="56"/>
      <c r="GI412" s="56"/>
      <c r="GJ412" s="56"/>
      <c r="GK412" s="56"/>
      <c r="GL412" s="56"/>
      <c r="GM412" s="56"/>
      <c r="GN412" s="56"/>
      <c r="GO412" s="56"/>
      <c r="GP412" s="56"/>
      <c r="GQ412" s="56"/>
      <c r="GR412" s="56"/>
      <c r="GS412" s="56"/>
      <c r="GT412" s="56"/>
      <c r="GU412" s="56"/>
      <c r="GV412" s="56"/>
      <c r="GW412" s="56"/>
      <c r="GX412" s="56"/>
      <c r="GY412" s="56"/>
      <c r="GZ412" s="56"/>
      <c r="HA412" s="56"/>
      <c r="HB412" s="56"/>
      <c r="HC412" s="56"/>
      <c r="HD412" s="56"/>
      <c r="HE412" s="56"/>
      <c r="HF412" s="56"/>
      <c r="HG412" s="56"/>
      <c r="HH412" s="56"/>
      <c r="HI412" s="56"/>
      <c r="HJ412" s="56"/>
    </row>
    <row r="413" spans="1:218" ht="15.75" customHeight="1" x14ac:dyDescent="0.2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  <c r="BV413" s="56"/>
      <c r="BW413" s="56"/>
      <c r="BX413" s="56"/>
      <c r="BY413" s="56"/>
      <c r="BZ413" s="56"/>
      <c r="CA413" s="56"/>
      <c r="CB413" s="56"/>
      <c r="CC413" s="56"/>
      <c r="CD413" s="56"/>
      <c r="CE413" s="56"/>
      <c r="CF413" s="56"/>
      <c r="CG413" s="56"/>
      <c r="CH413" s="56"/>
      <c r="CI413" s="56"/>
      <c r="CJ413" s="56"/>
      <c r="CK413" s="56"/>
      <c r="CL413" s="56"/>
      <c r="CM413" s="56"/>
      <c r="CN413" s="56"/>
      <c r="CO413" s="56"/>
      <c r="CP413" s="56"/>
      <c r="CQ413" s="56"/>
      <c r="CR413" s="56"/>
      <c r="CS413" s="56"/>
      <c r="CT413" s="56"/>
      <c r="CU413" s="56"/>
      <c r="CV413" s="56"/>
      <c r="CW413" s="56"/>
      <c r="CX413" s="56"/>
      <c r="CY413" s="56"/>
      <c r="CZ413" s="56"/>
      <c r="DA413" s="56"/>
      <c r="DB413" s="56"/>
      <c r="DC413" s="56"/>
      <c r="DD413" s="56"/>
      <c r="DE413" s="56"/>
      <c r="DF413" s="56"/>
      <c r="DG413" s="56"/>
      <c r="DH413" s="56"/>
      <c r="DI413" s="56"/>
      <c r="DJ413" s="56"/>
      <c r="DK413" s="56"/>
      <c r="DL413" s="56"/>
      <c r="DM413" s="56"/>
      <c r="DN413" s="56"/>
      <c r="DO413" s="56"/>
      <c r="DP413" s="56"/>
      <c r="DQ413" s="56"/>
      <c r="DR413" s="56"/>
      <c r="DS413" s="56"/>
      <c r="DT413" s="56"/>
      <c r="DU413" s="56"/>
      <c r="DV413" s="56"/>
      <c r="DW413" s="56"/>
      <c r="DX413" s="56"/>
      <c r="DY413" s="56"/>
      <c r="DZ413" s="56"/>
      <c r="EA413" s="56"/>
      <c r="EB413" s="56"/>
      <c r="EC413" s="56"/>
      <c r="ED413" s="56"/>
      <c r="EE413" s="56"/>
      <c r="EF413" s="56"/>
      <c r="EG413" s="56"/>
      <c r="EH413" s="56"/>
      <c r="EI413" s="56"/>
      <c r="EJ413" s="56"/>
      <c r="EK413" s="56"/>
      <c r="EL413" s="56"/>
      <c r="EM413" s="56"/>
      <c r="EN413" s="56"/>
      <c r="EO413" s="56"/>
      <c r="EP413" s="56"/>
      <c r="EQ413" s="56"/>
      <c r="ER413" s="56"/>
      <c r="ES413" s="56"/>
      <c r="ET413" s="56"/>
      <c r="EU413" s="56"/>
      <c r="EV413" s="56"/>
      <c r="EW413" s="56"/>
      <c r="EX413" s="56"/>
      <c r="EY413" s="56"/>
      <c r="EZ413" s="56"/>
      <c r="FA413" s="56"/>
      <c r="FB413" s="56"/>
      <c r="FC413" s="56"/>
      <c r="FD413" s="56"/>
      <c r="FE413" s="56"/>
      <c r="FF413" s="56"/>
      <c r="FG413" s="56"/>
      <c r="FH413" s="56"/>
      <c r="FI413" s="56"/>
      <c r="FJ413" s="56"/>
      <c r="FK413" s="56"/>
      <c r="FL413" s="56"/>
      <c r="FM413" s="56"/>
      <c r="FN413" s="56"/>
      <c r="FO413" s="56"/>
      <c r="FP413" s="56"/>
      <c r="FQ413" s="56"/>
      <c r="FR413" s="56"/>
      <c r="FS413" s="56"/>
      <c r="FT413" s="56"/>
      <c r="FU413" s="56"/>
      <c r="FV413" s="56"/>
      <c r="FW413" s="56"/>
      <c r="FX413" s="56"/>
      <c r="FY413" s="56"/>
      <c r="FZ413" s="56"/>
      <c r="GA413" s="56"/>
      <c r="GB413" s="56"/>
      <c r="GC413" s="56"/>
      <c r="GD413" s="56"/>
      <c r="GE413" s="56"/>
      <c r="GF413" s="56"/>
      <c r="GG413" s="56"/>
      <c r="GH413" s="56"/>
      <c r="GI413" s="56"/>
      <c r="GJ413" s="56"/>
      <c r="GK413" s="56"/>
      <c r="GL413" s="56"/>
      <c r="GM413" s="56"/>
      <c r="GN413" s="56"/>
      <c r="GO413" s="56"/>
      <c r="GP413" s="56"/>
      <c r="GQ413" s="56"/>
      <c r="GR413" s="56"/>
      <c r="GS413" s="56"/>
      <c r="GT413" s="56"/>
      <c r="GU413" s="56"/>
      <c r="GV413" s="56"/>
      <c r="GW413" s="56"/>
      <c r="GX413" s="56"/>
      <c r="GY413" s="56"/>
      <c r="GZ413" s="56"/>
      <c r="HA413" s="56"/>
      <c r="HB413" s="56"/>
      <c r="HC413" s="56"/>
      <c r="HD413" s="56"/>
      <c r="HE413" s="56"/>
      <c r="HF413" s="56"/>
      <c r="HG413" s="56"/>
      <c r="HH413" s="56"/>
      <c r="HI413" s="56"/>
      <c r="HJ413" s="56"/>
    </row>
    <row r="414" spans="1:218" ht="15.75" customHeight="1" x14ac:dyDescent="0.2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  <c r="BV414" s="56"/>
      <c r="BW414" s="56"/>
      <c r="BX414" s="56"/>
      <c r="BY414" s="56"/>
      <c r="BZ414" s="56"/>
      <c r="CA414" s="56"/>
      <c r="CB414" s="56"/>
      <c r="CC414" s="56"/>
      <c r="CD414" s="56"/>
      <c r="CE414" s="56"/>
      <c r="CF414" s="56"/>
      <c r="CG414" s="56"/>
      <c r="CH414" s="56"/>
      <c r="CI414" s="56"/>
      <c r="CJ414" s="56"/>
      <c r="CK414" s="56"/>
      <c r="CL414" s="56"/>
      <c r="CM414" s="56"/>
      <c r="CN414" s="56"/>
      <c r="CO414" s="56"/>
      <c r="CP414" s="56"/>
      <c r="CQ414" s="56"/>
      <c r="CR414" s="56"/>
      <c r="CS414" s="56"/>
      <c r="CT414" s="56"/>
      <c r="CU414" s="56"/>
      <c r="CV414" s="56"/>
      <c r="CW414" s="56"/>
      <c r="CX414" s="56"/>
      <c r="CY414" s="56"/>
      <c r="CZ414" s="56"/>
      <c r="DA414" s="56"/>
      <c r="DB414" s="56"/>
      <c r="DC414" s="56"/>
      <c r="DD414" s="56"/>
      <c r="DE414" s="56"/>
      <c r="DF414" s="56"/>
      <c r="DG414" s="56"/>
      <c r="DH414" s="56"/>
      <c r="DI414" s="56"/>
      <c r="DJ414" s="56"/>
      <c r="DK414" s="56"/>
      <c r="DL414" s="56"/>
      <c r="DM414" s="56"/>
      <c r="DN414" s="56"/>
      <c r="DO414" s="56"/>
      <c r="DP414" s="56"/>
      <c r="DQ414" s="56"/>
      <c r="DR414" s="56"/>
      <c r="DS414" s="56"/>
      <c r="DT414" s="56"/>
      <c r="DU414" s="56"/>
      <c r="DV414" s="56"/>
      <c r="DW414" s="56"/>
      <c r="DX414" s="56"/>
      <c r="DY414" s="56"/>
      <c r="DZ414" s="56"/>
      <c r="EA414" s="56"/>
      <c r="EB414" s="56"/>
      <c r="EC414" s="56"/>
      <c r="ED414" s="56"/>
      <c r="EE414" s="56"/>
      <c r="EF414" s="56"/>
      <c r="EG414" s="56"/>
      <c r="EH414" s="56"/>
      <c r="EI414" s="56"/>
      <c r="EJ414" s="56"/>
      <c r="EK414" s="56"/>
      <c r="EL414" s="56"/>
      <c r="EM414" s="56"/>
      <c r="EN414" s="56"/>
      <c r="EO414" s="56"/>
      <c r="EP414" s="56"/>
      <c r="EQ414" s="56"/>
      <c r="ER414" s="56"/>
      <c r="ES414" s="56"/>
      <c r="ET414" s="56"/>
      <c r="EU414" s="56"/>
      <c r="EV414" s="56"/>
      <c r="EW414" s="56"/>
      <c r="EX414" s="56"/>
      <c r="EY414" s="56"/>
      <c r="EZ414" s="56"/>
      <c r="FA414" s="56"/>
      <c r="FB414" s="56"/>
      <c r="FC414" s="56"/>
      <c r="FD414" s="56"/>
      <c r="FE414" s="56"/>
      <c r="FF414" s="56"/>
      <c r="FG414" s="56"/>
      <c r="FH414" s="56"/>
      <c r="FI414" s="56"/>
      <c r="FJ414" s="56"/>
      <c r="FK414" s="56"/>
      <c r="FL414" s="56"/>
      <c r="FM414" s="56"/>
      <c r="FN414" s="56"/>
      <c r="FO414" s="56"/>
      <c r="FP414" s="56"/>
      <c r="FQ414" s="56"/>
      <c r="FR414" s="56"/>
      <c r="FS414" s="56"/>
      <c r="FT414" s="56"/>
      <c r="FU414" s="56"/>
      <c r="FV414" s="56"/>
      <c r="FW414" s="56"/>
      <c r="FX414" s="56"/>
      <c r="FY414" s="56"/>
      <c r="FZ414" s="56"/>
      <c r="GA414" s="56"/>
      <c r="GB414" s="56"/>
      <c r="GC414" s="56"/>
      <c r="GD414" s="56"/>
      <c r="GE414" s="56"/>
      <c r="GF414" s="56"/>
      <c r="GG414" s="56"/>
      <c r="GH414" s="56"/>
      <c r="GI414" s="56"/>
      <c r="GJ414" s="56"/>
      <c r="GK414" s="56"/>
      <c r="GL414" s="56"/>
      <c r="GM414" s="56"/>
      <c r="GN414" s="56"/>
      <c r="GO414" s="56"/>
      <c r="GP414" s="56"/>
      <c r="GQ414" s="56"/>
      <c r="GR414" s="56"/>
      <c r="GS414" s="56"/>
      <c r="GT414" s="56"/>
      <c r="GU414" s="56"/>
      <c r="GV414" s="56"/>
      <c r="GW414" s="56"/>
      <c r="GX414" s="56"/>
      <c r="GY414" s="56"/>
      <c r="GZ414" s="56"/>
      <c r="HA414" s="56"/>
      <c r="HB414" s="56"/>
      <c r="HC414" s="56"/>
      <c r="HD414" s="56"/>
      <c r="HE414" s="56"/>
      <c r="HF414" s="56"/>
      <c r="HG414" s="56"/>
      <c r="HH414" s="56"/>
      <c r="HI414" s="56"/>
      <c r="HJ414" s="56"/>
    </row>
    <row r="415" spans="1:218" ht="15.75" customHeight="1" x14ac:dyDescent="0.2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  <c r="BV415" s="56"/>
      <c r="BW415" s="56"/>
      <c r="BX415" s="56"/>
      <c r="BY415" s="56"/>
      <c r="BZ415" s="56"/>
      <c r="CA415" s="56"/>
      <c r="CB415" s="56"/>
      <c r="CC415" s="56"/>
      <c r="CD415" s="56"/>
      <c r="CE415" s="56"/>
      <c r="CF415" s="56"/>
      <c r="CG415" s="56"/>
      <c r="CH415" s="56"/>
      <c r="CI415" s="56"/>
      <c r="CJ415" s="56"/>
      <c r="CK415" s="56"/>
      <c r="CL415" s="56"/>
      <c r="CM415" s="56"/>
      <c r="CN415" s="56"/>
      <c r="CO415" s="56"/>
      <c r="CP415" s="56"/>
      <c r="CQ415" s="56"/>
      <c r="CR415" s="56"/>
      <c r="CS415" s="56"/>
      <c r="CT415" s="56"/>
      <c r="CU415" s="56"/>
      <c r="CV415" s="56"/>
      <c r="CW415" s="56"/>
      <c r="CX415" s="56"/>
      <c r="CY415" s="56"/>
      <c r="CZ415" s="56"/>
      <c r="DA415" s="56"/>
      <c r="DB415" s="56"/>
      <c r="DC415" s="56"/>
      <c r="DD415" s="56"/>
      <c r="DE415" s="56"/>
      <c r="DF415" s="56"/>
      <c r="DG415" s="56"/>
      <c r="DH415" s="56"/>
      <c r="DI415" s="56"/>
      <c r="DJ415" s="56"/>
      <c r="DK415" s="56"/>
      <c r="DL415" s="56"/>
      <c r="DM415" s="56"/>
      <c r="DN415" s="56"/>
      <c r="DO415" s="56"/>
      <c r="DP415" s="56"/>
      <c r="DQ415" s="56"/>
      <c r="DR415" s="56"/>
      <c r="DS415" s="56"/>
      <c r="DT415" s="56"/>
      <c r="DU415" s="56"/>
      <c r="DV415" s="56"/>
      <c r="DW415" s="56"/>
      <c r="DX415" s="56"/>
      <c r="DY415" s="56"/>
      <c r="DZ415" s="56"/>
      <c r="EA415" s="56"/>
      <c r="EB415" s="56"/>
      <c r="EC415" s="56"/>
      <c r="ED415" s="56"/>
      <c r="EE415" s="56"/>
      <c r="EF415" s="56"/>
      <c r="EG415" s="56"/>
      <c r="EH415" s="56"/>
      <c r="EI415" s="56"/>
      <c r="EJ415" s="56"/>
      <c r="EK415" s="56"/>
      <c r="EL415" s="56"/>
      <c r="EM415" s="56"/>
      <c r="EN415" s="56"/>
      <c r="EO415" s="56"/>
      <c r="EP415" s="56"/>
      <c r="EQ415" s="56"/>
      <c r="ER415" s="56"/>
      <c r="ES415" s="56"/>
      <c r="ET415" s="56"/>
      <c r="EU415" s="56"/>
      <c r="EV415" s="56"/>
      <c r="EW415" s="56"/>
      <c r="EX415" s="56"/>
      <c r="EY415" s="56"/>
      <c r="EZ415" s="56"/>
      <c r="FA415" s="56"/>
      <c r="FB415" s="56"/>
      <c r="FC415" s="56"/>
      <c r="FD415" s="56"/>
      <c r="FE415" s="56"/>
      <c r="FF415" s="56"/>
      <c r="FG415" s="56"/>
      <c r="FH415" s="56"/>
      <c r="FI415" s="56"/>
      <c r="FJ415" s="56"/>
      <c r="FK415" s="56"/>
      <c r="FL415" s="56"/>
      <c r="FM415" s="56"/>
      <c r="FN415" s="56"/>
      <c r="FO415" s="56"/>
      <c r="FP415" s="56"/>
      <c r="FQ415" s="56"/>
      <c r="FR415" s="56"/>
      <c r="FS415" s="56"/>
      <c r="FT415" s="56"/>
      <c r="FU415" s="56"/>
      <c r="FV415" s="56"/>
      <c r="FW415" s="56"/>
      <c r="FX415" s="56"/>
      <c r="FY415" s="56"/>
      <c r="FZ415" s="56"/>
      <c r="GA415" s="56"/>
      <c r="GB415" s="56"/>
      <c r="GC415" s="56"/>
      <c r="GD415" s="56"/>
      <c r="GE415" s="56"/>
      <c r="GF415" s="56"/>
      <c r="GG415" s="56"/>
      <c r="GH415" s="56"/>
      <c r="GI415" s="56"/>
      <c r="GJ415" s="56"/>
      <c r="GK415" s="56"/>
      <c r="GL415" s="56"/>
      <c r="GM415" s="56"/>
      <c r="GN415" s="56"/>
      <c r="GO415" s="56"/>
      <c r="GP415" s="56"/>
      <c r="GQ415" s="56"/>
      <c r="GR415" s="56"/>
      <c r="GS415" s="56"/>
      <c r="GT415" s="56"/>
      <c r="GU415" s="56"/>
      <c r="GV415" s="56"/>
      <c r="GW415" s="56"/>
      <c r="GX415" s="56"/>
      <c r="GY415" s="56"/>
      <c r="GZ415" s="56"/>
      <c r="HA415" s="56"/>
      <c r="HB415" s="56"/>
      <c r="HC415" s="56"/>
      <c r="HD415" s="56"/>
      <c r="HE415" s="56"/>
      <c r="HF415" s="56"/>
      <c r="HG415" s="56"/>
      <c r="HH415" s="56"/>
      <c r="HI415" s="56"/>
      <c r="HJ415" s="56"/>
    </row>
    <row r="416" spans="1:218" ht="15.75" customHeight="1" x14ac:dyDescent="0.2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  <c r="CL416" s="56"/>
      <c r="CM416" s="56"/>
      <c r="CN416" s="56"/>
      <c r="CO416" s="56"/>
      <c r="CP416" s="56"/>
      <c r="CQ416" s="56"/>
      <c r="CR416" s="56"/>
      <c r="CS416" s="56"/>
      <c r="CT416" s="56"/>
      <c r="CU416" s="56"/>
      <c r="CV416" s="56"/>
      <c r="CW416" s="56"/>
      <c r="CX416" s="56"/>
      <c r="CY416" s="56"/>
      <c r="CZ416" s="56"/>
      <c r="DA416" s="56"/>
      <c r="DB416" s="56"/>
      <c r="DC416" s="56"/>
      <c r="DD416" s="56"/>
      <c r="DE416" s="56"/>
      <c r="DF416" s="56"/>
      <c r="DG416" s="56"/>
      <c r="DH416" s="56"/>
      <c r="DI416" s="56"/>
      <c r="DJ416" s="56"/>
      <c r="DK416" s="56"/>
      <c r="DL416" s="56"/>
      <c r="DM416" s="56"/>
      <c r="DN416" s="56"/>
      <c r="DO416" s="56"/>
      <c r="DP416" s="56"/>
      <c r="DQ416" s="56"/>
      <c r="DR416" s="56"/>
      <c r="DS416" s="56"/>
      <c r="DT416" s="56"/>
      <c r="DU416" s="56"/>
      <c r="DV416" s="56"/>
      <c r="DW416" s="56"/>
      <c r="DX416" s="56"/>
      <c r="DY416" s="56"/>
      <c r="DZ416" s="56"/>
      <c r="EA416" s="56"/>
      <c r="EB416" s="56"/>
      <c r="EC416" s="56"/>
      <c r="ED416" s="56"/>
      <c r="EE416" s="56"/>
      <c r="EF416" s="56"/>
      <c r="EG416" s="56"/>
      <c r="EH416" s="56"/>
      <c r="EI416" s="56"/>
      <c r="EJ416" s="56"/>
      <c r="EK416" s="56"/>
      <c r="EL416" s="56"/>
      <c r="EM416" s="56"/>
      <c r="EN416" s="56"/>
      <c r="EO416" s="56"/>
      <c r="EP416" s="56"/>
      <c r="EQ416" s="56"/>
      <c r="ER416" s="56"/>
      <c r="ES416" s="56"/>
      <c r="ET416" s="56"/>
      <c r="EU416" s="56"/>
      <c r="EV416" s="56"/>
      <c r="EW416" s="56"/>
      <c r="EX416" s="56"/>
      <c r="EY416" s="56"/>
      <c r="EZ416" s="56"/>
      <c r="FA416" s="56"/>
      <c r="FB416" s="56"/>
      <c r="FC416" s="56"/>
      <c r="FD416" s="56"/>
      <c r="FE416" s="56"/>
      <c r="FF416" s="56"/>
      <c r="FG416" s="56"/>
      <c r="FH416" s="56"/>
      <c r="FI416" s="56"/>
      <c r="FJ416" s="56"/>
      <c r="FK416" s="56"/>
      <c r="FL416" s="56"/>
      <c r="FM416" s="56"/>
      <c r="FN416" s="56"/>
      <c r="FO416" s="56"/>
      <c r="FP416" s="56"/>
      <c r="FQ416" s="56"/>
      <c r="FR416" s="56"/>
      <c r="FS416" s="56"/>
      <c r="FT416" s="56"/>
      <c r="FU416" s="56"/>
      <c r="FV416" s="56"/>
      <c r="FW416" s="56"/>
      <c r="FX416" s="56"/>
      <c r="FY416" s="56"/>
      <c r="FZ416" s="56"/>
      <c r="GA416" s="56"/>
      <c r="GB416" s="56"/>
      <c r="GC416" s="56"/>
      <c r="GD416" s="56"/>
      <c r="GE416" s="56"/>
      <c r="GF416" s="56"/>
      <c r="GG416" s="56"/>
      <c r="GH416" s="56"/>
      <c r="GI416" s="56"/>
      <c r="GJ416" s="56"/>
      <c r="GK416" s="56"/>
      <c r="GL416" s="56"/>
      <c r="GM416" s="56"/>
      <c r="GN416" s="56"/>
      <c r="GO416" s="56"/>
      <c r="GP416" s="56"/>
      <c r="GQ416" s="56"/>
      <c r="GR416" s="56"/>
      <c r="GS416" s="56"/>
      <c r="GT416" s="56"/>
      <c r="GU416" s="56"/>
      <c r="GV416" s="56"/>
      <c r="GW416" s="56"/>
      <c r="GX416" s="56"/>
      <c r="GY416" s="56"/>
      <c r="GZ416" s="56"/>
      <c r="HA416" s="56"/>
      <c r="HB416" s="56"/>
      <c r="HC416" s="56"/>
      <c r="HD416" s="56"/>
      <c r="HE416" s="56"/>
      <c r="HF416" s="56"/>
      <c r="HG416" s="56"/>
      <c r="HH416" s="56"/>
      <c r="HI416" s="56"/>
      <c r="HJ416" s="56"/>
    </row>
    <row r="417" spans="1:218" ht="15.75" customHeight="1" x14ac:dyDescent="0.2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  <c r="CL417" s="56"/>
      <c r="CM417" s="56"/>
      <c r="CN417" s="56"/>
      <c r="CO417" s="56"/>
      <c r="CP417" s="56"/>
      <c r="CQ417" s="56"/>
      <c r="CR417" s="56"/>
      <c r="CS417" s="56"/>
      <c r="CT417" s="56"/>
      <c r="CU417" s="56"/>
      <c r="CV417" s="56"/>
      <c r="CW417" s="56"/>
      <c r="CX417" s="56"/>
      <c r="CY417" s="56"/>
      <c r="CZ417" s="56"/>
      <c r="DA417" s="56"/>
      <c r="DB417" s="56"/>
      <c r="DC417" s="56"/>
      <c r="DD417" s="56"/>
      <c r="DE417" s="56"/>
      <c r="DF417" s="56"/>
      <c r="DG417" s="56"/>
      <c r="DH417" s="56"/>
      <c r="DI417" s="56"/>
      <c r="DJ417" s="56"/>
      <c r="DK417" s="56"/>
      <c r="DL417" s="56"/>
      <c r="DM417" s="56"/>
      <c r="DN417" s="56"/>
      <c r="DO417" s="56"/>
      <c r="DP417" s="56"/>
      <c r="DQ417" s="56"/>
      <c r="DR417" s="56"/>
      <c r="DS417" s="56"/>
      <c r="DT417" s="56"/>
      <c r="DU417" s="56"/>
      <c r="DV417" s="56"/>
      <c r="DW417" s="56"/>
      <c r="DX417" s="56"/>
      <c r="DY417" s="56"/>
      <c r="DZ417" s="56"/>
      <c r="EA417" s="56"/>
      <c r="EB417" s="56"/>
      <c r="EC417" s="56"/>
      <c r="ED417" s="56"/>
      <c r="EE417" s="56"/>
      <c r="EF417" s="56"/>
      <c r="EG417" s="56"/>
      <c r="EH417" s="56"/>
      <c r="EI417" s="56"/>
      <c r="EJ417" s="56"/>
      <c r="EK417" s="56"/>
      <c r="EL417" s="56"/>
      <c r="EM417" s="56"/>
      <c r="EN417" s="56"/>
      <c r="EO417" s="56"/>
      <c r="EP417" s="56"/>
      <c r="EQ417" s="56"/>
      <c r="ER417" s="56"/>
      <c r="ES417" s="56"/>
      <c r="ET417" s="56"/>
      <c r="EU417" s="56"/>
      <c r="EV417" s="56"/>
      <c r="EW417" s="56"/>
      <c r="EX417" s="56"/>
      <c r="EY417" s="56"/>
      <c r="EZ417" s="56"/>
      <c r="FA417" s="56"/>
      <c r="FB417" s="56"/>
      <c r="FC417" s="56"/>
      <c r="FD417" s="56"/>
      <c r="FE417" s="56"/>
      <c r="FF417" s="56"/>
      <c r="FG417" s="56"/>
      <c r="FH417" s="56"/>
      <c r="FI417" s="56"/>
      <c r="FJ417" s="56"/>
      <c r="FK417" s="56"/>
      <c r="FL417" s="56"/>
      <c r="FM417" s="56"/>
      <c r="FN417" s="56"/>
      <c r="FO417" s="56"/>
      <c r="FP417" s="56"/>
      <c r="FQ417" s="56"/>
      <c r="FR417" s="56"/>
      <c r="FS417" s="56"/>
      <c r="FT417" s="56"/>
      <c r="FU417" s="56"/>
      <c r="FV417" s="56"/>
      <c r="FW417" s="56"/>
      <c r="FX417" s="56"/>
      <c r="FY417" s="56"/>
      <c r="FZ417" s="56"/>
      <c r="GA417" s="56"/>
      <c r="GB417" s="56"/>
      <c r="GC417" s="56"/>
      <c r="GD417" s="56"/>
      <c r="GE417" s="56"/>
      <c r="GF417" s="56"/>
      <c r="GG417" s="56"/>
      <c r="GH417" s="56"/>
      <c r="GI417" s="56"/>
      <c r="GJ417" s="56"/>
      <c r="GK417" s="56"/>
      <c r="GL417" s="56"/>
      <c r="GM417" s="56"/>
      <c r="GN417" s="56"/>
      <c r="GO417" s="56"/>
      <c r="GP417" s="56"/>
      <c r="GQ417" s="56"/>
      <c r="GR417" s="56"/>
      <c r="GS417" s="56"/>
      <c r="GT417" s="56"/>
      <c r="GU417" s="56"/>
      <c r="GV417" s="56"/>
      <c r="GW417" s="56"/>
      <c r="GX417" s="56"/>
      <c r="GY417" s="56"/>
      <c r="GZ417" s="56"/>
      <c r="HA417" s="56"/>
      <c r="HB417" s="56"/>
      <c r="HC417" s="56"/>
      <c r="HD417" s="56"/>
      <c r="HE417" s="56"/>
      <c r="HF417" s="56"/>
      <c r="HG417" s="56"/>
      <c r="HH417" s="56"/>
      <c r="HI417" s="56"/>
      <c r="HJ417" s="56"/>
    </row>
    <row r="418" spans="1:218" ht="15.75" customHeight="1" x14ac:dyDescent="0.2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  <c r="CL418" s="56"/>
      <c r="CM418" s="56"/>
      <c r="CN418" s="56"/>
      <c r="CO418" s="56"/>
      <c r="CP418" s="56"/>
      <c r="CQ418" s="56"/>
      <c r="CR418" s="56"/>
      <c r="CS418" s="56"/>
      <c r="CT418" s="56"/>
      <c r="CU418" s="56"/>
      <c r="CV418" s="56"/>
      <c r="CW418" s="56"/>
      <c r="CX418" s="56"/>
      <c r="CY418" s="56"/>
      <c r="CZ418" s="56"/>
      <c r="DA418" s="56"/>
      <c r="DB418" s="56"/>
      <c r="DC418" s="56"/>
      <c r="DD418" s="56"/>
      <c r="DE418" s="56"/>
      <c r="DF418" s="56"/>
      <c r="DG418" s="56"/>
      <c r="DH418" s="56"/>
      <c r="DI418" s="56"/>
      <c r="DJ418" s="56"/>
      <c r="DK418" s="56"/>
      <c r="DL418" s="56"/>
      <c r="DM418" s="56"/>
      <c r="DN418" s="56"/>
      <c r="DO418" s="56"/>
      <c r="DP418" s="56"/>
      <c r="DQ418" s="56"/>
      <c r="DR418" s="56"/>
      <c r="DS418" s="56"/>
      <c r="DT418" s="56"/>
      <c r="DU418" s="56"/>
      <c r="DV418" s="56"/>
      <c r="DW418" s="56"/>
      <c r="DX418" s="56"/>
      <c r="DY418" s="56"/>
      <c r="DZ418" s="56"/>
      <c r="EA418" s="56"/>
      <c r="EB418" s="56"/>
      <c r="EC418" s="56"/>
      <c r="ED418" s="56"/>
      <c r="EE418" s="56"/>
      <c r="EF418" s="56"/>
      <c r="EG418" s="56"/>
      <c r="EH418" s="56"/>
      <c r="EI418" s="56"/>
      <c r="EJ418" s="56"/>
      <c r="EK418" s="56"/>
      <c r="EL418" s="56"/>
      <c r="EM418" s="56"/>
      <c r="EN418" s="56"/>
      <c r="EO418" s="56"/>
      <c r="EP418" s="56"/>
      <c r="EQ418" s="56"/>
      <c r="ER418" s="56"/>
      <c r="ES418" s="56"/>
      <c r="ET418" s="56"/>
      <c r="EU418" s="56"/>
      <c r="EV418" s="56"/>
      <c r="EW418" s="56"/>
      <c r="EX418" s="56"/>
      <c r="EY418" s="56"/>
      <c r="EZ418" s="56"/>
      <c r="FA418" s="56"/>
      <c r="FB418" s="56"/>
      <c r="FC418" s="56"/>
      <c r="FD418" s="56"/>
      <c r="FE418" s="56"/>
      <c r="FF418" s="56"/>
      <c r="FG418" s="56"/>
      <c r="FH418" s="56"/>
      <c r="FI418" s="56"/>
      <c r="FJ418" s="56"/>
      <c r="FK418" s="56"/>
      <c r="FL418" s="56"/>
      <c r="FM418" s="56"/>
      <c r="FN418" s="56"/>
      <c r="FO418" s="56"/>
      <c r="FP418" s="56"/>
      <c r="FQ418" s="56"/>
      <c r="FR418" s="56"/>
      <c r="FS418" s="56"/>
      <c r="FT418" s="56"/>
      <c r="FU418" s="56"/>
      <c r="FV418" s="56"/>
      <c r="FW418" s="56"/>
      <c r="FX418" s="56"/>
      <c r="FY418" s="56"/>
      <c r="FZ418" s="56"/>
      <c r="GA418" s="56"/>
      <c r="GB418" s="56"/>
      <c r="GC418" s="56"/>
      <c r="GD418" s="56"/>
      <c r="GE418" s="56"/>
      <c r="GF418" s="56"/>
      <c r="GG418" s="56"/>
      <c r="GH418" s="56"/>
      <c r="GI418" s="56"/>
      <c r="GJ418" s="56"/>
      <c r="GK418" s="56"/>
      <c r="GL418" s="56"/>
      <c r="GM418" s="56"/>
      <c r="GN418" s="56"/>
      <c r="GO418" s="56"/>
      <c r="GP418" s="56"/>
      <c r="GQ418" s="56"/>
      <c r="GR418" s="56"/>
      <c r="GS418" s="56"/>
      <c r="GT418" s="56"/>
      <c r="GU418" s="56"/>
      <c r="GV418" s="56"/>
      <c r="GW418" s="56"/>
      <c r="GX418" s="56"/>
      <c r="GY418" s="56"/>
      <c r="GZ418" s="56"/>
      <c r="HA418" s="56"/>
      <c r="HB418" s="56"/>
      <c r="HC418" s="56"/>
      <c r="HD418" s="56"/>
      <c r="HE418" s="56"/>
      <c r="HF418" s="56"/>
      <c r="HG418" s="56"/>
      <c r="HH418" s="56"/>
      <c r="HI418" s="56"/>
      <c r="HJ418" s="56"/>
    </row>
    <row r="419" spans="1:218" ht="15.75" customHeight="1" x14ac:dyDescent="0.2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  <c r="CL419" s="56"/>
      <c r="CM419" s="56"/>
      <c r="CN419" s="56"/>
      <c r="CO419" s="56"/>
      <c r="CP419" s="56"/>
      <c r="CQ419" s="56"/>
      <c r="CR419" s="56"/>
      <c r="CS419" s="56"/>
      <c r="CT419" s="56"/>
      <c r="CU419" s="56"/>
      <c r="CV419" s="56"/>
      <c r="CW419" s="56"/>
      <c r="CX419" s="56"/>
      <c r="CY419" s="56"/>
      <c r="CZ419" s="56"/>
      <c r="DA419" s="56"/>
      <c r="DB419" s="56"/>
      <c r="DC419" s="56"/>
      <c r="DD419" s="56"/>
      <c r="DE419" s="56"/>
      <c r="DF419" s="56"/>
      <c r="DG419" s="56"/>
      <c r="DH419" s="56"/>
      <c r="DI419" s="56"/>
      <c r="DJ419" s="56"/>
      <c r="DK419" s="56"/>
      <c r="DL419" s="56"/>
      <c r="DM419" s="56"/>
      <c r="DN419" s="56"/>
      <c r="DO419" s="56"/>
      <c r="DP419" s="56"/>
      <c r="DQ419" s="56"/>
      <c r="DR419" s="56"/>
      <c r="DS419" s="56"/>
      <c r="DT419" s="56"/>
      <c r="DU419" s="56"/>
      <c r="DV419" s="56"/>
      <c r="DW419" s="56"/>
      <c r="DX419" s="56"/>
      <c r="DY419" s="56"/>
      <c r="DZ419" s="56"/>
      <c r="EA419" s="56"/>
      <c r="EB419" s="56"/>
      <c r="EC419" s="56"/>
      <c r="ED419" s="56"/>
      <c r="EE419" s="56"/>
      <c r="EF419" s="56"/>
      <c r="EG419" s="56"/>
      <c r="EH419" s="56"/>
      <c r="EI419" s="56"/>
      <c r="EJ419" s="56"/>
      <c r="EK419" s="56"/>
      <c r="EL419" s="56"/>
      <c r="EM419" s="56"/>
      <c r="EN419" s="56"/>
      <c r="EO419" s="56"/>
      <c r="EP419" s="56"/>
      <c r="EQ419" s="56"/>
      <c r="ER419" s="56"/>
      <c r="ES419" s="56"/>
      <c r="ET419" s="56"/>
      <c r="EU419" s="56"/>
      <c r="EV419" s="56"/>
      <c r="EW419" s="56"/>
      <c r="EX419" s="56"/>
      <c r="EY419" s="56"/>
      <c r="EZ419" s="56"/>
      <c r="FA419" s="56"/>
      <c r="FB419" s="56"/>
      <c r="FC419" s="56"/>
      <c r="FD419" s="56"/>
      <c r="FE419" s="56"/>
      <c r="FF419" s="56"/>
      <c r="FG419" s="56"/>
      <c r="FH419" s="56"/>
      <c r="FI419" s="56"/>
      <c r="FJ419" s="56"/>
      <c r="FK419" s="56"/>
      <c r="FL419" s="56"/>
      <c r="FM419" s="56"/>
      <c r="FN419" s="56"/>
      <c r="FO419" s="56"/>
      <c r="FP419" s="56"/>
      <c r="FQ419" s="56"/>
      <c r="FR419" s="56"/>
      <c r="FS419" s="56"/>
      <c r="FT419" s="56"/>
      <c r="FU419" s="56"/>
      <c r="FV419" s="56"/>
      <c r="FW419" s="56"/>
      <c r="FX419" s="56"/>
      <c r="FY419" s="56"/>
      <c r="FZ419" s="56"/>
      <c r="GA419" s="56"/>
      <c r="GB419" s="56"/>
      <c r="GC419" s="56"/>
      <c r="GD419" s="56"/>
      <c r="GE419" s="56"/>
      <c r="GF419" s="56"/>
      <c r="GG419" s="56"/>
      <c r="GH419" s="56"/>
      <c r="GI419" s="56"/>
      <c r="GJ419" s="56"/>
      <c r="GK419" s="56"/>
      <c r="GL419" s="56"/>
      <c r="GM419" s="56"/>
      <c r="GN419" s="56"/>
      <c r="GO419" s="56"/>
      <c r="GP419" s="56"/>
      <c r="GQ419" s="56"/>
      <c r="GR419" s="56"/>
      <c r="GS419" s="56"/>
      <c r="GT419" s="56"/>
      <c r="GU419" s="56"/>
      <c r="GV419" s="56"/>
      <c r="GW419" s="56"/>
      <c r="GX419" s="56"/>
      <c r="GY419" s="56"/>
      <c r="GZ419" s="56"/>
      <c r="HA419" s="56"/>
      <c r="HB419" s="56"/>
      <c r="HC419" s="56"/>
      <c r="HD419" s="56"/>
      <c r="HE419" s="56"/>
      <c r="HF419" s="56"/>
      <c r="HG419" s="56"/>
      <c r="HH419" s="56"/>
      <c r="HI419" s="56"/>
      <c r="HJ419" s="56"/>
    </row>
    <row r="420" spans="1:218" ht="15.75" customHeight="1" x14ac:dyDescent="0.2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  <c r="CL420" s="56"/>
      <c r="CM420" s="56"/>
      <c r="CN420" s="56"/>
      <c r="CO420" s="56"/>
      <c r="CP420" s="56"/>
      <c r="CQ420" s="56"/>
      <c r="CR420" s="56"/>
      <c r="CS420" s="56"/>
      <c r="CT420" s="56"/>
      <c r="CU420" s="56"/>
      <c r="CV420" s="56"/>
      <c r="CW420" s="56"/>
      <c r="CX420" s="56"/>
      <c r="CY420" s="56"/>
      <c r="CZ420" s="56"/>
      <c r="DA420" s="56"/>
      <c r="DB420" s="56"/>
      <c r="DC420" s="56"/>
      <c r="DD420" s="56"/>
      <c r="DE420" s="56"/>
      <c r="DF420" s="56"/>
      <c r="DG420" s="56"/>
      <c r="DH420" s="56"/>
      <c r="DI420" s="56"/>
      <c r="DJ420" s="56"/>
      <c r="DK420" s="56"/>
      <c r="DL420" s="56"/>
      <c r="DM420" s="56"/>
      <c r="DN420" s="56"/>
      <c r="DO420" s="56"/>
      <c r="DP420" s="56"/>
      <c r="DQ420" s="56"/>
      <c r="DR420" s="56"/>
      <c r="DS420" s="56"/>
      <c r="DT420" s="56"/>
      <c r="DU420" s="56"/>
      <c r="DV420" s="56"/>
      <c r="DW420" s="56"/>
      <c r="DX420" s="56"/>
      <c r="DY420" s="56"/>
      <c r="DZ420" s="56"/>
      <c r="EA420" s="56"/>
      <c r="EB420" s="56"/>
      <c r="EC420" s="56"/>
      <c r="ED420" s="56"/>
      <c r="EE420" s="56"/>
      <c r="EF420" s="56"/>
      <c r="EG420" s="56"/>
      <c r="EH420" s="56"/>
      <c r="EI420" s="56"/>
      <c r="EJ420" s="56"/>
      <c r="EK420" s="56"/>
      <c r="EL420" s="56"/>
      <c r="EM420" s="56"/>
      <c r="EN420" s="56"/>
      <c r="EO420" s="56"/>
      <c r="EP420" s="56"/>
      <c r="EQ420" s="56"/>
      <c r="ER420" s="56"/>
      <c r="ES420" s="56"/>
      <c r="ET420" s="56"/>
      <c r="EU420" s="56"/>
      <c r="EV420" s="56"/>
      <c r="EW420" s="56"/>
      <c r="EX420" s="56"/>
      <c r="EY420" s="56"/>
      <c r="EZ420" s="56"/>
      <c r="FA420" s="56"/>
      <c r="FB420" s="56"/>
      <c r="FC420" s="56"/>
      <c r="FD420" s="56"/>
      <c r="FE420" s="56"/>
      <c r="FF420" s="56"/>
      <c r="FG420" s="56"/>
      <c r="FH420" s="56"/>
      <c r="FI420" s="56"/>
      <c r="FJ420" s="56"/>
      <c r="FK420" s="56"/>
      <c r="FL420" s="56"/>
      <c r="FM420" s="56"/>
      <c r="FN420" s="56"/>
      <c r="FO420" s="56"/>
      <c r="FP420" s="56"/>
      <c r="FQ420" s="56"/>
      <c r="FR420" s="56"/>
      <c r="FS420" s="56"/>
      <c r="FT420" s="56"/>
      <c r="FU420" s="56"/>
      <c r="FV420" s="56"/>
      <c r="FW420" s="56"/>
      <c r="FX420" s="56"/>
      <c r="FY420" s="56"/>
      <c r="FZ420" s="56"/>
      <c r="GA420" s="56"/>
      <c r="GB420" s="56"/>
      <c r="GC420" s="56"/>
      <c r="GD420" s="56"/>
      <c r="GE420" s="56"/>
      <c r="GF420" s="56"/>
      <c r="GG420" s="56"/>
      <c r="GH420" s="56"/>
      <c r="GI420" s="56"/>
      <c r="GJ420" s="56"/>
      <c r="GK420" s="56"/>
      <c r="GL420" s="56"/>
      <c r="GM420" s="56"/>
      <c r="GN420" s="56"/>
      <c r="GO420" s="56"/>
      <c r="GP420" s="56"/>
      <c r="GQ420" s="56"/>
      <c r="GR420" s="56"/>
      <c r="GS420" s="56"/>
      <c r="GT420" s="56"/>
      <c r="GU420" s="56"/>
      <c r="GV420" s="56"/>
      <c r="GW420" s="56"/>
      <c r="GX420" s="56"/>
      <c r="GY420" s="56"/>
      <c r="GZ420" s="56"/>
      <c r="HA420" s="56"/>
      <c r="HB420" s="56"/>
      <c r="HC420" s="56"/>
      <c r="HD420" s="56"/>
      <c r="HE420" s="56"/>
      <c r="HF420" s="56"/>
      <c r="HG420" s="56"/>
      <c r="HH420" s="56"/>
      <c r="HI420" s="56"/>
      <c r="HJ420" s="56"/>
    </row>
    <row r="421" spans="1:218" ht="15.75" customHeight="1" x14ac:dyDescent="0.2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  <c r="CL421" s="56"/>
      <c r="CM421" s="56"/>
      <c r="CN421" s="56"/>
      <c r="CO421" s="56"/>
      <c r="CP421" s="56"/>
      <c r="CQ421" s="56"/>
      <c r="CR421" s="56"/>
      <c r="CS421" s="56"/>
      <c r="CT421" s="56"/>
      <c r="CU421" s="56"/>
      <c r="CV421" s="56"/>
      <c r="CW421" s="56"/>
      <c r="CX421" s="56"/>
      <c r="CY421" s="56"/>
      <c r="CZ421" s="56"/>
      <c r="DA421" s="56"/>
      <c r="DB421" s="56"/>
      <c r="DC421" s="56"/>
      <c r="DD421" s="56"/>
      <c r="DE421" s="56"/>
      <c r="DF421" s="56"/>
      <c r="DG421" s="56"/>
      <c r="DH421" s="56"/>
      <c r="DI421" s="56"/>
      <c r="DJ421" s="56"/>
      <c r="DK421" s="56"/>
      <c r="DL421" s="56"/>
      <c r="DM421" s="56"/>
      <c r="DN421" s="56"/>
      <c r="DO421" s="56"/>
      <c r="DP421" s="56"/>
      <c r="DQ421" s="56"/>
      <c r="DR421" s="56"/>
      <c r="DS421" s="56"/>
      <c r="DT421" s="56"/>
      <c r="DU421" s="56"/>
      <c r="DV421" s="56"/>
      <c r="DW421" s="56"/>
      <c r="DX421" s="56"/>
      <c r="DY421" s="56"/>
      <c r="DZ421" s="56"/>
      <c r="EA421" s="56"/>
      <c r="EB421" s="56"/>
      <c r="EC421" s="56"/>
      <c r="ED421" s="56"/>
      <c r="EE421" s="56"/>
      <c r="EF421" s="56"/>
      <c r="EG421" s="56"/>
      <c r="EH421" s="56"/>
      <c r="EI421" s="56"/>
      <c r="EJ421" s="56"/>
      <c r="EK421" s="56"/>
      <c r="EL421" s="56"/>
      <c r="EM421" s="56"/>
      <c r="EN421" s="56"/>
      <c r="EO421" s="56"/>
      <c r="EP421" s="56"/>
      <c r="EQ421" s="56"/>
      <c r="ER421" s="56"/>
      <c r="ES421" s="56"/>
      <c r="ET421" s="56"/>
      <c r="EU421" s="56"/>
      <c r="EV421" s="56"/>
      <c r="EW421" s="56"/>
      <c r="EX421" s="56"/>
      <c r="EY421" s="56"/>
      <c r="EZ421" s="56"/>
      <c r="FA421" s="56"/>
      <c r="FB421" s="56"/>
      <c r="FC421" s="56"/>
      <c r="FD421" s="56"/>
      <c r="FE421" s="56"/>
      <c r="FF421" s="56"/>
      <c r="FG421" s="56"/>
      <c r="FH421" s="56"/>
      <c r="FI421" s="56"/>
      <c r="FJ421" s="56"/>
      <c r="FK421" s="56"/>
      <c r="FL421" s="56"/>
      <c r="FM421" s="56"/>
      <c r="FN421" s="56"/>
      <c r="FO421" s="56"/>
      <c r="FP421" s="56"/>
      <c r="FQ421" s="56"/>
      <c r="FR421" s="56"/>
      <c r="FS421" s="56"/>
      <c r="FT421" s="56"/>
      <c r="FU421" s="56"/>
      <c r="FV421" s="56"/>
      <c r="FW421" s="56"/>
      <c r="FX421" s="56"/>
      <c r="FY421" s="56"/>
      <c r="FZ421" s="56"/>
      <c r="GA421" s="56"/>
      <c r="GB421" s="56"/>
      <c r="GC421" s="56"/>
      <c r="GD421" s="56"/>
      <c r="GE421" s="56"/>
      <c r="GF421" s="56"/>
      <c r="GG421" s="56"/>
      <c r="GH421" s="56"/>
      <c r="GI421" s="56"/>
      <c r="GJ421" s="56"/>
      <c r="GK421" s="56"/>
      <c r="GL421" s="56"/>
      <c r="GM421" s="56"/>
      <c r="GN421" s="56"/>
      <c r="GO421" s="56"/>
      <c r="GP421" s="56"/>
      <c r="GQ421" s="56"/>
      <c r="GR421" s="56"/>
      <c r="GS421" s="56"/>
      <c r="GT421" s="56"/>
      <c r="GU421" s="56"/>
      <c r="GV421" s="56"/>
      <c r="GW421" s="56"/>
      <c r="GX421" s="56"/>
      <c r="GY421" s="56"/>
      <c r="GZ421" s="56"/>
      <c r="HA421" s="56"/>
      <c r="HB421" s="56"/>
      <c r="HC421" s="56"/>
      <c r="HD421" s="56"/>
      <c r="HE421" s="56"/>
      <c r="HF421" s="56"/>
      <c r="HG421" s="56"/>
      <c r="HH421" s="56"/>
      <c r="HI421" s="56"/>
      <c r="HJ421" s="56"/>
    </row>
    <row r="422" spans="1:218" ht="15.75" customHeight="1" x14ac:dyDescent="0.2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  <c r="BV422" s="56"/>
      <c r="BW422" s="56"/>
      <c r="BX422" s="56"/>
      <c r="BY422" s="56"/>
      <c r="BZ422" s="56"/>
      <c r="CA422" s="56"/>
      <c r="CB422" s="56"/>
      <c r="CC422" s="56"/>
      <c r="CD422" s="56"/>
      <c r="CE422" s="56"/>
      <c r="CF422" s="56"/>
      <c r="CG422" s="56"/>
      <c r="CH422" s="56"/>
      <c r="CI422" s="56"/>
      <c r="CJ422" s="56"/>
      <c r="CK422" s="56"/>
      <c r="CL422" s="56"/>
      <c r="CM422" s="56"/>
      <c r="CN422" s="56"/>
      <c r="CO422" s="56"/>
      <c r="CP422" s="56"/>
      <c r="CQ422" s="56"/>
      <c r="CR422" s="56"/>
      <c r="CS422" s="56"/>
      <c r="CT422" s="56"/>
      <c r="CU422" s="56"/>
      <c r="CV422" s="56"/>
      <c r="CW422" s="56"/>
      <c r="CX422" s="56"/>
      <c r="CY422" s="56"/>
      <c r="CZ422" s="56"/>
      <c r="DA422" s="56"/>
      <c r="DB422" s="56"/>
      <c r="DC422" s="56"/>
      <c r="DD422" s="56"/>
      <c r="DE422" s="56"/>
      <c r="DF422" s="56"/>
      <c r="DG422" s="56"/>
      <c r="DH422" s="56"/>
      <c r="DI422" s="56"/>
      <c r="DJ422" s="56"/>
      <c r="DK422" s="56"/>
      <c r="DL422" s="56"/>
      <c r="DM422" s="56"/>
      <c r="DN422" s="56"/>
      <c r="DO422" s="56"/>
      <c r="DP422" s="56"/>
      <c r="DQ422" s="56"/>
      <c r="DR422" s="56"/>
      <c r="DS422" s="56"/>
      <c r="DT422" s="56"/>
      <c r="DU422" s="56"/>
      <c r="DV422" s="56"/>
      <c r="DW422" s="56"/>
      <c r="DX422" s="56"/>
      <c r="DY422" s="56"/>
      <c r="DZ422" s="56"/>
      <c r="EA422" s="56"/>
      <c r="EB422" s="56"/>
      <c r="EC422" s="56"/>
      <c r="ED422" s="56"/>
      <c r="EE422" s="56"/>
      <c r="EF422" s="56"/>
      <c r="EG422" s="56"/>
      <c r="EH422" s="56"/>
      <c r="EI422" s="56"/>
      <c r="EJ422" s="56"/>
      <c r="EK422" s="56"/>
      <c r="EL422" s="56"/>
      <c r="EM422" s="56"/>
      <c r="EN422" s="56"/>
      <c r="EO422" s="56"/>
      <c r="EP422" s="56"/>
      <c r="EQ422" s="56"/>
      <c r="ER422" s="56"/>
      <c r="ES422" s="56"/>
      <c r="ET422" s="56"/>
      <c r="EU422" s="56"/>
      <c r="EV422" s="56"/>
      <c r="EW422" s="56"/>
      <c r="EX422" s="56"/>
      <c r="EY422" s="56"/>
      <c r="EZ422" s="56"/>
      <c r="FA422" s="56"/>
      <c r="FB422" s="56"/>
      <c r="FC422" s="56"/>
      <c r="FD422" s="56"/>
      <c r="FE422" s="56"/>
      <c r="FF422" s="56"/>
      <c r="FG422" s="56"/>
      <c r="FH422" s="56"/>
      <c r="FI422" s="56"/>
      <c r="FJ422" s="56"/>
      <c r="FK422" s="56"/>
      <c r="FL422" s="56"/>
      <c r="FM422" s="56"/>
      <c r="FN422" s="56"/>
      <c r="FO422" s="56"/>
      <c r="FP422" s="56"/>
      <c r="FQ422" s="56"/>
      <c r="FR422" s="56"/>
      <c r="FS422" s="56"/>
      <c r="FT422" s="56"/>
      <c r="FU422" s="56"/>
      <c r="FV422" s="56"/>
      <c r="FW422" s="56"/>
      <c r="FX422" s="56"/>
      <c r="FY422" s="56"/>
      <c r="FZ422" s="56"/>
      <c r="GA422" s="56"/>
      <c r="GB422" s="56"/>
      <c r="GC422" s="56"/>
      <c r="GD422" s="56"/>
      <c r="GE422" s="56"/>
      <c r="GF422" s="56"/>
      <c r="GG422" s="56"/>
      <c r="GH422" s="56"/>
      <c r="GI422" s="56"/>
      <c r="GJ422" s="56"/>
      <c r="GK422" s="56"/>
      <c r="GL422" s="56"/>
      <c r="GM422" s="56"/>
      <c r="GN422" s="56"/>
      <c r="GO422" s="56"/>
      <c r="GP422" s="56"/>
      <c r="GQ422" s="56"/>
      <c r="GR422" s="56"/>
      <c r="GS422" s="56"/>
      <c r="GT422" s="56"/>
      <c r="GU422" s="56"/>
      <c r="GV422" s="56"/>
      <c r="GW422" s="56"/>
      <c r="GX422" s="56"/>
      <c r="GY422" s="56"/>
      <c r="GZ422" s="56"/>
      <c r="HA422" s="56"/>
      <c r="HB422" s="56"/>
      <c r="HC422" s="56"/>
      <c r="HD422" s="56"/>
      <c r="HE422" s="56"/>
      <c r="HF422" s="56"/>
      <c r="HG422" s="56"/>
      <c r="HH422" s="56"/>
      <c r="HI422" s="56"/>
      <c r="HJ422" s="56"/>
    </row>
    <row r="423" spans="1:218" ht="15.75" customHeight="1" x14ac:dyDescent="0.2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  <c r="BV423" s="56"/>
      <c r="BW423" s="56"/>
      <c r="BX423" s="56"/>
      <c r="BY423" s="56"/>
      <c r="BZ423" s="56"/>
      <c r="CA423" s="56"/>
      <c r="CB423" s="56"/>
      <c r="CC423" s="56"/>
      <c r="CD423" s="56"/>
      <c r="CE423" s="56"/>
      <c r="CF423" s="56"/>
      <c r="CG423" s="56"/>
      <c r="CH423" s="56"/>
      <c r="CI423" s="56"/>
      <c r="CJ423" s="56"/>
      <c r="CK423" s="56"/>
      <c r="CL423" s="56"/>
      <c r="CM423" s="56"/>
      <c r="CN423" s="56"/>
      <c r="CO423" s="56"/>
      <c r="CP423" s="56"/>
      <c r="CQ423" s="56"/>
      <c r="CR423" s="56"/>
      <c r="CS423" s="56"/>
      <c r="CT423" s="56"/>
      <c r="CU423" s="56"/>
      <c r="CV423" s="56"/>
      <c r="CW423" s="56"/>
      <c r="CX423" s="56"/>
      <c r="CY423" s="56"/>
      <c r="CZ423" s="56"/>
      <c r="DA423" s="56"/>
      <c r="DB423" s="56"/>
      <c r="DC423" s="56"/>
      <c r="DD423" s="56"/>
      <c r="DE423" s="56"/>
      <c r="DF423" s="56"/>
      <c r="DG423" s="56"/>
      <c r="DH423" s="56"/>
      <c r="DI423" s="56"/>
      <c r="DJ423" s="56"/>
      <c r="DK423" s="56"/>
      <c r="DL423" s="56"/>
      <c r="DM423" s="56"/>
      <c r="DN423" s="56"/>
      <c r="DO423" s="56"/>
      <c r="DP423" s="56"/>
      <c r="DQ423" s="56"/>
      <c r="DR423" s="56"/>
      <c r="DS423" s="56"/>
      <c r="DT423" s="56"/>
      <c r="DU423" s="56"/>
      <c r="DV423" s="56"/>
      <c r="DW423" s="56"/>
      <c r="DX423" s="56"/>
      <c r="DY423" s="56"/>
      <c r="DZ423" s="56"/>
      <c r="EA423" s="56"/>
      <c r="EB423" s="56"/>
      <c r="EC423" s="56"/>
      <c r="ED423" s="56"/>
      <c r="EE423" s="56"/>
      <c r="EF423" s="56"/>
      <c r="EG423" s="56"/>
      <c r="EH423" s="56"/>
      <c r="EI423" s="56"/>
      <c r="EJ423" s="56"/>
      <c r="EK423" s="56"/>
      <c r="EL423" s="56"/>
      <c r="EM423" s="56"/>
      <c r="EN423" s="56"/>
      <c r="EO423" s="56"/>
      <c r="EP423" s="56"/>
      <c r="EQ423" s="56"/>
      <c r="ER423" s="56"/>
      <c r="ES423" s="56"/>
      <c r="ET423" s="56"/>
      <c r="EU423" s="56"/>
      <c r="EV423" s="56"/>
      <c r="EW423" s="56"/>
      <c r="EX423" s="56"/>
      <c r="EY423" s="56"/>
      <c r="EZ423" s="56"/>
      <c r="FA423" s="56"/>
      <c r="FB423" s="56"/>
      <c r="FC423" s="56"/>
      <c r="FD423" s="56"/>
      <c r="FE423" s="56"/>
      <c r="FF423" s="56"/>
      <c r="FG423" s="56"/>
      <c r="FH423" s="56"/>
      <c r="FI423" s="56"/>
      <c r="FJ423" s="56"/>
      <c r="FK423" s="56"/>
      <c r="FL423" s="56"/>
      <c r="FM423" s="56"/>
      <c r="FN423" s="56"/>
      <c r="FO423" s="56"/>
      <c r="FP423" s="56"/>
      <c r="FQ423" s="56"/>
      <c r="FR423" s="56"/>
      <c r="FS423" s="56"/>
      <c r="FT423" s="56"/>
      <c r="FU423" s="56"/>
      <c r="FV423" s="56"/>
      <c r="FW423" s="56"/>
      <c r="FX423" s="56"/>
      <c r="FY423" s="56"/>
      <c r="FZ423" s="56"/>
      <c r="GA423" s="56"/>
      <c r="GB423" s="56"/>
      <c r="GC423" s="56"/>
      <c r="GD423" s="56"/>
      <c r="GE423" s="56"/>
      <c r="GF423" s="56"/>
      <c r="GG423" s="56"/>
      <c r="GH423" s="56"/>
      <c r="GI423" s="56"/>
      <c r="GJ423" s="56"/>
      <c r="GK423" s="56"/>
      <c r="GL423" s="56"/>
      <c r="GM423" s="56"/>
      <c r="GN423" s="56"/>
      <c r="GO423" s="56"/>
      <c r="GP423" s="56"/>
      <c r="GQ423" s="56"/>
      <c r="GR423" s="56"/>
      <c r="GS423" s="56"/>
      <c r="GT423" s="56"/>
      <c r="GU423" s="56"/>
      <c r="GV423" s="56"/>
      <c r="GW423" s="56"/>
      <c r="GX423" s="56"/>
      <c r="GY423" s="56"/>
      <c r="GZ423" s="56"/>
      <c r="HA423" s="56"/>
      <c r="HB423" s="56"/>
      <c r="HC423" s="56"/>
      <c r="HD423" s="56"/>
      <c r="HE423" s="56"/>
      <c r="HF423" s="56"/>
      <c r="HG423" s="56"/>
      <c r="HH423" s="56"/>
      <c r="HI423" s="56"/>
      <c r="HJ423" s="56"/>
    </row>
    <row r="424" spans="1:218" ht="15.75" customHeight="1" x14ac:dyDescent="0.2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  <c r="BV424" s="56"/>
      <c r="BW424" s="56"/>
      <c r="BX424" s="56"/>
      <c r="BY424" s="56"/>
      <c r="BZ424" s="56"/>
      <c r="CA424" s="56"/>
      <c r="CB424" s="56"/>
      <c r="CC424" s="56"/>
      <c r="CD424" s="56"/>
      <c r="CE424" s="56"/>
      <c r="CF424" s="56"/>
      <c r="CG424" s="56"/>
      <c r="CH424" s="56"/>
      <c r="CI424" s="56"/>
      <c r="CJ424" s="56"/>
      <c r="CK424" s="56"/>
      <c r="CL424" s="56"/>
      <c r="CM424" s="56"/>
      <c r="CN424" s="56"/>
      <c r="CO424" s="56"/>
      <c r="CP424" s="56"/>
      <c r="CQ424" s="56"/>
      <c r="CR424" s="56"/>
      <c r="CS424" s="56"/>
      <c r="CT424" s="56"/>
      <c r="CU424" s="56"/>
      <c r="CV424" s="56"/>
      <c r="CW424" s="56"/>
      <c r="CX424" s="56"/>
      <c r="CY424" s="56"/>
      <c r="CZ424" s="56"/>
      <c r="DA424" s="56"/>
      <c r="DB424" s="56"/>
      <c r="DC424" s="56"/>
      <c r="DD424" s="56"/>
      <c r="DE424" s="56"/>
      <c r="DF424" s="56"/>
      <c r="DG424" s="56"/>
      <c r="DH424" s="56"/>
      <c r="DI424" s="56"/>
      <c r="DJ424" s="56"/>
      <c r="DK424" s="56"/>
      <c r="DL424" s="56"/>
      <c r="DM424" s="56"/>
      <c r="DN424" s="56"/>
      <c r="DO424" s="56"/>
      <c r="DP424" s="56"/>
      <c r="DQ424" s="56"/>
      <c r="DR424" s="56"/>
      <c r="DS424" s="56"/>
      <c r="DT424" s="56"/>
      <c r="DU424" s="56"/>
      <c r="DV424" s="56"/>
      <c r="DW424" s="56"/>
      <c r="DX424" s="56"/>
      <c r="DY424" s="56"/>
      <c r="DZ424" s="56"/>
      <c r="EA424" s="56"/>
      <c r="EB424" s="56"/>
      <c r="EC424" s="56"/>
      <c r="ED424" s="56"/>
      <c r="EE424" s="56"/>
      <c r="EF424" s="56"/>
      <c r="EG424" s="56"/>
      <c r="EH424" s="56"/>
      <c r="EI424" s="56"/>
      <c r="EJ424" s="56"/>
      <c r="EK424" s="56"/>
      <c r="EL424" s="56"/>
      <c r="EM424" s="56"/>
      <c r="EN424" s="56"/>
      <c r="EO424" s="56"/>
      <c r="EP424" s="56"/>
      <c r="EQ424" s="56"/>
      <c r="ER424" s="56"/>
      <c r="ES424" s="56"/>
      <c r="ET424" s="56"/>
      <c r="EU424" s="56"/>
      <c r="EV424" s="56"/>
      <c r="EW424" s="56"/>
      <c r="EX424" s="56"/>
      <c r="EY424" s="56"/>
      <c r="EZ424" s="56"/>
      <c r="FA424" s="56"/>
      <c r="FB424" s="56"/>
      <c r="FC424" s="56"/>
      <c r="FD424" s="56"/>
      <c r="FE424" s="56"/>
      <c r="FF424" s="56"/>
      <c r="FG424" s="56"/>
      <c r="FH424" s="56"/>
      <c r="FI424" s="56"/>
      <c r="FJ424" s="56"/>
      <c r="FK424" s="56"/>
      <c r="FL424" s="56"/>
      <c r="FM424" s="56"/>
      <c r="FN424" s="56"/>
      <c r="FO424" s="56"/>
      <c r="FP424" s="56"/>
      <c r="FQ424" s="56"/>
      <c r="FR424" s="56"/>
      <c r="FS424" s="56"/>
      <c r="FT424" s="56"/>
      <c r="FU424" s="56"/>
      <c r="FV424" s="56"/>
      <c r="FW424" s="56"/>
      <c r="FX424" s="56"/>
      <c r="FY424" s="56"/>
      <c r="FZ424" s="56"/>
      <c r="GA424" s="56"/>
      <c r="GB424" s="56"/>
      <c r="GC424" s="56"/>
      <c r="GD424" s="56"/>
      <c r="GE424" s="56"/>
      <c r="GF424" s="56"/>
      <c r="GG424" s="56"/>
      <c r="GH424" s="56"/>
      <c r="GI424" s="56"/>
      <c r="GJ424" s="56"/>
      <c r="GK424" s="56"/>
      <c r="GL424" s="56"/>
      <c r="GM424" s="56"/>
      <c r="GN424" s="56"/>
      <c r="GO424" s="56"/>
      <c r="GP424" s="56"/>
      <c r="GQ424" s="56"/>
      <c r="GR424" s="56"/>
      <c r="GS424" s="56"/>
      <c r="GT424" s="56"/>
      <c r="GU424" s="56"/>
      <c r="GV424" s="56"/>
      <c r="GW424" s="56"/>
      <c r="GX424" s="56"/>
      <c r="GY424" s="56"/>
      <c r="GZ424" s="56"/>
      <c r="HA424" s="56"/>
      <c r="HB424" s="56"/>
      <c r="HC424" s="56"/>
      <c r="HD424" s="56"/>
      <c r="HE424" s="56"/>
      <c r="HF424" s="56"/>
      <c r="HG424" s="56"/>
      <c r="HH424" s="56"/>
      <c r="HI424" s="56"/>
      <c r="HJ424" s="56"/>
    </row>
    <row r="425" spans="1:218" ht="15.75" customHeight="1" x14ac:dyDescent="0.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  <c r="BV425" s="56"/>
      <c r="BW425" s="56"/>
      <c r="BX425" s="56"/>
      <c r="BY425" s="56"/>
      <c r="BZ425" s="56"/>
      <c r="CA425" s="56"/>
      <c r="CB425" s="56"/>
      <c r="CC425" s="56"/>
      <c r="CD425" s="56"/>
      <c r="CE425" s="56"/>
      <c r="CF425" s="56"/>
      <c r="CG425" s="56"/>
      <c r="CH425" s="56"/>
      <c r="CI425" s="56"/>
      <c r="CJ425" s="56"/>
      <c r="CK425" s="56"/>
      <c r="CL425" s="56"/>
      <c r="CM425" s="56"/>
      <c r="CN425" s="56"/>
      <c r="CO425" s="56"/>
      <c r="CP425" s="56"/>
      <c r="CQ425" s="56"/>
      <c r="CR425" s="56"/>
      <c r="CS425" s="56"/>
      <c r="CT425" s="56"/>
      <c r="CU425" s="56"/>
      <c r="CV425" s="56"/>
      <c r="CW425" s="56"/>
      <c r="CX425" s="56"/>
      <c r="CY425" s="56"/>
      <c r="CZ425" s="56"/>
      <c r="DA425" s="56"/>
      <c r="DB425" s="56"/>
      <c r="DC425" s="56"/>
      <c r="DD425" s="56"/>
      <c r="DE425" s="56"/>
      <c r="DF425" s="56"/>
      <c r="DG425" s="56"/>
      <c r="DH425" s="56"/>
      <c r="DI425" s="56"/>
      <c r="DJ425" s="56"/>
      <c r="DK425" s="56"/>
      <c r="DL425" s="56"/>
      <c r="DM425" s="56"/>
      <c r="DN425" s="56"/>
      <c r="DO425" s="56"/>
      <c r="DP425" s="56"/>
      <c r="DQ425" s="56"/>
      <c r="DR425" s="56"/>
      <c r="DS425" s="56"/>
      <c r="DT425" s="56"/>
      <c r="DU425" s="56"/>
      <c r="DV425" s="56"/>
      <c r="DW425" s="56"/>
      <c r="DX425" s="56"/>
      <c r="DY425" s="56"/>
      <c r="DZ425" s="56"/>
      <c r="EA425" s="56"/>
      <c r="EB425" s="56"/>
      <c r="EC425" s="56"/>
      <c r="ED425" s="56"/>
      <c r="EE425" s="56"/>
      <c r="EF425" s="56"/>
      <c r="EG425" s="56"/>
      <c r="EH425" s="56"/>
      <c r="EI425" s="56"/>
      <c r="EJ425" s="56"/>
      <c r="EK425" s="56"/>
      <c r="EL425" s="56"/>
      <c r="EM425" s="56"/>
      <c r="EN425" s="56"/>
      <c r="EO425" s="56"/>
      <c r="EP425" s="56"/>
      <c r="EQ425" s="56"/>
      <c r="ER425" s="56"/>
      <c r="ES425" s="56"/>
      <c r="ET425" s="56"/>
      <c r="EU425" s="56"/>
      <c r="EV425" s="56"/>
      <c r="EW425" s="56"/>
      <c r="EX425" s="56"/>
      <c r="EY425" s="56"/>
      <c r="EZ425" s="56"/>
      <c r="FA425" s="56"/>
      <c r="FB425" s="56"/>
      <c r="FC425" s="56"/>
      <c r="FD425" s="56"/>
      <c r="FE425" s="56"/>
      <c r="FF425" s="56"/>
      <c r="FG425" s="56"/>
      <c r="FH425" s="56"/>
      <c r="FI425" s="56"/>
      <c r="FJ425" s="56"/>
      <c r="FK425" s="56"/>
      <c r="FL425" s="56"/>
      <c r="FM425" s="56"/>
      <c r="FN425" s="56"/>
      <c r="FO425" s="56"/>
      <c r="FP425" s="56"/>
      <c r="FQ425" s="56"/>
      <c r="FR425" s="56"/>
      <c r="FS425" s="56"/>
      <c r="FT425" s="56"/>
      <c r="FU425" s="56"/>
      <c r="FV425" s="56"/>
      <c r="FW425" s="56"/>
      <c r="FX425" s="56"/>
      <c r="FY425" s="56"/>
      <c r="FZ425" s="56"/>
      <c r="GA425" s="56"/>
      <c r="GB425" s="56"/>
      <c r="GC425" s="56"/>
      <c r="GD425" s="56"/>
      <c r="GE425" s="56"/>
      <c r="GF425" s="56"/>
      <c r="GG425" s="56"/>
      <c r="GH425" s="56"/>
      <c r="GI425" s="56"/>
      <c r="GJ425" s="56"/>
      <c r="GK425" s="56"/>
      <c r="GL425" s="56"/>
      <c r="GM425" s="56"/>
      <c r="GN425" s="56"/>
      <c r="GO425" s="56"/>
      <c r="GP425" s="56"/>
      <c r="GQ425" s="56"/>
      <c r="GR425" s="56"/>
      <c r="GS425" s="56"/>
      <c r="GT425" s="56"/>
      <c r="GU425" s="56"/>
      <c r="GV425" s="56"/>
      <c r="GW425" s="56"/>
      <c r="GX425" s="56"/>
      <c r="GY425" s="56"/>
      <c r="GZ425" s="56"/>
      <c r="HA425" s="56"/>
      <c r="HB425" s="56"/>
      <c r="HC425" s="56"/>
      <c r="HD425" s="56"/>
      <c r="HE425" s="56"/>
      <c r="HF425" s="56"/>
      <c r="HG425" s="56"/>
      <c r="HH425" s="56"/>
      <c r="HI425" s="56"/>
      <c r="HJ425" s="56"/>
    </row>
    <row r="426" spans="1:218" ht="15.75" customHeight="1" x14ac:dyDescent="0.2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  <c r="BV426" s="56"/>
      <c r="BW426" s="56"/>
      <c r="BX426" s="56"/>
      <c r="BY426" s="56"/>
      <c r="BZ426" s="56"/>
      <c r="CA426" s="56"/>
      <c r="CB426" s="56"/>
      <c r="CC426" s="56"/>
      <c r="CD426" s="56"/>
      <c r="CE426" s="56"/>
      <c r="CF426" s="56"/>
      <c r="CG426" s="56"/>
      <c r="CH426" s="56"/>
      <c r="CI426" s="56"/>
      <c r="CJ426" s="56"/>
      <c r="CK426" s="56"/>
      <c r="CL426" s="56"/>
      <c r="CM426" s="56"/>
      <c r="CN426" s="56"/>
      <c r="CO426" s="56"/>
      <c r="CP426" s="56"/>
      <c r="CQ426" s="56"/>
      <c r="CR426" s="56"/>
      <c r="CS426" s="56"/>
      <c r="CT426" s="56"/>
      <c r="CU426" s="56"/>
      <c r="CV426" s="56"/>
      <c r="CW426" s="56"/>
      <c r="CX426" s="56"/>
      <c r="CY426" s="56"/>
      <c r="CZ426" s="56"/>
      <c r="DA426" s="56"/>
      <c r="DB426" s="56"/>
      <c r="DC426" s="56"/>
      <c r="DD426" s="56"/>
      <c r="DE426" s="56"/>
      <c r="DF426" s="56"/>
      <c r="DG426" s="56"/>
      <c r="DH426" s="56"/>
      <c r="DI426" s="56"/>
      <c r="DJ426" s="56"/>
      <c r="DK426" s="56"/>
      <c r="DL426" s="56"/>
      <c r="DM426" s="56"/>
      <c r="DN426" s="56"/>
      <c r="DO426" s="56"/>
      <c r="DP426" s="56"/>
      <c r="DQ426" s="56"/>
      <c r="DR426" s="56"/>
      <c r="DS426" s="56"/>
      <c r="DT426" s="56"/>
      <c r="DU426" s="56"/>
      <c r="DV426" s="56"/>
      <c r="DW426" s="56"/>
      <c r="DX426" s="56"/>
      <c r="DY426" s="56"/>
      <c r="DZ426" s="56"/>
      <c r="EA426" s="56"/>
      <c r="EB426" s="56"/>
      <c r="EC426" s="56"/>
      <c r="ED426" s="56"/>
      <c r="EE426" s="56"/>
      <c r="EF426" s="56"/>
      <c r="EG426" s="56"/>
      <c r="EH426" s="56"/>
      <c r="EI426" s="56"/>
      <c r="EJ426" s="56"/>
      <c r="EK426" s="56"/>
      <c r="EL426" s="56"/>
      <c r="EM426" s="56"/>
      <c r="EN426" s="56"/>
      <c r="EO426" s="56"/>
      <c r="EP426" s="56"/>
      <c r="EQ426" s="56"/>
      <c r="ER426" s="56"/>
      <c r="ES426" s="56"/>
      <c r="ET426" s="56"/>
      <c r="EU426" s="56"/>
      <c r="EV426" s="56"/>
      <c r="EW426" s="56"/>
      <c r="EX426" s="56"/>
      <c r="EY426" s="56"/>
      <c r="EZ426" s="56"/>
      <c r="FA426" s="56"/>
      <c r="FB426" s="56"/>
      <c r="FC426" s="56"/>
      <c r="FD426" s="56"/>
      <c r="FE426" s="56"/>
      <c r="FF426" s="56"/>
      <c r="FG426" s="56"/>
      <c r="FH426" s="56"/>
      <c r="FI426" s="56"/>
      <c r="FJ426" s="56"/>
      <c r="FK426" s="56"/>
      <c r="FL426" s="56"/>
      <c r="FM426" s="56"/>
      <c r="FN426" s="56"/>
      <c r="FO426" s="56"/>
      <c r="FP426" s="56"/>
      <c r="FQ426" s="56"/>
      <c r="FR426" s="56"/>
      <c r="FS426" s="56"/>
      <c r="FT426" s="56"/>
      <c r="FU426" s="56"/>
      <c r="FV426" s="56"/>
      <c r="FW426" s="56"/>
      <c r="FX426" s="56"/>
      <c r="FY426" s="56"/>
      <c r="FZ426" s="56"/>
      <c r="GA426" s="56"/>
      <c r="GB426" s="56"/>
      <c r="GC426" s="56"/>
      <c r="GD426" s="56"/>
      <c r="GE426" s="56"/>
      <c r="GF426" s="56"/>
      <c r="GG426" s="56"/>
      <c r="GH426" s="56"/>
      <c r="GI426" s="56"/>
      <c r="GJ426" s="56"/>
      <c r="GK426" s="56"/>
      <c r="GL426" s="56"/>
      <c r="GM426" s="56"/>
      <c r="GN426" s="56"/>
      <c r="GO426" s="56"/>
      <c r="GP426" s="56"/>
      <c r="GQ426" s="56"/>
      <c r="GR426" s="56"/>
      <c r="GS426" s="56"/>
      <c r="GT426" s="56"/>
      <c r="GU426" s="56"/>
      <c r="GV426" s="56"/>
      <c r="GW426" s="56"/>
      <c r="GX426" s="56"/>
      <c r="GY426" s="56"/>
      <c r="GZ426" s="56"/>
      <c r="HA426" s="56"/>
      <c r="HB426" s="56"/>
      <c r="HC426" s="56"/>
      <c r="HD426" s="56"/>
      <c r="HE426" s="56"/>
      <c r="HF426" s="56"/>
      <c r="HG426" s="56"/>
      <c r="HH426" s="56"/>
      <c r="HI426" s="56"/>
      <c r="HJ426" s="56"/>
    </row>
    <row r="427" spans="1:218" ht="15.75" customHeight="1" x14ac:dyDescent="0.2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  <c r="BV427" s="56"/>
      <c r="BW427" s="56"/>
      <c r="BX427" s="56"/>
      <c r="BY427" s="56"/>
      <c r="BZ427" s="56"/>
      <c r="CA427" s="56"/>
      <c r="CB427" s="56"/>
      <c r="CC427" s="56"/>
      <c r="CD427" s="56"/>
      <c r="CE427" s="56"/>
      <c r="CF427" s="56"/>
      <c r="CG427" s="56"/>
      <c r="CH427" s="56"/>
      <c r="CI427" s="56"/>
      <c r="CJ427" s="56"/>
      <c r="CK427" s="56"/>
      <c r="CL427" s="56"/>
      <c r="CM427" s="56"/>
      <c r="CN427" s="56"/>
      <c r="CO427" s="56"/>
      <c r="CP427" s="56"/>
      <c r="CQ427" s="56"/>
      <c r="CR427" s="56"/>
      <c r="CS427" s="56"/>
      <c r="CT427" s="56"/>
      <c r="CU427" s="56"/>
      <c r="CV427" s="56"/>
      <c r="CW427" s="56"/>
      <c r="CX427" s="56"/>
      <c r="CY427" s="56"/>
      <c r="CZ427" s="56"/>
      <c r="DA427" s="56"/>
      <c r="DB427" s="56"/>
      <c r="DC427" s="56"/>
      <c r="DD427" s="56"/>
      <c r="DE427" s="56"/>
      <c r="DF427" s="56"/>
      <c r="DG427" s="56"/>
      <c r="DH427" s="56"/>
      <c r="DI427" s="56"/>
      <c r="DJ427" s="56"/>
      <c r="DK427" s="56"/>
      <c r="DL427" s="56"/>
      <c r="DM427" s="56"/>
      <c r="DN427" s="56"/>
      <c r="DO427" s="56"/>
      <c r="DP427" s="56"/>
      <c r="DQ427" s="56"/>
      <c r="DR427" s="56"/>
      <c r="DS427" s="56"/>
      <c r="DT427" s="56"/>
      <c r="DU427" s="56"/>
      <c r="DV427" s="56"/>
      <c r="DW427" s="56"/>
      <c r="DX427" s="56"/>
      <c r="DY427" s="56"/>
      <c r="DZ427" s="56"/>
      <c r="EA427" s="56"/>
      <c r="EB427" s="56"/>
      <c r="EC427" s="56"/>
      <c r="ED427" s="56"/>
      <c r="EE427" s="56"/>
      <c r="EF427" s="56"/>
      <c r="EG427" s="56"/>
      <c r="EH427" s="56"/>
      <c r="EI427" s="56"/>
      <c r="EJ427" s="56"/>
      <c r="EK427" s="56"/>
      <c r="EL427" s="56"/>
      <c r="EM427" s="56"/>
      <c r="EN427" s="56"/>
      <c r="EO427" s="56"/>
      <c r="EP427" s="56"/>
      <c r="EQ427" s="56"/>
      <c r="ER427" s="56"/>
      <c r="ES427" s="56"/>
      <c r="ET427" s="56"/>
      <c r="EU427" s="56"/>
      <c r="EV427" s="56"/>
      <c r="EW427" s="56"/>
      <c r="EX427" s="56"/>
      <c r="EY427" s="56"/>
      <c r="EZ427" s="56"/>
      <c r="FA427" s="56"/>
      <c r="FB427" s="56"/>
      <c r="FC427" s="56"/>
      <c r="FD427" s="56"/>
      <c r="FE427" s="56"/>
      <c r="FF427" s="56"/>
      <c r="FG427" s="56"/>
      <c r="FH427" s="56"/>
      <c r="FI427" s="56"/>
      <c r="FJ427" s="56"/>
      <c r="FK427" s="56"/>
      <c r="FL427" s="56"/>
      <c r="FM427" s="56"/>
      <c r="FN427" s="56"/>
      <c r="FO427" s="56"/>
      <c r="FP427" s="56"/>
      <c r="FQ427" s="56"/>
      <c r="FR427" s="56"/>
      <c r="FS427" s="56"/>
      <c r="FT427" s="56"/>
      <c r="FU427" s="56"/>
      <c r="FV427" s="56"/>
      <c r="FW427" s="56"/>
      <c r="FX427" s="56"/>
      <c r="FY427" s="56"/>
      <c r="FZ427" s="56"/>
      <c r="GA427" s="56"/>
      <c r="GB427" s="56"/>
      <c r="GC427" s="56"/>
      <c r="GD427" s="56"/>
      <c r="GE427" s="56"/>
      <c r="GF427" s="56"/>
      <c r="GG427" s="56"/>
      <c r="GH427" s="56"/>
      <c r="GI427" s="56"/>
      <c r="GJ427" s="56"/>
      <c r="GK427" s="56"/>
      <c r="GL427" s="56"/>
      <c r="GM427" s="56"/>
      <c r="GN427" s="56"/>
      <c r="GO427" s="56"/>
      <c r="GP427" s="56"/>
      <c r="GQ427" s="56"/>
      <c r="GR427" s="56"/>
      <c r="GS427" s="56"/>
      <c r="GT427" s="56"/>
      <c r="GU427" s="56"/>
      <c r="GV427" s="56"/>
      <c r="GW427" s="56"/>
      <c r="GX427" s="56"/>
      <c r="GY427" s="56"/>
      <c r="GZ427" s="56"/>
      <c r="HA427" s="56"/>
      <c r="HB427" s="56"/>
      <c r="HC427" s="56"/>
      <c r="HD427" s="56"/>
      <c r="HE427" s="56"/>
      <c r="HF427" s="56"/>
      <c r="HG427" s="56"/>
      <c r="HH427" s="56"/>
      <c r="HI427" s="56"/>
      <c r="HJ427" s="56"/>
    </row>
    <row r="428" spans="1:218" ht="15.75" customHeight="1" x14ac:dyDescent="0.2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  <c r="BV428" s="56"/>
      <c r="BW428" s="56"/>
      <c r="BX428" s="56"/>
      <c r="BY428" s="56"/>
      <c r="BZ428" s="56"/>
      <c r="CA428" s="56"/>
      <c r="CB428" s="56"/>
      <c r="CC428" s="56"/>
      <c r="CD428" s="56"/>
      <c r="CE428" s="56"/>
      <c r="CF428" s="56"/>
      <c r="CG428" s="56"/>
      <c r="CH428" s="56"/>
      <c r="CI428" s="56"/>
      <c r="CJ428" s="56"/>
      <c r="CK428" s="56"/>
      <c r="CL428" s="56"/>
      <c r="CM428" s="56"/>
      <c r="CN428" s="56"/>
      <c r="CO428" s="56"/>
      <c r="CP428" s="56"/>
      <c r="CQ428" s="56"/>
      <c r="CR428" s="56"/>
      <c r="CS428" s="56"/>
      <c r="CT428" s="56"/>
      <c r="CU428" s="56"/>
      <c r="CV428" s="56"/>
      <c r="CW428" s="56"/>
      <c r="CX428" s="56"/>
      <c r="CY428" s="56"/>
      <c r="CZ428" s="56"/>
      <c r="DA428" s="56"/>
      <c r="DB428" s="56"/>
      <c r="DC428" s="56"/>
      <c r="DD428" s="56"/>
      <c r="DE428" s="56"/>
      <c r="DF428" s="56"/>
      <c r="DG428" s="56"/>
      <c r="DH428" s="56"/>
      <c r="DI428" s="56"/>
      <c r="DJ428" s="56"/>
      <c r="DK428" s="56"/>
      <c r="DL428" s="56"/>
      <c r="DM428" s="56"/>
      <c r="DN428" s="56"/>
      <c r="DO428" s="56"/>
      <c r="DP428" s="56"/>
      <c r="DQ428" s="56"/>
      <c r="DR428" s="56"/>
      <c r="DS428" s="56"/>
      <c r="DT428" s="56"/>
      <c r="DU428" s="56"/>
      <c r="DV428" s="56"/>
      <c r="DW428" s="56"/>
      <c r="DX428" s="56"/>
      <c r="DY428" s="56"/>
      <c r="DZ428" s="56"/>
      <c r="EA428" s="56"/>
      <c r="EB428" s="56"/>
      <c r="EC428" s="56"/>
      <c r="ED428" s="56"/>
      <c r="EE428" s="56"/>
      <c r="EF428" s="56"/>
      <c r="EG428" s="56"/>
      <c r="EH428" s="56"/>
      <c r="EI428" s="56"/>
      <c r="EJ428" s="56"/>
      <c r="EK428" s="56"/>
      <c r="EL428" s="56"/>
      <c r="EM428" s="56"/>
      <c r="EN428" s="56"/>
      <c r="EO428" s="56"/>
      <c r="EP428" s="56"/>
      <c r="EQ428" s="56"/>
      <c r="ER428" s="56"/>
      <c r="ES428" s="56"/>
      <c r="ET428" s="56"/>
      <c r="EU428" s="56"/>
      <c r="EV428" s="56"/>
      <c r="EW428" s="56"/>
      <c r="EX428" s="56"/>
      <c r="EY428" s="56"/>
      <c r="EZ428" s="56"/>
      <c r="FA428" s="56"/>
      <c r="FB428" s="56"/>
      <c r="FC428" s="56"/>
      <c r="FD428" s="56"/>
      <c r="FE428" s="56"/>
      <c r="FF428" s="56"/>
      <c r="FG428" s="56"/>
      <c r="FH428" s="56"/>
      <c r="FI428" s="56"/>
      <c r="FJ428" s="56"/>
      <c r="FK428" s="56"/>
      <c r="FL428" s="56"/>
      <c r="FM428" s="56"/>
      <c r="FN428" s="56"/>
      <c r="FO428" s="56"/>
      <c r="FP428" s="56"/>
      <c r="FQ428" s="56"/>
      <c r="FR428" s="56"/>
      <c r="FS428" s="56"/>
      <c r="FT428" s="56"/>
      <c r="FU428" s="56"/>
      <c r="FV428" s="56"/>
      <c r="FW428" s="56"/>
      <c r="FX428" s="56"/>
      <c r="FY428" s="56"/>
      <c r="FZ428" s="56"/>
      <c r="GA428" s="56"/>
      <c r="GB428" s="56"/>
      <c r="GC428" s="56"/>
      <c r="GD428" s="56"/>
      <c r="GE428" s="56"/>
      <c r="GF428" s="56"/>
      <c r="GG428" s="56"/>
      <c r="GH428" s="56"/>
      <c r="GI428" s="56"/>
      <c r="GJ428" s="56"/>
      <c r="GK428" s="56"/>
      <c r="GL428" s="56"/>
      <c r="GM428" s="56"/>
      <c r="GN428" s="56"/>
      <c r="GO428" s="56"/>
      <c r="GP428" s="56"/>
      <c r="GQ428" s="56"/>
      <c r="GR428" s="56"/>
      <c r="GS428" s="56"/>
      <c r="GT428" s="56"/>
      <c r="GU428" s="56"/>
      <c r="GV428" s="56"/>
      <c r="GW428" s="56"/>
      <c r="GX428" s="56"/>
      <c r="GY428" s="56"/>
      <c r="GZ428" s="56"/>
      <c r="HA428" s="56"/>
      <c r="HB428" s="56"/>
      <c r="HC428" s="56"/>
      <c r="HD428" s="56"/>
      <c r="HE428" s="56"/>
      <c r="HF428" s="56"/>
      <c r="HG428" s="56"/>
      <c r="HH428" s="56"/>
      <c r="HI428" s="56"/>
      <c r="HJ428" s="56"/>
    </row>
    <row r="429" spans="1:218" ht="15.75" customHeight="1" x14ac:dyDescent="0.2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6"/>
      <c r="CA429" s="56"/>
      <c r="CB429" s="56"/>
      <c r="CC429" s="56"/>
      <c r="CD429" s="56"/>
      <c r="CE429" s="56"/>
      <c r="CF429" s="56"/>
      <c r="CG429" s="56"/>
      <c r="CH429" s="56"/>
      <c r="CI429" s="56"/>
      <c r="CJ429" s="56"/>
      <c r="CK429" s="56"/>
      <c r="CL429" s="56"/>
      <c r="CM429" s="56"/>
      <c r="CN429" s="56"/>
      <c r="CO429" s="56"/>
      <c r="CP429" s="56"/>
      <c r="CQ429" s="56"/>
      <c r="CR429" s="56"/>
      <c r="CS429" s="56"/>
      <c r="CT429" s="56"/>
      <c r="CU429" s="56"/>
      <c r="CV429" s="56"/>
      <c r="CW429" s="56"/>
      <c r="CX429" s="56"/>
      <c r="CY429" s="56"/>
      <c r="CZ429" s="56"/>
      <c r="DA429" s="56"/>
      <c r="DB429" s="56"/>
      <c r="DC429" s="56"/>
      <c r="DD429" s="56"/>
      <c r="DE429" s="56"/>
      <c r="DF429" s="56"/>
      <c r="DG429" s="56"/>
      <c r="DH429" s="56"/>
      <c r="DI429" s="56"/>
      <c r="DJ429" s="56"/>
      <c r="DK429" s="56"/>
      <c r="DL429" s="56"/>
      <c r="DM429" s="56"/>
      <c r="DN429" s="56"/>
      <c r="DO429" s="56"/>
      <c r="DP429" s="56"/>
      <c r="DQ429" s="56"/>
      <c r="DR429" s="56"/>
      <c r="DS429" s="56"/>
      <c r="DT429" s="56"/>
      <c r="DU429" s="56"/>
      <c r="DV429" s="56"/>
      <c r="DW429" s="56"/>
      <c r="DX429" s="56"/>
      <c r="DY429" s="56"/>
      <c r="DZ429" s="56"/>
      <c r="EA429" s="56"/>
      <c r="EB429" s="56"/>
      <c r="EC429" s="56"/>
      <c r="ED429" s="56"/>
      <c r="EE429" s="56"/>
      <c r="EF429" s="56"/>
      <c r="EG429" s="56"/>
      <c r="EH429" s="56"/>
      <c r="EI429" s="56"/>
      <c r="EJ429" s="56"/>
      <c r="EK429" s="56"/>
      <c r="EL429" s="56"/>
      <c r="EM429" s="56"/>
      <c r="EN429" s="56"/>
      <c r="EO429" s="56"/>
      <c r="EP429" s="56"/>
      <c r="EQ429" s="56"/>
      <c r="ER429" s="56"/>
      <c r="ES429" s="56"/>
      <c r="ET429" s="56"/>
      <c r="EU429" s="56"/>
      <c r="EV429" s="56"/>
      <c r="EW429" s="56"/>
      <c r="EX429" s="56"/>
      <c r="EY429" s="56"/>
      <c r="EZ429" s="56"/>
      <c r="FA429" s="56"/>
      <c r="FB429" s="56"/>
      <c r="FC429" s="56"/>
      <c r="FD429" s="56"/>
      <c r="FE429" s="56"/>
      <c r="FF429" s="56"/>
      <c r="FG429" s="56"/>
      <c r="FH429" s="56"/>
      <c r="FI429" s="56"/>
      <c r="FJ429" s="56"/>
      <c r="FK429" s="56"/>
      <c r="FL429" s="56"/>
      <c r="FM429" s="56"/>
      <c r="FN429" s="56"/>
      <c r="FO429" s="56"/>
      <c r="FP429" s="56"/>
      <c r="FQ429" s="56"/>
      <c r="FR429" s="56"/>
      <c r="FS429" s="56"/>
      <c r="FT429" s="56"/>
      <c r="FU429" s="56"/>
      <c r="FV429" s="56"/>
      <c r="FW429" s="56"/>
      <c r="FX429" s="56"/>
      <c r="FY429" s="56"/>
      <c r="FZ429" s="56"/>
      <c r="GA429" s="56"/>
      <c r="GB429" s="56"/>
      <c r="GC429" s="56"/>
      <c r="GD429" s="56"/>
      <c r="GE429" s="56"/>
      <c r="GF429" s="56"/>
      <c r="GG429" s="56"/>
      <c r="GH429" s="56"/>
      <c r="GI429" s="56"/>
      <c r="GJ429" s="56"/>
      <c r="GK429" s="56"/>
      <c r="GL429" s="56"/>
      <c r="GM429" s="56"/>
      <c r="GN429" s="56"/>
      <c r="GO429" s="56"/>
      <c r="GP429" s="56"/>
      <c r="GQ429" s="56"/>
      <c r="GR429" s="56"/>
      <c r="GS429" s="56"/>
      <c r="GT429" s="56"/>
      <c r="GU429" s="56"/>
      <c r="GV429" s="56"/>
      <c r="GW429" s="56"/>
      <c r="GX429" s="56"/>
      <c r="GY429" s="56"/>
      <c r="GZ429" s="56"/>
      <c r="HA429" s="56"/>
      <c r="HB429" s="56"/>
      <c r="HC429" s="56"/>
      <c r="HD429" s="56"/>
      <c r="HE429" s="56"/>
      <c r="HF429" s="56"/>
      <c r="HG429" s="56"/>
      <c r="HH429" s="56"/>
      <c r="HI429" s="56"/>
      <c r="HJ429" s="56"/>
    </row>
    <row r="430" spans="1:218" ht="15.75" customHeight="1" x14ac:dyDescent="0.2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56"/>
      <c r="CG430" s="56"/>
      <c r="CH430" s="56"/>
      <c r="CI430" s="56"/>
      <c r="CJ430" s="56"/>
      <c r="CK430" s="56"/>
      <c r="CL430" s="56"/>
      <c r="CM430" s="56"/>
      <c r="CN430" s="56"/>
      <c r="CO430" s="56"/>
      <c r="CP430" s="56"/>
      <c r="CQ430" s="56"/>
      <c r="CR430" s="56"/>
      <c r="CS430" s="56"/>
      <c r="CT430" s="56"/>
      <c r="CU430" s="56"/>
      <c r="CV430" s="56"/>
      <c r="CW430" s="56"/>
      <c r="CX430" s="56"/>
      <c r="CY430" s="56"/>
      <c r="CZ430" s="56"/>
      <c r="DA430" s="56"/>
      <c r="DB430" s="56"/>
      <c r="DC430" s="56"/>
      <c r="DD430" s="56"/>
      <c r="DE430" s="56"/>
      <c r="DF430" s="56"/>
      <c r="DG430" s="56"/>
      <c r="DH430" s="56"/>
      <c r="DI430" s="56"/>
      <c r="DJ430" s="56"/>
      <c r="DK430" s="56"/>
      <c r="DL430" s="56"/>
      <c r="DM430" s="56"/>
      <c r="DN430" s="56"/>
      <c r="DO430" s="56"/>
      <c r="DP430" s="56"/>
      <c r="DQ430" s="56"/>
      <c r="DR430" s="56"/>
      <c r="DS430" s="56"/>
      <c r="DT430" s="56"/>
      <c r="DU430" s="56"/>
      <c r="DV430" s="56"/>
      <c r="DW430" s="56"/>
      <c r="DX430" s="56"/>
      <c r="DY430" s="56"/>
      <c r="DZ430" s="56"/>
      <c r="EA430" s="56"/>
      <c r="EB430" s="56"/>
      <c r="EC430" s="56"/>
      <c r="ED430" s="56"/>
      <c r="EE430" s="56"/>
      <c r="EF430" s="56"/>
      <c r="EG430" s="56"/>
      <c r="EH430" s="56"/>
      <c r="EI430" s="56"/>
      <c r="EJ430" s="56"/>
      <c r="EK430" s="56"/>
      <c r="EL430" s="56"/>
      <c r="EM430" s="56"/>
      <c r="EN430" s="56"/>
      <c r="EO430" s="56"/>
      <c r="EP430" s="56"/>
      <c r="EQ430" s="56"/>
      <c r="ER430" s="56"/>
      <c r="ES430" s="56"/>
      <c r="ET430" s="56"/>
      <c r="EU430" s="56"/>
      <c r="EV430" s="56"/>
      <c r="EW430" s="56"/>
      <c r="EX430" s="56"/>
      <c r="EY430" s="56"/>
      <c r="EZ430" s="56"/>
      <c r="FA430" s="56"/>
      <c r="FB430" s="56"/>
      <c r="FC430" s="56"/>
      <c r="FD430" s="56"/>
      <c r="FE430" s="56"/>
      <c r="FF430" s="56"/>
      <c r="FG430" s="56"/>
      <c r="FH430" s="56"/>
      <c r="FI430" s="56"/>
      <c r="FJ430" s="56"/>
      <c r="FK430" s="56"/>
      <c r="FL430" s="56"/>
      <c r="FM430" s="56"/>
      <c r="FN430" s="56"/>
      <c r="FO430" s="56"/>
      <c r="FP430" s="56"/>
      <c r="FQ430" s="56"/>
      <c r="FR430" s="56"/>
      <c r="FS430" s="56"/>
      <c r="FT430" s="56"/>
      <c r="FU430" s="56"/>
      <c r="FV430" s="56"/>
      <c r="FW430" s="56"/>
      <c r="FX430" s="56"/>
      <c r="FY430" s="56"/>
      <c r="FZ430" s="56"/>
      <c r="GA430" s="56"/>
      <c r="GB430" s="56"/>
      <c r="GC430" s="56"/>
      <c r="GD430" s="56"/>
      <c r="GE430" s="56"/>
      <c r="GF430" s="56"/>
      <c r="GG430" s="56"/>
      <c r="GH430" s="56"/>
      <c r="GI430" s="56"/>
      <c r="GJ430" s="56"/>
      <c r="GK430" s="56"/>
      <c r="GL430" s="56"/>
      <c r="GM430" s="56"/>
      <c r="GN430" s="56"/>
      <c r="GO430" s="56"/>
      <c r="GP430" s="56"/>
      <c r="GQ430" s="56"/>
      <c r="GR430" s="56"/>
      <c r="GS430" s="56"/>
      <c r="GT430" s="56"/>
      <c r="GU430" s="56"/>
      <c r="GV430" s="56"/>
      <c r="GW430" s="56"/>
      <c r="GX430" s="56"/>
      <c r="GY430" s="56"/>
      <c r="GZ430" s="56"/>
      <c r="HA430" s="56"/>
      <c r="HB430" s="56"/>
      <c r="HC430" s="56"/>
      <c r="HD430" s="56"/>
      <c r="HE430" s="56"/>
      <c r="HF430" s="56"/>
      <c r="HG430" s="56"/>
      <c r="HH430" s="56"/>
      <c r="HI430" s="56"/>
      <c r="HJ430" s="56"/>
    </row>
    <row r="431" spans="1:218" ht="15.75" customHeight="1" x14ac:dyDescent="0.2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6"/>
      <c r="CA431" s="56"/>
      <c r="CB431" s="56"/>
      <c r="CC431" s="56"/>
      <c r="CD431" s="56"/>
      <c r="CE431" s="56"/>
      <c r="CF431" s="56"/>
      <c r="CG431" s="56"/>
      <c r="CH431" s="56"/>
      <c r="CI431" s="56"/>
      <c r="CJ431" s="56"/>
      <c r="CK431" s="56"/>
      <c r="CL431" s="56"/>
      <c r="CM431" s="56"/>
      <c r="CN431" s="56"/>
      <c r="CO431" s="56"/>
      <c r="CP431" s="56"/>
      <c r="CQ431" s="56"/>
      <c r="CR431" s="56"/>
      <c r="CS431" s="56"/>
      <c r="CT431" s="56"/>
      <c r="CU431" s="56"/>
      <c r="CV431" s="56"/>
      <c r="CW431" s="56"/>
      <c r="CX431" s="56"/>
      <c r="CY431" s="56"/>
      <c r="CZ431" s="56"/>
      <c r="DA431" s="56"/>
      <c r="DB431" s="56"/>
      <c r="DC431" s="56"/>
      <c r="DD431" s="56"/>
      <c r="DE431" s="56"/>
      <c r="DF431" s="56"/>
      <c r="DG431" s="56"/>
      <c r="DH431" s="56"/>
      <c r="DI431" s="56"/>
      <c r="DJ431" s="56"/>
      <c r="DK431" s="56"/>
      <c r="DL431" s="56"/>
      <c r="DM431" s="56"/>
      <c r="DN431" s="56"/>
      <c r="DO431" s="56"/>
      <c r="DP431" s="56"/>
      <c r="DQ431" s="56"/>
      <c r="DR431" s="56"/>
      <c r="DS431" s="56"/>
      <c r="DT431" s="56"/>
      <c r="DU431" s="56"/>
      <c r="DV431" s="56"/>
      <c r="DW431" s="56"/>
      <c r="DX431" s="56"/>
      <c r="DY431" s="56"/>
      <c r="DZ431" s="56"/>
      <c r="EA431" s="56"/>
      <c r="EB431" s="56"/>
      <c r="EC431" s="56"/>
      <c r="ED431" s="56"/>
      <c r="EE431" s="56"/>
      <c r="EF431" s="56"/>
      <c r="EG431" s="56"/>
      <c r="EH431" s="56"/>
      <c r="EI431" s="56"/>
      <c r="EJ431" s="56"/>
      <c r="EK431" s="56"/>
      <c r="EL431" s="56"/>
      <c r="EM431" s="56"/>
      <c r="EN431" s="56"/>
      <c r="EO431" s="56"/>
      <c r="EP431" s="56"/>
      <c r="EQ431" s="56"/>
      <c r="ER431" s="56"/>
      <c r="ES431" s="56"/>
      <c r="ET431" s="56"/>
      <c r="EU431" s="56"/>
      <c r="EV431" s="56"/>
      <c r="EW431" s="56"/>
      <c r="EX431" s="56"/>
      <c r="EY431" s="56"/>
      <c r="EZ431" s="56"/>
      <c r="FA431" s="56"/>
      <c r="FB431" s="56"/>
      <c r="FC431" s="56"/>
      <c r="FD431" s="56"/>
      <c r="FE431" s="56"/>
      <c r="FF431" s="56"/>
      <c r="FG431" s="56"/>
      <c r="FH431" s="56"/>
      <c r="FI431" s="56"/>
      <c r="FJ431" s="56"/>
      <c r="FK431" s="56"/>
      <c r="FL431" s="56"/>
      <c r="FM431" s="56"/>
      <c r="FN431" s="56"/>
      <c r="FO431" s="56"/>
      <c r="FP431" s="56"/>
      <c r="FQ431" s="56"/>
      <c r="FR431" s="56"/>
      <c r="FS431" s="56"/>
      <c r="FT431" s="56"/>
      <c r="FU431" s="56"/>
      <c r="FV431" s="56"/>
      <c r="FW431" s="56"/>
      <c r="FX431" s="56"/>
      <c r="FY431" s="56"/>
      <c r="FZ431" s="56"/>
      <c r="GA431" s="56"/>
      <c r="GB431" s="56"/>
      <c r="GC431" s="56"/>
      <c r="GD431" s="56"/>
      <c r="GE431" s="56"/>
      <c r="GF431" s="56"/>
      <c r="GG431" s="56"/>
      <c r="GH431" s="56"/>
      <c r="GI431" s="56"/>
      <c r="GJ431" s="56"/>
      <c r="GK431" s="56"/>
      <c r="GL431" s="56"/>
      <c r="GM431" s="56"/>
      <c r="GN431" s="56"/>
      <c r="GO431" s="56"/>
      <c r="GP431" s="56"/>
      <c r="GQ431" s="56"/>
      <c r="GR431" s="56"/>
      <c r="GS431" s="56"/>
      <c r="GT431" s="56"/>
      <c r="GU431" s="56"/>
      <c r="GV431" s="56"/>
      <c r="GW431" s="56"/>
      <c r="GX431" s="56"/>
      <c r="GY431" s="56"/>
      <c r="GZ431" s="56"/>
      <c r="HA431" s="56"/>
      <c r="HB431" s="56"/>
      <c r="HC431" s="56"/>
      <c r="HD431" s="56"/>
      <c r="HE431" s="56"/>
      <c r="HF431" s="56"/>
      <c r="HG431" s="56"/>
      <c r="HH431" s="56"/>
      <c r="HI431" s="56"/>
      <c r="HJ431" s="56"/>
    </row>
    <row r="432" spans="1:218" ht="15.75" customHeight="1" x14ac:dyDescent="0.2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56"/>
      <c r="CI432" s="56"/>
      <c r="CJ432" s="56"/>
      <c r="CK432" s="56"/>
      <c r="CL432" s="56"/>
      <c r="CM432" s="56"/>
      <c r="CN432" s="56"/>
      <c r="CO432" s="56"/>
      <c r="CP432" s="56"/>
      <c r="CQ432" s="56"/>
      <c r="CR432" s="56"/>
      <c r="CS432" s="56"/>
      <c r="CT432" s="56"/>
      <c r="CU432" s="56"/>
      <c r="CV432" s="56"/>
      <c r="CW432" s="56"/>
      <c r="CX432" s="56"/>
      <c r="CY432" s="56"/>
      <c r="CZ432" s="56"/>
      <c r="DA432" s="56"/>
      <c r="DB432" s="56"/>
      <c r="DC432" s="56"/>
      <c r="DD432" s="56"/>
      <c r="DE432" s="56"/>
      <c r="DF432" s="56"/>
      <c r="DG432" s="56"/>
      <c r="DH432" s="56"/>
      <c r="DI432" s="56"/>
      <c r="DJ432" s="56"/>
      <c r="DK432" s="56"/>
      <c r="DL432" s="56"/>
      <c r="DM432" s="56"/>
      <c r="DN432" s="56"/>
      <c r="DO432" s="56"/>
      <c r="DP432" s="56"/>
      <c r="DQ432" s="56"/>
      <c r="DR432" s="56"/>
      <c r="DS432" s="56"/>
      <c r="DT432" s="56"/>
      <c r="DU432" s="56"/>
      <c r="DV432" s="56"/>
      <c r="DW432" s="56"/>
      <c r="DX432" s="56"/>
      <c r="DY432" s="56"/>
      <c r="DZ432" s="56"/>
      <c r="EA432" s="56"/>
      <c r="EB432" s="56"/>
      <c r="EC432" s="56"/>
      <c r="ED432" s="56"/>
      <c r="EE432" s="56"/>
      <c r="EF432" s="56"/>
      <c r="EG432" s="56"/>
      <c r="EH432" s="56"/>
      <c r="EI432" s="56"/>
      <c r="EJ432" s="56"/>
      <c r="EK432" s="56"/>
      <c r="EL432" s="56"/>
      <c r="EM432" s="56"/>
      <c r="EN432" s="56"/>
      <c r="EO432" s="56"/>
      <c r="EP432" s="56"/>
      <c r="EQ432" s="56"/>
      <c r="ER432" s="56"/>
      <c r="ES432" s="56"/>
      <c r="ET432" s="56"/>
      <c r="EU432" s="56"/>
      <c r="EV432" s="56"/>
      <c r="EW432" s="56"/>
      <c r="EX432" s="56"/>
      <c r="EY432" s="56"/>
      <c r="EZ432" s="56"/>
      <c r="FA432" s="56"/>
      <c r="FB432" s="56"/>
      <c r="FC432" s="56"/>
      <c r="FD432" s="56"/>
      <c r="FE432" s="56"/>
      <c r="FF432" s="56"/>
      <c r="FG432" s="56"/>
      <c r="FH432" s="56"/>
      <c r="FI432" s="56"/>
      <c r="FJ432" s="56"/>
      <c r="FK432" s="56"/>
      <c r="FL432" s="56"/>
      <c r="FM432" s="56"/>
      <c r="FN432" s="56"/>
      <c r="FO432" s="56"/>
      <c r="FP432" s="56"/>
      <c r="FQ432" s="56"/>
      <c r="FR432" s="56"/>
      <c r="FS432" s="56"/>
      <c r="FT432" s="56"/>
      <c r="FU432" s="56"/>
      <c r="FV432" s="56"/>
      <c r="FW432" s="56"/>
      <c r="FX432" s="56"/>
      <c r="FY432" s="56"/>
      <c r="FZ432" s="56"/>
      <c r="GA432" s="56"/>
      <c r="GB432" s="56"/>
      <c r="GC432" s="56"/>
      <c r="GD432" s="56"/>
      <c r="GE432" s="56"/>
      <c r="GF432" s="56"/>
      <c r="GG432" s="56"/>
      <c r="GH432" s="56"/>
      <c r="GI432" s="56"/>
      <c r="GJ432" s="56"/>
      <c r="GK432" s="56"/>
      <c r="GL432" s="56"/>
      <c r="GM432" s="56"/>
      <c r="GN432" s="56"/>
      <c r="GO432" s="56"/>
      <c r="GP432" s="56"/>
      <c r="GQ432" s="56"/>
      <c r="GR432" s="56"/>
      <c r="GS432" s="56"/>
      <c r="GT432" s="56"/>
      <c r="GU432" s="56"/>
      <c r="GV432" s="56"/>
      <c r="GW432" s="56"/>
      <c r="GX432" s="56"/>
      <c r="GY432" s="56"/>
      <c r="GZ432" s="56"/>
      <c r="HA432" s="56"/>
      <c r="HB432" s="56"/>
      <c r="HC432" s="56"/>
      <c r="HD432" s="56"/>
      <c r="HE432" s="56"/>
      <c r="HF432" s="56"/>
      <c r="HG432" s="56"/>
      <c r="HH432" s="56"/>
      <c r="HI432" s="56"/>
      <c r="HJ432" s="56"/>
    </row>
    <row r="433" spans="1:218" ht="15.75" customHeight="1" x14ac:dyDescent="0.2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  <c r="BV433" s="56"/>
      <c r="BW433" s="56"/>
      <c r="BX433" s="56"/>
      <c r="BY433" s="56"/>
      <c r="BZ433" s="56"/>
      <c r="CA433" s="56"/>
      <c r="CB433" s="56"/>
      <c r="CC433" s="56"/>
      <c r="CD433" s="56"/>
      <c r="CE433" s="56"/>
      <c r="CF433" s="56"/>
      <c r="CG433" s="56"/>
      <c r="CH433" s="56"/>
      <c r="CI433" s="56"/>
      <c r="CJ433" s="56"/>
      <c r="CK433" s="56"/>
      <c r="CL433" s="56"/>
      <c r="CM433" s="56"/>
      <c r="CN433" s="56"/>
      <c r="CO433" s="56"/>
      <c r="CP433" s="56"/>
      <c r="CQ433" s="56"/>
      <c r="CR433" s="56"/>
      <c r="CS433" s="56"/>
      <c r="CT433" s="56"/>
      <c r="CU433" s="56"/>
      <c r="CV433" s="56"/>
      <c r="CW433" s="56"/>
      <c r="CX433" s="56"/>
      <c r="CY433" s="56"/>
      <c r="CZ433" s="56"/>
      <c r="DA433" s="56"/>
      <c r="DB433" s="56"/>
      <c r="DC433" s="56"/>
      <c r="DD433" s="56"/>
      <c r="DE433" s="56"/>
      <c r="DF433" s="56"/>
      <c r="DG433" s="56"/>
      <c r="DH433" s="56"/>
      <c r="DI433" s="56"/>
      <c r="DJ433" s="56"/>
      <c r="DK433" s="56"/>
      <c r="DL433" s="56"/>
      <c r="DM433" s="56"/>
      <c r="DN433" s="56"/>
      <c r="DO433" s="56"/>
      <c r="DP433" s="56"/>
      <c r="DQ433" s="56"/>
      <c r="DR433" s="56"/>
      <c r="DS433" s="56"/>
      <c r="DT433" s="56"/>
      <c r="DU433" s="56"/>
      <c r="DV433" s="56"/>
      <c r="DW433" s="56"/>
      <c r="DX433" s="56"/>
      <c r="DY433" s="56"/>
      <c r="DZ433" s="56"/>
      <c r="EA433" s="56"/>
      <c r="EB433" s="56"/>
      <c r="EC433" s="56"/>
      <c r="ED433" s="56"/>
      <c r="EE433" s="56"/>
      <c r="EF433" s="56"/>
      <c r="EG433" s="56"/>
      <c r="EH433" s="56"/>
      <c r="EI433" s="56"/>
      <c r="EJ433" s="56"/>
      <c r="EK433" s="56"/>
      <c r="EL433" s="56"/>
      <c r="EM433" s="56"/>
      <c r="EN433" s="56"/>
      <c r="EO433" s="56"/>
      <c r="EP433" s="56"/>
      <c r="EQ433" s="56"/>
      <c r="ER433" s="56"/>
      <c r="ES433" s="56"/>
      <c r="ET433" s="56"/>
      <c r="EU433" s="56"/>
      <c r="EV433" s="56"/>
      <c r="EW433" s="56"/>
      <c r="EX433" s="56"/>
      <c r="EY433" s="56"/>
      <c r="EZ433" s="56"/>
      <c r="FA433" s="56"/>
      <c r="FB433" s="56"/>
      <c r="FC433" s="56"/>
      <c r="FD433" s="56"/>
      <c r="FE433" s="56"/>
      <c r="FF433" s="56"/>
      <c r="FG433" s="56"/>
      <c r="FH433" s="56"/>
      <c r="FI433" s="56"/>
      <c r="FJ433" s="56"/>
      <c r="FK433" s="56"/>
      <c r="FL433" s="56"/>
      <c r="FM433" s="56"/>
      <c r="FN433" s="56"/>
      <c r="FO433" s="56"/>
      <c r="FP433" s="56"/>
      <c r="FQ433" s="56"/>
      <c r="FR433" s="56"/>
      <c r="FS433" s="56"/>
      <c r="FT433" s="56"/>
      <c r="FU433" s="56"/>
      <c r="FV433" s="56"/>
      <c r="FW433" s="56"/>
      <c r="FX433" s="56"/>
      <c r="FY433" s="56"/>
      <c r="FZ433" s="56"/>
      <c r="GA433" s="56"/>
      <c r="GB433" s="56"/>
      <c r="GC433" s="56"/>
      <c r="GD433" s="56"/>
      <c r="GE433" s="56"/>
      <c r="GF433" s="56"/>
      <c r="GG433" s="56"/>
      <c r="GH433" s="56"/>
      <c r="GI433" s="56"/>
      <c r="GJ433" s="56"/>
      <c r="GK433" s="56"/>
      <c r="GL433" s="56"/>
      <c r="GM433" s="56"/>
      <c r="GN433" s="56"/>
      <c r="GO433" s="56"/>
      <c r="GP433" s="56"/>
      <c r="GQ433" s="56"/>
      <c r="GR433" s="56"/>
      <c r="GS433" s="56"/>
      <c r="GT433" s="56"/>
      <c r="GU433" s="56"/>
      <c r="GV433" s="56"/>
      <c r="GW433" s="56"/>
      <c r="GX433" s="56"/>
      <c r="GY433" s="56"/>
      <c r="GZ433" s="56"/>
      <c r="HA433" s="56"/>
      <c r="HB433" s="56"/>
      <c r="HC433" s="56"/>
      <c r="HD433" s="56"/>
      <c r="HE433" s="56"/>
      <c r="HF433" s="56"/>
      <c r="HG433" s="56"/>
      <c r="HH433" s="56"/>
      <c r="HI433" s="56"/>
      <c r="HJ433" s="56"/>
    </row>
    <row r="434" spans="1:218" ht="15.75" customHeight="1" x14ac:dyDescent="0.2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  <c r="BV434" s="56"/>
      <c r="BW434" s="56"/>
      <c r="BX434" s="56"/>
      <c r="BY434" s="56"/>
      <c r="BZ434" s="56"/>
      <c r="CA434" s="56"/>
      <c r="CB434" s="56"/>
      <c r="CC434" s="56"/>
      <c r="CD434" s="56"/>
      <c r="CE434" s="56"/>
      <c r="CF434" s="56"/>
      <c r="CG434" s="56"/>
      <c r="CH434" s="56"/>
      <c r="CI434" s="56"/>
      <c r="CJ434" s="56"/>
      <c r="CK434" s="56"/>
      <c r="CL434" s="56"/>
      <c r="CM434" s="56"/>
      <c r="CN434" s="56"/>
      <c r="CO434" s="56"/>
      <c r="CP434" s="56"/>
      <c r="CQ434" s="56"/>
      <c r="CR434" s="56"/>
      <c r="CS434" s="56"/>
      <c r="CT434" s="56"/>
      <c r="CU434" s="56"/>
      <c r="CV434" s="56"/>
      <c r="CW434" s="56"/>
      <c r="CX434" s="56"/>
      <c r="CY434" s="56"/>
      <c r="CZ434" s="56"/>
      <c r="DA434" s="56"/>
      <c r="DB434" s="56"/>
      <c r="DC434" s="56"/>
      <c r="DD434" s="56"/>
      <c r="DE434" s="56"/>
      <c r="DF434" s="56"/>
      <c r="DG434" s="56"/>
      <c r="DH434" s="56"/>
      <c r="DI434" s="56"/>
      <c r="DJ434" s="56"/>
      <c r="DK434" s="56"/>
      <c r="DL434" s="56"/>
      <c r="DM434" s="56"/>
      <c r="DN434" s="56"/>
      <c r="DO434" s="56"/>
      <c r="DP434" s="56"/>
      <c r="DQ434" s="56"/>
      <c r="DR434" s="56"/>
      <c r="DS434" s="56"/>
      <c r="DT434" s="56"/>
      <c r="DU434" s="56"/>
      <c r="DV434" s="56"/>
      <c r="DW434" s="56"/>
      <c r="DX434" s="56"/>
      <c r="DY434" s="56"/>
      <c r="DZ434" s="56"/>
      <c r="EA434" s="56"/>
      <c r="EB434" s="56"/>
      <c r="EC434" s="56"/>
      <c r="ED434" s="56"/>
      <c r="EE434" s="56"/>
      <c r="EF434" s="56"/>
      <c r="EG434" s="56"/>
      <c r="EH434" s="56"/>
      <c r="EI434" s="56"/>
      <c r="EJ434" s="56"/>
      <c r="EK434" s="56"/>
      <c r="EL434" s="56"/>
      <c r="EM434" s="56"/>
      <c r="EN434" s="56"/>
      <c r="EO434" s="56"/>
      <c r="EP434" s="56"/>
      <c r="EQ434" s="56"/>
      <c r="ER434" s="56"/>
      <c r="ES434" s="56"/>
      <c r="ET434" s="56"/>
      <c r="EU434" s="56"/>
      <c r="EV434" s="56"/>
      <c r="EW434" s="56"/>
      <c r="EX434" s="56"/>
      <c r="EY434" s="56"/>
      <c r="EZ434" s="56"/>
      <c r="FA434" s="56"/>
      <c r="FB434" s="56"/>
      <c r="FC434" s="56"/>
      <c r="FD434" s="56"/>
      <c r="FE434" s="56"/>
      <c r="FF434" s="56"/>
      <c r="FG434" s="56"/>
      <c r="FH434" s="56"/>
      <c r="FI434" s="56"/>
      <c r="FJ434" s="56"/>
      <c r="FK434" s="56"/>
      <c r="FL434" s="56"/>
      <c r="FM434" s="56"/>
      <c r="FN434" s="56"/>
      <c r="FO434" s="56"/>
      <c r="FP434" s="56"/>
      <c r="FQ434" s="56"/>
      <c r="FR434" s="56"/>
      <c r="FS434" s="56"/>
      <c r="FT434" s="56"/>
      <c r="FU434" s="56"/>
      <c r="FV434" s="56"/>
      <c r="FW434" s="56"/>
      <c r="FX434" s="56"/>
      <c r="FY434" s="56"/>
      <c r="FZ434" s="56"/>
      <c r="GA434" s="56"/>
      <c r="GB434" s="56"/>
      <c r="GC434" s="56"/>
      <c r="GD434" s="56"/>
      <c r="GE434" s="56"/>
      <c r="GF434" s="56"/>
      <c r="GG434" s="56"/>
      <c r="GH434" s="56"/>
      <c r="GI434" s="56"/>
      <c r="GJ434" s="56"/>
      <c r="GK434" s="56"/>
      <c r="GL434" s="56"/>
      <c r="GM434" s="56"/>
      <c r="GN434" s="56"/>
      <c r="GO434" s="56"/>
      <c r="GP434" s="56"/>
      <c r="GQ434" s="56"/>
      <c r="GR434" s="56"/>
      <c r="GS434" s="56"/>
      <c r="GT434" s="56"/>
      <c r="GU434" s="56"/>
      <c r="GV434" s="56"/>
      <c r="GW434" s="56"/>
      <c r="GX434" s="56"/>
      <c r="GY434" s="56"/>
      <c r="GZ434" s="56"/>
      <c r="HA434" s="56"/>
      <c r="HB434" s="56"/>
      <c r="HC434" s="56"/>
      <c r="HD434" s="56"/>
      <c r="HE434" s="56"/>
      <c r="HF434" s="56"/>
      <c r="HG434" s="56"/>
      <c r="HH434" s="56"/>
      <c r="HI434" s="56"/>
      <c r="HJ434" s="56"/>
    </row>
    <row r="435" spans="1:218" ht="15.75" customHeight="1" x14ac:dyDescent="0.2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  <c r="BV435" s="56"/>
      <c r="BW435" s="56"/>
      <c r="BX435" s="56"/>
      <c r="BY435" s="56"/>
      <c r="BZ435" s="56"/>
      <c r="CA435" s="56"/>
      <c r="CB435" s="56"/>
      <c r="CC435" s="56"/>
      <c r="CD435" s="56"/>
      <c r="CE435" s="56"/>
      <c r="CF435" s="56"/>
      <c r="CG435" s="56"/>
      <c r="CH435" s="56"/>
      <c r="CI435" s="56"/>
      <c r="CJ435" s="56"/>
      <c r="CK435" s="56"/>
      <c r="CL435" s="56"/>
      <c r="CM435" s="56"/>
      <c r="CN435" s="56"/>
      <c r="CO435" s="56"/>
      <c r="CP435" s="56"/>
      <c r="CQ435" s="56"/>
      <c r="CR435" s="56"/>
      <c r="CS435" s="56"/>
      <c r="CT435" s="56"/>
      <c r="CU435" s="56"/>
      <c r="CV435" s="56"/>
      <c r="CW435" s="56"/>
      <c r="CX435" s="56"/>
      <c r="CY435" s="56"/>
      <c r="CZ435" s="56"/>
      <c r="DA435" s="56"/>
      <c r="DB435" s="56"/>
      <c r="DC435" s="56"/>
      <c r="DD435" s="56"/>
      <c r="DE435" s="56"/>
      <c r="DF435" s="56"/>
      <c r="DG435" s="56"/>
      <c r="DH435" s="56"/>
      <c r="DI435" s="56"/>
      <c r="DJ435" s="56"/>
      <c r="DK435" s="56"/>
      <c r="DL435" s="56"/>
      <c r="DM435" s="56"/>
      <c r="DN435" s="56"/>
      <c r="DO435" s="56"/>
      <c r="DP435" s="56"/>
      <c r="DQ435" s="56"/>
      <c r="DR435" s="56"/>
      <c r="DS435" s="56"/>
      <c r="DT435" s="56"/>
      <c r="DU435" s="56"/>
      <c r="DV435" s="56"/>
      <c r="DW435" s="56"/>
      <c r="DX435" s="56"/>
      <c r="DY435" s="56"/>
      <c r="DZ435" s="56"/>
      <c r="EA435" s="56"/>
      <c r="EB435" s="56"/>
      <c r="EC435" s="56"/>
      <c r="ED435" s="56"/>
      <c r="EE435" s="56"/>
      <c r="EF435" s="56"/>
      <c r="EG435" s="56"/>
      <c r="EH435" s="56"/>
      <c r="EI435" s="56"/>
      <c r="EJ435" s="56"/>
      <c r="EK435" s="56"/>
      <c r="EL435" s="56"/>
      <c r="EM435" s="56"/>
      <c r="EN435" s="56"/>
      <c r="EO435" s="56"/>
      <c r="EP435" s="56"/>
      <c r="EQ435" s="56"/>
      <c r="ER435" s="56"/>
      <c r="ES435" s="56"/>
      <c r="ET435" s="56"/>
      <c r="EU435" s="56"/>
      <c r="EV435" s="56"/>
      <c r="EW435" s="56"/>
      <c r="EX435" s="56"/>
      <c r="EY435" s="56"/>
      <c r="EZ435" s="56"/>
      <c r="FA435" s="56"/>
      <c r="FB435" s="56"/>
      <c r="FC435" s="56"/>
      <c r="FD435" s="56"/>
      <c r="FE435" s="56"/>
      <c r="FF435" s="56"/>
      <c r="FG435" s="56"/>
      <c r="FH435" s="56"/>
      <c r="FI435" s="56"/>
      <c r="FJ435" s="56"/>
      <c r="FK435" s="56"/>
      <c r="FL435" s="56"/>
      <c r="FM435" s="56"/>
      <c r="FN435" s="56"/>
      <c r="FO435" s="56"/>
      <c r="FP435" s="56"/>
      <c r="FQ435" s="56"/>
      <c r="FR435" s="56"/>
      <c r="FS435" s="56"/>
      <c r="FT435" s="56"/>
      <c r="FU435" s="56"/>
      <c r="FV435" s="56"/>
      <c r="FW435" s="56"/>
      <c r="FX435" s="56"/>
      <c r="FY435" s="56"/>
      <c r="FZ435" s="56"/>
      <c r="GA435" s="56"/>
      <c r="GB435" s="56"/>
      <c r="GC435" s="56"/>
      <c r="GD435" s="56"/>
      <c r="GE435" s="56"/>
      <c r="GF435" s="56"/>
      <c r="GG435" s="56"/>
      <c r="GH435" s="56"/>
      <c r="GI435" s="56"/>
      <c r="GJ435" s="56"/>
      <c r="GK435" s="56"/>
      <c r="GL435" s="56"/>
      <c r="GM435" s="56"/>
      <c r="GN435" s="56"/>
      <c r="GO435" s="56"/>
      <c r="GP435" s="56"/>
      <c r="GQ435" s="56"/>
      <c r="GR435" s="56"/>
      <c r="GS435" s="56"/>
      <c r="GT435" s="56"/>
      <c r="GU435" s="56"/>
      <c r="GV435" s="56"/>
      <c r="GW435" s="56"/>
      <c r="GX435" s="56"/>
      <c r="GY435" s="56"/>
      <c r="GZ435" s="56"/>
      <c r="HA435" s="56"/>
      <c r="HB435" s="56"/>
      <c r="HC435" s="56"/>
      <c r="HD435" s="56"/>
      <c r="HE435" s="56"/>
      <c r="HF435" s="56"/>
      <c r="HG435" s="56"/>
      <c r="HH435" s="56"/>
      <c r="HI435" s="56"/>
      <c r="HJ435" s="56"/>
    </row>
    <row r="436" spans="1:218" ht="15.75" customHeight="1" x14ac:dyDescent="0.2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  <c r="BV436" s="56"/>
      <c r="BW436" s="56"/>
      <c r="BX436" s="56"/>
      <c r="BY436" s="56"/>
      <c r="BZ436" s="56"/>
      <c r="CA436" s="56"/>
      <c r="CB436" s="56"/>
      <c r="CC436" s="56"/>
      <c r="CD436" s="56"/>
      <c r="CE436" s="56"/>
      <c r="CF436" s="56"/>
      <c r="CG436" s="56"/>
      <c r="CH436" s="56"/>
      <c r="CI436" s="56"/>
      <c r="CJ436" s="56"/>
      <c r="CK436" s="56"/>
      <c r="CL436" s="56"/>
      <c r="CM436" s="56"/>
      <c r="CN436" s="56"/>
      <c r="CO436" s="56"/>
      <c r="CP436" s="56"/>
      <c r="CQ436" s="56"/>
      <c r="CR436" s="56"/>
      <c r="CS436" s="56"/>
      <c r="CT436" s="56"/>
      <c r="CU436" s="56"/>
      <c r="CV436" s="56"/>
      <c r="CW436" s="56"/>
      <c r="CX436" s="56"/>
      <c r="CY436" s="56"/>
      <c r="CZ436" s="56"/>
      <c r="DA436" s="56"/>
      <c r="DB436" s="56"/>
      <c r="DC436" s="56"/>
      <c r="DD436" s="56"/>
      <c r="DE436" s="56"/>
      <c r="DF436" s="56"/>
      <c r="DG436" s="56"/>
      <c r="DH436" s="56"/>
      <c r="DI436" s="56"/>
      <c r="DJ436" s="56"/>
      <c r="DK436" s="56"/>
      <c r="DL436" s="56"/>
      <c r="DM436" s="56"/>
      <c r="DN436" s="56"/>
      <c r="DO436" s="56"/>
      <c r="DP436" s="56"/>
      <c r="DQ436" s="56"/>
      <c r="DR436" s="56"/>
      <c r="DS436" s="56"/>
      <c r="DT436" s="56"/>
      <c r="DU436" s="56"/>
      <c r="DV436" s="56"/>
      <c r="DW436" s="56"/>
      <c r="DX436" s="56"/>
      <c r="DY436" s="56"/>
      <c r="DZ436" s="56"/>
      <c r="EA436" s="56"/>
      <c r="EB436" s="56"/>
      <c r="EC436" s="56"/>
      <c r="ED436" s="56"/>
      <c r="EE436" s="56"/>
      <c r="EF436" s="56"/>
      <c r="EG436" s="56"/>
      <c r="EH436" s="56"/>
      <c r="EI436" s="56"/>
      <c r="EJ436" s="56"/>
      <c r="EK436" s="56"/>
      <c r="EL436" s="56"/>
      <c r="EM436" s="56"/>
      <c r="EN436" s="56"/>
      <c r="EO436" s="56"/>
      <c r="EP436" s="56"/>
      <c r="EQ436" s="56"/>
      <c r="ER436" s="56"/>
      <c r="ES436" s="56"/>
      <c r="ET436" s="56"/>
      <c r="EU436" s="56"/>
      <c r="EV436" s="56"/>
      <c r="EW436" s="56"/>
      <c r="EX436" s="56"/>
      <c r="EY436" s="56"/>
      <c r="EZ436" s="56"/>
      <c r="FA436" s="56"/>
      <c r="FB436" s="56"/>
      <c r="FC436" s="56"/>
      <c r="FD436" s="56"/>
      <c r="FE436" s="56"/>
      <c r="FF436" s="56"/>
      <c r="FG436" s="56"/>
      <c r="FH436" s="56"/>
      <c r="FI436" s="56"/>
      <c r="FJ436" s="56"/>
      <c r="FK436" s="56"/>
      <c r="FL436" s="56"/>
      <c r="FM436" s="56"/>
      <c r="FN436" s="56"/>
      <c r="FO436" s="56"/>
      <c r="FP436" s="56"/>
      <c r="FQ436" s="56"/>
      <c r="FR436" s="56"/>
      <c r="FS436" s="56"/>
      <c r="FT436" s="56"/>
      <c r="FU436" s="56"/>
      <c r="FV436" s="56"/>
      <c r="FW436" s="56"/>
      <c r="FX436" s="56"/>
      <c r="FY436" s="56"/>
      <c r="FZ436" s="56"/>
      <c r="GA436" s="56"/>
      <c r="GB436" s="56"/>
      <c r="GC436" s="56"/>
      <c r="GD436" s="56"/>
      <c r="GE436" s="56"/>
      <c r="GF436" s="56"/>
      <c r="GG436" s="56"/>
      <c r="GH436" s="56"/>
      <c r="GI436" s="56"/>
      <c r="GJ436" s="56"/>
      <c r="GK436" s="56"/>
      <c r="GL436" s="56"/>
      <c r="GM436" s="56"/>
      <c r="GN436" s="56"/>
      <c r="GO436" s="56"/>
      <c r="GP436" s="56"/>
      <c r="GQ436" s="56"/>
      <c r="GR436" s="56"/>
      <c r="GS436" s="56"/>
      <c r="GT436" s="56"/>
      <c r="GU436" s="56"/>
      <c r="GV436" s="56"/>
      <c r="GW436" s="56"/>
      <c r="GX436" s="56"/>
      <c r="GY436" s="56"/>
      <c r="GZ436" s="56"/>
      <c r="HA436" s="56"/>
      <c r="HB436" s="56"/>
      <c r="HC436" s="56"/>
      <c r="HD436" s="56"/>
      <c r="HE436" s="56"/>
      <c r="HF436" s="56"/>
      <c r="HG436" s="56"/>
      <c r="HH436" s="56"/>
      <c r="HI436" s="56"/>
      <c r="HJ436" s="56"/>
    </row>
    <row r="437" spans="1:218" ht="15.75" customHeight="1" x14ac:dyDescent="0.2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  <c r="CL437" s="56"/>
      <c r="CM437" s="56"/>
      <c r="CN437" s="56"/>
      <c r="CO437" s="56"/>
      <c r="CP437" s="56"/>
      <c r="CQ437" s="56"/>
      <c r="CR437" s="56"/>
      <c r="CS437" s="56"/>
      <c r="CT437" s="56"/>
      <c r="CU437" s="56"/>
      <c r="CV437" s="56"/>
      <c r="CW437" s="56"/>
      <c r="CX437" s="56"/>
      <c r="CY437" s="56"/>
      <c r="CZ437" s="56"/>
      <c r="DA437" s="56"/>
      <c r="DB437" s="56"/>
      <c r="DC437" s="56"/>
      <c r="DD437" s="56"/>
      <c r="DE437" s="56"/>
      <c r="DF437" s="56"/>
      <c r="DG437" s="56"/>
      <c r="DH437" s="56"/>
      <c r="DI437" s="56"/>
      <c r="DJ437" s="56"/>
      <c r="DK437" s="56"/>
      <c r="DL437" s="56"/>
      <c r="DM437" s="56"/>
      <c r="DN437" s="56"/>
      <c r="DO437" s="56"/>
      <c r="DP437" s="56"/>
      <c r="DQ437" s="56"/>
      <c r="DR437" s="56"/>
      <c r="DS437" s="56"/>
      <c r="DT437" s="56"/>
      <c r="DU437" s="56"/>
      <c r="DV437" s="56"/>
      <c r="DW437" s="56"/>
      <c r="DX437" s="56"/>
      <c r="DY437" s="56"/>
      <c r="DZ437" s="56"/>
      <c r="EA437" s="56"/>
      <c r="EB437" s="56"/>
      <c r="EC437" s="56"/>
      <c r="ED437" s="56"/>
      <c r="EE437" s="56"/>
      <c r="EF437" s="56"/>
      <c r="EG437" s="56"/>
      <c r="EH437" s="56"/>
      <c r="EI437" s="56"/>
      <c r="EJ437" s="56"/>
      <c r="EK437" s="56"/>
      <c r="EL437" s="56"/>
      <c r="EM437" s="56"/>
      <c r="EN437" s="56"/>
      <c r="EO437" s="56"/>
      <c r="EP437" s="56"/>
      <c r="EQ437" s="56"/>
      <c r="ER437" s="56"/>
      <c r="ES437" s="56"/>
      <c r="ET437" s="56"/>
      <c r="EU437" s="56"/>
      <c r="EV437" s="56"/>
      <c r="EW437" s="56"/>
      <c r="EX437" s="56"/>
      <c r="EY437" s="56"/>
      <c r="EZ437" s="56"/>
      <c r="FA437" s="56"/>
      <c r="FB437" s="56"/>
      <c r="FC437" s="56"/>
      <c r="FD437" s="56"/>
      <c r="FE437" s="56"/>
      <c r="FF437" s="56"/>
      <c r="FG437" s="56"/>
      <c r="FH437" s="56"/>
      <c r="FI437" s="56"/>
      <c r="FJ437" s="56"/>
      <c r="FK437" s="56"/>
      <c r="FL437" s="56"/>
      <c r="FM437" s="56"/>
      <c r="FN437" s="56"/>
      <c r="FO437" s="56"/>
      <c r="FP437" s="56"/>
      <c r="FQ437" s="56"/>
      <c r="FR437" s="56"/>
      <c r="FS437" s="56"/>
      <c r="FT437" s="56"/>
      <c r="FU437" s="56"/>
      <c r="FV437" s="56"/>
      <c r="FW437" s="56"/>
      <c r="FX437" s="56"/>
      <c r="FY437" s="56"/>
      <c r="FZ437" s="56"/>
      <c r="GA437" s="56"/>
      <c r="GB437" s="56"/>
      <c r="GC437" s="56"/>
      <c r="GD437" s="56"/>
      <c r="GE437" s="56"/>
      <c r="GF437" s="56"/>
      <c r="GG437" s="56"/>
      <c r="GH437" s="56"/>
      <c r="GI437" s="56"/>
      <c r="GJ437" s="56"/>
      <c r="GK437" s="56"/>
      <c r="GL437" s="56"/>
      <c r="GM437" s="56"/>
      <c r="GN437" s="56"/>
      <c r="GO437" s="56"/>
      <c r="GP437" s="56"/>
      <c r="GQ437" s="56"/>
      <c r="GR437" s="56"/>
      <c r="GS437" s="56"/>
      <c r="GT437" s="56"/>
      <c r="GU437" s="56"/>
      <c r="GV437" s="56"/>
      <c r="GW437" s="56"/>
      <c r="GX437" s="56"/>
      <c r="GY437" s="56"/>
      <c r="GZ437" s="56"/>
      <c r="HA437" s="56"/>
      <c r="HB437" s="56"/>
      <c r="HC437" s="56"/>
      <c r="HD437" s="56"/>
      <c r="HE437" s="56"/>
      <c r="HF437" s="56"/>
      <c r="HG437" s="56"/>
      <c r="HH437" s="56"/>
      <c r="HI437" s="56"/>
      <c r="HJ437" s="56"/>
    </row>
    <row r="438" spans="1:218" ht="15.75" customHeight="1" x14ac:dyDescent="0.2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  <c r="CL438" s="56"/>
      <c r="CM438" s="56"/>
      <c r="CN438" s="56"/>
      <c r="CO438" s="56"/>
      <c r="CP438" s="56"/>
      <c r="CQ438" s="56"/>
      <c r="CR438" s="56"/>
      <c r="CS438" s="56"/>
      <c r="CT438" s="56"/>
      <c r="CU438" s="56"/>
      <c r="CV438" s="56"/>
      <c r="CW438" s="56"/>
      <c r="CX438" s="56"/>
      <c r="CY438" s="56"/>
      <c r="CZ438" s="56"/>
      <c r="DA438" s="56"/>
      <c r="DB438" s="56"/>
      <c r="DC438" s="56"/>
      <c r="DD438" s="56"/>
      <c r="DE438" s="56"/>
      <c r="DF438" s="56"/>
      <c r="DG438" s="56"/>
      <c r="DH438" s="56"/>
      <c r="DI438" s="56"/>
      <c r="DJ438" s="56"/>
      <c r="DK438" s="56"/>
      <c r="DL438" s="56"/>
      <c r="DM438" s="56"/>
      <c r="DN438" s="56"/>
      <c r="DO438" s="56"/>
      <c r="DP438" s="56"/>
      <c r="DQ438" s="56"/>
      <c r="DR438" s="56"/>
      <c r="DS438" s="56"/>
      <c r="DT438" s="56"/>
      <c r="DU438" s="56"/>
      <c r="DV438" s="56"/>
      <c r="DW438" s="56"/>
      <c r="DX438" s="56"/>
      <c r="DY438" s="56"/>
      <c r="DZ438" s="56"/>
      <c r="EA438" s="56"/>
      <c r="EB438" s="56"/>
      <c r="EC438" s="56"/>
      <c r="ED438" s="56"/>
      <c r="EE438" s="56"/>
      <c r="EF438" s="56"/>
      <c r="EG438" s="56"/>
      <c r="EH438" s="56"/>
      <c r="EI438" s="56"/>
      <c r="EJ438" s="56"/>
      <c r="EK438" s="56"/>
      <c r="EL438" s="56"/>
      <c r="EM438" s="56"/>
      <c r="EN438" s="56"/>
      <c r="EO438" s="56"/>
      <c r="EP438" s="56"/>
      <c r="EQ438" s="56"/>
      <c r="ER438" s="56"/>
      <c r="ES438" s="56"/>
      <c r="ET438" s="56"/>
      <c r="EU438" s="56"/>
      <c r="EV438" s="56"/>
      <c r="EW438" s="56"/>
      <c r="EX438" s="56"/>
      <c r="EY438" s="56"/>
      <c r="EZ438" s="56"/>
      <c r="FA438" s="56"/>
      <c r="FB438" s="56"/>
      <c r="FC438" s="56"/>
      <c r="FD438" s="56"/>
      <c r="FE438" s="56"/>
      <c r="FF438" s="56"/>
      <c r="FG438" s="56"/>
      <c r="FH438" s="56"/>
      <c r="FI438" s="56"/>
      <c r="FJ438" s="56"/>
      <c r="FK438" s="56"/>
      <c r="FL438" s="56"/>
      <c r="FM438" s="56"/>
      <c r="FN438" s="56"/>
      <c r="FO438" s="56"/>
      <c r="FP438" s="56"/>
      <c r="FQ438" s="56"/>
      <c r="FR438" s="56"/>
      <c r="FS438" s="56"/>
      <c r="FT438" s="56"/>
      <c r="FU438" s="56"/>
      <c r="FV438" s="56"/>
      <c r="FW438" s="56"/>
      <c r="FX438" s="56"/>
      <c r="FY438" s="56"/>
      <c r="FZ438" s="56"/>
      <c r="GA438" s="56"/>
      <c r="GB438" s="56"/>
      <c r="GC438" s="56"/>
      <c r="GD438" s="56"/>
      <c r="GE438" s="56"/>
      <c r="GF438" s="56"/>
      <c r="GG438" s="56"/>
      <c r="GH438" s="56"/>
      <c r="GI438" s="56"/>
      <c r="GJ438" s="56"/>
      <c r="GK438" s="56"/>
      <c r="GL438" s="56"/>
      <c r="GM438" s="56"/>
      <c r="GN438" s="56"/>
      <c r="GO438" s="56"/>
      <c r="GP438" s="56"/>
      <c r="GQ438" s="56"/>
      <c r="GR438" s="56"/>
      <c r="GS438" s="56"/>
      <c r="GT438" s="56"/>
      <c r="GU438" s="56"/>
      <c r="GV438" s="56"/>
      <c r="GW438" s="56"/>
      <c r="GX438" s="56"/>
      <c r="GY438" s="56"/>
      <c r="GZ438" s="56"/>
      <c r="HA438" s="56"/>
      <c r="HB438" s="56"/>
      <c r="HC438" s="56"/>
      <c r="HD438" s="56"/>
      <c r="HE438" s="56"/>
      <c r="HF438" s="56"/>
      <c r="HG438" s="56"/>
      <c r="HH438" s="56"/>
      <c r="HI438" s="56"/>
      <c r="HJ438" s="56"/>
    </row>
    <row r="439" spans="1:218" ht="15.75" customHeight="1" x14ac:dyDescent="0.2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  <c r="BV439" s="56"/>
      <c r="BW439" s="56"/>
      <c r="BX439" s="56"/>
      <c r="BY439" s="56"/>
      <c r="BZ439" s="56"/>
      <c r="CA439" s="56"/>
      <c r="CB439" s="56"/>
      <c r="CC439" s="56"/>
      <c r="CD439" s="56"/>
      <c r="CE439" s="56"/>
      <c r="CF439" s="56"/>
      <c r="CG439" s="56"/>
      <c r="CH439" s="56"/>
      <c r="CI439" s="56"/>
      <c r="CJ439" s="56"/>
      <c r="CK439" s="56"/>
      <c r="CL439" s="56"/>
      <c r="CM439" s="56"/>
      <c r="CN439" s="56"/>
      <c r="CO439" s="56"/>
      <c r="CP439" s="56"/>
      <c r="CQ439" s="56"/>
      <c r="CR439" s="56"/>
      <c r="CS439" s="56"/>
      <c r="CT439" s="56"/>
      <c r="CU439" s="56"/>
      <c r="CV439" s="56"/>
      <c r="CW439" s="56"/>
      <c r="CX439" s="56"/>
      <c r="CY439" s="56"/>
      <c r="CZ439" s="56"/>
      <c r="DA439" s="56"/>
      <c r="DB439" s="56"/>
      <c r="DC439" s="56"/>
      <c r="DD439" s="56"/>
      <c r="DE439" s="56"/>
      <c r="DF439" s="56"/>
      <c r="DG439" s="56"/>
      <c r="DH439" s="56"/>
      <c r="DI439" s="56"/>
      <c r="DJ439" s="56"/>
      <c r="DK439" s="56"/>
      <c r="DL439" s="56"/>
      <c r="DM439" s="56"/>
      <c r="DN439" s="56"/>
      <c r="DO439" s="56"/>
      <c r="DP439" s="56"/>
      <c r="DQ439" s="56"/>
      <c r="DR439" s="56"/>
      <c r="DS439" s="56"/>
      <c r="DT439" s="56"/>
      <c r="DU439" s="56"/>
      <c r="DV439" s="56"/>
      <c r="DW439" s="56"/>
      <c r="DX439" s="56"/>
      <c r="DY439" s="56"/>
      <c r="DZ439" s="56"/>
      <c r="EA439" s="56"/>
      <c r="EB439" s="56"/>
      <c r="EC439" s="56"/>
      <c r="ED439" s="56"/>
      <c r="EE439" s="56"/>
      <c r="EF439" s="56"/>
      <c r="EG439" s="56"/>
      <c r="EH439" s="56"/>
      <c r="EI439" s="56"/>
      <c r="EJ439" s="56"/>
      <c r="EK439" s="56"/>
      <c r="EL439" s="56"/>
      <c r="EM439" s="56"/>
      <c r="EN439" s="56"/>
      <c r="EO439" s="56"/>
      <c r="EP439" s="56"/>
      <c r="EQ439" s="56"/>
      <c r="ER439" s="56"/>
      <c r="ES439" s="56"/>
      <c r="ET439" s="56"/>
      <c r="EU439" s="56"/>
      <c r="EV439" s="56"/>
      <c r="EW439" s="56"/>
      <c r="EX439" s="56"/>
      <c r="EY439" s="56"/>
      <c r="EZ439" s="56"/>
      <c r="FA439" s="56"/>
      <c r="FB439" s="56"/>
      <c r="FC439" s="56"/>
      <c r="FD439" s="56"/>
      <c r="FE439" s="56"/>
      <c r="FF439" s="56"/>
      <c r="FG439" s="56"/>
      <c r="FH439" s="56"/>
      <c r="FI439" s="56"/>
      <c r="FJ439" s="56"/>
      <c r="FK439" s="56"/>
      <c r="FL439" s="56"/>
      <c r="FM439" s="56"/>
      <c r="FN439" s="56"/>
      <c r="FO439" s="56"/>
      <c r="FP439" s="56"/>
      <c r="FQ439" s="56"/>
      <c r="FR439" s="56"/>
      <c r="FS439" s="56"/>
      <c r="FT439" s="56"/>
      <c r="FU439" s="56"/>
      <c r="FV439" s="56"/>
      <c r="FW439" s="56"/>
      <c r="FX439" s="56"/>
      <c r="FY439" s="56"/>
      <c r="FZ439" s="56"/>
      <c r="GA439" s="56"/>
      <c r="GB439" s="56"/>
      <c r="GC439" s="56"/>
      <c r="GD439" s="56"/>
      <c r="GE439" s="56"/>
      <c r="GF439" s="56"/>
      <c r="GG439" s="56"/>
      <c r="GH439" s="56"/>
      <c r="GI439" s="56"/>
      <c r="GJ439" s="56"/>
      <c r="GK439" s="56"/>
      <c r="GL439" s="56"/>
      <c r="GM439" s="56"/>
      <c r="GN439" s="56"/>
      <c r="GO439" s="56"/>
      <c r="GP439" s="56"/>
      <c r="GQ439" s="56"/>
      <c r="GR439" s="56"/>
      <c r="GS439" s="56"/>
      <c r="GT439" s="56"/>
      <c r="GU439" s="56"/>
      <c r="GV439" s="56"/>
      <c r="GW439" s="56"/>
      <c r="GX439" s="56"/>
      <c r="GY439" s="56"/>
      <c r="GZ439" s="56"/>
      <c r="HA439" s="56"/>
      <c r="HB439" s="56"/>
      <c r="HC439" s="56"/>
      <c r="HD439" s="56"/>
      <c r="HE439" s="56"/>
      <c r="HF439" s="56"/>
      <c r="HG439" s="56"/>
      <c r="HH439" s="56"/>
      <c r="HI439" s="56"/>
      <c r="HJ439" s="56"/>
    </row>
    <row r="440" spans="1:218" ht="15.75" customHeight="1" x14ac:dyDescent="0.2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  <c r="BV440" s="56"/>
      <c r="BW440" s="56"/>
      <c r="BX440" s="56"/>
      <c r="BY440" s="56"/>
      <c r="BZ440" s="56"/>
      <c r="CA440" s="56"/>
      <c r="CB440" s="56"/>
      <c r="CC440" s="56"/>
      <c r="CD440" s="56"/>
      <c r="CE440" s="56"/>
      <c r="CF440" s="56"/>
      <c r="CG440" s="56"/>
      <c r="CH440" s="56"/>
      <c r="CI440" s="56"/>
      <c r="CJ440" s="56"/>
      <c r="CK440" s="56"/>
      <c r="CL440" s="56"/>
      <c r="CM440" s="56"/>
      <c r="CN440" s="56"/>
      <c r="CO440" s="56"/>
      <c r="CP440" s="56"/>
      <c r="CQ440" s="56"/>
      <c r="CR440" s="56"/>
      <c r="CS440" s="56"/>
      <c r="CT440" s="56"/>
      <c r="CU440" s="56"/>
      <c r="CV440" s="56"/>
      <c r="CW440" s="56"/>
      <c r="CX440" s="56"/>
      <c r="CY440" s="56"/>
      <c r="CZ440" s="56"/>
      <c r="DA440" s="56"/>
      <c r="DB440" s="56"/>
      <c r="DC440" s="56"/>
      <c r="DD440" s="56"/>
      <c r="DE440" s="56"/>
      <c r="DF440" s="56"/>
      <c r="DG440" s="56"/>
      <c r="DH440" s="56"/>
      <c r="DI440" s="56"/>
      <c r="DJ440" s="56"/>
      <c r="DK440" s="56"/>
      <c r="DL440" s="56"/>
      <c r="DM440" s="56"/>
      <c r="DN440" s="56"/>
      <c r="DO440" s="56"/>
      <c r="DP440" s="56"/>
      <c r="DQ440" s="56"/>
      <c r="DR440" s="56"/>
      <c r="DS440" s="56"/>
      <c r="DT440" s="56"/>
      <c r="DU440" s="56"/>
      <c r="DV440" s="56"/>
      <c r="DW440" s="56"/>
      <c r="DX440" s="56"/>
      <c r="DY440" s="56"/>
      <c r="DZ440" s="56"/>
      <c r="EA440" s="56"/>
      <c r="EB440" s="56"/>
      <c r="EC440" s="56"/>
      <c r="ED440" s="56"/>
      <c r="EE440" s="56"/>
      <c r="EF440" s="56"/>
      <c r="EG440" s="56"/>
      <c r="EH440" s="56"/>
      <c r="EI440" s="56"/>
      <c r="EJ440" s="56"/>
      <c r="EK440" s="56"/>
      <c r="EL440" s="56"/>
      <c r="EM440" s="56"/>
      <c r="EN440" s="56"/>
      <c r="EO440" s="56"/>
      <c r="EP440" s="56"/>
      <c r="EQ440" s="56"/>
      <c r="ER440" s="56"/>
      <c r="ES440" s="56"/>
      <c r="ET440" s="56"/>
      <c r="EU440" s="56"/>
      <c r="EV440" s="56"/>
      <c r="EW440" s="56"/>
      <c r="EX440" s="56"/>
      <c r="EY440" s="56"/>
      <c r="EZ440" s="56"/>
      <c r="FA440" s="56"/>
      <c r="FB440" s="56"/>
      <c r="FC440" s="56"/>
      <c r="FD440" s="56"/>
      <c r="FE440" s="56"/>
      <c r="FF440" s="56"/>
      <c r="FG440" s="56"/>
      <c r="FH440" s="56"/>
      <c r="FI440" s="56"/>
      <c r="FJ440" s="56"/>
      <c r="FK440" s="56"/>
      <c r="FL440" s="56"/>
      <c r="FM440" s="56"/>
      <c r="FN440" s="56"/>
      <c r="FO440" s="56"/>
      <c r="FP440" s="56"/>
      <c r="FQ440" s="56"/>
      <c r="FR440" s="56"/>
      <c r="FS440" s="56"/>
      <c r="FT440" s="56"/>
      <c r="FU440" s="56"/>
      <c r="FV440" s="56"/>
      <c r="FW440" s="56"/>
      <c r="FX440" s="56"/>
      <c r="FY440" s="56"/>
      <c r="FZ440" s="56"/>
      <c r="GA440" s="56"/>
      <c r="GB440" s="56"/>
      <c r="GC440" s="56"/>
      <c r="GD440" s="56"/>
      <c r="GE440" s="56"/>
      <c r="GF440" s="56"/>
      <c r="GG440" s="56"/>
      <c r="GH440" s="56"/>
      <c r="GI440" s="56"/>
      <c r="GJ440" s="56"/>
      <c r="GK440" s="56"/>
      <c r="GL440" s="56"/>
      <c r="GM440" s="56"/>
      <c r="GN440" s="56"/>
      <c r="GO440" s="56"/>
      <c r="GP440" s="56"/>
      <c r="GQ440" s="56"/>
      <c r="GR440" s="56"/>
      <c r="GS440" s="56"/>
      <c r="GT440" s="56"/>
      <c r="GU440" s="56"/>
      <c r="GV440" s="56"/>
      <c r="GW440" s="56"/>
      <c r="GX440" s="56"/>
      <c r="GY440" s="56"/>
      <c r="GZ440" s="56"/>
      <c r="HA440" s="56"/>
      <c r="HB440" s="56"/>
      <c r="HC440" s="56"/>
      <c r="HD440" s="56"/>
      <c r="HE440" s="56"/>
      <c r="HF440" s="56"/>
      <c r="HG440" s="56"/>
      <c r="HH440" s="56"/>
      <c r="HI440" s="56"/>
      <c r="HJ440" s="56"/>
    </row>
    <row r="441" spans="1:218" ht="15.75" customHeight="1" x14ac:dyDescent="0.2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  <c r="BV441" s="56"/>
      <c r="BW441" s="56"/>
      <c r="BX441" s="56"/>
      <c r="BY441" s="56"/>
      <c r="BZ441" s="56"/>
      <c r="CA441" s="56"/>
      <c r="CB441" s="56"/>
      <c r="CC441" s="56"/>
      <c r="CD441" s="56"/>
      <c r="CE441" s="56"/>
      <c r="CF441" s="56"/>
      <c r="CG441" s="56"/>
      <c r="CH441" s="56"/>
      <c r="CI441" s="56"/>
      <c r="CJ441" s="56"/>
      <c r="CK441" s="56"/>
      <c r="CL441" s="56"/>
      <c r="CM441" s="56"/>
      <c r="CN441" s="56"/>
      <c r="CO441" s="56"/>
      <c r="CP441" s="56"/>
      <c r="CQ441" s="56"/>
      <c r="CR441" s="56"/>
      <c r="CS441" s="56"/>
      <c r="CT441" s="56"/>
      <c r="CU441" s="56"/>
      <c r="CV441" s="56"/>
      <c r="CW441" s="56"/>
      <c r="CX441" s="56"/>
      <c r="CY441" s="56"/>
      <c r="CZ441" s="56"/>
      <c r="DA441" s="56"/>
      <c r="DB441" s="56"/>
      <c r="DC441" s="56"/>
      <c r="DD441" s="56"/>
      <c r="DE441" s="56"/>
      <c r="DF441" s="56"/>
      <c r="DG441" s="56"/>
      <c r="DH441" s="56"/>
      <c r="DI441" s="56"/>
      <c r="DJ441" s="56"/>
      <c r="DK441" s="56"/>
      <c r="DL441" s="56"/>
      <c r="DM441" s="56"/>
      <c r="DN441" s="56"/>
      <c r="DO441" s="56"/>
      <c r="DP441" s="56"/>
      <c r="DQ441" s="56"/>
      <c r="DR441" s="56"/>
      <c r="DS441" s="56"/>
      <c r="DT441" s="56"/>
      <c r="DU441" s="56"/>
      <c r="DV441" s="56"/>
      <c r="DW441" s="56"/>
      <c r="DX441" s="56"/>
      <c r="DY441" s="56"/>
      <c r="DZ441" s="56"/>
      <c r="EA441" s="56"/>
      <c r="EB441" s="56"/>
      <c r="EC441" s="56"/>
      <c r="ED441" s="56"/>
      <c r="EE441" s="56"/>
      <c r="EF441" s="56"/>
      <c r="EG441" s="56"/>
      <c r="EH441" s="56"/>
      <c r="EI441" s="56"/>
      <c r="EJ441" s="56"/>
      <c r="EK441" s="56"/>
      <c r="EL441" s="56"/>
      <c r="EM441" s="56"/>
      <c r="EN441" s="56"/>
      <c r="EO441" s="56"/>
      <c r="EP441" s="56"/>
      <c r="EQ441" s="56"/>
      <c r="ER441" s="56"/>
      <c r="ES441" s="56"/>
      <c r="ET441" s="56"/>
      <c r="EU441" s="56"/>
      <c r="EV441" s="56"/>
      <c r="EW441" s="56"/>
      <c r="EX441" s="56"/>
      <c r="EY441" s="56"/>
      <c r="EZ441" s="56"/>
      <c r="FA441" s="56"/>
      <c r="FB441" s="56"/>
      <c r="FC441" s="56"/>
      <c r="FD441" s="56"/>
      <c r="FE441" s="56"/>
      <c r="FF441" s="56"/>
      <c r="FG441" s="56"/>
      <c r="FH441" s="56"/>
      <c r="FI441" s="56"/>
      <c r="FJ441" s="56"/>
      <c r="FK441" s="56"/>
      <c r="FL441" s="56"/>
      <c r="FM441" s="56"/>
      <c r="FN441" s="56"/>
      <c r="FO441" s="56"/>
      <c r="FP441" s="56"/>
      <c r="FQ441" s="56"/>
      <c r="FR441" s="56"/>
      <c r="FS441" s="56"/>
      <c r="FT441" s="56"/>
      <c r="FU441" s="56"/>
      <c r="FV441" s="56"/>
      <c r="FW441" s="56"/>
      <c r="FX441" s="56"/>
      <c r="FY441" s="56"/>
      <c r="FZ441" s="56"/>
      <c r="GA441" s="56"/>
      <c r="GB441" s="56"/>
      <c r="GC441" s="56"/>
      <c r="GD441" s="56"/>
      <c r="GE441" s="56"/>
      <c r="GF441" s="56"/>
      <c r="GG441" s="56"/>
      <c r="GH441" s="56"/>
      <c r="GI441" s="56"/>
      <c r="GJ441" s="56"/>
      <c r="GK441" s="56"/>
      <c r="GL441" s="56"/>
      <c r="GM441" s="56"/>
      <c r="GN441" s="56"/>
      <c r="GO441" s="56"/>
      <c r="GP441" s="56"/>
      <c r="GQ441" s="56"/>
      <c r="GR441" s="56"/>
      <c r="GS441" s="56"/>
      <c r="GT441" s="56"/>
      <c r="GU441" s="56"/>
      <c r="GV441" s="56"/>
      <c r="GW441" s="56"/>
      <c r="GX441" s="56"/>
      <c r="GY441" s="56"/>
      <c r="GZ441" s="56"/>
      <c r="HA441" s="56"/>
      <c r="HB441" s="56"/>
      <c r="HC441" s="56"/>
      <c r="HD441" s="56"/>
      <c r="HE441" s="56"/>
      <c r="HF441" s="56"/>
      <c r="HG441" s="56"/>
      <c r="HH441" s="56"/>
      <c r="HI441" s="56"/>
      <c r="HJ441" s="56"/>
    </row>
    <row r="442" spans="1:218" ht="15.75" customHeight="1" x14ac:dyDescent="0.2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  <c r="BV442" s="56"/>
      <c r="BW442" s="56"/>
      <c r="BX442" s="56"/>
      <c r="BY442" s="56"/>
      <c r="BZ442" s="56"/>
      <c r="CA442" s="56"/>
      <c r="CB442" s="56"/>
      <c r="CC442" s="56"/>
      <c r="CD442" s="56"/>
      <c r="CE442" s="56"/>
      <c r="CF442" s="56"/>
      <c r="CG442" s="56"/>
      <c r="CH442" s="56"/>
      <c r="CI442" s="56"/>
      <c r="CJ442" s="56"/>
      <c r="CK442" s="56"/>
      <c r="CL442" s="56"/>
      <c r="CM442" s="56"/>
      <c r="CN442" s="56"/>
      <c r="CO442" s="56"/>
      <c r="CP442" s="56"/>
      <c r="CQ442" s="56"/>
      <c r="CR442" s="56"/>
      <c r="CS442" s="56"/>
      <c r="CT442" s="56"/>
      <c r="CU442" s="56"/>
      <c r="CV442" s="56"/>
      <c r="CW442" s="56"/>
      <c r="CX442" s="56"/>
      <c r="CY442" s="56"/>
      <c r="CZ442" s="56"/>
      <c r="DA442" s="56"/>
      <c r="DB442" s="56"/>
      <c r="DC442" s="56"/>
      <c r="DD442" s="56"/>
      <c r="DE442" s="56"/>
      <c r="DF442" s="56"/>
      <c r="DG442" s="56"/>
      <c r="DH442" s="56"/>
      <c r="DI442" s="56"/>
      <c r="DJ442" s="56"/>
      <c r="DK442" s="56"/>
      <c r="DL442" s="56"/>
      <c r="DM442" s="56"/>
      <c r="DN442" s="56"/>
      <c r="DO442" s="56"/>
      <c r="DP442" s="56"/>
      <c r="DQ442" s="56"/>
      <c r="DR442" s="56"/>
      <c r="DS442" s="56"/>
      <c r="DT442" s="56"/>
      <c r="DU442" s="56"/>
      <c r="DV442" s="56"/>
      <c r="DW442" s="56"/>
      <c r="DX442" s="56"/>
      <c r="DY442" s="56"/>
      <c r="DZ442" s="56"/>
      <c r="EA442" s="56"/>
      <c r="EB442" s="56"/>
      <c r="EC442" s="56"/>
      <c r="ED442" s="56"/>
      <c r="EE442" s="56"/>
      <c r="EF442" s="56"/>
      <c r="EG442" s="56"/>
      <c r="EH442" s="56"/>
      <c r="EI442" s="56"/>
      <c r="EJ442" s="56"/>
      <c r="EK442" s="56"/>
      <c r="EL442" s="56"/>
      <c r="EM442" s="56"/>
      <c r="EN442" s="56"/>
      <c r="EO442" s="56"/>
      <c r="EP442" s="56"/>
      <c r="EQ442" s="56"/>
      <c r="ER442" s="56"/>
      <c r="ES442" s="56"/>
      <c r="ET442" s="56"/>
      <c r="EU442" s="56"/>
      <c r="EV442" s="56"/>
      <c r="EW442" s="56"/>
      <c r="EX442" s="56"/>
      <c r="EY442" s="56"/>
      <c r="EZ442" s="56"/>
      <c r="FA442" s="56"/>
      <c r="FB442" s="56"/>
      <c r="FC442" s="56"/>
      <c r="FD442" s="56"/>
      <c r="FE442" s="56"/>
      <c r="FF442" s="56"/>
      <c r="FG442" s="56"/>
      <c r="FH442" s="56"/>
      <c r="FI442" s="56"/>
      <c r="FJ442" s="56"/>
      <c r="FK442" s="56"/>
      <c r="FL442" s="56"/>
      <c r="FM442" s="56"/>
      <c r="FN442" s="56"/>
      <c r="FO442" s="56"/>
      <c r="FP442" s="56"/>
      <c r="FQ442" s="56"/>
      <c r="FR442" s="56"/>
      <c r="FS442" s="56"/>
      <c r="FT442" s="56"/>
      <c r="FU442" s="56"/>
      <c r="FV442" s="56"/>
      <c r="FW442" s="56"/>
      <c r="FX442" s="56"/>
      <c r="FY442" s="56"/>
      <c r="FZ442" s="56"/>
      <c r="GA442" s="56"/>
      <c r="GB442" s="56"/>
      <c r="GC442" s="56"/>
      <c r="GD442" s="56"/>
      <c r="GE442" s="56"/>
      <c r="GF442" s="56"/>
      <c r="GG442" s="56"/>
      <c r="GH442" s="56"/>
      <c r="GI442" s="56"/>
      <c r="GJ442" s="56"/>
      <c r="GK442" s="56"/>
      <c r="GL442" s="56"/>
      <c r="GM442" s="56"/>
      <c r="GN442" s="56"/>
      <c r="GO442" s="56"/>
      <c r="GP442" s="56"/>
      <c r="GQ442" s="56"/>
      <c r="GR442" s="56"/>
      <c r="GS442" s="56"/>
      <c r="GT442" s="56"/>
      <c r="GU442" s="56"/>
      <c r="GV442" s="56"/>
      <c r="GW442" s="56"/>
      <c r="GX442" s="56"/>
      <c r="GY442" s="56"/>
      <c r="GZ442" s="56"/>
      <c r="HA442" s="56"/>
      <c r="HB442" s="56"/>
      <c r="HC442" s="56"/>
      <c r="HD442" s="56"/>
      <c r="HE442" s="56"/>
      <c r="HF442" s="56"/>
      <c r="HG442" s="56"/>
      <c r="HH442" s="56"/>
      <c r="HI442" s="56"/>
      <c r="HJ442" s="56"/>
    </row>
    <row r="443" spans="1:218" ht="15.75" customHeight="1" x14ac:dyDescent="0.2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  <c r="BV443" s="56"/>
      <c r="BW443" s="56"/>
      <c r="BX443" s="56"/>
      <c r="BY443" s="56"/>
      <c r="BZ443" s="56"/>
      <c r="CA443" s="56"/>
      <c r="CB443" s="56"/>
      <c r="CC443" s="56"/>
      <c r="CD443" s="56"/>
      <c r="CE443" s="56"/>
      <c r="CF443" s="56"/>
      <c r="CG443" s="56"/>
      <c r="CH443" s="56"/>
      <c r="CI443" s="56"/>
      <c r="CJ443" s="56"/>
      <c r="CK443" s="56"/>
      <c r="CL443" s="56"/>
      <c r="CM443" s="56"/>
      <c r="CN443" s="56"/>
      <c r="CO443" s="56"/>
      <c r="CP443" s="56"/>
      <c r="CQ443" s="56"/>
      <c r="CR443" s="56"/>
      <c r="CS443" s="56"/>
      <c r="CT443" s="56"/>
      <c r="CU443" s="56"/>
      <c r="CV443" s="56"/>
      <c r="CW443" s="56"/>
      <c r="CX443" s="56"/>
      <c r="CY443" s="56"/>
      <c r="CZ443" s="56"/>
      <c r="DA443" s="56"/>
      <c r="DB443" s="56"/>
      <c r="DC443" s="56"/>
      <c r="DD443" s="56"/>
      <c r="DE443" s="56"/>
      <c r="DF443" s="56"/>
      <c r="DG443" s="56"/>
      <c r="DH443" s="56"/>
      <c r="DI443" s="56"/>
      <c r="DJ443" s="56"/>
      <c r="DK443" s="56"/>
      <c r="DL443" s="56"/>
      <c r="DM443" s="56"/>
      <c r="DN443" s="56"/>
      <c r="DO443" s="56"/>
      <c r="DP443" s="56"/>
      <c r="DQ443" s="56"/>
      <c r="DR443" s="56"/>
      <c r="DS443" s="56"/>
      <c r="DT443" s="56"/>
      <c r="DU443" s="56"/>
      <c r="DV443" s="56"/>
      <c r="DW443" s="56"/>
      <c r="DX443" s="56"/>
      <c r="DY443" s="56"/>
      <c r="DZ443" s="56"/>
      <c r="EA443" s="56"/>
      <c r="EB443" s="56"/>
      <c r="EC443" s="56"/>
      <c r="ED443" s="56"/>
      <c r="EE443" s="56"/>
      <c r="EF443" s="56"/>
      <c r="EG443" s="56"/>
      <c r="EH443" s="56"/>
      <c r="EI443" s="56"/>
      <c r="EJ443" s="56"/>
      <c r="EK443" s="56"/>
      <c r="EL443" s="56"/>
      <c r="EM443" s="56"/>
      <c r="EN443" s="56"/>
      <c r="EO443" s="56"/>
      <c r="EP443" s="56"/>
      <c r="EQ443" s="56"/>
      <c r="ER443" s="56"/>
      <c r="ES443" s="56"/>
      <c r="ET443" s="56"/>
      <c r="EU443" s="56"/>
      <c r="EV443" s="56"/>
      <c r="EW443" s="56"/>
      <c r="EX443" s="56"/>
      <c r="EY443" s="56"/>
      <c r="EZ443" s="56"/>
      <c r="FA443" s="56"/>
      <c r="FB443" s="56"/>
      <c r="FC443" s="56"/>
      <c r="FD443" s="56"/>
      <c r="FE443" s="56"/>
      <c r="FF443" s="56"/>
      <c r="FG443" s="56"/>
      <c r="FH443" s="56"/>
      <c r="FI443" s="56"/>
      <c r="FJ443" s="56"/>
      <c r="FK443" s="56"/>
      <c r="FL443" s="56"/>
      <c r="FM443" s="56"/>
      <c r="FN443" s="56"/>
      <c r="FO443" s="56"/>
      <c r="FP443" s="56"/>
      <c r="FQ443" s="56"/>
      <c r="FR443" s="56"/>
      <c r="FS443" s="56"/>
      <c r="FT443" s="56"/>
      <c r="FU443" s="56"/>
      <c r="FV443" s="56"/>
      <c r="FW443" s="56"/>
      <c r="FX443" s="56"/>
      <c r="FY443" s="56"/>
      <c r="FZ443" s="56"/>
      <c r="GA443" s="56"/>
      <c r="GB443" s="56"/>
      <c r="GC443" s="56"/>
      <c r="GD443" s="56"/>
      <c r="GE443" s="56"/>
      <c r="GF443" s="56"/>
      <c r="GG443" s="56"/>
      <c r="GH443" s="56"/>
      <c r="GI443" s="56"/>
      <c r="GJ443" s="56"/>
      <c r="GK443" s="56"/>
      <c r="GL443" s="56"/>
      <c r="GM443" s="56"/>
      <c r="GN443" s="56"/>
      <c r="GO443" s="56"/>
      <c r="GP443" s="56"/>
      <c r="GQ443" s="56"/>
      <c r="GR443" s="56"/>
      <c r="GS443" s="56"/>
      <c r="GT443" s="56"/>
      <c r="GU443" s="56"/>
      <c r="GV443" s="56"/>
      <c r="GW443" s="56"/>
      <c r="GX443" s="56"/>
      <c r="GY443" s="56"/>
      <c r="GZ443" s="56"/>
      <c r="HA443" s="56"/>
      <c r="HB443" s="56"/>
      <c r="HC443" s="56"/>
      <c r="HD443" s="56"/>
      <c r="HE443" s="56"/>
      <c r="HF443" s="56"/>
      <c r="HG443" s="56"/>
      <c r="HH443" s="56"/>
      <c r="HI443" s="56"/>
      <c r="HJ443" s="56"/>
    </row>
    <row r="444" spans="1:218" ht="15.75" customHeight="1" x14ac:dyDescent="0.2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  <c r="BV444" s="56"/>
      <c r="BW444" s="56"/>
      <c r="BX444" s="56"/>
      <c r="BY444" s="56"/>
      <c r="BZ444" s="56"/>
      <c r="CA444" s="56"/>
      <c r="CB444" s="56"/>
      <c r="CC444" s="56"/>
      <c r="CD444" s="56"/>
      <c r="CE444" s="56"/>
      <c r="CF444" s="56"/>
      <c r="CG444" s="56"/>
      <c r="CH444" s="56"/>
      <c r="CI444" s="56"/>
      <c r="CJ444" s="56"/>
      <c r="CK444" s="56"/>
      <c r="CL444" s="56"/>
      <c r="CM444" s="56"/>
      <c r="CN444" s="56"/>
      <c r="CO444" s="56"/>
      <c r="CP444" s="56"/>
      <c r="CQ444" s="56"/>
      <c r="CR444" s="56"/>
      <c r="CS444" s="56"/>
      <c r="CT444" s="56"/>
      <c r="CU444" s="56"/>
      <c r="CV444" s="56"/>
      <c r="CW444" s="56"/>
      <c r="CX444" s="56"/>
      <c r="CY444" s="56"/>
      <c r="CZ444" s="56"/>
      <c r="DA444" s="56"/>
      <c r="DB444" s="56"/>
      <c r="DC444" s="56"/>
      <c r="DD444" s="56"/>
      <c r="DE444" s="56"/>
      <c r="DF444" s="56"/>
      <c r="DG444" s="56"/>
      <c r="DH444" s="56"/>
      <c r="DI444" s="56"/>
      <c r="DJ444" s="56"/>
      <c r="DK444" s="56"/>
      <c r="DL444" s="56"/>
      <c r="DM444" s="56"/>
      <c r="DN444" s="56"/>
      <c r="DO444" s="56"/>
      <c r="DP444" s="56"/>
      <c r="DQ444" s="56"/>
      <c r="DR444" s="56"/>
      <c r="DS444" s="56"/>
      <c r="DT444" s="56"/>
      <c r="DU444" s="56"/>
      <c r="DV444" s="56"/>
      <c r="DW444" s="56"/>
      <c r="DX444" s="56"/>
      <c r="DY444" s="56"/>
      <c r="DZ444" s="56"/>
      <c r="EA444" s="56"/>
      <c r="EB444" s="56"/>
      <c r="EC444" s="56"/>
      <c r="ED444" s="56"/>
      <c r="EE444" s="56"/>
      <c r="EF444" s="56"/>
      <c r="EG444" s="56"/>
      <c r="EH444" s="56"/>
      <c r="EI444" s="56"/>
      <c r="EJ444" s="56"/>
      <c r="EK444" s="56"/>
      <c r="EL444" s="56"/>
      <c r="EM444" s="56"/>
      <c r="EN444" s="56"/>
      <c r="EO444" s="56"/>
      <c r="EP444" s="56"/>
      <c r="EQ444" s="56"/>
      <c r="ER444" s="56"/>
      <c r="ES444" s="56"/>
      <c r="ET444" s="56"/>
      <c r="EU444" s="56"/>
      <c r="EV444" s="56"/>
      <c r="EW444" s="56"/>
      <c r="EX444" s="56"/>
      <c r="EY444" s="56"/>
      <c r="EZ444" s="56"/>
      <c r="FA444" s="56"/>
      <c r="FB444" s="56"/>
      <c r="FC444" s="56"/>
      <c r="FD444" s="56"/>
      <c r="FE444" s="56"/>
      <c r="FF444" s="56"/>
      <c r="FG444" s="56"/>
      <c r="FH444" s="56"/>
      <c r="FI444" s="56"/>
      <c r="FJ444" s="56"/>
      <c r="FK444" s="56"/>
      <c r="FL444" s="56"/>
      <c r="FM444" s="56"/>
      <c r="FN444" s="56"/>
      <c r="FO444" s="56"/>
      <c r="FP444" s="56"/>
      <c r="FQ444" s="56"/>
      <c r="FR444" s="56"/>
      <c r="FS444" s="56"/>
      <c r="FT444" s="56"/>
      <c r="FU444" s="56"/>
      <c r="FV444" s="56"/>
      <c r="FW444" s="56"/>
      <c r="FX444" s="56"/>
      <c r="FY444" s="56"/>
      <c r="FZ444" s="56"/>
      <c r="GA444" s="56"/>
      <c r="GB444" s="56"/>
      <c r="GC444" s="56"/>
      <c r="GD444" s="56"/>
      <c r="GE444" s="56"/>
      <c r="GF444" s="56"/>
      <c r="GG444" s="56"/>
      <c r="GH444" s="56"/>
      <c r="GI444" s="56"/>
      <c r="GJ444" s="56"/>
      <c r="GK444" s="56"/>
      <c r="GL444" s="56"/>
      <c r="GM444" s="56"/>
      <c r="GN444" s="56"/>
      <c r="GO444" s="56"/>
      <c r="GP444" s="56"/>
      <c r="GQ444" s="56"/>
      <c r="GR444" s="56"/>
      <c r="GS444" s="56"/>
      <c r="GT444" s="56"/>
      <c r="GU444" s="56"/>
      <c r="GV444" s="56"/>
      <c r="GW444" s="56"/>
      <c r="GX444" s="56"/>
      <c r="GY444" s="56"/>
      <c r="GZ444" s="56"/>
      <c r="HA444" s="56"/>
      <c r="HB444" s="56"/>
      <c r="HC444" s="56"/>
      <c r="HD444" s="56"/>
      <c r="HE444" s="56"/>
      <c r="HF444" s="56"/>
      <c r="HG444" s="56"/>
      <c r="HH444" s="56"/>
      <c r="HI444" s="56"/>
      <c r="HJ444" s="56"/>
    </row>
    <row r="445" spans="1:218" ht="15.75" customHeight="1" x14ac:dyDescent="0.2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  <c r="BV445" s="56"/>
      <c r="BW445" s="56"/>
      <c r="BX445" s="56"/>
      <c r="BY445" s="56"/>
      <c r="BZ445" s="56"/>
      <c r="CA445" s="56"/>
      <c r="CB445" s="56"/>
      <c r="CC445" s="56"/>
      <c r="CD445" s="56"/>
      <c r="CE445" s="56"/>
      <c r="CF445" s="56"/>
      <c r="CG445" s="56"/>
      <c r="CH445" s="56"/>
      <c r="CI445" s="56"/>
      <c r="CJ445" s="56"/>
      <c r="CK445" s="56"/>
      <c r="CL445" s="56"/>
      <c r="CM445" s="56"/>
      <c r="CN445" s="56"/>
      <c r="CO445" s="56"/>
      <c r="CP445" s="56"/>
      <c r="CQ445" s="56"/>
      <c r="CR445" s="56"/>
      <c r="CS445" s="56"/>
      <c r="CT445" s="56"/>
      <c r="CU445" s="56"/>
      <c r="CV445" s="56"/>
      <c r="CW445" s="56"/>
      <c r="CX445" s="56"/>
      <c r="CY445" s="56"/>
      <c r="CZ445" s="56"/>
      <c r="DA445" s="56"/>
      <c r="DB445" s="56"/>
      <c r="DC445" s="56"/>
      <c r="DD445" s="56"/>
      <c r="DE445" s="56"/>
      <c r="DF445" s="56"/>
      <c r="DG445" s="56"/>
      <c r="DH445" s="56"/>
      <c r="DI445" s="56"/>
      <c r="DJ445" s="56"/>
      <c r="DK445" s="56"/>
      <c r="DL445" s="56"/>
      <c r="DM445" s="56"/>
      <c r="DN445" s="56"/>
      <c r="DO445" s="56"/>
      <c r="DP445" s="56"/>
      <c r="DQ445" s="56"/>
      <c r="DR445" s="56"/>
      <c r="DS445" s="56"/>
      <c r="DT445" s="56"/>
      <c r="DU445" s="56"/>
      <c r="DV445" s="56"/>
      <c r="DW445" s="56"/>
      <c r="DX445" s="56"/>
      <c r="DY445" s="56"/>
      <c r="DZ445" s="56"/>
      <c r="EA445" s="56"/>
      <c r="EB445" s="56"/>
      <c r="EC445" s="56"/>
      <c r="ED445" s="56"/>
      <c r="EE445" s="56"/>
      <c r="EF445" s="56"/>
      <c r="EG445" s="56"/>
      <c r="EH445" s="56"/>
      <c r="EI445" s="56"/>
      <c r="EJ445" s="56"/>
      <c r="EK445" s="56"/>
      <c r="EL445" s="56"/>
      <c r="EM445" s="56"/>
      <c r="EN445" s="56"/>
      <c r="EO445" s="56"/>
      <c r="EP445" s="56"/>
      <c r="EQ445" s="56"/>
      <c r="ER445" s="56"/>
      <c r="ES445" s="56"/>
      <c r="ET445" s="56"/>
      <c r="EU445" s="56"/>
      <c r="EV445" s="56"/>
      <c r="EW445" s="56"/>
      <c r="EX445" s="56"/>
      <c r="EY445" s="56"/>
      <c r="EZ445" s="56"/>
      <c r="FA445" s="56"/>
      <c r="FB445" s="56"/>
      <c r="FC445" s="56"/>
      <c r="FD445" s="56"/>
      <c r="FE445" s="56"/>
      <c r="FF445" s="56"/>
      <c r="FG445" s="56"/>
      <c r="FH445" s="56"/>
      <c r="FI445" s="56"/>
      <c r="FJ445" s="56"/>
      <c r="FK445" s="56"/>
      <c r="FL445" s="56"/>
      <c r="FM445" s="56"/>
      <c r="FN445" s="56"/>
      <c r="FO445" s="56"/>
      <c r="FP445" s="56"/>
      <c r="FQ445" s="56"/>
      <c r="FR445" s="56"/>
      <c r="FS445" s="56"/>
      <c r="FT445" s="56"/>
      <c r="FU445" s="56"/>
      <c r="FV445" s="56"/>
      <c r="FW445" s="56"/>
      <c r="FX445" s="56"/>
      <c r="FY445" s="56"/>
      <c r="FZ445" s="56"/>
      <c r="GA445" s="56"/>
      <c r="GB445" s="56"/>
      <c r="GC445" s="56"/>
      <c r="GD445" s="56"/>
      <c r="GE445" s="56"/>
      <c r="GF445" s="56"/>
      <c r="GG445" s="56"/>
      <c r="GH445" s="56"/>
      <c r="GI445" s="56"/>
      <c r="GJ445" s="56"/>
      <c r="GK445" s="56"/>
      <c r="GL445" s="56"/>
      <c r="GM445" s="56"/>
      <c r="GN445" s="56"/>
      <c r="GO445" s="56"/>
      <c r="GP445" s="56"/>
      <c r="GQ445" s="56"/>
      <c r="GR445" s="56"/>
      <c r="GS445" s="56"/>
      <c r="GT445" s="56"/>
      <c r="GU445" s="56"/>
      <c r="GV445" s="56"/>
      <c r="GW445" s="56"/>
      <c r="GX445" s="56"/>
      <c r="GY445" s="56"/>
      <c r="GZ445" s="56"/>
      <c r="HA445" s="56"/>
      <c r="HB445" s="56"/>
      <c r="HC445" s="56"/>
      <c r="HD445" s="56"/>
      <c r="HE445" s="56"/>
      <c r="HF445" s="56"/>
      <c r="HG445" s="56"/>
      <c r="HH445" s="56"/>
      <c r="HI445" s="56"/>
      <c r="HJ445" s="56"/>
    </row>
    <row r="446" spans="1:218" ht="15.75" customHeight="1" x14ac:dyDescent="0.2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  <c r="CL446" s="56"/>
      <c r="CM446" s="56"/>
      <c r="CN446" s="56"/>
      <c r="CO446" s="56"/>
      <c r="CP446" s="56"/>
      <c r="CQ446" s="56"/>
      <c r="CR446" s="56"/>
      <c r="CS446" s="56"/>
      <c r="CT446" s="56"/>
      <c r="CU446" s="56"/>
      <c r="CV446" s="56"/>
      <c r="CW446" s="56"/>
      <c r="CX446" s="56"/>
      <c r="CY446" s="56"/>
      <c r="CZ446" s="56"/>
      <c r="DA446" s="56"/>
      <c r="DB446" s="56"/>
      <c r="DC446" s="56"/>
      <c r="DD446" s="56"/>
      <c r="DE446" s="56"/>
      <c r="DF446" s="56"/>
      <c r="DG446" s="56"/>
      <c r="DH446" s="56"/>
      <c r="DI446" s="56"/>
      <c r="DJ446" s="56"/>
      <c r="DK446" s="56"/>
      <c r="DL446" s="56"/>
      <c r="DM446" s="56"/>
      <c r="DN446" s="56"/>
      <c r="DO446" s="56"/>
      <c r="DP446" s="56"/>
      <c r="DQ446" s="56"/>
      <c r="DR446" s="56"/>
      <c r="DS446" s="56"/>
      <c r="DT446" s="56"/>
      <c r="DU446" s="56"/>
      <c r="DV446" s="56"/>
      <c r="DW446" s="56"/>
      <c r="DX446" s="56"/>
      <c r="DY446" s="56"/>
      <c r="DZ446" s="56"/>
      <c r="EA446" s="56"/>
      <c r="EB446" s="56"/>
      <c r="EC446" s="56"/>
      <c r="ED446" s="56"/>
      <c r="EE446" s="56"/>
      <c r="EF446" s="56"/>
      <c r="EG446" s="56"/>
      <c r="EH446" s="56"/>
      <c r="EI446" s="56"/>
      <c r="EJ446" s="56"/>
      <c r="EK446" s="56"/>
      <c r="EL446" s="56"/>
      <c r="EM446" s="56"/>
      <c r="EN446" s="56"/>
      <c r="EO446" s="56"/>
      <c r="EP446" s="56"/>
      <c r="EQ446" s="56"/>
      <c r="ER446" s="56"/>
      <c r="ES446" s="56"/>
      <c r="ET446" s="56"/>
      <c r="EU446" s="56"/>
      <c r="EV446" s="56"/>
      <c r="EW446" s="56"/>
      <c r="EX446" s="56"/>
      <c r="EY446" s="56"/>
      <c r="EZ446" s="56"/>
      <c r="FA446" s="56"/>
      <c r="FB446" s="56"/>
      <c r="FC446" s="56"/>
      <c r="FD446" s="56"/>
      <c r="FE446" s="56"/>
      <c r="FF446" s="56"/>
      <c r="FG446" s="56"/>
      <c r="FH446" s="56"/>
      <c r="FI446" s="56"/>
      <c r="FJ446" s="56"/>
      <c r="FK446" s="56"/>
      <c r="FL446" s="56"/>
      <c r="FM446" s="56"/>
      <c r="FN446" s="56"/>
      <c r="FO446" s="56"/>
      <c r="FP446" s="56"/>
      <c r="FQ446" s="56"/>
      <c r="FR446" s="56"/>
      <c r="FS446" s="56"/>
      <c r="FT446" s="56"/>
      <c r="FU446" s="56"/>
      <c r="FV446" s="56"/>
      <c r="FW446" s="56"/>
      <c r="FX446" s="56"/>
      <c r="FY446" s="56"/>
      <c r="FZ446" s="56"/>
      <c r="GA446" s="56"/>
      <c r="GB446" s="56"/>
      <c r="GC446" s="56"/>
      <c r="GD446" s="56"/>
      <c r="GE446" s="56"/>
      <c r="GF446" s="56"/>
      <c r="GG446" s="56"/>
      <c r="GH446" s="56"/>
      <c r="GI446" s="56"/>
      <c r="GJ446" s="56"/>
      <c r="GK446" s="56"/>
      <c r="GL446" s="56"/>
      <c r="GM446" s="56"/>
      <c r="GN446" s="56"/>
      <c r="GO446" s="56"/>
      <c r="GP446" s="56"/>
      <c r="GQ446" s="56"/>
      <c r="GR446" s="56"/>
      <c r="GS446" s="56"/>
      <c r="GT446" s="56"/>
      <c r="GU446" s="56"/>
      <c r="GV446" s="56"/>
      <c r="GW446" s="56"/>
      <c r="GX446" s="56"/>
      <c r="GY446" s="56"/>
      <c r="GZ446" s="56"/>
      <c r="HA446" s="56"/>
      <c r="HB446" s="56"/>
      <c r="HC446" s="56"/>
      <c r="HD446" s="56"/>
      <c r="HE446" s="56"/>
      <c r="HF446" s="56"/>
      <c r="HG446" s="56"/>
      <c r="HH446" s="56"/>
      <c r="HI446" s="56"/>
      <c r="HJ446" s="56"/>
    </row>
    <row r="447" spans="1:218" ht="15.75" customHeight="1" x14ac:dyDescent="0.2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56"/>
      <c r="CP447" s="56"/>
      <c r="CQ447" s="56"/>
      <c r="CR447" s="56"/>
      <c r="CS447" s="56"/>
      <c r="CT447" s="56"/>
      <c r="CU447" s="56"/>
      <c r="CV447" s="56"/>
      <c r="CW447" s="56"/>
      <c r="CX447" s="56"/>
      <c r="CY447" s="56"/>
      <c r="CZ447" s="56"/>
      <c r="DA447" s="56"/>
      <c r="DB447" s="56"/>
      <c r="DC447" s="56"/>
      <c r="DD447" s="56"/>
      <c r="DE447" s="56"/>
      <c r="DF447" s="56"/>
      <c r="DG447" s="56"/>
      <c r="DH447" s="56"/>
      <c r="DI447" s="56"/>
      <c r="DJ447" s="56"/>
      <c r="DK447" s="56"/>
      <c r="DL447" s="56"/>
      <c r="DM447" s="56"/>
      <c r="DN447" s="56"/>
      <c r="DO447" s="56"/>
      <c r="DP447" s="56"/>
      <c r="DQ447" s="56"/>
      <c r="DR447" s="56"/>
      <c r="DS447" s="56"/>
      <c r="DT447" s="56"/>
      <c r="DU447" s="56"/>
      <c r="DV447" s="56"/>
      <c r="DW447" s="56"/>
      <c r="DX447" s="56"/>
      <c r="DY447" s="56"/>
      <c r="DZ447" s="56"/>
      <c r="EA447" s="56"/>
      <c r="EB447" s="56"/>
      <c r="EC447" s="56"/>
      <c r="ED447" s="56"/>
      <c r="EE447" s="56"/>
      <c r="EF447" s="56"/>
      <c r="EG447" s="56"/>
      <c r="EH447" s="56"/>
      <c r="EI447" s="56"/>
      <c r="EJ447" s="56"/>
      <c r="EK447" s="56"/>
      <c r="EL447" s="56"/>
      <c r="EM447" s="56"/>
      <c r="EN447" s="56"/>
      <c r="EO447" s="56"/>
      <c r="EP447" s="56"/>
      <c r="EQ447" s="56"/>
      <c r="ER447" s="56"/>
      <c r="ES447" s="56"/>
      <c r="ET447" s="56"/>
      <c r="EU447" s="56"/>
      <c r="EV447" s="56"/>
      <c r="EW447" s="56"/>
      <c r="EX447" s="56"/>
      <c r="EY447" s="56"/>
      <c r="EZ447" s="56"/>
      <c r="FA447" s="56"/>
      <c r="FB447" s="56"/>
      <c r="FC447" s="56"/>
      <c r="FD447" s="56"/>
      <c r="FE447" s="56"/>
      <c r="FF447" s="56"/>
      <c r="FG447" s="56"/>
      <c r="FH447" s="56"/>
      <c r="FI447" s="56"/>
      <c r="FJ447" s="56"/>
      <c r="FK447" s="56"/>
      <c r="FL447" s="56"/>
      <c r="FM447" s="56"/>
      <c r="FN447" s="56"/>
      <c r="FO447" s="56"/>
      <c r="FP447" s="56"/>
      <c r="FQ447" s="56"/>
      <c r="FR447" s="56"/>
      <c r="FS447" s="56"/>
      <c r="FT447" s="56"/>
      <c r="FU447" s="56"/>
      <c r="FV447" s="56"/>
      <c r="FW447" s="56"/>
      <c r="FX447" s="56"/>
      <c r="FY447" s="56"/>
      <c r="FZ447" s="56"/>
      <c r="GA447" s="56"/>
      <c r="GB447" s="56"/>
      <c r="GC447" s="56"/>
      <c r="GD447" s="56"/>
      <c r="GE447" s="56"/>
      <c r="GF447" s="56"/>
      <c r="GG447" s="56"/>
      <c r="GH447" s="56"/>
      <c r="GI447" s="56"/>
      <c r="GJ447" s="56"/>
      <c r="GK447" s="56"/>
      <c r="GL447" s="56"/>
      <c r="GM447" s="56"/>
      <c r="GN447" s="56"/>
      <c r="GO447" s="56"/>
      <c r="GP447" s="56"/>
      <c r="GQ447" s="56"/>
      <c r="GR447" s="56"/>
      <c r="GS447" s="56"/>
      <c r="GT447" s="56"/>
      <c r="GU447" s="56"/>
      <c r="GV447" s="56"/>
      <c r="GW447" s="56"/>
      <c r="GX447" s="56"/>
      <c r="GY447" s="56"/>
      <c r="GZ447" s="56"/>
      <c r="HA447" s="56"/>
      <c r="HB447" s="56"/>
      <c r="HC447" s="56"/>
      <c r="HD447" s="56"/>
      <c r="HE447" s="56"/>
      <c r="HF447" s="56"/>
      <c r="HG447" s="56"/>
      <c r="HH447" s="56"/>
      <c r="HI447" s="56"/>
      <c r="HJ447" s="56"/>
    </row>
    <row r="448" spans="1:218" ht="15.75" customHeight="1" x14ac:dyDescent="0.2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  <c r="BV448" s="56"/>
      <c r="BW448" s="56"/>
      <c r="BX448" s="56"/>
      <c r="BY448" s="56"/>
      <c r="BZ448" s="56"/>
      <c r="CA448" s="56"/>
      <c r="CB448" s="56"/>
      <c r="CC448" s="56"/>
      <c r="CD448" s="56"/>
      <c r="CE448" s="56"/>
      <c r="CF448" s="56"/>
      <c r="CG448" s="56"/>
      <c r="CH448" s="56"/>
      <c r="CI448" s="56"/>
      <c r="CJ448" s="56"/>
      <c r="CK448" s="56"/>
      <c r="CL448" s="56"/>
      <c r="CM448" s="56"/>
      <c r="CN448" s="56"/>
      <c r="CO448" s="56"/>
      <c r="CP448" s="56"/>
      <c r="CQ448" s="56"/>
      <c r="CR448" s="56"/>
      <c r="CS448" s="56"/>
      <c r="CT448" s="56"/>
      <c r="CU448" s="56"/>
      <c r="CV448" s="56"/>
      <c r="CW448" s="56"/>
      <c r="CX448" s="56"/>
      <c r="CY448" s="56"/>
      <c r="CZ448" s="56"/>
      <c r="DA448" s="56"/>
      <c r="DB448" s="56"/>
      <c r="DC448" s="56"/>
      <c r="DD448" s="56"/>
      <c r="DE448" s="56"/>
      <c r="DF448" s="56"/>
      <c r="DG448" s="56"/>
      <c r="DH448" s="56"/>
      <c r="DI448" s="56"/>
      <c r="DJ448" s="56"/>
      <c r="DK448" s="56"/>
      <c r="DL448" s="56"/>
      <c r="DM448" s="56"/>
      <c r="DN448" s="56"/>
      <c r="DO448" s="56"/>
      <c r="DP448" s="56"/>
      <c r="DQ448" s="56"/>
      <c r="DR448" s="56"/>
      <c r="DS448" s="56"/>
      <c r="DT448" s="56"/>
      <c r="DU448" s="56"/>
      <c r="DV448" s="56"/>
      <c r="DW448" s="56"/>
      <c r="DX448" s="56"/>
      <c r="DY448" s="56"/>
      <c r="DZ448" s="56"/>
      <c r="EA448" s="56"/>
      <c r="EB448" s="56"/>
      <c r="EC448" s="56"/>
      <c r="ED448" s="56"/>
      <c r="EE448" s="56"/>
      <c r="EF448" s="56"/>
      <c r="EG448" s="56"/>
      <c r="EH448" s="56"/>
      <c r="EI448" s="56"/>
      <c r="EJ448" s="56"/>
      <c r="EK448" s="56"/>
      <c r="EL448" s="56"/>
      <c r="EM448" s="56"/>
      <c r="EN448" s="56"/>
      <c r="EO448" s="56"/>
      <c r="EP448" s="56"/>
      <c r="EQ448" s="56"/>
      <c r="ER448" s="56"/>
      <c r="ES448" s="56"/>
      <c r="ET448" s="56"/>
      <c r="EU448" s="56"/>
      <c r="EV448" s="56"/>
      <c r="EW448" s="56"/>
      <c r="EX448" s="56"/>
      <c r="EY448" s="56"/>
      <c r="EZ448" s="56"/>
      <c r="FA448" s="56"/>
      <c r="FB448" s="56"/>
      <c r="FC448" s="56"/>
      <c r="FD448" s="56"/>
      <c r="FE448" s="56"/>
      <c r="FF448" s="56"/>
      <c r="FG448" s="56"/>
      <c r="FH448" s="56"/>
      <c r="FI448" s="56"/>
      <c r="FJ448" s="56"/>
      <c r="FK448" s="56"/>
      <c r="FL448" s="56"/>
      <c r="FM448" s="56"/>
      <c r="FN448" s="56"/>
      <c r="FO448" s="56"/>
      <c r="FP448" s="56"/>
      <c r="FQ448" s="56"/>
      <c r="FR448" s="56"/>
      <c r="FS448" s="56"/>
      <c r="FT448" s="56"/>
      <c r="FU448" s="56"/>
      <c r="FV448" s="56"/>
      <c r="FW448" s="56"/>
      <c r="FX448" s="56"/>
      <c r="FY448" s="56"/>
      <c r="FZ448" s="56"/>
      <c r="GA448" s="56"/>
      <c r="GB448" s="56"/>
      <c r="GC448" s="56"/>
      <c r="GD448" s="56"/>
      <c r="GE448" s="56"/>
      <c r="GF448" s="56"/>
      <c r="GG448" s="56"/>
      <c r="GH448" s="56"/>
      <c r="GI448" s="56"/>
      <c r="GJ448" s="56"/>
      <c r="GK448" s="56"/>
      <c r="GL448" s="56"/>
      <c r="GM448" s="56"/>
      <c r="GN448" s="56"/>
      <c r="GO448" s="56"/>
      <c r="GP448" s="56"/>
      <c r="GQ448" s="56"/>
      <c r="GR448" s="56"/>
      <c r="GS448" s="56"/>
      <c r="GT448" s="56"/>
      <c r="GU448" s="56"/>
      <c r="GV448" s="56"/>
      <c r="GW448" s="56"/>
      <c r="GX448" s="56"/>
      <c r="GY448" s="56"/>
      <c r="GZ448" s="56"/>
      <c r="HA448" s="56"/>
      <c r="HB448" s="56"/>
      <c r="HC448" s="56"/>
      <c r="HD448" s="56"/>
      <c r="HE448" s="56"/>
      <c r="HF448" s="56"/>
      <c r="HG448" s="56"/>
      <c r="HH448" s="56"/>
      <c r="HI448" s="56"/>
      <c r="HJ448" s="56"/>
    </row>
    <row r="449" spans="1:218" ht="15.75" customHeight="1" x14ac:dyDescent="0.2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  <c r="BV449" s="56"/>
      <c r="BW449" s="56"/>
      <c r="BX449" s="56"/>
      <c r="BY449" s="56"/>
      <c r="BZ449" s="56"/>
      <c r="CA449" s="56"/>
      <c r="CB449" s="56"/>
      <c r="CC449" s="56"/>
      <c r="CD449" s="56"/>
      <c r="CE449" s="56"/>
      <c r="CF449" s="56"/>
      <c r="CG449" s="56"/>
      <c r="CH449" s="56"/>
      <c r="CI449" s="56"/>
      <c r="CJ449" s="56"/>
      <c r="CK449" s="56"/>
      <c r="CL449" s="56"/>
      <c r="CM449" s="56"/>
      <c r="CN449" s="56"/>
      <c r="CO449" s="56"/>
      <c r="CP449" s="56"/>
      <c r="CQ449" s="56"/>
      <c r="CR449" s="56"/>
      <c r="CS449" s="56"/>
      <c r="CT449" s="56"/>
      <c r="CU449" s="56"/>
      <c r="CV449" s="56"/>
      <c r="CW449" s="56"/>
      <c r="CX449" s="56"/>
      <c r="CY449" s="56"/>
      <c r="CZ449" s="56"/>
      <c r="DA449" s="56"/>
      <c r="DB449" s="56"/>
      <c r="DC449" s="56"/>
      <c r="DD449" s="56"/>
      <c r="DE449" s="56"/>
      <c r="DF449" s="56"/>
      <c r="DG449" s="56"/>
      <c r="DH449" s="56"/>
      <c r="DI449" s="56"/>
      <c r="DJ449" s="56"/>
      <c r="DK449" s="56"/>
      <c r="DL449" s="56"/>
      <c r="DM449" s="56"/>
      <c r="DN449" s="56"/>
      <c r="DO449" s="56"/>
      <c r="DP449" s="56"/>
      <c r="DQ449" s="56"/>
      <c r="DR449" s="56"/>
      <c r="DS449" s="56"/>
      <c r="DT449" s="56"/>
      <c r="DU449" s="56"/>
      <c r="DV449" s="56"/>
      <c r="DW449" s="56"/>
      <c r="DX449" s="56"/>
      <c r="DY449" s="56"/>
      <c r="DZ449" s="56"/>
      <c r="EA449" s="56"/>
      <c r="EB449" s="56"/>
      <c r="EC449" s="56"/>
      <c r="ED449" s="56"/>
      <c r="EE449" s="56"/>
      <c r="EF449" s="56"/>
      <c r="EG449" s="56"/>
      <c r="EH449" s="56"/>
      <c r="EI449" s="56"/>
      <c r="EJ449" s="56"/>
      <c r="EK449" s="56"/>
      <c r="EL449" s="56"/>
      <c r="EM449" s="56"/>
      <c r="EN449" s="56"/>
      <c r="EO449" s="56"/>
      <c r="EP449" s="56"/>
      <c r="EQ449" s="56"/>
      <c r="ER449" s="56"/>
      <c r="ES449" s="56"/>
      <c r="ET449" s="56"/>
      <c r="EU449" s="56"/>
      <c r="EV449" s="56"/>
      <c r="EW449" s="56"/>
      <c r="EX449" s="56"/>
      <c r="EY449" s="56"/>
      <c r="EZ449" s="56"/>
      <c r="FA449" s="56"/>
      <c r="FB449" s="56"/>
      <c r="FC449" s="56"/>
      <c r="FD449" s="56"/>
      <c r="FE449" s="56"/>
      <c r="FF449" s="56"/>
      <c r="FG449" s="56"/>
      <c r="FH449" s="56"/>
      <c r="FI449" s="56"/>
      <c r="FJ449" s="56"/>
      <c r="FK449" s="56"/>
      <c r="FL449" s="56"/>
      <c r="FM449" s="56"/>
      <c r="FN449" s="56"/>
      <c r="FO449" s="56"/>
      <c r="FP449" s="56"/>
      <c r="FQ449" s="56"/>
      <c r="FR449" s="56"/>
      <c r="FS449" s="56"/>
      <c r="FT449" s="56"/>
      <c r="FU449" s="56"/>
      <c r="FV449" s="56"/>
      <c r="FW449" s="56"/>
      <c r="FX449" s="56"/>
      <c r="FY449" s="56"/>
      <c r="FZ449" s="56"/>
      <c r="GA449" s="56"/>
      <c r="GB449" s="56"/>
      <c r="GC449" s="56"/>
      <c r="GD449" s="56"/>
      <c r="GE449" s="56"/>
      <c r="GF449" s="56"/>
      <c r="GG449" s="56"/>
      <c r="GH449" s="56"/>
      <c r="GI449" s="56"/>
      <c r="GJ449" s="56"/>
      <c r="GK449" s="56"/>
      <c r="GL449" s="56"/>
      <c r="GM449" s="56"/>
      <c r="GN449" s="56"/>
      <c r="GO449" s="56"/>
      <c r="GP449" s="56"/>
      <c r="GQ449" s="56"/>
      <c r="GR449" s="56"/>
      <c r="GS449" s="56"/>
      <c r="GT449" s="56"/>
      <c r="GU449" s="56"/>
      <c r="GV449" s="56"/>
      <c r="GW449" s="56"/>
      <c r="GX449" s="56"/>
      <c r="GY449" s="56"/>
      <c r="GZ449" s="56"/>
      <c r="HA449" s="56"/>
      <c r="HB449" s="56"/>
      <c r="HC449" s="56"/>
      <c r="HD449" s="56"/>
      <c r="HE449" s="56"/>
      <c r="HF449" s="56"/>
      <c r="HG449" s="56"/>
      <c r="HH449" s="56"/>
      <c r="HI449" s="56"/>
      <c r="HJ449" s="56"/>
    </row>
    <row r="450" spans="1:218" ht="15.75" customHeight="1" x14ac:dyDescent="0.2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  <c r="BV450" s="56"/>
      <c r="BW450" s="56"/>
      <c r="BX450" s="56"/>
      <c r="BY450" s="56"/>
      <c r="BZ450" s="56"/>
      <c r="CA450" s="56"/>
      <c r="CB450" s="56"/>
      <c r="CC450" s="56"/>
      <c r="CD450" s="56"/>
      <c r="CE450" s="56"/>
      <c r="CF450" s="56"/>
      <c r="CG450" s="56"/>
      <c r="CH450" s="56"/>
      <c r="CI450" s="56"/>
      <c r="CJ450" s="56"/>
      <c r="CK450" s="56"/>
      <c r="CL450" s="56"/>
      <c r="CM450" s="56"/>
      <c r="CN450" s="56"/>
      <c r="CO450" s="56"/>
      <c r="CP450" s="56"/>
      <c r="CQ450" s="56"/>
      <c r="CR450" s="56"/>
      <c r="CS450" s="56"/>
      <c r="CT450" s="56"/>
      <c r="CU450" s="56"/>
      <c r="CV450" s="56"/>
      <c r="CW450" s="56"/>
      <c r="CX450" s="56"/>
      <c r="CY450" s="56"/>
      <c r="CZ450" s="56"/>
      <c r="DA450" s="56"/>
      <c r="DB450" s="56"/>
      <c r="DC450" s="56"/>
      <c r="DD450" s="56"/>
      <c r="DE450" s="56"/>
      <c r="DF450" s="56"/>
      <c r="DG450" s="56"/>
      <c r="DH450" s="56"/>
      <c r="DI450" s="56"/>
      <c r="DJ450" s="56"/>
      <c r="DK450" s="56"/>
      <c r="DL450" s="56"/>
      <c r="DM450" s="56"/>
      <c r="DN450" s="56"/>
      <c r="DO450" s="56"/>
      <c r="DP450" s="56"/>
      <c r="DQ450" s="56"/>
      <c r="DR450" s="56"/>
      <c r="DS450" s="56"/>
      <c r="DT450" s="56"/>
      <c r="DU450" s="56"/>
      <c r="DV450" s="56"/>
      <c r="DW450" s="56"/>
      <c r="DX450" s="56"/>
      <c r="DY450" s="56"/>
      <c r="DZ450" s="56"/>
      <c r="EA450" s="56"/>
      <c r="EB450" s="56"/>
      <c r="EC450" s="56"/>
      <c r="ED450" s="56"/>
      <c r="EE450" s="56"/>
      <c r="EF450" s="56"/>
      <c r="EG450" s="56"/>
      <c r="EH450" s="56"/>
      <c r="EI450" s="56"/>
      <c r="EJ450" s="56"/>
      <c r="EK450" s="56"/>
      <c r="EL450" s="56"/>
      <c r="EM450" s="56"/>
      <c r="EN450" s="56"/>
      <c r="EO450" s="56"/>
      <c r="EP450" s="56"/>
      <c r="EQ450" s="56"/>
      <c r="ER450" s="56"/>
      <c r="ES450" s="56"/>
      <c r="ET450" s="56"/>
      <c r="EU450" s="56"/>
      <c r="EV450" s="56"/>
      <c r="EW450" s="56"/>
      <c r="EX450" s="56"/>
      <c r="EY450" s="56"/>
      <c r="EZ450" s="56"/>
      <c r="FA450" s="56"/>
      <c r="FB450" s="56"/>
      <c r="FC450" s="56"/>
      <c r="FD450" s="56"/>
      <c r="FE450" s="56"/>
      <c r="FF450" s="56"/>
      <c r="FG450" s="56"/>
      <c r="FH450" s="56"/>
      <c r="FI450" s="56"/>
      <c r="FJ450" s="56"/>
      <c r="FK450" s="56"/>
      <c r="FL450" s="56"/>
      <c r="FM450" s="56"/>
      <c r="FN450" s="56"/>
      <c r="FO450" s="56"/>
      <c r="FP450" s="56"/>
      <c r="FQ450" s="56"/>
      <c r="FR450" s="56"/>
      <c r="FS450" s="56"/>
      <c r="FT450" s="56"/>
      <c r="FU450" s="56"/>
      <c r="FV450" s="56"/>
      <c r="FW450" s="56"/>
      <c r="FX450" s="56"/>
      <c r="FY450" s="56"/>
      <c r="FZ450" s="56"/>
      <c r="GA450" s="56"/>
      <c r="GB450" s="56"/>
      <c r="GC450" s="56"/>
      <c r="GD450" s="56"/>
      <c r="GE450" s="56"/>
      <c r="GF450" s="56"/>
      <c r="GG450" s="56"/>
      <c r="GH450" s="56"/>
      <c r="GI450" s="56"/>
      <c r="GJ450" s="56"/>
      <c r="GK450" s="56"/>
      <c r="GL450" s="56"/>
      <c r="GM450" s="56"/>
      <c r="GN450" s="56"/>
      <c r="GO450" s="56"/>
      <c r="GP450" s="56"/>
      <c r="GQ450" s="56"/>
      <c r="GR450" s="56"/>
      <c r="GS450" s="56"/>
      <c r="GT450" s="56"/>
      <c r="GU450" s="56"/>
      <c r="GV450" s="56"/>
      <c r="GW450" s="56"/>
      <c r="GX450" s="56"/>
      <c r="GY450" s="56"/>
      <c r="GZ450" s="56"/>
      <c r="HA450" s="56"/>
      <c r="HB450" s="56"/>
      <c r="HC450" s="56"/>
      <c r="HD450" s="56"/>
      <c r="HE450" s="56"/>
      <c r="HF450" s="56"/>
      <c r="HG450" s="56"/>
      <c r="HH450" s="56"/>
      <c r="HI450" s="56"/>
      <c r="HJ450" s="56"/>
    </row>
    <row r="451" spans="1:218" ht="15.75" customHeight="1" x14ac:dyDescent="0.2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  <c r="CL451" s="56"/>
      <c r="CM451" s="56"/>
      <c r="CN451" s="56"/>
      <c r="CO451" s="56"/>
      <c r="CP451" s="56"/>
      <c r="CQ451" s="56"/>
      <c r="CR451" s="56"/>
      <c r="CS451" s="56"/>
      <c r="CT451" s="56"/>
      <c r="CU451" s="56"/>
      <c r="CV451" s="56"/>
      <c r="CW451" s="56"/>
      <c r="CX451" s="56"/>
      <c r="CY451" s="56"/>
      <c r="CZ451" s="56"/>
      <c r="DA451" s="56"/>
      <c r="DB451" s="56"/>
      <c r="DC451" s="56"/>
      <c r="DD451" s="56"/>
      <c r="DE451" s="56"/>
      <c r="DF451" s="56"/>
      <c r="DG451" s="56"/>
      <c r="DH451" s="56"/>
      <c r="DI451" s="56"/>
      <c r="DJ451" s="56"/>
      <c r="DK451" s="56"/>
      <c r="DL451" s="56"/>
      <c r="DM451" s="56"/>
      <c r="DN451" s="56"/>
      <c r="DO451" s="56"/>
      <c r="DP451" s="56"/>
      <c r="DQ451" s="56"/>
      <c r="DR451" s="56"/>
      <c r="DS451" s="56"/>
      <c r="DT451" s="56"/>
      <c r="DU451" s="56"/>
      <c r="DV451" s="56"/>
      <c r="DW451" s="56"/>
      <c r="DX451" s="56"/>
      <c r="DY451" s="56"/>
      <c r="DZ451" s="56"/>
      <c r="EA451" s="56"/>
      <c r="EB451" s="56"/>
      <c r="EC451" s="56"/>
      <c r="ED451" s="56"/>
      <c r="EE451" s="56"/>
      <c r="EF451" s="56"/>
      <c r="EG451" s="56"/>
      <c r="EH451" s="56"/>
      <c r="EI451" s="56"/>
      <c r="EJ451" s="56"/>
      <c r="EK451" s="56"/>
      <c r="EL451" s="56"/>
      <c r="EM451" s="56"/>
      <c r="EN451" s="56"/>
      <c r="EO451" s="56"/>
      <c r="EP451" s="56"/>
      <c r="EQ451" s="56"/>
      <c r="ER451" s="56"/>
      <c r="ES451" s="56"/>
      <c r="ET451" s="56"/>
      <c r="EU451" s="56"/>
      <c r="EV451" s="56"/>
      <c r="EW451" s="56"/>
      <c r="EX451" s="56"/>
      <c r="EY451" s="56"/>
      <c r="EZ451" s="56"/>
      <c r="FA451" s="56"/>
      <c r="FB451" s="56"/>
      <c r="FC451" s="56"/>
      <c r="FD451" s="56"/>
      <c r="FE451" s="56"/>
      <c r="FF451" s="56"/>
      <c r="FG451" s="56"/>
      <c r="FH451" s="56"/>
      <c r="FI451" s="56"/>
      <c r="FJ451" s="56"/>
      <c r="FK451" s="56"/>
      <c r="FL451" s="56"/>
      <c r="FM451" s="56"/>
      <c r="FN451" s="56"/>
      <c r="FO451" s="56"/>
      <c r="FP451" s="56"/>
      <c r="FQ451" s="56"/>
      <c r="FR451" s="56"/>
      <c r="FS451" s="56"/>
      <c r="FT451" s="56"/>
      <c r="FU451" s="56"/>
      <c r="FV451" s="56"/>
      <c r="FW451" s="56"/>
      <c r="FX451" s="56"/>
      <c r="FY451" s="56"/>
      <c r="FZ451" s="56"/>
      <c r="GA451" s="56"/>
      <c r="GB451" s="56"/>
      <c r="GC451" s="56"/>
      <c r="GD451" s="56"/>
      <c r="GE451" s="56"/>
      <c r="GF451" s="56"/>
      <c r="GG451" s="56"/>
      <c r="GH451" s="56"/>
      <c r="GI451" s="56"/>
      <c r="GJ451" s="56"/>
      <c r="GK451" s="56"/>
      <c r="GL451" s="56"/>
      <c r="GM451" s="56"/>
      <c r="GN451" s="56"/>
      <c r="GO451" s="56"/>
      <c r="GP451" s="56"/>
      <c r="GQ451" s="56"/>
      <c r="GR451" s="56"/>
      <c r="GS451" s="56"/>
      <c r="GT451" s="56"/>
      <c r="GU451" s="56"/>
      <c r="GV451" s="56"/>
      <c r="GW451" s="56"/>
      <c r="GX451" s="56"/>
      <c r="GY451" s="56"/>
      <c r="GZ451" s="56"/>
      <c r="HA451" s="56"/>
      <c r="HB451" s="56"/>
      <c r="HC451" s="56"/>
      <c r="HD451" s="56"/>
      <c r="HE451" s="56"/>
      <c r="HF451" s="56"/>
      <c r="HG451" s="56"/>
      <c r="HH451" s="56"/>
      <c r="HI451" s="56"/>
      <c r="HJ451" s="56"/>
    </row>
    <row r="452" spans="1:218" ht="15.75" customHeight="1" x14ac:dyDescent="0.2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  <c r="CL452" s="56"/>
      <c r="CM452" s="56"/>
      <c r="CN452" s="56"/>
      <c r="CO452" s="56"/>
      <c r="CP452" s="56"/>
      <c r="CQ452" s="56"/>
      <c r="CR452" s="56"/>
      <c r="CS452" s="56"/>
      <c r="CT452" s="56"/>
      <c r="CU452" s="56"/>
      <c r="CV452" s="56"/>
      <c r="CW452" s="56"/>
      <c r="CX452" s="56"/>
      <c r="CY452" s="56"/>
      <c r="CZ452" s="56"/>
      <c r="DA452" s="56"/>
      <c r="DB452" s="56"/>
      <c r="DC452" s="56"/>
      <c r="DD452" s="56"/>
      <c r="DE452" s="56"/>
      <c r="DF452" s="56"/>
      <c r="DG452" s="56"/>
      <c r="DH452" s="56"/>
      <c r="DI452" s="56"/>
      <c r="DJ452" s="56"/>
      <c r="DK452" s="56"/>
      <c r="DL452" s="56"/>
      <c r="DM452" s="56"/>
      <c r="DN452" s="56"/>
      <c r="DO452" s="56"/>
      <c r="DP452" s="56"/>
      <c r="DQ452" s="56"/>
      <c r="DR452" s="56"/>
      <c r="DS452" s="56"/>
      <c r="DT452" s="56"/>
      <c r="DU452" s="56"/>
      <c r="DV452" s="56"/>
      <c r="DW452" s="56"/>
      <c r="DX452" s="56"/>
      <c r="DY452" s="56"/>
      <c r="DZ452" s="56"/>
      <c r="EA452" s="56"/>
      <c r="EB452" s="56"/>
      <c r="EC452" s="56"/>
      <c r="ED452" s="56"/>
      <c r="EE452" s="56"/>
      <c r="EF452" s="56"/>
      <c r="EG452" s="56"/>
      <c r="EH452" s="56"/>
      <c r="EI452" s="56"/>
      <c r="EJ452" s="56"/>
      <c r="EK452" s="56"/>
      <c r="EL452" s="56"/>
      <c r="EM452" s="56"/>
      <c r="EN452" s="56"/>
      <c r="EO452" s="56"/>
      <c r="EP452" s="56"/>
      <c r="EQ452" s="56"/>
      <c r="ER452" s="56"/>
      <c r="ES452" s="56"/>
      <c r="ET452" s="56"/>
      <c r="EU452" s="56"/>
      <c r="EV452" s="56"/>
      <c r="EW452" s="56"/>
      <c r="EX452" s="56"/>
      <c r="EY452" s="56"/>
      <c r="EZ452" s="56"/>
      <c r="FA452" s="56"/>
      <c r="FB452" s="56"/>
      <c r="FC452" s="56"/>
      <c r="FD452" s="56"/>
      <c r="FE452" s="56"/>
      <c r="FF452" s="56"/>
      <c r="FG452" s="56"/>
      <c r="FH452" s="56"/>
      <c r="FI452" s="56"/>
      <c r="FJ452" s="56"/>
      <c r="FK452" s="56"/>
      <c r="FL452" s="56"/>
      <c r="FM452" s="56"/>
      <c r="FN452" s="56"/>
      <c r="FO452" s="56"/>
      <c r="FP452" s="56"/>
      <c r="FQ452" s="56"/>
      <c r="FR452" s="56"/>
      <c r="FS452" s="56"/>
      <c r="FT452" s="56"/>
      <c r="FU452" s="56"/>
      <c r="FV452" s="56"/>
      <c r="FW452" s="56"/>
      <c r="FX452" s="56"/>
      <c r="FY452" s="56"/>
      <c r="FZ452" s="56"/>
      <c r="GA452" s="56"/>
      <c r="GB452" s="56"/>
      <c r="GC452" s="56"/>
      <c r="GD452" s="56"/>
      <c r="GE452" s="56"/>
      <c r="GF452" s="56"/>
      <c r="GG452" s="56"/>
      <c r="GH452" s="56"/>
      <c r="GI452" s="56"/>
      <c r="GJ452" s="56"/>
      <c r="GK452" s="56"/>
      <c r="GL452" s="56"/>
      <c r="GM452" s="56"/>
      <c r="GN452" s="56"/>
      <c r="GO452" s="56"/>
      <c r="GP452" s="56"/>
      <c r="GQ452" s="56"/>
      <c r="GR452" s="56"/>
      <c r="GS452" s="56"/>
      <c r="GT452" s="56"/>
      <c r="GU452" s="56"/>
      <c r="GV452" s="56"/>
      <c r="GW452" s="56"/>
      <c r="GX452" s="56"/>
      <c r="GY452" s="56"/>
      <c r="GZ452" s="56"/>
      <c r="HA452" s="56"/>
      <c r="HB452" s="56"/>
      <c r="HC452" s="56"/>
      <c r="HD452" s="56"/>
      <c r="HE452" s="56"/>
      <c r="HF452" s="56"/>
      <c r="HG452" s="56"/>
      <c r="HH452" s="56"/>
      <c r="HI452" s="56"/>
      <c r="HJ452" s="56"/>
    </row>
    <row r="453" spans="1:218" ht="15.75" customHeight="1" x14ac:dyDescent="0.2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  <c r="BV453" s="56"/>
      <c r="BW453" s="56"/>
      <c r="BX453" s="56"/>
      <c r="BY453" s="56"/>
      <c r="BZ453" s="56"/>
      <c r="CA453" s="56"/>
      <c r="CB453" s="56"/>
      <c r="CC453" s="56"/>
      <c r="CD453" s="56"/>
      <c r="CE453" s="56"/>
      <c r="CF453" s="56"/>
      <c r="CG453" s="56"/>
      <c r="CH453" s="56"/>
      <c r="CI453" s="56"/>
      <c r="CJ453" s="56"/>
      <c r="CK453" s="56"/>
      <c r="CL453" s="56"/>
      <c r="CM453" s="56"/>
      <c r="CN453" s="56"/>
      <c r="CO453" s="56"/>
      <c r="CP453" s="56"/>
      <c r="CQ453" s="56"/>
      <c r="CR453" s="56"/>
      <c r="CS453" s="56"/>
      <c r="CT453" s="56"/>
      <c r="CU453" s="56"/>
      <c r="CV453" s="56"/>
      <c r="CW453" s="56"/>
      <c r="CX453" s="56"/>
      <c r="CY453" s="56"/>
      <c r="CZ453" s="56"/>
      <c r="DA453" s="56"/>
      <c r="DB453" s="56"/>
      <c r="DC453" s="56"/>
      <c r="DD453" s="56"/>
      <c r="DE453" s="56"/>
      <c r="DF453" s="56"/>
      <c r="DG453" s="56"/>
      <c r="DH453" s="56"/>
      <c r="DI453" s="56"/>
      <c r="DJ453" s="56"/>
      <c r="DK453" s="56"/>
      <c r="DL453" s="56"/>
      <c r="DM453" s="56"/>
      <c r="DN453" s="56"/>
      <c r="DO453" s="56"/>
      <c r="DP453" s="56"/>
      <c r="DQ453" s="56"/>
      <c r="DR453" s="56"/>
      <c r="DS453" s="56"/>
      <c r="DT453" s="56"/>
      <c r="DU453" s="56"/>
      <c r="DV453" s="56"/>
      <c r="DW453" s="56"/>
      <c r="DX453" s="56"/>
      <c r="DY453" s="56"/>
      <c r="DZ453" s="56"/>
      <c r="EA453" s="56"/>
      <c r="EB453" s="56"/>
      <c r="EC453" s="56"/>
      <c r="ED453" s="56"/>
      <c r="EE453" s="56"/>
      <c r="EF453" s="56"/>
      <c r="EG453" s="56"/>
      <c r="EH453" s="56"/>
      <c r="EI453" s="56"/>
      <c r="EJ453" s="56"/>
      <c r="EK453" s="56"/>
      <c r="EL453" s="56"/>
      <c r="EM453" s="56"/>
      <c r="EN453" s="56"/>
      <c r="EO453" s="56"/>
      <c r="EP453" s="56"/>
      <c r="EQ453" s="56"/>
      <c r="ER453" s="56"/>
      <c r="ES453" s="56"/>
      <c r="ET453" s="56"/>
      <c r="EU453" s="56"/>
      <c r="EV453" s="56"/>
      <c r="EW453" s="56"/>
      <c r="EX453" s="56"/>
      <c r="EY453" s="56"/>
      <c r="EZ453" s="56"/>
      <c r="FA453" s="56"/>
      <c r="FB453" s="56"/>
      <c r="FC453" s="56"/>
      <c r="FD453" s="56"/>
      <c r="FE453" s="56"/>
      <c r="FF453" s="56"/>
      <c r="FG453" s="56"/>
      <c r="FH453" s="56"/>
      <c r="FI453" s="56"/>
      <c r="FJ453" s="56"/>
      <c r="FK453" s="56"/>
      <c r="FL453" s="56"/>
      <c r="FM453" s="56"/>
      <c r="FN453" s="56"/>
      <c r="FO453" s="56"/>
      <c r="FP453" s="56"/>
      <c r="FQ453" s="56"/>
      <c r="FR453" s="56"/>
      <c r="FS453" s="56"/>
      <c r="FT453" s="56"/>
      <c r="FU453" s="56"/>
      <c r="FV453" s="56"/>
      <c r="FW453" s="56"/>
      <c r="FX453" s="56"/>
      <c r="FY453" s="56"/>
      <c r="FZ453" s="56"/>
      <c r="GA453" s="56"/>
      <c r="GB453" s="56"/>
      <c r="GC453" s="56"/>
      <c r="GD453" s="56"/>
      <c r="GE453" s="56"/>
      <c r="GF453" s="56"/>
      <c r="GG453" s="56"/>
      <c r="GH453" s="56"/>
      <c r="GI453" s="56"/>
      <c r="GJ453" s="56"/>
      <c r="GK453" s="56"/>
      <c r="GL453" s="56"/>
      <c r="GM453" s="56"/>
      <c r="GN453" s="56"/>
      <c r="GO453" s="56"/>
      <c r="GP453" s="56"/>
      <c r="GQ453" s="56"/>
      <c r="GR453" s="56"/>
      <c r="GS453" s="56"/>
      <c r="GT453" s="56"/>
      <c r="GU453" s="56"/>
      <c r="GV453" s="56"/>
      <c r="GW453" s="56"/>
      <c r="GX453" s="56"/>
      <c r="GY453" s="56"/>
      <c r="GZ453" s="56"/>
      <c r="HA453" s="56"/>
      <c r="HB453" s="56"/>
      <c r="HC453" s="56"/>
      <c r="HD453" s="56"/>
      <c r="HE453" s="56"/>
      <c r="HF453" s="56"/>
      <c r="HG453" s="56"/>
      <c r="HH453" s="56"/>
      <c r="HI453" s="56"/>
      <c r="HJ453" s="56"/>
    </row>
    <row r="454" spans="1:218" ht="15.75" customHeight="1" x14ac:dyDescent="0.2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  <c r="BV454" s="56"/>
      <c r="BW454" s="56"/>
      <c r="BX454" s="56"/>
      <c r="BY454" s="56"/>
      <c r="BZ454" s="56"/>
      <c r="CA454" s="56"/>
      <c r="CB454" s="56"/>
      <c r="CC454" s="56"/>
      <c r="CD454" s="56"/>
      <c r="CE454" s="56"/>
      <c r="CF454" s="56"/>
      <c r="CG454" s="56"/>
      <c r="CH454" s="56"/>
      <c r="CI454" s="56"/>
      <c r="CJ454" s="56"/>
      <c r="CK454" s="56"/>
      <c r="CL454" s="56"/>
      <c r="CM454" s="56"/>
      <c r="CN454" s="56"/>
      <c r="CO454" s="56"/>
      <c r="CP454" s="56"/>
      <c r="CQ454" s="56"/>
      <c r="CR454" s="56"/>
      <c r="CS454" s="56"/>
      <c r="CT454" s="56"/>
      <c r="CU454" s="56"/>
      <c r="CV454" s="56"/>
      <c r="CW454" s="56"/>
      <c r="CX454" s="56"/>
      <c r="CY454" s="56"/>
      <c r="CZ454" s="56"/>
      <c r="DA454" s="56"/>
      <c r="DB454" s="56"/>
      <c r="DC454" s="56"/>
      <c r="DD454" s="56"/>
      <c r="DE454" s="56"/>
      <c r="DF454" s="56"/>
      <c r="DG454" s="56"/>
      <c r="DH454" s="56"/>
      <c r="DI454" s="56"/>
      <c r="DJ454" s="56"/>
      <c r="DK454" s="56"/>
      <c r="DL454" s="56"/>
      <c r="DM454" s="56"/>
      <c r="DN454" s="56"/>
      <c r="DO454" s="56"/>
      <c r="DP454" s="56"/>
      <c r="DQ454" s="56"/>
      <c r="DR454" s="56"/>
      <c r="DS454" s="56"/>
      <c r="DT454" s="56"/>
      <c r="DU454" s="56"/>
      <c r="DV454" s="56"/>
      <c r="DW454" s="56"/>
      <c r="DX454" s="56"/>
      <c r="DY454" s="56"/>
      <c r="DZ454" s="56"/>
      <c r="EA454" s="56"/>
      <c r="EB454" s="56"/>
      <c r="EC454" s="56"/>
      <c r="ED454" s="56"/>
      <c r="EE454" s="56"/>
      <c r="EF454" s="56"/>
      <c r="EG454" s="56"/>
      <c r="EH454" s="56"/>
      <c r="EI454" s="56"/>
      <c r="EJ454" s="56"/>
      <c r="EK454" s="56"/>
      <c r="EL454" s="56"/>
      <c r="EM454" s="56"/>
      <c r="EN454" s="56"/>
      <c r="EO454" s="56"/>
      <c r="EP454" s="56"/>
      <c r="EQ454" s="56"/>
      <c r="ER454" s="56"/>
      <c r="ES454" s="56"/>
      <c r="ET454" s="56"/>
      <c r="EU454" s="56"/>
      <c r="EV454" s="56"/>
      <c r="EW454" s="56"/>
      <c r="EX454" s="56"/>
      <c r="EY454" s="56"/>
      <c r="EZ454" s="56"/>
      <c r="FA454" s="56"/>
      <c r="FB454" s="56"/>
      <c r="FC454" s="56"/>
      <c r="FD454" s="56"/>
      <c r="FE454" s="56"/>
      <c r="FF454" s="56"/>
      <c r="FG454" s="56"/>
      <c r="FH454" s="56"/>
      <c r="FI454" s="56"/>
      <c r="FJ454" s="56"/>
      <c r="FK454" s="56"/>
      <c r="FL454" s="56"/>
      <c r="FM454" s="56"/>
      <c r="FN454" s="56"/>
      <c r="FO454" s="56"/>
      <c r="FP454" s="56"/>
      <c r="FQ454" s="56"/>
      <c r="FR454" s="56"/>
      <c r="FS454" s="56"/>
      <c r="FT454" s="56"/>
      <c r="FU454" s="56"/>
      <c r="FV454" s="56"/>
      <c r="FW454" s="56"/>
      <c r="FX454" s="56"/>
      <c r="FY454" s="56"/>
      <c r="FZ454" s="56"/>
      <c r="GA454" s="56"/>
      <c r="GB454" s="56"/>
      <c r="GC454" s="56"/>
      <c r="GD454" s="56"/>
      <c r="GE454" s="56"/>
      <c r="GF454" s="56"/>
      <c r="GG454" s="56"/>
      <c r="GH454" s="56"/>
      <c r="GI454" s="56"/>
      <c r="GJ454" s="56"/>
      <c r="GK454" s="56"/>
      <c r="GL454" s="56"/>
      <c r="GM454" s="56"/>
      <c r="GN454" s="56"/>
      <c r="GO454" s="56"/>
      <c r="GP454" s="56"/>
      <c r="GQ454" s="56"/>
      <c r="GR454" s="56"/>
      <c r="GS454" s="56"/>
      <c r="GT454" s="56"/>
      <c r="GU454" s="56"/>
      <c r="GV454" s="56"/>
      <c r="GW454" s="56"/>
      <c r="GX454" s="56"/>
      <c r="GY454" s="56"/>
      <c r="GZ454" s="56"/>
      <c r="HA454" s="56"/>
      <c r="HB454" s="56"/>
      <c r="HC454" s="56"/>
      <c r="HD454" s="56"/>
      <c r="HE454" s="56"/>
      <c r="HF454" s="56"/>
      <c r="HG454" s="56"/>
      <c r="HH454" s="56"/>
      <c r="HI454" s="56"/>
      <c r="HJ454" s="56"/>
    </row>
    <row r="455" spans="1:218" ht="15.75" customHeight="1" x14ac:dyDescent="0.2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  <c r="BV455" s="56"/>
      <c r="BW455" s="56"/>
      <c r="BX455" s="56"/>
      <c r="BY455" s="56"/>
      <c r="BZ455" s="56"/>
      <c r="CA455" s="56"/>
      <c r="CB455" s="56"/>
      <c r="CC455" s="56"/>
      <c r="CD455" s="56"/>
      <c r="CE455" s="56"/>
      <c r="CF455" s="56"/>
      <c r="CG455" s="56"/>
      <c r="CH455" s="56"/>
      <c r="CI455" s="56"/>
      <c r="CJ455" s="56"/>
      <c r="CK455" s="56"/>
      <c r="CL455" s="56"/>
      <c r="CM455" s="56"/>
      <c r="CN455" s="56"/>
      <c r="CO455" s="56"/>
      <c r="CP455" s="56"/>
      <c r="CQ455" s="56"/>
      <c r="CR455" s="56"/>
      <c r="CS455" s="56"/>
      <c r="CT455" s="56"/>
      <c r="CU455" s="56"/>
      <c r="CV455" s="56"/>
      <c r="CW455" s="56"/>
      <c r="CX455" s="56"/>
      <c r="CY455" s="56"/>
      <c r="CZ455" s="56"/>
      <c r="DA455" s="56"/>
      <c r="DB455" s="56"/>
      <c r="DC455" s="56"/>
      <c r="DD455" s="56"/>
      <c r="DE455" s="56"/>
      <c r="DF455" s="56"/>
      <c r="DG455" s="56"/>
      <c r="DH455" s="56"/>
      <c r="DI455" s="56"/>
      <c r="DJ455" s="56"/>
      <c r="DK455" s="56"/>
      <c r="DL455" s="56"/>
      <c r="DM455" s="56"/>
      <c r="DN455" s="56"/>
      <c r="DO455" s="56"/>
      <c r="DP455" s="56"/>
      <c r="DQ455" s="56"/>
      <c r="DR455" s="56"/>
      <c r="DS455" s="56"/>
      <c r="DT455" s="56"/>
      <c r="DU455" s="56"/>
      <c r="DV455" s="56"/>
      <c r="DW455" s="56"/>
      <c r="DX455" s="56"/>
      <c r="DY455" s="56"/>
      <c r="DZ455" s="56"/>
      <c r="EA455" s="56"/>
      <c r="EB455" s="56"/>
      <c r="EC455" s="56"/>
      <c r="ED455" s="56"/>
      <c r="EE455" s="56"/>
      <c r="EF455" s="56"/>
      <c r="EG455" s="56"/>
      <c r="EH455" s="56"/>
      <c r="EI455" s="56"/>
      <c r="EJ455" s="56"/>
      <c r="EK455" s="56"/>
      <c r="EL455" s="56"/>
      <c r="EM455" s="56"/>
      <c r="EN455" s="56"/>
      <c r="EO455" s="56"/>
      <c r="EP455" s="56"/>
      <c r="EQ455" s="56"/>
      <c r="ER455" s="56"/>
      <c r="ES455" s="56"/>
      <c r="ET455" s="56"/>
      <c r="EU455" s="56"/>
      <c r="EV455" s="56"/>
      <c r="EW455" s="56"/>
      <c r="EX455" s="56"/>
      <c r="EY455" s="56"/>
      <c r="EZ455" s="56"/>
      <c r="FA455" s="56"/>
      <c r="FB455" s="56"/>
      <c r="FC455" s="56"/>
      <c r="FD455" s="56"/>
      <c r="FE455" s="56"/>
      <c r="FF455" s="56"/>
      <c r="FG455" s="56"/>
      <c r="FH455" s="56"/>
      <c r="FI455" s="56"/>
      <c r="FJ455" s="56"/>
      <c r="FK455" s="56"/>
      <c r="FL455" s="56"/>
      <c r="FM455" s="56"/>
      <c r="FN455" s="56"/>
      <c r="FO455" s="56"/>
      <c r="FP455" s="56"/>
      <c r="FQ455" s="56"/>
      <c r="FR455" s="56"/>
      <c r="FS455" s="56"/>
      <c r="FT455" s="56"/>
      <c r="FU455" s="56"/>
      <c r="FV455" s="56"/>
      <c r="FW455" s="56"/>
      <c r="FX455" s="56"/>
      <c r="FY455" s="56"/>
      <c r="FZ455" s="56"/>
      <c r="GA455" s="56"/>
      <c r="GB455" s="56"/>
      <c r="GC455" s="56"/>
      <c r="GD455" s="56"/>
      <c r="GE455" s="56"/>
      <c r="GF455" s="56"/>
      <c r="GG455" s="56"/>
      <c r="GH455" s="56"/>
      <c r="GI455" s="56"/>
      <c r="GJ455" s="56"/>
      <c r="GK455" s="56"/>
      <c r="GL455" s="56"/>
      <c r="GM455" s="56"/>
      <c r="GN455" s="56"/>
      <c r="GO455" s="56"/>
      <c r="GP455" s="56"/>
      <c r="GQ455" s="56"/>
      <c r="GR455" s="56"/>
      <c r="GS455" s="56"/>
      <c r="GT455" s="56"/>
      <c r="GU455" s="56"/>
      <c r="GV455" s="56"/>
      <c r="GW455" s="56"/>
      <c r="GX455" s="56"/>
      <c r="GY455" s="56"/>
      <c r="GZ455" s="56"/>
      <c r="HA455" s="56"/>
      <c r="HB455" s="56"/>
      <c r="HC455" s="56"/>
      <c r="HD455" s="56"/>
      <c r="HE455" s="56"/>
      <c r="HF455" s="56"/>
      <c r="HG455" s="56"/>
      <c r="HH455" s="56"/>
      <c r="HI455" s="56"/>
      <c r="HJ455" s="56"/>
    </row>
    <row r="456" spans="1:218" ht="15.75" customHeight="1" x14ac:dyDescent="0.2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  <c r="CL456" s="56"/>
      <c r="CM456" s="56"/>
      <c r="CN456" s="56"/>
      <c r="CO456" s="56"/>
      <c r="CP456" s="56"/>
      <c r="CQ456" s="56"/>
      <c r="CR456" s="56"/>
      <c r="CS456" s="56"/>
      <c r="CT456" s="56"/>
      <c r="CU456" s="56"/>
      <c r="CV456" s="56"/>
      <c r="CW456" s="56"/>
      <c r="CX456" s="56"/>
      <c r="CY456" s="56"/>
      <c r="CZ456" s="56"/>
      <c r="DA456" s="56"/>
      <c r="DB456" s="56"/>
      <c r="DC456" s="56"/>
      <c r="DD456" s="56"/>
      <c r="DE456" s="56"/>
      <c r="DF456" s="56"/>
      <c r="DG456" s="56"/>
      <c r="DH456" s="56"/>
      <c r="DI456" s="56"/>
      <c r="DJ456" s="56"/>
      <c r="DK456" s="56"/>
      <c r="DL456" s="56"/>
      <c r="DM456" s="56"/>
      <c r="DN456" s="56"/>
      <c r="DO456" s="56"/>
      <c r="DP456" s="56"/>
      <c r="DQ456" s="56"/>
      <c r="DR456" s="56"/>
      <c r="DS456" s="56"/>
      <c r="DT456" s="56"/>
      <c r="DU456" s="56"/>
      <c r="DV456" s="56"/>
      <c r="DW456" s="56"/>
      <c r="DX456" s="56"/>
      <c r="DY456" s="56"/>
      <c r="DZ456" s="56"/>
      <c r="EA456" s="56"/>
      <c r="EB456" s="56"/>
      <c r="EC456" s="56"/>
      <c r="ED456" s="56"/>
      <c r="EE456" s="56"/>
      <c r="EF456" s="56"/>
      <c r="EG456" s="56"/>
      <c r="EH456" s="56"/>
      <c r="EI456" s="56"/>
      <c r="EJ456" s="56"/>
      <c r="EK456" s="56"/>
      <c r="EL456" s="56"/>
      <c r="EM456" s="56"/>
      <c r="EN456" s="56"/>
      <c r="EO456" s="56"/>
      <c r="EP456" s="56"/>
      <c r="EQ456" s="56"/>
      <c r="ER456" s="56"/>
      <c r="ES456" s="56"/>
      <c r="ET456" s="56"/>
      <c r="EU456" s="56"/>
      <c r="EV456" s="56"/>
      <c r="EW456" s="56"/>
      <c r="EX456" s="56"/>
      <c r="EY456" s="56"/>
      <c r="EZ456" s="56"/>
      <c r="FA456" s="56"/>
      <c r="FB456" s="56"/>
      <c r="FC456" s="56"/>
      <c r="FD456" s="56"/>
      <c r="FE456" s="56"/>
      <c r="FF456" s="56"/>
      <c r="FG456" s="56"/>
      <c r="FH456" s="56"/>
      <c r="FI456" s="56"/>
      <c r="FJ456" s="56"/>
      <c r="FK456" s="56"/>
      <c r="FL456" s="56"/>
      <c r="FM456" s="56"/>
      <c r="FN456" s="56"/>
      <c r="FO456" s="56"/>
      <c r="FP456" s="56"/>
      <c r="FQ456" s="56"/>
      <c r="FR456" s="56"/>
      <c r="FS456" s="56"/>
      <c r="FT456" s="56"/>
      <c r="FU456" s="56"/>
      <c r="FV456" s="56"/>
      <c r="FW456" s="56"/>
      <c r="FX456" s="56"/>
      <c r="FY456" s="56"/>
      <c r="FZ456" s="56"/>
      <c r="GA456" s="56"/>
      <c r="GB456" s="56"/>
      <c r="GC456" s="56"/>
      <c r="GD456" s="56"/>
      <c r="GE456" s="56"/>
      <c r="GF456" s="56"/>
      <c r="GG456" s="56"/>
      <c r="GH456" s="56"/>
      <c r="GI456" s="56"/>
      <c r="GJ456" s="56"/>
      <c r="GK456" s="56"/>
      <c r="GL456" s="56"/>
      <c r="GM456" s="56"/>
      <c r="GN456" s="56"/>
      <c r="GO456" s="56"/>
      <c r="GP456" s="56"/>
      <c r="GQ456" s="56"/>
      <c r="GR456" s="56"/>
      <c r="GS456" s="56"/>
      <c r="GT456" s="56"/>
      <c r="GU456" s="56"/>
      <c r="GV456" s="56"/>
      <c r="GW456" s="56"/>
      <c r="GX456" s="56"/>
      <c r="GY456" s="56"/>
      <c r="GZ456" s="56"/>
      <c r="HA456" s="56"/>
      <c r="HB456" s="56"/>
      <c r="HC456" s="56"/>
      <c r="HD456" s="56"/>
      <c r="HE456" s="56"/>
      <c r="HF456" s="56"/>
      <c r="HG456" s="56"/>
      <c r="HH456" s="56"/>
      <c r="HI456" s="56"/>
      <c r="HJ456" s="56"/>
    </row>
    <row r="457" spans="1:218" ht="15.75" customHeight="1" x14ac:dyDescent="0.2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/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  <c r="CL457" s="56"/>
      <c r="CM457" s="56"/>
      <c r="CN457" s="56"/>
      <c r="CO457" s="56"/>
      <c r="CP457" s="56"/>
      <c r="CQ457" s="56"/>
      <c r="CR457" s="56"/>
      <c r="CS457" s="56"/>
      <c r="CT457" s="56"/>
      <c r="CU457" s="56"/>
      <c r="CV457" s="56"/>
      <c r="CW457" s="56"/>
      <c r="CX457" s="56"/>
      <c r="CY457" s="56"/>
      <c r="CZ457" s="56"/>
      <c r="DA457" s="56"/>
      <c r="DB457" s="56"/>
      <c r="DC457" s="56"/>
      <c r="DD457" s="56"/>
      <c r="DE457" s="56"/>
      <c r="DF457" s="56"/>
      <c r="DG457" s="56"/>
      <c r="DH457" s="56"/>
      <c r="DI457" s="56"/>
      <c r="DJ457" s="56"/>
      <c r="DK457" s="56"/>
      <c r="DL457" s="56"/>
      <c r="DM457" s="56"/>
      <c r="DN457" s="56"/>
      <c r="DO457" s="56"/>
      <c r="DP457" s="56"/>
      <c r="DQ457" s="56"/>
      <c r="DR457" s="56"/>
      <c r="DS457" s="56"/>
      <c r="DT457" s="56"/>
      <c r="DU457" s="56"/>
      <c r="DV457" s="56"/>
      <c r="DW457" s="56"/>
      <c r="DX457" s="56"/>
      <c r="DY457" s="56"/>
      <c r="DZ457" s="56"/>
      <c r="EA457" s="56"/>
      <c r="EB457" s="56"/>
      <c r="EC457" s="56"/>
      <c r="ED457" s="56"/>
      <c r="EE457" s="56"/>
      <c r="EF457" s="56"/>
      <c r="EG457" s="56"/>
      <c r="EH457" s="56"/>
      <c r="EI457" s="56"/>
      <c r="EJ457" s="56"/>
      <c r="EK457" s="56"/>
      <c r="EL457" s="56"/>
      <c r="EM457" s="56"/>
      <c r="EN457" s="56"/>
      <c r="EO457" s="56"/>
      <c r="EP457" s="56"/>
      <c r="EQ457" s="56"/>
      <c r="ER457" s="56"/>
      <c r="ES457" s="56"/>
      <c r="ET457" s="56"/>
      <c r="EU457" s="56"/>
      <c r="EV457" s="56"/>
      <c r="EW457" s="56"/>
      <c r="EX457" s="56"/>
      <c r="EY457" s="56"/>
      <c r="EZ457" s="56"/>
      <c r="FA457" s="56"/>
      <c r="FB457" s="56"/>
      <c r="FC457" s="56"/>
      <c r="FD457" s="56"/>
      <c r="FE457" s="56"/>
      <c r="FF457" s="56"/>
      <c r="FG457" s="56"/>
      <c r="FH457" s="56"/>
      <c r="FI457" s="56"/>
      <c r="FJ457" s="56"/>
      <c r="FK457" s="56"/>
      <c r="FL457" s="56"/>
      <c r="FM457" s="56"/>
      <c r="FN457" s="56"/>
      <c r="FO457" s="56"/>
      <c r="FP457" s="56"/>
      <c r="FQ457" s="56"/>
      <c r="FR457" s="56"/>
      <c r="FS457" s="56"/>
      <c r="FT457" s="56"/>
      <c r="FU457" s="56"/>
      <c r="FV457" s="56"/>
      <c r="FW457" s="56"/>
      <c r="FX457" s="56"/>
      <c r="FY457" s="56"/>
      <c r="FZ457" s="56"/>
      <c r="GA457" s="56"/>
      <c r="GB457" s="56"/>
      <c r="GC457" s="56"/>
      <c r="GD457" s="56"/>
      <c r="GE457" s="56"/>
      <c r="GF457" s="56"/>
      <c r="GG457" s="56"/>
      <c r="GH457" s="56"/>
      <c r="GI457" s="56"/>
      <c r="GJ457" s="56"/>
      <c r="GK457" s="56"/>
      <c r="GL457" s="56"/>
      <c r="GM457" s="56"/>
      <c r="GN457" s="56"/>
      <c r="GO457" s="56"/>
      <c r="GP457" s="56"/>
      <c r="GQ457" s="56"/>
      <c r="GR457" s="56"/>
      <c r="GS457" s="56"/>
      <c r="GT457" s="56"/>
      <c r="GU457" s="56"/>
      <c r="GV457" s="56"/>
      <c r="GW457" s="56"/>
      <c r="GX457" s="56"/>
      <c r="GY457" s="56"/>
      <c r="GZ457" s="56"/>
      <c r="HA457" s="56"/>
      <c r="HB457" s="56"/>
      <c r="HC457" s="56"/>
      <c r="HD457" s="56"/>
      <c r="HE457" s="56"/>
      <c r="HF457" s="56"/>
      <c r="HG457" s="56"/>
      <c r="HH457" s="56"/>
      <c r="HI457" s="56"/>
      <c r="HJ457" s="56"/>
    </row>
    <row r="458" spans="1:218" ht="15.75" customHeight="1" x14ac:dyDescent="0.2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  <c r="BV458" s="56"/>
      <c r="BW458" s="56"/>
      <c r="BX458" s="56"/>
      <c r="BY458" s="56"/>
      <c r="BZ458" s="56"/>
      <c r="CA458" s="56"/>
      <c r="CB458" s="56"/>
      <c r="CC458" s="56"/>
      <c r="CD458" s="56"/>
      <c r="CE458" s="56"/>
      <c r="CF458" s="56"/>
      <c r="CG458" s="56"/>
      <c r="CH458" s="56"/>
      <c r="CI458" s="56"/>
      <c r="CJ458" s="56"/>
      <c r="CK458" s="56"/>
      <c r="CL458" s="56"/>
      <c r="CM458" s="56"/>
      <c r="CN458" s="56"/>
      <c r="CO458" s="56"/>
      <c r="CP458" s="56"/>
      <c r="CQ458" s="56"/>
      <c r="CR458" s="56"/>
      <c r="CS458" s="56"/>
      <c r="CT458" s="56"/>
      <c r="CU458" s="56"/>
      <c r="CV458" s="56"/>
      <c r="CW458" s="56"/>
      <c r="CX458" s="56"/>
      <c r="CY458" s="56"/>
      <c r="CZ458" s="56"/>
      <c r="DA458" s="56"/>
      <c r="DB458" s="56"/>
      <c r="DC458" s="56"/>
      <c r="DD458" s="56"/>
      <c r="DE458" s="56"/>
      <c r="DF458" s="56"/>
      <c r="DG458" s="56"/>
      <c r="DH458" s="56"/>
      <c r="DI458" s="56"/>
      <c r="DJ458" s="56"/>
      <c r="DK458" s="56"/>
      <c r="DL458" s="56"/>
      <c r="DM458" s="56"/>
      <c r="DN458" s="56"/>
      <c r="DO458" s="56"/>
      <c r="DP458" s="56"/>
      <c r="DQ458" s="56"/>
      <c r="DR458" s="56"/>
      <c r="DS458" s="56"/>
      <c r="DT458" s="56"/>
      <c r="DU458" s="56"/>
      <c r="DV458" s="56"/>
      <c r="DW458" s="56"/>
      <c r="DX458" s="56"/>
      <c r="DY458" s="56"/>
      <c r="DZ458" s="56"/>
      <c r="EA458" s="56"/>
      <c r="EB458" s="56"/>
      <c r="EC458" s="56"/>
      <c r="ED458" s="56"/>
      <c r="EE458" s="56"/>
      <c r="EF458" s="56"/>
      <c r="EG458" s="56"/>
      <c r="EH458" s="56"/>
      <c r="EI458" s="56"/>
      <c r="EJ458" s="56"/>
      <c r="EK458" s="56"/>
      <c r="EL458" s="56"/>
      <c r="EM458" s="56"/>
      <c r="EN458" s="56"/>
      <c r="EO458" s="56"/>
      <c r="EP458" s="56"/>
      <c r="EQ458" s="56"/>
      <c r="ER458" s="56"/>
      <c r="ES458" s="56"/>
      <c r="ET458" s="56"/>
      <c r="EU458" s="56"/>
      <c r="EV458" s="56"/>
      <c r="EW458" s="56"/>
      <c r="EX458" s="56"/>
      <c r="EY458" s="56"/>
      <c r="EZ458" s="56"/>
      <c r="FA458" s="56"/>
      <c r="FB458" s="56"/>
      <c r="FC458" s="56"/>
      <c r="FD458" s="56"/>
      <c r="FE458" s="56"/>
      <c r="FF458" s="56"/>
      <c r="FG458" s="56"/>
      <c r="FH458" s="56"/>
      <c r="FI458" s="56"/>
      <c r="FJ458" s="56"/>
      <c r="FK458" s="56"/>
      <c r="FL458" s="56"/>
      <c r="FM458" s="56"/>
      <c r="FN458" s="56"/>
      <c r="FO458" s="56"/>
      <c r="FP458" s="56"/>
      <c r="FQ458" s="56"/>
      <c r="FR458" s="56"/>
      <c r="FS458" s="56"/>
      <c r="FT458" s="56"/>
      <c r="FU458" s="56"/>
      <c r="FV458" s="56"/>
      <c r="FW458" s="56"/>
      <c r="FX458" s="56"/>
      <c r="FY458" s="56"/>
      <c r="FZ458" s="56"/>
      <c r="GA458" s="56"/>
      <c r="GB458" s="56"/>
      <c r="GC458" s="56"/>
      <c r="GD458" s="56"/>
      <c r="GE458" s="56"/>
      <c r="GF458" s="56"/>
      <c r="GG458" s="56"/>
      <c r="GH458" s="56"/>
      <c r="GI458" s="56"/>
      <c r="GJ458" s="56"/>
      <c r="GK458" s="56"/>
      <c r="GL458" s="56"/>
      <c r="GM458" s="56"/>
      <c r="GN458" s="56"/>
      <c r="GO458" s="56"/>
      <c r="GP458" s="56"/>
      <c r="GQ458" s="56"/>
      <c r="GR458" s="56"/>
      <c r="GS458" s="56"/>
      <c r="GT458" s="56"/>
      <c r="GU458" s="56"/>
      <c r="GV458" s="56"/>
      <c r="GW458" s="56"/>
      <c r="GX458" s="56"/>
      <c r="GY458" s="56"/>
      <c r="GZ458" s="56"/>
      <c r="HA458" s="56"/>
      <c r="HB458" s="56"/>
      <c r="HC458" s="56"/>
      <c r="HD458" s="56"/>
      <c r="HE458" s="56"/>
      <c r="HF458" s="56"/>
      <c r="HG458" s="56"/>
      <c r="HH458" s="56"/>
      <c r="HI458" s="56"/>
      <c r="HJ458" s="56"/>
    </row>
    <row r="459" spans="1:218" ht="15.75" customHeight="1" x14ac:dyDescent="0.2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  <c r="BV459" s="56"/>
      <c r="BW459" s="56"/>
      <c r="BX459" s="56"/>
      <c r="BY459" s="56"/>
      <c r="BZ459" s="56"/>
      <c r="CA459" s="56"/>
      <c r="CB459" s="56"/>
      <c r="CC459" s="56"/>
      <c r="CD459" s="56"/>
      <c r="CE459" s="56"/>
      <c r="CF459" s="56"/>
      <c r="CG459" s="56"/>
      <c r="CH459" s="56"/>
      <c r="CI459" s="56"/>
      <c r="CJ459" s="56"/>
      <c r="CK459" s="56"/>
      <c r="CL459" s="56"/>
      <c r="CM459" s="56"/>
      <c r="CN459" s="56"/>
      <c r="CO459" s="56"/>
      <c r="CP459" s="56"/>
      <c r="CQ459" s="56"/>
      <c r="CR459" s="56"/>
      <c r="CS459" s="56"/>
      <c r="CT459" s="56"/>
      <c r="CU459" s="56"/>
      <c r="CV459" s="56"/>
      <c r="CW459" s="56"/>
      <c r="CX459" s="56"/>
      <c r="CY459" s="56"/>
      <c r="CZ459" s="56"/>
      <c r="DA459" s="56"/>
      <c r="DB459" s="56"/>
      <c r="DC459" s="56"/>
      <c r="DD459" s="56"/>
      <c r="DE459" s="56"/>
      <c r="DF459" s="56"/>
      <c r="DG459" s="56"/>
      <c r="DH459" s="56"/>
      <c r="DI459" s="56"/>
      <c r="DJ459" s="56"/>
      <c r="DK459" s="56"/>
      <c r="DL459" s="56"/>
      <c r="DM459" s="56"/>
      <c r="DN459" s="56"/>
      <c r="DO459" s="56"/>
      <c r="DP459" s="56"/>
      <c r="DQ459" s="56"/>
      <c r="DR459" s="56"/>
      <c r="DS459" s="56"/>
      <c r="DT459" s="56"/>
      <c r="DU459" s="56"/>
      <c r="DV459" s="56"/>
      <c r="DW459" s="56"/>
      <c r="DX459" s="56"/>
      <c r="DY459" s="56"/>
      <c r="DZ459" s="56"/>
      <c r="EA459" s="56"/>
      <c r="EB459" s="56"/>
      <c r="EC459" s="56"/>
      <c r="ED459" s="56"/>
      <c r="EE459" s="56"/>
      <c r="EF459" s="56"/>
      <c r="EG459" s="56"/>
      <c r="EH459" s="56"/>
      <c r="EI459" s="56"/>
      <c r="EJ459" s="56"/>
      <c r="EK459" s="56"/>
      <c r="EL459" s="56"/>
      <c r="EM459" s="56"/>
      <c r="EN459" s="56"/>
      <c r="EO459" s="56"/>
      <c r="EP459" s="56"/>
      <c r="EQ459" s="56"/>
      <c r="ER459" s="56"/>
      <c r="ES459" s="56"/>
      <c r="ET459" s="56"/>
      <c r="EU459" s="56"/>
      <c r="EV459" s="56"/>
      <c r="EW459" s="56"/>
      <c r="EX459" s="56"/>
      <c r="EY459" s="56"/>
      <c r="EZ459" s="56"/>
      <c r="FA459" s="56"/>
      <c r="FB459" s="56"/>
      <c r="FC459" s="56"/>
      <c r="FD459" s="56"/>
      <c r="FE459" s="56"/>
      <c r="FF459" s="56"/>
      <c r="FG459" s="56"/>
      <c r="FH459" s="56"/>
      <c r="FI459" s="56"/>
      <c r="FJ459" s="56"/>
      <c r="FK459" s="56"/>
      <c r="FL459" s="56"/>
      <c r="FM459" s="56"/>
      <c r="FN459" s="56"/>
      <c r="FO459" s="56"/>
      <c r="FP459" s="56"/>
      <c r="FQ459" s="56"/>
      <c r="FR459" s="56"/>
      <c r="FS459" s="56"/>
      <c r="FT459" s="56"/>
      <c r="FU459" s="56"/>
      <c r="FV459" s="56"/>
      <c r="FW459" s="56"/>
      <c r="FX459" s="56"/>
      <c r="FY459" s="56"/>
      <c r="FZ459" s="56"/>
      <c r="GA459" s="56"/>
      <c r="GB459" s="56"/>
      <c r="GC459" s="56"/>
      <c r="GD459" s="56"/>
      <c r="GE459" s="56"/>
      <c r="GF459" s="56"/>
      <c r="GG459" s="56"/>
      <c r="GH459" s="56"/>
      <c r="GI459" s="56"/>
      <c r="GJ459" s="56"/>
      <c r="GK459" s="56"/>
      <c r="GL459" s="56"/>
      <c r="GM459" s="56"/>
      <c r="GN459" s="56"/>
      <c r="GO459" s="56"/>
      <c r="GP459" s="56"/>
      <c r="GQ459" s="56"/>
      <c r="GR459" s="56"/>
      <c r="GS459" s="56"/>
      <c r="GT459" s="56"/>
      <c r="GU459" s="56"/>
      <c r="GV459" s="56"/>
      <c r="GW459" s="56"/>
      <c r="GX459" s="56"/>
      <c r="GY459" s="56"/>
      <c r="GZ459" s="56"/>
      <c r="HA459" s="56"/>
      <c r="HB459" s="56"/>
      <c r="HC459" s="56"/>
      <c r="HD459" s="56"/>
      <c r="HE459" s="56"/>
      <c r="HF459" s="56"/>
      <c r="HG459" s="56"/>
      <c r="HH459" s="56"/>
      <c r="HI459" s="56"/>
      <c r="HJ459" s="56"/>
    </row>
    <row r="460" spans="1:218" ht="15.75" customHeight="1" x14ac:dyDescent="0.2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  <c r="BV460" s="56"/>
      <c r="BW460" s="56"/>
      <c r="BX460" s="56"/>
      <c r="BY460" s="56"/>
      <c r="BZ460" s="56"/>
      <c r="CA460" s="56"/>
      <c r="CB460" s="56"/>
      <c r="CC460" s="56"/>
      <c r="CD460" s="56"/>
      <c r="CE460" s="56"/>
      <c r="CF460" s="56"/>
      <c r="CG460" s="56"/>
      <c r="CH460" s="56"/>
      <c r="CI460" s="56"/>
      <c r="CJ460" s="56"/>
      <c r="CK460" s="56"/>
      <c r="CL460" s="56"/>
      <c r="CM460" s="56"/>
      <c r="CN460" s="56"/>
      <c r="CO460" s="56"/>
      <c r="CP460" s="56"/>
      <c r="CQ460" s="56"/>
      <c r="CR460" s="56"/>
      <c r="CS460" s="56"/>
      <c r="CT460" s="56"/>
      <c r="CU460" s="56"/>
      <c r="CV460" s="56"/>
      <c r="CW460" s="56"/>
      <c r="CX460" s="56"/>
      <c r="CY460" s="56"/>
      <c r="CZ460" s="56"/>
      <c r="DA460" s="56"/>
      <c r="DB460" s="56"/>
      <c r="DC460" s="56"/>
      <c r="DD460" s="56"/>
      <c r="DE460" s="56"/>
      <c r="DF460" s="56"/>
      <c r="DG460" s="56"/>
      <c r="DH460" s="56"/>
      <c r="DI460" s="56"/>
      <c r="DJ460" s="56"/>
      <c r="DK460" s="56"/>
      <c r="DL460" s="56"/>
      <c r="DM460" s="56"/>
      <c r="DN460" s="56"/>
      <c r="DO460" s="56"/>
      <c r="DP460" s="56"/>
      <c r="DQ460" s="56"/>
      <c r="DR460" s="56"/>
      <c r="DS460" s="56"/>
      <c r="DT460" s="56"/>
      <c r="DU460" s="56"/>
      <c r="DV460" s="56"/>
      <c r="DW460" s="56"/>
      <c r="DX460" s="56"/>
      <c r="DY460" s="56"/>
      <c r="DZ460" s="56"/>
      <c r="EA460" s="56"/>
      <c r="EB460" s="56"/>
      <c r="EC460" s="56"/>
      <c r="ED460" s="56"/>
      <c r="EE460" s="56"/>
      <c r="EF460" s="56"/>
      <c r="EG460" s="56"/>
      <c r="EH460" s="56"/>
      <c r="EI460" s="56"/>
      <c r="EJ460" s="56"/>
      <c r="EK460" s="56"/>
      <c r="EL460" s="56"/>
      <c r="EM460" s="56"/>
      <c r="EN460" s="56"/>
      <c r="EO460" s="56"/>
      <c r="EP460" s="56"/>
      <c r="EQ460" s="56"/>
      <c r="ER460" s="56"/>
      <c r="ES460" s="56"/>
      <c r="ET460" s="56"/>
      <c r="EU460" s="56"/>
      <c r="EV460" s="56"/>
      <c r="EW460" s="56"/>
      <c r="EX460" s="56"/>
      <c r="EY460" s="56"/>
      <c r="EZ460" s="56"/>
      <c r="FA460" s="56"/>
      <c r="FB460" s="56"/>
      <c r="FC460" s="56"/>
      <c r="FD460" s="56"/>
      <c r="FE460" s="56"/>
      <c r="FF460" s="56"/>
      <c r="FG460" s="56"/>
      <c r="FH460" s="56"/>
      <c r="FI460" s="56"/>
      <c r="FJ460" s="56"/>
      <c r="FK460" s="56"/>
      <c r="FL460" s="56"/>
      <c r="FM460" s="56"/>
      <c r="FN460" s="56"/>
      <c r="FO460" s="56"/>
      <c r="FP460" s="56"/>
      <c r="FQ460" s="56"/>
      <c r="FR460" s="56"/>
      <c r="FS460" s="56"/>
      <c r="FT460" s="56"/>
      <c r="FU460" s="56"/>
      <c r="FV460" s="56"/>
      <c r="FW460" s="56"/>
      <c r="FX460" s="56"/>
      <c r="FY460" s="56"/>
      <c r="FZ460" s="56"/>
      <c r="GA460" s="56"/>
      <c r="GB460" s="56"/>
      <c r="GC460" s="56"/>
      <c r="GD460" s="56"/>
      <c r="GE460" s="56"/>
      <c r="GF460" s="56"/>
      <c r="GG460" s="56"/>
      <c r="GH460" s="56"/>
      <c r="GI460" s="56"/>
      <c r="GJ460" s="56"/>
      <c r="GK460" s="56"/>
      <c r="GL460" s="56"/>
      <c r="GM460" s="56"/>
      <c r="GN460" s="56"/>
      <c r="GO460" s="56"/>
      <c r="GP460" s="56"/>
      <c r="GQ460" s="56"/>
      <c r="GR460" s="56"/>
      <c r="GS460" s="56"/>
      <c r="GT460" s="56"/>
      <c r="GU460" s="56"/>
      <c r="GV460" s="56"/>
      <c r="GW460" s="56"/>
      <c r="GX460" s="56"/>
      <c r="GY460" s="56"/>
      <c r="GZ460" s="56"/>
      <c r="HA460" s="56"/>
      <c r="HB460" s="56"/>
      <c r="HC460" s="56"/>
      <c r="HD460" s="56"/>
      <c r="HE460" s="56"/>
      <c r="HF460" s="56"/>
      <c r="HG460" s="56"/>
      <c r="HH460" s="56"/>
      <c r="HI460" s="56"/>
      <c r="HJ460" s="56"/>
    </row>
    <row r="461" spans="1:218" ht="15.75" customHeight="1" x14ac:dyDescent="0.2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  <c r="BV461" s="56"/>
      <c r="BW461" s="56"/>
      <c r="BX461" s="56"/>
      <c r="BY461" s="56"/>
      <c r="BZ461" s="56"/>
      <c r="CA461" s="56"/>
      <c r="CB461" s="56"/>
      <c r="CC461" s="56"/>
      <c r="CD461" s="56"/>
      <c r="CE461" s="56"/>
      <c r="CF461" s="56"/>
      <c r="CG461" s="56"/>
      <c r="CH461" s="56"/>
      <c r="CI461" s="56"/>
      <c r="CJ461" s="56"/>
      <c r="CK461" s="56"/>
      <c r="CL461" s="56"/>
      <c r="CM461" s="56"/>
      <c r="CN461" s="56"/>
      <c r="CO461" s="56"/>
      <c r="CP461" s="56"/>
      <c r="CQ461" s="56"/>
      <c r="CR461" s="56"/>
      <c r="CS461" s="56"/>
      <c r="CT461" s="56"/>
      <c r="CU461" s="56"/>
      <c r="CV461" s="56"/>
      <c r="CW461" s="56"/>
      <c r="CX461" s="56"/>
      <c r="CY461" s="56"/>
      <c r="CZ461" s="56"/>
      <c r="DA461" s="56"/>
      <c r="DB461" s="56"/>
      <c r="DC461" s="56"/>
      <c r="DD461" s="56"/>
      <c r="DE461" s="56"/>
      <c r="DF461" s="56"/>
      <c r="DG461" s="56"/>
      <c r="DH461" s="56"/>
      <c r="DI461" s="56"/>
      <c r="DJ461" s="56"/>
      <c r="DK461" s="56"/>
      <c r="DL461" s="56"/>
      <c r="DM461" s="56"/>
      <c r="DN461" s="56"/>
      <c r="DO461" s="56"/>
      <c r="DP461" s="56"/>
      <c r="DQ461" s="56"/>
      <c r="DR461" s="56"/>
      <c r="DS461" s="56"/>
      <c r="DT461" s="56"/>
      <c r="DU461" s="56"/>
      <c r="DV461" s="56"/>
      <c r="DW461" s="56"/>
      <c r="DX461" s="56"/>
      <c r="DY461" s="56"/>
      <c r="DZ461" s="56"/>
      <c r="EA461" s="56"/>
      <c r="EB461" s="56"/>
      <c r="EC461" s="56"/>
      <c r="ED461" s="56"/>
      <c r="EE461" s="56"/>
      <c r="EF461" s="56"/>
      <c r="EG461" s="56"/>
      <c r="EH461" s="56"/>
      <c r="EI461" s="56"/>
      <c r="EJ461" s="56"/>
      <c r="EK461" s="56"/>
      <c r="EL461" s="56"/>
      <c r="EM461" s="56"/>
      <c r="EN461" s="56"/>
      <c r="EO461" s="56"/>
      <c r="EP461" s="56"/>
      <c r="EQ461" s="56"/>
      <c r="ER461" s="56"/>
      <c r="ES461" s="56"/>
      <c r="ET461" s="56"/>
      <c r="EU461" s="56"/>
      <c r="EV461" s="56"/>
      <c r="EW461" s="56"/>
      <c r="EX461" s="56"/>
      <c r="EY461" s="56"/>
      <c r="EZ461" s="56"/>
      <c r="FA461" s="56"/>
      <c r="FB461" s="56"/>
      <c r="FC461" s="56"/>
      <c r="FD461" s="56"/>
      <c r="FE461" s="56"/>
      <c r="FF461" s="56"/>
      <c r="FG461" s="56"/>
      <c r="FH461" s="56"/>
      <c r="FI461" s="56"/>
      <c r="FJ461" s="56"/>
      <c r="FK461" s="56"/>
      <c r="FL461" s="56"/>
      <c r="FM461" s="56"/>
      <c r="FN461" s="56"/>
      <c r="FO461" s="56"/>
      <c r="FP461" s="56"/>
      <c r="FQ461" s="56"/>
      <c r="FR461" s="56"/>
      <c r="FS461" s="56"/>
      <c r="FT461" s="56"/>
      <c r="FU461" s="56"/>
      <c r="FV461" s="56"/>
      <c r="FW461" s="56"/>
      <c r="FX461" s="56"/>
      <c r="FY461" s="56"/>
      <c r="FZ461" s="56"/>
      <c r="GA461" s="56"/>
      <c r="GB461" s="56"/>
      <c r="GC461" s="56"/>
      <c r="GD461" s="56"/>
      <c r="GE461" s="56"/>
      <c r="GF461" s="56"/>
      <c r="GG461" s="56"/>
      <c r="GH461" s="56"/>
      <c r="GI461" s="56"/>
      <c r="GJ461" s="56"/>
      <c r="GK461" s="56"/>
      <c r="GL461" s="56"/>
      <c r="GM461" s="56"/>
      <c r="GN461" s="56"/>
      <c r="GO461" s="56"/>
      <c r="GP461" s="56"/>
      <c r="GQ461" s="56"/>
      <c r="GR461" s="56"/>
      <c r="GS461" s="56"/>
      <c r="GT461" s="56"/>
      <c r="GU461" s="56"/>
      <c r="GV461" s="56"/>
      <c r="GW461" s="56"/>
      <c r="GX461" s="56"/>
      <c r="GY461" s="56"/>
      <c r="GZ461" s="56"/>
      <c r="HA461" s="56"/>
      <c r="HB461" s="56"/>
      <c r="HC461" s="56"/>
      <c r="HD461" s="56"/>
      <c r="HE461" s="56"/>
      <c r="HF461" s="56"/>
      <c r="HG461" s="56"/>
      <c r="HH461" s="56"/>
      <c r="HI461" s="56"/>
      <c r="HJ461" s="56"/>
    </row>
    <row r="462" spans="1:218" ht="15.75" customHeight="1" x14ac:dyDescent="0.2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  <c r="BV462" s="56"/>
      <c r="BW462" s="56"/>
      <c r="BX462" s="56"/>
      <c r="BY462" s="56"/>
      <c r="BZ462" s="56"/>
      <c r="CA462" s="56"/>
      <c r="CB462" s="56"/>
      <c r="CC462" s="56"/>
      <c r="CD462" s="56"/>
      <c r="CE462" s="56"/>
      <c r="CF462" s="56"/>
      <c r="CG462" s="56"/>
      <c r="CH462" s="56"/>
      <c r="CI462" s="56"/>
      <c r="CJ462" s="56"/>
      <c r="CK462" s="56"/>
      <c r="CL462" s="56"/>
      <c r="CM462" s="56"/>
      <c r="CN462" s="56"/>
      <c r="CO462" s="56"/>
      <c r="CP462" s="56"/>
      <c r="CQ462" s="56"/>
      <c r="CR462" s="56"/>
      <c r="CS462" s="56"/>
      <c r="CT462" s="56"/>
      <c r="CU462" s="56"/>
      <c r="CV462" s="56"/>
      <c r="CW462" s="56"/>
      <c r="CX462" s="56"/>
      <c r="CY462" s="56"/>
      <c r="CZ462" s="56"/>
      <c r="DA462" s="56"/>
      <c r="DB462" s="56"/>
      <c r="DC462" s="56"/>
      <c r="DD462" s="56"/>
      <c r="DE462" s="56"/>
      <c r="DF462" s="56"/>
      <c r="DG462" s="56"/>
      <c r="DH462" s="56"/>
      <c r="DI462" s="56"/>
      <c r="DJ462" s="56"/>
      <c r="DK462" s="56"/>
      <c r="DL462" s="56"/>
      <c r="DM462" s="56"/>
      <c r="DN462" s="56"/>
      <c r="DO462" s="56"/>
      <c r="DP462" s="56"/>
      <c r="DQ462" s="56"/>
      <c r="DR462" s="56"/>
      <c r="DS462" s="56"/>
      <c r="DT462" s="56"/>
      <c r="DU462" s="56"/>
      <c r="DV462" s="56"/>
      <c r="DW462" s="56"/>
      <c r="DX462" s="56"/>
      <c r="DY462" s="56"/>
      <c r="DZ462" s="56"/>
      <c r="EA462" s="56"/>
      <c r="EB462" s="56"/>
      <c r="EC462" s="56"/>
      <c r="ED462" s="56"/>
      <c r="EE462" s="56"/>
      <c r="EF462" s="56"/>
      <c r="EG462" s="56"/>
      <c r="EH462" s="56"/>
      <c r="EI462" s="56"/>
      <c r="EJ462" s="56"/>
      <c r="EK462" s="56"/>
      <c r="EL462" s="56"/>
      <c r="EM462" s="56"/>
      <c r="EN462" s="56"/>
      <c r="EO462" s="56"/>
      <c r="EP462" s="56"/>
      <c r="EQ462" s="56"/>
      <c r="ER462" s="56"/>
      <c r="ES462" s="56"/>
      <c r="ET462" s="56"/>
      <c r="EU462" s="56"/>
      <c r="EV462" s="56"/>
      <c r="EW462" s="56"/>
      <c r="EX462" s="56"/>
      <c r="EY462" s="56"/>
      <c r="EZ462" s="56"/>
      <c r="FA462" s="56"/>
      <c r="FB462" s="56"/>
      <c r="FC462" s="56"/>
      <c r="FD462" s="56"/>
      <c r="FE462" s="56"/>
      <c r="FF462" s="56"/>
      <c r="FG462" s="56"/>
      <c r="FH462" s="56"/>
      <c r="FI462" s="56"/>
      <c r="FJ462" s="56"/>
      <c r="FK462" s="56"/>
      <c r="FL462" s="56"/>
      <c r="FM462" s="56"/>
      <c r="FN462" s="56"/>
      <c r="FO462" s="56"/>
      <c r="FP462" s="56"/>
      <c r="FQ462" s="56"/>
      <c r="FR462" s="56"/>
      <c r="FS462" s="56"/>
      <c r="FT462" s="56"/>
      <c r="FU462" s="56"/>
      <c r="FV462" s="56"/>
      <c r="FW462" s="56"/>
      <c r="FX462" s="56"/>
      <c r="FY462" s="56"/>
      <c r="FZ462" s="56"/>
      <c r="GA462" s="56"/>
      <c r="GB462" s="56"/>
      <c r="GC462" s="56"/>
      <c r="GD462" s="56"/>
      <c r="GE462" s="56"/>
      <c r="GF462" s="56"/>
      <c r="GG462" s="56"/>
      <c r="GH462" s="56"/>
      <c r="GI462" s="56"/>
      <c r="GJ462" s="56"/>
      <c r="GK462" s="56"/>
      <c r="GL462" s="56"/>
      <c r="GM462" s="56"/>
      <c r="GN462" s="56"/>
      <c r="GO462" s="56"/>
      <c r="GP462" s="56"/>
      <c r="GQ462" s="56"/>
      <c r="GR462" s="56"/>
      <c r="GS462" s="56"/>
      <c r="GT462" s="56"/>
      <c r="GU462" s="56"/>
      <c r="GV462" s="56"/>
      <c r="GW462" s="56"/>
      <c r="GX462" s="56"/>
      <c r="GY462" s="56"/>
      <c r="GZ462" s="56"/>
      <c r="HA462" s="56"/>
      <c r="HB462" s="56"/>
      <c r="HC462" s="56"/>
      <c r="HD462" s="56"/>
      <c r="HE462" s="56"/>
      <c r="HF462" s="56"/>
      <c r="HG462" s="56"/>
      <c r="HH462" s="56"/>
      <c r="HI462" s="56"/>
      <c r="HJ462" s="56"/>
    </row>
    <row r="463" spans="1:218" ht="15.75" customHeight="1" x14ac:dyDescent="0.2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  <c r="BV463" s="56"/>
      <c r="BW463" s="56"/>
      <c r="BX463" s="56"/>
      <c r="BY463" s="56"/>
      <c r="BZ463" s="56"/>
      <c r="CA463" s="56"/>
      <c r="CB463" s="56"/>
      <c r="CC463" s="56"/>
      <c r="CD463" s="56"/>
      <c r="CE463" s="56"/>
      <c r="CF463" s="56"/>
      <c r="CG463" s="56"/>
      <c r="CH463" s="56"/>
      <c r="CI463" s="56"/>
      <c r="CJ463" s="56"/>
      <c r="CK463" s="56"/>
      <c r="CL463" s="56"/>
      <c r="CM463" s="56"/>
      <c r="CN463" s="56"/>
      <c r="CO463" s="56"/>
      <c r="CP463" s="56"/>
      <c r="CQ463" s="56"/>
      <c r="CR463" s="56"/>
      <c r="CS463" s="56"/>
      <c r="CT463" s="56"/>
      <c r="CU463" s="56"/>
      <c r="CV463" s="56"/>
      <c r="CW463" s="56"/>
      <c r="CX463" s="56"/>
      <c r="CY463" s="56"/>
      <c r="CZ463" s="56"/>
      <c r="DA463" s="56"/>
      <c r="DB463" s="56"/>
      <c r="DC463" s="56"/>
      <c r="DD463" s="56"/>
      <c r="DE463" s="56"/>
      <c r="DF463" s="56"/>
      <c r="DG463" s="56"/>
      <c r="DH463" s="56"/>
      <c r="DI463" s="56"/>
      <c r="DJ463" s="56"/>
      <c r="DK463" s="56"/>
      <c r="DL463" s="56"/>
      <c r="DM463" s="56"/>
      <c r="DN463" s="56"/>
      <c r="DO463" s="56"/>
      <c r="DP463" s="56"/>
      <c r="DQ463" s="56"/>
      <c r="DR463" s="56"/>
      <c r="DS463" s="56"/>
      <c r="DT463" s="56"/>
      <c r="DU463" s="56"/>
      <c r="DV463" s="56"/>
      <c r="DW463" s="56"/>
      <c r="DX463" s="56"/>
      <c r="DY463" s="56"/>
      <c r="DZ463" s="56"/>
      <c r="EA463" s="56"/>
      <c r="EB463" s="56"/>
      <c r="EC463" s="56"/>
      <c r="ED463" s="56"/>
      <c r="EE463" s="56"/>
      <c r="EF463" s="56"/>
      <c r="EG463" s="56"/>
      <c r="EH463" s="56"/>
      <c r="EI463" s="56"/>
      <c r="EJ463" s="56"/>
      <c r="EK463" s="56"/>
      <c r="EL463" s="56"/>
      <c r="EM463" s="56"/>
      <c r="EN463" s="56"/>
      <c r="EO463" s="56"/>
      <c r="EP463" s="56"/>
      <c r="EQ463" s="56"/>
      <c r="ER463" s="56"/>
      <c r="ES463" s="56"/>
      <c r="ET463" s="56"/>
      <c r="EU463" s="56"/>
      <c r="EV463" s="56"/>
      <c r="EW463" s="56"/>
      <c r="EX463" s="56"/>
      <c r="EY463" s="56"/>
      <c r="EZ463" s="56"/>
      <c r="FA463" s="56"/>
      <c r="FB463" s="56"/>
      <c r="FC463" s="56"/>
      <c r="FD463" s="56"/>
      <c r="FE463" s="56"/>
      <c r="FF463" s="56"/>
      <c r="FG463" s="56"/>
      <c r="FH463" s="56"/>
      <c r="FI463" s="56"/>
      <c r="FJ463" s="56"/>
      <c r="FK463" s="56"/>
      <c r="FL463" s="56"/>
      <c r="FM463" s="56"/>
      <c r="FN463" s="56"/>
      <c r="FO463" s="56"/>
      <c r="FP463" s="56"/>
      <c r="FQ463" s="56"/>
      <c r="FR463" s="56"/>
      <c r="FS463" s="56"/>
      <c r="FT463" s="56"/>
      <c r="FU463" s="56"/>
      <c r="FV463" s="56"/>
      <c r="FW463" s="56"/>
      <c r="FX463" s="56"/>
      <c r="FY463" s="56"/>
      <c r="FZ463" s="56"/>
      <c r="GA463" s="56"/>
      <c r="GB463" s="56"/>
      <c r="GC463" s="56"/>
      <c r="GD463" s="56"/>
      <c r="GE463" s="56"/>
      <c r="GF463" s="56"/>
      <c r="GG463" s="56"/>
      <c r="GH463" s="56"/>
      <c r="GI463" s="56"/>
      <c r="GJ463" s="56"/>
      <c r="GK463" s="56"/>
      <c r="GL463" s="56"/>
      <c r="GM463" s="56"/>
      <c r="GN463" s="56"/>
      <c r="GO463" s="56"/>
      <c r="GP463" s="56"/>
      <c r="GQ463" s="56"/>
      <c r="GR463" s="56"/>
      <c r="GS463" s="56"/>
      <c r="GT463" s="56"/>
      <c r="GU463" s="56"/>
      <c r="GV463" s="56"/>
      <c r="GW463" s="56"/>
      <c r="GX463" s="56"/>
      <c r="GY463" s="56"/>
      <c r="GZ463" s="56"/>
      <c r="HA463" s="56"/>
      <c r="HB463" s="56"/>
      <c r="HC463" s="56"/>
      <c r="HD463" s="56"/>
      <c r="HE463" s="56"/>
      <c r="HF463" s="56"/>
      <c r="HG463" s="56"/>
      <c r="HH463" s="56"/>
      <c r="HI463" s="56"/>
      <c r="HJ463" s="56"/>
    </row>
    <row r="464" spans="1:218" ht="15.75" customHeight="1" x14ac:dyDescent="0.2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  <c r="CL464" s="56"/>
      <c r="CM464" s="56"/>
      <c r="CN464" s="56"/>
      <c r="CO464" s="56"/>
      <c r="CP464" s="56"/>
      <c r="CQ464" s="56"/>
      <c r="CR464" s="56"/>
      <c r="CS464" s="56"/>
      <c r="CT464" s="56"/>
      <c r="CU464" s="56"/>
      <c r="CV464" s="56"/>
      <c r="CW464" s="56"/>
      <c r="CX464" s="56"/>
      <c r="CY464" s="56"/>
      <c r="CZ464" s="56"/>
      <c r="DA464" s="56"/>
      <c r="DB464" s="56"/>
      <c r="DC464" s="56"/>
      <c r="DD464" s="56"/>
      <c r="DE464" s="56"/>
      <c r="DF464" s="56"/>
      <c r="DG464" s="56"/>
      <c r="DH464" s="56"/>
      <c r="DI464" s="56"/>
      <c r="DJ464" s="56"/>
      <c r="DK464" s="56"/>
      <c r="DL464" s="56"/>
      <c r="DM464" s="56"/>
      <c r="DN464" s="56"/>
      <c r="DO464" s="56"/>
      <c r="DP464" s="56"/>
      <c r="DQ464" s="56"/>
      <c r="DR464" s="56"/>
      <c r="DS464" s="56"/>
      <c r="DT464" s="56"/>
      <c r="DU464" s="56"/>
      <c r="DV464" s="56"/>
      <c r="DW464" s="56"/>
      <c r="DX464" s="56"/>
      <c r="DY464" s="56"/>
      <c r="DZ464" s="56"/>
      <c r="EA464" s="56"/>
      <c r="EB464" s="56"/>
      <c r="EC464" s="56"/>
      <c r="ED464" s="56"/>
      <c r="EE464" s="56"/>
      <c r="EF464" s="56"/>
      <c r="EG464" s="56"/>
      <c r="EH464" s="56"/>
      <c r="EI464" s="56"/>
      <c r="EJ464" s="56"/>
      <c r="EK464" s="56"/>
      <c r="EL464" s="56"/>
      <c r="EM464" s="56"/>
      <c r="EN464" s="56"/>
      <c r="EO464" s="56"/>
      <c r="EP464" s="56"/>
      <c r="EQ464" s="56"/>
      <c r="ER464" s="56"/>
      <c r="ES464" s="56"/>
      <c r="ET464" s="56"/>
      <c r="EU464" s="56"/>
      <c r="EV464" s="56"/>
      <c r="EW464" s="56"/>
      <c r="EX464" s="56"/>
      <c r="EY464" s="56"/>
      <c r="EZ464" s="56"/>
      <c r="FA464" s="56"/>
      <c r="FB464" s="56"/>
      <c r="FC464" s="56"/>
      <c r="FD464" s="56"/>
      <c r="FE464" s="56"/>
      <c r="FF464" s="56"/>
      <c r="FG464" s="56"/>
      <c r="FH464" s="56"/>
      <c r="FI464" s="56"/>
      <c r="FJ464" s="56"/>
      <c r="FK464" s="56"/>
      <c r="FL464" s="56"/>
      <c r="FM464" s="56"/>
      <c r="FN464" s="56"/>
      <c r="FO464" s="56"/>
      <c r="FP464" s="56"/>
      <c r="FQ464" s="56"/>
      <c r="FR464" s="56"/>
      <c r="FS464" s="56"/>
      <c r="FT464" s="56"/>
      <c r="FU464" s="56"/>
      <c r="FV464" s="56"/>
      <c r="FW464" s="56"/>
      <c r="FX464" s="56"/>
      <c r="FY464" s="56"/>
      <c r="FZ464" s="56"/>
      <c r="GA464" s="56"/>
      <c r="GB464" s="56"/>
      <c r="GC464" s="56"/>
      <c r="GD464" s="56"/>
      <c r="GE464" s="56"/>
      <c r="GF464" s="56"/>
      <c r="GG464" s="56"/>
      <c r="GH464" s="56"/>
      <c r="GI464" s="56"/>
      <c r="GJ464" s="56"/>
      <c r="GK464" s="56"/>
      <c r="GL464" s="56"/>
      <c r="GM464" s="56"/>
      <c r="GN464" s="56"/>
      <c r="GO464" s="56"/>
      <c r="GP464" s="56"/>
      <c r="GQ464" s="56"/>
      <c r="GR464" s="56"/>
      <c r="GS464" s="56"/>
      <c r="GT464" s="56"/>
      <c r="GU464" s="56"/>
      <c r="GV464" s="56"/>
      <c r="GW464" s="56"/>
      <c r="GX464" s="56"/>
      <c r="GY464" s="56"/>
      <c r="GZ464" s="56"/>
      <c r="HA464" s="56"/>
      <c r="HB464" s="56"/>
      <c r="HC464" s="56"/>
      <c r="HD464" s="56"/>
      <c r="HE464" s="56"/>
      <c r="HF464" s="56"/>
      <c r="HG464" s="56"/>
      <c r="HH464" s="56"/>
      <c r="HI464" s="56"/>
      <c r="HJ464" s="56"/>
    </row>
    <row r="465" spans="1:218" ht="15.75" customHeight="1" x14ac:dyDescent="0.2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  <c r="CL465" s="56"/>
      <c r="CM465" s="56"/>
      <c r="CN465" s="56"/>
      <c r="CO465" s="56"/>
      <c r="CP465" s="56"/>
      <c r="CQ465" s="56"/>
      <c r="CR465" s="56"/>
      <c r="CS465" s="56"/>
      <c r="CT465" s="56"/>
      <c r="CU465" s="56"/>
      <c r="CV465" s="56"/>
      <c r="CW465" s="56"/>
      <c r="CX465" s="56"/>
      <c r="CY465" s="56"/>
      <c r="CZ465" s="56"/>
      <c r="DA465" s="56"/>
      <c r="DB465" s="56"/>
      <c r="DC465" s="56"/>
      <c r="DD465" s="56"/>
      <c r="DE465" s="56"/>
      <c r="DF465" s="56"/>
      <c r="DG465" s="56"/>
      <c r="DH465" s="56"/>
      <c r="DI465" s="56"/>
      <c r="DJ465" s="56"/>
      <c r="DK465" s="56"/>
      <c r="DL465" s="56"/>
      <c r="DM465" s="56"/>
      <c r="DN465" s="56"/>
      <c r="DO465" s="56"/>
      <c r="DP465" s="56"/>
      <c r="DQ465" s="56"/>
      <c r="DR465" s="56"/>
      <c r="DS465" s="56"/>
      <c r="DT465" s="56"/>
      <c r="DU465" s="56"/>
      <c r="DV465" s="56"/>
      <c r="DW465" s="56"/>
      <c r="DX465" s="56"/>
      <c r="DY465" s="56"/>
      <c r="DZ465" s="56"/>
      <c r="EA465" s="56"/>
      <c r="EB465" s="56"/>
      <c r="EC465" s="56"/>
      <c r="ED465" s="56"/>
      <c r="EE465" s="56"/>
      <c r="EF465" s="56"/>
      <c r="EG465" s="56"/>
      <c r="EH465" s="56"/>
      <c r="EI465" s="56"/>
      <c r="EJ465" s="56"/>
      <c r="EK465" s="56"/>
      <c r="EL465" s="56"/>
      <c r="EM465" s="56"/>
      <c r="EN465" s="56"/>
      <c r="EO465" s="56"/>
      <c r="EP465" s="56"/>
      <c r="EQ465" s="56"/>
      <c r="ER465" s="56"/>
      <c r="ES465" s="56"/>
      <c r="ET465" s="56"/>
      <c r="EU465" s="56"/>
      <c r="EV465" s="56"/>
      <c r="EW465" s="56"/>
      <c r="EX465" s="56"/>
      <c r="EY465" s="56"/>
      <c r="EZ465" s="56"/>
      <c r="FA465" s="56"/>
      <c r="FB465" s="56"/>
      <c r="FC465" s="56"/>
      <c r="FD465" s="56"/>
      <c r="FE465" s="56"/>
      <c r="FF465" s="56"/>
      <c r="FG465" s="56"/>
      <c r="FH465" s="56"/>
      <c r="FI465" s="56"/>
      <c r="FJ465" s="56"/>
      <c r="FK465" s="56"/>
      <c r="FL465" s="56"/>
      <c r="FM465" s="56"/>
      <c r="FN465" s="56"/>
      <c r="FO465" s="56"/>
      <c r="FP465" s="56"/>
      <c r="FQ465" s="56"/>
      <c r="FR465" s="56"/>
      <c r="FS465" s="56"/>
      <c r="FT465" s="56"/>
      <c r="FU465" s="56"/>
      <c r="FV465" s="56"/>
      <c r="FW465" s="56"/>
      <c r="FX465" s="56"/>
      <c r="FY465" s="56"/>
      <c r="FZ465" s="56"/>
      <c r="GA465" s="56"/>
      <c r="GB465" s="56"/>
      <c r="GC465" s="56"/>
      <c r="GD465" s="56"/>
      <c r="GE465" s="56"/>
      <c r="GF465" s="56"/>
      <c r="GG465" s="56"/>
      <c r="GH465" s="56"/>
      <c r="GI465" s="56"/>
      <c r="GJ465" s="56"/>
      <c r="GK465" s="56"/>
      <c r="GL465" s="56"/>
      <c r="GM465" s="56"/>
      <c r="GN465" s="56"/>
      <c r="GO465" s="56"/>
      <c r="GP465" s="56"/>
      <c r="GQ465" s="56"/>
      <c r="GR465" s="56"/>
      <c r="GS465" s="56"/>
      <c r="GT465" s="56"/>
      <c r="GU465" s="56"/>
      <c r="GV465" s="56"/>
      <c r="GW465" s="56"/>
      <c r="GX465" s="56"/>
      <c r="GY465" s="56"/>
      <c r="GZ465" s="56"/>
      <c r="HA465" s="56"/>
      <c r="HB465" s="56"/>
      <c r="HC465" s="56"/>
      <c r="HD465" s="56"/>
      <c r="HE465" s="56"/>
      <c r="HF465" s="56"/>
      <c r="HG465" s="56"/>
      <c r="HH465" s="56"/>
      <c r="HI465" s="56"/>
      <c r="HJ465" s="56"/>
    </row>
    <row r="466" spans="1:218" ht="15.75" customHeight="1" x14ac:dyDescent="0.2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  <c r="BV466" s="56"/>
      <c r="BW466" s="56"/>
      <c r="BX466" s="56"/>
      <c r="BY466" s="56"/>
      <c r="BZ466" s="56"/>
      <c r="CA466" s="56"/>
      <c r="CB466" s="56"/>
      <c r="CC466" s="56"/>
      <c r="CD466" s="56"/>
      <c r="CE466" s="56"/>
      <c r="CF466" s="56"/>
      <c r="CG466" s="56"/>
      <c r="CH466" s="56"/>
      <c r="CI466" s="56"/>
      <c r="CJ466" s="56"/>
      <c r="CK466" s="56"/>
      <c r="CL466" s="56"/>
      <c r="CM466" s="56"/>
      <c r="CN466" s="56"/>
      <c r="CO466" s="56"/>
      <c r="CP466" s="56"/>
      <c r="CQ466" s="56"/>
      <c r="CR466" s="56"/>
      <c r="CS466" s="56"/>
      <c r="CT466" s="56"/>
      <c r="CU466" s="56"/>
      <c r="CV466" s="56"/>
      <c r="CW466" s="56"/>
      <c r="CX466" s="56"/>
      <c r="CY466" s="56"/>
      <c r="CZ466" s="56"/>
      <c r="DA466" s="56"/>
      <c r="DB466" s="56"/>
      <c r="DC466" s="56"/>
      <c r="DD466" s="56"/>
      <c r="DE466" s="56"/>
      <c r="DF466" s="56"/>
      <c r="DG466" s="56"/>
      <c r="DH466" s="56"/>
      <c r="DI466" s="56"/>
      <c r="DJ466" s="56"/>
      <c r="DK466" s="56"/>
      <c r="DL466" s="56"/>
      <c r="DM466" s="56"/>
      <c r="DN466" s="56"/>
      <c r="DO466" s="56"/>
      <c r="DP466" s="56"/>
      <c r="DQ466" s="56"/>
      <c r="DR466" s="56"/>
      <c r="DS466" s="56"/>
      <c r="DT466" s="56"/>
      <c r="DU466" s="56"/>
      <c r="DV466" s="56"/>
      <c r="DW466" s="56"/>
      <c r="DX466" s="56"/>
      <c r="DY466" s="56"/>
      <c r="DZ466" s="56"/>
      <c r="EA466" s="56"/>
      <c r="EB466" s="56"/>
      <c r="EC466" s="56"/>
      <c r="ED466" s="56"/>
      <c r="EE466" s="56"/>
      <c r="EF466" s="56"/>
      <c r="EG466" s="56"/>
      <c r="EH466" s="56"/>
      <c r="EI466" s="56"/>
      <c r="EJ466" s="56"/>
      <c r="EK466" s="56"/>
      <c r="EL466" s="56"/>
      <c r="EM466" s="56"/>
      <c r="EN466" s="56"/>
      <c r="EO466" s="56"/>
      <c r="EP466" s="56"/>
      <c r="EQ466" s="56"/>
      <c r="ER466" s="56"/>
      <c r="ES466" s="56"/>
      <c r="ET466" s="56"/>
      <c r="EU466" s="56"/>
      <c r="EV466" s="56"/>
      <c r="EW466" s="56"/>
      <c r="EX466" s="56"/>
      <c r="EY466" s="56"/>
      <c r="EZ466" s="56"/>
      <c r="FA466" s="56"/>
      <c r="FB466" s="56"/>
      <c r="FC466" s="56"/>
      <c r="FD466" s="56"/>
      <c r="FE466" s="56"/>
      <c r="FF466" s="56"/>
      <c r="FG466" s="56"/>
      <c r="FH466" s="56"/>
      <c r="FI466" s="56"/>
      <c r="FJ466" s="56"/>
      <c r="FK466" s="56"/>
      <c r="FL466" s="56"/>
      <c r="FM466" s="56"/>
      <c r="FN466" s="56"/>
      <c r="FO466" s="56"/>
      <c r="FP466" s="56"/>
      <c r="FQ466" s="56"/>
      <c r="FR466" s="56"/>
      <c r="FS466" s="56"/>
      <c r="FT466" s="56"/>
      <c r="FU466" s="56"/>
      <c r="FV466" s="56"/>
      <c r="FW466" s="56"/>
      <c r="FX466" s="56"/>
      <c r="FY466" s="56"/>
      <c r="FZ466" s="56"/>
      <c r="GA466" s="56"/>
      <c r="GB466" s="56"/>
      <c r="GC466" s="56"/>
      <c r="GD466" s="56"/>
      <c r="GE466" s="56"/>
      <c r="GF466" s="56"/>
      <c r="GG466" s="56"/>
      <c r="GH466" s="56"/>
      <c r="GI466" s="56"/>
      <c r="GJ466" s="56"/>
      <c r="GK466" s="56"/>
      <c r="GL466" s="56"/>
      <c r="GM466" s="56"/>
      <c r="GN466" s="56"/>
      <c r="GO466" s="56"/>
      <c r="GP466" s="56"/>
      <c r="GQ466" s="56"/>
      <c r="GR466" s="56"/>
      <c r="GS466" s="56"/>
      <c r="GT466" s="56"/>
      <c r="GU466" s="56"/>
      <c r="GV466" s="56"/>
      <c r="GW466" s="56"/>
      <c r="GX466" s="56"/>
      <c r="GY466" s="56"/>
      <c r="GZ466" s="56"/>
      <c r="HA466" s="56"/>
      <c r="HB466" s="56"/>
      <c r="HC466" s="56"/>
      <c r="HD466" s="56"/>
      <c r="HE466" s="56"/>
      <c r="HF466" s="56"/>
      <c r="HG466" s="56"/>
      <c r="HH466" s="56"/>
      <c r="HI466" s="56"/>
      <c r="HJ466" s="56"/>
    </row>
    <row r="467" spans="1:218" ht="15.75" customHeight="1" x14ac:dyDescent="0.2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  <c r="BV467" s="56"/>
      <c r="BW467" s="56"/>
      <c r="BX467" s="56"/>
      <c r="BY467" s="56"/>
      <c r="BZ467" s="56"/>
      <c r="CA467" s="56"/>
      <c r="CB467" s="56"/>
      <c r="CC467" s="56"/>
      <c r="CD467" s="56"/>
      <c r="CE467" s="56"/>
      <c r="CF467" s="56"/>
      <c r="CG467" s="56"/>
      <c r="CH467" s="56"/>
      <c r="CI467" s="56"/>
      <c r="CJ467" s="56"/>
      <c r="CK467" s="56"/>
      <c r="CL467" s="56"/>
      <c r="CM467" s="56"/>
      <c r="CN467" s="56"/>
      <c r="CO467" s="56"/>
      <c r="CP467" s="56"/>
      <c r="CQ467" s="56"/>
      <c r="CR467" s="56"/>
      <c r="CS467" s="56"/>
      <c r="CT467" s="56"/>
      <c r="CU467" s="56"/>
      <c r="CV467" s="56"/>
      <c r="CW467" s="56"/>
      <c r="CX467" s="56"/>
      <c r="CY467" s="56"/>
      <c r="CZ467" s="56"/>
      <c r="DA467" s="56"/>
      <c r="DB467" s="56"/>
      <c r="DC467" s="56"/>
      <c r="DD467" s="56"/>
      <c r="DE467" s="56"/>
      <c r="DF467" s="56"/>
      <c r="DG467" s="56"/>
      <c r="DH467" s="56"/>
      <c r="DI467" s="56"/>
      <c r="DJ467" s="56"/>
      <c r="DK467" s="56"/>
      <c r="DL467" s="56"/>
      <c r="DM467" s="56"/>
      <c r="DN467" s="56"/>
      <c r="DO467" s="56"/>
      <c r="DP467" s="56"/>
      <c r="DQ467" s="56"/>
      <c r="DR467" s="56"/>
      <c r="DS467" s="56"/>
      <c r="DT467" s="56"/>
      <c r="DU467" s="56"/>
      <c r="DV467" s="56"/>
      <c r="DW467" s="56"/>
      <c r="DX467" s="56"/>
      <c r="DY467" s="56"/>
      <c r="DZ467" s="56"/>
      <c r="EA467" s="56"/>
      <c r="EB467" s="56"/>
      <c r="EC467" s="56"/>
      <c r="ED467" s="56"/>
      <c r="EE467" s="56"/>
      <c r="EF467" s="56"/>
      <c r="EG467" s="56"/>
      <c r="EH467" s="56"/>
      <c r="EI467" s="56"/>
      <c r="EJ467" s="56"/>
      <c r="EK467" s="56"/>
      <c r="EL467" s="56"/>
      <c r="EM467" s="56"/>
      <c r="EN467" s="56"/>
      <c r="EO467" s="56"/>
      <c r="EP467" s="56"/>
      <c r="EQ467" s="56"/>
      <c r="ER467" s="56"/>
      <c r="ES467" s="56"/>
      <c r="ET467" s="56"/>
      <c r="EU467" s="56"/>
      <c r="EV467" s="56"/>
      <c r="EW467" s="56"/>
      <c r="EX467" s="56"/>
      <c r="EY467" s="56"/>
      <c r="EZ467" s="56"/>
      <c r="FA467" s="56"/>
      <c r="FB467" s="56"/>
      <c r="FC467" s="56"/>
      <c r="FD467" s="56"/>
      <c r="FE467" s="56"/>
      <c r="FF467" s="56"/>
      <c r="FG467" s="56"/>
      <c r="FH467" s="56"/>
      <c r="FI467" s="56"/>
      <c r="FJ467" s="56"/>
      <c r="FK467" s="56"/>
      <c r="FL467" s="56"/>
      <c r="FM467" s="56"/>
      <c r="FN467" s="56"/>
      <c r="FO467" s="56"/>
      <c r="FP467" s="56"/>
      <c r="FQ467" s="56"/>
      <c r="FR467" s="56"/>
      <c r="FS467" s="56"/>
      <c r="FT467" s="56"/>
      <c r="FU467" s="56"/>
      <c r="FV467" s="56"/>
      <c r="FW467" s="56"/>
      <c r="FX467" s="56"/>
      <c r="FY467" s="56"/>
      <c r="FZ467" s="56"/>
      <c r="GA467" s="56"/>
      <c r="GB467" s="56"/>
      <c r="GC467" s="56"/>
      <c r="GD467" s="56"/>
      <c r="GE467" s="56"/>
      <c r="GF467" s="56"/>
      <c r="GG467" s="56"/>
      <c r="GH467" s="56"/>
      <c r="GI467" s="56"/>
      <c r="GJ467" s="56"/>
      <c r="GK467" s="56"/>
      <c r="GL467" s="56"/>
      <c r="GM467" s="56"/>
      <c r="GN467" s="56"/>
      <c r="GO467" s="56"/>
      <c r="GP467" s="56"/>
      <c r="GQ467" s="56"/>
      <c r="GR467" s="56"/>
      <c r="GS467" s="56"/>
      <c r="GT467" s="56"/>
      <c r="GU467" s="56"/>
      <c r="GV467" s="56"/>
      <c r="GW467" s="56"/>
      <c r="GX467" s="56"/>
      <c r="GY467" s="56"/>
      <c r="GZ467" s="56"/>
      <c r="HA467" s="56"/>
      <c r="HB467" s="56"/>
      <c r="HC467" s="56"/>
      <c r="HD467" s="56"/>
      <c r="HE467" s="56"/>
      <c r="HF467" s="56"/>
      <c r="HG467" s="56"/>
      <c r="HH467" s="56"/>
      <c r="HI467" s="56"/>
      <c r="HJ467" s="56"/>
    </row>
    <row r="468" spans="1:218" ht="15.75" customHeight="1" x14ac:dyDescent="0.2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  <c r="BV468" s="56"/>
      <c r="BW468" s="56"/>
      <c r="BX468" s="56"/>
      <c r="BY468" s="56"/>
      <c r="BZ468" s="56"/>
      <c r="CA468" s="56"/>
      <c r="CB468" s="56"/>
      <c r="CC468" s="56"/>
      <c r="CD468" s="56"/>
      <c r="CE468" s="56"/>
      <c r="CF468" s="56"/>
      <c r="CG468" s="56"/>
      <c r="CH468" s="56"/>
      <c r="CI468" s="56"/>
      <c r="CJ468" s="56"/>
      <c r="CK468" s="56"/>
      <c r="CL468" s="56"/>
      <c r="CM468" s="56"/>
      <c r="CN468" s="56"/>
      <c r="CO468" s="56"/>
      <c r="CP468" s="56"/>
      <c r="CQ468" s="56"/>
      <c r="CR468" s="56"/>
      <c r="CS468" s="56"/>
      <c r="CT468" s="56"/>
      <c r="CU468" s="56"/>
      <c r="CV468" s="56"/>
      <c r="CW468" s="56"/>
      <c r="CX468" s="56"/>
      <c r="CY468" s="56"/>
      <c r="CZ468" s="56"/>
      <c r="DA468" s="56"/>
      <c r="DB468" s="56"/>
      <c r="DC468" s="56"/>
      <c r="DD468" s="56"/>
      <c r="DE468" s="56"/>
      <c r="DF468" s="56"/>
      <c r="DG468" s="56"/>
      <c r="DH468" s="56"/>
      <c r="DI468" s="56"/>
      <c r="DJ468" s="56"/>
      <c r="DK468" s="56"/>
      <c r="DL468" s="56"/>
      <c r="DM468" s="56"/>
      <c r="DN468" s="56"/>
      <c r="DO468" s="56"/>
      <c r="DP468" s="56"/>
      <c r="DQ468" s="56"/>
      <c r="DR468" s="56"/>
      <c r="DS468" s="56"/>
      <c r="DT468" s="56"/>
      <c r="DU468" s="56"/>
      <c r="DV468" s="56"/>
      <c r="DW468" s="56"/>
      <c r="DX468" s="56"/>
      <c r="DY468" s="56"/>
      <c r="DZ468" s="56"/>
      <c r="EA468" s="56"/>
      <c r="EB468" s="56"/>
      <c r="EC468" s="56"/>
      <c r="ED468" s="56"/>
      <c r="EE468" s="56"/>
      <c r="EF468" s="56"/>
      <c r="EG468" s="56"/>
      <c r="EH468" s="56"/>
      <c r="EI468" s="56"/>
      <c r="EJ468" s="56"/>
      <c r="EK468" s="56"/>
      <c r="EL468" s="56"/>
      <c r="EM468" s="56"/>
      <c r="EN468" s="56"/>
      <c r="EO468" s="56"/>
      <c r="EP468" s="56"/>
      <c r="EQ468" s="56"/>
      <c r="ER468" s="56"/>
      <c r="ES468" s="56"/>
      <c r="ET468" s="56"/>
      <c r="EU468" s="56"/>
      <c r="EV468" s="56"/>
      <c r="EW468" s="56"/>
      <c r="EX468" s="56"/>
      <c r="EY468" s="56"/>
      <c r="EZ468" s="56"/>
      <c r="FA468" s="56"/>
      <c r="FB468" s="56"/>
      <c r="FC468" s="56"/>
      <c r="FD468" s="56"/>
      <c r="FE468" s="56"/>
      <c r="FF468" s="56"/>
      <c r="FG468" s="56"/>
      <c r="FH468" s="56"/>
      <c r="FI468" s="56"/>
      <c r="FJ468" s="56"/>
      <c r="FK468" s="56"/>
      <c r="FL468" s="56"/>
      <c r="FM468" s="56"/>
      <c r="FN468" s="56"/>
      <c r="FO468" s="56"/>
      <c r="FP468" s="56"/>
      <c r="FQ468" s="56"/>
      <c r="FR468" s="56"/>
      <c r="FS468" s="56"/>
      <c r="FT468" s="56"/>
      <c r="FU468" s="56"/>
      <c r="FV468" s="56"/>
      <c r="FW468" s="56"/>
      <c r="FX468" s="56"/>
      <c r="FY468" s="56"/>
      <c r="FZ468" s="56"/>
      <c r="GA468" s="56"/>
      <c r="GB468" s="56"/>
      <c r="GC468" s="56"/>
      <c r="GD468" s="56"/>
      <c r="GE468" s="56"/>
      <c r="GF468" s="56"/>
      <c r="GG468" s="56"/>
      <c r="GH468" s="56"/>
      <c r="GI468" s="56"/>
      <c r="GJ468" s="56"/>
      <c r="GK468" s="56"/>
      <c r="GL468" s="56"/>
      <c r="GM468" s="56"/>
      <c r="GN468" s="56"/>
      <c r="GO468" s="56"/>
      <c r="GP468" s="56"/>
      <c r="GQ468" s="56"/>
      <c r="GR468" s="56"/>
      <c r="GS468" s="56"/>
      <c r="GT468" s="56"/>
      <c r="GU468" s="56"/>
      <c r="GV468" s="56"/>
      <c r="GW468" s="56"/>
      <c r="GX468" s="56"/>
      <c r="GY468" s="56"/>
      <c r="GZ468" s="56"/>
      <c r="HA468" s="56"/>
      <c r="HB468" s="56"/>
      <c r="HC468" s="56"/>
      <c r="HD468" s="56"/>
      <c r="HE468" s="56"/>
      <c r="HF468" s="56"/>
      <c r="HG468" s="56"/>
      <c r="HH468" s="56"/>
      <c r="HI468" s="56"/>
      <c r="HJ468" s="56"/>
    </row>
    <row r="469" spans="1:218" ht="15.75" customHeight="1" x14ac:dyDescent="0.2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  <c r="CL469" s="56"/>
      <c r="CM469" s="56"/>
      <c r="CN469" s="56"/>
      <c r="CO469" s="56"/>
      <c r="CP469" s="56"/>
      <c r="CQ469" s="56"/>
      <c r="CR469" s="56"/>
      <c r="CS469" s="56"/>
      <c r="CT469" s="56"/>
      <c r="CU469" s="56"/>
      <c r="CV469" s="56"/>
      <c r="CW469" s="56"/>
      <c r="CX469" s="56"/>
      <c r="CY469" s="56"/>
      <c r="CZ469" s="56"/>
      <c r="DA469" s="56"/>
      <c r="DB469" s="56"/>
      <c r="DC469" s="56"/>
      <c r="DD469" s="56"/>
      <c r="DE469" s="56"/>
      <c r="DF469" s="56"/>
      <c r="DG469" s="56"/>
      <c r="DH469" s="56"/>
      <c r="DI469" s="56"/>
      <c r="DJ469" s="56"/>
      <c r="DK469" s="56"/>
      <c r="DL469" s="56"/>
      <c r="DM469" s="56"/>
      <c r="DN469" s="56"/>
      <c r="DO469" s="56"/>
      <c r="DP469" s="56"/>
      <c r="DQ469" s="56"/>
      <c r="DR469" s="56"/>
      <c r="DS469" s="56"/>
      <c r="DT469" s="56"/>
      <c r="DU469" s="56"/>
      <c r="DV469" s="56"/>
      <c r="DW469" s="56"/>
      <c r="DX469" s="56"/>
      <c r="DY469" s="56"/>
      <c r="DZ469" s="56"/>
      <c r="EA469" s="56"/>
      <c r="EB469" s="56"/>
      <c r="EC469" s="56"/>
      <c r="ED469" s="56"/>
      <c r="EE469" s="56"/>
      <c r="EF469" s="56"/>
      <c r="EG469" s="56"/>
      <c r="EH469" s="56"/>
      <c r="EI469" s="56"/>
      <c r="EJ469" s="56"/>
      <c r="EK469" s="56"/>
      <c r="EL469" s="56"/>
      <c r="EM469" s="56"/>
      <c r="EN469" s="56"/>
      <c r="EO469" s="56"/>
      <c r="EP469" s="56"/>
      <c r="EQ469" s="56"/>
      <c r="ER469" s="56"/>
      <c r="ES469" s="56"/>
      <c r="ET469" s="56"/>
      <c r="EU469" s="56"/>
      <c r="EV469" s="56"/>
      <c r="EW469" s="56"/>
      <c r="EX469" s="56"/>
      <c r="EY469" s="56"/>
      <c r="EZ469" s="56"/>
      <c r="FA469" s="56"/>
      <c r="FB469" s="56"/>
      <c r="FC469" s="56"/>
      <c r="FD469" s="56"/>
      <c r="FE469" s="56"/>
      <c r="FF469" s="56"/>
      <c r="FG469" s="56"/>
      <c r="FH469" s="56"/>
      <c r="FI469" s="56"/>
      <c r="FJ469" s="56"/>
      <c r="FK469" s="56"/>
      <c r="FL469" s="56"/>
      <c r="FM469" s="56"/>
      <c r="FN469" s="56"/>
      <c r="FO469" s="56"/>
      <c r="FP469" s="56"/>
      <c r="FQ469" s="56"/>
      <c r="FR469" s="56"/>
      <c r="FS469" s="56"/>
      <c r="FT469" s="56"/>
      <c r="FU469" s="56"/>
      <c r="FV469" s="56"/>
      <c r="FW469" s="56"/>
      <c r="FX469" s="56"/>
      <c r="FY469" s="56"/>
      <c r="FZ469" s="56"/>
      <c r="GA469" s="56"/>
      <c r="GB469" s="56"/>
      <c r="GC469" s="56"/>
      <c r="GD469" s="56"/>
      <c r="GE469" s="56"/>
      <c r="GF469" s="56"/>
      <c r="GG469" s="56"/>
      <c r="GH469" s="56"/>
      <c r="GI469" s="56"/>
      <c r="GJ469" s="56"/>
      <c r="GK469" s="56"/>
      <c r="GL469" s="56"/>
      <c r="GM469" s="56"/>
      <c r="GN469" s="56"/>
      <c r="GO469" s="56"/>
      <c r="GP469" s="56"/>
      <c r="GQ469" s="56"/>
      <c r="GR469" s="56"/>
      <c r="GS469" s="56"/>
      <c r="GT469" s="56"/>
      <c r="GU469" s="56"/>
      <c r="GV469" s="56"/>
      <c r="GW469" s="56"/>
      <c r="GX469" s="56"/>
      <c r="GY469" s="56"/>
      <c r="GZ469" s="56"/>
      <c r="HA469" s="56"/>
      <c r="HB469" s="56"/>
      <c r="HC469" s="56"/>
      <c r="HD469" s="56"/>
      <c r="HE469" s="56"/>
      <c r="HF469" s="56"/>
      <c r="HG469" s="56"/>
      <c r="HH469" s="56"/>
      <c r="HI469" s="56"/>
      <c r="HJ469" s="56"/>
    </row>
    <row r="470" spans="1:218" ht="15.75" customHeight="1" x14ac:dyDescent="0.2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  <c r="CL470" s="56"/>
      <c r="CM470" s="56"/>
      <c r="CN470" s="56"/>
      <c r="CO470" s="56"/>
      <c r="CP470" s="56"/>
      <c r="CQ470" s="56"/>
      <c r="CR470" s="56"/>
      <c r="CS470" s="56"/>
      <c r="CT470" s="56"/>
      <c r="CU470" s="56"/>
      <c r="CV470" s="56"/>
      <c r="CW470" s="56"/>
      <c r="CX470" s="56"/>
      <c r="CY470" s="56"/>
      <c r="CZ470" s="56"/>
      <c r="DA470" s="56"/>
      <c r="DB470" s="56"/>
      <c r="DC470" s="56"/>
      <c r="DD470" s="56"/>
      <c r="DE470" s="56"/>
      <c r="DF470" s="56"/>
      <c r="DG470" s="56"/>
      <c r="DH470" s="56"/>
      <c r="DI470" s="56"/>
      <c r="DJ470" s="56"/>
      <c r="DK470" s="56"/>
      <c r="DL470" s="56"/>
      <c r="DM470" s="56"/>
      <c r="DN470" s="56"/>
      <c r="DO470" s="56"/>
      <c r="DP470" s="56"/>
      <c r="DQ470" s="56"/>
      <c r="DR470" s="56"/>
      <c r="DS470" s="56"/>
      <c r="DT470" s="56"/>
      <c r="DU470" s="56"/>
      <c r="DV470" s="56"/>
      <c r="DW470" s="56"/>
      <c r="DX470" s="56"/>
      <c r="DY470" s="56"/>
      <c r="DZ470" s="56"/>
      <c r="EA470" s="56"/>
      <c r="EB470" s="56"/>
      <c r="EC470" s="56"/>
      <c r="ED470" s="56"/>
      <c r="EE470" s="56"/>
      <c r="EF470" s="56"/>
      <c r="EG470" s="56"/>
      <c r="EH470" s="56"/>
      <c r="EI470" s="56"/>
      <c r="EJ470" s="56"/>
      <c r="EK470" s="56"/>
      <c r="EL470" s="56"/>
      <c r="EM470" s="56"/>
      <c r="EN470" s="56"/>
      <c r="EO470" s="56"/>
      <c r="EP470" s="56"/>
      <c r="EQ470" s="56"/>
      <c r="ER470" s="56"/>
      <c r="ES470" s="56"/>
      <c r="ET470" s="56"/>
      <c r="EU470" s="56"/>
      <c r="EV470" s="56"/>
      <c r="EW470" s="56"/>
      <c r="EX470" s="56"/>
      <c r="EY470" s="56"/>
      <c r="EZ470" s="56"/>
      <c r="FA470" s="56"/>
      <c r="FB470" s="56"/>
      <c r="FC470" s="56"/>
      <c r="FD470" s="56"/>
      <c r="FE470" s="56"/>
      <c r="FF470" s="56"/>
      <c r="FG470" s="56"/>
      <c r="FH470" s="56"/>
      <c r="FI470" s="56"/>
      <c r="FJ470" s="56"/>
      <c r="FK470" s="56"/>
      <c r="FL470" s="56"/>
      <c r="FM470" s="56"/>
      <c r="FN470" s="56"/>
      <c r="FO470" s="56"/>
      <c r="FP470" s="56"/>
      <c r="FQ470" s="56"/>
      <c r="FR470" s="56"/>
      <c r="FS470" s="56"/>
      <c r="FT470" s="56"/>
      <c r="FU470" s="56"/>
      <c r="FV470" s="56"/>
      <c r="FW470" s="56"/>
      <c r="FX470" s="56"/>
      <c r="FY470" s="56"/>
      <c r="FZ470" s="56"/>
      <c r="GA470" s="56"/>
      <c r="GB470" s="56"/>
      <c r="GC470" s="56"/>
      <c r="GD470" s="56"/>
      <c r="GE470" s="56"/>
      <c r="GF470" s="56"/>
      <c r="GG470" s="56"/>
      <c r="GH470" s="56"/>
      <c r="GI470" s="56"/>
      <c r="GJ470" s="56"/>
      <c r="GK470" s="56"/>
      <c r="GL470" s="56"/>
      <c r="GM470" s="56"/>
      <c r="GN470" s="56"/>
      <c r="GO470" s="56"/>
      <c r="GP470" s="56"/>
      <c r="GQ470" s="56"/>
      <c r="GR470" s="56"/>
      <c r="GS470" s="56"/>
      <c r="GT470" s="56"/>
      <c r="GU470" s="56"/>
      <c r="GV470" s="56"/>
      <c r="GW470" s="56"/>
      <c r="GX470" s="56"/>
      <c r="GY470" s="56"/>
      <c r="GZ470" s="56"/>
      <c r="HA470" s="56"/>
      <c r="HB470" s="56"/>
      <c r="HC470" s="56"/>
      <c r="HD470" s="56"/>
      <c r="HE470" s="56"/>
      <c r="HF470" s="56"/>
      <c r="HG470" s="56"/>
      <c r="HH470" s="56"/>
      <c r="HI470" s="56"/>
      <c r="HJ470" s="56"/>
    </row>
    <row r="471" spans="1:218" ht="15.75" customHeight="1" x14ac:dyDescent="0.2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6"/>
      <c r="CA471" s="56"/>
      <c r="CB471" s="56"/>
      <c r="CC471" s="56"/>
      <c r="CD471" s="56"/>
      <c r="CE471" s="56"/>
      <c r="CF471" s="56"/>
      <c r="CG471" s="56"/>
      <c r="CH471" s="56"/>
      <c r="CI471" s="56"/>
      <c r="CJ471" s="56"/>
      <c r="CK471" s="56"/>
      <c r="CL471" s="56"/>
      <c r="CM471" s="56"/>
      <c r="CN471" s="56"/>
      <c r="CO471" s="56"/>
      <c r="CP471" s="56"/>
      <c r="CQ471" s="56"/>
      <c r="CR471" s="56"/>
      <c r="CS471" s="56"/>
      <c r="CT471" s="56"/>
      <c r="CU471" s="56"/>
      <c r="CV471" s="56"/>
      <c r="CW471" s="56"/>
      <c r="CX471" s="56"/>
      <c r="CY471" s="56"/>
      <c r="CZ471" s="56"/>
      <c r="DA471" s="56"/>
      <c r="DB471" s="56"/>
      <c r="DC471" s="56"/>
      <c r="DD471" s="56"/>
      <c r="DE471" s="56"/>
      <c r="DF471" s="56"/>
      <c r="DG471" s="56"/>
      <c r="DH471" s="56"/>
      <c r="DI471" s="56"/>
      <c r="DJ471" s="56"/>
      <c r="DK471" s="56"/>
      <c r="DL471" s="56"/>
      <c r="DM471" s="56"/>
      <c r="DN471" s="56"/>
      <c r="DO471" s="56"/>
      <c r="DP471" s="56"/>
      <c r="DQ471" s="56"/>
      <c r="DR471" s="56"/>
      <c r="DS471" s="56"/>
      <c r="DT471" s="56"/>
      <c r="DU471" s="56"/>
      <c r="DV471" s="56"/>
      <c r="DW471" s="56"/>
      <c r="DX471" s="56"/>
      <c r="DY471" s="56"/>
      <c r="DZ471" s="56"/>
      <c r="EA471" s="56"/>
      <c r="EB471" s="56"/>
      <c r="EC471" s="56"/>
      <c r="ED471" s="56"/>
      <c r="EE471" s="56"/>
      <c r="EF471" s="56"/>
      <c r="EG471" s="56"/>
      <c r="EH471" s="56"/>
      <c r="EI471" s="56"/>
      <c r="EJ471" s="56"/>
      <c r="EK471" s="56"/>
      <c r="EL471" s="56"/>
      <c r="EM471" s="56"/>
      <c r="EN471" s="56"/>
      <c r="EO471" s="56"/>
      <c r="EP471" s="56"/>
      <c r="EQ471" s="56"/>
      <c r="ER471" s="56"/>
      <c r="ES471" s="56"/>
      <c r="ET471" s="56"/>
      <c r="EU471" s="56"/>
      <c r="EV471" s="56"/>
      <c r="EW471" s="56"/>
      <c r="EX471" s="56"/>
      <c r="EY471" s="56"/>
      <c r="EZ471" s="56"/>
      <c r="FA471" s="56"/>
      <c r="FB471" s="56"/>
      <c r="FC471" s="56"/>
      <c r="FD471" s="56"/>
      <c r="FE471" s="56"/>
      <c r="FF471" s="56"/>
      <c r="FG471" s="56"/>
      <c r="FH471" s="56"/>
      <c r="FI471" s="56"/>
      <c r="FJ471" s="56"/>
      <c r="FK471" s="56"/>
      <c r="FL471" s="56"/>
      <c r="FM471" s="56"/>
      <c r="FN471" s="56"/>
      <c r="FO471" s="56"/>
      <c r="FP471" s="56"/>
      <c r="FQ471" s="56"/>
      <c r="FR471" s="56"/>
      <c r="FS471" s="56"/>
      <c r="FT471" s="56"/>
      <c r="FU471" s="56"/>
      <c r="FV471" s="56"/>
      <c r="FW471" s="56"/>
      <c r="FX471" s="56"/>
      <c r="FY471" s="56"/>
      <c r="FZ471" s="56"/>
      <c r="GA471" s="56"/>
      <c r="GB471" s="56"/>
      <c r="GC471" s="56"/>
      <c r="GD471" s="56"/>
      <c r="GE471" s="56"/>
      <c r="GF471" s="56"/>
      <c r="GG471" s="56"/>
      <c r="GH471" s="56"/>
      <c r="GI471" s="56"/>
      <c r="GJ471" s="56"/>
      <c r="GK471" s="56"/>
      <c r="GL471" s="56"/>
      <c r="GM471" s="56"/>
      <c r="GN471" s="56"/>
      <c r="GO471" s="56"/>
      <c r="GP471" s="56"/>
      <c r="GQ471" s="56"/>
      <c r="GR471" s="56"/>
      <c r="GS471" s="56"/>
      <c r="GT471" s="56"/>
      <c r="GU471" s="56"/>
      <c r="GV471" s="56"/>
      <c r="GW471" s="56"/>
      <c r="GX471" s="56"/>
      <c r="GY471" s="56"/>
      <c r="GZ471" s="56"/>
      <c r="HA471" s="56"/>
      <c r="HB471" s="56"/>
      <c r="HC471" s="56"/>
      <c r="HD471" s="56"/>
      <c r="HE471" s="56"/>
      <c r="HF471" s="56"/>
      <c r="HG471" s="56"/>
      <c r="HH471" s="56"/>
      <c r="HI471" s="56"/>
      <c r="HJ471" s="56"/>
    </row>
    <row r="472" spans="1:218" ht="15.75" customHeight="1" x14ac:dyDescent="0.2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6"/>
      <c r="CA472" s="56"/>
      <c r="CB472" s="56"/>
      <c r="CC472" s="56"/>
      <c r="CD472" s="56"/>
      <c r="CE472" s="56"/>
      <c r="CF472" s="56"/>
      <c r="CG472" s="56"/>
      <c r="CH472" s="56"/>
      <c r="CI472" s="56"/>
      <c r="CJ472" s="56"/>
      <c r="CK472" s="56"/>
      <c r="CL472" s="56"/>
      <c r="CM472" s="56"/>
      <c r="CN472" s="56"/>
      <c r="CO472" s="56"/>
      <c r="CP472" s="56"/>
      <c r="CQ472" s="56"/>
      <c r="CR472" s="56"/>
      <c r="CS472" s="56"/>
      <c r="CT472" s="56"/>
      <c r="CU472" s="56"/>
      <c r="CV472" s="56"/>
      <c r="CW472" s="56"/>
      <c r="CX472" s="56"/>
      <c r="CY472" s="56"/>
      <c r="CZ472" s="56"/>
      <c r="DA472" s="56"/>
      <c r="DB472" s="56"/>
      <c r="DC472" s="56"/>
      <c r="DD472" s="56"/>
      <c r="DE472" s="56"/>
      <c r="DF472" s="56"/>
      <c r="DG472" s="56"/>
      <c r="DH472" s="56"/>
      <c r="DI472" s="56"/>
      <c r="DJ472" s="56"/>
      <c r="DK472" s="56"/>
      <c r="DL472" s="56"/>
      <c r="DM472" s="56"/>
      <c r="DN472" s="56"/>
      <c r="DO472" s="56"/>
      <c r="DP472" s="56"/>
      <c r="DQ472" s="56"/>
      <c r="DR472" s="56"/>
      <c r="DS472" s="56"/>
      <c r="DT472" s="56"/>
      <c r="DU472" s="56"/>
      <c r="DV472" s="56"/>
      <c r="DW472" s="56"/>
      <c r="DX472" s="56"/>
      <c r="DY472" s="56"/>
      <c r="DZ472" s="56"/>
      <c r="EA472" s="56"/>
      <c r="EB472" s="56"/>
      <c r="EC472" s="56"/>
      <c r="ED472" s="56"/>
      <c r="EE472" s="56"/>
      <c r="EF472" s="56"/>
      <c r="EG472" s="56"/>
      <c r="EH472" s="56"/>
      <c r="EI472" s="56"/>
      <c r="EJ472" s="56"/>
      <c r="EK472" s="56"/>
      <c r="EL472" s="56"/>
      <c r="EM472" s="56"/>
      <c r="EN472" s="56"/>
      <c r="EO472" s="56"/>
      <c r="EP472" s="56"/>
      <c r="EQ472" s="56"/>
      <c r="ER472" s="56"/>
      <c r="ES472" s="56"/>
      <c r="ET472" s="56"/>
      <c r="EU472" s="56"/>
      <c r="EV472" s="56"/>
      <c r="EW472" s="56"/>
      <c r="EX472" s="56"/>
      <c r="EY472" s="56"/>
      <c r="EZ472" s="56"/>
      <c r="FA472" s="56"/>
      <c r="FB472" s="56"/>
      <c r="FC472" s="56"/>
      <c r="FD472" s="56"/>
      <c r="FE472" s="56"/>
      <c r="FF472" s="56"/>
      <c r="FG472" s="56"/>
      <c r="FH472" s="56"/>
      <c r="FI472" s="56"/>
      <c r="FJ472" s="56"/>
      <c r="FK472" s="56"/>
      <c r="FL472" s="56"/>
      <c r="FM472" s="56"/>
      <c r="FN472" s="56"/>
      <c r="FO472" s="56"/>
      <c r="FP472" s="56"/>
      <c r="FQ472" s="56"/>
      <c r="FR472" s="56"/>
      <c r="FS472" s="56"/>
      <c r="FT472" s="56"/>
      <c r="FU472" s="56"/>
      <c r="FV472" s="56"/>
      <c r="FW472" s="56"/>
      <c r="FX472" s="56"/>
      <c r="FY472" s="56"/>
      <c r="FZ472" s="56"/>
      <c r="GA472" s="56"/>
      <c r="GB472" s="56"/>
      <c r="GC472" s="56"/>
      <c r="GD472" s="56"/>
      <c r="GE472" s="56"/>
      <c r="GF472" s="56"/>
      <c r="GG472" s="56"/>
      <c r="GH472" s="56"/>
      <c r="GI472" s="56"/>
      <c r="GJ472" s="56"/>
      <c r="GK472" s="56"/>
      <c r="GL472" s="56"/>
      <c r="GM472" s="56"/>
      <c r="GN472" s="56"/>
      <c r="GO472" s="56"/>
      <c r="GP472" s="56"/>
      <c r="GQ472" s="56"/>
      <c r="GR472" s="56"/>
      <c r="GS472" s="56"/>
      <c r="GT472" s="56"/>
      <c r="GU472" s="56"/>
      <c r="GV472" s="56"/>
      <c r="GW472" s="56"/>
      <c r="GX472" s="56"/>
      <c r="GY472" s="56"/>
      <c r="GZ472" s="56"/>
      <c r="HA472" s="56"/>
      <c r="HB472" s="56"/>
      <c r="HC472" s="56"/>
      <c r="HD472" s="56"/>
      <c r="HE472" s="56"/>
      <c r="HF472" s="56"/>
      <c r="HG472" s="56"/>
      <c r="HH472" s="56"/>
      <c r="HI472" s="56"/>
      <c r="HJ472" s="56"/>
    </row>
    <row r="473" spans="1:218" ht="15.75" customHeight="1" x14ac:dyDescent="0.2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  <c r="BV473" s="56"/>
      <c r="BW473" s="56"/>
      <c r="BX473" s="56"/>
      <c r="BY473" s="56"/>
      <c r="BZ473" s="56"/>
      <c r="CA473" s="56"/>
      <c r="CB473" s="56"/>
      <c r="CC473" s="56"/>
      <c r="CD473" s="56"/>
      <c r="CE473" s="56"/>
      <c r="CF473" s="56"/>
      <c r="CG473" s="56"/>
      <c r="CH473" s="56"/>
      <c r="CI473" s="56"/>
      <c r="CJ473" s="56"/>
      <c r="CK473" s="56"/>
      <c r="CL473" s="56"/>
      <c r="CM473" s="56"/>
      <c r="CN473" s="56"/>
      <c r="CO473" s="56"/>
      <c r="CP473" s="56"/>
      <c r="CQ473" s="56"/>
      <c r="CR473" s="56"/>
      <c r="CS473" s="56"/>
      <c r="CT473" s="56"/>
      <c r="CU473" s="56"/>
      <c r="CV473" s="56"/>
      <c r="CW473" s="56"/>
      <c r="CX473" s="56"/>
      <c r="CY473" s="56"/>
      <c r="CZ473" s="56"/>
      <c r="DA473" s="56"/>
      <c r="DB473" s="56"/>
      <c r="DC473" s="56"/>
      <c r="DD473" s="56"/>
      <c r="DE473" s="56"/>
      <c r="DF473" s="56"/>
      <c r="DG473" s="56"/>
      <c r="DH473" s="56"/>
      <c r="DI473" s="56"/>
      <c r="DJ473" s="56"/>
      <c r="DK473" s="56"/>
      <c r="DL473" s="56"/>
      <c r="DM473" s="56"/>
      <c r="DN473" s="56"/>
      <c r="DO473" s="56"/>
      <c r="DP473" s="56"/>
      <c r="DQ473" s="56"/>
      <c r="DR473" s="56"/>
      <c r="DS473" s="56"/>
      <c r="DT473" s="56"/>
      <c r="DU473" s="56"/>
      <c r="DV473" s="56"/>
      <c r="DW473" s="56"/>
      <c r="DX473" s="56"/>
      <c r="DY473" s="56"/>
      <c r="DZ473" s="56"/>
      <c r="EA473" s="56"/>
      <c r="EB473" s="56"/>
      <c r="EC473" s="56"/>
      <c r="ED473" s="56"/>
      <c r="EE473" s="56"/>
      <c r="EF473" s="56"/>
      <c r="EG473" s="56"/>
      <c r="EH473" s="56"/>
      <c r="EI473" s="56"/>
      <c r="EJ473" s="56"/>
      <c r="EK473" s="56"/>
      <c r="EL473" s="56"/>
      <c r="EM473" s="56"/>
      <c r="EN473" s="56"/>
      <c r="EO473" s="56"/>
      <c r="EP473" s="56"/>
      <c r="EQ473" s="56"/>
      <c r="ER473" s="56"/>
      <c r="ES473" s="56"/>
      <c r="ET473" s="56"/>
      <c r="EU473" s="56"/>
      <c r="EV473" s="56"/>
      <c r="EW473" s="56"/>
      <c r="EX473" s="56"/>
      <c r="EY473" s="56"/>
      <c r="EZ473" s="56"/>
      <c r="FA473" s="56"/>
      <c r="FB473" s="56"/>
      <c r="FC473" s="56"/>
      <c r="FD473" s="56"/>
      <c r="FE473" s="56"/>
      <c r="FF473" s="56"/>
      <c r="FG473" s="56"/>
      <c r="FH473" s="56"/>
      <c r="FI473" s="56"/>
      <c r="FJ473" s="56"/>
      <c r="FK473" s="56"/>
      <c r="FL473" s="56"/>
      <c r="FM473" s="56"/>
      <c r="FN473" s="56"/>
      <c r="FO473" s="56"/>
      <c r="FP473" s="56"/>
      <c r="FQ473" s="56"/>
      <c r="FR473" s="56"/>
      <c r="FS473" s="56"/>
      <c r="FT473" s="56"/>
      <c r="FU473" s="56"/>
      <c r="FV473" s="56"/>
      <c r="FW473" s="56"/>
      <c r="FX473" s="56"/>
      <c r="FY473" s="56"/>
      <c r="FZ473" s="56"/>
      <c r="GA473" s="56"/>
      <c r="GB473" s="56"/>
      <c r="GC473" s="56"/>
      <c r="GD473" s="56"/>
      <c r="GE473" s="56"/>
      <c r="GF473" s="56"/>
      <c r="GG473" s="56"/>
      <c r="GH473" s="56"/>
      <c r="GI473" s="56"/>
      <c r="GJ473" s="56"/>
      <c r="GK473" s="56"/>
      <c r="GL473" s="56"/>
      <c r="GM473" s="56"/>
      <c r="GN473" s="56"/>
      <c r="GO473" s="56"/>
      <c r="GP473" s="56"/>
      <c r="GQ473" s="56"/>
      <c r="GR473" s="56"/>
      <c r="GS473" s="56"/>
      <c r="GT473" s="56"/>
      <c r="GU473" s="56"/>
      <c r="GV473" s="56"/>
      <c r="GW473" s="56"/>
      <c r="GX473" s="56"/>
      <c r="GY473" s="56"/>
      <c r="GZ473" s="56"/>
      <c r="HA473" s="56"/>
      <c r="HB473" s="56"/>
      <c r="HC473" s="56"/>
      <c r="HD473" s="56"/>
      <c r="HE473" s="56"/>
      <c r="HF473" s="56"/>
      <c r="HG473" s="56"/>
      <c r="HH473" s="56"/>
      <c r="HI473" s="56"/>
      <c r="HJ473" s="56"/>
    </row>
    <row r="474" spans="1:218" ht="15.75" customHeight="1" x14ac:dyDescent="0.2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56"/>
      <c r="CP474" s="56"/>
      <c r="CQ474" s="56"/>
      <c r="CR474" s="56"/>
      <c r="CS474" s="56"/>
      <c r="CT474" s="56"/>
      <c r="CU474" s="56"/>
      <c r="CV474" s="56"/>
      <c r="CW474" s="56"/>
      <c r="CX474" s="56"/>
      <c r="CY474" s="56"/>
      <c r="CZ474" s="56"/>
      <c r="DA474" s="56"/>
      <c r="DB474" s="56"/>
      <c r="DC474" s="56"/>
      <c r="DD474" s="56"/>
      <c r="DE474" s="56"/>
      <c r="DF474" s="56"/>
      <c r="DG474" s="56"/>
      <c r="DH474" s="56"/>
      <c r="DI474" s="56"/>
      <c r="DJ474" s="56"/>
      <c r="DK474" s="56"/>
      <c r="DL474" s="56"/>
      <c r="DM474" s="56"/>
      <c r="DN474" s="56"/>
      <c r="DO474" s="56"/>
      <c r="DP474" s="56"/>
      <c r="DQ474" s="56"/>
      <c r="DR474" s="56"/>
      <c r="DS474" s="56"/>
      <c r="DT474" s="56"/>
      <c r="DU474" s="56"/>
      <c r="DV474" s="56"/>
      <c r="DW474" s="56"/>
      <c r="DX474" s="56"/>
      <c r="DY474" s="56"/>
      <c r="DZ474" s="56"/>
      <c r="EA474" s="56"/>
      <c r="EB474" s="56"/>
      <c r="EC474" s="56"/>
      <c r="ED474" s="56"/>
      <c r="EE474" s="56"/>
      <c r="EF474" s="56"/>
      <c r="EG474" s="56"/>
      <c r="EH474" s="56"/>
      <c r="EI474" s="56"/>
      <c r="EJ474" s="56"/>
      <c r="EK474" s="56"/>
      <c r="EL474" s="56"/>
      <c r="EM474" s="56"/>
      <c r="EN474" s="56"/>
      <c r="EO474" s="56"/>
      <c r="EP474" s="56"/>
      <c r="EQ474" s="56"/>
      <c r="ER474" s="56"/>
      <c r="ES474" s="56"/>
      <c r="ET474" s="56"/>
      <c r="EU474" s="56"/>
      <c r="EV474" s="56"/>
      <c r="EW474" s="56"/>
      <c r="EX474" s="56"/>
      <c r="EY474" s="56"/>
      <c r="EZ474" s="56"/>
      <c r="FA474" s="56"/>
      <c r="FB474" s="56"/>
      <c r="FC474" s="56"/>
      <c r="FD474" s="56"/>
      <c r="FE474" s="56"/>
      <c r="FF474" s="56"/>
      <c r="FG474" s="56"/>
      <c r="FH474" s="56"/>
      <c r="FI474" s="56"/>
      <c r="FJ474" s="56"/>
      <c r="FK474" s="56"/>
      <c r="FL474" s="56"/>
      <c r="FM474" s="56"/>
      <c r="FN474" s="56"/>
      <c r="FO474" s="56"/>
      <c r="FP474" s="56"/>
      <c r="FQ474" s="56"/>
      <c r="FR474" s="56"/>
      <c r="FS474" s="56"/>
      <c r="FT474" s="56"/>
      <c r="FU474" s="56"/>
      <c r="FV474" s="56"/>
      <c r="FW474" s="56"/>
      <c r="FX474" s="56"/>
      <c r="FY474" s="56"/>
      <c r="FZ474" s="56"/>
      <c r="GA474" s="56"/>
      <c r="GB474" s="56"/>
      <c r="GC474" s="56"/>
      <c r="GD474" s="56"/>
      <c r="GE474" s="56"/>
      <c r="GF474" s="56"/>
      <c r="GG474" s="56"/>
      <c r="GH474" s="56"/>
      <c r="GI474" s="56"/>
      <c r="GJ474" s="56"/>
      <c r="GK474" s="56"/>
      <c r="GL474" s="56"/>
      <c r="GM474" s="56"/>
      <c r="GN474" s="56"/>
      <c r="GO474" s="56"/>
      <c r="GP474" s="56"/>
      <c r="GQ474" s="56"/>
      <c r="GR474" s="56"/>
      <c r="GS474" s="56"/>
      <c r="GT474" s="56"/>
      <c r="GU474" s="56"/>
      <c r="GV474" s="56"/>
      <c r="GW474" s="56"/>
      <c r="GX474" s="56"/>
      <c r="GY474" s="56"/>
      <c r="GZ474" s="56"/>
      <c r="HA474" s="56"/>
      <c r="HB474" s="56"/>
      <c r="HC474" s="56"/>
      <c r="HD474" s="56"/>
      <c r="HE474" s="56"/>
      <c r="HF474" s="56"/>
      <c r="HG474" s="56"/>
      <c r="HH474" s="56"/>
      <c r="HI474" s="56"/>
      <c r="HJ474" s="56"/>
    </row>
    <row r="475" spans="1:218" ht="15.75" customHeight="1" x14ac:dyDescent="0.2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  <c r="CL475" s="56"/>
      <c r="CM475" s="56"/>
      <c r="CN475" s="56"/>
      <c r="CO475" s="56"/>
      <c r="CP475" s="56"/>
      <c r="CQ475" s="56"/>
      <c r="CR475" s="56"/>
      <c r="CS475" s="56"/>
      <c r="CT475" s="56"/>
      <c r="CU475" s="56"/>
      <c r="CV475" s="56"/>
      <c r="CW475" s="56"/>
      <c r="CX475" s="56"/>
      <c r="CY475" s="56"/>
      <c r="CZ475" s="56"/>
      <c r="DA475" s="56"/>
      <c r="DB475" s="56"/>
      <c r="DC475" s="56"/>
      <c r="DD475" s="56"/>
      <c r="DE475" s="56"/>
      <c r="DF475" s="56"/>
      <c r="DG475" s="56"/>
      <c r="DH475" s="56"/>
      <c r="DI475" s="56"/>
      <c r="DJ475" s="56"/>
      <c r="DK475" s="56"/>
      <c r="DL475" s="56"/>
      <c r="DM475" s="56"/>
      <c r="DN475" s="56"/>
      <c r="DO475" s="56"/>
      <c r="DP475" s="56"/>
      <c r="DQ475" s="56"/>
      <c r="DR475" s="56"/>
      <c r="DS475" s="56"/>
      <c r="DT475" s="56"/>
      <c r="DU475" s="56"/>
      <c r="DV475" s="56"/>
      <c r="DW475" s="56"/>
      <c r="DX475" s="56"/>
      <c r="DY475" s="56"/>
      <c r="DZ475" s="56"/>
      <c r="EA475" s="56"/>
      <c r="EB475" s="56"/>
      <c r="EC475" s="56"/>
      <c r="ED475" s="56"/>
      <c r="EE475" s="56"/>
      <c r="EF475" s="56"/>
      <c r="EG475" s="56"/>
      <c r="EH475" s="56"/>
      <c r="EI475" s="56"/>
      <c r="EJ475" s="56"/>
      <c r="EK475" s="56"/>
      <c r="EL475" s="56"/>
      <c r="EM475" s="56"/>
      <c r="EN475" s="56"/>
      <c r="EO475" s="56"/>
      <c r="EP475" s="56"/>
      <c r="EQ475" s="56"/>
      <c r="ER475" s="56"/>
      <c r="ES475" s="56"/>
      <c r="ET475" s="56"/>
      <c r="EU475" s="56"/>
      <c r="EV475" s="56"/>
      <c r="EW475" s="56"/>
      <c r="EX475" s="56"/>
      <c r="EY475" s="56"/>
      <c r="EZ475" s="56"/>
      <c r="FA475" s="56"/>
      <c r="FB475" s="56"/>
      <c r="FC475" s="56"/>
      <c r="FD475" s="56"/>
      <c r="FE475" s="56"/>
      <c r="FF475" s="56"/>
      <c r="FG475" s="56"/>
      <c r="FH475" s="56"/>
      <c r="FI475" s="56"/>
      <c r="FJ475" s="56"/>
      <c r="FK475" s="56"/>
      <c r="FL475" s="56"/>
      <c r="FM475" s="56"/>
      <c r="FN475" s="56"/>
      <c r="FO475" s="56"/>
      <c r="FP475" s="56"/>
      <c r="FQ475" s="56"/>
      <c r="FR475" s="56"/>
      <c r="FS475" s="56"/>
      <c r="FT475" s="56"/>
      <c r="FU475" s="56"/>
      <c r="FV475" s="56"/>
      <c r="FW475" s="56"/>
      <c r="FX475" s="56"/>
      <c r="FY475" s="56"/>
      <c r="FZ475" s="56"/>
      <c r="GA475" s="56"/>
      <c r="GB475" s="56"/>
      <c r="GC475" s="56"/>
      <c r="GD475" s="56"/>
      <c r="GE475" s="56"/>
      <c r="GF475" s="56"/>
      <c r="GG475" s="56"/>
      <c r="GH475" s="56"/>
      <c r="GI475" s="56"/>
      <c r="GJ475" s="56"/>
      <c r="GK475" s="56"/>
      <c r="GL475" s="56"/>
      <c r="GM475" s="56"/>
      <c r="GN475" s="56"/>
      <c r="GO475" s="56"/>
      <c r="GP475" s="56"/>
      <c r="GQ475" s="56"/>
      <c r="GR475" s="56"/>
      <c r="GS475" s="56"/>
      <c r="GT475" s="56"/>
      <c r="GU475" s="56"/>
      <c r="GV475" s="56"/>
      <c r="GW475" s="56"/>
      <c r="GX475" s="56"/>
      <c r="GY475" s="56"/>
      <c r="GZ475" s="56"/>
      <c r="HA475" s="56"/>
      <c r="HB475" s="56"/>
      <c r="HC475" s="56"/>
      <c r="HD475" s="56"/>
      <c r="HE475" s="56"/>
      <c r="HF475" s="56"/>
      <c r="HG475" s="56"/>
      <c r="HH475" s="56"/>
      <c r="HI475" s="56"/>
      <c r="HJ475" s="56"/>
    </row>
    <row r="476" spans="1:218" ht="15.75" customHeight="1" x14ac:dyDescent="0.2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  <c r="BV476" s="56"/>
      <c r="BW476" s="56"/>
      <c r="BX476" s="56"/>
      <c r="BY476" s="56"/>
      <c r="BZ476" s="56"/>
      <c r="CA476" s="56"/>
      <c r="CB476" s="56"/>
      <c r="CC476" s="56"/>
      <c r="CD476" s="56"/>
      <c r="CE476" s="56"/>
      <c r="CF476" s="56"/>
      <c r="CG476" s="56"/>
      <c r="CH476" s="56"/>
      <c r="CI476" s="56"/>
      <c r="CJ476" s="56"/>
      <c r="CK476" s="56"/>
      <c r="CL476" s="56"/>
      <c r="CM476" s="56"/>
      <c r="CN476" s="56"/>
      <c r="CO476" s="56"/>
      <c r="CP476" s="56"/>
      <c r="CQ476" s="56"/>
      <c r="CR476" s="56"/>
      <c r="CS476" s="56"/>
      <c r="CT476" s="56"/>
      <c r="CU476" s="56"/>
      <c r="CV476" s="56"/>
      <c r="CW476" s="56"/>
      <c r="CX476" s="56"/>
      <c r="CY476" s="56"/>
      <c r="CZ476" s="56"/>
      <c r="DA476" s="56"/>
      <c r="DB476" s="56"/>
      <c r="DC476" s="56"/>
      <c r="DD476" s="56"/>
      <c r="DE476" s="56"/>
      <c r="DF476" s="56"/>
      <c r="DG476" s="56"/>
      <c r="DH476" s="56"/>
      <c r="DI476" s="56"/>
      <c r="DJ476" s="56"/>
      <c r="DK476" s="56"/>
      <c r="DL476" s="56"/>
      <c r="DM476" s="56"/>
      <c r="DN476" s="56"/>
      <c r="DO476" s="56"/>
      <c r="DP476" s="56"/>
      <c r="DQ476" s="56"/>
      <c r="DR476" s="56"/>
      <c r="DS476" s="56"/>
      <c r="DT476" s="56"/>
      <c r="DU476" s="56"/>
      <c r="DV476" s="56"/>
      <c r="DW476" s="56"/>
      <c r="DX476" s="56"/>
      <c r="DY476" s="56"/>
      <c r="DZ476" s="56"/>
      <c r="EA476" s="56"/>
      <c r="EB476" s="56"/>
      <c r="EC476" s="56"/>
      <c r="ED476" s="56"/>
      <c r="EE476" s="56"/>
      <c r="EF476" s="56"/>
      <c r="EG476" s="56"/>
      <c r="EH476" s="56"/>
      <c r="EI476" s="56"/>
      <c r="EJ476" s="56"/>
      <c r="EK476" s="56"/>
      <c r="EL476" s="56"/>
      <c r="EM476" s="56"/>
      <c r="EN476" s="56"/>
      <c r="EO476" s="56"/>
      <c r="EP476" s="56"/>
      <c r="EQ476" s="56"/>
      <c r="ER476" s="56"/>
      <c r="ES476" s="56"/>
      <c r="ET476" s="56"/>
      <c r="EU476" s="56"/>
      <c r="EV476" s="56"/>
      <c r="EW476" s="56"/>
      <c r="EX476" s="56"/>
      <c r="EY476" s="56"/>
      <c r="EZ476" s="56"/>
      <c r="FA476" s="56"/>
      <c r="FB476" s="56"/>
      <c r="FC476" s="56"/>
      <c r="FD476" s="56"/>
      <c r="FE476" s="56"/>
      <c r="FF476" s="56"/>
      <c r="FG476" s="56"/>
      <c r="FH476" s="56"/>
      <c r="FI476" s="56"/>
      <c r="FJ476" s="56"/>
      <c r="FK476" s="56"/>
      <c r="FL476" s="56"/>
      <c r="FM476" s="56"/>
      <c r="FN476" s="56"/>
      <c r="FO476" s="56"/>
      <c r="FP476" s="56"/>
      <c r="FQ476" s="56"/>
      <c r="FR476" s="56"/>
      <c r="FS476" s="56"/>
      <c r="FT476" s="56"/>
      <c r="FU476" s="56"/>
      <c r="FV476" s="56"/>
      <c r="FW476" s="56"/>
      <c r="FX476" s="56"/>
      <c r="FY476" s="56"/>
      <c r="FZ476" s="56"/>
      <c r="GA476" s="56"/>
      <c r="GB476" s="56"/>
      <c r="GC476" s="56"/>
      <c r="GD476" s="56"/>
      <c r="GE476" s="56"/>
      <c r="GF476" s="56"/>
      <c r="GG476" s="56"/>
      <c r="GH476" s="56"/>
      <c r="GI476" s="56"/>
      <c r="GJ476" s="56"/>
      <c r="GK476" s="56"/>
      <c r="GL476" s="56"/>
      <c r="GM476" s="56"/>
      <c r="GN476" s="56"/>
      <c r="GO476" s="56"/>
      <c r="GP476" s="56"/>
      <c r="GQ476" s="56"/>
      <c r="GR476" s="56"/>
      <c r="GS476" s="56"/>
      <c r="GT476" s="56"/>
      <c r="GU476" s="56"/>
      <c r="GV476" s="56"/>
      <c r="GW476" s="56"/>
      <c r="GX476" s="56"/>
      <c r="GY476" s="56"/>
      <c r="GZ476" s="56"/>
      <c r="HA476" s="56"/>
      <c r="HB476" s="56"/>
      <c r="HC476" s="56"/>
      <c r="HD476" s="56"/>
      <c r="HE476" s="56"/>
      <c r="HF476" s="56"/>
      <c r="HG476" s="56"/>
      <c r="HH476" s="56"/>
      <c r="HI476" s="56"/>
      <c r="HJ476" s="56"/>
    </row>
    <row r="477" spans="1:218" ht="15.75" customHeight="1" x14ac:dyDescent="0.2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  <c r="BV477" s="56"/>
      <c r="BW477" s="56"/>
      <c r="BX477" s="56"/>
      <c r="BY477" s="56"/>
      <c r="BZ477" s="56"/>
      <c r="CA477" s="56"/>
      <c r="CB477" s="56"/>
      <c r="CC477" s="56"/>
      <c r="CD477" s="56"/>
      <c r="CE477" s="56"/>
      <c r="CF477" s="56"/>
      <c r="CG477" s="56"/>
      <c r="CH477" s="56"/>
      <c r="CI477" s="56"/>
      <c r="CJ477" s="56"/>
      <c r="CK477" s="56"/>
      <c r="CL477" s="56"/>
      <c r="CM477" s="56"/>
      <c r="CN477" s="56"/>
      <c r="CO477" s="56"/>
      <c r="CP477" s="56"/>
      <c r="CQ477" s="56"/>
      <c r="CR477" s="56"/>
      <c r="CS477" s="56"/>
      <c r="CT477" s="56"/>
      <c r="CU477" s="56"/>
      <c r="CV477" s="56"/>
      <c r="CW477" s="56"/>
      <c r="CX477" s="56"/>
      <c r="CY477" s="56"/>
      <c r="CZ477" s="56"/>
      <c r="DA477" s="56"/>
      <c r="DB477" s="56"/>
      <c r="DC477" s="56"/>
      <c r="DD477" s="56"/>
      <c r="DE477" s="56"/>
      <c r="DF477" s="56"/>
      <c r="DG477" s="56"/>
      <c r="DH477" s="56"/>
      <c r="DI477" s="56"/>
      <c r="DJ477" s="56"/>
      <c r="DK477" s="56"/>
      <c r="DL477" s="56"/>
      <c r="DM477" s="56"/>
      <c r="DN477" s="56"/>
      <c r="DO477" s="56"/>
      <c r="DP477" s="56"/>
      <c r="DQ477" s="56"/>
      <c r="DR477" s="56"/>
      <c r="DS477" s="56"/>
      <c r="DT477" s="56"/>
      <c r="DU477" s="56"/>
      <c r="DV477" s="56"/>
      <c r="DW477" s="56"/>
      <c r="DX477" s="56"/>
      <c r="DY477" s="56"/>
      <c r="DZ477" s="56"/>
      <c r="EA477" s="56"/>
      <c r="EB477" s="56"/>
      <c r="EC477" s="56"/>
      <c r="ED477" s="56"/>
      <c r="EE477" s="56"/>
      <c r="EF477" s="56"/>
      <c r="EG477" s="56"/>
      <c r="EH477" s="56"/>
      <c r="EI477" s="56"/>
      <c r="EJ477" s="56"/>
      <c r="EK477" s="56"/>
      <c r="EL477" s="56"/>
      <c r="EM477" s="56"/>
      <c r="EN477" s="56"/>
      <c r="EO477" s="56"/>
      <c r="EP477" s="56"/>
      <c r="EQ477" s="56"/>
      <c r="ER477" s="56"/>
      <c r="ES477" s="56"/>
      <c r="ET477" s="56"/>
      <c r="EU477" s="56"/>
      <c r="EV477" s="56"/>
      <c r="EW477" s="56"/>
      <c r="EX477" s="56"/>
      <c r="EY477" s="56"/>
      <c r="EZ477" s="56"/>
      <c r="FA477" s="56"/>
      <c r="FB477" s="56"/>
      <c r="FC477" s="56"/>
      <c r="FD477" s="56"/>
      <c r="FE477" s="56"/>
      <c r="FF477" s="56"/>
      <c r="FG477" s="56"/>
      <c r="FH477" s="56"/>
      <c r="FI477" s="56"/>
      <c r="FJ477" s="56"/>
      <c r="FK477" s="56"/>
      <c r="FL477" s="56"/>
      <c r="FM477" s="56"/>
      <c r="FN477" s="56"/>
      <c r="FO477" s="56"/>
      <c r="FP477" s="56"/>
      <c r="FQ477" s="56"/>
      <c r="FR477" s="56"/>
      <c r="FS477" s="56"/>
      <c r="FT477" s="56"/>
      <c r="FU477" s="56"/>
      <c r="FV477" s="56"/>
      <c r="FW477" s="56"/>
      <c r="FX477" s="56"/>
      <c r="FY477" s="56"/>
      <c r="FZ477" s="56"/>
      <c r="GA477" s="56"/>
      <c r="GB477" s="56"/>
      <c r="GC477" s="56"/>
      <c r="GD477" s="56"/>
      <c r="GE477" s="56"/>
      <c r="GF477" s="56"/>
      <c r="GG477" s="56"/>
      <c r="GH477" s="56"/>
      <c r="GI477" s="56"/>
      <c r="GJ477" s="56"/>
      <c r="GK477" s="56"/>
      <c r="GL477" s="56"/>
      <c r="GM477" s="56"/>
      <c r="GN477" s="56"/>
      <c r="GO477" s="56"/>
      <c r="GP477" s="56"/>
      <c r="GQ477" s="56"/>
      <c r="GR477" s="56"/>
      <c r="GS477" s="56"/>
      <c r="GT477" s="56"/>
      <c r="GU477" s="56"/>
      <c r="GV477" s="56"/>
      <c r="GW477" s="56"/>
      <c r="GX477" s="56"/>
      <c r="GY477" s="56"/>
      <c r="GZ477" s="56"/>
      <c r="HA477" s="56"/>
      <c r="HB477" s="56"/>
      <c r="HC477" s="56"/>
      <c r="HD477" s="56"/>
      <c r="HE477" s="56"/>
      <c r="HF477" s="56"/>
      <c r="HG477" s="56"/>
      <c r="HH477" s="56"/>
      <c r="HI477" s="56"/>
      <c r="HJ477" s="56"/>
    </row>
    <row r="478" spans="1:218" ht="15.75" customHeight="1" x14ac:dyDescent="0.2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  <c r="BV478" s="56"/>
      <c r="BW478" s="56"/>
      <c r="BX478" s="56"/>
      <c r="BY478" s="56"/>
      <c r="BZ478" s="56"/>
      <c r="CA478" s="56"/>
      <c r="CB478" s="56"/>
      <c r="CC478" s="56"/>
      <c r="CD478" s="56"/>
      <c r="CE478" s="56"/>
      <c r="CF478" s="56"/>
      <c r="CG478" s="56"/>
      <c r="CH478" s="56"/>
      <c r="CI478" s="56"/>
      <c r="CJ478" s="56"/>
      <c r="CK478" s="56"/>
      <c r="CL478" s="56"/>
      <c r="CM478" s="56"/>
      <c r="CN478" s="56"/>
      <c r="CO478" s="56"/>
      <c r="CP478" s="56"/>
      <c r="CQ478" s="56"/>
      <c r="CR478" s="56"/>
      <c r="CS478" s="56"/>
      <c r="CT478" s="56"/>
      <c r="CU478" s="56"/>
      <c r="CV478" s="56"/>
      <c r="CW478" s="56"/>
      <c r="CX478" s="56"/>
      <c r="CY478" s="56"/>
      <c r="CZ478" s="56"/>
      <c r="DA478" s="56"/>
      <c r="DB478" s="56"/>
      <c r="DC478" s="56"/>
      <c r="DD478" s="56"/>
      <c r="DE478" s="56"/>
      <c r="DF478" s="56"/>
      <c r="DG478" s="56"/>
      <c r="DH478" s="56"/>
      <c r="DI478" s="56"/>
      <c r="DJ478" s="56"/>
      <c r="DK478" s="56"/>
      <c r="DL478" s="56"/>
      <c r="DM478" s="56"/>
      <c r="DN478" s="56"/>
      <c r="DO478" s="56"/>
      <c r="DP478" s="56"/>
      <c r="DQ478" s="56"/>
      <c r="DR478" s="56"/>
      <c r="DS478" s="56"/>
      <c r="DT478" s="56"/>
      <c r="DU478" s="56"/>
      <c r="DV478" s="56"/>
      <c r="DW478" s="56"/>
      <c r="DX478" s="56"/>
      <c r="DY478" s="56"/>
      <c r="DZ478" s="56"/>
      <c r="EA478" s="56"/>
      <c r="EB478" s="56"/>
      <c r="EC478" s="56"/>
      <c r="ED478" s="56"/>
      <c r="EE478" s="56"/>
      <c r="EF478" s="56"/>
      <c r="EG478" s="56"/>
      <c r="EH478" s="56"/>
      <c r="EI478" s="56"/>
      <c r="EJ478" s="56"/>
      <c r="EK478" s="56"/>
      <c r="EL478" s="56"/>
      <c r="EM478" s="56"/>
      <c r="EN478" s="56"/>
      <c r="EO478" s="56"/>
      <c r="EP478" s="56"/>
      <c r="EQ478" s="56"/>
      <c r="ER478" s="56"/>
      <c r="ES478" s="56"/>
      <c r="ET478" s="56"/>
      <c r="EU478" s="56"/>
      <c r="EV478" s="56"/>
      <c r="EW478" s="56"/>
      <c r="EX478" s="56"/>
      <c r="EY478" s="56"/>
      <c r="EZ478" s="56"/>
      <c r="FA478" s="56"/>
      <c r="FB478" s="56"/>
      <c r="FC478" s="56"/>
      <c r="FD478" s="56"/>
      <c r="FE478" s="56"/>
      <c r="FF478" s="56"/>
      <c r="FG478" s="56"/>
      <c r="FH478" s="56"/>
      <c r="FI478" s="56"/>
      <c r="FJ478" s="56"/>
      <c r="FK478" s="56"/>
      <c r="FL478" s="56"/>
      <c r="FM478" s="56"/>
      <c r="FN478" s="56"/>
      <c r="FO478" s="56"/>
      <c r="FP478" s="56"/>
      <c r="FQ478" s="56"/>
      <c r="FR478" s="56"/>
      <c r="FS478" s="56"/>
      <c r="FT478" s="56"/>
      <c r="FU478" s="56"/>
      <c r="FV478" s="56"/>
      <c r="FW478" s="56"/>
      <c r="FX478" s="56"/>
      <c r="FY478" s="56"/>
      <c r="FZ478" s="56"/>
      <c r="GA478" s="56"/>
      <c r="GB478" s="56"/>
      <c r="GC478" s="56"/>
      <c r="GD478" s="56"/>
      <c r="GE478" s="56"/>
      <c r="GF478" s="56"/>
      <c r="GG478" s="56"/>
      <c r="GH478" s="56"/>
      <c r="GI478" s="56"/>
      <c r="GJ478" s="56"/>
      <c r="GK478" s="56"/>
      <c r="GL478" s="56"/>
      <c r="GM478" s="56"/>
      <c r="GN478" s="56"/>
      <c r="GO478" s="56"/>
      <c r="GP478" s="56"/>
      <c r="GQ478" s="56"/>
      <c r="GR478" s="56"/>
      <c r="GS478" s="56"/>
      <c r="GT478" s="56"/>
      <c r="GU478" s="56"/>
      <c r="GV478" s="56"/>
      <c r="GW478" s="56"/>
      <c r="GX478" s="56"/>
      <c r="GY478" s="56"/>
      <c r="GZ478" s="56"/>
      <c r="HA478" s="56"/>
      <c r="HB478" s="56"/>
      <c r="HC478" s="56"/>
      <c r="HD478" s="56"/>
      <c r="HE478" s="56"/>
      <c r="HF478" s="56"/>
      <c r="HG478" s="56"/>
      <c r="HH478" s="56"/>
      <c r="HI478" s="56"/>
      <c r="HJ478" s="56"/>
    </row>
    <row r="479" spans="1:218" ht="15.75" customHeight="1" x14ac:dyDescent="0.2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  <c r="CL479" s="56"/>
      <c r="CM479" s="56"/>
      <c r="CN479" s="56"/>
      <c r="CO479" s="56"/>
      <c r="CP479" s="56"/>
      <c r="CQ479" s="56"/>
      <c r="CR479" s="56"/>
      <c r="CS479" s="56"/>
      <c r="CT479" s="56"/>
      <c r="CU479" s="56"/>
      <c r="CV479" s="56"/>
      <c r="CW479" s="56"/>
      <c r="CX479" s="56"/>
      <c r="CY479" s="56"/>
      <c r="CZ479" s="56"/>
      <c r="DA479" s="56"/>
      <c r="DB479" s="56"/>
      <c r="DC479" s="56"/>
      <c r="DD479" s="56"/>
      <c r="DE479" s="56"/>
      <c r="DF479" s="56"/>
      <c r="DG479" s="56"/>
      <c r="DH479" s="56"/>
      <c r="DI479" s="56"/>
      <c r="DJ479" s="56"/>
      <c r="DK479" s="56"/>
      <c r="DL479" s="56"/>
      <c r="DM479" s="56"/>
      <c r="DN479" s="56"/>
      <c r="DO479" s="56"/>
      <c r="DP479" s="56"/>
      <c r="DQ479" s="56"/>
      <c r="DR479" s="56"/>
      <c r="DS479" s="56"/>
      <c r="DT479" s="56"/>
      <c r="DU479" s="56"/>
      <c r="DV479" s="56"/>
      <c r="DW479" s="56"/>
      <c r="DX479" s="56"/>
      <c r="DY479" s="56"/>
      <c r="DZ479" s="56"/>
      <c r="EA479" s="56"/>
      <c r="EB479" s="56"/>
      <c r="EC479" s="56"/>
      <c r="ED479" s="56"/>
      <c r="EE479" s="56"/>
      <c r="EF479" s="56"/>
      <c r="EG479" s="56"/>
      <c r="EH479" s="56"/>
      <c r="EI479" s="56"/>
      <c r="EJ479" s="56"/>
      <c r="EK479" s="56"/>
      <c r="EL479" s="56"/>
      <c r="EM479" s="56"/>
      <c r="EN479" s="56"/>
      <c r="EO479" s="56"/>
      <c r="EP479" s="56"/>
      <c r="EQ479" s="56"/>
      <c r="ER479" s="56"/>
      <c r="ES479" s="56"/>
      <c r="ET479" s="56"/>
      <c r="EU479" s="56"/>
      <c r="EV479" s="56"/>
      <c r="EW479" s="56"/>
      <c r="EX479" s="56"/>
      <c r="EY479" s="56"/>
      <c r="EZ479" s="56"/>
      <c r="FA479" s="56"/>
      <c r="FB479" s="56"/>
      <c r="FC479" s="56"/>
      <c r="FD479" s="56"/>
      <c r="FE479" s="56"/>
      <c r="FF479" s="56"/>
      <c r="FG479" s="56"/>
      <c r="FH479" s="56"/>
      <c r="FI479" s="56"/>
      <c r="FJ479" s="56"/>
      <c r="FK479" s="56"/>
      <c r="FL479" s="56"/>
      <c r="FM479" s="56"/>
      <c r="FN479" s="56"/>
      <c r="FO479" s="56"/>
      <c r="FP479" s="56"/>
      <c r="FQ479" s="56"/>
      <c r="FR479" s="56"/>
      <c r="FS479" s="56"/>
      <c r="FT479" s="56"/>
      <c r="FU479" s="56"/>
      <c r="FV479" s="56"/>
      <c r="FW479" s="56"/>
      <c r="FX479" s="56"/>
      <c r="FY479" s="56"/>
      <c r="FZ479" s="56"/>
      <c r="GA479" s="56"/>
      <c r="GB479" s="56"/>
      <c r="GC479" s="56"/>
      <c r="GD479" s="56"/>
      <c r="GE479" s="56"/>
      <c r="GF479" s="56"/>
      <c r="GG479" s="56"/>
      <c r="GH479" s="56"/>
      <c r="GI479" s="56"/>
      <c r="GJ479" s="56"/>
      <c r="GK479" s="56"/>
      <c r="GL479" s="56"/>
      <c r="GM479" s="56"/>
      <c r="GN479" s="56"/>
      <c r="GO479" s="56"/>
      <c r="GP479" s="56"/>
      <c r="GQ479" s="56"/>
      <c r="GR479" s="56"/>
      <c r="GS479" s="56"/>
      <c r="GT479" s="56"/>
      <c r="GU479" s="56"/>
      <c r="GV479" s="56"/>
      <c r="GW479" s="56"/>
      <c r="GX479" s="56"/>
      <c r="GY479" s="56"/>
      <c r="GZ479" s="56"/>
      <c r="HA479" s="56"/>
      <c r="HB479" s="56"/>
      <c r="HC479" s="56"/>
      <c r="HD479" s="56"/>
      <c r="HE479" s="56"/>
      <c r="HF479" s="56"/>
      <c r="HG479" s="56"/>
      <c r="HH479" s="56"/>
      <c r="HI479" s="56"/>
      <c r="HJ479" s="56"/>
    </row>
    <row r="480" spans="1:218" ht="15.75" customHeight="1" x14ac:dyDescent="0.2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  <c r="CL480" s="56"/>
      <c r="CM480" s="56"/>
      <c r="CN480" s="56"/>
      <c r="CO480" s="56"/>
      <c r="CP480" s="56"/>
      <c r="CQ480" s="56"/>
      <c r="CR480" s="56"/>
      <c r="CS480" s="56"/>
      <c r="CT480" s="56"/>
      <c r="CU480" s="56"/>
      <c r="CV480" s="56"/>
      <c r="CW480" s="56"/>
      <c r="CX480" s="56"/>
      <c r="CY480" s="56"/>
      <c r="CZ480" s="56"/>
      <c r="DA480" s="56"/>
      <c r="DB480" s="56"/>
      <c r="DC480" s="56"/>
      <c r="DD480" s="56"/>
      <c r="DE480" s="56"/>
      <c r="DF480" s="56"/>
      <c r="DG480" s="56"/>
      <c r="DH480" s="56"/>
      <c r="DI480" s="56"/>
      <c r="DJ480" s="56"/>
      <c r="DK480" s="56"/>
      <c r="DL480" s="56"/>
      <c r="DM480" s="56"/>
      <c r="DN480" s="56"/>
      <c r="DO480" s="56"/>
      <c r="DP480" s="56"/>
      <c r="DQ480" s="56"/>
      <c r="DR480" s="56"/>
      <c r="DS480" s="56"/>
      <c r="DT480" s="56"/>
      <c r="DU480" s="56"/>
      <c r="DV480" s="56"/>
      <c r="DW480" s="56"/>
      <c r="DX480" s="56"/>
      <c r="DY480" s="56"/>
      <c r="DZ480" s="56"/>
      <c r="EA480" s="56"/>
      <c r="EB480" s="56"/>
      <c r="EC480" s="56"/>
      <c r="ED480" s="56"/>
      <c r="EE480" s="56"/>
      <c r="EF480" s="56"/>
      <c r="EG480" s="56"/>
      <c r="EH480" s="56"/>
      <c r="EI480" s="56"/>
      <c r="EJ480" s="56"/>
      <c r="EK480" s="56"/>
      <c r="EL480" s="56"/>
      <c r="EM480" s="56"/>
      <c r="EN480" s="56"/>
      <c r="EO480" s="56"/>
      <c r="EP480" s="56"/>
      <c r="EQ480" s="56"/>
      <c r="ER480" s="56"/>
      <c r="ES480" s="56"/>
      <c r="ET480" s="56"/>
      <c r="EU480" s="56"/>
      <c r="EV480" s="56"/>
      <c r="EW480" s="56"/>
      <c r="EX480" s="56"/>
      <c r="EY480" s="56"/>
      <c r="EZ480" s="56"/>
      <c r="FA480" s="56"/>
      <c r="FB480" s="56"/>
      <c r="FC480" s="56"/>
      <c r="FD480" s="56"/>
      <c r="FE480" s="56"/>
      <c r="FF480" s="56"/>
      <c r="FG480" s="56"/>
      <c r="FH480" s="56"/>
      <c r="FI480" s="56"/>
      <c r="FJ480" s="56"/>
      <c r="FK480" s="56"/>
      <c r="FL480" s="56"/>
      <c r="FM480" s="56"/>
      <c r="FN480" s="56"/>
      <c r="FO480" s="56"/>
      <c r="FP480" s="56"/>
      <c r="FQ480" s="56"/>
      <c r="FR480" s="56"/>
      <c r="FS480" s="56"/>
      <c r="FT480" s="56"/>
      <c r="FU480" s="56"/>
      <c r="FV480" s="56"/>
      <c r="FW480" s="56"/>
      <c r="FX480" s="56"/>
      <c r="FY480" s="56"/>
      <c r="FZ480" s="56"/>
      <c r="GA480" s="56"/>
      <c r="GB480" s="56"/>
      <c r="GC480" s="56"/>
      <c r="GD480" s="56"/>
      <c r="GE480" s="56"/>
      <c r="GF480" s="56"/>
      <c r="GG480" s="56"/>
      <c r="GH480" s="56"/>
      <c r="GI480" s="56"/>
      <c r="GJ480" s="56"/>
      <c r="GK480" s="56"/>
      <c r="GL480" s="56"/>
      <c r="GM480" s="56"/>
      <c r="GN480" s="56"/>
      <c r="GO480" s="56"/>
      <c r="GP480" s="56"/>
      <c r="GQ480" s="56"/>
      <c r="GR480" s="56"/>
      <c r="GS480" s="56"/>
      <c r="GT480" s="56"/>
      <c r="GU480" s="56"/>
      <c r="GV480" s="56"/>
      <c r="GW480" s="56"/>
      <c r="GX480" s="56"/>
      <c r="GY480" s="56"/>
      <c r="GZ480" s="56"/>
      <c r="HA480" s="56"/>
      <c r="HB480" s="56"/>
      <c r="HC480" s="56"/>
      <c r="HD480" s="56"/>
      <c r="HE480" s="56"/>
      <c r="HF480" s="56"/>
      <c r="HG480" s="56"/>
      <c r="HH480" s="56"/>
      <c r="HI480" s="56"/>
      <c r="HJ480" s="56"/>
    </row>
    <row r="481" spans="1:218" ht="15.75" customHeight="1" x14ac:dyDescent="0.2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  <c r="BV481" s="56"/>
      <c r="BW481" s="56"/>
      <c r="BX481" s="56"/>
      <c r="BY481" s="56"/>
      <c r="BZ481" s="56"/>
      <c r="CA481" s="56"/>
      <c r="CB481" s="56"/>
      <c r="CC481" s="56"/>
      <c r="CD481" s="56"/>
      <c r="CE481" s="56"/>
      <c r="CF481" s="56"/>
      <c r="CG481" s="56"/>
      <c r="CH481" s="56"/>
      <c r="CI481" s="56"/>
      <c r="CJ481" s="56"/>
      <c r="CK481" s="56"/>
      <c r="CL481" s="56"/>
      <c r="CM481" s="56"/>
      <c r="CN481" s="56"/>
      <c r="CO481" s="56"/>
      <c r="CP481" s="56"/>
      <c r="CQ481" s="56"/>
      <c r="CR481" s="56"/>
      <c r="CS481" s="56"/>
      <c r="CT481" s="56"/>
      <c r="CU481" s="56"/>
      <c r="CV481" s="56"/>
      <c r="CW481" s="56"/>
      <c r="CX481" s="56"/>
      <c r="CY481" s="56"/>
      <c r="CZ481" s="56"/>
      <c r="DA481" s="56"/>
      <c r="DB481" s="56"/>
      <c r="DC481" s="56"/>
      <c r="DD481" s="56"/>
      <c r="DE481" s="56"/>
      <c r="DF481" s="56"/>
      <c r="DG481" s="56"/>
      <c r="DH481" s="56"/>
      <c r="DI481" s="56"/>
      <c r="DJ481" s="56"/>
      <c r="DK481" s="56"/>
      <c r="DL481" s="56"/>
      <c r="DM481" s="56"/>
      <c r="DN481" s="56"/>
      <c r="DO481" s="56"/>
      <c r="DP481" s="56"/>
      <c r="DQ481" s="56"/>
      <c r="DR481" s="56"/>
      <c r="DS481" s="56"/>
      <c r="DT481" s="56"/>
      <c r="DU481" s="56"/>
      <c r="DV481" s="56"/>
      <c r="DW481" s="56"/>
      <c r="DX481" s="56"/>
      <c r="DY481" s="56"/>
      <c r="DZ481" s="56"/>
      <c r="EA481" s="56"/>
      <c r="EB481" s="56"/>
      <c r="EC481" s="56"/>
      <c r="ED481" s="56"/>
      <c r="EE481" s="56"/>
      <c r="EF481" s="56"/>
      <c r="EG481" s="56"/>
      <c r="EH481" s="56"/>
      <c r="EI481" s="56"/>
      <c r="EJ481" s="56"/>
      <c r="EK481" s="56"/>
      <c r="EL481" s="56"/>
      <c r="EM481" s="56"/>
      <c r="EN481" s="56"/>
      <c r="EO481" s="56"/>
      <c r="EP481" s="56"/>
      <c r="EQ481" s="56"/>
      <c r="ER481" s="56"/>
      <c r="ES481" s="56"/>
      <c r="ET481" s="56"/>
      <c r="EU481" s="56"/>
      <c r="EV481" s="56"/>
      <c r="EW481" s="56"/>
      <c r="EX481" s="56"/>
      <c r="EY481" s="56"/>
      <c r="EZ481" s="56"/>
      <c r="FA481" s="56"/>
      <c r="FB481" s="56"/>
      <c r="FC481" s="56"/>
      <c r="FD481" s="56"/>
      <c r="FE481" s="56"/>
      <c r="FF481" s="56"/>
      <c r="FG481" s="56"/>
      <c r="FH481" s="56"/>
      <c r="FI481" s="56"/>
      <c r="FJ481" s="56"/>
      <c r="FK481" s="56"/>
      <c r="FL481" s="56"/>
      <c r="FM481" s="56"/>
      <c r="FN481" s="56"/>
      <c r="FO481" s="56"/>
      <c r="FP481" s="56"/>
      <c r="FQ481" s="56"/>
      <c r="FR481" s="56"/>
      <c r="FS481" s="56"/>
      <c r="FT481" s="56"/>
      <c r="FU481" s="56"/>
      <c r="FV481" s="56"/>
      <c r="FW481" s="56"/>
      <c r="FX481" s="56"/>
      <c r="FY481" s="56"/>
      <c r="FZ481" s="56"/>
      <c r="GA481" s="56"/>
      <c r="GB481" s="56"/>
      <c r="GC481" s="56"/>
      <c r="GD481" s="56"/>
      <c r="GE481" s="56"/>
      <c r="GF481" s="56"/>
      <c r="GG481" s="56"/>
      <c r="GH481" s="56"/>
      <c r="GI481" s="56"/>
      <c r="GJ481" s="56"/>
      <c r="GK481" s="56"/>
      <c r="GL481" s="56"/>
      <c r="GM481" s="56"/>
      <c r="GN481" s="56"/>
      <c r="GO481" s="56"/>
      <c r="GP481" s="56"/>
      <c r="GQ481" s="56"/>
      <c r="GR481" s="56"/>
      <c r="GS481" s="56"/>
      <c r="GT481" s="56"/>
      <c r="GU481" s="56"/>
      <c r="GV481" s="56"/>
      <c r="GW481" s="56"/>
      <c r="GX481" s="56"/>
      <c r="GY481" s="56"/>
      <c r="GZ481" s="56"/>
      <c r="HA481" s="56"/>
      <c r="HB481" s="56"/>
      <c r="HC481" s="56"/>
      <c r="HD481" s="56"/>
      <c r="HE481" s="56"/>
      <c r="HF481" s="56"/>
      <c r="HG481" s="56"/>
      <c r="HH481" s="56"/>
      <c r="HI481" s="56"/>
      <c r="HJ481" s="56"/>
    </row>
    <row r="482" spans="1:218" ht="15.75" customHeight="1" x14ac:dyDescent="0.2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  <c r="BV482" s="56"/>
      <c r="BW482" s="56"/>
      <c r="BX482" s="56"/>
      <c r="BY482" s="56"/>
      <c r="BZ482" s="56"/>
      <c r="CA482" s="56"/>
      <c r="CB482" s="56"/>
      <c r="CC482" s="56"/>
      <c r="CD482" s="56"/>
      <c r="CE482" s="56"/>
      <c r="CF482" s="56"/>
      <c r="CG482" s="56"/>
      <c r="CH482" s="56"/>
      <c r="CI482" s="56"/>
      <c r="CJ482" s="56"/>
      <c r="CK482" s="56"/>
      <c r="CL482" s="56"/>
      <c r="CM482" s="56"/>
      <c r="CN482" s="56"/>
      <c r="CO482" s="56"/>
      <c r="CP482" s="56"/>
      <c r="CQ482" s="56"/>
      <c r="CR482" s="56"/>
      <c r="CS482" s="56"/>
      <c r="CT482" s="56"/>
      <c r="CU482" s="56"/>
      <c r="CV482" s="56"/>
      <c r="CW482" s="56"/>
      <c r="CX482" s="56"/>
      <c r="CY482" s="56"/>
      <c r="CZ482" s="56"/>
      <c r="DA482" s="56"/>
      <c r="DB482" s="56"/>
      <c r="DC482" s="56"/>
      <c r="DD482" s="56"/>
      <c r="DE482" s="56"/>
      <c r="DF482" s="56"/>
      <c r="DG482" s="56"/>
      <c r="DH482" s="56"/>
      <c r="DI482" s="56"/>
      <c r="DJ482" s="56"/>
      <c r="DK482" s="56"/>
      <c r="DL482" s="56"/>
      <c r="DM482" s="56"/>
      <c r="DN482" s="56"/>
      <c r="DO482" s="56"/>
      <c r="DP482" s="56"/>
      <c r="DQ482" s="56"/>
      <c r="DR482" s="56"/>
      <c r="DS482" s="56"/>
      <c r="DT482" s="56"/>
      <c r="DU482" s="56"/>
      <c r="DV482" s="56"/>
      <c r="DW482" s="56"/>
      <c r="DX482" s="56"/>
      <c r="DY482" s="56"/>
      <c r="DZ482" s="56"/>
      <c r="EA482" s="56"/>
      <c r="EB482" s="56"/>
      <c r="EC482" s="56"/>
      <c r="ED482" s="56"/>
      <c r="EE482" s="56"/>
      <c r="EF482" s="56"/>
      <c r="EG482" s="56"/>
      <c r="EH482" s="56"/>
      <c r="EI482" s="56"/>
      <c r="EJ482" s="56"/>
      <c r="EK482" s="56"/>
      <c r="EL482" s="56"/>
      <c r="EM482" s="56"/>
      <c r="EN482" s="56"/>
      <c r="EO482" s="56"/>
      <c r="EP482" s="56"/>
      <c r="EQ482" s="56"/>
      <c r="ER482" s="56"/>
      <c r="ES482" s="56"/>
      <c r="ET482" s="56"/>
      <c r="EU482" s="56"/>
      <c r="EV482" s="56"/>
      <c r="EW482" s="56"/>
      <c r="EX482" s="56"/>
      <c r="EY482" s="56"/>
      <c r="EZ482" s="56"/>
      <c r="FA482" s="56"/>
      <c r="FB482" s="56"/>
      <c r="FC482" s="56"/>
      <c r="FD482" s="56"/>
      <c r="FE482" s="56"/>
      <c r="FF482" s="56"/>
      <c r="FG482" s="56"/>
      <c r="FH482" s="56"/>
      <c r="FI482" s="56"/>
      <c r="FJ482" s="56"/>
      <c r="FK482" s="56"/>
      <c r="FL482" s="56"/>
      <c r="FM482" s="56"/>
      <c r="FN482" s="56"/>
      <c r="FO482" s="56"/>
      <c r="FP482" s="56"/>
      <c r="FQ482" s="56"/>
      <c r="FR482" s="56"/>
      <c r="FS482" s="56"/>
      <c r="FT482" s="56"/>
      <c r="FU482" s="56"/>
      <c r="FV482" s="56"/>
      <c r="FW482" s="56"/>
      <c r="FX482" s="56"/>
      <c r="FY482" s="56"/>
      <c r="FZ482" s="56"/>
      <c r="GA482" s="56"/>
      <c r="GB482" s="56"/>
      <c r="GC482" s="56"/>
      <c r="GD482" s="56"/>
      <c r="GE482" s="56"/>
      <c r="GF482" s="56"/>
      <c r="GG482" s="56"/>
      <c r="GH482" s="56"/>
      <c r="GI482" s="56"/>
      <c r="GJ482" s="56"/>
      <c r="GK482" s="56"/>
      <c r="GL482" s="56"/>
      <c r="GM482" s="56"/>
      <c r="GN482" s="56"/>
      <c r="GO482" s="56"/>
      <c r="GP482" s="56"/>
      <c r="GQ482" s="56"/>
      <c r="GR482" s="56"/>
      <c r="GS482" s="56"/>
      <c r="GT482" s="56"/>
      <c r="GU482" s="56"/>
      <c r="GV482" s="56"/>
      <c r="GW482" s="56"/>
      <c r="GX482" s="56"/>
      <c r="GY482" s="56"/>
      <c r="GZ482" s="56"/>
      <c r="HA482" s="56"/>
      <c r="HB482" s="56"/>
      <c r="HC482" s="56"/>
      <c r="HD482" s="56"/>
      <c r="HE482" s="56"/>
      <c r="HF482" s="56"/>
      <c r="HG482" s="56"/>
      <c r="HH482" s="56"/>
      <c r="HI482" s="56"/>
      <c r="HJ482" s="56"/>
    </row>
    <row r="483" spans="1:218" ht="15.75" customHeight="1" x14ac:dyDescent="0.2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  <c r="BV483" s="56"/>
      <c r="BW483" s="56"/>
      <c r="BX483" s="56"/>
      <c r="BY483" s="56"/>
      <c r="BZ483" s="56"/>
      <c r="CA483" s="56"/>
      <c r="CB483" s="56"/>
      <c r="CC483" s="56"/>
      <c r="CD483" s="56"/>
      <c r="CE483" s="56"/>
      <c r="CF483" s="56"/>
      <c r="CG483" s="56"/>
      <c r="CH483" s="56"/>
      <c r="CI483" s="56"/>
      <c r="CJ483" s="56"/>
      <c r="CK483" s="56"/>
      <c r="CL483" s="56"/>
      <c r="CM483" s="56"/>
      <c r="CN483" s="56"/>
      <c r="CO483" s="56"/>
      <c r="CP483" s="56"/>
      <c r="CQ483" s="56"/>
      <c r="CR483" s="56"/>
      <c r="CS483" s="56"/>
      <c r="CT483" s="56"/>
      <c r="CU483" s="56"/>
      <c r="CV483" s="56"/>
      <c r="CW483" s="56"/>
      <c r="CX483" s="56"/>
      <c r="CY483" s="56"/>
      <c r="CZ483" s="56"/>
      <c r="DA483" s="56"/>
      <c r="DB483" s="56"/>
      <c r="DC483" s="56"/>
      <c r="DD483" s="56"/>
      <c r="DE483" s="56"/>
      <c r="DF483" s="56"/>
      <c r="DG483" s="56"/>
      <c r="DH483" s="56"/>
      <c r="DI483" s="56"/>
      <c r="DJ483" s="56"/>
      <c r="DK483" s="56"/>
      <c r="DL483" s="56"/>
      <c r="DM483" s="56"/>
      <c r="DN483" s="56"/>
      <c r="DO483" s="56"/>
      <c r="DP483" s="56"/>
      <c r="DQ483" s="56"/>
      <c r="DR483" s="56"/>
      <c r="DS483" s="56"/>
      <c r="DT483" s="56"/>
      <c r="DU483" s="56"/>
      <c r="DV483" s="56"/>
      <c r="DW483" s="56"/>
      <c r="DX483" s="56"/>
      <c r="DY483" s="56"/>
      <c r="DZ483" s="56"/>
      <c r="EA483" s="56"/>
      <c r="EB483" s="56"/>
      <c r="EC483" s="56"/>
      <c r="ED483" s="56"/>
      <c r="EE483" s="56"/>
      <c r="EF483" s="56"/>
      <c r="EG483" s="56"/>
      <c r="EH483" s="56"/>
      <c r="EI483" s="56"/>
      <c r="EJ483" s="56"/>
      <c r="EK483" s="56"/>
      <c r="EL483" s="56"/>
      <c r="EM483" s="56"/>
      <c r="EN483" s="56"/>
      <c r="EO483" s="56"/>
      <c r="EP483" s="56"/>
      <c r="EQ483" s="56"/>
      <c r="ER483" s="56"/>
      <c r="ES483" s="56"/>
      <c r="ET483" s="56"/>
      <c r="EU483" s="56"/>
      <c r="EV483" s="56"/>
      <c r="EW483" s="56"/>
      <c r="EX483" s="56"/>
      <c r="EY483" s="56"/>
      <c r="EZ483" s="56"/>
      <c r="FA483" s="56"/>
      <c r="FB483" s="56"/>
      <c r="FC483" s="56"/>
      <c r="FD483" s="56"/>
      <c r="FE483" s="56"/>
      <c r="FF483" s="56"/>
      <c r="FG483" s="56"/>
      <c r="FH483" s="56"/>
      <c r="FI483" s="56"/>
      <c r="FJ483" s="56"/>
      <c r="FK483" s="56"/>
      <c r="FL483" s="56"/>
      <c r="FM483" s="56"/>
      <c r="FN483" s="56"/>
      <c r="FO483" s="56"/>
      <c r="FP483" s="56"/>
      <c r="FQ483" s="56"/>
      <c r="FR483" s="56"/>
      <c r="FS483" s="56"/>
      <c r="FT483" s="56"/>
      <c r="FU483" s="56"/>
      <c r="FV483" s="56"/>
      <c r="FW483" s="56"/>
      <c r="FX483" s="56"/>
      <c r="FY483" s="56"/>
      <c r="FZ483" s="56"/>
      <c r="GA483" s="56"/>
      <c r="GB483" s="56"/>
      <c r="GC483" s="56"/>
      <c r="GD483" s="56"/>
      <c r="GE483" s="56"/>
      <c r="GF483" s="56"/>
      <c r="GG483" s="56"/>
      <c r="GH483" s="56"/>
      <c r="GI483" s="56"/>
      <c r="GJ483" s="56"/>
      <c r="GK483" s="56"/>
      <c r="GL483" s="56"/>
      <c r="GM483" s="56"/>
      <c r="GN483" s="56"/>
      <c r="GO483" s="56"/>
      <c r="GP483" s="56"/>
      <c r="GQ483" s="56"/>
      <c r="GR483" s="56"/>
      <c r="GS483" s="56"/>
      <c r="GT483" s="56"/>
      <c r="GU483" s="56"/>
      <c r="GV483" s="56"/>
      <c r="GW483" s="56"/>
      <c r="GX483" s="56"/>
      <c r="GY483" s="56"/>
      <c r="GZ483" s="56"/>
      <c r="HA483" s="56"/>
      <c r="HB483" s="56"/>
      <c r="HC483" s="56"/>
      <c r="HD483" s="56"/>
      <c r="HE483" s="56"/>
      <c r="HF483" s="56"/>
      <c r="HG483" s="56"/>
      <c r="HH483" s="56"/>
      <c r="HI483" s="56"/>
      <c r="HJ483" s="56"/>
    </row>
    <row r="484" spans="1:218" ht="15.75" customHeight="1" x14ac:dyDescent="0.2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56"/>
      <c r="CP484" s="56"/>
      <c r="CQ484" s="56"/>
      <c r="CR484" s="56"/>
      <c r="CS484" s="56"/>
      <c r="CT484" s="56"/>
      <c r="CU484" s="56"/>
      <c r="CV484" s="56"/>
      <c r="CW484" s="56"/>
      <c r="CX484" s="56"/>
      <c r="CY484" s="56"/>
      <c r="CZ484" s="56"/>
      <c r="DA484" s="56"/>
      <c r="DB484" s="56"/>
      <c r="DC484" s="56"/>
      <c r="DD484" s="56"/>
      <c r="DE484" s="56"/>
      <c r="DF484" s="56"/>
      <c r="DG484" s="56"/>
      <c r="DH484" s="56"/>
      <c r="DI484" s="56"/>
      <c r="DJ484" s="56"/>
      <c r="DK484" s="56"/>
      <c r="DL484" s="56"/>
      <c r="DM484" s="56"/>
      <c r="DN484" s="56"/>
      <c r="DO484" s="56"/>
      <c r="DP484" s="56"/>
      <c r="DQ484" s="56"/>
      <c r="DR484" s="56"/>
      <c r="DS484" s="56"/>
      <c r="DT484" s="56"/>
      <c r="DU484" s="56"/>
      <c r="DV484" s="56"/>
      <c r="DW484" s="56"/>
      <c r="DX484" s="56"/>
      <c r="DY484" s="56"/>
      <c r="DZ484" s="56"/>
      <c r="EA484" s="56"/>
      <c r="EB484" s="56"/>
      <c r="EC484" s="56"/>
      <c r="ED484" s="56"/>
      <c r="EE484" s="56"/>
      <c r="EF484" s="56"/>
      <c r="EG484" s="56"/>
      <c r="EH484" s="56"/>
      <c r="EI484" s="56"/>
      <c r="EJ484" s="56"/>
      <c r="EK484" s="56"/>
      <c r="EL484" s="56"/>
      <c r="EM484" s="56"/>
      <c r="EN484" s="56"/>
      <c r="EO484" s="56"/>
      <c r="EP484" s="56"/>
      <c r="EQ484" s="56"/>
      <c r="ER484" s="56"/>
      <c r="ES484" s="56"/>
      <c r="ET484" s="56"/>
      <c r="EU484" s="56"/>
      <c r="EV484" s="56"/>
      <c r="EW484" s="56"/>
      <c r="EX484" s="56"/>
      <c r="EY484" s="56"/>
      <c r="EZ484" s="56"/>
      <c r="FA484" s="56"/>
      <c r="FB484" s="56"/>
      <c r="FC484" s="56"/>
      <c r="FD484" s="56"/>
      <c r="FE484" s="56"/>
      <c r="FF484" s="56"/>
      <c r="FG484" s="56"/>
      <c r="FH484" s="56"/>
      <c r="FI484" s="56"/>
      <c r="FJ484" s="56"/>
      <c r="FK484" s="56"/>
      <c r="FL484" s="56"/>
      <c r="FM484" s="56"/>
      <c r="FN484" s="56"/>
      <c r="FO484" s="56"/>
      <c r="FP484" s="56"/>
      <c r="FQ484" s="56"/>
      <c r="FR484" s="56"/>
      <c r="FS484" s="56"/>
      <c r="FT484" s="56"/>
      <c r="FU484" s="56"/>
      <c r="FV484" s="56"/>
      <c r="FW484" s="56"/>
      <c r="FX484" s="56"/>
      <c r="FY484" s="56"/>
      <c r="FZ484" s="56"/>
      <c r="GA484" s="56"/>
      <c r="GB484" s="56"/>
      <c r="GC484" s="56"/>
      <c r="GD484" s="56"/>
      <c r="GE484" s="56"/>
      <c r="GF484" s="56"/>
      <c r="GG484" s="56"/>
      <c r="GH484" s="56"/>
      <c r="GI484" s="56"/>
      <c r="GJ484" s="56"/>
      <c r="GK484" s="56"/>
      <c r="GL484" s="56"/>
      <c r="GM484" s="56"/>
      <c r="GN484" s="56"/>
      <c r="GO484" s="56"/>
      <c r="GP484" s="56"/>
      <c r="GQ484" s="56"/>
      <c r="GR484" s="56"/>
      <c r="GS484" s="56"/>
      <c r="GT484" s="56"/>
      <c r="GU484" s="56"/>
      <c r="GV484" s="56"/>
      <c r="GW484" s="56"/>
      <c r="GX484" s="56"/>
      <c r="GY484" s="56"/>
      <c r="GZ484" s="56"/>
      <c r="HA484" s="56"/>
      <c r="HB484" s="56"/>
      <c r="HC484" s="56"/>
      <c r="HD484" s="56"/>
      <c r="HE484" s="56"/>
      <c r="HF484" s="56"/>
      <c r="HG484" s="56"/>
      <c r="HH484" s="56"/>
      <c r="HI484" s="56"/>
      <c r="HJ484" s="56"/>
    </row>
    <row r="485" spans="1:218" ht="15.75" customHeight="1" x14ac:dyDescent="0.2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56"/>
      <c r="CP485" s="56"/>
      <c r="CQ485" s="56"/>
      <c r="CR485" s="56"/>
      <c r="CS485" s="56"/>
      <c r="CT485" s="56"/>
      <c r="CU485" s="56"/>
      <c r="CV485" s="56"/>
      <c r="CW485" s="56"/>
      <c r="CX485" s="56"/>
      <c r="CY485" s="56"/>
      <c r="CZ485" s="56"/>
      <c r="DA485" s="56"/>
      <c r="DB485" s="56"/>
      <c r="DC485" s="56"/>
      <c r="DD485" s="56"/>
      <c r="DE485" s="56"/>
      <c r="DF485" s="56"/>
      <c r="DG485" s="56"/>
      <c r="DH485" s="56"/>
      <c r="DI485" s="56"/>
      <c r="DJ485" s="56"/>
      <c r="DK485" s="56"/>
      <c r="DL485" s="56"/>
      <c r="DM485" s="56"/>
      <c r="DN485" s="56"/>
      <c r="DO485" s="56"/>
      <c r="DP485" s="56"/>
      <c r="DQ485" s="56"/>
      <c r="DR485" s="56"/>
      <c r="DS485" s="56"/>
      <c r="DT485" s="56"/>
      <c r="DU485" s="56"/>
      <c r="DV485" s="56"/>
      <c r="DW485" s="56"/>
      <c r="DX485" s="56"/>
      <c r="DY485" s="56"/>
      <c r="DZ485" s="56"/>
      <c r="EA485" s="56"/>
      <c r="EB485" s="56"/>
      <c r="EC485" s="56"/>
      <c r="ED485" s="56"/>
      <c r="EE485" s="56"/>
      <c r="EF485" s="56"/>
      <c r="EG485" s="56"/>
      <c r="EH485" s="56"/>
      <c r="EI485" s="56"/>
      <c r="EJ485" s="56"/>
      <c r="EK485" s="56"/>
      <c r="EL485" s="56"/>
      <c r="EM485" s="56"/>
      <c r="EN485" s="56"/>
      <c r="EO485" s="56"/>
      <c r="EP485" s="56"/>
      <c r="EQ485" s="56"/>
      <c r="ER485" s="56"/>
      <c r="ES485" s="56"/>
      <c r="ET485" s="56"/>
      <c r="EU485" s="56"/>
      <c r="EV485" s="56"/>
      <c r="EW485" s="56"/>
      <c r="EX485" s="56"/>
      <c r="EY485" s="56"/>
      <c r="EZ485" s="56"/>
      <c r="FA485" s="56"/>
      <c r="FB485" s="56"/>
      <c r="FC485" s="56"/>
      <c r="FD485" s="56"/>
      <c r="FE485" s="56"/>
      <c r="FF485" s="56"/>
      <c r="FG485" s="56"/>
      <c r="FH485" s="56"/>
      <c r="FI485" s="56"/>
      <c r="FJ485" s="56"/>
      <c r="FK485" s="56"/>
      <c r="FL485" s="56"/>
      <c r="FM485" s="56"/>
      <c r="FN485" s="56"/>
      <c r="FO485" s="56"/>
      <c r="FP485" s="56"/>
      <c r="FQ485" s="56"/>
      <c r="FR485" s="56"/>
      <c r="FS485" s="56"/>
      <c r="FT485" s="56"/>
      <c r="FU485" s="56"/>
      <c r="FV485" s="56"/>
      <c r="FW485" s="56"/>
      <c r="FX485" s="56"/>
      <c r="FY485" s="56"/>
      <c r="FZ485" s="56"/>
      <c r="GA485" s="56"/>
      <c r="GB485" s="56"/>
      <c r="GC485" s="56"/>
      <c r="GD485" s="56"/>
      <c r="GE485" s="56"/>
      <c r="GF485" s="56"/>
      <c r="GG485" s="56"/>
      <c r="GH485" s="56"/>
      <c r="GI485" s="56"/>
      <c r="GJ485" s="56"/>
      <c r="GK485" s="56"/>
      <c r="GL485" s="56"/>
      <c r="GM485" s="56"/>
      <c r="GN485" s="56"/>
      <c r="GO485" s="56"/>
      <c r="GP485" s="56"/>
      <c r="GQ485" s="56"/>
      <c r="GR485" s="56"/>
      <c r="GS485" s="56"/>
      <c r="GT485" s="56"/>
      <c r="GU485" s="56"/>
      <c r="GV485" s="56"/>
      <c r="GW485" s="56"/>
      <c r="GX485" s="56"/>
      <c r="GY485" s="56"/>
      <c r="GZ485" s="56"/>
      <c r="HA485" s="56"/>
      <c r="HB485" s="56"/>
      <c r="HC485" s="56"/>
      <c r="HD485" s="56"/>
      <c r="HE485" s="56"/>
      <c r="HF485" s="56"/>
      <c r="HG485" s="56"/>
      <c r="HH485" s="56"/>
      <c r="HI485" s="56"/>
      <c r="HJ485" s="56"/>
    </row>
    <row r="486" spans="1:218" ht="15.75" customHeight="1" x14ac:dyDescent="0.2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  <c r="CL486" s="56"/>
      <c r="CM486" s="56"/>
      <c r="CN486" s="56"/>
      <c r="CO486" s="56"/>
      <c r="CP486" s="56"/>
      <c r="CQ486" s="56"/>
      <c r="CR486" s="56"/>
      <c r="CS486" s="56"/>
      <c r="CT486" s="56"/>
      <c r="CU486" s="56"/>
      <c r="CV486" s="56"/>
      <c r="CW486" s="56"/>
      <c r="CX486" s="56"/>
      <c r="CY486" s="56"/>
      <c r="CZ486" s="56"/>
      <c r="DA486" s="56"/>
      <c r="DB486" s="56"/>
      <c r="DC486" s="56"/>
      <c r="DD486" s="56"/>
      <c r="DE486" s="56"/>
      <c r="DF486" s="56"/>
      <c r="DG486" s="56"/>
      <c r="DH486" s="56"/>
      <c r="DI486" s="56"/>
      <c r="DJ486" s="56"/>
      <c r="DK486" s="56"/>
      <c r="DL486" s="56"/>
      <c r="DM486" s="56"/>
      <c r="DN486" s="56"/>
      <c r="DO486" s="56"/>
      <c r="DP486" s="56"/>
      <c r="DQ486" s="56"/>
      <c r="DR486" s="56"/>
      <c r="DS486" s="56"/>
      <c r="DT486" s="56"/>
      <c r="DU486" s="56"/>
      <c r="DV486" s="56"/>
      <c r="DW486" s="56"/>
      <c r="DX486" s="56"/>
      <c r="DY486" s="56"/>
      <c r="DZ486" s="56"/>
      <c r="EA486" s="56"/>
      <c r="EB486" s="56"/>
      <c r="EC486" s="56"/>
      <c r="ED486" s="56"/>
      <c r="EE486" s="56"/>
      <c r="EF486" s="56"/>
      <c r="EG486" s="56"/>
      <c r="EH486" s="56"/>
      <c r="EI486" s="56"/>
      <c r="EJ486" s="56"/>
      <c r="EK486" s="56"/>
      <c r="EL486" s="56"/>
      <c r="EM486" s="56"/>
      <c r="EN486" s="56"/>
      <c r="EO486" s="56"/>
      <c r="EP486" s="56"/>
      <c r="EQ486" s="56"/>
      <c r="ER486" s="56"/>
      <c r="ES486" s="56"/>
      <c r="ET486" s="56"/>
      <c r="EU486" s="56"/>
      <c r="EV486" s="56"/>
      <c r="EW486" s="56"/>
      <c r="EX486" s="56"/>
      <c r="EY486" s="56"/>
      <c r="EZ486" s="56"/>
      <c r="FA486" s="56"/>
      <c r="FB486" s="56"/>
      <c r="FC486" s="56"/>
      <c r="FD486" s="56"/>
      <c r="FE486" s="56"/>
      <c r="FF486" s="56"/>
      <c r="FG486" s="56"/>
      <c r="FH486" s="56"/>
      <c r="FI486" s="56"/>
      <c r="FJ486" s="56"/>
      <c r="FK486" s="56"/>
      <c r="FL486" s="56"/>
      <c r="FM486" s="56"/>
      <c r="FN486" s="56"/>
      <c r="FO486" s="56"/>
      <c r="FP486" s="56"/>
      <c r="FQ486" s="56"/>
      <c r="FR486" s="56"/>
      <c r="FS486" s="56"/>
      <c r="FT486" s="56"/>
      <c r="FU486" s="56"/>
      <c r="FV486" s="56"/>
      <c r="FW486" s="56"/>
      <c r="FX486" s="56"/>
      <c r="FY486" s="56"/>
      <c r="FZ486" s="56"/>
      <c r="GA486" s="56"/>
      <c r="GB486" s="56"/>
      <c r="GC486" s="56"/>
      <c r="GD486" s="56"/>
      <c r="GE486" s="56"/>
      <c r="GF486" s="56"/>
      <c r="GG486" s="56"/>
      <c r="GH486" s="56"/>
      <c r="GI486" s="56"/>
      <c r="GJ486" s="56"/>
      <c r="GK486" s="56"/>
      <c r="GL486" s="56"/>
      <c r="GM486" s="56"/>
      <c r="GN486" s="56"/>
      <c r="GO486" s="56"/>
      <c r="GP486" s="56"/>
      <c r="GQ486" s="56"/>
      <c r="GR486" s="56"/>
      <c r="GS486" s="56"/>
      <c r="GT486" s="56"/>
      <c r="GU486" s="56"/>
      <c r="GV486" s="56"/>
      <c r="GW486" s="56"/>
      <c r="GX486" s="56"/>
      <c r="GY486" s="56"/>
      <c r="GZ486" s="56"/>
      <c r="HA486" s="56"/>
      <c r="HB486" s="56"/>
      <c r="HC486" s="56"/>
      <c r="HD486" s="56"/>
      <c r="HE486" s="56"/>
      <c r="HF486" s="56"/>
      <c r="HG486" s="56"/>
      <c r="HH486" s="56"/>
      <c r="HI486" s="56"/>
      <c r="HJ486" s="56"/>
    </row>
    <row r="487" spans="1:218" ht="15.75" customHeight="1" x14ac:dyDescent="0.2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  <c r="CL487" s="56"/>
      <c r="CM487" s="56"/>
      <c r="CN487" s="56"/>
      <c r="CO487" s="56"/>
      <c r="CP487" s="56"/>
      <c r="CQ487" s="56"/>
      <c r="CR487" s="56"/>
      <c r="CS487" s="56"/>
      <c r="CT487" s="56"/>
      <c r="CU487" s="56"/>
      <c r="CV487" s="56"/>
      <c r="CW487" s="56"/>
      <c r="CX487" s="56"/>
      <c r="CY487" s="56"/>
      <c r="CZ487" s="56"/>
      <c r="DA487" s="56"/>
      <c r="DB487" s="56"/>
      <c r="DC487" s="56"/>
      <c r="DD487" s="56"/>
      <c r="DE487" s="56"/>
      <c r="DF487" s="56"/>
      <c r="DG487" s="56"/>
      <c r="DH487" s="56"/>
      <c r="DI487" s="56"/>
      <c r="DJ487" s="56"/>
      <c r="DK487" s="56"/>
      <c r="DL487" s="56"/>
      <c r="DM487" s="56"/>
      <c r="DN487" s="56"/>
      <c r="DO487" s="56"/>
      <c r="DP487" s="56"/>
      <c r="DQ487" s="56"/>
      <c r="DR487" s="56"/>
      <c r="DS487" s="56"/>
      <c r="DT487" s="56"/>
      <c r="DU487" s="56"/>
      <c r="DV487" s="56"/>
      <c r="DW487" s="56"/>
      <c r="DX487" s="56"/>
      <c r="DY487" s="56"/>
      <c r="DZ487" s="56"/>
      <c r="EA487" s="56"/>
      <c r="EB487" s="56"/>
      <c r="EC487" s="56"/>
      <c r="ED487" s="56"/>
      <c r="EE487" s="56"/>
      <c r="EF487" s="56"/>
      <c r="EG487" s="56"/>
      <c r="EH487" s="56"/>
      <c r="EI487" s="56"/>
      <c r="EJ487" s="56"/>
      <c r="EK487" s="56"/>
      <c r="EL487" s="56"/>
      <c r="EM487" s="56"/>
      <c r="EN487" s="56"/>
      <c r="EO487" s="56"/>
      <c r="EP487" s="56"/>
      <c r="EQ487" s="56"/>
      <c r="ER487" s="56"/>
      <c r="ES487" s="56"/>
      <c r="ET487" s="56"/>
      <c r="EU487" s="56"/>
      <c r="EV487" s="56"/>
      <c r="EW487" s="56"/>
      <c r="EX487" s="56"/>
      <c r="EY487" s="56"/>
      <c r="EZ487" s="56"/>
      <c r="FA487" s="56"/>
      <c r="FB487" s="56"/>
      <c r="FC487" s="56"/>
      <c r="FD487" s="56"/>
      <c r="FE487" s="56"/>
      <c r="FF487" s="56"/>
      <c r="FG487" s="56"/>
      <c r="FH487" s="56"/>
      <c r="FI487" s="56"/>
      <c r="FJ487" s="56"/>
      <c r="FK487" s="56"/>
      <c r="FL487" s="56"/>
      <c r="FM487" s="56"/>
      <c r="FN487" s="56"/>
      <c r="FO487" s="56"/>
      <c r="FP487" s="56"/>
      <c r="FQ487" s="56"/>
      <c r="FR487" s="56"/>
      <c r="FS487" s="56"/>
      <c r="FT487" s="56"/>
      <c r="FU487" s="56"/>
      <c r="FV487" s="56"/>
      <c r="FW487" s="56"/>
      <c r="FX487" s="56"/>
      <c r="FY487" s="56"/>
      <c r="FZ487" s="56"/>
      <c r="GA487" s="56"/>
      <c r="GB487" s="56"/>
      <c r="GC487" s="56"/>
      <c r="GD487" s="56"/>
      <c r="GE487" s="56"/>
      <c r="GF487" s="56"/>
      <c r="GG487" s="56"/>
      <c r="GH487" s="56"/>
      <c r="GI487" s="56"/>
      <c r="GJ487" s="56"/>
      <c r="GK487" s="56"/>
      <c r="GL487" s="56"/>
      <c r="GM487" s="56"/>
      <c r="GN487" s="56"/>
      <c r="GO487" s="56"/>
      <c r="GP487" s="56"/>
      <c r="GQ487" s="56"/>
      <c r="GR487" s="56"/>
      <c r="GS487" s="56"/>
      <c r="GT487" s="56"/>
      <c r="GU487" s="56"/>
      <c r="GV487" s="56"/>
      <c r="GW487" s="56"/>
      <c r="GX487" s="56"/>
      <c r="GY487" s="56"/>
      <c r="GZ487" s="56"/>
      <c r="HA487" s="56"/>
      <c r="HB487" s="56"/>
      <c r="HC487" s="56"/>
      <c r="HD487" s="56"/>
      <c r="HE487" s="56"/>
      <c r="HF487" s="56"/>
      <c r="HG487" s="56"/>
      <c r="HH487" s="56"/>
      <c r="HI487" s="56"/>
      <c r="HJ487" s="56"/>
    </row>
    <row r="488" spans="1:218" ht="15.75" customHeight="1" x14ac:dyDescent="0.2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  <c r="CL488" s="56"/>
      <c r="CM488" s="56"/>
      <c r="CN488" s="56"/>
      <c r="CO488" s="56"/>
      <c r="CP488" s="56"/>
      <c r="CQ488" s="56"/>
      <c r="CR488" s="56"/>
      <c r="CS488" s="56"/>
      <c r="CT488" s="56"/>
      <c r="CU488" s="56"/>
      <c r="CV488" s="56"/>
      <c r="CW488" s="56"/>
      <c r="CX488" s="56"/>
      <c r="CY488" s="56"/>
      <c r="CZ488" s="56"/>
      <c r="DA488" s="56"/>
      <c r="DB488" s="56"/>
      <c r="DC488" s="56"/>
      <c r="DD488" s="56"/>
      <c r="DE488" s="56"/>
      <c r="DF488" s="56"/>
      <c r="DG488" s="56"/>
      <c r="DH488" s="56"/>
      <c r="DI488" s="56"/>
      <c r="DJ488" s="56"/>
      <c r="DK488" s="56"/>
      <c r="DL488" s="56"/>
      <c r="DM488" s="56"/>
      <c r="DN488" s="56"/>
      <c r="DO488" s="56"/>
      <c r="DP488" s="56"/>
      <c r="DQ488" s="56"/>
      <c r="DR488" s="56"/>
      <c r="DS488" s="56"/>
      <c r="DT488" s="56"/>
      <c r="DU488" s="56"/>
      <c r="DV488" s="56"/>
      <c r="DW488" s="56"/>
      <c r="DX488" s="56"/>
      <c r="DY488" s="56"/>
      <c r="DZ488" s="56"/>
      <c r="EA488" s="56"/>
      <c r="EB488" s="56"/>
      <c r="EC488" s="56"/>
      <c r="ED488" s="56"/>
      <c r="EE488" s="56"/>
      <c r="EF488" s="56"/>
      <c r="EG488" s="56"/>
      <c r="EH488" s="56"/>
      <c r="EI488" s="56"/>
      <c r="EJ488" s="56"/>
      <c r="EK488" s="56"/>
      <c r="EL488" s="56"/>
      <c r="EM488" s="56"/>
      <c r="EN488" s="56"/>
      <c r="EO488" s="56"/>
      <c r="EP488" s="56"/>
      <c r="EQ488" s="56"/>
      <c r="ER488" s="56"/>
      <c r="ES488" s="56"/>
      <c r="ET488" s="56"/>
      <c r="EU488" s="56"/>
      <c r="EV488" s="56"/>
      <c r="EW488" s="56"/>
      <c r="EX488" s="56"/>
      <c r="EY488" s="56"/>
      <c r="EZ488" s="56"/>
      <c r="FA488" s="56"/>
      <c r="FB488" s="56"/>
      <c r="FC488" s="56"/>
      <c r="FD488" s="56"/>
      <c r="FE488" s="56"/>
      <c r="FF488" s="56"/>
      <c r="FG488" s="56"/>
      <c r="FH488" s="56"/>
      <c r="FI488" s="56"/>
      <c r="FJ488" s="56"/>
      <c r="FK488" s="56"/>
      <c r="FL488" s="56"/>
      <c r="FM488" s="56"/>
      <c r="FN488" s="56"/>
      <c r="FO488" s="56"/>
      <c r="FP488" s="56"/>
      <c r="FQ488" s="56"/>
      <c r="FR488" s="56"/>
      <c r="FS488" s="56"/>
      <c r="FT488" s="56"/>
      <c r="FU488" s="56"/>
      <c r="FV488" s="56"/>
      <c r="FW488" s="56"/>
      <c r="FX488" s="56"/>
      <c r="FY488" s="56"/>
      <c r="FZ488" s="56"/>
      <c r="GA488" s="56"/>
      <c r="GB488" s="56"/>
      <c r="GC488" s="56"/>
      <c r="GD488" s="56"/>
      <c r="GE488" s="56"/>
      <c r="GF488" s="56"/>
      <c r="GG488" s="56"/>
      <c r="GH488" s="56"/>
      <c r="GI488" s="56"/>
      <c r="GJ488" s="56"/>
      <c r="GK488" s="56"/>
      <c r="GL488" s="56"/>
      <c r="GM488" s="56"/>
      <c r="GN488" s="56"/>
      <c r="GO488" s="56"/>
      <c r="GP488" s="56"/>
      <c r="GQ488" s="56"/>
      <c r="GR488" s="56"/>
      <c r="GS488" s="56"/>
      <c r="GT488" s="56"/>
      <c r="GU488" s="56"/>
      <c r="GV488" s="56"/>
      <c r="GW488" s="56"/>
      <c r="GX488" s="56"/>
      <c r="GY488" s="56"/>
      <c r="GZ488" s="56"/>
      <c r="HA488" s="56"/>
      <c r="HB488" s="56"/>
      <c r="HC488" s="56"/>
      <c r="HD488" s="56"/>
      <c r="HE488" s="56"/>
      <c r="HF488" s="56"/>
      <c r="HG488" s="56"/>
      <c r="HH488" s="56"/>
      <c r="HI488" s="56"/>
      <c r="HJ488" s="56"/>
    </row>
    <row r="489" spans="1:218" ht="15.75" customHeight="1" x14ac:dyDescent="0.2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56"/>
      <c r="CP489" s="56"/>
      <c r="CQ489" s="56"/>
      <c r="CR489" s="56"/>
      <c r="CS489" s="56"/>
      <c r="CT489" s="56"/>
      <c r="CU489" s="56"/>
      <c r="CV489" s="56"/>
      <c r="CW489" s="56"/>
      <c r="CX489" s="56"/>
      <c r="CY489" s="56"/>
      <c r="CZ489" s="56"/>
      <c r="DA489" s="56"/>
      <c r="DB489" s="56"/>
      <c r="DC489" s="56"/>
      <c r="DD489" s="56"/>
      <c r="DE489" s="56"/>
      <c r="DF489" s="56"/>
      <c r="DG489" s="56"/>
      <c r="DH489" s="56"/>
      <c r="DI489" s="56"/>
      <c r="DJ489" s="56"/>
      <c r="DK489" s="56"/>
      <c r="DL489" s="56"/>
      <c r="DM489" s="56"/>
      <c r="DN489" s="56"/>
      <c r="DO489" s="56"/>
      <c r="DP489" s="56"/>
      <c r="DQ489" s="56"/>
      <c r="DR489" s="56"/>
      <c r="DS489" s="56"/>
      <c r="DT489" s="56"/>
      <c r="DU489" s="56"/>
      <c r="DV489" s="56"/>
      <c r="DW489" s="56"/>
      <c r="DX489" s="56"/>
      <c r="DY489" s="56"/>
      <c r="DZ489" s="56"/>
      <c r="EA489" s="56"/>
      <c r="EB489" s="56"/>
      <c r="EC489" s="56"/>
      <c r="ED489" s="56"/>
      <c r="EE489" s="56"/>
      <c r="EF489" s="56"/>
      <c r="EG489" s="56"/>
      <c r="EH489" s="56"/>
      <c r="EI489" s="56"/>
      <c r="EJ489" s="56"/>
      <c r="EK489" s="56"/>
      <c r="EL489" s="56"/>
      <c r="EM489" s="56"/>
      <c r="EN489" s="56"/>
      <c r="EO489" s="56"/>
      <c r="EP489" s="56"/>
      <c r="EQ489" s="56"/>
      <c r="ER489" s="56"/>
      <c r="ES489" s="56"/>
      <c r="ET489" s="56"/>
      <c r="EU489" s="56"/>
      <c r="EV489" s="56"/>
      <c r="EW489" s="56"/>
      <c r="EX489" s="56"/>
      <c r="EY489" s="56"/>
      <c r="EZ489" s="56"/>
      <c r="FA489" s="56"/>
      <c r="FB489" s="56"/>
      <c r="FC489" s="56"/>
      <c r="FD489" s="56"/>
      <c r="FE489" s="56"/>
      <c r="FF489" s="56"/>
      <c r="FG489" s="56"/>
      <c r="FH489" s="56"/>
      <c r="FI489" s="56"/>
      <c r="FJ489" s="56"/>
      <c r="FK489" s="56"/>
      <c r="FL489" s="56"/>
      <c r="FM489" s="56"/>
      <c r="FN489" s="56"/>
      <c r="FO489" s="56"/>
      <c r="FP489" s="56"/>
      <c r="FQ489" s="56"/>
      <c r="FR489" s="56"/>
      <c r="FS489" s="56"/>
      <c r="FT489" s="56"/>
      <c r="FU489" s="56"/>
      <c r="FV489" s="56"/>
      <c r="FW489" s="56"/>
      <c r="FX489" s="56"/>
      <c r="FY489" s="56"/>
      <c r="FZ489" s="56"/>
      <c r="GA489" s="56"/>
      <c r="GB489" s="56"/>
      <c r="GC489" s="56"/>
      <c r="GD489" s="56"/>
      <c r="GE489" s="56"/>
      <c r="GF489" s="56"/>
      <c r="GG489" s="56"/>
      <c r="GH489" s="56"/>
      <c r="GI489" s="56"/>
      <c r="GJ489" s="56"/>
      <c r="GK489" s="56"/>
      <c r="GL489" s="56"/>
      <c r="GM489" s="56"/>
      <c r="GN489" s="56"/>
      <c r="GO489" s="56"/>
      <c r="GP489" s="56"/>
      <c r="GQ489" s="56"/>
      <c r="GR489" s="56"/>
      <c r="GS489" s="56"/>
      <c r="GT489" s="56"/>
      <c r="GU489" s="56"/>
      <c r="GV489" s="56"/>
      <c r="GW489" s="56"/>
      <c r="GX489" s="56"/>
      <c r="GY489" s="56"/>
      <c r="GZ489" s="56"/>
      <c r="HA489" s="56"/>
      <c r="HB489" s="56"/>
      <c r="HC489" s="56"/>
      <c r="HD489" s="56"/>
      <c r="HE489" s="56"/>
      <c r="HF489" s="56"/>
      <c r="HG489" s="56"/>
      <c r="HH489" s="56"/>
      <c r="HI489" s="56"/>
      <c r="HJ489" s="56"/>
    </row>
    <row r="490" spans="1:218" ht="15.75" customHeight="1" x14ac:dyDescent="0.2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  <c r="CL490" s="56"/>
      <c r="CM490" s="56"/>
      <c r="CN490" s="56"/>
      <c r="CO490" s="56"/>
      <c r="CP490" s="56"/>
      <c r="CQ490" s="56"/>
      <c r="CR490" s="56"/>
      <c r="CS490" s="56"/>
      <c r="CT490" s="56"/>
      <c r="CU490" s="56"/>
      <c r="CV490" s="56"/>
      <c r="CW490" s="56"/>
      <c r="CX490" s="56"/>
      <c r="CY490" s="56"/>
      <c r="CZ490" s="56"/>
      <c r="DA490" s="56"/>
      <c r="DB490" s="56"/>
      <c r="DC490" s="56"/>
      <c r="DD490" s="56"/>
      <c r="DE490" s="56"/>
      <c r="DF490" s="56"/>
      <c r="DG490" s="56"/>
      <c r="DH490" s="56"/>
      <c r="DI490" s="56"/>
      <c r="DJ490" s="56"/>
      <c r="DK490" s="56"/>
      <c r="DL490" s="56"/>
      <c r="DM490" s="56"/>
      <c r="DN490" s="56"/>
      <c r="DO490" s="56"/>
      <c r="DP490" s="56"/>
      <c r="DQ490" s="56"/>
      <c r="DR490" s="56"/>
      <c r="DS490" s="56"/>
      <c r="DT490" s="56"/>
      <c r="DU490" s="56"/>
      <c r="DV490" s="56"/>
      <c r="DW490" s="56"/>
      <c r="DX490" s="56"/>
      <c r="DY490" s="56"/>
      <c r="DZ490" s="56"/>
      <c r="EA490" s="56"/>
      <c r="EB490" s="56"/>
      <c r="EC490" s="56"/>
      <c r="ED490" s="56"/>
      <c r="EE490" s="56"/>
      <c r="EF490" s="56"/>
      <c r="EG490" s="56"/>
      <c r="EH490" s="56"/>
      <c r="EI490" s="56"/>
      <c r="EJ490" s="56"/>
      <c r="EK490" s="56"/>
      <c r="EL490" s="56"/>
      <c r="EM490" s="56"/>
      <c r="EN490" s="56"/>
      <c r="EO490" s="56"/>
      <c r="EP490" s="56"/>
      <c r="EQ490" s="56"/>
      <c r="ER490" s="56"/>
      <c r="ES490" s="56"/>
      <c r="ET490" s="56"/>
      <c r="EU490" s="56"/>
      <c r="EV490" s="56"/>
      <c r="EW490" s="56"/>
      <c r="EX490" s="56"/>
      <c r="EY490" s="56"/>
      <c r="EZ490" s="56"/>
      <c r="FA490" s="56"/>
      <c r="FB490" s="56"/>
      <c r="FC490" s="56"/>
      <c r="FD490" s="56"/>
      <c r="FE490" s="56"/>
      <c r="FF490" s="56"/>
      <c r="FG490" s="56"/>
      <c r="FH490" s="56"/>
      <c r="FI490" s="56"/>
      <c r="FJ490" s="56"/>
      <c r="FK490" s="56"/>
      <c r="FL490" s="56"/>
      <c r="FM490" s="56"/>
      <c r="FN490" s="56"/>
      <c r="FO490" s="56"/>
      <c r="FP490" s="56"/>
      <c r="FQ490" s="56"/>
      <c r="FR490" s="56"/>
      <c r="FS490" s="56"/>
      <c r="FT490" s="56"/>
      <c r="FU490" s="56"/>
      <c r="FV490" s="56"/>
      <c r="FW490" s="56"/>
      <c r="FX490" s="56"/>
      <c r="FY490" s="56"/>
      <c r="FZ490" s="56"/>
      <c r="GA490" s="56"/>
      <c r="GB490" s="56"/>
      <c r="GC490" s="56"/>
      <c r="GD490" s="56"/>
      <c r="GE490" s="56"/>
      <c r="GF490" s="56"/>
      <c r="GG490" s="56"/>
      <c r="GH490" s="56"/>
      <c r="GI490" s="56"/>
      <c r="GJ490" s="56"/>
      <c r="GK490" s="56"/>
      <c r="GL490" s="56"/>
      <c r="GM490" s="56"/>
      <c r="GN490" s="56"/>
      <c r="GO490" s="56"/>
      <c r="GP490" s="56"/>
      <c r="GQ490" s="56"/>
      <c r="GR490" s="56"/>
      <c r="GS490" s="56"/>
      <c r="GT490" s="56"/>
      <c r="GU490" s="56"/>
      <c r="GV490" s="56"/>
      <c r="GW490" s="56"/>
      <c r="GX490" s="56"/>
      <c r="GY490" s="56"/>
      <c r="GZ490" s="56"/>
      <c r="HA490" s="56"/>
      <c r="HB490" s="56"/>
      <c r="HC490" s="56"/>
      <c r="HD490" s="56"/>
      <c r="HE490" s="56"/>
      <c r="HF490" s="56"/>
      <c r="HG490" s="56"/>
      <c r="HH490" s="56"/>
      <c r="HI490" s="56"/>
      <c r="HJ490" s="56"/>
    </row>
    <row r="491" spans="1:218" ht="15.75" customHeight="1" x14ac:dyDescent="0.2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  <c r="BV491" s="56"/>
      <c r="BW491" s="56"/>
      <c r="BX491" s="56"/>
      <c r="BY491" s="56"/>
      <c r="BZ491" s="56"/>
      <c r="CA491" s="56"/>
      <c r="CB491" s="56"/>
      <c r="CC491" s="56"/>
      <c r="CD491" s="56"/>
      <c r="CE491" s="56"/>
      <c r="CF491" s="56"/>
      <c r="CG491" s="56"/>
      <c r="CH491" s="56"/>
      <c r="CI491" s="56"/>
      <c r="CJ491" s="56"/>
      <c r="CK491" s="56"/>
      <c r="CL491" s="56"/>
      <c r="CM491" s="56"/>
      <c r="CN491" s="56"/>
      <c r="CO491" s="56"/>
      <c r="CP491" s="56"/>
      <c r="CQ491" s="56"/>
      <c r="CR491" s="56"/>
      <c r="CS491" s="56"/>
      <c r="CT491" s="56"/>
      <c r="CU491" s="56"/>
      <c r="CV491" s="56"/>
      <c r="CW491" s="56"/>
      <c r="CX491" s="56"/>
      <c r="CY491" s="56"/>
      <c r="CZ491" s="56"/>
      <c r="DA491" s="56"/>
      <c r="DB491" s="56"/>
      <c r="DC491" s="56"/>
      <c r="DD491" s="56"/>
      <c r="DE491" s="56"/>
      <c r="DF491" s="56"/>
      <c r="DG491" s="56"/>
      <c r="DH491" s="56"/>
      <c r="DI491" s="56"/>
      <c r="DJ491" s="56"/>
      <c r="DK491" s="56"/>
      <c r="DL491" s="56"/>
      <c r="DM491" s="56"/>
      <c r="DN491" s="56"/>
      <c r="DO491" s="56"/>
      <c r="DP491" s="56"/>
      <c r="DQ491" s="56"/>
      <c r="DR491" s="56"/>
      <c r="DS491" s="56"/>
      <c r="DT491" s="56"/>
      <c r="DU491" s="56"/>
      <c r="DV491" s="56"/>
      <c r="DW491" s="56"/>
      <c r="DX491" s="56"/>
      <c r="DY491" s="56"/>
      <c r="DZ491" s="56"/>
      <c r="EA491" s="56"/>
      <c r="EB491" s="56"/>
      <c r="EC491" s="56"/>
      <c r="ED491" s="56"/>
      <c r="EE491" s="56"/>
      <c r="EF491" s="56"/>
      <c r="EG491" s="56"/>
      <c r="EH491" s="56"/>
      <c r="EI491" s="56"/>
      <c r="EJ491" s="56"/>
      <c r="EK491" s="56"/>
      <c r="EL491" s="56"/>
      <c r="EM491" s="56"/>
      <c r="EN491" s="56"/>
      <c r="EO491" s="56"/>
      <c r="EP491" s="56"/>
      <c r="EQ491" s="56"/>
      <c r="ER491" s="56"/>
      <c r="ES491" s="56"/>
      <c r="ET491" s="56"/>
      <c r="EU491" s="56"/>
      <c r="EV491" s="56"/>
      <c r="EW491" s="56"/>
      <c r="EX491" s="56"/>
      <c r="EY491" s="56"/>
      <c r="EZ491" s="56"/>
      <c r="FA491" s="56"/>
      <c r="FB491" s="56"/>
      <c r="FC491" s="56"/>
      <c r="FD491" s="56"/>
      <c r="FE491" s="56"/>
      <c r="FF491" s="56"/>
      <c r="FG491" s="56"/>
      <c r="FH491" s="56"/>
      <c r="FI491" s="56"/>
      <c r="FJ491" s="56"/>
      <c r="FK491" s="56"/>
      <c r="FL491" s="56"/>
      <c r="FM491" s="56"/>
      <c r="FN491" s="56"/>
      <c r="FO491" s="56"/>
      <c r="FP491" s="56"/>
      <c r="FQ491" s="56"/>
      <c r="FR491" s="56"/>
      <c r="FS491" s="56"/>
      <c r="FT491" s="56"/>
      <c r="FU491" s="56"/>
      <c r="FV491" s="56"/>
      <c r="FW491" s="56"/>
      <c r="FX491" s="56"/>
      <c r="FY491" s="56"/>
      <c r="FZ491" s="56"/>
      <c r="GA491" s="56"/>
      <c r="GB491" s="56"/>
      <c r="GC491" s="56"/>
      <c r="GD491" s="56"/>
      <c r="GE491" s="56"/>
      <c r="GF491" s="56"/>
      <c r="GG491" s="56"/>
      <c r="GH491" s="56"/>
      <c r="GI491" s="56"/>
      <c r="GJ491" s="56"/>
      <c r="GK491" s="56"/>
      <c r="GL491" s="56"/>
      <c r="GM491" s="56"/>
      <c r="GN491" s="56"/>
      <c r="GO491" s="56"/>
      <c r="GP491" s="56"/>
      <c r="GQ491" s="56"/>
      <c r="GR491" s="56"/>
      <c r="GS491" s="56"/>
      <c r="GT491" s="56"/>
      <c r="GU491" s="56"/>
      <c r="GV491" s="56"/>
      <c r="GW491" s="56"/>
      <c r="GX491" s="56"/>
      <c r="GY491" s="56"/>
      <c r="GZ491" s="56"/>
      <c r="HA491" s="56"/>
      <c r="HB491" s="56"/>
      <c r="HC491" s="56"/>
      <c r="HD491" s="56"/>
      <c r="HE491" s="56"/>
      <c r="HF491" s="56"/>
      <c r="HG491" s="56"/>
      <c r="HH491" s="56"/>
      <c r="HI491" s="56"/>
      <c r="HJ491" s="56"/>
    </row>
    <row r="492" spans="1:218" ht="15.75" customHeight="1" x14ac:dyDescent="0.2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  <c r="CL492" s="56"/>
      <c r="CM492" s="56"/>
      <c r="CN492" s="56"/>
      <c r="CO492" s="56"/>
      <c r="CP492" s="56"/>
      <c r="CQ492" s="56"/>
      <c r="CR492" s="56"/>
      <c r="CS492" s="56"/>
      <c r="CT492" s="56"/>
      <c r="CU492" s="56"/>
      <c r="CV492" s="56"/>
      <c r="CW492" s="56"/>
      <c r="CX492" s="56"/>
      <c r="CY492" s="56"/>
      <c r="CZ492" s="56"/>
      <c r="DA492" s="56"/>
      <c r="DB492" s="56"/>
      <c r="DC492" s="56"/>
      <c r="DD492" s="56"/>
      <c r="DE492" s="56"/>
      <c r="DF492" s="56"/>
      <c r="DG492" s="56"/>
      <c r="DH492" s="56"/>
      <c r="DI492" s="56"/>
      <c r="DJ492" s="56"/>
      <c r="DK492" s="56"/>
      <c r="DL492" s="56"/>
      <c r="DM492" s="56"/>
      <c r="DN492" s="56"/>
      <c r="DO492" s="56"/>
      <c r="DP492" s="56"/>
      <c r="DQ492" s="56"/>
      <c r="DR492" s="56"/>
      <c r="DS492" s="56"/>
      <c r="DT492" s="56"/>
      <c r="DU492" s="56"/>
      <c r="DV492" s="56"/>
      <c r="DW492" s="56"/>
      <c r="DX492" s="56"/>
      <c r="DY492" s="56"/>
      <c r="DZ492" s="56"/>
      <c r="EA492" s="56"/>
      <c r="EB492" s="56"/>
      <c r="EC492" s="56"/>
      <c r="ED492" s="56"/>
      <c r="EE492" s="56"/>
      <c r="EF492" s="56"/>
      <c r="EG492" s="56"/>
      <c r="EH492" s="56"/>
      <c r="EI492" s="56"/>
      <c r="EJ492" s="56"/>
      <c r="EK492" s="56"/>
      <c r="EL492" s="56"/>
      <c r="EM492" s="56"/>
      <c r="EN492" s="56"/>
      <c r="EO492" s="56"/>
      <c r="EP492" s="56"/>
      <c r="EQ492" s="56"/>
      <c r="ER492" s="56"/>
      <c r="ES492" s="56"/>
      <c r="ET492" s="56"/>
      <c r="EU492" s="56"/>
      <c r="EV492" s="56"/>
      <c r="EW492" s="56"/>
      <c r="EX492" s="56"/>
      <c r="EY492" s="56"/>
      <c r="EZ492" s="56"/>
      <c r="FA492" s="56"/>
      <c r="FB492" s="56"/>
      <c r="FC492" s="56"/>
      <c r="FD492" s="56"/>
      <c r="FE492" s="56"/>
      <c r="FF492" s="56"/>
      <c r="FG492" s="56"/>
      <c r="FH492" s="56"/>
      <c r="FI492" s="56"/>
      <c r="FJ492" s="56"/>
      <c r="FK492" s="56"/>
      <c r="FL492" s="56"/>
      <c r="FM492" s="56"/>
      <c r="FN492" s="56"/>
      <c r="FO492" s="56"/>
      <c r="FP492" s="56"/>
      <c r="FQ492" s="56"/>
      <c r="FR492" s="56"/>
      <c r="FS492" s="56"/>
      <c r="FT492" s="56"/>
      <c r="FU492" s="56"/>
      <c r="FV492" s="56"/>
      <c r="FW492" s="56"/>
      <c r="FX492" s="56"/>
      <c r="FY492" s="56"/>
      <c r="FZ492" s="56"/>
      <c r="GA492" s="56"/>
      <c r="GB492" s="56"/>
      <c r="GC492" s="56"/>
      <c r="GD492" s="56"/>
      <c r="GE492" s="56"/>
      <c r="GF492" s="56"/>
      <c r="GG492" s="56"/>
      <c r="GH492" s="56"/>
      <c r="GI492" s="56"/>
      <c r="GJ492" s="56"/>
      <c r="GK492" s="56"/>
      <c r="GL492" s="56"/>
      <c r="GM492" s="56"/>
      <c r="GN492" s="56"/>
      <c r="GO492" s="56"/>
      <c r="GP492" s="56"/>
      <c r="GQ492" s="56"/>
      <c r="GR492" s="56"/>
      <c r="GS492" s="56"/>
      <c r="GT492" s="56"/>
      <c r="GU492" s="56"/>
      <c r="GV492" s="56"/>
      <c r="GW492" s="56"/>
      <c r="GX492" s="56"/>
      <c r="GY492" s="56"/>
      <c r="GZ492" s="56"/>
      <c r="HA492" s="56"/>
      <c r="HB492" s="56"/>
      <c r="HC492" s="56"/>
      <c r="HD492" s="56"/>
      <c r="HE492" s="56"/>
      <c r="HF492" s="56"/>
      <c r="HG492" s="56"/>
      <c r="HH492" s="56"/>
      <c r="HI492" s="56"/>
      <c r="HJ492" s="56"/>
    </row>
    <row r="493" spans="1:218" ht="15.75" customHeight="1" x14ac:dyDescent="0.2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  <c r="CL493" s="56"/>
      <c r="CM493" s="56"/>
      <c r="CN493" s="56"/>
      <c r="CO493" s="56"/>
      <c r="CP493" s="56"/>
      <c r="CQ493" s="56"/>
      <c r="CR493" s="56"/>
      <c r="CS493" s="56"/>
      <c r="CT493" s="56"/>
      <c r="CU493" s="56"/>
      <c r="CV493" s="56"/>
      <c r="CW493" s="56"/>
      <c r="CX493" s="56"/>
      <c r="CY493" s="56"/>
      <c r="CZ493" s="56"/>
      <c r="DA493" s="56"/>
      <c r="DB493" s="56"/>
      <c r="DC493" s="56"/>
      <c r="DD493" s="56"/>
      <c r="DE493" s="56"/>
      <c r="DF493" s="56"/>
      <c r="DG493" s="56"/>
      <c r="DH493" s="56"/>
      <c r="DI493" s="56"/>
      <c r="DJ493" s="56"/>
      <c r="DK493" s="56"/>
      <c r="DL493" s="56"/>
      <c r="DM493" s="56"/>
      <c r="DN493" s="56"/>
      <c r="DO493" s="56"/>
      <c r="DP493" s="56"/>
      <c r="DQ493" s="56"/>
      <c r="DR493" s="56"/>
      <c r="DS493" s="56"/>
      <c r="DT493" s="56"/>
      <c r="DU493" s="56"/>
      <c r="DV493" s="56"/>
      <c r="DW493" s="56"/>
      <c r="DX493" s="56"/>
      <c r="DY493" s="56"/>
      <c r="DZ493" s="56"/>
      <c r="EA493" s="56"/>
      <c r="EB493" s="56"/>
      <c r="EC493" s="56"/>
      <c r="ED493" s="56"/>
      <c r="EE493" s="56"/>
      <c r="EF493" s="56"/>
      <c r="EG493" s="56"/>
      <c r="EH493" s="56"/>
      <c r="EI493" s="56"/>
      <c r="EJ493" s="56"/>
      <c r="EK493" s="56"/>
      <c r="EL493" s="56"/>
      <c r="EM493" s="56"/>
      <c r="EN493" s="56"/>
      <c r="EO493" s="56"/>
      <c r="EP493" s="56"/>
      <c r="EQ493" s="56"/>
      <c r="ER493" s="56"/>
      <c r="ES493" s="56"/>
      <c r="ET493" s="56"/>
      <c r="EU493" s="56"/>
      <c r="EV493" s="56"/>
      <c r="EW493" s="56"/>
      <c r="EX493" s="56"/>
      <c r="EY493" s="56"/>
      <c r="EZ493" s="56"/>
      <c r="FA493" s="56"/>
      <c r="FB493" s="56"/>
      <c r="FC493" s="56"/>
      <c r="FD493" s="56"/>
      <c r="FE493" s="56"/>
      <c r="FF493" s="56"/>
      <c r="FG493" s="56"/>
      <c r="FH493" s="56"/>
      <c r="FI493" s="56"/>
      <c r="FJ493" s="56"/>
      <c r="FK493" s="56"/>
      <c r="FL493" s="56"/>
      <c r="FM493" s="56"/>
      <c r="FN493" s="56"/>
      <c r="FO493" s="56"/>
      <c r="FP493" s="56"/>
      <c r="FQ493" s="56"/>
      <c r="FR493" s="56"/>
      <c r="FS493" s="56"/>
      <c r="FT493" s="56"/>
      <c r="FU493" s="56"/>
      <c r="FV493" s="56"/>
      <c r="FW493" s="56"/>
      <c r="FX493" s="56"/>
      <c r="FY493" s="56"/>
      <c r="FZ493" s="56"/>
      <c r="GA493" s="56"/>
      <c r="GB493" s="56"/>
      <c r="GC493" s="56"/>
      <c r="GD493" s="56"/>
      <c r="GE493" s="56"/>
      <c r="GF493" s="56"/>
      <c r="GG493" s="56"/>
      <c r="GH493" s="56"/>
      <c r="GI493" s="56"/>
      <c r="GJ493" s="56"/>
      <c r="GK493" s="56"/>
      <c r="GL493" s="56"/>
      <c r="GM493" s="56"/>
      <c r="GN493" s="56"/>
      <c r="GO493" s="56"/>
      <c r="GP493" s="56"/>
      <c r="GQ493" s="56"/>
      <c r="GR493" s="56"/>
      <c r="GS493" s="56"/>
      <c r="GT493" s="56"/>
      <c r="GU493" s="56"/>
      <c r="GV493" s="56"/>
      <c r="GW493" s="56"/>
      <c r="GX493" s="56"/>
      <c r="GY493" s="56"/>
      <c r="GZ493" s="56"/>
      <c r="HA493" s="56"/>
      <c r="HB493" s="56"/>
      <c r="HC493" s="56"/>
      <c r="HD493" s="56"/>
      <c r="HE493" s="56"/>
      <c r="HF493" s="56"/>
      <c r="HG493" s="56"/>
      <c r="HH493" s="56"/>
      <c r="HI493" s="56"/>
      <c r="HJ493" s="56"/>
    </row>
    <row r="494" spans="1:218" ht="15.75" customHeight="1" x14ac:dyDescent="0.2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56"/>
      <c r="CP494" s="56"/>
      <c r="CQ494" s="56"/>
      <c r="CR494" s="56"/>
      <c r="CS494" s="56"/>
      <c r="CT494" s="56"/>
      <c r="CU494" s="56"/>
      <c r="CV494" s="56"/>
      <c r="CW494" s="56"/>
      <c r="CX494" s="56"/>
      <c r="CY494" s="56"/>
      <c r="CZ494" s="56"/>
      <c r="DA494" s="56"/>
      <c r="DB494" s="56"/>
      <c r="DC494" s="56"/>
      <c r="DD494" s="56"/>
      <c r="DE494" s="56"/>
      <c r="DF494" s="56"/>
      <c r="DG494" s="56"/>
      <c r="DH494" s="56"/>
      <c r="DI494" s="56"/>
      <c r="DJ494" s="56"/>
      <c r="DK494" s="56"/>
      <c r="DL494" s="56"/>
      <c r="DM494" s="56"/>
      <c r="DN494" s="56"/>
      <c r="DO494" s="56"/>
      <c r="DP494" s="56"/>
      <c r="DQ494" s="56"/>
      <c r="DR494" s="56"/>
      <c r="DS494" s="56"/>
      <c r="DT494" s="56"/>
      <c r="DU494" s="56"/>
      <c r="DV494" s="56"/>
      <c r="DW494" s="56"/>
      <c r="DX494" s="56"/>
      <c r="DY494" s="56"/>
      <c r="DZ494" s="56"/>
      <c r="EA494" s="56"/>
      <c r="EB494" s="56"/>
      <c r="EC494" s="56"/>
      <c r="ED494" s="56"/>
      <c r="EE494" s="56"/>
      <c r="EF494" s="56"/>
      <c r="EG494" s="56"/>
      <c r="EH494" s="56"/>
      <c r="EI494" s="56"/>
      <c r="EJ494" s="56"/>
      <c r="EK494" s="56"/>
      <c r="EL494" s="56"/>
      <c r="EM494" s="56"/>
      <c r="EN494" s="56"/>
      <c r="EO494" s="56"/>
      <c r="EP494" s="56"/>
      <c r="EQ494" s="56"/>
      <c r="ER494" s="56"/>
      <c r="ES494" s="56"/>
      <c r="ET494" s="56"/>
      <c r="EU494" s="56"/>
      <c r="EV494" s="56"/>
      <c r="EW494" s="56"/>
      <c r="EX494" s="56"/>
      <c r="EY494" s="56"/>
      <c r="EZ494" s="56"/>
      <c r="FA494" s="56"/>
      <c r="FB494" s="56"/>
      <c r="FC494" s="56"/>
      <c r="FD494" s="56"/>
      <c r="FE494" s="56"/>
      <c r="FF494" s="56"/>
      <c r="FG494" s="56"/>
      <c r="FH494" s="56"/>
      <c r="FI494" s="56"/>
      <c r="FJ494" s="56"/>
      <c r="FK494" s="56"/>
      <c r="FL494" s="56"/>
      <c r="FM494" s="56"/>
      <c r="FN494" s="56"/>
      <c r="FO494" s="56"/>
      <c r="FP494" s="56"/>
      <c r="FQ494" s="56"/>
      <c r="FR494" s="56"/>
      <c r="FS494" s="56"/>
      <c r="FT494" s="56"/>
      <c r="FU494" s="56"/>
      <c r="FV494" s="56"/>
      <c r="FW494" s="56"/>
      <c r="FX494" s="56"/>
      <c r="FY494" s="56"/>
      <c r="FZ494" s="56"/>
      <c r="GA494" s="56"/>
      <c r="GB494" s="56"/>
      <c r="GC494" s="56"/>
      <c r="GD494" s="56"/>
      <c r="GE494" s="56"/>
      <c r="GF494" s="56"/>
      <c r="GG494" s="56"/>
      <c r="GH494" s="56"/>
      <c r="GI494" s="56"/>
      <c r="GJ494" s="56"/>
      <c r="GK494" s="56"/>
      <c r="GL494" s="56"/>
      <c r="GM494" s="56"/>
      <c r="GN494" s="56"/>
      <c r="GO494" s="56"/>
      <c r="GP494" s="56"/>
      <c r="GQ494" s="56"/>
      <c r="GR494" s="56"/>
      <c r="GS494" s="56"/>
      <c r="GT494" s="56"/>
      <c r="GU494" s="56"/>
      <c r="GV494" s="56"/>
      <c r="GW494" s="56"/>
      <c r="GX494" s="56"/>
      <c r="GY494" s="56"/>
      <c r="GZ494" s="56"/>
      <c r="HA494" s="56"/>
      <c r="HB494" s="56"/>
      <c r="HC494" s="56"/>
      <c r="HD494" s="56"/>
      <c r="HE494" s="56"/>
      <c r="HF494" s="56"/>
      <c r="HG494" s="56"/>
      <c r="HH494" s="56"/>
      <c r="HI494" s="56"/>
      <c r="HJ494" s="56"/>
    </row>
    <row r="495" spans="1:218" ht="15.75" customHeight="1" x14ac:dyDescent="0.2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  <c r="CL495" s="56"/>
      <c r="CM495" s="56"/>
      <c r="CN495" s="56"/>
      <c r="CO495" s="56"/>
      <c r="CP495" s="56"/>
      <c r="CQ495" s="56"/>
      <c r="CR495" s="56"/>
      <c r="CS495" s="56"/>
      <c r="CT495" s="56"/>
      <c r="CU495" s="56"/>
      <c r="CV495" s="56"/>
      <c r="CW495" s="56"/>
      <c r="CX495" s="56"/>
      <c r="CY495" s="56"/>
      <c r="CZ495" s="56"/>
      <c r="DA495" s="56"/>
      <c r="DB495" s="56"/>
      <c r="DC495" s="56"/>
      <c r="DD495" s="56"/>
      <c r="DE495" s="56"/>
      <c r="DF495" s="56"/>
      <c r="DG495" s="56"/>
      <c r="DH495" s="56"/>
      <c r="DI495" s="56"/>
      <c r="DJ495" s="56"/>
      <c r="DK495" s="56"/>
      <c r="DL495" s="56"/>
      <c r="DM495" s="56"/>
      <c r="DN495" s="56"/>
      <c r="DO495" s="56"/>
      <c r="DP495" s="56"/>
      <c r="DQ495" s="56"/>
      <c r="DR495" s="56"/>
      <c r="DS495" s="56"/>
      <c r="DT495" s="56"/>
      <c r="DU495" s="56"/>
      <c r="DV495" s="56"/>
      <c r="DW495" s="56"/>
      <c r="DX495" s="56"/>
      <c r="DY495" s="56"/>
      <c r="DZ495" s="56"/>
      <c r="EA495" s="56"/>
      <c r="EB495" s="56"/>
      <c r="EC495" s="56"/>
      <c r="ED495" s="56"/>
      <c r="EE495" s="56"/>
      <c r="EF495" s="56"/>
      <c r="EG495" s="56"/>
      <c r="EH495" s="56"/>
      <c r="EI495" s="56"/>
      <c r="EJ495" s="56"/>
      <c r="EK495" s="56"/>
      <c r="EL495" s="56"/>
      <c r="EM495" s="56"/>
      <c r="EN495" s="56"/>
      <c r="EO495" s="56"/>
      <c r="EP495" s="56"/>
      <c r="EQ495" s="56"/>
      <c r="ER495" s="56"/>
      <c r="ES495" s="56"/>
      <c r="ET495" s="56"/>
      <c r="EU495" s="56"/>
      <c r="EV495" s="56"/>
      <c r="EW495" s="56"/>
      <c r="EX495" s="56"/>
      <c r="EY495" s="56"/>
      <c r="EZ495" s="56"/>
      <c r="FA495" s="56"/>
      <c r="FB495" s="56"/>
      <c r="FC495" s="56"/>
      <c r="FD495" s="56"/>
      <c r="FE495" s="56"/>
      <c r="FF495" s="56"/>
      <c r="FG495" s="56"/>
      <c r="FH495" s="56"/>
      <c r="FI495" s="56"/>
      <c r="FJ495" s="56"/>
      <c r="FK495" s="56"/>
      <c r="FL495" s="56"/>
      <c r="FM495" s="56"/>
      <c r="FN495" s="56"/>
      <c r="FO495" s="56"/>
      <c r="FP495" s="56"/>
      <c r="FQ495" s="56"/>
      <c r="FR495" s="56"/>
      <c r="FS495" s="56"/>
      <c r="FT495" s="56"/>
      <c r="FU495" s="56"/>
      <c r="FV495" s="56"/>
      <c r="FW495" s="56"/>
      <c r="FX495" s="56"/>
      <c r="FY495" s="56"/>
      <c r="FZ495" s="56"/>
      <c r="GA495" s="56"/>
      <c r="GB495" s="56"/>
      <c r="GC495" s="56"/>
      <c r="GD495" s="56"/>
      <c r="GE495" s="56"/>
      <c r="GF495" s="56"/>
      <c r="GG495" s="56"/>
      <c r="GH495" s="56"/>
      <c r="GI495" s="56"/>
      <c r="GJ495" s="56"/>
      <c r="GK495" s="56"/>
      <c r="GL495" s="56"/>
      <c r="GM495" s="56"/>
      <c r="GN495" s="56"/>
      <c r="GO495" s="56"/>
      <c r="GP495" s="56"/>
      <c r="GQ495" s="56"/>
      <c r="GR495" s="56"/>
      <c r="GS495" s="56"/>
      <c r="GT495" s="56"/>
      <c r="GU495" s="56"/>
      <c r="GV495" s="56"/>
      <c r="GW495" s="56"/>
      <c r="GX495" s="56"/>
      <c r="GY495" s="56"/>
      <c r="GZ495" s="56"/>
      <c r="HA495" s="56"/>
      <c r="HB495" s="56"/>
      <c r="HC495" s="56"/>
      <c r="HD495" s="56"/>
      <c r="HE495" s="56"/>
      <c r="HF495" s="56"/>
      <c r="HG495" s="56"/>
      <c r="HH495" s="56"/>
      <c r="HI495" s="56"/>
      <c r="HJ495" s="56"/>
    </row>
    <row r="496" spans="1:218" ht="15.75" customHeight="1" x14ac:dyDescent="0.2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  <c r="CL496" s="56"/>
      <c r="CM496" s="56"/>
      <c r="CN496" s="56"/>
      <c r="CO496" s="56"/>
      <c r="CP496" s="56"/>
      <c r="CQ496" s="56"/>
      <c r="CR496" s="56"/>
      <c r="CS496" s="56"/>
      <c r="CT496" s="56"/>
      <c r="CU496" s="56"/>
      <c r="CV496" s="56"/>
      <c r="CW496" s="56"/>
      <c r="CX496" s="56"/>
      <c r="CY496" s="56"/>
      <c r="CZ496" s="56"/>
      <c r="DA496" s="56"/>
      <c r="DB496" s="56"/>
      <c r="DC496" s="56"/>
      <c r="DD496" s="56"/>
      <c r="DE496" s="56"/>
      <c r="DF496" s="56"/>
      <c r="DG496" s="56"/>
      <c r="DH496" s="56"/>
      <c r="DI496" s="56"/>
      <c r="DJ496" s="56"/>
      <c r="DK496" s="56"/>
      <c r="DL496" s="56"/>
      <c r="DM496" s="56"/>
      <c r="DN496" s="56"/>
      <c r="DO496" s="56"/>
      <c r="DP496" s="56"/>
      <c r="DQ496" s="56"/>
      <c r="DR496" s="56"/>
      <c r="DS496" s="56"/>
      <c r="DT496" s="56"/>
      <c r="DU496" s="56"/>
      <c r="DV496" s="56"/>
      <c r="DW496" s="56"/>
      <c r="DX496" s="56"/>
      <c r="DY496" s="56"/>
      <c r="DZ496" s="56"/>
      <c r="EA496" s="56"/>
      <c r="EB496" s="56"/>
      <c r="EC496" s="56"/>
      <c r="ED496" s="56"/>
      <c r="EE496" s="56"/>
      <c r="EF496" s="56"/>
      <c r="EG496" s="56"/>
      <c r="EH496" s="56"/>
      <c r="EI496" s="56"/>
      <c r="EJ496" s="56"/>
      <c r="EK496" s="56"/>
      <c r="EL496" s="56"/>
      <c r="EM496" s="56"/>
      <c r="EN496" s="56"/>
      <c r="EO496" s="56"/>
      <c r="EP496" s="56"/>
      <c r="EQ496" s="56"/>
      <c r="ER496" s="56"/>
      <c r="ES496" s="56"/>
      <c r="ET496" s="56"/>
      <c r="EU496" s="56"/>
      <c r="EV496" s="56"/>
      <c r="EW496" s="56"/>
      <c r="EX496" s="56"/>
      <c r="EY496" s="56"/>
      <c r="EZ496" s="56"/>
      <c r="FA496" s="56"/>
      <c r="FB496" s="56"/>
      <c r="FC496" s="56"/>
      <c r="FD496" s="56"/>
      <c r="FE496" s="56"/>
      <c r="FF496" s="56"/>
      <c r="FG496" s="56"/>
      <c r="FH496" s="56"/>
      <c r="FI496" s="56"/>
      <c r="FJ496" s="56"/>
      <c r="FK496" s="56"/>
      <c r="FL496" s="56"/>
      <c r="FM496" s="56"/>
      <c r="FN496" s="56"/>
      <c r="FO496" s="56"/>
      <c r="FP496" s="56"/>
      <c r="FQ496" s="56"/>
      <c r="FR496" s="56"/>
      <c r="FS496" s="56"/>
      <c r="FT496" s="56"/>
      <c r="FU496" s="56"/>
      <c r="FV496" s="56"/>
      <c r="FW496" s="56"/>
      <c r="FX496" s="56"/>
      <c r="FY496" s="56"/>
      <c r="FZ496" s="56"/>
      <c r="GA496" s="56"/>
      <c r="GB496" s="56"/>
      <c r="GC496" s="56"/>
      <c r="GD496" s="56"/>
      <c r="GE496" s="56"/>
      <c r="GF496" s="56"/>
      <c r="GG496" s="56"/>
      <c r="GH496" s="56"/>
      <c r="GI496" s="56"/>
      <c r="GJ496" s="56"/>
      <c r="GK496" s="56"/>
      <c r="GL496" s="56"/>
      <c r="GM496" s="56"/>
      <c r="GN496" s="56"/>
      <c r="GO496" s="56"/>
      <c r="GP496" s="56"/>
      <c r="GQ496" s="56"/>
      <c r="GR496" s="56"/>
      <c r="GS496" s="56"/>
      <c r="GT496" s="56"/>
      <c r="GU496" s="56"/>
      <c r="GV496" s="56"/>
      <c r="GW496" s="56"/>
      <c r="GX496" s="56"/>
      <c r="GY496" s="56"/>
      <c r="GZ496" s="56"/>
      <c r="HA496" s="56"/>
      <c r="HB496" s="56"/>
      <c r="HC496" s="56"/>
      <c r="HD496" s="56"/>
      <c r="HE496" s="56"/>
      <c r="HF496" s="56"/>
      <c r="HG496" s="56"/>
      <c r="HH496" s="56"/>
      <c r="HI496" s="56"/>
      <c r="HJ496" s="56"/>
    </row>
    <row r="497" spans="1:218" ht="15.75" customHeight="1" x14ac:dyDescent="0.2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56"/>
      <c r="CP497" s="56"/>
      <c r="CQ497" s="56"/>
      <c r="CR497" s="56"/>
      <c r="CS497" s="56"/>
      <c r="CT497" s="56"/>
      <c r="CU497" s="56"/>
      <c r="CV497" s="56"/>
      <c r="CW497" s="56"/>
      <c r="CX497" s="56"/>
      <c r="CY497" s="56"/>
      <c r="CZ497" s="56"/>
      <c r="DA497" s="56"/>
      <c r="DB497" s="56"/>
      <c r="DC497" s="56"/>
      <c r="DD497" s="56"/>
      <c r="DE497" s="56"/>
      <c r="DF497" s="56"/>
      <c r="DG497" s="56"/>
      <c r="DH497" s="56"/>
      <c r="DI497" s="56"/>
      <c r="DJ497" s="56"/>
      <c r="DK497" s="56"/>
      <c r="DL497" s="56"/>
      <c r="DM497" s="56"/>
      <c r="DN497" s="56"/>
      <c r="DO497" s="56"/>
      <c r="DP497" s="56"/>
      <c r="DQ497" s="56"/>
      <c r="DR497" s="56"/>
      <c r="DS497" s="56"/>
      <c r="DT497" s="56"/>
      <c r="DU497" s="56"/>
      <c r="DV497" s="56"/>
      <c r="DW497" s="56"/>
      <c r="DX497" s="56"/>
      <c r="DY497" s="56"/>
      <c r="DZ497" s="56"/>
      <c r="EA497" s="56"/>
      <c r="EB497" s="56"/>
      <c r="EC497" s="56"/>
      <c r="ED497" s="56"/>
      <c r="EE497" s="56"/>
      <c r="EF497" s="56"/>
      <c r="EG497" s="56"/>
      <c r="EH497" s="56"/>
      <c r="EI497" s="56"/>
      <c r="EJ497" s="56"/>
      <c r="EK497" s="56"/>
      <c r="EL497" s="56"/>
      <c r="EM497" s="56"/>
      <c r="EN497" s="56"/>
      <c r="EO497" s="56"/>
      <c r="EP497" s="56"/>
      <c r="EQ497" s="56"/>
      <c r="ER497" s="56"/>
      <c r="ES497" s="56"/>
      <c r="ET497" s="56"/>
      <c r="EU497" s="56"/>
      <c r="EV497" s="56"/>
      <c r="EW497" s="56"/>
      <c r="EX497" s="56"/>
      <c r="EY497" s="56"/>
      <c r="EZ497" s="56"/>
      <c r="FA497" s="56"/>
      <c r="FB497" s="56"/>
      <c r="FC497" s="56"/>
      <c r="FD497" s="56"/>
      <c r="FE497" s="56"/>
      <c r="FF497" s="56"/>
      <c r="FG497" s="56"/>
      <c r="FH497" s="56"/>
      <c r="FI497" s="56"/>
      <c r="FJ497" s="56"/>
      <c r="FK497" s="56"/>
      <c r="FL497" s="56"/>
      <c r="FM497" s="56"/>
      <c r="FN497" s="56"/>
      <c r="FO497" s="56"/>
      <c r="FP497" s="56"/>
      <c r="FQ497" s="56"/>
      <c r="FR497" s="56"/>
      <c r="FS497" s="56"/>
      <c r="FT497" s="56"/>
      <c r="FU497" s="56"/>
      <c r="FV497" s="56"/>
      <c r="FW497" s="56"/>
      <c r="FX497" s="56"/>
      <c r="FY497" s="56"/>
      <c r="FZ497" s="56"/>
      <c r="GA497" s="56"/>
      <c r="GB497" s="56"/>
      <c r="GC497" s="56"/>
      <c r="GD497" s="56"/>
      <c r="GE497" s="56"/>
      <c r="GF497" s="56"/>
      <c r="GG497" s="56"/>
      <c r="GH497" s="56"/>
      <c r="GI497" s="56"/>
      <c r="GJ497" s="56"/>
      <c r="GK497" s="56"/>
      <c r="GL497" s="56"/>
      <c r="GM497" s="56"/>
      <c r="GN497" s="56"/>
      <c r="GO497" s="56"/>
      <c r="GP497" s="56"/>
      <c r="GQ497" s="56"/>
      <c r="GR497" s="56"/>
      <c r="GS497" s="56"/>
      <c r="GT497" s="56"/>
      <c r="GU497" s="56"/>
      <c r="GV497" s="56"/>
      <c r="GW497" s="56"/>
      <c r="GX497" s="56"/>
      <c r="GY497" s="56"/>
      <c r="GZ497" s="56"/>
      <c r="HA497" s="56"/>
      <c r="HB497" s="56"/>
      <c r="HC497" s="56"/>
      <c r="HD497" s="56"/>
      <c r="HE497" s="56"/>
      <c r="HF497" s="56"/>
      <c r="HG497" s="56"/>
      <c r="HH497" s="56"/>
      <c r="HI497" s="56"/>
      <c r="HJ497" s="56"/>
    </row>
    <row r="498" spans="1:218" ht="15.75" customHeight="1" x14ac:dyDescent="0.2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  <c r="CL498" s="56"/>
      <c r="CM498" s="56"/>
      <c r="CN498" s="56"/>
      <c r="CO498" s="56"/>
      <c r="CP498" s="56"/>
      <c r="CQ498" s="56"/>
      <c r="CR498" s="56"/>
      <c r="CS498" s="56"/>
      <c r="CT498" s="56"/>
      <c r="CU498" s="56"/>
      <c r="CV498" s="56"/>
      <c r="CW498" s="56"/>
      <c r="CX498" s="56"/>
      <c r="CY498" s="56"/>
      <c r="CZ498" s="56"/>
      <c r="DA498" s="56"/>
      <c r="DB498" s="56"/>
      <c r="DC498" s="56"/>
      <c r="DD498" s="56"/>
      <c r="DE498" s="56"/>
      <c r="DF498" s="56"/>
      <c r="DG498" s="56"/>
      <c r="DH498" s="56"/>
      <c r="DI498" s="56"/>
      <c r="DJ498" s="56"/>
      <c r="DK498" s="56"/>
      <c r="DL498" s="56"/>
      <c r="DM498" s="56"/>
      <c r="DN498" s="56"/>
      <c r="DO498" s="56"/>
      <c r="DP498" s="56"/>
      <c r="DQ498" s="56"/>
      <c r="DR498" s="56"/>
      <c r="DS498" s="56"/>
      <c r="DT498" s="56"/>
      <c r="DU498" s="56"/>
      <c r="DV498" s="56"/>
      <c r="DW498" s="56"/>
      <c r="DX498" s="56"/>
      <c r="DY498" s="56"/>
      <c r="DZ498" s="56"/>
      <c r="EA498" s="56"/>
      <c r="EB498" s="56"/>
      <c r="EC498" s="56"/>
      <c r="ED498" s="56"/>
      <c r="EE498" s="56"/>
      <c r="EF498" s="56"/>
      <c r="EG498" s="56"/>
      <c r="EH498" s="56"/>
      <c r="EI498" s="56"/>
      <c r="EJ498" s="56"/>
      <c r="EK498" s="56"/>
      <c r="EL498" s="56"/>
      <c r="EM498" s="56"/>
      <c r="EN498" s="56"/>
      <c r="EO498" s="56"/>
      <c r="EP498" s="56"/>
      <c r="EQ498" s="56"/>
      <c r="ER498" s="56"/>
      <c r="ES498" s="56"/>
      <c r="ET498" s="56"/>
      <c r="EU498" s="56"/>
      <c r="EV498" s="56"/>
      <c r="EW498" s="56"/>
      <c r="EX498" s="56"/>
      <c r="EY498" s="56"/>
      <c r="EZ498" s="56"/>
      <c r="FA498" s="56"/>
      <c r="FB498" s="56"/>
      <c r="FC498" s="56"/>
      <c r="FD498" s="56"/>
      <c r="FE498" s="56"/>
      <c r="FF498" s="56"/>
      <c r="FG498" s="56"/>
      <c r="FH498" s="56"/>
      <c r="FI498" s="56"/>
      <c r="FJ498" s="56"/>
      <c r="FK498" s="56"/>
      <c r="FL498" s="56"/>
      <c r="FM498" s="56"/>
      <c r="FN498" s="56"/>
      <c r="FO498" s="56"/>
      <c r="FP498" s="56"/>
      <c r="FQ498" s="56"/>
      <c r="FR498" s="56"/>
      <c r="FS498" s="56"/>
      <c r="FT498" s="56"/>
      <c r="FU498" s="56"/>
      <c r="FV498" s="56"/>
      <c r="FW498" s="56"/>
      <c r="FX498" s="56"/>
      <c r="FY498" s="56"/>
      <c r="FZ498" s="56"/>
      <c r="GA498" s="56"/>
      <c r="GB498" s="56"/>
      <c r="GC498" s="56"/>
      <c r="GD498" s="56"/>
      <c r="GE498" s="56"/>
      <c r="GF498" s="56"/>
      <c r="GG498" s="56"/>
      <c r="GH498" s="56"/>
      <c r="GI498" s="56"/>
      <c r="GJ498" s="56"/>
      <c r="GK498" s="56"/>
      <c r="GL498" s="56"/>
      <c r="GM498" s="56"/>
      <c r="GN498" s="56"/>
      <c r="GO498" s="56"/>
      <c r="GP498" s="56"/>
      <c r="GQ498" s="56"/>
      <c r="GR498" s="56"/>
      <c r="GS498" s="56"/>
      <c r="GT498" s="56"/>
      <c r="GU498" s="56"/>
      <c r="GV498" s="56"/>
      <c r="GW498" s="56"/>
      <c r="GX498" s="56"/>
      <c r="GY498" s="56"/>
      <c r="GZ498" s="56"/>
      <c r="HA498" s="56"/>
      <c r="HB498" s="56"/>
      <c r="HC498" s="56"/>
      <c r="HD498" s="56"/>
      <c r="HE498" s="56"/>
      <c r="HF498" s="56"/>
      <c r="HG498" s="56"/>
      <c r="HH498" s="56"/>
      <c r="HI498" s="56"/>
      <c r="HJ498" s="56"/>
    </row>
    <row r="499" spans="1:218" ht="15.75" customHeight="1" x14ac:dyDescent="0.2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  <c r="CL499" s="56"/>
      <c r="CM499" s="56"/>
      <c r="CN499" s="56"/>
      <c r="CO499" s="56"/>
      <c r="CP499" s="56"/>
      <c r="CQ499" s="56"/>
      <c r="CR499" s="56"/>
      <c r="CS499" s="56"/>
      <c r="CT499" s="56"/>
      <c r="CU499" s="56"/>
      <c r="CV499" s="56"/>
      <c r="CW499" s="56"/>
      <c r="CX499" s="56"/>
      <c r="CY499" s="56"/>
      <c r="CZ499" s="56"/>
      <c r="DA499" s="56"/>
      <c r="DB499" s="56"/>
      <c r="DC499" s="56"/>
      <c r="DD499" s="56"/>
      <c r="DE499" s="56"/>
      <c r="DF499" s="56"/>
      <c r="DG499" s="56"/>
      <c r="DH499" s="56"/>
      <c r="DI499" s="56"/>
      <c r="DJ499" s="56"/>
      <c r="DK499" s="56"/>
      <c r="DL499" s="56"/>
      <c r="DM499" s="56"/>
      <c r="DN499" s="56"/>
      <c r="DO499" s="56"/>
      <c r="DP499" s="56"/>
      <c r="DQ499" s="56"/>
      <c r="DR499" s="56"/>
      <c r="DS499" s="56"/>
      <c r="DT499" s="56"/>
      <c r="DU499" s="56"/>
      <c r="DV499" s="56"/>
      <c r="DW499" s="56"/>
      <c r="DX499" s="56"/>
      <c r="DY499" s="56"/>
      <c r="DZ499" s="56"/>
      <c r="EA499" s="56"/>
      <c r="EB499" s="56"/>
      <c r="EC499" s="56"/>
      <c r="ED499" s="56"/>
      <c r="EE499" s="56"/>
      <c r="EF499" s="56"/>
      <c r="EG499" s="56"/>
      <c r="EH499" s="56"/>
      <c r="EI499" s="56"/>
      <c r="EJ499" s="56"/>
      <c r="EK499" s="56"/>
      <c r="EL499" s="56"/>
      <c r="EM499" s="56"/>
      <c r="EN499" s="56"/>
      <c r="EO499" s="56"/>
      <c r="EP499" s="56"/>
      <c r="EQ499" s="56"/>
      <c r="ER499" s="56"/>
      <c r="ES499" s="56"/>
      <c r="ET499" s="56"/>
      <c r="EU499" s="56"/>
      <c r="EV499" s="56"/>
      <c r="EW499" s="56"/>
      <c r="EX499" s="56"/>
      <c r="EY499" s="56"/>
      <c r="EZ499" s="56"/>
      <c r="FA499" s="56"/>
      <c r="FB499" s="56"/>
      <c r="FC499" s="56"/>
      <c r="FD499" s="56"/>
      <c r="FE499" s="56"/>
      <c r="FF499" s="56"/>
      <c r="FG499" s="56"/>
      <c r="FH499" s="56"/>
      <c r="FI499" s="56"/>
      <c r="FJ499" s="56"/>
      <c r="FK499" s="56"/>
      <c r="FL499" s="56"/>
      <c r="FM499" s="56"/>
      <c r="FN499" s="56"/>
      <c r="FO499" s="56"/>
      <c r="FP499" s="56"/>
      <c r="FQ499" s="56"/>
      <c r="FR499" s="56"/>
      <c r="FS499" s="56"/>
      <c r="FT499" s="56"/>
      <c r="FU499" s="56"/>
      <c r="FV499" s="56"/>
      <c r="FW499" s="56"/>
      <c r="FX499" s="56"/>
      <c r="FY499" s="56"/>
      <c r="FZ499" s="56"/>
      <c r="GA499" s="56"/>
      <c r="GB499" s="56"/>
      <c r="GC499" s="56"/>
      <c r="GD499" s="56"/>
      <c r="GE499" s="56"/>
      <c r="GF499" s="56"/>
      <c r="GG499" s="56"/>
      <c r="GH499" s="56"/>
      <c r="GI499" s="56"/>
      <c r="GJ499" s="56"/>
      <c r="GK499" s="56"/>
      <c r="GL499" s="56"/>
      <c r="GM499" s="56"/>
      <c r="GN499" s="56"/>
      <c r="GO499" s="56"/>
      <c r="GP499" s="56"/>
      <c r="GQ499" s="56"/>
      <c r="GR499" s="56"/>
      <c r="GS499" s="56"/>
      <c r="GT499" s="56"/>
      <c r="GU499" s="56"/>
      <c r="GV499" s="56"/>
      <c r="GW499" s="56"/>
      <c r="GX499" s="56"/>
      <c r="GY499" s="56"/>
      <c r="GZ499" s="56"/>
      <c r="HA499" s="56"/>
      <c r="HB499" s="56"/>
      <c r="HC499" s="56"/>
      <c r="HD499" s="56"/>
      <c r="HE499" s="56"/>
      <c r="HF499" s="56"/>
      <c r="HG499" s="56"/>
      <c r="HH499" s="56"/>
      <c r="HI499" s="56"/>
      <c r="HJ499" s="56"/>
    </row>
    <row r="500" spans="1:218" ht="15.75" customHeight="1" x14ac:dyDescent="0.2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56"/>
      <c r="CP500" s="56"/>
      <c r="CQ500" s="56"/>
      <c r="CR500" s="56"/>
      <c r="CS500" s="56"/>
      <c r="CT500" s="56"/>
      <c r="CU500" s="56"/>
      <c r="CV500" s="56"/>
      <c r="CW500" s="56"/>
      <c r="CX500" s="56"/>
      <c r="CY500" s="56"/>
      <c r="CZ500" s="56"/>
      <c r="DA500" s="56"/>
      <c r="DB500" s="56"/>
      <c r="DC500" s="56"/>
      <c r="DD500" s="56"/>
      <c r="DE500" s="56"/>
      <c r="DF500" s="56"/>
      <c r="DG500" s="56"/>
      <c r="DH500" s="56"/>
      <c r="DI500" s="56"/>
      <c r="DJ500" s="56"/>
      <c r="DK500" s="56"/>
      <c r="DL500" s="56"/>
      <c r="DM500" s="56"/>
      <c r="DN500" s="56"/>
      <c r="DO500" s="56"/>
      <c r="DP500" s="56"/>
      <c r="DQ500" s="56"/>
      <c r="DR500" s="56"/>
      <c r="DS500" s="56"/>
      <c r="DT500" s="56"/>
      <c r="DU500" s="56"/>
      <c r="DV500" s="56"/>
      <c r="DW500" s="56"/>
      <c r="DX500" s="56"/>
      <c r="DY500" s="56"/>
      <c r="DZ500" s="56"/>
      <c r="EA500" s="56"/>
      <c r="EB500" s="56"/>
      <c r="EC500" s="56"/>
      <c r="ED500" s="56"/>
      <c r="EE500" s="56"/>
      <c r="EF500" s="56"/>
      <c r="EG500" s="56"/>
      <c r="EH500" s="56"/>
      <c r="EI500" s="56"/>
      <c r="EJ500" s="56"/>
      <c r="EK500" s="56"/>
      <c r="EL500" s="56"/>
      <c r="EM500" s="56"/>
      <c r="EN500" s="56"/>
      <c r="EO500" s="56"/>
      <c r="EP500" s="56"/>
      <c r="EQ500" s="56"/>
      <c r="ER500" s="56"/>
      <c r="ES500" s="56"/>
      <c r="ET500" s="56"/>
      <c r="EU500" s="56"/>
      <c r="EV500" s="56"/>
      <c r="EW500" s="56"/>
      <c r="EX500" s="56"/>
      <c r="EY500" s="56"/>
      <c r="EZ500" s="56"/>
      <c r="FA500" s="56"/>
      <c r="FB500" s="56"/>
      <c r="FC500" s="56"/>
      <c r="FD500" s="56"/>
      <c r="FE500" s="56"/>
      <c r="FF500" s="56"/>
      <c r="FG500" s="56"/>
      <c r="FH500" s="56"/>
      <c r="FI500" s="56"/>
      <c r="FJ500" s="56"/>
      <c r="FK500" s="56"/>
      <c r="FL500" s="56"/>
      <c r="FM500" s="56"/>
      <c r="FN500" s="56"/>
      <c r="FO500" s="56"/>
      <c r="FP500" s="56"/>
      <c r="FQ500" s="56"/>
      <c r="FR500" s="56"/>
      <c r="FS500" s="56"/>
      <c r="FT500" s="56"/>
      <c r="FU500" s="56"/>
      <c r="FV500" s="56"/>
      <c r="FW500" s="56"/>
      <c r="FX500" s="56"/>
      <c r="FY500" s="56"/>
      <c r="FZ500" s="56"/>
      <c r="GA500" s="56"/>
      <c r="GB500" s="56"/>
      <c r="GC500" s="56"/>
      <c r="GD500" s="56"/>
      <c r="GE500" s="56"/>
      <c r="GF500" s="56"/>
      <c r="GG500" s="56"/>
      <c r="GH500" s="56"/>
      <c r="GI500" s="56"/>
      <c r="GJ500" s="56"/>
      <c r="GK500" s="56"/>
      <c r="GL500" s="56"/>
      <c r="GM500" s="56"/>
      <c r="GN500" s="56"/>
      <c r="GO500" s="56"/>
      <c r="GP500" s="56"/>
      <c r="GQ500" s="56"/>
      <c r="GR500" s="56"/>
      <c r="GS500" s="56"/>
      <c r="GT500" s="56"/>
      <c r="GU500" s="56"/>
      <c r="GV500" s="56"/>
      <c r="GW500" s="56"/>
      <c r="GX500" s="56"/>
      <c r="GY500" s="56"/>
      <c r="GZ500" s="56"/>
      <c r="HA500" s="56"/>
      <c r="HB500" s="56"/>
      <c r="HC500" s="56"/>
      <c r="HD500" s="56"/>
      <c r="HE500" s="56"/>
      <c r="HF500" s="56"/>
      <c r="HG500" s="56"/>
      <c r="HH500" s="56"/>
      <c r="HI500" s="56"/>
      <c r="HJ500" s="56"/>
    </row>
    <row r="501" spans="1:218" ht="15.75" customHeight="1" x14ac:dyDescent="0.2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  <c r="CL501" s="56"/>
      <c r="CM501" s="56"/>
      <c r="CN501" s="56"/>
      <c r="CO501" s="56"/>
      <c r="CP501" s="56"/>
      <c r="CQ501" s="56"/>
      <c r="CR501" s="56"/>
      <c r="CS501" s="56"/>
      <c r="CT501" s="56"/>
      <c r="CU501" s="56"/>
      <c r="CV501" s="56"/>
      <c r="CW501" s="56"/>
      <c r="CX501" s="56"/>
      <c r="CY501" s="56"/>
      <c r="CZ501" s="56"/>
      <c r="DA501" s="56"/>
      <c r="DB501" s="56"/>
      <c r="DC501" s="56"/>
      <c r="DD501" s="56"/>
      <c r="DE501" s="56"/>
      <c r="DF501" s="56"/>
      <c r="DG501" s="56"/>
      <c r="DH501" s="56"/>
      <c r="DI501" s="56"/>
      <c r="DJ501" s="56"/>
      <c r="DK501" s="56"/>
      <c r="DL501" s="56"/>
      <c r="DM501" s="56"/>
      <c r="DN501" s="56"/>
      <c r="DO501" s="56"/>
      <c r="DP501" s="56"/>
      <c r="DQ501" s="56"/>
      <c r="DR501" s="56"/>
      <c r="DS501" s="56"/>
      <c r="DT501" s="56"/>
      <c r="DU501" s="56"/>
      <c r="DV501" s="56"/>
      <c r="DW501" s="56"/>
      <c r="DX501" s="56"/>
      <c r="DY501" s="56"/>
      <c r="DZ501" s="56"/>
      <c r="EA501" s="56"/>
      <c r="EB501" s="56"/>
      <c r="EC501" s="56"/>
      <c r="ED501" s="56"/>
      <c r="EE501" s="56"/>
      <c r="EF501" s="56"/>
      <c r="EG501" s="56"/>
      <c r="EH501" s="56"/>
      <c r="EI501" s="56"/>
      <c r="EJ501" s="56"/>
      <c r="EK501" s="56"/>
      <c r="EL501" s="56"/>
      <c r="EM501" s="56"/>
      <c r="EN501" s="56"/>
      <c r="EO501" s="56"/>
      <c r="EP501" s="56"/>
      <c r="EQ501" s="56"/>
      <c r="ER501" s="56"/>
      <c r="ES501" s="56"/>
      <c r="ET501" s="56"/>
      <c r="EU501" s="56"/>
      <c r="EV501" s="56"/>
      <c r="EW501" s="56"/>
      <c r="EX501" s="56"/>
      <c r="EY501" s="56"/>
      <c r="EZ501" s="56"/>
      <c r="FA501" s="56"/>
      <c r="FB501" s="56"/>
      <c r="FC501" s="56"/>
      <c r="FD501" s="56"/>
      <c r="FE501" s="56"/>
      <c r="FF501" s="56"/>
      <c r="FG501" s="56"/>
      <c r="FH501" s="56"/>
      <c r="FI501" s="56"/>
      <c r="FJ501" s="56"/>
      <c r="FK501" s="56"/>
      <c r="FL501" s="56"/>
      <c r="FM501" s="56"/>
      <c r="FN501" s="56"/>
      <c r="FO501" s="56"/>
      <c r="FP501" s="56"/>
      <c r="FQ501" s="56"/>
      <c r="FR501" s="56"/>
      <c r="FS501" s="56"/>
      <c r="FT501" s="56"/>
      <c r="FU501" s="56"/>
      <c r="FV501" s="56"/>
      <c r="FW501" s="56"/>
      <c r="FX501" s="56"/>
      <c r="FY501" s="56"/>
      <c r="FZ501" s="56"/>
      <c r="GA501" s="56"/>
      <c r="GB501" s="56"/>
      <c r="GC501" s="56"/>
      <c r="GD501" s="56"/>
      <c r="GE501" s="56"/>
      <c r="GF501" s="56"/>
      <c r="GG501" s="56"/>
      <c r="GH501" s="56"/>
      <c r="GI501" s="56"/>
      <c r="GJ501" s="56"/>
      <c r="GK501" s="56"/>
      <c r="GL501" s="56"/>
      <c r="GM501" s="56"/>
      <c r="GN501" s="56"/>
      <c r="GO501" s="56"/>
      <c r="GP501" s="56"/>
      <c r="GQ501" s="56"/>
      <c r="GR501" s="56"/>
      <c r="GS501" s="56"/>
      <c r="GT501" s="56"/>
      <c r="GU501" s="56"/>
      <c r="GV501" s="56"/>
      <c r="GW501" s="56"/>
      <c r="GX501" s="56"/>
      <c r="GY501" s="56"/>
      <c r="GZ501" s="56"/>
      <c r="HA501" s="56"/>
      <c r="HB501" s="56"/>
      <c r="HC501" s="56"/>
      <c r="HD501" s="56"/>
      <c r="HE501" s="56"/>
      <c r="HF501" s="56"/>
      <c r="HG501" s="56"/>
      <c r="HH501" s="56"/>
      <c r="HI501" s="56"/>
      <c r="HJ501" s="56"/>
    </row>
    <row r="502" spans="1:218" ht="15.75" customHeight="1" x14ac:dyDescent="0.2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  <c r="CL502" s="56"/>
      <c r="CM502" s="56"/>
      <c r="CN502" s="56"/>
      <c r="CO502" s="56"/>
      <c r="CP502" s="56"/>
      <c r="CQ502" s="56"/>
      <c r="CR502" s="56"/>
      <c r="CS502" s="56"/>
      <c r="CT502" s="56"/>
      <c r="CU502" s="56"/>
      <c r="CV502" s="56"/>
      <c r="CW502" s="56"/>
      <c r="CX502" s="56"/>
      <c r="CY502" s="56"/>
      <c r="CZ502" s="56"/>
      <c r="DA502" s="56"/>
      <c r="DB502" s="56"/>
      <c r="DC502" s="56"/>
      <c r="DD502" s="56"/>
      <c r="DE502" s="56"/>
      <c r="DF502" s="56"/>
      <c r="DG502" s="56"/>
      <c r="DH502" s="56"/>
      <c r="DI502" s="56"/>
      <c r="DJ502" s="56"/>
      <c r="DK502" s="56"/>
      <c r="DL502" s="56"/>
      <c r="DM502" s="56"/>
      <c r="DN502" s="56"/>
      <c r="DO502" s="56"/>
      <c r="DP502" s="56"/>
      <c r="DQ502" s="56"/>
      <c r="DR502" s="56"/>
      <c r="DS502" s="56"/>
      <c r="DT502" s="56"/>
      <c r="DU502" s="56"/>
      <c r="DV502" s="56"/>
      <c r="DW502" s="56"/>
      <c r="DX502" s="56"/>
      <c r="DY502" s="56"/>
      <c r="DZ502" s="56"/>
      <c r="EA502" s="56"/>
      <c r="EB502" s="56"/>
      <c r="EC502" s="56"/>
      <c r="ED502" s="56"/>
      <c r="EE502" s="56"/>
      <c r="EF502" s="56"/>
      <c r="EG502" s="56"/>
      <c r="EH502" s="56"/>
      <c r="EI502" s="56"/>
      <c r="EJ502" s="56"/>
      <c r="EK502" s="56"/>
      <c r="EL502" s="56"/>
      <c r="EM502" s="56"/>
      <c r="EN502" s="56"/>
      <c r="EO502" s="56"/>
      <c r="EP502" s="56"/>
      <c r="EQ502" s="56"/>
      <c r="ER502" s="56"/>
      <c r="ES502" s="56"/>
      <c r="ET502" s="56"/>
      <c r="EU502" s="56"/>
      <c r="EV502" s="56"/>
      <c r="EW502" s="56"/>
      <c r="EX502" s="56"/>
      <c r="EY502" s="56"/>
      <c r="EZ502" s="56"/>
      <c r="FA502" s="56"/>
      <c r="FB502" s="56"/>
      <c r="FC502" s="56"/>
      <c r="FD502" s="56"/>
      <c r="FE502" s="56"/>
      <c r="FF502" s="56"/>
      <c r="FG502" s="56"/>
      <c r="FH502" s="56"/>
      <c r="FI502" s="56"/>
      <c r="FJ502" s="56"/>
      <c r="FK502" s="56"/>
      <c r="FL502" s="56"/>
      <c r="FM502" s="56"/>
      <c r="FN502" s="56"/>
      <c r="FO502" s="56"/>
      <c r="FP502" s="56"/>
      <c r="FQ502" s="56"/>
      <c r="FR502" s="56"/>
      <c r="FS502" s="56"/>
      <c r="FT502" s="56"/>
      <c r="FU502" s="56"/>
      <c r="FV502" s="56"/>
      <c r="FW502" s="56"/>
      <c r="FX502" s="56"/>
      <c r="FY502" s="56"/>
      <c r="FZ502" s="56"/>
      <c r="GA502" s="56"/>
      <c r="GB502" s="56"/>
      <c r="GC502" s="56"/>
      <c r="GD502" s="56"/>
      <c r="GE502" s="56"/>
      <c r="GF502" s="56"/>
      <c r="GG502" s="56"/>
      <c r="GH502" s="56"/>
      <c r="GI502" s="56"/>
      <c r="GJ502" s="56"/>
      <c r="GK502" s="56"/>
      <c r="GL502" s="56"/>
      <c r="GM502" s="56"/>
      <c r="GN502" s="56"/>
      <c r="GO502" s="56"/>
      <c r="GP502" s="56"/>
      <c r="GQ502" s="56"/>
      <c r="GR502" s="56"/>
      <c r="GS502" s="56"/>
      <c r="GT502" s="56"/>
      <c r="GU502" s="56"/>
      <c r="GV502" s="56"/>
      <c r="GW502" s="56"/>
      <c r="GX502" s="56"/>
      <c r="GY502" s="56"/>
      <c r="GZ502" s="56"/>
      <c r="HA502" s="56"/>
      <c r="HB502" s="56"/>
      <c r="HC502" s="56"/>
      <c r="HD502" s="56"/>
      <c r="HE502" s="56"/>
      <c r="HF502" s="56"/>
      <c r="HG502" s="56"/>
      <c r="HH502" s="56"/>
      <c r="HI502" s="56"/>
      <c r="HJ502" s="56"/>
    </row>
    <row r="503" spans="1:218" ht="15.75" customHeight="1" x14ac:dyDescent="0.2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  <c r="CL503" s="56"/>
      <c r="CM503" s="56"/>
      <c r="CN503" s="56"/>
      <c r="CO503" s="56"/>
      <c r="CP503" s="56"/>
      <c r="CQ503" s="56"/>
      <c r="CR503" s="56"/>
      <c r="CS503" s="56"/>
      <c r="CT503" s="56"/>
      <c r="CU503" s="56"/>
      <c r="CV503" s="56"/>
      <c r="CW503" s="56"/>
      <c r="CX503" s="56"/>
      <c r="CY503" s="56"/>
      <c r="CZ503" s="56"/>
      <c r="DA503" s="56"/>
      <c r="DB503" s="56"/>
      <c r="DC503" s="56"/>
      <c r="DD503" s="56"/>
      <c r="DE503" s="56"/>
      <c r="DF503" s="56"/>
      <c r="DG503" s="56"/>
      <c r="DH503" s="56"/>
      <c r="DI503" s="56"/>
      <c r="DJ503" s="56"/>
      <c r="DK503" s="56"/>
      <c r="DL503" s="56"/>
      <c r="DM503" s="56"/>
      <c r="DN503" s="56"/>
      <c r="DO503" s="56"/>
      <c r="DP503" s="56"/>
      <c r="DQ503" s="56"/>
      <c r="DR503" s="56"/>
      <c r="DS503" s="56"/>
      <c r="DT503" s="56"/>
      <c r="DU503" s="56"/>
      <c r="DV503" s="56"/>
      <c r="DW503" s="56"/>
      <c r="DX503" s="56"/>
      <c r="DY503" s="56"/>
      <c r="DZ503" s="56"/>
      <c r="EA503" s="56"/>
      <c r="EB503" s="56"/>
      <c r="EC503" s="56"/>
      <c r="ED503" s="56"/>
      <c r="EE503" s="56"/>
      <c r="EF503" s="56"/>
      <c r="EG503" s="56"/>
      <c r="EH503" s="56"/>
      <c r="EI503" s="56"/>
      <c r="EJ503" s="56"/>
      <c r="EK503" s="56"/>
      <c r="EL503" s="56"/>
      <c r="EM503" s="56"/>
      <c r="EN503" s="56"/>
      <c r="EO503" s="56"/>
      <c r="EP503" s="56"/>
      <c r="EQ503" s="56"/>
      <c r="ER503" s="56"/>
      <c r="ES503" s="56"/>
      <c r="ET503" s="56"/>
      <c r="EU503" s="56"/>
      <c r="EV503" s="56"/>
      <c r="EW503" s="56"/>
      <c r="EX503" s="56"/>
      <c r="EY503" s="56"/>
      <c r="EZ503" s="56"/>
      <c r="FA503" s="56"/>
      <c r="FB503" s="56"/>
      <c r="FC503" s="56"/>
      <c r="FD503" s="56"/>
      <c r="FE503" s="56"/>
      <c r="FF503" s="56"/>
      <c r="FG503" s="56"/>
      <c r="FH503" s="56"/>
      <c r="FI503" s="56"/>
      <c r="FJ503" s="56"/>
      <c r="FK503" s="56"/>
      <c r="FL503" s="56"/>
      <c r="FM503" s="56"/>
      <c r="FN503" s="56"/>
      <c r="FO503" s="56"/>
      <c r="FP503" s="56"/>
      <c r="FQ503" s="56"/>
      <c r="FR503" s="56"/>
      <c r="FS503" s="56"/>
      <c r="FT503" s="56"/>
      <c r="FU503" s="56"/>
      <c r="FV503" s="56"/>
      <c r="FW503" s="56"/>
      <c r="FX503" s="56"/>
      <c r="FY503" s="56"/>
      <c r="FZ503" s="56"/>
      <c r="GA503" s="56"/>
      <c r="GB503" s="56"/>
      <c r="GC503" s="56"/>
      <c r="GD503" s="56"/>
      <c r="GE503" s="56"/>
      <c r="GF503" s="56"/>
      <c r="GG503" s="56"/>
      <c r="GH503" s="56"/>
      <c r="GI503" s="56"/>
      <c r="GJ503" s="56"/>
      <c r="GK503" s="56"/>
      <c r="GL503" s="56"/>
      <c r="GM503" s="56"/>
      <c r="GN503" s="56"/>
      <c r="GO503" s="56"/>
      <c r="GP503" s="56"/>
      <c r="GQ503" s="56"/>
      <c r="GR503" s="56"/>
      <c r="GS503" s="56"/>
      <c r="GT503" s="56"/>
      <c r="GU503" s="56"/>
      <c r="GV503" s="56"/>
      <c r="GW503" s="56"/>
      <c r="GX503" s="56"/>
      <c r="GY503" s="56"/>
      <c r="GZ503" s="56"/>
      <c r="HA503" s="56"/>
      <c r="HB503" s="56"/>
      <c r="HC503" s="56"/>
      <c r="HD503" s="56"/>
      <c r="HE503" s="56"/>
      <c r="HF503" s="56"/>
      <c r="HG503" s="56"/>
      <c r="HH503" s="56"/>
      <c r="HI503" s="56"/>
      <c r="HJ503" s="56"/>
    </row>
    <row r="504" spans="1:218" ht="15.75" customHeight="1" x14ac:dyDescent="0.2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  <c r="BV504" s="56"/>
      <c r="BW504" s="56"/>
      <c r="BX504" s="56"/>
      <c r="BY504" s="56"/>
      <c r="BZ504" s="56"/>
      <c r="CA504" s="56"/>
      <c r="CB504" s="56"/>
      <c r="CC504" s="56"/>
      <c r="CD504" s="56"/>
      <c r="CE504" s="56"/>
      <c r="CF504" s="56"/>
      <c r="CG504" s="56"/>
      <c r="CH504" s="56"/>
      <c r="CI504" s="56"/>
      <c r="CJ504" s="56"/>
      <c r="CK504" s="56"/>
      <c r="CL504" s="56"/>
      <c r="CM504" s="56"/>
      <c r="CN504" s="56"/>
      <c r="CO504" s="56"/>
      <c r="CP504" s="56"/>
      <c r="CQ504" s="56"/>
      <c r="CR504" s="56"/>
      <c r="CS504" s="56"/>
      <c r="CT504" s="56"/>
      <c r="CU504" s="56"/>
      <c r="CV504" s="56"/>
      <c r="CW504" s="56"/>
      <c r="CX504" s="56"/>
      <c r="CY504" s="56"/>
      <c r="CZ504" s="56"/>
      <c r="DA504" s="56"/>
      <c r="DB504" s="56"/>
      <c r="DC504" s="56"/>
      <c r="DD504" s="56"/>
      <c r="DE504" s="56"/>
      <c r="DF504" s="56"/>
      <c r="DG504" s="56"/>
      <c r="DH504" s="56"/>
      <c r="DI504" s="56"/>
      <c r="DJ504" s="56"/>
      <c r="DK504" s="56"/>
      <c r="DL504" s="56"/>
      <c r="DM504" s="56"/>
      <c r="DN504" s="56"/>
      <c r="DO504" s="56"/>
      <c r="DP504" s="56"/>
      <c r="DQ504" s="56"/>
      <c r="DR504" s="56"/>
      <c r="DS504" s="56"/>
      <c r="DT504" s="56"/>
      <c r="DU504" s="56"/>
      <c r="DV504" s="56"/>
      <c r="DW504" s="56"/>
      <c r="DX504" s="56"/>
      <c r="DY504" s="56"/>
      <c r="DZ504" s="56"/>
      <c r="EA504" s="56"/>
      <c r="EB504" s="56"/>
      <c r="EC504" s="56"/>
      <c r="ED504" s="56"/>
      <c r="EE504" s="56"/>
      <c r="EF504" s="56"/>
      <c r="EG504" s="56"/>
      <c r="EH504" s="56"/>
      <c r="EI504" s="56"/>
      <c r="EJ504" s="56"/>
      <c r="EK504" s="56"/>
      <c r="EL504" s="56"/>
      <c r="EM504" s="56"/>
      <c r="EN504" s="56"/>
      <c r="EO504" s="56"/>
      <c r="EP504" s="56"/>
      <c r="EQ504" s="56"/>
      <c r="ER504" s="56"/>
      <c r="ES504" s="56"/>
      <c r="ET504" s="56"/>
      <c r="EU504" s="56"/>
      <c r="EV504" s="56"/>
      <c r="EW504" s="56"/>
      <c r="EX504" s="56"/>
      <c r="EY504" s="56"/>
      <c r="EZ504" s="56"/>
      <c r="FA504" s="56"/>
      <c r="FB504" s="56"/>
      <c r="FC504" s="56"/>
      <c r="FD504" s="56"/>
      <c r="FE504" s="56"/>
      <c r="FF504" s="56"/>
      <c r="FG504" s="56"/>
      <c r="FH504" s="56"/>
      <c r="FI504" s="56"/>
      <c r="FJ504" s="56"/>
      <c r="FK504" s="56"/>
      <c r="FL504" s="56"/>
      <c r="FM504" s="56"/>
      <c r="FN504" s="56"/>
      <c r="FO504" s="56"/>
      <c r="FP504" s="56"/>
      <c r="FQ504" s="56"/>
      <c r="FR504" s="56"/>
      <c r="FS504" s="56"/>
      <c r="FT504" s="56"/>
      <c r="FU504" s="56"/>
      <c r="FV504" s="56"/>
      <c r="FW504" s="56"/>
      <c r="FX504" s="56"/>
      <c r="FY504" s="56"/>
      <c r="FZ504" s="56"/>
      <c r="GA504" s="56"/>
      <c r="GB504" s="56"/>
      <c r="GC504" s="56"/>
      <c r="GD504" s="56"/>
      <c r="GE504" s="56"/>
      <c r="GF504" s="56"/>
      <c r="GG504" s="56"/>
      <c r="GH504" s="56"/>
      <c r="GI504" s="56"/>
      <c r="GJ504" s="56"/>
      <c r="GK504" s="56"/>
      <c r="GL504" s="56"/>
      <c r="GM504" s="56"/>
      <c r="GN504" s="56"/>
      <c r="GO504" s="56"/>
      <c r="GP504" s="56"/>
      <c r="GQ504" s="56"/>
      <c r="GR504" s="56"/>
      <c r="GS504" s="56"/>
      <c r="GT504" s="56"/>
      <c r="GU504" s="56"/>
      <c r="GV504" s="56"/>
      <c r="GW504" s="56"/>
      <c r="GX504" s="56"/>
      <c r="GY504" s="56"/>
      <c r="GZ504" s="56"/>
      <c r="HA504" s="56"/>
      <c r="HB504" s="56"/>
      <c r="HC504" s="56"/>
      <c r="HD504" s="56"/>
      <c r="HE504" s="56"/>
      <c r="HF504" s="56"/>
      <c r="HG504" s="56"/>
      <c r="HH504" s="56"/>
      <c r="HI504" s="56"/>
      <c r="HJ504" s="56"/>
    </row>
    <row r="505" spans="1:218" ht="15.75" customHeight="1" x14ac:dyDescent="0.2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  <c r="CL505" s="56"/>
      <c r="CM505" s="56"/>
      <c r="CN505" s="56"/>
      <c r="CO505" s="56"/>
      <c r="CP505" s="56"/>
      <c r="CQ505" s="56"/>
      <c r="CR505" s="56"/>
      <c r="CS505" s="56"/>
      <c r="CT505" s="56"/>
      <c r="CU505" s="56"/>
      <c r="CV505" s="56"/>
      <c r="CW505" s="56"/>
      <c r="CX505" s="56"/>
      <c r="CY505" s="56"/>
      <c r="CZ505" s="56"/>
      <c r="DA505" s="56"/>
      <c r="DB505" s="56"/>
      <c r="DC505" s="56"/>
      <c r="DD505" s="56"/>
      <c r="DE505" s="56"/>
      <c r="DF505" s="56"/>
      <c r="DG505" s="56"/>
      <c r="DH505" s="56"/>
      <c r="DI505" s="56"/>
      <c r="DJ505" s="56"/>
      <c r="DK505" s="56"/>
      <c r="DL505" s="56"/>
      <c r="DM505" s="56"/>
      <c r="DN505" s="56"/>
      <c r="DO505" s="56"/>
      <c r="DP505" s="56"/>
      <c r="DQ505" s="56"/>
      <c r="DR505" s="56"/>
      <c r="DS505" s="56"/>
      <c r="DT505" s="56"/>
      <c r="DU505" s="56"/>
      <c r="DV505" s="56"/>
      <c r="DW505" s="56"/>
      <c r="DX505" s="56"/>
      <c r="DY505" s="56"/>
      <c r="DZ505" s="56"/>
      <c r="EA505" s="56"/>
      <c r="EB505" s="56"/>
      <c r="EC505" s="56"/>
      <c r="ED505" s="56"/>
      <c r="EE505" s="56"/>
      <c r="EF505" s="56"/>
      <c r="EG505" s="56"/>
      <c r="EH505" s="56"/>
      <c r="EI505" s="56"/>
      <c r="EJ505" s="56"/>
      <c r="EK505" s="56"/>
      <c r="EL505" s="56"/>
      <c r="EM505" s="56"/>
      <c r="EN505" s="56"/>
      <c r="EO505" s="56"/>
      <c r="EP505" s="56"/>
      <c r="EQ505" s="56"/>
      <c r="ER505" s="56"/>
      <c r="ES505" s="56"/>
      <c r="ET505" s="56"/>
      <c r="EU505" s="56"/>
      <c r="EV505" s="56"/>
      <c r="EW505" s="56"/>
      <c r="EX505" s="56"/>
      <c r="EY505" s="56"/>
      <c r="EZ505" s="56"/>
      <c r="FA505" s="56"/>
      <c r="FB505" s="56"/>
      <c r="FC505" s="56"/>
      <c r="FD505" s="56"/>
      <c r="FE505" s="56"/>
      <c r="FF505" s="56"/>
      <c r="FG505" s="56"/>
      <c r="FH505" s="56"/>
      <c r="FI505" s="56"/>
      <c r="FJ505" s="56"/>
      <c r="FK505" s="56"/>
      <c r="FL505" s="56"/>
      <c r="FM505" s="56"/>
      <c r="FN505" s="56"/>
      <c r="FO505" s="56"/>
      <c r="FP505" s="56"/>
      <c r="FQ505" s="56"/>
      <c r="FR505" s="56"/>
      <c r="FS505" s="56"/>
      <c r="FT505" s="56"/>
      <c r="FU505" s="56"/>
      <c r="FV505" s="56"/>
      <c r="FW505" s="56"/>
      <c r="FX505" s="56"/>
      <c r="FY505" s="56"/>
      <c r="FZ505" s="56"/>
      <c r="GA505" s="56"/>
      <c r="GB505" s="56"/>
      <c r="GC505" s="56"/>
      <c r="GD505" s="56"/>
      <c r="GE505" s="56"/>
      <c r="GF505" s="56"/>
      <c r="GG505" s="56"/>
      <c r="GH505" s="56"/>
      <c r="GI505" s="56"/>
      <c r="GJ505" s="56"/>
      <c r="GK505" s="56"/>
      <c r="GL505" s="56"/>
      <c r="GM505" s="56"/>
      <c r="GN505" s="56"/>
      <c r="GO505" s="56"/>
      <c r="GP505" s="56"/>
      <c r="GQ505" s="56"/>
      <c r="GR505" s="56"/>
      <c r="GS505" s="56"/>
      <c r="GT505" s="56"/>
      <c r="GU505" s="56"/>
      <c r="GV505" s="56"/>
      <c r="GW505" s="56"/>
      <c r="GX505" s="56"/>
      <c r="GY505" s="56"/>
      <c r="GZ505" s="56"/>
      <c r="HA505" s="56"/>
      <c r="HB505" s="56"/>
      <c r="HC505" s="56"/>
      <c r="HD505" s="56"/>
      <c r="HE505" s="56"/>
      <c r="HF505" s="56"/>
      <c r="HG505" s="56"/>
      <c r="HH505" s="56"/>
      <c r="HI505" s="56"/>
      <c r="HJ505" s="56"/>
    </row>
    <row r="506" spans="1:218" ht="15.75" customHeight="1" x14ac:dyDescent="0.2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  <c r="CL506" s="56"/>
      <c r="CM506" s="56"/>
      <c r="CN506" s="56"/>
      <c r="CO506" s="56"/>
      <c r="CP506" s="56"/>
      <c r="CQ506" s="56"/>
      <c r="CR506" s="56"/>
      <c r="CS506" s="56"/>
      <c r="CT506" s="56"/>
      <c r="CU506" s="56"/>
      <c r="CV506" s="56"/>
      <c r="CW506" s="56"/>
      <c r="CX506" s="56"/>
      <c r="CY506" s="56"/>
      <c r="CZ506" s="56"/>
      <c r="DA506" s="56"/>
      <c r="DB506" s="56"/>
      <c r="DC506" s="56"/>
      <c r="DD506" s="56"/>
      <c r="DE506" s="56"/>
      <c r="DF506" s="56"/>
      <c r="DG506" s="56"/>
      <c r="DH506" s="56"/>
      <c r="DI506" s="56"/>
      <c r="DJ506" s="56"/>
      <c r="DK506" s="56"/>
      <c r="DL506" s="56"/>
      <c r="DM506" s="56"/>
      <c r="DN506" s="56"/>
      <c r="DO506" s="56"/>
      <c r="DP506" s="56"/>
      <c r="DQ506" s="56"/>
      <c r="DR506" s="56"/>
      <c r="DS506" s="56"/>
      <c r="DT506" s="56"/>
      <c r="DU506" s="56"/>
      <c r="DV506" s="56"/>
      <c r="DW506" s="56"/>
      <c r="DX506" s="56"/>
      <c r="DY506" s="56"/>
      <c r="DZ506" s="56"/>
      <c r="EA506" s="56"/>
      <c r="EB506" s="56"/>
      <c r="EC506" s="56"/>
      <c r="ED506" s="56"/>
      <c r="EE506" s="56"/>
      <c r="EF506" s="56"/>
      <c r="EG506" s="56"/>
      <c r="EH506" s="56"/>
      <c r="EI506" s="56"/>
      <c r="EJ506" s="56"/>
      <c r="EK506" s="56"/>
      <c r="EL506" s="56"/>
      <c r="EM506" s="56"/>
      <c r="EN506" s="56"/>
      <c r="EO506" s="56"/>
      <c r="EP506" s="56"/>
      <c r="EQ506" s="56"/>
      <c r="ER506" s="56"/>
      <c r="ES506" s="56"/>
      <c r="ET506" s="56"/>
      <c r="EU506" s="56"/>
      <c r="EV506" s="56"/>
      <c r="EW506" s="56"/>
      <c r="EX506" s="56"/>
      <c r="EY506" s="56"/>
      <c r="EZ506" s="56"/>
      <c r="FA506" s="56"/>
      <c r="FB506" s="56"/>
      <c r="FC506" s="56"/>
      <c r="FD506" s="56"/>
      <c r="FE506" s="56"/>
      <c r="FF506" s="56"/>
      <c r="FG506" s="56"/>
      <c r="FH506" s="56"/>
      <c r="FI506" s="56"/>
      <c r="FJ506" s="56"/>
      <c r="FK506" s="56"/>
      <c r="FL506" s="56"/>
      <c r="FM506" s="56"/>
      <c r="FN506" s="56"/>
      <c r="FO506" s="56"/>
      <c r="FP506" s="56"/>
      <c r="FQ506" s="56"/>
      <c r="FR506" s="56"/>
      <c r="FS506" s="56"/>
      <c r="FT506" s="56"/>
      <c r="FU506" s="56"/>
      <c r="FV506" s="56"/>
      <c r="FW506" s="56"/>
      <c r="FX506" s="56"/>
      <c r="FY506" s="56"/>
      <c r="FZ506" s="56"/>
      <c r="GA506" s="56"/>
      <c r="GB506" s="56"/>
      <c r="GC506" s="56"/>
      <c r="GD506" s="56"/>
      <c r="GE506" s="56"/>
      <c r="GF506" s="56"/>
      <c r="GG506" s="56"/>
      <c r="GH506" s="56"/>
      <c r="GI506" s="56"/>
      <c r="GJ506" s="56"/>
      <c r="GK506" s="56"/>
      <c r="GL506" s="56"/>
      <c r="GM506" s="56"/>
      <c r="GN506" s="56"/>
      <c r="GO506" s="56"/>
      <c r="GP506" s="56"/>
      <c r="GQ506" s="56"/>
      <c r="GR506" s="56"/>
      <c r="GS506" s="56"/>
      <c r="GT506" s="56"/>
      <c r="GU506" s="56"/>
      <c r="GV506" s="56"/>
      <c r="GW506" s="56"/>
      <c r="GX506" s="56"/>
      <c r="GY506" s="56"/>
      <c r="GZ506" s="56"/>
      <c r="HA506" s="56"/>
      <c r="HB506" s="56"/>
      <c r="HC506" s="56"/>
      <c r="HD506" s="56"/>
      <c r="HE506" s="56"/>
      <c r="HF506" s="56"/>
      <c r="HG506" s="56"/>
      <c r="HH506" s="56"/>
      <c r="HI506" s="56"/>
      <c r="HJ506" s="56"/>
    </row>
    <row r="507" spans="1:218" ht="15.75" customHeight="1" x14ac:dyDescent="0.2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  <c r="CL507" s="56"/>
      <c r="CM507" s="56"/>
      <c r="CN507" s="56"/>
      <c r="CO507" s="56"/>
      <c r="CP507" s="56"/>
      <c r="CQ507" s="56"/>
      <c r="CR507" s="56"/>
      <c r="CS507" s="56"/>
      <c r="CT507" s="56"/>
      <c r="CU507" s="56"/>
      <c r="CV507" s="56"/>
      <c r="CW507" s="56"/>
      <c r="CX507" s="56"/>
      <c r="CY507" s="56"/>
      <c r="CZ507" s="56"/>
      <c r="DA507" s="56"/>
      <c r="DB507" s="56"/>
      <c r="DC507" s="56"/>
      <c r="DD507" s="56"/>
      <c r="DE507" s="56"/>
      <c r="DF507" s="56"/>
      <c r="DG507" s="56"/>
      <c r="DH507" s="56"/>
      <c r="DI507" s="56"/>
      <c r="DJ507" s="56"/>
      <c r="DK507" s="56"/>
      <c r="DL507" s="56"/>
      <c r="DM507" s="56"/>
      <c r="DN507" s="56"/>
      <c r="DO507" s="56"/>
      <c r="DP507" s="56"/>
      <c r="DQ507" s="56"/>
      <c r="DR507" s="56"/>
      <c r="DS507" s="56"/>
      <c r="DT507" s="56"/>
      <c r="DU507" s="56"/>
      <c r="DV507" s="56"/>
      <c r="DW507" s="56"/>
      <c r="DX507" s="56"/>
      <c r="DY507" s="56"/>
      <c r="DZ507" s="56"/>
      <c r="EA507" s="56"/>
      <c r="EB507" s="56"/>
      <c r="EC507" s="56"/>
      <c r="ED507" s="56"/>
      <c r="EE507" s="56"/>
      <c r="EF507" s="56"/>
      <c r="EG507" s="56"/>
      <c r="EH507" s="56"/>
      <c r="EI507" s="56"/>
      <c r="EJ507" s="56"/>
      <c r="EK507" s="56"/>
      <c r="EL507" s="56"/>
      <c r="EM507" s="56"/>
      <c r="EN507" s="56"/>
      <c r="EO507" s="56"/>
      <c r="EP507" s="56"/>
      <c r="EQ507" s="56"/>
      <c r="ER507" s="56"/>
      <c r="ES507" s="56"/>
      <c r="ET507" s="56"/>
      <c r="EU507" s="56"/>
      <c r="EV507" s="56"/>
      <c r="EW507" s="56"/>
      <c r="EX507" s="56"/>
      <c r="EY507" s="56"/>
      <c r="EZ507" s="56"/>
      <c r="FA507" s="56"/>
      <c r="FB507" s="56"/>
      <c r="FC507" s="56"/>
      <c r="FD507" s="56"/>
      <c r="FE507" s="56"/>
      <c r="FF507" s="56"/>
      <c r="FG507" s="56"/>
      <c r="FH507" s="56"/>
      <c r="FI507" s="56"/>
      <c r="FJ507" s="56"/>
      <c r="FK507" s="56"/>
      <c r="FL507" s="56"/>
      <c r="FM507" s="56"/>
      <c r="FN507" s="56"/>
      <c r="FO507" s="56"/>
      <c r="FP507" s="56"/>
      <c r="FQ507" s="56"/>
      <c r="FR507" s="56"/>
      <c r="FS507" s="56"/>
      <c r="FT507" s="56"/>
      <c r="FU507" s="56"/>
      <c r="FV507" s="56"/>
      <c r="FW507" s="56"/>
      <c r="FX507" s="56"/>
      <c r="FY507" s="56"/>
      <c r="FZ507" s="56"/>
      <c r="GA507" s="56"/>
      <c r="GB507" s="56"/>
      <c r="GC507" s="56"/>
      <c r="GD507" s="56"/>
      <c r="GE507" s="56"/>
      <c r="GF507" s="56"/>
      <c r="GG507" s="56"/>
      <c r="GH507" s="56"/>
      <c r="GI507" s="56"/>
      <c r="GJ507" s="56"/>
      <c r="GK507" s="56"/>
      <c r="GL507" s="56"/>
      <c r="GM507" s="56"/>
      <c r="GN507" s="56"/>
      <c r="GO507" s="56"/>
      <c r="GP507" s="56"/>
      <c r="GQ507" s="56"/>
      <c r="GR507" s="56"/>
      <c r="GS507" s="56"/>
      <c r="GT507" s="56"/>
      <c r="GU507" s="56"/>
      <c r="GV507" s="56"/>
      <c r="GW507" s="56"/>
      <c r="GX507" s="56"/>
      <c r="GY507" s="56"/>
      <c r="GZ507" s="56"/>
      <c r="HA507" s="56"/>
      <c r="HB507" s="56"/>
      <c r="HC507" s="56"/>
      <c r="HD507" s="56"/>
      <c r="HE507" s="56"/>
      <c r="HF507" s="56"/>
      <c r="HG507" s="56"/>
      <c r="HH507" s="56"/>
      <c r="HI507" s="56"/>
      <c r="HJ507" s="56"/>
    </row>
    <row r="508" spans="1:218" ht="15.75" customHeight="1" x14ac:dyDescent="0.2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  <c r="CL508" s="56"/>
      <c r="CM508" s="56"/>
      <c r="CN508" s="56"/>
      <c r="CO508" s="56"/>
      <c r="CP508" s="56"/>
      <c r="CQ508" s="56"/>
      <c r="CR508" s="56"/>
      <c r="CS508" s="56"/>
      <c r="CT508" s="56"/>
      <c r="CU508" s="56"/>
      <c r="CV508" s="56"/>
      <c r="CW508" s="56"/>
      <c r="CX508" s="56"/>
      <c r="CY508" s="56"/>
      <c r="CZ508" s="56"/>
      <c r="DA508" s="56"/>
      <c r="DB508" s="56"/>
      <c r="DC508" s="56"/>
      <c r="DD508" s="56"/>
      <c r="DE508" s="56"/>
      <c r="DF508" s="56"/>
      <c r="DG508" s="56"/>
      <c r="DH508" s="56"/>
      <c r="DI508" s="56"/>
      <c r="DJ508" s="56"/>
      <c r="DK508" s="56"/>
      <c r="DL508" s="56"/>
      <c r="DM508" s="56"/>
      <c r="DN508" s="56"/>
      <c r="DO508" s="56"/>
      <c r="DP508" s="56"/>
      <c r="DQ508" s="56"/>
      <c r="DR508" s="56"/>
      <c r="DS508" s="56"/>
      <c r="DT508" s="56"/>
      <c r="DU508" s="56"/>
      <c r="DV508" s="56"/>
      <c r="DW508" s="56"/>
      <c r="DX508" s="56"/>
      <c r="DY508" s="56"/>
      <c r="DZ508" s="56"/>
      <c r="EA508" s="56"/>
      <c r="EB508" s="56"/>
      <c r="EC508" s="56"/>
      <c r="ED508" s="56"/>
      <c r="EE508" s="56"/>
      <c r="EF508" s="56"/>
      <c r="EG508" s="56"/>
      <c r="EH508" s="56"/>
      <c r="EI508" s="56"/>
      <c r="EJ508" s="56"/>
      <c r="EK508" s="56"/>
      <c r="EL508" s="56"/>
      <c r="EM508" s="56"/>
      <c r="EN508" s="56"/>
      <c r="EO508" s="56"/>
      <c r="EP508" s="56"/>
      <c r="EQ508" s="56"/>
      <c r="ER508" s="56"/>
      <c r="ES508" s="56"/>
      <c r="ET508" s="56"/>
      <c r="EU508" s="56"/>
      <c r="EV508" s="56"/>
      <c r="EW508" s="56"/>
      <c r="EX508" s="56"/>
      <c r="EY508" s="56"/>
      <c r="EZ508" s="56"/>
      <c r="FA508" s="56"/>
      <c r="FB508" s="56"/>
      <c r="FC508" s="56"/>
      <c r="FD508" s="56"/>
      <c r="FE508" s="56"/>
      <c r="FF508" s="56"/>
      <c r="FG508" s="56"/>
      <c r="FH508" s="56"/>
      <c r="FI508" s="56"/>
      <c r="FJ508" s="56"/>
      <c r="FK508" s="56"/>
      <c r="FL508" s="56"/>
      <c r="FM508" s="56"/>
      <c r="FN508" s="56"/>
      <c r="FO508" s="56"/>
      <c r="FP508" s="56"/>
      <c r="FQ508" s="56"/>
      <c r="FR508" s="56"/>
      <c r="FS508" s="56"/>
      <c r="FT508" s="56"/>
      <c r="FU508" s="56"/>
      <c r="FV508" s="56"/>
      <c r="FW508" s="56"/>
      <c r="FX508" s="56"/>
      <c r="FY508" s="56"/>
      <c r="FZ508" s="56"/>
      <c r="GA508" s="56"/>
      <c r="GB508" s="56"/>
      <c r="GC508" s="56"/>
      <c r="GD508" s="56"/>
      <c r="GE508" s="56"/>
      <c r="GF508" s="56"/>
      <c r="GG508" s="56"/>
      <c r="GH508" s="56"/>
      <c r="GI508" s="56"/>
      <c r="GJ508" s="56"/>
      <c r="GK508" s="56"/>
      <c r="GL508" s="56"/>
      <c r="GM508" s="56"/>
      <c r="GN508" s="56"/>
      <c r="GO508" s="56"/>
      <c r="GP508" s="56"/>
      <c r="GQ508" s="56"/>
      <c r="GR508" s="56"/>
      <c r="GS508" s="56"/>
      <c r="GT508" s="56"/>
      <c r="GU508" s="56"/>
      <c r="GV508" s="56"/>
      <c r="GW508" s="56"/>
      <c r="GX508" s="56"/>
      <c r="GY508" s="56"/>
      <c r="GZ508" s="56"/>
      <c r="HA508" s="56"/>
      <c r="HB508" s="56"/>
      <c r="HC508" s="56"/>
      <c r="HD508" s="56"/>
      <c r="HE508" s="56"/>
      <c r="HF508" s="56"/>
      <c r="HG508" s="56"/>
      <c r="HH508" s="56"/>
      <c r="HI508" s="56"/>
      <c r="HJ508" s="56"/>
    </row>
    <row r="509" spans="1:218" ht="15.75" customHeight="1" x14ac:dyDescent="0.2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  <c r="CL509" s="56"/>
      <c r="CM509" s="56"/>
      <c r="CN509" s="56"/>
      <c r="CO509" s="56"/>
      <c r="CP509" s="56"/>
      <c r="CQ509" s="56"/>
      <c r="CR509" s="56"/>
      <c r="CS509" s="56"/>
      <c r="CT509" s="56"/>
      <c r="CU509" s="56"/>
      <c r="CV509" s="56"/>
      <c r="CW509" s="56"/>
      <c r="CX509" s="56"/>
      <c r="CY509" s="56"/>
      <c r="CZ509" s="56"/>
      <c r="DA509" s="56"/>
      <c r="DB509" s="56"/>
      <c r="DC509" s="56"/>
      <c r="DD509" s="56"/>
      <c r="DE509" s="56"/>
      <c r="DF509" s="56"/>
      <c r="DG509" s="56"/>
      <c r="DH509" s="56"/>
      <c r="DI509" s="56"/>
      <c r="DJ509" s="56"/>
      <c r="DK509" s="56"/>
      <c r="DL509" s="56"/>
      <c r="DM509" s="56"/>
      <c r="DN509" s="56"/>
      <c r="DO509" s="56"/>
      <c r="DP509" s="56"/>
      <c r="DQ509" s="56"/>
      <c r="DR509" s="56"/>
      <c r="DS509" s="56"/>
      <c r="DT509" s="56"/>
      <c r="DU509" s="56"/>
      <c r="DV509" s="56"/>
      <c r="DW509" s="56"/>
      <c r="DX509" s="56"/>
      <c r="DY509" s="56"/>
      <c r="DZ509" s="56"/>
      <c r="EA509" s="56"/>
      <c r="EB509" s="56"/>
      <c r="EC509" s="56"/>
      <c r="ED509" s="56"/>
      <c r="EE509" s="56"/>
      <c r="EF509" s="56"/>
      <c r="EG509" s="56"/>
      <c r="EH509" s="56"/>
      <c r="EI509" s="56"/>
      <c r="EJ509" s="56"/>
      <c r="EK509" s="56"/>
      <c r="EL509" s="56"/>
      <c r="EM509" s="56"/>
      <c r="EN509" s="56"/>
      <c r="EO509" s="56"/>
      <c r="EP509" s="56"/>
      <c r="EQ509" s="56"/>
      <c r="ER509" s="56"/>
      <c r="ES509" s="56"/>
      <c r="ET509" s="56"/>
      <c r="EU509" s="56"/>
      <c r="EV509" s="56"/>
      <c r="EW509" s="56"/>
      <c r="EX509" s="56"/>
      <c r="EY509" s="56"/>
      <c r="EZ509" s="56"/>
      <c r="FA509" s="56"/>
      <c r="FB509" s="56"/>
      <c r="FC509" s="56"/>
      <c r="FD509" s="56"/>
      <c r="FE509" s="56"/>
      <c r="FF509" s="56"/>
      <c r="FG509" s="56"/>
      <c r="FH509" s="56"/>
      <c r="FI509" s="56"/>
      <c r="FJ509" s="56"/>
      <c r="FK509" s="56"/>
      <c r="FL509" s="56"/>
      <c r="FM509" s="56"/>
      <c r="FN509" s="56"/>
      <c r="FO509" s="56"/>
      <c r="FP509" s="56"/>
      <c r="FQ509" s="56"/>
      <c r="FR509" s="56"/>
      <c r="FS509" s="56"/>
      <c r="FT509" s="56"/>
      <c r="FU509" s="56"/>
      <c r="FV509" s="56"/>
      <c r="FW509" s="56"/>
      <c r="FX509" s="56"/>
      <c r="FY509" s="56"/>
      <c r="FZ509" s="56"/>
      <c r="GA509" s="56"/>
      <c r="GB509" s="56"/>
      <c r="GC509" s="56"/>
      <c r="GD509" s="56"/>
      <c r="GE509" s="56"/>
      <c r="GF509" s="56"/>
      <c r="GG509" s="56"/>
      <c r="GH509" s="56"/>
      <c r="GI509" s="56"/>
      <c r="GJ509" s="56"/>
      <c r="GK509" s="56"/>
      <c r="GL509" s="56"/>
      <c r="GM509" s="56"/>
      <c r="GN509" s="56"/>
      <c r="GO509" s="56"/>
      <c r="GP509" s="56"/>
      <c r="GQ509" s="56"/>
      <c r="GR509" s="56"/>
      <c r="GS509" s="56"/>
      <c r="GT509" s="56"/>
      <c r="GU509" s="56"/>
      <c r="GV509" s="56"/>
      <c r="GW509" s="56"/>
      <c r="GX509" s="56"/>
      <c r="GY509" s="56"/>
      <c r="GZ509" s="56"/>
      <c r="HA509" s="56"/>
      <c r="HB509" s="56"/>
      <c r="HC509" s="56"/>
      <c r="HD509" s="56"/>
      <c r="HE509" s="56"/>
      <c r="HF509" s="56"/>
      <c r="HG509" s="56"/>
      <c r="HH509" s="56"/>
      <c r="HI509" s="56"/>
      <c r="HJ509" s="56"/>
    </row>
    <row r="510" spans="1:218" ht="15.75" customHeight="1" x14ac:dyDescent="0.2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  <c r="BV510" s="56"/>
      <c r="BW510" s="56"/>
      <c r="BX510" s="56"/>
      <c r="BY510" s="56"/>
      <c r="BZ510" s="56"/>
      <c r="CA510" s="56"/>
      <c r="CB510" s="56"/>
      <c r="CC510" s="56"/>
      <c r="CD510" s="56"/>
      <c r="CE510" s="56"/>
      <c r="CF510" s="56"/>
      <c r="CG510" s="56"/>
      <c r="CH510" s="56"/>
      <c r="CI510" s="56"/>
      <c r="CJ510" s="56"/>
      <c r="CK510" s="56"/>
      <c r="CL510" s="56"/>
      <c r="CM510" s="56"/>
      <c r="CN510" s="56"/>
      <c r="CO510" s="56"/>
      <c r="CP510" s="56"/>
      <c r="CQ510" s="56"/>
      <c r="CR510" s="56"/>
      <c r="CS510" s="56"/>
      <c r="CT510" s="56"/>
      <c r="CU510" s="56"/>
      <c r="CV510" s="56"/>
      <c r="CW510" s="56"/>
      <c r="CX510" s="56"/>
      <c r="CY510" s="56"/>
      <c r="CZ510" s="56"/>
      <c r="DA510" s="56"/>
      <c r="DB510" s="56"/>
      <c r="DC510" s="56"/>
      <c r="DD510" s="56"/>
      <c r="DE510" s="56"/>
      <c r="DF510" s="56"/>
      <c r="DG510" s="56"/>
      <c r="DH510" s="56"/>
      <c r="DI510" s="56"/>
      <c r="DJ510" s="56"/>
      <c r="DK510" s="56"/>
      <c r="DL510" s="56"/>
      <c r="DM510" s="56"/>
      <c r="DN510" s="56"/>
      <c r="DO510" s="56"/>
      <c r="DP510" s="56"/>
      <c r="DQ510" s="56"/>
      <c r="DR510" s="56"/>
      <c r="DS510" s="56"/>
      <c r="DT510" s="56"/>
      <c r="DU510" s="56"/>
      <c r="DV510" s="56"/>
      <c r="DW510" s="56"/>
      <c r="DX510" s="56"/>
      <c r="DY510" s="56"/>
      <c r="DZ510" s="56"/>
      <c r="EA510" s="56"/>
      <c r="EB510" s="56"/>
      <c r="EC510" s="56"/>
      <c r="ED510" s="56"/>
      <c r="EE510" s="56"/>
      <c r="EF510" s="56"/>
      <c r="EG510" s="56"/>
      <c r="EH510" s="56"/>
      <c r="EI510" s="56"/>
      <c r="EJ510" s="56"/>
      <c r="EK510" s="56"/>
      <c r="EL510" s="56"/>
      <c r="EM510" s="56"/>
      <c r="EN510" s="56"/>
      <c r="EO510" s="56"/>
      <c r="EP510" s="56"/>
      <c r="EQ510" s="56"/>
      <c r="ER510" s="56"/>
      <c r="ES510" s="56"/>
      <c r="ET510" s="56"/>
      <c r="EU510" s="56"/>
      <c r="EV510" s="56"/>
      <c r="EW510" s="56"/>
      <c r="EX510" s="56"/>
      <c r="EY510" s="56"/>
      <c r="EZ510" s="56"/>
      <c r="FA510" s="56"/>
      <c r="FB510" s="56"/>
      <c r="FC510" s="56"/>
      <c r="FD510" s="56"/>
      <c r="FE510" s="56"/>
      <c r="FF510" s="56"/>
      <c r="FG510" s="56"/>
      <c r="FH510" s="56"/>
      <c r="FI510" s="56"/>
      <c r="FJ510" s="56"/>
      <c r="FK510" s="56"/>
      <c r="FL510" s="56"/>
      <c r="FM510" s="56"/>
      <c r="FN510" s="56"/>
      <c r="FO510" s="56"/>
      <c r="FP510" s="56"/>
      <c r="FQ510" s="56"/>
      <c r="FR510" s="56"/>
      <c r="FS510" s="56"/>
      <c r="FT510" s="56"/>
      <c r="FU510" s="56"/>
      <c r="FV510" s="56"/>
      <c r="FW510" s="56"/>
      <c r="FX510" s="56"/>
      <c r="FY510" s="56"/>
      <c r="FZ510" s="56"/>
      <c r="GA510" s="56"/>
      <c r="GB510" s="56"/>
      <c r="GC510" s="56"/>
      <c r="GD510" s="56"/>
      <c r="GE510" s="56"/>
      <c r="GF510" s="56"/>
      <c r="GG510" s="56"/>
      <c r="GH510" s="56"/>
      <c r="GI510" s="56"/>
      <c r="GJ510" s="56"/>
      <c r="GK510" s="56"/>
      <c r="GL510" s="56"/>
      <c r="GM510" s="56"/>
      <c r="GN510" s="56"/>
      <c r="GO510" s="56"/>
      <c r="GP510" s="56"/>
      <c r="GQ510" s="56"/>
      <c r="GR510" s="56"/>
      <c r="GS510" s="56"/>
      <c r="GT510" s="56"/>
      <c r="GU510" s="56"/>
      <c r="GV510" s="56"/>
      <c r="GW510" s="56"/>
      <c r="GX510" s="56"/>
      <c r="GY510" s="56"/>
      <c r="GZ510" s="56"/>
      <c r="HA510" s="56"/>
      <c r="HB510" s="56"/>
      <c r="HC510" s="56"/>
      <c r="HD510" s="56"/>
      <c r="HE510" s="56"/>
      <c r="HF510" s="56"/>
      <c r="HG510" s="56"/>
      <c r="HH510" s="56"/>
      <c r="HI510" s="56"/>
      <c r="HJ510" s="56"/>
    </row>
    <row r="511" spans="1:218" ht="15.75" customHeight="1" x14ac:dyDescent="0.2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  <c r="CL511" s="56"/>
      <c r="CM511" s="56"/>
      <c r="CN511" s="56"/>
      <c r="CO511" s="56"/>
      <c r="CP511" s="56"/>
      <c r="CQ511" s="56"/>
      <c r="CR511" s="56"/>
      <c r="CS511" s="56"/>
      <c r="CT511" s="56"/>
      <c r="CU511" s="56"/>
      <c r="CV511" s="56"/>
      <c r="CW511" s="56"/>
      <c r="CX511" s="56"/>
      <c r="CY511" s="56"/>
      <c r="CZ511" s="56"/>
      <c r="DA511" s="56"/>
      <c r="DB511" s="56"/>
      <c r="DC511" s="56"/>
      <c r="DD511" s="56"/>
      <c r="DE511" s="56"/>
      <c r="DF511" s="56"/>
      <c r="DG511" s="56"/>
      <c r="DH511" s="56"/>
      <c r="DI511" s="56"/>
      <c r="DJ511" s="56"/>
      <c r="DK511" s="56"/>
      <c r="DL511" s="56"/>
      <c r="DM511" s="56"/>
      <c r="DN511" s="56"/>
      <c r="DO511" s="56"/>
      <c r="DP511" s="56"/>
      <c r="DQ511" s="56"/>
      <c r="DR511" s="56"/>
      <c r="DS511" s="56"/>
      <c r="DT511" s="56"/>
      <c r="DU511" s="56"/>
      <c r="DV511" s="56"/>
      <c r="DW511" s="56"/>
      <c r="DX511" s="56"/>
      <c r="DY511" s="56"/>
      <c r="DZ511" s="56"/>
      <c r="EA511" s="56"/>
      <c r="EB511" s="56"/>
      <c r="EC511" s="56"/>
      <c r="ED511" s="56"/>
      <c r="EE511" s="56"/>
      <c r="EF511" s="56"/>
      <c r="EG511" s="56"/>
      <c r="EH511" s="56"/>
      <c r="EI511" s="56"/>
      <c r="EJ511" s="56"/>
      <c r="EK511" s="56"/>
      <c r="EL511" s="56"/>
      <c r="EM511" s="56"/>
      <c r="EN511" s="56"/>
      <c r="EO511" s="56"/>
      <c r="EP511" s="56"/>
      <c r="EQ511" s="56"/>
      <c r="ER511" s="56"/>
      <c r="ES511" s="56"/>
      <c r="ET511" s="56"/>
      <c r="EU511" s="56"/>
      <c r="EV511" s="56"/>
      <c r="EW511" s="56"/>
      <c r="EX511" s="56"/>
      <c r="EY511" s="56"/>
      <c r="EZ511" s="56"/>
      <c r="FA511" s="56"/>
      <c r="FB511" s="56"/>
      <c r="FC511" s="56"/>
      <c r="FD511" s="56"/>
      <c r="FE511" s="56"/>
      <c r="FF511" s="56"/>
      <c r="FG511" s="56"/>
      <c r="FH511" s="56"/>
      <c r="FI511" s="56"/>
      <c r="FJ511" s="56"/>
      <c r="FK511" s="56"/>
      <c r="FL511" s="56"/>
      <c r="FM511" s="56"/>
      <c r="FN511" s="56"/>
      <c r="FO511" s="56"/>
      <c r="FP511" s="56"/>
      <c r="FQ511" s="56"/>
      <c r="FR511" s="56"/>
      <c r="FS511" s="56"/>
      <c r="FT511" s="56"/>
      <c r="FU511" s="56"/>
      <c r="FV511" s="56"/>
      <c r="FW511" s="56"/>
      <c r="FX511" s="56"/>
      <c r="FY511" s="56"/>
      <c r="FZ511" s="56"/>
      <c r="GA511" s="56"/>
      <c r="GB511" s="56"/>
      <c r="GC511" s="56"/>
      <c r="GD511" s="56"/>
      <c r="GE511" s="56"/>
      <c r="GF511" s="56"/>
      <c r="GG511" s="56"/>
      <c r="GH511" s="56"/>
      <c r="GI511" s="56"/>
      <c r="GJ511" s="56"/>
      <c r="GK511" s="56"/>
      <c r="GL511" s="56"/>
      <c r="GM511" s="56"/>
      <c r="GN511" s="56"/>
      <c r="GO511" s="56"/>
      <c r="GP511" s="56"/>
      <c r="GQ511" s="56"/>
      <c r="GR511" s="56"/>
      <c r="GS511" s="56"/>
      <c r="GT511" s="56"/>
      <c r="GU511" s="56"/>
      <c r="GV511" s="56"/>
      <c r="GW511" s="56"/>
      <c r="GX511" s="56"/>
      <c r="GY511" s="56"/>
      <c r="GZ511" s="56"/>
      <c r="HA511" s="56"/>
      <c r="HB511" s="56"/>
      <c r="HC511" s="56"/>
      <c r="HD511" s="56"/>
      <c r="HE511" s="56"/>
      <c r="HF511" s="56"/>
      <c r="HG511" s="56"/>
      <c r="HH511" s="56"/>
      <c r="HI511" s="56"/>
      <c r="HJ511" s="56"/>
    </row>
    <row r="512" spans="1:218" ht="15.75" customHeight="1" x14ac:dyDescent="0.2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  <c r="CL512" s="56"/>
      <c r="CM512" s="56"/>
      <c r="CN512" s="56"/>
      <c r="CO512" s="56"/>
      <c r="CP512" s="56"/>
      <c r="CQ512" s="56"/>
      <c r="CR512" s="56"/>
      <c r="CS512" s="56"/>
      <c r="CT512" s="56"/>
      <c r="CU512" s="56"/>
      <c r="CV512" s="56"/>
      <c r="CW512" s="56"/>
      <c r="CX512" s="56"/>
      <c r="CY512" s="56"/>
      <c r="CZ512" s="56"/>
      <c r="DA512" s="56"/>
      <c r="DB512" s="56"/>
      <c r="DC512" s="56"/>
      <c r="DD512" s="56"/>
      <c r="DE512" s="56"/>
      <c r="DF512" s="56"/>
      <c r="DG512" s="56"/>
      <c r="DH512" s="56"/>
      <c r="DI512" s="56"/>
      <c r="DJ512" s="56"/>
      <c r="DK512" s="56"/>
      <c r="DL512" s="56"/>
      <c r="DM512" s="56"/>
      <c r="DN512" s="56"/>
      <c r="DO512" s="56"/>
      <c r="DP512" s="56"/>
      <c r="DQ512" s="56"/>
      <c r="DR512" s="56"/>
      <c r="DS512" s="56"/>
      <c r="DT512" s="56"/>
      <c r="DU512" s="56"/>
      <c r="DV512" s="56"/>
      <c r="DW512" s="56"/>
      <c r="DX512" s="56"/>
      <c r="DY512" s="56"/>
      <c r="DZ512" s="56"/>
      <c r="EA512" s="56"/>
      <c r="EB512" s="56"/>
      <c r="EC512" s="56"/>
      <c r="ED512" s="56"/>
      <c r="EE512" s="56"/>
      <c r="EF512" s="56"/>
      <c r="EG512" s="56"/>
      <c r="EH512" s="56"/>
      <c r="EI512" s="56"/>
      <c r="EJ512" s="56"/>
      <c r="EK512" s="56"/>
      <c r="EL512" s="56"/>
      <c r="EM512" s="56"/>
      <c r="EN512" s="56"/>
      <c r="EO512" s="56"/>
      <c r="EP512" s="56"/>
      <c r="EQ512" s="56"/>
      <c r="ER512" s="56"/>
      <c r="ES512" s="56"/>
      <c r="ET512" s="56"/>
      <c r="EU512" s="56"/>
      <c r="EV512" s="56"/>
      <c r="EW512" s="56"/>
      <c r="EX512" s="56"/>
      <c r="EY512" s="56"/>
      <c r="EZ512" s="56"/>
      <c r="FA512" s="56"/>
      <c r="FB512" s="56"/>
      <c r="FC512" s="56"/>
      <c r="FD512" s="56"/>
      <c r="FE512" s="56"/>
      <c r="FF512" s="56"/>
      <c r="FG512" s="56"/>
      <c r="FH512" s="56"/>
      <c r="FI512" s="56"/>
      <c r="FJ512" s="56"/>
      <c r="FK512" s="56"/>
      <c r="FL512" s="56"/>
      <c r="FM512" s="56"/>
      <c r="FN512" s="56"/>
      <c r="FO512" s="56"/>
      <c r="FP512" s="56"/>
      <c r="FQ512" s="56"/>
      <c r="FR512" s="56"/>
      <c r="FS512" s="56"/>
      <c r="FT512" s="56"/>
      <c r="FU512" s="56"/>
      <c r="FV512" s="56"/>
      <c r="FW512" s="56"/>
      <c r="FX512" s="56"/>
      <c r="FY512" s="56"/>
      <c r="FZ512" s="56"/>
      <c r="GA512" s="56"/>
      <c r="GB512" s="56"/>
      <c r="GC512" s="56"/>
      <c r="GD512" s="56"/>
      <c r="GE512" s="56"/>
      <c r="GF512" s="56"/>
      <c r="GG512" s="56"/>
      <c r="GH512" s="56"/>
      <c r="GI512" s="56"/>
      <c r="GJ512" s="56"/>
      <c r="GK512" s="56"/>
      <c r="GL512" s="56"/>
      <c r="GM512" s="56"/>
      <c r="GN512" s="56"/>
      <c r="GO512" s="56"/>
      <c r="GP512" s="56"/>
      <c r="GQ512" s="56"/>
      <c r="GR512" s="56"/>
      <c r="GS512" s="56"/>
      <c r="GT512" s="56"/>
      <c r="GU512" s="56"/>
      <c r="GV512" s="56"/>
      <c r="GW512" s="56"/>
      <c r="GX512" s="56"/>
      <c r="GY512" s="56"/>
      <c r="GZ512" s="56"/>
      <c r="HA512" s="56"/>
      <c r="HB512" s="56"/>
      <c r="HC512" s="56"/>
      <c r="HD512" s="56"/>
      <c r="HE512" s="56"/>
      <c r="HF512" s="56"/>
      <c r="HG512" s="56"/>
      <c r="HH512" s="56"/>
      <c r="HI512" s="56"/>
      <c r="HJ512" s="56"/>
    </row>
    <row r="513" spans="1:218" ht="15.75" customHeight="1" x14ac:dyDescent="0.2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  <c r="CL513" s="56"/>
      <c r="CM513" s="56"/>
      <c r="CN513" s="56"/>
      <c r="CO513" s="56"/>
      <c r="CP513" s="56"/>
      <c r="CQ513" s="56"/>
      <c r="CR513" s="56"/>
      <c r="CS513" s="56"/>
      <c r="CT513" s="56"/>
      <c r="CU513" s="56"/>
      <c r="CV513" s="56"/>
      <c r="CW513" s="56"/>
      <c r="CX513" s="56"/>
      <c r="CY513" s="56"/>
      <c r="CZ513" s="56"/>
      <c r="DA513" s="56"/>
      <c r="DB513" s="56"/>
      <c r="DC513" s="56"/>
      <c r="DD513" s="56"/>
      <c r="DE513" s="56"/>
      <c r="DF513" s="56"/>
      <c r="DG513" s="56"/>
      <c r="DH513" s="56"/>
      <c r="DI513" s="56"/>
      <c r="DJ513" s="56"/>
      <c r="DK513" s="56"/>
      <c r="DL513" s="56"/>
      <c r="DM513" s="56"/>
      <c r="DN513" s="56"/>
      <c r="DO513" s="56"/>
      <c r="DP513" s="56"/>
      <c r="DQ513" s="56"/>
      <c r="DR513" s="56"/>
      <c r="DS513" s="56"/>
      <c r="DT513" s="56"/>
      <c r="DU513" s="56"/>
      <c r="DV513" s="56"/>
      <c r="DW513" s="56"/>
      <c r="DX513" s="56"/>
      <c r="DY513" s="56"/>
      <c r="DZ513" s="56"/>
      <c r="EA513" s="56"/>
      <c r="EB513" s="56"/>
      <c r="EC513" s="56"/>
      <c r="ED513" s="56"/>
      <c r="EE513" s="56"/>
      <c r="EF513" s="56"/>
      <c r="EG513" s="56"/>
      <c r="EH513" s="56"/>
      <c r="EI513" s="56"/>
      <c r="EJ513" s="56"/>
      <c r="EK513" s="56"/>
      <c r="EL513" s="56"/>
      <c r="EM513" s="56"/>
      <c r="EN513" s="56"/>
      <c r="EO513" s="56"/>
      <c r="EP513" s="56"/>
      <c r="EQ513" s="56"/>
      <c r="ER513" s="56"/>
      <c r="ES513" s="56"/>
      <c r="ET513" s="56"/>
      <c r="EU513" s="56"/>
      <c r="EV513" s="56"/>
      <c r="EW513" s="56"/>
      <c r="EX513" s="56"/>
      <c r="EY513" s="56"/>
      <c r="EZ513" s="56"/>
      <c r="FA513" s="56"/>
      <c r="FB513" s="56"/>
      <c r="FC513" s="56"/>
      <c r="FD513" s="56"/>
      <c r="FE513" s="56"/>
      <c r="FF513" s="56"/>
      <c r="FG513" s="56"/>
      <c r="FH513" s="56"/>
      <c r="FI513" s="56"/>
      <c r="FJ513" s="56"/>
      <c r="FK513" s="56"/>
      <c r="FL513" s="56"/>
      <c r="FM513" s="56"/>
      <c r="FN513" s="56"/>
      <c r="FO513" s="56"/>
      <c r="FP513" s="56"/>
      <c r="FQ513" s="56"/>
      <c r="FR513" s="56"/>
      <c r="FS513" s="56"/>
      <c r="FT513" s="56"/>
      <c r="FU513" s="56"/>
      <c r="FV513" s="56"/>
      <c r="FW513" s="56"/>
      <c r="FX513" s="56"/>
      <c r="FY513" s="56"/>
      <c r="FZ513" s="56"/>
      <c r="GA513" s="56"/>
      <c r="GB513" s="56"/>
      <c r="GC513" s="56"/>
      <c r="GD513" s="56"/>
      <c r="GE513" s="56"/>
      <c r="GF513" s="56"/>
      <c r="GG513" s="56"/>
      <c r="GH513" s="56"/>
      <c r="GI513" s="56"/>
      <c r="GJ513" s="56"/>
      <c r="GK513" s="56"/>
      <c r="GL513" s="56"/>
      <c r="GM513" s="56"/>
      <c r="GN513" s="56"/>
      <c r="GO513" s="56"/>
      <c r="GP513" s="56"/>
      <c r="GQ513" s="56"/>
      <c r="GR513" s="56"/>
      <c r="GS513" s="56"/>
      <c r="GT513" s="56"/>
      <c r="GU513" s="56"/>
      <c r="GV513" s="56"/>
      <c r="GW513" s="56"/>
      <c r="GX513" s="56"/>
      <c r="GY513" s="56"/>
      <c r="GZ513" s="56"/>
      <c r="HA513" s="56"/>
      <c r="HB513" s="56"/>
      <c r="HC513" s="56"/>
      <c r="HD513" s="56"/>
      <c r="HE513" s="56"/>
      <c r="HF513" s="56"/>
      <c r="HG513" s="56"/>
      <c r="HH513" s="56"/>
      <c r="HI513" s="56"/>
      <c r="HJ513" s="56"/>
    </row>
    <row r="514" spans="1:218" ht="15.75" customHeight="1" x14ac:dyDescent="0.2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  <c r="CL514" s="56"/>
      <c r="CM514" s="56"/>
      <c r="CN514" s="56"/>
      <c r="CO514" s="56"/>
      <c r="CP514" s="56"/>
      <c r="CQ514" s="56"/>
      <c r="CR514" s="56"/>
      <c r="CS514" s="56"/>
      <c r="CT514" s="56"/>
      <c r="CU514" s="56"/>
      <c r="CV514" s="56"/>
      <c r="CW514" s="56"/>
      <c r="CX514" s="56"/>
      <c r="CY514" s="56"/>
      <c r="CZ514" s="56"/>
      <c r="DA514" s="56"/>
      <c r="DB514" s="56"/>
      <c r="DC514" s="56"/>
      <c r="DD514" s="56"/>
      <c r="DE514" s="56"/>
      <c r="DF514" s="56"/>
      <c r="DG514" s="56"/>
      <c r="DH514" s="56"/>
      <c r="DI514" s="56"/>
      <c r="DJ514" s="56"/>
      <c r="DK514" s="56"/>
      <c r="DL514" s="56"/>
      <c r="DM514" s="56"/>
      <c r="DN514" s="56"/>
      <c r="DO514" s="56"/>
      <c r="DP514" s="56"/>
      <c r="DQ514" s="56"/>
      <c r="DR514" s="56"/>
      <c r="DS514" s="56"/>
      <c r="DT514" s="56"/>
      <c r="DU514" s="56"/>
      <c r="DV514" s="56"/>
      <c r="DW514" s="56"/>
      <c r="DX514" s="56"/>
      <c r="DY514" s="56"/>
      <c r="DZ514" s="56"/>
      <c r="EA514" s="56"/>
      <c r="EB514" s="56"/>
      <c r="EC514" s="56"/>
      <c r="ED514" s="56"/>
      <c r="EE514" s="56"/>
      <c r="EF514" s="56"/>
      <c r="EG514" s="56"/>
      <c r="EH514" s="56"/>
      <c r="EI514" s="56"/>
      <c r="EJ514" s="56"/>
      <c r="EK514" s="56"/>
      <c r="EL514" s="56"/>
      <c r="EM514" s="56"/>
      <c r="EN514" s="56"/>
      <c r="EO514" s="56"/>
      <c r="EP514" s="56"/>
      <c r="EQ514" s="56"/>
      <c r="ER514" s="56"/>
      <c r="ES514" s="56"/>
      <c r="ET514" s="56"/>
      <c r="EU514" s="56"/>
      <c r="EV514" s="56"/>
      <c r="EW514" s="56"/>
      <c r="EX514" s="56"/>
      <c r="EY514" s="56"/>
      <c r="EZ514" s="56"/>
      <c r="FA514" s="56"/>
      <c r="FB514" s="56"/>
      <c r="FC514" s="56"/>
      <c r="FD514" s="56"/>
      <c r="FE514" s="56"/>
      <c r="FF514" s="56"/>
      <c r="FG514" s="56"/>
      <c r="FH514" s="56"/>
      <c r="FI514" s="56"/>
      <c r="FJ514" s="56"/>
      <c r="FK514" s="56"/>
      <c r="FL514" s="56"/>
      <c r="FM514" s="56"/>
      <c r="FN514" s="56"/>
      <c r="FO514" s="56"/>
      <c r="FP514" s="56"/>
      <c r="FQ514" s="56"/>
      <c r="FR514" s="56"/>
      <c r="FS514" s="56"/>
      <c r="FT514" s="56"/>
      <c r="FU514" s="56"/>
      <c r="FV514" s="56"/>
      <c r="FW514" s="56"/>
      <c r="FX514" s="56"/>
      <c r="FY514" s="56"/>
      <c r="FZ514" s="56"/>
      <c r="GA514" s="56"/>
      <c r="GB514" s="56"/>
      <c r="GC514" s="56"/>
      <c r="GD514" s="56"/>
      <c r="GE514" s="56"/>
      <c r="GF514" s="56"/>
      <c r="GG514" s="56"/>
      <c r="GH514" s="56"/>
      <c r="GI514" s="56"/>
      <c r="GJ514" s="56"/>
      <c r="GK514" s="56"/>
      <c r="GL514" s="56"/>
      <c r="GM514" s="56"/>
      <c r="GN514" s="56"/>
      <c r="GO514" s="56"/>
      <c r="GP514" s="56"/>
      <c r="GQ514" s="56"/>
      <c r="GR514" s="56"/>
      <c r="GS514" s="56"/>
      <c r="GT514" s="56"/>
      <c r="GU514" s="56"/>
      <c r="GV514" s="56"/>
      <c r="GW514" s="56"/>
      <c r="GX514" s="56"/>
      <c r="GY514" s="56"/>
      <c r="GZ514" s="56"/>
      <c r="HA514" s="56"/>
      <c r="HB514" s="56"/>
      <c r="HC514" s="56"/>
      <c r="HD514" s="56"/>
      <c r="HE514" s="56"/>
      <c r="HF514" s="56"/>
      <c r="HG514" s="56"/>
      <c r="HH514" s="56"/>
      <c r="HI514" s="56"/>
      <c r="HJ514" s="56"/>
    </row>
    <row r="515" spans="1:218" ht="15.75" customHeight="1" x14ac:dyDescent="0.2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  <c r="BV515" s="56"/>
      <c r="BW515" s="56"/>
      <c r="BX515" s="56"/>
      <c r="BY515" s="56"/>
      <c r="BZ515" s="56"/>
      <c r="CA515" s="56"/>
      <c r="CB515" s="56"/>
      <c r="CC515" s="56"/>
      <c r="CD515" s="56"/>
      <c r="CE515" s="56"/>
      <c r="CF515" s="56"/>
      <c r="CG515" s="56"/>
      <c r="CH515" s="56"/>
      <c r="CI515" s="56"/>
      <c r="CJ515" s="56"/>
      <c r="CK515" s="56"/>
      <c r="CL515" s="56"/>
      <c r="CM515" s="56"/>
      <c r="CN515" s="56"/>
      <c r="CO515" s="56"/>
      <c r="CP515" s="56"/>
      <c r="CQ515" s="56"/>
      <c r="CR515" s="56"/>
      <c r="CS515" s="56"/>
      <c r="CT515" s="56"/>
      <c r="CU515" s="56"/>
      <c r="CV515" s="56"/>
      <c r="CW515" s="56"/>
      <c r="CX515" s="56"/>
      <c r="CY515" s="56"/>
      <c r="CZ515" s="56"/>
      <c r="DA515" s="56"/>
      <c r="DB515" s="56"/>
      <c r="DC515" s="56"/>
      <c r="DD515" s="56"/>
      <c r="DE515" s="56"/>
      <c r="DF515" s="56"/>
      <c r="DG515" s="56"/>
      <c r="DH515" s="56"/>
      <c r="DI515" s="56"/>
      <c r="DJ515" s="56"/>
      <c r="DK515" s="56"/>
      <c r="DL515" s="56"/>
      <c r="DM515" s="56"/>
      <c r="DN515" s="56"/>
      <c r="DO515" s="56"/>
      <c r="DP515" s="56"/>
      <c r="DQ515" s="56"/>
      <c r="DR515" s="56"/>
      <c r="DS515" s="56"/>
      <c r="DT515" s="56"/>
      <c r="DU515" s="56"/>
      <c r="DV515" s="56"/>
      <c r="DW515" s="56"/>
      <c r="DX515" s="56"/>
      <c r="DY515" s="56"/>
      <c r="DZ515" s="56"/>
      <c r="EA515" s="56"/>
      <c r="EB515" s="56"/>
      <c r="EC515" s="56"/>
      <c r="ED515" s="56"/>
      <c r="EE515" s="56"/>
      <c r="EF515" s="56"/>
      <c r="EG515" s="56"/>
      <c r="EH515" s="56"/>
      <c r="EI515" s="56"/>
      <c r="EJ515" s="56"/>
      <c r="EK515" s="56"/>
      <c r="EL515" s="56"/>
      <c r="EM515" s="56"/>
      <c r="EN515" s="56"/>
      <c r="EO515" s="56"/>
      <c r="EP515" s="56"/>
      <c r="EQ515" s="56"/>
      <c r="ER515" s="56"/>
      <c r="ES515" s="56"/>
      <c r="ET515" s="56"/>
      <c r="EU515" s="56"/>
      <c r="EV515" s="56"/>
      <c r="EW515" s="56"/>
      <c r="EX515" s="56"/>
      <c r="EY515" s="56"/>
      <c r="EZ515" s="56"/>
      <c r="FA515" s="56"/>
      <c r="FB515" s="56"/>
      <c r="FC515" s="56"/>
      <c r="FD515" s="56"/>
      <c r="FE515" s="56"/>
      <c r="FF515" s="56"/>
      <c r="FG515" s="56"/>
      <c r="FH515" s="56"/>
      <c r="FI515" s="56"/>
      <c r="FJ515" s="56"/>
      <c r="FK515" s="56"/>
      <c r="FL515" s="56"/>
      <c r="FM515" s="56"/>
      <c r="FN515" s="56"/>
      <c r="FO515" s="56"/>
      <c r="FP515" s="56"/>
      <c r="FQ515" s="56"/>
      <c r="FR515" s="56"/>
      <c r="FS515" s="56"/>
      <c r="FT515" s="56"/>
      <c r="FU515" s="56"/>
      <c r="FV515" s="56"/>
      <c r="FW515" s="56"/>
      <c r="FX515" s="56"/>
      <c r="FY515" s="56"/>
      <c r="FZ515" s="56"/>
      <c r="GA515" s="56"/>
      <c r="GB515" s="56"/>
      <c r="GC515" s="56"/>
      <c r="GD515" s="56"/>
      <c r="GE515" s="56"/>
      <c r="GF515" s="56"/>
      <c r="GG515" s="56"/>
      <c r="GH515" s="56"/>
      <c r="GI515" s="56"/>
      <c r="GJ515" s="56"/>
      <c r="GK515" s="56"/>
      <c r="GL515" s="56"/>
      <c r="GM515" s="56"/>
      <c r="GN515" s="56"/>
      <c r="GO515" s="56"/>
      <c r="GP515" s="56"/>
      <c r="GQ515" s="56"/>
      <c r="GR515" s="56"/>
      <c r="GS515" s="56"/>
      <c r="GT515" s="56"/>
      <c r="GU515" s="56"/>
      <c r="GV515" s="56"/>
      <c r="GW515" s="56"/>
      <c r="GX515" s="56"/>
      <c r="GY515" s="56"/>
      <c r="GZ515" s="56"/>
      <c r="HA515" s="56"/>
      <c r="HB515" s="56"/>
      <c r="HC515" s="56"/>
      <c r="HD515" s="56"/>
      <c r="HE515" s="56"/>
      <c r="HF515" s="56"/>
      <c r="HG515" s="56"/>
      <c r="HH515" s="56"/>
      <c r="HI515" s="56"/>
      <c r="HJ515" s="56"/>
    </row>
    <row r="516" spans="1:218" ht="15.75" customHeight="1" x14ac:dyDescent="0.2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  <c r="BV516" s="56"/>
      <c r="BW516" s="56"/>
      <c r="BX516" s="56"/>
      <c r="BY516" s="56"/>
      <c r="BZ516" s="56"/>
      <c r="CA516" s="56"/>
      <c r="CB516" s="56"/>
      <c r="CC516" s="56"/>
      <c r="CD516" s="56"/>
      <c r="CE516" s="56"/>
      <c r="CF516" s="56"/>
      <c r="CG516" s="56"/>
      <c r="CH516" s="56"/>
      <c r="CI516" s="56"/>
      <c r="CJ516" s="56"/>
      <c r="CK516" s="56"/>
      <c r="CL516" s="56"/>
      <c r="CM516" s="56"/>
      <c r="CN516" s="56"/>
      <c r="CO516" s="56"/>
      <c r="CP516" s="56"/>
      <c r="CQ516" s="56"/>
      <c r="CR516" s="56"/>
      <c r="CS516" s="56"/>
      <c r="CT516" s="56"/>
      <c r="CU516" s="56"/>
      <c r="CV516" s="56"/>
      <c r="CW516" s="56"/>
      <c r="CX516" s="56"/>
      <c r="CY516" s="56"/>
      <c r="CZ516" s="56"/>
      <c r="DA516" s="56"/>
      <c r="DB516" s="56"/>
      <c r="DC516" s="56"/>
      <c r="DD516" s="56"/>
      <c r="DE516" s="56"/>
      <c r="DF516" s="56"/>
      <c r="DG516" s="56"/>
      <c r="DH516" s="56"/>
      <c r="DI516" s="56"/>
      <c r="DJ516" s="56"/>
      <c r="DK516" s="56"/>
      <c r="DL516" s="56"/>
      <c r="DM516" s="56"/>
      <c r="DN516" s="56"/>
      <c r="DO516" s="56"/>
      <c r="DP516" s="56"/>
      <c r="DQ516" s="56"/>
      <c r="DR516" s="56"/>
      <c r="DS516" s="56"/>
      <c r="DT516" s="56"/>
      <c r="DU516" s="56"/>
      <c r="DV516" s="56"/>
      <c r="DW516" s="56"/>
      <c r="DX516" s="56"/>
      <c r="DY516" s="56"/>
      <c r="DZ516" s="56"/>
      <c r="EA516" s="56"/>
      <c r="EB516" s="56"/>
      <c r="EC516" s="56"/>
      <c r="ED516" s="56"/>
      <c r="EE516" s="56"/>
      <c r="EF516" s="56"/>
      <c r="EG516" s="56"/>
      <c r="EH516" s="56"/>
      <c r="EI516" s="56"/>
      <c r="EJ516" s="56"/>
      <c r="EK516" s="56"/>
      <c r="EL516" s="56"/>
      <c r="EM516" s="56"/>
      <c r="EN516" s="56"/>
      <c r="EO516" s="56"/>
      <c r="EP516" s="56"/>
      <c r="EQ516" s="56"/>
      <c r="ER516" s="56"/>
      <c r="ES516" s="56"/>
      <c r="ET516" s="56"/>
      <c r="EU516" s="56"/>
      <c r="EV516" s="56"/>
      <c r="EW516" s="56"/>
      <c r="EX516" s="56"/>
      <c r="EY516" s="56"/>
      <c r="EZ516" s="56"/>
      <c r="FA516" s="56"/>
      <c r="FB516" s="56"/>
      <c r="FC516" s="56"/>
      <c r="FD516" s="56"/>
      <c r="FE516" s="56"/>
      <c r="FF516" s="56"/>
      <c r="FG516" s="56"/>
      <c r="FH516" s="56"/>
      <c r="FI516" s="56"/>
      <c r="FJ516" s="56"/>
      <c r="FK516" s="56"/>
      <c r="FL516" s="56"/>
      <c r="FM516" s="56"/>
      <c r="FN516" s="56"/>
      <c r="FO516" s="56"/>
      <c r="FP516" s="56"/>
      <c r="FQ516" s="56"/>
      <c r="FR516" s="56"/>
      <c r="FS516" s="56"/>
      <c r="FT516" s="56"/>
      <c r="FU516" s="56"/>
      <c r="FV516" s="56"/>
      <c r="FW516" s="56"/>
      <c r="FX516" s="56"/>
      <c r="FY516" s="56"/>
      <c r="FZ516" s="56"/>
      <c r="GA516" s="56"/>
      <c r="GB516" s="56"/>
      <c r="GC516" s="56"/>
      <c r="GD516" s="56"/>
      <c r="GE516" s="56"/>
      <c r="GF516" s="56"/>
      <c r="GG516" s="56"/>
      <c r="GH516" s="56"/>
      <c r="GI516" s="56"/>
      <c r="GJ516" s="56"/>
      <c r="GK516" s="56"/>
      <c r="GL516" s="56"/>
      <c r="GM516" s="56"/>
      <c r="GN516" s="56"/>
      <c r="GO516" s="56"/>
      <c r="GP516" s="56"/>
      <c r="GQ516" s="56"/>
      <c r="GR516" s="56"/>
      <c r="GS516" s="56"/>
      <c r="GT516" s="56"/>
      <c r="GU516" s="56"/>
      <c r="GV516" s="56"/>
      <c r="GW516" s="56"/>
      <c r="GX516" s="56"/>
      <c r="GY516" s="56"/>
      <c r="GZ516" s="56"/>
      <c r="HA516" s="56"/>
      <c r="HB516" s="56"/>
      <c r="HC516" s="56"/>
      <c r="HD516" s="56"/>
      <c r="HE516" s="56"/>
      <c r="HF516" s="56"/>
      <c r="HG516" s="56"/>
      <c r="HH516" s="56"/>
      <c r="HI516" s="56"/>
      <c r="HJ516" s="56"/>
    </row>
    <row r="517" spans="1:218" ht="15.75" customHeight="1" x14ac:dyDescent="0.2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  <c r="CL517" s="56"/>
      <c r="CM517" s="56"/>
      <c r="CN517" s="56"/>
      <c r="CO517" s="56"/>
      <c r="CP517" s="56"/>
      <c r="CQ517" s="56"/>
      <c r="CR517" s="56"/>
      <c r="CS517" s="56"/>
      <c r="CT517" s="56"/>
      <c r="CU517" s="56"/>
      <c r="CV517" s="56"/>
      <c r="CW517" s="56"/>
      <c r="CX517" s="56"/>
      <c r="CY517" s="56"/>
      <c r="CZ517" s="56"/>
      <c r="DA517" s="56"/>
      <c r="DB517" s="56"/>
      <c r="DC517" s="56"/>
      <c r="DD517" s="56"/>
      <c r="DE517" s="56"/>
      <c r="DF517" s="56"/>
      <c r="DG517" s="56"/>
      <c r="DH517" s="56"/>
      <c r="DI517" s="56"/>
      <c r="DJ517" s="56"/>
      <c r="DK517" s="56"/>
      <c r="DL517" s="56"/>
      <c r="DM517" s="56"/>
      <c r="DN517" s="56"/>
      <c r="DO517" s="56"/>
      <c r="DP517" s="56"/>
      <c r="DQ517" s="56"/>
      <c r="DR517" s="56"/>
      <c r="DS517" s="56"/>
      <c r="DT517" s="56"/>
      <c r="DU517" s="56"/>
      <c r="DV517" s="56"/>
      <c r="DW517" s="56"/>
      <c r="DX517" s="56"/>
      <c r="DY517" s="56"/>
      <c r="DZ517" s="56"/>
      <c r="EA517" s="56"/>
      <c r="EB517" s="56"/>
      <c r="EC517" s="56"/>
      <c r="ED517" s="56"/>
      <c r="EE517" s="56"/>
      <c r="EF517" s="56"/>
      <c r="EG517" s="56"/>
      <c r="EH517" s="56"/>
      <c r="EI517" s="56"/>
      <c r="EJ517" s="56"/>
      <c r="EK517" s="56"/>
      <c r="EL517" s="56"/>
      <c r="EM517" s="56"/>
      <c r="EN517" s="56"/>
      <c r="EO517" s="56"/>
      <c r="EP517" s="56"/>
      <c r="EQ517" s="56"/>
      <c r="ER517" s="56"/>
      <c r="ES517" s="56"/>
      <c r="ET517" s="56"/>
      <c r="EU517" s="56"/>
      <c r="EV517" s="56"/>
      <c r="EW517" s="56"/>
      <c r="EX517" s="56"/>
      <c r="EY517" s="56"/>
      <c r="EZ517" s="56"/>
      <c r="FA517" s="56"/>
      <c r="FB517" s="56"/>
      <c r="FC517" s="56"/>
      <c r="FD517" s="56"/>
      <c r="FE517" s="56"/>
      <c r="FF517" s="56"/>
      <c r="FG517" s="56"/>
      <c r="FH517" s="56"/>
      <c r="FI517" s="56"/>
      <c r="FJ517" s="56"/>
      <c r="FK517" s="56"/>
      <c r="FL517" s="56"/>
      <c r="FM517" s="56"/>
      <c r="FN517" s="56"/>
      <c r="FO517" s="56"/>
      <c r="FP517" s="56"/>
      <c r="FQ517" s="56"/>
      <c r="FR517" s="56"/>
      <c r="FS517" s="56"/>
      <c r="FT517" s="56"/>
      <c r="FU517" s="56"/>
      <c r="FV517" s="56"/>
      <c r="FW517" s="56"/>
      <c r="FX517" s="56"/>
      <c r="FY517" s="56"/>
      <c r="FZ517" s="56"/>
      <c r="GA517" s="56"/>
      <c r="GB517" s="56"/>
      <c r="GC517" s="56"/>
      <c r="GD517" s="56"/>
      <c r="GE517" s="56"/>
      <c r="GF517" s="56"/>
      <c r="GG517" s="56"/>
      <c r="GH517" s="56"/>
      <c r="GI517" s="56"/>
      <c r="GJ517" s="56"/>
      <c r="GK517" s="56"/>
      <c r="GL517" s="56"/>
      <c r="GM517" s="56"/>
      <c r="GN517" s="56"/>
      <c r="GO517" s="56"/>
      <c r="GP517" s="56"/>
      <c r="GQ517" s="56"/>
      <c r="GR517" s="56"/>
      <c r="GS517" s="56"/>
      <c r="GT517" s="56"/>
      <c r="GU517" s="56"/>
      <c r="GV517" s="56"/>
      <c r="GW517" s="56"/>
      <c r="GX517" s="56"/>
      <c r="GY517" s="56"/>
      <c r="GZ517" s="56"/>
      <c r="HA517" s="56"/>
      <c r="HB517" s="56"/>
      <c r="HC517" s="56"/>
      <c r="HD517" s="56"/>
      <c r="HE517" s="56"/>
      <c r="HF517" s="56"/>
      <c r="HG517" s="56"/>
      <c r="HH517" s="56"/>
      <c r="HI517" s="56"/>
      <c r="HJ517" s="56"/>
    </row>
    <row r="518" spans="1:218" ht="15.75" customHeight="1" x14ac:dyDescent="0.2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  <c r="CL518" s="56"/>
      <c r="CM518" s="56"/>
      <c r="CN518" s="56"/>
      <c r="CO518" s="56"/>
      <c r="CP518" s="56"/>
      <c r="CQ518" s="56"/>
      <c r="CR518" s="56"/>
      <c r="CS518" s="56"/>
      <c r="CT518" s="56"/>
      <c r="CU518" s="56"/>
      <c r="CV518" s="56"/>
      <c r="CW518" s="56"/>
      <c r="CX518" s="56"/>
      <c r="CY518" s="56"/>
      <c r="CZ518" s="56"/>
      <c r="DA518" s="56"/>
      <c r="DB518" s="56"/>
      <c r="DC518" s="56"/>
      <c r="DD518" s="56"/>
      <c r="DE518" s="56"/>
      <c r="DF518" s="56"/>
      <c r="DG518" s="56"/>
      <c r="DH518" s="56"/>
      <c r="DI518" s="56"/>
      <c r="DJ518" s="56"/>
      <c r="DK518" s="56"/>
      <c r="DL518" s="56"/>
      <c r="DM518" s="56"/>
      <c r="DN518" s="56"/>
      <c r="DO518" s="56"/>
      <c r="DP518" s="56"/>
      <c r="DQ518" s="56"/>
      <c r="DR518" s="56"/>
      <c r="DS518" s="56"/>
      <c r="DT518" s="56"/>
      <c r="DU518" s="56"/>
      <c r="DV518" s="56"/>
      <c r="DW518" s="56"/>
      <c r="DX518" s="56"/>
      <c r="DY518" s="56"/>
      <c r="DZ518" s="56"/>
      <c r="EA518" s="56"/>
      <c r="EB518" s="56"/>
      <c r="EC518" s="56"/>
      <c r="ED518" s="56"/>
      <c r="EE518" s="56"/>
      <c r="EF518" s="56"/>
      <c r="EG518" s="56"/>
      <c r="EH518" s="56"/>
      <c r="EI518" s="56"/>
      <c r="EJ518" s="56"/>
      <c r="EK518" s="56"/>
      <c r="EL518" s="56"/>
      <c r="EM518" s="56"/>
      <c r="EN518" s="56"/>
      <c r="EO518" s="56"/>
      <c r="EP518" s="56"/>
      <c r="EQ518" s="56"/>
      <c r="ER518" s="56"/>
      <c r="ES518" s="56"/>
      <c r="ET518" s="56"/>
      <c r="EU518" s="56"/>
      <c r="EV518" s="56"/>
      <c r="EW518" s="56"/>
      <c r="EX518" s="56"/>
      <c r="EY518" s="56"/>
      <c r="EZ518" s="56"/>
      <c r="FA518" s="56"/>
      <c r="FB518" s="56"/>
      <c r="FC518" s="56"/>
      <c r="FD518" s="56"/>
      <c r="FE518" s="56"/>
      <c r="FF518" s="56"/>
      <c r="FG518" s="56"/>
      <c r="FH518" s="56"/>
      <c r="FI518" s="56"/>
      <c r="FJ518" s="56"/>
      <c r="FK518" s="56"/>
      <c r="FL518" s="56"/>
      <c r="FM518" s="56"/>
      <c r="FN518" s="56"/>
      <c r="FO518" s="56"/>
      <c r="FP518" s="56"/>
      <c r="FQ518" s="56"/>
      <c r="FR518" s="56"/>
      <c r="FS518" s="56"/>
      <c r="FT518" s="56"/>
      <c r="FU518" s="56"/>
      <c r="FV518" s="56"/>
      <c r="FW518" s="56"/>
      <c r="FX518" s="56"/>
      <c r="FY518" s="56"/>
      <c r="FZ518" s="56"/>
      <c r="GA518" s="56"/>
      <c r="GB518" s="56"/>
      <c r="GC518" s="56"/>
      <c r="GD518" s="56"/>
      <c r="GE518" s="56"/>
      <c r="GF518" s="56"/>
      <c r="GG518" s="56"/>
      <c r="GH518" s="56"/>
      <c r="GI518" s="56"/>
      <c r="GJ518" s="56"/>
      <c r="GK518" s="56"/>
      <c r="GL518" s="56"/>
      <c r="GM518" s="56"/>
      <c r="GN518" s="56"/>
      <c r="GO518" s="56"/>
      <c r="GP518" s="56"/>
      <c r="GQ518" s="56"/>
      <c r="GR518" s="56"/>
      <c r="GS518" s="56"/>
      <c r="GT518" s="56"/>
      <c r="GU518" s="56"/>
      <c r="GV518" s="56"/>
      <c r="GW518" s="56"/>
      <c r="GX518" s="56"/>
      <c r="GY518" s="56"/>
      <c r="GZ518" s="56"/>
      <c r="HA518" s="56"/>
      <c r="HB518" s="56"/>
      <c r="HC518" s="56"/>
      <c r="HD518" s="56"/>
      <c r="HE518" s="56"/>
      <c r="HF518" s="56"/>
      <c r="HG518" s="56"/>
      <c r="HH518" s="56"/>
      <c r="HI518" s="56"/>
      <c r="HJ518" s="56"/>
    </row>
    <row r="519" spans="1:218" ht="15.75" customHeight="1" x14ac:dyDescent="0.2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56"/>
      <c r="CP519" s="56"/>
      <c r="CQ519" s="56"/>
      <c r="CR519" s="56"/>
      <c r="CS519" s="56"/>
      <c r="CT519" s="56"/>
      <c r="CU519" s="56"/>
      <c r="CV519" s="56"/>
      <c r="CW519" s="56"/>
      <c r="CX519" s="56"/>
      <c r="CY519" s="56"/>
      <c r="CZ519" s="56"/>
      <c r="DA519" s="56"/>
      <c r="DB519" s="56"/>
      <c r="DC519" s="56"/>
      <c r="DD519" s="56"/>
      <c r="DE519" s="56"/>
      <c r="DF519" s="56"/>
      <c r="DG519" s="56"/>
      <c r="DH519" s="56"/>
      <c r="DI519" s="56"/>
      <c r="DJ519" s="56"/>
      <c r="DK519" s="56"/>
      <c r="DL519" s="56"/>
      <c r="DM519" s="56"/>
      <c r="DN519" s="56"/>
      <c r="DO519" s="56"/>
      <c r="DP519" s="56"/>
      <c r="DQ519" s="56"/>
      <c r="DR519" s="56"/>
      <c r="DS519" s="56"/>
      <c r="DT519" s="56"/>
      <c r="DU519" s="56"/>
      <c r="DV519" s="56"/>
      <c r="DW519" s="56"/>
      <c r="DX519" s="56"/>
      <c r="DY519" s="56"/>
      <c r="DZ519" s="56"/>
      <c r="EA519" s="56"/>
      <c r="EB519" s="56"/>
      <c r="EC519" s="56"/>
      <c r="ED519" s="56"/>
      <c r="EE519" s="56"/>
      <c r="EF519" s="56"/>
      <c r="EG519" s="56"/>
      <c r="EH519" s="56"/>
      <c r="EI519" s="56"/>
      <c r="EJ519" s="56"/>
      <c r="EK519" s="56"/>
      <c r="EL519" s="56"/>
      <c r="EM519" s="56"/>
      <c r="EN519" s="56"/>
      <c r="EO519" s="56"/>
      <c r="EP519" s="56"/>
      <c r="EQ519" s="56"/>
      <c r="ER519" s="56"/>
      <c r="ES519" s="56"/>
      <c r="ET519" s="56"/>
      <c r="EU519" s="56"/>
      <c r="EV519" s="56"/>
      <c r="EW519" s="56"/>
      <c r="EX519" s="56"/>
      <c r="EY519" s="56"/>
      <c r="EZ519" s="56"/>
      <c r="FA519" s="56"/>
      <c r="FB519" s="56"/>
      <c r="FC519" s="56"/>
      <c r="FD519" s="56"/>
      <c r="FE519" s="56"/>
      <c r="FF519" s="56"/>
      <c r="FG519" s="56"/>
      <c r="FH519" s="56"/>
      <c r="FI519" s="56"/>
      <c r="FJ519" s="56"/>
      <c r="FK519" s="56"/>
      <c r="FL519" s="56"/>
      <c r="FM519" s="56"/>
      <c r="FN519" s="56"/>
      <c r="FO519" s="56"/>
      <c r="FP519" s="56"/>
      <c r="FQ519" s="56"/>
      <c r="FR519" s="56"/>
      <c r="FS519" s="56"/>
      <c r="FT519" s="56"/>
      <c r="FU519" s="56"/>
      <c r="FV519" s="56"/>
      <c r="FW519" s="56"/>
      <c r="FX519" s="56"/>
      <c r="FY519" s="56"/>
      <c r="FZ519" s="56"/>
      <c r="GA519" s="56"/>
      <c r="GB519" s="56"/>
      <c r="GC519" s="56"/>
      <c r="GD519" s="56"/>
      <c r="GE519" s="56"/>
      <c r="GF519" s="56"/>
      <c r="GG519" s="56"/>
      <c r="GH519" s="56"/>
      <c r="GI519" s="56"/>
      <c r="GJ519" s="56"/>
      <c r="GK519" s="56"/>
      <c r="GL519" s="56"/>
      <c r="GM519" s="56"/>
      <c r="GN519" s="56"/>
      <c r="GO519" s="56"/>
      <c r="GP519" s="56"/>
      <c r="GQ519" s="56"/>
      <c r="GR519" s="56"/>
      <c r="GS519" s="56"/>
      <c r="GT519" s="56"/>
      <c r="GU519" s="56"/>
      <c r="GV519" s="56"/>
      <c r="GW519" s="56"/>
      <c r="GX519" s="56"/>
      <c r="GY519" s="56"/>
      <c r="GZ519" s="56"/>
      <c r="HA519" s="56"/>
      <c r="HB519" s="56"/>
      <c r="HC519" s="56"/>
      <c r="HD519" s="56"/>
      <c r="HE519" s="56"/>
      <c r="HF519" s="56"/>
      <c r="HG519" s="56"/>
      <c r="HH519" s="56"/>
      <c r="HI519" s="56"/>
      <c r="HJ519" s="56"/>
    </row>
    <row r="520" spans="1:218" ht="15.75" customHeight="1" x14ac:dyDescent="0.2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56"/>
      <c r="CP520" s="56"/>
      <c r="CQ520" s="56"/>
      <c r="CR520" s="56"/>
      <c r="CS520" s="56"/>
      <c r="CT520" s="56"/>
      <c r="CU520" s="56"/>
      <c r="CV520" s="56"/>
      <c r="CW520" s="56"/>
      <c r="CX520" s="56"/>
      <c r="CY520" s="56"/>
      <c r="CZ520" s="56"/>
      <c r="DA520" s="56"/>
      <c r="DB520" s="56"/>
      <c r="DC520" s="56"/>
      <c r="DD520" s="56"/>
      <c r="DE520" s="56"/>
      <c r="DF520" s="56"/>
      <c r="DG520" s="56"/>
      <c r="DH520" s="56"/>
      <c r="DI520" s="56"/>
      <c r="DJ520" s="56"/>
      <c r="DK520" s="56"/>
      <c r="DL520" s="56"/>
      <c r="DM520" s="56"/>
      <c r="DN520" s="56"/>
      <c r="DO520" s="56"/>
      <c r="DP520" s="56"/>
      <c r="DQ520" s="56"/>
      <c r="DR520" s="56"/>
      <c r="DS520" s="56"/>
      <c r="DT520" s="56"/>
      <c r="DU520" s="56"/>
      <c r="DV520" s="56"/>
      <c r="DW520" s="56"/>
      <c r="DX520" s="56"/>
      <c r="DY520" s="56"/>
      <c r="DZ520" s="56"/>
      <c r="EA520" s="56"/>
      <c r="EB520" s="56"/>
      <c r="EC520" s="56"/>
      <c r="ED520" s="56"/>
      <c r="EE520" s="56"/>
      <c r="EF520" s="56"/>
      <c r="EG520" s="56"/>
      <c r="EH520" s="56"/>
      <c r="EI520" s="56"/>
      <c r="EJ520" s="56"/>
      <c r="EK520" s="56"/>
      <c r="EL520" s="56"/>
      <c r="EM520" s="56"/>
      <c r="EN520" s="56"/>
      <c r="EO520" s="56"/>
      <c r="EP520" s="56"/>
      <c r="EQ520" s="56"/>
      <c r="ER520" s="56"/>
      <c r="ES520" s="56"/>
      <c r="ET520" s="56"/>
      <c r="EU520" s="56"/>
      <c r="EV520" s="56"/>
      <c r="EW520" s="56"/>
      <c r="EX520" s="56"/>
      <c r="EY520" s="56"/>
      <c r="EZ520" s="56"/>
      <c r="FA520" s="56"/>
      <c r="FB520" s="56"/>
      <c r="FC520" s="56"/>
      <c r="FD520" s="56"/>
      <c r="FE520" s="56"/>
      <c r="FF520" s="56"/>
      <c r="FG520" s="56"/>
      <c r="FH520" s="56"/>
      <c r="FI520" s="56"/>
      <c r="FJ520" s="56"/>
      <c r="FK520" s="56"/>
      <c r="FL520" s="56"/>
      <c r="FM520" s="56"/>
      <c r="FN520" s="56"/>
      <c r="FO520" s="56"/>
      <c r="FP520" s="56"/>
      <c r="FQ520" s="56"/>
      <c r="FR520" s="56"/>
      <c r="FS520" s="56"/>
      <c r="FT520" s="56"/>
      <c r="FU520" s="56"/>
      <c r="FV520" s="56"/>
      <c r="FW520" s="56"/>
      <c r="FX520" s="56"/>
      <c r="FY520" s="56"/>
      <c r="FZ520" s="56"/>
      <c r="GA520" s="56"/>
      <c r="GB520" s="56"/>
      <c r="GC520" s="56"/>
      <c r="GD520" s="56"/>
      <c r="GE520" s="56"/>
      <c r="GF520" s="56"/>
      <c r="GG520" s="56"/>
      <c r="GH520" s="56"/>
      <c r="GI520" s="56"/>
      <c r="GJ520" s="56"/>
      <c r="GK520" s="56"/>
      <c r="GL520" s="56"/>
      <c r="GM520" s="56"/>
      <c r="GN520" s="56"/>
      <c r="GO520" s="56"/>
      <c r="GP520" s="56"/>
      <c r="GQ520" s="56"/>
      <c r="GR520" s="56"/>
      <c r="GS520" s="56"/>
      <c r="GT520" s="56"/>
      <c r="GU520" s="56"/>
      <c r="GV520" s="56"/>
      <c r="GW520" s="56"/>
      <c r="GX520" s="56"/>
      <c r="GY520" s="56"/>
      <c r="GZ520" s="56"/>
      <c r="HA520" s="56"/>
      <c r="HB520" s="56"/>
      <c r="HC520" s="56"/>
      <c r="HD520" s="56"/>
      <c r="HE520" s="56"/>
      <c r="HF520" s="56"/>
      <c r="HG520" s="56"/>
      <c r="HH520" s="56"/>
      <c r="HI520" s="56"/>
      <c r="HJ520" s="56"/>
    </row>
    <row r="521" spans="1:218" ht="15.75" customHeight="1" x14ac:dyDescent="0.2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  <c r="CL521" s="56"/>
      <c r="CM521" s="56"/>
      <c r="CN521" s="56"/>
      <c r="CO521" s="56"/>
      <c r="CP521" s="56"/>
      <c r="CQ521" s="56"/>
      <c r="CR521" s="56"/>
      <c r="CS521" s="56"/>
      <c r="CT521" s="56"/>
      <c r="CU521" s="56"/>
      <c r="CV521" s="56"/>
      <c r="CW521" s="56"/>
      <c r="CX521" s="56"/>
      <c r="CY521" s="56"/>
      <c r="CZ521" s="56"/>
      <c r="DA521" s="56"/>
      <c r="DB521" s="56"/>
      <c r="DC521" s="56"/>
      <c r="DD521" s="56"/>
      <c r="DE521" s="56"/>
      <c r="DF521" s="56"/>
      <c r="DG521" s="56"/>
      <c r="DH521" s="56"/>
      <c r="DI521" s="56"/>
      <c r="DJ521" s="56"/>
      <c r="DK521" s="56"/>
      <c r="DL521" s="56"/>
      <c r="DM521" s="56"/>
      <c r="DN521" s="56"/>
      <c r="DO521" s="56"/>
      <c r="DP521" s="56"/>
      <c r="DQ521" s="56"/>
      <c r="DR521" s="56"/>
      <c r="DS521" s="56"/>
      <c r="DT521" s="56"/>
      <c r="DU521" s="56"/>
      <c r="DV521" s="56"/>
      <c r="DW521" s="56"/>
      <c r="DX521" s="56"/>
      <c r="DY521" s="56"/>
      <c r="DZ521" s="56"/>
      <c r="EA521" s="56"/>
      <c r="EB521" s="56"/>
      <c r="EC521" s="56"/>
      <c r="ED521" s="56"/>
      <c r="EE521" s="56"/>
      <c r="EF521" s="56"/>
      <c r="EG521" s="56"/>
      <c r="EH521" s="56"/>
      <c r="EI521" s="56"/>
      <c r="EJ521" s="56"/>
      <c r="EK521" s="56"/>
      <c r="EL521" s="56"/>
      <c r="EM521" s="56"/>
      <c r="EN521" s="56"/>
      <c r="EO521" s="56"/>
      <c r="EP521" s="56"/>
      <c r="EQ521" s="56"/>
      <c r="ER521" s="56"/>
      <c r="ES521" s="56"/>
      <c r="ET521" s="56"/>
      <c r="EU521" s="56"/>
      <c r="EV521" s="56"/>
      <c r="EW521" s="56"/>
      <c r="EX521" s="56"/>
      <c r="EY521" s="56"/>
      <c r="EZ521" s="56"/>
      <c r="FA521" s="56"/>
      <c r="FB521" s="56"/>
      <c r="FC521" s="56"/>
      <c r="FD521" s="56"/>
      <c r="FE521" s="56"/>
      <c r="FF521" s="56"/>
      <c r="FG521" s="56"/>
      <c r="FH521" s="56"/>
      <c r="FI521" s="56"/>
      <c r="FJ521" s="56"/>
      <c r="FK521" s="56"/>
      <c r="FL521" s="56"/>
      <c r="FM521" s="56"/>
      <c r="FN521" s="56"/>
      <c r="FO521" s="56"/>
      <c r="FP521" s="56"/>
      <c r="FQ521" s="56"/>
      <c r="FR521" s="56"/>
      <c r="FS521" s="56"/>
      <c r="FT521" s="56"/>
      <c r="FU521" s="56"/>
      <c r="FV521" s="56"/>
      <c r="FW521" s="56"/>
      <c r="FX521" s="56"/>
      <c r="FY521" s="56"/>
      <c r="FZ521" s="56"/>
      <c r="GA521" s="56"/>
      <c r="GB521" s="56"/>
      <c r="GC521" s="56"/>
      <c r="GD521" s="56"/>
      <c r="GE521" s="56"/>
      <c r="GF521" s="56"/>
      <c r="GG521" s="56"/>
      <c r="GH521" s="56"/>
      <c r="GI521" s="56"/>
      <c r="GJ521" s="56"/>
      <c r="GK521" s="56"/>
      <c r="GL521" s="56"/>
      <c r="GM521" s="56"/>
      <c r="GN521" s="56"/>
      <c r="GO521" s="56"/>
      <c r="GP521" s="56"/>
      <c r="GQ521" s="56"/>
      <c r="GR521" s="56"/>
      <c r="GS521" s="56"/>
      <c r="GT521" s="56"/>
      <c r="GU521" s="56"/>
      <c r="GV521" s="56"/>
      <c r="GW521" s="56"/>
      <c r="GX521" s="56"/>
      <c r="GY521" s="56"/>
      <c r="GZ521" s="56"/>
      <c r="HA521" s="56"/>
      <c r="HB521" s="56"/>
      <c r="HC521" s="56"/>
      <c r="HD521" s="56"/>
      <c r="HE521" s="56"/>
      <c r="HF521" s="56"/>
      <c r="HG521" s="56"/>
      <c r="HH521" s="56"/>
      <c r="HI521" s="56"/>
      <c r="HJ521" s="56"/>
    </row>
    <row r="522" spans="1:218" ht="15.75" customHeight="1" x14ac:dyDescent="0.2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  <c r="CL522" s="56"/>
      <c r="CM522" s="56"/>
      <c r="CN522" s="56"/>
      <c r="CO522" s="56"/>
      <c r="CP522" s="56"/>
      <c r="CQ522" s="56"/>
      <c r="CR522" s="56"/>
      <c r="CS522" s="56"/>
      <c r="CT522" s="56"/>
      <c r="CU522" s="56"/>
      <c r="CV522" s="56"/>
      <c r="CW522" s="56"/>
      <c r="CX522" s="56"/>
      <c r="CY522" s="56"/>
      <c r="CZ522" s="56"/>
      <c r="DA522" s="56"/>
      <c r="DB522" s="56"/>
      <c r="DC522" s="56"/>
      <c r="DD522" s="56"/>
      <c r="DE522" s="56"/>
      <c r="DF522" s="56"/>
      <c r="DG522" s="56"/>
      <c r="DH522" s="56"/>
      <c r="DI522" s="56"/>
      <c r="DJ522" s="56"/>
      <c r="DK522" s="56"/>
      <c r="DL522" s="56"/>
      <c r="DM522" s="56"/>
      <c r="DN522" s="56"/>
      <c r="DO522" s="56"/>
      <c r="DP522" s="56"/>
      <c r="DQ522" s="56"/>
      <c r="DR522" s="56"/>
      <c r="DS522" s="56"/>
      <c r="DT522" s="56"/>
      <c r="DU522" s="56"/>
      <c r="DV522" s="56"/>
      <c r="DW522" s="56"/>
      <c r="DX522" s="56"/>
      <c r="DY522" s="56"/>
      <c r="DZ522" s="56"/>
      <c r="EA522" s="56"/>
      <c r="EB522" s="56"/>
      <c r="EC522" s="56"/>
      <c r="ED522" s="56"/>
      <c r="EE522" s="56"/>
      <c r="EF522" s="56"/>
      <c r="EG522" s="56"/>
      <c r="EH522" s="56"/>
      <c r="EI522" s="56"/>
      <c r="EJ522" s="56"/>
      <c r="EK522" s="56"/>
      <c r="EL522" s="56"/>
      <c r="EM522" s="56"/>
      <c r="EN522" s="56"/>
      <c r="EO522" s="56"/>
      <c r="EP522" s="56"/>
      <c r="EQ522" s="56"/>
      <c r="ER522" s="56"/>
      <c r="ES522" s="56"/>
      <c r="ET522" s="56"/>
      <c r="EU522" s="56"/>
      <c r="EV522" s="56"/>
      <c r="EW522" s="56"/>
      <c r="EX522" s="56"/>
      <c r="EY522" s="56"/>
      <c r="EZ522" s="56"/>
      <c r="FA522" s="56"/>
      <c r="FB522" s="56"/>
      <c r="FC522" s="56"/>
      <c r="FD522" s="56"/>
      <c r="FE522" s="56"/>
      <c r="FF522" s="56"/>
      <c r="FG522" s="56"/>
      <c r="FH522" s="56"/>
      <c r="FI522" s="56"/>
      <c r="FJ522" s="56"/>
      <c r="FK522" s="56"/>
      <c r="FL522" s="56"/>
      <c r="FM522" s="56"/>
      <c r="FN522" s="56"/>
      <c r="FO522" s="56"/>
      <c r="FP522" s="56"/>
      <c r="FQ522" s="56"/>
      <c r="FR522" s="56"/>
      <c r="FS522" s="56"/>
      <c r="FT522" s="56"/>
      <c r="FU522" s="56"/>
      <c r="FV522" s="56"/>
      <c r="FW522" s="56"/>
      <c r="FX522" s="56"/>
      <c r="FY522" s="56"/>
      <c r="FZ522" s="56"/>
      <c r="GA522" s="56"/>
      <c r="GB522" s="56"/>
      <c r="GC522" s="56"/>
      <c r="GD522" s="56"/>
      <c r="GE522" s="56"/>
      <c r="GF522" s="56"/>
      <c r="GG522" s="56"/>
      <c r="GH522" s="56"/>
      <c r="GI522" s="56"/>
      <c r="GJ522" s="56"/>
      <c r="GK522" s="56"/>
      <c r="GL522" s="56"/>
      <c r="GM522" s="56"/>
      <c r="GN522" s="56"/>
      <c r="GO522" s="56"/>
      <c r="GP522" s="56"/>
      <c r="GQ522" s="56"/>
      <c r="GR522" s="56"/>
      <c r="GS522" s="56"/>
      <c r="GT522" s="56"/>
      <c r="GU522" s="56"/>
      <c r="GV522" s="56"/>
      <c r="GW522" s="56"/>
      <c r="GX522" s="56"/>
      <c r="GY522" s="56"/>
      <c r="GZ522" s="56"/>
      <c r="HA522" s="56"/>
      <c r="HB522" s="56"/>
      <c r="HC522" s="56"/>
      <c r="HD522" s="56"/>
      <c r="HE522" s="56"/>
      <c r="HF522" s="56"/>
      <c r="HG522" s="56"/>
      <c r="HH522" s="56"/>
      <c r="HI522" s="56"/>
      <c r="HJ522" s="56"/>
    </row>
    <row r="523" spans="1:218" ht="15.75" customHeight="1" x14ac:dyDescent="0.2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  <c r="BV523" s="56"/>
      <c r="BW523" s="56"/>
      <c r="BX523" s="56"/>
      <c r="BY523" s="56"/>
      <c r="BZ523" s="56"/>
      <c r="CA523" s="56"/>
      <c r="CB523" s="56"/>
      <c r="CC523" s="56"/>
      <c r="CD523" s="56"/>
      <c r="CE523" s="56"/>
      <c r="CF523" s="56"/>
      <c r="CG523" s="56"/>
      <c r="CH523" s="56"/>
      <c r="CI523" s="56"/>
      <c r="CJ523" s="56"/>
      <c r="CK523" s="56"/>
      <c r="CL523" s="56"/>
      <c r="CM523" s="56"/>
      <c r="CN523" s="56"/>
      <c r="CO523" s="56"/>
      <c r="CP523" s="56"/>
      <c r="CQ523" s="56"/>
      <c r="CR523" s="56"/>
      <c r="CS523" s="56"/>
      <c r="CT523" s="56"/>
      <c r="CU523" s="56"/>
      <c r="CV523" s="56"/>
      <c r="CW523" s="56"/>
      <c r="CX523" s="56"/>
      <c r="CY523" s="56"/>
      <c r="CZ523" s="56"/>
      <c r="DA523" s="56"/>
      <c r="DB523" s="56"/>
      <c r="DC523" s="56"/>
      <c r="DD523" s="56"/>
      <c r="DE523" s="56"/>
      <c r="DF523" s="56"/>
      <c r="DG523" s="56"/>
      <c r="DH523" s="56"/>
      <c r="DI523" s="56"/>
      <c r="DJ523" s="56"/>
      <c r="DK523" s="56"/>
      <c r="DL523" s="56"/>
      <c r="DM523" s="56"/>
      <c r="DN523" s="56"/>
      <c r="DO523" s="56"/>
      <c r="DP523" s="56"/>
      <c r="DQ523" s="56"/>
      <c r="DR523" s="56"/>
      <c r="DS523" s="56"/>
      <c r="DT523" s="56"/>
      <c r="DU523" s="56"/>
      <c r="DV523" s="56"/>
      <c r="DW523" s="56"/>
      <c r="DX523" s="56"/>
      <c r="DY523" s="56"/>
      <c r="DZ523" s="56"/>
      <c r="EA523" s="56"/>
      <c r="EB523" s="56"/>
      <c r="EC523" s="56"/>
      <c r="ED523" s="56"/>
      <c r="EE523" s="56"/>
      <c r="EF523" s="56"/>
      <c r="EG523" s="56"/>
      <c r="EH523" s="56"/>
      <c r="EI523" s="56"/>
      <c r="EJ523" s="56"/>
      <c r="EK523" s="56"/>
      <c r="EL523" s="56"/>
      <c r="EM523" s="56"/>
      <c r="EN523" s="56"/>
      <c r="EO523" s="56"/>
      <c r="EP523" s="56"/>
      <c r="EQ523" s="56"/>
      <c r="ER523" s="56"/>
      <c r="ES523" s="56"/>
      <c r="ET523" s="56"/>
      <c r="EU523" s="56"/>
      <c r="EV523" s="56"/>
      <c r="EW523" s="56"/>
      <c r="EX523" s="56"/>
      <c r="EY523" s="56"/>
      <c r="EZ523" s="56"/>
      <c r="FA523" s="56"/>
      <c r="FB523" s="56"/>
      <c r="FC523" s="56"/>
      <c r="FD523" s="56"/>
      <c r="FE523" s="56"/>
      <c r="FF523" s="56"/>
      <c r="FG523" s="56"/>
      <c r="FH523" s="56"/>
      <c r="FI523" s="56"/>
      <c r="FJ523" s="56"/>
      <c r="FK523" s="56"/>
      <c r="FL523" s="56"/>
      <c r="FM523" s="56"/>
      <c r="FN523" s="56"/>
      <c r="FO523" s="56"/>
      <c r="FP523" s="56"/>
      <c r="FQ523" s="56"/>
      <c r="FR523" s="56"/>
      <c r="FS523" s="56"/>
      <c r="FT523" s="56"/>
      <c r="FU523" s="56"/>
      <c r="FV523" s="56"/>
      <c r="FW523" s="56"/>
      <c r="FX523" s="56"/>
      <c r="FY523" s="56"/>
      <c r="FZ523" s="56"/>
      <c r="GA523" s="56"/>
      <c r="GB523" s="56"/>
      <c r="GC523" s="56"/>
      <c r="GD523" s="56"/>
      <c r="GE523" s="56"/>
      <c r="GF523" s="56"/>
      <c r="GG523" s="56"/>
      <c r="GH523" s="56"/>
      <c r="GI523" s="56"/>
      <c r="GJ523" s="56"/>
      <c r="GK523" s="56"/>
      <c r="GL523" s="56"/>
      <c r="GM523" s="56"/>
      <c r="GN523" s="56"/>
      <c r="GO523" s="56"/>
      <c r="GP523" s="56"/>
      <c r="GQ523" s="56"/>
      <c r="GR523" s="56"/>
      <c r="GS523" s="56"/>
      <c r="GT523" s="56"/>
      <c r="GU523" s="56"/>
      <c r="GV523" s="56"/>
      <c r="GW523" s="56"/>
      <c r="GX523" s="56"/>
      <c r="GY523" s="56"/>
      <c r="GZ523" s="56"/>
      <c r="HA523" s="56"/>
      <c r="HB523" s="56"/>
      <c r="HC523" s="56"/>
      <c r="HD523" s="56"/>
      <c r="HE523" s="56"/>
      <c r="HF523" s="56"/>
      <c r="HG523" s="56"/>
      <c r="HH523" s="56"/>
      <c r="HI523" s="56"/>
      <c r="HJ523" s="56"/>
    </row>
    <row r="524" spans="1:218" ht="15.75" customHeight="1" x14ac:dyDescent="0.2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56"/>
      <c r="CP524" s="56"/>
      <c r="CQ524" s="56"/>
      <c r="CR524" s="56"/>
      <c r="CS524" s="56"/>
      <c r="CT524" s="56"/>
      <c r="CU524" s="56"/>
      <c r="CV524" s="56"/>
      <c r="CW524" s="56"/>
      <c r="CX524" s="56"/>
      <c r="CY524" s="56"/>
      <c r="CZ524" s="56"/>
      <c r="DA524" s="56"/>
      <c r="DB524" s="56"/>
      <c r="DC524" s="56"/>
      <c r="DD524" s="56"/>
      <c r="DE524" s="56"/>
      <c r="DF524" s="56"/>
      <c r="DG524" s="56"/>
      <c r="DH524" s="56"/>
      <c r="DI524" s="56"/>
      <c r="DJ524" s="56"/>
      <c r="DK524" s="56"/>
      <c r="DL524" s="56"/>
      <c r="DM524" s="56"/>
      <c r="DN524" s="56"/>
      <c r="DO524" s="56"/>
      <c r="DP524" s="56"/>
      <c r="DQ524" s="56"/>
      <c r="DR524" s="56"/>
      <c r="DS524" s="56"/>
      <c r="DT524" s="56"/>
      <c r="DU524" s="56"/>
      <c r="DV524" s="56"/>
      <c r="DW524" s="56"/>
      <c r="DX524" s="56"/>
      <c r="DY524" s="56"/>
      <c r="DZ524" s="56"/>
      <c r="EA524" s="56"/>
      <c r="EB524" s="56"/>
      <c r="EC524" s="56"/>
      <c r="ED524" s="56"/>
      <c r="EE524" s="56"/>
      <c r="EF524" s="56"/>
      <c r="EG524" s="56"/>
      <c r="EH524" s="56"/>
      <c r="EI524" s="56"/>
      <c r="EJ524" s="56"/>
      <c r="EK524" s="56"/>
      <c r="EL524" s="56"/>
      <c r="EM524" s="56"/>
      <c r="EN524" s="56"/>
      <c r="EO524" s="56"/>
      <c r="EP524" s="56"/>
      <c r="EQ524" s="56"/>
      <c r="ER524" s="56"/>
      <c r="ES524" s="56"/>
      <c r="ET524" s="56"/>
      <c r="EU524" s="56"/>
      <c r="EV524" s="56"/>
      <c r="EW524" s="56"/>
      <c r="EX524" s="56"/>
      <c r="EY524" s="56"/>
      <c r="EZ524" s="56"/>
      <c r="FA524" s="56"/>
      <c r="FB524" s="56"/>
      <c r="FC524" s="56"/>
      <c r="FD524" s="56"/>
      <c r="FE524" s="56"/>
      <c r="FF524" s="56"/>
      <c r="FG524" s="56"/>
      <c r="FH524" s="56"/>
      <c r="FI524" s="56"/>
      <c r="FJ524" s="56"/>
      <c r="FK524" s="56"/>
      <c r="FL524" s="56"/>
      <c r="FM524" s="56"/>
      <c r="FN524" s="56"/>
      <c r="FO524" s="56"/>
      <c r="FP524" s="56"/>
      <c r="FQ524" s="56"/>
      <c r="FR524" s="56"/>
      <c r="FS524" s="56"/>
      <c r="FT524" s="56"/>
      <c r="FU524" s="56"/>
      <c r="FV524" s="56"/>
      <c r="FW524" s="56"/>
      <c r="FX524" s="56"/>
      <c r="FY524" s="56"/>
      <c r="FZ524" s="56"/>
      <c r="GA524" s="56"/>
      <c r="GB524" s="56"/>
      <c r="GC524" s="56"/>
      <c r="GD524" s="56"/>
      <c r="GE524" s="56"/>
      <c r="GF524" s="56"/>
      <c r="GG524" s="56"/>
      <c r="GH524" s="56"/>
      <c r="GI524" s="56"/>
      <c r="GJ524" s="56"/>
      <c r="GK524" s="56"/>
      <c r="GL524" s="56"/>
      <c r="GM524" s="56"/>
      <c r="GN524" s="56"/>
      <c r="GO524" s="56"/>
      <c r="GP524" s="56"/>
      <c r="GQ524" s="56"/>
      <c r="GR524" s="56"/>
      <c r="GS524" s="56"/>
      <c r="GT524" s="56"/>
      <c r="GU524" s="56"/>
      <c r="GV524" s="56"/>
      <c r="GW524" s="56"/>
      <c r="GX524" s="56"/>
      <c r="GY524" s="56"/>
      <c r="GZ524" s="56"/>
      <c r="HA524" s="56"/>
      <c r="HB524" s="56"/>
      <c r="HC524" s="56"/>
      <c r="HD524" s="56"/>
      <c r="HE524" s="56"/>
      <c r="HF524" s="56"/>
      <c r="HG524" s="56"/>
      <c r="HH524" s="56"/>
      <c r="HI524" s="56"/>
      <c r="HJ524" s="56"/>
    </row>
    <row r="525" spans="1:218" ht="15.75" customHeight="1" x14ac:dyDescent="0.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56"/>
      <c r="CP525" s="56"/>
      <c r="CQ525" s="56"/>
      <c r="CR525" s="56"/>
      <c r="CS525" s="56"/>
      <c r="CT525" s="56"/>
      <c r="CU525" s="56"/>
      <c r="CV525" s="56"/>
      <c r="CW525" s="56"/>
      <c r="CX525" s="56"/>
      <c r="CY525" s="56"/>
      <c r="CZ525" s="56"/>
      <c r="DA525" s="56"/>
      <c r="DB525" s="56"/>
      <c r="DC525" s="56"/>
      <c r="DD525" s="56"/>
      <c r="DE525" s="56"/>
      <c r="DF525" s="56"/>
      <c r="DG525" s="56"/>
      <c r="DH525" s="56"/>
      <c r="DI525" s="56"/>
      <c r="DJ525" s="56"/>
      <c r="DK525" s="56"/>
      <c r="DL525" s="56"/>
      <c r="DM525" s="56"/>
      <c r="DN525" s="56"/>
      <c r="DO525" s="56"/>
      <c r="DP525" s="56"/>
      <c r="DQ525" s="56"/>
      <c r="DR525" s="56"/>
      <c r="DS525" s="56"/>
      <c r="DT525" s="56"/>
      <c r="DU525" s="56"/>
      <c r="DV525" s="56"/>
      <c r="DW525" s="56"/>
      <c r="DX525" s="56"/>
      <c r="DY525" s="56"/>
      <c r="DZ525" s="56"/>
      <c r="EA525" s="56"/>
      <c r="EB525" s="56"/>
      <c r="EC525" s="56"/>
      <c r="ED525" s="56"/>
      <c r="EE525" s="56"/>
      <c r="EF525" s="56"/>
      <c r="EG525" s="56"/>
      <c r="EH525" s="56"/>
      <c r="EI525" s="56"/>
      <c r="EJ525" s="56"/>
      <c r="EK525" s="56"/>
      <c r="EL525" s="56"/>
      <c r="EM525" s="56"/>
      <c r="EN525" s="56"/>
      <c r="EO525" s="56"/>
      <c r="EP525" s="56"/>
      <c r="EQ525" s="56"/>
      <c r="ER525" s="56"/>
      <c r="ES525" s="56"/>
      <c r="ET525" s="56"/>
      <c r="EU525" s="56"/>
      <c r="EV525" s="56"/>
      <c r="EW525" s="56"/>
      <c r="EX525" s="56"/>
      <c r="EY525" s="56"/>
      <c r="EZ525" s="56"/>
      <c r="FA525" s="56"/>
      <c r="FB525" s="56"/>
      <c r="FC525" s="56"/>
      <c r="FD525" s="56"/>
      <c r="FE525" s="56"/>
      <c r="FF525" s="56"/>
      <c r="FG525" s="56"/>
      <c r="FH525" s="56"/>
      <c r="FI525" s="56"/>
      <c r="FJ525" s="56"/>
      <c r="FK525" s="56"/>
      <c r="FL525" s="56"/>
      <c r="FM525" s="56"/>
      <c r="FN525" s="56"/>
      <c r="FO525" s="56"/>
      <c r="FP525" s="56"/>
      <c r="FQ525" s="56"/>
      <c r="FR525" s="56"/>
      <c r="FS525" s="56"/>
      <c r="FT525" s="56"/>
      <c r="FU525" s="56"/>
      <c r="FV525" s="56"/>
      <c r="FW525" s="56"/>
      <c r="FX525" s="56"/>
      <c r="FY525" s="56"/>
      <c r="FZ525" s="56"/>
      <c r="GA525" s="56"/>
      <c r="GB525" s="56"/>
      <c r="GC525" s="56"/>
      <c r="GD525" s="56"/>
      <c r="GE525" s="56"/>
      <c r="GF525" s="56"/>
      <c r="GG525" s="56"/>
      <c r="GH525" s="56"/>
      <c r="GI525" s="56"/>
      <c r="GJ525" s="56"/>
      <c r="GK525" s="56"/>
      <c r="GL525" s="56"/>
      <c r="GM525" s="56"/>
      <c r="GN525" s="56"/>
      <c r="GO525" s="56"/>
      <c r="GP525" s="56"/>
      <c r="GQ525" s="56"/>
      <c r="GR525" s="56"/>
      <c r="GS525" s="56"/>
      <c r="GT525" s="56"/>
      <c r="GU525" s="56"/>
      <c r="GV525" s="56"/>
      <c r="GW525" s="56"/>
      <c r="GX525" s="56"/>
      <c r="GY525" s="56"/>
      <c r="GZ525" s="56"/>
      <c r="HA525" s="56"/>
      <c r="HB525" s="56"/>
      <c r="HC525" s="56"/>
      <c r="HD525" s="56"/>
      <c r="HE525" s="56"/>
      <c r="HF525" s="56"/>
      <c r="HG525" s="56"/>
      <c r="HH525" s="56"/>
      <c r="HI525" s="56"/>
      <c r="HJ525" s="56"/>
    </row>
    <row r="526" spans="1:218" ht="15.75" customHeight="1" x14ac:dyDescent="0.2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  <c r="CL526" s="56"/>
      <c r="CM526" s="56"/>
      <c r="CN526" s="56"/>
      <c r="CO526" s="56"/>
      <c r="CP526" s="56"/>
      <c r="CQ526" s="56"/>
      <c r="CR526" s="56"/>
      <c r="CS526" s="56"/>
      <c r="CT526" s="56"/>
      <c r="CU526" s="56"/>
      <c r="CV526" s="56"/>
      <c r="CW526" s="56"/>
      <c r="CX526" s="56"/>
      <c r="CY526" s="56"/>
      <c r="CZ526" s="56"/>
      <c r="DA526" s="56"/>
      <c r="DB526" s="56"/>
      <c r="DC526" s="56"/>
      <c r="DD526" s="56"/>
      <c r="DE526" s="56"/>
      <c r="DF526" s="56"/>
      <c r="DG526" s="56"/>
      <c r="DH526" s="56"/>
      <c r="DI526" s="56"/>
      <c r="DJ526" s="56"/>
      <c r="DK526" s="56"/>
      <c r="DL526" s="56"/>
      <c r="DM526" s="56"/>
      <c r="DN526" s="56"/>
      <c r="DO526" s="56"/>
      <c r="DP526" s="56"/>
      <c r="DQ526" s="56"/>
      <c r="DR526" s="56"/>
      <c r="DS526" s="56"/>
      <c r="DT526" s="56"/>
      <c r="DU526" s="56"/>
      <c r="DV526" s="56"/>
      <c r="DW526" s="56"/>
      <c r="DX526" s="56"/>
      <c r="DY526" s="56"/>
      <c r="DZ526" s="56"/>
      <c r="EA526" s="56"/>
      <c r="EB526" s="56"/>
      <c r="EC526" s="56"/>
      <c r="ED526" s="56"/>
      <c r="EE526" s="56"/>
      <c r="EF526" s="56"/>
      <c r="EG526" s="56"/>
      <c r="EH526" s="56"/>
      <c r="EI526" s="56"/>
      <c r="EJ526" s="56"/>
      <c r="EK526" s="56"/>
      <c r="EL526" s="56"/>
      <c r="EM526" s="56"/>
      <c r="EN526" s="56"/>
      <c r="EO526" s="56"/>
      <c r="EP526" s="56"/>
      <c r="EQ526" s="56"/>
      <c r="ER526" s="56"/>
      <c r="ES526" s="56"/>
      <c r="ET526" s="56"/>
      <c r="EU526" s="56"/>
      <c r="EV526" s="56"/>
      <c r="EW526" s="56"/>
      <c r="EX526" s="56"/>
      <c r="EY526" s="56"/>
      <c r="EZ526" s="56"/>
      <c r="FA526" s="56"/>
      <c r="FB526" s="56"/>
      <c r="FC526" s="56"/>
      <c r="FD526" s="56"/>
      <c r="FE526" s="56"/>
      <c r="FF526" s="56"/>
      <c r="FG526" s="56"/>
      <c r="FH526" s="56"/>
      <c r="FI526" s="56"/>
      <c r="FJ526" s="56"/>
      <c r="FK526" s="56"/>
      <c r="FL526" s="56"/>
      <c r="FM526" s="56"/>
      <c r="FN526" s="56"/>
      <c r="FO526" s="56"/>
      <c r="FP526" s="56"/>
      <c r="FQ526" s="56"/>
      <c r="FR526" s="56"/>
      <c r="FS526" s="56"/>
      <c r="FT526" s="56"/>
      <c r="FU526" s="56"/>
      <c r="FV526" s="56"/>
      <c r="FW526" s="56"/>
      <c r="FX526" s="56"/>
      <c r="FY526" s="56"/>
      <c r="FZ526" s="56"/>
      <c r="GA526" s="56"/>
      <c r="GB526" s="56"/>
      <c r="GC526" s="56"/>
      <c r="GD526" s="56"/>
      <c r="GE526" s="56"/>
      <c r="GF526" s="56"/>
      <c r="GG526" s="56"/>
      <c r="GH526" s="56"/>
      <c r="GI526" s="56"/>
      <c r="GJ526" s="56"/>
      <c r="GK526" s="56"/>
      <c r="GL526" s="56"/>
      <c r="GM526" s="56"/>
      <c r="GN526" s="56"/>
      <c r="GO526" s="56"/>
      <c r="GP526" s="56"/>
      <c r="GQ526" s="56"/>
      <c r="GR526" s="56"/>
      <c r="GS526" s="56"/>
      <c r="GT526" s="56"/>
      <c r="GU526" s="56"/>
      <c r="GV526" s="56"/>
      <c r="GW526" s="56"/>
      <c r="GX526" s="56"/>
      <c r="GY526" s="56"/>
      <c r="GZ526" s="56"/>
      <c r="HA526" s="56"/>
      <c r="HB526" s="56"/>
      <c r="HC526" s="56"/>
      <c r="HD526" s="56"/>
      <c r="HE526" s="56"/>
      <c r="HF526" s="56"/>
      <c r="HG526" s="56"/>
      <c r="HH526" s="56"/>
      <c r="HI526" s="56"/>
      <c r="HJ526" s="56"/>
    </row>
    <row r="527" spans="1:218" ht="15.75" customHeight="1" x14ac:dyDescent="0.2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  <c r="CL527" s="56"/>
      <c r="CM527" s="56"/>
      <c r="CN527" s="56"/>
      <c r="CO527" s="56"/>
      <c r="CP527" s="56"/>
      <c r="CQ527" s="56"/>
      <c r="CR527" s="56"/>
      <c r="CS527" s="56"/>
      <c r="CT527" s="56"/>
      <c r="CU527" s="56"/>
      <c r="CV527" s="56"/>
      <c r="CW527" s="56"/>
      <c r="CX527" s="56"/>
      <c r="CY527" s="56"/>
      <c r="CZ527" s="56"/>
      <c r="DA527" s="56"/>
      <c r="DB527" s="56"/>
      <c r="DC527" s="56"/>
      <c r="DD527" s="56"/>
      <c r="DE527" s="56"/>
      <c r="DF527" s="56"/>
      <c r="DG527" s="56"/>
      <c r="DH527" s="56"/>
      <c r="DI527" s="56"/>
      <c r="DJ527" s="56"/>
      <c r="DK527" s="56"/>
      <c r="DL527" s="56"/>
      <c r="DM527" s="56"/>
      <c r="DN527" s="56"/>
      <c r="DO527" s="56"/>
      <c r="DP527" s="56"/>
      <c r="DQ527" s="56"/>
      <c r="DR527" s="56"/>
      <c r="DS527" s="56"/>
      <c r="DT527" s="56"/>
      <c r="DU527" s="56"/>
      <c r="DV527" s="56"/>
      <c r="DW527" s="56"/>
      <c r="DX527" s="56"/>
      <c r="DY527" s="56"/>
      <c r="DZ527" s="56"/>
      <c r="EA527" s="56"/>
      <c r="EB527" s="56"/>
      <c r="EC527" s="56"/>
      <c r="ED527" s="56"/>
      <c r="EE527" s="56"/>
      <c r="EF527" s="56"/>
      <c r="EG527" s="56"/>
      <c r="EH527" s="56"/>
      <c r="EI527" s="56"/>
      <c r="EJ527" s="56"/>
      <c r="EK527" s="56"/>
      <c r="EL527" s="56"/>
      <c r="EM527" s="56"/>
      <c r="EN527" s="56"/>
      <c r="EO527" s="56"/>
      <c r="EP527" s="56"/>
      <c r="EQ527" s="56"/>
      <c r="ER527" s="56"/>
      <c r="ES527" s="56"/>
      <c r="ET527" s="56"/>
      <c r="EU527" s="56"/>
      <c r="EV527" s="56"/>
      <c r="EW527" s="56"/>
      <c r="EX527" s="56"/>
      <c r="EY527" s="56"/>
      <c r="EZ527" s="56"/>
      <c r="FA527" s="56"/>
      <c r="FB527" s="56"/>
      <c r="FC527" s="56"/>
      <c r="FD527" s="56"/>
      <c r="FE527" s="56"/>
      <c r="FF527" s="56"/>
      <c r="FG527" s="56"/>
      <c r="FH527" s="56"/>
      <c r="FI527" s="56"/>
      <c r="FJ527" s="56"/>
      <c r="FK527" s="56"/>
      <c r="FL527" s="56"/>
      <c r="FM527" s="56"/>
      <c r="FN527" s="56"/>
      <c r="FO527" s="56"/>
      <c r="FP527" s="56"/>
      <c r="FQ527" s="56"/>
      <c r="FR527" s="56"/>
      <c r="FS527" s="56"/>
      <c r="FT527" s="56"/>
      <c r="FU527" s="56"/>
      <c r="FV527" s="56"/>
      <c r="FW527" s="56"/>
      <c r="FX527" s="56"/>
      <c r="FY527" s="56"/>
      <c r="FZ527" s="56"/>
      <c r="GA527" s="56"/>
      <c r="GB527" s="56"/>
      <c r="GC527" s="56"/>
      <c r="GD527" s="56"/>
      <c r="GE527" s="56"/>
      <c r="GF527" s="56"/>
      <c r="GG527" s="56"/>
      <c r="GH527" s="56"/>
      <c r="GI527" s="56"/>
      <c r="GJ527" s="56"/>
      <c r="GK527" s="56"/>
      <c r="GL527" s="56"/>
      <c r="GM527" s="56"/>
      <c r="GN527" s="56"/>
      <c r="GO527" s="56"/>
      <c r="GP527" s="56"/>
      <c r="GQ527" s="56"/>
      <c r="GR527" s="56"/>
      <c r="GS527" s="56"/>
      <c r="GT527" s="56"/>
      <c r="GU527" s="56"/>
      <c r="GV527" s="56"/>
      <c r="GW527" s="56"/>
      <c r="GX527" s="56"/>
      <c r="GY527" s="56"/>
      <c r="GZ527" s="56"/>
      <c r="HA527" s="56"/>
      <c r="HB527" s="56"/>
      <c r="HC527" s="56"/>
      <c r="HD527" s="56"/>
      <c r="HE527" s="56"/>
      <c r="HF527" s="56"/>
      <c r="HG527" s="56"/>
      <c r="HH527" s="56"/>
      <c r="HI527" s="56"/>
      <c r="HJ527" s="56"/>
    </row>
    <row r="528" spans="1:218" ht="15.75" customHeight="1" x14ac:dyDescent="0.2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  <c r="CL528" s="56"/>
      <c r="CM528" s="56"/>
      <c r="CN528" s="56"/>
      <c r="CO528" s="56"/>
      <c r="CP528" s="56"/>
      <c r="CQ528" s="56"/>
      <c r="CR528" s="56"/>
      <c r="CS528" s="56"/>
      <c r="CT528" s="56"/>
      <c r="CU528" s="56"/>
      <c r="CV528" s="56"/>
      <c r="CW528" s="56"/>
      <c r="CX528" s="56"/>
      <c r="CY528" s="56"/>
      <c r="CZ528" s="56"/>
      <c r="DA528" s="56"/>
      <c r="DB528" s="56"/>
      <c r="DC528" s="56"/>
      <c r="DD528" s="56"/>
      <c r="DE528" s="56"/>
      <c r="DF528" s="56"/>
      <c r="DG528" s="56"/>
      <c r="DH528" s="56"/>
      <c r="DI528" s="56"/>
      <c r="DJ528" s="56"/>
      <c r="DK528" s="56"/>
      <c r="DL528" s="56"/>
      <c r="DM528" s="56"/>
      <c r="DN528" s="56"/>
      <c r="DO528" s="56"/>
      <c r="DP528" s="56"/>
      <c r="DQ528" s="56"/>
      <c r="DR528" s="56"/>
      <c r="DS528" s="56"/>
      <c r="DT528" s="56"/>
      <c r="DU528" s="56"/>
      <c r="DV528" s="56"/>
      <c r="DW528" s="56"/>
      <c r="DX528" s="56"/>
      <c r="DY528" s="56"/>
      <c r="DZ528" s="56"/>
      <c r="EA528" s="56"/>
      <c r="EB528" s="56"/>
      <c r="EC528" s="56"/>
      <c r="ED528" s="56"/>
      <c r="EE528" s="56"/>
      <c r="EF528" s="56"/>
      <c r="EG528" s="56"/>
      <c r="EH528" s="56"/>
      <c r="EI528" s="56"/>
      <c r="EJ528" s="56"/>
      <c r="EK528" s="56"/>
      <c r="EL528" s="56"/>
      <c r="EM528" s="56"/>
      <c r="EN528" s="56"/>
      <c r="EO528" s="56"/>
      <c r="EP528" s="56"/>
      <c r="EQ528" s="56"/>
      <c r="ER528" s="56"/>
      <c r="ES528" s="56"/>
      <c r="ET528" s="56"/>
      <c r="EU528" s="56"/>
      <c r="EV528" s="56"/>
      <c r="EW528" s="56"/>
      <c r="EX528" s="56"/>
      <c r="EY528" s="56"/>
      <c r="EZ528" s="56"/>
      <c r="FA528" s="56"/>
      <c r="FB528" s="56"/>
      <c r="FC528" s="56"/>
      <c r="FD528" s="56"/>
      <c r="FE528" s="56"/>
      <c r="FF528" s="56"/>
      <c r="FG528" s="56"/>
      <c r="FH528" s="56"/>
      <c r="FI528" s="56"/>
      <c r="FJ528" s="56"/>
      <c r="FK528" s="56"/>
      <c r="FL528" s="56"/>
      <c r="FM528" s="56"/>
      <c r="FN528" s="56"/>
      <c r="FO528" s="56"/>
      <c r="FP528" s="56"/>
      <c r="FQ528" s="56"/>
      <c r="FR528" s="56"/>
      <c r="FS528" s="56"/>
      <c r="FT528" s="56"/>
      <c r="FU528" s="56"/>
      <c r="FV528" s="56"/>
      <c r="FW528" s="56"/>
      <c r="FX528" s="56"/>
      <c r="FY528" s="56"/>
      <c r="FZ528" s="56"/>
      <c r="GA528" s="56"/>
      <c r="GB528" s="56"/>
      <c r="GC528" s="56"/>
      <c r="GD528" s="56"/>
      <c r="GE528" s="56"/>
      <c r="GF528" s="56"/>
      <c r="GG528" s="56"/>
      <c r="GH528" s="56"/>
      <c r="GI528" s="56"/>
      <c r="GJ528" s="56"/>
      <c r="GK528" s="56"/>
      <c r="GL528" s="56"/>
      <c r="GM528" s="56"/>
      <c r="GN528" s="56"/>
      <c r="GO528" s="56"/>
      <c r="GP528" s="56"/>
      <c r="GQ528" s="56"/>
      <c r="GR528" s="56"/>
      <c r="GS528" s="56"/>
      <c r="GT528" s="56"/>
      <c r="GU528" s="56"/>
      <c r="GV528" s="56"/>
      <c r="GW528" s="56"/>
      <c r="GX528" s="56"/>
      <c r="GY528" s="56"/>
      <c r="GZ528" s="56"/>
      <c r="HA528" s="56"/>
      <c r="HB528" s="56"/>
      <c r="HC528" s="56"/>
      <c r="HD528" s="56"/>
      <c r="HE528" s="56"/>
      <c r="HF528" s="56"/>
      <c r="HG528" s="56"/>
      <c r="HH528" s="56"/>
      <c r="HI528" s="56"/>
      <c r="HJ528" s="56"/>
    </row>
    <row r="529" spans="1:218" ht="15.75" customHeight="1" x14ac:dyDescent="0.2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6"/>
      <c r="CV529" s="56"/>
      <c r="CW529" s="56"/>
      <c r="CX529" s="56"/>
      <c r="CY529" s="56"/>
      <c r="CZ529" s="56"/>
      <c r="DA529" s="56"/>
      <c r="DB529" s="56"/>
      <c r="DC529" s="56"/>
      <c r="DD529" s="56"/>
      <c r="DE529" s="56"/>
      <c r="DF529" s="56"/>
      <c r="DG529" s="56"/>
      <c r="DH529" s="56"/>
      <c r="DI529" s="56"/>
      <c r="DJ529" s="56"/>
      <c r="DK529" s="56"/>
      <c r="DL529" s="56"/>
      <c r="DM529" s="56"/>
      <c r="DN529" s="56"/>
      <c r="DO529" s="56"/>
      <c r="DP529" s="56"/>
      <c r="DQ529" s="56"/>
      <c r="DR529" s="56"/>
      <c r="DS529" s="56"/>
      <c r="DT529" s="56"/>
      <c r="DU529" s="56"/>
      <c r="DV529" s="56"/>
      <c r="DW529" s="56"/>
      <c r="DX529" s="56"/>
      <c r="DY529" s="56"/>
      <c r="DZ529" s="56"/>
      <c r="EA529" s="56"/>
      <c r="EB529" s="56"/>
      <c r="EC529" s="56"/>
      <c r="ED529" s="56"/>
      <c r="EE529" s="56"/>
      <c r="EF529" s="56"/>
      <c r="EG529" s="56"/>
      <c r="EH529" s="56"/>
      <c r="EI529" s="56"/>
      <c r="EJ529" s="56"/>
      <c r="EK529" s="56"/>
      <c r="EL529" s="56"/>
      <c r="EM529" s="56"/>
      <c r="EN529" s="56"/>
      <c r="EO529" s="56"/>
      <c r="EP529" s="56"/>
      <c r="EQ529" s="56"/>
      <c r="ER529" s="56"/>
      <c r="ES529" s="56"/>
      <c r="ET529" s="56"/>
      <c r="EU529" s="56"/>
      <c r="EV529" s="56"/>
      <c r="EW529" s="56"/>
      <c r="EX529" s="56"/>
      <c r="EY529" s="56"/>
      <c r="EZ529" s="56"/>
      <c r="FA529" s="56"/>
      <c r="FB529" s="56"/>
      <c r="FC529" s="56"/>
      <c r="FD529" s="56"/>
      <c r="FE529" s="56"/>
      <c r="FF529" s="56"/>
      <c r="FG529" s="56"/>
      <c r="FH529" s="56"/>
      <c r="FI529" s="56"/>
      <c r="FJ529" s="56"/>
      <c r="FK529" s="56"/>
      <c r="FL529" s="56"/>
      <c r="FM529" s="56"/>
      <c r="FN529" s="56"/>
      <c r="FO529" s="56"/>
      <c r="FP529" s="56"/>
      <c r="FQ529" s="56"/>
      <c r="FR529" s="56"/>
      <c r="FS529" s="56"/>
      <c r="FT529" s="56"/>
      <c r="FU529" s="56"/>
      <c r="FV529" s="56"/>
      <c r="FW529" s="56"/>
      <c r="FX529" s="56"/>
      <c r="FY529" s="56"/>
      <c r="FZ529" s="56"/>
      <c r="GA529" s="56"/>
      <c r="GB529" s="56"/>
      <c r="GC529" s="56"/>
      <c r="GD529" s="56"/>
      <c r="GE529" s="56"/>
      <c r="GF529" s="56"/>
      <c r="GG529" s="56"/>
      <c r="GH529" s="56"/>
      <c r="GI529" s="56"/>
      <c r="GJ529" s="56"/>
      <c r="GK529" s="56"/>
      <c r="GL529" s="56"/>
      <c r="GM529" s="56"/>
      <c r="GN529" s="56"/>
      <c r="GO529" s="56"/>
      <c r="GP529" s="56"/>
      <c r="GQ529" s="56"/>
      <c r="GR529" s="56"/>
      <c r="GS529" s="56"/>
      <c r="GT529" s="56"/>
      <c r="GU529" s="56"/>
      <c r="GV529" s="56"/>
      <c r="GW529" s="56"/>
      <c r="GX529" s="56"/>
      <c r="GY529" s="56"/>
      <c r="GZ529" s="56"/>
      <c r="HA529" s="56"/>
      <c r="HB529" s="56"/>
      <c r="HC529" s="56"/>
      <c r="HD529" s="56"/>
      <c r="HE529" s="56"/>
      <c r="HF529" s="56"/>
      <c r="HG529" s="56"/>
      <c r="HH529" s="56"/>
      <c r="HI529" s="56"/>
      <c r="HJ529" s="56"/>
    </row>
    <row r="530" spans="1:218" ht="15.75" customHeight="1" x14ac:dyDescent="0.2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56"/>
      <c r="CP530" s="56"/>
      <c r="CQ530" s="56"/>
      <c r="CR530" s="56"/>
      <c r="CS530" s="56"/>
      <c r="CT530" s="56"/>
      <c r="CU530" s="56"/>
      <c r="CV530" s="56"/>
      <c r="CW530" s="56"/>
      <c r="CX530" s="56"/>
      <c r="CY530" s="56"/>
      <c r="CZ530" s="56"/>
      <c r="DA530" s="56"/>
      <c r="DB530" s="56"/>
      <c r="DC530" s="56"/>
      <c r="DD530" s="56"/>
      <c r="DE530" s="56"/>
      <c r="DF530" s="56"/>
      <c r="DG530" s="56"/>
      <c r="DH530" s="56"/>
      <c r="DI530" s="56"/>
      <c r="DJ530" s="56"/>
      <c r="DK530" s="56"/>
      <c r="DL530" s="56"/>
      <c r="DM530" s="56"/>
      <c r="DN530" s="56"/>
      <c r="DO530" s="56"/>
      <c r="DP530" s="56"/>
      <c r="DQ530" s="56"/>
      <c r="DR530" s="56"/>
      <c r="DS530" s="56"/>
      <c r="DT530" s="56"/>
      <c r="DU530" s="56"/>
      <c r="DV530" s="56"/>
      <c r="DW530" s="56"/>
      <c r="DX530" s="56"/>
      <c r="DY530" s="56"/>
      <c r="DZ530" s="56"/>
      <c r="EA530" s="56"/>
      <c r="EB530" s="56"/>
      <c r="EC530" s="56"/>
      <c r="ED530" s="56"/>
      <c r="EE530" s="56"/>
      <c r="EF530" s="56"/>
      <c r="EG530" s="56"/>
      <c r="EH530" s="56"/>
      <c r="EI530" s="56"/>
      <c r="EJ530" s="56"/>
      <c r="EK530" s="56"/>
      <c r="EL530" s="56"/>
      <c r="EM530" s="56"/>
      <c r="EN530" s="56"/>
      <c r="EO530" s="56"/>
      <c r="EP530" s="56"/>
      <c r="EQ530" s="56"/>
      <c r="ER530" s="56"/>
      <c r="ES530" s="56"/>
      <c r="ET530" s="56"/>
      <c r="EU530" s="56"/>
      <c r="EV530" s="56"/>
      <c r="EW530" s="56"/>
      <c r="EX530" s="56"/>
      <c r="EY530" s="56"/>
      <c r="EZ530" s="56"/>
      <c r="FA530" s="56"/>
      <c r="FB530" s="56"/>
      <c r="FC530" s="56"/>
      <c r="FD530" s="56"/>
      <c r="FE530" s="56"/>
      <c r="FF530" s="56"/>
      <c r="FG530" s="56"/>
      <c r="FH530" s="56"/>
      <c r="FI530" s="56"/>
      <c r="FJ530" s="56"/>
      <c r="FK530" s="56"/>
      <c r="FL530" s="56"/>
      <c r="FM530" s="56"/>
      <c r="FN530" s="56"/>
      <c r="FO530" s="56"/>
      <c r="FP530" s="56"/>
      <c r="FQ530" s="56"/>
      <c r="FR530" s="56"/>
      <c r="FS530" s="56"/>
      <c r="FT530" s="56"/>
      <c r="FU530" s="56"/>
      <c r="FV530" s="56"/>
      <c r="FW530" s="56"/>
      <c r="FX530" s="56"/>
      <c r="FY530" s="56"/>
      <c r="FZ530" s="56"/>
      <c r="GA530" s="56"/>
      <c r="GB530" s="56"/>
      <c r="GC530" s="56"/>
      <c r="GD530" s="56"/>
      <c r="GE530" s="56"/>
      <c r="GF530" s="56"/>
      <c r="GG530" s="56"/>
      <c r="GH530" s="56"/>
      <c r="GI530" s="56"/>
      <c r="GJ530" s="56"/>
      <c r="GK530" s="56"/>
      <c r="GL530" s="56"/>
      <c r="GM530" s="56"/>
      <c r="GN530" s="56"/>
      <c r="GO530" s="56"/>
      <c r="GP530" s="56"/>
      <c r="GQ530" s="56"/>
      <c r="GR530" s="56"/>
      <c r="GS530" s="56"/>
      <c r="GT530" s="56"/>
      <c r="GU530" s="56"/>
      <c r="GV530" s="56"/>
      <c r="GW530" s="56"/>
      <c r="GX530" s="56"/>
      <c r="GY530" s="56"/>
      <c r="GZ530" s="56"/>
      <c r="HA530" s="56"/>
      <c r="HB530" s="56"/>
      <c r="HC530" s="56"/>
      <c r="HD530" s="56"/>
      <c r="HE530" s="56"/>
      <c r="HF530" s="56"/>
      <c r="HG530" s="56"/>
      <c r="HH530" s="56"/>
      <c r="HI530" s="56"/>
      <c r="HJ530" s="56"/>
    </row>
    <row r="531" spans="1:218" ht="15.75" customHeight="1" x14ac:dyDescent="0.2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  <c r="CL531" s="56"/>
      <c r="CM531" s="56"/>
      <c r="CN531" s="56"/>
      <c r="CO531" s="56"/>
      <c r="CP531" s="56"/>
      <c r="CQ531" s="56"/>
      <c r="CR531" s="56"/>
      <c r="CS531" s="56"/>
      <c r="CT531" s="56"/>
      <c r="CU531" s="56"/>
      <c r="CV531" s="56"/>
      <c r="CW531" s="56"/>
      <c r="CX531" s="56"/>
      <c r="CY531" s="56"/>
      <c r="CZ531" s="56"/>
      <c r="DA531" s="56"/>
      <c r="DB531" s="56"/>
      <c r="DC531" s="56"/>
      <c r="DD531" s="56"/>
      <c r="DE531" s="56"/>
      <c r="DF531" s="56"/>
      <c r="DG531" s="56"/>
      <c r="DH531" s="56"/>
      <c r="DI531" s="56"/>
      <c r="DJ531" s="56"/>
      <c r="DK531" s="56"/>
      <c r="DL531" s="56"/>
      <c r="DM531" s="56"/>
      <c r="DN531" s="56"/>
      <c r="DO531" s="56"/>
      <c r="DP531" s="56"/>
      <c r="DQ531" s="56"/>
      <c r="DR531" s="56"/>
      <c r="DS531" s="56"/>
      <c r="DT531" s="56"/>
      <c r="DU531" s="56"/>
      <c r="DV531" s="56"/>
      <c r="DW531" s="56"/>
      <c r="DX531" s="56"/>
      <c r="DY531" s="56"/>
      <c r="DZ531" s="56"/>
      <c r="EA531" s="56"/>
      <c r="EB531" s="56"/>
      <c r="EC531" s="56"/>
      <c r="ED531" s="56"/>
      <c r="EE531" s="56"/>
      <c r="EF531" s="56"/>
      <c r="EG531" s="56"/>
      <c r="EH531" s="56"/>
      <c r="EI531" s="56"/>
      <c r="EJ531" s="56"/>
      <c r="EK531" s="56"/>
      <c r="EL531" s="56"/>
      <c r="EM531" s="56"/>
      <c r="EN531" s="56"/>
      <c r="EO531" s="56"/>
      <c r="EP531" s="56"/>
      <c r="EQ531" s="56"/>
      <c r="ER531" s="56"/>
      <c r="ES531" s="56"/>
      <c r="ET531" s="56"/>
      <c r="EU531" s="56"/>
      <c r="EV531" s="56"/>
      <c r="EW531" s="56"/>
      <c r="EX531" s="56"/>
      <c r="EY531" s="56"/>
      <c r="EZ531" s="56"/>
      <c r="FA531" s="56"/>
      <c r="FB531" s="56"/>
      <c r="FC531" s="56"/>
      <c r="FD531" s="56"/>
      <c r="FE531" s="56"/>
      <c r="FF531" s="56"/>
      <c r="FG531" s="56"/>
      <c r="FH531" s="56"/>
      <c r="FI531" s="56"/>
      <c r="FJ531" s="56"/>
      <c r="FK531" s="56"/>
      <c r="FL531" s="56"/>
      <c r="FM531" s="56"/>
      <c r="FN531" s="56"/>
      <c r="FO531" s="56"/>
      <c r="FP531" s="56"/>
      <c r="FQ531" s="56"/>
      <c r="FR531" s="56"/>
      <c r="FS531" s="56"/>
      <c r="FT531" s="56"/>
      <c r="FU531" s="56"/>
      <c r="FV531" s="56"/>
      <c r="FW531" s="56"/>
      <c r="FX531" s="56"/>
      <c r="FY531" s="56"/>
      <c r="FZ531" s="56"/>
      <c r="GA531" s="56"/>
      <c r="GB531" s="56"/>
      <c r="GC531" s="56"/>
      <c r="GD531" s="56"/>
      <c r="GE531" s="56"/>
      <c r="GF531" s="56"/>
      <c r="GG531" s="56"/>
      <c r="GH531" s="56"/>
      <c r="GI531" s="56"/>
      <c r="GJ531" s="56"/>
      <c r="GK531" s="56"/>
      <c r="GL531" s="56"/>
      <c r="GM531" s="56"/>
      <c r="GN531" s="56"/>
      <c r="GO531" s="56"/>
      <c r="GP531" s="56"/>
      <c r="GQ531" s="56"/>
      <c r="GR531" s="56"/>
      <c r="GS531" s="56"/>
      <c r="GT531" s="56"/>
      <c r="GU531" s="56"/>
      <c r="GV531" s="56"/>
      <c r="GW531" s="56"/>
      <c r="GX531" s="56"/>
      <c r="GY531" s="56"/>
      <c r="GZ531" s="56"/>
      <c r="HA531" s="56"/>
      <c r="HB531" s="56"/>
      <c r="HC531" s="56"/>
      <c r="HD531" s="56"/>
      <c r="HE531" s="56"/>
      <c r="HF531" s="56"/>
      <c r="HG531" s="56"/>
      <c r="HH531" s="56"/>
      <c r="HI531" s="56"/>
      <c r="HJ531" s="56"/>
    </row>
    <row r="532" spans="1:218" ht="15.75" customHeight="1" x14ac:dyDescent="0.2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6"/>
      <c r="CQ532" s="56"/>
      <c r="CR532" s="56"/>
      <c r="CS532" s="56"/>
      <c r="CT532" s="56"/>
      <c r="CU532" s="56"/>
      <c r="CV532" s="56"/>
      <c r="CW532" s="56"/>
      <c r="CX532" s="56"/>
      <c r="CY532" s="56"/>
      <c r="CZ532" s="56"/>
      <c r="DA532" s="56"/>
      <c r="DB532" s="56"/>
      <c r="DC532" s="56"/>
      <c r="DD532" s="56"/>
      <c r="DE532" s="56"/>
      <c r="DF532" s="56"/>
      <c r="DG532" s="56"/>
      <c r="DH532" s="56"/>
      <c r="DI532" s="56"/>
      <c r="DJ532" s="56"/>
      <c r="DK532" s="56"/>
      <c r="DL532" s="56"/>
      <c r="DM532" s="56"/>
      <c r="DN532" s="56"/>
      <c r="DO532" s="56"/>
      <c r="DP532" s="56"/>
      <c r="DQ532" s="56"/>
      <c r="DR532" s="56"/>
      <c r="DS532" s="56"/>
      <c r="DT532" s="56"/>
      <c r="DU532" s="56"/>
      <c r="DV532" s="56"/>
      <c r="DW532" s="56"/>
      <c r="DX532" s="56"/>
      <c r="DY532" s="56"/>
      <c r="DZ532" s="56"/>
      <c r="EA532" s="56"/>
      <c r="EB532" s="56"/>
      <c r="EC532" s="56"/>
      <c r="ED532" s="56"/>
      <c r="EE532" s="56"/>
      <c r="EF532" s="56"/>
      <c r="EG532" s="56"/>
      <c r="EH532" s="56"/>
      <c r="EI532" s="56"/>
      <c r="EJ532" s="56"/>
      <c r="EK532" s="56"/>
      <c r="EL532" s="56"/>
      <c r="EM532" s="56"/>
      <c r="EN532" s="56"/>
      <c r="EO532" s="56"/>
      <c r="EP532" s="56"/>
      <c r="EQ532" s="56"/>
      <c r="ER532" s="56"/>
      <c r="ES532" s="56"/>
      <c r="ET532" s="56"/>
      <c r="EU532" s="56"/>
      <c r="EV532" s="56"/>
      <c r="EW532" s="56"/>
      <c r="EX532" s="56"/>
      <c r="EY532" s="56"/>
      <c r="EZ532" s="56"/>
      <c r="FA532" s="56"/>
      <c r="FB532" s="56"/>
      <c r="FC532" s="56"/>
      <c r="FD532" s="56"/>
      <c r="FE532" s="56"/>
      <c r="FF532" s="56"/>
      <c r="FG532" s="56"/>
      <c r="FH532" s="56"/>
      <c r="FI532" s="56"/>
      <c r="FJ532" s="56"/>
      <c r="FK532" s="56"/>
      <c r="FL532" s="56"/>
      <c r="FM532" s="56"/>
      <c r="FN532" s="56"/>
      <c r="FO532" s="56"/>
      <c r="FP532" s="56"/>
      <c r="FQ532" s="56"/>
      <c r="FR532" s="56"/>
      <c r="FS532" s="56"/>
      <c r="FT532" s="56"/>
      <c r="FU532" s="56"/>
      <c r="FV532" s="56"/>
      <c r="FW532" s="56"/>
      <c r="FX532" s="56"/>
      <c r="FY532" s="56"/>
      <c r="FZ532" s="56"/>
      <c r="GA532" s="56"/>
      <c r="GB532" s="56"/>
      <c r="GC532" s="56"/>
      <c r="GD532" s="56"/>
      <c r="GE532" s="56"/>
      <c r="GF532" s="56"/>
      <c r="GG532" s="56"/>
      <c r="GH532" s="56"/>
      <c r="GI532" s="56"/>
      <c r="GJ532" s="56"/>
      <c r="GK532" s="56"/>
      <c r="GL532" s="56"/>
      <c r="GM532" s="56"/>
      <c r="GN532" s="56"/>
      <c r="GO532" s="56"/>
      <c r="GP532" s="56"/>
      <c r="GQ532" s="56"/>
      <c r="GR532" s="56"/>
      <c r="GS532" s="56"/>
      <c r="GT532" s="56"/>
      <c r="GU532" s="56"/>
      <c r="GV532" s="56"/>
      <c r="GW532" s="56"/>
      <c r="GX532" s="56"/>
      <c r="GY532" s="56"/>
      <c r="GZ532" s="56"/>
      <c r="HA532" s="56"/>
      <c r="HB532" s="56"/>
      <c r="HC532" s="56"/>
      <c r="HD532" s="56"/>
      <c r="HE532" s="56"/>
      <c r="HF532" s="56"/>
      <c r="HG532" s="56"/>
      <c r="HH532" s="56"/>
      <c r="HI532" s="56"/>
      <c r="HJ532" s="56"/>
    </row>
    <row r="533" spans="1:218" ht="15.75" customHeight="1" x14ac:dyDescent="0.2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6"/>
      <c r="CQ533" s="56"/>
      <c r="CR533" s="56"/>
      <c r="CS533" s="56"/>
      <c r="CT533" s="56"/>
      <c r="CU533" s="56"/>
      <c r="CV533" s="56"/>
      <c r="CW533" s="56"/>
      <c r="CX533" s="56"/>
      <c r="CY533" s="56"/>
      <c r="CZ533" s="56"/>
      <c r="DA533" s="56"/>
      <c r="DB533" s="56"/>
      <c r="DC533" s="56"/>
      <c r="DD533" s="56"/>
      <c r="DE533" s="56"/>
      <c r="DF533" s="56"/>
      <c r="DG533" s="56"/>
      <c r="DH533" s="56"/>
      <c r="DI533" s="56"/>
      <c r="DJ533" s="56"/>
      <c r="DK533" s="56"/>
      <c r="DL533" s="56"/>
      <c r="DM533" s="56"/>
      <c r="DN533" s="56"/>
      <c r="DO533" s="56"/>
      <c r="DP533" s="56"/>
      <c r="DQ533" s="56"/>
      <c r="DR533" s="56"/>
      <c r="DS533" s="56"/>
      <c r="DT533" s="56"/>
      <c r="DU533" s="56"/>
      <c r="DV533" s="56"/>
      <c r="DW533" s="56"/>
      <c r="DX533" s="56"/>
      <c r="DY533" s="56"/>
      <c r="DZ533" s="56"/>
      <c r="EA533" s="56"/>
      <c r="EB533" s="56"/>
      <c r="EC533" s="56"/>
      <c r="ED533" s="56"/>
      <c r="EE533" s="56"/>
      <c r="EF533" s="56"/>
      <c r="EG533" s="56"/>
      <c r="EH533" s="56"/>
      <c r="EI533" s="56"/>
      <c r="EJ533" s="56"/>
      <c r="EK533" s="56"/>
      <c r="EL533" s="56"/>
      <c r="EM533" s="56"/>
      <c r="EN533" s="56"/>
      <c r="EO533" s="56"/>
      <c r="EP533" s="56"/>
      <c r="EQ533" s="56"/>
      <c r="ER533" s="56"/>
      <c r="ES533" s="56"/>
      <c r="ET533" s="56"/>
      <c r="EU533" s="56"/>
      <c r="EV533" s="56"/>
      <c r="EW533" s="56"/>
      <c r="EX533" s="56"/>
      <c r="EY533" s="56"/>
      <c r="EZ533" s="56"/>
      <c r="FA533" s="56"/>
      <c r="FB533" s="56"/>
      <c r="FC533" s="56"/>
      <c r="FD533" s="56"/>
      <c r="FE533" s="56"/>
      <c r="FF533" s="56"/>
      <c r="FG533" s="56"/>
      <c r="FH533" s="56"/>
      <c r="FI533" s="56"/>
      <c r="FJ533" s="56"/>
      <c r="FK533" s="56"/>
      <c r="FL533" s="56"/>
      <c r="FM533" s="56"/>
      <c r="FN533" s="56"/>
      <c r="FO533" s="56"/>
      <c r="FP533" s="56"/>
      <c r="FQ533" s="56"/>
      <c r="FR533" s="56"/>
      <c r="FS533" s="56"/>
      <c r="FT533" s="56"/>
      <c r="FU533" s="56"/>
      <c r="FV533" s="56"/>
      <c r="FW533" s="56"/>
      <c r="FX533" s="56"/>
      <c r="FY533" s="56"/>
      <c r="FZ533" s="56"/>
      <c r="GA533" s="56"/>
      <c r="GB533" s="56"/>
      <c r="GC533" s="56"/>
      <c r="GD533" s="56"/>
      <c r="GE533" s="56"/>
      <c r="GF533" s="56"/>
      <c r="GG533" s="56"/>
      <c r="GH533" s="56"/>
      <c r="GI533" s="56"/>
      <c r="GJ533" s="56"/>
      <c r="GK533" s="56"/>
      <c r="GL533" s="56"/>
      <c r="GM533" s="56"/>
      <c r="GN533" s="56"/>
      <c r="GO533" s="56"/>
      <c r="GP533" s="56"/>
      <c r="GQ533" s="56"/>
      <c r="GR533" s="56"/>
      <c r="GS533" s="56"/>
      <c r="GT533" s="56"/>
      <c r="GU533" s="56"/>
      <c r="GV533" s="56"/>
      <c r="GW533" s="56"/>
      <c r="GX533" s="56"/>
      <c r="GY533" s="56"/>
      <c r="GZ533" s="56"/>
      <c r="HA533" s="56"/>
      <c r="HB533" s="56"/>
      <c r="HC533" s="56"/>
      <c r="HD533" s="56"/>
      <c r="HE533" s="56"/>
      <c r="HF533" s="56"/>
      <c r="HG533" s="56"/>
      <c r="HH533" s="56"/>
      <c r="HI533" s="56"/>
      <c r="HJ533" s="56"/>
    </row>
    <row r="534" spans="1:218" ht="15.75" customHeight="1" x14ac:dyDescent="0.2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  <c r="CL534" s="56"/>
      <c r="CM534" s="56"/>
      <c r="CN534" s="56"/>
      <c r="CO534" s="56"/>
      <c r="CP534" s="56"/>
      <c r="CQ534" s="56"/>
      <c r="CR534" s="56"/>
      <c r="CS534" s="56"/>
      <c r="CT534" s="56"/>
      <c r="CU534" s="56"/>
      <c r="CV534" s="56"/>
      <c r="CW534" s="56"/>
      <c r="CX534" s="56"/>
      <c r="CY534" s="56"/>
      <c r="CZ534" s="56"/>
      <c r="DA534" s="56"/>
      <c r="DB534" s="56"/>
      <c r="DC534" s="56"/>
      <c r="DD534" s="56"/>
      <c r="DE534" s="56"/>
      <c r="DF534" s="56"/>
      <c r="DG534" s="56"/>
      <c r="DH534" s="56"/>
      <c r="DI534" s="56"/>
      <c r="DJ534" s="56"/>
      <c r="DK534" s="56"/>
      <c r="DL534" s="56"/>
      <c r="DM534" s="56"/>
      <c r="DN534" s="56"/>
      <c r="DO534" s="56"/>
      <c r="DP534" s="56"/>
      <c r="DQ534" s="56"/>
      <c r="DR534" s="56"/>
      <c r="DS534" s="56"/>
      <c r="DT534" s="56"/>
      <c r="DU534" s="56"/>
      <c r="DV534" s="56"/>
      <c r="DW534" s="56"/>
      <c r="DX534" s="56"/>
      <c r="DY534" s="56"/>
      <c r="DZ534" s="56"/>
      <c r="EA534" s="56"/>
      <c r="EB534" s="56"/>
      <c r="EC534" s="56"/>
      <c r="ED534" s="56"/>
      <c r="EE534" s="56"/>
      <c r="EF534" s="56"/>
      <c r="EG534" s="56"/>
      <c r="EH534" s="56"/>
      <c r="EI534" s="56"/>
      <c r="EJ534" s="56"/>
      <c r="EK534" s="56"/>
      <c r="EL534" s="56"/>
      <c r="EM534" s="56"/>
      <c r="EN534" s="56"/>
      <c r="EO534" s="56"/>
      <c r="EP534" s="56"/>
      <c r="EQ534" s="56"/>
      <c r="ER534" s="56"/>
      <c r="ES534" s="56"/>
      <c r="ET534" s="56"/>
      <c r="EU534" s="56"/>
      <c r="EV534" s="56"/>
      <c r="EW534" s="56"/>
      <c r="EX534" s="56"/>
      <c r="EY534" s="56"/>
      <c r="EZ534" s="56"/>
      <c r="FA534" s="56"/>
      <c r="FB534" s="56"/>
      <c r="FC534" s="56"/>
      <c r="FD534" s="56"/>
      <c r="FE534" s="56"/>
      <c r="FF534" s="56"/>
      <c r="FG534" s="56"/>
      <c r="FH534" s="56"/>
      <c r="FI534" s="56"/>
      <c r="FJ534" s="56"/>
      <c r="FK534" s="56"/>
      <c r="FL534" s="56"/>
      <c r="FM534" s="56"/>
      <c r="FN534" s="56"/>
      <c r="FO534" s="56"/>
      <c r="FP534" s="56"/>
      <c r="FQ534" s="56"/>
      <c r="FR534" s="56"/>
      <c r="FS534" s="56"/>
      <c r="FT534" s="56"/>
      <c r="FU534" s="56"/>
      <c r="FV534" s="56"/>
      <c r="FW534" s="56"/>
      <c r="FX534" s="56"/>
      <c r="FY534" s="56"/>
      <c r="FZ534" s="56"/>
      <c r="GA534" s="56"/>
      <c r="GB534" s="56"/>
      <c r="GC534" s="56"/>
      <c r="GD534" s="56"/>
      <c r="GE534" s="56"/>
      <c r="GF534" s="56"/>
      <c r="GG534" s="56"/>
      <c r="GH534" s="56"/>
      <c r="GI534" s="56"/>
      <c r="GJ534" s="56"/>
      <c r="GK534" s="56"/>
      <c r="GL534" s="56"/>
      <c r="GM534" s="56"/>
      <c r="GN534" s="56"/>
      <c r="GO534" s="56"/>
      <c r="GP534" s="56"/>
      <c r="GQ534" s="56"/>
      <c r="GR534" s="56"/>
      <c r="GS534" s="56"/>
      <c r="GT534" s="56"/>
      <c r="GU534" s="56"/>
      <c r="GV534" s="56"/>
      <c r="GW534" s="56"/>
      <c r="GX534" s="56"/>
      <c r="GY534" s="56"/>
      <c r="GZ534" s="56"/>
      <c r="HA534" s="56"/>
      <c r="HB534" s="56"/>
      <c r="HC534" s="56"/>
      <c r="HD534" s="56"/>
      <c r="HE534" s="56"/>
      <c r="HF534" s="56"/>
      <c r="HG534" s="56"/>
      <c r="HH534" s="56"/>
      <c r="HI534" s="56"/>
      <c r="HJ534" s="56"/>
    </row>
    <row r="535" spans="1:218" ht="15.75" customHeight="1" x14ac:dyDescent="0.2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56"/>
      <c r="CP535" s="56"/>
      <c r="CQ535" s="56"/>
      <c r="CR535" s="56"/>
      <c r="CS535" s="56"/>
      <c r="CT535" s="56"/>
      <c r="CU535" s="56"/>
      <c r="CV535" s="56"/>
      <c r="CW535" s="56"/>
      <c r="CX535" s="56"/>
      <c r="CY535" s="56"/>
      <c r="CZ535" s="56"/>
      <c r="DA535" s="56"/>
      <c r="DB535" s="56"/>
      <c r="DC535" s="56"/>
      <c r="DD535" s="56"/>
      <c r="DE535" s="56"/>
      <c r="DF535" s="56"/>
      <c r="DG535" s="56"/>
      <c r="DH535" s="56"/>
      <c r="DI535" s="56"/>
      <c r="DJ535" s="56"/>
      <c r="DK535" s="56"/>
      <c r="DL535" s="56"/>
      <c r="DM535" s="56"/>
      <c r="DN535" s="56"/>
      <c r="DO535" s="56"/>
      <c r="DP535" s="56"/>
      <c r="DQ535" s="56"/>
      <c r="DR535" s="56"/>
      <c r="DS535" s="56"/>
      <c r="DT535" s="56"/>
      <c r="DU535" s="56"/>
      <c r="DV535" s="56"/>
      <c r="DW535" s="56"/>
      <c r="DX535" s="56"/>
      <c r="DY535" s="56"/>
      <c r="DZ535" s="56"/>
      <c r="EA535" s="56"/>
      <c r="EB535" s="56"/>
      <c r="EC535" s="56"/>
      <c r="ED535" s="56"/>
      <c r="EE535" s="56"/>
      <c r="EF535" s="56"/>
      <c r="EG535" s="56"/>
      <c r="EH535" s="56"/>
      <c r="EI535" s="56"/>
      <c r="EJ535" s="56"/>
      <c r="EK535" s="56"/>
      <c r="EL535" s="56"/>
      <c r="EM535" s="56"/>
      <c r="EN535" s="56"/>
      <c r="EO535" s="56"/>
      <c r="EP535" s="56"/>
      <c r="EQ535" s="56"/>
      <c r="ER535" s="56"/>
      <c r="ES535" s="56"/>
      <c r="ET535" s="56"/>
      <c r="EU535" s="56"/>
      <c r="EV535" s="56"/>
      <c r="EW535" s="56"/>
      <c r="EX535" s="56"/>
      <c r="EY535" s="56"/>
      <c r="EZ535" s="56"/>
      <c r="FA535" s="56"/>
      <c r="FB535" s="56"/>
      <c r="FC535" s="56"/>
      <c r="FD535" s="56"/>
      <c r="FE535" s="56"/>
      <c r="FF535" s="56"/>
      <c r="FG535" s="56"/>
      <c r="FH535" s="56"/>
      <c r="FI535" s="56"/>
      <c r="FJ535" s="56"/>
      <c r="FK535" s="56"/>
      <c r="FL535" s="56"/>
      <c r="FM535" s="56"/>
      <c r="FN535" s="56"/>
      <c r="FO535" s="56"/>
      <c r="FP535" s="56"/>
      <c r="FQ535" s="56"/>
      <c r="FR535" s="56"/>
      <c r="FS535" s="56"/>
      <c r="FT535" s="56"/>
      <c r="FU535" s="56"/>
      <c r="FV535" s="56"/>
      <c r="FW535" s="56"/>
      <c r="FX535" s="56"/>
      <c r="FY535" s="56"/>
      <c r="FZ535" s="56"/>
      <c r="GA535" s="56"/>
      <c r="GB535" s="56"/>
      <c r="GC535" s="56"/>
      <c r="GD535" s="56"/>
      <c r="GE535" s="56"/>
      <c r="GF535" s="56"/>
      <c r="GG535" s="56"/>
      <c r="GH535" s="56"/>
      <c r="GI535" s="56"/>
      <c r="GJ535" s="56"/>
      <c r="GK535" s="56"/>
      <c r="GL535" s="56"/>
      <c r="GM535" s="56"/>
      <c r="GN535" s="56"/>
      <c r="GO535" s="56"/>
      <c r="GP535" s="56"/>
      <c r="GQ535" s="56"/>
      <c r="GR535" s="56"/>
      <c r="GS535" s="56"/>
      <c r="GT535" s="56"/>
      <c r="GU535" s="56"/>
      <c r="GV535" s="56"/>
      <c r="GW535" s="56"/>
      <c r="GX535" s="56"/>
      <c r="GY535" s="56"/>
      <c r="GZ535" s="56"/>
      <c r="HA535" s="56"/>
      <c r="HB535" s="56"/>
      <c r="HC535" s="56"/>
      <c r="HD535" s="56"/>
      <c r="HE535" s="56"/>
      <c r="HF535" s="56"/>
      <c r="HG535" s="56"/>
      <c r="HH535" s="56"/>
      <c r="HI535" s="56"/>
      <c r="HJ535" s="56"/>
    </row>
    <row r="536" spans="1:218" ht="15.75" customHeight="1" x14ac:dyDescent="0.2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  <c r="CL536" s="56"/>
      <c r="CM536" s="56"/>
      <c r="CN536" s="56"/>
      <c r="CO536" s="56"/>
      <c r="CP536" s="56"/>
      <c r="CQ536" s="56"/>
      <c r="CR536" s="56"/>
      <c r="CS536" s="56"/>
      <c r="CT536" s="56"/>
      <c r="CU536" s="56"/>
      <c r="CV536" s="56"/>
      <c r="CW536" s="56"/>
      <c r="CX536" s="56"/>
      <c r="CY536" s="56"/>
      <c r="CZ536" s="56"/>
      <c r="DA536" s="56"/>
      <c r="DB536" s="56"/>
      <c r="DC536" s="56"/>
      <c r="DD536" s="56"/>
      <c r="DE536" s="56"/>
      <c r="DF536" s="56"/>
      <c r="DG536" s="56"/>
      <c r="DH536" s="56"/>
      <c r="DI536" s="56"/>
      <c r="DJ536" s="56"/>
      <c r="DK536" s="56"/>
      <c r="DL536" s="56"/>
      <c r="DM536" s="56"/>
      <c r="DN536" s="56"/>
      <c r="DO536" s="56"/>
      <c r="DP536" s="56"/>
      <c r="DQ536" s="56"/>
      <c r="DR536" s="56"/>
      <c r="DS536" s="56"/>
      <c r="DT536" s="56"/>
      <c r="DU536" s="56"/>
      <c r="DV536" s="56"/>
      <c r="DW536" s="56"/>
      <c r="DX536" s="56"/>
      <c r="DY536" s="56"/>
      <c r="DZ536" s="56"/>
      <c r="EA536" s="56"/>
      <c r="EB536" s="56"/>
      <c r="EC536" s="56"/>
      <c r="ED536" s="56"/>
      <c r="EE536" s="56"/>
      <c r="EF536" s="56"/>
      <c r="EG536" s="56"/>
      <c r="EH536" s="56"/>
      <c r="EI536" s="56"/>
      <c r="EJ536" s="56"/>
      <c r="EK536" s="56"/>
      <c r="EL536" s="56"/>
      <c r="EM536" s="56"/>
      <c r="EN536" s="56"/>
      <c r="EO536" s="56"/>
      <c r="EP536" s="56"/>
      <c r="EQ536" s="56"/>
      <c r="ER536" s="56"/>
      <c r="ES536" s="56"/>
      <c r="ET536" s="56"/>
      <c r="EU536" s="56"/>
      <c r="EV536" s="56"/>
      <c r="EW536" s="56"/>
      <c r="EX536" s="56"/>
      <c r="EY536" s="56"/>
      <c r="EZ536" s="56"/>
      <c r="FA536" s="56"/>
      <c r="FB536" s="56"/>
      <c r="FC536" s="56"/>
      <c r="FD536" s="56"/>
      <c r="FE536" s="56"/>
      <c r="FF536" s="56"/>
      <c r="FG536" s="56"/>
      <c r="FH536" s="56"/>
      <c r="FI536" s="56"/>
      <c r="FJ536" s="56"/>
      <c r="FK536" s="56"/>
      <c r="FL536" s="56"/>
      <c r="FM536" s="56"/>
      <c r="FN536" s="56"/>
      <c r="FO536" s="56"/>
      <c r="FP536" s="56"/>
      <c r="FQ536" s="56"/>
      <c r="FR536" s="56"/>
      <c r="FS536" s="56"/>
      <c r="FT536" s="56"/>
      <c r="FU536" s="56"/>
      <c r="FV536" s="56"/>
      <c r="FW536" s="56"/>
      <c r="FX536" s="56"/>
      <c r="FY536" s="56"/>
      <c r="FZ536" s="56"/>
      <c r="GA536" s="56"/>
      <c r="GB536" s="56"/>
      <c r="GC536" s="56"/>
      <c r="GD536" s="56"/>
      <c r="GE536" s="56"/>
      <c r="GF536" s="56"/>
      <c r="GG536" s="56"/>
      <c r="GH536" s="56"/>
      <c r="GI536" s="56"/>
      <c r="GJ536" s="56"/>
      <c r="GK536" s="56"/>
      <c r="GL536" s="56"/>
      <c r="GM536" s="56"/>
      <c r="GN536" s="56"/>
      <c r="GO536" s="56"/>
      <c r="GP536" s="56"/>
      <c r="GQ536" s="56"/>
      <c r="GR536" s="56"/>
      <c r="GS536" s="56"/>
      <c r="GT536" s="56"/>
      <c r="GU536" s="56"/>
      <c r="GV536" s="56"/>
      <c r="GW536" s="56"/>
      <c r="GX536" s="56"/>
      <c r="GY536" s="56"/>
      <c r="GZ536" s="56"/>
      <c r="HA536" s="56"/>
      <c r="HB536" s="56"/>
      <c r="HC536" s="56"/>
      <c r="HD536" s="56"/>
      <c r="HE536" s="56"/>
      <c r="HF536" s="56"/>
      <c r="HG536" s="56"/>
      <c r="HH536" s="56"/>
      <c r="HI536" s="56"/>
      <c r="HJ536" s="56"/>
    </row>
    <row r="537" spans="1:218" ht="15.75" customHeight="1" x14ac:dyDescent="0.2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  <c r="CL537" s="56"/>
      <c r="CM537" s="56"/>
      <c r="CN537" s="56"/>
      <c r="CO537" s="56"/>
      <c r="CP537" s="56"/>
      <c r="CQ537" s="56"/>
      <c r="CR537" s="56"/>
      <c r="CS537" s="56"/>
      <c r="CT537" s="56"/>
      <c r="CU537" s="56"/>
      <c r="CV537" s="56"/>
      <c r="CW537" s="56"/>
      <c r="CX537" s="56"/>
      <c r="CY537" s="56"/>
      <c r="CZ537" s="56"/>
      <c r="DA537" s="56"/>
      <c r="DB537" s="56"/>
      <c r="DC537" s="56"/>
      <c r="DD537" s="56"/>
      <c r="DE537" s="56"/>
      <c r="DF537" s="56"/>
      <c r="DG537" s="56"/>
      <c r="DH537" s="56"/>
      <c r="DI537" s="56"/>
      <c r="DJ537" s="56"/>
      <c r="DK537" s="56"/>
      <c r="DL537" s="56"/>
      <c r="DM537" s="56"/>
      <c r="DN537" s="56"/>
      <c r="DO537" s="56"/>
      <c r="DP537" s="56"/>
      <c r="DQ537" s="56"/>
      <c r="DR537" s="56"/>
      <c r="DS537" s="56"/>
      <c r="DT537" s="56"/>
      <c r="DU537" s="56"/>
      <c r="DV537" s="56"/>
      <c r="DW537" s="56"/>
      <c r="DX537" s="56"/>
      <c r="DY537" s="56"/>
      <c r="DZ537" s="56"/>
      <c r="EA537" s="56"/>
      <c r="EB537" s="56"/>
      <c r="EC537" s="56"/>
      <c r="ED537" s="56"/>
      <c r="EE537" s="56"/>
      <c r="EF537" s="56"/>
      <c r="EG537" s="56"/>
      <c r="EH537" s="56"/>
      <c r="EI537" s="56"/>
      <c r="EJ537" s="56"/>
      <c r="EK537" s="56"/>
      <c r="EL537" s="56"/>
      <c r="EM537" s="56"/>
      <c r="EN537" s="56"/>
      <c r="EO537" s="56"/>
      <c r="EP537" s="56"/>
      <c r="EQ537" s="56"/>
      <c r="ER537" s="56"/>
      <c r="ES537" s="56"/>
      <c r="ET537" s="56"/>
      <c r="EU537" s="56"/>
      <c r="EV537" s="56"/>
      <c r="EW537" s="56"/>
      <c r="EX537" s="56"/>
      <c r="EY537" s="56"/>
      <c r="EZ537" s="56"/>
      <c r="FA537" s="56"/>
      <c r="FB537" s="56"/>
      <c r="FC537" s="56"/>
      <c r="FD537" s="56"/>
      <c r="FE537" s="56"/>
      <c r="FF537" s="56"/>
      <c r="FG537" s="56"/>
      <c r="FH537" s="56"/>
      <c r="FI537" s="56"/>
      <c r="FJ537" s="56"/>
      <c r="FK537" s="56"/>
      <c r="FL537" s="56"/>
      <c r="FM537" s="56"/>
      <c r="FN537" s="56"/>
      <c r="FO537" s="56"/>
      <c r="FP537" s="56"/>
      <c r="FQ537" s="56"/>
      <c r="FR537" s="56"/>
      <c r="FS537" s="56"/>
      <c r="FT537" s="56"/>
      <c r="FU537" s="56"/>
      <c r="FV537" s="56"/>
      <c r="FW537" s="56"/>
      <c r="FX537" s="56"/>
      <c r="FY537" s="56"/>
      <c r="FZ537" s="56"/>
      <c r="GA537" s="56"/>
      <c r="GB537" s="56"/>
      <c r="GC537" s="56"/>
      <c r="GD537" s="56"/>
      <c r="GE537" s="56"/>
      <c r="GF537" s="56"/>
      <c r="GG537" s="56"/>
      <c r="GH537" s="56"/>
      <c r="GI537" s="56"/>
      <c r="GJ537" s="56"/>
      <c r="GK537" s="56"/>
      <c r="GL537" s="56"/>
      <c r="GM537" s="56"/>
      <c r="GN537" s="56"/>
      <c r="GO537" s="56"/>
      <c r="GP537" s="56"/>
      <c r="GQ537" s="56"/>
      <c r="GR537" s="56"/>
      <c r="GS537" s="56"/>
      <c r="GT537" s="56"/>
      <c r="GU537" s="56"/>
      <c r="GV537" s="56"/>
      <c r="GW537" s="56"/>
      <c r="GX537" s="56"/>
      <c r="GY537" s="56"/>
      <c r="GZ537" s="56"/>
      <c r="HA537" s="56"/>
      <c r="HB537" s="56"/>
      <c r="HC537" s="56"/>
      <c r="HD537" s="56"/>
      <c r="HE537" s="56"/>
      <c r="HF537" s="56"/>
      <c r="HG537" s="56"/>
      <c r="HH537" s="56"/>
      <c r="HI537" s="56"/>
      <c r="HJ537" s="56"/>
    </row>
    <row r="538" spans="1:218" ht="15.75" customHeight="1" x14ac:dyDescent="0.2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  <c r="CL538" s="56"/>
      <c r="CM538" s="56"/>
      <c r="CN538" s="56"/>
      <c r="CO538" s="56"/>
      <c r="CP538" s="56"/>
      <c r="CQ538" s="56"/>
      <c r="CR538" s="56"/>
      <c r="CS538" s="56"/>
      <c r="CT538" s="56"/>
      <c r="CU538" s="56"/>
      <c r="CV538" s="56"/>
      <c r="CW538" s="56"/>
      <c r="CX538" s="56"/>
      <c r="CY538" s="56"/>
      <c r="CZ538" s="56"/>
      <c r="DA538" s="56"/>
      <c r="DB538" s="56"/>
      <c r="DC538" s="56"/>
      <c r="DD538" s="56"/>
      <c r="DE538" s="56"/>
      <c r="DF538" s="56"/>
      <c r="DG538" s="56"/>
      <c r="DH538" s="56"/>
      <c r="DI538" s="56"/>
      <c r="DJ538" s="56"/>
      <c r="DK538" s="56"/>
      <c r="DL538" s="56"/>
      <c r="DM538" s="56"/>
      <c r="DN538" s="56"/>
      <c r="DO538" s="56"/>
      <c r="DP538" s="56"/>
      <c r="DQ538" s="56"/>
      <c r="DR538" s="56"/>
      <c r="DS538" s="56"/>
      <c r="DT538" s="56"/>
      <c r="DU538" s="56"/>
      <c r="DV538" s="56"/>
      <c r="DW538" s="56"/>
      <c r="DX538" s="56"/>
      <c r="DY538" s="56"/>
      <c r="DZ538" s="56"/>
      <c r="EA538" s="56"/>
      <c r="EB538" s="56"/>
      <c r="EC538" s="56"/>
      <c r="ED538" s="56"/>
      <c r="EE538" s="56"/>
      <c r="EF538" s="56"/>
      <c r="EG538" s="56"/>
      <c r="EH538" s="56"/>
      <c r="EI538" s="56"/>
      <c r="EJ538" s="56"/>
      <c r="EK538" s="56"/>
      <c r="EL538" s="56"/>
      <c r="EM538" s="56"/>
      <c r="EN538" s="56"/>
      <c r="EO538" s="56"/>
      <c r="EP538" s="56"/>
      <c r="EQ538" s="56"/>
      <c r="ER538" s="56"/>
      <c r="ES538" s="56"/>
      <c r="ET538" s="56"/>
      <c r="EU538" s="56"/>
      <c r="EV538" s="56"/>
      <c r="EW538" s="56"/>
      <c r="EX538" s="56"/>
      <c r="EY538" s="56"/>
      <c r="EZ538" s="56"/>
      <c r="FA538" s="56"/>
      <c r="FB538" s="56"/>
      <c r="FC538" s="56"/>
      <c r="FD538" s="56"/>
      <c r="FE538" s="56"/>
      <c r="FF538" s="56"/>
      <c r="FG538" s="56"/>
      <c r="FH538" s="56"/>
      <c r="FI538" s="56"/>
      <c r="FJ538" s="56"/>
      <c r="FK538" s="56"/>
      <c r="FL538" s="56"/>
      <c r="FM538" s="56"/>
      <c r="FN538" s="56"/>
      <c r="FO538" s="56"/>
      <c r="FP538" s="56"/>
      <c r="FQ538" s="56"/>
      <c r="FR538" s="56"/>
      <c r="FS538" s="56"/>
      <c r="FT538" s="56"/>
      <c r="FU538" s="56"/>
      <c r="FV538" s="56"/>
      <c r="FW538" s="56"/>
      <c r="FX538" s="56"/>
      <c r="FY538" s="56"/>
      <c r="FZ538" s="56"/>
      <c r="GA538" s="56"/>
      <c r="GB538" s="56"/>
      <c r="GC538" s="56"/>
      <c r="GD538" s="56"/>
      <c r="GE538" s="56"/>
      <c r="GF538" s="56"/>
      <c r="GG538" s="56"/>
      <c r="GH538" s="56"/>
      <c r="GI538" s="56"/>
      <c r="GJ538" s="56"/>
      <c r="GK538" s="56"/>
      <c r="GL538" s="56"/>
      <c r="GM538" s="56"/>
      <c r="GN538" s="56"/>
      <c r="GO538" s="56"/>
      <c r="GP538" s="56"/>
      <c r="GQ538" s="56"/>
      <c r="GR538" s="56"/>
      <c r="GS538" s="56"/>
      <c r="GT538" s="56"/>
      <c r="GU538" s="56"/>
      <c r="GV538" s="56"/>
      <c r="GW538" s="56"/>
      <c r="GX538" s="56"/>
      <c r="GY538" s="56"/>
      <c r="GZ538" s="56"/>
      <c r="HA538" s="56"/>
      <c r="HB538" s="56"/>
      <c r="HC538" s="56"/>
      <c r="HD538" s="56"/>
      <c r="HE538" s="56"/>
      <c r="HF538" s="56"/>
      <c r="HG538" s="56"/>
      <c r="HH538" s="56"/>
      <c r="HI538" s="56"/>
      <c r="HJ538" s="56"/>
    </row>
    <row r="539" spans="1:218" ht="15.75" customHeight="1" x14ac:dyDescent="0.2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56"/>
      <c r="CP539" s="56"/>
      <c r="CQ539" s="56"/>
      <c r="CR539" s="56"/>
      <c r="CS539" s="56"/>
      <c r="CT539" s="56"/>
      <c r="CU539" s="56"/>
      <c r="CV539" s="56"/>
      <c r="CW539" s="56"/>
      <c r="CX539" s="56"/>
      <c r="CY539" s="56"/>
      <c r="CZ539" s="56"/>
      <c r="DA539" s="56"/>
      <c r="DB539" s="56"/>
      <c r="DC539" s="56"/>
      <c r="DD539" s="56"/>
      <c r="DE539" s="56"/>
      <c r="DF539" s="56"/>
      <c r="DG539" s="56"/>
      <c r="DH539" s="56"/>
      <c r="DI539" s="56"/>
      <c r="DJ539" s="56"/>
      <c r="DK539" s="56"/>
      <c r="DL539" s="56"/>
      <c r="DM539" s="56"/>
      <c r="DN539" s="56"/>
      <c r="DO539" s="56"/>
      <c r="DP539" s="56"/>
      <c r="DQ539" s="56"/>
      <c r="DR539" s="56"/>
      <c r="DS539" s="56"/>
      <c r="DT539" s="56"/>
      <c r="DU539" s="56"/>
      <c r="DV539" s="56"/>
      <c r="DW539" s="56"/>
      <c r="DX539" s="56"/>
      <c r="DY539" s="56"/>
      <c r="DZ539" s="56"/>
      <c r="EA539" s="56"/>
      <c r="EB539" s="56"/>
      <c r="EC539" s="56"/>
      <c r="ED539" s="56"/>
      <c r="EE539" s="56"/>
      <c r="EF539" s="56"/>
      <c r="EG539" s="56"/>
      <c r="EH539" s="56"/>
      <c r="EI539" s="56"/>
      <c r="EJ539" s="56"/>
      <c r="EK539" s="56"/>
      <c r="EL539" s="56"/>
      <c r="EM539" s="56"/>
      <c r="EN539" s="56"/>
      <c r="EO539" s="56"/>
      <c r="EP539" s="56"/>
      <c r="EQ539" s="56"/>
      <c r="ER539" s="56"/>
      <c r="ES539" s="56"/>
      <c r="ET539" s="56"/>
      <c r="EU539" s="56"/>
      <c r="EV539" s="56"/>
      <c r="EW539" s="56"/>
      <c r="EX539" s="56"/>
      <c r="EY539" s="56"/>
      <c r="EZ539" s="56"/>
      <c r="FA539" s="56"/>
      <c r="FB539" s="56"/>
      <c r="FC539" s="56"/>
      <c r="FD539" s="56"/>
      <c r="FE539" s="56"/>
      <c r="FF539" s="56"/>
      <c r="FG539" s="56"/>
      <c r="FH539" s="56"/>
      <c r="FI539" s="56"/>
      <c r="FJ539" s="56"/>
      <c r="FK539" s="56"/>
      <c r="FL539" s="56"/>
      <c r="FM539" s="56"/>
      <c r="FN539" s="56"/>
      <c r="FO539" s="56"/>
      <c r="FP539" s="56"/>
      <c r="FQ539" s="56"/>
      <c r="FR539" s="56"/>
      <c r="FS539" s="56"/>
      <c r="FT539" s="56"/>
      <c r="FU539" s="56"/>
      <c r="FV539" s="56"/>
      <c r="FW539" s="56"/>
      <c r="FX539" s="56"/>
      <c r="FY539" s="56"/>
      <c r="FZ539" s="56"/>
      <c r="GA539" s="56"/>
      <c r="GB539" s="56"/>
      <c r="GC539" s="56"/>
      <c r="GD539" s="56"/>
      <c r="GE539" s="56"/>
      <c r="GF539" s="56"/>
      <c r="GG539" s="56"/>
      <c r="GH539" s="56"/>
      <c r="GI539" s="56"/>
      <c r="GJ539" s="56"/>
      <c r="GK539" s="56"/>
      <c r="GL539" s="56"/>
      <c r="GM539" s="56"/>
      <c r="GN539" s="56"/>
      <c r="GO539" s="56"/>
      <c r="GP539" s="56"/>
      <c r="GQ539" s="56"/>
      <c r="GR539" s="56"/>
      <c r="GS539" s="56"/>
      <c r="GT539" s="56"/>
      <c r="GU539" s="56"/>
      <c r="GV539" s="56"/>
      <c r="GW539" s="56"/>
      <c r="GX539" s="56"/>
      <c r="GY539" s="56"/>
      <c r="GZ539" s="56"/>
      <c r="HA539" s="56"/>
      <c r="HB539" s="56"/>
      <c r="HC539" s="56"/>
      <c r="HD539" s="56"/>
      <c r="HE539" s="56"/>
      <c r="HF539" s="56"/>
      <c r="HG539" s="56"/>
      <c r="HH539" s="56"/>
      <c r="HI539" s="56"/>
      <c r="HJ539" s="56"/>
    </row>
    <row r="540" spans="1:218" ht="15.75" customHeight="1" x14ac:dyDescent="0.2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  <c r="CL540" s="56"/>
      <c r="CM540" s="56"/>
      <c r="CN540" s="56"/>
      <c r="CO540" s="56"/>
      <c r="CP540" s="56"/>
      <c r="CQ540" s="56"/>
      <c r="CR540" s="56"/>
      <c r="CS540" s="56"/>
      <c r="CT540" s="56"/>
      <c r="CU540" s="56"/>
      <c r="CV540" s="56"/>
      <c r="CW540" s="56"/>
      <c r="CX540" s="56"/>
      <c r="CY540" s="56"/>
      <c r="CZ540" s="56"/>
      <c r="DA540" s="56"/>
      <c r="DB540" s="56"/>
      <c r="DC540" s="56"/>
      <c r="DD540" s="56"/>
      <c r="DE540" s="56"/>
      <c r="DF540" s="56"/>
      <c r="DG540" s="56"/>
      <c r="DH540" s="56"/>
      <c r="DI540" s="56"/>
      <c r="DJ540" s="56"/>
      <c r="DK540" s="56"/>
      <c r="DL540" s="56"/>
      <c r="DM540" s="56"/>
      <c r="DN540" s="56"/>
      <c r="DO540" s="56"/>
      <c r="DP540" s="56"/>
      <c r="DQ540" s="56"/>
      <c r="DR540" s="56"/>
      <c r="DS540" s="56"/>
      <c r="DT540" s="56"/>
      <c r="DU540" s="56"/>
      <c r="DV540" s="56"/>
      <c r="DW540" s="56"/>
      <c r="DX540" s="56"/>
      <c r="DY540" s="56"/>
      <c r="DZ540" s="56"/>
      <c r="EA540" s="56"/>
      <c r="EB540" s="56"/>
      <c r="EC540" s="56"/>
      <c r="ED540" s="56"/>
      <c r="EE540" s="56"/>
      <c r="EF540" s="56"/>
      <c r="EG540" s="56"/>
      <c r="EH540" s="56"/>
      <c r="EI540" s="56"/>
      <c r="EJ540" s="56"/>
      <c r="EK540" s="56"/>
      <c r="EL540" s="56"/>
      <c r="EM540" s="56"/>
      <c r="EN540" s="56"/>
      <c r="EO540" s="56"/>
      <c r="EP540" s="56"/>
      <c r="EQ540" s="56"/>
      <c r="ER540" s="56"/>
      <c r="ES540" s="56"/>
      <c r="ET540" s="56"/>
      <c r="EU540" s="56"/>
      <c r="EV540" s="56"/>
      <c r="EW540" s="56"/>
      <c r="EX540" s="56"/>
      <c r="EY540" s="56"/>
      <c r="EZ540" s="56"/>
      <c r="FA540" s="56"/>
      <c r="FB540" s="56"/>
      <c r="FC540" s="56"/>
      <c r="FD540" s="56"/>
      <c r="FE540" s="56"/>
      <c r="FF540" s="56"/>
      <c r="FG540" s="56"/>
      <c r="FH540" s="56"/>
      <c r="FI540" s="56"/>
      <c r="FJ540" s="56"/>
      <c r="FK540" s="56"/>
      <c r="FL540" s="56"/>
      <c r="FM540" s="56"/>
      <c r="FN540" s="56"/>
      <c r="FO540" s="56"/>
      <c r="FP540" s="56"/>
      <c r="FQ540" s="56"/>
      <c r="FR540" s="56"/>
      <c r="FS540" s="56"/>
      <c r="FT540" s="56"/>
      <c r="FU540" s="56"/>
      <c r="FV540" s="56"/>
      <c r="FW540" s="56"/>
      <c r="FX540" s="56"/>
      <c r="FY540" s="56"/>
      <c r="FZ540" s="56"/>
      <c r="GA540" s="56"/>
      <c r="GB540" s="56"/>
      <c r="GC540" s="56"/>
      <c r="GD540" s="56"/>
      <c r="GE540" s="56"/>
      <c r="GF540" s="56"/>
      <c r="GG540" s="56"/>
      <c r="GH540" s="56"/>
      <c r="GI540" s="56"/>
      <c r="GJ540" s="56"/>
      <c r="GK540" s="56"/>
      <c r="GL540" s="56"/>
      <c r="GM540" s="56"/>
      <c r="GN540" s="56"/>
      <c r="GO540" s="56"/>
      <c r="GP540" s="56"/>
      <c r="GQ540" s="56"/>
      <c r="GR540" s="56"/>
      <c r="GS540" s="56"/>
      <c r="GT540" s="56"/>
      <c r="GU540" s="56"/>
      <c r="GV540" s="56"/>
      <c r="GW540" s="56"/>
      <c r="GX540" s="56"/>
      <c r="GY540" s="56"/>
      <c r="GZ540" s="56"/>
      <c r="HA540" s="56"/>
      <c r="HB540" s="56"/>
      <c r="HC540" s="56"/>
      <c r="HD540" s="56"/>
      <c r="HE540" s="56"/>
      <c r="HF540" s="56"/>
      <c r="HG540" s="56"/>
      <c r="HH540" s="56"/>
      <c r="HI540" s="56"/>
      <c r="HJ540" s="56"/>
    </row>
    <row r="541" spans="1:218" ht="15.75" customHeight="1" x14ac:dyDescent="0.2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  <c r="CL541" s="56"/>
      <c r="CM541" s="56"/>
      <c r="CN541" s="56"/>
      <c r="CO541" s="56"/>
      <c r="CP541" s="56"/>
      <c r="CQ541" s="56"/>
      <c r="CR541" s="56"/>
      <c r="CS541" s="56"/>
      <c r="CT541" s="56"/>
      <c r="CU541" s="56"/>
      <c r="CV541" s="56"/>
      <c r="CW541" s="56"/>
      <c r="CX541" s="56"/>
      <c r="CY541" s="56"/>
      <c r="CZ541" s="56"/>
      <c r="DA541" s="56"/>
      <c r="DB541" s="56"/>
      <c r="DC541" s="56"/>
      <c r="DD541" s="56"/>
      <c r="DE541" s="56"/>
      <c r="DF541" s="56"/>
      <c r="DG541" s="56"/>
      <c r="DH541" s="56"/>
      <c r="DI541" s="56"/>
      <c r="DJ541" s="56"/>
      <c r="DK541" s="56"/>
      <c r="DL541" s="56"/>
      <c r="DM541" s="56"/>
      <c r="DN541" s="56"/>
      <c r="DO541" s="56"/>
      <c r="DP541" s="56"/>
      <c r="DQ541" s="56"/>
      <c r="DR541" s="56"/>
      <c r="DS541" s="56"/>
      <c r="DT541" s="56"/>
      <c r="DU541" s="56"/>
      <c r="DV541" s="56"/>
      <c r="DW541" s="56"/>
      <c r="DX541" s="56"/>
      <c r="DY541" s="56"/>
      <c r="DZ541" s="56"/>
      <c r="EA541" s="56"/>
      <c r="EB541" s="56"/>
      <c r="EC541" s="56"/>
      <c r="ED541" s="56"/>
      <c r="EE541" s="56"/>
      <c r="EF541" s="56"/>
      <c r="EG541" s="56"/>
      <c r="EH541" s="56"/>
      <c r="EI541" s="56"/>
      <c r="EJ541" s="56"/>
      <c r="EK541" s="56"/>
      <c r="EL541" s="56"/>
      <c r="EM541" s="56"/>
      <c r="EN541" s="56"/>
      <c r="EO541" s="56"/>
      <c r="EP541" s="56"/>
      <c r="EQ541" s="56"/>
      <c r="ER541" s="56"/>
      <c r="ES541" s="56"/>
      <c r="ET541" s="56"/>
      <c r="EU541" s="56"/>
      <c r="EV541" s="56"/>
      <c r="EW541" s="56"/>
      <c r="EX541" s="56"/>
      <c r="EY541" s="56"/>
      <c r="EZ541" s="56"/>
      <c r="FA541" s="56"/>
      <c r="FB541" s="56"/>
      <c r="FC541" s="56"/>
      <c r="FD541" s="56"/>
      <c r="FE541" s="56"/>
      <c r="FF541" s="56"/>
      <c r="FG541" s="56"/>
      <c r="FH541" s="56"/>
      <c r="FI541" s="56"/>
      <c r="FJ541" s="56"/>
      <c r="FK541" s="56"/>
      <c r="FL541" s="56"/>
      <c r="FM541" s="56"/>
      <c r="FN541" s="56"/>
      <c r="FO541" s="56"/>
      <c r="FP541" s="56"/>
      <c r="FQ541" s="56"/>
      <c r="FR541" s="56"/>
      <c r="FS541" s="56"/>
      <c r="FT541" s="56"/>
      <c r="FU541" s="56"/>
      <c r="FV541" s="56"/>
      <c r="FW541" s="56"/>
      <c r="FX541" s="56"/>
      <c r="FY541" s="56"/>
      <c r="FZ541" s="56"/>
      <c r="GA541" s="56"/>
      <c r="GB541" s="56"/>
      <c r="GC541" s="56"/>
      <c r="GD541" s="56"/>
      <c r="GE541" s="56"/>
      <c r="GF541" s="56"/>
      <c r="GG541" s="56"/>
      <c r="GH541" s="56"/>
      <c r="GI541" s="56"/>
      <c r="GJ541" s="56"/>
      <c r="GK541" s="56"/>
      <c r="GL541" s="56"/>
      <c r="GM541" s="56"/>
      <c r="GN541" s="56"/>
      <c r="GO541" s="56"/>
      <c r="GP541" s="56"/>
      <c r="GQ541" s="56"/>
      <c r="GR541" s="56"/>
      <c r="GS541" s="56"/>
      <c r="GT541" s="56"/>
      <c r="GU541" s="56"/>
      <c r="GV541" s="56"/>
      <c r="GW541" s="56"/>
      <c r="GX541" s="56"/>
      <c r="GY541" s="56"/>
      <c r="GZ541" s="56"/>
      <c r="HA541" s="56"/>
      <c r="HB541" s="56"/>
      <c r="HC541" s="56"/>
      <c r="HD541" s="56"/>
      <c r="HE541" s="56"/>
      <c r="HF541" s="56"/>
      <c r="HG541" s="56"/>
      <c r="HH541" s="56"/>
      <c r="HI541" s="56"/>
      <c r="HJ541" s="56"/>
    </row>
    <row r="542" spans="1:218" ht="15.75" customHeight="1" x14ac:dyDescent="0.2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  <c r="CL542" s="56"/>
      <c r="CM542" s="56"/>
      <c r="CN542" s="56"/>
      <c r="CO542" s="56"/>
      <c r="CP542" s="56"/>
      <c r="CQ542" s="56"/>
      <c r="CR542" s="56"/>
      <c r="CS542" s="56"/>
      <c r="CT542" s="56"/>
      <c r="CU542" s="56"/>
      <c r="CV542" s="56"/>
      <c r="CW542" s="56"/>
      <c r="CX542" s="56"/>
      <c r="CY542" s="56"/>
      <c r="CZ542" s="56"/>
      <c r="DA542" s="56"/>
      <c r="DB542" s="56"/>
      <c r="DC542" s="56"/>
      <c r="DD542" s="56"/>
      <c r="DE542" s="56"/>
      <c r="DF542" s="56"/>
      <c r="DG542" s="56"/>
      <c r="DH542" s="56"/>
      <c r="DI542" s="56"/>
      <c r="DJ542" s="56"/>
      <c r="DK542" s="56"/>
      <c r="DL542" s="56"/>
      <c r="DM542" s="56"/>
      <c r="DN542" s="56"/>
      <c r="DO542" s="56"/>
      <c r="DP542" s="56"/>
      <c r="DQ542" s="56"/>
      <c r="DR542" s="56"/>
      <c r="DS542" s="56"/>
      <c r="DT542" s="56"/>
      <c r="DU542" s="56"/>
      <c r="DV542" s="56"/>
      <c r="DW542" s="56"/>
      <c r="DX542" s="56"/>
      <c r="DY542" s="56"/>
      <c r="DZ542" s="56"/>
      <c r="EA542" s="56"/>
      <c r="EB542" s="56"/>
      <c r="EC542" s="56"/>
      <c r="ED542" s="56"/>
      <c r="EE542" s="56"/>
      <c r="EF542" s="56"/>
      <c r="EG542" s="56"/>
      <c r="EH542" s="56"/>
      <c r="EI542" s="56"/>
      <c r="EJ542" s="56"/>
      <c r="EK542" s="56"/>
      <c r="EL542" s="56"/>
      <c r="EM542" s="56"/>
      <c r="EN542" s="56"/>
      <c r="EO542" s="56"/>
      <c r="EP542" s="56"/>
      <c r="EQ542" s="56"/>
      <c r="ER542" s="56"/>
      <c r="ES542" s="56"/>
      <c r="ET542" s="56"/>
      <c r="EU542" s="56"/>
      <c r="EV542" s="56"/>
      <c r="EW542" s="56"/>
      <c r="EX542" s="56"/>
      <c r="EY542" s="56"/>
      <c r="EZ542" s="56"/>
      <c r="FA542" s="56"/>
      <c r="FB542" s="56"/>
      <c r="FC542" s="56"/>
      <c r="FD542" s="56"/>
      <c r="FE542" s="56"/>
      <c r="FF542" s="56"/>
      <c r="FG542" s="56"/>
      <c r="FH542" s="56"/>
      <c r="FI542" s="56"/>
      <c r="FJ542" s="56"/>
      <c r="FK542" s="56"/>
      <c r="FL542" s="56"/>
      <c r="FM542" s="56"/>
      <c r="FN542" s="56"/>
      <c r="FO542" s="56"/>
      <c r="FP542" s="56"/>
      <c r="FQ542" s="56"/>
      <c r="FR542" s="56"/>
      <c r="FS542" s="56"/>
      <c r="FT542" s="56"/>
      <c r="FU542" s="56"/>
      <c r="FV542" s="56"/>
      <c r="FW542" s="56"/>
      <c r="FX542" s="56"/>
      <c r="FY542" s="56"/>
      <c r="FZ542" s="56"/>
      <c r="GA542" s="56"/>
      <c r="GB542" s="56"/>
      <c r="GC542" s="56"/>
      <c r="GD542" s="56"/>
      <c r="GE542" s="56"/>
      <c r="GF542" s="56"/>
      <c r="GG542" s="56"/>
      <c r="GH542" s="56"/>
      <c r="GI542" s="56"/>
      <c r="GJ542" s="56"/>
      <c r="GK542" s="56"/>
      <c r="GL542" s="56"/>
      <c r="GM542" s="56"/>
      <c r="GN542" s="56"/>
      <c r="GO542" s="56"/>
      <c r="GP542" s="56"/>
      <c r="GQ542" s="56"/>
      <c r="GR542" s="56"/>
      <c r="GS542" s="56"/>
      <c r="GT542" s="56"/>
      <c r="GU542" s="56"/>
      <c r="GV542" s="56"/>
      <c r="GW542" s="56"/>
      <c r="GX542" s="56"/>
      <c r="GY542" s="56"/>
      <c r="GZ542" s="56"/>
      <c r="HA542" s="56"/>
      <c r="HB542" s="56"/>
      <c r="HC542" s="56"/>
      <c r="HD542" s="56"/>
      <c r="HE542" s="56"/>
      <c r="HF542" s="56"/>
      <c r="HG542" s="56"/>
      <c r="HH542" s="56"/>
      <c r="HI542" s="56"/>
      <c r="HJ542" s="56"/>
    </row>
    <row r="543" spans="1:218" ht="15.75" customHeight="1" x14ac:dyDescent="0.2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  <c r="BV543" s="56"/>
      <c r="BW543" s="56"/>
      <c r="BX543" s="56"/>
      <c r="BY543" s="56"/>
      <c r="BZ543" s="56"/>
      <c r="CA543" s="56"/>
      <c r="CB543" s="56"/>
      <c r="CC543" s="56"/>
      <c r="CD543" s="56"/>
      <c r="CE543" s="56"/>
      <c r="CF543" s="56"/>
      <c r="CG543" s="56"/>
      <c r="CH543" s="56"/>
      <c r="CI543" s="56"/>
      <c r="CJ543" s="56"/>
      <c r="CK543" s="56"/>
      <c r="CL543" s="56"/>
      <c r="CM543" s="56"/>
      <c r="CN543" s="56"/>
      <c r="CO543" s="56"/>
      <c r="CP543" s="56"/>
      <c r="CQ543" s="56"/>
      <c r="CR543" s="56"/>
      <c r="CS543" s="56"/>
      <c r="CT543" s="56"/>
      <c r="CU543" s="56"/>
      <c r="CV543" s="56"/>
      <c r="CW543" s="56"/>
      <c r="CX543" s="56"/>
      <c r="CY543" s="56"/>
      <c r="CZ543" s="56"/>
      <c r="DA543" s="56"/>
      <c r="DB543" s="56"/>
      <c r="DC543" s="56"/>
      <c r="DD543" s="56"/>
      <c r="DE543" s="56"/>
      <c r="DF543" s="56"/>
      <c r="DG543" s="56"/>
      <c r="DH543" s="56"/>
      <c r="DI543" s="56"/>
      <c r="DJ543" s="56"/>
      <c r="DK543" s="56"/>
      <c r="DL543" s="56"/>
      <c r="DM543" s="56"/>
      <c r="DN543" s="56"/>
      <c r="DO543" s="56"/>
      <c r="DP543" s="56"/>
      <c r="DQ543" s="56"/>
      <c r="DR543" s="56"/>
      <c r="DS543" s="56"/>
      <c r="DT543" s="56"/>
      <c r="DU543" s="56"/>
      <c r="DV543" s="56"/>
      <c r="DW543" s="56"/>
      <c r="DX543" s="56"/>
      <c r="DY543" s="56"/>
      <c r="DZ543" s="56"/>
      <c r="EA543" s="56"/>
      <c r="EB543" s="56"/>
      <c r="EC543" s="56"/>
      <c r="ED543" s="56"/>
      <c r="EE543" s="56"/>
      <c r="EF543" s="56"/>
      <c r="EG543" s="56"/>
      <c r="EH543" s="56"/>
      <c r="EI543" s="56"/>
      <c r="EJ543" s="56"/>
      <c r="EK543" s="56"/>
      <c r="EL543" s="56"/>
      <c r="EM543" s="56"/>
      <c r="EN543" s="56"/>
      <c r="EO543" s="56"/>
      <c r="EP543" s="56"/>
      <c r="EQ543" s="56"/>
      <c r="ER543" s="56"/>
      <c r="ES543" s="56"/>
      <c r="ET543" s="56"/>
      <c r="EU543" s="56"/>
      <c r="EV543" s="56"/>
      <c r="EW543" s="56"/>
      <c r="EX543" s="56"/>
      <c r="EY543" s="56"/>
      <c r="EZ543" s="56"/>
      <c r="FA543" s="56"/>
      <c r="FB543" s="56"/>
      <c r="FC543" s="56"/>
      <c r="FD543" s="56"/>
      <c r="FE543" s="56"/>
      <c r="FF543" s="56"/>
      <c r="FG543" s="56"/>
      <c r="FH543" s="56"/>
      <c r="FI543" s="56"/>
      <c r="FJ543" s="56"/>
      <c r="FK543" s="56"/>
      <c r="FL543" s="56"/>
      <c r="FM543" s="56"/>
      <c r="FN543" s="56"/>
      <c r="FO543" s="56"/>
      <c r="FP543" s="56"/>
      <c r="FQ543" s="56"/>
      <c r="FR543" s="56"/>
      <c r="FS543" s="56"/>
      <c r="FT543" s="56"/>
      <c r="FU543" s="56"/>
      <c r="FV543" s="56"/>
      <c r="FW543" s="56"/>
      <c r="FX543" s="56"/>
      <c r="FY543" s="56"/>
      <c r="FZ543" s="56"/>
      <c r="GA543" s="56"/>
      <c r="GB543" s="56"/>
      <c r="GC543" s="56"/>
      <c r="GD543" s="56"/>
      <c r="GE543" s="56"/>
      <c r="GF543" s="56"/>
      <c r="GG543" s="56"/>
      <c r="GH543" s="56"/>
      <c r="GI543" s="56"/>
      <c r="GJ543" s="56"/>
      <c r="GK543" s="56"/>
      <c r="GL543" s="56"/>
      <c r="GM543" s="56"/>
      <c r="GN543" s="56"/>
      <c r="GO543" s="56"/>
      <c r="GP543" s="56"/>
      <c r="GQ543" s="56"/>
      <c r="GR543" s="56"/>
      <c r="GS543" s="56"/>
      <c r="GT543" s="56"/>
      <c r="GU543" s="56"/>
      <c r="GV543" s="56"/>
      <c r="GW543" s="56"/>
      <c r="GX543" s="56"/>
      <c r="GY543" s="56"/>
      <c r="GZ543" s="56"/>
      <c r="HA543" s="56"/>
      <c r="HB543" s="56"/>
      <c r="HC543" s="56"/>
      <c r="HD543" s="56"/>
      <c r="HE543" s="56"/>
      <c r="HF543" s="56"/>
      <c r="HG543" s="56"/>
      <c r="HH543" s="56"/>
      <c r="HI543" s="56"/>
      <c r="HJ543" s="56"/>
    </row>
    <row r="544" spans="1:218" ht="15.75" customHeight="1" x14ac:dyDescent="0.2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56"/>
      <c r="CP544" s="56"/>
      <c r="CQ544" s="56"/>
      <c r="CR544" s="56"/>
      <c r="CS544" s="56"/>
      <c r="CT544" s="56"/>
      <c r="CU544" s="56"/>
      <c r="CV544" s="56"/>
      <c r="CW544" s="56"/>
      <c r="CX544" s="56"/>
      <c r="CY544" s="56"/>
      <c r="CZ544" s="56"/>
      <c r="DA544" s="56"/>
      <c r="DB544" s="56"/>
      <c r="DC544" s="56"/>
      <c r="DD544" s="56"/>
      <c r="DE544" s="56"/>
      <c r="DF544" s="56"/>
      <c r="DG544" s="56"/>
      <c r="DH544" s="56"/>
      <c r="DI544" s="56"/>
      <c r="DJ544" s="56"/>
      <c r="DK544" s="56"/>
      <c r="DL544" s="56"/>
      <c r="DM544" s="56"/>
      <c r="DN544" s="56"/>
      <c r="DO544" s="56"/>
      <c r="DP544" s="56"/>
      <c r="DQ544" s="56"/>
      <c r="DR544" s="56"/>
      <c r="DS544" s="56"/>
      <c r="DT544" s="56"/>
      <c r="DU544" s="56"/>
      <c r="DV544" s="56"/>
      <c r="DW544" s="56"/>
      <c r="DX544" s="56"/>
      <c r="DY544" s="56"/>
      <c r="DZ544" s="56"/>
      <c r="EA544" s="56"/>
      <c r="EB544" s="56"/>
      <c r="EC544" s="56"/>
      <c r="ED544" s="56"/>
      <c r="EE544" s="56"/>
      <c r="EF544" s="56"/>
      <c r="EG544" s="56"/>
      <c r="EH544" s="56"/>
      <c r="EI544" s="56"/>
      <c r="EJ544" s="56"/>
      <c r="EK544" s="56"/>
      <c r="EL544" s="56"/>
      <c r="EM544" s="56"/>
      <c r="EN544" s="56"/>
      <c r="EO544" s="56"/>
      <c r="EP544" s="56"/>
      <c r="EQ544" s="56"/>
      <c r="ER544" s="56"/>
      <c r="ES544" s="56"/>
      <c r="ET544" s="56"/>
      <c r="EU544" s="56"/>
      <c r="EV544" s="56"/>
      <c r="EW544" s="56"/>
      <c r="EX544" s="56"/>
      <c r="EY544" s="56"/>
      <c r="EZ544" s="56"/>
      <c r="FA544" s="56"/>
      <c r="FB544" s="56"/>
      <c r="FC544" s="56"/>
      <c r="FD544" s="56"/>
      <c r="FE544" s="56"/>
      <c r="FF544" s="56"/>
      <c r="FG544" s="56"/>
      <c r="FH544" s="56"/>
      <c r="FI544" s="56"/>
      <c r="FJ544" s="56"/>
      <c r="FK544" s="56"/>
      <c r="FL544" s="56"/>
      <c r="FM544" s="56"/>
      <c r="FN544" s="56"/>
      <c r="FO544" s="56"/>
      <c r="FP544" s="56"/>
      <c r="FQ544" s="56"/>
      <c r="FR544" s="56"/>
      <c r="FS544" s="56"/>
      <c r="FT544" s="56"/>
      <c r="FU544" s="56"/>
      <c r="FV544" s="56"/>
      <c r="FW544" s="56"/>
      <c r="FX544" s="56"/>
      <c r="FY544" s="56"/>
      <c r="FZ544" s="56"/>
      <c r="GA544" s="56"/>
      <c r="GB544" s="56"/>
      <c r="GC544" s="56"/>
      <c r="GD544" s="56"/>
      <c r="GE544" s="56"/>
      <c r="GF544" s="56"/>
      <c r="GG544" s="56"/>
      <c r="GH544" s="56"/>
      <c r="GI544" s="56"/>
      <c r="GJ544" s="56"/>
      <c r="GK544" s="56"/>
      <c r="GL544" s="56"/>
      <c r="GM544" s="56"/>
      <c r="GN544" s="56"/>
      <c r="GO544" s="56"/>
      <c r="GP544" s="56"/>
      <c r="GQ544" s="56"/>
      <c r="GR544" s="56"/>
      <c r="GS544" s="56"/>
      <c r="GT544" s="56"/>
      <c r="GU544" s="56"/>
      <c r="GV544" s="56"/>
      <c r="GW544" s="56"/>
      <c r="GX544" s="56"/>
      <c r="GY544" s="56"/>
      <c r="GZ544" s="56"/>
      <c r="HA544" s="56"/>
      <c r="HB544" s="56"/>
      <c r="HC544" s="56"/>
      <c r="HD544" s="56"/>
      <c r="HE544" s="56"/>
      <c r="HF544" s="56"/>
      <c r="HG544" s="56"/>
      <c r="HH544" s="56"/>
      <c r="HI544" s="56"/>
      <c r="HJ544" s="56"/>
    </row>
    <row r="545" spans="1:218" ht="15.75" customHeight="1" x14ac:dyDescent="0.2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56"/>
      <c r="CP545" s="56"/>
      <c r="CQ545" s="56"/>
      <c r="CR545" s="56"/>
      <c r="CS545" s="56"/>
      <c r="CT545" s="56"/>
      <c r="CU545" s="56"/>
      <c r="CV545" s="56"/>
      <c r="CW545" s="56"/>
      <c r="CX545" s="56"/>
      <c r="CY545" s="56"/>
      <c r="CZ545" s="56"/>
      <c r="DA545" s="56"/>
      <c r="DB545" s="56"/>
      <c r="DC545" s="56"/>
      <c r="DD545" s="56"/>
      <c r="DE545" s="56"/>
      <c r="DF545" s="56"/>
      <c r="DG545" s="56"/>
      <c r="DH545" s="56"/>
      <c r="DI545" s="56"/>
      <c r="DJ545" s="56"/>
      <c r="DK545" s="56"/>
      <c r="DL545" s="56"/>
      <c r="DM545" s="56"/>
      <c r="DN545" s="56"/>
      <c r="DO545" s="56"/>
      <c r="DP545" s="56"/>
      <c r="DQ545" s="56"/>
      <c r="DR545" s="56"/>
      <c r="DS545" s="56"/>
      <c r="DT545" s="56"/>
      <c r="DU545" s="56"/>
      <c r="DV545" s="56"/>
      <c r="DW545" s="56"/>
      <c r="DX545" s="56"/>
      <c r="DY545" s="56"/>
      <c r="DZ545" s="56"/>
      <c r="EA545" s="56"/>
      <c r="EB545" s="56"/>
      <c r="EC545" s="56"/>
      <c r="ED545" s="56"/>
      <c r="EE545" s="56"/>
      <c r="EF545" s="56"/>
      <c r="EG545" s="56"/>
      <c r="EH545" s="56"/>
      <c r="EI545" s="56"/>
      <c r="EJ545" s="56"/>
      <c r="EK545" s="56"/>
      <c r="EL545" s="56"/>
      <c r="EM545" s="56"/>
      <c r="EN545" s="56"/>
      <c r="EO545" s="56"/>
      <c r="EP545" s="56"/>
      <c r="EQ545" s="56"/>
      <c r="ER545" s="56"/>
      <c r="ES545" s="56"/>
      <c r="ET545" s="56"/>
      <c r="EU545" s="56"/>
      <c r="EV545" s="56"/>
      <c r="EW545" s="56"/>
      <c r="EX545" s="56"/>
      <c r="EY545" s="56"/>
      <c r="EZ545" s="56"/>
      <c r="FA545" s="56"/>
      <c r="FB545" s="56"/>
      <c r="FC545" s="56"/>
      <c r="FD545" s="56"/>
      <c r="FE545" s="56"/>
      <c r="FF545" s="56"/>
      <c r="FG545" s="56"/>
      <c r="FH545" s="56"/>
      <c r="FI545" s="56"/>
      <c r="FJ545" s="56"/>
      <c r="FK545" s="56"/>
      <c r="FL545" s="56"/>
      <c r="FM545" s="56"/>
      <c r="FN545" s="56"/>
      <c r="FO545" s="56"/>
      <c r="FP545" s="56"/>
      <c r="FQ545" s="56"/>
      <c r="FR545" s="56"/>
      <c r="FS545" s="56"/>
      <c r="FT545" s="56"/>
      <c r="FU545" s="56"/>
      <c r="FV545" s="56"/>
      <c r="FW545" s="56"/>
      <c r="FX545" s="56"/>
      <c r="FY545" s="56"/>
      <c r="FZ545" s="56"/>
      <c r="GA545" s="56"/>
      <c r="GB545" s="56"/>
      <c r="GC545" s="56"/>
      <c r="GD545" s="56"/>
      <c r="GE545" s="56"/>
      <c r="GF545" s="56"/>
      <c r="GG545" s="56"/>
      <c r="GH545" s="56"/>
      <c r="GI545" s="56"/>
      <c r="GJ545" s="56"/>
      <c r="GK545" s="56"/>
      <c r="GL545" s="56"/>
      <c r="GM545" s="56"/>
      <c r="GN545" s="56"/>
      <c r="GO545" s="56"/>
      <c r="GP545" s="56"/>
      <c r="GQ545" s="56"/>
      <c r="GR545" s="56"/>
      <c r="GS545" s="56"/>
      <c r="GT545" s="56"/>
      <c r="GU545" s="56"/>
      <c r="GV545" s="56"/>
      <c r="GW545" s="56"/>
      <c r="GX545" s="56"/>
      <c r="GY545" s="56"/>
      <c r="GZ545" s="56"/>
      <c r="HA545" s="56"/>
      <c r="HB545" s="56"/>
      <c r="HC545" s="56"/>
      <c r="HD545" s="56"/>
      <c r="HE545" s="56"/>
      <c r="HF545" s="56"/>
      <c r="HG545" s="56"/>
      <c r="HH545" s="56"/>
      <c r="HI545" s="56"/>
      <c r="HJ545" s="56"/>
    </row>
    <row r="546" spans="1:218" ht="15.75" customHeight="1" x14ac:dyDescent="0.2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  <c r="CL546" s="56"/>
      <c r="CM546" s="56"/>
      <c r="CN546" s="56"/>
      <c r="CO546" s="56"/>
      <c r="CP546" s="56"/>
      <c r="CQ546" s="56"/>
      <c r="CR546" s="56"/>
      <c r="CS546" s="56"/>
      <c r="CT546" s="56"/>
      <c r="CU546" s="56"/>
      <c r="CV546" s="56"/>
      <c r="CW546" s="56"/>
      <c r="CX546" s="56"/>
      <c r="CY546" s="56"/>
      <c r="CZ546" s="56"/>
      <c r="DA546" s="56"/>
      <c r="DB546" s="56"/>
      <c r="DC546" s="56"/>
      <c r="DD546" s="56"/>
      <c r="DE546" s="56"/>
      <c r="DF546" s="56"/>
      <c r="DG546" s="56"/>
      <c r="DH546" s="56"/>
      <c r="DI546" s="56"/>
      <c r="DJ546" s="56"/>
      <c r="DK546" s="56"/>
      <c r="DL546" s="56"/>
      <c r="DM546" s="56"/>
      <c r="DN546" s="56"/>
      <c r="DO546" s="56"/>
      <c r="DP546" s="56"/>
      <c r="DQ546" s="56"/>
      <c r="DR546" s="56"/>
      <c r="DS546" s="56"/>
      <c r="DT546" s="56"/>
      <c r="DU546" s="56"/>
      <c r="DV546" s="56"/>
      <c r="DW546" s="56"/>
      <c r="DX546" s="56"/>
      <c r="DY546" s="56"/>
      <c r="DZ546" s="56"/>
      <c r="EA546" s="56"/>
      <c r="EB546" s="56"/>
      <c r="EC546" s="56"/>
      <c r="ED546" s="56"/>
      <c r="EE546" s="56"/>
      <c r="EF546" s="56"/>
      <c r="EG546" s="56"/>
      <c r="EH546" s="56"/>
      <c r="EI546" s="56"/>
      <c r="EJ546" s="56"/>
      <c r="EK546" s="56"/>
      <c r="EL546" s="56"/>
      <c r="EM546" s="56"/>
      <c r="EN546" s="56"/>
      <c r="EO546" s="56"/>
      <c r="EP546" s="56"/>
      <c r="EQ546" s="56"/>
      <c r="ER546" s="56"/>
      <c r="ES546" s="56"/>
      <c r="ET546" s="56"/>
      <c r="EU546" s="56"/>
      <c r="EV546" s="56"/>
      <c r="EW546" s="56"/>
      <c r="EX546" s="56"/>
      <c r="EY546" s="56"/>
      <c r="EZ546" s="56"/>
      <c r="FA546" s="56"/>
      <c r="FB546" s="56"/>
      <c r="FC546" s="56"/>
      <c r="FD546" s="56"/>
      <c r="FE546" s="56"/>
      <c r="FF546" s="56"/>
      <c r="FG546" s="56"/>
      <c r="FH546" s="56"/>
      <c r="FI546" s="56"/>
      <c r="FJ546" s="56"/>
      <c r="FK546" s="56"/>
      <c r="FL546" s="56"/>
      <c r="FM546" s="56"/>
      <c r="FN546" s="56"/>
      <c r="FO546" s="56"/>
      <c r="FP546" s="56"/>
      <c r="FQ546" s="56"/>
      <c r="FR546" s="56"/>
      <c r="FS546" s="56"/>
      <c r="FT546" s="56"/>
      <c r="FU546" s="56"/>
      <c r="FV546" s="56"/>
      <c r="FW546" s="56"/>
      <c r="FX546" s="56"/>
      <c r="FY546" s="56"/>
      <c r="FZ546" s="56"/>
      <c r="GA546" s="56"/>
      <c r="GB546" s="56"/>
      <c r="GC546" s="56"/>
      <c r="GD546" s="56"/>
      <c r="GE546" s="56"/>
      <c r="GF546" s="56"/>
      <c r="GG546" s="56"/>
      <c r="GH546" s="56"/>
      <c r="GI546" s="56"/>
      <c r="GJ546" s="56"/>
      <c r="GK546" s="56"/>
      <c r="GL546" s="56"/>
      <c r="GM546" s="56"/>
      <c r="GN546" s="56"/>
      <c r="GO546" s="56"/>
      <c r="GP546" s="56"/>
      <c r="GQ546" s="56"/>
      <c r="GR546" s="56"/>
      <c r="GS546" s="56"/>
      <c r="GT546" s="56"/>
      <c r="GU546" s="56"/>
      <c r="GV546" s="56"/>
      <c r="GW546" s="56"/>
      <c r="GX546" s="56"/>
      <c r="GY546" s="56"/>
      <c r="GZ546" s="56"/>
      <c r="HA546" s="56"/>
      <c r="HB546" s="56"/>
      <c r="HC546" s="56"/>
      <c r="HD546" s="56"/>
      <c r="HE546" s="56"/>
      <c r="HF546" s="56"/>
      <c r="HG546" s="56"/>
      <c r="HH546" s="56"/>
      <c r="HI546" s="56"/>
      <c r="HJ546" s="56"/>
    </row>
    <row r="547" spans="1:218" ht="15.75" customHeight="1" x14ac:dyDescent="0.2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  <c r="CL547" s="56"/>
      <c r="CM547" s="56"/>
      <c r="CN547" s="56"/>
      <c r="CO547" s="56"/>
      <c r="CP547" s="56"/>
      <c r="CQ547" s="56"/>
      <c r="CR547" s="56"/>
      <c r="CS547" s="56"/>
      <c r="CT547" s="56"/>
      <c r="CU547" s="56"/>
      <c r="CV547" s="56"/>
      <c r="CW547" s="56"/>
      <c r="CX547" s="56"/>
      <c r="CY547" s="56"/>
      <c r="CZ547" s="56"/>
      <c r="DA547" s="56"/>
      <c r="DB547" s="56"/>
      <c r="DC547" s="56"/>
      <c r="DD547" s="56"/>
      <c r="DE547" s="56"/>
      <c r="DF547" s="56"/>
      <c r="DG547" s="56"/>
      <c r="DH547" s="56"/>
      <c r="DI547" s="56"/>
      <c r="DJ547" s="56"/>
      <c r="DK547" s="56"/>
      <c r="DL547" s="56"/>
      <c r="DM547" s="56"/>
      <c r="DN547" s="56"/>
      <c r="DO547" s="56"/>
      <c r="DP547" s="56"/>
      <c r="DQ547" s="56"/>
      <c r="DR547" s="56"/>
      <c r="DS547" s="56"/>
      <c r="DT547" s="56"/>
      <c r="DU547" s="56"/>
      <c r="DV547" s="56"/>
      <c r="DW547" s="56"/>
      <c r="DX547" s="56"/>
      <c r="DY547" s="56"/>
      <c r="DZ547" s="56"/>
      <c r="EA547" s="56"/>
      <c r="EB547" s="56"/>
      <c r="EC547" s="56"/>
      <c r="ED547" s="56"/>
      <c r="EE547" s="56"/>
      <c r="EF547" s="56"/>
      <c r="EG547" s="56"/>
      <c r="EH547" s="56"/>
      <c r="EI547" s="56"/>
      <c r="EJ547" s="56"/>
      <c r="EK547" s="56"/>
      <c r="EL547" s="56"/>
      <c r="EM547" s="56"/>
      <c r="EN547" s="56"/>
      <c r="EO547" s="56"/>
      <c r="EP547" s="56"/>
      <c r="EQ547" s="56"/>
      <c r="ER547" s="56"/>
      <c r="ES547" s="56"/>
      <c r="ET547" s="56"/>
      <c r="EU547" s="56"/>
      <c r="EV547" s="56"/>
      <c r="EW547" s="56"/>
      <c r="EX547" s="56"/>
      <c r="EY547" s="56"/>
      <c r="EZ547" s="56"/>
      <c r="FA547" s="56"/>
      <c r="FB547" s="56"/>
      <c r="FC547" s="56"/>
      <c r="FD547" s="56"/>
      <c r="FE547" s="56"/>
      <c r="FF547" s="56"/>
      <c r="FG547" s="56"/>
      <c r="FH547" s="56"/>
      <c r="FI547" s="56"/>
      <c r="FJ547" s="56"/>
      <c r="FK547" s="56"/>
      <c r="FL547" s="56"/>
      <c r="FM547" s="56"/>
      <c r="FN547" s="56"/>
      <c r="FO547" s="56"/>
      <c r="FP547" s="56"/>
      <c r="FQ547" s="56"/>
      <c r="FR547" s="56"/>
      <c r="FS547" s="56"/>
      <c r="FT547" s="56"/>
      <c r="FU547" s="56"/>
      <c r="FV547" s="56"/>
      <c r="FW547" s="56"/>
      <c r="FX547" s="56"/>
      <c r="FY547" s="56"/>
      <c r="FZ547" s="56"/>
      <c r="GA547" s="56"/>
      <c r="GB547" s="56"/>
      <c r="GC547" s="56"/>
      <c r="GD547" s="56"/>
      <c r="GE547" s="56"/>
      <c r="GF547" s="56"/>
      <c r="GG547" s="56"/>
      <c r="GH547" s="56"/>
      <c r="GI547" s="56"/>
      <c r="GJ547" s="56"/>
      <c r="GK547" s="56"/>
      <c r="GL547" s="56"/>
      <c r="GM547" s="56"/>
      <c r="GN547" s="56"/>
      <c r="GO547" s="56"/>
      <c r="GP547" s="56"/>
      <c r="GQ547" s="56"/>
      <c r="GR547" s="56"/>
      <c r="GS547" s="56"/>
      <c r="GT547" s="56"/>
      <c r="GU547" s="56"/>
      <c r="GV547" s="56"/>
      <c r="GW547" s="56"/>
      <c r="GX547" s="56"/>
      <c r="GY547" s="56"/>
      <c r="GZ547" s="56"/>
      <c r="HA547" s="56"/>
      <c r="HB547" s="56"/>
      <c r="HC547" s="56"/>
      <c r="HD547" s="56"/>
      <c r="HE547" s="56"/>
      <c r="HF547" s="56"/>
      <c r="HG547" s="56"/>
      <c r="HH547" s="56"/>
      <c r="HI547" s="56"/>
      <c r="HJ547" s="56"/>
    </row>
    <row r="548" spans="1:218" ht="15.75" customHeight="1" x14ac:dyDescent="0.2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  <c r="CL548" s="56"/>
      <c r="CM548" s="56"/>
      <c r="CN548" s="56"/>
      <c r="CO548" s="56"/>
      <c r="CP548" s="56"/>
      <c r="CQ548" s="56"/>
      <c r="CR548" s="56"/>
      <c r="CS548" s="56"/>
      <c r="CT548" s="56"/>
      <c r="CU548" s="56"/>
      <c r="CV548" s="56"/>
      <c r="CW548" s="56"/>
      <c r="CX548" s="56"/>
      <c r="CY548" s="56"/>
      <c r="CZ548" s="56"/>
      <c r="DA548" s="56"/>
      <c r="DB548" s="56"/>
      <c r="DC548" s="56"/>
      <c r="DD548" s="56"/>
      <c r="DE548" s="56"/>
      <c r="DF548" s="56"/>
      <c r="DG548" s="56"/>
      <c r="DH548" s="56"/>
      <c r="DI548" s="56"/>
      <c r="DJ548" s="56"/>
      <c r="DK548" s="56"/>
      <c r="DL548" s="56"/>
      <c r="DM548" s="56"/>
      <c r="DN548" s="56"/>
      <c r="DO548" s="56"/>
      <c r="DP548" s="56"/>
      <c r="DQ548" s="56"/>
      <c r="DR548" s="56"/>
      <c r="DS548" s="56"/>
      <c r="DT548" s="56"/>
      <c r="DU548" s="56"/>
      <c r="DV548" s="56"/>
      <c r="DW548" s="56"/>
      <c r="DX548" s="56"/>
      <c r="DY548" s="56"/>
      <c r="DZ548" s="56"/>
      <c r="EA548" s="56"/>
      <c r="EB548" s="56"/>
      <c r="EC548" s="56"/>
      <c r="ED548" s="56"/>
      <c r="EE548" s="56"/>
      <c r="EF548" s="56"/>
      <c r="EG548" s="56"/>
      <c r="EH548" s="56"/>
      <c r="EI548" s="56"/>
      <c r="EJ548" s="56"/>
      <c r="EK548" s="56"/>
      <c r="EL548" s="56"/>
      <c r="EM548" s="56"/>
      <c r="EN548" s="56"/>
      <c r="EO548" s="56"/>
      <c r="EP548" s="56"/>
      <c r="EQ548" s="56"/>
      <c r="ER548" s="56"/>
      <c r="ES548" s="56"/>
      <c r="ET548" s="56"/>
      <c r="EU548" s="56"/>
      <c r="EV548" s="56"/>
      <c r="EW548" s="56"/>
      <c r="EX548" s="56"/>
      <c r="EY548" s="56"/>
      <c r="EZ548" s="56"/>
      <c r="FA548" s="56"/>
      <c r="FB548" s="56"/>
      <c r="FC548" s="56"/>
      <c r="FD548" s="56"/>
      <c r="FE548" s="56"/>
      <c r="FF548" s="56"/>
      <c r="FG548" s="56"/>
      <c r="FH548" s="56"/>
      <c r="FI548" s="56"/>
      <c r="FJ548" s="56"/>
      <c r="FK548" s="56"/>
      <c r="FL548" s="56"/>
      <c r="FM548" s="56"/>
      <c r="FN548" s="56"/>
      <c r="FO548" s="56"/>
      <c r="FP548" s="56"/>
      <c r="FQ548" s="56"/>
      <c r="FR548" s="56"/>
      <c r="FS548" s="56"/>
      <c r="FT548" s="56"/>
      <c r="FU548" s="56"/>
      <c r="FV548" s="56"/>
      <c r="FW548" s="56"/>
      <c r="FX548" s="56"/>
      <c r="FY548" s="56"/>
      <c r="FZ548" s="56"/>
      <c r="GA548" s="56"/>
      <c r="GB548" s="56"/>
      <c r="GC548" s="56"/>
      <c r="GD548" s="56"/>
      <c r="GE548" s="56"/>
      <c r="GF548" s="56"/>
      <c r="GG548" s="56"/>
      <c r="GH548" s="56"/>
      <c r="GI548" s="56"/>
      <c r="GJ548" s="56"/>
      <c r="GK548" s="56"/>
      <c r="GL548" s="56"/>
      <c r="GM548" s="56"/>
      <c r="GN548" s="56"/>
      <c r="GO548" s="56"/>
      <c r="GP548" s="56"/>
      <c r="GQ548" s="56"/>
      <c r="GR548" s="56"/>
      <c r="GS548" s="56"/>
      <c r="GT548" s="56"/>
      <c r="GU548" s="56"/>
      <c r="GV548" s="56"/>
      <c r="GW548" s="56"/>
      <c r="GX548" s="56"/>
      <c r="GY548" s="56"/>
      <c r="GZ548" s="56"/>
      <c r="HA548" s="56"/>
      <c r="HB548" s="56"/>
      <c r="HC548" s="56"/>
      <c r="HD548" s="56"/>
      <c r="HE548" s="56"/>
      <c r="HF548" s="56"/>
      <c r="HG548" s="56"/>
      <c r="HH548" s="56"/>
      <c r="HI548" s="56"/>
      <c r="HJ548" s="56"/>
    </row>
    <row r="549" spans="1:218" ht="15.75" customHeight="1" x14ac:dyDescent="0.2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56"/>
      <c r="CP549" s="56"/>
      <c r="CQ549" s="56"/>
      <c r="CR549" s="56"/>
      <c r="CS549" s="56"/>
      <c r="CT549" s="56"/>
      <c r="CU549" s="56"/>
      <c r="CV549" s="56"/>
      <c r="CW549" s="56"/>
      <c r="CX549" s="56"/>
      <c r="CY549" s="56"/>
      <c r="CZ549" s="56"/>
      <c r="DA549" s="56"/>
      <c r="DB549" s="56"/>
      <c r="DC549" s="56"/>
      <c r="DD549" s="56"/>
      <c r="DE549" s="56"/>
      <c r="DF549" s="56"/>
      <c r="DG549" s="56"/>
      <c r="DH549" s="56"/>
      <c r="DI549" s="56"/>
      <c r="DJ549" s="56"/>
      <c r="DK549" s="56"/>
      <c r="DL549" s="56"/>
      <c r="DM549" s="56"/>
      <c r="DN549" s="56"/>
      <c r="DO549" s="56"/>
      <c r="DP549" s="56"/>
      <c r="DQ549" s="56"/>
      <c r="DR549" s="56"/>
      <c r="DS549" s="56"/>
      <c r="DT549" s="56"/>
      <c r="DU549" s="56"/>
      <c r="DV549" s="56"/>
      <c r="DW549" s="56"/>
      <c r="DX549" s="56"/>
      <c r="DY549" s="56"/>
      <c r="DZ549" s="56"/>
      <c r="EA549" s="56"/>
      <c r="EB549" s="56"/>
      <c r="EC549" s="56"/>
      <c r="ED549" s="56"/>
      <c r="EE549" s="56"/>
      <c r="EF549" s="56"/>
      <c r="EG549" s="56"/>
      <c r="EH549" s="56"/>
      <c r="EI549" s="56"/>
      <c r="EJ549" s="56"/>
      <c r="EK549" s="56"/>
      <c r="EL549" s="56"/>
      <c r="EM549" s="56"/>
      <c r="EN549" s="56"/>
      <c r="EO549" s="56"/>
      <c r="EP549" s="56"/>
      <c r="EQ549" s="56"/>
      <c r="ER549" s="56"/>
      <c r="ES549" s="56"/>
      <c r="ET549" s="56"/>
      <c r="EU549" s="56"/>
      <c r="EV549" s="56"/>
      <c r="EW549" s="56"/>
      <c r="EX549" s="56"/>
      <c r="EY549" s="56"/>
      <c r="EZ549" s="56"/>
      <c r="FA549" s="56"/>
      <c r="FB549" s="56"/>
      <c r="FC549" s="56"/>
      <c r="FD549" s="56"/>
      <c r="FE549" s="56"/>
      <c r="FF549" s="56"/>
      <c r="FG549" s="56"/>
      <c r="FH549" s="56"/>
      <c r="FI549" s="56"/>
      <c r="FJ549" s="56"/>
      <c r="FK549" s="56"/>
      <c r="FL549" s="56"/>
      <c r="FM549" s="56"/>
      <c r="FN549" s="56"/>
      <c r="FO549" s="56"/>
      <c r="FP549" s="56"/>
      <c r="FQ549" s="56"/>
      <c r="FR549" s="56"/>
      <c r="FS549" s="56"/>
      <c r="FT549" s="56"/>
      <c r="FU549" s="56"/>
      <c r="FV549" s="56"/>
      <c r="FW549" s="56"/>
      <c r="FX549" s="56"/>
      <c r="FY549" s="56"/>
      <c r="FZ549" s="56"/>
      <c r="GA549" s="56"/>
      <c r="GB549" s="56"/>
      <c r="GC549" s="56"/>
      <c r="GD549" s="56"/>
      <c r="GE549" s="56"/>
      <c r="GF549" s="56"/>
      <c r="GG549" s="56"/>
      <c r="GH549" s="56"/>
      <c r="GI549" s="56"/>
      <c r="GJ549" s="56"/>
      <c r="GK549" s="56"/>
      <c r="GL549" s="56"/>
      <c r="GM549" s="56"/>
      <c r="GN549" s="56"/>
      <c r="GO549" s="56"/>
      <c r="GP549" s="56"/>
      <c r="GQ549" s="56"/>
      <c r="GR549" s="56"/>
      <c r="GS549" s="56"/>
      <c r="GT549" s="56"/>
      <c r="GU549" s="56"/>
      <c r="GV549" s="56"/>
      <c r="GW549" s="56"/>
      <c r="GX549" s="56"/>
      <c r="GY549" s="56"/>
      <c r="GZ549" s="56"/>
      <c r="HA549" s="56"/>
      <c r="HB549" s="56"/>
      <c r="HC549" s="56"/>
      <c r="HD549" s="56"/>
      <c r="HE549" s="56"/>
      <c r="HF549" s="56"/>
      <c r="HG549" s="56"/>
      <c r="HH549" s="56"/>
      <c r="HI549" s="56"/>
      <c r="HJ549" s="56"/>
    </row>
    <row r="550" spans="1:218" ht="15.75" customHeight="1" x14ac:dyDescent="0.2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56"/>
      <c r="CP550" s="56"/>
      <c r="CQ550" s="56"/>
      <c r="CR550" s="56"/>
      <c r="CS550" s="56"/>
      <c r="CT550" s="56"/>
      <c r="CU550" s="56"/>
      <c r="CV550" s="56"/>
      <c r="CW550" s="56"/>
      <c r="CX550" s="56"/>
      <c r="CY550" s="56"/>
      <c r="CZ550" s="56"/>
      <c r="DA550" s="56"/>
      <c r="DB550" s="56"/>
      <c r="DC550" s="56"/>
      <c r="DD550" s="56"/>
      <c r="DE550" s="56"/>
      <c r="DF550" s="56"/>
      <c r="DG550" s="56"/>
      <c r="DH550" s="56"/>
      <c r="DI550" s="56"/>
      <c r="DJ550" s="56"/>
      <c r="DK550" s="56"/>
      <c r="DL550" s="56"/>
      <c r="DM550" s="56"/>
      <c r="DN550" s="56"/>
      <c r="DO550" s="56"/>
      <c r="DP550" s="56"/>
      <c r="DQ550" s="56"/>
      <c r="DR550" s="56"/>
      <c r="DS550" s="56"/>
      <c r="DT550" s="56"/>
      <c r="DU550" s="56"/>
      <c r="DV550" s="56"/>
      <c r="DW550" s="56"/>
      <c r="DX550" s="56"/>
      <c r="DY550" s="56"/>
      <c r="DZ550" s="56"/>
      <c r="EA550" s="56"/>
      <c r="EB550" s="56"/>
      <c r="EC550" s="56"/>
      <c r="ED550" s="56"/>
      <c r="EE550" s="56"/>
      <c r="EF550" s="56"/>
      <c r="EG550" s="56"/>
      <c r="EH550" s="56"/>
      <c r="EI550" s="56"/>
      <c r="EJ550" s="56"/>
      <c r="EK550" s="56"/>
      <c r="EL550" s="56"/>
      <c r="EM550" s="56"/>
      <c r="EN550" s="56"/>
      <c r="EO550" s="56"/>
      <c r="EP550" s="56"/>
      <c r="EQ550" s="56"/>
      <c r="ER550" s="56"/>
      <c r="ES550" s="56"/>
      <c r="ET550" s="56"/>
      <c r="EU550" s="56"/>
      <c r="EV550" s="56"/>
      <c r="EW550" s="56"/>
      <c r="EX550" s="56"/>
      <c r="EY550" s="56"/>
      <c r="EZ550" s="56"/>
      <c r="FA550" s="56"/>
      <c r="FB550" s="56"/>
      <c r="FC550" s="56"/>
      <c r="FD550" s="56"/>
      <c r="FE550" s="56"/>
      <c r="FF550" s="56"/>
      <c r="FG550" s="56"/>
      <c r="FH550" s="56"/>
      <c r="FI550" s="56"/>
      <c r="FJ550" s="56"/>
      <c r="FK550" s="56"/>
      <c r="FL550" s="56"/>
      <c r="FM550" s="56"/>
      <c r="FN550" s="56"/>
      <c r="FO550" s="56"/>
      <c r="FP550" s="56"/>
      <c r="FQ550" s="56"/>
      <c r="FR550" s="56"/>
      <c r="FS550" s="56"/>
      <c r="FT550" s="56"/>
      <c r="FU550" s="56"/>
      <c r="FV550" s="56"/>
      <c r="FW550" s="56"/>
      <c r="FX550" s="56"/>
      <c r="FY550" s="56"/>
      <c r="FZ550" s="56"/>
      <c r="GA550" s="56"/>
      <c r="GB550" s="56"/>
      <c r="GC550" s="56"/>
      <c r="GD550" s="56"/>
      <c r="GE550" s="56"/>
      <c r="GF550" s="56"/>
      <c r="GG550" s="56"/>
      <c r="GH550" s="56"/>
      <c r="GI550" s="56"/>
      <c r="GJ550" s="56"/>
      <c r="GK550" s="56"/>
      <c r="GL550" s="56"/>
      <c r="GM550" s="56"/>
      <c r="GN550" s="56"/>
      <c r="GO550" s="56"/>
      <c r="GP550" s="56"/>
      <c r="GQ550" s="56"/>
      <c r="GR550" s="56"/>
      <c r="GS550" s="56"/>
      <c r="GT550" s="56"/>
      <c r="GU550" s="56"/>
      <c r="GV550" s="56"/>
      <c r="GW550" s="56"/>
      <c r="GX550" s="56"/>
      <c r="GY550" s="56"/>
      <c r="GZ550" s="56"/>
      <c r="HA550" s="56"/>
      <c r="HB550" s="56"/>
      <c r="HC550" s="56"/>
      <c r="HD550" s="56"/>
      <c r="HE550" s="56"/>
      <c r="HF550" s="56"/>
      <c r="HG550" s="56"/>
      <c r="HH550" s="56"/>
      <c r="HI550" s="56"/>
      <c r="HJ550" s="56"/>
    </row>
    <row r="551" spans="1:218" ht="15.75" customHeight="1" x14ac:dyDescent="0.2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  <c r="CL551" s="56"/>
      <c r="CM551" s="56"/>
      <c r="CN551" s="56"/>
      <c r="CO551" s="56"/>
      <c r="CP551" s="56"/>
      <c r="CQ551" s="56"/>
      <c r="CR551" s="56"/>
      <c r="CS551" s="56"/>
      <c r="CT551" s="56"/>
      <c r="CU551" s="56"/>
      <c r="CV551" s="56"/>
      <c r="CW551" s="56"/>
      <c r="CX551" s="56"/>
      <c r="CY551" s="56"/>
      <c r="CZ551" s="56"/>
      <c r="DA551" s="56"/>
      <c r="DB551" s="56"/>
      <c r="DC551" s="56"/>
      <c r="DD551" s="56"/>
      <c r="DE551" s="56"/>
      <c r="DF551" s="56"/>
      <c r="DG551" s="56"/>
      <c r="DH551" s="56"/>
      <c r="DI551" s="56"/>
      <c r="DJ551" s="56"/>
      <c r="DK551" s="56"/>
      <c r="DL551" s="56"/>
      <c r="DM551" s="56"/>
      <c r="DN551" s="56"/>
      <c r="DO551" s="56"/>
      <c r="DP551" s="56"/>
      <c r="DQ551" s="56"/>
      <c r="DR551" s="56"/>
      <c r="DS551" s="56"/>
      <c r="DT551" s="56"/>
      <c r="DU551" s="56"/>
      <c r="DV551" s="56"/>
      <c r="DW551" s="56"/>
      <c r="DX551" s="56"/>
      <c r="DY551" s="56"/>
      <c r="DZ551" s="56"/>
      <c r="EA551" s="56"/>
      <c r="EB551" s="56"/>
      <c r="EC551" s="56"/>
      <c r="ED551" s="56"/>
      <c r="EE551" s="56"/>
      <c r="EF551" s="56"/>
      <c r="EG551" s="56"/>
      <c r="EH551" s="56"/>
      <c r="EI551" s="56"/>
      <c r="EJ551" s="56"/>
      <c r="EK551" s="56"/>
      <c r="EL551" s="56"/>
      <c r="EM551" s="56"/>
      <c r="EN551" s="56"/>
      <c r="EO551" s="56"/>
      <c r="EP551" s="56"/>
      <c r="EQ551" s="56"/>
      <c r="ER551" s="56"/>
      <c r="ES551" s="56"/>
      <c r="ET551" s="56"/>
      <c r="EU551" s="56"/>
      <c r="EV551" s="56"/>
      <c r="EW551" s="56"/>
      <c r="EX551" s="56"/>
      <c r="EY551" s="56"/>
      <c r="EZ551" s="56"/>
      <c r="FA551" s="56"/>
      <c r="FB551" s="56"/>
      <c r="FC551" s="56"/>
      <c r="FD551" s="56"/>
      <c r="FE551" s="56"/>
      <c r="FF551" s="56"/>
      <c r="FG551" s="56"/>
      <c r="FH551" s="56"/>
      <c r="FI551" s="56"/>
      <c r="FJ551" s="56"/>
      <c r="FK551" s="56"/>
      <c r="FL551" s="56"/>
      <c r="FM551" s="56"/>
      <c r="FN551" s="56"/>
      <c r="FO551" s="56"/>
      <c r="FP551" s="56"/>
      <c r="FQ551" s="56"/>
      <c r="FR551" s="56"/>
      <c r="FS551" s="56"/>
      <c r="FT551" s="56"/>
      <c r="FU551" s="56"/>
      <c r="FV551" s="56"/>
      <c r="FW551" s="56"/>
      <c r="FX551" s="56"/>
      <c r="FY551" s="56"/>
      <c r="FZ551" s="56"/>
      <c r="GA551" s="56"/>
      <c r="GB551" s="56"/>
      <c r="GC551" s="56"/>
      <c r="GD551" s="56"/>
      <c r="GE551" s="56"/>
      <c r="GF551" s="56"/>
      <c r="GG551" s="56"/>
      <c r="GH551" s="56"/>
      <c r="GI551" s="56"/>
      <c r="GJ551" s="56"/>
      <c r="GK551" s="56"/>
      <c r="GL551" s="56"/>
      <c r="GM551" s="56"/>
      <c r="GN551" s="56"/>
      <c r="GO551" s="56"/>
      <c r="GP551" s="56"/>
      <c r="GQ551" s="56"/>
      <c r="GR551" s="56"/>
      <c r="GS551" s="56"/>
      <c r="GT551" s="56"/>
      <c r="GU551" s="56"/>
      <c r="GV551" s="56"/>
      <c r="GW551" s="56"/>
      <c r="GX551" s="56"/>
      <c r="GY551" s="56"/>
      <c r="GZ551" s="56"/>
      <c r="HA551" s="56"/>
      <c r="HB551" s="56"/>
      <c r="HC551" s="56"/>
      <c r="HD551" s="56"/>
      <c r="HE551" s="56"/>
      <c r="HF551" s="56"/>
      <c r="HG551" s="56"/>
      <c r="HH551" s="56"/>
      <c r="HI551" s="56"/>
      <c r="HJ551" s="56"/>
    </row>
    <row r="552" spans="1:218" ht="15.75" customHeight="1" x14ac:dyDescent="0.2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  <c r="CL552" s="56"/>
      <c r="CM552" s="56"/>
      <c r="CN552" s="56"/>
      <c r="CO552" s="56"/>
      <c r="CP552" s="56"/>
      <c r="CQ552" s="56"/>
      <c r="CR552" s="56"/>
      <c r="CS552" s="56"/>
      <c r="CT552" s="56"/>
      <c r="CU552" s="56"/>
      <c r="CV552" s="56"/>
      <c r="CW552" s="56"/>
      <c r="CX552" s="56"/>
      <c r="CY552" s="56"/>
      <c r="CZ552" s="56"/>
      <c r="DA552" s="56"/>
      <c r="DB552" s="56"/>
      <c r="DC552" s="56"/>
      <c r="DD552" s="56"/>
      <c r="DE552" s="56"/>
      <c r="DF552" s="56"/>
      <c r="DG552" s="56"/>
      <c r="DH552" s="56"/>
      <c r="DI552" s="56"/>
      <c r="DJ552" s="56"/>
      <c r="DK552" s="56"/>
      <c r="DL552" s="56"/>
      <c r="DM552" s="56"/>
      <c r="DN552" s="56"/>
      <c r="DO552" s="56"/>
      <c r="DP552" s="56"/>
      <c r="DQ552" s="56"/>
      <c r="DR552" s="56"/>
      <c r="DS552" s="56"/>
      <c r="DT552" s="56"/>
      <c r="DU552" s="56"/>
      <c r="DV552" s="56"/>
      <c r="DW552" s="56"/>
      <c r="DX552" s="56"/>
      <c r="DY552" s="56"/>
      <c r="DZ552" s="56"/>
      <c r="EA552" s="56"/>
      <c r="EB552" s="56"/>
      <c r="EC552" s="56"/>
      <c r="ED552" s="56"/>
      <c r="EE552" s="56"/>
      <c r="EF552" s="56"/>
      <c r="EG552" s="56"/>
      <c r="EH552" s="56"/>
      <c r="EI552" s="56"/>
      <c r="EJ552" s="56"/>
      <c r="EK552" s="56"/>
      <c r="EL552" s="56"/>
      <c r="EM552" s="56"/>
      <c r="EN552" s="56"/>
      <c r="EO552" s="56"/>
      <c r="EP552" s="56"/>
      <c r="EQ552" s="56"/>
      <c r="ER552" s="56"/>
      <c r="ES552" s="56"/>
      <c r="ET552" s="56"/>
      <c r="EU552" s="56"/>
      <c r="EV552" s="56"/>
      <c r="EW552" s="56"/>
      <c r="EX552" s="56"/>
      <c r="EY552" s="56"/>
      <c r="EZ552" s="56"/>
      <c r="FA552" s="56"/>
      <c r="FB552" s="56"/>
      <c r="FC552" s="56"/>
      <c r="FD552" s="56"/>
      <c r="FE552" s="56"/>
      <c r="FF552" s="56"/>
      <c r="FG552" s="56"/>
      <c r="FH552" s="56"/>
      <c r="FI552" s="56"/>
      <c r="FJ552" s="56"/>
      <c r="FK552" s="56"/>
      <c r="FL552" s="56"/>
      <c r="FM552" s="56"/>
      <c r="FN552" s="56"/>
      <c r="FO552" s="56"/>
      <c r="FP552" s="56"/>
      <c r="FQ552" s="56"/>
      <c r="FR552" s="56"/>
      <c r="FS552" s="56"/>
      <c r="FT552" s="56"/>
      <c r="FU552" s="56"/>
      <c r="FV552" s="56"/>
      <c r="FW552" s="56"/>
      <c r="FX552" s="56"/>
      <c r="FY552" s="56"/>
      <c r="FZ552" s="56"/>
      <c r="GA552" s="56"/>
      <c r="GB552" s="56"/>
      <c r="GC552" s="56"/>
      <c r="GD552" s="56"/>
      <c r="GE552" s="56"/>
      <c r="GF552" s="56"/>
      <c r="GG552" s="56"/>
      <c r="GH552" s="56"/>
      <c r="GI552" s="56"/>
      <c r="GJ552" s="56"/>
      <c r="GK552" s="56"/>
      <c r="GL552" s="56"/>
      <c r="GM552" s="56"/>
      <c r="GN552" s="56"/>
      <c r="GO552" s="56"/>
      <c r="GP552" s="56"/>
      <c r="GQ552" s="56"/>
      <c r="GR552" s="56"/>
      <c r="GS552" s="56"/>
      <c r="GT552" s="56"/>
      <c r="GU552" s="56"/>
      <c r="GV552" s="56"/>
      <c r="GW552" s="56"/>
      <c r="GX552" s="56"/>
      <c r="GY552" s="56"/>
      <c r="GZ552" s="56"/>
      <c r="HA552" s="56"/>
      <c r="HB552" s="56"/>
      <c r="HC552" s="56"/>
      <c r="HD552" s="56"/>
      <c r="HE552" s="56"/>
      <c r="HF552" s="56"/>
      <c r="HG552" s="56"/>
      <c r="HH552" s="56"/>
      <c r="HI552" s="56"/>
      <c r="HJ552" s="56"/>
    </row>
    <row r="553" spans="1:218" ht="15.75" customHeight="1" x14ac:dyDescent="0.2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  <c r="CL553" s="56"/>
      <c r="CM553" s="56"/>
      <c r="CN553" s="56"/>
      <c r="CO553" s="56"/>
      <c r="CP553" s="56"/>
      <c r="CQ553" s="56"/>
      <c r="CR553" s="56"/>
      <c r="CS553" s="56"/>
      <c r="CT553" s="56"/>
      <c r="CU553" s="56"/>
      <c r="CV553" s="56"/>
      <c r="CW553" s="56"/>
      <c r="CX553" s="56"/>
      <c r="CY553" s="56"/>
      <c r="CZ553" s="56"/>
      <c r="DA553" s="56"/>
      <c r="DB553" s="56"/>
      <c r="DC553" s="56"/>
      <c r="DD553" s="56"/>
      <c r="DE553" s="56"/>
      <c r="DF553" s="56"/>
      <c r="DG553" s="56"/>
      <c r="DH553" s="56"/>
      <c r="DI553" s="56"/>
      <c r="DJ553" s="56"/>
      <c r="DK553" s="56"/>
      <c r="DL553" s="56"/>
      <c r="DM553" s="56"/>
      <c r="DN553" s="56"/>
      <c r="DO553" s="56"/>
      <c r="DP553" s="56"/>
      <c r="DQ553" s="56"/>
      <c r="DR553" s="56"/>
      <c r="DS553" s="56"/>
      <c r="DT553" s="56"/>
      <c r="DU553" s="56"/>
      <c r="DV553" s="56"/>
      <c r="DW553" s="56"/>
      <c r="DX553" s="56"/>
      <c r="DY553" s="56"/>
      <c r="DZ553" s="56"/>
      <c r="EA553" s="56"/>
      <c r="EB553" s="56"/>
      <c r="EC553" s="56"/>
      <c r="ED553" s="56"/>
      <c r="EE553" s="56"/>
      <c r="EF553" s="56"/>
      <c r="EG553" s="56"/>
      <c r="EH553" s="56"/>
      <c r="EI553" s="56"/>
      <c r="EJ553" s="56"/>
      <c r="EK553" s="56"/>
      <c r="EL553" s="56"/>
      <c r="EM553" s="56"/>
      <c r="EN553" s="56"/>
      <c r="EO553" s="56"/>
      <c r="EP553" s="56"/>
      <c r="EQ553" s="56"/>
      <c r="ER553" s="56"/>
      <c r="ES553" s="56"/>
      <c r="ET553" s="56"/>
      <c r="EU553" s="56"/>
      <c r="EV553" s="56"/>
      <c r="EW553" s="56"/>
      <c r="EX553" s="56"/>
      <c r="EY553" s="56"/>
      <c r="EZ553" s="56"/>
      <c r="FA553" s="56"/>
      <c r="FB553" s="56"/>
      <c r="FC553" s="56"/>
      <c r="FD553" s="56"/>
      <c r="FE553" s="56"/>
      <c r="FF553" s="56"/>
      <c r="FG553" s="56"/>
      <c r="FH553" s="56"/>
      <c r="FI553" s="56"/>
      <c r="FJ553" s="56"/>
      <c r="FK553" s="56"/>
      <c r="FL553" s="56"/>
      <c r="FM553" s="56"/>
      <c r="FN553" s="56"/>
      <c r="FO553" s="56"/>
      <c r="FP553" s="56"/>
      <c r="FQ553" s="56"/>
      <c r="FR553" s="56"/>
      <c r="FS553" s="56"/>
      <c r="FT553" s="56"/>
      <c r="FU553" s="56"/>
      <c r="FV553" s="56"/>
      <c r="FW553" s="56"/>
      <c r="FX553" s="56"/>
      <c r="FY553" s="56"/>
      <c r="FZ553" s="56"/>
      <c r="GA553" s="56"/>
      <c r="GB553" s="56"/>
      <c r="GC553" s="56"/>
      <c r="GD553" s="56"/>
      <c r="GE553" s="56"/>
      <c r="GF553" s="56"/>
      <c r="GG553" s="56"/>
      <c r="GH553" s="56"/>
      <c r="GI553" s="56"/>
      <c r="GJ553" s="56"/>
      <c r="GK553" s="56"/>
      <c r="GL553" s="56"/>
      <c r="GM553" s="56"/>
      <c r="GN553" s="56"/>
      <c r="GO553" s="56"/>
      <c r="GP553" s="56"/>
      <c r="GQ553" s="56"/>
      <c r="GR553" s="56"/>
      <c r="GS553" s="56"/>
      <c r="GT553" s="56"/>
      <c r="GU553" s="56"/>
      <c r="GV553" s="56"/>
      <c r="GW553" s="56"/>
      <c r="GX553" s="56"/>
      <c r="GY553" s="56"/>
      <c r="GZ553" s="56"/>
      <c r="HA553" s="56"/>
      <c r="HB553" s="56"/>
      <c r="HC553" s="56"/>
      <c r="HD553" s="56"/>
      <c r="HE553" s="56"/>
      <c r="HF553" s="56"/>
      <c r="HG553" s="56"/>
      <c r="HH553" s="56"/>
      <c r="HI553" s="56"/>
      <c r="HJ553" s="56"/>
    </row>
    <row r="554" spans="1:218" ht="15.75" customHeight="1" x14ac:dyDescent="0.2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56"/>
      <c r="CP554" s="56"/>
      <c r="CQ554" s="56"/>
      <c r="CR554" s="56"/>
      <c r="CS554" s="56"/>
      <c r="CT554" s="56"/>
      <c r="CU554" s="56"/>
      <c r="CV554" s="56"/>
      <c r="CW554" s="56"/>
      <c r="CX554" s="56"/>
      <c r="CY554" s="56"/>
      <c r="CZ554" s="56"/>
      <c r="DA554" s="56"/>
      <c r="DB554" s="56"/>
      <c r="DC554" s="56"/>
      <c r="DD554" s="56"/>
      <c r="DE554" s="56"/>
      <c r="DF554" s="56"/>
      <c r="DG554" s="56"/>
      <c r="DH554" s="56"/>
      <c r="DI554" s="56"/>
      <c r="DJ554" s="56"/>
      <c r="DK554" s="56"/>
      <c r="DL554" s="56"/>
      <c r="DM554" s="56"/>
      <c r="DN554" s="56"/>
      <c r="DO554" s="56"/>
      <c r="DP554" s="56"/>
      <c r="DQ554" s="56"/>
      <c r="DR554" s="56"/>
      <c r="DS554" s="56"/>
      <c r="DT554" s="56"/>
      <c r="DU554" s="56"/>
      <c r="DV554" s="56"/>
      <c r="DW554" s="56"/>
      <c r="DX554" s="56"/>
      <c r="DY554" s="56"/>
      <c r="DZ554" s="56"/>
      <c r="EA554" s="56"/>
      <c r="EB554" s="56"/>
      <c r="EC554" s="56"/>
      <c r="ED554" s="56"/>
      <c r="EE554" s="56"/>
      <c r="EF554" s="56"/>
      <c r="EG554" s="56"/>
      <c r="EH554" s="56"/>
      <c r="EI554" s="56"/>
      <c r="EJ554" s="56"/>
      <c r="EK554" s="56"/>
      <c r="EL554" s="56"/>
      <c r="EM554" s="56"/>
      <c r="EN554" s="56"/>
      <c r="EO554" s="56"/>
      <c r="EP554" s="56"/>
      <c r="EQ554" s="56"/>
      <c r="ER554" s="56"/>
      <c r="ES554" s="56"/>
      <c r="ET554" s="56"/>
      <c r="EU554" s="56"/>
      <c r="EV554" s="56"/>
      <c r="EW554" s="56"/>
      <c r="EX554" s="56"/>
      <c r="EY554" s="56"/>
      <c r="EZ554" s="56"/>
      <c r="FA554" s="56"/>
      <c r="FB554" s="56"/>
      <c r="FC554" s="56"/>
      <c r="FD554" s="56"/>
      <c r="FE554" s="56"/>
      <c r="FF554" s="56"/>
      <c r="FG554" s="56"/>
      <c r="FH554" s="56"/>
      <c r="FI554" s="56"/>
      <c r="FJ554" s="56"/>
      <c r="FK554" s="56"/>
      <c r="FL554" s="56"/>
      <c r="FM554" s="56"/>
      <c r="FN554" s="56"/>
      <c r="FO554" s="56"/>
      <c r="FP554" s="56"/>
      <c r="FQ554" s="56"/>
      <c r="FR554" s="56"/>
      <c r="FS554" s="56"/>
      <c r="FT554" s="56"/>
      <c r="FU554" s="56"/>
      <c r="FV554" s="56"/>
      <c r="FW554" s="56"/>
      <c r="FX554" s="56"/>
      <c r="FY554" s="56"/>
      <c r="FZ554" s="56"/>
      <c r="GA554" s="56"/>
      <c r="GB554" s="56"/>
      <c r="GC554" s="56"/>
      <c r="GD554" s="56"/>
      <c r="GE554" s="56"/>
      <c r="GF554" s="56"/>
      <c r="GG554" s="56"/>
      <c r="GH554" s="56"/>
      <c r="GI554" s="56"/>
      <c r="GJ554" s="56"/>
      <c r="GK554" s="56"/>
      <c r="GL554" s="56"/>
      <c r="GM554" s="56"/>
      <c r="GN554" s="56"/>
      <c r="GO554" s="56"/>
      <c r="GP554" s="56"/>
      <c r="GQ554" s="56"/>
      <c r="GR554" s="56"/>
      <c r="GS554" s="56"/>
      <c r="GT554" s="56"/>
      <c r="GU554" s="56"/>
      <c r="GV554" s="56"/>
      <c r="GW554" s="56"/>
      <c r="GX554" s="56"/>
      <c r="GY554" s="56"/>
      <c r="GZ554" s="56"/>
      <c r="HA554" s="56"/>
      <c r="HB554" s="56"/>
      <c r="HC554" s="56"/>
      <c r="HD554" s="56"/>
      <c r="HE554" s="56"/>
      <c r="HF554" s="56"/>
      <c r="HG554" s="56"/>
      <c r="HH554" s="56"/>
      <c r="HI554" s="56"/>
      <c r="HJ554" s="56"/>
    </row>
    <row r="555" spans="1:218" ht="15.75" customHeight="1" x14ac:dyDescent="0.2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56"/>
      <c r="CP555" s="56"/>
      <c r="CQ555" s="56"/>
      <c r="CR555" s="56"/>
      <c r="CS555" s="56"/>
      <c r="CT555" s="56"/>
      <c r="CU555" s="56"/>
      <c r="CV555" s="56"/>
      <c r="CW555" s="56"/>
      <c r="CX555" s="56"/>
      <c r="CY555" s="56"/>
      <c r="CZ555" s="56"/>
      <c r="DA555" s="56"/>
      <c r="DB555" s="56"/>
      <c r="DC555" s="56"/>
      <c r="DD555" s="56"/>
      <c r="DE555" s="56"/>
      <c r="DF555" s="56"/>
      <c r="DG555" s="56"/>
      <c r="DH555" s="56"/>
      <c r="DI555" s="56"/>
      <c r="DJ555" s="56"/>
      <c r="DK555" s="56"/>
      <c r="DL555" s="56"/>
      <c r="DM555" s="56"/>
      <c r="DN555" s="56"/>
      <c r="DO555" s="56"/>
      <c r="DP555" s="56"/>
      <c r="DQ555" s="56"/>
      <c r="DR555" s="56"/>
      <c r="DS555" s="56"/>
      <c r="DT555" s="56"/>
      <c r="DU555" s="56"/>
      <c r="DV555" s="56"/>
      <c r="DW555" s="56"/>
      <c r="DX555" s="56"/>
      <c r="DY555" s="56"/>
      <c r="DZ555" s="56"/>
      <c r="EA555" s="56"/>
      <c r="EB555" s="56"/>
      <c r="EC555" s="56"/>
      <c r="ED555" s="56"/>
      <c r="EE555" s="56"/>
      <c r="EF555" s="56"/>
      <c r="EG555" s="56"/>
      <c r="EH555" s="56"/>
      <c r="EI555" s="56"/>
      <c r="EJ555" s="56"/>
      <c r="EK555" s="56"/>
      <c r="EL555" s="56"/>
      <c r="EM555" s="56"/>
      <c r="EN555" s="56"/>
      <c r="EO555" s="56"/>
      <c r="EP555" s="56"/>
      <c r="EQ555" s="56"/>
      <c r="ER555" s="56"/>
      <c r="ES555" s="56"/>
      <c r="ET555" s="56"/>
      <c r="EU555" s="56"/>
      <c r="EV555" s="56"/>
      <c r="EW555" s="56"/>
      <c r="EX555" s="56"/>
      <c r="EY555" s="56"/>
      <c r="EZ555" s="56"/>
      <c r="FA555" s="56"/>
      <c r="FB555" s="56"/>
      <c r="FC555" s="56"/>
      <c r="FD555" s="56"/>
      <c r="FE555" s="56"/>
      <c r="FF555" s="56"/>
      <c r="FG555" s="56"/>
      <c r="FH555" s="56"/>
      <c r="FI555" s="56"/>
      <c r="FJ555" s="56"/>
      <c r="FK555" s="56"/>
      <c r="FL555" s="56"/>
      <c r="FM555" s="56"/>
      <c r="FN555" s="56"/>
      <c r="FO555" s="56"/>
      <c r="FP555" s="56"/>
      <c r="FQ555" s="56"/>
      <c r="FR555" s="56"/>
      <c r="FS555" s="56"/>
      <c r="FT555" s="56"/>
      <c r="FU555" s="56"/>
      <c r="FV555" s="56"/>
      <c r="FW555" s="56"/>
      <c r="FX555" s="56"/>
      <c r="FY555" s="56"/>
      <c r="FZ555" s="56"/>
      <c r="GA555" s="56"/>
      <c r="GB555" s="56"/>
      <c r="GC555" s="56"/>
      <c r="GD555" s="56"/>
      <c r="GE555" s="56"/>
      <c r="GF555" s="56"/>
      <c r="GG555" s="56"/>
      <c r="GH555" s="56"/>
      <c r="GI555" s="56"/>
      <c r="GJ555" s="56"/>
      <c r="GK555" s="56"/>
      <c r="GL555" s="56"/>
      <c r="GM555" s="56"/>
      <c r="GN555" s="56"/>
      <c r="GO555" s="56"/>
      <c r="GP555" s="56"/>
      <c r="GQ555" s="56"/>
      <c r="GR555" s="56"/>
      <c r="GS555" s="56"/>
      <c r="GT555" s="56"/>
      <c r="GU555" s="56"/>
      <c r="GV555" s="56"/>
      <c r="GW555" s="56"/>
      <c r="GX555" s="56"/>
      <c r="GY555" s="56"/>
      <c r="GZ555" s="56"/>
      <c r="HA555" s="56"/>
      <c r="HB555" s="56"/>
      <c r="HC555" s="56"/>
      <c r="HD555" s="56"/>
      <c r="HE555" s="56"/>
      <c r="HF555" s="56"/>
      <c r="HG555" s="56"/>
      <c r="HH555" s="56"/>
      <c r="HI555" s="56"/>
      <c r="HJ555" s="56"/>
    </row>
    <row r="556" spans="1:218" ht="15.75" customHeight="1" x14ac:dyDescent="0.2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  <c r="BV556" s="56"/>
      <c r="BW556" s="56"/>
      <c r="BX556" s="56"/>
      <c r="BY556" s="56"/>
      <c r="BZ556" s="56"/>
      <c r="CA556" s="56"/>
      <c r="CB556" s="56"/>
      <c r="CC556" s="56"/>
      <c r="CD556" s="56"/>
      <c r="CE556" s="56"/>
      <c r="CF556" s="56"/>
      <c r="CG556" s="56"/>
      <c r="CH556" s="56"/>
      <c r="CI556" s="56"/>
      <c r="CJ556" s="56"/>
      <c r="CK556" s="56"/>
      <c r="CL556" s="56"/>
      <c r="CM556" s="56"/>
      <c r="CN556" s="56"/>
      <c r="CO556" s="56"/>
      <c r="CP556" s="56"/>
      <c r="CQ556" s="56"/>
      <c r="CR556" s="56"/>
      <c r="CS556" s="56"/>
      <c r="CT556" s="56"/>
      <c r="CU556" s="56"/>
      <c r="CV556" s="56"/>
      <c r="CW556" s="56"/>
      <c r="CX556" s="56"/>
      <c r="CY556" s="56"/>
      <c r="CZ556" s="56"/>
      <c r="DA556" s="56"/>
      <c r="DB556" s="56"/>
      <c r="DC556" s="56"/>
      <c r="DD556" s="56"/>
      <c r="DE556" s="56"/>
      <c r="DF556" s="56"/>
      <c r="DG556" s="56"/>
      <c r="DH556" s="56"/>
      <c r="DI556" s="56"/>
      <c r="DJ556" s="56"/>
      <c r="DK556" s="56"/>
      <c r="DL556" s="56"/>
      <c r="DM556" s="56"/>
      <c r="DN556" s="56"/>
      <c r="DO556" s="56"/>
      <c r="DP556" s="56"/>
      <c r="DQ556" s="56"/>
      <c r="DR556" s="56"/>
      <c r="DS556" s="56"/>
      <c r="DT556" s="56"/>
      <c r="DU556" s="56"/>
      <c r="DV556" s="56"/>
      <c r="DW556" s="56"/>
      <c r="DX556" s="56"/>
      <c r="DY556" s="56"/>
      <c r="DZ556" s="56"/>
      <c r="EA556" s="56"/>
      <c r="EB556" s="56"/>
      <c r="EC556" s="56"/>
      <c r="ED556" s="56"/>
      <c r="EE556" s="56"/>
      <c r="EF556" s="56"/>
      <c r="EG556" s="56"/>
      <c r="EH556" s="56"/>
      <c r="EI556" s="56"/>
      <c r="EJ556" s="56"/>
      <c r="EK556" s="56"/>
      <c r="EL556" s="56"/>
      <c r="EM556" s="56"/>
      <c r="EN556" s="56"/>
      <c r="EO556" s="56"/>
      <c r="EP556" s="56"/>
      <c r="EQ556" s="56"/>
      <c r="ER556" s="56"/>
      <c r="ES556" s="56"/>
      <c r="ET556" s="56"/>
      <c r="EU556" s="56"/>
      <c r="EV556" s="56"/>
      <c r="EW556" s="56"/>
      <c r="EX556" s="56"/>
      <c r="EY556" s="56"/>
      <c r="EZ556" s="56"/>
      <c r="FA556" s="56"/>
      <c r="FB556" s="56"/>
      <c r="FC556" s="56"/>
      <c r="FD556" s="56"/>
      <c r="FE556" s="56"/>
      <c r="FF556" s="56"/>
      <c r="FG556" s="56"/>
      <c r="FH556" s="56"/>
      <c r="FI556" s="56"/>
      <c r="FJ556" s="56"/>
      <c r="FK556" s="56"/>
      <c r="FL556" s="56"/>
      <c r="FM556" s="56"/>
      <c r="FN556" s="56"/>
      <c r="FO556" s="56"/>
      <c r="FP556" s="56"/>
      <c r="FQ556" s="56"/>
      <c r="FR556" s="56"/>
      <c r="FS556" s="56"/>
      <c r="FT556" s="56"/>
      <c r="FU556" s="56"/>
      <c r="FV556" s="56"/>
      <c r="FW556" s="56"/>
      <c r="FX556" s="56"/>
      <c r="FY556" s="56"/>
      <c r="FZ556" s="56"/>
      <c r="GA556" s="56"/>
      <c r="GB556" s="56"/>
      <c r="GC556" s="56"/>
      <c r="GD556" s="56"/>
      <c r="GE556" s="56"/>
      <c r="GF556" s="56"/>
      <c r="GG556" s="56"/>
      <c r="GH556" s="56"/>
      <c r="GI556" s="56"/>
      <c r="GJ556" s="56"/>
      <c r="GK556" s="56"/>
      <c r="GL556" s="56"/>
      <c r="GM556" s="56"/>
      <c r="GN556" s="56"/>
      <c r="GO556" s="56"/>
      <c r="GP556" s="56"/>
      <c r="GQ556" s="56"/>
      <c r="GR556" s="56"/>
      <c r="GS556" s="56"/>
      <c r="GT556" s="56"/>
      <c r="GU556" s="56"/>
      <c r="GV556" s="56"/>
      <c r="GW556" s="56"/>
      <c r="GX556" s="56"/>
      <c r="GY556" s="56"/>
      <c r="GZ556" s="56"/>
      <c r="HA556" s="56"/>
      <c r="HB556" s="56"/>
      <c r="HC556" s="56"/>
      <c r="HD556" s="56"/>
      <c r="HE556" s="56"/>
      <c r="HF556" s="56"/>
      <c r="HG556" s="56"/>
      <c r="HH556" s="56"/>
      <c r="HI556" s="56"/>
      <c r="HJ556" s="56"/>
    </row>
    <row r="557" spans="1:218" ht="15.75" customHeight="1" x14ac:dyDescent="0.2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  <c r="CL557" s="56"/>
      <c r="CM557" s="56"/>
      <c r="CN557" s="56"/>
      <c r="CO557" s="56"/>
      <c r="CP557" s="56"/>
      <c r="CQ557" s="56"/>
      <c r="CR557" s="56"/>
      <c r="CS557" s="56"/>
      <c r="CT557" s="56"/>
      <c r="CU557" s="56"/>
      <c r="CV557" s="56"/>
      <c r="CW557" s="56"/>
      <c r="CX557" s="56"/>
      <c r="CY557" s="56"/>
      <c r="CZ557" s="56"/>
      <c r="DA557" s="56"/>
      <c r="DB557" s="56"/>
      <c r="DC557" s="56"/>
      <c r="DD557" s="56"/>
      <c r="DE557" s="56"/>
      <c r="DF557" s="56"/>
      <c r="DG557" s="56"/>
      <c r="DH557" s="56"/>
      <c r="DI557" s="56"/>
      <c r="DJ557" s="56"/>
      <c r="DK557" s="56"/>
      <c r="DL557" s="56"/>
      <c r="DM557" s="56"/>
      <c r="DN557" s="56"/>
      <c r="DO557" s="56"/>
      <c r="DP557" s="56"/>
      <c r="DQ557" s="56"/>
      <c r="DR557" s="56"/>
      <c r="DS557" s="56"/>
      <c r="DT557" s="56"/>
      <c r="DU557" s="56"/>
      <c r="DV557" s="56"/>
      <c r="DW557" s="56"/>
      <c r="DX557" s="56"/>
      <c r="DY557" s="56"/>
      <c r="DZ557" s="56"/>
      <c r="EA557" s="56"/>
      <c r="EB557" s="56"/>
      <c r="EC557" s="56"/>
      <c r="ED557" s="56"/>
      <c r="EE557" s="56"/>
      <c r="EF557" s="56"/>
      <c r="EG557" s="56"/>
      <c r="EH557" s="56"/>
      <c r="EI557" s="56"/>
      <c r="EJ557" s="56"/>
      <c r="EK557" s="56"/>
      <c r="EL557" s="56"/>
      <c r="EM557" s="56"/>
      <c r="EN557" s="56"/>
      <c r="EO557" s="56"/>
      <c r="EP557" s="56"/>
      <c r="EQ557" s="56"/>
      <c r="ER557" s="56"/>
      <c r="ES557" s="56"/>
      <c r="ET557" s="56"/>
      <c r="EU557" s="56"/>
      <c r="EV557" s="56"/>
      <c r="EW557" s="56"/>
      <c r="EX557" s="56"/>
      <c r="EY557" s="56"/>
      <c r="EZ557" s="56"/>
      <c r="FA557" s="56"/>
      <c r="FB557" s="56"/>
      <c r="FC557" s="56"/>
      <c r="FD557" s="56"/>
      <c r="FE557" s="56"/>
      <c r="FF557" s="56"/>
      <c r="FG557" s="56"/>
      <c r="FH557" s="56"/>
      <c r="FI557" s="56"/>
      <c r="FJ557" s="56"/>
      <c r="FK557" s="56"/>
      <c r="FL557" s="56"/>
      <c r="FM557" s="56"/>
      <c r="FN557" s="56"/>
      <c r="FO557" s="56"/>
      <c r="FP557" s="56"/>
      <c r="FQ557" s="56"/>
      <c r="FR557" s="56"/>
      <c r="FS557" s="56"/>
      <c r="FT557" s="56"/>
      <c r="FU557" s="56"/>
      <c r="FV557" s="56"/>
      <c r="FW557" s="56"/>
      <c r="FX557" s="56"/>
      <c r="FY557" s="56"/>
      <c r="FZ557" s="56"/>
      <c r="GA557" s="56"/>
      <c r="GB557" s="56"/>
      <c r="GC557" s="56"/>
      <c r="GD557" s="56"/>
      <c r="GE557" s="56"/>
      <c r="GF557" s="56"/>
      <c r="GG557" s="56"/>
      <c r="GH557" s="56"/>
      <c r="GI557" s="56"/>
      <c r="GJ557" s="56"/>
      <c r="GK557" s="56"/>
      <c r="GL557" s="56"/>
      <c r="GM557" s="56"/>
      <c r="GN557" s="56"/>
      <c r="GO557" s="56"/>
      <c r="GP557" s="56"/>
      <c r="GQ557" s="56"/>
      <c r="GR557" s="56"/>
      <c r="GS557" s="56"/>
      <c r="GT557" s="56"/>
      <c r="GU557" s="56"/>
      <c r="GV557" s="56"/>
      <c r="GW557" s="56"/>
      <c r="GX557" s="56"/>
      <c r="GY557" s="56"/>
      <c r="GZ557" s="56"/>
      <c r="HA557" s="56"/>
      <c r="HB557" s="56"/>
      <c r="HC557" s="56"/>
      <c r="HD557" s="56"/>
      <c r="HE557" s="56"/>
      <c r="HF557" s="56"/>
      <c r="HG557" s="56"/>
      <c r="HH557" s="56"/>
      <c r="HI557" s="56"/>
      <c r="HJ557" s="56"/>
    </row>
    <row r="558" spans="1:218" ht="15.75" customHeight="1" x14ac:dyDescent="0.2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  <c r="CL558" s="56"/>
      <c r="CM558" s="56"/>
      <c r="CN558" s="56"/>
      <c r="CO558" s="56"/>
      <c r="CP558" s="56"/>
      <c r="CQ558" s="56"/>
      <c r="CR558" s="56"/>
      <c r="CS558" s="56"/>
      <c r="CT558" s="56"/>
      <c r="CU558" s="56"/>
      <c r="CV558" s="56"/>
      <c r="CW558" s="56"/>
      <c r="CX558" s="56"/>
      <c r="CY558" s="56"/>
      <c r="CZ558" s="56"/>
      <c r="DA558" s="56"/>
      <c r="DB558" s="56"/>
      <c r="DC558" s="56"/>
      <c r="DD558" s="56"/>
      <c r="DE558" s="56"/>
      <c r="DF558" s="56"/>
      <c r="DG558" s="56"/>
      <c r="DH558" s="56"/>
      <c r="DI558" s="56"/>
      <c r="DJ558" s="56"/>
      <c r="DK558" s="56"/>
      <c r="DL558" s="56"/>
      <c r="DM558" s="56"/>
      <c r="DN558" s="56"/>
      <c r="DO558" s="56"/>
      <c r="DP558" s="56"/>
      <c r="DQ558" s="56"/>
      <c r="DR558" s="56"/>
      <c r="DS558" s="56"/>
      <c r="DT558" s="56"/>
      <c r="DU558" s="56"/>
      <c r="DV558" s="56"/>
      <c r="DW558" s="56"/>
      <c r="DX558" s="56"/>
      <c r="DY558" s="56"/>
      <c r="DZ558" s="56"/>
      <c r="EA558" s="56"/>
      <c r="EB558" s="56"/>
      <c r="EC558" s="56"/>
      <c r="ED558" s="56"/>
      <c r="EE558" s="56"/>
      <c r="EF558" s="56"/>
      <c r="EG558" s="56"/>
      <c r="EH558" s="56"/>
      <c r="EI558" s="56"/>
      <c r="EJ558" s="56"/>
      <c r="EK558" s="56"/>
      <c r="EL558" s="56"/>
      <c r="EM558" s="56"/>
      <c r="EN558" s="56"/>
      <c r="EO558" s="56"/>
      <c r="EP558" s="56"/>
      <c r="EQ558" s="56"/>
      <c r="ER558" s="56"/>
      <c r="ES558" s="56"/>
      <c r="ET558" s="56"/>
      <c r="EU558" s="56"/>
      <c r="EV558" s="56"/>
      <c r="EW558" s="56"/>
      <c r="EX558" s="56"/>
      <c r="EY558" s="56"/>
      <c r="EZ558" s="56"/>
      <c r="FA558" s="56"/>
      <c r="FB558" s="56"/>
      <c r="FC558" s="56"/>
      <c r="FD558" s="56"/>
      <c r="FE558" s="56"/>
      <c r="FF558" s="56"/>
      <c r="FG558" s="56"/>
      <c r="FH558" s="56"/>
      <c r="FI558" s="56"/>
      <c r="FJ558" s="56"/>
      <c r="FK558" s="56"/>
      <c r="FL558" s="56"/>
      <c r="FM558" s="56"/>
      <c r="FN558" s="56"/>
      <c r="FO558" s="56"/>
      <c r="FP558" s="56"/>
      <c r="FQ558" s="56"/>
      <c r="FR558" s="56"/>
      <c r="FS558" s="56"/>
      <c r="FT558" s="56"/>
      <c r="FU558" s="56"/>
      <c r="FV558" s="56"/>
      <c r="FW558" s="56"/>
      <c r="FX558" s="56"/>
      <c r="FY558" s="56"/>
      <c r="FZ558" s="56"/>
      <c r="GA558" s="56"/>
      <c r="GB558" s="56"/>
      <c r="GC558" s="56"/>
      <c r="GD558" s="56"/>
      <c r="GE558" s="56"/>
      <c r="GF558" s="56"/>
      <c r="GG558" s="56"/>
      <c r="GH558" s="56"/>
      <c r="GI558" s="56"/>
      <c r="GJ558" s="56"/>
      <c r="GK558" s="56"/>
      <c r="GL558" s="56"/>
      <c r="GM558" s="56"/>
      <c r="GN558" s="56"/>
      <c r="GO558" s="56"/>
      <c r="GP558" s="56"/>
      <c r="GQ558" s="56"/>
      <c r="GR558" s="56"/>
      <c r="GS558" s="56"/>
      <c r="GT558" s="56"/>
      <c r="GU558" s="56"/>
      <c r="GV558" s="56"/>
      <c r="GW558" s="56"/>
      <c r="GX558" s="56"/>
      <c r="GY558" s="56"/>
      <c r="GZ558" s="56"/>
      <c r="HA558" s="56"/>
      <c r="HB558" s="56"/>
      <c r="HC558" s="56"/>
      <c r="HD558" s="56"/>
      <c r="HE558" s="56"/>
      <c r="HF558" s="56"/>
      <c r="HG558" s="56"/>
      <c r="HH558" s="56"/>
      <c r="HI558" s="56"/>
      <c r="HJ558" s="56"/>
    </row>
    <row r="559" spans="1:218" ht="15.75" customHeight="1" x14ac:dyDescent="0.2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56"/>
      <c r="CP559" s="56"/>
      <c r="CQ559" s="56"/>
      <c r="CR559" s="56"/>
      <c r="CS559" s="56"/>
      <c r="CT559" s="56"/>
      <c r="CU559" s="56"/>
      <c r="CV559" s="56"/>
      <c r="CW559" s="56"/>
      <c r="CX559" s="56"/>
      <c r="CY559" s="56"/>
      <c r="CZ559" s="56"/>
      <c r="DA559" s="56"/>
      <c r="DB559" s="56"/>
      <c r="DC559" s="56"/>
      <c r="DD559" s="56"/>
      <c r="DE559" s="56"/>
      <c r="DF559" s="56"/>
      <c r="DG559" s="56"/>
      <c r="DH559" s="56"/>
      <c r="DI559" s="56"/>
      <c r="DJ559" s="56"/>
      <c r="DK559" s="56"/>
      <c r="DL559" s="56"/>
      <c r="DM559" s="56"/>
      <c r="DN559" s="56"/>
      <c r="DO559" s="56"/>
      <c r="DP559" s="56"/>
      <c r="DQ559" s="56"/>
      <c r="DR559" s="56"/>
      <c r="DS559" s="56"/>
      <c r="DT559" s="56"/>
      <c r="DU559" s="56"/>
      <c r="DV559" s="56"/>
      <c r="DW559" s="56"/>
      <c r="DX559" s="56"/>
      <c r="DY559" s="56"/>
      <c r="DZ559" s="56"/>
      <c r="EA559" s="56"/>
      <c r="EB559" s="56"/>
      <c r="EC559" s="56"/>
      <c r="ED559" s="56"/>
      <c r="EE559" s="56"/>
      <c r="EF559" s="56"/>
      <c r="EG559" s="56"/>
      <c r="EH559" s="56"/>
      <c r="EI559" s="56"/>
      <c r="EJ559" s="56"/>
      <c r="EK559" s="56"/>
      <c r="EL559" s="56"/>
      <c r="EM559" s="56"/>
      <c r="EN559" s="56"/>
      <c r="EO559" s="56"/>
      <c r="EP559" s="56"/>
      <c r="EQ559" s="56"/>
      <c r="ER559" s="56"/>
      <c r="ES559" s="56"/>
      <c r="ET559" s="56"/>
      <c r="EU559" s="56"/>
      <c r="EV559" s="56"/>
      <c r="EW559" s="56"/>
      <c r="EX559" s="56"/>
      <c r="EY559" s="56"/>
      <c r="EZ559" s="56"/>
      <c r="FA559" s="56"/>
      <c r="FB559" s="56"/>
      <c r="FC559" s="56"/>
      <c r="FD559" s="56"/>
      <c r="FE559" s="56"/>
      <c r="FF559" s="56"/>
      <c r="FG559" s="56"/>
      <c r="FH559" s="56"/>
      <c r="FI559" s="56"/>
      <c r="FJ559" s="56"/>
      <c r="FK559" s="56"/>
      <c r="FL559" s="56"/>
      <c r="FM559" s="56"/>
      <c r="FN559" s="56"/>
      <c r="FO559" s="56"/>
      <c r="FP559" s="56"/>
      <c r="FQ559" s="56"/>
      <c r="FR559" s="56"/>
      <c r="FS559" s="56"/>
      <c r="FT559" s="56"/>
      <c r="FU559" s="56"/>
      <c r="FV559" s="56"/>
      <c r="FW559" s="56"/>
      <c r="FX559" s="56"/>
      <c r="FY559" s="56"/>
      <c r="FZ559" s="56"/>
      <c r="GA559" s="56"/>
      <c r="GB559" s="56"/>
      <c r="GC559" s="56"/>
      <c r="GD559" s="56"/>
      <c r="GE559" s="56"/>
      <c r="GF559" s="56"/>
      <c r="GG559" s="56"/>
      <c r="GH559" s="56"/>
      <c r="GI559" s="56"/>
      <c r="GJ559" s="56"/>
      <c r="GK559" s="56"/>
      <c r="GL559" s="56"/>
      <c r="GM559" s="56"/>
      <c r="GN559" s="56"/>
      <c r="GO559" s="56"/>
      <c r="GP559" s="56"/>
      <c r="GQ559" s="56"/>
      <c r="GR559" s="56"/>
      <c r="GS559" s="56"/>
      <c r="GT559" s="56"/>
      <c r="GU559" s="56"/>
      <c r="GV559" s="56"/>
      <c r="GW559" s="56"/>
      <c r="GX559" s="56"/>
      <c r="GY559" s="56"/>
      <c r="GZ559" s="56"/>
      <c r="HA559" s="56"/>
      <c r="HB559" s="56"/>
      <c r="HC559" s="56"/>
      <c r="HD559" s="56"/>
      <c r="HE559" s="56"/>
      <c r="HF559" s="56"/>
      <c r="HG559" s="56"/>
      <c r="HH559" s="56"/>
      <c r="HI559" s="56"/>
      <c r="HJ559" s="56"/>
    </row>
    <row r="560" spans="1:218" ht="15.75" customHeight="1" x14ac:dyDescent="0.2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56"/>
      <c r="CP560" s="56"/>
      <c r="CQ560" s="56"/>
      <c r="CR560" s="56"/>
      <c r="CS560" s="56"/>
      <c r="CT560" s="56"/>
      <c r="CU560" s="56"/>
      <c r="CV560" s="56"/>
      <c r="CW560" s="56"/>
      <c r="CX560" s="56"/>
      <c r="CY560" s="56"/>
      <c r="CZ560" s="56"/>
      <c r="DA560" s="56"/>
      <c r="DB560" s="56"/>
      <c r="DC560" s="56"/>
      <c r="DD560" s="56"/>
      <c r="DE560" s="56"/>
      <c r="DF560" s="56"/>
      <c r="DG560" s="56"/>
      <c r="DH560" s="56"/>
      <c r="DI560" s="56"/>
      <c r="DJ560" s="56"/>
      <c r="DK560" s="56"/>
      <c r="DL560" s="56"/>
      <c r="DM560" s="56"/>
      <c r="DN560" s="56"/>
      <c r="DO560" s="56"/>
      <c r="DP560" s="56"/>
      <c r="DQ560" s="56"/>
      <c r="DR560" s="56"/>
      <c r="DS560" s="56"/>
      <c r="DT560" s="56"/>
      <c r="DU560" s="56"/>
      <c r="DV560" s="56"/>
      <c r="DW560" s="56"/>
      <c r="DX560" s="56"/>
      <c r="DY560" s="56"/>
      <c r="DZ560" s="56"/>
      <c r="EA560" s="56"/>
      <c r="EB560" s="56"/>
      <c r="EC560" s="56"/>
      <c r="ED560" s="56"/>
      <c r="EE560" s="56"/>
      <c r="EF560" s="56"/>
      <c r="EG560" s="56"/>
      <c r="EH560" s="56"/>
      <c r="EI560" s="56"/>
      <c r="EJ560" s="56"/>
      <c r="EK560" s="56"/>
      <c r="EL560" s="56"/>
      <c r="EM560" s="56"/>
      <c r="EN560" s="56"/>
      <c r="EO560" s="56"/>
      <c r="EP560" s="56"/>
      <c r="EQ560" s="56"/>
      <c r="ER560" s="56"/>
      <c r="ES560" s="56"/>
      <c r="ET560" s="56"/>
      <c r="EU560" s="56"/>
      <c r="EV560" s="56"/>
      <c r="EW560" s="56"/>
      <c r="EX560" s="56"/>
      <c r="EY560" s="56"/>
      <c r="EZ560" s="56"/>
      <c r="FA560" s="56"/>
      <c r="FB560" s="56"/>
      <c r="FC560" s="56"/>
      <c r="FD560" s="56"/>
      <c r="FE560" s="56"/>
      <c r="FF560" s="56"/>
      <c r="FG560" s="56"/>
      <c r="FH560" s="56"/>
      <c r="FI560" s="56"/>
      <c r="FJ560" s="56"/>
      <c r="FK560" s="56"/>
      <c r="FL560" s="56"/>
      <c r="FM560" s="56"/>
      <c r="FN560" s="56"/>
      <c r="FO560" s="56"/>
      <c r="FP560" s="56"/>
      <c r="FQ560" s="56"/>
      <c r="FR560" s="56"/>
      <c r="FS560" s="56"/>
      <c r="FT560" s="56"/>
      <c r="FU560" s="56"/>
      <c r="FV560" s="56"/>
      <c r="FW560" s="56"/>
      <c r="FX560" s="56"/>
      <c r="FY560" s="56"/>
      <c r="FZ560" s="56"/>
      <c r="GA560" s="56"/>
      <c r="GB560" s="56"/>
      <c r="GC560" s="56"/>
      <c r="GD560" s="56"/>
      <c r="GE560" s="56"/>
      <c r="GF560" s="56"/>
      <c r="GG560" s="56"/>
      <c r="GH560" s="56"/>
      <c r="GI560" s="56"/>
      <c r="GJ560" s="56"/>
      <c r="GK560" s="56"/>
      <c r="GL560" s="56"/>
      <c r="GM560" s="56"/>
      <c r="GN560" s="56"/>
      <c r="GO560" s="56"/>
      <c r="GP560" s="56"/>
      <c r="GQ560" s="56"/>
      <c r="GR560" s="56"/>
      <c r="GS560" s="56"/>
      <c r="GT560" s="56"/>
      <c r="GU560" s="56"/>
      <c r="GV560" s="56"/>
      <c r="GW560" s="56"/>
      <c r="GX560" s="56"/>
      <c r="GY560" s="56"/>
      <c r="GZ560" s="56"/>
      <c r="HA560" s="56"/>
      <c r="HB560" s="56"/>
      <c r="HC560" s="56"/>
      <c r="HD560" s="56"/>
      <c r="HE560" s="56"/>
      <c r="HF560" s="56"/>
      <c r="HG560" s="56"/>
      <c r="HH560" s="56"/>
      <c r="HI560" s="56"/>
      <c r="HJ560" s="56"/>
    </row>
    <row r="561" spans="1:218" ht="15.75" customHeight="1" x14ac:dyDescent="0.2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  <c r="BV561" s="56"/>
      <c r="BW561" s="56"/>
      <c r="BX561" s="56"/>
      <c r="BY561" s="56"/>
      <c r="BZ561" s="56"/>
      <c r="CA561" s="56"/>
      <c r="CB561" s="56"/>
      <c r="CC561" s="56"/>
      <c r="CD561" s="56"/>
      <c r="CE561" s="56"/>
      <c r="CF561" s="56"/>
      <c r="CG561" s="56"/>
      <c r="CH561" s="56"/>
      <c r="CI561" s="56"/>
      <c r="CJ561" s="56"/>
      <c r="CK561" s="56"/>
      <c r="CL561" s="56"/>
      <c r="CM561" s="56"/>
      <c r="CN561" s="56"/>
      <c r="CO561" s="56"/>
      <c r="CP561" s="56"/>
      <c r="CQ561" s="56"/>
      <c r="CR561" s="56"/>
      <c r="CS561" s="56"/>
      <c r="CT561" s="56"/>
      <c r="CU561" s="56"/>
      <c r="CV561" s="56"/>
      <c r="CW561" s="56"/>
      <c r="CX561" s="56"/>
      <c r="CY561" s="56"/>
      <c r="CZ561" s="56"/>
      <c r="DA561" s="56"/>
      <c r="DB561" s="56"/>
      <c r="DC561" s="56"/>
      <c r="DD561" s="56"/>
      <c r="DE561" s="56"/>
      <c r="DF561" s="56"/>
      <c r="DG561" s="56"/>
      <c r="DH561" s="56"/>
      <c r="DI561" s="56"/>
      <c r="DJ561" s="56"/>
      <c r="DK561" s="56"/>
      <c r="DL561" s="56"/>
      <c r="DM561" s="56"/>
      <c r="DN561" s="56"/>
      <c r="DO561" s="56"/>
      <c r="DP561" s="56"/>
      <c r="DQ561" s="56"/>
      <c r="DR561" s="56"/>
      <c r="DS561" s="56"/>
      <c r="DT561" s="56"/>
      <c r="DU561" s="56"/>
      <c r="DV561" s="56"/>
      <c r="DW561" s="56"/>
      <c r="DX561" s="56"/>
      <c r="DY561" s="56"/>
      <c r="DZ561" s="56"/>
      <c r="EA561" s="56"/>
      <c r="EB561" s="56"/>
      <c r="EC561" s="56"/>
      <c r="ED561" s="56"/>
      <c r="EE561" s="56"/>
      <c r="EF561" s="56"/>
      <c r="EG561" s="56"/>
      <c r="EH561" s="56"/>
      <c r="EI561" s="56"/>
      <c r="EJ561" s="56"/>
      <c r="EK561" s="56"/>
      <c r="EL561" s="56"/>
      <c r="EM561" s="56"/>
      <c r="EN561" s="56"/>
      <c r="EO561" s="56"/>
      <c r="EP561" s="56"/>
      <c r="EQ561" s="56"/>
      <c r="ER561" s="56"/>
      <c r="ES561" s="56"/>
      <c r="ET561" s="56"/>
      <c r="EU561" s="56"/>
      <c r="EV561" s="56"/>
      <c r="EW561" s="56"/>
      <c r="EX561" s="56"/>
      <c r="EY561" s="56"/>
      <c r="EZ561" s="56"/>
      <c r="FA561" s="56"/>
      <c r="FB561" s="56"/>
      <c r="FC561" s="56"/>
      <c r="FD561" s="56"/>
      <c r="FE561" s="56"/>
      <c r="FF561" s="56"/>
      <c r="FG561" s="56"/>
      <c r="FH561" s="56"/>
      <c r="FI561" s="56"/>
      <c r="FJ561" s="56"/>
      <c r="FK561" s="56"/>
      <c r="FL561" s="56"/>
      <c r="FM561" s="56"/>
      <c r="FN561" s="56"/>
      <c r="FO561" s="56"/>
      <c r="FP561" s="56"/>
      <c r="FQ561" s="56"/>
      <c r="FR561" s="56"/>
      <c r="FS561" s="56"/>
      <c r="FT561" s="56"/>
      <c r="FU561" s="56"/>
      <c r="FV561" s="56"/>
      <c r="FW561" s="56"/>
      <c r="FX561" s="56"/>
      <c r="FY561" s="56"/>
      <c r="FZ561" s="56"/>
      <c r="GA561" s="56"/>
      <c r="GB561" s="56"/>
      <c r="GC561" s="56"/>
      <c r="GD561" s="56"/>
      <c r="GE561" s="56"/>
      <c r="GF561" s="56"/>
      <c r="GG561" s="56"/>
      <c r="GH561" s="56"/>
      <c r="GI561" s="56"/>
      <c r="GJ561" s="56"/>
      <c r="GK561" s="56"/>
      <c r="GL561" s="56"/>
      <c r="GM561" s="56"/>
      <c r="GN561" s="56"/>
      <c r="GO561" s="56"/>
      <c r="GP561" s="56"/>
      <c r="GQ561" s="56"/>
      <c r="GR561" s="56"/>
      <c r="GS561" s="56"/>
      <c r="GT561" s="56"/>
      <c r="GU561" s="56"/>
      <c r="GV561" s="56"/>
      <c r="GW561" s="56"/>
      <c r="GX561" s="56"/>
      <c r="GY561" s="56"/>
      <c r="GZ561" s="56"/>
      <c r="HA561" s="56"/>
      <c r="HB561" s="56"/>
      <c r="HC561" s="56"/>
      <c r="HD561" s="56"/>
      <c r="HE561" s="56"/>
      <c r="HF561" s="56"/>
      <c r="HG561" s="56"/>
      <c r="HH561" s="56"/>
      <c r="HI561" s="56"/>
      <c r="HJ561" s="56"/>
    </row>
    <row r="562" spans="1:218" ht="15.75" customHeight="1" x14ac:dyDescent="0.2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  <c r="CL562" s="56"/>
      <c r="CM562" s="56"/>
      <c r="CN562" s="56"/>
      <c r="CO562" s="56"/>
      <c r="CP562" s="56"/>
      <c r="CQ562" s="56"/>
      <c r="CR562" s="56"/>
      <c r="CS562" s="56"/>
      <c r="CT562" s="56"/>
      <c r="CU562" s="56"/>
      <c r="CV562" s="56"/>
      <c r="CW562" s="56"/>
      <c r="CX562" s="56"/>
      <c r="CY562" s="56"/>
      <c r="CZ562" s="56"/>
      <c r="DA562" s="56"/>
      <c r="DB562" s="56"/>
      <c r="DC562" s="56"/>
      <c r="DD562" s="56"/>
      <c r="DE562" s="56"/>
      <c r="DF562" s="56"/>
      <c r="DG562" s="56"/>
      <c r="DH562" s="56"/>
      <c r="DI562" s="56"/>
      <c r="DJ562" s="56"/>
      <c r="DK562" s="56"/>
      <c r="DL562" s="56"/>
      <c r="DM562" s="56"/>
      <c r="DN562" s="56"/>
      <c r="DO562" s="56"/>
      <c r="DP562" s="56"/>
      <c r="DQ562" s="56"/>
      <c r="DR562" s="56"/>
      <c r="DS562" s="56"/>
      <c r="DT562" s="56"/>
      <c r="DU562" s="56"/>
      <c r="DV562" s="56"/>
      <c r="DW562" s="56"/>
      <c r="DX562" s="56"/>
      <c r="DY562" s="56"/>
      <c r="DZ562" s="56"/>
      <c r="EA562" s="56"/>
      <c r="EB562" s="56"/>
      <c r="EC562" s="56"/>
      <c r="ED562" s="56"/>
      <c r="EE562" s="56"/>
      <c r="EF562" s="56"/>
      <c r="EG562" s="56"/>
      <c r="EH562" s="56"/>
      <c r="EI562" s="56"/>
      <c r="EJ562" s="56"/>
      <c r="EK562" s="56"/>
      <c r="EL562" s="56"/>
      <c r="EM562" s="56"/>
      <c r="EN562" s="56"/>
      <c r="EO562" s="56"/>
      <c r="EP562" s="56"/>
      <c r="EQ562" s="56"/>
      <c r="ER562" s="56"/>
      <c r="ES562" s="56"/>
      <c r="ET562" s="56"/>
      <c r="EU562" s="56"/>
      <c r="EV562" s="56"/>
      <c r="EW562" s="56"/>
      <c r="EX562" s="56"/>
      <c r="EY562" s="56"/>
      <c r="EZ562" s="56"/>
      <c r="FA562" s="56"/>
      <c r="FB562" s="56"/>
      <c r="FC562" s="56"/>
      <c r="FD562" s="56"/>
      <c r="FE562" s="56"/>
      <c r="FF562" s="56"/>
      <c r="FG562" s="56"/>
      <c r="FH562" s="56"/>
      <c r="FI562" s="56"/>
      <c r="FJ562" s="56"/>
      <c r="FK562" s="56"/>
      <c r="FL562" s="56"/>
      <c r="FM562" s="56"/>
      <c r="FN562" s="56"/>
      <c r="FO562" s="56"/>
      <c r="FP562" s="56"/>
      <c r="FQ562" s="56"/>
      <c r="FR562" s="56"/>
      <c r="FS562" s="56"/>
      <c r="FT562" s="56"/>
      <c r="FU562" s="56"/>
      <c r="FV562" s="56"/>
      <c r="FW562" s="56"/>
      <c r="FX562" s="56"/>
      <c r="FY562" s="56"/>
      <c r="FZ562" s="56"/>
      <c r="GA562" s="56"/>
      <c r="GB562" s="56"/>
      <c r="GC562" s="56"/>
      <c r="GD562" s="56"/>
      <c r="GE562" s="56"/>
      <c r="GF562" s="56"/>
      <c r="GG562" s="56"/>
      <c r="GH562" s="56"/>
      <c r="GI562" s="56"/>
      <c r="GJ562" s="56"/>
      <c r="GK562" s="56"/>
      <c r="GL562" s="56"/>
      <c r="GM562" s="56"/>
      <c r="GN562" s="56"/>
      <c r="GO562" s="56"/>
      <c r="GP562" s="56"/>
      <c r="GQ562" s="56"/>
      <c r="GR562" s="56"/>
      <c r="GS562" s="56"/>
      <c r="GT562" s="56"/>
      <c r="GU562" s="56"/>
      <c r="GV562" s="56"/>
      <c r="GW562" s="56"/>
      <c r="GX562" s="56"/>
      <c r="GY562" s="56"/>
      <c r="GZ562" s="56"/>
      <c r="HA562" s="56"/>
      <c r="HB562" s="56"/>
      <c r="HC562" s="56"/>
      <c r="HD562" s="56"/>
      <c r="HE562" s="56"/>
      <c r="HF562" s="56"/>
      <c r="HG562" s="56"/>
      <c r="HH562" s="56"/>
      <c r="HI562" s="56"/>
      <c r="HJ562" s="56"/>
    </row>
    <row r="563" spans="1:218" ht="15.75" customHeight="1" x14ac:dyDescent="0.2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  <c r="CL563" s="56"/>
      <c r="CM563" s="56"/>
      <c r="CN563" s="56"/>
      <c r="CO563" s="56"/>
      <c r="CP563" s="56"/>
      <c r="CQ563" s="56"/>
      <c r="CR563" s="56"/>
      <c r="CS563" s="56"/>
      <c r="CT563" s="56"/>
      <c r="CU563" s="56"/>
      <c r="CV563" s="56"/>
      <c r="CW563" s="56"/>
      <c r="CX563" s="56"/>
      <c r="CY563" s="56"/>
      <c r="CZ563" s="56"/>
      <c r="DA563" s="56"/>
      <c r="DB563" s="56"/>
      <c r="DC563" s="56"/>
      <c r="DD563" s="56"/>
      <c r="DE563" s="56"/>
      <c r="DF563" s="56"/>
      <c r="DG563" s="56"/>
      <c r="DH563" s="56"/>
      <c r="DI563" s="56"/>
      <c r="DJ563" s="56"/>
      <c r="DK563" s="56"/>
      <c r="DL563" s="56"/>
      <c r="DM563" s="56"/>
      <c r="DN563" s="56"/>
      <c r="DO563" s="56"/>
      <c r="DP563" s="56"/>
      <c r="DQ563" s="56"/>
      <c r="DR563" s="56"/>
      <c r="DS563" s="56"/>
      <c r="DT563" s="56"/>
      <c r="DU563" s="56"/>
      <c r="DV563" s="56"/>
      <c r="DW563" s="56"/>
      <c r="DX563" s="56"/>
      <c r="DY563" s="56"/>
      <c r="DZ563" s="56"/>
      <c r="EA563" s="56"/>
      <c r="EB563" s="56"/>
      <c r="EC563" s="56"/>
      <c r="ED563" s="56"/>
      <c r="EE563" s="56"/>
      <c r="EF563" s="56"/>
      <c r="EG563" s="56"/>
      <c r="EH563" s="56"/>
      <c r="EI563" s="56"/>
      <c r="EJ563" s="56"/>
      <c r="EK563" s="56"/>
      <c r="EL563" s="56"/>
      <c r="EM563" s="56"/>
      <c r="EN563" s="56"/>
      <c r="EO563" s="56"/>
      <c r="EP563" s="56"/>
      <c r="EQ563" s="56"/>
      <c r="ER563" s="56"/>
      <c r="ES563" s="56"/>
      <c r="ET563" s="56"/>
      <c r="EU563" s="56"/>
      <c r="EV563" s="56"/>
      <c r="EW563" s="56"/>
      <c r="EX563" s="56"/>
      <c r="EY563" s="56"/>
      <c r="EZ563" s="56"/>
      <c r="FA563" s="56"/>
      <c r="FB563" s="56"/>
      <c r="FC563" s="56"/>
      <c r="FD563" s="56"/>
      <c r="FE563" s="56"/>
      <c r="FF563" s="56"/>
      <c r="FG563" s="56"/>
      <c r="FH563" s="56"/>
      <c r="FI563" s="56"/>
      <c r="FJ563" s="56"/>
      <c r="FK563" s="56"/>
      <c r="FL563" s="56"/>
      <c r="FM563" s="56"/>
      <c r="FN563" s="56"/>
      <c r="FO563" s="56"/>
      <c r="FP563" s="56"/>
      <c r="FQ563" s="56"/>
      <c r="FR563" s="56"/>
      <c r="FS563" s="56"/>
      <c r="FT563" s="56"/>
      <c r="FU563" s="56"/>
      <c r="FV563" s="56"/>
      <c r="FW563" s="56"/>
      <c r="FX563" s="56"/>
      <c r="FY563" s="56"/>
      <c r="FZ563" s="56"/>
      <c r="GA563" s="56"/>
      <c r="GB563" s="56"/>
      <c r="GC563" s="56"/>
      <c r="GD563" s="56"/>
      <c r="GE563" s="56"/>
      <c r="GF563" s="56"/>
      <c r="GG563" s="56"/>
      <c r="GH563" s="56"/>
      <c r="GI563" s="56"/>
      <c r="GJ563" s="56"/>
      <c r="GK563" s="56"/>
      <c r="GL563" s="56"/>
      <c r="GM563" s="56"/>
      <c r="GN563" s="56"/>
      <c r="GO563" s="56"/>
      <c r="GP563" s="56"/>
      <c r="GQ563" s="56"/>
      <c r="GR563" s="56"/>
      <c r="GS563" s="56"/>
      <c r="GT563" s="56"/>
      <c r="GU563" s="56"/>
      <c r="GV563" s="56"/>
      <c r="GW563" s="56"/>
      <c r="GX563" s="56"/>
      <c r="GY563" s="56"/>
      <c r="GZ563" s="56"/>
      <c r="HA563" s="56"/>
      <c r="HB563" s="56"/>
      <c r="HC563" s="56"/>
      <c r="HD563" s="56"/>
      <c r="HE563" s="56"/>
      <c r="HF563" s="56"/>
      <c r="HG563" s="56"/>
      <c r="HH563" s="56"/>
      <c r="HI563" s="56"/>
      <c r="HJ563" s="56"/>
    </row>
    <row r="564" spans="1:218" ht="15.75" customHeight="1" x14ac:dyDescent="0.2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56"/>
      <c r="CP564" s="56"/>
      <c r="CQ564" s="56"/>
      <c r="CR564" s="56"/>
      <c r="CS564" s="56"/>
      <c r="CT564" s="56"/>
      <c r="CU564" s="56"/>
      <c r="CV564" s="56"/>
      <c r="CW564" s="56"/>
      <c r="CX564" s="56"/>
      <c r="CY564" s="56"/>
      <c r="CZ564" s="56"/>
      <c r="DA564" s="56"/>
      <c r="DB564" s="56"/>
      <c r="DC564" s="56"/>
      <c r="DD564" s="56"/>
      <c r="DE564" s="56"/>
      <c r="DF564" s="56"/>
      <c r="DG564" s="56"/>
      <c r="DH564" s="56"/>
      <c r="DI564" s="56"/>
      <c r="DJ564" s="56"/>
      <c r="DK564" s="56"/>
      <c r="DL564" s="56"/>
      <c r="DM564" s="56"/>
      <c r="DN564" s="56"/>
      <c r="DO564" s="56"/>
      <c r="DP564" s="56"/>
      <c r="DQ564" s="56"/>
      <c r="DR564" s="56"/>
      <c r="DS564" s="56"/>
      <c r="DT564" s="56"/>
      <c r="DU564" s="56"/>
      <c r="DV564" s="56"/>
      <c r="DW564" s="56"/>
      <c r="DX564" s="56"/>
      <c r="DY564" s="56"/>
      <c r="DZ564" s="56"/>
      <c r="EA564" s="56"/>
      <c r="EB564" s="56"/>
      <c r="EC564" s="56"/>
      <c r="ED564" s="56"/>
      <c r="EE564" s="56"/>
      <c r="EF564" s="56"/>
      <c r="EG564" s="56"/>
      <c r="EH564" s="56"/>
      <c r="EI564" s="56"/>
      <c r="EJ564" s="56"/>
      <c r="EK564" s="56"/>
      <c r="EL564" s="56"/>
      <c r="EM564" s="56"/>
      <c r="EN564" s="56"/>
      <c r="EO564" s="56"/>
      <c r="EP564" s="56"/>
      <c r="EQ564" s="56"/>
      <c r="ER564" s="56"/>
      <c r="ES564" s="56"/>
      <c r="ET564" s="56"/>
      <c r="EU564" s="56"/>
      <c r="EV564" s="56"/>
      <c r="EW564" s="56"/>
      <c r="EX564" s="56"/>
      <c r="EY564" s="56"/>
      <c r="EZ564" s="56"/>
      <c r="FA564" s="56"/>
      <c r="FB564" s="56"/>
      <c r="FC564" s="56"/>
      <c r="FD564" s="56"/>
      <c r="FE564" s="56"/>
      <c r="FF564" s="56"/>
      <c r="FG564" s="56"/>
      <c r="FH564" s="56"/>
      <c r="FI564" s="56"/>
      <c r="FJ564" s="56"/>
      <c r="FK564" s="56"/>
      <c r="FL564" s="56"/>
      <c r="FM564" s="56"/>
      <c r="FN564" s="56"/>
      <c r="FO564" s="56"/>
      <c r="FP564" s="56"/>
      <c r="FQ564" s="56"/>
      <c r="FR564" s="56"/>
      <c r="FS564" s="56"/>
      <c r="FT564" s="56"/>
      <c r="FU564" s="56"/>
      <c r="FV564" s="56"/>
      <c r="FW564" s="56"/>
      <c r="FX564" s="56"/>
      <c r="FY564" s="56"/>
      <c r="FZ564" s="56"/>
      <c r="GA564" s="56"/>
      <c r="GB564" s="56"/>
      <c r="GC564" s="56"/>
      <c r="GD564" s="56"/>
      <c r="GE564" s="56"/>
      <c r="GF564" s="56"/>
      <c r="GG564" s="56"/>
      <c r="GH564" s="56"/>
      <c r="GI564" s="56"/>
      <c r="GJ564" s="56"/>
      <c r="GK564" s="56"/>
      <c r="GL564" s="56"/>
      <c r="GM564" s="56"/>
      <c r="GN564" s="56"/>
      <c r="GO564" s="56"/>
      <c r="GP564" s="56"/>
      <c r="GQ564" s="56"/>
      <c r="GR564" s="56"/>
      <c r="GS564" s="56"/>
      <c r="GT564" s="56"/>
      <c r="GU564" s="56"/>
      <c r="GV564" s="56"/>
      <c r="GW564" s="56"/>
      <c r="GX564" s="56"/>
      <c r="GY564" s="56"/>
      <c r="GZ564" s="56"/>
      <c r="HA564" s="56"/>
      <c r="HB564" s="56"/>
      <c r="HC564" s="56"/>
      <c r="HD564" s="56"/>
      <c r="HE564" s="56"/>
      <c r="HF564" s="56"/>
      <c r="HG564" s="56"/>
      <c r="HH564" s="56"/>
      <c r="HI564" s="56"/>
      <c r="HJ564" s="56"/>
    </row>
    <row r="565" spans="1:218" ht="15.75" customHeight="1" x14ac:dyDescent="0.2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56"/>
      <c r="CP565" s="56"/>
      <c r="CQ565" s="56"/>
      <c r="CR565" s="56"/>
      <c r="CS565" s="56"/>
      <c r="CT565" s="56"/>
      <c r="CU565" s="56"/>
      <c r="CV565" s="56"/>
      <c r="CW565" s="56"/>
      <c r="CX565" s="56"/>
      <c r="CY565" s="56"/>
      <c r="CZ565" s="56"/>
      <c r="DA565" s="56"/>
      <c r="DB565" s="56"/>
      <c r="DC565" s="56"/>
      <c r="DD565" s="56"/>
      <c r="DE565" s="56"/>
      <c r="DF565" s="56"/>
      <c r="DG565" s="56"/>
      <c r="DH565" s="56"/>
      <c r="DI565" s="56"/>
      <c r="DJ565" s="56"/>
      <c r="DK565" s="56"/>
      <c r="DL565" s="56"/>
      <c r="DM565" s="56"/>
      <c r="DN565" s="56"/>
      <c r="DO565" s="56"/>
      <c r="DP565" s="56"/>
      <c r="DQ565" s="56"/>
      <c r="DR565" s="56"/>
      <c r="DS565" s="56"/>
      <c r="DT565" s="56"/>
      <c r="DU565" s="56"/>
      <c r="DV565" s="56"/>
      <c r="DW565" s="56"/>
      <c r="DX565" s="56"/>
      <c r="DY565" s="56"/>
      <c r="DZ565" s="56"/>
      <c r="EA565" s="56"/>
      <c r="EB565" s="56"/>
      <c r="EC565" s="56"/>
      <c r="ED565" s="56"/>
      <c r="EE565" s="56"/>
      <c r="EF565" s="56"/>
      <c r="EG565" s="56"/>
      <c r="EH565" s="56"/>
      <c r="EI565" s="56"/>
      <c r="EJ565" s="56"/>
      <c r="EK565" s="56"/>
      <c r="EL565" s="56"/>
      <c r="EM565" s="56"/>
      <c r="EN565" s="56"/>
      <c r="EO565" s="56"/>
      <c r="EP565" s="56"/>
      <c r="EQ565" s="56"/>
      <c r="ER565" s="56"/>
      <c r="ES565" s="56"/>
      <c r="ET565" s="56"/>
      <c r="EU565" s="56"/>
      <c r="EV565" s="56"/>
      <c r="EW565" s="56"/>
      <c r="EX565" s="56"/>
      <c r="EY565" s="56"/>
      <c r="EZ565" s="56"/>
      <c r="FA565" s="56"/>
      <c r="FB565" s="56"/>
      <c r="FC565" s="56"/>
      <c r="FD565" s="56"/>
      <c r="FE565" s="56"/>
      <c r="FF565" s="56"/>
      <c r="FG565" s="56"/>
      <c r="FH565" s="56"/>
      <c r="FI565" s="56"/>
      <c r="FJ565" s="56"/>
      <c r="FK565" s="56"/>
      <c r="FL565" s="56"/>
      <c r="FM565" s="56"/>
      <c r="FN565" s="56"/>
      <c r="FO565" s="56"/>
      <c r="FP565" s="56"/>
      <c r="FQ565" s="56"/>
      <c r="FR565" s="56"/>
      <c r="FS565" s="56"/>
      <c r="FT565" s="56"/>
      <c r="FU565" s="56"/>
      <c r="FV565" s="56"/>
      <c r="FW565" s="56"/>
      <c r="FX565" s="56"/>
      <c r="FY565" s="56"/>
      <c r="FZ565" s="56"/>
      <c r="GA565" s="56"/>
      <c r="GB565" s="56"/>
      <c r="GC565" s="56"/>
      <c r="GD565" s="56"/>
      <c r="GE565" s="56"/>
      <c r="GF565" s="56"/>
      <c r="GG565" s="56"/>
      <c r="GH565" s="56"/>
      <c r="GI565" s="56"/>
      <c r="GJ565" s="56"/>
      <c r="GK565" s="56"/>
      <c r="GL565" s="56"/>
      <c r="GM565" s="56"/>
      <c r="GN565" s="56"/>
      <c r="GO565" s="56"/>
      <c r="GP565" s="56"/>
      <c r="GQ565" s="56"/>
      <c r="GR565" s="56"/>
      <c r="GS565" s="56"/>
      <c r="GT565" s="56"/>
      <c r="GU565" s="56"/>
      <c r="GV565" s="56"/>
      <c r="GW565" s="56"/>
      <c r="GX565" s="56"/>
      <c r="GY565" s="56"/>
      <c r="GZ565" s="56"/>
      <c r="HA565" s="56"/>
      <c r="HB565" s="56"/>
      <c r="HC565" s="56"/>
      <c r="HD565" s="56"/>
      <c r="HE565" s="56"/>
      <c r="HF565" s="56"/>
      <c r="HG565" s="56"/>
      <c r="HH565" s="56"/>
      <c r="HI565" s="56"/>
      <c r="HJ565" s="56"/>
    </row>
    <row r="566" spans="1:218" ht="15.75" customHeight="1" x14ac:dyDescent="0.2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  <c r="CL566" s="56"/>
      <c r="CM566" s="56"/>
      <c r="CN566" s="56"/>
      <c r="CO566" s="56"/>
      <c r="CP566" s="56"/>
      <c r="CQ566" s="56"/>
      <c r="CR566" s="56"/>
      <c r="CS566" s="56"/>
      <c r="CT566" s="56"/>
      <c r="CU566" s="56"/>
      <c r="CV566" s="56"/>
      <c r="CW566" s="56"/>
      <c r="CX566" s="56"/>
      <c r="CY566" s="56"/>
      <c r="CZ566" s="56"/>
      <c r="DA566" s="56"/>
      <c r="DB566" s="56"/>
      <c r="DC566" s="56"/>
      <c r="DD566" s="56"/>
      <c r="DE566" s="56"/>
      <c r="DF566" s="56"/>
      <c r="DG566" s="56"/>
      <c r="DH566" s="56"/>
      <c r="DI566" s="56"/>
      <c r="DJ566" s="56"/>
      <c r="DK566" s="56"/>
      <c r="DL566" s="56"/>
      <c r="DM566" s="56"/>
      <c r="DN566" s="56"/>
      <c r="DO566" s="56"/>
      <c r="DP566" s="56"/>
      <c r="DQ566" s="56"/>
      <c r="DR566" s="56"/>
      <c r="DS566" s="56"/>
      <c r="DT566" s="56"/>
      <c r="DU566" s="56"/>
      <c r="DV566" s="56"/>
      <c r="DW566" s="56"/>
      <c r="DX566" s="56"/>
      <c r="DY566" s="56"/>
      <c r="DZ566" s="56"/>
      <c r="EA566" s="56"/>
      <c r="EB566" s="56"/>
      <c r="EC566" s="56"/>
      <c r="ED566" s="56"/>
      <c r="EE566" s="56"/>
      <c r="EF566" s="56"/>
      <c r="EG566" s="56"/>
      <c r="EH566" s="56"/>
      <c r="EI566" s="56"/>
      <c r="EJ566" s="56"/>
      <c r="EK566" s="56"/>
      <c r="EL566" s="56"/>
      <c r="EM566" s="56"/>
      <c r="EN566" s="56"/>
      <c r="EO566" s="56"/>
      <c r="EP566" s="56"/>
      <c r="EQ566" s="56"/>
      <c r="ER566" s="56"/>
      <c r="ES566" s="56"/>
      <c r="ET566" s="56"/>
      <c r="EU566" s="56"/>
      <c r="EV566" s="56"/>
      <c r="EW566" s="56"/>
      <c r="EX566" s="56"/>
      <c r="EY566" s="56"/>
      <c r="EZ566" s="56"/>
      <c r="FA566" s="56"/>
      <c r="FB566" s="56"/>
      <c r="FC566" s="56"/>
      <c r="FD566" s="56"/>
      <c r="FE566" s="56"/>
      <c r="FF566" s="56"/>
      <c r="FG566" s="56"/>
      <c r="FH566" s="56"/>
      <c r="FI566" s="56"/>
      <c r="FJ566" s="56"/>
      <c r="FK566" s="56"/>
      <c r="FL566" s="56"/>
      <c r="FM566" s="56"/>
      <c r="FN566" s="56"/>
      <c r="FO566" s="56"/>
      <c r="FP566" s="56"/>
      <c r="FQ566" s="56"/>
      <c r="FR566" s="56"/>
      <c r="FS566" s="56"/>
      <c r="FT566" s="56"/>
      <c r="FU566" s="56"/>
      <c r="FV566" s="56"/>
      <c r="FW566" s="56"/>
      <c r="FX566" s="56"/>
      <c r="FY566" s="56"/>
      <c r="FZ566" s="56"/>
      <c r="GA566" s="56"/>
      <c r="GB566" s="56"/>
      <c r="GC566" s="56"/>
      <c r="GD566" s="56"/>
      <c r="GE566" s="56"/>
      <c r="GF566" s="56"/>
      <c r="GG566" s="56"/>
      <c r="GH566" s="56"/>
      <c r="GI566" s="56"/>
      <c r="GJ566" s="56"/>
      <c r="GK566" s="56"/>
      <c r="GL566" s="56"/>
      <c r="GM566" s="56"/>
      <c r="GN566" s="56"/>
      <c r="GO566" s="56"/>
      <c r="GP566" s="56"/>
      <c r="GQ566" s="56"/>
      <c r="GR566" s="56"/>
      <c r="GS566" s="56"/>
      <c r="GT566" s="56"/>
      <c r="GU566" s="56"/>
      <c r="GV566" s="56"/>
      <c r="GW566" s="56"/>
      <c r="GX566" s="56"/>
      <c r="GY566" s="56"/>
      <c r="GZ566" s="56"/>
      <c r="HA566" s="56"/>
      <c r="HB566" s="56"/>
      <c r="HC566" s="56"/>
      <c r="HD566" s="56"/>
      <c r="HE566" s="56"/>
      <c r="HF566" s="56"/>
      <c r="HG566" s="56"/>
      <c r="HH566" s="56"/>
      <c r="HI566" s="56"/>
      <c r="HJ566" s="56"/>
    </row>
    <row r="567" spans="1:218" ht="15.75" customHeight="1" x14ac:dyDescent="0.2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  <c r="CL567" s="56"/>
      <c r="CM567" s="56"/>
      <c r="CN567" s="56"/>
      <c r="CO567" s="56"/>
      <c r="CP567" s="56"/>
      <c r="CQ567" s="56"/>
      <c r="CR567" s="56"/>
      <c r="CS567" s="56"/>
      <c r="CT567" s="56"/>
      <c r="CU567" s="56"/>
      <c r="CV567" s="56"/>
      <c r="CW567" s="56"/>
      <c r="CX567" s="56"/>
      <c r="CY567" s="56"/>
      <c r="CZ567" s="56"/>
      <c r="DA567" s="56"/>
      <c r="DB567" s="56"/>
      <c r="DC567" s="56"/>
      <c r="DD567" s="56"/>
      <c r="DE567" s="56"/>
      <c r="DF567" s="56"/>
      <c r="DG567" s="56"/>
      <c r="DH567" s="56"/>
      <c r="DI567" s="56"/>
      <c r="DJ567" s="56"/>
      <c r="DK567" s="56"/>
      <c r="DL567" s="56"/>
      <c r="DM567" s="56"/>
      <c r="DN567" s="56"/>
      <c r="DO567" s="56"/>
      <c r="DP567" s="56"/>
      <c r="DQ567" s="56"/>
      <c r="DR567" s="56"/>
      <c r="DS567" s="56"/>
      <c r="DT567" s="56"/>
      <c r="DU567" s="56"/>
      <c r="DV567" s="56"/>
      <c r="DW567" s="56"/>
      <c r="DX567" s="56"/>
      <c r="DY567" s="56"/>
      <c r="DZ567" s="56"/>
      <c r="EA567" s="56"/>
      <c r="EB567" s="56"/>
      <c r="EC567" s="56"/>
      <c r="ED567" s="56"/>
      <c r="EE567" s="56"/>
      <c r="EF567" s="56"/>
      <c r="EG567" s="56"/>
      <c r="EH567" s="56"/>
      <c r="EI567" s="56"/>
      <c r="EJ567" s="56"/>
      <c r="EK567" s="56"/>
      <c r="EL567" s="56"/>
      <c r="EM567" s="56"/>
      <c r="EN567" s="56"/>
      <c r="EO567" s="56"/>
      <c r="EP567" s="56"/>
      <c r="EQ567" s="56"/>
      <c r="ER567" s="56"/>
      <c r="ES567" s="56"/>
      <c r="ET567" s="56"/>
      <c r="EU567" s="56"/>
      <c r="EV567" s="56"/>
      <c r="EW567" s="56"/>
      <c r="EX567" s="56"/>
      <c r="EY567" s="56"/>
      <c r="EZ567" s="56"/>
      <c r="FA567" s="56"/>
      <c r="FB567" s="56"/>
      <c r="FC567" s="56"/>
      <c r="FD567" s="56"/>
      <c r="FE567" s="56"/>
      <c r="FF567" s="56"/>
      <c r="FG567" s="56"/>
      <c r="FH567" s="56"/>
      <c r="FI567" s="56"/>
      <c r="FJ567" s="56"/>
      <c r="FK567" s="56"/>
      <c r="FL567" s="56"/>
      <c r="FM567" s="56"/>
      <c r="FN567" s="56"/>
      <c r="FO567" s="56"/>
      <c r="FP567" s="56"/>
      <c r="FQ567" s="56"/>
      <c r="FR567" s="56"/>
      <c r="FS567" s="56"/>
      <c r="FT567" s="56"/>
      <c r="FU567" s="56"/>
      <c r="FV567" s="56"/>
      <c r="FW567" s="56"/>
      <c r="FX567" s="56"/>
      <c r="FY567" s="56"/>
      <c r="FZ567" s="56"/>
      <c r="GA567" s="56"/>
      <c r="GB567" s="56"/>
      <c r="GC567" s="56"/>
      <c r="GD567" s="56"/>
      <c r="GE567" s="56"/>
      <c r="GF567" s="56"/>
      <c r="GG567" s="56"/>
      <c r="GH567" s="56"/>
      <c r="GI567" s="56"/>
      <c r="GJ567" s="56"/>
      <c r="GK567" s="56"/>
      <c r="GL567" s="56"/>
      <c r="GM567" s="56"/>
      <c r="GN567" s="56"/>
      <c r="GO567" s="56"/>
      <c r="GP567" s="56"/>
      <c r="GQ567" s="56"/>
      <c r="GR567" s="56"/>
      <c r="GS567" s="56"/>
      <c r="GT567" s="56"/>
      <c r="GU567" s="56"/>
      <c r="GV567" s="56"/>
      <c r="GW567" s="56"/>
      <c r="GX567" s="56"/>
      <c r="GY567" s="56"/>
      <c r="GZ567" s="56"/>
      <c r="HA567" s="56"/>
      <c r="HB567" s="56"/>
      <c r="HC567" s="56"/>
      <c r="HD567" s="56"/>
      <c r="HE567" s="56"/>
      <c r="HF567" s="56"/>
      <c r="HG567" s="56"/>
      <c r="HH567" s="56"/>
      <c r="HI567" s="56"/>
      <c r="HJ567" s="56"/>
    </row>
    <row r="568" spans="1:218" ht="15.75" customHeight="1" x14ac:dyDescent="0.2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  <c r="CL568" s="56"/>
      <c r="CM568" s="56"/>
      <c r="CN568" s="56"/>
      <c r="CO568" s="56"/>
      <c r="CP568" s="56"/>
      <c r="CQ568" s="56"/>
      <c r="CR568" s="56"/>
      <c r="CS568" s="56"/>
      <c r="CT568" s="56"/>
      <c r="CU568" s="56"/>
      <c r="CV568" s="56"/>
      <c r="CW568" s="56"/>
      <c r="CX568" s="56"/>
      <c r="CY568" s="56"/>
      <c r="CZ568" s="56"/>
      <c r="DA568" s="56"/>
      <c r="DB568" s="56"/>
      <c r="DC568" s="56"/>
      <c r="DD568" s="56"/>
      <c r="DE568" s="56"/>
      <c r="DF568" s="56"/>
      <c r="DG568" s="56"/>
      <c r="DH568" s="56"/>
      <c r="DI568" s="56"/>
      <c r="DJ568" s="56"/>
      <c r="DK568" s="56"/>
      <c r="DL568" s="56"/>
      <c r="DM568" s="56"/>
      <c r="DN568" s="56"/>
      <c r="DO568" s="56"/>
      <c r="DP568" s="56"/>
      <c r="DQ568" s="56"/>
      <c r="DR568" s="56"/>
      <c r="DS568" s="56"/>
      <c r="DT568" s="56"/>
      <c r="DU568" s="56"/>
      <c r="DV568" s="56"/>
      <c r="DW568" s="56"/>
      <c r="DX568" s="56"/>
      <c r="DY568" s="56"/>
      <c r="DZ568" s="56"/>
      <c r="EA568" s="56"/>
      <c r="EB568" s="56"/>
      <c r="EC568" s="56"/>
      <c r="ED568" s="56"/>
      <c r="EE568" s="56"/>
      <c r="EF568" s="56"/>
      <c r="EG568" s="56"/>
      <c r="EH568" s="56"/>
      <c r="EI568" s="56"/>
      <c r="EJ568" s="56"/>
      <c r="EK568" s="56"/>
      <c r="EL568" s="56"/>
      <c r="EM568" s="56"/>
      <c r="EN568" s="56"/>
      <c r="EO568" s="56"/>
      <c r="EP568" s="56"/>
      <c r="EQ568" s="56"/>
      <c r="ER568" s="56"/>
      <c r="ES568" s="56"/>
      <c r="ET568" s="56"/>
      <c r="EU568" s="56"/>
      <c r="EV568" s="56"/>
      <c r="EW568" s="56"/>
      <c r="EX568" s="56"/>
      <c r="EY568" s="56"/>
      <c r="EZ568" s="56"/>
      <c r="FA568" s="56"/>
      <c r="FB568" s="56"/>
      <c r="FC568" s="56"/>
      <c r="FD568" s="56"/>
      <c r="FE568" s="56"/>
      <c r="FF568" s="56"/>
      <c r="FG568" s="56"/>
      <c r="FH568" s="56"/>
      <c r="FI568" s="56"/>
      <c r="FJ568" s="56"/>
      <c r="FK568" s="56"/>
      <c r="FL568" s="56"/>
      <c r="FM568" s="56"/>
      <c r="FN568" s="56"/>
      <c r="FO568" s="56"/>
      <c r="FP568" s="56"/>
      <c r="FQ568" s="56"/>
      <c r="FR568" s="56"/>
      <c r="FS568" s="56"/>
      <c r="FT568" s="56"/>
      <c r="FU568" s="56"/>
      <c r="FV568" s="56"/>
      <c r="FW568" s="56"/>
      <c r="FX568" s="56"/>
      <c r="FY568" s="56"/>
      <c r="FZ568" s="56"/>
      <c r="GA568" s="56"/>
      <c r="GB568" s="56"/>
      <c r="GC568" s="56"/>
      <c r="GD568" s="56"/>
      <c r="GE568" s="56"/>
      <c r="GF568" s="56"/>
      <c r="GG568" s="56"/>
      <c r="GH568" s="56"/>
      <c r="GI568" s="56"/>
      <c r="GJ568" s="56"/>
      <c r="GK568" s="56"/>
      <c r="GL568" s="56"/>
      <c r="GM568" s="56"/>
      <c r="GN568" s="56"/>
      <c r="GO568" s="56"/>
      <c r="GP568" s="56"/>
      <c r="GQ568" s="56"/>
      <c r="GR568" s="56"/>
      <c r="GS568" s="56"/>
      <c r="GT568" s="56"/>
      <c r="GU568" s="56"/>
      <c r="GV568" s="56"/>
      <c r="GW568" s="56"/>
      <c r="GX568" s="56"/>
      <c r="GY568" s="56"/>
      <c r="GZ568" s="56"/>
      <c r="HA568" s="56"/>
      <c r="HB568" s="56"/>
      <c r="HC568" s="56"/>
      <c r="HD568" s="56"/>
      <c r="HE568" s="56"/>
      <c r="HF568" s="56"/>
      <c r="HG568" s="56"/>
      <c r="HH568" s="56"/>
      <c r="HI568" s="56"/>
      <c r="HJ568" s="56"/>
    </row>
    <row r="569" spans="1:218" ht="15.75" customHeight="1" x14ac:dyDescent="0.2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  <c r="CL569" s="56"/>
      <c r="CM569" s="56"/>
      <c r="CN569" s="56"/>
      <c r="CO569" s="56"/>
      <c r="CP569" s="56"/>
      <c r="CQ569" s="56"/>
      <c r="CR569" s="56"/>
      <c r="CS569" s="56"/>
      <c r="CT569" s="56"/>
      <c r="CU569" s="56"/>
      <c r="CV569" s="56"/>
      <c r="CW569" s="56"/>
      <c r="CX569" s="56"/>
      <c r="CY569" s="56"/>
      <c r="CZ569" s="56"/>
      <c r="DA569" s="56"/>
      <c r="DB569" s="56"/>
      <c r="DC569" s="56"/>
      <c r="DD569" s="56"/>
      <c r="DE569" s="56"/>
      <c r="DF569" s="56"/>
      <c r="DG569" s="56"/>
      <c r="DH569" s="56"/>
      <c r="DI569" s="56"/>
      <c r="DJ569" s="56"/>
      <c r="DK569" s="56"/>
      <c r="DL569" s="56"/>
      <c r="DM569" s="56"/>
      <c r="DN569" s="56"/>
      <c r="DO569" s="56"/>
      <c r="DP569" s="56"/>
      <c r="DQ569" s="56"/>
      <c r="DR569" s="56"/>
      <c r="DS569" s="56"/>
      <c r="DT569" s="56"/>
      <c r="DU569" s="56"/>
      <c r="DV569" s="56"/>
      <c r="DW569" s="56"/>
      <c r="DX569" s="56"/>
      <c r="DY569" s="56"/>
      <c r="DZ569" s="56"/>
      <c r="EA569" s="56"/>
      <c r="EB569" s="56"/>
      <c r="EC569" s="56"/>
      <c r="ED569" s="56"/>
      <c r="EE569" s="56"/>
      <c r="EF569" s="56"/>
      <c r="EG569" s="56"/>
      <c r="EH569" s="56"/>
      <c r="EI569" s="56"/>
      <c r="EJ569" s="56"/>
      <c r="EK569" s="56"/>
      <c r="EL569" s="56"/>
      <c r="EM569" s="56"/>
      <c r="EN569" s="56"/>
      <c r="EO569" s="56"/>
      <c r="EP569" s="56"/>
      <c r="EQ569" s="56"/>
      <c r="ER569" s="56"/>
      <c r="ES569" s="56"/>
      <c r="ET569" s="56"/>
      <c r="EU569" s="56"/>
      <c r="EV569" s="56"/>
      <c r="EW569" s="56"/>
      <c r="EX569" s="56"/>
      <c r="EY569" s="56"/>
      <c r="EZ569" s="56"/>
      <c r="FA569" s="56"/>
      <c r="FB569" s="56"/>
      <c r="FC569" s="56"/>
      <c r="FD569" s="56"/>
      <c r="FE569" s="56"/>
      <c r="FF569" s="56"/>
      <c r="FG569" s="56"/>
      <c r="FH569" s="56"/>
      <c r="FI569" s="56"/>
      <c r="FJ569" s="56"/>
      <c r="FK569" s="56"/>
      <c r="FL569" s="56"/>
      <c r="FM569" s="56"/>
      <c r="FN569" s="56"/>
      <c r="FO569" s="56"/>
      <c r="FP569" s="56"/>
      <c r="FQ569" s="56"/>
      <c r="FR569" s="56"/>
      <c r="FS569" s="56"/>
      <c r="FT569" s="56"/>
      <c r="FU569" s="56"/>
      <c r="FV569" s="56"/>
      <c r="FW569" s="56"/>
      <c r="FX569" s="56"/>
      <c r="FY569" s="56"/>
      <c r="FZ569" s="56"/>
      <c r="GA569" s="56"/>
      <c r="GB569" s="56"/>
      <c r="GC569" s="56"/>
      <c r="GD569" s="56"/>
      <c r="GE569" s="56"/>
      <c r="GF569" s="56"/>
      <c r="GG569" s="56"/>
      <c r="GH569" s="56"/>
      <c r="GI569" s="56"/>
      <c r="GJ569" s="56"/>
      <c r="GK569" s="56"/>
      <c r="GL569" s="56"/>
      <c r="GM569" s="56"/>
      <c r="GN569" s="56"/>
      <c r="GO569" s="56"/>
      <c r="GP569" s="56"/>
      <c r="GQ569" s="56"/>
      <c r="GR569" s="56"/>
      <c r="GS569" s="56"/>
      <c r="GT569" s="56"/>
      <c r="GU569" s="56"/>
      <c r="GV569" s="56"/>
      <c r="GW569" s="56"/>
      <c r="GX569" s="56"/>
      <c r="GY569" s="56"/>
      <c r="GZ569" s="56"/>
      <c r="HA569" s="56"/>
      <c r="HB569" s="56"/>
      <c r="HC569" s="56"/>
      <c r="HD569" s="56"/>
      <c r="HE569" s="56"/>
      <c r="HF569" s="56"/>
      <c r="HG569" s="56"/>
      <c r="HH569" s="56"/>
      <c r="HI569" s="56"/>
      <c r="HJ569" s="56"/>
    </row>
    <row r="570" spans="1:218" ht="15.75" customHeight="1" x14ac:dyDescent="0.2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  <c r="CL570" s="56"/>
      <c r="CM570" s="56"/>
      <c r="CN570" s="56"/>
      <c r="CO570" s="56"/>
      <c r="CP570" s="56"/>
      <c r="CQ570" s="56"/>
      <c r="CR570" s="56"/>
      <c r="CS570" s="56"/>
      <c r="CT570" s="56"/>
      <c r="CU570" s="56"/>
      <c r="CV570" s="56"/>
      <c r="CW570" s="56"/>
      <c r="CX570" s="56"/>
      <c r="CY570" s="56"/>
      <c r="CZ570" s="56"/>
      <c r="DA570" s="56"/>
      <c r="DB570" s="56"/>
      <c r="DC570" s="56"/>
      <c r="DD570" s="56"/>
      <c r="DE570" s="56"/>
      <c r="DF570" s="56"/>
      <c r="DG570" s="56"/>
      <c r="DH570" s="56"/>
      <c r="DI570" s="56"/>
      <c r="DJ570" s="56"/>
      <c r="DK570" s="56"/>
      <c r="DL570" s="56"/>
      <c r="DM570" s="56"/>
      <c r="DN570" s="56"/>
      <c r="DO570" s="56"/>
      <c r="DP570" s="56"/>
      <c r="DQ570" s="56"/>
      <c r="DR570" s="56"/>
      <c r="DS570" s="56"/>
      <c r="DT570" s="56"/>
      <c r="DU570" s="56"/>
      <c r="DV570" s="56"/>
      <c r="DW570" s="56"/>
      <c r="DX570" s="56"/>
      <c r="DY570" s="56"/>
      <c r="DZ570" s="56"/>
      <c r="EA570" s="56"/>
      <c r="EB570" s="56"/>
      <c r="EC570" s="56"/>
      <c r="ED570" s="56"/>
      <c r="EE570" s="56"/>
      <c r="EF570" s="56"/>
      <c r="EG570" s="56"/>
      <c r="EH570" s="56"/>
      <c r="EI570" s="56"/>
      <c r="EJ570" s="56"/>
      <c r="EK570" s="56"/>
      <c r="EL570" s="56"/>
      <c r="EM570" s="56"/>
      <c r="EN570" s="56"/>
      <c r="EO570" s="56"/>
      <c r="EP570" s="56"/>
      <c r="EQ570" s="56"/>
      <c r="ER570" s="56"/>
      <c r="ES570" s="56"/>
      <c r="ET570" s="56"/>
      <c r="EU570" s="56"/>
      <c r="EV570" s="56"/>
      <c r="EW570" s="56"/>
      <c r="EX570" s="56"/>
      <c r="EY570" s="56"/>
      <c r="EZ570" s="56"/>
      <c r="FA570" s="56"/>
      <c r="FB570" s="56"/>
      <c r="FC570" s="56"/>
      <c r="FD570" s="56"/>
      <c r="FE570" s="56"/>
      <c r="FF570" s="56"/>
      <c r="FG570" s="56"/>
      <c r="FH570" s="56"/>
      <c r="FI570" s="56"/>
      <c r="FJ570" s="56"/>
      <c r="FK570" s="56"/>
      <c r="FL570" s="56"/>
      <c r="FM570" s="56"/>
      <c r="FN570" s="56"/>
      <c r="FO570" s="56"/>
      <c r="FP570" s="56"/>
      <c r="FQ570" s="56"/>
      <c r="FR570" s="56"/>
      <c r="FS570" s="56"/>
      <c r="FT570" s="56"/>
      <c r="FU570" s="56"/>
      <c r="FV570" s="56"/>
      <c r="FW570" s="56"/>
      <c r="FX570" s="56"/>
      <c r="FY570" s="56"/>
      <c r="FZ570" s="56"/>
      <c r="GA570" s="56"/>
      <c r="GB570" s="56"/>
      <c r="GC570" s="56"/>
      <c r="GD570" s="56"/>
      <c r="GE570" s="56"/>
      <c r="GF570" s="56"/>
      <c r="GG570" s="56"/>
      <c r="GH570" s="56"/>
      <c r="GI570" s="56"/>
      <c r="GJ570" s="56"/>
      <c r="GK570" s="56"/>
      <c r="GL570" s="56"/>
      <c r="GM570" s="56"/>
      <c r="GN570" s="56"/>
      <c r="GO570" s="56"/>
      <c r="GP570" s="56"/>
      <c r="GQ570" s="56"/>
      <c r="GR570" s="56"/>
      <c r="GS570" s="56"/>
      <c r="GT570" s="56"/>
      <c r="GU570" s="56"/>
      <c r="GV570" s="56"/>
      <c r="GW570" s="56"/>
      <c r="GX570" s="56"/>
      <c r="GY570" s="56"/>
      <c r="GZ570" s="56"/>
      <c r="HA570" s="56"/>
      <c r="HB570" s="56"/>
      <c r="HC570" s="56"/>
      <c r="HD570" s="56"/>
      <c r="HE570" s="56"/>
      <c r="HF570" s="56"/>
      <c r="HG570" s="56"/>
      <c r="HH570" s="56"/>
      <c r="HI570" s="56"/>
      <c r="HJ570" s="56"/>
    </row>
    <row r="571" spans="1:218" ht="15.75" customHeight="1" x14ac:dyDescent="0.2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  <c r="CL571" s="56"/>
      <c r="CM571" s="56"/>
      <c r="CN571" s="56"/>
      <c r="CO571" s="56"/>
      <c r="CP571" s="56"/>
      <c r="CQ571" s="56"/>
      <c r="CR571" s="56"/>
      <c r="CS571" s="56"/>
      <c r="CT571" s="56"/>
      <c r="CU571" s="56"/>
      <c r="CV571" s="56"/>
      <c r="CW571" s="56"/>
      <c r="CX571" s="56"/>
      <c r="CY571" s="56"/>
      <c r="CZ571" s="56"/>
      <c r="DA571" s="56"/>
      <c r="DB571" s="56"/>
      <c r="DC571" s="56"/>
      <c r="DD571" s="56"/>
      <c r="DE571" s="56"/>
      <c r="DF571" s="56"/>
      <c r="DG571" s="56"/>
      <c r="DH571" s="56"/>
      <c r="DI571" s="56"/>
      <c r="DJ571" s="56"/>
      <c r="DK571" s="56"/>
      <c r="DL571" s="56"/>
      <c r="DM571" s="56"/>
      <c r="DN571" s="56"/>
      <c r="DO571" s="56"/>
      <c r="DP571" s="56"/>
      <c r="DQ571" s="56"/>
      <c r="DR571" s="56"/>
      <c r="DS571" s="56"/>
      <c r="DT571" s="56"/>
      <c r="DU571" s="56"/>
      <c r="DV571" s="56"/>
      <c r="DW571" s="56"/>
      <c r="DX571" s="56"/>
      <c r="DY571" s="56"/>
      <c r="DZ571" s="56"/>
      <c r="EA571" s="56"/>
      <c r="EB571" s="56"/>
      <c r="EC571" s="56"/>
      <c r="ED571" s="56"/>
      <c r="EE571" s="56"/>
      <c r="EF571" s="56"/>
      <c r="EG571" s="56"/>
      <c r="EH571" s="56"/>
      <c r="EI571" s="56"/>
      <c r="EJ571" s="56"/>
      <c r="EK571" s="56"/>
      <c r="EL571" s="56"/>
      <c r="EM571" s="56"/>
      <c r="EN571" s="56"/>
      <c r="EO571" s="56"/>
      <c r="EP571" s="56"/>
      <c r="EQ571" s="56"/>
      <c r="ER571" s="56"/>
      <c r="ES571" s="56"/>
      <c r="ET571" s="56"/>
      <c r="EU571" s="56"/>
      <c r="EV571" s="56"/>
      <c r="EW571" s="56"/>
      <c r="EX571" s="56"/>
      <c r="EY571" s="56"/>
      <c r="EZ571" s="56"/>
      <c r="FA571" s="56"/>
      <c r="FB571" s="56"/>
      <c r="FC571" s="56"/>
      <c r="FD571" s="56"/>
      <c r="FE571" s="56"/>
      <c r="FF571" s="56"/>
      <c r="FG571" s="56"/>
      <c r="FH571" s="56"/>
      <c r="FI571" s="56"/>
      <c r="FJ571" s="56"/>
      <c r="FK571" s="56"/>
      <c r="FL571" s="56"/>
      <c r="FM571" s="56"/>
      <c r="FN571" s="56"/>
      <c r="FO571" s="56"/>
      <c r="FP571" s="56"/>
      <c r="FQ571" s="56"/>
      <c r="FR571" s="56"/>
      <c r="FS571" s="56"/>
      <c r="FT571" s="56"/>
      <c r="FU571" s="56"/>
      <c r="FV571" s="56"/>
      <c r="FW571" s="56"/>
      <c r="FX571" s="56"/>
      <c r="FY571" s="56"/>
      <c r="FZ571" s="56"/>
      <c r="GA571" s="56"/>
      <c r="GB571" s="56"/>
      <c r="GC571" s="56"/>
      <c r="GD571" s="56"/>
      <c r="GE571" s="56"/>
      <c r="GF571" s="56"/>
      <c r="GG571" s="56"/>
      <c r="GH571" s="56"/>
      <c r="GI571" s="56"/>
      <c r="GJ571" s="56"/>
      <c r="GK571" s="56"/>
      <c r="GL571" s="56"/>
      <c r="GM571" s="56"/>
      <c r="GN571" s="56"/>
      <c r="GO571" s="56"/>
      <c r="GP571" s="56"/>
      <c r="GQ571" s="56"/>
      <c r="GR571" s="56"/>
      <c r="GS571" s="56"/>
      <c r="GT571" s="56"/>
      <c r="GU571" s="56"/>
      <c r="GV571" s="56"/>
      <c r="GW571" s="56"/>
      <c r="GX571" s="56"/>
      <c r="GY571" s="56"/>
      <c r="GZ571" s="56"/>
      <c r="HA571" s="56"/>
      <c r="HB571" s="56"/>
      <c r="HC571" s="56"/>
      <c r="HD571" s="56"/>
      <c r="HE571" s="56"/>
      <c r="HF571" s="56"/>
      <c r="HG571" s="56"/>
      <c r="HH571" s="56"/>
      <c r="HI571" s="56"/>
      <c r="HJ571" s="56"/>
    </row>
    <row r="572" spans="1:218" ht="15.75" customHeight="1" x14ac:dyDescent="0.2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56"/>
      <c r="CP572" s="56"/>
      <c r="CQ572" s="56"/>
      <c r="CR572" s="56"/>
      <c r="CS572" s="56"/>
      <c r="CT572" s="56"/>
      <c r="CU572" s="56"/>
      <c r="CV572" s="56"/>
      <c r="CW572" s="56"/>
      <c r="CX572" s="56"/>
      <c r="CY572" s="56"/>
      <c r="CZ572" s="56"/>
      <c r="DA572" s="56"/>
      <c r="DB572" s="56"/>
      <c r="DC572" s="56"/>
      <c r="DD572" s="56"/>
      <c r="DE572" s="56"/>
      <c r="DF572" s="56"/>
      <c r="DG572" s="56"/>
      <c r="DH572" s="56"/>
      <c r="DI572" s="56"/>
      <c r="DJ572" s="56"/>
      <c r="DK572" s="56"/>
      <c r="DL572" s="56"/>
      <c r="DM572" s="56"/>
      <c r="DN572" s="56"/>
      <c r="DO572" s="56"/>
      <c r="DP572" s="56"/>
      <c r="DQ572" s="56"/>
      <c r="DR572" s="56"/>
      <c r="DS572" s="56"/>
      <c r="DT572" s="56"/>
      <c r="DU572" s="56"/>
      <c r="DV572" s="56"/>
      <c r="DW572" s="56"/>
      <c r="DX572" s="56"/>
      <c r="DY572" s="56"/>
      <c r="DZ572" s="56"/>
      <c r="EA572" s="56"/>
      <c r="EB572" s="56"/>
      <c r="EC572" s="56"/>
      <c r="ED572" s="56"/>
      <c r="EE572" s="56"/>
      <c r="EF572" s="56"/>
      <c r="EG572" s="56"/>
      <c r="EH572" s="56"/>
      <c r="EI572" s="56"/>
      <c r="EJ572" s="56"/>
      <c r="EK572" s="56"/>
      <c r="EL572" s="56"/>
      <c r="EM572" s="56"/>
      <c r="EN572" s="56"/>
      <c r="EO572" s="56"/>
      <c r="EP572" s="56"/>
      <c r="EQ572" s="56"/>
      <c r="ER572" s="56"/>
      <c r="ES572" s="56"/>
      <c r="ET572" s="56"/>
      <c r="EU572" s="56"/>
      <c r="EV572" s="56"/>
      <c r="EW572" s="56"/>
      <c r="EX572" s="56"/>
      <c r="EY572" s="56"/>
      <c r="EZ572" s="56"/>
      <c r="FA572" s="56"/>
      <c r="FB572" s="56"/>
      <c r="FC572" s="56"/>
      <c r="FD572" s="56"/>
      <c r="FE572" s="56"/>
      <c r="FF572" s="56"/>
      <c r="FG572" s="56"/>
      <c r="FH572" s="56"/>
      <c r="FI572" s="56"/>
      <c r="FJ572" s="56"/>
      <c r="FK572" s="56"/>
      <c r="FL572" s="56"/>
      <c r="FM572" s="56"/>
      <c r="FN572" s="56"/>
      <c r="FO572" s="56"/>
      <c r="FP572" s="56"/>
      <c r="FQ572" s="56"/>
      <c r="FR572" s="56"/>
      <c r="FS572" s="56"/>
      <c r="FT572" s="56"/>
      <c r="FU572" s="56"/>
      <c r="FV572" s="56"/>
      <c r="FW572" s="56"/>
      <c r="FX572" s="56"/>
      <c r="FY572" s="56"/>
      <c r="FZ572" s="56"/>
      <c r="GA572" s="56"/>
      <c r="GB572" s="56"/>
      <c r="GC572" s="56"/>
      <c r="GD572" s="56"/>
      <c r="GE572" s="56"/>
      <c r="GF572" s="56"/>
      <c r="GG572" s="56"/>
      <c r="GH572" s="56"/>
      <c r="GI572" s="56"/>
      <c r="GJ572" s="56"/>
      <c r="GK572" s="56"/>
      <c r="GL572" s="56"/>
      <c r="GM572" s="56"/>
      <c r="GN572" s="56"/>
      <c r="GO572" s="56"/>
      <c r="GP572" s="56"/>
      <c r="GQ572" s="56"/>
      <c r="GR572" s="56"/>
      <c r="GS572" s="56"/>
      <c r="GT572" s="56"/>
      <c r="GU572" s="56"/>
      <c r="GV572" s="56"/>
      <c r="GW572" s="56"/>
      <c r="GX572" s="56"/>
      <c r="GY572" s="56"/>
      <c r="GZ572" s="56"/>
      <c r="HA572" s="56"/>
      <c r="HB572" s="56"/>
      <c r="HC572" s="56"/>
      <c r="HD572" s="56"/>
      <c r="HE572" s="56"/>
      <c r="HF572" s="56"/>
      <c r="HG572" s="56"/>
      <c r="HH572" s="56"/>
      <c r="HI572" s="56"/>
      <c r="HJ572" s="56"/>
    </row>
    <row r="573" spans="1:218" ht="15.75" customHeight="1" x14ac:dyDescent="0.2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  <c r="CL573" s="56"/>
      <c r="CM573" s="56"/>
      <c r="CN573" s="56"/>
      <c r="CO573" s="56"/>
      <c r="CP573" s="56"/>
      <c r="CQ573" s="56"/>
      <c r="CR573" s="56"/>
      <c r="CS573" s="56"/>
      <c r="CT573" s="56"/>
      <c r="CU573" s="56"/>
      <c r="CV573" s="56"/>
      <c r="CW573" s="56"/>
      <c r="CX573" s="56"/>
      <c r="CY573" s="56"/>
      <c r="CZ573" s="56"/>
      <c r="DA573" s="56"/>
      <c r="DB573" s="56"/>
      <c r="DC573" s="56"/>
      <c r="DD573" s="56"/>
      <c r="DE573" s="56"/>
      <c r="DF573" s="56"/>
      <c r="DG573" s="56"/>
      <c r="DH573" s="56"/>
      <c r="DI573" s="56"/>
      <c r="DJ573" s="56"/>
      <c r="DK573" s="56"/>
      <c r="DL573" s="56"/>
      <c r="DM573" s="56"/>
      <c r="DN573" s="56"/>
      <c r="DO573" s="56"/>
      <c r="DP573" s="56"/>
      <c r="DQ573" s="56"/>
      <c r="DR573" s="56"/>
      <c r="DS573" s="56"/>
      <c r="DT573" s="56"/>
      <c r="DU573" s="56"/>
      <c r="DV573" s="56"/>
      <c r="DW573" s="56"/>
      <c r="DX573" s="56"/>
      <c r="DY573" s="56"/>
      <c r="DZ573" s="56"/>
      <c r="EA573" s="56"/>
      <c r="EB573" s="56"/>
      <c r="EC573" s="56"/>
      <c r="ED573" s="56"/>
      <c r="EE573" s="56"/>
      <c r="EF573" s="56"/>
      <c r="EG573" s="56"/>
      <c r="EH573" s="56"/>
      <c r="EI573" s="56"/>
      <c r="EJ573" s="56"/>
      <c r="EK573" s="56"/>
      <c r="EL573" s="56"/>
      <c r="EM573" s="56"/>
      <c r="EN573" s="56"/>
      <c r="EO573" s="56"/>
      <c r="EP573" s="56"/>
      <c r="EQ573" s="56"/>
      <c r="ER573" s="56"/>
      <c r="ES573" s="56"/>
      <c r="ET573" s="56"/>
      <c r="EU573" s="56"/>
      <c r="EV573" s="56"/>
      <c r="EW573" s="56"/>
      <c r="EX573" s="56"/>
      <c r="EY573" s="56"/>
      <c r="EZ573" s="56"/>
      <c r="FA573" s="56"/>
      <c r="FB573" s="56"/>
      <c r="FC573" s="56"/>
      <c r="FD573" s="56"/>
      <c r="FE573" s="56"/>
      <c r="FF573" s="56"/>
      <c r="FG573" s="56"/>
      <c r="FH573" s="56"/>
      <c r="FI573" s="56"/>
      <c r="FJ573" s="56"/>
      <c r="FK573" s="56"/>
      <c r="FL573" s="56"/>
      <c r="FM573" s="56"/>
      <c r="FN573" s="56"/>
      <c r="FO573" s="56"/>
      <c r="FP573" s="56"/>
      <c r="FQ573" s="56"/>
      <c r="FR573" s="56"/>
      <c r="FS573" s="56"/>
      <c r="FT573" s="56"/>
      <c r="FU573" s="56"/>
      <c r="FV573" s="56"/>
      <c r="FW573" s="56"/>
      <c r="FX573" s="56"/>
      <c r="FY573" s="56"/>
      <c r="FZ573" s="56"/>
      <c r="GA573" s="56"/>
      <c r="GB573" s="56"/>
      <c r="GC573" s="56"/>
      <c r="GD573" s="56"/>
      <c r="GE573" s="56"/>
      <c r="GF573" s="56"/>
      <c r="GG573" s="56"/>
      <c r="GH573" s="56"/>
      <c r="GI573" s="56"/>
      <c r="GJ573" s="56"/>
      <c r="GK573" s="56"/>
      <c r="GL573" s="56"/>
      <c r="GM573" s="56"/>
      <c r="GN573" s="56"/>
      <c r="GO573" s="56"/>
      <c r="GP573" s="56"/>
      <c r="GQ573" s="56"/>
      <c r="GR573" s="56"/>
      <c r="GS573" s="56"/>
      <c r="GT573" s="56"/>
      <c r="GU573" s="56"/>
      <c r="GV573" s="56"/>
      <c r="GW573" s="56"/>
      <c r="GX573" s="56"/>
      <c r="GY573" s="56"/>
      <c r="GZ573" s="56"/>
      <c r="HA573" s="56"/>
      <c r="HB573" s="56"/>
      <c r="HC573" s="56"/>
      <c r="HD573" s="56"/>
      <c r="HE573" s="56"/>
      <c r="HF573" s="56"/>
      <c r="HG573" s="56"/>
      <c r="HH573" s="56"/>
      <c r="HI573" s="56"/>
      <c r="HJ573" s="56"/>
    </row>
    <row r="574" spans="1:218" ht="15.75" customHeight="1" x14ac:dyDescent="0.2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  <c r="CL574" s="56"/>
      <c r="CM574" s="56"/>
      <c r="CN574" s="56"/>
      <c r="CO574" s="56"/>
      <c r="CP574" s="56"/>
      <c r="CQ574" s="56"/>
      <c r="CR574" s="56"/>
      <c r="CS574" s="56"/>
      <c r="CT574" s="56"/>
      <c r="CU574" s="56"/>
      <c r="CV574" s="56"/>
      <c r="CW574" s="56"/>
      <c r="CX574" s="56"/>
      <c r="CY574" s="56"/>
      <c r="CZ574" s="56"/>
      <c r="DA574" s="56"/>
      <c r="DB574" s="56"/>
      <c r="DC574" s="56"/>
      <c r="DD574" s="56"/>
      <c r="DE574" s="56"/>
      <c r="DF574" s="56"/>
      <c r="DG574" s="56"/>
      <c r="DH574" s="56"/>
      <c r="DI574" s="56"/>
      <c r="DJ574" s="56"/>
      <c r="DK574" s="56"/>
      <c r="DL574" s="56"/>
      <c r="DM574" s="56"/>
      <c r="DN574" s="56"/>
      <c r="DO574" s="56"/>
      <c r="DP574" s="56"/>
      <c r="DQ574" s="56"/>
      <c r="DR574" s="56"/>
      <c r="DS574" s="56"/>
      <c r="DT574" s="56"/>
      <c r="DU574" s="56"/>
      <c r="DV574" s="56"/>
      <c r="DW574" s="56"/>
      <c r="DX574" s="56"/>
      <c r="DY574" s="56"/>
      <c r="DZ574" s="56"/>
      <c r="EA574" s="56"/>
      <c r="EB574" s="56"/>
      <c r="EC574" s="56"/>
      <c r="ED574" s="56"/>
      <c r="EE574" s="56"/>
      <c r="EF574" s="56"/>
      <c r="EG574" s="56"/>
      <c r="EH574" s="56"/>
      <c r="EI574" s="56"/>
      <c r="EJ574" s="56"/>
      <c r="EK574" s="56"/>
      <c r="EL574" s="56"/>
      <c r="EM574" s="56"/>
      <c r="EN574" s="56"/>
      <c r="EO574" s="56"/>
      <c r="EP574" s="56"/>
      <c r="EQ574" s="56"/>
      <c r="ER574" s="56"/>
      <c r="ES574" s="56"/>
      <c r="ET574" s="56"/>
      <c r="EU574" s="56"/>
      <c r="EV574" s="56"/>
      <c r="EW574" s="56"/>
      <c r="EX574" s="56"/>
      <c r="EY574" s="56"/>
      <c r="EZ574" s="56"/>
      <c r="FA574" s="56"/>
      <c r="FB574" s="56"/>
      <c r="FC574" s="56"/>
      <c r="FD574" s="56"/>
      <c r="FE574" s="56"/>
      <c r="FF574" s="56"/>
      <c r="FG574" s="56"/>
      <c r="FH574" s="56"/>
      <c r="FI574" s="56"/>
      <c r="FJ574" s="56"/>
      <c r="FK574" s="56"/>
      <c r="FL574" s="56"/>
      <c r="FM574" s="56"/>
      <c r="FN574" s="56"/>
      <c r="FO574" s="56"/>
      <c r="FP574" s="56"/>
      <c r="FQ574" s="56"/>
      <c r="FR574" s="56"/>
      <c r="FS574" s="56"/>
      <c r="FT574" s="56"/>
      <c r="FU574" s="56"/>
      <c r="FV574" s="56"/>
      <c r="FW574" s="56"/>
      <c r="FX574" s="56"/>
      <c r="FY574" s="56"/>
      <c r="FZ574" s="56"/>
      <c r="GA574" s="56"/>
      <c r="GB574" s="56"/>
      <c r="GC574" s="56"/>
      <c r="GD574" s="56"/>
      <c r="GE574" s="56"/>
      <c r="GF574" s="56"/>
      <c r="GG574" s="56"/>
      <c r="GH574" s="56"/>
      <c r="GI574" s="56"/>
      <c r="GJ574" s="56"/>
      <c r="GK574" s="56"/>
      <c r="GL574" s="56"/>
      <c r="GM574" s="56"/>
      <c r="GN574" s="56"/>
      <c r="GO574" s="56"/>
      <c r="GP574" s="56"/>
      <c r="GQ574" s="56"/>
      <c r="GR574" s="56"/>
      <c r="GS574" s="56"/>
      <c r="GT574" s="56"/>
      <c r="GU574" s="56"/>
      <c r="GV574" s="56"/>
      <c r="GW574" s="56"/>
      <c r="GX574" s="56"/>
      <c r="GY574" s="56"/>
      <c r="GZ574" s="56"/>
      <c r="HA574" s="56"/>
      <c r="HB574" s="56"/>
      <c r="HC574" s="56"/>
      <c r="HD574" s="56"/>
      <c r="HE574" s="56"/>
      <c r="HF574" s="56"/>
      <c r="HG574" s="56"/>
      <c r="HH574" s="56"/>
      <c r="HI574" s="56"/>
      <c r="HJ574" s="56"/>
    </row>
    <row r="575" spans="1:218" ht="15.75" customHeight="1" x14ac:dyDescent="0.2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  <c r="CL575" s="56"/>
      <c r="CM575" s="56"/>
      <c r="CN575" s="56"/>
      <c r="CO575" s="56"/>
      <c r="CP575" s="56"/>
      <c r="CQ575" s="56"/>
      <c r="CR575" s="56"/>
      <c r="CS575" s="56"/>
      <c r="CT575" s="56"/>
      <c r="CU575" s="56"/>
      <c r="CV575" s="56"/>
      <c r="CW575" s="56"/>
      <c r="CX575" s="56"/>
      <c r="CY575" s="56"/>
      <c r="CZ575" s="56"/>
      <c r="DA575" s="56"/>
      <c r="DB575" s="56"/>
      <c r="DC575" s="56"/>
      <c r="DD575" s="56"/>
      <c r="DE575" s="56"/>
      <c r="DF575" s="56"/>
      <c r="DG575" s="56"/>
      <c r="DH575" s="56"/>
      <c r="DI575" s="56"/>
      <c r="DJ575" s="56"/>
      <c r="DK575" s="56"/>
      <c r="DL575" s="56"/>
      <c r="DM575" s="56"/>
      <c r="DN575" s="56"/>
      <c r="DO575" s="56"/>
      <c r="DP575" s="56"/>
      <c r="DQ575" s="56"/>
      <c r="DR575" s="56"/>
      <c r="DS575" s="56"/>
      <c r="DT575" s="56"/>
      <c r="DU575" s="56"/>
      <c r="DV575" s="56"/>
      <c r="DW575" s="56"/>
      <c r="DX575" s="56"/>
      <c r="DY575" s="56"/>
      <c r="DZ575" s="56"/>
      <c r="EA575" s="56"/>
      <c r="EB575" s="56"/>
      <c r="EC575" s="56"/>
      <c r="ED575" s="56"/>
      <c r="EE575" s="56"/>
      <c r="EF575" s="56"/>
      <c r="EG575" s="56"/>
      <c r="EH575" s="56"/>
      <c r="EI575" s="56"/>
      <c r="EJ575" s="56"/>
      <c r="EK575" s="56"/>
      <c r="EL575" s="56"/>
      <c r="EM575" s="56"/>
      <c r="EN575" s="56"/>
      <c r="EO575" s="56"/>
      <c r="EP575" s="56"/>
      <c r="EQ575" s="56"/>
      <c r="ER575" s="56"/>
      <c r="ES575" s="56"/>
      <c r="ET575" s="56"/>
      <c r="EU575" s="56"/>
      <c r="EV575" s="56"/>
      <c r="EW575" s="56"/>
      <c r="EX575" s="56"/>
      <c r="EY575" s="56"/>
      <c r="EZ575" s="56"/>
      <c r="FA575" s="56"/>
      <c r="FB575" s="56"/>
      <c r="FC575" s="56"/>
      <c r="FD575" s="56"/>
      <c r="FE575" s="56"/>
      <c r="FF575" s="56"/>
      <c r="FG575" s="56"/>
      <c r="FH575" s="56"/>
      <c r="FI575" s="56"/>
      <c r="FJ575" s="56"/>
      <c r="FK575" s="56"/>
      <c r="FL575" s="56"/>
      <c r="FM575" s="56"/>
      <c r="FN575" s="56"/>
      <c r="FO575" s="56"/>
      <c r="FP575" s="56"/>
      <c r="FQ575" s="56"/>
      <c r="FR575" s="56"/>
      <c r="FS575" s="56"/>
      <c r="FT575" s="56"/>
      <c r="FU575" s="56"/>
      <c r="FV575" s="56"/>
      <c r="FW575" s="56"/>
      <c r="FX575" s="56"/>
      <c r="FY575" s="56"/>
      <c r="FZ575" s="56"/>
      <c r="GA575" s="56"/>
      <c r="GB575" s="56"/>
      <c r="GC575" s="56"/>
      <c r="GD575" s="56"/>
      <c r="GE575" s="56"/>
      <c r="GF575" s="56"/>
      <c r="GG575" s="56"/>
      <c r="GH575" s="56"/>
      <c r="GI575" s="56"/>
      <c r="GJ575" s="56"/>
      <c r="GK575" s="56"/>
      <c r="GL575" s="56"/>
      <c r="GM575" s="56"/>
      <c r="GN575" s="56"/>
      <c r="GO575" s="56"/>
      <c r="GP575" s="56"/>
      <c r="GQ575" s="56"/>
      <c r="GR575" s="56"/>
      <c r="GS575" s="56"/>
      <c r="GT575" s="56"/>
      <c r="GU575" s="56"/>
      <c r="GV575" s="56"/>
      <c r="GW575" s="56"/>
      <c r="GX575" s="56"/>
      <c r="GY575" s="56"/>
      <c r="GZ575" s="56"/>
      <c r="HA575" s="56"/>
      <c r="HB575" s="56"/>
      <c r="HC575" s="56"/>
      <c r="HD575" s="56"/>
      <c r="HE575" s="56"/>
      <c r="HF575" s="56"/>
      <c r="HG575" s="56"/>
      <c r="HH575" s="56"/>
      <c r="HI575" s="56"/>
      <c r="HJ575" s="56"/>
    </row>
    <row r="576" spans="1:218" ht="15.75" customHeight="1" x14ac:dyDescent="0.2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  <c r="BV576" s="56"/>
      <c r="BW576" s="56"/>
      <c r="BX576" s="56"/>
      <c r="BY576" s="56"/>
      <c r="BZ576" s="56"/>
      <c r="CA576" s="56"/>
      <c r="CB576" s="56"/>
      <c r="CC576" s="56"/>
      <c r="CD576" s="56"/>
      <c r="CE576" s="56"/>
      <c r="CF576" s="56"/>
      <c r="CG576" s="56"/>
      <c r="CH576" s="56"/>
      <c r="CI576" s="56"/>
      <c r="CJ576" s="56"/>
      <c r="CK576" s="56"/>
      <c r="CL576" s="56"/>
      <c r="CM576" s="56"/>
      <c r="CN576" s="56"/>
      <c r="CO576" s="56"/>
      <c r="CP576" s="56"/>
      <c r="CQ576" s="56"/>
      <c r="CR576" s="56"/>
      <c r="CS576" s="56"/>
      <c r="CT576" s="56"/>
      <c r="CU576" s="56"/>
      <c r="CV576" s="56"/>
      <c r="CW576" s="56"/>
      <c r="CX576" s="56"/>
      <c r="CY576" s="56"/>
      <c r="CZ576" s="56"/>
      <c r="DA576" s="56"/>
      <c r="DB576" s="56"/>
      <c r="DC576" s="56"/>
      <c r="DD576" s="56"/>
      <c r="DE576" s="56"/>
      <c r="DF576" s="56"/>
      <c r="DG576" s="56"/>
      <c r="DH576" s="56"/>
      <c r="DI576" s="56"/>
      <c r="DJ576" s="56"/>
      <c r="DK576" s="56"/>
      <c r="DL576" s="56"/>
      <c r="DM576" s="56"/>
      <c r="DN576" s="56"/>
      <c r="DO576" s="56"/>
      <c r="DP576" s="56"/>
      <c r="DQ576" s="56"/>
      <c r="DR576" s="56"/>
      <c r="DS576" s="56"/>
      <c r="DT576" s="56"/>
      <c r="DU576" s="56"/>
      <c r="DV576" s="56"/>
      <c r="DW576" s="56"/>
      <c r="DX576" s="56"/>
      <c r="DY576" s="56"/>
      <c r="DZ576" s="56"/>
      <c r="EA576" s="56"/>
      <c r="EB576" s="56"/>
      <c r="EC576" s="56"/>
      <c r="ED576" s="56"/>
      <c r="EE576" s="56"/>
      <c r="EF576" s="56"/>
      <c r="EG576" s="56"/>
      <c r="EH576" s="56"/>
      <c r="EI576" s="56"/>
      <c r="EJ576" s="56"/>
      <c r="EK576" s="56"/>
      <c r="EL576" s="56"/>
      <c r="EM576" s="56"/>
      <c r="EN576" s="56"/>
      <c r="EO576" s="56"/>
      <c r="EP576" s="56"/>
      <c r="EQ576" s="56"/>
      <c r="ER576" s="56"/>
      <c r="ES576" s="56"/>
      <c r="ET576" s="56"/>
      <c r="EU576" s="56"/>
      <c r="EV576" s="56"/>
      <c r="EW576" s="56"/>
      <c r="EX576" s="56"/>
      <c r="EY576" s="56"/>
      <c r="EZ576" s="56"/>
      <c r="FA576" s="56"/>
      <c r="FB576" s="56"/>
      <c r="FC576" s="56"/>
      <c r="FD576" s="56"/>
      <c r="FE576" s="56"/>
      <c r="FF576" s="56"/>
      <c r="FG576" s="56"/>
      <c r="FH576" s="56"/>
      <c r="FI576" s="56"/>
      <c r="FJ576" s="56"/>
      <c r="FK576" s="56"/>
      <c r="FL576" s="56"/>
      <c r="FM576" s="56"/>
      <c r="FN576" s="56"/>
      <c r="FO576" s="56"/>
      <c r="FP576" s="56"/>
      <c r="FQ576" s="56"/>
      <c r="FR576" s="56"/>
      <c r="FS576" s="56"/>
      <c r="FT576" s="56"/>
      <c r="FU576" s="56"/>
      <c r="FV576" s="56"/>
      <c r="FW576" s="56"/>
      <c r="FX576" s="56"/>
      <c r="FY576" s="56"/>
      <c r="FZ576" s="56"/>
      <c r="GA576" s="56"/>
      <c r="GB576" s="56"/>
      <c r="GC576" s="56"/>
      <c r="GD576" s="56"/>
      <c r="GE576" s="56"/>
      <c r="GF576" s="56"/>
      <c r="GG576" s="56"/>
      <c r="GH576" s="56"/>
      <c r="GI576" s="56"/>
      <c r="GJ576" s="56"/>
      <c r="GK576" s="56"/>
      <c r="GL576" s="56"/>
      <c r="GM576" s="56"/>
      <c r="GN576" s="56"/>
      <c r="GO576" s="56"/>
      <c r="GP576" s="56"/>
      <c r="GQ576" s="56"/>
      <c r="GR576" s="56"/>
      <c r="GS576" s="56"/>
      <c r="GT576" s="56"/>
      <c r="GU576" s="56"/>
      <c r="GV576" s="56"/>
      <c r="GW576" s="56"/>
      <c r="GX576" s="56"/>
      <c r="GY576" s="56"/>
      <c r="GZ576" s="56"/>
      <c r="HA576" s="56"/>
      <c r="HB576" s="56"/>
      <c r="HC576" s="56"/>
      <c r="HD576" s="56"/>
      <c r="HE576" s="56"/>
      <c r="HF576" s="56"/>
      <c r="HG576" s="56"/>
      <c r="HH576" s="56"/>
      <c r="HI576" s="56"/>
      <c r="HJ576" s="56"/>
    </row>
    <row r="577" spans="1:218" ht="15.75" customHeight="1" x14ac:dyDescent="0.2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  <c r="CL577" s="56"/>
      <c r="CM577" s="56"/>
      <c r="CN577" s="56"/>
      <c r="CO577" s="56"/>
      <c r="CP577" s="56"/>
      <c r="CQ577" s="56"/>
      <c r="CR577" s="56"/>
      <c r="CS577" s="56"/>
      <c r="CT577" s="56"/>
      <c r="CU577" s="56"/>
      <c r="CV577" s="56"/>
      <c r="CW577" s="56"/>
      <c r="CX577" s="56"/>
      <c r="CY577" s="56"/>
      <c r="CZ577" s="56"/>
      <c r="DA577" s="56"/>
      <c r="DB577" s="56"/>
      <c r="DC577" s="56"/>
      <c r="DD577" s="56"/>
      <c r="DE577" s="56"/>
      <c r="DF577" s="56"/>
      <c r="DG577" s="56"/>
      <c r="DH577" s="56"/>
      <c r="DI577" s="56"/>
      <c r="DJ577" s="56"/>
      <c r="DK577" s="56"/>
      <c r="DL577" s="56"/>
      <c r="DM577" s="56"/>
      <c r="DN577" s="56"/>
      <c r="DO577" s="56"/>
      <c r="DP577" s="56"/>
      <c r="DQ577" s="56"/>
      <c r="DR577" s="56"/>
      <c r="DS577" s="56"/>
      <c r="DT577" s="56"/>
      <c r="DU577" s="56"/>
      <c r="DV577" s="56"/>
      <c r="DW577" s="56"/>
      <c r="DX577" s="56"/>
      <c r="DY577" s="56"/>
      <c r="DZ577" s="56"/>
      <c r="EA577" s="56"/>
      <c r="EB577" s="56"/>
      <c r="EC577" s="56"/>
      <c r="ED577" s="56"/>
      <c r="EE577" s="56"/>
      <c r="EF577" s="56"/>
      <c r="EG577" s="56"/>
      <c r="EH577" s="56"/>
      <c r="EI577" s="56"/>
      <c r="EJ577" s="56"/>
      <c r="EK577" s="56"/>
      <c r="EL577" s="56"/>
      <c r="EM577" s="56"/>
      <c r="EN577" s="56"/>
      <c r="EO577" s="56"/>
      <c r="EP577" s="56"/>
      <c r="EQ577" s="56"/>
      <c r="ER577" s="56"/>
      <c r="ES577" s="56"/>
      <c r="ET577" s="56"/>
      <c r="EU577" s="56"/>
      <c r="EV577" s="56"/>
      <c r="EW577" s="56"/>
      <c r="EX577" s="56"/>
      <c r="EY577" s="56"/>
      <c r="EZ577" s="56"/>
      <c r="FA577" s="56"/>
      <c r="FB577" s="56"/>
      <c r="FC577" s="56"/>
      <c r="FD577" s="56"/>
      <c r="FE577" s="56"/>
      <c r="FF577" s="56"/>
      <c r="FG577" s="56"/>
      <c r="FH577" s="56"/>
      <c r="FI577" s="56"/>
      <c r="FJ577" s="56"/>
      <c r="FK577" s="56"/>
      <c r="FL577" s="56"/>
      <c r="FM577" s="56"/>
      <c r="FN577" s="56"/>
      <c r="FO577" s="56"/>
      <c r="FP577" s="56"/>
      <c r="FQ577" s="56"/>
      <c r="FR577" s="56"/>
      <c r="FS577" s="56"/>
      <c r="FT577" s="56"/>
      <c r="FU577" s="56"/>
      <c r="FV577" s="56"/>
      <c r="FW577" s="56"/>
      <c r="FX577" s="56"/>
      <c r="FY577" s="56"/>
      <c r="FZ577" s="56"/>
      <c r="GA577" s="56"/>
      <c r="GB577" s="56"/>
      <c r="GC577" s="56"/>
      <c r="GD577" s="56"/>
      <c r="GE577" s="56"/>
      <c r="GF577" s="56"/>
      <c r="GG577" s="56"/>
      <c r="GH577" s="56"/>
      <c r="GI577" s="56"/>
      <c r="GJ577" s="56"/>
      <c r="GK577" s="56"/>
      <c r="GL577" s="56"/>
      <c r="GM577" s="56"/>
      <c r="GN577" s="56"/>
      <c r="GO577" s="56"/>
      <c r="GP577" s="56"/>
      <c r="GQ577" s="56"/>
      <c r="GR577" s="56"/>
      <c r="GS577" s="56"/>
      <c r="GT577" s="56"/>
      <c r="GU577" s="56"/>
      <c r="GV577" s="56"/>
      <c r="GW577" s="56"/>
      <c r="GX577" s="56"/>
      <c r="GY577" s="56"/>
      <c r="GZ577" s="56"/>
      <c r="HA577" s="56"/>
      <c r="HB577" s="56"/>
      <c r="HC577" s="56"/>
      <c r="HD577" s="56"/>
      <c r="HE577" s="56"/>
      <c r="HF577" s="56"/>
      <c r="HG577" s="56"/>
      <c r="HH577" s="56"/>
      <c r="HI577" s="56"/>
      <c r="HJ577" s="56"/>
    </row>
    <row r="578" spans="1:218" ht="15.75" customHeight="1" x14ac:dyDescent="0.2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  <c r="CL578" s="56"/>
      <c r="CM578" s="56"/>
      <c r="CN578" s="56"/>
      <c r="CO578" s="56"/>
      <c r="CP578" s="56"/>
      <c r="CQ578" s="56"/>
      <c r="CR578" s="56"/>
      <c r="CS578" s="56"/>
      <c r="CT578" s="56"/>
      <c r="CU578" s="56"/>
      <c r="CV578" s="56"/>
      <c r="CW578" s="56"/>
      <c r="CX578" s="56"/>
      <c r="CY578" s="56"/>
      <c r="CZ578" s="56"/>
      <c r="DA578" s="56"/>
      <c r="DB578" s="56"/>
      <c r="DC578" s="56"/>
      <c r="DD578" s="56"/>
      <c r="DE578" s="56"/>
      <c r="DF578" s="56"/>
      <c r="DG578" s="56"/>
      <c r="DH578" s="56"/>
      <c r="DI578" s="56"/>
      <c r="DJ578" s="56"/>
      <c r="DK578" s="56"/>
      <c r="DL578" s="56"/>
      <c r="DM578" s="56"/>
      <c r="DN578" s="56"/>
      <c r="DO578" s="56"/>
      <c r="DP578" s="56"/>
      <c r="DQ578" s="56"/>
      <c r="DR578" s="56"/>
      <c r="DS578" s="56"/>
      <c r="DT578" s="56"/>
      <c r="DU578" s="56"/>
      <c r="DV578" s="56"/>
      <c r="DW578" s="56"/>
      <c r="DX578" s="56"/>
      <c r="DY578" s="56"/>
      <c r="DZ578" s="56"/>
      <c r="EA578" s="56"/>
      <c r="EB578" s="56"/>
      <c r="EC578" s="56"/>
      <c r="ED578" s="56"/>
      <c r="EE578" s="56"/>
      <c r="EF578" s="56"/>
      <c r="EG578" s="56"/>
      <c r="EH578" s="56"/>
      <c r="EI578" s="56"/>
      <c r="EJ578" s="56"/>
      <c r="EK578" s="56"/>
      <c r="EL578" s="56"/>
      <c r="EM578" s="56"/>
      <c r="EN578" s="56"/>
      <c r="EO578" s="56"/>
      <c r="EP578" s="56"/>
      <c r="EQ578" s="56"/>
      <c r="ER578" s="56"/>
      <c r="ES578" s="56"/>
      <c r="ET578" s="56"/>
      <c r="EU578" s="56"/>
      <c r="EV578" s="56"/>
      <c r="EW578" s="56"/>
      <c r="EX578" s="56"/>
      <c r="EY578" s="56"/>
      <c r="EZ578" s="56"/>
      <c r="FA578" s="56"/>
      <c r="FB578" s="56"/>
      <c r="FC578" s="56"/>
      <c r="FD578" s="56"/>
      <c r="FE578" s="56"/>
      <c r="FF578" s="56"/>
      <c r="FG578" s="56"/>
      <c r="FH578" s="56"/>
      <c r="FI578" s="56"/>
      <c r="FJ578" s="56"/>
      <c r="FK578" s="56"/>
      <c r="FL578" s="56"/>
      <c r="FM578" s="56"/>
      <c r="FN578" s="56"/>
      <c r="FO578" s="56"/>
      <c r="FP578" s="56"/>
      <c r="FQ578" s="56"/>
      <c r="FR578" s="56"/>
      <c r="FS578" s="56"/>
      <c r="FT578" s="56"/>
      <c r="FU578" s="56"/>
      <c r="FV578" s="56"/>
      <c r="FW578" s="56"/>
      <c r="FX578" s="56"/>
      <c r="FY578" s="56"/>
      <c r="FZ578" s="56"/>
      <c r="GA578" s="56"/>
      <c r="GB578" s="56"/>
      <c r="GC578" s="56"/>
      <c r="GD578" s="56"/>
      <c r="GE578" s="56"/>
      <c r="GF578" s="56"/>
      <c r="GG578" s="56"/>
      <c r="GH578" s="56"/>
      <c r="GI578" s="56"/>
      <c r="GJ578" s="56"/>
      <c r="GK578" s="56"/>
      <c r="GL578" s="56"/>
      <c r="GM578" s="56"/>
      <c r="GN578" s="56"/>
      <c r="GO578" s="56"/>
      <c r="GP578" s="56"/>
      <c r="GQ578" s="56"/>
      <c r="GR578" s="56"/>
      <c r="GS578" s="56"/>
      <c r="GT578" s="56"/>
      <c r="GU578" s="56"/>
      <c r="GV578" s="56"/>
      <c r="GW578" s="56"/>
      <c r="GX578" s="56"/>
      <c r="GY578" s="56"/>
      <c r="GZ578" s="56"/>
      <c r="HA578" s="56"/>
      <c r="HB578" s="56"/>
      <c r="HC578" s="56"/>
      <c r="HD578" s="56"/>
      <c r="HE578" s="56"/>
      <c r="HF578" s="56"/>
      <c r="HG578" s="56"/>
      <c r="HH578" s="56"/>
      <c r="HI578" s="56"/>
      <c r="HJ578" s="56"/>
    </row>
    <row r="579" spans="1:218" ht="15.75" customHeight="1" x14ac:dyDescent="0.2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  <c r="CL579" s="56"/>
      <c r="CM579" s="56"/>
      <c r="CN579" s="56"/>
      <c r="CO579" s="56"/>
      <c r="CP579" s="56"/>
      <c r="CQ579" s="56"/>
      <c r="CR579" s="56"/>
      <c r="CS579" s="56"/>
      <c r="CT579" s="56"/>
      <c r="CU579" s="56"/>
      <c r="CV579" s="56"/>
      <c r="CW579" s="56"/>
      <c r="CX579" s="56"/>
      <c r="CY579" s="56"/>
      <c r="CZ579" s="56"/>
      <c r="DA579" s="56"/>
      <c r="DB579" s="56"/>
      <c r="DC579" s="56"/>
      <c r="DD579" s="56"/>
      <c r="DE579" s="56"/>
      <c r="DF579" s="56"/>
      <c r="DG579" s="56"/>
      <c r="DH579" s="56"/>
      <c r="DI579" s="56"/>
      <c r="DJ579" s="56"/>
      <c r="DK579" s="56"/>
      <c r="DL579" s="56"/>
      <c r="DM579" s="56"/>
      <c r="DN579" s="56"/>
      <c r="DO579" s="56"/>
      <c r="DP579" s="56"/>
      <c r="DQ579" s="56"/>
      <c r="DR579" s="56"/>
      <c r="DS579" s="56"/>
      <c r="DT579" s="56"/>
      <c r="DU579" s="56"/>
      <c r="DV579" s="56"/>
      <c r="DW579" s="56"/>
      <c r="DX579" s="56"/>
      <c r="DY579" s="56"/>
      <c r="DZ579" s="56"/>
      <c r="EA579" s="56"/>
      <c r="EB579" s="56"/>
      <c r="EC579" s="56"/>
      <c r="ED579" s="56"/>
      <c r="EE579" s="56"/>
      <c r="EF579" s="56"/>
      <c r="EG579" s="56"/>
      <c r="EH579" s="56"/>
      <c r="EI579" s="56"/>
      <c r="EJ579" s="56"/>
      <c r="EK579" s="56"/>
      <c r="EL579" s="56"/>
      <c r="EM579" s="56"/>
      <c r="EN579" s="56"/>
      <c r="EO579" s="56"/>
      <c r="EP579" s="56"/>
      <c r="EQ579" s="56"/>
      <c r="ER579" s="56"/>
      <c r="ES579" s="56"/>
      <c r="ET579" s="56"/>
      <c r="EU579" s="56"/>
      <c r="EV579" s="56"/>
      <c r="EW579" s="56"/>
      <c r="EX579" s="56"/>
      <c r="EY579" s="56"/>
      <c r="EZ579" s="56"/>
      <c r="FA579" s="56"/>
      <c r="FB579" s="56"/>
      <c r="FC579" s="56"/>
      <c r="FD579" s="56"/>
      <c r="FE579" s="56"/>
      <c r="FF579" s="56"/>
      <c r="FG579" s="56"/>
      <c r="FH579" s="56"/>
      <c r="FI579" s="56"/>
      <c r="FJ579" s="56"/>
      <c r="FK579" s="56"/>
      <c r="FL579" s="56"/>
      <c r="FM579" s="56"/>
      <c r="FN579" s="56"/>
      <c r="FO579" s="56"/>
      <c r="FP579" s="56"/>
      <c r="FQ579" s="56"/>
      <c r="FR579" s="56"/>
      <c r="FS579" s="56"/>
      <c r="FT579" s="56"/>
      <c r="FU579" s="56"/>
      <c r="FV579" s="56"/>
      <c r="FW579" s="56"/>
      <c r="FX579" s="56"/>
      <c r="FY579" s="56"/>
      <c r="FZ579" s="56"/>
      <c r="GA579" s="56"/>
      <c r="GB579" s="56"/>
      <c r="GC579" s="56"/>
      <c r="GD579" s="56"/>
      <c r="GE579" s="56"/>
      <c r="GF579" s="56"/>
      <c r="GG579" s="56"/>
      <c r="GH579" s="56"/>
      <c r="GI579" s="56"/>
      <c r="GJ579" s="56"/>
      <c r="GK579" s="56"/>
      <c r="GL579" s="56"/>
      <c r="GM579" s="56"/>
      <c r="GN579" s="56"/>
      <c r="GO579" s="56"/>
      <c r="GP579" s="56"/>
      <c r="GQ579" s="56"/>
      <c r="GR579" s="56"/>
      <c r="GS579" s="56"/>
      <c r="GT579" s="56"/>
      <c r="GU579" s="56"/>
      <c r="GV579" s="56"/>
      <c r="GW579" s="56"/>
      <c r="GX579" s="56"/>
      <c r="GY579" s="56"/>
      <c r="GZ579" s="56"/>
      <c r="HA579" s="56"/>
      <c r="HB579" s="56"/>
      <c r="HC579" s="56"/>
      <c r="HD579" s="56"/>
      <c r="HE579" s="56"/>
      <c r="HF579" s="56"/>
      <c r="HG579" s="56"/>
      <c r="HH579" s="56"/>
      <c r="HI579" s="56"/>
      <c r="HJ579" s="56"/>
    </row>
    <row r="580" spans="1:218" ht="15.75" customHeight="1" x14ac:dyDescent="0.2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  <c r="BV580" s="56"/>
      <c r="BW580" s="56"/>
      <c r="BX580" s="56"/>
      <c r="BY580" s="56"/>
      <c r="BZ580" s="56"/>
      <c r="CA580" s="56"/>
      <c r="CB580" s="56"/>
      <c r="CC580" s="56"/>
      <c r="CD580" s="56"/>
      <c r="CE580" s="56"/>
      <c r="CF580" s="56"/>
      <c r="CG580" s="56"/>
      <c r="CH580" s="56"/>
      <c r="CI580" s="56"/>
      <c r="CJ580" s="56"/>
      <c r="CK580" s="56"/>
      <c r="CL580" s="56"/>
      <c r="CM580" s="56"/>
      <c r="CN580" s="56"/>
      <c r="CO580" s="56"/>
      <c r="CP580" s="56"/>
      <c r="CQ580" s="56"/>
      <c r="CR580" s="56"/>
      <c r="CS580" s="56"/>
      <c r="CT580" s="56"/>
      <c r="CU580" s="56"/>
      <c r="CV580" s="56"/>
      <c r="CW580" s="56"/>
      <c r="CX580" s="56"/>
      <c r="CY580" s="56"/>
      <c r="CZ580" s="56"/>
      <c r="DA580" s="56"/>
      <c r="DB580" s="56"/>
      <c r="DC580" s="56"/>
      <c r="DD580" s="56"/>
      <c r="DE580" s="56"/>
      <c r="DF580" s="56"/>
      <c r="DG580" s="56"/>
      <c r="DH580" s="56"/>
      <c r="DI580" s="56"/>
      <c r="DJ580" s="56"/>
      <c r="DK580" s="56"/>
      <c r="DL580" s="56"/>
      <c r="DM580" s="56"/>
      <c r="DN580" s="56"/>
      <c r="DO580" s="56"/>
      <c r="DP580" s="56"/>
      <c r="DQ580" s="56"/>
      <c r="DR580" s="56"/>
      <c r="DS580" s="56"/>
      <c r="DT580" s="56"/>
      <c r="DU580" s="56"/>
      <c r="DV580" s="56"/>
      <c r="DW580" s="56"/>
      <c r="DX580" s="56"/>
      <c r="DY580" s="56"/>
      <c r="DZ580" s="56"/>
      <c r="EA580" s="56"/>
      <c r="EB580" s="56"/>
      <c r="EC580" s="56"/>
      <c r="ED580" s="56"/>
      <c r="EE580" s="56"/>
      <c r="EF580" s="56"/>
      <c r="EG580" s="56"/>
      <c r="EH580" s="56"/>
      <c r="EI580" s="56"/>
      <c r="EJ580" s="56"/>
      <c r="EK580" s="56"/>
      <c r="EL580" s="56"/>
      <c r="EM580" s="56"/>
      <c r="EN580" s="56"/>
      <c r="EO580" s="56"/>
      <c r="EP580" s="56"/>
      <c r="EQ580" s="56"/>
      <c r="ER580" s="56"/>
      <c r="ES580" s="56"/>
      <c r="ET580" s="56"/>
      <c r="EU580" s="56"/>
      <c r="EV580" s="56"/>
      <c r="EW580" s="56"/>
      <c r="EX580" s="56"/>
      <c r="EY580" s="56"/>
      <c r="EZ580" s="56"/>
      <c r="FA580" s="56"/>
      <c r="FB580" s="56"/>
      <c r="FC580" s="56"/>
      <c r="FD580" s="56"/>
      <c r="FE580" s="56"/>
      <c r="FF580" s="56"/>
      <c r="FG580" s="56"/>
      <c r="FH580" s="56"/>
      <c r="FI580" s="56"/>
      <c r="FJ580" s="56"/>
      <c r="FK580" s="56"/>
      <c r="FL580" s="56"/>
      <c r="FM580" s="56"/>
      <c r="FN580" s="56"/>
      <c r="FO580" s="56"/>
      <c r="FP580" s="56"/>
      <c r="FQ580" s="56"/>
      <c r="FR580" s="56"/>
      <c r="FS580" s="56"/>
      <c r="FT580" s="56"/>
      <c r="FU580" s="56"/>
      <c r="FV580" s="56"/>
      <c r="FW580" s="56"/>
      <c r="FX580" s="56"/>
      <c r="FY580" s="56"/>
      <c r="FZ580" s="56"/>
      <c r="GA580" s="56"/>
      <c r="GB580" s="56"/>
      <c r="GC580" s="56"/>
      <c r="GD580" s="56"/>
      <c r="GE580" s="56"/>
      <c r="GF580" s="56"/>
      <c r="GG580" s="56"/>
      <c r="GH580" s="56"/>
      <c r="GI580" s="56"/>
      <c r="GJ580" s="56"/>
      <c r="GK580" s="56"/>
      <c r="GL580" s="56"/>
      <c r="GM580" s="56"/>
      <c r="GN580" s="56"/>
      <c r="GO580" s="56"/>
      <c r="GP580" s="56"/>
      <c r="GQ580" s="56"/>
      <c r="GR580" s="56"/>
      <c r="GS580" s="56"/>
      <c r="GT580" s="56"/>
      <c r="GU580" s="56"/>
      <c r="GV580" s="56"/>
      <c r="GW580" s="56"/>
      <c r="GX580" s="56"/>
      <c r="GY580" s="56"/>
      <c r="GZ580" s="56"/>
      <c r="HA580" s="56"/>
      <c r="HB580" s="56"/>
      <c r="HC580" s="56"/>
      <c r="HD580" s="56"/>
      <c r="HE580" s="56"/>
      <c r="HF580" s="56"/>
      <c r="HG580" s="56"/>
      <c r="HH580" s="56"/>
      <c r="HI580" s="56"/>
      <c r="HJ580" s="56"/>
    </row>
    <row r="581" spans="1:218" ht="15.75" customHeight="1" x14ac:dyDescent="0.2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  <c r="BV581" s="56"/>
      <c r="BW581" s="56"/>
      <c r="BX581" s="56"/>
      <c r="BY581" s="56"/>
      <c r="BZ581" s="56"/>
      <c r="CA581" s="56"/>
      <c r="CB581" s="56"/>
      <c r="CC581" s="56"/>
      <c r="CD581" s="56"/>
      <c r="CE581" s="56"/>
      <c r="CF581" s="56"/>
      <c r="CG581" s="56"/>
      <c r="CH581" s="56"/>
      <c r="CI581" s="56"/>
      <c r="CJ581" s="56"/>
      <c r="CK581" s="56"/>
      <c r="CL581" s="56"/>
      <c r="CM581" s="56"/>
      <c r="CN581" s="56"/>
      <c r="CO581" s="56"/>
      <c r="CP581" s="56"/>
      <c r="CQ581" s="56"/>
      <c r="CR581" s="56"/>
      <c r="CS581" s="56"/>
      <c r="CT581" s="56"/>
      <c r="CU581" s="56"/>
      <c r="CV581" s="56"/>
      <c r="CW581" s="56"/>
      <c r="CX581" s="56"/>
      <c r="CY581" s="56"/>
      <c r="CZ581" s="56"/>
      <c r="DA581" s="56"/>
      <c r="DB581" s="56"/>
      <c r="DC581" s="56"/>
      <c r="DD581" s="56"/>
      <c r="DE581" s="56"/>
      <c r="DF581" s="56"/>
      <c r="DG581" s="56"/>
      <c r="DH581" s="56"/>
      <c r="DI581" s="56"/>
      <c r="DJ581" s="56"/>
      <c r="DK581" s="56"/>
      <c r="DL581" s="56"/>
      <c r="DM581" s="56"/>
      <c r="DN581" s="56"/>
      <c r="DO581" s="56"/>
      <c r="DP581" s="56"/>
      <c r="DQ581" s="56"/>
      <c r="DR581" s="56"/>
      <c r="DS581" s="56"/>
      <c r="DT581" s="56"/>
      <c r="DU581" s="56"/>
      <c r="DV581" s="56"/>
      <c r="DW581" s="56"/>
      <c r="DX581" s="56"/>
      <c r="DY581" s="56"/>
      <c r="DZ581" s="56"/>
      <c r="EA581" s="56"/>
      <c r="EB581" s="56"/>
      <c r="EC581" s="56"/>
      <c r="ED581" s="56"/>
      <c r="EE581" s="56"/>
      <c r="EF581" s="56"/>
      <c r="EG581" s="56"/>
      <c r="EH581" s="56"/>
      <c r="EI581" s="56"/>
      <c r="EJ581" s="56"/>
      <c r="EK581" s="56"/>
      <c r="EL581" s="56"/>
      <c r="EM581" s="56"/>
      <c r="EN581" s="56"/>
      <c r="EO581" s="56"/>
      <c r="EP581" s="56"/>
      <c r="EQ581" s="56"/>
      <c r="ER581" s="56"/>
      <c r="ES581" s="56"/>
      <c r="ET581" s="56"/>
      <c r="EU581" s="56"/>
      <c r="EV581" s="56"/>
      <c r="EW581" s="56"/>
      <c r="EX581" s="56"/>
      <c r="EY581" s="56"/>
      <c r="EZ581" s="56"/>
      <c r="FA581" s="56"/>
      <c r="FB581" s="56"/>
      <c r="FC581" s="56"/>
      <c r="FD581" s="56"/>
      <c r="FE581" s="56"/>
      <c r="FF581" s="56"/>
      <c r="FG581" s="56"/>
      <c r="FH581" s="56"/>
      <c r="FI581" s="56"/>
      <c r="FJ581" s="56"/>
      <c r="FK581" s="56"/>
      <c r="FL581" s="56"/>
      <c r="FM581" s="56"/>
      <c r="FN581" s="56"/>
      <c r="FO581" s="56"/>
      <c r="FP581" s="56"/>
      <c r="FQ581" s="56"/>
      <c r="FR581" s="56"/>
      <c r="FS581" s="56"/>
      <c r="FT581" s="56"/>
      <c r="FU581" s="56"/>
      <c r="FV581" s="56"/>
      <c r="FW581" s="56"/>
      <c r="FX581" s="56"/>
      <c r="FY581" s="56"/>
      <c r="FZ581" s="56"/>
      <c r="GA581" s="56"/>
      <c r="GB581" s="56"/>
      <c r="GC581" s="56"/>
      <c r="GD581" s="56"/>
      <c r="GE581" s="56"/>
      <c r="GF581" s="56"/>
      <c r="GG581" s="56"/>
      <c r="GH581" s="56"/>
      <c r="GI581" s="56"/>
      <c r="GJ581" s="56"/>
      <c r="GK581" s="56"/>
      <c r="GL581" s="56"/>
      <c r="GM581" s="56"/>
      <c r="GN581" s="56"/>
      <c r="GO581" s="56"/>
      <c r="GP581" s="56"/>
      <c r="GQ581" s="56"/>
      <c r="GR581" s="56"/>
      <c r="GS581" s="56"/>
      <c r="GT581" s="56"/>
      <c r="GU581" s="56"/>
      <c r="GV581" s="56"/>
      <c r="GW581" s="56"/>
      <c r="GX581" s="56"/>
      <c r="GY581" s="56"/>
      <c r="GZ581" s="56"/>
      <c r="HA581" s="56"/>
      <c r="HB581" s="56"/>
      <c r="HC581" s="56"/>
      <c r="HD581" s="56"/>
      <c r="HE581" s="56"/>
      <c r="HF581" s="56"/>
      <c r="HG581" s="56"/>
      <c r="HH581" s="56"/>
      <c r="HI581" s="56"/>
      <c r="HJ581" s="56"/>
    </row>
    <row r="582" spans="1:218" ht="15.75" customHeight="1" x14ac:dyDescent="0.2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  <c r="CL582" s="56"/>
      <c r="CM582" s="56"/>
      <c r="CN582" s="56"/>
      <c r="CO582" s="56"/>
      <c r="CP582" s="56"/>
      <c r="CQ582" s="56"/>
      <c r="CR582" s="56"/>
      <c r="CS582" s="56"/>
      <c r="CT582" s="56"/>
      <c r="CU582" s="56"/>
      <c r="CV582" s="56"/>
      <c r="CW582" s="56"/>
      <c r="CX582" s="56"/>
      <c r="CY582" s="56"/>
      <c r="CZ582" s="56"/>
      <c r="DA582" s="56"/>
      <c r="DB582" s="56"/>
      <c r="DC582" s="56"/>
      <c r="DD582" s="56"/>
      <c r="DE582" s="56"/>
      <c r="DF582" s="56"/>
      <c r="DG582" s="56"/>
      <c r="DH582" s="56"/>
      <c r="DI582" s="56"/>
      <c r="DJ582" s="56"/>
      <c r="DK582" s="56"/>
      <c r="DL582" s="56"/>
      <c r="DM582" s="56"/>
      <c r="DN582" s="56"/>
      <c r="DO582" s="56"/>
      <c r="DP582" s="56"/>
      <c r="DQ582" s="56"/>
      <c r="DR582" s="56"/>
      <c r="DS582" s="56"/>
      <c r="DT582" s="56"/>
      <c r="DU582" s="56"/>
      <c r="DV582" s="56"/>
      <c r="DW582" s="56"/>
      <c r="DX582" s="56"/>
      <c r="DY582" s="56"/>
      <c r="DZ582" s="56"/>
      <c r="EA582" s="56"/>
      <c r="EB582" s="56"/>
      <c r="EC582" s="56"/>
      <c r="ED582" s="56"/>
      <c r="EE582" s="56"/>
      <c r="EF582" s="56"/>
      <c r="EG582" s="56"/>
      <c r="EH582" s="56"/>
      <c r="EI582" s="56"/>
      <c r="EJ582" s="56"/>
      <c r="EK582" s="56"/>
      <c r="EL582" s="56"/>
      <c r="EM582" s="56"/>
      <c r="EN582" s="56"/>
      <c r="EO582" s="56"/>
      <c r="EP582" s="56"/>
      <c r="EQ582" s="56"/>
      <c r="ER582" s="56"/>
      <c r="ES582" s="56"/>
      <c r="ET582" s="56"/>
      <c r="EU582" s="56"/>
      <c r="EV582" s="56"/>
      <c r="EW582" s="56"/>
      <c r="EX582" s="56"/>
      <c r="EY582" s="56"/>
      <c r="EZ582" s="56"/>
      <c r="FA582" s="56"/>
      <c r="FB582" s="56"/>
      <c r="FC582" s="56"/>
      <c r="FD582" s="56"/>
      <c r="FE582" s="56"/>
      <c r="FF582" s="56"/>
      <c r="FG582" s="56"/>
      <c r="FH582" s="56"/>
      <c r="FI582" s="56"/>
      <c r="FJ582" s="56"/>
      <c r="FK582" s="56"/>
      <c r="FL582" s="56"/>
      <c r="FM582" s="56"/>
      <c r="FN582" s="56"/>
      <c r="FO582" s="56"/>
      <c r="FP582" s="56"/>
      <c r="FQ582" s="56"/>
      <c r="FR582" s="56"/>
      <c r="FS582" s="56"/>
      <c r="FT582" s="56"/>
      <c r="FU582" s="56"/>
      <c r="FV582" s="56"/>
      <c r="FW582" s="56"/>
      <c r="FX582" s="56"/>
      <c r="FY582" s="56"/>
      <c r="FZ582" s="56"/>
      <c r="GA582" s="56"/>
      <c r="GB582" s="56"/>
      <c r="GC582" s="56"/>
      <c r="GD582" s="56"/>
      <c r="GE582" s="56"/>
      <c r="GF582" s="56"/>
      <c r="GG582" s="56"/>
      <c r="GH582" s="56"/>
      <c r="GI582" s="56"/>
      <c r="GJ582" s="56"/>
      <c r="GK582" s="56"/>
      <c r="GL582" s="56"/>
      <c r="GM582" s="56"/>
      <c r="GN582" s="56"/>
      <c r="GO582" s="56"/>
      <c r="GP582" s="56"/>
      <c r="GQ582" s="56"/>
      <c r="GR582" s="56"/>
      <c r="GS582" s="56"/>
      <c r="GT582" s="56"/>
      <c r="GU582" s="56"/>
      <c r="GV582" s="56"/>
      <c r="GW582" s="56"/>
      <c r="GX582" s="56"/>
      <c r="GY582" s="56"/>
      <c r="GZ582" s="56"/>
      <c r="HA582" s="56"/>
      <c r="HB582" s="56"/>
      <c r="HC582" s="56"/>
      <c r="HD582" s="56"/>
      <c r="HE582" s="56"/>
      <c r="HF582" s="56"/>
      <c r="HG582" s="56"/>
      <c r="HH582" s="56"/>
      <c r="HI582" s="56"/>
      <c r="HJ582" s="56"/>
    </row>
    <row r="583" spans="1:218" ht="15.75" customHeight="1" x14ac:dyDescent="0.2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56"/>
      <c r="CP583" s="56"/>
      <c r="CQ583" s="56"/>
      <c r="CR583" s="56"/>
      <c r="CS583" s="56"/>
      <c r="CT583" s="56"/>
      <c r="CU583" s="56"/>
      <c r="CV583" s="56"/>
      <c r="CW583" s="56"/>
      <c r="CX583" s="56"/>
      <c r="CY583" s="56"/>
      <c r="CZ583" s="56"/>
      <c r="DA583" s="56"/>
      <c r="DB583" s="56"/>
      <c r="DC583" s="56"/>
      <c r="DD583" s="56"/>
      <c r="DE583" s="56"/>
      <c r="DF583" s="56"/>
      <c r="DG583" s="56"/>
      <c r="DH583" s="56"/>
      <c r="DI583" s="56"/>
      <c r="DJ583" s="56"/>
      <c r="DK583" s="56"/>
      <c r="DL583" s="56"/>
      <c r="DM583" s="56"/>
      <c r="DN583" s="56"/>
      <c r="DO583" s="56"/>
      <c r="DP583" s="56"/>
      <c r="DQ583" s="56"/>
      <c r="DR583" s="56"/>
      <c r="DS583" s="56"/>
      <c r="DT583" s="56"/>
      <c r="DU583" s="56"/>
      <c r="DV583" s="56"/>
      <c r="DW583" s="56"/>
      <c r="DX583" s="56"/>
      <c r="DY583" s="56"/>
      <c r="DZ583" s="56"/>
      <c r="EA583" s="56"/>
      <c r="EB583" s="56"/>
      <c r="EC583" s="56"/>
      <c r="ED583" s="56"/>
      <c r="EE583" s="56"/>
      <c r="EF583" s="56"/>
      <c r="EG583" s="56"/>
      <c r="EH583" s="56"/>
      <c r="EI583" s="56"/>
      <c r="EJ583" s="56"/>
      <c r="EK583" s="56"/>
      <c r="EL583" s="56"/>
      <c r="EM583" s="56"/>
      <c r="EN583" s="56"/>
      <c r="EO583" s="56"/>
      <c r="EP583" s="56"/>
      <c r="EQ583" s="56"/>
      <c r="ER583" s="56"/>
      <c r="ES583" s="56"/>
      <c r="ET583" s="56"/>
      <c r="EU583" s="56"/>
      <c r="EV583" s="56"/>
      <c r="EW583" s="56"/>
      <c r="EX583" s="56"/>
      <c r="EY583" s="56"/>
      <c r="EZ583" s="56"/>
      <c r="FA583" s="56"/>
      <c r="FB583" s="56"/>
      <c r="FC583" s="56"/>
      <c r="FD583" s="56"/>
      <c r="FE583" s="56"/>
      <c r="FF583" s="56"/>
      <c r="FG583" s="56"/>
      <c r="FH583" s="56"/>
      <c r="FI583" s="56"/>
      <c r="FJ583" s="56"/>
      <c r="FK583" s="56"/>
      <c r="FL583" s="56"/>
      <c r="FM583" s="56"/>
      <c r="FN583" s="56"/>
      <c r="FO583" s="56"/>
      <c r="FP583" s="56"/>
      <c r="FQ583" s="56"/>
      <c r="FR583" s="56"/>
      <c r="FS583" s="56"/>
      <c r="FT583" s="56"/>
      <c r="FU583" s="56"/>
      <c r="FV583" s="56"/>
      <c r="FW583" s="56"/>
      <c r="FX583" s="56"/>
      <c r="FY583" s="56"/>
      <c r="FZ583" s="56"/>
      <c r="GA583" s="56"/>
      <c r="GB583" s="56"/>
      <c r="GC583" s="56"/>
      <c r="GD583" s="56"/>
      <c r="GE583" s="56"/>
      <c r="GF583" s="56"/>
      <c r="GG583" s="56"/>
      <c r="GH583" s="56"/>
      <c r="GI583" s="56"/>
      <c r="GJ583" s="56"/>
      <c r="GK583" s="56"/>
      <c r="GL583" s="56"/>
      <c r="GM583" s="56"/>
      <c r="GN583" s="56"/>
      <c r="GO583" s="56"/>
      <c r="GP583" s="56"/>
      <c r="GQ583" s="56"/>
      <c r="GR583" s="56"/>
      <c r="GS583" s="56"/>
      <c r="GT583" s="56"/>
      <c r="GU583" s="56"/>
      <c r="GV583" s="56"/>
      <c r="GW583" s="56"/>
      <c r="GX583" s="56"/>
      <c r="GY583" s="56"/>
      <c r="GZ583" s="56"/>
      <c r="HA583" s="56"/>
      <c r="HB583" s="56"/>
      <c r="HC583" s="56"/>
      <c r="HD583" s="56"/>
      <c r="HE583" s="56"/>
      <c r="HF583" s="56"/>
      <c r="HG583" s="56"/>
      <c r="HH583" s="56"/>
      <c r="HI583" s="56"/>
      <c r="HJ583" s="56"/>
    </row>
    <row r="584" spans="1:218" ht="15.75" customHeight="1" x14ac:dyDescent="0.2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  <c r="CL584" s="56"/>
      <c r="CM584" s="56"/>
      <c r="CN584" s="56"/>
      <c r="CO584" s="56"/>
      <c r="CP584" s="56"/>
      <c r="CQ584" s="56"/>
      <c r="CR584" s="56"/>
      <c r="CS584" s="56"/>
      <c r="CT584" s="56"/>
      <c r="CU584" s="56"/>
      <c r="CV584" s="56"/>
      <c r="CW584" s="56"/>
      <c r="CX584" s="56"/>
      <c r="CY584" s="56"/>
      <c r="CZ584" s="56"/>
      <c r="DA584" s="56"/>
      <c r="DB584" s="56"/>
      <c r="DC584" s="56"/>
      <c r="DD584" s="56"/>
      <c r="DE584" s="56"/>
      <c r="DF584" s="56"/>
      <c r="DG584" s="56"/>
      <c r="DH584" s="56"/>
      <c r="DI584" s="56"/>
      <c r="DJ584" s="56"/>
      <c r="DK584" s="56"/>
      <c r="DL584" s="56"/>
      <c r="DM584" s="56"/>
      <c r="DN584" s="56"/>
      <c r="DO584" s="56"/>
      <c r="DP584" s="56"/>
      <c r="DQ584" s="56"/>
      <c r="DR584" s="56"/>
      <c r="DS584" s="56"/>
      <c r="DT584" s="56"/>
      <c r="DU584" s="56"/>
      <c r="DV584" s="56"/>
      <c r="DW584" s="56"/>
      <c r="DX584" s="56"/>
      <c r="DY584" s="56"/>
      <c r="DZ584" s="56"/>
      <c r="EA584" s="56"/>
      <c r="EB584" s="56"/>
      <c r="EC584" s="56"/>
      <c r="ED584" s="56"/>
      <c r="EE584" s="56"/>
      <c r="EF584" s="56"/>
      <c r="EG584" s="56"/>
      <c r="EH584" s="56"/>
      <c r="EI584" s="56"/>
      <c r="EJ584" s="56"/>
      <c r="EK584" s="56"/>
      <c r="EL584" s="56"/>
      <c r="EM584" s="56"/>
      <c r="EN584" s="56"/>
      <c r="EO584" s="56"/>
      <c r="EP584" s="56"/>
      <c r="EQ584" s="56"/>
      <c r="ER584" s="56"/>
      <c r="ES584" s="56"/>
      <c r="ET584" s="56"/>
      <c r="EU584" s="56"/>
      <c r="EV584" s="56"/>
      <c r="EW584" s="56"/>
      <c r="EX584" s="56"/>
      <c r="EY584" s="56"/>
      <c r="EZ584" s="56"/>
      <c r="FA584" s="56"/>
      <c r="FB584" s="56"/>
      <c r="FC584" s="56"/>
      <c r="FD584" s="56"/>
      <c r="FE584" s="56"/>
      <c r="FF584" s="56"/>
      <c r="FG584" s="56"/>
      <c r="FH584" s="56"/>
      <c r="FI584" s="56"/>
      <c r="FJ584" s="56"/>
      <c r="FK584" s="56"/>
      <c r="FL584" s="56"/>
      <c r="FM584" s="56"/>
      <c r="FN584" s="56"/>
      <c r="FO584" s="56"/>
      <c r="FP584" s="56"/>
      <c r="FQ584" s="56"/>
      <c r="FR584" s="56"/>
      <c r="FS584" s="56"/>
      <c r="FT584" s="56"/>
      <c r="FU584" s="56"/>
      <c r="FV584" s="56"/>
      <c r="FW584" s="56"/>
      <c r="FX584" s="56"/>
      <c r="FY584" s="56"/>
      <c r="FZ584" s="56"/>
      <c r="GA584" s="56"/>
      <c r="GB584" s="56"/>
      <c r="GC584" s="56"/>
      <c r="GD584" s="56"/>
      <c r="GE584" s="56"/>
      <c r="GF584" s="56"/>
      <c r="GG584" s="56"/>
      <c r="GH584" s="56"/>
      <c r="GI584" s="56"/>
      <c r="GJ584" s="56"/>
      <c r="GK584" s="56"/>
      <c r="GL584" s="56"/>
      <c r="GM584" s="56"/>
      <c r="GN584" s="56"/>
      <c r="GO584" s="56"/>
      <c r="GP584" s="56"/>
      <c r="GQ584" s="56"/>
      <c r="GR584" s="56"/>
      <c r="GS584" s="56"/>
      <c r="GT584" s="56"/>
      <c r="GU584" s="56"/>
      <c r="GV584" s="56"/>
      <c r="GW584" s="56"/>
      <c r="GX584" s="56"/>
      <c r="GY584" s="56"/>
      <c r="GZ584" s="56"/>
      <c r="HA584" s="56"/>
      <c r="HB584" s="56"/>
      <c r="HC584" s="56"/>
      <c r="HD584" s="56"/>
      <c r="HE584" s="56"/>
      <c r="HF584" s="56"/>
      <c r="HG584" s="56"/>
      <c r="HH584" s="56"/>
      <c r="HI584" s="56"/>
      <c r="HJ584" s="56"/>
    </row>
    <row r="585" spans="1:218" ht="15.75" customHeight="1" x14ac:dyDescent="0.2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  <c r="BV585" s="56"/>
      <c r="BW585" s="56"/>
      <c r="BX585" s="56"/>
      <c r="BY585" s="56"/>
      <c r="BZ585" s="56"/>
      <c r="CA585" s="56"/>
      <c r="CB585" s="56"/>
      <c r="CC585" s="56"/>
      <c r="CD585" s="56"/>
      <c r="CE585" s="56"/>
      <c r="CF585" s="56"/>
      <c r="CG585" s="56"/>
      <c r="CH585" s="56"/>
      <c r="CI585" s="56"/>
      <c r="CJ585" s="56"/>
      <c r="CK585" s="56"/>
      <c r="CL585" s="56"/>
      <c r="CM585" s="56"/>
      <c r="CN585" s="56"/>
      <c r="CO585" s="56"/>
      <c r="CP585" s="56"/>
      <c r="CQ585" s="56"/>
      <c r="CR585" s="56"/>
      <c r="CS585" s="56"/>
      <c r="CT585" s="56"/>
      <c r="CU585" s="56"/>
      <c r="CV585" s="56"/>
      <c r="CW585" s="56"/>
      <c r="CX585" s="56"/>
      <c r="CY585" s="56"/>
      <c r="CZ585" s="56"/>
      <c r="DA585" s="56"/>
      <c r="DB585" s="56"/>
      <c r="DC585" s="56"/>
      <c r="DD585" s="56"/>
      <c r="DE585" s="56"/>
      <c r="DF585" s="56"/>
      <c r="DG585" s="56"/>
      <c r="DH585" s="56"/>
      <c r="DI585" s="56"/>
      <c r="DJ585" s="56"/>
      <c r="DK585" s="56"/>
      <c r="DL585" s="56"/>
      <c r="DM585" s="56"/>
      <c r="DN585" s="56"/>
      <c r="DO585" s="56"/>
      <c r="DP585" s="56"/>
      <c r="DQ585" s="56"/>
      <c r="DR585" s="56"/>
      <c r="DS585" s="56"/>
      <c r="DT585" s="56"/>
      <c r="DU585" s="56"/>
      <c r="DV585" s="56"/>
      <c r="DW585" s="56"/>
      <c r="DX585" s="56"/>
      <c r="DY585" s="56"/>
      <c r="DZ585" s="56"/>
      <c r="EA585" s="56"/>
      <c r="EB585" s="56"/>
      <c r="EC585" s="56"/>
      <c r="ED585" s="56"/>
      <c r="EE585" s="56"/>
      <c r="EF585" s="56"/>
      <c r="EG585" s="56"/>
      <c r="EH585" s="56"/>
      <c r="EI585" s="56"/>
      <c r="EJ585" s="56"/>
      <c r="EK585" s="56"/>
      <c r="EL585" s="56"/>
      <c r="EM585" s="56"/>
      <c r="EN585" s="56"/>
      <c r="EO585" s="56"/>
      <c r="EP585" s="56"/>
      <c r="EQ585" s="56"/>
      <c r="ER585" s="56"/>
      <c r="ES585" s="56"/>
      <c r="ET585" s="56"/>
      <c r="EU585" s="56"/>
      <c r="EV585" s="56"/>
      <c r="EW585" s="56"/>
      <c r="EX585" s="56"/>
      <c r="EY585" s="56"/>
      <c r="EZ585" s="56"/>
      <c r="FA585" s="56"/>
      <c r="FB585" s="56"/>
      <c r="FC585" s="56"/>
      <c r="FD585" s="56"/>
      <c r="FE585" s="56"/>
      <c r="FF585" s="56"/>
      <c r="FG585" s="56"/>
      <c r="FH585" s="56"/>
      <c r="FI585" s="56"/>
      <c r="FJ585" s="56"/>
      <c r="FK585" s="56"/>
      <c r="FL585" s="56"/>
      <c r="FM585" s="56"/>
      <c r="FN585" s="56"/>
      <c r="FO585" s="56"/>
      <c r="FP585" s="56"/>
      <c r="FQ585" s="56"/>
      <c r="FR585" s="56"/>
      <c r="FS585" s="56"/>
      <c r="FT585" s="56"/>
      <c r="FU585" s="56"/>
      <c r="FV585" s="56"/>
      <c r="FW585" s="56"/>
      <c r="FX585" s="56"/>
      <c r="FY585" s="56"/>
      <c r="FZ585" s="56"/>
      <c r="GA585" s="56"/>
      <c r="GB585" s="56"/>
      <c r="GC585" s="56"/>
      <c r="GD585" s="56"/>
      <c r="GE585" s="56"/>
      <c r="GF585" s="56"/>
      <c r="GG585" s="56"/>
      <c r="GH585" s="56"/>
      <c r="GI585" s="56"/>
      <c r="GJ585" s="56"/>
      <c r="GK585" s="56"/>
      <c r="GL585" s="56"/>
      <c r="GM585" s="56"/>
      <c r="GN585" s="56"/>
      <c r="GO585" s="56"/>
      <c r="GP585" s="56"/>
      <c r="GQ585" s="56"/>
      <c r="GR585" s="56"/>
      <c r="GS585" s="56"/>
      <c r="GT585" s="56"/>
      <c r="GU585" s="56"/>
      <c r="GV585" s="56"/>
      <c r="GW585" s="56"/>
      <c r="GX585" s="56"/>
      <c r="GY585" s="56"/>
      <c r="GZ585" s="56"/>
      <c r="HA585" s="56"/>
      <c r="HB585" s="56"/>
      <c r="HC585" s="56"/>
      <c r="HD585" s="56"/>
      <c r="HE585" s="56"/>
      <c r="HF585" s="56"/>
      <c r="HG585" s="56"/>
      <c r="HH585" s="56"/>
      <c r="HI585" s="56"/>
      <c r="HJ585" s="56"/>
    </row>
    <row r="586" spans="1:218" ht="15.75" customHeight="1" x14ac:dyDescent="0.2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  <c r="BV586" s="56"/>
      <c r="BW586" s="56"/>
      <c r="BX586" s="56"/>
      <c r="BY586" s="56"/>
      <c r="BZ586" s="56"/>
      <c r="CA586" s="56"/>
      <c r="CB586" s="56"/>
      <c r="CC586" s="56"/>
      <c r="CD586" s="56"/>
      <c r="CE586" s="56"/>
      <c r="CF586" s="56"/>
      <c r="CG586" s="56"/>
      <c r="CH586" s="56"/>
      <c r="CI586" s="56"/>
      <c r="CJ586" s="56"/>
      <c r="CK586" s="56"/>
      <c r="CL586" s="56"/>
      <c r="CM586" s="56"/>
      <c r="CN586" s="56"/>
      <c r="CO586" s="56"/>
      <c r="CP586" s="56"/>
      <c r="CQ586" s="56"/>
      <c r="CR586" s="56"/>
      <c r="CS586" s="56"/>
      <c r="CT586" s="56"/>
      <c r="CU586" s="56"/>
      <c r="CV586" s="56"/>
      <c r="CW586" s="56"/>
      <c r="CX586" s="56"/>
      <c r="CY586" s="56"/>
      <c r="CZ586" s="56"/>
      <c r="DA586" s="56"/>
      <c r="DB586" s="56"/>
      <c r="DC586" s="56"/>
      <c r="DD586" s="56"/>
      <c r="DE586" s="56"/>
      <c r="DF586" s="56"/>
      <c r="DG586" s="56"/>
      <c r="DH586" s="56"/>
      <c r="DI586" s="56"/>
      <c r="DJ586" s="56"/>
      <c r="DK586" s="56"/>
      <c r="DL586" s="56"/>
      <c r="DM586" s="56"/>
      <c r="DN586" s="56"/>
      <c r="DO586" s="56"/>
      <c r="DP586" s="56"/>
      <c r="DQ586" s="56"/>
      <c r="DR586" s="56"/>
      <c r="DS586" s="56"/>
      <c r="DT586" s="56"/>
      <c r="DU586" s="56"/>
      <c r="DV586" s="56"/>
      <c r="DW586" s="56"/>
      <c r="DX586" s="56"/>
      <c r="DY586" s="56"/>
      <c r="DZ586" s="56"/>
      <c r="EA586" s="56"/>
      <c r="EB586" s="56"/>
      <c r="EC586" s="56"/>
      <c r="ED586" s="56"/>
      <c r="EE586" s="56"/>
      <c r="EF586" s="56"/>
      <c r="EG586" s="56"/>
      <c r="EH586" s="56"/>
      <c r="EI586" s="56"/>
      <c r="EJ586" s="56"/>
      <c r="EK586" s="56"/>
      <c r="EL586" s="56"/>
      <c r="EM586" s="56"/>
      <c r="EN586" s="56"/>
      <c r="EO586" s="56"/>
      <c r="EP586" s="56"/>
      <c r="EQ586" s="56"/>
      <c r="ER586" s="56"/>
      <c r="ES586" s="56"/>
      <c r="ET586" s="56"/>
      <c r="EU586" s="56"/>
      <c r="EV586" s="56"/>
      <c r="EW586" s="56"/>
      <c r="EX586" s="56"/>
      <c r="EY586" s="56"/>
      <c r="EZ586" s="56"/>
      <c r="FA586" s="56"/>
      <c r="FB586" s="56"/>
      <c r="FC586" s="56"/>
      <c r="FD586" s="56"/>
      <c r="FE586" s="56"/>
      <c r="FF586" s="56"/>
      <c r="FG586" s="56"/>
      <c r="FH586" s="56"/>
      <c r="FI586" s="56"/>
      <c r="FJ586" s="56"/>
      <c r="FK586" s="56"/>
      <c r="FL586" s="56"/>
      <c r="FM586" s="56"/>
      <c r="FN586" s="56"/>
      <c r="FO586" s="56"/>
      <c r="FP586" s="56"/>
      <c r="FQ586" s="56"/>
      <c r="FR586" s="56"/>
      <c r="FS586" s="56"/>
      <c r="FT586" s="56"/>
      <c r="FU586" s="56"/>
      <c r="FV586" s="56"/>
      <c r="FW586" s="56"/>
      <c r="FX586" s="56"/>
      <c r="FY586" s="56"/>
      <c r="FZ586" s="56"/>
      <c r="GA586" s="56"/>
      <c r="GB586" s="56"/>
      <c r="GC586" s="56"/>
      <c r="GD586" s="56"/>
      <c r="GE586" s="56"/>
      <c r="GF586" s="56"/>
      <c r="GG586" s="56"/>
      <c r="GH586" s="56"/>
      <c r="GI586" s="56"/>
      <c r="GJ586" s="56"/>
      <c r="GK586" s="56"/>
      <c r="GL586" s="56"/>
      <c r="GM586" s="56"/>
      <c r="GN586" s="56"/>
      <c r="GO586" s="56"/>
      <c r="GP586" s="56"/>
      <c r="GQ586" s="56"/>
      <c r="GR586" s="56"/>
      <c r="GS586" s="56"/>
      <c r="GT586" s="56"/>
      <c r="GU586" s="56"/>
      <c r="GV586" s="56"/>
      <c r="GW586" s="56"/>
      <c r="GX586" s="56"/>
      <c r="GY586" s="56"/>
      <c r="GZ586" s="56"/>
      <c r="HA586" s="56"/>
      <c r="HB586" s="56"/>
      <c r="HC586" s="56"/>
      <c r="HD586" s="56"/>
      <c r="HE586" s="56"/>
      <c r="HF586" s="56"/>
      <c r="HG586" s="56"/>
      <c r="HH586" s="56"/>
      <c r="HI586" s="56"/>
      <c r="HJ586" s="56"/>
    </row>
    <row r="587" spans="1:218" ht="15.75" customHeight="1" x14ac:dyDescent="0.2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56"/>
      <c r="CP587" s="56"/>
      <c r="CQ587" s="56"/>
      <c r="CR587" s="56"/>
      <c r="CS587" s="56"/>
      <c r="CT587" s="56"/>
      <c r="CU587" s="56"/>
      <c r="CV587" s="56"/>
      <c r="CW587" s="56"/>
      <c r="CX587" s="56"/>
      <c r="CY587" s="56"/>
      <c r="CZ587" s="56"/>
      <c r="DA587" s="56"/>
      <c r="DB587" s="56"/>
      <c r="DC587" s="56"/>
      <c r="DD587" s="56"/>
      <c r="DE587" s="56"/>
      <c r="DF587" s="56"/>
      <c r="DG587" s="56"/>
      <c r="DH587" s="56"/>
      <c r="DI587" s="56"/>
      <c r="DJ587" s="56"/>
      <c r="DK587" s="56"/>
      <c r="DL587" s="56"/>
      <c r="DM587" s="56"/>
      <c r="DN587" s="56"/>
      <c r="DO587" s="56"/>
      <c r="DP587" s="56"/>
      <c r="DQ587" s="56"/>
      <c r="DR587" s="56"/>
      <c r="DS587" s="56"/>
      <c r="DT587" s="56"/>
      <c r="DU587" s="56"/>
      <c r="DV587" s="56"/>
      <c r="DW587" s="56"/>
      <c r="DX587" s="56"/>
      <c r="DY587" s="56"/>
      <c r="DZ587" s="56"/>
      <c r="EA587" s="56"/>
      <c r="EB587" s="56"/>
      <c r="EC587" s="56"/>
      <c r="ED587" s="56"/>
      <c r="EE587" s="56"/>
      <c r="EF587" s="56"/>
      <c r="EG587" s="56"/>
      <c r="EH587" s="56"/>
      <c r="EI587" s="56"/>
      <c r="EJ587" s="56"/>
      <c r="EK587" s="56"/>
      <c r="EL587" s="56"/>
      <c r="EM587" s="56"/>
      <c r="EN587" s="56"/>
      <c r="EO587" s="56"/>
      <c r="EP587" s="56"/>
      <c r="EQ587" s="56"/>
      <c r="ER587" s="56"/>
      <c r="ES587" s="56"/>
      <c r="ET587" s="56"/>
      <c r="EU587" s="56"/>
      <c r="EV587" s="56"/>
      <c r="EW587" s="56"/>
      <c r="EX587" s="56"/>
      <c r="EY587" s="56"/>
      <c r="EZ587" s="56"/>
      <c r="FA587" s="56"/>
      <c r="FB587" s="56"/>
      <c r="FC587" s="56"/>
      <c r="FD587" s="56"/>
      <c r="FE587" s="56"/>
      <c r="FF587" s="56"/>
      <c r="FG587" s="56"/>
      <c r="FH587" s="56"/>
      <c r="FI587" s="56"/>
      <c r="FJ587" s="56"/>
      <c r="FK587" s="56"/>
      <c r="FL587" s="56"/>
      <c r="FM587" s="56"/>
      <c r="FN587" s="56"/>
      <c r="FO587" s="56"/>
      <c r="FP587" s="56"/>
      <c r="FQ587" s="56"/>
      <c r="FR587" s="56"/>
      <c r="FS587" s="56"/>
      <c r="FT587" s="56"/>
      <c r="FU587" s="56"/>
      <c r="FV587" s="56"/>
      <c r="FW587" s="56"/>
      <c r="FX587" s="56"/>
      <c r="FY587" s="56"/>
      <c r="FZ587" s="56"/>
      <c r="GA587" s="56"/>
      <c r="GB587" s="56"/>
      <c r="GC587" s="56"/>
      <c r="GD587" s="56"/>
      <c r="GE587" s="56"/>
      <c r="GF587" s="56"/>
      <c r="GG587" s="56"/>
      <c r="GH587" s="56"/>
      <c r="GI587" s="56"/>
      <c r="GJ587" s="56"/>
      <c r="GK587" s="56"/>
      <c r="GL587" s="56"/>
      <c r="GM587" s="56"/>
      <c r="GN587" s="56"/>
      <c r="GO587" s="56"/>
      <c r="GP587" s="56"/>
      <c r="GQ587" s="56"/>
      <c r="GR587" s="56"/>
      <c r="GS587" s="56"/>
      <c r="GT587" s="56"/>
      <c r="GU587" s="56"/>
      <c r="GV587" s="56"/>
      <c r="GW587" s="56"/>
      <c r="GX587" s="56"/>
      <c r="GY587" s="56"/>
      <c r="GZ587" s="56"/>
      <c r="HA587" s="56"/>
      <c r="HB587" s="56"/>
      <c r="HC587" s="56"/>
      <c r="HD587" s="56"/>
      <c r="HE587" s="56"/>
      <c r="HF587" s="56"/>
      <c r="HG587" s="56"/>
      <c r="HH587" s="56"/>
      <c r="HI587" s="56"/>
      <c r="HJ587" s="56"/>
    </row>
    <row r="588" spans="1:218" ht="15.75" customHeight="1" x14ac:dyDescent="0.2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  <c r="CL588" s="56"/>
      <c r="CM588" s="56"/>
      <c r="CN588" s="56"/>
      <c r="CO588" s="56"/>
      <c r="CP588" s="56"/>
      <c r="CQ588" s="56"/>
      <c r="CR588" s="56"/>
      <c r="CS588" s="56"/>
      <c r="CT588" s="56"/>
      <c r="CU588" s="56"/>
      <c r="CV588" s="56"/>
      <c r="CW588" s="56"/>
      <c r="CX588" s="56"/>
      <c r="CY588" s="56"/>
      <c r="CZ588" s="56"/>
      <c r="DA588" s="56"/>
      <c r="DB588" s="56"/>
      <c r="DC588" s="56"/>
      <c r="DD588" s="56"/>
      <c r="DE588" s="56"/>
      <c r="DF588" s="56"/>
      <c r="DG588" s="56"/>
      <c r="DH588" s="56"/>
      <c r="DI588" s="56"/>
      <c r="DJ588" s="56"/>
      <c r="DK588" s="56"/>
      <c r="DL588" s="56"/>
      <c r="DM588" s="56"/>
      <c r="DN588" s="56"/>
      <c r="DO588" s="56"/>
      <c r="DP588" s="56"/>
      <c r="DQ588" s="56"/>
      <c r="DR588" s="56"/>
      <c r="DS588" s="56"/>
      <c r="DT588" s="56"/>
      <c r="DU588" s="56"/>
      <c r="DV588" s="56"/>
      <c r="DW588" s="56"/>
      <c r="DX588" s="56"/>
      <c r="DY588" s="56"/>
      <c r="DZ588" s="56"/>
      <c r="EA588" s="56"/>
      <c r="EB588" s="56"/>
      <c r="EC588" s="56"/>
      <c r="ED588" s="56"/>
      <c r="EE588" s="56"/>
      <c r="EF588" s="56"/>
      <c r="EG588" s="56"/>
      <c r="EH588" s="56"/>
      <c r="EI588" s="56"/>
      <c r="EJ588" s="56"/>
      <c r="EK588" s="56"/>
      <c r="EL588" s="56"/>
      <c r="EM588" s="56"/>
      <c r="EN588" s="56"/>
      <c r="EO588" s="56"/>
      <c r="EP588" s="56"/>
      <c r="EQ588" s="56"/>
      <c r="ER588" s="56"/>
      <c r="ES588" s="56"/>
      <c r="ET588" s="56"/>
      <c r="EU588" s="56"/>
      <c r="EV588" s="56"/>
      <c r="EW588" s="56"/>
      <c r="EX588" s="56"/>
      <c r="EY588" s="56"/>
      <c r="EZ588" s="56"/>
      <c r="FA588" s="56"/>
      <c r="FB588" s="56"/>
      <c r="FC588" s="56"/>
      <c r="FD588" s="56"/>
      <c r="FE588" s="56"/>
      <c r="FF588" s="56"/>
      <c r="FG588" s="56"/>
      <c r="FH588" s="56"/>
      <c r="FI588" s="56"/>
      <c r="FJ588" s="56"/>
      <c r="FK588" s="56"/>
      <c r="FL588" s="56"/>
      <c r="FM588" s="56"/>
      <c r="FN588" s="56"/>
      <c r="FO588" s="56"/>
      <c r="FP588" s="56"/>
      <c r="FQ588" s="56"/>
      <c r="FR588" s="56"/>
      <c r="FS588" s="56"/>
      <c r="FT588" s="56"/>
      <c r="FU588" s="56"/>
      <c r="FV588" s="56"/>
      <c r="FW588" s="56"/>
      <c r="FX588" s="56"/>
      <c r="FY588" s="56"/>
      <c r="FZ588" s="56"/>
      <c r="GA588" s="56"/>
      <c r="GB588" s="56"/>
      <c r="GC588" s="56"/>
      <c r="GD588" s="56"/>
      <c r="GE588" s="56"/>
      <c r="GF588" s="56"/>
      <c r="GG588" s="56"/>
      <c r="GH588" s="56"/>
      <c r="GI588" s="56"/>
      <c r="GJ588" s="56"/>
      <c r="GK588" s="56"/>
      <c r="GL588" s="56"/>
      <c r="GM588" s="56"/>
      <c r="GN588" s="56"/>
      <c r="GO588" s="56"/>
      <c r="GP588" s="56"/>
      <c r="GQ588" s="56"/>
      <c r="GR588" s="56"/>
      <c r="GS588" s="56"/>
      <c r="GT588" s="56"/>
      <c r="GU588" s="56"/>
      <c r="GV588" s="56"/>
      <c r="GW588" s="56"/>
      <c r="GX588" s="56"/>
      <c r="GY588" s="56"/>
      <c r="GZ588" s="56"/>
      <c r="HA588" s="56"/>
      <c r="HB588" s="56"/>
      <c r="HC588" s="56"/>
      <c r="HD588" s="56"/>
      <c r="HE588" s="56"/>
      <c r="HF588" s="56"/>
      <c r="HG588" s="56"/>
      <c r="HH588" s="56"/>
      <c r="HI588" s="56"/>
      <c r="HJ588" s="56"/>
    </row>
    <row r="589" spans="1:218" ht="15.75" customHeight="1" x14ac:dyDescent="0.2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  <c r="CL589" s="56"/>
      <c r="CM589" s="56"/>
      <c r="CN589" s="56"/>
      <c r="CO589" s="56"/>
      <c r="CP589" s="56"/>
      <c r="CQ589" s="56"/>
      <c r="CR589" s="56"/>
      <c r="CS589" s="56"/>
      <c r="CT589" s="56"/>
      <c r="CU589" s="56"/>
      <c r="CV589" s="56"/>
      <c r="CW589" s="56"/>
      <c r="CX589" s="56"/>
      <c r="CY589" s="56"/>
      <c r="CZ589" s="56"/>
      <c r="DA589" s="56"/>
      <c r="DB589" s="56"/>
      <c r="DC589" s="56"/>
      <c r="DD589" s="56"/>
      <c r="DE589" s="56"/>
      <c r="DF589" s="56"/>
      <c r="DG589" s="56"/>
      <c r="DH589" s="56"/>
      <c r="DI589" s="56"/>
      <c r="DJ589" s="56"/>
      <c r="DK589" s="56"/>
      <c r="DL589" s="56"/>
      <c r="DM589" s="56"/>
      <c r="DN589" s="56"/>
      <c r="DO589" s="56"/>
      <c r="DP589" s="56"/>
      <c r="DQ589" s="56"/>
      <c r="DR589" s="56"/>
      <c r="DS589" s="56"/>
      <c r="DT589" s="56"/>
      <c r="DU589" s="56"/>
      <c r="DV589" s="56"/>
      <c r="DW589" s="56"/>
      <c r="DX589" s="56"/>
      <c r="DY589" s="56"/>
      <c r="DZ589" s="56"/>
      <c r="EA589" s="56"/>
      <c r="EB589" s="56"/>
      <c r="EC589" s="56"/>
      <c r="ED589" s="56"/>
      <c r="EE589" s="56"/>
      <c r="EF589" s="56"/>
      <c r="EG589" s="56"/>
      <c r="EH589" s="56"/>
      <c r="EI589" s="56"/>
      <c r="EJ589" s="56"/>
      <c r="EK589" s="56"/>
      <c r="EL589" s="56"/>
      <c r="EM589" s="56"/>
      <c r="EN589" s="56"/>
      <c r="EO589" s="56"/>
      <c r="EP589" s="56"/>
      <c r="EQ589" s="56"/>
      <c r="ER589" s="56"/>
      <c r="ES589" s="56"/>
      <c r="ET589" s="56"/>
      <c r="EU589" s="56"/>
      <c r="EV589" s="56"/>
      <c r="EW589" s="56"/>
      <c r="EX589" s="56"/>
      <c r="EY589" s="56"/>
      <c r="EZ589" s="56"/>
      <c r="FA589" s="56"/>
      <c r="FB589" s="56"/>
      <c r="FC589" s="56"/>
      <c r="FD589" s="56"/>
      <c r="FE589" s="56"/>
      <c r="FF589" s="56"/>
      <c r="FG589" s="56"/>
      <c r="FH589" s="56"/>
      <c r="FI589" s="56"/>
      <c r="FJ589" s="56"/>
      <c r="FK589" s="56"/>
      <c r="FL589" s="56"/>
      <c r="FM589" s="56"/>
      <c r="FN589" s="56"/>
      <c r="FO589" s="56"/>
      <c r="FP589" s="56"/>
      <c r="FQ589" s="56"/>
      <c r="FR589" s="56"/>
      <c r="FS589" s="56"/>
      <c r="FT589" s="56"/>
      <c r="FU589" s="56"/>
      <c r="FV589" s="56"/>
      <c r="FW589" s="56"/>
      <c r="FX589" s="56"/>
      <c r="FY589" s="56"/>
      <c r="FZ589" s="56"/>
      <c r="GA589" s="56"/>
      <c r="GB589" s="56"/>
      <c r="GC589" s="56"/>
      <c r="GD589" s="56"/>
      <c r="GE589" s="56"/>
      <c r="GF589" s="56"/>
      <c r="GG589" s="56"/>
      <c r="GH589" s="56"/>
      <c r="GI589" s="56"/>
      <c r="GJ589" s="56"/>
      <c r="GK589" s="56"/>
      <c r="GL589" s="56"/>
      <c r="GM589" s="56"/>
      <c r="GN589" s="56"/>
      <c r="GO589" s="56"/>
      <c r="GP589" s="56"/>
      <c r="GQ589" s="56"/>
      <c r="GR589" s="56"/>
      <c r="GS589" s="56"/>
      <c r="GT589" s="56"/>
      <c r="GU589" s="56"/>
      <c r="GV589" s="56"/>
      <c r="GW589" s="56"/>
      <c r="GX589" s="56"/>
      <c r="GY589" s="56"/>
      <c r="GZ589" s="56"/>
      <c r="HA589" s="56"/>
      <c r="HB589" s="56"/>
      <c r="HC589" s="56"/>
      <c r="HD589" s="56"/>
      <c r="HE589" s="56"/>
      <c r="HF589" s="56"/>
      <c r="HG589" s="56"/>
      <c r="HH589" s="56"/>
      <c r="HI589" s="56"/>
      <c r="HJ589" s="56"/>
    </row>
    <row r="590" spans="1:218" ht="15.75" customHeight="1" x14ac:dyDescent="0.2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56"/>
      <c r="CP590" s="56"/>
      <c r="CQ590" s="56"/>
      <c r="CR590" s="56"/>
      <c r="CS590" s="56"/>
      <c r="CT590" s="56"/>
      <c r="CU590" s="56"/>
      <c r="CV590" s="56"/>
      <c r="CW590" s="56"/>
      <c r="CX590" s="56"/>
      <c r="CY590" s="56"/>
      <c r="CZ590" s="56"/>
      <c r="DA590" s="56"/>
      <c r="DB590" s="56"/>
      <c r="DC590" s="56"/>
      <c r="DD590" s="56"/>
      <c r="DE590" s="56"/>
      <c r="DF590" s="56"/>
      <c r="DG590" s="56"/>
      <c r="DH590" s="56"/>
      <c r="DI590" s="56"/>
      <c r="DJ590" s="56"/>
      <c r="DK590" s="56"/>
      <c r="DL590" s="56"/>
      <c r="DM590" s="56"/>
      <c r="DN590" s="56"/>
      <c r="DO590" s="56"/>
      <c r="DP590" s="56"/>
      <c r="DQ590" s="56"/>
      <c r="DR590" s="56"/>
      <c r="DS590" s="56"/>
      <c r="DT590" s="56"/>
      <c r="DU590" s="56"/>
      <c r="DV590" s="56"/>
      <c r="DW590" s="56"/>
      <c r="DX590" s="56"/>
      <c r="DY590" s="56"/>
      <c r="DZ590" s="56"/>
      <c r="EA590" s="56"/>
      <c r="EB590" s="56"/>
      <c r="EC590" s="56"/>
      <c r="ED590" s="56"/>
      <c r="EE590" s="56"/>
      <c r="EF590" s="56"/>
      <c r="EG590" s="56"/>
      <c r="EH590" s="56"/>
      <c r="EI590" s="56"/>
      <c r="EJ590" s="56"/>
      <c r="EK590" s="56"/>
      <c r="EL590" s="56"/>
      <c r="EM590" s="56"/>
      <c r="EN590" s="56"/>
      <c r="EO590" s="56"/>
      <c r="EP590" s="56"/>
      <c r="EQ590" s="56"/>
      <c r="ER590" s="56"/>
      <c r="ES590" s="56"/>
      <c r="ET590" s="56"/>
      <c r="EU590" s="56"/>
      <c r="EV590" s="56"/>
      <c r="EW590" s="56"/>
      <c r="EX590" s="56"/>
      <c r="EY590" s="56"/>
      <c r="EZ590" s="56"/>
      <c r="FA590" s="56"/>
      <c r="FB590" s="56"/>
      <c r="FC590" s="56"/>
      <c r="FD590" s="56"/>
      <c r="FE590" s="56"/>
      <c r="FF590" s="56"/>
      <c r="FG590" s="56"/>
      <c r="FH590" s="56"/>
      <c r="FI590" s="56"/>
      <c r="FJ590" s="56"/>
      <c r="FK590" s="56"/>
      <c r="FL590" s="56"/>
      <c r="FM590" s="56"/>
      <c r="FN590" s="56"/>
      <c r="FO590" s="56"/>
      <c r="FP590" s="56"/>
      <c r="FQ590" s="56"/>
      <c r="FR590" s="56"/>
      <c r="FS590" s="56"/>
      <c r="FT590" s="56"/>
      <c r="FU590" s="56"/>
      <c r="FV590" s="56"/>
      <c r="FW590" s="56"/>
      <c r="FX590" s="56"/>
      <c r="FY590" s="56"/>
      <c r="FZ590" s="56"/>
      <c r="GA590" s="56"/>
      <c r="GB590" s="56"/>
      <c r="GC590" s="56"/>
      <c r="GD590" s="56"/>
      <c r="GE590" s="56"/>
      <c r="GF590" s="56"/>
      <c r="GG590" s="56"/>
      <c r="GH590" s="56"/>
      <c r="GI590" s="56"/>
      <c r="GJ590" s="56"/>
      <c r="GK590" s="56"/>
      <c r="GL590" s="56"/>
      <c r="GM590" s="56"/>
      <c r="GN590" s="56"/>
      <c r="GO590" s="56"/>
      <c r="GP590" s="56"/>
      <c r="GQ590" s="56"/>
      <c r="GR590" s="56"/>
      <c r="GS590" s="56"/>
      <c r="GT590" s="56"/>
      <c r="GU590" s="56"/>
      <c r="GV590" s="56"/>
      <c r="GW590" s="56"/>
      <c r="GX590" s="56"/>
      <c r="GY590" s="56"/>
      <c r="GZ590" s="56"/>
      <c r="HA590" s="56"/>
      <c r="HB590" s="56"/>
      <c r="HC590" s="56"/>
      <c r="HD590" s="56"/>
      <c r="HE590" s="56"/>
      <c r="HF590" s="56"/>
      <c r="HG590" s="56"/>
      <c r="HH590" s="56"/>
      <c r="HI590" s="56"/>
      <c r="HJ590" s="56"/>
    </row>
    <row r="591" spans="1:218" ht="15.75" customHeight="1" x14ac:dyDescent="0.2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56"/>
      <c r="CP591" s="56"/>
      <c r="CQ591" s="56"/>
      <c r="CR591" s="56"/>
      <c r="CS591" s="56"/>
      <c r="CT591" s="56"/>
      <c r="CU591" s="56"/>
      <c r="CV591" s="56"/>
      <c r="CW591" s="56"/>
      <c r="CX591" s="56"/>
      <c r="CY591" s="56"/>
      <c r="CZ591" s="56"/>
      <c r="DA591" s="56"/>
      <c r="DB591" s="56"/>
      <c r="DC591" s="56"/>
      <c r="DD591" s="56"/>
      <c r="DE591" s="56"/>
      <c r="DF591" s="56"/>
      <c r="DG591" s="56"/>
      <c r="DH591" s="56"/>
      <c r="DI591" s="56"/>
      <c r="DJ591" s="56"/>
      <c r="DK591" s="56"/>
      <c r="DL591" s="56"/>
      <c r="DM591" s="56"/>
      <c r="DN591" s="56"/>
      <c r="DO591" s="56"/>
      <c r="DP591" s="56"/>
      <c r="DQ591" s="56"/>
      <c r="DR591" s="56"/>
      <c r="DS591" s="56"/>
      <c r="DT591" s="56"/>
      <c r="DU591" s="56"/>
      <c r="DV591" s="56"/>
      <c r="DW591" s="56"/>
      <c r="DX591" s="56"/>
      <c r="DY591" s="56"/>
      <c r="DZ591" s="56"/>
      <c r="EA591" s="56"/>
      <c r="EB591" s="56"/>
      <c r="EC591" s="56"/>
      <c r="ED591" s="56"/>
      <c r="EE591" s="56"/>
      <c r="EF591" s="56"/>
      <c r="EG591" s="56"/>
      <c r="EH591" s="56"/>
      <c r="EI591" s="56"/>
      <c r="EJ591" s="56"/>
      <c r="EK591" s="56"/>
      <c r="EL591" s="56"/>
      <c r="EM591" s="56"/>
      <c r="EN591" s="56"/>
      <c r="EO591" s="56"/>
      <c r="EP591" s="56"/>
      <c r="EQ591" s="56"/>
      <c r="ER591" s="56"/>
      <c r="ES591" s="56"/>
      <c r="ET591" s="56"/>
      <c r="EU591" s="56"/>
      <c r="EV591" s="56"/>
      <c r="EW591" s="56"/>
      <c r="EX591" s="56"/>
      <c r="EY591" s="56"/>
      <c r="EZ591" s="56"/>
      <c r="FA591" s="56"/>
      <c r="FB591" s="56"/>
      <c r="FC591" s="56"/>
      <c r="FD591" s="56"/>
      <c r="FE591" s="56"/>
      <c r="FF591" s="56"/>
      <c r="FG591" s="56"/>
      <c r="FH591" s="56"/>
      <c r="FI591" s="56"/>
      <c r="FJ591" s="56"/>
      <c r="FK591" s="56"/>
      <c r="FL591" s="56"/>
      <c r="FM591" s="56"/>
      <c r="FN591" s="56"/>
      <c r="FO591" s="56"/>
      <c r="FP591" s="56"/>
      <c r="FQ591" s="56"/>
      <c r="FR591" s="56"/>
      <c r="FS591" s="56"/>
      <c r="FT591" s="56"/>
      <c r="FU591" s="56"/>
      <c r="FV591" s="56"/>
      <c r="FW591" s="56"/>
      <c r="FX591" s="56"/>
      <c r="FY591" s="56"/>
      <c r="FZ591" s="56"/>
      <c r="GA591" s="56"/>
      <c r="GB591" s="56"/>
      <c r="GC591" s="56"/>
      <c r="GD591" s="56"/>
      <c r="GE591" s="56"/>
      <c r="GF591" s="56"/>
      <c r="GG591" s="56"/>
      <c r="GH591" s="56"/>
      <c r="GI591" s="56"/>
      <c r="GJ591" s="56"/>
      <c r="GK591" s="56"/>
      <c r="GL591" s="56"/>
      <c r="GM591" s="56"/>
      <c r="GN591" s="56"/>
      <c r="GO591" s="56"/>
      <c r="GP591" s="56"/>
      <c r="GQ591" s="56"/>
      <c r="GR591" s="56"/>
      <c r="GS591" s="56"/>
      <c r="GT591" s="56"/>
      <c r="GU591" s="56"/>
      <c r="GV591" s="56"/>
      <c r="GW591" s="56"/>
      <c r="GX591" s="56"/>
      <c r="GY591" s="56"/>
      <c r="GZ591" s="56"/>
      <c r="HA591" s="56"/>
      <c r="HB591" s="56"/>
      <c r="HC591" s="56"/>
      <c r="HD591" s="56"/>
      <c r="HE591" s="56"/>
      <c r="HF591" s="56"/>
      <c r="HG591" s="56"/>
      <c r="HH591" s="56"/>
      <c r="HI591" s="56"/>
      <c r="HJ591" s="56"/>
    </row>
    <row r="592" spans="1:218" ht="15.75" customHeight="1" x14ac:dyDescent="0.2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  <c r="CL592" s="56"/>
      <c r="CM592" s="56"/>
      <c r="CN592" s="56"/>
      <c r="CO592" s="56"/>
      <c r="CP592" s="56"/>
      <c r="CQ592" s="56"/>
      <c r="CR592" s="56"/>
      <c r="CS592" s="56"/>
      <c r="CT592" s="56"/>
      <c r="CU592" s="56"/>
      <c r="CV592" s="56"/>
      <c r="CW592" s="56"/>
      <c r="CX592" s="56"/>
      <c r="CY592" s="56"/>
      <c r="CZ592" s="56"/>
      <c r="DA592" s="56"/>
      <c r="DB592" s="56"/>
      <c r="DC592" s="56"/>
      <c r="DD592" s="56"/>
      <c r="DE592" s="56"/>
      <c r="DF592" s="56"/>
      <c r="DG592" s="56"/>
      <c r="DH592" s="56"/>
      <c r="DI592" s="56"/>
      <c r="DJ592" s="56"/>
      <c r="DK592" s="56"/>
      <c r="DL592" s="56"/>
      <c r="DM592" s="56"/>
      <c r="DN592" s="56"/>
      <c r="DO592" s="56"/>
      <c r="DP592" s="56"/>
      <c r="DQ592" s="56"/>
      <c r="DR592" s="56"/>
      <c r="DS592" s="56"/>
      <c r="DT592" s="56"/>
      <c r="DU592" s="56"/>
      <c r="DV592" s="56"/>
      <c r="DW592" s="56"/>
      <c r="DX592" s="56"/>
      <c r="DY592" s="56"/>
      <c r="DZ592" s="56"/>
      <c r="EA592" s="56"/>
      <c r="EB592" s="56"/>
      <c r="EC592" s="56"/>
      <c r="ED592" s="56"/>
      <c r="EE592" s="56"/>
      <c r="EF592" s="56"/>
      <c r="EG592" s="56"/>
      <c r="EH592" s="56"/>
      <c r="EI592" s="56"/>
      <c r="EJ592" s="56"/>
      <c r="EK592" s="56"/>
      <c r="EL592" s="56"/>
      <c r="EM592" s="56"/>
      <c r="EN592" s="56"/>
      <c r="EO592" s="56"/>
      <c r="EP592" s="56"/>
      <c r="EQ592" s="56"/>
      <c r="ER592" s="56"/>
      <c r="ES592" s="56"/>
      <c r="ET592" s="56"/>
      <c r="EU592" s="56"/>
      <c r="EV592" s="56"/>
      <c r="EW592" s="56"/>
      <c r="EX592" s="56"/>
      <c r="EY592" s="56"/>
      <c r="EZ592" s="56"/>
      <c r="FA592" s="56"/>
      <c r="FB592" s="56"/>
      <c r="FC592" s="56"/>
      <c r="FD592" s="56"/>
      <c r="FE592" s="56"/>
      <c r="FF592" s="56"/>
      <c r="FG592" s="56"/>
      <c r="FH592" s="56"/>
      <c r="FI592" s="56"/>
      <c r="FJ592" s="56"/>
      <c r="FK592" s="56"/>
      <c r="FL592" s="56"/>
      <c r="FM592" s="56"/>
      <c r="FN592" s="56"/>
      <c r="FO592" s="56"/>
      <c r="FP592" s="56"/>
      <c r="FQ592" s="56"/>
      <c r="FR592" s="56"/>
      <c r="FS592" s="56"/>
      <c r="FT592" s="56"/>
      <c r="FU592" s="56"/>
      <c r="FV592" s="56"/>
      <c r="FW592" s="56"/>
      <c r="FX592" s="56"/>
      <c r="FY592" s="56"/>
      <c r="FZ592" s="56"/>
      <c r="GA592" s="56"/>
      <c r="GB592" s="56"/>
      <c r="GC592" s="56"/>
      <c r="GD592" s="56"/>
      <c r="GE592" s="56"/>
      <c r="GF592" s="56"/>
      <c r="GG592" s="56"/>
      <c r="GH592" s="56"/>
      <c r="GI592" s="56"/>
      <c r="GJ592" s="56"/>
      <c r="GK592" s="56"/>
      <c r="GL592" s="56"/>
      <c r="GM592" s="56"/>
      <c r="GN592" s="56"/>
      <c r="GO592" s="56"/>
      <c r="GP592" s="56"/>
      <c r="GQ592" s="56"/>
      <c r="GR592" s="56"/>
      <c r="GS592" s="56"/>
      <c r="GT592" s="56"/>
      <c r="GU592" s="56"/>
      <c r="GV592" s="56"/>
      <c r="GW592" s="56"/>
      <c r="GX592" s="56"/>
      <c r="GY592" s="56"/>
      <c r="GZ592" s="56"/>
      <c r="HA592" s="56"/>
      <c r="HB592" s="56"/>
      <c r="HC592" s="56"/>
      <c r="HD592" s="56"/>
      <c r="HE592" s="56"/>
      <c r="HF592" s="56"/>
      <c r="HG592" s="56"/>
      <c r="HH592" s="56"/>
      <c r="HI592" s="56"/>
      <c r="HJ592" s="56"/>
    </row>
    <row r="593" spans="1:218" ht="15.75" customHeight="1" x14ac:dyDescent="0.2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  <c r="CL593" s="56"/>
      <c r="CM593" s="56"/>
      <c r="CN593" s="56"/>
      <c r="CO593" s="56"/>
      <c r="CP593" s="56"/>
      <c r="CQ593" s="56"/>
      <c r="CR593" s="56"/>
      <c r="CS593" s="56"/>
      <c r="CT593" s="56"/>
      <c r="CU593" s="56"/>
      <c r="CV593" s="56"/>
      <c r="CW593" s="56"/>
      <c r="CX593" s="56"/>
      <c r="CY593" s="56"/>
      <c r="CZ593" s="56"/>
      <c r="DA593" s="56"/>
      <c r="DB593" s="56"/>
      <c r="DC593" s="56"/>
      <c r="DD593" s="56"/>
      <c r="DE593" s="56"/>
      <c r="DF593" s="56"/>
      <c r="DG593" s="56"/>
      <c r="DH593" s="56"/>
      <c r="DI593" s="56"/>
      <c r="DJ593" s="56"/>
      <c r="DK593" s="56"/>
      <c r="DL593" s="56"/>
      <c r="DM593" s="56"/>
      <c r="DN593" s="56"/>
      <c r="DO593" s="56"/>
      <c r="DP593" s="56"/>
      <c r="DQ593" s="56"/>
      <c r="DR593" s="56"/>
      <c r="DS593" s="56"/>
      <c r="DT593" s="56"/>
      <c r="DU593" s="56"/>
      <c r="DV593" s="56"/>
      <c r="DW593" s="56"/>
      <c r="DX593" s="56"/>
      <c r="DY593" s="56"/>
      <c r="DZ593" s="56"/>
      <c r="EA593" s="56"/>
      <c r="EB593" s="56"/>
      <c r="EC593" s="56"/>
      <c r="ED593" s="56"/>
      <c r="EE593" s="56"/>
      <c r="EF593" s="56"/>
      <c r="EG593" s="56"/>
      <c r="EH593" s="56"/>
      <c r="EI593" s="56"/>
      <c r="EJ593" s="56"/>
      <c r="EK593" s="56"/>
      <c r="EL593" s="56"/>
      <c r="EM593" s="56"/>
      <c r="EN593" s="56"/>
      <c r="EO593" s="56"/>
      <c r="EP593" s="56"/>
      <c r="EQ593" s="56"/>
      <c r="ER593" s="56"/>
      <c r="ES593" s="56"/>
      <c r="ET593" s="56"/>
      <c r="EU593" s="56"/>
      <c r="EV593" s="56"/>
      <c r="EW593" s="56"/>
      <c r="EX593" s="56"/>
      <c r="EY593" s="56"/>
      <c r="EZ593" s="56"/>
      <c r="FA593" s="56"/>
      <c r="FB593" s="56"/>
      <c r="FC593" s="56"/>
      <c r="FD593" s="56"/>
      <c r="FE593" s="56"/>
      <c r="FF593" s="56"/>
      <c r="FG593" s="56"/>
      <c r="FH593" s="56"/>
      <c r="FI593" s="56"/>
      <c r="FJ593" s="56"/>
      <c r="FK593" s="56"/>
      <c r="FL593" s="56"/>
      <c r="FM593" s="56"/>
      <c r="FN593" s="56"/>
      <c r="FO593" s="56"/>
      <c r="FP593" s="56"/>
      <c r="FQ593" s="56"/>
      <c r="FR593" s="56"/>
      <c r="FS593" s="56"/>
      <c r="FT593" s="56"/>
      <c r="FU593" s="56"/>
      <c r="FV593" s="56"/>
      <c r="FW593" s="56"/>
      <c r="FX593" s="56"/>
      <c r="FY593" s="56"/>
      <c r="FZ593" s="56"/>
      <c r="GA593" s="56"/>
      <c r="GB593" s="56"/>
      <c r="GC593" s="56"/>
      <c r="GD593" s="56"/>
      <c r="GE593" s="56"/>
      <c r="GF593" s="56"/>
      <c r="GG593" s="56"/>
      <c r="GH593" s="56"/>
      <c r="GI593" s="56"/>
      <c r="GJ593" s="56"/>
      <c r="GK593" s="56"/>
      <c r="GL593" s="56"/>
      <c r="GM593" s="56"/>
      <c r="GN593" s="56"/>
      <c r="GO593" s="56"/>
      <c r="GP593" s="56"/>
      <c r="GQ593" s="56"/>
      <c r="GR593" s="56"/>
      <c r="GS593" s="56"/>
      <c r="GT593" s="56"/>
      <c r="GU593" s="56"/>
      <c r="GV593" s="56"/>
      <c r="GW593" s="56"/>
      <c r="GX593" s="56"/>
      <c r="GY593" s="56"/>
      <c r="GZ593" s="56"/>
      <c r="HA593" s="56"/>
      <c r="HB593" s="56"/>
      <c r="HC593" s="56"/>
      <c r="HD593" s="56"/>
      <c r="HE593" s="56"/>
      <c r="HF593" s="56"/>
      <c r="HG593" s="56"/>
      <c r="HH593" s="56"/>
      <c r="HI593" s="56"/>
      <c r="HJ593" s="56"/>
    </row>
    <row r="594" spans="1:218" ht="15.75" customHeight="1" x14ac:dyDescent="0.2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  <c r="CL594" s="56"/>
      <c r="CM594" s="56"/>
      <c r="CN594" s="56"/>
      <c r="CO594" s="56"/>
      <c r="CP594" s="56"/>
      <c r="CQ594" s="56"/>
      <c r="CR594" s="56"/>
      <c r="CS594" s="56"/>
      <c r="CT594" s="56"/>
      <c r="CU594" s="56"/>
      <c r="CV594" s="56"/>
      <c r="CW594" s="56"/>
      <c r="CX594" s="56"/>
      <c r="CY594" s="56"/>
      <c r="CZ594" s="56"/>
      <c r="DA594" s="56"/>
      <c r="DB594" s="56"/>
      <c r="DC594" s="56"/>
      <c r="DD594" s="56"/>
      <c r="DE594" s="56"/>
      <c r="DF594" s="56"/>
      <c r="DG594" s="56"/>
      <c r="DH594" s="56"/>
      <c r="DI594" s="56"/>
      <c r="DJ594" s="56"/>
      <c r="DK594" s="56"/>
      <c r="DL594" s="56"/>
      <c r="DM594" s="56"/>
      <c r="DN594" s="56"/>
      <c r="DO594" s="56"/>
      <c r="DP594" s="56"/>
      <c r="DQ594" s="56"/>
      <c r="DR594" s="56"/>
      <c r="DS594" s="56"/>
      <c r="DT594" s="56"/>
      <c r="DU594" s="56"/>
      <c r="DV594" s="56"/>
      <c r="DW594" s="56"/>
      <c r="DX594" s="56"/>
      <c r="DY594" s="56"/>
      <c r="DZ594" s="56"/>
      <c r="EA594" s="56"/>
      <c r="EB594" s="56"/>
      <c r="EC594" s="56"/>
      <c r="ED594" s="56"/>
      <c r="EE594" s="56"/>
      <c r="EF594" s="56"/>
      <c r="EG594" s="56"/>
      <c r="EH594" s="56"/>
      <c r="EI594" s="56"/>
      <c r="EJ594" s="56"/>
      <c r="EK594" s="56"/>
      <c r="EL594" s="56"/>
      <c r="EM594" s="56"/>
      <c r="EN594" s="56"/>
      <c r="EO594" s="56"/>
      <c r="EP594" s="56"/>
      <c r="EQ594" s="56"/>
      <c r="ER594" s="56"/>
      <c r="ES594" s="56"/>
      <c r="ET594" s="56"/>
      <c r="EU594" s="56"/>
      <c r="EV594" s="56"/>
      <c r="EW594" s="56"/>
      <c r="EX594" s="56"/>
      <c r="EY594" s="56"/>
      <c r="EZ594" s="56"/>
      <c r="FA594" s="56"/>
      <c r="FB594" s="56"/>
      <c r="FC594" s="56"/>
      <c r="FD594" s="56"/>
      <c r="FE594" s="56"/>
      <c r="FF594" s="56"/>
      <c r="FG594" s="56"/>
      <c r="FH594" s="56"/>
      <c r="FI594" s="56"/>
      <c r="FJ594" s="56"/>
      <c r="FK594" s="56"/>
      <c r="FL594" s="56"/>
      <c r="FM594" s="56"/>
      <c r="FN594" s="56"/>
      <c r="FO594" s="56"/>
      <c r="FP594" s="56"/>
      <c r="FQ594" s="56"/>
      <c r="FR594" s="56"/>
      <c r="FS594" s="56"/>
      <c r="FT594" s="56"/>
      <c r="FU594" s="56"/>
      <c r="FV594" s="56"/>
      <c r="FW594" s="56"/>
      <c r="FX594" s="56"/>
      <c r="FY594" s="56"/>
      <c r="FZ594" s="56"/>
      <c r="GA594" s="56"/>
      <c r="GB594" s="56"/>
      <c r="GC594" s="56"/>
      <c r="GD594" s="56"/>
      <c r="GE594" s="56"/>
      <c r="GF594" s="56"/>
      <c r="GG594" s="56"/>
      <c r="GH594" s="56"/>
      <c r="GI594" s="56"/>
      <c r="GJ594" s="56"/>
      <c r="GK594" s="56"/>
      <c r="GL594" s="56"/>
      <c r="GM594" s="56"/>
      <c r="GN594" s="56"/>
      <c r="GO594" s="56"/>
      <c r="GP594" s="56"/>
      <c r="GQ594" s="56"/>
      <c r="GR594" s="56"/>
      <c r="GS594" s="56"/>
      <c r="GT594" s="56"/>
      <c r="GU594" s="56"/>
      <c r="GV594" s="56"/>
      <c r="GW594" s="56"/>
      <c r="GX594" s="56"/>
      <c r="GY594" s="56"/>
      <c r="GZ594" s="56"/>
      <c r="HA594" s="56"/>
      <c r="HB594" s="56"/>
      <c r="HC594" s="56"/>
      <c r="HD594" s="56"/>
      <c r="HE594" s="56"/>
      <c r="HF594" s="56"/>
      <c r="HG594" s="56"/>
      <c r="HH594" s="56"/>
      <c r="HI594" s="56"/>
      <c r="HJ594" s="56"/>
    </row>
    <row r="595" spans="1:218" ht="15.75" customHeight="1" x14ac:dyDescent="0.2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56"/>
      <c r="CP595" s="56"/>
      <c r="CQ595" s="56"/>
      <c r="CR595" s="56"/>
      <c r="CS595" s="56"/>
      <c r="CT595" s="56"/>
      <c r="CU595" s="56"/>
      <c r="CV595" s="56"/>
      <c r="CW595" s="56"/>
      <c r="CX595" s="56"/>
      <c r="CY595" s="56"/>
      <c r="CZ595" s="56"/>
      <c r="DA595" s="56"/>
      <c r="DB595" s="56"/>
      <c r="DC595" s="56"/>
      <c r="DD595" s="56"/>
      <c r="DE595" s="56"/>
      <c r="DF595" s="56"/>
      <c r="DG595" s="56"/>
      <c r="DH595" s="56"/>
      <c r="DI595" s="56"/>
      <c r="DJ595" s="56"/>
      <c r="DK595" s="56"/>
      <c r="DL595" s="56"/>
      <c r="DM595" s="56"/>
      <c r="DN595" s="56"/>
      <c r="DO595" s="56"/>
      <c r="DP595" s="56"/>
      <c r="DQ595" s="56"/>
      <c r="DR595" s="56"/>
      <c r="DS595" s="56"/>
      <c r="DT595" s="56"/>
      <c r="DU595" s="56"/>
      <c r="DV595" s="56"/>
      <c r="DW595" s="56"/>
      <c r="DX595" s="56"/>
      <c r="DY595" s="56"/>
      <c r="DZ595" s="56"/>
      <c r="EA595" s="56"/>
      <c r="EB595" s="56"/>
      <c r="EC595" s="56"/>
      <c r="ED595" s="56"/>
      <c r="EE595" s="56"/>
      <c r="EF595" s="56"/>
      <c r="EG595" s="56"/>
      <c r="EH595" s="56"/>
      <c r="EI595" s="56"/>
      <c r="EJ595" s="56"/>
      <c r="EK595" s="56"/>
      <c r="EL595" s="56"/>
      <c r="EM595" s="56"/>
      <c r="EN595" s="56"/>
      <c r="EO595" s="56"/>
      <c r="EP595" s="56"/>
      <c r="EQ595" s="56"/>
      <c r="ER595" s="56"/>
      <c r="ES595" s="56"/>
      <c r="ET595" s="56"/>
      <c r="EU595" s="56"/>
      <c r="EV595" s="56"/>
      <c r="EW595" s="56"/>
      <c r="EX595" s="56"/>
      <c r="EY595" s="56"/>
      <c r="EZ595" s="56"/>
      <c r="FA595" s="56"/>
      <c r="FB595" s="56"/>
      <c r="FC595" s="56"/>
      <c r="FD595" s="56"/>
      <c r="FE595" s="56"/>
      <c r="FF595" s="56"/>
      <c r="FG595" s="56"/>
      <c r="FH595" s="56"/>
      <c r="FI595" s="56"/>
      <c r="FJ595" s="56"/>
      <c r="FK595" s="56"/>
      <c r="FL595" s="56"/>
      <c r="FM595" s="56"/>
      <c r="FN595" s="56"/>
      <c r="FO595" s="56"/>
      <c r="FP595" s="56"/>
      <c r="FQ595" s="56"/>
      <c r="FR595" s="56"/>
      <c r="FS595" s="56"/>
      <c r="FT595" s="56"/>
      <c r="FU595" s="56"/>
      <c r="FV595" s="56"/>
      <c r="FW595" s="56"/>
      <c r="FX595" s="56"/>
      <c r="FY595" s="56"/>
      <c r="FZ595" s="56"/>
      <c r="GA595" s="56"/>
      <c r="GB595" s="56"/>
      <c r="GC595" s="56"/>
      <c r="GD595" s="56"/>
      <c r="GE595" s="56"/>
      <c r="GF595" s="56"/>
      <c r="GG595" s="56"/>
      <c r="GH595" s="56"/>
      <c r="GI595" s="56"/>
      <c r="GJ595" s="56"/>
      <c r="GK595" s="56"/>
      <c r="GL595" s="56"/>
      <c r="GM595" s="56"/>
      <c r="GN595" s="56"/>
      <c r="GO595" s="56"/>
      <c r="GP595" s="56"/>
      <c r="GQ595" s="56"/>
      <c r="GR595" s="56"/>
      <c r="GS595" s="56"/>
      <c r="GT595" s="56"/>
      <c r="GU595" s="56"/>
      <c r="GV595" s="56"/>
      <c r="GW595" s="56"/>
      <c r="GX595" s="56"/>
      <c r="GY595" s="56"/>
      <c r="GZ595" s="56"/>
      <c r="HA595" s="56"/>
      <c r="HB595" s="56"/>
      <c r="HC595" s="56"/>
      <c r="HD595" s="56"/>
      <c r="HE595" s="56"/>
      <c r="HF595" s="56"/>
      <c r="HG595" s="56"/>
      <c r="HH595" s="56"/>
      <c r="HI595" s="56"/>
      <c r="HJ595" s="56"/>
    </row>
    <row r="596" spans="1:218" ht="15.75" customHeight="1" x14ac:dyDescent="0.2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56"/>
      <c r="CP596" s="56"/>
      <c r="CQ596" s="56"/>
      <c r="CR596" s="56"/>
      <c r="CS596" s="56"/>
      <c r="CT596" s="56"/>
      <c r="CU596" s="56"/>
      <c r="CV596" s="56"/>
      <c r="CW596" s="56"/>
      <c r="CX596" s="56"/>
      <c r="CY596" s="56"/>
      <c r="CZ596" s="56"/>
      <c r="DA596" s="56"/>
      <c r="DB596" s="56"/>
      <c r="DC596" s="56"/>
      <c r="DD596" s="56"/>
      <c r="DE596" s="56"/>
      <c r="DF596" s="56"/>
      <c r="DG596" s="56"/>
      <c r="DH596" s="56"/>
      <c r="DI596" s="56"/>
      <c r="DJ596" s="56"/>
      <c r="DK596" s="56"/>
      <c r="DL596" s="56"/>
      <c r="DM596" s="56"/>
      <c r="DN596" s="56"/>
      <c r="DO596" s="56"/>
      <c r="DP596" s="56"/>
      <c r="DQ596" s="56"/>
      <c r="DR596" s="56"/>
      <c r="DS596" s="56"/>
      <c r="DT596" s="56"/>
      <c r="DU596" s="56"/>
      <c r="DV596" s="56"/>
      <c r="DW596" s="56"/>
      <c r="DX596" s="56"/>
      <c r="DY596" s="56"/>
      <c r="DZ596" s="56"/>
      <c r="EA596" s="56"/>
      <c r="EB596" s="56"/>
      <c r="EC596" s="56"/>
      <c r="ED596" s="56"/>
      <c r="EE596" s="56"/>
      <c r="EF596" s="56"/>
      <c r="EG596" s="56"/>
      <c r="EH596" s="56"/>
      <c r="EI596" s="56"/>
      <c r="EJ596" s="56"/>
      <c r="EK596" s="56"/>
      <c r="EL596" s="56"/>
      <c r="EM596" s="56"/>
      <c r="EN596" s="56"/>
      <c r="EO596" s="56"/>
      <c r="EP596" s="56"/>
      <c r="EQ596" s="56"/>
      <c r="ER596" s="56"/>
      <c r="ES596" s="56"/>
      <c r="ET596" s="56"/>
      <c r="EU596" s="56"/>
      <c r="EV596" s="56"/>
      <c r="EW596" s="56"/>
      <c r="EX596" s="56"/>
      <c r="EY596" s="56"/>
      <c r="EZ596" s="56"/>
      <c r="FA596" s="56"/>
      <c r="FB596" s="56"/>
      <c r="FC596" s="56"/>
      <c r="FD596" s="56"/>
      <c r="FE596" s="56"/>
      <c r="FF596" s="56"/>
      <c r="FG596" s="56"/>
      <c r="FH596" s="56"/>
      <c r="FI596" s="56"/>
      <c r="FJ596" s="56"/>
      <c r="FK596" s="56"/>
      <c r="FL596" s="56"/>
      <c r="FM596" s="56"/>
      <c r="FN596" s="56"/>
      <c r="FO596" s="56"/>
      <c r="FP596" s="56"/>
      <c r="FQ596" s="56"/>
      <c r="FR596" s="56"/>
      <c r="FS596" s="56"/>
      <c r="FT596" s="56"/>
      <c r="FU596" s="56"/>
      <c r="FV596" s="56"/>
      <c r="FW596" s="56"/>
      <c r="FX596" s="56"/>
      <c r="FY596" s="56"/>
      <c r="FZ596" s="56"/>
      <c r="GA596" s="56"/>
      <c r="GB596" s="56"/>
      <c r="GC596" s="56"/>
      <c r="GD596" s="56"/>
      <c r="GE596" s="56"/>
      <c r="GF596" s="56"/>
      <c r="GG596" s="56"/>
      <c r="GH596" s="56"/>
      <c r="GI596" s="56"/>
      <c r="GJ596" s="56"/>
      <c r="GK596" s="56"/>
      <c r="GL596" s="56"/>
      <c r="GM596" s="56"/>
      <c r="GN596" s="56"/>
      <c r="GO596" s="56"/>
      <c r="GP596" s="56"/>
      <c r="GQ596" s="56"/>
      <c r="GR596" s="56"/>
      <c r="GS596" s="56"/>
      <c r="GT596" s="56"/>
      <c r="GU596" s="56"/>
      <c r="GV596" s="56"/>
      <c r="GW596" s="56"/>
      <c r="GX596" s="56"/>
      <c r="GY596" s="56"/>
      <c r="GZ596" s="56"/>
      <c r="HA596" s="56"/>
      <c r="HB596" s="56"/>
      <c r="HC596" s="56"/>
      <c r="HD596" s="56"/>
      <c r="HE596" s="56"/>
      <c r="HF596" s="56"/>
      <c r="HG596" s="56"/>
      <c r="HH596" s="56"/>
      <c r="HI596" s="56"/>
      <c r="HJ596" s="56"/>
    </row>
    <row r="597" spans="1:218" ht="15.75" customHeight="1" x14ac:dyDescent="0.2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  <c r="CL597" s="56"/>
      <c r="CM597" s="56"/>
      <c r="CN597" s="56"/>
      <c r="CO597" s="56"/>
      <c r="CP597" s="56"/>
      <c r="CQ597" s="56"/>
      <c r="CR597" s="56"/>
      <c r="CS597" s="56"/>
      <c r="CT597" s="56"/>
      <c r="CU597" s="56"/>
      <c r="CV597" s="56"/>
      <c r="CW597" s="56"/>
      <c r="CX597" s="56"/>
      <c r="CY597" s="56"/>
      <c r="CZ597" s="56"/>
      <c r="DA597" s="56"/>
      <c r="DB597" s="56"/>
      <c r="DC597" s="56"/>
      <c r="DD597" s="56"/>
      <c r="DE597" s="56"/>
      <c r="DF597" s="56"/>
      <c r="DG597" s="56"/>
      <c r="DH597" s="56"/>
      <c r="DI597" s="56"/>
      <c r="DJ597" s="56"/>
      <c r="DK597" s="56"/>
      <c r="DL597" s="56"/>
      <c r="DM597" s="56"/>
      <c r="DN597" s="56"/>
      <c r="DO597" s="56"/>
      <c r="DP597" s="56"/>
      <c r="DQ597" s="56"/>
      <c r="DR597" s="56"/>
      <c r="DS597" s="56"/>
      <c r="DT597" s="56"/>
      <c r="DU597" s="56"/>
      <c r="DV597" s="56"/>
      <c r="DW597" s="56"/>
      <c r="DX597" s="56"/>
      <c r="DY597" s="56"/>
      <c r="DZ597" s="56"/>
      <c r="EA597" s="56"/>
      <c r="EB597" s="56"/>
      <c r="EC597" s="56"/>
      <c r="ED597" s="56"/>
      <c r="EE597" s="56"/>
      <c r="EF597" s="56"/>
      <c r="EG597" s="56"/>
      <c r="EH597" s="56"/>
      <c r="EI597" s="56"/>
      <c r="EJ597" s="56"/>
      <c r="EK597" s="56"/>
      <c r="EL597" s="56"/>
      <c r="EM597" s="56"/>
      <c r="EN597" s="56"/>
      <c r="EO597" s="56"/>
      <c r="EP597" s="56"/>
      <c r="EQ597" s="56"/>
      <c r="ER597" s="56"/>
      <c r="ES597" s="56"/>
      <c r="ET597" s="56"/>
      <c r="EU597" s="56"/>
      <c r="EV597" s="56"/>
      <c r="EW597" s="56"/>
      <c r="EX597" s="56"/>
      <c r="EY597" s="56"/>
      <c r="EZ597" s="56"/>
      <c r="FA597" s="56"/>
      <c r="FB597" s="56"/>
      <c r="FC597" s="56"/>
      <c r="FD597" s="56"/>
      <c r="FE597" s="56"/>
      <c r="FF597" s="56"/>
      <c r="FG597" s="56"/>
      <c r="FH597" s="56"/>
      <c r="FI597" s="56"/>
      <c r="FJ597" s="56"/>
      <c r="FK597" s="56"/>
      <c r="FL597" s="56"/>
      <c r="FM597" s="56"/>
      <c r="FN597" s="56"/>
      <c r="FO597" s="56"/>
      <c r="FP597" s="56"/>
      <c r="FQ597" s="56"/>
      <c r="FR597" s="56"/>
      <c r="FS597" s="56"/>
      <c r="FT597" s="56"/>
      <c r="FU597" s="56"/>
      <c r="FV597" s="56"/>
      <c r="FW597" s="56"/>
      <c r="FX597" s="56"/>
      <c r="FY597" s="56"/>
      <c r="FZ597" s="56"/>
      <c r="GA597" s="56"/>
      <c r="GB597" s="56"/>
      <c r="GC597" s="56"/>
      <c r="GD597" s="56"/>
      <c r="GE597" s="56"/>
      <c r="GF597" s="56"/>
      <c r="GG597" s="56"/>
      <c r="GH597" s="56"/>
      <c r="GI597" s="56"/>
      <c r="GJ597" s="56"/>
      <c r="GK597" s="56"/>
      <c r="GL597" s="56"/>
      <c r="GM597" s="56"/>
      <c r="GN597" s="56"/>
      <c r="GO597" s="56"/>
      <c r="GP597" s="56"/>
      <c r="GQ597" s="56"/>
      <c r="GR597" s="56"/>
      <c r="GS597" s="56"/>
      <c r="GT597" s="56"/>
      <c r="GU597" s="56"/>
      <c r="GV597" s="56"/>
      <c r="GW597" s="56"/>
      <c r="GX597" s="56"/>
      <c r="GY597" s="56"/>
      <c r="GZ597" s="56"/>
      <c r="HA597" s="56"/>
      <c r="HB597" s="56"/>
      <c r="HC597" s="56"/>
      <c r="HD597" s="56"/>
      <c r="HE597" s="56"/>
      <c r="HF597" s="56"/>
      <c r="HG597" s="56"/>
      <c r="HH597" s="56"/>
      <c r="HI597" s="56"/>
      <c r="HJ597" s="56"/>
    </row>
    <row r="598" spans="1:218" ht="15.75" customHeight="1" x14ac:dyDescent="0.2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  <c r="CL598" s="56"/>
      <c r="CM598" s="56"/>
      <c r="CN598" s="56"/>
      <c r="CO598" s="56"/>
      <c r="CP598" s="56"/>
      <c r="CQ598" s="56"/>
      <c r="CR598" s="56"/>
      <c r="CS598" s="56"/>
      <c r="CT598" s="56"/>
      <c r="CU598" s="56"/>
      <c r="CV598" s="56"/>
      <c r="CW598" s="56"/>
      <c r="CX598" s="56"/>
      <c r="CY598" s="56"/>
      <c r="CZ598" s="56"/>
      <c r="DA598" s="56"/>
      <c r="DB598" s="56"/>
      <c r="DC598" s="56"/>
      <c r="DD598" s="56"/>
      <c r="DE598" s="56"/>
      <c r="DF598" s="56"/>
      <c r="DG598" s="56"/>
      <c r="DH598" s="56"/>
      <c r="DI598" s="56"/>
      <c r="DJ598" s="56"/>
      <c r="DK598" s="56"/>
      <c r="DL598" s="56"/>
      <c r="DM598" s="56"/>
      <c r="DN598" s="56"/>
      <c r="DO598" s="56"/>
      <c r="DP598" s="56"/>
      <c r="DQ598" s="56"/>
      <c r="DR598" s="56"/>
      <c r="DS598" s="56"/>
      <c r="DT598" s="56"/>
      <c r="DU598" s="56"/>
      <c r="DV598" s="56"/>
      <c r="DW598" s="56"/>
      <c r="DX598" s="56"/>
      <c r="DY598" s="56"/>
      <c r="DZ598" s="56"/>
      <c r="EA598" s="56"/>
      <c r="EB598" s="56"/>
      <c r="EC598" s="56"/>
      <c r="ED598" s="56"/>
      <c r="EE598" s="56"/>
      <c r="EF598" s="56"/>
      <c r="EG598" s="56"/>
      <c r="EH598" s="56"/>
      <c r="EI598" s="56"/>
      <c r="EJ598" s="56"/>
      <c r="EK598" s="56"/>
      <c r="EL598" s="56"/>
      <c r="EM598" s="56"/>
      <c r="EN598" s="56"/>
      <c r="EO598" s="56"/>
      <c r="EP598" s="56"/>
      <c r="EQ598" s="56"/>
      <c r="ER598" s="56"/>
      <c r="ES598" s="56"/>
      <c r="ET598" s="56"/>
      <c r="EU598" s="56"/>
      <c r="EV598" s="56"/>
      <c r="EW598" s="56"/>
      <c r="EX598" s="56"/>
      <c r="EY598" s="56"/>
      <c r="EZ598" s="56"/>
      <c r="FA598" s="56"/>
      <c r="FB598" s="56"/>
      <c r="FC598" s="56"/>
      <c r="FD598" s="56"/>
      <c r="FE598" s="56"/>
      <c r="FF598" s="56"/>
      <c r="FG598" s="56"/>
      <c r="FH598" s="56"/>
      <c r="FI598" s="56"/>
      <c r="FJ598" s="56"/>
      <c r="FK598" s="56"/>
      <c r="FL598" s="56"/>
      <c r="FM598" s="56"/>
      <c r="FN598" s="56"/>
      <c r="FO598" s="56"/>
      <c r="FP598" s="56"/>
      <c r="FQ598" s="56"/>
      <c r="FR598" s="56"/>
      <c r="FS598" s="56"/>
      <c r="FT598" s="56"/>
      <c r="FU598" s="56"/>
      <c r="FV598" s="56"/>
      <c r="FW598" s="56"/>
      <c r="FX598" s="56"/>
      <c r="FY598" s="56"/>
      <c r="FZ598" s="56"/>
      <c r="GA598" s="56"/>
      <c r="GB598" s="56"/>
      <c r="GC598" s="56"/>
      <c r="GD598" s="56"/>
      <c r="GE598" s="56"/>
      <c r="GF598" s="56"/>
      <c r="GG598" s="56"/>
      <c r="GH598" s="56"/>
      <c r="GI598" s="56"/>
      <c r="GJ598" s="56"/>
      <c r="GK598" s="56"/>
      <c r="GL598" s="56"/>
      <c r="GM598" s="56"/>
      <c r="GN598" s="56"/>
      <c r="GO598" s="56"/>
      <c r="GP598" s="56"/>
      <c r="GQ598" s="56"/>
      <c r="GR598" s="56"/>
      <c r="GS598" s="56"/>
      <c r="GT598" s="56"/>
      <c r="GU598" s="56"/>
      <c r="GV598" s="56"/>
      <c r="GW598" s="56"/>
      <c r="GX598" s="56"/>
      <c r="GY598" s="56"/>
      <c r="GZ598" s="56"/>
      <c r="HA598" s="56"/>
      <c r="HB598" s="56"/>
      <c r="HC598" s="56"/>
      <c r="HD598" s="56"/>
      <c r="HE598" s="56"/>
      <c r="HF598" s="56"/>
      <c r="HG598" s="56"/>
      <c r="HH598" s="56"/>
      <c r="HI598" s="56"/>
      <c r="HJ598" s="56"/>
    </row>
    <row r="599" spans="1:218" ht="15.75" customHeight="1" x14ac:dyDescent="0.2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  <c r="CL599" s="56"/>
      <c r="CM599" s="56"/>
      <c r="CN599" s="56"/>
      <c r="CO599" s="56"/>
      <c r="CP599" s="56"/>
      <c r="CQ599" s="56"/>
      <c r="CR599" s="56"/>
      <c r="CS599" s="56"/>
      <c r="CT599" s="56"/>
      <c r="CU599" s="56"/>
      <c r="CV599" s="56"/>
      <c r="CW599" s="56"/>
      <c r="CX599" s="56"/>
      <c r="CY599" s="56"/>
      <c r="CZ599" s="56"/>
      <c r="DA599" s="56"/>
      <c r="DB599" s="56"/>
      <c r="DC599" s="56"/>
      <c r="DD599" s="56"/>
      <c r="DE599" s="56"/>
      <c r="DF599" s="56"/>
      <c r="DG599" s="56"/>
      <c r="DH599" s="56"/>
      <c r="DI599" s="56"/>
      <c r="DJ599" s="56"/>
      <c r="DK599" s="56"/>
      <c r="DL599" s="56"/>
      <c r="DM599" s="56"/>
      <c r="DN599" s="56"/>
      <c r="DO599" s="56"/>
      <c r="DP599" s="56"/>
      <c r="DQ599" s="56"/>
      <c r="DR599" s="56"/>
      <c r="DS599" s="56"/>
      <c r="DT599" s="56"/>
      <c r="DU599" s="56"/>
      <c r="DV599" s="56"/>
      <c r="DW599" s="56"/>
      <c r="DX599" s="56"/>
      <c r="DY599" s="56"/>
      <c r="DZ599" s="56"/>
      <c r="EA599" s="56"/>
      <c r="EB599" s="56"/>
      <c r="EC599" s="56"/>
      <c r="ED599" s="56"/>
      <c r="EE599" s="56"/>
      <c r="EF599" s="56"/>
      <c r="EG599" s="56"/>
      <c r="EH599" s="56"/>
      <c r="EI599" s="56"/>
      <c r="EJ599" s="56"/>
      <c r="EK599" s="56"/>
      <c r="EL599" s="56"/>
      <c r="EM599" s="56"/>
      <c r="EN599" s="56"/>
      <c r="EO599" s="56"/>
      <c r="EP599" s="56"/>
      <c r="EQ599" s="56"/>
      <c r="ER599" s="56"/>
      <c r="ES599" s="56"/>
      <c r="ET599" s="56"/>
      <c r="EU599" s="56"/>
      <c r="EV599" s="56"/>
      <c r="EW599" s="56"/>
      <c r="EX599" s="56"/>
      <c r="EY599" s="56"/>
      <c r="EZ599" s="56"/>
      <c r="FA599" s="56"/>
      <c r="FB599" s="56"/>
      <c r="FC599" s="56"/>
      <c r="FD599" s="56"/>
      <c r="FE599" s="56"/>
      <c r="FF599" s="56"/>
      <c r="FG599" s="56"/>
      <c r="FH599" s="56"/>
      <c r="FI599" s="56"/>
      <c r="FJ599" s="56"/>
      <c r="FK599" s="56"/>
      <c r="FL599" s="56"/>
      <c r="FM599" s="56"/>
      <c r="FN599" s="56"/>
      <c r="FO599" s="56"/>
      <c r="FP599" s="56"/>
      <c r="FQ599" s="56"/>
      <c r="FR599" s="56"/>
      <c r="FS599" s="56"/>
      <c r="FT599" s="56"/>
      <c r="FU599" s="56"/>
      <c r="FV599" s="56"/>
      <c r="FW599" s="56"/>
      <c r="FX599" s="56"/>
      <c r="FY599" s="56"/>
      <c r="FZ599" s="56"/>
      <c r="GA599" s="56"/>
      <c r="GB599" s="56"/>
      <c r="GC599" s="56"/>
      <c r="GD599" s="56"/>
      <c r="GE599" s="56"/>
      <c r="GF599" s="56"/>
      <c r="GG599" s="56"/>
      <c r="GH599" s="56"/>
      <c r="GI599" s="56"/>
      <c r="GJ599" s="56"/>
      <c r="GK599" s="56"/>
      <c r="GL599" s="56"/>
      <c r="GM599" s="56"/>
      <c r="GN599" s="56"/>
      <c r="GO599" s="56"/>
      <c r="GP599" s="56"/>
      <c r="GQ599" s="56"/>
      <c r="GR599" s="56"/>
      <c r="GS599" s="56"/>
      <c r="GT599" s="56"/>
      <c r="GU599" s="56"/>
      <c r="GV599" s="56"/>
      <c r="GW599" s="56"/>
      <c r="GX599" s="56"/>
      <c r="GY599" s="56"/>
      <c r="GZ599" s="56"/>
      <c r="HA599" s="56"/>
      <c r="HB599" s="56"/>
      <c r="HC599" s="56"/>
      <c r="HD599" s="56"/>
      <c r="HE599" s="56"/>
      <c r="HF599" s="56"/>
      <c r="HG599" s="56"/>
      <c r="HH599" s="56"/>
      <c r="HI599" s="56"/>
      <c r="HJ599" s="56"/>
    </row>
    <row r="600" spans="1:218" ht="15.75" customHeight="1" x14ac:dyDescent="0.2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56"/>
      <c r="CP600" s="56"/>
      <c r="CQ600" s="56"/>
      <c r="CR600" s="56"/>
      <c r="CS600" s="56"/>
      <c r="CT600" s="56"/>
      <c r="CU600" s="56"/>
      <c r="CV600" s="56"/>
      <c r="CW600" s="56"/>
      <c r="CX600" s="56"/>
      <c r="CY600" s="56"/>
      <c r="CZ600" s="56"/>
      <c r="DA600" s="56"/>
      <c r="DB600" s="56"/>
      <c r="DC600" s="56"/>
      <c r="DD600" s="56"/>
      <c r="DE600" s="56"/>
      <c r="DF600" s="56"/>
      <c r="DG600" s="56"/>
      <c r="DH600" s="56"/>
      <c r="DI600" s="56"/>
      <c r="DJ600" s="56"/>
      <c r="DK600" s="56"/>
      <c r="DL600" s="56"/>
      <c r="DM600" s="56"/>
      <c r="DN600" s="56"/>
      <c r="DO600" s="56"/>
      <c r="DP600" s="56"/>
      <c r="DQ600" s="56"/>
      <c r="DR600" s="56"/>
      <c r="DS600" s="56"/>
      <c r="DT600" s="56"/>
      <c r="DU600" s="56"/>
      <c r="DV600" s="56"/>
      <c r="DW600" s="56"/>
      <c r="DX600" s="56"/>
      <c r="DY600" s="56"/>
      <c r="DZ600" s="56"/>
      <c r="EA600" s="56"/>
      <c r="EB600" s="56"/>
      <c r="EC600" s="56"/>
      <c r="ED600" s="56"/>
      <c r="EE600" s="56"/>
      <c r="EF600" s="56"/>
      <c r="EG600" s="56"/>
      <c r="EH600" s="56"/>
      <c r="EI600" s="56"/>
      <c r="EJ600" s="56"/>
      <c r="EK600" s="56"/>
      <c r="EL600" s="56"/>
      <c r="EM600" s="56"/>
      <c r="EN600" s="56"/>
      <c r="EO600" s="56"/>
      <c r="EP600" s="56"/>
      <c r="EQ600" s="56"/>
      <c r="ER600" s="56"/>
      <c r="ES600" s="56"/>
      <c r="ET600" s="56"/>
      <c r="EU600" s="56"/>
      <c r="EV600" s="56"/>
      <c r="EW600" s="56"/>
      <c r="EX600" s="56"/>
      <c r="EY600" s="56"/>
      <c r="EZ600" s="56"/>
      <c r="FA600" s="56"/>
      <c r="FB600" s="56"/>
      <c r="FC600" s="56"/>
      <c r="FD600" s="56"/>
      <c r="FE600" s="56"/>
      <c r="FF600" s="56"/>
      <c r="FG600" s="56"/>
      <c r="FH600" s="56"/>
      <c r="FI600" s="56"/>
      <c r="FJ600" s="56"/>
      <c r="FK600" s="56"/>
      <c r="FL600" s="56"/>
      <c r="FM600" s="56"/>
      <c r="FN600" s="56"/>
      <c r="FO600" s="56"/>
      <c r="FP600" s="56"/>
      <c r="FQ600" s="56"/>
      <c r="FR600" s="56"/>
      <c r="FS600" s="56"/>
      <c r="FT600" s="56"/>
      <c r="FU600" s="56"/>
      <c r="FV600" s="56"/>
      <c r="FW600" s="56"/>
      <c r="FX600" s="56"/>
      <c r="FY600" s="56"/>
      <c r="FZ600" s="56"/>
      <c r="GA600" s="56"/>
      <c r="GB600" s="56"/>
      <c r="GC600" s="56"/>
      <c r="GD600" s="56"/>
      <c r="GE600" s="56"/>
      <c r="GF600" s="56"/>
      <c r="GG600" s="56"/>
      <c r="GH600" s="56"/>
      <c r="GI600" s="56"/>
      <c r="GJ600" s="56"/>
      <c r="GK600" s="56"/>
      <c r="GL600" s="56"/>
      <c r="GM600" s="56"/>
      <c r="GN600" s="56"/>
      <c r="GO600" s="56"/>
      <c r="GP600" s="56"/>
      <c r="GQ600" s="56"/>
      <c r="GR600" s="56"/>
      <c r="GS600" s="56"/>
      <c r="GT600" s="56"/>
      <c r="GU600" s="56"/>
      <c r="GV600" s="56"/>
      <c r="GW600" s="56"/>
      <c r="GX600" s="56"/>
      <c r="GY600" s="56"/>
      <c r="GZ600" s="56"/>
      <c r="HA600" s="56"/>
      <c r="HB600" s="56"/>
      <c r="HC600" s="56"/>
      <c r="HD600" s="56"/>
      <c r="HE600" s="56"/>
      <c r="HF600" s="56"/>
      <c r="HG600" s="56"/>
      <c r="HH600" s="56"/>
      <c r="HI600" s="56"/>
      <c r="HJ600" s="56"/>
    </row>
    <row r="601" spans="1:218" ht="15.75" customHeight="1" x14ac:dyDescent="0.2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56"/>
      <c r="CP601" s="56"/>
      <c r="CQ601" s="56"/>
      <c r="CR601" s="56"/>
      <c r="CS601" s="56"/>
      <c r="CT601" s="56"/>
      <c r="CU601" s="56"/>
      <c r="CV601" s="56"/>
      <c r="CW601" s="56"/>
      <c r="CX601" s="56"/>
      <c r="CY601" s="56"/>
      <c r="CZ601" s="56"/>
      <c r="DA601" s="56"/>
      <c r="DB601" s="56"/>
      <c r="DC601" s="56"/>
      <c r="DD601" s="56"/>
      <c r="DE601" s="56"/>
      <c r="DF601" s="56"/>
      <c r="DG601" s="56"/>
      <c r="DH601" s="56"/>
      <c r="DI601" s="56"/>
      <c r="DJ601" s="56"/>
      <c r="DK601" s="56"/>
      <c r="DL601" s="56"/>
      <c r="DM601" s="56"/>
      <c r="DN601" s="56"/>
      <c r="DO601" s="56"/>
      <c r="DP601" s="56"/>
      <c r="DQ601" s="56"/>
      <c r="DR601" s="56"/>
      <c r="DS601" s="56"/>
      <c r="DT601" s="56"/>
      <c r="DU601" s="56"/>
      <c r="DV601" s="56"/>
      <c r="DW601" s="56"/>
      <c r="DX601" s="56"/>
      <c r="DY601" s="56"/>
      <c r="DZ601" s="56"/>
      <c r="EA601" s="56"/>
      <c r="EB601" s="56"/>
      <c r="EC601" s="56"/>
      <c r="ED601" s="56"/>
      <c r="EE601" s="56"/>
      <c r="EF601" s="56"/>
      <c r="EG601" s="56"/>
      <c r="EH601" s="56"/>
      <c r="EI601" s="56"/>
      <c r="EJ601" s="56"/>
      <c r="EK601" s="56"/>
      <c r="EL601" s="56"/>
      <c r="EM601" s="56"/>
      <c r="EN601" s="56"/>
      <c r="EO601" s="56"/>
      <c r="EP601" s="56"/>
      <c r="EQ601" s="56"/>
      <c r="ER601" s="56"/>
      <c r="ES601" s="56"/>
      <c r="ET601" s="56"/>
      <c r="EU601" s="56"/>
      <c r="EV601" s="56"/>
      <c r="EW601" s="56"/>
      <c r="EX601" s="56"/>
      <c r="EY601" s="56"/>
      <c r="EZ601" s="56"/>
      <c r="FA601" s="56"/>
      <c r="FB601" s="56"/>
      <c r="FC601" s="56"/>
      <c r="FD601" s="56"/>
      <c r="FE601" s="56"/>
      <c r="FF601" s="56"/>
      <c r="FG601" s="56"/>
      <c r="FH601" s="56"/>
      <c r="FI601" s="56"/>
      <c r="FJ601" s="56"/>
      <c r="FK601" s="56"/>
      <c r="FL601" s="56"/>
      <c r="FM601" s="56"/>
      <c r="FN601" s="56"/>
      <c r="FO601" s="56"/>
      <c r="FP601" s="56"/>
      <c r="FQ601" s="56"/>
      <c r="FR601" s="56"/>
      <c r="FS601" s="56"/>
      <c r="FT601" s="56"/>
      <c r="FU601" s="56"/>
      <c r="FV601" s="56"/>
      <c r="FW601" s="56"/>
      <c r="FX601" s="56"/>
      <c r="FY601" s="56"/>
      <c r="FZ601" s="56"/>
      <c r="GA601" s="56"/>
      <c r="GB601" s="56"/>
      <c r="GC601" s="56"/>
      <c r="GD601" s="56"/>
      <c r="GE601" s="56"/>
      <c r="GF601" s="56"/>
      <c r="GG601" s="56"/>
      <c r="GH601" s="56"/>
      <c r="GI601" s="56"/>
      <c r="GJ601" s="56"/>
      <c r="GK601" s="56"/>
      <c r="GL601" s="56"/>
      <c r="GM601" s="56"/>
      <c r="GN601" s="56"/>
      <c r="GO601" s="56"/>
      <c r="GP601" s="56"/>
      <c r="GQ601" s="56"/>
      <c r="GR601" s="56"/>
      <c r="GS601" s="56"/>
      <c r="GT601" s="56"/>
      <c r="GU601" s="56"/>
      <c r="GV601" s="56"/>
      <c r="GW601" s="56"/>
      <c r="GX601" s="56"/>
      <c r="GY601" s="56"/>
      <c r="GZ601" s="56"/>
      <c r="HA601" s="56"/>
      <c r="HB601" s="56"/>
      <c r="HC601" s="56"/>
      <c r="HD601" s="56"/>
      <c r="HE601" s="56"/>
      <c r="HF601" s="56"/>
      <c r="HG601" s="56"/>
      <c r="HH601" s="56"/>
      <c r="HI601" s="56"/>
      <c r="HJ601" s="56"/>
    </row>
    <row r="602" spans="1:218" ht="15.75" customHeight="1" x14ac:dyDescent="0.2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  <c r="CL602" s="56"/>
      <c r="CM602" s="56"/>
      <c r="CN602" s="56"/>
      <c r="CO602" s="56"/>
      <c r="CP602" s="56"/>
      <c r="CQ602" s="56"/>
      <c r="CR602" s="56"/>
      <c r="CS602" s="56"/>
      <c r="CT602" s="56"/>
      <c r="CU602" s="56"/>
      <c r="CV602" s="56"/>
      <c r="CW602" s="56"/>
      <c r="CX602" s="56"/>
      <c r="CY602" s="56"/>
      <c r="CZ602" s="56"/>
      <c r="DA602" s="56"/>
      <c r="DB602" s="56"/>
      <c r="DC602" s="56"/>
      <c r="DD602" s="56"/>
      <c r="DE602" s="56"/>
      <c r="DF602" s="56"/>
      <c r="DG602" s="56"/>
      <c r="DH602" s="56"/>
      <c r="DI602" s="56"/>
      <c r="DJ602" s="56"/>
      <c r="DK602" s="56"/>
      <c r="DL602" s="56"/>
      <c r="DM602" s="56"/>
      <c r="DN602" s="56"/>
      <c r="DO602" s="56"/>
      <c r="DP602" s="56"/>
      <c r="DQ602" s="56"/>
      <c r="DR602" s="56"/>
      <c r="DS602" s="56"/>
      <c r="DT602" s="56"/>
      <c r="DU602" s="56"/>
      <c r="DV602" s="56"/>
      <c r="DW602" s="56"/>
      <c r="DX602" s="56"/>
      <c r="DY602" s="56"/>
      <c r="DZ602" s="56"/>
      <c r="EA602" s="56"/>
      <c r="EB602" s="56"/>
      <c r="EC602" s="56"/>
      <c r="ED602" s="56"/>
      <c r="EE602" s="56"/>
      <c r="EF602" s="56"/>
      <c r="EG602" s="56"/>
      <c r="EH602" s="56"/>
      <c r="EI602" s="56"/>
      <c r="EJ602" s="56"/>
      <c r="EK602" s="56"/>
      <c r="EL602" s="56"/>
      <c r="EM602" s="56"/>
      <c r="EN602" s="56"/>
      <c r="EO602" s="56"/>
      <c r="EP602" s="56"/>
      <c r="EQ602" s="56"/>
      <c r="ER602" s="56"/>
      <c r="ES602" s="56"/>
      <c r="ET602" s="56"/>
      <c r="EU602" s="56"/>
      <c r="EV602" s="56"/>
      <c r="EW602" s="56"/>
      <c r="EX602" s="56"/>
      <c r="EY602" s="56"/>
      <c r="EZ602" s="56"/>
      <c r="FA602" s="56"/>
      <c r="FB602" s="56"/>
      <c r="FC602" s="56"/>
      <c r="FD602" s="56"/>
      <c r="FE602" s="56"/>
      <c r="FF602" s="56"/>
      <c r="FG602" s="56"/>
      <c r="FH602" s="56"/>
      <c r="FI602" s="56"/>
      <c r="FJ602" s="56"/>
      <c r="FK602" s="56"/>
      <c r="FL602" s="56"/>
      <c r="FM602" s="56"/>
      <c r="FN602" s="56"/>
      <c r="FO602" s="56"/>
      <c r="FP602" s="56"/>
      <c r="FQ602" s="56"/>
      <c r="FR602" s="56"/>
      <c r="FS602" s="56"/>
      <c r="FT602" s="56"/>
      <c r="FU602" s="56"/>
      <c r="FV602" s="56"/>
      <c r="FW602" s="56"/>
      <c r="FX602" s="56"/>
      <c r="FY602" s="56"/>
      <c r="FZ602" s="56"/>
      <c r="GA602" s="56"/>
      <c r="GB602" s="56"/>
      <c r="GC602" s="56"/>
      <c r="GD602" s="56"/>
      <c r="GE602" s="56"/>
      <c r="GF602" s="56"/>
      <c r="GG602" s="56"/>
      <c r="GH602" s="56"/>
      <c r="GI602" s="56"/>
      <c r="GJ602" s="56"/>
      <c r="GK602" s="56"/>
      <c r="GL602" s="56"/>
      <c r="GM602" s="56"/>
      <c r="GN602" s="56"/>
      <c r="GO602" s="56"/>
      <c r="GP602" s="56"/>
      <c r="GQ602" s="56"/>
      <c r="GR602" s="56"/>
      <c r="GS602" s="56"/>
      <c r="GT602" s="56"/>
      <c r="GU602" s="56"/>
      <c r="GV602" s="56"/>
      <c r="GW602" s="56"/>
      <c r="GX602" s="56"/>
      <c r="GY602" s="56"/>
      <c r="GZ602" s="56"/>
      <c r="HA602" s="56"/>
      <c r="HB602" s="56"/>
      <c r="HC602" s="56"/>
      <c r="HD602" s="56"/>
      <c r="HE602" s="56"/>
      <c r="HF602" s="56"/>
      <c r="HG602" s="56"/>
      <c r="HH602" s="56"/>
      <c r="HI602" s="56"/>
      <c r="HJ602" s="56"/>
    </row>
    <row r="603" spans="1:218" ht="15.75" customHeight="1" x14ac:dyDescent="0.2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  <c r="CL603" s="56"/>
      <c r="CM603" s="56"/>
      <c r="CN603" s="56"/>
      <c r="CO603" s="56"/>
      <c r="CP603" s="56"/>
      <c r="CQ603" s="56"/>
      <c r="CR603" s="56"/>
      <c r="CS603" s="56"/>
      <c r="CT603" s="56"/>
      <c r="CU603" s="56"/>
      <c r="CV603" s="56"/>
      <c r="CW603" s="56"/>
      <c r="CX603" s="56"/>
      <c r="CY603" s="56"/>
      <c r="CZ603" s="56"/>
      <c r="DA603" s="56"/>
      <c r="DB603" s="56"/>
      <c r="DC603" s="56"/>
      <c r="DD603" s="56"/>
      <c r="DE603" s="56"/>
      <c r="DF603" s="56"/>
      <c r="DG603" s="56"/>
      <c r="DH603" s="56"/>
      <c r="DI603" s="56"/>
      <c r="DJ603" s="56"/>
      <c r="DK603" s="56"/>
      <c r="DL603" s="56"/>
      <c r="DM603" s="56"/>
      <c r="DN603" s="56"/>
      <c r="DO603" s="56"/>
      <c r="DP603" s="56"/>
      <c r="DQ603" s="56"/>
      <c r="DR603" s="56"/>
      <c r="DS603" s="56"/>
      <c r="DT603" s="56"/>
      <c r="DU603" s="56"/>
      <c r="DV603" s="56"/>
      <c r="DW603" s="56"/>
      <c r="DX603" s="56"/>
      <c r="DY603" s="56"/>
      <c r="DZ603" s="56"/>
      <c r="EA603" s="56"/>
      <c r="EB603" s="56"/>
      <c r="EC603" s="56"/>
      <c r="ED603" s="56"/>
      <c r="EE603" s="56"/>
      <c r="EF603" s="56"/>
      <c r="EG603" s="56"/>
      <c r="EH603" s="56"/>
      <c r="EI603" s="56"/>
      <c r="EJ603" s="56"/>
      <c r="EK603" s="56"/>
      <c r="EL603" s="56"/>
      <c r="EM603" s="56"/>
      <c r="EN603" s="56"/>
      <c r="EO603" s="56"/>
      <c r="EP603" s="56"/>
      <c r="EQ603" s="56"/>
      <c r="ER603" s="56"/>
      <c r="ES603" s="56"/>
      <c r="ET603" s="56"/>
      <c r="EU603" s="56"/>
      <c r="EV603" s="56"/>
      <c r="EW603" s="56"/>
      <c r="EX603" s="56"/>
      <c r="EY603" s="56"/>
      <c r="EZ603" s="56"/>
      <c r="FA603" s="56"/>
      <c r="FB603" s="56"/>
      <c r="FC603" s="56"/>
      <c r="FD603" s="56"/>
      <c r="FE603" s="56"/>
      <c r="FF603" s="56"/>
      <c r="FG603" s="56"/>
      <c r="FH603" s="56"/>
      <c r="FI603" s="56"/>
      <c r="FJ603" s="56"/>
      <c r="FK603" s="56"/>
      <c r="FL603" s="56"/>
      <c r="FM603" s="56"/>
      <c r="FN603" s="56"/>
      <c r="FO603" s="56"/>
      <c r="FP603" s="56"/>
      <c r="FQ603" s="56"/>
      <c r="FR603" s="56"/>
      <c r="FS603" s="56"/>
      <c r="FT603" s="56"/>
      <c r="FU603" s="56"/>
      <c r="FV603" s="56"/>
      <c r="FW603" s="56"/>
      <c r="FX603" s="56"/>
      <c r="FY603" s="56"/>
      <c r="FZ603" s="56"/>
      <c r="GA603" s="56"/>
      <c r="GB603" s="56"/>
      <c r="GC603" s="56"/>
      <c r="GD603" s="56"/>
      <c r="GE603" s="56"/>
      <c r="GF603" s="56"/>
      <c r="GG603" s="56"/>
      <c r="GH603" s="56"/>
      <c r="GI603" s="56"/>
      <c r="GJ603" s="56"/>
      <c r="GK603" s="56"/>
      <c r="GL603" s="56"/>
      <c r="GM603" s="56"/>
      <c r="GN603" s="56"/>
      <c r="GO603" s="56"/>
      <c r="GP603" s="56"/>
      <c r="GQ603" s="56"/>
      <c r="GR603" s="56"/>
      <c r="GS603" s="56"/>
      <c r="GT603" s="56"/>
      <c r="GU603" s="56"/>
      <c r="GV603" s="56"/>
      <c r="GW603" s="56"/>
      <c r="GX603" s="56"/>
      <c r="GY603" s="56"/>
      <c r="GZ603" s="56"/>
      <c r="HA603" s="56"/>
      <c r="HB603" s="56"/>
      <c r="HC603" s="56"/>
      <c r="HD603" s="56"/>
      <c r="HE603" s="56"/>
      <c r="HF603" s="56"/>
      <c r="HG603" s="56"/>
      <c r="HH603" s="56"/>
      <c r="HI603" s="56"/>
      <c r="HJ603" s="56"/>
    </row>
    <row r="604" spans="1:218" ht="15.75" customHeight="1" x14ac:dyDescent="0.2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  <c r="CL604" s="56"/>
      <c r="CM604" s="56"/>
      <c r="CN604" s="56"/>
      <c r="CO604" s="56"/>
      <c r="CP604" s="56"/>
      <c r="CQ604" s="56"/>
      <c r="CR604" s="56"/>
      <c r="CS604" s="56"/>
      <c r="CT604" s="56"/>
      <c r="CU604" s="56"/>
      <c r="CV604" s="56"/>
      <c r="CW604" s="56"/>
      <c r="CX604" s="56"/>
      <c r="CY604" s="56"/>
      <c r="CZ604" s="56"/>
      <c r="DA604" s="56"/>
      <c r="DB604" s="56"/>
      <c r="DC604" s="56"/>
      <c r="DD604" s="56"/>
      <c r="DE604" s="56"/>
      <c r="DF604" s="56"/>
      <c r="DG604" s="56"/>
      <c r="DH604" s="56"/>
      <c r="DI604" s="56"/>
      <c r="DJ604" s="56"/>
      <c r="DK604" s="56"/>
      <c r="DL604" s="56"/>
      <c r="DM604" s="56"/>
      <c r="DN604" s="56"/>
      <c r="DO604" s="56"/>
      <c r="DP604" s="56"/>
      <c r="DQ604" s="56"/>
      <c r="DR604" s="56"/>
      <c r="DS604" s="56"/>
      <c r="DT604" s="56"/>
      <c r="DU604" s="56"/>
      <c r="DV604" s="56"/>
      <c r="DW604" s="56"/>
      <c r="DX604" s="56"/>
      <c r="DY604" s="56"/>
      <c r="DZ604" s="56"/>
      <c r="EA604" s="56"/>
      <c r="EB604" s="56"/>
      <c r="EC604" s="56"/>
      <c r="ED604" s="56"/>
      <c r="EE604" s="56"/>
      <c r="EF604" s="56"/>
      <c r="EG604" s="56"/>
      <c r="EH604" s="56"/>
      <c r="EI604" s="56"/>
      <c r="EJ604" s="56"/>
      <c r="EK604" s="56"/>
      <c r="EL604" s="56"/>
      <c r="EM604" s="56"/>
      <c r="EN604" s="56"/>
      <c r="EO604" s="56"/>
      <c r="EP604" s="56"/>
      <c r="EQ604" s="56"/>
      <c r="ER604" s="56"/>
      <c r="ES604" s="56"/>
      <c r="ET604" s="56"/>
      <c r="EU604" s="56"/>
      <c r="EV604" s="56"/>
      <c r="EW604" s="56"/>
      <c r="EX604" s="56"/>
      <c r="EY604" s="56"/>
      <c r="EZ604" s="56"/>
      <c r="FA604" s="56"/>
      <c r="FB604" s="56"/>
      <c r="FC604" s="56"/>
      <c r="FD604" s="56"/>
      <c r="FE604" s="56"/>
      <c r="FF604" s="56"/>
      <c r="FG604" s="56"/>
      <c r="FH604" s="56"/>
      <c r="FI604" s="56"/>
      <c r="FJ604" s="56"/>
      <c r="FK604" s="56"/>
      <c r="FL604" s="56"/>
      <c r="FM604" s="56"/>
      <c r="FN604" s="56"/>
      <c r="FO604" s="56"/>
      <c r="FP604" s="56"/>
      <c r="FQ604" s="56"/>
      <c r="FR604" s="56"/>
      <c r="FS604" s="56"/>
      <c r="FT604" s="56"/>
      <c r="FU604" s="56"/>
      <c r="FV604" s="56"/>
      <c r="FW604" s="56"/>
      <c r="FX604" s="56"/>
      <c r="FY604" s="56"/>
      <c r="FZ604" s="56"/>
      <c r="GA604" s="56"/>
      <c r="GB604" s="56"/>
      <c r="GC604" s="56"/>
      <c r="GD604" s="56"/>
      <c r="GE604" s="56"/>
      <c r="GF604" s="56"/>
      <c r="GG604" s="56"/>
      <c r="GH604" s="56"/>
      <c r="GI604" s="56"/>
      <c r="GJ604" s="56"/>
      <c r="GK604" s="56"/>
      <c r="GL604" s="56"/>
      <c r="GM604" s="56"/>
      <c r="GN604" s="56"/>
      <c r="GO604" s="56"/>
      <c r="GP604" s="56"/>
      <c r="GQ604" s="56"/>
      <c r="GR604" s="56"/>
      <c r="GS604" s="56"/>
      <c r="GT604" s="56"/>
      <c r="GU604" s="56"/>
      <c r="GV604" s="56"/>
      <c r="GW604" s="56"/>
      <c r="GX604" s="56"/>
      <c r="GY604" s="56"/>
      <c r="GZ604" s="56"/>
      <c r="HA604" s="56"/>
      <c r="HB604" s="56"/>
      <c r="HC604" s="56"/>
      <c r="HD604" s="56"/>
      <c r="HE604" s="56"/>
      <c r="HF604" s="56"/>
      <c r="HG604" s="56"/>
      <c r="HH604" s="56"/>
      <c r="HI604" s="56"/>
      <c r="HJ604" s="56"/>
    </row>
    <row r="605" spans="1:218" ht="15.75" customHeight="1" x14ac:dyDescent="0.2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56"/>
      <c r="CP605" s="56"/>
      <c r="CQ605" s="56"/>
      <c r="CR605" s="56"/>
      <c r="CS605" s="56"/>
      <c r="CT605" s="56"/>
      <c r="CU605" s="56"/>
      <c r="CV605" s="56"/>
      <c r="CW605" s="56"/>
      <c r="CX605" s="56"/>
      <c r="CY605" s="56"/>
      <c r="CZ605" s="56"/>
      <c r="DA605" s="56"/>
      <c r="DB605" s="56"/>
      <c r="DC605" s="56"/>
      <c r="DD605" s="56"/>
      <c r="DE605" s="56"/>
      <c r="DF605" s="56"/>
      <c r="DG605" s="56"/>
      <c r="DH605" s="56"/>
      <c r="DI605" s="56"/>
      <c r="DJ605" s="56"/>
      <c r="DK605" s="56"/>
      <c r="DL605" s="56"/>
      <c r="DM605" s="56"/>
      <c r="DN605" s="56"/>
      <c r="DO605" s="56"/>
      <c r="DP605" s="56"/>
      <c r="DQ605" s="56"/>
      <c r="DR605" s="56"/>
      <c r="DS605" s="56"/>
      <c r="DT605" s="56"/>
      <c r="DU605" s="56"/>
      <c r="DV605" s="56"/>
      <c r="DW605" s="56"/>
      <c r="DX605" s="56"/>
      <c r="DY605" s="56"/>
      <c r="DZ605" s="56"/>
      <c r="EA605" s="56"/>
      <c r="EB605" s="56"/>
      <c r="EC605" s="56"/>
      <c r="ED605" s="56"/>
      <c r="EE605" s="56"/>
      <c r="EF605" s="56"/>
      <c r="EG605" s="56"/>
      <c r="EH605" s="56"/>
      <c r="EI605" s="56"/>
      <c r="EJ605" s="56"/>
      <c r="EK605" s="56"/>
      <c r="EL605" s="56"/>
      <c r="EM605" s="56"/>
      <c r="EN605" s="56"/>
      <c r="EO605" s="56"/>
      <c r="EP605" s="56"/>
      <c r="EQ605" s="56"/>
      <c r="ER605" s="56"/>
      <c r="ES605" s="56"/>
      <c r="ET605" s="56"/>
      <c r="EU605" s="56"/>
      <c r="EV605" s="56"/>
      <c r="EW605" s="56"/>
      <c r="EX605" s="56"/>
      <c r="EY605" s="56"/>
      <c r="EZ605" s="56"/>
      <c r="FA605" s="56"/>
      <c r="FB605" s="56"/>
      <c r="FC605" s="56"/>
      <c r="FD605" s="56"/>
      <c r="FE605" s="56"/>
      <c r="FF605" s="56"/>
      <c r="FG605" s="56"/>
      <c r="FH605" s="56"/>
      <c r="FI605" s="56"/>
      <c r="FJ605" s="56"/>
      <c r="FK605" s="56"/>
      <c r="FL605" s="56"/>
      <c r="FM605" s="56"/>
      <c r="FN605" s="56"/>
      <c r="FO605" s="56"/>
      <c r="FP605" s="56"/>
      <c r="FQ605" s="56"/>
      <c r="FR605" s="56"/>
      <c r="FS605" s="56"/>
      <c r="FT605" s="56"/>
      <c r="FU605" s="56"/>
      <c r="FV605" s="56"/>
      <c r="FW605" s="56"/>
      <c r="FX605" s="56"/>
      <c r="FY605" s="56"/>
      <c r="FZ605" s="56"/>
      <c r="GA605" s="56"/>
      <c r="GB605" s="56"/>
      <c r="GC605" s="56"/>
      <c r="GD605" s="56"/>
      <c r="GE605" s="56"/>
      <c r="GF605" s="56"/>
      <c r="GG605" s="56"/>
      <c r="GH605" s="56"/>
      <c r="GI605" s="56"/>
      <c r="GJ605" s="56"/>
      <c r="GK605" s="56"/>
      <c r="GL605" s="56"/>
      <c r="GM605" s="56"/>
      <c r="GN605" s="56"/>
      <c r="GO605" s="56"/>
      <c r="GP605" s="56"/>
      <c r="GQ605" s="56"/>
      <c r="GR605" s="56"/>
      <c r="GS605" s="56"/>
      <c r="GT605" s="56"/>
      <c r="GU605" s="56"/>
      <c r="GV605" s="56"/>
      <c r="GW605" s="56"/>
      <c r="GX605" s="56"/>
      <c r="GY605" s="56"/>
      <c r="GZ605" s="56"/>
      <c r="HA605" s="56"/>
      <c r="HB605" s="56"/>
      <c r="HC605" s="56"/>
      <c r="HD605" s="56"/>
      <c r="HE605" s="56"/>
      <c r="HF605" s="56"/>
      <c r="HG605" s="56"/>
      <c r="HH605" s="56"/>
      <c r="HI605" s="56"/>
      <c r="HJ605" s="56"/>
    </row>
    <row r="606" spans="1:218" ht="15.75" customHeight="1" x14ac:dyDescent="0.2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/>
      <c r="CM606" s="56"/>
      <c r="CN606" s="56"/>
      <c r="CO606" s="56"/>
      <c r="CP606" s="56"/>
      <c r="CQ606" s="56"/>
      <c r="CR606" s="56"/>
      <c r="CS606" s="56"/>
      <c r="CT606" s="56"/>
      <c r="CU606" s="56"/>
      <c r="CV606" s="56"/>
      <c r="CW606" s="56"/>
      <c r="CX606" s="56"/>
      <c r="CY606" s="56"/>
      <c r="CZ606" s="56"/>
      <c r="DA606" s="56"/>
      <c r="DB606" s="56"/>
      <c r="DC606" s="56"/>
      <c r="DD606" s="56"/>
      <c r="DE606" s="56"/>
      <c r="DF606" s="56"/>
      <c r="DG606" s="56"/>
      <c r="DH606" s="56"/>
      <c r="DI606" s="56"/>
      <c r="DJ606" s="56"/>
      <c r="DK606" s="56"/>
      <c r="DL606" s="56"/>
      <c r="DM606" s="56"/>
      <c r="DN606" s="56"/>
      <c r="DO606" s="56"/>
      <c r="DP606" s="56"/>
      <c r="DQ606" s="56"/>
      <c r="DR606" s="56"/>
      <c r="DS606" s="56"/>
      <c r="DT606" s="56"/>
      <c r="DU606" s="56"/>
      <c r="DV606" s="56"/>
      <c r="DW606" s="56"/>
      <c r="DX606" s="56"/>
      <c r="DY606" s="56"/>
      <c r="DZ606" s="56"/>
      <c r="EA606" s="56"/>
      <c r="EB606" s="56"/>
      <c r="EC606" s="56"/>
      <c r="ED606" s="56"/>
      <c r="EE606" s="56"/>
      <c r="EF606" s="56"/>
      <c r="EG606" s="56"/>
      <c r="EH606" s="56"/>
      <c r="EI606" s="56"/>
      <c r="EJ606" s="56"/>
      <c r="EK606" s="56"/>
      <c r="EL606" s="56"/>
      <c r="EM606" s="56"/>
      <c r="EN606" s="56"/>
      <c r="EO606" s="56"/>
      <c r="EP606" s="56"/>
      <c r="EQ606" s="56"/>
      <c r="ER606" s="56"/>
      <c r="ES606" s="56"/>
      <c r="ET606" s="56"/>
      <c r="EU606" s="56"/>
      <c r="EV606" s="56"/>
      <c r="EW606" s="56"/>
      <c r="EX606" s="56"/>
      <c r="EY606" s="56"/>
      <c r="EZ606" s="56"/>
      <c r="FA606" s="56"/>
      <c r="FB606" s="56"/>
      <c r="FC606" s="56"/>
      <c r="FD606" s="56"/>
      <c r="FE606" s="56"/>
      <c r="FF606" s="56"/>
      <c r="FG606" s="56"/>
      <c r="FH606" s="56"/>
      <c r="FI606" s="56"/>
      <c r="FJ606" s="56"/>
      <c r="FK606" s="56"/>
      <c r="FL606" s="56"/>
      <c r="FM606" s="56"/>
      <c r="FN606" s="56"/>
      <c r="FO606" s="56"/>
      <c r="FP606" s="56"/>
      <c r="FQ606" s="56"/>
      <c r="FR606" s="56"/>
      <c r="FS606" s="56"/>
      <c r="FT606" s="56"/>
      <c r="FU606" s="56"/>
      <c r="FV606" s="56"/>
      <c r="FW606" s="56"/>
      <c r="FX606" s="56"/>
      <c r="FY606" s="56"/>
      <c r="FZ606" s="56"/>
      <c r="GA606" s="56"/>
      <c r="GB606" s="56"/>
      <c r="GC606" s="56"/>
      <c r="GD606" s="56"/>
      <c r="GE606" s="56"/>
      <c r="GF606" s="56"/>
      <c r="GG606" s="56"/>
      <c r="GH606" s="56"/>
      <c r="GI606" s="56"/>
      <c r="GJ606" s="56"/>
      <c r="GK606" s="56"/>
      <c r="GL606" s="56"/>
      <c r="GM606" s="56"/>
      <c r="GN606" s="56"/>
      <c r="GO606" s="56"/>
      <c r="GP606" s="56"/>
      <c r="GQ606" s="56"/>
      <c r="GR606" s="56"/>
      <c r="GS606" s="56"/>
      <c r="GT606" s="56"/>
      <c r="GU606" s="56"/>
      <c r="GV606" s="56"/>
      <c r="GW606" s="56"/>
      <c r="GX606" s="56"/>
      <c r="GY606" s="56"/>
      <c r="GZ606" s="56"/>
      <c r="HA606" s="56"/>
      <c r="HB606" s="56"/>
      <c r="HC606" s="56"/>
      <c r="HD606" s="56"/>
      <c r="HE606" s="56"/>
      <c r="HF606" s="56"/>
      <c r="HG606" s="56"/>
      <c r="HH606" s="56"/>
      <c r="HI606" s="56"/>
      <c r="HJ606" s="56"/>
    </row>
    <row r="607" spans="1:218" ht="15.75" customHeight="1" x14ac:dyDescent="0.2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  <c r="CL607" s="56"/>
      <c r="CM607" s="56"/>
      <c r="CN607" s="56"/>
      <c r="CO607" s="56"/>
      <c r="CP607" s="56"/>
      <c r="CQ607" s="56"/>
      <c r="CR607" s="56"/>
      <c r="CS607" s="56"/>
      <c r="CT607" s="56"/>
      <c r="CU607" s="56"/>
      <c r="CV607" s="56"/>
      <c r="CW607" s="56"/>
      <c r="CX607" s="56"/>
      <c r="CY607" s="56"/>
      <c r="CZ607" s="56"/>
      <c r="DA607" s="56"/>
      <c r="DB607" s="56"/>
      <c r="DC607" s="56"/>
      <c r="DD607" s="56"/>
      <c r="DE607" s="56"/>
      <c r="DF607" s="56"/>
      <c r="DG607" s="56"/>
      <c r="DH607" s="56"/>
      <c r="DI607" s="56"/>
      <c r="DJ607" s="56"/>
      <c r="DK607" s="56"/>
      <c r="DL607" s="56"/>
      <c r="DM607" s="56"/>
      <c r="DN607" s="56"/>
      <c r="DO607" s="56"/>
      <c r="DP607" s="56"/>
      <c r="DQ607" s="56"/>
      <c r="DR607" s="56"/>
      <c r="DS607" s="56"/>
      <c r="DT607" s="56"/>
      <c r="DU607" s="56"/>
      <c r="DV607" s="56"/>
      <c r="DW607" s="56"/>
      <c r="DX607" s="56"/>
      <c r="DY607" s="56"/>
      <c r="DZ607" s="56"/>
      <c r="EA607" s="56"/>
      <c r="EB607" s="56"/>
      <c r="EC607" s="56"/>
      <c r="ED607" s="56"/>
      <c r="EE607" s="56"/>
      <c r="EF607" s="56"/>
      <c r="EG607" s="56"/>
      <c r="EH607" s="56"/>
      <c r="EI607" s="56"/>
      <c r="EJ607" s="56"/>
      <c r="EK607" s="56"/>
      <c r="EL607" s="56"/>
      <c r="EM607" s="56"/>
      <c r="EN607" s="56"/>
      <c r="EO607" s="56"/>
      <c r="EP607" s="56"/>
      <c r="EQ607" s="56"/>
      <c r="ER607" s="56"/>
      <c r="ES607" s="56"/>
      <c r="ET607" s="56"/>
      <c r="EU607" s="56"/>
      <c r="EV607" s="56"/>
      <c r="EW607" s="56"/>
      <c r="EX607" s="56"/>
      <c r="EY607" s="56"/>
      <c r="EZ607" s="56"/>
      <c r="FA607" s="56"/>
      <c r="FB607" s="56"/>
      <c r="FC607" s="56"/>
      <c r="FD607" s="56"/>
      <c r="FE607" s="56"/>
      <c r="FF607" s="56"/>
      <c r="FG607" s="56"/>
      <c r="FH607" s="56"/>
      <c r="FI607" s="56"/>
      <c r="FJ607" s="56"/>
      <c r="FK607" s="56"/>
      <c r="FL607" s="56"/>
      <c r="FM607" s="56"/>
      <c r="FN607" s="56"/>
      <c r="FO607" s="56"/>
      <c r="FP607" s="56"/>
      <c r="FQ607" s="56"/>
      <c r="FR607" s="56"/>
      <c r="FS607" s="56"/>
      <c r="FT607" s="56"/>
      <c r="FU607" s="56"/>
      <c r="FV607" s="56"/>
      <c r="FW607" s="56"/>
      <c r="FX607" s="56"/>
      <c r="FY607" s="56"/>
      <c r="FZ607" s="56"/>
      <c r="GA607" s="56"/>
      <c r="GB607" s="56"/>
      <c r="GC607" s="56"/>
      <c r="GD607" s="56"/>
      <c r="GE607" s="56"/>
      <c r="GF607" s="56"/>
      <c r="GG607" s="56"/>
      <c r="GH607" s="56"/>
      <c r="GI607" s="56"/>
      <c r="GJ607" s="56"/>
      <c r="GK607" s="56"/>
      <c r="GL607" s="56"/>
      <c r="GM607" s="56"/>
      <c r="GN607" s="56"/>
      <c r="GO607" s="56"/>
      <c r="GP607" s="56"/>
      <c r="GQ607" s="56"/>
      <c r="GR607" s="56"/>
      <c r="GS607" s="56"/>
      <c r="GT607" s="56"/>
      <c r="GU607" s="56"/>
      <c r="GV607" s="56"/>
      <c r="GW607" s="56"/>
      <c r="GX607" s="56"/>
      <c r="GY607" s="56"/>
      <c r="GZ607" s="56"/>
      <c r="HA607" s="56"/>
      <c r="HB607" s="56"/>
      <c r="HC607" s="56"/>
      <c r="HD607" s="56"/>
      <c r="HE607" s="56"/>
      <c r="HF607" s="56"/>
      <c r="HG607" s="56"/>
      <c r="HH607" s="56"/>
      <c r="HI607" s="56"/>
      <c r="HJ607" s="56"/>
    </row>
    <row r="608" spans="1:218" ht="15.75" customHeight="1" x14ac:dyDescent="0.2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  <c r="CL608" s="56"/>
      <c r="CM608" s="56"/>
      <c r="CN608" s="56"/>
      <c r="CO608" s="56"/>
      <c r="CP608" s="56"/>
      <c r="CQ608" s="56"/>
      <c r="CR608" s="56"/>
      <c r="CS608" s="56"/>
      <c r="CT608" s="56"/>
      <c r="CU608" s="56"/>
      <c r="CV608" s="56"/>
      <c r="CW608" s="56"/>
      <c r="CX608" s="56"/>
      <c r="CY608" s="56"/>
      <c r="CZ608" s="56"/>
      <c r="DA608" s="56"/>
      <c r="DB608" s="56"/>
      <c r="DC608" s="56"/>
      <c r="DD608" s="56"/>
      <c r="DE608" s="56"/>
      <c r="DF608" s="56"/>
      <c r="DG608" s="56"/>
      <c r="DH608" s="56"/>
      <c r="DI608" s="56"/>
      <c r="DJ608" s="56"/>
      <c r="DK608" s="56"/>
      <c r="DL608" s="56"/>
      <c r="DM608" s="56"/>
      <c r="DN608" s="56"/>
      <c r="DO608" s="56"/>
      <c r="DP608" s="56"/>
      <c r="DQ608" s="56"/>
      <c r="DR608" s="56"/>
      <c r="DS608" s="56"/>
      <c r="DT608" s="56"/>
      <c r="DU608" s="56"/>
      <c r="DV608" s="56"/>
      <c r="DW608" s="56"/>
      <c r="DX608" s="56"/>
      <c r="DY608" s="56"/>
      <c r="DZ608" s="56"/>
      <c r="EA608" s="56"/>
      <c r="EB608" s="56"/>
      <c r="EC608" s="56"/>
      <c r="ED608" s="56"/>
      <c r="EE608" s="56"/>
      <c r="EF608" s="56"/>
      <c r="EG608" s="56"/>
      <c r="EH608" s="56"/>
      <c r="EI608" s="56"/>
      <c r="EJ608" s="56"/>
      <c r="EK608" s="56"/>
      <c r="EL608" s="56"/>
      <c r="EM608" s="56"/>
      <c r="EN608" s="56"/>
      <c r="EO608" s="56"/>
      <c r="EP608" s="56"/>
      <c r="EQ608" s="56"/>
      <c r="ER608" s="56"/>
      <c r="ES608" s="56"/>
      <c r="ET608" s="56"/>
      <c r="EU608" s="56"/>
      <c r="EV608" s="56"/>
      <c r="EW608" s="56"/>
      <c r="EX608" s="56"/>
      <c r="EY608" s="56"/>
      <c r="EZ608" s="56"/>
      <c r="FA608" s="56"/>
      <c r="FB608" s="56"/>
      <c r="FC608" s="56"/>
      <c r="FD608" s="56"/>
      <c r="FE608" s="56"/>
      <c r="FF608" s="56"/>
      <c r="FG608" s="56"/>
      <c r="FH608" s="56"/>
      <c r="FI608" s="56"/>
      <c r="FJ608" s="56"/>
      <c r="FK608" s="56"/>
      <c r="FL608" s="56"/>
      <c r="FM608" s="56"/>
      <c r="FN608" s="56"/>
      <c r="FO608" s="56"/>
      <c r="FP608" s="56"/>
      <c r="FQ608" s="56"/>
      <c r="FR608" s="56"/>
      <c r="FS608" s="56"/>
      <c r="FT608" s="56"/>
      <c r="FU608" s="56"/>
      <c r="FV608" s="56"/>
      <c r="FW608" s="56"/>
      <c r="FX608" s="56"/>
      <c r="FY608" s="56"/>
      <c r="FZ608" s="56"/>
      <c r="GA608" s="56"/>
      <c r="GB608" s="56"/>
      <c r="GC608" s="56"/>
      <c r="GD608" s="56"/>
      <c r="GE608" s="56"/>
      <c r="GF608" s="56"/>
      <c r="GG608" s="56"/>
      <c r="GH608" s="56"/>
      <c r="GI608" s="56"/>
      <c r="GJ608" s="56"/>
      <c r="GK608" s="56"/>
      <c r="GL608" s="56"/>
      <c r="GM608" s="56"/>
      <c r="GN608" s="56"/>
      <c r="GO608" s="56"/>
      <c r="GP608" s="56"/>
      <c r="GQ608" s="56"/>
      <c r="GR608" s="56"/>
      <c r="GS608" s="56"/>
      <c r="GT608" s="56"/>
      <c r="GU608" s="56"/>
      <c r="GV608" s="56"/>
      <c r="GW608" s="56"/>
      <c r="GX608" s="56"/>
      <c r="GY608" s="56"/>
      <c r="GZ608" s="56"/>
      <c r="HA608" s="56"/>
      <c r="HB608" s="56"/>
      <c r="HC608" s="56"/>
      <c r="HD608" s="56"/>
      <c r="HE608" s="56"/>
      <c r="HF608" s="56"/>
      <c r="HG608" s="56"/>
      <c r="HH608" s="56"/>
      <c r="HI608" s="56"/>
      <c r="HJ608" s="56"/>
    </row>
    <row r="609" spans="1:218" ht="15.75" customHeight="1" x14ac:dyDescent="0.2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56"/>
      <c r="CP609" s="56"/>
      <c r="CQ609" s="56"/>
      <c r="CR609" s="56"/>
      <c r="CS609" s="56"/>
      <c r="CT609" s="56"/>
      <c r="CU609" s="56"/>
      <c r="CV609" s="56"/>
      <c r="CW609" s="56"/>
      <c r="CX609" s="56"/>
      <c r="CY609" s="56"/>
      <c r="CZ609" s="56"/>
      <c r="DA609" s="56"/>
      <c r="DB609" s="56"/>
      <c r="DC609" s="56"/>
      <c r="DD609" s="56"/>
      <c r="DE609" s="56"/>
      <c r="DF609" s="56"/>
      <c r="DG609" s="56"/>
      <c r="DH609" s="56"/>
      <c r="DI609" s="56"/>
      <c r="DJ609" s="56"/>
      <c r="DK609" s="56"/>
      <c r="DL609" s="56"/>
      <c r="DM609" s="56"/>
      <c r="DN609" s="56"/>
      <c r="DO609" s="56"/>
      <c r="DP609" s="56"/>
      <c r="DQ609" s="56"/>
      <c r="DR609" s="56"/>
      <c r="DS609" s="56"/>
      <c r="DT609" s="56"/>
      <c r="DU609" s="56"/>
      <c r="DV609" s="56"/>
      <c r="DW609" s="56"/>
      <c r="DX609" s="56"/>
      <c r="DY609" s="56"/>
      <c r="DZ609" s="56"/>
      <c r="EA609" s="56"/>
      <c r="EB609" s="56"/>
      <c r="EC609" s="56"/>
      <c r="ED609" s="56"/>
      <c r="EE609" s="56"/>
      <c r="EF609" s="56"/>
      <c r="EG609" s="56"/>
      <c r="EH609" s="56"/>
      <c r="EI609" s="56"/>
      <c r="EJ609" s="56"/>
      <c r="EK609" s="56"/>
      <c r="EL609" s="56"/>
      <c r="EM609" s="56"/>
      <c r="EN609" s="56"/>
      <c r="EO609" s="56"/>
      <c r="EP609" s="56"/>
      <c r="EQ609" s="56"/>
      <c r="ER609" s="56"/>
      <c r="ES609" s="56"/>
      <c r="ET609" s="56"/>
      <c r="EU609" s="56"/>
      <c r="EV609" s="56"/>
      <c r="EW609" s="56"/>
      <c r="EX609" s="56"/>
      <c r="EY609" s="56"/>
      <c r="EZ609" s="56"/>
      <c r="FA609" s="56"/>
      <c r="FB609" s="56"/>
      <c r="FC609" s="56"/>
      <c r="FD609" s="56"/>
      <c r="FE609" s="56"/>
      <c r="FF609" s="56"/>
      <c r="FG609" s="56"/>
      <c r="FH609" s="56"/>
      <c r="FI609" s="56"/>
      <c r="FJ609" s="56"/>
      <c r="FK609" s="56"/>
      <c r="FL609" s="56"/>
      <c r="FM609" s="56"/>
      <c r="FN609" s="56"/>
      <c r="FO609" s="56"/>
      <c r="FP609" s="56"/>
      <c r="FQ609" s="56"/>
      <c r="FR609" s="56"/>
      <c r="FS609" s="56"/>
      <c r="FT609" s="56"/>
      <c r="FU609" s="56"/>
      <c r="FV609" s="56"/>
      <c r="FW609" s="56"/>
      <c r="FX609" s="56"/>
      <c r="FY609" s="56"/>
      <c r="FZ609" s="56"/>
      <c r="GA609" s="56"/>
      <c r="GB609" s="56"/>
      <c r="GC609" s="56"/>
      <c r="GD609" s="56"/>
      <c r="GE609" s="56"/>
      <c r="GF609" s="56"/>
      <c r="GG609" s="56"/>
      <c r="GH609" s="56"/>
      <c r="GI609" s="56"/>
      <c r="GJ609" s="56"/>
      <c r="GK609" s="56"/>
      <c r="GL609" s="56"/>
      <c r="GM609" s="56"/>
      <c r="GN609" s="56"/>
      <c r="GO609" s="56"/>
      <c r="GP609" s="56"/>
      <c r="GQ609" s="56"/>
      <c r="GR609" s="56"/>
      <c r="GS609" s="56"/>
      <c r="GT609" s="56"/>
      <c r="GU609" s="56"/>
      <c r="GV609" s="56"/>
      <c r="GW609" s="56"/>
      <c r="GX609" s="56"/>
      <c r="GY609" s="56"/>
      <c r="GZ609" s="56"/>
      <c r="HA609" s="56"/>
      <c r="HB609" s="56"/>
      <c r="HC609" s="56"/>
      <c r="HD609" s="56"/>
      <c r="HE609" s="56"/>
      <c r="HF609" s="56"/>
      <c r="HG609" s="56"/>
      <c r="HH609" s="56"/>
      <c r="HI609" s="56"/>
      <c r="HJ609" s="56"/>
    </row>
    <row r="610" spans="1:218" ht="15.75" customHeight="1" x14ac:dyDescent="0.2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56"/>
      <c r="CP610" s="56"/>
      <c r="CQ610" s="56"/>
      <c r="CR610" s="56"/>
      <c r="CS610" s="56"/>
      <c r="CT610" s="56"/>
      <c r="CU610" s="56"/>
      <c r="CV610" s="56"/>
      <c r="CW610" s="56"/>
      <c r="CX610" s="56"/>
      <c r="CY610" s="56"/>
      <c r="CZ610" s="56"/>
      <c r="DA610" s="56"/>
      <c r="DB610" s="56"/>
      <c r="DC610" s="56"/>
      <c r="DD610" s="56"/>
      <c r="DE610" s="56"/>
      <c r="DF610" s="56"/>
      <c r="DG610" s="56"/>
      <c r="DH610" s="56"/>
      <c r="DI610" s="56"/>
      <c r="DJ610" s="56"/>
      <c r="DK610" s="56"/>
      <c r="DL610" s="56"/>
      <c r="DM610" s="56"/>
      <c r="DN610" s="56"/>
      <c r="DO610" s="56"/>
      <c r="DP610" s="56"/>
      <c r="DQ610" s="56"/>
      <c r="DR610" s="56"/>
      <c r="DS610" s="56"/>
      <c r="DT610" s="56"/>
      <c r="DU610" s="56"/>
      <c r="DV610" s="56"/>
      <c r="DW610" s="56"/>
      <c r="DX610" s="56"/>
      <c r="DY610" s="56"/>
      <c r="DZ610" s="56"/>
      <c r="EA610" s="56"/>
      <c r="EB610" s="56"/>
      <c r="EC610" s="56"/>
      <c r="ED610" s="56"/>
      <c r="EE610" s="56"/>
      <c r="EF610" s="56"/>
      <c r="EG610" s="56"/>
      <c r="EH610" s="56"/>
      <c r="EI610" s="56"/>
      <c r="EJ610" s="56"/>
      <c r="EK610" s="56"/>
      <c r="EL610" s="56"/>
      <c r="EM610" s="56"/>
      <c r="EN610" s="56"/>
      <c r="EO610" s="56"/>
      <c r="EP610" s="56"/>
      <c r="EQ610" s="56"/>
      <c r="ER610" s="56"/>
      <c r="ES610" s="56"/>
      <c r="ET610" s="56"/>
      <c r="EU610" s="56"/>
      <c r="EV610" s="56"/>
      <c r="EW610" s="56"/>
      <c r="EX610" s="56"/>
      <c r="EY610" s="56"/>
      <c r="EZ610" s="56"/>
      <c r="FA610" s="56"/>
      <c r="FB610" s="56"/>
      <c r="FC610" s="56"/>
      <c r="FD610" s="56"/>
      <c r="FE610" s="56"/>
      <c r="FF610" s="56"/>
      <c r="FG610" s="56"/>
      <c r="FH610" s="56"/>
      <c r="FI610" s="56"/>
      <c r="FJ610" s="56"/>
      <c r="FK610" s="56"/>
      <c r="FL610" s="56"/>
      <c r="FM610" s="56"/>
      <c r="FN610" s="56"/>
      <c r="FO610" s="56"/>
      <c r="FP610" s="56"/>
      <c r="FQ610" s="56"/>
      <c r="FR610" s="56"/>
      <c r="FS610" s="56"/>
      <c r="FT610" s="56"/>
      <c r="FU610" s="56"/>
      <c r="FV610" s="56"/>
      <c r="FW610" s="56"/>
      <c r="FX610" s="56"/>
      <c r="FY610" s="56"/>
      <c r="FZ610" s="56"/>
      <c r="GA610" s="56"/>
      <c r="GB610" s="56"/>
      <c r="GC610" s="56"/>
      <c r="GD610" s="56"/>
      <c r="GE610" s="56"/>
      <c r="GF610" s="56"/>
      <c r="GG610" s="56"/>
      <c r="GH610" s="56"/>
      <c r="GI610" s="56"/>
      <c r="GJ610" s="56"/>
      <c r="GK610" s="56"/>
      <c r="GL610" s="56"/>
      <c r="GM610" s="56"/>
      <c r="GN610" s="56"/>
      <c r="GO610" s="56"/>
      <c r="GP610" s="56"/>
      <c r="GQ610" s="56"/>
      <c r="GR610" s="56"/>
      <c r="GS610" s="56"/>
      <c r="GT610" s="56"/>
      <c r="GU610" s="56"/>
      <c r="GV610" s="56"/>
      <c r="GW610" s="56"/>
      <c r="GX610" s="56"/>
      <c r="GY610" s="56"/>
      <c r="GZ610" s="56"/>
      <c r="HA610" s="56"/>
      <c r="HB610" s="56"/>
      <c r="HC610" s="56"/>
      <c r="HD610" s="56"/>
      <c r="HE610" s="56"/>
      <c r="HF610" s="56"/>
      <c r="HG610" s="56"/>
      <c r="HH610" s="56"/>
      <c r="HI610" s="56"/>
      <c r="HJ610" s="56"/>
    </row>
    <row r="611" spans="1:218" ht="15.75" customHeight="1" x14ac:dyDescent="0.2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56"/>
      <c r="CP611" s="56"/>
      <c r="CQ611" s="56"/>
      <c r="CR611" s="56"/>
      <c r="CS611" s="56"/>
      <c r="CT611" s="56"/>
      <c r="CU611" s="56"/>
      <c r="CV611" s="56"/>
      <c r="CW611" s="56"/>
      <c r="CX611" s="56"/>
      <c r="CY611" s="56"/>
      <c r="CZ611" s="56"/>
      <c r="DA611" s="56"/>
      <c r="DB611" s="56"/>
      <c r="DC611" s="56"/>
      <c r="DD611" s="56"/>
      <c r="DE611" s="56"/>
      <c r="DF611" s="56"/>
      <c r="DG611" s="56"/>
      <c r="DH611" s="56"/>
      <c r="DI611" s="56"/>
      <c r="DJ611" s="56"/>
      <c r="DK611" s="56"/>
      <c r="DL611" s="56"/>
      <c r="DM611" s="56"/>
      <c r="DN611" s="56"/>
      <c r="DO611" s="56"/>
      <c r="DP611" s="56"/>
      <c r="DQ611" s="56"/>
      <c r="DR611" s="56"/>
      <c r="DS611" s="56"/>
      <c r="DT611" s="56"/>
      <c r="DU611" s="56"/>
      <c r="DV611" s="56"/>
      <c r="DW611" s="56"/>
      <c r="DX611" s="56"/>
      <c r="DY611" s="56"/>
      <c r="DZ611" s="56"/>
      <c r="EA611" s="56"/>
      <c r="EB611" s="56"/>
      <c r="EC611" s="56"/>
      <c r="ED611" s="56"/>
      <c r="EE611" s="56"/>
      <c r="EF611" s="56"/>
      <c r="EG611" s="56"/>
      <c r="EH611" s="56"/>
      <c r="EI611" s="56"/>
      <c r="EJ611" s="56"/>
      <c r="EK611" s="56"/>
      <c r="EL611" s="56"/>
      <c r="EM611" s="56"/>
      <c r="EN611" s="56"/>
      <c r="EO611" s="56"/>
      <c r="EP611" s="56"/>
      <c r="EQ611" s="56"/>
      <c r="ER611" s="56"/>
      <c r="ES611" s="56"/>
      <c r="ET611" s="56"/>
      <c r="EU611" s="56"/>
      <c r="EV611" s="56"/>
      <c r="EW611" s="56"/>
      <c r="EX611" s="56"/>
      <c r="EY611" s="56"/>
      <c r="EZ611" s="56"/>
      <c r="FA611" s="56"/>
      <c r="FB611" s="56"/>
      <c r="FC611" s="56"/>
      <c r="FD611" s="56"/>
      <c r="FE611" s="56"/>
      <c r="FF611" s="56"/>
      <c r="FG611" s="56"/>
      <c r="FH611" s="56"/>
      <c r="FI611" s="56"/>
      <c r="FJ611" s="56"/>
      <c r="FK611" s="56"/>
      <c r="FL611" s="56"/>
      <c r="FM611" s="56"/>
      <c r="FN611" s="56"/>
      <c r="FO611" s="56"/>
      <c r="FP611" s="56"/>
      <c r="FQ611" s="56"/>
      <c r="FR611" s="56"/>
      <c r="FS611" s="56"/>
      <c r="FT611" s="56"/>
      <c r="FU611" s="56"/>
      <c r="FV611" s="56"/>
      <c r="FW611" s="56"/>
      <c r="FX611" s="56"/>
      <c r="FY611" s="56"/>
      <c r="FZ611" s="56"/>
      <c r="GA611" s="56"/>
      <c r="GB611" s="56"/>
      <c r="GC611" s="56"/>
      <c r="GD611" s="56"/>
      <c r="GE611" s="56"/>
      <c r="GF611" s="56"/>
      <c r="GG611" s="56"/>
      <c r="GH611" s="56"/>
      <c r="GI611" s="56"/>
      <c r="GJ611" s="56"/>
      <c r="GK611" s="56"/>
      <c r="GL611" s="56"/>
      <c r="GM611" s="56"/>
      <c r="GN611" s="56"/>
      <c r="GO611" s="56"/>
      <c r="GP611" s="56"/>
      <c r="GQ611" s="56"/>
      <c r="GR611" s="56"/>
      <c r="GS611" s="56"/>
      <c r="GT611" s="56"/>
      <c r="GU611" s="56"/>
      <c r="GV611" s="56"/>
      <c r="GW611" s="56"/>
      <c r="GX611" s="56"/>
      <c r="GY611" s="56"/>
      <c r="GZ611" s="56"/>
      <c r="HA611" s="56"/>
      <c r="HB611" s="56"/>
      <c r="HC611" s="56"/>
      <c r="HD611" s="56"/>
      <c r="HE611" s="56"/>
      <c r="HF611" s="56"/>
      <c r="HG611" s="56"/>
      <c r="HH611" s="56"/>
      <c r="HI611" s="56"/>
      <c r="HJ611" s="56"/>
    </row>
    <row r="612" spans="1:218" ht="15.75" customHeight="1" x14ac:dyDescent="0.2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  <c r="CL612" s="56"/>
      <c r="CM612" s="56"/>
      <c r="CN612" s="56"/>
      <c r="CO612" s="56"/>
      <c r="CP612" s="56"/>
      <c r="CQ612" s="56"/>
      <c r="CR612" s="56"/>
      <c r="CS612" s="56"/>
      <c r="CT612" s="56"/>
      <c r="CU612" s="56"/>
      <c r="CV612" s="56"/>
      <c r="CW612" s="56"/>
      <c r="CX612" s="56"/>
      <c r="CY612" s="56"/>
      <c r="CZ612" s="56"/>
      <c r="DA612" s="56"/>
      <c r="DB612" s="56"/>
      <c r="DC612" s="56"/>
      <c r="DD612" s="56"/>
      <c r="DE612" s="56"/>
      <c r="DF612" s="56"/>
      <c r="DG612" s="56"/>
      <c r="DH612" s="56"/>
      <c r="DI612" s="56"/>
      <c r="DJ612" s="56"/>
      <c r="DK612" s="56"/>
      <c r="DL612" s="56"/>
      <c r="DM612" s="56"/>
      <c r="DN612" s="56"/>
      <c r="DO612" s="56"/>
      <c r="DP612" s="56"/>
      <c r="DQ612" s="56"/>
      <c r="DR612" s="56"/>
      <c r="DS612" s="56"/>
      <c r="DT612" s="56"/>
      <c r="DU612" s="56"/>
      <c r="DV612" s="56"/>
      <c r="DW612" s="56"/>
      <c r="DX612" s="56"/>
      <c r="DY612" s="56"/>
      <c r="DZ612" s="56"/>
      <c r="EA612" s="56"/>
      <c r="EB612" s="56"/>
      <c r="EC612" s="56"/>
      <c r="ED612" s="56"/>
      <c r="EE612" s="56"/>
      <c r="EF612" s="56"/>
      <c r="EG612" s="56"/>
      <c r="EH612" s="56"/>
      <c r="EI612" s="56"/>
      <c r="EJ612" s="56"/>
      <c r="EK612" s="56"/>
      <c r="EL612" s="56"/>
      <c r="EM612" s="56"/>
      <c r="EN612" s="56"/>
      <c r="EO612" s="56"/>
      <c r="EP612" s="56"/>
      <c r="EQ612" s="56"/>
      <c r="ER612" s="56"/>
      <c r="ES612" s="56"/>
      <c r="ET612" s="56"/>
      <c r="EU612" s="56"/>
      <c r="EV612" s="56"/>
      <c r="EW612" s="56"/>
      <c r="EX612" s="56"/>
      <c r="EY612" s="56"/>
      <c r="EZ612" s="56"/>
      <c r="FA612" s="56"/>
      <c r="FB612" s="56"/>
      <c r="FC612" s="56"/>
      <c r="FD612" s="56"/>
      <c r="FE612" s="56"/>
      <c r="FF612" s="56"/>
      <c r="FG612" s="56"/>
      <c r="FH612" s="56"/>
      <c r="FI612" s="56"/>
      <c r="FJ612" s="56"/>
      <c r="FK612" s="56"/>
      <c r="FL612" s="56"/>
      <c r="FM612" s="56"/>
      <c r="FN612" s="56"/>
      <c r="FO612" s="56"/>
      <c r="FP612" s="56"/>
      <c r="FQ612" s="56"/>
      <c r="FR612" s="56"/>
      <c r="FS612" s="56"/>
      <c r="FT612" s="56"/>
      <c r="FU612" s="56"/>
      <c r="FV612" s="56"/>
      <c r="FW612" s="56"/>
      <c r="FX612" s="56"/>
      <c r="FY612" s="56"/>
      <c r="FZ612" s="56"/>
      <c r="GA612" s="56"/>
      <c r="GB612" s="56"/>
      <c r="GC612" s="56"/>
      <c r="GD612" s="56"/>
      <c r="GE612" s="56"/>
      <c r="GF612" s="56"/>
      <c r="GG612" s="56"/>
      <c r="GH612" s="56"/>
      <c r="GI612" s="56"/>
      <c r="GJ612" s="56"/>
      <c r="GK612" s="56"/>
      <c r="GL612" s="56"/>
      <c r="GM612" s="56"/>
      <c r="GN612" s="56"/>
      <c r="GO612" s="56"/>
      <c r="GP612" s="56"/>
      <c r="GQ612" s="56"/>
      <c r="GR612" s="56"/>
      <c r="GS612" s="56"/>
      <c r="GT612" s="56"/>
      <c r="GU612" s="56"/>
      <c r="GV612" s="56"/>
      <c r="GW612" s="56"/>
      <c r="GX612" s="56"/>
      <c r="GY612" s="56"/>
      <c r="GZ612" s="56"/>
      <c r="HA612" s="56"/>
      <c r="HB612" s="56"/>
      <c r="HC612" s="56"/>
      <c r="HD612" s="56"/>
      <c r="HE612" s="56"/>
      <c r="HF612" s="56"/>
      <c r="HG612" s="56"/>
      <c r="HH612" s="56"/>
      <c r="HI612" s="56"/>
      <c r="HJ612" s="56"/>
    </row>
    <row r="613" spans="1:218" ht="15.75" customHeight="1" x14ac:dyDescent="0.2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  <c r="CL613" s="56"/>
      <c r="CM613" s="56"/>
      <c r="CN613" s="56"/>
      <c r="CO613" s="56"/>
      <c r="CP613" s="56"/>
      <c r="CQ613" s="56"/>
      <c r="CR613" s="56"/>
      <c r="CS613" s="56"/>
      <c r="CT613" s="56"/>
      <c r="CU613" s="56"/>
      <c r="CV613" s="56"/>
      <c r="CW613" s="56"/>
      <c r="CX613" s="56"/>
      <c r="CY613" s="56"/>
      <c r="CZ613" s="56"/>
      <c r="DA613" s="56"/>
      <c r="DB613" s="56"/>
      <c r="DC613" s="56"/>
      <c r="DD613" s="56"/>
      <c r="DE613" s="56"/>
      <c r="DF613" s="56"/>
      <c r="DG613" s="56"/>
      <c r="DH613" s="56"/>
      <c r="DI613" s="56"/>
      <c r="DJ613" s="56"/>
      <c r="DK613" s="56"/>
      <c r="DL613" s="56"/>
      <c r="DM613" s="56"/>
      <c r="DN613" s="56"/>
      <c r="DO613" s="56"/>
      <c r="DP613" s="56"/>
      <c r="DQ613" s="56"/>
      <c r="DR613" s="56"/>
      <c r="DS613" s="56"/>
      <c r="DT613" s="56"/>
      <c r="DU613" s="56"/>
      <c r="DV613" s="56"/>
      <c r="DW613" s="56"/>
      <c r="DX613" s="56"/>
      <c r="DY613" s="56"/>
      <c r="DZ613" s="56"/>
      <c r="EA613" s="56"/>
      <c r="EB613" s="56"/>
      <c r="EC613" s="56"/>
      <c r="ED613" s="56"/>
      <c r="EE613" s="56"/>
      <c r="EF613" s="56"/>
      <c r="EG613" s="56"/>
      <c r="EH613" s="56"/>
      <c r="EI613" s="56"/>
      <c r="EJ613" s="56"/>
      <c r="EK613" s="56"/>
      <c r="EL613" s="56"/>
      <c r="EM613" s="56"/>
      <c r="EN613" s="56"/>
      <c r="EO613" s="56"/>
      <c r="EP613" s="56"/>
      <c r="EQ613" s="56"/>
      <c r="ER613" s="56"/>
      <c r="ES613" s="56"/>
      <c r="ET613" s="56"/>
      <c r="EU613" s="56"/>
      <c r="EV613" s="56"/>
      <c r="EW613" s="56"/>
      <c r="EX613" s="56"/>
      <c r="EY613" s="56"/>
      <c r="EZ613" s="56"/>
      <c r="FA613" s="56"/>
      <c r="FB613" s="56"/>
      <c r="FC613" s="56"/>
      <c r="FD613" s="56"/>
      <c r="FE613" s="56"/>
      <c r="FF613" s="56"/>
      <c r="FG613" s="56"/>
      <c r="FH613" s="56"/>
      <c r="FI613" s="56"/>
      <c r="FJ613" s="56"/>
      <c r="FK613" s="56"/>
      <c r="FL613" s="56"/>
      <c r="FM613" s="56"/>
      <c r="FN613" s="56"/>
      <c r="FO613" s="56"/>
      <c r="FP613" s="56"/>
      <c r="FQ613" s="56"/>
      <c r="FR613" s="56"/>
      <c r="FS613" s="56"/>
      <c r="FT613" s="56"/>
      <c r="FU613" s="56"/>
      <c r="FV613" s="56"/>
      <c r="FW613" s="56"/>
      <c r="FX613" s="56"/>
      <c r="FY613" s="56"/>
      <c r="FZ613" s="56"/>
      <c r="GA613" s="56"/>
      <c r="GB613" s="56"/>
      <c r="GC613" s="56"/>
      <c r="GD613" s="56"/>
      <c r="GE613" s="56"/>
      <c r="GF613" s="56"/>
      <c r="GG613" s="56"/>
      <c r="GH613" s="56"/>
      <c r="GI613" s="56"/>
      <c r="GJ613" s="56"/>
      <c r="GK613" s="56"/>
      <c r="GL613" s="56"/>
      <c r="GM613" s="56"/>
      <c r="GN613" s="56"/>
      <c r="GO613" s="56"/>
      <c r="GP613" s="56"/>
      <c r="GQ613" s="56"/>
      <c r="GR613" s="56"/>
      <c r="GS613" s="56"/>
      <c r="GT613" s="56"/>
      <c r="GU613" s="56"/>
      <c r="GV613" s="56"/>
      <c r="GW613" s="56"/>
      <c r="GX613" s="56"/>
      <c r="GY613" s="56"/>
      <c r="GZ613" s="56"/>
      <c r="HA613" s="56"/>
      <c r="HB613" s="56"/>
      <c r="HC613" s="56"/>
      <c r="HD613" s="56"/>
      <c r="HE613" s="56"/>
      <c r="HF613" s="56"/>
      <c r="HG613" s="56"/>
      <c r="HH613" s="56"/>
      <c r="HI613" s="56"/>
      <c r="HJ613" s="56"/>
    </row>
    <row r="614" spans="1:218" ht="15.75" customHeight="1" x14ac:dyDescent="0.2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  <c r="CL614" s="56"/>
      <c r="CM614" s="56"/>
      <c r="CN614" s="56"/>
      <c r="CO614" s="56"/>
      <c r="CP614" s="56"/>
      <c r="CQ614" s="56"/>
      <c r="CR614" s="56"/>
      <c r="CS614" s="56"/>
      <c r="CT614" s="56"/>
      <c r="CU614" s="56"/>
      <c r="CV614" s="56"/>
      <c r="CW614" s="56"/>
      <c r="CX614" s="56"/>
      <c r="CY614" s="56"/>
      <c r="CZ614" s="56"/>
      <c r="DA614" s="56"/>
      <c r="DB614" s="56"/>
      <c r="DC614" s="56"/>
      <c r="DD614" s="56"/>
      <c r="DE614" s="56"/>
      <c r="DF614" s="56"/>
      <c r="DG614" s="56"/>
      <c r="DH614" s="56"/>
      <c r="DI614" s="56"/>
      <c r="DJ614" s="56"/>
      <c r="DK614" s="56"/>
      <c r="DL614" s="56"/>
      <c r="DM614" s="56"/>
      <c r="DN614" s="56"/>
      <c r="DO614" s="56"/>
      <c r="DP614" s="56"/>
      <c r="DQ614" s="56"/>
      <c r="DR614" s="56"/>
      <c r="DS614" s="56"/>
      <c r="DT614" s="56"/>
      <c r="DU614" s="56"/>
      <c r="DV614" s="56"/>
      <c r="DW614" s="56"/>
      <c r="DX614" s="56"/>
      <c r="DY614" s="56"/>
      <c r="DZ614" s="56"/>
      <c r="EA614" s="56"/>
      <c r="EB614" s="56"/>
      <c r="EC614" s="56"/>
      <c r="ED614" s="56"/>
      <c r="EE614" s="56"/>
      <c r="EF614" s="56"/>
      <c r="EG614" s="56"/>
      <c r="EH614" s="56"/>
      <c r="EI614" s="56"/>
      <c r="EJ614" s="56"/>
      <c r="EK614" s="56"/>
      <c r="EL614" s="56"/>
      <c r="EM614" s="56"/>
      <c r="EN614" s="56"/>
      <c r="EO614" s="56"/>
      <c r="EP614" s="56"/>
      <c r="EQ614" s="56"/>
      <c r="ER614" s="56"/>
      <c r="ES614" s="56"/>
      <c r="ET614" s="56"/>
      <c r="EU614" s="56"/>
      <c r="EV614" s="56"/>
      <c r="EW614" s="56"/>
      <c r="EX614" s="56"/>
      <c r="EY614" s="56"/>
      <c r="EZ614" s="56"/>
      <c r="FA614" s="56"/>
      <c r="FB614" s="56"/>
      <c r="FC614" s="56"/>
      <c r="FD614" s="56"/>
      <c r="FE614" s="56"/>
      <c r="FF614" s="56"/>
      <c r="FG614" s="56"/>
      <c r="FH614" s="56"/>
      <c r="FI614" s="56"/>
      <c r="FJ614" s="56"/>
      <c r="FK614" s="56"/>
      <c r="FL614" s="56"/>
      <c r="FM614" s="56"/>
      <c r="FN614" s="56"/>
      <c r="FO614" s="56"/>
      <c r="FP614" s="56"/>
      <c r="FQ614" s="56"/>
      <c r="FR614" s="56"/>
      <c r="FS614" s="56"/>
      <c r="FT614" s="56"/>
      <c r="FU614" s="56"/>
      <c r="FV614" s="56"/>
      <c r="FW614" s="56"/>
      <c r="FX614" s="56"/>
      <c r="FY614" s="56"/>
      <c r="FZ614" s="56"/>
      <c r="GA614" s="56"/>
      <c r="GB614" s="56"/>
      <c r="GC614" s="56"/>
      <c r="GD614" s="56"/>
      <c r="GE614" s="56"/>
      <c r="GF614" s="56"/>
      <c r="GG614" s="56"/>
      <c r="GH614" s="56"/>
      <c r="GI614" s="56"/>
      <c r="GJ614" s="56"/>
      <c r="GK614" s="56"/>
      <c r="GL614" s="56"/>
      <c r="GM614" s="56"/>
      <c r="GN614" s="56"/>
      <c r="GO614" s="56"/>
      <c r="GP614" s="56"/>
      <c r="GQ614" s="56"/>
      <c r="GR614" s="56"/>
      <c r="GS614" s="56"/>
      <c r="GT614" s="56"/>
      <c r="GU614" s="56"/>
      <c r="GV614" s="56"/>
      <c r="GW614" s="56"/>
      <c r="GX614" s="56"/>
      <c r="GY614" s="56"/>
      <c r="GZ614" s="56"/>
      <c r="HA614" s="56"/>
      <c r="HB614" s="56"/>
      <c r="HC614" s="56"/>
      <c r="HD614" s="56"/>
      <c r="HE614" s="56"/>
      <c r="HF614" s="56"/>
      <c r="HG614" s="56"/>
      <c r="HH614" s="56"/>
      <c r="HI614" s="56"/>
      <c r="HJ614" s="56"/>
    </row>
    <row r="615" spans="1:218" ht="15.75" customHeight="1" x14ac:dyDescent="0.2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  <c r="CL615" s="56"/>
      <c r="CM615" s="56"/>
      <c r="CN615" s="56"/>
      <c r="CO615" s="56"/>
      <c r="CP615" s="56"/>
      <c r="CQ615" s="56"/>
      <c r="CR615" s="56"/>
      <c r="CS615" s="56"/>
      <c r="CT615" s="56"/>
      <c r="CU615" s="56"/>
      <c r="CV615" s="56"/>
      <c r="CW615" s="56"/>
      <c r="CX615" s="56"/>
      <c r="CY615" s="56"/>
      <c r="CZ615" s="56"/>
      <c r="DA615" s="56"/>
      <c r="DB615" s="56"/>
      <c r="DC615" s="56"/>
      <c r="DD615" s="56"/>
      <c r="DE615" s="56"/>
      <c r="DF615" s="56"/>
      <c r="DG615" s="56"/>
      <c r="DH615" s="56"/>
      <c r="DI615" s="56"/>
      <c r="DJ615" s="56"/>
      <c r="DK615" s="56"/>
      <c r="DL615" s="56"/>
      <c r="DM615" s="56"/>
      <c r="DN615" s="56"/>
      <c r="DO615" s="56"/>
      <c r="DP615" s="56"/>
      <c r="DQ615" s="56"/>
      <c r="DR615" s="56"/>
      <c r="DS615" s="56"/>
      <c r="DT615" s="56"/>
      <c r="DU615" s="56"/>
      <c r="DV615" s="56"/>
      <c r="DW615" s="56"/>
      <c r="DX615" s="56"/>
      <c r="DY615" s="56"/>
      <c r="DZ615" s="56"/>
      <c r="EA615" s="56"/>
      <c r="EB615" s="56"/>
      <c r="EC615" s="56"/>
      <c r="ED615" s="56"/>
      <c r="EE615" s="56"/>
      <c r="EF615" s="56"/>
      <c r="EG615" s="56"/>
      <c r="EH615" s="56"/>
      <c r="EI615" s="56"/>
      <c r="EJ615" s="56"/>
      <c r="EK615" s="56"/>
      <c r="EL615" s="56"/>
      <c r="EM615" s="56"/>
      <c r="EN615" s="56"/>
      <c r="EO615" s="56"/>
      <c r="EP615" s="56"/>
      <c r="EQ615" s="56"/>
      <c r="ER615" s="56"/>
      <c r="ES615" s="56"/>
      <c r="ET615" s="56"/>
      <c r="EU615" s="56"/>
      <c r="EV615" s="56"/>
      <c r="EW615" s="56"/>
      <c r="EX615" s="56"/>
      <c r="EY615" s="56"/>
      <c r="EZ615" s="56"/>
      <c r="FA615" s="56"/>
      <c r="FB615" s="56"/>
      <c r="FC615" s="56"/>
      <c r="FD615" s="56"/>
      <c r="FE615" s="56"/>
      <c r="FF615" s="56"/>
      <c r="FG615" s="56"/>
      <c r="FH615" s="56"/>
      <c r="FI615" s="56"/>
      <c r="FJ615" s="56"/>
      <c r="FK615" s="56"/>
      <c r="FL615" s="56"/>
      <c r="FM615" s="56"/>
      <c r="FN615" s="56"/>
      <c r="FO615" s="56"/>
      <c r="FP615" s="56"/>
      <c r="FQ615" s="56"/>
      <c r="FR615" s="56"/>
      <c r="FS615" s="56"/>
      <c r="FT615" s="56"/>
      <c r="FU615" s="56"/>
      <c r="FV615" s="56"/>
      <c r="FW615" s="56"/>
      <c r="FX615" s="56"/>
      <c r="FY615" s="56"/>
      <c r="FZ615" s="56"/>
      <c r="GA615" s="56"/>
      <c r="GB615" s="56"/>
      <c r="GC615" s="56"/>
      <c r="GD615" s="56"/>
      <c r="GE615" s="56"/>
      <c r="GF615" s="56"/>
      <c r="GG615" s="56"/>
      <c r="GH615" s="56"/>
      <c r="GI615" s="56"/>
      <c r="GJ615" s="56"/>
      <c r="GK615" s="56"/>
      <c r="GL615" s="56"/>
      <c r="GM615" s="56"/>
      <c r="GN615" s="56"/>
      <c r="GO615" s="56"/>
      <c r="GP615" s="56"/>
      <c r="GQ615" s="56"/>
      <c r="GR615" s="56"/>
      <c r="GS615" s="56"/>
      <c r="GT615" s="56"/>
      <c r="GU615" s="56"/>
      <c r="GV615" s="56"/>
      <c r="GW615" s="56"/>
      <c r="GX615" s="56"/>
      <c r="GY615" s="56"/>
      <c r="GZ615" s="56"/>
      <c r="HA615" s="56"/>
      <c r="HB615" s="56"/>
      <c r="HC615" s="56"/>
      <c r="HD615" s="56"/>
      <c r="HE615" s="56"/>
      <c r="HF615" s="56"/>
      <c r="HG615" s="56"/>
      <c r="HH615" s="56"/>
      <c r="HI615" s="56"/>
      <c r="HJ615" s="56"/>
    </row>
    <row r="616" spans="1:218" ht="15.75" customHeight="1" x14ac:dyDescent="0.2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  <c r="CL616" s="56"/>
      <c r="CM616" s="56"/>
      <c r="CN616" s="56"/>
      <c r="CO616" s="56"/>
      <c r="CP616" s="56"/>
      <c r="CQ616" s="56"/>
      <c r="CR616" s="56"/>
      <c r="CS616" s="56"/>
      <c r="CT616" s="56"/>
      <c r="CU616" s="56"/>
      <c r="CV616" s="56"/>
      <c r="CW616" s="56"/>
      <c r="CX616" s="56"/>
      <c r="CY616" s="56"/>
      <c r="CZ616" s="56"/>
      <c r="DA616" s="56"/>
      <c r="DB616" s="56"/>
      <c r="DC616" s="56"/>
      <c r="DD616" s="56"/>
      <c r="DE616" s="56"/>
      <c r="DF616" s="56"/>
      <c r="DG616" s="56"/>
      <c r="DH616" s="56"/>
      <c r="DI616" s="56"/>
      <c r="DJ616" s="56"/>
      <c r="DK616" s="56"/>
      <c r="DL616" s="56"/>
      <c r="DM616" s="56"/>
      <c r="DN616" s="56"/>
      <c r="DO616" s="56"/>
      <c r="DP616" s="56"/>
      <c r="DQ616" s="56"/>
      <c r="DR616" s="56"/>
      <c r="DS616" s="56"/>
      <c r="DT616" s="56"/>
      <c r="DU616" s="56"/>
      <c r="DV616" s="56"/>
      <c r="DW616" s="56"/>
      <c r="DX616" s="56"/>
      <c r="DY616" s="56"/>
      <c r="DZ616" s="56"/>
      <c r="EA616" s="56"/>
      <c r="EB616" s="56"/>
      <c r="EC616" s="56"/>
      <c r="ED616" s="56"/>
      <c r="EE616" s="56"/>
      <c r="EF616" s="56"/>
      <c r="EG616" s="56"/>
      <c r="EH616" s="56"/>
      <c r="EI616" s="56"/>
      <c r="EJ616" s="56"/>
      <c r="EK616" s="56"/>
      <c r="EL616" s="56"/>
      <c r="EM616" s="56"/>
      <c r="EN616" s="56"/>
      <c r="EO616" s="56"/>
      <c r="EP616" s="56"/>
      <c r="EQ616" s="56"/>
      <c r="ER616" s="56"/>
      <c r="ES616" s="56"/>
      <c r="ET616" s="56"/>
      <c r="EU616" s="56"/>
      <c r="EV616" s="56"/>
      <c r="EW616" s="56"/>
      <c r="EX616" s="56"/>
      <c r="EY616" s="56"/>
      <c r="EZ616" s="56"/>
      <c r="FA616" s="56"/>
      <c r="FB616" s="56"/>
      <c r="FC616" s="56"/>
      <c r="FD616" s="56"/>
      <c r="FE616" s="56"/>
      <c r="FF616" s="56"/>
      <c r="FG616" s="56"/>
      <c r="FH616" s="56"/>
      <c r="FI616" s="56"/>
      <c r="FJ616" s="56"/>
      <c r="FK616" s="56"/>
      <c r="FL616" s="56"/>
      <c r="FM616" s="56"/>
      <c r="FN616" s="56"/>
      <c r="FO616" s="56"/>
      <c r="FP616" s="56"/>
      <c r="FQ616" s="56"/>
      <c r="FR616" s="56"/>
      <c r="FS616" s="56"/>
      <c r="FT616" s="56"/>
      <c r="FU616" s="56"/>
      <c r="FV616" s="56"/>
      <c r="FW616" s="56"/>
      <c r="FX616" s="56"/>
      <c r="FY616" s="56"/>
      <c r="FZ616" s="56"/>
      <c r="GA616" s="56"/>
      <c r="GB616" s="56"/>
      <c r="GC616" s="56"/>
      <c r="GD616" s="56"/>
      <c r="GE616" s="56"/>
      <c r="GF616" s="56"/>
      <c r="GG616" s="56"/>
      <c r="GH616" s="56"/>
      <c r="GI616" s="56"/>
      <c r="GJ616" s="56"/>
      <c r="GK616" s="56"/>
      <c r="GL616" s="56"/>
      <c r="GM616" s="56"/>
      <c r="GN616" s="56"/>
      <c r="GO616" s="56"/>
      <c r="GP616" s="56"/>
      <c r="GQ616" s="56"/>
      <c r="GR616" s="56"/>
      <c r="GS616" s="56"/>
      <c r="GT616" s="56"/>
      <c r="GU616" s="56"/>
      <c r="GV616" s="56"/>
      <c r="GW616" s="56"/>
      <c r="GX616" s="56"/>
      <c r="GY616" s="56"/>
      <c r="GZ616" s="56"/>
      <c r="HA616" s="56"/>
      <c r="HB616" s="56"/>
      <c r="HC616" s="56"/>
      <c r="HD616" s="56"/>
      <c r="HE616" s="56"/>
      <c r="HF616" s="56"/>
      <c r="HG616" s="56"/>
      <c r="HH616" s="56"/>
      <c r="HI616" s="56"/>
      <c r="HJ616" s="56"/>
    </row>
    <row r="617" spans="1:218" ht="15.75" customHeight="1" x14ac:dyDescent="0.2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  <c r="CL617" s="56"/>
      <c r="CM617" s="56"/>
      <c r="CN617" s="56"/>
      <c r="CO617" s="56"/>
      <c r="CP617" s="56"/>
      <c r="CQ617" s="56"/>
      <c r="CR617" s="56"/>
      <c r="CS617" s="56"/>
      <c r="CT617" s="56"/>
      <c r="CU617" s="56"/>
      <c r="CV617" s="56"/>
      <c r="CW617" s="56"/>
      <c r="CX617" s="56"/>
      <c r="CY617" s="56"/>
      <c r="CZ617" s="56"/>
      <c r="DA617" s="56"/>
      <c r="DB617" s="56"/>
      <c r="DC617" s="56"/>
      <c r="DD617" s="56"/>
      <c r="DE617" s="56"/>
      <c r="DF617" s="56"/>
      <c r="DG617" s="56"/>
      <c r="DH617" s="56"/>
      <c r="DI617" s="56"/>
      <c r="DJ617" s="56"/>
      <c r="DK617" s="56"/>
      <c r="DL617" s="56"/>
      <c r="DM617" s="56"/>
      <c r="DN617" s="56"/>
      <c r="DO617" s="56"/>
      <c r="DP617" s="56"/>
      <c r="DQ617" s="56"/>
      <c r="DR617" s="56"/>
      <c r="DS617" s="56"/>
      <c r="DT617" s="56"/>
      <c r="DU617" s="56"/>
      <c r="DV617" s="56"/>
      <c r="DW617" s="56"/>
      <c r="DX617" s="56"/>
      <c r="DY617" s="56"/>
      <c r="DZ617" s="56"/>
      <c r="EA617" s="56"/>
      <c r="EB617" s="56"/>
      <c r="EC617" s="56"/>
      <c r="ED617" s="56"/>
      <c r="EE617" s="56"/>
      <c r="EF617" s="56"/>
      <c r="EG617" s="56"/>
      <c r="EH617" s="56"/>
      <c r="EI617" s="56"/>
      <c r="EJ617" s="56"/>
      <c r="EK617" s="56"/>
      <c r="EL617" s="56"/>
      <c r="EM617" s="56"/>
      <c r="EN617" s="56"/>
      <c r="EO617" s="56"/>
      <c r="EP617" s="56"/>
      <c r="EQ617" s="56"/>
      <c r="ER617" s="56"/>
      <c r="ES617" s="56"/>
      <c r="ET617" s="56"/>
      <c r="EU617" s="56"/>
      <c r="EV617" s="56"/>
      <c r="EW617" s="56"/>
      <c r="EX617" s="56"/>
      <c r="EY617" s="56"/>
      <c r="EZ617" s="56"/>
      <c r="FA617" s="56"/>
      <c r="FB617" s="56"/>
      <c r="FC617" s="56"/>
      <c r="FD617" s="56"/>
      <c r="FE617" s="56"/>
      <c r="FF617" s="56"/>
      <c r="FG617" s="56"/>
      <c r="FH617" s="56"/>
      <c r="FI617" s="56"/>
      <c r="FJ617" s="56"/>
      <c r="FK617" s="56"/>
      <c r="FL617" s="56"/>
      <c r="FM617" s="56"/>
      <c r="FN617" s="56"/>
      <c r="FO617" s="56"/>
      <c r="FP617" s="56"/>
      <c r="FQ617" s="56"/>
      <c r="FR617" s="56"/>
      <c r="FS617" s="56"/>
      <c r="FT617" s="56"/>
      <c r="FU617" s="56"/>
      <c r="FV617" s="56"/>
      <c r="FW617" s="56"/>
      <c r="FX617" s="56"/>
      <c r="FY617" s="56"/>
      <c r="FZ617" s="56"/>
      <c r="GA617" s="56"/>
      <c r="GB617" s="56"/>
      <c r="GC617" s="56"/>
      <c r="GD617" s="56"/>
      <c r="GE617" s="56"/>
      <c r="GF617" s="56"/>
      <c r="GG617" s="56"/>
      <c r="GH617" s="56"/>
      <c r="GI617" s="56"/>
      <c r="GJ617" s="56"/>
      <c r="GK617" s="56"/>
      <c r="GL617" s="56"/>
      <c r="GM617" s="56"/>
      <c r="GN617" s="56"/>
      <c r="GO617" s="56"/>
      <c r="GP617" s="56"/>
      <c r="GQ617" s="56"/>
      <c r="GR617" s="56"/>
      <c r="GS617" s="56"/>
      <c r="GT617" s="56"/>
      <c r="GU617" s="56"/>
      <c r="GV617" s="56"/>
      <c r="GW617" s="56"/>
      <c r="GX617" s="56"/>
      <c r="GY617" s="56"/>
      <c r="GZ617" s="56"/>
      <c r="HA617" s="56"/>
      <c r="HB617" s="56"/>
      <c r="HC617" s="56"/>
      <c r="HD617" s="56"/>
      <c r="HE617" s="56"/>
      <c r="HF617" s="56"/>
      <c r="HG617" s="56"/>
      <c r="HH617" s="56"/>
      <c r="HI617" s="56"/>
      <c r="HJ617" s="56"/>
    </row>
    <row r="618" spans="1:218" ht="15.75" customHeight="1" x14ac:dyDescent="0.2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  <c r="CL618" s="56"/>
      <c r="CM618" s="56"/>
      <c r="CN618" s="56"/>
      <c r="CO618" s="56"/>
      <c r="CP618" s="56"/>
      <c r="CQ618" s="56"/>
      <c r="CR618" s="56"/>
      <c r="CS618" s="56"/>
      <c r="CT618" s="56"/>
      <c r="CU618" s="56"/>
      <c r="CV618" s="56"/>
      <c r="CW618" s="56"/>
      <c r="CX618" s="56"/>
      <c r="CY618" s="56"/>
      <c r="CZ618" s="56"/>
      <c r="DA618" s="56"/>
      <c r="DB618" s="56"/>
      <c r="DC618" s="56"/>
      <c r="DD618" s="56"/>
      <c r="DE618" s="56"/>
      <c r="DF618" s="56"/>
      <c r="DG618" s="56"/>
      <c r="DH618" s="56"/>
      <c r="DI618" s="56"/>
      <c r="DJ618" s="56"/>
      <c r="DK618" s="56"/>
      <c r="DL618" s="56"/>
      <c r="DM618" s="56"/>
      <c r="DN618" s="56"/>
      <c r="DO618" s="56"/>
      <c r="DP618" s="56"/>
      <c r="DQ618" s="56"/>
      <c r="DR618" s="56"/>
      <c r="DS618" s="56"/>
      <c r="DT618" s="56"/>
      <c r="DU618" s="56"/>
      <c r="DV618" s="56"/>
      <c r="DW618" s="56"/>
      <c r="DX618" s="56"/>
      <c r="DY618" s="56"/>
      <c r="DZ618" s="56"/>
      <c r="EA618" s="56"/>
      <c r="EB618" s="56"/>
      <c r="EC618" s="56"/>
      <c r="ED618" s="56"/>
      <c r="EE618" s="56"/>
      <c r="EF618" s="56"/>
      <c r="EG618" s="56"/>
      <c r="EH618" s="56"/>
      <c r="EI618" s="56"/>
      <c r="EJ618" s="56"/>
      <c r="EK618" s="56"/>
      <c r="EL618" s="56"/>
      <c r="EM618" s="56"/>
      <c r="EN618" s="56"/>
      <c r="EO618" s="56"/>
      <c r="EP618" s="56"/>
      <c r="EQ618" s="56"/>
      <c r="ER618" s="56"/>
      <c r="ES618" s="56"/>
      <c r="ET618" s="56"/>
      <c r="EU618" s="56"/>
      <c r="EV618" s="56"/>
      <c r="EW618" s="56"/>
      <c r="EX618" s="56"/>
      <c r="EY618" s="56"/>
      <c r="EZ618" s="56"/>
      <c r="FA618" s="56"/>
      <c r="FB618" s="56"/>
      <c r="FC618" s="56"/>
      <c r="FD618" s="56"/>
      <c r="FE618" s="56"/>
      <c r="FF618" s="56"/>
      <c r="FG618" s="56"/>
      <c r="FH618" s="56"/>
      <c r="FI618" s="56"/>
      <c r="FJ618" s="56"/>
      <c r="FK618" s="56"/>
      <c r="FL618" s="56"/>
      <c r="FM618" s="56"/>
      <c r="FN618" s="56"/>
      <c r="FO618" s="56"/>
      <c r="FP618" s="56"/>
      <c r="FQ618" s="56"/>
      <c r="FR618" s="56"/>
      <c r="FS618" s="56"/>
      <c r="FT618" s="56"/>
      <c r="FU618" s="56"/>
      <c r="FV618" s="56"/>
      <c r="FW618" s="56"/>
      <c r="FX618" s="56"/>
      <c r="FY618" s="56"/>
      <c r="FZ618" s="56"/>
      <c r="GA618" s="56"/>
      <c r="GB618" s="56"/>
      <c r="GC618" s="56"/>
      <c r="GD618" s="56"/>
      <c r="GE618" s="56"/>
      <c r="GF618" s="56"/>
      <c r="GG618" s="56"/>
      <c r="GH618" s="56"/>
      <c r="GI618" s="56"/>
      <c r="GJ618" s="56"/>
      <c r="GK618" s="56"/>
      <c r="GL618" s="56"/>
      <c r="GM618" s="56"/>
      <c r="GN618" s="56"/>
      <c r="GO618" s="56"/>
      <c r="GP618" s="56"/>
      <c r="GQ618" s="56"/>
      <c r="GR618" s="56"/>
      <c r="GS618" s="56"/>
      <c r="GT618" s="56"/>
      <c r="GU618" s="56"/>
      <c r="GV618" s="56"/>
      <c r="GW618" s="56"/>
      <c r="GX618" s="56"/>
      <c r="GY618" s="56"/>
      <c r="GZ618" s="56"/>
      <c r="HA618" s="56"/>
      <c r="HB618" s="56"/>
      <c r="HC618" s="56"/>
      <c r="HD618" s="56"/>
      <c r="HE618" s="56"/>
      <c r="HF618" s="56"/>
      <c r="HG618" s="56"/>
      <c r="HH618" s="56"/>
      <c r="HI618" s="56"/>
      <c r="HJ618" s="56"/>
    </row>
    <row r="619" spans="1:218" ht="15.75" customHeight="1" x14ac:dyDescent="0.2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  <c r="CL619" s="56"/>
      <c r="CM619" s="56"/>
      <c r="CN619" s="56"/>
      <c r="CO619" s="56"/>
      <c r="CP619" s="56"/>
      <c r="CQ619" s="56"/>
      <c r="CR619" s="56"/>
      <c r="CS619" s="56"/>
      <c r="CT619" s="56"/>
      <c r="CU619" s="56"/>
      <c r="CV619" s="56"/>
      <c r="CW619" s="56"/>
      <c r="CX619" s="56"/>
      <c r="CY619" s="56"/>
      <c r="CZ619" s="56"/>
      <c r="DA619" s="56"/>
      <c r="DB619" s="56"/>
      <c r="DC619" s="56"/>
      <c r="DD619" s="56"/>
      <c r="DE619" s="56"/>
      <c r="DF619" s="56"/>
      <c r="DG619" s="56"/>
      <c r="DH619" s="56"/>
      <c r="DI619" s="56"/>
      <c r="DJ619" s="56"/>
      <c r="DK619" s="56"/>
      <c r="DL619" s="56"/>
      <c r="DM619" s="56"/>
      <c r="DN619" s="56"/>
      <c r="DO619" s="56"/>
      <c r="DP619" s="56"/>
      <c r="DQ619" s="56"/>
      <c r="DR619" s="56"/>
      <c r="DS619" s="56"/>
      <c r="DT619" s="56"/>
      <c r="DU619" s="56"/>
      <c r="DV619" s="56"/>
      <c r="DW619" s="56"/>
      <c r="DX619" s="56"/>
      <c r="DY619" s="56"/>
      <c r="DZ619" s="56"/>
      <c r="EA619" s="56"/>
      <c r="EB619" s="56"/>
      <c r="EC619" s="56"/>
      <c r="ED619" s="56"/>
      <c r="EE619" s="56"/>
      <c r="EF619" s="56"/>
      <c r="EG619" s="56"/>
      <c r="EH619" s="56"/>
      <c r="EI619" s="56"/>
      <c r="EJ619" s="56"/>
      <c r="EK619" s="56"/>
      <c r="EL619" s="56"/>
      <c r="EM619" s="56"/>
      <c r="EN619" s="56"/>
      <c r="EO619" s="56"/>
      <c r="EP619" s="56"/>
      <c r="EQ619" s="56"/>
      <c r="ER619" s="56"/>
      <c r="ES619" s="56"/>
      <c r="ET619" s="56"/>
      <c r="EU619" s="56"/>
      <c r="EV619" s="56"/>
      <c r="EW619" s="56"/>
      <c r="EX619" s="56"/>
      <c r="EY619" s="56"/>
      <c r="EZ619" s="56"/>
      <c r="FA619" s="56"/>
      <c r="FB619" s="56"/>
      <c r="FC619" s="56"/>
      <c r="FD619" s="56"/>
      <c r="FE619" s="56"/>
      <c r="FF619" s="56"/>
      <c r="FG619" s="56"/>
      <c r="FH619" s="56"/>
      <c r="FI619" s="56"/>
      <c r="FJ619" s="56"/>
      <c r="FK619" s="56"/>
      <c r="FL619" s="56"/>
      <c r="FM619" s="56"/>
      <c r="FN619" s="56"/>
      <c r="FO619" s="56"/>
      <c r="FP619" s="56"/>
      <c r="FQ619" s="56"/>
      <c r="FR619" s="56"/>
      <c r="FS619" s="56"/>
      <c r="FT619" s="56"/>
      <c r="FU619" s="56"/>
      <c r="FV619" s="56"/>
      <c r="FW619" s="56"/>
      <c r="FX619" s="56"/>
      <c r="FY619" s="56"/>
      <c r="FZ619" s="56"/>
      <c r="GA619" s="56"/>
      <c r="GB619" s="56"/>
      <c r="GC619" s="56"/>
      <c r="GD619" s="56"/>
      <c r="GE619" s="56"/>
      <c r="GF619" s="56"/>
      <c r="GG619" s="56"/>
      <c r="GH619" s="56"/>
      <c r="GI619" s="56"/>
      <c r="GJ619" s="56"/>
      <c r="GK619" s="56"/>
      <c r="GL619" s="56"/>
      <c r="GM619" s="56"/>
      <c r="GN619" s="56"/>
      <c r="GO619" s="56"/>
      <c r="GP619" s="56"/>
      <c r="GQ619" s="56"/>
      <c r="GR619" s="56"/>
      <c r="GS619" s="56"/>
      <c r="GT619" s="56"/>
      <c r="GU619" s="56"/>
      <c r="GV619" s="56"/>
      <c r="GW619" s="56"/>
      <c r="GX619" s="56"/>
      <c r="GY619" s="56"/>
      <c r="GZ619" s="56"/>
      <c r="HA619" s="56"/>
      <c r="HB619" s="56"/>
      <c r="HC619" s="56"/>
      <c r="HD619" s="56"/>
      <c r="HE619" s="56"/>
      <c r="HF619" s="56"/>
      <c r="HG619" s="56"/>
      <c r="HH619" s="56"/>
      <c r="HI619" s="56"/>
      <c r="HJ619" s="56"/>
    </row>
    <row r="620" spans="1:218" ht="15.75" customHeight="1" x14ac:dyDescent="0.2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  <c r="CL620" s="56"/>
      <c r="CM620" s="56"/>
      <c r="CN620" s="56"/>
      <c r="CO620" s="56"/>
      <c r="CP620" s="56"/>
      <c r="CQ620" s="56"/>
      <c r="CR620" s="56"/>
      <c r="CS620" s="56"/>
      <c r="CT620" s="56"/>
      <c r="CU620" s="56"/>
      <c r="CV620" s="56"/>
      <c r="CW620" s="56"/>
      <c r="CX620" s="56"/>
      <c r="CY620" s="56"/>
      <c r="CZ620" s="56"/>
      <c r="DA620" s="56"/>
      <c r="DB620" s="56"/>
      <c r="DC620" s="56"/>
      <c r="DD620" s="56"/>
      <c r="DE620" s="56"/>
      <c r="DF620" s="56"/>
      <c r="DG620" s="56"/>
      <c r="DH620" s="56"/>
      <c r="DI620" s="56"/>
      <c r="DJ620" s="56"/>
      <c r="DK620" s="56"/>
      <c r="DL620" s="56"/>
      <c r="DM620" s="56"/>
      <c r="DN620" s="56"/>
      <c r="DO620" s="56"/>
      <c r="DP620" s="56"/>
      <c r="DQ620" s="56"/>
      <c r="DR620" s="56"/>
      <c r="DS620" s="56"/>
      <c r="DT620" s="56"/>
      <c r="DU620" s="56"/>
      <c r="DV620" s="56"/>
      <c r="DW620" s="56"/>
      <c r="DX620" s="56"/>
      <c r="DY620" s="56"/>
      <c r="DZ620" s="56"/>
      <c r="EA620" s="56"/>
      <c r="EB620" s="56"/>
      <c r="EC620" s="56"/>
      <c r="ED620" s="56"/>
      <c r="EE620" s="56"/>
      <c r="EF620" s="56"/>
      <c r="EG620" s="56"/>
      <c r="EH620" s="56"/>
      <c r="EI620" s="56"/>
      <c r="EJ620" s="56"/>
      <c r="EK620" s="56"/>
      <c r="EL620" s="56"/>
      <c r="EM620" s="56"/>
      <c r="EN620" s="56"/>
      <c r="EO620" s="56"/>
      <c r="EP620" s="56"/>
      <c r="EQ620" s="56"/>
      <c r="ER620" s="56"/>
      <c r="ES620" s="56"/>
      <c r="ET620" s="56"/>
      <c r="EU620" s="56"/>
      <c r="EV620" s="56"/>
      <c r="EW620" s="56"/>
      <c r="EX620" s="56"/>
      <c r="EY620" s="56"/>
      <c r="EZ620" s="56"/>
      <c r="FA620" s="56"/>
      <c r="FB620" s="56"/>
      <c r="FC620" s="56"/>
      <c r="FD620" s="56"/>
      <c r="FE620" s="56"/>
      <c r="FF620" s="56"/>
      <c r="FG620" s="56"/>
      <c r="FH620" s="56"/>
      <c r="FI620" s="56"/>
      <c r="FJ620" s="56"/>
      <c r="FK620" s="56"/>
      <c r="FL620" s="56"/>
      <c r="FM620" s="56"/>
      <c r="FN620" s="56"/>
      <c r="FO620" s="56"/>
      <c r="FP620" s="56"/>
      <c r="FQ620" s="56"/>
      <c r="FR620" s="56"/>
      <c r="FS620" s="56"/>
      <c r="FT620" s="56"/>
      <c r="FU620" s="56"/>
      <c r="FV620" s="56"/>
      <c r="FW620" s="56"/>
      <c r="FX620" s="56"/>
      <c r="FY620" s="56"/>
      <c r="FZ620" s="56"/>
      <c r="GA620" s="56"/>
      <c r="GB620" s="56"/>
      <c r="GC620" s="56"/>
      <c r="GD620" s="56"/>
      <c r="GE620" s="56"/>
      <c r="GF620" s="56"/>
      <c r="GG620" s="56"/>
      <c r="GH620" s="56"/>
      <c r="GI620" s="56"/>
      <c r="GJ620" s="56"/>
      <c r="GK620" s="56"/>
      <c r="GL620" s="56"/>
      <c r="GM620" s="56"/>
      <c r="GN620" s="56"/>
      <c r="GO620" s="56"/>
      <c r="GP620" s="56"/>
      <c r="GQ620" s="56"/>
      <c r="GR620" s="56"/>
      <c r="GS620" s="56"/>
      <c r="GT620" s="56"/>
      <c r="GU620" s="56"/>
      <c r="GV620" s="56"/>
      <c r="GW620" s="56"/>
      <c r="GX620" s="56"/>
      <c r="GY620" s="56"/>
      <c r="GZ620" s="56"/>
      <c r="HA620" s="56"/>
      <c r="HB620" s="56"/>
      <c r="HC620" s="56"/>
      <c r="HD620" s="56"/>
      <c r="HE620" s="56"/>
      <c r="HF620" s="56"/>
      <c r="HG620" s="56"/>
      <c r="HH620" s="56"/>
      <c r="HI620" s="56"/>
      <c r="HJ620" s="56"/>
    </row>
    <row r="621" spans="1:218" ht="15.75" customHeight="1" x14ac:dyDescent="0.2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  <c r="CL621" s="56"/>
      <c r="CM621" s="56"/>
      <c r="CN621" s="56"/>
      <c r="CO621" s="56"/>
      <c r="CP621" s="56"/>
      <c r="CQ621" s="56"/>
      <c r="CR621" s="56"/>
      <c r="CS621" s="56"/>
      <c r="CT621" s="56"/>
      <c r="CU621" s="56"/>
      <c r="CV621" s="56"/>
      <c r="CW621" s="56"/>
      <c r="CX621" s="56"/>
      <c r="CY621" s="56"/>
      <c r="CZ621" s="56"/>
      <c r="DA621" s="56"/>
      <c r="DB621" s="56"/>
      <c r="DC621" s="56"/>
      <c r="DD621" s="56"/>
      <c r="DE621" s="56"/>
      <c r="DF621" s="56"/>
      <c r="DG621" s="56"/>
      <c r="DH621" s="56"/>
      <c r="DI621" s="56"/>
      <c r="DJ621" s="56"/>
      <c r="DK621" s="56"/>
      <c r="DL621" s="56"/>
      <c r="DM621" s="56"/>
      <c r="DN621" s="56"/>
      <c r="DO621" s="56"/>
      <c r="DP621" s="56"/>
      <c r="DQ621" s="56"/>
      <c r="DR621" s="56"/>
      <c r="DS621" s="56"/>
      <c r="DT621" s="56"/>
      <c r="DU621" s="56"/>
      <c r="DV621" s="56"/>
      <c r="DW621" s="56"/>
      <c r="DX621" s="56"/>
      <c r="DY621" s="56"/>
      <c r="DZ621" s="56"/>
      <c r="EA621" s="56"/>
      <c r="EB621" s="56"/>
      <c r="EC621" s="56"/>
      <c r="ED621" s="56"/>
      <c r="EE621" s="56"/>
      <c r="EF621" s="56"/>
      <c r="EG621" s="56"/>
      <c r="EH621" s="56"/>
      <c r="EI621" s="56"/>
      <c r="EJ621" s="56"/>
      <c r="EK621" s="56"/>
      <c r="EL621" s="56"/>
      <c r="EM621" s="56"/>
      <c r="EN621" s="56"/>
      <c r="EO621" s="56"/>
      <c r="EP621" s="56"/>
      <c r="EQ621" s="56"/>
      <c r="ER621" s="56"/>
      <c r="ES621" s="56"/>
      <c r="ET621" s="56"/>
      <c r="EU621" s="56"/>
      <c r="EV621" s="56"/>
      <c r="EW621" s="56"/>
      <c r="EX621" s="56"/>
      <c r="EY621" s="56"/>
      <c r="EZ621" s="56"/>
      <c r="FA621" s="56"/>
      <c r="FB621" s="56"/>
      <c r="FC621" s="56"/>
      <c r="FD621" s="56"/>
      <c r="FE621" s="56"/>
      <c r="FF621" s="56"/>
      <c r="FG621" s="56"/>
      <c r="FH621" s="56"/>
      <c r="FI621" s="56"/>
      <c r="FJ621" s="56"/>
      <c r="FK621" s="56"/>
      <c r="FL621" s="56"/>
      <c r="FM621" s="56"/>
      <c r="FN621" s="56"/>
      <c r="FO621" s="56"/>
      <c r="FP621" s="56"/>
      <c r="FQ621" s="56"/>
      <c r="FR621" s="56"/>
      <c r="FS621" s="56"/>
      <c r="FT621" s="56"/>
      <c r="FU621" s="56"/>
      <c r="FV621" s="56"/>
      <c r="FW621" s="56"/>
      <c r="FX621" s="56"/>
      <c r="FY621" s="56"/>
      <c r="FZ621" s="56"/>
      <c r="GA621" s="56"/>
      <c r="GB621" s="56"/>
      <c r="GC621" s="56"/>
      <c r="GD621" s="56"/>
      <c r="GE621" s="56"/>
      <c r="GF621" s="56"/>
      <c r="GG621" s="56"/>
      <c r="GH621" s="56"/>
      <c r="GI621" s="56"/>
      <c r="GJ621" s="56"/>
      <c r="GK621" s="56"/>
      <c r="GL621" s="56"/>
      <c r="GM621" s="56"/>
      <c r="GN621" s="56"/>
      <c r="GO621" s="56"/>
      <c r="GP621" s="56"/>
      <c r="GQ621" s="56"/>
      <c r="GR621" s="56"/>
      <c r="GS621" s="56"/>
      <c r="GT621" s="56"/>
      <c r="GU621" s="56"/>
      <c r="GV621" s="56"/>
      <c r="GW621" s="56"/>
      <c r="GX621" s="56"/>
      <c r="GY621" s="56"/>
      <c r="GZ621" s="56"/>
      <c r="HA621" s="56"/>
      <c r="HB621" s="56"/>
      <c r="HC621" s="56"/>
      <c r="HD621" s="56"/>
      <c r="HE621" s="56"/>
      <c r="HF621" s="56"/>
      <c r="HG621" s="56"/>
      <c r="HH621" s="56"/>
      <c r="HI621" s="56"/>
      <c r="HJ621" s="56"/>
    </row>
    <row r="622" spans="1:218" ht="15.75" customHeight="1" x14ac:dyDescent="0.2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  <c r="CL622" s="56"/>
      <c r="CM622" s="56"/>
      <c r="CN622" s="56"/>
      <c r="CO622" s="56"/>
      <c r="CP622" s="56"/>
      <c r="CQ622" s="56"/>
      <c r="CR622" s="56"/>
      <c r="CS622" s="56"/>
      <c r="CT622" s="56"/>
      <c r="CU622" s="56"/>
      <c r="CV622" s="56"/>
      <c r="CW622" s="56"/>
      <c r="CX622" s="56"/>
      <c r="CY622" s="56"/>
      <c r="CZ622" s="56"/>
      <c r="DA622" s="56"/>
      <c r="DB622" s="56"/>
      <c r="DC622" s="56"/>
      <c r="DD622" s="56"/>
      <c r="DE622" s="56"/>
      <c r="DF622" s="56"/>
      <c r="DG622" s="56"/>
      <c r="DH622" s="56"/>
      <c r="DI622" s="56"/>
      <c r="DJ622" s="56"/>
      <c r="DK622" s="56"/>
      <c r="DL622" s="56"/>
      <c r="DM622" s="56"/>
      <c r="DN622" s="56"/>
      <c r="DO622" s="56"/>
      <c r="DP622" s="56"/>
      <c r="DQ622" s="56"/>
      <c r="DR622" s="56"/>
      <c r="DS622" s="56"/>
      <c r="DT622" s="56"/>
      <c r="DU622" s="56"/>
      <c r="DV622" s="56"/>
      <c r="DW622" s="56"/>
      <c r="DX622" s="56"/>
      <c r="DY622" s="56"/>
      <c r="DZ622" s="56"/>
      <c r="EA622" s="56"/>
      <c r="EB622" s="56"/>
      <c r="EC622" s="56"/>
      <c r="ED622" s="56"/>
      <c r="EE622" s="56"/>
      <c r="EF622" s="56"/>
      <c r="EG622" s="56"/>
      <c r="EH622" s="56"/>
      <c r="EI622" s="56"/>
      <c r="EJ622" s="56"/>
      <c r="EK622" s="56"/>
      <c r="EL622" s="56"/>
      <c r="EM622" s="56"/>
      <c r="EN622" s="56"/>
      <c r="EO622" s="56"/>
      <c r="EP622" s="56"/>
      <c r="EQ622" s="56"/>
      <c r="ER622" s="56"/>
      <c r="ES622" s="56"/>
      <c r="ET622" s="56"/>
      <c r="EU622" s="56"/>
      <c r="EV622" s="56"/>
      <c r="EW622" s="56"/>
      <c r="EX622" s="56"/>
      <c r="EY622" s="56"/>
      <c r="EZ622" s="56"/>
      <c r="FA622" s="56"/>
      <c r="FB622" s="56"/>
      <c r="FC622" s="56"/>
      <c r="FD622" s="56"/>
      <c r="FE622" s="56"/>
      <c r="FF622" s="56"/>
      <c r="FG622" s="56"/>
      <c r="FH622" s="56"/>
      <c r="FI622" s="56"/>
      <c r="FJ622" s="56"/>
      <c r="FK622" s="56"/>
      <c r="FL622" s="56"/>
      <c r="FM622" s="56"/>
      <c r="FN622" s="56"/>
      <c r="FO622" s="56"/>
      <c r="FP622" s="56"/>
      <c r="FQ622" s="56"/>
      <c r="FR622" s="56"/>
      <c r="FS622" s="56"/>
      <c r="FT622" s="56"/>
      <c r="FU622" s="56"/>
      <c r="FV622" s="56"/>
      <c r="FW622" s="56"/>
      <c r="FX622" s="56"/>
      <c r="FY622" s="56"/>
      <c r="FZ622" s="56"/>
      <c r="GA622" s="56"/>
      <c r="GB622" s="56"/>
      <c r="GC622" s="56"/>
      <c r="GD622" s="56"/>
      <c r="GE622" s="56"/>
      <c r="GF622" s="56"/>
      <c r="GG622" s="56"/>
      <c r="GH622" s="56"/>
      <c r="GI622" s="56"/>
      <c r="GJ622" s="56"/>
      <c r="GK622" s="56"/>
      <c r="GL622" s="56"/>
      <c r="GM622" s="56"/>
      <c r="GN622" s="56"/>
      <c r="GO622" s="56"/>
      <c r="GP622" s="56"/>
      <c r="GQ622" s="56"/>
      <c r="GR622" s="56"/>
      <c r="GS622" s="56"/>
      <c r="GT622" s="56"/>
      <c r="GU622" s="56"/>
      <c r="GV622" s="56"/>
      <c r="GW622" s="56"/>
      <c r="GX622" s="56"/>
      <c r="GY622" s="56"/>
      <c r="GZ622" s="56"/>
      <c r="HA622" s="56"/>
      <c r="HB622" s="56"/>
      <c r="HC622" s="56"/>
      <c r="HD622" s="56"/>
      <c r="HE622" s="56"/>
      <c r="HF622" s="56"/>
      <c r="HG622" s="56"/>
      <c r="HH622" s="56"/>
      <c r="HI622" s="56"/>
      <c r="HJ622" s="56"/>
    </row>
    <row r="623" spans="1:218" ht="15.75" customHeight="1" x14ac:dyDescent="0.2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  <c r="CL623" s="56"/>
      <c r="CM623" s="56"/>
      <c r="CN623" s="56"/>
      <c r="CO623" s="56"/>
      <c r="CP623" s="56"/>
      <c r="CQ623" s="56"/>
      <c r="CR623" s="56"/>
      <c r="CS623" s="56"/>
      <c r="CT623" s="56"/>
      <c r="CU623" s="56"/>
      <c r="CV623" s="56"/>
      <c r="CW623" s="56"/>
      <c r="CX623" s="56"/>
      <c r="CY623" s="56"/>
      <c r="CZ623" s="56"/>
      <c r="DA623" s="56"/>
      <c r="DB623" s="56"/>
      <c r="DC623" s="56"/>
      <c r="DD623" s="56"/>
      <c r="DE623" s="56"/>
      <c r="DF623" s="56"/>
      <c r="DG623" s="56"/>
      <c r="DH623" s="56"/>
      <c r="DI623" s="56"/>
      <c r="DJ623" s="56"/>
      <c r="DK623" s="56"/>
      <c r="DL623" s="56"/>
      <c r="DM623" s="56"/>
      <c r="DN623" s="56"/>
      <c r="DO623" s="56"/>
      <c r="DP623" s="56"/>
      <c r="DQ623" s="56"/>
      <c r="DR623" s="56"/>
      <c r="DS623" s="56"/>
      <c r="DT623" s="56"/>
      <c r="DU623" s="56"/>
      <c r="DV623" s="56"/>
      <c r="DW623" s="56"/>
      <c r="DX623" s="56"/>
      <c r="DY623" s="56"/>
      <c r="DZ623" s="56"/>
      <c r="EA623" s="56"/>
      <c r="EB623" s="56"/>
      <c r="EC623" s="56"/>
      <c r="ED623" s="56"/>
      <c r="EE623" s="56"/>
      <c r="EF623" s="56"/>
      <c r="EG623" s="56"/>
      <c r="EH623" s="56"/>
      <c r="EI623" s="56"/>
      <c r="EJ623" s="56"/>
      <c r="EK623" s="56"/>
      <c r="EL623" s="56"/>
      <c r="EM623" s="56"/>
      <c r="EN623" s="56"/>
      <c r="EO623" s="56"/>
      <c r="EP623" s="56"/>
      <c r="EQ623" s="56"/>
      <c r="ER623" s="56"/>
      <c r="ES623" s="56"/>
      <c r="ET623" s="56"/>
      <c r="EU623" s="56"/>
      <c r="EV623" s="56"/>
      <c r="EW623" s="56"/>
      <c r="EX623" s="56"/>
      <c r="EY623" s="56"/>
      <c r="EZ623" s="56"/>
      <c r="FA623" s="56"/>
      <c r="FB623" s="56"/>
      <c r="FC623" s="56"/>
      <c r="FD623" s="56"/>
      <c r="FE623" s="56"/>
      <c r="FF623" s="56"/>
      <c r="FG623" s="56"/>
      <c r="FH623" s="56"/>
      <c r="FI623" s="56"/>
      <c r="FJ623" s="56"/>
      <c r="FK623" s="56"/>
      <c r="FL623" s="56"/>
      <c r="FM623" s="56"/>
      <c r="FN623" s="56"/>
      <c r="FO623" s="56"/>
      <c r="FP623" s="56"/>
      <c r="FQ623" s="56"/>
      <c r="FR623" s="56"/>
      <c r="FS623" s="56"/>
      <c r="FT623" s="56"/>
      <c r="FU623" s="56"/>
      <c r="FV623" s="56"/>
      <c r="FW623" s="56"/>
      <c r="FX623" s="56"/>
      <c r="FY623" s="56"/>
      <c r="FZ623" s="56"/>
      <c r="GA623" s="56"/>
      <c r="GB623" s="56"/>
      <c r="GC623" s="56"/>
      <c r="GD623" s="56"/>
      <c r="GE623" s="56"/>
      <c r="GF623" s="56"/>
      <c r="GG623" s="56"/>
      <c r="GH623" s="56"/>
      <c r="GI623" s="56"/>
      <c r="GJ623" s="56"/>
      <c r="GK623" s="56"/>
      <c r="GL623" s="56"/>
      <c r="GM623" s="56"/>
      <c r="GN623" s="56"/>
      <c r="GO623" s="56"/>
      <c r="GP623" s="56"/>
      <c r="GQ623" s="56"/>
      <c r="GR623" s="56"/>
      <c r="GS623" s="56"/>
      <c r="GT623" s="56"/>
      <c r="GU623" s="56"/>
      <c r="GV623" s="56"/>
      <c r="GW623" s="56"/>
      <c r="GX623" s="56"/>
      <c r="GY623" s="56"/>
      <c r="GZ623" s="56"/>
      <c r="HA623" s="56"/>
      <c r="HB623" s="56"/>
      <c r="HC623" s="56"/>
      <c r="HD623" s="56"/>
      <c r="HE623" s="56"/>
      <c r="HF623" s="56"/>
      <c r="HG623" s="56"/>
      <c r="HH623" s="56"/>
      <c r="HI623" s="56"/>
      <c r="HJ623" s="56"/>
    </row>
    <row r="624" spans="1:218" ht="15.75" customHeight="1" x14ac:dyDescent="0.2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  <c r="BV624" s="56"/>
      <c r="BW624" s="56"/>
      <c r="BX624" s="56"/>
      <c r="BY624" s="56"/>
      <c r="BZ624" s="56"/>
      <c r="CA624" s="56"/>
      <c r="CB624" s="56"/>
      <c r="CC624" s="56"/>
      <c r="CD624" s="56"/>
      <c r="CE624" s="56"/>
      <c r="CF624" s="56"/>
      <c r="CG624" s="56"/>
      <c r="CH624" s="56"/>
      <c r="CI624" s="56"/>
      <c r="CJ624" s="56"/>
      <c r="CK624" s="56"/>
      <c r="CL624" s="56"/>
      <c r="CM624" s="56"/>
      <c r="CN624" s="56"/>
      <c r="CO624" s="56"/>
      <c r="CP624" s="56"/>
      <c r="CQ624" s="56"/>
      <c r="CR624" s="56"/>
      <c r="CS624" s="56"/>
      <c r="CT624" s="56"/>
      <c r="CU624" s="56"/>
      <c r="CV624" s="56"/>
      <c r="CW624" s="56"/>
      <c r="CX624" s="56"/>
      <c r="CY624" s="56"/>
      <c r="CZ624" s="56"/>
      <c r="DA624" s="56"/>
      <c r="DB624" s="56"/>
      <c r="DC624" s="56"/>
      <c r="DD624" s="56"/>
      <c r="DE624" s="56"/>
      <c r="DF624" s="56"/>
      <c r="DG624" s="56"/>
      <c r="DH624" s="56"/>
      <c r="DI624" s="56"/>
      <c r="DJ624" s="56"/>
      <c r="DK624" s="56"/>
      <c r="DL624" s="56"/>
      <c r="DM624" s="56"/>
      <c r="DN624" s="56"/>
      <c r="DO624" s="56"/>
      <c r="DP624" s="56"/>
      <c r="DQ624" s="56"/>
      <c r="DR624" s="56"/>
      <c r="DS624" s="56"/>
      <c r="DT624" s="56"/>
      <c r="DU624" s="56"/>
      <c r="DV624" s="56"/>
      <c r="DW624" s="56"/>
      <c r="DX624" s="56"/>
      <c r="DY624" s="56"/>
      <c r="DZ624" s="56"/>
      <c r="EA624" s="56"/>
      <c r="EB624" s="56"/>
      <c r="EC624" s="56"/>
      <c r="ED624" s="56"/>
      <c r="EE624" s="56"/>
      <c r="EF624" s="56"/>
      <c r="EG624" s="56"/>
      <c r="EH624" s="56"/>
      <c r="EI624" s="56"/>
      <c r="EJ624" s="56"/>
      <c r="EK624" s="56"/>
      <c r="EL624" s="56"/>
      <c r="EM624" s="56"/>
      <c r="EN624" s="56"/>
      <c r="EO624" s="56"/>
      <c r="EP624" s="56"/>
      <c r="EQ624" s="56"/>
      <c r="ER624" s="56"/>
      <c r="ES624" s="56"/>
      <c r="ET624" s="56"/>
      <c r="EU624" s="56"/>
      <c r="EV624" s="56"/>
      <c r="EW624" s="56"/>
      <c r="EX624" s="56"/>
      <c r="EY624" s="56"/>
      <c r="EZ624" s="56"/>
      <c r="FA624" s="56"/>
      <c r="FB624" s="56"/>
      <c r="FC624" s="56"/>
      <c r="FD624" s="56"/>
      <c r="FE624" s="56"/>
      <c r="FF624" s="56"/>
      <c r="FG624" s="56"/>
      <c r="FH624" s="56"/>
      <c r="FI624" s="56"/>
      <c r="FJ624" s="56"/>
      <c r="FK624" s="56"/>
      <c r="FL624" s="56"/>
      <c r="FM624" s="56"/>
      <c r="FN624" s="56"/>
      <c r="FO624" s="56"/>
      <c r="FP624" s="56"/>
      <c r="FQ624" s="56"/>
      <c r="FR624" s="56"/>
      <c r="FS624" s="56"/>
      <c r="FT624" s="56"/>
      <c r="FU624" s="56"/>
      <c r="FV624" s="56"/>
      <c r="FW624" s="56"/>
      <c r="FX624" s="56"/>
      <c r="FY624" s="56"/>
      <c r="FZ624" s="56"/>
      <c r="GA624" s="56"/>
      <c r="GB624" s="56"/>
      <c r="GC624" s="56"/>
      <c r="GD624" s="56"/>
      <c r="GE624" s="56"/>
      <c r="GF624" s="56"/>
      <c r="GG624" s="56"/>
      <c r="GH624" s="56"/>
      <c r="GI624" s="56"/>
      <c r="GJ624" s="56"/>
      <c r="GK624" s="56"/>
      <c r="GL624" s="56"/>
      <c r="GM624" s="56"/>
      <c r="GN624" s="56"/>
      <c r="GO624" s="56"/>
      <c r="GP624" s="56"/>
      <c r="GQ624" s="56"/>
      <c r="GR624" s="56"/>
      <c r="GS624" s="56"/>
      <c r="GT624" s="56"/>
      <c r="GU624" s="56"/>
      <c r="GV624" s="56"/>
      <c r="GW624" s="56"/>
      <c r="GX624" s="56"/>
      <c r="GY624" s="56"/>
      <c r="GZ624" s="56"/>
      <c r="HA624" s="56"/>
      <c r="HB624" s="56"/>
      <c r="HC624" s="56"/>
      <c r="HD624" s="56"/>
      <c r="HE624" s="56"/>
      <c r="HF624" s="56"/>
      <c r="HG624" s="56"/>
      <c r="HH624" s="56"/>
      <c r="HI624" s="56"/>
      <c r="HJ624" s="56"/>
    </row>
    <row r="625" spans="1:218" ht="15.75" customHeight="1" x14ac:dyDescent="0.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  <c r="BV625" s="56"/>
      <c r="BW625" s="56"/>
      <c r="BX625" s="56"/>
      <c r="BY625" s="56"/>
      <c r="BZ625" s="56"/>
      <c r="CA625" s="56"/>
      <c r="CB625" s="56"/>
      <c r="CC625" s="56"/>
      <c r="CD625" s="56"/>
      <c r="CE625" s="56"/>
      <c r="CF625" s="56"/>
      <c r="CG625" s="56"/>
      <c r="CH625" s="56"/>
      <c r="CI625" s="56"/>
      <c r="CJ625" s="56"/>
      <c r="CK625" s="56"/>
      <c r="CL625" s="56"/>
      <c r="CM625" s="56"/>
      <c r="CN625" s="56"/>
      <c r="CO625" s="56"/>
      <c r="CP625" s="56"/>
      <c r="CQ625" s="56"/>
      <c r="CR625" s="56"/>
      <c r="CS625" s="56"/>
      <c r="CT625" s="56"/>
      <c r="CU625" s="56"/>
      <c r="CV625" s="56"/>
      <c r="CW625" s="56"/>
      <c r="CX625" s="56"/>
      <c r="CY625" s="56"/>
      <c r="CZ625" s="56"/>
      <c r="DA625" s="56"/>
      <c r="DB625" s="56"/>
      <c r="DC625" s="56"/>
      <c r="DD625" s="56"/>
      <c r="DE625" s="56"/>
      <c r="DF625" s="56"/>
      <c r="DG625" s="56"/>
      <c r="DH625" s="56"/>
      <c r="DI625" s="56"/>
      <c r="DJ625" s="56"/>
      <c r="DK625" s="56"/>
      <c r="DL625" s="56"/>
      <c r="DM625" s="56"/>
      <c r="DN625" s="56"/>
      <c r="DO625" s="56"/>
      <c r="DP625" s="56"/>
      <c r="DQ625" s="56"/>
      <c r="DR625" s="56"/>
      <c r="DS625" s="56"/>
      <c r="DT625" s="56"/>
      <c r="DU625" s="56"/>
      <c r="DV625" s="56"/>
      <c r="DW625" s="56"/>
      <c r="DX625" s="56"/>
      <c r="DY625" s="56"/>
      <c r="DZ625" s="56"/>
      <c r="EA625" s="56"/>
      <c r="EB625" s="56"/>
      <c r="EC625" s="56"/>
      <c r="ED625" s="56"/>
      <c r="EE625" s="56"/>
      <c r="EF625" s="56"/>
      <c r="EG625" s="56"/>
      <c r="EH625" s="56"/>
      <c r="EI625" s="56"/>
      <c r="EJ625" s="56"/>
      <c r="EK625" s="56"/>
      <c r="EL625" s="56"/>
      <c r="EM625" s="56"/>
      <c r="EN625" s="56"/>
      <c r="EO625" s="56"/>
      <c r="EP625" s="56"/>
      <c r="EQ625" s="56"/>
      <c r="ER625" s="56"/>
      <c r="ES625" s="56"/>
      <c r="ET625" s="56"/>
      <c r="EU625" s="56"/>
      <c r="EV625" s="56"/>
      <c r="EW625" s="56"/>
      <c r="EX625" s="56"/>
      <c r="EY625" s="56"/>
      <c r="EZ625" s="56"/>
      <c r="FA625" s="56"/>
      <c r="FB625" s="56"/>
      <c r="FC625" s="56"/>
      <c r="FD625" s="56"/>
      <c r="FE625" s="56"/>
      <c r="FF625" s="56"/>
      <c r="FG625" s="56"/>
      <c r="FH625" s="56"/>
      <c r="FI625" s="56"/>
      <c r="FJ625" s="56"/>
      <c r="FK625" s="56"/>
      <c r="FL625" s="56"/>
      <c r="FM625" s="56"/>
      <c r="FN625" s="56"/>
      <c r="FO625" s="56"/>
      <c r="FP625" s="56"/>
      <c r="FQ625" s="56"/>
      <c r="FR625" s="56"/>
      <c r="FS625" s="56"/>
      <c r="FT625" s="56"/>
      <c r="FU625" s="56"/>
      <c r="FV625" s="56"/>
      <c r="FW625" s="56"/>
      <c r="FX625" s="56"/>
      <c r="FY625" s="56"/>
      <c r="FZ625" s="56"/>
      <c r="GA625" s="56"/>
      <c r="GB625" s="56"/>
      <c r="GC625" s="56"/>
      <c r="GD625" s="56"/>
      <c r="GE625" s="56"/>
      <c r="GF625" s="56"/>
      <c r="GG625" s="56"/>
      <c r="GH625" s="56"/>
      <c r="GI625" s="56"/>
      <c r="GJ625" s="56"/>
      <c r="GK625" s="56"/>
      <c r="GL625" s="56"/>
      <c r="GM625" s="56"/>
      <c r="GN625" s="56"/>
      <c r="GO625" s="56"/>
      <c r="GP625" s="56"/>
      <c r="GQ625" s="56"/>
      <c r="GR625" s="56"/>
      <c r="GS625" s="56"/>
      <c r="GT625" s="56"/>
      <c r="GU625" s="56"/>
      <c r="GV625" s="56"/>
      <c r="GW625" s="56"/>
      <c r="GX625" s="56"/>
      <c r="GY625" s="56"/>
      <c r="GZ625" s="56"/>
      <c r="HA625" s="56"/>
      <c r="HB625" s="56"/>
      <c r="HC625" s="56"/>
      <c r="HD625" s="56"/>
      <c r="HE625" s="56"/>
      <c r="HF625" s="56"/>
      <c r="HG625" s="56"/>
      <c r="HH625" s="56"/>
      <c r="HI625" s="56"/>
      <c r="HJ625" s="56"/>
    </row>
    <row r="626" spans="1:218" ht="15.75" customHeight="1" x14ac:dyDescent="0.2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  <c r="BV626" s="56"/>
      <c r="BW626" s="56"/>
      <c r="BX626" s="56"/>
      <c r="BY626" s="56"/>
      <c r="BZ626" s="56"/>
      <c r="CA626" s="56"/>
      <c r="CB626" s="56"/>
      <c r="CC626" s="56"/>
      <c r="CD626" s="56"/>
      <c r="CE626" s="56"/>
      <c r="CF626" s="56"/>
      <c r="CG626" s="56"/>
      <c r="CH626" s="56"/>
      <c r="CI626" s="56"/>
      <c r="CJ626" s="56"/>
      <c r="CK626" s="56"/>
      <c r="CL626" s="56"/>
      <c r="CM626" s="56"/>
      <c r="CN626" s="56"/>
      <c r="CO626" s="56"/>
      <c r="CP626" s="56"/>
      <c r="CQ626" s="56"/>
      <c r="CR626" s="56"/>
      <c r="CS626" s="56"/>
      <c r="CT626" s="56"/>
      <c r="CU626" s="56"/>
      <c r="CV626" s="56"/>
      <c r="CW626" s="56"/>
      <c r="CX626" s="56"/>
      <c r="CY626" s="56"/>
      <c r="CZ626" s="56"/>
      <c r="DA626" s="56"/>
      <c r="DB626" s="56"/>
      <c r="DC626" s="56"/>
      <c r="DD626" s="56"/>
      <c r="DE626" s="56"/>
      <c r="DF626" s="56"/>
      <c r="DG626" s="56"/>
      <c r="DH626" s="56"/>
      <c r="DI626" s="56"/>
      <c r="DJ626" s="56"/>
      <c r="DK626" s="56"/>
      <c r="DL626" s="56"/>
      <c r="DM626" s="56"/>
      <c r="DN626" s="56"/>
      <c r="DO626" s="56"/>
      <c r="DP626" s="56"/>
      <c r="DQ626" s="56"/>
      <c r="DR626" s="56"/>
      <c r="DS626" s="56"/>
      <c r="DT626" s="56"/>
      <c r="DU626" s="56"/>
      <c r="DV626" s="56"/>
      <c r="DW626" s="56"/>
      <c r="DX626" s="56"/>
      <c r="DY626" s="56"/>
      <c r="DZ626" s="56"/>
      <c r="EA626" s="56"/>
      <c r="EB626" s="56"/>
      <c r="EC626" s="56"/>
      <c r="ED626" s="56"/>
      <c r="EE626" s="56"/>
      <c r="EF626" s="56"/>
      <c r="EG626" s="56"/>
      <c r="EH626" s="56"/>
      <c r="EI626" s="56"/>
      <c r="EJ626" s="56"/>
      <c r="EK626" s="56"/>
      <c r="EL626" s="56"/>
      <c r="EM626" s="56"/>
      <c r="EN626" s="56"/>
      <c r="EO626" s="56"/>
      <c r="EP626" s="56"/>
      <c r="EQ626" s="56"/>
      <c r="ER626" s="56"/>
      <c r="ES626" s="56"/>
      <c r="ET626" s="56"/>
      <c r="EU626" s="56"/>
      <c r="EV626" s="56"/>
      <c r="EW626" s="56"/>
      <c r="EX626" s="56"/>
      <c r="EY626" s="56"/>
      <c r="EZ626" s="56"/>
      <c r="FA626" s="56"/>
      <c r="FB626" s="56"/>
      <c r="FC626" s="56"/>
      <c r="FD626" s="56"/>
      <c r="FE626" s="56"/>
      <c r="FF626" s="56"/>
      <c r="FG626" s="56"/>
      <c r="FH626" s="56"/>
      <c r="FI626" s="56"/>
      <c r="FJ626" s="56"/>
      <c r="FK626" s="56"/>
      <c r="FL626" s="56"/>
      <c r="FM626" s="56"/>
      <c r="FN626" s="56"/>
      <c r="FO626" s="56"/>
      <c r="FP626" s="56"/>
      <c r="FQ626" s="56"/>
      <c r="FR626" s="56"/>
      <c r="FS626" s="56"/>
      <c r="FT626" s="56"/>
      <c r="FU626" s="56"/>
      <c r="FV626" s="56"/>
      <c r="FW626" s="56"/>
      <c r="FX626" s="56"/>
      <c r="FY626" s="56"/>
      <c r="FZ626" s="56"/>
      <c r="GA626" s="56"/>
      <c r="GB626" s="56"/>
      <c r="GC626" s="56"/>
      <c r="GD626" s="56"/>
      <c r="GE626" s="56"/>
      <c r="GF626" s="56"/>
      <c r="GG626" s="56"/>
      <c r="GH626" s="56"/>
      <c r="GI626" s="56"/>
      <c r="GJ626" s="56"/>
      <c r="GK626" s="56"/>
      <c r="GL626" s="56"/>
      <c r="GM626" s="56"/>
      <c r="GN626" s="56"/>
      <c r="GO626" s="56"/>
      <c r="GP626" s="56"/>
      <c r="GQ626" s="56"/>
      <c r="GR626" s="56"/>
      <c r="GS626" s="56"/>
      <c r="GT626" s="56"/>
      <c r="GU626" s="56"/>
      <c r="GV626" s="56"/>
      <c r="GW626" s="56"/>
      <c r="GX626" s="56"/>
      <c r="GY626" s="56"/>
      <c r="GZ626" s="56"/>
      <c r="HA626" s="56"/>
      <c r="HB626" s="56"/>
      <c r="HC626" s="56"/>
      <c r="HD626" s="56"/>
      <c r="HE626" s="56"/>
      <c r="HF626" s="56"/>
      <c r="HG626" s="56"/>
      <c r="HH626" s="56"/>
      <c r="HI626" s="56"/>
      <c r="HJ626" s="56"/>
    </row>
    <row r="627" spans="1:218" ht="15.75" customHeight="1" x14ac:dyDescent="0.2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  <c r="BV627" s="56"/>
      <c r="BW627" s="56"/>
      <c r="BX627" s="56"/>
      <c r="BY627" s="56"/>
      <c r="BZ627" s="56"/>
      <c r="CA627" s="56"/>
      <c r="CB627" s="56"/>
      <c r="CC627" s="56"/>
      <c r="CD627" s="56"/>
      <c r="CE627" s="56"/>
      <c r="CF627" s="56"/>
      <c r="CG627" s="56"/>
      <c r="CH627" s="56"/>
      <c r="CI627" s="56"/>
      <c r="CJ627" s="56"/>
      <c r="CK627" s="56"/>
      <c r="CL627" s="56"/>
      <c r="CM627" s="56"/>
      <c r="CN627" s="56"/>
      <c r="CO627" s="56"/>
      <c r="CP627" s="56"/>
      <c r="CQ627" s="56"/>
      <c r="CR627" s="56"/>
      <c r="CS627" s="56"/>
      <c r="CT627" s="56"/>
      <c r="CU627" s="56"/>
      <c r="CV627" s="56"/>
      <c r="CW627" s="56"/>
      <c r="CX627" s="56"/>
      <c r="CY627" s="56"/>
      <c r="CZ627" s="56"/>
      <c r="DA627" s="56"/>
      <c r="DB627" s="56"/>
      <c r="DC627" s="56"/>
      <c r="DD627" s="56"/>
      <c r="DE627" s="56"/>
      <c r="DF627" s="56"/>
      <c r="DG627" s="56"/>
      <c r="DH627" s="56"/>
      <c r="DI627" s="56"/>
      <c r="DJ627" s="56"/>
      <c r="DK627" s="56"/>
      <c r="DL627" s="56"/>
      <c r="DM627" s="56"/>
      <c r="DN627" s="56"/>
      <c r="DO627" s="56"/>
      <c r="DP627" s="56"/>
      <c r="DQ627" s="56"/>
      <c r="DR627" s="56"/>
      <c r="DS627" s="56"/>
      <c r="DT627" s="56"/>
      <c r="DU627" s="56"/>
      <c r="DV627" s="56"/>
      <c r="DW627" s="56"/>
      <c r="DX627" s="56"/>
      <c r="DY627" s="56"/>
      <c r="DZ627" s="56"/>
      <c r="EA627" s="56"/>
      <c r="EB627" s="56"/>
      <c r="EC627" s="56"/>
      <c r="ED627" s="56"/>
      <c r="EE627" s="56"/>
      <c r="EF627" s="56"/>
      <c r="EG627" s="56"/>
      <c r="EH627" s="56"/>
      <c r="EI627" s="56"/>
      <c r="EJ627" s="56"/>
      <c r="EK627" s="56"/>
      <c r="EL627" s="56"/>
      <c r="EM627" s="56"/>
      <c r="EN627" s="56"/>
      <c r="EO627" s="56"/>
      <c r="EP627" s="56"/>
      <c r="EQ627" s="56"/>
      <c r="ER627" s="56"/>
      <c r="ES627" s="56"/>
      <c r="ET627" s="56"/>
      <c r="EU627" s="56"/>
      <c r="EV627" s="56"/>
      <c r="EW627" s="56"/>
      <c r="EX627" s="56"/>
      <c r="EY627" s="56"/>
      <c r="EZ627" s="56"/>
      <c r="FA627" s="56"/>
      <c r="FB627" s="56"/>
      <c r="FC627" s="56"/>
      <c r="FD627" s="56"/>
      <c r="FE627" s="56"/>
      <c r="FF627" s="56"/>
      <c r="FG627" s="56"/>
      <c r="FH627" s="56"/>
      <c r="FI627" s="56"/>
      <c r="FJ627" s="56"/>
      <c r="FK627" s="56"/>
      <c r="FL627" s="56"/>
      <c r="FM627" s="56"/>
      <c r="FN627" s="56"/>
      <c r="FO627" s="56"/>
      <c r="FP627" s="56"/>
      <c r="FQ627" s="56"/>
      <c r="FR627" s="56"/>
      <c r="FS627" s="56"/>
      <c r="FT627" s="56"/>
      <c r="FU627" s="56"/>
      <c r="FV627" s="56"/>
      <c r="FW627" s="56"/>
      <c r="FX627" s="56"/>
      <c r="FY627" s="56"/>
      <c r="FZ627" s="56"/>
      <c r="GA627" s="56"/>
      <c r="GB627" s="56"/>
      <c r="GC627" s="56"/>
      <c r="GD627" s="56"/>
      <c r="GE627" s="56"/>
      <c r="GF627" s="56"/>
      <c r="GG627" s="56"/>
      <c r="GH627" s="56"/>
      <c r="GI627" s="56"/>
      <c r="GJ627" s="56"/>
      <c r="GK627" s="56"/>
      <c r="GL627" s="56"/>
      <c r="GM627" s="56"/>
      <c r="GN627" s="56"/>
      <c r="GO627" s="56"/>
      <c r="GP627" s="56"/>
      <c r="GQ627" s="56"/>
      <c r="GR627" s="56"/>
      <c r="GS627" s="56"/>
      <c r="GT627" s="56"/>
      <c r="GU627" s="56"/>
      <c r="GV627" s="56"/>
      <c r="GW627" s="56"/>
      <c r="GX627" s="56"/>
      <c r="GY627" s="56"/>
      <c r="GZ627" s="56"/>
      <c r="HA627" s="56"/>
      <c r="HB627" s="56"/>
      <c r="HC627" s="56"/>
      <c r="HD627" s="56"/>
      <c r="HE627" s="56"/>
      <c r="HF627" s="56"/>
      <c r="HG627" s="56"/>
      <c r="HH627" s="56"/>
      <c r="HI627" s="56"/>
      <c r="HJ627" s="56"/>
    </row>
    <row r="628" spans="1:218" ht="15.75" customHeight="1" x14ac:dyDescent="0.2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  <c r="BV628" s="56"/>
      <c r="BW628" s="56"/>
      <c r="BX628" s="56"/>
      <c r="BY628" s="56"/>
      <c r="BZ628" s="56"/>
      <c r="CA628" s="56"/>
      <c r="CB628" s="56"/>
      <c r="CC628" s="56"/>
      <c r="CD628" s="56"/>
      <c r="CE628" s="56"/>
      <c r="CF628" s="56"/>
      <c r="CG628" s="56"/>
      <c r="CH628" s="56"/>
      <c r="CI628" s="56"/>
      <c r="CJ628" s="56"/>
      <c r="CK628" s="56"/>
      <c r="CL628" s="56"/>
      <c r="CM628" s="56"/>
      <c r="CN628" s="56"/>
      <c r="CO628" s="56"/>
      <c r="CP628" s="56"/>
      <c r="CQ628" s="56"/>
      <c r="CR628" s="56"/>
      <c r="CS628" s="56"/>
      <c r="CT628" s="56"/>
      <c r="CU628" s="56"/>
      <c r="CV628" s="56"/>
      <c r="CW628" s="56"/>
      <c r="CX628" s="56"/>
      <c r="CY628" s="56"/>
      <c r="CZ628" s="56"/>
      <c r="DA628" s="56"/>
      <c r="DB628" s="56"/>
      <c r="DC628" s="56"/>
      <c r="DD628" s="56"/>
      <c r="DE628" s="56"/>
      <c r="DF628" s="56"/>
      <c r="DG628" s="56"/>
      <c r="DH628" s="56"/>
      <c r="DI628" s="56"/>
      <c r="DJ628" s="56"/>
      <c r="DK628" s="56"/>
      <c r="DL628" s="56"/>
      <c r="DM628" s="56"/>
      <c r="DN628" s="56"/>
      <c r="DO628" s="56"/>
      <c r="DP628" s="56"/>
      <c r="DQ628" s="56"/>
      <c r="DR628" s="56"/>
      <c r="DS628" s="56"/>
      <c r="DT628" s="56"/>
      <c r="DU628" s="56"/>
      <c r="DV628" s="56"/>
      <c r="DW628" s="56"/>
      <c r="DX628" s="56"/>
      <c r="DY628" s="56"/>
      <c r="DZ628" s="56"/>
      <c r="EA628" s="56"/>
      <c r="EB628" s="56"/>
      <c r="EC628" s="56"/>
      <c r="ED628" s="56"/>
      <c r="EE628" s="56"/>
      <c r="EF628" s="56"/>
      <c r="EG628" s="56"/>
      <c r="EH628" s="56"/>
      <c r="EI628" s="56"/>
      <c r="EJ628" s="56"/>
      <c r="EK628" s="56"/>
      <c r="EL628" s="56"/>
      <c r="EM628" s="56"/>
      <c r="EN628" s="56"/>
      <c r="EO628" s="56"/>
      <c r="EP628" s="56"/>
      <c r="EQ628" s="56"/>
      <c r="ER628" s="56"/>
      <c r="ES628" s="56"/>
      <c r="ET628" s="56"/>
      <c r="EU628" s="56"/>
      <c r="EV628" s="56"/>
      <c r="EW628" s="56"/>
      <c r="EX628" s="56"/>
      <c r="EY628" s="56"/>
      <c r="EZ628" s="56"/>
      <c r="FA628" s="56"/>
      <c r="FB628" s="56"/>
      <c r="FC628" s="56"/>
      <c r="FD628" s="56"/>
      <c r="FE628" s="56"/>
      <c r="FF628" s="56"/>
      <c r="FG628" s="56"/>
      <c r="FH628" s="56"/>
      <c r="FI628" s="56"/>
      <c r="FJ628" s="56"/>
      <c r="FK628" s="56"/>
      <c r="FL628" s="56"/>
      <c r="FM628" s="56"/>
      <c r="FN628" s="56"/>
      <c r="FO628" s="56"/>
      <c r="FP628" s="56"/>
      <c r="FQ628" s="56"/>
      <c r="FR628" s="56"/>
      <c r="FS628" s="56"/>
      <c r="FT628" s="56"/>
      <c r="FU628" s="56"/>
      <c r="FV628" s="56"/>
      <c r="FW628" s="56"/>
      <c r="FX628" s="56"/>
      <c r="FY628" s="56"/>
      <c r="FZ628" s="56"/>
      <c r="GA628" s="56"/>
      <c r="GB628" s="56"/>
      <c r="GC628" s="56"/>
      <c r="GD628" s="56"/>
      <c r="GE628" s="56"/>
      <c r="GF628" s="56"/>
      <c r="GG628" s="56"/>
      <c r="GH628" s="56"/>
      <c r="GI628" s="56"/>
      <c r="GJ628" s="56"/>
      <c r="GK628" s="56"/>
      <c r="GL628" s="56"/>
      <c r="GM628" s="56"/>
      <c r="GN628" s="56"/>
      <c r="GO628" s="56"/>
      <c r="GP628" s="56"/>
      <c r="GQ628" s="56"/>
      <c r="GR628" s="56"/>
      <c r="GS628" s="56"/>
      <c r="GT628" s="56"/>
      <c r="GU628" s="56"/>
      <c r="GV628" s="56"/>
      <c r="GW628" s="56"/>
      <c r="GX628" s="56"/>
      <c r="GY628" s="56"/>
      <c r="GZ628" s="56"/>
      <c r="HA628" s="56"/>
      <c r="HB628" s="56"/>
      <c r="HC628" s="56"/>
      <c r="HD628" s="56"/>
      <c r="HE628" s="56"/>
      <c r="HF628" s="56"/>
      <c r="HG628" s="56"/>
      <c r="HH628" s="56"/>
      <c r="HI628" s="56"/>
      <c r="HJ628" s="56"/>
    </row>
    <row r="629" spans="1:218" ht="15.75" customHeight="1" x14ac:dyDescent="0.2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  <c r="BV629" s="56"/>
      <c r="BW629" s="56"/>
      <c r="BX629" s="56"/>
      <c r="BY629" s="56"/>
      <c r="BZ629" s="56"/>
      <c r="CA629" s="56"/>
      <c r="CB629" s="56"/>
      <c r="CC629" s="56"/>
      <c r="CD629" s="56"/>
      <c r="CE629" s="56"/>
      <c r="CF629" s="56"/>
      <c r="CG629" s="56"/>
      <c r="CH629" s="56"/>
      <c r="CI629" s="56"/>
      <c r="CJ629" s="56"/>
      <c r="CK629" s="56"/>
      <c r="CL629" s="56"/>
      <c r="CM629" s="56"/>
      <c r="CN629" s="56"/>
      <c r="CO629" s="56"/>
      <c r="CP629" s="56"/>
      <c r="CQ629" s="56"/>
      <c r="CR629" s="56"/>
      <c r="CS629" s="56"/>
      <c r="CT629" s="56"/>
      <c r="CU629" s="56"/>
      <c r="CV629" s="56"/>
      <c r="CW629" s="56"/>
      <c r="CX629" s="56"/>
      <c r="CY629" s="56"/>
      <c r="CZ629" s="56"/>
      <c r="DA629" s="56"/>
      <c r="DB629" s="56"/>
      <c r="DC629" s="56"/>
      <c r="DD629" s="56"/>
      <c r="DE629" s="56"/>
      <c r="DF629" s="56"/>
      <c r="DG629" s="56"/>
      <c r="DH629" s="56"/>
      <c r="DI629" s="56"/>
      <c r="DJ629" s="56"/>
      <c r="DK629" s="56"/>
      <c r="DL629" s="56"/>
      <c r="DM629" s="56"/>
      <c r="DN629" s="56"/>
      <c r="DO629" s="56"/>
      <c r="DP629" s="56"/>
      <c r="DQ629" s="56"/>
      <c r="DR629" s="56"/>
      <c r="DS629" s="56"/>
      <c r="DT629" s="56"/>
      <c r="DU629" s="56"/>
      <c r="DV629" s="56"/>
      <c r="DW629" s="56"/>
      <c r="DX629" s="56"/>
      <c r="DY629" s="56"/>
      <c r="DZ629" s="56"/>
      <c r="EA629" s="56"/>
      <c r="EB629" s="56"/>
      <c r="EC629" s="56"/>
      <c r="ED629" s="56"/>
      <c r="EE629" s="56"/>
      <c r="EF629" s="56"/>
      <c r="EG629" s="56"/>
      <c r="EH629" s="56"/>
      <c r="EI629" s="56"/>
      <c r="EJ629" s="56"/>
      <c r="EK629" s="56"/>
      <c r="EL629" s="56"/>
      <c r="EM629" s="56"/>
      <c r="EN629" s="56"/>
      <c r="EO629" s="56"/>
      <c r="EP629" s="56"/>
      <c r="EQ629" s="56"/>
      <c r="ER629" s="56"/>
      <c r="ES629" s="56"/>
      <c r="ET629" s="56"/>
      <c r="EU629" s="56"/>
      <c r="EV629" s="56"/>
      <c r="EW629" s="56"/>
      <c r="EX629" s="56"/>
      <c r="EY629" s="56"/>
      <c r="EZ629" s="56"/>
      <c r="FA629" s="56"/>
      <c r="FB629" s="56"/>
      <c r="FC629" s="56"/>
      <c r="FD629" s="56"/>
      <c r="FE629" s="56"/>
      <c r="FF629" s="56"/>
      <c r="FG629" s="56"/>
      <c r="FH629" s="56"/>
      <c r="FI629" s="56"/>
      <c r="FJ629" s="56"/>
      <c r="FK629" s="56"/>
      <c r="FL629" s="56"/>
      <c r="FM629" s="56"/>
      <c r="FN629" s="56"/>
      <c r="FO629" s="56"/>
      <c r="FP629" s="56"/>
      <c r="FQ629" s="56"/>
      <c r="FR629" s="56"/>
      <c r="FS629" s="56"/>
      <c r="FT629" s="56"/>
      <c r="FU629" s="56"/>
      <c r="FV629" s="56"/>
      <c r="FW629" s="56"/>
      <c r="FX629" s="56"/>
      <c r="FY629" s="56"/>
      <c r="FZ629" s="56"/>
      <c r="GA629" s="56"/>
      <c r="GB629" s="56"/>
      <c r="GC629" s="56"/>
      <c r="GD629" s="56"/>
      <c r="GE629" s="56"/>
      <c r="GF629" s="56"/>
      <c r="GG629" s="56"/>
      <c r="GH629" s="56"/>
      <c r="GI629" s="56"/>
      <c r="GJ629" s="56"/>
      <c r="GK629" s="56"/>
      <c r="GL629" s="56"/>
      <c r="GM629" s="56"/>
      <c r="GN629" s="56"/>
      <c r="GO629" s="56"/>
      <c r="GP629" s="56"/>
      <c r="GQ629" s="56"/>
      <c r="GR629" s="56"/>
      <c r="GS629" s="56"/>
      <c r="GT629" s="56"/>
      <c r="GU629" s="56"/>
      <c r="GV629" s="56"/>
      <c r="GW629" s="56"/>
      <c r="GX629" s="56"/>
      <c r="GY629" s="56"/>
      <c r="GZ629" s="56"/>
      <c r="HA629" s="56"/>
      <c r="HB629" s="56"/>
      <c r="HC629" s="56"/>
      <c r="HD629" s="56"/>
      <c r="HE629" s="56"/>
      <c r="HF629" s="56"/>
      <c r="HG629" s="56"/>
      <c r="HH629" s="56"/>
      <c r="HI629" s="56"/>
      <c r="HJ629" s="56"/>
    </row>
    <row r="630" spans="1:218" ht="15.75" customHeight="1" x14ac:dyDescent="0.2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  <c r="BV630" s="56"/>
      <c r="BW630" s="56"/>
      <c r="BX630" s="56"/>
      <c r="BY630" s="56"/>
      <c r="BZ630" s="56"/>
      <c r="CA630" s="56"/>
      <c r="CB630" s="56"/>
      <c r="CC630" s="56"/>
      <c r="CD630" s="56"/>
      <c r="CE630" s="56"/>
      <c r="CF630" s="56"/>
      <c r="CG630" s="56"/>
      <c r="CH630" s="56"/>
      <c r="CI630" s="56"/>
      <c r="CJ630" s="56"/>
      <c r="CK630" s="56"/>
      <c r="CL630" s="56"/>
      <c r="CM630" s="56"/>
      <c r="CN630" s="56"/>
      <c r="CO630" s="56"/>
      <c r="CP630" s="56"/>
      <c r="CQ630" s="56"/>
      <c r="CR630" s="56"/>
      <c r="CS630" s="56"/>
      <c r="CT630" s="56"/>
      <c r="CU630" s="56"/>
      <c r="CV630" s="56"/>
      <c r="CW630" s="56"/>
      <c r="CX630" s="56"/>
      <c r="CY630" s="56"/>
      <c r="CZ630" s="56"/>
      <c r="DA630" s="56"/>
      <c r="DB630" s="56"/>
      <c r="DC630" s="56"/>
      <c r="DD630" s="56"/>
      <c r="DE630" s="56"/>
      <c r="DF630" s="56"/>
      <c r="DG630" s="56"/>
      <c r="DH630" s="56"/>
      <c r="DI630" s="56"/>
      <c r="DJ630" s="56"/>
      <c r="DK630" s="56"/>
      <c r="DL630" s="56"/>
      <c r="DM630" s="56"/>
      <c r="DN630" s="56"/>
      <c r="DO630" s="56"/>
      <c r="DP630" s="56"/>
      <c r="DQ630" s="56"/>
      <c r="DR630" s="56"/>
      <c r="DS630" s="56"/>
      <c r="DT630" s="56"/>
      <c r="DU630" s="56"/>
      <c r="DV630" s="56"/>
      <c r="DW630" s="56"/>
      <c r="DX630" s="56"/>
      <c r="DY630" s="56"/>
      <c r="DZ630" s="56"/>
      <c r="EA630" s="56"/>
      <c r="EB630" s="56"/>
      <c r="EC630" s="56"/>
      <c r="ED630" s="56"/>
      <c r="EE630" s="56"/>
      <c r="EF630" s="56"/>
      <c r="EG630" s="56"/>
      <c r="EH630" s="56"/>
      <c r="EI630" s="56"/>
      <c r="EJ630" s="56"/>
      <c r="EK630" s="56"/>
      <c r="EL630" s="56"/>
      <c r="EM630" s="56"/>
      <c r="EN630" s="56"/>
      <c r="EO630" s="56"/>
      <c r="EP630" s="56"/>
      <c r="EQ630" s="56"/>
      <c r="ER630" s="56"/>
      <c r="ES630" s="56"/>
      <c r="ET630" s="56"/>
      <c r="EU630" s="56"/>
      <c r="EV630" s="56"/>
      <c r="EW630" s="56"/>
      <c r="EX630" s="56"/>
      <c r="EY630" s="56"/>
      <c r="EZ630" s="56"/>
      <c r="FA630" s="56"/>
      <c r="FB630" s="56"/>
      <c r="FC630" s="56"/>
      <c r="FD630" s="56"/>
      <c r="FE630" s="56"/>
      <c r="FF630" s="56"/>
      <c r="FG630" s="56"/>
      <c r="FH630" s="56"/>
      <c r="FI630" s="56"/>
      <c r="FJ630" s="56"/>
      <c r="FK630" s="56"/>
      <c r="FL630" s="56"/>
      <c r="FM630" s="56"/>
      <c r="FN630" s="56"/>
      <c r="FO630" s="56"/>
      <c r="FP630" s="56"/>
      <c r="FQ630" s="56"/>
      <c r="FR630" s="56"/>
      <c r="FS630" s="56"/>
      <c r="FT630" s="56"/>
      <c r="FU630" s="56"/>
      <c r="FV630" s="56"/>
      <c r="FW630" s="56"/>
      <c r="FX630" s="56"/>
      <c r="FY630" s="56"/>
      <c r="FZ630" s="56"/>
      <c r="GA630" s="56"/>
      <c r="GB630" s="56"/>
      <c r="GC630" s="56"/>
      <c r="GD630" s="56"/>
      <c r="GE630" s="56"/>
      <c r="GF630" s="56"/>
      <c r="GG630" s="56"/>
      <c r="GH630" s="56"/>
      <c r="GI630" s="56"/>
      <c r="GJ630" s="56"/>
      <c r="GK630" s="56"/>
      <c r="GL630" s="56"/>
      <c r="GM630" s="56"/>
      <c r="GN630" s="56"/>
      <c r="GO630" s="56"/>
      <c r="GP630" s="56"/>
      <c r="GQ630" s="56"/>
      <c r="GR630" s="56"/>
      <c r="GS630" s="56"/>
      <c r="GT630" s="56"/>
      <c r="GU630" s="56"/>
      <c r="GV630" s="56"/>
      <c r="GW630" s="56"/>
      <c r="GX630" s="56"/>
      <c r="GY630" s="56"/>
      <c r="GZ630" s="56"/>
      <c r="HA630" s="56"/>
      <c r="HB630" s="56"/>
      <c r="HC630" s="56"/>
      <c r="HD630" s="56"/>
      <c r="HE630" s="56"/>
      <c r="HF630" s="56"/>
      <c r="HG630" s="56"/>
      <c r="HH630" s="56"/>
      <c r="HI630" s="56"/>
      <c r="HJ630" s="56"/>
    </row>
    <row r="631" spans="1:218" ht="15.75" customHeight="1" x14ac:dyDescent="0.2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  <c r="BV631" s="56"/>
      <c r="BW631" s="56"/>
      <c r="BX631" s="56"/>
      <c r="BY631" s="56"/>
      <c r="BZ631" s="56"/>
      <c r="CA631" s="56"/>
      <c r="CB631" s="56"/>
      <c r="CC631" s="56"/>
      <c r="CD631" s="56"/>
      <c r="CE631" s="56"/>
      <c r="CF631" s="56"/>
      <c r="CG631" s="56"/>
      <c r="CH631" s="56"/>
      <c r="CI631" s="56"/>
      <c r="CJ631" s="56"/>
      <c r="CK631" s="56"/>
      <c r="CL631" s="56"/>
      <c r="CM631" s="56"/>
      <c r="CN631" s="56"/>
      <c r="CO631" s="56"/>
      <c r="CP631" s="56"/>
      <c r="CQ631" s="56"/>
      <c r="CR631" s="56"/>
      <c r="CS631" s="56"/>
      <c r="CT631" s="56"/>
      <c r="CU631" s="56"/>
      <c r="CV631" s="56"/>
      <c r="CW631" s="56"/>
      <c r="CX631" s="56"/>
      <c r="CY631" s="56"/>
      <c r="CZ631" s="56"/>
      <c r="DA631" s="56"/>
      <c r="DB631" s="56"/>
      <c r="DC631" s="56"/>
      <c r="DD631" s="56"/>
      <c r="DE631" s="56"/>
      <c r="DF631" s="56"/>
      <c r="DG631" s="56"/>
      <c r="DH631" s="56"/>
      <c r="DI631" s="56"/>
      <c r="DJ631" s="56"/>
      <c r="DK631" s="56"/>
      <c r="DL631" s="56"/>
      <c r="DM631" s="56"/>
      <c r="DN631" s="56"/>
      <c r="DO631" s="56"/>
      <c r="DP631" s="56"/>
      <c r="DQ631" s="56"/>
      <c r="DR631" s="56"/>
      <c r="DS631" s="56"/>
      <c r="DT631" s="56"/>
      <c r="DU631" s="56"/>
      <c r="DV631" s="56"/>
      <c r="DW631" s="56"/>
      <c r="DX631" s="56"/>
      <c r="DY631" s="56"/>
      <c r="DZ631" s="56"/>
      <c r="EA631" s="56"/>
      <c r="EB631" s="56"/>
      <c r="EC631" s="56"/>
      <c r="ED631" s="56"/>
      <c r="EE631" s="56"/>
      <c r="EF631" s="56"/>
      <c r="EG631" s="56"/>
      <c r="EH631" s="56"/>
      <c r="EI631" s="56"/>
      <c r="EJ631" s="56"/>
      <c r="EK631" s="56"/>
      <c r="EL631" s="56"/>
      <c r="EM631" s="56"/>
      <c r="EN631" s="56"/>
      <c r="EO631" s="56"/>
      <c r="EP631" s="56"/>
      <c r="EQ631" s="56"/>
      <c r="ER631" s="56"/>
      <c r="ES631" s="56"/>
      <c r="ET631" s="56"/>
      <c r="EU631" s="56"/>
      <c r="EV631" s="56"/>
      <c r="EW631" s="56"/>
      <c r="EX631" s="56"/>
      <c r="EY631" s="56"/>
      <c r="EZ631" s="56"/>
      <c r="FA631" s="56"/>
      <c r="FB631" s="56"/>
      <c r="FC631" s="56"/>
      <c r="FD631" s="56"/>
      <c r="FE631" s="56"/>
      <c r="FF631" s="56"/>
      <c r="FG631" s="56"/>
      <c r="FH631" s="56"/>
      <c r="FI631" s="56"/>
      <c r="FJ631" s="56"/>
      <c r="FK631" s="56"/>
      <c r="FL631" s="56"/>
      <c r="FM631" s="56"/>
      <c r="FN631" s="56"/>
      <c r="FO631" s="56"/>
      <c r="FP631" s="56"/>
      <c r="FQ631" s="56"/>
      <c r="FR631" s="56"/>
      <c r="FS631" s="56"/>
      <c r="FT631" s="56"/>
      <c r="FU631" s="56"/>
      <c r="FV631" s="56"/>
      <c r="FW631" s="56"/>
      <c r="FX631" s="56"/>
      <c r="FY631" s="56"/>
      <c r="FZ631" s="56"/>
      <c r="GA631" s="56"/>
      <c r="GB631" s="56"/>
      <c r="GC631" s="56"/>
      <c r="GD631" s="56"/>
      <c r="GE631" s="56"/>
      <c r="GF631" s="56"/>
      <c r="GG631" s="56"/>
      <c r="GH631" s="56"/>
      <c r="GI631" s="56"/>
      <c r="GJ631" s="56"/>
      <c r="GK631" s="56"/>
      <c r="GL631" s="56"/>
      <c r="GM631" s="56"/>
      <c r="GN631" s="56"/>
      <c r="GO631" s="56"/>
      <c r="GP631" s="56"/>
      <c r="GQ631" s="56"/>
      <c r="GR631" s="56"/>
      <c r="GS631" s="56"/>
      <c r="GT631" s="56"/>
      <c r="GU631" s="56"/>
      <c r="GV631" s="56"/>
      <c r="GW631" s="56"/>
      <c r="GX631" s="56"/>
      <c r="GY631" s="56"/>
      <c r="GZ631" s="56"/>
      <c r="HA631" s="56"/>
      <c r="HB631" s="56"/>
      <c r="HC631" s="56"/>
      <c r="HD631" s="56"/>
      <c r="HE631" s="56"/>
      <c r="HF631" s="56"/>
      <c r="HG631" s="56"/>
      <c r="HH631" s="56"/>
      <c r="HI631" s="56"/>
      <c r="HJ631" s="56"/>
    </row>
    <row r="632" spans="1:218" ht="15.75" customHeight="1" x14ac:dyDescent="0.2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6"/>
      <c r="CA632" s="56"/>
      <c r="CB632" s="56"/>
      <c r="CC632" s="56"/>
      <c r="CD632" s="56"/>
      <c r="CE632" s="56"/>
      <c r="CF632" s="56"/>
      <c r="CG632" s="56"/>
      <c r="CH632" s="56"/>
      <c r="CI632" s="56"/>
      <c r="CJ632" s="56"/>
      <c r="CK632" s="56"/>
      <c r="CL632" s="56"/>
      <c r="CM632" s="56"/>
      <c r="CN632" s="56"/>
      <c r="CO632" s="56"/>
      <c r="CP632" s="56"/>
      <c r="CQ632" s="56"/>
      <c r="CR632" s="56"/>
      <c r="CS632" s="56"/>
      <c r="CT632" s="56"/>
      <c r="CU632" s="56"/>
      <c r="CV632" s="56"/>
      <c r="CW632" s="56"/>
      <c r="CX632" s="56"/>
      <c r="CY632" s="56"/>
      <c r="CZ632" s="56"/>
      <c r="DA632" s="56"/>
      <c r="DB632" s="56"/>
      <c r="DC632" s="56"/>
      <c r="DD632" s="56"/>
      <c r="DE632" s="56"/>
      <c r="DF632" s="56"/>
      <c r="DG632" s="56"/>
      <c r="DH632" s="56"/>
      <c r="DI632" s="56"/>
      <c r="DJ632" s="56"/>
      <c r="DK632" s="56"/>
      <c r="DL632" s="56"/>
      <c r="DM632" s="56"/>
      <c r="DN632" s="56"/>
      <c r="DO632" s="56"/>
      <c r="DP632" s="56"/>
      <c r="DQ632" s="56"/>
      <c r="DR632" s="56"/>
      <c r="DS632" s="56"/>
      <c r="DT632" s="56"/>
      <c r="DU632" s="56"/>
      <c r="DV632" s="56"/>
      <c r="DW632" s="56"/>
      <c r="DX632" s="56"/>
      <c r="DY632" s="56"/>
      <c r="DZ632" s="56"/>
      <c r="EA632" s="56"/>
      <c r="EB632" s="56"/>
      <c r="EC632" s="56"/>
      <c r="ED632" s="56"/>
      <c r="EE632" s="56"/>
      <c r="EF632" s="56"/>
      <c r="EG632" s="56"/>
      <c r="EH632" s="56"/>
      <c r="EI632" s="56"/>
      <c r="EJ632" s="56"/>
      <c r="EK632" s="56"/>
      <c r="EL632" s="56"/>
      <c r="EM632" s="56"/>
      <c r="EN632" s="56"/>
      <c r="EO632" s="56"/>
      <c r="EP632" s="56"/>
      <c r="EQ632" s="56"/>
      <c r="ER632" s="56"/>
      <c r="ES632" s="56"/>
      <c r="ET632" s="56"/>
      <c r="EU632" s="56"/>
      <c r="EV632" s="56"/>
      <c r="EW632" s="56"/>
      <c r="EX632" s="56"/>
      <c r="EY632" s="56"/>
      <c r="EZ632" s="56"/>
      <c r="FA632" s="56"/>
      <c r="FB632" s="56"/>
      <c r="FC632" s="56"/>
      <c r="FD632" s="56"/>
      <c r="FE632" s="56"/>
      <c r="FF632" s="56"/>
      <c r="FG632" s="56"/>
      <c r="FH632" s="56"/>
      <c r="FI632" s="56"/>
      <c r="FJ632" s="56"/>
      <c r="FK632" s="56"/>
      <c r="FL632" s="56"/>
      <c r="FM632" s="56"/>
      <c r="FN632" s="56"/>
      <c r="FO632" s="56"/>
      <c r="FP632" s="56"/>
      <c r="FQ632" s="56"/>
      <c r="FR632" s="56"/>
      <c r="FS632" s="56"/>
      <c r="FT632" s="56"/>
      <c r="FU632" s="56"/>
      <c r="FV632" s="56"/>
      <c r="FW632" s="56"/>
      <c r="FX632" s="56"/>
      <c r="FY632" s="56"/>
      <c r="FZ632" s="56"/>
      <c r="GA632" s="56"/>
      <c r="GB632" s="56"/>
      <c r="GC632" s="56"/>
      <c r="GD632" s="56"/>
      <c r="GE632" s="56"/>
      <c r="GF632" s="56"/>
      <c r="GG632" s="56"/>
      <c r="GH632" s="56"/>
      <c r="GI632" s="56"/>
      <c r="GJ632" s="56"/>
      <c r="GK632" s="56"/>
      <c r="GL632" s="56"/>
      <c r="GM632" s="56"/>
      <c r="GN632" s="56"/>
      <c r="GO632" s="56"/>
      <c r="GP632" s="56"/>
      <c r="GQ632" s="56"/>
      <c r="GR632" s="56"/>
      <c r="GS632" s="56"/>
      <c r="GT632" s="56"/>
      <c r="GU632" s="56"/>
      <c r="GV632" s="56"/>
      <c r="GW632" s="56"/>
      <c r="GX632" s="56"/>
      <c r="GY632" s="56"/>
      <c r="GZ632" s="56"/>
      <c r="HA632" s="56"/>
      <c r="HB632" s="56"/>
      <c r="HC632" s="56"/>
      <c r="HD632" s="56"/>
      <c r="HE632" s="56"/>
      <c r="HF632" s="56"/>
      <c r="HG632" s="56"/>
      <c r="HH632" s="56"/>
      <c r="HI632" s="56"/>
      <c r="HJ632" s="56"/>
    </row>
    <row r="633" spans="1:218" ht="15.75" customHeight="1" x14ac:dyDescent="0.2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  <c r="BV633" s="56"/>
      <c r="BW633" s="56"/>
      <c r="BX633" s="56"/>
      <c r="BY633" s="56"/>
      <c r="BZ633" s="56"/>
      <c r="CA633" s="56"/>
      <c r="CB633" s="56"/>
      <c r="CC633" s="56"/>
      <c r="CD633" s="56"/>
      <c r="CE633" s="56"/>
      <c r="CF633" s="56"/>
      <c r="CG633" s="56"/>
      <c r="CH633" s="56"/>
      <c r="CI633" s="56"/>
      <c r="CJ633" s="56"/>
      <c r="CK633" s="56"/>
      <c r="CL633" s="56"/>
      <c r="CM633" s="56"/>
      <c r="CN633" s="56"/>
      <c r="CO633" s="56"/>
      <c r="CP633" s="56"/>
      <c r="CQ633" s="56"/>
      <c r="CR633" s="56"/>
      <c r="CS633" s="56"/>
      <c r="CT633" s="56"/>
      <c r="CU633" s="56"/>
      <c r="CV633" s="56"/>
      <c r="CW633" s="56"/>
      <c r="CX633" s="56"/>
      <c r="CY633" s="56"/>
      <c r="CZ633" s="56"/>
      <c r="DA633" s="56"/>
      <c r="DB633" s="56"/>
      <c r="DC633" s="56"/>
      <c r="DD633" s="56"/>
      <c r="DE633" s="56"/>
      <c r="DF633" s="56"/>
      <c r="DG633" s="56"/>
      <c r="DH633" s="56"/>
      <c r="DI633" s="56"/>
      <c r="DJ633" s="56"/>
      <c r="DK633" s="56"/>
      <c r="DL633" s="56"/>
      <c r="DM633" s="56"/>
      <c r="DN633" s="56"/>
      <c r="DO633" s="56"/>
      <c r="DP633" s="56"/>
      <c r="DQ633" s="56"/>
      <c r="DR633" s="56"/>
      <c r="DS633" s="56"/>
      <c r="DT633" s="56"/>
      <c r="DU633" s="56"/>
      <c r="DV633" s="56"/>
      <c r="DW633" s="56"/>
      <c r="DX633" s="56"/>
      <c r="DY633" s="56"/>
      <c r="DZ633" s="56"/>
      <c r="EA633" s="56"/>
      <c r="EB633" s="56"/>
      <c r="EC633" s="56"/>
      <c r="ED633" s="56"/>
      <c r="EE633" s="56"/>
      <c r="EF633" s="56"/>
      <c r="EG633" s="56"/>
      <c r="EH633" s="56"/>
      <c r="EI633" s="56"/>
      <c r="EJ633" s="56"/>
      <c r="EK633" s="56"/>
      <c r="EL633" s="56"/>
      <c r="EM633" s="56"/>
      <c r="EN633" s="56"/>
      <c r="EO633" s="56"/>
      <c r="EP633" s="56"/>
      <c r="EQ633" s="56"/>
      <c r="ER633" s="56"/>
      <c r="ES633" s="56"/>
      <c r="ET633" s="56"/>
      <c r="EU633" s="56"/>
      <c r="EV633" s="56"/>
      <c r="EW633" s="56"/>
      <c r="EX633" s="56"/>
      <c r="EY633" s="56"/>
      <c r="EZ633" s="56"/>
      <c r="FA633" s="56"/>
      <c r="FB633" s="56"/>
      <c r="FC633" s="56"/>
      <c r="FD633" s="56"/>
      <c r="FE633" s="56"/>
      <c r="FF633" s="56"/>
      <c r="FG633" s="56"/>
      <c r="FH633" s="56"/>
      <c r="FI633" s="56"/>
      <c r="FJ633" s="56"/>
      <c r="FK633" s="56"/>
      <c r="FL633" s="56"/>
      <c r="FM633" s="56"/>
      <c r="FN633" s="56"/>
      <c r="FO633" s="56"/>
      <c r="FP633" s="56"/>
      <c r="FQ633" s="56"/>
      <c r="FR633" s="56"/>
      <c r="FS633" s="56"/>
      <c r="FT633" s="56"/>
      <c r="FU633" s="56"/>
      <c r="FV633" s="56"/>
      <c r="FW633" s="56"/>
      <c r="FX633" s="56"/>
      <c r="FY633" s="56"/>
      <c r="FZ633" s="56"/>
      <c r="GA633" s="56"/>
      <c r="GB633" s="56"/>
      <c r="GC633" s="56"/>
      <c r="GD633" s="56"/>
      <c r="GE633" s="56"/>
      <c r="GF633" s="56"/>
      <c r="GG633" s="56"/>
      <c r="GH633" s="56"/>
      <c r="GI633" s="56"/>
      <c r="GJ633" s="56"/>
      <c r="GK633" s="56"/>
      <c r="GL633" s="56"/>
      <c r="GM633" s="56"/>
      <c r="GN633" s="56"/>
      <c r="GO633" s="56"/>
      <c r="GP633" s="56"/>
      <c r="GQ633" s="56"/>
      <c r="GR633" s="56"/>
      <c r="GS633" s="56"/>
      <c r="GT633" s="56"/>
      <c r="GU633" s="56"/>
      <c r="GV633" s="56"/>
      <c r="GW633" s="56"/>
      <c r="GX633" s="56"/>
      <c r="GY633" s="56"/>
      <c r="GZ633" s="56"/>
      <c r="HA633" s="56"/>
      <c r="HB633" s="56"/>
      <c r="HC633" s="56"/>
      <c r="HD633" s="56"/>
      <c r="HE633" s="56"/>
      <c r="HF633" s="56"/>
      <c r="HG633" s="56"/>
      <c r="HH633" s="56"/>
      <c r="HI633" s="56"/>
      <c r="HJ633" s="56"/>
    </row>
    <row r="634" spans="1:218" ht="15.75" customHeight="1" x14ac:dyDescent="0.2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  <c r="BV634" s="56"/>
      <c r="BW634" s="56"/>
      <c r="BX634" s="56"/>
      <c r="BY634" s="56"/>
      <c r="BZ634" s="56"/>
      <c r="CA634" s="56"/>
      <c r="CB634" s="56"/>
      <c r="CC634" s="56"/>
      <c r="CD634" s="56"/>
      <c r="CE634" s="56"/>
      <c r="CF634" s="56"/>
      <c r="CG634" s="56"/>
      <c r="CH634" s="56"/>
      <c r="CI634" s="56"/>
      <c r="CJ634" s="56"/>
      <c r="CK634" s="56"/>
      <c r="CL634" s="56"/>
      <c r="CM634" s="56"/>
      <c r="CN634" s="56"/>
      <c r="CO634" s="56"/>
      <c r="CP634" s="56"/>
      <c r="CQ634" s="56"/>
      <c r="CR634" s="56"/>
      <c r="CS634" s="56"/>
      <c r="CT634" s="56"/>
      <c r="CU634" s="56"/>
      <c r="CV634" s="56"/>
      <c r="CW634" s="56"/>
      <c r="CX634" s="56"/>
      <c r="CY634" s="56"/>
      <c r="CZ634" s="56"/>
      <c r="DA634" s="56"/>
      <c r="DB634" s="56"/>
      <c r="DC634" s="56"/>
      <c r="DD634" s="56"/>
      <c r="DE634" s="56"/>
      <c r="DF634" s="56"/>
      <c r="DG634" s="56"/>
      <c r="DH634" s="56"/>
      <c r="DI634" s="56"/>
      <c r="DJ634" s="56"/>
      <c r="DK634" s="56"/>
      <c r="DL634" s="56"/>
      <c r="DM634" s="56"/>
      <c r="DN634" s="56"/>
      <c r="DO634" s="56"/>
      <c r="DP634" s="56"/>
      <c r="DQ634" s="56"/>
      <c r="DR634" s="56"/>
      <c r="DS634" s="56"/>
      <c r="DT634" s="56"/>
      <c r="DU634" s="56"/>
      <c r="DV634" s="56"/>
      <c r="DW634" s="56"/>
      <c r="DX634" s="56"/>
      <c r="DY634" s="56"/>
      <c r="DZ634" s="56"/>
      <c r="EA634" s="56"/>
      <c r="EB634" s="56"/>
      <c r="EC634" s="56"/>
      <c r="ED634" s="56"/>
      <c r="EE634" s="56"/>
      <c r="EF634" s="56"/>
      <c r="EG634" s="56"/>
      <c r="EH634" s="56"/>
      <c r="EI634" s="56"/>
      <c r="EJ634" s="56"/>
      <c r="EK634" s="56"/>
      <c r="EL634" s="56"/>
      <c r="EM634" s="56"/>
      <c r="EN634" s="56"/>
      <c r="EO634" s="56"/>
      <c r="EP634" s="56"/>
      <c r="EQ634" s="56"/>
      <c r="ER634" s="56"/>
      <c r="ES634" s="56"/>
      <c r="ET634" s="56"/>
      <c r="EU634" s="56"/>
      <c r="EV634" s="56"/>
      <c r="EW634" s="56"/>
      <c r="EX634" s="56"/>
      <c r="EY634" s="56"/>
      <c r="EZ634" s="56"/>
      <c r="FA634" s="56"/>
      <c r="FB634" s="56"/>
      <c r="FC634" s="56"/>
      <c r="FD634" s="56"/>
      <c r="FE634" s="56"/>
      <c r="FF634" s="56"/>
      <c r="FG634" s="56"/>
      <c r="FH634" s="56"/>
      <c r="FI634" s="56"/>
      <c r="FJ634" s="56"/>
      <c r="FK634" s="56"/>
      <c r="FL634" s="56"/>
      <c r="FM634" s="56"/>
      <c r="FN634" s="56"/>
      <c r="FO634" s="56"/>
      <c r="FP634" s="56"/>
      <c r="FQ634" s="56"/>
      <c r="FR634" s="56"/>
      <c r="FS634" s="56"/>
      <c r="FT634" s="56"/>
      <c r="FU634" s="56"/>
      <c r="FV634" s="56"/>
      <c r="FW634" s="56"/>
      <c r="FX634" s="56"/>
      <c r="FY634" s="56"/>
      <c r="FZ634" s="56"/>
      <c r="GA634" s="56"/>
      <c r="GB634" s="56"/>
      <c r="GC634" s="56"/>
      <c r="GD634" s="56"/>
      <c r="GE634" s="56"/>
      <c r="GF634" s="56"/>
      <c r="GG634" s="56"/>
      <c r="GH634" s="56"/>
      <c r="GI634" s="56"/>
      <c r="GJ634" s="56"/>
      <c r="GK634" s="56"/>
      <c r="GL634" s="56"/>
      <c r="GM634" s="56"/>
      <c r="GN634" s="56"/>
      <c r="GO634" s="56"/>
      <c r="GP634" s="56"/>
      <c r="GQ634" s="56"/>
      <c r="GR634" s="56"/>
      <c r="GS634" s="56"/>
      <c r="GT634" s="56"/>
      <c r="GU634" s="56"/>
      <c r="GV634" s="56"/>
      <c r="GW634" s="56"/>
      <c r="GX634" s="56"/>
      <c r="GY634" s="56"/>
      <c r="GZ634" s="56"/>
      <c r="HA634" s="56"/>
      <c r="HB634" s="56"/>
      <c r="HC634" s="56"/>
      <c r="HD634" s="56"/>
      <c r="HE634" s="56"/>
      <c r="HF634" s="56"/>
      <c r="HG634" s="56"/>
      <c r="HH634" s="56"/>
      <c r="HI634" s="56"/>
      <c r="HJ634" s="56"/>
    </row>
    <row r="635" spans="1:218" ht="15.75" customHeight="1" x14ac:dyDescent="0.2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  <c r="BV635" s="56"/>
      <c r="BW635" s="56"/>
      <c r="BX635" s="56"/>
      <c r="BY635" s="56"/>
      <c r="BZ635" s="56"/>
      <c r="CA635" s="56"/>
      <c r="CB635" s="56"/>
      <c r="CC635" s="56"/>
      <c r="CD635" s="56"/>
      <c r="CE635" s="56"/>
      <c r="CF635" s="56"/>
      <c r="CG635" s="56"/>
      <c r="CH635" s="56"/>
      <c r="CI635" s="56"/>
      <c r="CJ635" s="56"/>
      <c r="CK635" s="56"/>
      <c r="CL635" s="56"/>
      <c r="CM635" s="56"/>
      <c r="CN635" s="56"/>
      <c r="CO635" s="56"/>
      <c r="CP635" s="56"/>
      <c r="CQ635" s="56"/>
      <c r="CR635" s="56"/>
      <c r="CS635" s="56"/>
      <c r="CT635" s="56"/>
      <c r="CU635" s="56"/>
      <c r="CV635" s="56"/>
      <c r="CW635" s="56"/>
      <c r="CX635" s="56"/>
      <c r="CY635" s="56"/>
      <c r="CZ635" s="56"/>
      <c r="DA635" s="56"/>
      <c r="DB635" s="56"/>
      <c r="DC635" s="56"/>
      <c r="DD635" s="56"/>
      <c r="DE635" s="56"/>
      <c r="DF635" s="56"/>
      <c r="DG635" s="56"/>
      <c r="DH635" s="56"/>
      <c r="DI635" s="56"/>
      <c r="DJ635" s="56"/>
      <c r="DK635" s="56"/>
      <c r="DL635" s="56"/>
      <c r="DM635" s="56"/>
      <c r="DN635" s="56"/>
      <c r="DO635" s="56"/>
      <c r="DP635" s="56"/>
      <c r="DQ635" s="56"/>
      <c r="DR635" s="56"/>
      <c r="DS635" s="56"/>
      <c r="DT635" s="56"/>
      <c r="DU635" s="56"/>
      <c r="DV635" s="56"/>
      <c r="DW635" s="56"/>
      <c r="DX635" s="56"/>
      <c r="DY635" s="56"/>
      <c r="DZ635" s="56"/>
      <c r="EA635" s="56"/>
      <c r="EB635" s="56"/>
      <c r="EC635" s="56"/>
      <c r="ED635" s="56"/>
      <c r="EE635" s="56"/>
      <c r="EF635" s="56"/>
      <c r="EG635" s="56"/>
      <c r="EH635" s="56"/>
      <c r="EI635" s="56"/>
      <c r="EJ635" s="56"/>
      <c r="EK635" s="56"/>
      <c r="EL635" s="56"/>
      <c r="EM635" s="56"/>
      <c r="EN635" s="56"/>
      <c r="EO635" s="56"/>
      <c r="EP635" s="56"/>
      <c r="EQ635" s="56"/>
      <c r="ER635" s="56"/>
      <c r="ES635" s="56"/>
      <c r="ET635" s="56"/>
      <c r="EU635" s="56"/>
      <c r="EV635" s="56"/>
      <c r="EW635" s="56"/>
      <c r="EX635" s="56"/>
      <c r="EY635" s="56"/>
      <c r="EZ635" s="56"/>
      <c r="FA635" s="56"/>
      <c r="FB635" s="56"/>
      <c r="FC635" s="56"/>
      <c r="FD635" s="56"/>
      <c r="FE635" s="56"/>
      <c r="FF635" s="56"/>
      <c r="FG635" s="56"/>
      <c r="FH635" s="56"/>
      <c r="FI635" s="56"/>
      <c r="FJ635" s="56"/>
      <c r="FK635" s="56"/>
      <c r="FL635" s="56"/>
      <c r="FM635" s="56"/>
      <c r="FN635" s="56"/>
      <c r="FO635" s="56"/>
      <c r="FP635" s="56"/>
      <c r="FQ635" s="56"/>
      <c r="FR635" s="56"/>
      <c r="FS635" s="56"/>
      <c r="FT635" s="56"/>
      <c r="FU635" s="56"/>
      <c r="FV635" s="56"/>
      <c r="FW635" s="56"/>
      <c r="FX635" s="56"/>
      <c r="FY635" s="56"/>
      <c r="FZ635" s="56"/>
      <c r="GA635" s="56"/>
      <c r="GB635" s="56"/>
      <c r="GC635" s="56"/>
      <c r="GD635" s="56"/>
      <c r="GE635" s="56"/>
      <c r="GF635" s="56"/>
      <c r="GG635" s="56"/>
      <c r="GH635" s="56"/>
      <c r="GI635" s="56"/>
      <c r="GJ635" s="56"/>
      <c r="GK635" s="56"/>
      <c r="GL635" s="56"/>
      <c r="GM635" s="56"/>
      <c r="GN635" s="56"/>
      <c r="GO635" s="56"/>
      <c r="GP635" s="56"/>
      <c r="GQ635" s="56"/>
      <c r="GR635" s="56"/>
      <c r="GS635" s="56"/>
      <c r="GT635" s="56"/>
      <c r="GU635" s="56"/>
      <c r="GV635" s="56"/>
      <c r="GW635" s="56"/>
      <c r="GX635" s="56"/>
      <c r="GY635" s="56"/>
      <c r="GZ635" s="56"/>
      <c r="HA635" s="56"/>
      <c r="HB635" s="56"/>
      <c r="HC635" s="56"/>
      <c r="HD635" s="56"/>
      <c r="HE635" s="56"/>
      <c r="HF635" s="56"/>
      <c r="HG635" s="56"/>
      <c r="HH635" s="56"/>
      <c r="HI635" s="56"/>
      <c r="HJ635" s="56"/>
    </row>
    <row r="636" spans="1:218" ht="15.75" customHeight="1" x14ac:dyDescent="0.2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  <c r="BV636" s="56"/>
      <c r="BW636" s="56"/>
      <c r="BX636" s="56"/>
      <c r="BY636" s="56"/>
      <c r="BZ636" s="56"/>
      <c r="CA636" s="56"/>
      <c r="CB636" s="56"/>
      <c r="CC636" s="56"/>
      <c r="CD636" s="56"/>
      <c r="CE636" s="56"/>
      <c r="CF636" s="56"/>
      <c r="CG636" s="56"/>
      <c r="CH636" s="56"/>
      <c r="CI636" s="56"/>
      <c r="CJ636" s="56"/>
      <c r="CK636" s="56"/>
      <c r="CL636" s="56"/>
      <c r="CM636" s="56"/>
      <c r="CN636" s="56"/>
      <c r="CO636" s="56"/>
      <c r="CP636" s="56"/>
      <c r="CQ636" s="56"/>
      <c r="CR636" s="56"/>
      <c r="CS636" s="56"/>
      <c r="CT636" s="56"/>
      <c r="CU636" s="56"/>
      <c r="CV636" s="56"/>
      <c r="CW636" s="56"/>
      <c r="CX636" s="56"/>
      <c r="CY636" s="56"/>
      <c r="CZ636" s="56"/>
      <c r="DA636" s="56"/>
      <c r="DB636" s="56"/>
      <c r="DC636" s="56"/>
      <c r="DD636" s="56"/>
      <c r="DE636" s="56"/>
      <c r="DF636" s="56"/>
      <c r="DG636" s="56"/>
      <c r="DH636" s="56"/>
      <c r="DI636" s="56"/>
      <c r="DJ636" s="56"/>
      <c r="DK636" s="56"/>
      <c r="DL636" s="56"/>
      <c r="DM636" s="56"/>
      <c r="DN636" s="56"/>
      <c r="DO636" s="56"/>
      <c r="DP636" s="56"/>
      <c r="DQ636" s="56"/>
      <c r="DR636" s="56"/>
      <c r="DS636" s="56"/>
      <c r="DT636" s="56"/>
      <c r="DU636" s="56"/>
      <c r="DV636" s="56"/>
      <c r="DW636" s="56"/>
      <c r="DX636" s="56"/>
      <c r="DY636" s="56"/>
      <c r="DZ636" s="56"/>
      <c r="EA636" s="56"/>
      <c r="EB636" s="56"/>
      <c r="EC636" s="56"/>
      <c r="ED636" s="56"/>
      <c r="EE636" s="56"/>
      <c r="EF636" s="56"/>
      <c r="EG636" s="56"/>
      <c r="EH636" s="56"/>
      <c r="EI636" s="56"/>
      <c r="EJ636" s="56"/>
      <c r="EK636" s="56"/>
      <c r="EL636" s="56"/>
      <c r="EM636" s="56"/>
      <c r="EN636" s="56"/>
      <c r="EO636" s="56"/>
      <c r="EP636" s="56"/>
      <c r="EQ636" s="56"/>
      <c r="ER636" s="56"/>
      <c r="ES636" s="56"/>
      <c r="ET636" s="56"/>
      <c r="EU636" s="56"/>
      <c r="EV636" s="56"/>
      <c r="EW636" s="56"/>
      <c r="EX636" s="56"/>
      <c r="EY636" s="56"/>
      <c r="EZ636" s="56"/>
      <c r="FA636" s="56"/>
      <c r="FB636" s="56"/>
      <c r="FC636" s="56"/>
      <c r="FD636" s="56"/>
      <c r="FE636" s="56"/>
      <c r="FF636" s="56"/>
      <c r="FG636" s="56"/>
      <c r="FH636" s="56"/>
      <c r="FI636" s="56"/>
      <c r="FJ636" s="56"/>
      <c r="FK636" s="56"/>
      <c r="FL636" s="56"/>
      <c r="FM636" s="56"/>
      <c r="FN636" s="56"/>
      <c r="FO636" s="56"/>
      <c r="FP636" s="56"/>
      <c r="FQ636" s="56"/>
      <c r="FR636" s="56"/>
      <c r="FS636" s="56"/>
      <c r="FT636" s="56"/>
      <c r="FU636" s="56"/>
      <c r="FV636" s="56"/>
      <c r="FW636" s="56"/>
      <c r="FX636" s="56"/>
      <c r="FY636" s="56"/>
      <c r="FZ636" s="56"/>
      <c r="GA636" s="56"/>
      <c r="GB636" s="56"/>
      <c r="GC636" s="56"/>
      <c r="GD636" s="56"/>
      <c r="GE636" s="56"/>
      <c r="GF636" s="56"/>
      <c r="GG636" s="56"/>
      <c r="GH636" s="56"/>
      <c r="GI636" s="56"/>
      <c r="GJ636" s="56"/>
      <c r="GK636" s="56"/>
      <c r="GL636" s="56"/>
      <c r="GM636" s="56"/>
      <c r="GN636" s="56"/>
      <c r="GO636" s="56"/>
      <c r="GP636" s="56"/>
      <c r="GQ636" s="56"/>
      <c r="GR636" s="56"/>
      <c r="GS636" s="56"/>
      <c r="GT636" s="56"/>
      <c r="GU636" s="56"/>
      <c r="GV636" s="56"/>
      <c r="GW636" s="56"/>
      <c r="GX636" s="56"/>
      <c r="GY636" s="56"/>
      <c r="GZ636" s="56"/>
      <c r="HA636" s="56"/>
      <c r="HB636" s="56"/>
      <c r="HC636" s="56"/>
      <c r="HD636" s="56"/>
      <c r="HE636" s="56"/>
      <c r="HF636" s="56"/>
      <c r="HG636" s="56"/>
      <c r="HH636" s="56"/>
      <c r="HI636" s="56"/>
      <c r="HJ636" s="56"/>
    </row>
    <row r="637" spans="1:218" ht="15.75" customHeight="1" x14ac:dyDescent="0.2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  <c r="BV637" s="56"/>
      <c r="BW637" s="56"/>
      <c r="BX637" s="56"/>
      <c r="BY637" s="56"/>
      <c r="BZ637" s="56"/>
      <c r="CA637" s="56"/>
      <c r="CB637" s="56"/>
      <c r="CC637" s="56"/>
      <c r="CD637" s="56"/>
      <c r="CE637" s="56"/>
      <c r="CF637" s="56"/>
      <c r="CG637" s="56"/>
      <c r="CH637" s="56"/>
      <c r="CI637" s="56"/>
      <c r="CJ637" s="56"/>
      <c r="CK637" s="56"/>
      <c r="CL637" s="56"/>
      <c r="CM637" s="56"/>
      <c r="CN637" s="56"/>
      <c r="CO637" s="56"/>
      <c r="CP637" s="56"/>
      <c r="CQ637" s="56"/>
      <c r="CR637" s="56"/>
      <c r="CS637" s="56"/>
      <c r="CT637" s="56"/>
      <c r="CU637" s="56"/>
      <c r="CV637" s="56"/>
      <c r="CW637" s="56"/>
      <c r="CX637" s="56"/>
      <c r="CY637" s="56"/>
      <c r="CZ637" s="56"/>
      <c r="DA637" s="56"/>
      <c r="DB637" s="56"/>
      <c r="DC637" s="56"/>
      <c r="DD637" s="56"/>
      <c r="DE637" s="56"/>
      <c r="DF637" s="56"/>
      <c r="DG637" s="56"/>
      <c r="DH637" s="56"/>
      <c r="DI637" s="56"/>
      <c r="DJ637" s="56"/>
      <c r="DK637" s="56"/>
      <c r="DL637" s="56"/>
      <c r="DM637" s="56"/>
      <c r="DN637" s="56"/>
      <c r="DO637" s="56"/>
      <c r="DP637" s="56"/>
      <c r="DQ637" s="56"/>
      <c r="DR637" s="56"/>
      <c r="DS637" s="56"/>
      <c r="DT637" s="56"/>
      <c r="DU637" s="56"/>
      <c r="DV637" s="56"/>
      <c r="DW637" s="56"/>
      <c r="DX637" s="56"/>
      <c r="DY637" s="56"/>
      <c r="DZ637" s="56"/>
      <c r="EA637" s="56"/>
      <c r="EB637" s="56"/>
      <c r="EC637" s="56"/>
      <c r="ED637" s="56"/>
      <c r="EE637" s="56"/>
      <c r="EF637" s="56"/>
      <c r="EG637" s="56"/>
      <c r="EH637" s="56"/>
      <c r="EI637" s="56"/>
      <c r="EJ637" s="56"/>
      <c r="EK637" s="56"/>
      <c r="EL637" s="56"/>
      <c r="EM637" s="56"/>
      <c r="EN637" s="56"/>
      <c r="EO637" s="56"/>
      <c r="EP637" s="56"/>
      <c r="EQ637" s="56"/>
      <c r="ER637" s="56"/>
      <c r="ES637" s="56"/>
      <c r="ET637" s="56"/>
      <c r="EU637" s="56"/>
      <c r="EV637" s="56"/>
      <c r="EW637" s="56"/>
      <c r="EX637" s="56"/>
      <c r="EY637" s="56"/>
      <c r="EZ637" s="56"/>
      <c r="FA637" s="56"/>
      <c r="FB637" s="56"/>
      <c r="FC637" s="56"/>
      <c r="FD637" s="56"/>
      <c r="FE637" s="56"/>
      <c r="FF637" s="56"/>
      <c r="FG637" s="56"/>
      <c r="FH637" s="56"/>
      <c r="FI637" s="56"/>
      <c r="FJ637" s="56"/>
      <c r="FK637" s="56"/>
      <c r="FL637" s="56"/>
      <c r="FM637" s="56"/>
      <c r="FN637" s="56"/>
      <c r="FO637" s="56"/>
      <c r="FP637" s="56"/>
      <c r="FQ637" s="56"/>
      <c r="FR637" s="56"/>
      <c r="FS637" s="56"/>
      <c r="FT637" s="56"/>
      <c r="FU637" s="56"/>
      <c r="FV637" s="56"/>
      <c r="FW637" s="56"/>
      <c r="FX637" s="56"/>
      <c r="FY637" s="56"/>
      <c r="FZ637" s="56"/>
      <c r="GA637" s="56"/>
      <c r="GB637" s="56"/>
      <c r="GC637" s="56"/>
      <c r="GD637" s="56"/>
      <c r="GE637" s="56"/>
      <c r="GF637" s="56"/>
      <c r="GG637" s="56"/>
      <c r="GH637" s="56"/>
      <c r="GI637" s="56"/>
      <c r="GJ637" s="56"/>
      <c r="GK637" s="56"/>
      <c r="GL637" s="56"/>
      <c r="GM637" s="56"/>
      <c r="GN637" s="56"/>
      <c r="GO637" s="56"/>
      <c r="GP637" s="56"/>
      <c r="GQ637" s="56"/>
      <c r="GR637" s="56"/>
      <c r="GS637" s="56"/>
      <c r="GT637" s="56"/>
      <c r="GU637" s="56"/>
      <c r="GV637" s="56"/>
      <c r="GW637" s="56"/>
      <c r="GX637" s="56"/>
      <c r="GY637" s="56"/>
      <c r="GZ637" s="56"/>
      <c r="HA637" s="56"/>
      <c r="HB637" s="56"/>
      <c r="HC637" s="56"/>
      <c r="HD637" s="56"/>
      <c r="HE637" s="56"/>
      <c r="HF637" s="56"/>
      <c r="HG637" s="56"/>
      <c r="HH637" s="56"/>
      <c r="HI637" s="56"/>
      <c r="HJ637" s="56"/>
    </row>
    <row r="638" spans="1:218" ht="15.75" customHeight="1" x14ac:dyDescent="0.2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  <c r="BV638" s="56"/>
      <c r="BW638" s="56"/>
      <c r="BX638" s="56"/>
      <c r="BY638" s="56"/>
      <c r="BZ638" s="56"/>
      <c r="CA638" s="56"/>
      <c r="CB638" s="56"/>
      <c r="CC638" s="56"/>
      <c r="CD638" s="56"/>
      <c r="CE638" s="56"/>
      <c r="CF638" s="56"/>
      <c r="CG638" s="56"/>
      <c r="CH638" s="56"/>
      <c r="CI638" s="56"/>
      <c r="CJ638" s="56"/>
      <c r="CK638" s="56"/>
      <c r="CL638" s="56"/>
      <c r="CM638" s="56"/>
      <c r="CN638" s="56"/>
      <c r="CO638" s="56"/>
      <c r="CP638" s="56"/>
      <c r="CQ638" s="56"/>
      <c r="CR638" s="56"/>
      <c r="CS638" s="56"/>
      <c r="CT638" s="56"/>
      <c r="CU638" s="56"/>
      <c r="CV638" s="56"/>
      <c r="CW638" s="56"/>
      <c r="CX638" s="56"/>
      <c r="CY638" s="56"/>
      <c r="CZ638" s="56"/>
      <c r="DA638" s="56"/>
      <c r="DB638" s="56"/>
      <c r="DC638" s="56"/>
      <c r="DD638" s="56"/>
      <c r="DE638" s="56"/>
      <c r="DF638" s="56"/>
      <c r="DG638" s="56"/>
      <c r="DH638" s="56"/>
      <c r="DI638" s="56"/>
      <c r="DJ638" s="56"/>
      <c r="DK638" s="56"/>
      <c r="DL638" s="56"/>
      <c r="DM638" s="56"/>
      <c r="DN638" s="56"/>
      <c r="DO638" s="56"/>
      <c r="DP638" s="56"/>
      <c r="DQ638" s="56"/>
      <c r="DR638" s="56"/>
      <c r="DS638" s="56"/>
      <c r="DT638" s="56"/>
      <c r="DU638" s="56"/>
      <c r="DV638" s="56"/>
      <c r="DW638" s="56"/>
      <c r="DX638" s="56"/>
      <c r="DY638" s="56"/>
      <c r="DZ638" s="56"/>
      <c r="EA638" s="56"/>
      <c r="EB638" s="56"/>
      <c r="EC638" s="56"/>
      <c r="ED638" s="56"/>
      <c r="EE638" s="56"/>
      <c r="EF638" s="56"/>
      <c r="EG638" s="56"/>
      <c r="EH638" s="56"/>
      <c r="EI638" s="56"/>
      <c r="EJ638" s="56"/>
      <c r="EK638" s="56"/>
      <c r="EL638" s="56"/>
      <c r="EM638" s="56"/>
      <c r="EN638" s="56"/>
      <c r="EO638" s="56"/>
      <c r="EP638" s="56"/>
      <c r="EQ638" s="56"/>
      <c r="ER638" s="56"/>
      <c r="ES638" s="56"/>
      <c r="ET638" s="56"/>
      <c r="EU638" s="56"/>
      <c r="EV638" s="56"/>
      <c r="EW638" s="56"/>
      <c r="EX638" s="56"/>
      <c r="EY638" s="56"/>
      <c r="EZ638" s="56"/>
      <c r="FA638" s="56"/>
      <c r="FB638" s="56"/>
      <c r="FC638" s="56"/>
      <c r="FD638" s="56"/>
      <c r="FE638" s="56"/>
      <c r="FF638" s="56"/>
      <c r="FG638" s="56"/>
      <c r="FH638" s="56"/>
      <c r="FI638" s="56"/>
      <c r="FJ638" s="56"/>
      <c r="FK638" s="56"/>
      <c r="FL638" s="56"/>
      <c r="FM638" s="56"/>
      <c r="FN638" s="56"/>
      <c r="FO638" s="56"/>
      <c r="FP638" s="56"/>
      <c r="FQ638" s="56"/>
      <c r="FR638" s="56"/>
      <c r="FS638" s="56"/>
      <c r="FT638" s="56"/>
      <c r="FU638" s="56"/>
      <c r="FV638" s="56"/>
      <c r="FW638" s="56"/>
      <c r="FX638" s="56"/>
      <c r="FY638" s="56"/>
      <c r="FZ638" s="56"/>
      <c r="GA638" s="56"/>
      <c r="GB638" s="56"/>
      <c r="GC638" s="56"/>
      <c r="GD638" s="56"/>
      <c r="GE638" s="56"/>
      <c r="GF638" s="56"/>
      <c r="GG638" s="56"/>
      <c r="GH638" s="56"/>
      <c r="GI638" s="56"/>
      <c r="GJ638" s="56"/>
      <c r="GK638" s="56"/>
      <c r="GL638" s="56"/>
      <c r="GM638" s="56"/>
      <c r="GN638" s="56"/>
      <c r="GO638" s="56"/>
      <c r="GP638" s="56"/>
      <c r="GQ638" s="56"/>
      <c r="GR638" s="56"/>
      <c r="GS638" s="56"/>
      <c r="GT638" s="56"/>
      <c r="GU638" s="56"/>
      <c r="GV638" s="56"/>
      <c r="GW638" s="56"/>
      <c r="GX638" s="56"/>
      <c r="GY638" s="56"/>
      <c r="GZ638" s="56"/>
      <c r="HA638" s="56"/>
      <c r="HB638" s="56"/>
      <c r="HC638" s="56"/>
      <c r="HD638" s="56"/>
      <c r="HE638" s="56"/>
      <c r="HF638" s="56"/>
      <c r="HG638" s="56"/>
      <c r="HH638" s="56"/>
      <c r="HI638" s="56"/>
      <c r="HJ638" s="56"/>
    </row>
    <row r="639" spans="1:218" ht="15.75" customHeight="1" x14ac:dyDescent="0.2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  <c r="BV639" s="56"/>
      <c r="BW639" s="56"/>
      <c r="BX639" s="56"/>
      <c r="BY639" s="56"/>
      <c r="BZ639" s="56"/>
      <c r="CA639" s="56"/>
      <c r="CB639" s="56"/>
      <c r="CC639" s="56"/>
      <c r="CD639" s="56"/>
      <c r="CE639" s="56"/>
      <c r="CF639" s="56"/>
      <c r="CG639" s="56"/>
      <c r="CH639" s="56"/>
      <c r="CI639" s="56"/>
      <c r="CJ639" s="56"/>
      <c r="CK639" s="56"/>
      <c r="CL639" s="56"/>
      <c r="CM639" s="56"/>
      <c r="CN639" s="56"/>
      <c r="CO639" s="56"/>
      <c r="CP639" s="56"/>
      <c r="CQ639" s="56"/>
      <c r="CR639" s="56"/>
      <c r="CS639" s="56"/>
      <c r="CT639" s="56"/>
      <c r="CU639" s="56"/>
      <c r="CV639" s="56"/>
      <c r="CW639" s="56"/>
      <c r="CX639" s="56"/>
      <c r="CY639" s="56"/>
      <c r="CZ639" s="56"/>
      <c r="DA639" s="56"/>
      <c r="DB639" s="56"/>
      <c r="DC639" s="56"/>
      <c r="DD639" s="56"/>
      <c r="DE639" s="56"/>
      <c r="DF639" s="56"/>
      <c r="DG639" s="56"/>
      <c r="DH639" s="56"/>
      <c r="DI639" s="56"/>
      <c r="DJ639" s="56"/>
      <c r="DK639" s="56"/>
      <c r="DL639" s="56"/>
      <c r="DM639" s="56"/>
      <c r="DN639" s="56"/>
      <c r="DO639" s="56"/>
      <c r="DP639" s="56"/>
      <c r="DQ639" s="56"/>
      <c r="DR639" s="56"/>
      <c r="DS639" s="56"/>
      <c r="DT639" s="56"/>
      <c r="DU639" s="56"/>
      <c r="DV639" s="56"/>
      <c r="DW639" s="56"/>
      <c r="DX639" s="56"/>
      <c r="DY639" s="56"/>
      <c r="DZ639" s="56"/>
      <c r="EA639" s="56"/>
      <c r="EB639" s="56"/>
      <c r="EC639" s="56"/>
      <c r="ED639" s="56"/>
      <c r="EE639" s="56"/>
      <c r="EF639" s="56"/>
      <c r="EG639" s="56"/>
      <c r="EH639" s="56"/>
      <c r="EI639" s="56"/>
      <c r="EJ639" s="56"/>
      <c r="EK639" s="56"/>
      <c r="EL639" s="56"/>
      <c r="EM639" s="56"/>
      <c r="EN639" s="56"/>
      <c r="EO639" s="56"/>
      <c r="EP639" s="56"/>
      <c r="EQ639" s="56"/>
      <c r="ER639" s="56"/>
      <c r="ES639" s="56"/>
      <c r="ET639" s="56"/>
      <c r="EU639" s="56"/>
      <c r="EV639" s="56"/>
      <c r="EW639" s="56"/>
      <c r="EX639" s="56"/>
      <c r="EY639" s="56"/>
      <c r="EZ639" s="56"/>
      <c r="FA639" s="56"/>
      <c r="FB639" s="56"/>
      <c r="FC639" s="56"/>
      <c r="FD639" s="56"/>
      <c r="FE639" s="56"/>
      <c r="FF639" s="56"/>
      <c r="FG639" s="56"/>
      <c r="FH639" s="56"/>
      <c r="FI639" s="56"/>
      <c r="FJ639" s="56"/>
      <c r="FK639" s="56"/>
      <c r="FL639" s="56"/>
      <c r="FM639" s="56"/>
      <c r="FN639" s="56"/>
      <c r="FO639" s="56"/>
      <c r="FP639" s="56"/>
      <c r="FQ639" s="56"/>
      <c r="FR639" s="56"/>
      <c r="FS639" s="56"/>
      <c r="FT639" s="56"/>
      <c r="FU639" s="56"/>
      <c r="FV639" s="56"/>
      <c r="FW639" s="56"/>
      <c r="FX639" s="56"/>
      <c r="FY639" s="56"/>
      <c r="FZ639" s="56"/>
      <c r="GA639" s="56"/>
      <c r="GB639" s="56"/>
      <c r="GC639" s="56"/>
      <c r="GD639" s="56"/>
      <c r="GE639" s="56"/>
      <c r="GF639" s="56"/>
      <c r="GG639" s="56"/>
      <c r="GH639" s="56"/>
      <c r="GI639" s="56"/>
      <c r="GJ639" s="56"/>
      <c r="GK639" s="56"/>
      <c r="GL639" s="56"/>
      <c r="GM639" s="56"/>
      <c r="GN639" s="56"/>
      <c r="GO639" s="56"/>
      <c r="GP639" s="56"/>
      <c r="GQ639" s="56"/>
      <c r="GR639" s="56"/>
      <c r="GS639" s="56"/>
      <c r="GT639" s="56"/>
      <c r="GU639" s="56"/>
      <c r="GV639" s="56"/>
      <c r="GW639" s="56"/>
      <c r="GX639" s="56"/>
      <c r="GY639" s="56"/>
      <c r="GZ639" s="56"/>
      <c r="HA639" s="56"/>
      <c r="HB639" s="56"/>
      <c r="HC639" s="56"/>
      <c r="HD639" s="56"/>
      <c r="HE639" s="56"/>
      <c r="HF639" s="56"/>
      <c r="HG639" s="56"/>
      <c r="HH639" s="56"/>
      <c r="HI639" s="56"/>
      <c r="HJ639" s="56"/>
    </row>
    <row r="640" spans="1:218" ht="15.75" customHeight="1" x14ac:dyDescent="0.2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  <c r="BV640" s="56"/>
      <c r="BW640" s="56"/>
      <c r="BX640" s="56"/>
      <c r="BY640" s="56"/>
      <c r="BZ640" s="56"/>
      <c r="CA640" s="56"/>
      <c r="CB640" s="56"/>
      <c r="CC640" s="56"/>
      <c r="CD640" s="56"/>
      <c r="CE640" s="56"/>
      <c r="CF640" s="56"/>
      <c r="CG640" s="56"/>
      <c r="CH640" s="56"/>
      <c r="CI640" s="56"/>
      <c r="CJ640" s="56"/>
      <c r="CK640" s="56"/>
      <c r="CL640" s="56"/>
      <c r="CM640" s="56"/>
      <c r="CN640" s="56"/>
      <c r="CO640" s="56"/>
      <c r="CP640" s="56"/>
      <c r="CQ640" s="56"/>
      <c r="CR640" s="56"/>
      <c r="CS640" s="56"/>
      <c r="CT640" s="56"/>
      <c r="CU640" s="56"/>
      <c r="CV640" s="56"/>
      <c r="CW640" s="56"/>
      <c r="CX640" s="56"/>
      <c r="CY640" s="56"/>
      <c r="CZ640" s="56"/>
      <c r="DA640" s="56"/>
      <c r="DB640" s="56"/>
      <c r="DC640" s="56"/>
      <c r="DD640" s="56"/>
      <c r="DE640" s="56"/>
      <c r="DF640" s="56"/>
      <c r="DG640" s="56"/>
      <c r="DH640" s="56"/>
      <c r="DI640" s="56"/>
      <c r="DJ640" s="56"/>
      <c r="DK640" s="56"/>
      <c r="DL640" s="56"/>
      <c r="DM640" s="56"/>
      <c r="DN640" s="56"/>
      <c r="DO640" s="56"/>
      <c r="DP640" s="56"/>
      <c r="DQ640" s="56"/>
      <c r="DR640" s="56"/>
      <c r="DS640" s="56"/>
      <c r="DT640" s="56"/>
      <c r="DU640" s="56"/>
      <c r="DV640" s="56"/>
      <c r="DW640" s="56"/>
      <c r="DX640" s="56"/>
      <c r="DY640" s="56"/>
      <c r="DZ640" s="56"/>
      <c r="EA640" s="56"/>
      <c r="EB640" s="56"/>
      <c r="EC640" s="56"/>
      <c r="ED640" s="56"/>
      <c r="EE640" s="56"/>
      <c r="EF640" s="56"/>
      <c r="EG640" s="56"/>
      <c r="EH640" s="56"/>
      <c r="EI640" s="56"/>
      <c r="EJ640" s="56"/>
      <c r="EK640" s="56"/>
      <c r="EL640" s="56"/>
      <c r="EM640" s="56"/>
      <c r="EN640" s="56"/>
      <c r="EO640" s="56"/>
      <c r="EP640" s="56"/>
      <c r="EQ640" s="56"/>
      <c r="ER640" s="56"/>
      <c r="ES640" s="56"/>
      <c r="ET640" s="56"/>
      <c r="EU640" s="56"/>
      <c r="EV640" s="56"/>
      <c r="EW640" s="56"/>
      <c r="EX640" s="56"/>
      <c r="EY640" s="56"/>
      <c r="EZ640" s="56"/>
      <c r="FA640" s="56"/>
      <c r="FB640" s="56"/>
      <c r="FC640" s="56"/>
      <c r="FD640" s="56"/>
      <c r="FE640" s="56"/>
      <c r="FF640" s="56"/>
      <c r="FG640" s="56"/>
      <c r="FH640" s="56"/>
      <c r="FI640" s="56"/>
      <c r="FJ640" s="56"/>
      <c r="FK640" s="56"/>
      <c r="FL640" s="56"/>
      <c r="FM640" s="56"/>
      <c r="FN640" s="56"/>
      <c r="FO640" s="56"/>
      <c r="FP640" s="56"/>
      <c r="FQ640" s="56"/>
      <c r="FR640" s="56"/>
      <c r="FS640" s="56"/>
      <c r="FT640" s="56"/>
      <c r="FU640" s="56"/>
      <c r="FV640" s="56"/>
      <c r="FW640" s="56"/>
      <c r="FX640" s="56"/>
      <c r="FY640" s="56"/>
      <c r="FZ640" s="56"/>
      <c r="GA640" s="56"/>
      <c r="GB640" s="56"/>
      <c r="GC640" s="56"/>
      <c r="GD640" s="56"/>
      <c r="GE640" s="56"/>
      <c r="GF640" s="56"/>
      <c r="GG640" s="56"/>
      <c r="GH640" s="56"/>
      <c r="GI640" s="56"/>
      <c r="GJ640" s="56"/>
      <c r="GK640" s="56"/>
      <c r="GL640" s="56"/>
      <c r="GM640" s="56"/>
      <c r="GN640" s="56"/>
      <c r="GO640" s="56"/>
      <c r="GP640" s="56"/>
      <c r="GQ640" s="56"/>
      <c r="GR640" s="56"/>
      <c r="GS640" s="56"/>
      <c r="GT640" s="56"/>
      <c r="GU640" s="56"/>
      <c r="GV640" s="56"/>
      <c r="GW640" s="56"/>
      <c r="GX640" s="56"/>
      <c r="GY640" s="56"/>
      <c r="GZ640" s="56"/>
      <c r="HA640" s="56"/>
      <c r="HB640" s="56"/>
      <c r="HC640" s="56"/>
      <c r="HD640" s="56"/>
      <c r="HE640" s="56"/>
      <c r="HF640" s="56"/>
      <c r="HG640" s="56"/>
      <c r="HH640" s="56"/>
      <c r="HI640" s="56"/>
      <c r="HJ640" s="56"/>
    </row>
    <row r="641" spans="1:218" ht="15.75" customHeight="1" x14ac:dyDescent="0.2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  <c r="CL641" s="56"/>
      <c r="CM641" s="56"/>
      <c r="CN641" s="56"/>
      <c r="CO641" s="56"/>
      <c r="CP641" s="56"/>
      <c r="CQ641" s="56"/>
      <c r="CR641" s="56"/>
      <c r="CS641" s="56"/>
      <c r="CT641" s="56"/>
      <c r="CU641" s="56"/>
      <c r="CV641" s="56"/>
      <c r="CW641" s="56"/>
      <c r="CX641" s="56"/>
      <c r="CY641" s="56"/>
      <c r="CZ641" s="56"/>
      <c r="DA641" s="56"/>
      <c r="DB641" s="56"/>
      <c r="DC641" s="56"/>
      <c r="DD641" s="56"/>
      <c r="DE641" s="56"/>
      <c r="DF641" s="56"/>
      <c r="DG641" s="56"/>
      <c r="DH641" s="56"/>
      <c r="DI641" s="56"/>
      <c r="DJ641" s="56"/>
      <c r="DK641" s="56"/>
      <c r="DL641" s="56"/>
      <c r="DM641" s="56"/>
      <c r="DN641" s="56"/>
      <c r="DO641" s="56"/>
      <c r="DP641" s="56"/>
      <c r="DQ641" s="56"/>
      <c r="DR641" s="56"/>
      <c r="DS641" s="56"/>
      <c r="DT641" s="56"/>
      <c r="DU641" s="56"/>
      <c r="DV641" s="56"/>
      <c r="DW641" s="56"/>
      <c r="DX641" s="56"/>
      <c r="DY641" s="56"/>
      <c r="DZ641" s="56"/>
      <c r="EA641" s="56"/>
      <c r="EB641" s="56"/>
      <c r="EC641" s="56"/>
      <c r="ED641" s="56"/>
      <c r="EE641" s="56"/>
      <c r="EF641" s="56"/>
      <c r="EG641" s="56"/>
      <c r="EH641" s="56"/>
      <c r="EI641" s="56"/>
      <c r="EJ641" s="56"/>
      <c r="EK641" s="56"/>
      <c r="EL641" s="56"/>
      <c r="EM641" s="56"/>
      <c r="EN641" s="56"/>
      <c r="EO641" s="56"/>
      <c r="EP641" s="56"/>
      <c r="EQ641" s="56"/>
      <c r="ER641" s="56"/>
      <c r="ES641" s="56"/>
      <c r="ET641" s="56"/>
      <c r="EU641" s="56"/>
      <c r="EV641" s="56"/>
      <c r="EW641" s="56"/>
      <c r="EX641" s="56"/>
      <c r="EY641" s="56"/>
      <c r="EZ641" s="56"/>
      <c r="FA641" s="56"/>
      <c r="FB641" s="56"/>
      <c r="FC641" s="56"/>
      <c r="FD641" s="56"/>
      <c r="FE641" s="56"/>
      <c r="FF641" s="56"/>
      <c r="FG641" s="56"/>
      <c r="FH641" s="56"/>
      <c r="FI641" s="56"/>
      <c r="FJ641" s="56"/>
      <c r="FK641" s="56"/>
      <c r="FL641" s="56"/>
      <c r="FM641" s="56"/>
      <c r="FN641" s="56"/>
      <c r="FO641" s="56"/>
      <c r="FP641" s="56"/>
      <c r="FQ641" s="56"/>
      <c r="FR641" s="56"/>
      <c r="FS641" s="56"/>
      <c r="FT641" s="56"/>
      <c r="FU641" s="56"/>
      <c r="FV641" s="56"/>
      <c r="FW641" s="56"/>
      <c r="FX641" s="56"/>
      <c r="FY641" s="56"/>
      <c r="FZ641" s="56"/>
      <c r="GA641" s="56"/>
      <c r="GB641" s="56"/>
      <c r="GC641" s="56"/>
      <c r="GD641" s="56"/>
      <c r="GE641" s="56"/>
      <c r="GF641" s="56"/>
      <c r="GG641" s="56"/>
      <c r="GH641" s="56"/>
      <c r="GI641" s="56"/>
      <c r="GJ641" s="56"/>
      <c r="GK641" s="56"/>
      <c r="GL641" s="56"/>
      <c r="GM641" s="56"/>
      <c r="GN641" s="56"/>
      <c r="GO641" s="56"/>
      <c r="GP641" s="56"/>
      <c r="GQ641" s="56"/>
      <c r="GR641" s="56"/>
      <c r="GS641" s="56"/>
      <c r="GT641" s="56"/>
      <c r="GU641" s="56"/>
      <c r="GV641" s="56"/>
      <c r="GW641" s="56"/>
      <c r="GX641" s="56"/>
      <c r="GY641" s="56"/>
      <c r="GZ641" s="56"/>
      <c r="HA641" s="56"/>
      <c r="HB641" s="56"/>
      <c r="HC641" s="56"/>
      <c r="HD641" s="56"/>
      <c r="HE641" s="56"/>
      <c r="HF641" s="56"/>
      <c r="HG641" s="56"/>
      <c r="HH641" s="56"/>
      <c r="HI641" s="56"/>
      <c r="HJ641" s="56"/>
    </row>
    <row r="642" spans="1:218" ht="15.75" customHeight="1" x14ac:dyDescent="0.2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  <c r="BV642" s="56"/>
      <c r="BW642" s="56"/>
      <c r="BX642" s="56"/>
      <c r="BY642" s="56"/>
      <c r="BZ642" s="56"/>
      <c r="CA642" s="56"/>
      <c r="CB642" s="56"/>
      <c r="CC642" s="56"/>
      <c r="CD642" s="56"/>
      <c r="CE642" s="56"/>
      <c r="CF642" s="56"/>
      <c r="CG642" s="56"/>
      <c r="CH642" s="56"/>
      <c r="CI642" s="56"/>
      <c r="CJ642" s="56"/>
      <c r="CK642" s="56"/>
      <c r="CL642" s="56"/>
      <c r="CM642" s="56"/>
      <c r="CN642" s="56"/>
      <c r="CO642" s="56"/>
      <c r="CP642" s="56"/>
      <c r="CQ642" s="56"/>
      <c r="CR642" s="56"/>
      <c r="CS642" s="56"/>
      <c r="CT642" s="56"/>
      <c r="CU642" s="56"/>
      <c r="CV642" s="56"/>
      <c r="CW642" s="56"/>
      <c r="CX642" s="56"/>
      <c r="CY642" s="56"/>
      <c r="CZ642" s="56"/>
      <c r="DA642" s="56"/>
      <c r="DB642" s="56"/>
      <c r="DC642" s="56"/>
      <c r="DD642" s="56"/>
      <c r="DE642" s="56"/>
      <c r="DF642" s="56"/>
      <c r="DG642" s="56"/>
      <c r="DH642" s="56"/>
      <c r="DI642" s="56"/>
      <c r="DJ642" s="56"/>
      <c r="DK642" s="56"/>
      <c r="DL642" s="56"/>
      <c r="DM642" s="56"/>
      <c r="DN642" s="56"/>
      <c r="DO642" s="56"/>
      <c r="DP642" s="56"/>
      <c r="DQ642" s="56"/>
      <c r="DR642" s="56"/>
      <c r="DS642" s="56"/>
      <c r="DT642" s="56"/>
      <c r="DU642" s="56"/>
      <c r="DV642" s="56"/>
      <c r="DW642" s="56"/>
      <c r="DX642" s="56"/>
      <c r="DY642" s="56"/>
      <c r="DZ642" s="56"/>
      <c r="EA642" s="56"/>
      <c r="EB642" s="56"/>
      <c r="EC642" s="56"/>
      <c r="ED642" s="56"/>
      <c r="EE642" s="56"/>
      <c r="EF642" s="56"/>
      <c r="EG642" s="56"/>
      <c r="EH642" s="56"/>
      <c r="EI642" s="56"/>
      <c r="EJ642" s="56"/>
      <c r="EK642" s="56"/>
      <c r="EL642" s="56"/>
      <c r="EM642" s="56"/>
      <c r="EN642" s="56"/>
      <c r="EO642" s="56"/>
      <c r="EP642" s="56"/>
      <c r="EQ642" s="56"/>
      <c r="ER642" s="56"/>
      <c r="ES642" s="56"/>
      <c r="ET642" s="56"/>
      <c r="EU642" s="56"/>
      <c r="EV642" s="56"/>
      <c r="EW642" s="56"/>
      <c r="EX642" s="56"/>
      <c r="EY642" s="56"/>
      <c r="EZ642" s="56"/>
      <c r="FA642" s="56"/>
      <c r="FB642" s="56"/>
      <c r="FC642" s="56"/>
      <c r="FD642" s="56"/>
      <c r="FE642" s="56"/>
      <c r="FF642" s="56"/>
      <c r="FG642" s="56"/>
      <c r="FH642" s="56"/>
      <c r="FI642" s="56"/>
      <c r="FJ642" s="56"/>
      <c r="FK642" s="56"/>
      <c r="FL642" s="56"/>
      <c r="FM642" s="56"/>
      <c r="FN642" s="56"/>
      <c r="FO642" s="56"/>
      <c r="FP642" s="56"/>
      <c r="FQ642" s="56"/>
      <c r="FR642" s="56"/>
      <c r="FS642" s="56"/>
      <c r="FT642" s="56"/>
      <c r="FU642" s="56"/>
      <c r="FV642" s="56"/>
      <c r="FW642" s="56"/>
      <c r="FX642" s="56"/>
      <c r="FY642" s="56"/>
      <c r="FZ642" s="56"/>
      <c r="GA642" s="56"/>
      <c r="GB642" s="56"/>
      <c r="GC642" s="56"/>
      <c r="GD642" s="56"/>
      <c r="GE642" s="56"/>
      <c r="GF642" s="56"/>
      <c r="GG642" s="56"/>
      <c r="GH642" s="56"/>
      <c r="GI642" s="56"/>
      <c r="GJ642" s="56"/>
      <c r="GK642" s="56"/>
      <c r="GL642" s="56"/>
      <c r="GM642" s="56"/>
      <c r="GN642" s="56"/>
      <c r="GO642" s="56"/>
      <c r="GP642" s="56"/>
      <c r="GQ642" s="56"/>
      <c r="GR642" s="56"/>
      <c r="GS642" s="56"/>
      <c r="GT642" s="56"/>
      <c r="GU642" s="56"/>
      <c r="GV642" s="56"/>
      <c r="GW642" s="56"/>
      <c r="GX642" s="56"/>
      <c r="GY642" s="56"/>
      <c r="GZ642" s="56"/>
      <c r="HA642" s="56"/>
      <c r="HB642" s="56"/>
      <c r="HC642" s="56"/>
      <c r="HD642" s="56"/>
      <c r="HE642" s="56"/>
      <c r="HF642" s="56"/>
      <c r="HG642" s="56"/>
      <c r="HH642" s="56"/>
      <c r="HI642" s="56"/>
      <c r="HJ642" s="56"/>
    </row>
    <row r="643" spans="1:218" ht="15.75" customHeight="1" x14ac:dyDescent="0.2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  <c r="BV643" s="56"/>
      <c r="BW643" s="56"/>
      <c r="BX643" s="56"/>
      <c r="BY643" s="56"/>
      <c r="BZ643" s="56"/>
      <c r="CA643" s="56"/>
      <c r="CB643" s="56"/>
      <c r="CC643" s="56"/>
      <c r="CD643" s="56"/>
      <c r="CE643" s="56"/>
      <c r="CF643" s="56"/>
      <c r="CG643" s="56"/>
      <c r="CH643" s="56"/>
      <c r="CI643" s="56"/>
      <c r="CJ643" s="56"/>
      <c r="CK643" s="56"/>
      <c r="CL643" s="56"/>
      <c r="CM643" s="56"/>
      <c r="CN643" s="56"/>
      <c r="CO643" s="56"/>
      <c r="CP643" s="56"/>
      <c r="CQ643" s="56"/>
      <c r="CR643" s="56"/>
      <c r="CS643" s="56"/>
      <c r="CT643" s="56"/>
      <c r="CU643" s="56"/>
      <c r="CV643" s="56"/>
      <c r="CW643" s="56"/>
      <c r="CX643" s="56"/>
      <c r="CY643" s="56"/>
      <c r="CZ643" s="56"/>
      <c r="DA643" s="56"/>
      <c r="DB643" s="56"/>
      <c r="DC643" s="56"/>
      <c r="DD643" s="56"/>
      <c r="DE643" s="56"/>
      <c r="DF643" s="56"/>
      <c r="DG643" s="56"/>
      <c r="DH643" s="56"/>
      <c r="DI643" s="56"/>
      <c r="DJ643" s="56"/>
      <c r="DK643" s="56"/>
      <c r="DL643" s="56"/>
      <c r="DM643" s="56"/>
      <c r="DN643" s="56"/>
      <c r="DO643" s="56"/>
      <c r="DP643" s="56"/>
      <c r="DQ643" s="56"/>
      <c r="DR643" s="56"/>
      <c r="DS643" s="56"/>
      <c r="DT643" s="56"/>
      <c r="DU643" s="56"/>
      <c r="DV643" s="56"/>
      <c r="DW643" s="56"/>
      <c r="DX643" s="56"/>
      <c r="DY643" s="56"/>
      <c r="DZ643" s="56"/>
      <c r="EA643" s="56"/>
      <c r="EB643" s="56"/>
      <c r="EC643" s="56"/>
      <c r="ED643" s="56"/>
      <c r="EE643" s="56"/>
      <c r="EF643" s="56"/>
      <c r="EG643" s="56"/>
      <c r="EH643" s="56"/>
      <c r="EI643" s="56"/>
      <c r="EJ643" s="56"/>
      <c r="EK643" s="56"/>
      <c r="EL643" s="56"/>
      <c r="EM643" s="56"/>
      <c r="EN643" s="56"/>
      <c r="EO643" s="56"/>
      <c r="EP643" s="56"/>
      <c r="EQ643" s="56"/>
      <c r="ER643" s="56"/>
      <c r="ES643" s="56"/>
      <c r="ET643" s="56"/>
      <c r="EU643" s="56"/>
      <c r="EV643" s="56"/>
      <c r="EW643" s="56"/>
      <c r="EX643" s="56"/>
      <c r="EY643" s="56"/>
      <c r="EZ643" s="56"/>
      <c r="FA643" s="56"/>
      <c r="FB643" s="56"/>
      <c r="FC643" s="56"/>
      <c r="FD643" s="56"/>
      <c r="FE643" s="56"/>
      <c r="FF643" s="56"/>
      <c r="FG643" s="56"/>
      <c r="FH643" s="56"/>
      <c r="FI643" s="56"/>
      <c r="FJ643" s="56"/>
      <c r="FK643" s="56"/>
      <c r="FL643" s="56"/>
      <c r="FM643" s="56"/>
      <c r="FN643" s="56"/>
      <c r="FO643" s="56"/>
      <c r="FP643" s="56"/>
      <c r="FQ643" s="56"/>
      <c r="FR643" s="56"/>
      <c r="FS643" s="56"/>
      <c r="FT643" s="56"/>
      <c r="FU643" s="56"/>
      <c r="FV643" s="56"/>
      <c r="FW643" s="56"/>
      <c r="FX643" s="56"/>
      <c r="FY643" s="56"/>
      <c r="FZ643" s="56"/>
      <c r="GA643" s="56"/>
      <c r="GB643" s="56"/>
      <c r="GC643" s="56"/>
      <c r="GD643" s="56"/>
      <c r="GE643" s="56"/>
      <c r="GF643" s="56"/>
      <c r="GG643" s="56"/>
      <c r="GH643" s="56"/>
      <c r="GI643" s="56"/>
      <c r="GJ643" s="56"/>
      <c r="GK643" s="56"/>
      <c r="GL643" s="56"/>
      <c r="GM643" s="56"/>
      <c r="GN643" s="56"/>
      <c r="GO643" s="56"/>
      <c r="GP643" s="56"/>
      <c r="GQ643" s="56"/>
      <c r="GR643" s="56"/>
      <c r="GS643" s="56"/>
      <c r="GT643" s="56"/>
      <c r="GU643" s="56"/>
      <c r="GV643" s="56"/>
      <c r="GW643" s="56"/>
      <c r="GX643" s="56"/>
      <c r="GY643" s="56"/>
      <c r="GZ643" s="56"/>
      <c r="HA643" s="56"/>
      <c r="HB643" s="56"/>
      <c r="HC643" s="56"/>
      <c r="HD643" s="56"/>
      <c r="HE643" s="56"/>
      <c r="HF643" s="56"/>
      <c r="HG643" s="56"/>
      <c r="HH643" s="56"/>
      <c r="HI643" s="56"/>
      <c r="HJ643" s="56"/>
    </row>
    <row r="644" spans="1:218" ht="15.75" customHeight="1" x14ac:dyDescent="0.2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  <c r="BV644" s="56"/>
      <c r="BW644" s="56"/>
      <c r="BX644" s="56"/>
      <c r="BY644" s="56"/>
      <c r="BZ644" s="56"/>
      <c r="CA644" s="56"/>
      <c r="CB644" s="56"/>
      <c r="CC644" s="56"/>
      <c r="CD644" s="56"/>
      <c r="CE644" s="56"/>
      <c r="CF644" s="56"/>
      <c r="CG644" s="56"/>
      <c r="CH644" s="56"/>
      <c r="CI644" s="56"/>
      <c r="CJ644" s="56"/>
      <c r="CK644" s="56"/>
      <c r="CL644" s="56"/>
      <c r="CM644" s="56"/>
      <c r="CN644" s="56"/>
      <c r="CO644" s="56"/>
      <c r="CP644" s="56"/>
      <c r="CQ644" s="56"/>
      <c r="CR644" s="56"/>
      <c r="CS644" s="56"/>
      <c r="CT644" s="56"/>
      <c r="CU644" s="56"/>
      <c r="CV644" s="56"/>
      <c r="CW644" s="56"/>
      <c r="CX644" s="56"/>
      <c r="CY644" s="56"/>
      <c r="CZ644" s="56"/>
      <c r="DA644" s="56"/>
      <c r="DB644" s="56"/>
      <c r="DC644" s="56"/>
      <c r="DD644" s="56"/>
      <c r="DE644" s="56"/>
      <c r="DF644" s="56"/>
      <c r="DG644" s="56"/>
      <c r="DH644" s="56"/>
      <c r="DI644" s="56"/>
      <c r="DJ644" s="56"/>
      <c r="DK644" s="56"/>
      <c r="DL644" s="56"/>
      <c r="DM644" s="56"/>
      <c r="DN644" s="56"/>
      <c r="DO644" s="56"/>
      <c r="DP644" s="56"/>
      <c r="DQ644" s="56"/>
      <c r="DR644" s="56"/>
      <c r="DS644" s="56"/>
      <c r="DT644" s="56"/>
      <c r="DU644" s="56"/>
      <c r="DV644" s="56"/>
      <c r="DW644" s="56"/>
      <c r="DX644" s="56"/>
      <c r="DY644" s="56"/>
      <c r="DZ644" s="56"/>
      <c r="EA644" s="56"/>
      <c r="EB644" s="56"/>
      <c r="EC644" s="56"/>
      <c r="ED644" s="56"/>
      <c r="EE644" s="56"/>
      <c r="EF644" s="56"/>
      <c r="EG644" s="56"/>
      <c r="EH644" s="56"/>
      <c r="EI644" s="56"/>
      <c r="EJ644" s="56"/>
      <c r="EK644" s="56"/>
      <c r="EL644" s="56"/>
      <c r="EM644" s="56"/>
      <c r="EN644" s="56"/>
      <c r="EO644" s="56"/>
      <c r="EP644" s="56"/>
      <c r="EQ644" s="56"/>
      <c r="ER644" s="56"/>
      <c r="ES644" s="56"/>
      <c r="ET644" s="56"/>
      <c r="EU644" s="56"/>
      <c r="EV644" s="56"/>
      <c r="EW644" s="56"/>
      <c r="EX644" s="56"/>
      <c r="EY644" s="56"/>
      <c r="EZ644" s="56"/>
      <c r="FA644" s="56"/>
      <c r="FB644" s="56"/>
      <c r="FC644" s="56"/>
      <c r="FD644" s="56"/>
      <c r="FE644" s="56"/>
      <c r="FF644" s="56"/>
      <c r="FG644" s="56"/>
      <c r="FH644" s="56"/>
      <c r="FI644" s="56"/>
      <c r="FJ644" s="56"/>
      <c r="FK644" s="56"/>
      <c r="FL644" s="56"/>
      <c r="FM644" s="56"/>
      <c r="FN644" s="56"/>
      <c r="FO644" s="56"/>
      <c r="FP644" s="56"/>
      <c r="FQ644" s="56"/>
      <c r="FR644" s="56"/>
      <c r="FS644" s="56"/>
      <c r="FT644" s="56"/>
      <c r="FU644" s="56"/>
      <c r="FV644" s="56"/>
      <c r="FW644" s="56"/>
      <c r="FX644" s="56"/>
      <c r="FY644" s="56"/>
      <c r="FZ644" s="56"/>
      <c r="GA644" s="56"/>
      <c r="GB644" s="56"/>
      <c r="GC644" s="56"/>
      <c r="GD644" s="56"/>
      <c r="GE644" s="56"/>
      <c r="GF644" s="56"/>
      <c r="GG644" s="56"/>
      <c r="GH644" s="56"/>
      <c r="GI644" s="56"/>
      <c r="GJ644" s="56"/>
      <c r="GK644" s="56"/>
      <c r="GL644" s="56"/>
      <c r="GM644" s="56"/>
      <c r="GN644" s="56"/>
      <c r="GO644" s="56"/>
      <c r="GP644" s="56"/>
      <c r="GQ644" s="56"/>
      <c r="GR644" s="56"/>
      <c r="GS644" s="56"/>
      <c r="GT644" s="56"/>
      <c r="GU644" s="56"/>
      <c r="GV644" s="56"/>
      <c r="GW644" s="56"/>
      <c r="GX644" s="56"/>
      <c r="GY644" s="56"/>
      <c r="GZ644" s="56"/>
      <c r="HA644" s="56"/>
      <c r="HB644" s="56"/>
      <c r="HC644" s="56"/>
      <c r="HD644" s="56"/>
      <c r="HE644" s="56"/>
      <c r="HF644" s="56"/>
      <c r="HG644" s="56"/>
      <c r="HH644" s="56"/>
      <c r="HI644" s="56"/>
      <c r="HJ644" s="56"/>
    </row>
    <row r="645" spans="1:218" ht="15.75" customHeight="1" x14ac:dyDescent="0.2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  <c r="BV645" s="56"/>
      <c r="BW645" s="56"/>
      <c r="BX645" s="56"/>
      <c r="BY645" s="56"/>
      <c r="BZ645" s="56"/>
      <c r="CA645" s="56"/>
      <c r="CB645" s="56"/>
      <c r="CC645" s="56"/>
      <c r="CD645" s="56"/>
      <c r="CE645" s="56"/>
      <c r="CF645" s="56"/>
      <c r="CG645" s="56"/>
      <c r="CH645" s="56"/>
      <c r="CI645" s="56"/>
      <c r="CJ645" s="56"/>
      <c r="CK645" s="56"/>
      <c r="CL645" s="56"/>
      <c r="CM645" s="56"/>
      <c r="CN645" s="56"/>
      <c r="CO645" s="56"/>
      <c r="CP645" s="56"/>
      <c r="CQ645" s="56"/>
      <c r="CR645" s="56"/>
      <c r="CS645" s="56"/>
      <c r="CT645" s="56"/>
      <c r="CU645" s="56"/>
      <c r="CV645" s="56"/>
      <c r="CW645" s="56"/>
      <c r="CX645" s="56"/>
      <c r="CY645" s="56"/>
      <c r="CZ645" s="56"/>
      <c r="DA645" s="56"/>
      <c r="DB645" s="56"/>
      <c r="DC645" s="56"/>
      <c r="DD645" s="56"/>
      <c r="DE645" s="56"/>
      <c r="DF645" s="56"/>
      <c r="DG645" s="56"/>
      <c r="DH645" s="56"/>
      <c r="DI645" s="56"/>
      <c r="DJ645" s="56"/>
      <c r="DK645" s="56"/>
      <c r="DL645" s="56"/>
      <c r="DM645" s="56"/>
      <c r="DN645" s="56"/>
      <c r="DO645" s="56"/>
      <c r="DP645" s="56"/>
      <c r="DQ645" s="56"/>
      <c r="DR645" s="56"/>
      <c r="DS645" s="56"/>
      <c r="DT645" s="56"/>
      <c r="DU645" s="56"/>
      <c r="DV645" s="56"/>
      <c r="DW645" s="56"/>
      <c r="DX645" s="56"/>
      <c r="DY645" s="56"/>
      <c r="DZ645" s="56"/>
      <c r="EA645" s="56"/>
      <c r="EB645" s="56"/>
      <c r="EC645" s="56"/>
      <c r="ED645" s="56"/>
      <c r="EE645" s="56"/>
      <c r="EF645" s="56"/>
      <c r="EG645" s="56"/>
      <c r="EH645" s="56"/>
      <c r="EI645" s="56"/>
      <c r="EJ645" s="56"/>
      <c r="EK645" s="56"/>
      <c r="EL645" s="56"/>
      <c r="EM645" s="56"/>
      <c r="EN645" s="56"/>
      <c r="EO645" s="56"/>
      <c r="EP645" s="56"/>
      <c r="EQ645" s="56"/>
      <c r="ER645" s="56"/>
      <c r="ES645" s="56"/>
      <c r="ET645" s="56"/>
      <c r="EU645" s="56"/>
      <c r="EV645" s="56"/>
      <c r="EW645" s="56"/>
      <c r="EX645" s="56"/>
      <c r="EY645" s="56"/>
      <c r="EZ645" s="56"/>
      <c r="FA645" s="56"/>
      <c r="FB645" s="56"/>
      <c r="FC645" s="56"/>
      <c r="FD645" s="56"/>
      <c r="FE645" s="56"/>
      <c r="FF645" s="56"/>
      <c r="FG645" s="56"/>
      <c r="FH645" s="56"/>
      <c r="FI645" s="56"/>
      <c r="FJ645" s="56"/>
      <c r="FK645" s="56"/>
      <c r="FL645" s="56"/>
      <c r="FM645" s="56"/>
      <c r="FN645" s="56"/>
      <c r="FO645" s="56"/>
      <c r="FP645" s="56"/>
      <c r="FQ645" s="56"/>
      <c r="FR645" s="56"/>
      <c r="FS645" s="56"/>
      <c r="FT645" s="56"/>
      <c r="FU645" s="56"/>
      <c r="FV645" s="56"/>
      <c r="FW645" s="56"/>
      <c r="FX645" s="56"/>
      <c r="FY645" s="56"/>
      <c r="FZ645" s="56"/>
      <c r="GA645" s="56"/>
      <c r="GB645" s="56"/>
      <c r="GC645" s="56"/>
      <c r="GD645" s="56"/>
      <c r="GE645" s="56"/>
      <c r="GF645" s="56"/>
      <c r="GG645" s="56"/>
      <c r="GH645" s="56"/>
      <c r="GI645" s="56"/>
      <c r="GJ645" s="56"/>
      <c r="GK645" s="56"/>
      <c r="GL645" s="56"/>
      <c r="GM645" s="56"/>
      <c r="GN645" s="56"/>
      <c r="GO645" s="56"/>
      <c r="GP645" s="56"/>
      <c r="GQ645" s="56"/>
      <c r="GR645" s="56"/>
      <c r="GS645" s="56"/>
      <c r="GT645" s="56"/>
      <c r="GU645" s="56"/>
      <c r="GV645" s="56"/>
      <c r="GW645" s="56"/>
      <c r="GX645" s="56"/>
      <c r="GY645" s="56"/>
      <c r="GZ645" s="56"/>
      <c r="HA645" s="56"/>
      <c r="HB645" s="56"/>
      <c r="HC645" s="56"/>
      <c r="HD645" s="56"/>
      <c r="HE645" s="56"/>
      <c r="HF645" s="56"/>
      <c r="HG645" s="56"/>
      <c r="HH645" s="56"/>
      <c r="HI645" s="56"/>
      <c r="HJ645" s="56"/>
    </row>
    <row r="646" spans="1:218" ht="15.75" customHeight="1" x14ac:dyDescent="0.2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  <c r="BV646" s="56"/>
      <c r="BW646" s="56"/>
      <c r="BX646" s="56"/>
      <c r="BY646" s="56"/>
      <c r="BZ646" s="56"/>
      <c r="CA646" s="56"/>
      <c r="CB646" s="56"/>
      <c r="CC646" s="56"/>
      <c r="CD646" s="56"/>
      <c r="CE646" s="56"/>
      <c r="CF646" s="56"/>
      <c r="CG646" s="56"/>
      <c r="CH646" s="56"/>
      <c r="CI646" s="56"/>
      <c r="CJ646" s="56"/>
      <c r="CK646" s="56"/>
      <c r="CL646" s="56"/>
      <c r="CM646" s="56"/>
      <c r="CN646" s="56"/>
      <c r="CO646" s="56"/>
      <c r="CP646" s="56"/>
      <c r="CQ646" s="56"/>
      <c r="CR646" s="56"/>
      <c r="CS646" s="56"/>
      <c r="CT646" s="56"/>
      <c r="CU646" s="56"/>
      <c r="CV646" s="56"/>
      <c r="CW646" s="56"/>
      <c r="CX646" s="56"/>
      <c r="CY646" s="56"/>
      <c r="CZ646" s="56"/>
      <c r="DA646" s="56"/>
      <c r="DB646" s="56"/>
      <c r="DC646" s="56"/>
      <c r="DD646" s="56"/>
      <c r="DE646" s="56"/>
      <c r="DF646" s="56"/>
      <c r="DG646" s="56"/>
      <c r="DH646" s="56"/>
      <c r="DI646" s="56"/>
      <c r="DJ646" s="56"/>
      <c r="DK646" s="56"/>
      <c r="DL646" s="56"/>
      <c r="DM646" s="56"/>
      <c r="DN646" s="56"/>
      <c r="DO646" s="56"/>
      <c r="DP646" s="56"/>
      <c r="DQ646" s="56"/>
      <c r="DR646" s="56"/>
      <c r="DS646" s="56"/>
      <c r="DT646" s="56"/>
      <c r="DU646" s="56"/>
      <c r="DV646" s="56"/>
      <c r="DW646" s="56"/>
      <c r="DX646" s="56"/>
      <c r="DY646" s="56"/>
      <c r="DZ646" s="56"/>
      <c r="EA646" s="56"/>
      <c r="EB646" s="56"/>
      <c r="EC646" s="56"/>
      <c r="ED646" s="56"/>
      <c r="EE646" s="56"/>
      <c r="EF646" s="56"/>
      <c r="EG646" s="56"/>
      <c r="EH646" s="56"/>
      <c r="EI646" s="56"/>
      <c r="EJ646" s="56"/>
      <c r="EK646" s="56"/>
      <c r="EL646" s="56"/>
      <c r="EM646" s="56"/>
      <c r="EN646" s="56"/>
      <c r="EO646" s="56"/>
      <c r="EP646" s="56"/>
      <c r="EQ646" s="56"/>
      <c r="ER646" s="56"/>
      <c r="ES646" s="56"/>
      <c r="ET646" s="56"/>
      <c r="EU646" s="56"/>
      <c r="EV646" s="56"/>
      <c r="EW646" s="56"/>
      <c r="EX646" s="56"/>
      <c r="EY646" s="56"/>
      <c r="EZ646" s="56"/>
      <c r="FA646" s="56"/>
      <c r="FB646" s="56"/>
      <c r="FC646" s="56"/>
      <c r="FD646" s="56"/>
      <c r="FE646" s="56"/>
      <c r="FF646" s="56"/>
      <c r="FG646" s="56"/>
      <c r="FH646" s="56"/>
      <c r="FI646" s="56"/>
      <c r="FJ646" s="56"/>
      <c r="FK646" s="56"/>
      <c r="FL646" s="56"/>
      <c r="FM646" s="56"/>
      <c r="FN646" s="56"/>
      <c r="FO646" s="56"/>
      <c r="FP646" s="56"/>
      <c r="FQ646" s="56"/>
      <c r="FR646" s="56"/>
      <c r="FS646" s="56"/>
      <c r="FT646" s="56"/>
      <c r="FU646" s="56"/>
      <c r="FV646" s="56"/>
      <c r="FW646" s="56"/>
      <c r="FX646" s="56"/>
      <c r="FY646" s="56"/>
      <c r="FZ646" s="56"/>
      <c r="GA646" s="56"/>
      <c r="GB646" s="56"/>
      <c r="GC646" s="56"/>
      <c r="GD646" s="56"/>
      <c r="GE646" s="56"/>
      <c r="GF646" s="56"/>
      <c r="GG646" s="56"/>
      <c r="GH646" s="56"/>
      <c r="GI646" s="56"/>
      <c r="GJ646" s="56"/>
      <c r="GK646" s="56"/>
      <c r="GL646" s="56"/>
      <c r="GM646" s="56"/>
      <c r="GN646" s="56"/>
      <c r="GO646" s="56"/>
      <c r="GP646" s="56"/>
      <c r="GQ646" s="56"/>
      <c r="GR646" s="56"/>
      <c r="GS646" s="56"/>
      <c r="GT646" s="56"/>
      <c r="GU646" s="56"/>
      <c r="GV646" s="56"/>
      <c r="GW646" s="56"/>
      <c r="GX646" s="56"/>
      <c r="GY646" s="56"/>
      <c r="GZ646" s="56"/>
      <c r="HA646" s="56"/>
      <c r="HB646" s="56"/>
      <c r="HC646" s="56"/>
      <c r="HD646" s="56"/>
      <c r="HE646" s="56"/>
      <c r="HF646" s="56"/>
      <c r="HG646" s="56"/>
      <c r="HH646" s="56"/>
      <c r="HI646" s="56"/>
      <c r="HJ646" s="56"/>
    </row>
    <row r="647" spans="1:218" ht="15.75" customHeight="1" x14ac:dyDescent="0.2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  <c r="CL647" s="56"/>
      <c r="CM647" s="56"/>
      <c r="CN647" s="56"/>
      <c r="CO647" s="56"/>
      <c r="CP647" s="56"/>
      <c r="CQ647" s="56"/>
      <c r="CR647" s="56"/>
      <c r="CS647" s="56"/>
      <c r="CT647" s="56"/>
      <c r="CU647" s="56"/>
      <c r="CV647" s="56"/>
      <c r="CW647" s="56"/>
      <c r="CX647" s="56"/>
      <c r="CY647" s="56"/>
      <c r="CZ647" s="56"/>
      <c r="DA647" s="56"/>
      <c r="DB647" s="56"/>
      <c r="DC647" s="56"/>
      <c r="DD647" s="56"/>
      <c r="DE647" s="56"/>
      <c r="DF647" s="56"/>
      <c r="DG647" s="56"/>
      <c r="DH647" s="56"/>
      <c r="DI647" s="56"/>
      <c r="DJ647" s="56"/>
      <c r="DK647" s="56"/>
      <c r="DL647" s="56"/>
      <c r="DM647" s="56"/>
      <c r="DN647" s="56"/>
      <c r="DO647" s="56"/>
      <c r="DP647" s="56"/>
      <c r="DQ647" s="56"/>
      <c r="DR647" s="56"/>
      <c r="DS647" s="56"/>
      <c r="DT647" s="56"/>
      <c r="DU647" s="56"/>
      <c r="DV647" s="56"/>
      <c r="DW647" s="56"/>
      <c r="DX647" s="56"/>
      <c r="DY647" s="56"/>
      <c r="DZ647" s="56"/>
      <c r="EA647" s="56"/>
      <c r="EB647" s="56"/>
      <c r="EC647" s="56"/>
      <c r="ED647" s="56"/>
      <c r="EE647" s="56"/>
      <c r="EF647" s="56"/>
      <c r="EG647" s="56"/>
      <c r="EH647" s="56"/>
      <c r="EI647" s="56"/>
      <c r="EJ647" s="56"/>
      <c r="EK647" s="56"/>
      <c r="EL647" s="56"/>
      <c r="EM647" s="56"/>
      <c r="EN647" s="56"/>
      <c r="EO647" s="56"/>
      <c r="EP647" s="56"/>
      <c r="EQ647" s="56"/>
      <c r="ER647" s="56"/>
      <c r="ES647" s="56"/>
      <c r="ET647" s="56"/>
      <c r="EU647" s="56"/>
      <c r="EV647" s="56"/>
      <c r="EW647" s="56"/>
      <c r="EX647" s="56"/>
      <c r="EY647" s="56"/>
      <c r="EZ647" s="56"/>
      <c r="FA647" s="56"/>
      <c r="FB647" s="56"/>
      <c r="FC647" s="56"/>
      <c r="FD647" s="56"/>
      <c r="FE647" s="56"/>
      <c r="FF647" s="56"/>
      <c r="FG647" s="56"/>
      <c r="FH647" s="56"/>
      <c r="FI647" s="56"/>
      <c r="FJ647" s="56"/>
      <c r="FK647" s="56"/>
      <c r="FL647" s="56"/>
      <c r="FM647" s="56"/>
      <c r="FN647" s="56"/>
      <c r="FO647" s="56"/>
      <c r="FP647" s="56"/>
      <c r="FQ647" s="56"/>
      <c r="FR647" s="56"/>
      <c r="FS647" s="56"/>
      <c r="FT647" s="56"/>
      <c r="FU647" s="56"/>
      <c r="FV647" s="56"/>
      <c r="FW647" s="56"/>
      <c r="FX647" s="56"/>
      <c r="FY647" s="56"/>
      <c r="FZ647" s="56"/>
      <c r="GA647" s="56"/>
      <c r="GB647" s="56"/>
      <c r="GC647" s="56"/>
      <c r="GD647" s="56"/>
      <c r="GE647" s="56"/>
      <c r="GF647" s="56"/>
      <c r="GG647" s="56"/>
      <c r="GH647" s="56"/>
      <c r="GI647" s="56"/>
      <c r="GJ647" s="56"/>
      <c r="GK647" s="56"/>
      <c r="GL647" s="56"/>
      <c r="GM647" s="56"/>
      <c r="GN647" s="56"/>
      <c r="GO647" s="56"/>
      <c r="GP647" s="56"/>
      <c r="GQ647" s="56"/>
      <c r="GR647" s="56"/>
      <c r="GS647" s="56"/>
      <c r="GT647" s="56"/>
      <c r="GU647" s="56"/>
      <c r="GV647" s="56"/>
      <c r="GW647" s="56"/>
      <c r="GX647" s="56"/>
      <c r="GY647" s="56"/>
      <c r="GZ647" s="56"/>
      <c r="HA647" s="56"/>
      <c r="HB647" s="56"/>
      <c r="HC647" s="56"/>
      <c r="HD647" s="56"/>
      <c r="HE647" s="56"/>
      <c r="HF647" s="56"/>
      <c r="HG647" s="56"/>
      <c r="HH647" s="56"/>
      <c r="HI647" s="56"/>
      <c r="HJ647" s="56"/>
    </row>
    <row r="648" spans="1:218" ht="15.75" customHeight="1" x14ac:dyDescent="0.2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  <c r="BV648" s="56"/>
      <c r="BW648" s="56"/>
      <c r="BX648" s="56"/>
      <c r="BY648" s="56"/>
      <c r="BZ648" s="56"/>
      <c r="CA648" s="56"/>
      <c r="CB648" s="56"/>
      <c r="CC648" s="56"/>
      <c r="CD648" s="56"/>
      <c r="CE648" s="56"/>
      <c r="CF648" s="56"/>
      <c r="CG648" s="56"/>
      <c r="CH648" s="56"/>
      <c r="CI648" s="56"/>
      <c r="CJ648" s="56"/>
      <c r="CK648" s="56"/>
      <c r="CL648" s="56"/>
      <c r="CM648" s="56"/>
      <c r="CN648" s="56"/>
      <c r="CO648" s="56"/>
      <c r="CP648" s="56"/>
      <c r="CQ648" s="56"/>
      <c r="CR648" s="56"/>
      <c r="CS648" s="56"/>
      <c r="CT648" s="56"/>
      <c r="CU648" s="56"/>
      <c r="CV648" s="56"/>
      <c r="CW648" s="56"/>
      <c r="CX648" s="56"/>
      <c r="CY648" s="56"/>
      <c r="CZ648" s="56"/>
      <c r="DA648" s="56"/>
      <c r="DB648" s="56"/>
      <c r="DC648" s="56"/>
      <c r="DD648" s="56"/>
      <c r="DE648" s="56"/>
      <c r="DF648" s="56"/>
      <c r="DG648" s="56"/>
      <c r="DH648" s="56"/>
      <c r="DI648" s="56"/>
      <c r="DJ648" s="56"/>
      <c r="DK648" s="56"/>
      <c r="DL648" s="56"/>
      <c r="DM648" s="56"/>
      <c r="DN648" s="56"/>
      <c r="DO648" s="56"/>
      <c r="DP648" s="56"/>
      <c r="DQ648" s="56"/>
      <c r="DR648" s="56"/>
      <c r="DS648" s="56"/>
      <c r="DT648" s="56"/>
      <c r="DU648" s="56"/>
      <c r="DV648" s="56"/>
      <c r="DW648" s="56"/>
      <c r="DX648" s="56"/>
      <c r="DY648" s="56"/>
      <c r="DZ648" s="56"/>
      <c r="EA648" s="56"/>
      <c r="EB648" s="56"/>
      <c r="EC648" s="56"/>
      <c r="ED648" s="56"/>
      <c r="EE648" s="56"/>
      <c r="EF648" s="56"/>
      <c r="EG648" s="56"/>
      <c r="EH648" s="56"/>
      <c r="EI648" s="56"/>
      <c r="EJ648" s="56"/>
      <c r="EK648" s="56"/>
      <c r="EL648" s="56"/>
      <c r="EM648" s="56"/>
      <c r="EN648" s="56"/>
      <c r="EO648" s="56"/>
      <c r="EP648" s="56"/>
      <c r="EQ648" s="56"/>
      <c r="ER648" s="56"/>
      <c r="ES648" s="56"/>
      <c r="ET648" s="56"/>
      <c r="EU648" s="56"/>
      <c r="EV648" s="56"/>
      <c r="EW648" s="56"/>
      <c r="EX648" s="56"/>
      <c r="EY648" s="56"/>
      <c r="EZ648" s="56"/>
      <c r="FA648" s="56"/>
      <c r="FB648" s="56"/>
      <c r="FC648" s="56"/>
      <c r="FD648" s="56"/>
      <c r="FE648" s="56"/>
      <c r="FF648" s="56"/>
      <c r="FG648" s="56"/>
      <c r="FH648" s="56"/>
      <c r="FI648" s="56"/>
      <c r="FJ648" s="56"/>
      <c r="FK648" s="56"/>
      <c r="FL648" s="56"/>
      <c r="FM648" s="56"/>
      <c r="FN648" s="56"/>
      <c r="FO648" s="56"/>
      <c r="FP648" s="56"/>
      <c r="FQ648" s="56"/>
      <c r="FR648" s="56"/>
      <c r="FS648" s="56"/>
      <c r="FT648" s="56"/>
      <c r="FU648" s="56"/>
      <c r="FV648" s="56"/>
      <c r="FW648" s="56"/>
      <c r="FX648" s="56"/>
      <c r="FY648" s="56"/>
      <c r="FZ648" s="56"/>
      <c r="GA648" s="56"/>
      <c r="GB648" s="56"/>
      <c r="GC648" s="56"/>
      <c r="GD648" s="56"/>
      <c r="GE648" s="56"/>
      <c r="GF648" s="56"/>
      <c r="GG648" s="56"/>
      <c r="GH648" s="56"/>
      <c r="GI648" s="56"/>
      <c r="GJ648" s="56"/>
      <c r="GK648" s="56"/>
      <c r="GL648" s="56"/>
      <c r="GM648" s="56"/>
      <c r="GN648" s="56"/>
      <c r="GO648" s="56"/>
      <c r="GP648" s="56"/>
      <c r="GQ648" s="56"/>
      <c r="GR648" s="56"/>
      <c r="GS648" s="56"/>
      <c r="GT648" s="56"/>
      <c r="GU648" s="56"/>
      <c r="GV648" s="56"/>
      <c r="GW648" s="56"/>
      <c r="GX648" s="56"/>
      <c r="GY648" s="56"/>
      <c r="GZ648" s="56"/>
      <c r="HA648" s="56"/>
      <c r="HB648" s="56"/>
      <c r="HC648" s="56"/>
      <c r="HD648" s="56"/>
      <c r="HE648" s="56"/>
      <c r="HF648" s="56"/>
      <c r="HG648" s="56"/>
      <c r="HH648" s="56"/>
      <c r="HI648" s="56"/>
      <c r="HJ648" s="56"/>
    </row>
    <row r="649" spans="1:218" ht="15.75" customHeight="1" x14ac:dyDescent="0.2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  <c r="BV649" s="56"/>
      <c r="BW649" s="56"/>
      <c r="BX649" s="56"/>
      <c r="BY649" s="56"/>
      <c r="BZ649" s="56"/>
      <c r="CA649" s="56"/>
      <c r="CB649" s="56"/>
      <c r="CC649" s="56"/>
      <c r="CD649" s="56"/>
      <c r="CE649" s="56"/>
      <c r="CF649" s="56"/>
      <c r="CG649" s="56"/>
      <c r="CH649" s="56"/>
      <c r="CI649" s="56"/>
      <c r="CJ649" s="56"/>
      <c r="CK649" s="56"/>
      <c r="CL649" s="56"/>
      <c r="CM649" s="56"/>
      <c r="CN649" s="56"/>
      <c r="CO649" s="56"/>
      <c r="CP649" s="56"/>
      <c r="CQ649" s="56"/>
      <c r="CR649" s="56"/>
      <c r="CS649" s="56"/>
      <c r="CT649" s="56"/>
      <c r="CU649" s="56"/>
      <c r="CV649" s="56"/>
      <c r="CW649" s="56"/>
      <c r="CX649" s="56"/>
      <c r="CY649" s="56"/>
      <c r="CZ649" s="56"/>
      <c r="DA649" s="56"/>
      <c r="DB649" s="56"/>
      <c r="DC649" s="56"/>
      <c r="DD649" s="56"/>
      <c r="DE649" s="56"/>
      <c r="DF649" s="56"/>
      <c r="DG649" s="56"/>
      <c r="DH649" s="56"/>
      <c r="DI649" s="56"/>
      <c r="DJ649" s="56"/>
      <c r="DK649" s="56"/>
      <c r="DL649" s="56"/>
      <c r="DM649" s="56"/>
      <c r="DN649" s="56"/>
      <c r="DO649" s="56"/>
      <c r="DP649" s="56"/>
      <c r="DQ649" s="56"/>
      <c r="DR649" s="56"/>
      <c r="DS649" s="56"/>
      <c r="DT649" s="56"/>
      <c r="DU649" s="56"/>
      <c r="DV649" s="56"/>
      <c r="DW649" s="56"/>
      <c r="DX649" s="56"/>
      <c r="DY649" s="56"/>
      <c r="DZ649" s="56"/>
      <c r="EA649" s="56"/>
      <c r="EB649" s="56"/>
      <c r="EC649" s="56"/>
      <c r="ED649" s="56"/>
      <c r="EE649" s="56"/>
      <c r="EF649" s="56"/>
      <c r="EG649" s="56"/>
      <c r="EH649" s="56"/>
      <c r="EI649" s="56"/>
      <c r="EJ649" s="56"/>
      <c r="EK649" s="56"/>
      <c r="EL649" s="56"/>
      <c r="EM649" s="56"/>
      <c r="EN649" s="56"/>
      <c r="EO649" s="56"/>
      <c r="EP649" s="56"/>
      <c r="EQ649" s="56"/>
      <c r="ER649" s="56"/>
      <c r="ES649" s="56"/>
      <c r="ET649" s="56"/>
      <c r="EU649" s="56"/>
      <c r="EV649" s="56"/>
      <c r="EW649" s="56"/>
      <c r="EX649" s="56"/>
      <c r="EY649" s="56"/>
      <c r="EZ649" s="56"/>
      <c r="FA649" s="56"/>
      <c r="FB649" s="56"/>
      <c r="FC649" s="56"/>
      <c r="FD649" s="56"/>
      <c r="FE649" s="56"/>
      <c r="FF649" s="56"/>
      <c r="FG649" s="56"/>
      <c r="FH649" s="56"/>
      <c r="FI649" s="56"/>
      <c r="FJ649" s="56"/>
      <c r="FK649" s="56"/>
      <c r="FL649" s="56"/>
      <c r="FM649" s="56"/>
      <c r="FN649" s="56"/>
      <c r="FO649" s="56"/>
      <c r="FP649" s="56"/>
      <c r="FQ649" s="56"/>
      <c r="FR649" s="56"/>
      <c r="FS649" s="56"/>
      <c r="FT649" s="56"/>
      <c r="FU649" s="56"/>
      <c r="FV649" s="56"/>
      <c r="FW649" s="56"/>
      <c r="FX649" s="56"/>
      <c r="FY649" s="56"/>
      <c r="FZ649" s="56"/>
      <c r="GA649" s="56"/>
      <c r="GB649" s="56"/>
      <c r="GC649" s="56"/>
      <c r="GD649" s="56"/>
      <c r="GE649" s="56"/>
      <c r="GF649" s="56"/>
      <c r="GG649" s="56"/>
      <c r="GH649" s="56"/>
      <c r="GI649" s="56"/>
      <c r="GJ649" s="56"/>
      <c r="GK649" s="56"/>
      <c r="GL649" s="56"/>
      <c r="GM649" s="56"/>
      <c r="GN649" s="56"/>
      <c r="GO649" s="56"/>
      <c r="GP649" s="56"/>
      <c r="GQ649" s="56"/>
      <c r="GR649" s="56"/>
      <c r="GS649" s="56"/>
      <c r="GT649" s="56"/>
      <c r="GU649" s="56"/>
      <c r="GV649" s="56"/>
      <c r="GW649" s="56"/>
      <c r="GX649" s="56"/>
      <c r="GY649" s="56"/>
      <c r="GZ649" s="56"/>
      <c r="HA649" s="56"/>
      <c r="HB649" s="56"/>
      <c r="HC649" s="56"/>
      <c r="HD649" s="56"/>
      <c r="HE649" s="56"/>
      <c r="HF649" s="56"/>
      <c r="HG649" s="56"/>
      <c r="HH649" s="56"/>
      <c r="HI649" s="56"/>
      <c r="HJ649" s="56"/>
    </row>
    <row r="650" spans="1:218" ht="15.75" customHeight="1" x14ac:dyDescent="0.2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  <c r="BV650" s="56"/>
      <c r="BW650" s="56"/>
      <c r="BX650" s="56"/>
      <c r="BY650" s="56"/>
      <c r="BZ650" s="56"/>
      <c r="CA650" s="56"/>
      <c r="CB650" s="56"/>
      <c r="CC650" s="56"/>
      <c r="CD650" s="56"/>
      <c r="CE650" s="56"/>
      <c r="CF650" s="56"/>
      <c r="CG650" s="56"/>
      <c r="CH650" s="56"/>
      <c r="CI650" s="56"/>
      <c r="CJ650" s="56"/>
      <c r="CK650" s="56"/>
      <c r="CL650" s="56"/>
      <c r="CM650" s="56"/>
      <c r="CN650" s="56"/>
      <c r="CO650" s="56"/>
      <c r="CP650" s="56"/>
      <c r="CQ650" s="56"/>
      <c r="CR650" s="56"/>
      <c r="CS650" s="56"/>
      <c r="CT650" s="56"/>
      <c r="CU650" s="56"/>
      <c r="CV650" s="56"/>
      <c r="CW650" s="56"/>
      <c r="CX650" s="56"/>
      <c r="CY650" s="56"/>
      <c r="CZ650" s="56"/>
      <c r="DA650" s="56"/>
      <c r="DB650" s="56"/>
      <c r="DC650" s="56"/>
      <c r="DD650" s="56"/>
      <c r="DE650" s="56"/>
      <c r="DF650" s="56"/>
      <c r="DG650" s="56"/>
      <c r="DH650" s="56"/>
      <c r="DI650" s="56"/>
      <c r="DJ650" s="56"/>
      <c r="DK650" s="56"/>
      <c r="DL650" s="56"/>
      <c r="DM650" s="56"/>
      <c r="DN650" s="56"/>
      <c r="DO650" s="56"/>
      <c r="DP650" s="56"/>
      <c r="DQ650" s="56"/>
      <c r="DR650" s="56"/>
      <c r="DS650" s="56"/>
      <c r="DT650" s="56"/>
      <c r="DU650" s="56"/>
      <c r="DV650" s="56"/>
      <c r="DW650" s="56"/>
      <c r="DX650" s="56"/>
      <c r="DY650" s="56"/>
      <c r="DZ650" s="56"/>
      <c r="EA650" s="56"/>
      <c r="EB650" s="56"/>
      <c r="EC650" s="56"/>
      <c r="ED650" s="56"/>
      <c r="EE650" s="56"/>
      <c r="EF650" s="56"/>
      <c r="EG650" s="56"/>
      <c r="EH650" s="56"/>
      <c r="EI650" s="56"/>
      <c r="EJ650" s="56"/>
      <c r="EK650" s="56"/>
      <c r="EL650" s="56"/>
      <c r="EM650" s="56"/>
      <c r="EN650" s="56"/>
      <c r="EO650" s="56"/>
      <c r="EP650" s="56"/>
      <c r="EQ650" s="56"/>
      <c r="ER650" s="56"/>
      <c r="ES650" s="56"/>
      <c r="ET650" s="56"/>
      <c r="EU650" s="56"/>
      <c r="EV650" s="56"/>
      <c r="EW650" s="56"/>
      <c r="EX650" s="56"/>
      <c r="EY650" s="56"/>
      <c r="EZ650" s="56"/>
      <c r="FA650" s="56"/>
      <c r="FB650" s="56"/>
      <c r="FC650" s="56"/>
      <c r="FD650" s="56"/>
      <c r="FE650" s="56"/>
      <c r="FF650" s="56"/>
      <c r="FG650" s="56"/>
      <c r="FH650" s="56"/>
      <c r="FI650" s="56"/>
      <c r="FJ650" s="56"/>
      <c r="FK650" s="56"/>
      <c r="FL650" s="56"/>
      <c r="FM650" s="56"/>
      <c r="FN650" s="56"/>
      <c r="FO650" s="56"/>
      <c r="FP650" s="56"/>
      <c r="FQ650" s="56"/>
      <c r="FR650" s="56"/>
      <c r="FS650" s="56"/>
      <c r="FT650" s="56"/>
      <c r="FU650" s="56"/>
      <c r="FV650" s="56"/>
      <c r="FW650" s="56"/>
      <c r="FX650" s="56"/>
      <c r="FY650" s="56"/>
      <c r="FZ650" s="56"/>
      <c r="GA650" s="56"/>
      <c r="GB650" s="56"/>
      <c r="GC650" s="56"/>
      <c r="GD650" s="56"/>
      <c r="GE650" s="56"/>
      <c r="GF650" s="56"/>
      <c r="GG650" s="56"/>
      <c r="GH650" s="56"/>
      <c r="GI650" s="56"/>
      <c r="GJ650" s="56"/>
      <c r="GK650" s="56"/>
      <c r="GL650" s="56"/>
      <c r="GM650" s="56"/>
      <c r="GN650" s="56"/>
      <c r="GO650" s="56"/>
      <c r="GP650" s="56"/>
      <c r="GQ650" s="56"/>
      <c r="GR650" s="56"/>
      <c r="GS650" s="56"/>
      <c r="GT650" s="56"/>
      <c r="GU650" s="56"/>
      <c r="GV650" s="56"/>
      <c r="GW650" s="56"/>
      <c r="GX650" s="56"/>
      <c r="GY650" s="56"/>
      <c r="GZ650" s="56"/>
      <c r="HA650" s="56"/>
      <c r="HB650" s="56"/>
      <c r="HC650" s="56"/>
      <c r="HD650" s="56"/>
      <c r="HE650" s="56"/>
      <c r="HF650" s="56"/>
      <c r="HG650" s="56"/>
      <c r="HH650" s="56"/>
      <c r="HI650" s="56"/>
      <c r="HJ650" s="56"/>
    </row>
    <row r="651" spans="1:218" ht="15.75" customHeight="1" x14ac:dyDescent="0.2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  <c r="BV651" s="56"/>
      <c r="BW651" s="56"/>
      <c r="BX651" s="56"/>
      <c r="BY651" s="56"/>
      <c r="BZ651" s="56"/>
      <c r="CA651" s="56"/>
      <c r="CB651" s="56"/>
      <c r="CC651" s="56"/>
      <c r="CD651" s="56"/>
      <c r="CE651" s="56"/>
      <c r="CF651" s="56"/>
      <c r="CG651" s="56"/>
      <c r="CH651" s="56"/>
      <c r="CI651" s="56"/>
      <c r="CJ651" s="56"/>
      <c r="CK651" s="56"/>
      <c r="CL651" s="56"/>
      <c r="CM651" s="56"/>
      <c r="CN651" s="56"/>
      <c r="CO651" s="56"/>
      <c r="CP651" s="56"/>
      <c r="CQ651" s="56"/>
      <c r="CR651" s="56"/>
      <c r="CS651" s="56"/>
      <c r="CT651" s="56"/>
      <c r="CU651" s="56"/>
      <c r="CV651" s="56"/>
      <c r="CW651" s="56"/>
      <c r="CX651" s="56"/>
      <c r="CY651" s="56"/>
      <c r="CZ651" s="56"/>
      <c r="DA651" s="56"/>
      <c r="DB651" s="56"/>
      <c r="DC651" s="56"/>
      <c r="DD651" s="56"/>
      <c r="DE651" s="56"/>
      <c r="DF651" s="56"/>
      <c r="DG651" s="56"/>
      <c r="DH651" s="56"/>
      <c r="DI651" s="56"/>
      <c r="DJ651" s="56"/>
      <c r="DK651" s="56"/>
      <c r="DL651" s="56"/>
      <c r="DM651" s="56"/>
      <c r="DN651" s="56"/>
      <c r="DO651" s="56"/>
      <c r="DP651" s="56"/>
      <c r="DQ651" s="56"/>
      <c r="DR651" s="56"/>
      <c r="DS651" s="56"/>
      <c r="DT651" s="56"/>
      <c r="DU651" s="56"/>
      <c r="DV651" s="56"/>
      <c r="DW651" s="56"/>
      <c r="DX651" s="56"/>
      <c r="DY651" s="56"/>
      <c r="DZ651" s="56"/>
      <c r="EA651" s="56"/>
      <c r="EB651" s="56"/>
      <c r="EC651" s="56"/>
      <c r="ED651" s="56"/>
      <c r="EE651" s="56"/>
      <c r="EF651" s="56"/>
      <c r="EG651" s="56"/>
      <c r="EH651" s="56"/>
      <c r="EI651" s="56"/>
      <c r="EJ651" s="56"/>
      <c r="EK651" s="56"/>
      <c r="EL651" s="56"/>
      <c r="EM651" s="56"/>
      <c r="EN651" s="56"/>
      <c r="EO651" s="56"/>
      <c r="EP651" s="56"/>
      <c r="EQ651" s="56"/>
      <c r="ER651" s="56"/>
      <c r="ES651" s="56"/>
      <c r="ET651" s="56"/>
      <c r="EU651" s="56"/>
      <c r="EV651" s="56"/>
      <c r="EW651" s="56"/>
      <c r="EX651" s="56"/>
      <c r="EY651" s="56"/>
      <c r="EZ651" s="56"/>
      <c r="FA651" s="56"/>
      <c r="FB651" s="56"/>
      <c r="FC651" s="56"/>
      <c r="FD651" s="56"/>
      <c r="FE651" s="56"/>
      <c r="FF651" s="56"/>
      <c r="FG651" s="56"/>
      <c r="FH651" s="56"/>
      <c r="FI651" s="56"/>
      <c r="FJ651" s="56"/>
      <c r="FK651" s="56"/>
      <c r="FL651" s="56"/>
      <c r="FM651" s="56"/>
      <c r="FN651" s="56"/>
      <c r="FO651" s="56"/>
      <c r="FP651" s="56"/>
      <c r="FQ651" s="56"/>
      <c r="FR651" s="56"/>
      <c r="FS651" s="56"/>
      <c r="FT651" s="56"/>
      <c r="FU651" s="56"/>
      <c r="FV651" s="56"/>
      <c r="FW651" s="56"/>
      <c r="FX651" s="56"/>
      <c r="FY651" s="56"/>
      <c r="FZ651" s="56"/>
      <c r="GA651" s="56"/>
      <c r="GB651" s="56"/>
      <c r="GC651" s="56"/>
      <c r="GD651" s="56"/>
      <c r="GE651" s="56"/>
      <c r="GF651" s="56"/>
      <c r="GG651" s="56"/>
      <c r="GH651" s="56"/>
      <c r="GI651" s="56"/>
      <c r="GJ651" s="56"/>
      <c r="GK651" s="56"/>
      <c r="GL651" s="56"/>
      <c r="GM651" s="56"/>
      <c r="GN651" s="56"/>
      <c r="GO651" s="56"/>
      <c r="GP651" s="56"/>
      <c r="GQ651" s="56"/>
      <c r="GR651" s="56"/>
      <c r="GS651" s="56"/>
      <c r="GT651" s="56"/>
      <c r="GU651" s="56"/>
      <c r="GV651" s="56"/>
      <c r="GW651" s="56"/>
      <c r="GX651" s="56"/>
      <c r="GY651" s="56"/>
      <c r="GZ651" s="56"/>
      <c r="HA651" s="56"/>
      <c r="HB651" s="56"/>
      <c r="HC651" s="56"/>
      <c r="HD651" s="56"/>
      <c r="HE651" s="56"/>
      <c r="HF651" s="56"/>
      <c r="HG651" s="56"/>
      <c r="HH651" s="56"/>
      <c r="HI651" s="56"/>
      <c r="HJ651" s="56"/>
    </row>
    <row r="652" spans="1:218" ht="15.75" customHeight="1" x14ac:dyDescent="0.2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  <c r="CL652" s="56"/>
      <c r="CM652" s="56"/>
      <c r="CN652" s="56"/>
      <c r="CO652" s="56"/>
      <c r="CP652" s="56"/>
      <c r="CQ652" s="56"/>
      <c r="CR652" s="56"/>
      <c r="CS652" s="56"/>
      <c r="CT652" s="56"/>
      <c r="CU652" s="56"/>
      <c r="CV652" s="56"/>
      <c r="CW652" s="56"/>
      <c r="CX652" s="56"/>
      <c r="CY652" s="56"/>
      <c r="CZ652" s="56"/>
      <c r="DA652" s="56"/>
      <c r="DB652" s="56"/>
      <c r="DC652" s="56"/>
      <c r="DD652" s="56"/>
      <c r="DE652" s="56"/>
      <c r="DF652" s="56"/>
      <c r="DG652" s="56"/>
      <c r="DH652" s="56"/>
      <c r="DI652" s="56"/>
      <c r="DJ652" s="56"/>
      <c r="DK652" s="56"/>
      <c r="DL652" s="56"/>
      <c r="DM652" s="56"/>
      <c r="DN652" s="56"/>
      <c r="DO652" s="56"/>
      <c r="DP652" s="56"/>
      <c r="DQ652" s="56"/>
      <c r="DR652" s="56"/>
      <c r="DS652" s="56"/>
      <c r="DT652" s="56"/>
      <c r="DU652" s="56"/>
      <c r="DV652" s="56"/>
      <c r="DW652" s="56"/>
      <c r="DX652" s="56"/>
      <c r="DY652" s="56"/>
      <c r="DZ652" s="56"/>
      <c r="EA652" s="56"/>
      <c r="EB652" s="56"/>
      <c r="EC652" s="56"/>
      <c r="ED652" s="56"/>
      <c r="EE652" s="56"/>
      <c r="EF652" s="56"/>
      <c r="EG652" s="56"/>
      <c r="EH652" s="56"/>
      <c r="EI652" s="56"/>
      <c r="EJ652" s="56"/>
      <c r="EK652" s="56"/>
      <c r="EL652" s="56"/>
      <c r="EM652" s="56"/>
      <c r="EN652" s="56"/>
      <c r="EO652" s="56"/>
      <c r="EP652" s="56"/>
      <c r="EQ652" s="56"/>
      <c r="ER652" s="56"/>
      <c r="ES652" s="56"/>
      <c r="ET652" s="56"/>
      <c r="EU652" s="56"/>
      <c r="EV652" s="56"/>
      <c r="EW652" s="56"/>
      <c r="EX652" s="56"/>
      <c r="EY652" s="56"/>
      <c r="EZ652" s="56"/>
      <c r="FA652" s="56"/>
      <c r="FB652" s="56"/>
      <c r="FC652" s="56"/>
      <c r="FD652" s="56"/>
      <c r="FE652" s="56"/>
      <c r="FF652" s="56"/>
      <c r="FG652" s="56"/>
      <c r="FH652" s="56"/>
      <c r="FI652" s="56"/>
      <c r="FJ652" s="56"/>
      <c r="FK652" s="56"/>
      <c r="FL652" s="56"/>
      <c r="FM652" s="56"/>
      <c r="FN652" s="56"/>
      <c r="FO652" s="56"/>
      <c r="FP652" s="56"/>
      <c r="FQ652" s="56"/>
      <c r="FR652" s="56"/>
      <c r="FS652" s="56"/>
      <c r="FT652" s="56"/>
      <c r="FU652" s="56"/>
      <c r="FV652" s="56"/>
      <c r="FW652" s="56"/>
      <c r="FX652" s="56"/>
      <c r="FY652" s="56"/>
      <c r="FZ652" s="56"/>
      <c r="GA652" s="56"/>
      <c r="GB652" s="56"/>
      <c r="GC652" s="56"/>
      <c r="GD652" s="56"/>
      <c r="GE652" s="56"/>
      <c r="GF652" s="56"/>
      <c r="GG652" s="56"/>
      <c r="GH652" s="56"/>
      <c r="GI652" s="56"/>
      <c r="GJ652" s="56"/>
      <c r="GK652" s="56"/>
      <c r="GL652" s="56"/>
      <c r="GM652" s="56"/>
      <c r="GN652" s="56"/>
      <c r="GO652" s="56"/>
      <c r="GP652" s="56"/>
      <c r="GQ652" s="56"/>
      <c r="GR652" s="56"/>
      <c r="GS652" s="56"/>
      <c r="GT652" s="56"/>
      <c r="GU652" s="56"/>
      <c r="GV652" s="56"/>
      <c r="GW652" s="56"/>
      <c r="GX652" s="56"/>
      <c r="GY652" s="56"/>
      <c r="GZ652" s="56"/>
      <c r="HA652" s="56"/>
      <c r="HB652" s="56"/>
      <c r="HC652" s="56"/>
      <c r="HD652" s="56"/>
      <c r="HE652" s="56"/>
      <c r="HF652" s="56"/>
      <c r="HG652" s="56"/>
      <c r="HH652" s="56"/>
      <c r="HI652" s="56"/>
      <c r="HJ652" s="56"/>
    </row>
    <row r="653" spans="1:218" ht="15.75" customHeight="1" x14ac:dyDescent="0.2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  <c r="BV653" s="56"/>
      <c r="BW653" s="56"/>
      <c r="BX653" s="56"/>
      <c r="BY653" s="56"/>
      <c r="BZ653" s="56"/>
      <c r="CA653" s="56"/>
      <c r="CB653" s="56"/>
      <c r="CC653" s="56"/>
      <c r="CD653" s="56"/>
      <c r="CE653" s="56"/>
      <c r="CF653" s="56"/>
      <c r="CG653" s="56"/>
      <c r="CH653" s="56"/>
      <c r="CI653" s="56"/>
      <c r="CJ653" s="56"/>
      <c r="CK653" s="56"/>
      <c r="CL653" s="56"/>
      <c r="CM653" s="56"/>
      <c r="CN653" s="56"/>
      <c r="CO653" s="56"/>
      <c r="CP653" s="56"/>
      <c r="CQ653" s="56"/>
      <c r="CR653" s="56"/>
      <c r="CS653" s="56"/>
      <c r="CT653" s="56"/>
      <c r="CU653" s="56"/>
      <c r="CV653" s="56"/>
      <c r="CW653" s="56"/>
      <c r="CX653" s="56"/>
      <c r="CY653" s="56"/>
      <c r="CZ653" s="56"/>
      <c r="DA653" s="56"/>
      <c r="DB653" s="56"/>
      <c r="DC653" s="56"/>
      <c r="DD653" s="56"/>
      <c r="DE653" s="56"/>
      <c r="DF653" s="56"/>
      <c r="DG653" s="56"/>
      <c r="DH653" s="56"/>
      <c r="DI653" s="56"/>
      <c r="DJ653" s="56"/>
      <c r="DK653" s="56"/>
      <c r="DL653" s="56"/>
      <c r="DM653" s="56"/>
      <c r="DN653" s="56"/>
      <c r="DO653" s="56"/>
      <c r="DP653" s="56"/>
      <c r="DQ653" s="56"/>
      <c r="DR653" s="56"/>
      <c r="DS653" s="56"/>
      <c r="DT653" s="56"/>
      <c r="DU653" s="56"/>
      <c r="DV653" s="56"/>
      <c r="DW653" s="56"/>
      <c r="DX653" s="56"/>
      <c r="DY653" s="56"/>
      <c r="DZ653" s="56"/>
      <c r="EA653" s="56"/>
      <c r="EB653" s="56"/>
      <c r="EC653" s="56"/>
      <c r="ED653" s="56"/>
      <c r="EE653" s="56"/>
      <c r="EF653" s="56"/>
      <c r="EG653" s="56"/>
      <c r="EH653" s="56"/>
      <c r="EI653" s="56"/>
      <c r="EJ653" s="56"/>
      <c r="EK653" s="56"/>
      <c r="EL653" s="56"/>
      <c r="EM653" s="56"/>
      <c r="EN653" s="56"/>
      <c r="EO653" s="56"/>
      <c r="EP653" s="56"/>
      <c r="EQ653" s="56"/>
      <c r="ER653" s="56"/>
      <c r="ES653" s="56"/>
      <c r="ET653" s="56"/>
      <c r="EU653" s="56"/>
      <c r="EV653" s="56"/>
      <c r="EW653" s="56"/>
      <c r="EX653" s="56"/>
      <c r="EY653" s="56"/>
      <c r="EZ653" s="56"/>
      <c r="FA653" s="56"/>
      <c r="FB653" s="56"/>
      <c r="FC653" s="56"/>
      <c r="FD653" s="56"/>
      <c r="FE653" s="56"/>
      <c r="FF653" s="56"/>
      <c r="FG653" s="56"/>
      <c r="FH653" s="56"/>
      <c r="FI653" s="56"/>
      <c r="FJ653" s="56"/>
      <c r="FK653" s="56"/>
      <c r="FL653" s="56"/>
      <c r="FM653" s="56"/>
      <c r="FN653" s="56"/>
      <c r="FO653" s="56"/>
      <c r="FP653" s="56"/>
      <c r="FQ653" s="56"/>
      <c r="FR653" s="56"/>
      <c r="FS653" s="56"/>
      <c r="FT653" s="56"/>
      <c r="FU653" s="56"/>
      <c r="FV653" s="56"/>
      <c r="FW653" s="56"/>
      <c r="FX653" s="56"/>
      <c r="FY653" s="56"/>
      <c r="FZ653" s="56"/>
      <c r="GA653" s="56"/>
      <c r="GB653" s="56"/>
      <c r="GC653" s="56"/>
      <c r="GD653" s="56"/>
      <c r="GE653" s="56"/>
      <c r="GF653" s="56"/>
      <c r="GG653" s="56"/>
      <c r="GH653" s="56"/>
      <c r="GI653" s="56"/>
      <c r="GJ653" s="56"/>
      <c r="GK653" s="56"/>
      <c r="GL653" s="56"/>
      <c r="GM653" s="56"/>
      <c r="GN653" s="56"/>
      <c r="GO653" s="56"/>
      <c r="GP653" s="56"/>
      <c r="GQ653" s="56"/>
      <c r="GR653" s="56"/>
      <c r="GS653" s="56"/>
      <c r="GT653" s="56"/>
      <c r="GU653" s="56"/>
      <c r="GV653" s="56"/>
      <c r="GW653" s="56"/>
      <c r="GX653" s="56"/>
      <c r="GY653" s="56"/>
      <c r="GZ653" s="56"/>
      <c r="HA653" s="56"/>
      <c r="HB653" s="56"/>
      <c r="HC653" s="56"/>
      <c r="HD653" s="56"/>
      <c r="HE653" s="56"/>
      <c r="HF653" s="56"/>
      <c r="HG653" s="56"/>
      <c r="HH653" s="56"/>
      <c r="HI653" s="56"/>
      <c r="HJ653" s="56"/>
    </row>
    <row r="654" spans="1:218" ht="15.75" customHeight="1" x14ac:dyDescent="0.2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  <c r="BV654" s="56"/>
      <c r="BW654" s="56"/>
      <c r="BX654" s="56"/>
      <c r="BY654" s="56"/>
      <c r="BZ654" s="56"/>
      <c r="CA654" s="56"/>
      <c r="CB654" s="56"/>
      <c r="CC654" s="56"/>
      <c r="CD654" s="56"/>
      <c r="CE654" s="56"/>
      <c r="CF654" s="56"/>
      <c r="CG654" s="56"/>
      <c r="CH654" s="56"/>
      <c r="CI654" s="56"/>
      <c r="CJ654" s="56"/>
      <c r="CK654" s="56"/>
      <c r="CL654" s="56"/>
      <c r="CM654" s="56"/>
      <c r="CN654" s="56"/>
      <c r="CO654" s="56"/>
      <c r="CP654" s="56"/>
      <c r="CQ654" s="56"/>
      <c r="CR654" s="56"/>
      <c r="CS654" s="56"/>
      <c r="CT654" s="56"/>
      <c r="CU654" s="56"/>
      <c r="CV654" s="56"/>
      <c r="CW654" s="56"/>
      <c r="CX654" s="56"/>
      <c r="CY654" s="56"/>
      <c r="CZ654" s="56"/>
      <c r="DA654" s="56"/>
      <c r="DB654" s="56"/>
      <c r="DC654" s="56"/>
      <c r="DD654" s="56"/>
      <c r="DE654" s="56"/>
      <c r="DF654" s="56"/>
      <c r="DG654" s="56"/>
      <c r="DH654" s="56"/>
      <c r="DI654" s="56"/>
      <c r="DJ654" s="56"/>
      <c r="DK654" s="56"/>
      <c r="DL654" s="56"/>
      <c r="DM654" s="56"/>
      <c r="DN654" s="56"/>
      <c r="DO654" s="56"/>
      <c r="DP654" s="56"/>
      <c r="DQ654" s="56"/>
      <c r="DR654" s="56"/>
      <c r="DS654" s="56"/>
      <c r="DT654" s="56"/>
      <c r="DU654" s="56"/>
      <c r="DV654" s="56"/>
      <c r="DW654" s="56"/>
      <c r="DX654" s="56"/>
      <c r="DY654" s="56"/>
      <c r="DZ654" s="56"/>
      <c r="EA654" s="56"/>
      <c r="EB654" s="56"/>
      <c r="EC654" s="56"/>
      <c r="ED654" s="56"/>
      <c r="EE654" s="56"/>
      <c r="EF654" s="56"/>
      <c r="EG654" s="56"/>
      <c r="EH654" s="56"/>
      <c r="EI654" s="56"/>
      <c r="EJ654" s="56"/>
      <c r="EK654" s="56"/>
      <c r="EL654" s="56"/>
      <c r="EM654" s="56"/>
      <c r="EN654" s="56"/>
      <c r="EO654" s="56"/>
      <c r="EP654" s="56"/>
      <c r="EQ654" s="56"/>
      <c r="ER654" s="56"/>
      <c r="ES654" s="56"/>
      <c r="ET654" s="56"/>
      <c r="EU654" s="56"/>
      <c r="EV654" s="56"/>
      <c r="EW654" s="56"/>
      <c r="EX654" s="56"/>
      <c r="EY654" s="56"/>
      <c r="EZ654" s="56"/>
      <c r="FA654" s="56"/>
      <c r="FB654" s="56"/>
      <c r="FC654" s="56"/>
      <c r="FD654" s="56"/>
      <c r="FE654" s="56"/>
      <c r="FF654" s="56"/>
      <c r="FG654" s="56"/>
      <c r="FH654" s="56"/>
      <c r="FI654" s="56"/>
      <c r="FJ654" s="56"/>
      <c r="FK654" s="56"/>
      <c r="FL654" s="56"/>
      <c r="FM654" s="56"/>
      <c r="FN654" s="56"/>
      <c r="FO654" s="56"/>
      <c r="FP654" s="56"/>
      <c r="FQ654" s="56"/>
      <c r="FR654" s="56"/>
      <c r="FS654" s="56"/>
      <c r="FT654" s="56"/>
      <c r="FU654" s="56"/>
      <c r="FV654" s="56"/>
      <c r="FW654" s="56"/>
      <c r="FX654" s="56"/>
      <c r="FY654" s="56"/>
      <c r="FZ654" s="56"/>
      <c r="GA654" s="56"/>
      <c r="GB654" s="56"/>
      <c r="GC654" s="56"/>
      <c r="GD654" s="56"/>
      <c r="GE654" s="56"/>
      <c r="GF654" s="56"/>
      <c r="GG654" s="56"/>
      <c r="GH654" s="56"/>
      <c r="GI654" s="56"/>
      <c r="GJ654" s="56"/>
      <c r="GK654" s="56"/>
      <c r="GL654" s="56"/>
      <c r="GM654" s="56"/>
      <c r="GN654" s="56"/>
      <c r="GO654" s="56"/>
      <c r="GP654" s="56"/>
      <c r="GQ654" s="56"/>
      <c r="GR654" s="56"/>
      <c r="GS654" s="56"/>
      <c r="GT654" s="56"/>
      <c r="GU654" s="56"/>
      <c r="GV654" s="56"/>
      <c r="GW654" s="56"/>
      <c r="GX654" s="56"/>
      <c r="GY654" s="56"/>
      <c r="GZ654" s="56"/>
      <c r="HA654" s="56"/>
      <c r="HB654" s="56"/>
      <c r="HC654" s="56"/>
      <c r="HD654" s="56"/>
      <c r="HE654" s="56"/>
      <c r="HF654" s="56"/>
      <c r="HG654" s="56"/>
      <c r="HH654" s="56"/>
      <c r="HI654" s="56"/>
      <c r="HJ654" s="56"/>
    </row>
    <row r="655" spans="1:218" ht="15.75" customHeight="1" x14ac:dyDescent="0.2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  <c r="BV655" s="56"/>
      <c r="BW655" s="56"/>
      <c r="BX655" s="56"/>
      <c r="BY655" s="56"/>
      <c r="BZ655" s="56"/>
      <c r="CA655" s="56"/>
      <c r="CB655" s="56"/>
      <c r="CC655" s="56"/>
      <c r="CD655" s="56"/>
      <c r="CE655" s="56"/>
      <c r="CF655" s="56"/>
      <c r="CG655" s="56"/>
      <c r="CH655" s="56"/>
      <c r="CI655" s="56"/>
      <c r="CJ655" s="56"/>
      <c r="CK655" s="56"/>
      <c r="CL655" s="56"/>
      <c r="CM655" s="56"/>
      <c r="CN655" s="56"/>
      <c r="CO655" s="56"/>
      <c r="CP655" s="56"/>
      <c r="CQ655" s="56"/>
      <c r="CR655" s="56"/>
      <c r="CS655" s="56"/>
      <c r="CT655" s="56"/>
      <c r="CU655" s="56"/>
      <c r="CV655" s="56"/>
      <c r="CW655" s="56"/>
      <c r="CX655" s="56"/>
      <c r="CY655" s="56"/>
      <c r="CZ655" s="56"/>
      <c r="DA655" s="56"/>
      <c r="DB655" s="56"/>
      <c r="DC655" s="56"/>
      <c r="DD655" s="56"/>
      <c r="DE655" s="56"/>
      <c r="DF655" s="56"/>
      <c r="DG655" s="56"/>
      <c r="DH655" s="56"/>
      <c r="DI655" s="56"/>
      <c r="DJ655" s="56"/>
      <c r="DK655" s="56"/>
      <c r="DL655" s="56"/>
      <c r="DM655" s="56"/>
      <c r="DN655" s="56"/>
      <c r="DO655" s="56"/>
      <c r="DP655" s="56"/>
      <c r="DQ655" s="56"/>
      <c r="DR655" s="56"/>
      <c r="DS655" s="56"/>
      <c r="DT655" s="56"/>
      <c r="DU655" s="56"/>
      <c r="DV655" s="56"/>
      <c r="DW655" s="56"/>
      <c r="DX655" s="56"/>
      <c r="DY655" s="56"/>
      <c r="DZ655" s="56"/>
      <c r="EA655" s="56"/>
      <c r="EB655" s="56"/>
      <c r="EC655" s="56"/>
      <c r="ED655" s="56"/>
      <c r="EE655" s="56"/>
      <c r="EF655" s="56"/>
      <c r="EG655" s="56"/>
      <c r="EH655" s="56"/>
      <c r="EI655" s="56"/>
      <c r="EJ655" s="56"/>
      <c r="EK655" s="56"/>
      <c r="EL655" s="56"/>
      <c r="EM655" s="56"/>
      <c r="EN655" s="56"/>
      <c r="EO655" s="56"/>
      <c r="EP655" s="56"/>
      <c r="EQ655" s="56"/>
      <c r="ER655" s="56"/>
      <c r="ES655" s="56"/>
      <c r="ET655" s="56"/>
      <c r="EU655" s="56"/>
      <c r="EV655" s="56"/>
      <c r="EW655" s="56"/>
      <c r="EX655" s="56"/>
      <c r="EY655" s="56"/>
      <c r="EZ655" s="56"/>
      <c r="FA655" s="56"/>
      <c r="FB655" s="56"/>
      <c r="FC655" s="56"/>
      <c r="FD655" s="56"/>
      <c r="FE655" s="56"/>
      <c r="FF655" s="56"/>
      <c r="FG655" s="56"/>
      <c r="FH655" s="56"/>
      <c r="FI655" s="56"/>
      <c r="FJ655" s="56"/>
      <c r="FK655" s="56"/>
      <c r="FL655" s="56"/>
      <c r="FM655" s="56"/>
      <c r="FN655" s="56"/>
      <c r="FO655" s="56"/>
      <c r="FP655" s="56"/>
      <c r="FQ655" s="56"/>
      <c r="FR655" s="56"/>
      <c r="FS655" s="56"/>
      <c r="FT655" s="56"/>
      <c r="FU655" s="56"/>
      <c r="FV655" s="56"/>
      <c r="FW655" s="56"/>
      <c r="FX655" s="56"/>
      <c r="FY655" s="56"/>
      <c r="FZ655" s="56"/>
      <c r="GA655" s="56"/>
      <c r="GB655" s="56"/>
      <c r="GC655" s="56"/>
      <c r="GD655" s="56"/>
      <c r="GE655" s="56"/>
      <c r="GF655" s="56"/>
      <c r="GG655" s="56"/>
      <c r="GH655" s="56"/>
      <c r="GI655" s="56"/>
      <c r="GJ655" s="56"/>
      <c r="GK655" s="56"/>
      <c r="GL655" s="56"/>
      <c r="GM655" s="56"/>
      <c r="GN655" s="56"/>
      <c r="GO655" s="56"/>
      <c r="GP655" s="56"/>
      <c r="GQ655" s="56"/>
      <c r="GR655" s="56"/>
      <c r="GS655" s="56"/>
      <c r="GT655" s="56"/>
      <c r="GU655" s="56"/>
      <c r="GV655" s="56"/>
      <c r="GW655" s="56"/>
      <c r="GX655" s="56"/>
      <c r="GY655" s="56"/>
      <c r="GZ655" s="56"/>
      <c r="HA655" s="56"/>
      <c r="HB655" s="56"/>
      <c r="HC655" s="56"/>
      <c r="HD655" s="56"/>
      <c r="HE655" s="56"/>
      <c r="HF655" s="56"/>
      <c r="HG655" s="56"/>
      <c r="HH655" s="56"/>
      <c r="HI655" s="56"/>
      <c r="HJ655" s="56"/>
    </row>
    <row r="656" spans="1:218" ht="15.75" customHeight="1" x14ac:dyDescent="0.2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  <c r="BV656" s="56"/>
      <c r="BW656" s="56"/>
      <c r="BX656" s="56"/>
      <c r="BY656" s="56"/>
      <c r="BZ656" s="56"/>
      <c r="CA656" s="56"/>
      <c r="CB656" s="56"/>
      <c r="CC656" s="56"/>
      <c r="CD656" s="56"/>
      <c r="CE656" s="56"/>
      <c r="CF656" s="56"/>
      <c r="CG656" s="56"/>
      <c r="CH656" s="56"/>
      <c r="CI656" s="56"/>
      <c r="CJ656" s="56"/>
      <c r="CK656" s="56"/>
      <c r="CL656" s="56"/>
      <c r="CM656" s="56"/>
      <c r="CN656" s="56"/>
      <c r="CO656" s="56"/>
      <c r="CP656" s="56"/>
      <c r="CQ656" s="56"/>
      <c r="CR656" s="56"/>
      <c r="CS656" s="56"/>
      <c r="CT656" s="56"/>
      <c r="CU656" s="56"/>
      <c r="CV656" s="56"/>
      <c r="CW656" s="56"/>
      <c r="CX656" s="56"/>
      <c r="CY656" s="56"/>
      <c r="CZ656" s="56"/>
      <c r="DA656" s="56"/>
      <c r="DB656" s="56"/>
      <c r="DC656" s="56"/>
      <c r="DD656" s="56"/>
      <c r="DE656" s="56"/>
      <c r="DF656" s="56"/>
      <c r="DG656" s="56"/>
      <c r="DH656" s="56"/>
      <c r="DI656" s="56"/>
      <c r="DJ656" s="56"/>
      <c r="DK656" s="56"/>
      <c r="DL656" s="56"/>
      <c r="DM656" s="56"/>
      <c r="DN656" s="56"/>
      <c r="DO656" s="56"/>
      <c r="DP656" s="56"/>
      <c r="DQ656" s="56"/>
      <c r="DR656" s="56"/>
      <c r="DS656" s="56"/>
      <c r="DT656" s="56"/>
      <c r="DU656" s="56"/>
      <c r="DV656" s="56"/>
      <c r="DW656" s="56"/>
      <c r="DX656" s="56"/>
      <c r="DY656" s="56"/>
      <c r="DZ656" s="56"/>
      <c r="EA656" s="56"/>
      <c r="EB656" s="56"/>
      <c r="EC656" s="56"/>
      <c r="ED656" s="56"/>
      <c r="EE656" s="56"/>
      <c r="EF656" s="56"/>
      <c r="EG656" s="56"/>
      <c r="EH656" s="56"/>
      <c r="EI656" s="56"/>
      <c r="EJ656" s="56"/>
      <c r="EK656" s="56"/>
      <c r="EL656" s="56"/>
      <c r="EM656" s="56"/>
      <c r="EN656" s="56"/>
      <c r="EO656" s="56"/>
      <c r="EP656" s="56"/>
      <c r="EQ656" s="56"/>
      <c r="ER656" s="56"/>
      <c r="ES656" s="56"/>
      <c r="ET656" s="56"/>
      <c r="EU656" s="56"/>
      <c r="EV656" s="56"/>
      <c r="EW656" s="56"/>
      <c r="EX656" s="56"/>
      <c r="EY656" s="56"/>
      <c r="EZ656" s="56"/>
      <c r="FA656" s="56"/>
      <c r="FB656" s="56"/>
      <c r="FC656" s="56"/>
      <c r="FD656" s="56"/>
      <c r="FE656" s="56"/>
      <c r="FF656" s="56"/>
      <c r="FG656" s="56"/>
      <c r="FH656" s="56"/>
      <c r="FI656" s="56"/>
      <c r="FJ656" s="56"/>
      <c r="FK656" s="56"/>
      <c r="FL656" s="56"/>
      <c r="FM656" s="56"/>
      <c r="FN656" s="56"/>
      <c r="FO656" s="56"/>
      <c r="FP656" s="56"/>
      <c r="FQ656" s="56"/>
      <c r="FR656" s="56"/>
      <c r="FS656" s="56"/>
      <c r="FT656" s="56"/>
      <c r="FU656" s="56"/>
      <c r="FV656" s="56"/>
      <c r="FW656" s="56"/>
      <c r="FX656" s="56"/>
      <c r="FY656" s="56"/>
      <c r="FZ656" s="56"/>
      <c r="GA656" s="56"/>
      <c r="GB656" s="56"/>
      <c r="GC656" s="56"/>
      <c r="GD656" s="56"/>
      <c r="GE656" s="56"/>
      <c r="GF656" s="56"/>
      <c r="GG656" s="56"/>
      <c r="GH656" s="56"/>
      <c r="GI656" s="56"/>
      <c r="GJ656" s="56"/>
      <c r="GK656" s="56"/>
      <c r="GL656" s="56"/>
      <c r="GM656" s="56"/>
      <c r="GN656" s="56"/>
      <c r="GO656" s="56"/>
      <c r="GP656" s="56"/>
      <c r="GQ656" s="56"/>
      <c r="GR656" s="56"/>
      <c r="GS656" s="56"/>
      <c r="GT656" s="56"/>
      <c r="GU656" s="56"/>
      <c r="GV656" s="56"/>
      <c r="GW656" s="56"/>
      <c r="GX656" s="56"/>
      <c r="GY656" s="56"/>
      <c r="GZ656" s="56"/>
      <c r="HA656" s="56"/>
      <c r="HB656" s="56"/>
      <c r="HC656" s="56"/>
      <c r="HD656" s="56"/>
      <c r="HE656" s="56"/>
      <c r="HF656" s="56"/>
      <c r="HG656" s="56"/>
      <c r="HH656" s="56"/>
      <c r="HI656" s="56"/>
      <c r="HJ656" s="56"/>
    </row>
    <row r="657" spans="1:218" ht="15.75" customHeight="1" x14ac:dyDescent="0.2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  <c r="BV657" s="56"/>
      <c r="BW657" s="56"/>
      <c r="BX657" s="56"/>
      <c r="BY657" s="56"/>
      <c r="BZ657" s="56"/>
      <c r="CA657" s="56"/>
      <c r="CB657" s="56"/>
      <c r="CC657" s="56"/>
      <c r="CD657" s="56"/>
      <c r="CE657" s="56"/>
      <c r="CF657" s="56"/>
      <c r="CG657" s="56"/>
      <c r="CH657" s="56"/>
      <c r="CI657" s="56"/>
      <c r="CJ657" s="56"/>
      <c r="CK657" s="56"/>
      <c r="CL657" s="56"/>
      <c r="CM657" s="56"/>
      <c r="CN657" s="56"/>
      <c r="CO657" s="56"/>
      <c r="CP657" s="56"/>
      <c r="CQ657" s="56"/>
      <c r="CR657" s="56"/>
      <c r="CS657" s="56"/>
      <c r="CT657" s="56"/>
      <c r="CU657" s="56"/>
      <c r="CV657" s="56"/>
      <c r="CW657" s="56"/>
      <c r="CX657" s="56"/>
      <c r="CY657" s="56"/>
      <c r="CZ657" s="56"/>
      <c r="DA657" s="56"/>
      <c r="DB657" s="56"/>
      <c r="DC657" s="56"/>
      <c r="DD657" s="56"/>
      <c r="DE657" s="56"/>
      <c r="DF657" s="56"/>
      <c r="DG657" s="56"/>
      <c r="DH657" s="56"/>
      <c r="DI657" s="56"/>
      <c r="DJ657" s="56"/>
      <c r="DK657" s="56"/>
      <c r="DL657" s="56"/>
      <c r="DM657" s="56"/>
      <c r="DN657" s="56"/>
      <c r="DO657" s="56"/>
      <c r="DP657" s="56"/>
      <c r="DQ657" s="56"/>
      <c r="DR657" s="56"/>
      <c r="DS657" s="56"/>
      <c r="DT657" s="56"/>
      <c r="DU657" s="56"/>
      <c r="DV657" s="56"/>
      <c r="DW657" s="56"/>
      <c r="DX657" s="56"/>
      <c r="DY657" s="56"/>
      <c r="DZ657" s="56"/>
      <c r="EA657" s="56"/>
      <c r="EB657" s="56"/>
      <c r="EC657" s="56"/>
      <c r="ED657" s="56"/>
      <c r="EE657" s="56"/>
      <c r="EF657" s="56"/>
      <c r="EG657" s="56"/>
      <c r="EH657" s="56"/>
      <c r="EI657" s="56"/>
      <c r="EJ657" s="56"/>
      <c r="EK657" s="56"/>
      <c r="EL657" s="56"/>
      <c r="EM657" s="56"/>
      <c r="EN657" s="56"/>
      <c r="EO657" s="56"/>
      <c r="EP657" s="56"/>
      <c r="EQ657" s="56"/>
      <c r="ER657" s="56"/>
      <c r="ES657" s="56"/>
      <c r="ET657" s="56"/>
      <c r="EU657" s="56"/>
      <c r="EV657" s="56"/>
      <c r="EW657" s="56"/>
      <c r="EX657" s="56"/>
      <c r="EY657" s="56"/>
      <c r="EZ657" s="56"/>
      <c r="FA657" s="56"/>
      <c r="FB657" s="56"/>
      <c r="FC657" s="56"/>
      <c r="FD657" s="56"/>
      <c r="FE657" s="56"/>
      <c r="FF657" s="56"/>
      <c r="FG657" s="56"/>
      <c r="FH657" s="56"/>
      <c r="FI657" s="56"/>
      <c r="FJ657" s="56"/>
      <c r="FK657" s="56"/>
      <c r="FL657" s="56"/>
      <c r="FM657" s="56"/>
      <c r="FN657" s="56"/>
      <c r="FO657" s="56"/>
      <c r="FP657" s="56"/>
      <c r="FQ657" s="56"/>
      <c r="FR657" s="56"/>
      <c r="FS657" s="56"/>
      <c r="FT657" s="56"/>
      <c r="FU657" s="56"/>
      <c r="FV657" s="56"/>
      <c r="FW657" s="56"/>
      <c r="FX657" s="56"/>
      <c r="FY657" s="56"/>
      <c r="FZ657" s="56"/>
      <c r="GA657" s="56"/>
      <c r="GB657" s="56"/>
      <c r="GC657" s="56"/>
      <c r="GD657" s="56"/>
      <c r="GE657" s="56"/>
      <c r="GF657" s="56"/>
      <c r="GG657" s="56"/>
      <c r="GH657" s="56"/>
      <c r="GI657" s="56"/>
      <c r="GJ657" s="56"/>
      <c r="GK657" s="56"/>
      <c r="GL657" s="56"/>
      <c r="GM657" s="56"/>
      <c r="GN657" s="56"/>
      <c r="GO657" s="56"/>
      <c r="GP657" s="56"/>
      <c r="GQ657" s="56"/>
      <c r="GR657" s="56"/>
      <c r="GS657" s="56"/>
      <c r="GT657" s="56"/>
      <c r="GU657" s="56"/>
      <c r="GV657" s="56"/>
      <c r="GW657" s="56"/>
      <c r="GX657" s="56"/>
      <c r="GY657" s="56"/>
      <c r="GZ657" s="56"/>
      <c r="HA657" s="56"/>
      <c r="HB657" s="56"/>
      <c r="HC657" s="56"/>
      <c r="HD657" s="56"/>
      <c r="HE657" s="56"/>
      <c r="HF657" s="56"/>
      <c r="HG657" s="56"/>
      <c r="HH657" s="56"/>
      <c r="HI657" s="56"/>
      <c r="HJ657" s="56"/>
    </row>
    <row r="658" spans="1:218" ht="15.75" customHeight="1" x14ac:dyDescent="0.2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  <c r="BV658" s="56"/>
      <c r="BW658" s="56"/>
      <c r="BX658" s="56"/>
      <c r="BY658" s="56"/>
      <c r="BZ658" s="56"/>
      <c r="CA658" s="56"/>
      <c r="CB658" s="56"/>
      <c r="CC658" s="56"/>
      <c r="CD658" s="56"/>
      <c r="CE658" s="56"/>
      <c r="CF658" s="56"/>
      <c r="CG658" s="56"/>
      <c r="CH658" s="56"/>
      <c r="CI658" s="56"/>
      <c r="CJ658" s="56"/>
      <c r="CK658" s="56"/>
      <c r="CL658" s="56"/>
      <c r="CM658" s="56"/>
      <c r="CN658" s="56"/>
      <c r="CO658" s="56"/>
      <c r="CP658" s="56"/>
      <c r="CQ658" s="56"/>
      <c r="CR658" s="56"/>
      <c r="CS658" s="56"/>
      <c r="CT658" s="56"/>
      <c r="CU658" s="56"/>
      <c r="CV658" s="56"/>
      <c r="CW658" s="56"/>
      <c r="CX658" s="56"/>
      <c r="CY658" s="56"/>
      <c r="CZ658" s="56"/>
      <c r="DA658" s="56"/>
      <c r="DB658" s="56"/>
      <c r="DC658" s="56"/>
      <c r="DD658" s="56"/>
      <c r="DE658" s="56"/>
      <c r="DF658" s="56"/>
      <c r="DG658" s="56"/>
      <c r="DH658" s="56"/>
      <c r="DI658" s="56"/>
      <c r="DJ658" s="56"/>
      <c r="DK658" s="56"/>
      <c r="DL658" s="56"/>
      <c r="DM658" s="56"/>
      <c r="DN658" s="56"/>
      <c r="DO658" s="56"/>
      <c r="DP658" s="56"/>
      <c r="DQ658" s="56"/>
      <c r="DR658" s="56"/>
      <c r="DS658" s="56"/>
      <c r="DT658" s="56"/>
      <c r="DU658" s="56"/>
      <c r="DV658" s="56"/>
      <c r="DW658" s="56"/>
      <c r="DX658" s="56"/>
      <c r="DY658" s="56"/>
      <c r="DZ658" s="56"/>
      <c r="EA658" s="56"/>
      <c r="EB658" s="56"/>
      <c r="EC658" s="56"/>
      <c r="ED658" s="56"/>
      <c r="EE658" s="56"/>
      <c r="EF658" s="56"/>
      <c r="EG658" s="56"/>
      <c r="EH658" s="56"/>
      <c r="EI658" s="56"/>
      <c r="EJ658" s="56"/>
      <c r="EK658" s="56"/>
      <c r="EL658" s="56"/>
      <c r="EM658" s="56"/>
      <c r="EN658" s="56"/>
      <c r="EO658" s="56"/>
      <c r="EP658" s="56"/>
      <c r="EQ658" s="56"/>
      <c r="ER658" s="56"/>
      <c r="ES658" s="56"/>
      <c r="ET658" s="56"/>
      <c r="EU658" s="56"/>
      <c r="EV658" s="56"/>
      <c r="EW658" s="56"/>
      <c r="EX658" s="56"/>
      <c r="EY658" s="56"/>
      <c r="EZ658" s="56"/>
      <c r="FA658" s="56"/>
      <c r="FB658" s="56"/>
      <c r="FC658" s="56"/>
      <c r="FD658" s="56"/>
      <c r="FE658" s="56"/>
      <c r="FF658" s="56"/>
      <c r="FG658" s="56"/>
      <c r="FH658" s="56"/>
      <c r="FI658" s="56"/>
      <c r="FJ658" s="56"/>
      <c r="FK658" s="56"/>
      <c r="FL658" s="56"/>
      <c r="FM658" s="56"/>
      <c r="FN658" s="56"/>
      <c r="FO658" s="56"/>
      <c r="FP658" s="56"/>
      <c r="FQ658" s="56"/>
      <c r="FR658" s="56"/>
      <c r="FS658" s="56"/>
      <c r="FT658" s="56"/>
      <c r="FU658" s="56"/>
      <c r="FV658" s="56"/>
      <c r="FW658" s="56"/>
      <c r="FX658" s="56"/>
      <c r="FY658" s="56"/>
      <c r="FZ658" s="56"/>
      <c r="GA658" s="56"/>
      <c r="GB658" s="56"/>
      <c r="GC658" s="56"/>
      <c r="GD658" s="56"/>
      <c r="GE658" s="56"/>
      <c r="GF658" s="56"/>
      <c r="GG658" s="56"/>
      <c r="GH658" s="56"/>
      <c r="GI658" s="56"/>
      <c r="GJ658" s="56"/>
      <c r="GK658" s="56"/>
      <c r="GL658" s="56"/>
      <c r="GM658" s="56"/>
      <c r="GN658" s="56"/>
      <c r="GO658" s="56"/>
      <c r="GP658" s="56"/>
      <c r="GQ658" s="56"/>
      <c r="GR658" s="56"/>
      <c r="GS658" s="56"/>
      <c r="GT658" s="56"/>
      <c r="GU658" s="56"/>
      <c r="GV658" s="56"/>
      <c r="GW658" s="56"/>
      <c r="GX658" s="56"/>
      <c r="GY658" s="56"/>
      <c r="GZ658" s="56"/>
      <c r="HA658" s="56"/>
      <c r="HB658" s="56"/>
      <c r="HC658" s="56"/>
      <c r="HD658" s="56"/>
      <c r="HE658" s="56"/>
      <c r="HF658" s="56"/>
      <c r="HG658" s="56"/>
      <c r="HH658" s="56"/>
      <c r="HI658" s="56"/>
      <c r="HJ658" s="56"/>
    </row>
    <row r="659" spans="1:218" ht="15.75" customHeight="1" x14ac:dyDescent="0.2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  <c r="BV659" s="56"/>
      <c r="BW659" s="56"/>
      <c r="BX659" s="56"/>
      <c r="BY659" s="56"/>
      <c r="BZ659" s="56"/>
      <c r="CA659" s="56"/>
      <c r="CB659" s="56"/>
      <c r="CC659" s="56"/>
      <c r="CD659" s="56"/>
      <c r="CE659" s="56"/>
      <c r="CF659" s="56"/>
      <c r="CG659" s="56"/>
      <c r="CH659" s="56"/>
      <c r="CI659" s="56"/>
      <c r="CJ659" s="56"/>
      <c r="CK659" s="56"/>
      <c r="CL659" s="56"/>
      <c r="CM659" s="56"/>
      <c r="CN659" s="56"/>
      <c r="CO659" s="56"/>
      <c r="CP659" s="56"/>
      <c r="CQ659" s="56"/>
      <c r="CR659" s="56"/>
      <c r="CS659" s="56"/>
      <c r="CT659" s="56"/>
      <c r="CU659" s="56"/>
      <c r="CV659" s="56"/>
      <c r="CW659" s="56"/>
      <c r="CX659" s="56"/>
      <c r="CY659" s="56"/>
      <c r="CZ659" s="56"/>
      <c r="DA659" s="56"/>
      <c r="DB659" s="56"/>
      <c r="DC659" s="56"/>
      <c r="DD659" s="56"/>
      <c r="DE659" s="56"/>
      <c r="DF659" s="56"/>
      <c r="DG659" s="56"/>
      <c r="DH659" s="56"/>
      <c r="DI659" s="56"/>
      <c r="DJ659" s="56"/>
      <c r="DK659" s="56"/>
      <c r="DL659" s="56"/>
      <c r="DM659" s="56"/>
      <c r="DN659" s="56"/>
      <c r="DO659" s="56"/>
      <c r="DP659" s="56"/>
      <c r="DQ659" s="56"/>
      <c r="DR659" s="56"/>
      <c r="DS659" s="56"/>
      <c r="DT659" s="56"/>
      <c r="DU659" s="56"/>
      <c r="DV659" s="56"/>
      <c r="DW659" s="56"/>
      <c r="DX659" s="56"/>
      <c r="DY659" s="56"/>
      <c r="DZ659" s="56"/>
      <c r="EA659" s="56"/>
      <c r="EB659" s="56"/>
      <c r="EC659" s="56"/>
      <c r="ED659" s="56"/>
      <c r="EE659" s="56"/>
      <c r="EF659" s="56"/>
      <c r="EG659" s="56"/>
      <c r="EH659" s="56"/>
      <c r="EI659" s="56"/>
      <c r="EJ659" s="56"/>
      <c r="EK659" s="56"/>
      <c r="EL659" s="56"/>
      <c r="EM659" s="56"/>
      <c r="EN659" s="56"/>
      <c r="EO659" s="56"/>
      <c r="EP659" s="56"/>
      <c r="EQ659" s="56"/>
      <c r="ER659" s="56"/>
      <c r="ES659" s="56"/>
      <c r="ET659" s="56"/>
      <c r="EU659" s="56"/>
      <c r="EV659" s="56"/>
      <c r="EW659" s="56"/>
      <c r="EX659" s="56"/>
      <c r="EY659" s="56"/>
      <c r="EZ659" s="56"/>
      <c r="FA659" s="56"/>
      <c r="FB659" s="56"/>
      <c r="FC659" s="56"/>
      <c r="FD659" s="56"/>
      <c r="FE659" s="56"/>
      <c r="FF659" s="56"/>
      <c r="FG659" s="56"/>
      <c r="FH659" s="56"/>
      <c r="FI659" s="56"/>
      <c r="FJ659" s="56"/>
      <c r="FK659" s="56"/>
      <c r="FL659" s="56"/>
      <c r="FM659" s="56"/>
      <c r="FN659" s="56"/>
      <c r="FO659" s="56"/>
      <c r="FP659" s="56"/>
      <c r="FQ659" s="56"/>
      <c r="FR659" s="56"/>
      <c r="FS659" s="56"/>
      <c r="FT659" s="56"/>
      <c r="FU659" s="56"/>
      <c r="FV659" s="56"/>
      <c r="FW659" s="56"/>
      <c r="FX659" s="56"/>
      <c r="FY659" s="56"/>
      <c r="FZ659" s="56"/>
      <c r="GA659" s="56"/>
      <c r="GB659" s="56"/>
      <c r="GC659" s="56"/>
      <c r="GD659" s="56"/>
      <c r="GE659" s="56"/>
      <c r="GF659" s="56"/>
      <c r="GG659" s="56"/>
      <c r="GH659" s="56"/>
      <c r="GI659" s="56"/>
      <c r="GJ659" s="56"/>
      <c r="GK659" s="56"/>
      <c r="GL659" s="56"/>
      <c r="GM659" s="56"/>
      <c r="GN659" s="56"/>
      <c r="GO659" s="56"/>
      <c r="GP659" s="56"/>
      <c r="GQ659" s="56"/>
      <c r="GR659" s="56"/>
      <c r="GS659" s="56"/>
      <c r="GT659" s="56"/>
      <c r="GU659" s="56"/>
      <c r="GV659" s="56"/>
      <c r="GW659" s="56"/>
      <c r="GX659" s="56"/>
      <c r="GY659" s="56"/>
      <c r="GZ659" s="56"/>
      <c r="HA659" s="56"/>
      <c r="HB659" s="56"/>
      <c r="HC659" s="56"/>
      <c r="HD659" s="56"/>
      <c r="HE659" s="56"/>
      <c r="HF659" s="56"/>
      <c r="HG659" s="56"/>
      <c r="HH659" s="56"/>
      <c r="HI659" s="56"/>
      <c r="HJ659" s="56"/>
    </row>
    <row r="660" spans="1:218" ht="15.75" customHeight="1" x14ac:dyDescent="0.2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  <c r="BV660" s="56"/>
      <c r="BW660" s="56"/>
      <c r="BX660" s="56"/>
      <c r="BY660" s="56"/>
      <c r="BZ660" s="56"/>
      <c r="CA660" s="56"/>
      <c r="CB660" s="56"/>
      <c r="CC660" s="56"/>
      <c r="CD660" s="56"/>
      <c r="CE660" s="56"/>
      <c r="CF660" s="56"/>
      <c r="CG660" s="56"/>
      <c r="CH660" s="56"/>
      <c r="CI660" s="56"/>
      <c r="CJ660" s="56"/>
      <c r="CK660" s="56"/>
      <c r="CL660" s="56"/>
      <c r="CM660" s="56"/>
      <c r="CN660" s="56"/>
      <c r="CO660" s="56"/>
      <c r="CP660" s="56"/>
      <c r="CQ660" s="56"/>
      <c r="CR660" s="56"/>
      <c r="CS660" s="56"/>
      <c r="CT660" s="56"/>
      <c r="CU660" s="56"/>
      <c r="CV660" s="56"/>
      <c r="CW660" s="56"/>
      <c r="CX660" s="56"/>
      <c r="CY660" s="56"/>
      <c r="CZ660" s="56"/>
      <c r="DA660" s="56"/>
      <c r="DB660" s="56"/>
      <c r="DC660" s="56"/>
      <c r="DD660" s="56"/>
      <c r="DE660" s="56"/>
      <c r="DF660" s="56"/>
      <c r="DG660" s="56"/>
      <c r="DH660" s="56"/>
      <c r="DI660" s="56"/>
      <c r="DJ660" s="56"/>
      <c r="DK660" s="56"/>
      <c r="DL660" s="56"/>
      <c r="DM660" s="56"/>
      <c r="DN660" s="56"/>
      <c r="DO660" s="56"/>
      <c r="DP660" s="56"/>
      <c r="DQ660" s="56"/>
      <c r="DR660" s="56"/>
      <c r="DS660" s="56"/>
      <c r="DT660" s="56"/>
      <c r="DU660" s="56"/>
      <c r="DV660" s="56"/>
      <c r="DW660" s="56"/>
      <c r="DX660" s="56"/>
      <c r="DY660" s="56"/>
      <c r="DZ660" s="56"/>
      <c r="EA660" s="56"/>
      <c r="EB660" s="56"/>
      <c r="EC660" s="56"/>
      <c r="ED660" s="56"/>
      <c r="EE660" s="56"/>
      <c r="EF660" s="56"/>
      <c r="EG660" s="56"/>
      <c r="EH660" s="56"/>
      <c r="EI660" s="56"/>
      <c r="EJ660" s="56"/>
      <c r="EK660" s="56"/>
      <c r="EL660" s="56"/>
      <c r="EM660" s="56"/>
      <c r="EN660" s="56"/>
      <c r="EO660" s="56"/>
      <c r="EP660" s="56"/>
      <c r="EQ660" s="56"/>
      <c r="ER660" s="56"/>
      <c r="ES660" s="56"/>
      <c r="ET660" s="56"/>
      <c r="EU660" s="56"/>
      <c r="EV660" s="56"/>
      <c r="EW660" s="56"/>
      <c r="EX660" s="56"/>
      <c r="EY660" s="56"/>
      <c r="EZ660" s="56"/>
      <c r="FA660" s="56"/>
      <c r="FB660" s="56"/>
      <c r="FC660" s="56"/>
      <c r="FD660" s="56"/>
      <c r="FE660" s="56"/>
      <c r="FF660" s="56"/>
      <c r="FG660" s="56"/>
      <c r="FH660" s="56"/>
      <c r="FI660" s="56"/>
      <c r="FJ660" s="56"/>
      <c r="FK660" s="56"/>
      <c r="FL660" s="56"/>
      <c r="FM660" s="56"/>
      <c r="FN660" s="56"/>
      <c r="FO660" s="56"/>
      <c r="FP660" s="56"/>
      <c r="FQ660" s="56"/>
      <c r="FR660" s="56"/>
      <c r="FS660" s="56"/>
      <c r="FT660" s="56"/>
      <c r="FU660" s="56"/>
      <c r="FV660" s="56"/>
      <c r="FW660" s="56"/>
      <c r="FX660" s="56"/>
      <c r="FY660" s="56"/>
      <c r="FZ660" s="56"/>
      <c r="GA660" s="56"/>
      <c r="GB660" s="56"/>
      <c r="GC660" s="56"/>
      <c r="GD660" s="56"/>
      <c r="GE660" s="56"/>
      <c r="GF660" s="56"/>
      <c r="GG660" s="56"/>
      <c r="GH660" s="56"/>
      <c r="GI660" s="56"/>
      <c r="GJ660" s="56"/>
      <c r="GK660" s="56"/>
      <c r="GL660" s="56"/>
      <c r="GM660" s="56"/>
      <c r="GN660" s="56"/>
      <c r="GO660" s="56"/>
      <c r="GP660" s="56"/>
      <c r="GQ660" s="56"/>
      <c r="GR660" s="56"/>
      <c r="GS660" s="56"/>
      <c r="GT660" s="56"/>
      <c r="GU660" s="56"/>
      <c r="GV660" s="56"/>
      <c r="GW660" s="56"/>
      <c r="GX660" s="56"/>
      <c r="GY660" s="56"/>
      <c r="GZ660" s="56"/>
      <c r="HA660" s="56"/>
      <c r="HB660" s="56"/>
      <c r="HC660" s="56"/>
      <c r="HD660" s="56"/>
      <c r="HE660" s="56"/>
      <c r="HF660" s="56"/>
      <c r="HG660" s="56"/>
      <c r="HH660" s="56"/>
      <c r="HI660" s="56"/>
      <c r="HJ660" s="56"/>
    </row>
    <row r="661" spans="1:218" ht="15.75" customHeight="1" x14ac:dyDescent="0.2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  <c r="BV661" s="56"/>
      <c r="BW661" s="56"/>
      <c r="BX661" s="56"/>
      <c r="BY661" s="56"/>
      <c r="BZ661" s="56"/>
      <c r="CA661" s="56"/>
      <c r="CB661" s="56"/>
      <c r="CC661" s="56"/>
      <c r="CD661" s="56"/>
      <c r="CE661" s="56"/>
      <c r="CF661" s="56"/>
      <c r="CG661" s="56"/>
      <c r="CH661" s="56"/>
      <c r="CI661" s="56"/>
      <c r="CJ661" s="56"/>
      <c r="CK661" s="56"/>
      <c r="CL661" s="56"/>
      <c r="CM661" s="56"/>
      <c r="CN661" s="56"/>
      <c r="CO661" s="56"/>
      <c r="CP661" s="56"/>
      <c r="CQ661" s="56"/>
      <c r="CR661" s="56"/>
      <c r="CS661" s="56"/>
      <c r="CT661" s="56"/>
      <c r="CU661" s="56"/>
      <c r="CV661" s="56"/>
      <c r="CW661" s="56"/>
      <c r="CX661" s="56"/>
      <c r="CY661" s="56"/>
      <c r="CZ661" s="56"/>
      <c r="DA661" s="56"/>
      <c r="DB661" s="56"/>
      <c r="DC661" s="56"/>
      <c r="DD661" s="56"/>
      <c r="DE661" s="56"/>
      <c r="DF661" s="56"/>
      <c r="DG661" s="56"/>
      <c r="DH661" s="56"/>
      <c r="DI661" s="56"/>
      <c r="DJ661" s="56"/>
      <c r="DK661" s="56"/>
      <c r="DL661" s="56"/>
      <c r="DM661" s="56"/>
      <c r="DN661" s="56"/>
      <c r="DO661" s="56"/>
      <c r="DP661" s="56"/>
      <c r="DQ661" s="56"/>
      <c r="DR661" s="56"/>
      <c r="DS661" s="56"/>
      <c r="DT661" s="56"/>
      <c r="DU661" s="56"/>
      <c r="DV661" s="56"/>
      <c r="DW661" s="56"/>
      <c r="DX661" s="56"/>
      <c r="DY661" s="56"/>
      <c r="DZ661" s="56"/>
      <c r="EA661" s="56"/>
      <c r="EB661" s="56"/>
      <c r="EC661" s="56"/>
      <c r="ED661" s="56"/>
      <c r="EE661" s="56"/>
      <c r="EF661" s="56"/>
      <c r="EG661" s="56"/>
      <c r="EH661" s="56"/>
      <c r="EI661" s="56"/>
      <c r="EJ661" s="56"/>
      <c r="EK661" s="56"/>
      <c r="EL661" s="56"/>
      <c r="EM661" s="56"/>
      <c r="EN661" s="56"/>
      <c r="EO661" s="56"/>
      <c r="EP661" s="56"/>
      <c r="EQ661" s="56"/>
      <c r="ER661" s="56"/>
      <c r="ES661" s="56"/>
      <c r="ET661" s="56"/>
      <c r="EU661" s="56"/>
      <c r="EV661" s="56"/>
      <c r="EW661" s="56"/>
      <c r="EX661" s="56"/>
      <c r="EY661" s="56"/>
      <c r="EZ661" s="56"/>
      <c r="FA661" s="56"/>
      <c r="FB661" s="56"/>
      <c r="FC661" s="56"/>
      <c r="FD661" s="56"/>
      <c r="FE661" s="56"/>
      <c r="FF661" s="56"/>
      <c r="FG661" s="56"/>
      <c r="FH661" s="56"/>
      <c r="FI661" s="56"/>
      <c r="FJ661" s="56"/>
      <c r="FK661" s="56"/>
      <c r="FL661" s="56"/>
      <c r="FM661" s="56"/>
      <c r="FN661" s="56"/>
      <c r="FO661" s="56"/>
      <c r="FP661" s="56"/>
      <c r="FQ661" s="56"/>
      <c r="FR661" s="56"/>
      <c r="FS661" s="56"/>
      <c r="FT661" s="56"/>
      <c r="FU661" s="56"/>
      <c r="FV661" s="56"/>
      <c r="FW661" s="56"/>
      <c r="FX661" s="56"/>
      <c r="FY661" s="56"/>
      <c r="FZ661" s="56"/>
      <c r="GA661" s="56"/>
      <c r="GB661" s="56"/>
      <c r="GC661" s="56"/>
      <c r="GD661" s="56"/>
      <c r="GE661" s="56"/>
      <c r="GF661" s="56"/>
      <c r="GG661" s="56"/>
      <c r="GH661" s="56"/>
      <c r="GI661" s="56"/>
      <c r="GJ661" s="56"/>
      <c r="GK661" s="56"/>
      <c r="GL661" s="56"/>
      <c r="GM661" s="56"/>
      <c r="GN661" s="56"/>
      <c r="GO661" s="56"/>
      <c r="GP661" s="56"/>
      <c r="GQ661" s="56"/>
      <c r="GR661" s="56"/>
      <c r="GS661" s="56"/>
      <c r="GT661" s="56"/>
      <c r="GU661" s="56"/>
      <c r="GV661" s="56"/>
      <c r="GW661" s="56"/>
      <c r="GX661" s="56"/>
      <c r="GY661" s="56"/>
      <c r="GZ661" s="56"/>
      <c r="HA661" s="56"/>
      <c r="HB661" s="56"/>
      <c r="HC661" s="56"/>
      <c r="HD661" s="56"/>
      <c r="HE661" s="56"/>
      <c r="HF661" s="56"/>
      <c r="HG661" s="56"/>
      <c r="HH661" s="56"/>
      <c r="HI661" s="56"/>
      <c r="HJ661" s="56"/>
    </row>
    <row r="662" spans="1:218" ht="15.75" customHeight="1" x14ac:dyDescent="0.2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  <c r="BV662" s="56"/>
      <c r="BW662" s="56"/>
      <c r="BX662" s="56"/>
      <c r="BY662" s="56"/>
      <c r="BZ662" s="56"/>
      <c r="CA662" s="56"/>
      <c r="CB662" s="56"/>
      <c r="CC662" s="56"/>
      <c r="CD662" s="56"/>
      <c r="CE662" s="56"/>
      <c r="CF662" s="56"/>
      <c r="CG662" s="56"/>
      <c r="CH662" s="56"/>
      <c r="CI662" s="56"/>
      <c r="CJ662" s="56"/>
      <c r="CK662" s="56"/>
      <c r="CL662" s="56"/>
      <c r="CM662" s="56"/>
      <c r="CN662" s="56"/>
      <c r="CO662" s="56"/>
      <c r="CP662" s="56"/>
      <c r="CQ662" s="56"/>
      <c r="CR662" s="56"/>
      <c r="CS662" s="56"/>
      <c r="CT662" s="56"/>
      <c r="CU662" s="56"/>
      <c r="CV662" s="56"/>
      <c r="CW662" s="56"/>
      <c r="CX662" s="56"/>
      <c r="CY662" s="56"/>
      <c r="CZ662" s="56"/>
      <c r="DA662" s="56"/>
      <c r="DB662" s="56"/>
      <c r="DC662" s="56"/>
      <c r="DD662" s="56"/>
      <c r="DE662" s="56"/>
      <c r="DF662" s="56"/>
      <c r="DG662" s="56"/>
      <c r="DH662" s="56"/>
      <c r="DI662" s="56"/>
      <c r="DJ662" s="56"/>
      <c r="DK662" s="56"/>
      <c r="DL662" s="56"/>
      <c r="DM662" s="56"/>
      <c r="DN662" s="56"/>
      <c r="DO662" s="56"/>
      <c r="DP662" s="56"/>
      <c r="DQ662" s="56"/>
      <c r="DR662" s="56"/>
      <c r="DS662" s="56"/>
      <c r="DT662" s="56"/>
      <c r="DU662" s="56"/>
      <c r="DV662" s="56"/>
      <c r="DW662" s="56"/>
      <c r="DX662" s="56"/>
      <c r="DY662" s="56"/>
      <c r="DZ662" s="56"/>
      <c r="EA662" s="56"/>
      <c r="EB662" s="56"/>
      <c r="EC662" s="56"/>
      <c r="ED662" s="56"/>
      <c r="EE662" s="56"/>
      <c r="EF662" s="56"/>
      <c r="EG662" s="56"/>
      <c r="EH662" s="56"/>
      <c r="EI662" s="56"/>
      <c r="EJ662" s="56"/>
      <c r="EK662" s="56"/>
      <c r="EL662" s="56"/>
      <c r="EM662" s="56"/>
      <c r="EN662" s="56"/>
      <c r="EO662" s="56"/>
      <c r="EP662" s="56"/>
      <c r="EQ662" s="56"/>
      <c r="ER662" s="56"/>
      <c r="ES662" s="56"/>
      <c r="ET662" s="56"/>
      <c r="EU662" s="56"/>
      <c r="EV662" s="56"/>
      <c r="EW662" s="56"/>
      <c r="EX662" s="56"/>
      <c r="EY662" s="56"/>
      <c r="EZ662" s="56"/>
      <c r="FA662" s="56"/>
      <c r="FB662" s="56"/>
      <c r="FC662" s="56"/>
      <c r="FD662" s="56"/>
      <c r="FE662" s="56"/>
      <c r="FF662" s="56"/>
      <c r="FG662" s="56"/>
      <c r="FH662" s="56"/>
      <c r="FI662" s="56"/>
      <c r="FJ662" s="56"/>
      <c r="FK662" s="56"/>
      <c r="FL662" s="56"/>
      <c r="FM662" s="56"/>
      <c r="FN662" s="56"/>
      <c r="FO662" s="56"/>
      <c r="FP662" s="56"/>
      <c r="FQ662" s="56"/>
      <c r="FR662" s="56"/>
      <c r="FS662" s="56"/>
      <c r="FT662" s="56"/>
      <c r="FU662" s="56"/>
      <c r="FV662" s="56"/>
      <c r="FW662" s="56"/>
      <c r="FX662" s="56"/>
      <c r="FY662" s="56"/>
      <c r="FZ662" s="56"/>
      <c r="GA662" s="56"/>
      <c r="GB662" s="56"/>
      <c r="GC662" s="56"/>
      <c r="GD662" s="56"/>
      <c r="GE662" s="56"/>
      <c r="GF662" s="56"/>
      <c r="GG662" s="56"/>
      <c r="GH662" s="56"/>
      <c r="GI662" s="56"/>
      <c r="GJ662" s="56"/>
      <c r="GK662" s="56"/>
      <c r="GL662" s="56"/>
      <c r="GM662" s="56"/>
      <c r="GN662" s="56"/>
      <c r="GO662" s="56"/>
      <c r="GP662" s="56"/>
      <c r="GQ662" s="56"/>
      <c r="GR662" s="56"/>
      <c r="GS662" s="56"/>
      <c r="GT662" s="56"/>
      <c r="GU662" s="56"/>
      <c r="GV662" s="56"/>
      <c r="GW662" s="56"/>
      <c r="GX662" s="56"/>
      <c r="GY662" s="56"/>
      <c r="GZ662" s="56"/>
      <c r="HA662" s="56"/>
      <c r="HB662" s="56"/>
      <c r="HC662" s="56"/>
      <c r="HD662" s="56"/>
      <c r="HE662" s="56"/>
      <c r="HF662" s="56"/>
      <c r="HG662" s="56"/>
      <c r="HH662" s="56"/>
      <c r="HI662" s="56"/>
      <c r="HJ662" s="56"/>
    </row>
    <row r="663" spans="1:218" ht="15.75" customHeight="1" x14ac:dyDescent="0.2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  <c r="CL663" s="56"/>
      <c r="CM663" s="56"/>
      <c r="CN663" s="56"/>
      <c r="CO663" s="56"/>
      <c r="CP663" s="56"/>
      <c r="CQ663" s="56"/>
      <c r="CR663" s="56"/>
      <c r="CS663" s="56"/>
      <c r="CT663" s="56"/>
      <c r="CU663" s="56"/>
      <c r="CV663" s="56"/>
      <c r="CW663" s="56"/>
      <c r="CX663" s="56"/>
      <c r="CY663" s="56"/>
      <c r="CZ663" s="56"/>
      <c r="DA663" s="56"/>
      <c r="DB663" s="56"/>
      <c r="DC663" s="56"/>
      <c r="DD663" s="56"/>
      <c r="DE663" s="56"/>
      <c r="DF663" s="56"/>
      <c r="DG663" s="56"/>
      <c r="DH663" s="56"/>
      <c r="DI663" s="56"/>
      <c r="DJ663" s="56"/>
      <c r="DK663" s="56"/>
      <c r="DL663" s="56"/>
      <c r="DM663" s="56"/>
      <c r="DN663" s="56"/>
      <c r="DO663" s="56"/>
      <c r="DP663" s="56"/>
      <c r="DQ663" s="56"/>
      <c r="DR663" s="56"/>
      <c r="DS663" s="56"/>
      <c r="DT663" s="56"/>
      <c r="DU663" s="56"/>
      <c r="DV663" s="56"/>
      <c r="DW663" s="56"/>
      <c r="DX663" s="56"/>
      <c r="DY663" s="56"/>
      <c r="DZ663" s="56"/>
      <c r="EA663" s="56"/>
      <c r="EB663" s="56"/>
      <c r="EC663" s="56"/>
      <c r="ED663" s="56"/>
      <c r="EE663" s="56"/>
      <c r="EF663" s="56"/>
      <c r="EG663" s="56"/>
      <c r="EH663" s="56"/>
      <c r="EI663" s="56"/>
      <c r="EJ663" s="56"/>
      <c r="EK663" s="56"/>
      <c r="EL663" s="56"/>
      <c r="EM663" s="56"/>
      <c r="EN663" s="56"/>
      <c r="EO663" s="56"/>
      <c r="EP663" s="56"/>
      <c r="EQ663" s="56"/>
      <c r="ER663" s="56"/>
      <c r="ES663" s="56"/>
      <c r="ET663" s="56"/>
      <c r="EU663" s="56"/>
      <c r="EV663" s="56"/>
      <c r="EW663" s="56"/>
      <c r="EX663" s="56"/>
      <c r="EY663" s="56"/>
      <c r="EZ663" s="56"/>
      <c r="FA663" s="56"/>
      <c r="FB663" s="56"/>
      <c r="FC663" s="56"/>
      <c r="FD663" s="56"/>
      <c r="FE663" s="56"/>
      <c r="FF663" s="56"/>
      <c r="FG663" s="56"/>
      <c r="FH663" s="56"/>
      <c r="FI663" s="56"/>
      <c r="FJ663" s="56"/>
      <c r="FK663" s="56"/>
      <c r="FL663" s="56"/>
      <c r="FM663" s="56"/>
      <c r="FN663" s="56"/>
      <c r="FO663" s="56"/>
      <c r="FP663" s="56"/>
      <c r="FQ663" s="56"/>
      <c r="FR663" s="56"/>
      <c r="FS663" s="56"/>
      <c r="FT663" s="56"/>
      <c r="FU663" s="56"/>
      <c r="FV663" s="56"/>
      <c r="FW663" s="56"/>
      <c r="FX663" s="56"/>
      <c r="FY663" s="56"/>
      <c r="FZ663" s="56"/>
      <c r="GA663" s="56"/>
      <c r="GB663" s="56"/>
      <c r="GC663" s="56"/>
      <c r="GD663" s="56"/>
      <c r="GE663" s="56"/>
      <c r="GF663" s="56"/>
      <c r="GG663" s="56"/>
      <c r="GH663" s="56"/>
      <c r="GI663" s="56"/>
      <c r="GJ663" s="56"/>
      <c r="GK663" s="56"/>
      <c r="GL663" s="56"/>
      <c r="GM663" s="56"/>
      <c r="GN663" s="56"/>
      <c r="GO663" s="56"/>
      <c r="GP663" s="56"/>
      <c r="GQ663" s="56"/>
      <c r="GR663" s="56"/>
      <c r="GS663" s="56"/>
      <c r="GT663" s="56"/>
      <c r="GU663" s="56"/>
      <c r="GV663" s="56"/>
      <c r="GW663" s="56"/>
      <c r="GX663" s="56"/>
      <c r="GY663" s="56"/>
      <c r="GZ663" s="56"/>
      <c r="HA663" s="56"/>
      <c r="HB663" s="56"/>
      <c r="HC663" s="56"/>
      <c r="HD663" s="56"/>
      <c r="HE663" s="56"/>
      <c r="HF663" s="56"/>
      <c r="HG663" s="56"/>
      <c r="HH663" s="56"/>
      <c r="HI663" s="56"/>
      <c r="HJ663" s="56"/>
    </row>
    <row r="664" spans="1:218" ht="15.75" customHeight="1" x14ac:dyDescent="0.2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  <c r="BV664" s="56"/>
      <c r="BW664" s="56"/>
      <c r="BX664" s="56"/>
      <c r="BY664" s="56"/>
      <c r="BZ664" s="56"/>
      <c r="CA664" s="56"/>
      <c r="CB664" s="56"/>
      <c r="CC664" s="56"/>
      <c r="CD664" s="56"/>
      <c r="CE664" s="56"/>
      <c r="CF664" s="56"/>
      <c r="CG664" s="56"/>
      <c r="CH664" s="56"/>
      <c r="CI664" s="56"/>
      <c r="CJ664" s="56"/>
      <c r="CK664" s="56"/>
      <c r="CL664" s="56"/>
      <c r="CM664" s="56"/>
      <c r="CN664" s="56"/>
      <c r="CO664" s="56"/>
      <c r="CP664" s="56"/>
      <c r="CQ664" s="56"/>
      <c r="CR664" s="56"/>
      <c r="CS664" s="56"/>
      <c r="CT664" s="56"/>
      <c r="CU664" s="56"/>
      <c r="CV664" s="56"/>
      <c r="CW664" s="56"/>
      <c r="CX664" s="56"/>
      <c r="CY664" s="56"/>
      <c r="CZ664" s="56"/>
      <c r="DA664" s="56"/>
      <c r="DB664" s="56"/>
      <c r="DC664" s="56"/>
      <c r="DD664" s="56"/>
      <c r="DE664" s="56"/>
      <c r="DF664" s="56"/>
      <c r="DG664" s="56"/>
      <c r="DH664" s="56"/>
      <c r="DI664" s="56"/>
      <c r="DJ664" s="56"/>
      <c r="DK664" s="56"/>
      <c r="DL664" s="56"/>
      <c r="DM664" s="56"/>
      <c r="DN664" s="56"/>
      <c r="DO664" s="56"/>
      <c r="DP664" s="56"/>
      <c r="DQ664" s="56"/>
      <c r="DR664" s="56"/>
      <c r="DS664" s="56"/>
      <c r="DT664" s="56"/>
      <c r="DU664" s="56"/>
      <c r="DV664" s="56"/>
      <c r="DW664" s="56"/>
      <c r="DX664" s="56"/>
      <c r="DY664" s="56"/>
      <c r="DZ664" s="56"/>
      <c r="EA664" s="56"/>
      <c r="EB664" s="56"/>
      <c r="EC664" s="56"/>
      <c r="ED664" s="56"/>
      <c r="EE664" s="56"/>
      <c r="EF664" s="56"/>
      <c r="EG664" s="56"/>
      <c r="EH664" s="56"/>
      <c r="EI664" s="56"/>
      <c r="EJ664" s="56"/>
      <c r="EK664" s="56"/>
      <c r="EL664" s="56"/>
      <c r="EM664" s="56"/>
      <c r="EN664" s="56"/>
      <c r="EO664" s="56"/>
      <c r="EP664" s="56"/>
      <c r="EQ664" s="56"/>
      <c r="ER664" s="56"/>
      <c r="ES664" s="56"/>
      <c r="ET664" s="56"/>
      <c r="EU664" s="56"/>
      <c r="EV664" s="56"/>
      <c r="EW664" s="56"/>
      <c r="EX664" s="56"/>
      <c r="EY664" s="56"/>
      <c r="EZ664" s="56"/>
      <c r="FA664" s="56"/>
      <c r="FB664" s="56"/>
      <c r="FC664" s="56"/>
      <c r="FD664" s="56"/>
      <c r="FE664" s="56"/>
      <c r="FF664" s="56"/>
      <c r="FG664" s="56"/>
      <c r="FH664" s="56"/>
      <c r="FI664" s="56"/>
      <c r="FJ664" s="56"/>
      <c r="FK664" s="56"/>
      <c r="FL664" s="56"/>
      <c r="FM664" s="56"/>
      <c r="FN664" s="56"/>
      <c r="FO664" s="56"/>
      <c r="FP664" s="56"/>
      <c r="FQ664" s="56"/>
      <c r="FR664" s="56"/>
      <c r="FS664" s="56"/>
      <c r="FT664" s="56"/>
      <c r="FU664" s="56"/>
      <c r="FV664" s="56"/>
      <c r="FW664" s="56"/>
      <c r="FX664" s="56"/>
      <c r="FY664" s="56"/>
      <c r="FZ664" s="56"/>
      <c r="GA664" s="56"/>
      <c r="GB664" s="56"/>
      <c r="GC664" s="56"/>
      <c r="GD664" s="56"/>
      <c r="GE664" s="56"/>
      <c r="GF664" s="56"/>
      <c r="GG664" s="56"/>
      <c r="GH664" s="56"/>
      <c r="GI664" s="56"/>
      <c r="GJ664" s="56"/>
      <c r="GK664" s="56"/>
      <c r="GL664" s="56"/>
      <c r="GM664" s="56"/>
      <c r="GN664" s="56"/>
      <c r="GO664" s="56"/>
      <c r="GP664" s="56"/>
      <c r="GQ664" s="56"/>
      <c r="GR664" s="56"/>
      <c r="GS664" s="56"/>
      <c r="GT664" s="56"/>
      <c r="GU664" s="56"/>
      <c r="GV664" s="56"/>
      <c r="GW664" s="56"/>
      <c r="GX664" s="56"/>
      <c r="GY664" s="56"/>
      <c r="GZ664" s="56"/>
      <c r="HA664" s="56"/>
      <c r="HB664" s="56"/>
      <c r="HC664" s="56"/>
      <c r="HD664" s="56"/>
      <c r="HE664" s="56"/>
      <c r="HF664" s="56"/>
      <c r="HG664" s="56"/>
      <c r="HH664" s="56"/>
      <c r="HI664" s="56"/>
      <c r="HJ664" s="56"/>
    </row>
    <row r="665" spans="1:218" ht="15.75" customHeight="1" x14ac:dyDescent="0.2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  <c r="BV665" s="56"/>
      <c r="BW665" s="56"/>
      <c r="BX665" s="56"/>
      <c r="BY665" s="56"/>
      <c r="BZ665" s="56"/>
      <c r="CA665" s="56"/>
      <c r="CB665" s="56"/>
      <c r="CC665" s="56"/>
      <c r="CD665" s="56"/>
      <c r="CE665" s="56"/>
      <c r="CF665" s="56"/>
      <c r="CG665" s="56"/>
      <c r="CH665" s="56"/>
      <c r="CI665" s="56"/>
      <c r="CJ665" s="56"/>
      <c r="CK665" s="56"/>
      <c r="CL665" s="56"/>
      <c r="CM665" s="56"/>
      <c r="CN665" s="56"/>
      <c r="CO665" s="56"/>
      <c r="CP665" s="56"/>
      <c r="CQ665" s="56"/>
      <c r="CR665" s="56"/>
      <c r="CS665" s="56"/>
      <c r="CT665" s="56"/>
      <c r="CU665" s="56"/>
      <c r="CV665" s="56"/>
      <c r="CW665" s="56"/>
      <c r="CX665" s="56"/>
      <c r="CY665" s="56"/>
      <c r="CZ665" s="56"/>
      <c r="DA665" s="56"/>
      <c r="DB665" s="56"/>
      <c r="DC665" s="56"/>
      <c r="DD665" s="56"/>
      <c r="DE665" s="56"/>
      <c r="DF665" s="56"/>
      <c r="DG665" s="56"/>
      <c r="DH665" s="56"/>
      <c r="DI665" s="56"/>
      <c r="DJ665" s="56"/>
      <c r="DK665" s="56"/>
      <c r="DL665" s="56"/>
      <c r="DM665" s="56"/>
      <c r="DN665" s="56"/>
      <c r="DO665" s="56"/>
      <c r="DP665" s="56"/>
      <c r="DQ665" s="56"/>
      <c r="DR665" s="56"/>
      <c r="DS665" s="56"/>
      <c r="DT665" s="56"/>
      <c r="DU665" s="56"/>
      <c r="DV665" s="56"/>
      <c r="DW665" s="56"/>
      <c r="DX665" s="56"/>
      <c r="DY665" s="56"/>
      <c r="DZ665" s="56"/>
      <c r="EA665" s="56"/>
      <c r="EB665" s="56"/>
      <c r="EC665" s="56"/>
      <c r="ED665" s="56"/>
      <c r="EE665" s="56"/>
      <c r="EF665" s="56"/>
      <c r="EG665" s="56"/>
      <c r="EH665" s="56"/>
      <c r="EI665" s="56"/>
      <c r="EJ665" s="56"/>
      <c r="EK665" s="56"/>
      <c r="EL665" s="56"/>
      <c r="EM665" s="56"/>
      <c r="EN665" s="56"/>
      <c r="EO665" s="56"/>
      <c r="EP665" s="56"/>
      <c r="EQ665" s="56"/>
      <c r="ER665" s="56"/>
      <c r="ES665" s="56"/>
      <c r="ET665" s="56"/>
      <c r="EU665" s="56"/>
      <c r="EV665" s="56"/>
      <c r="EW665" s="56"/>
      <c r="EX665" s="56"/>
      <c r="EY665" s="56"/>
      <c r="EZ665" s="56"/>
      <c r="FA665" s="56"/>
      <c r="FB665" s="56"/>
      <c r="FC665" s="56"/>
      <c r="FD665" s="56"/>
      <c r="FE665" s="56"/>
      <c r="FF665" s="56"/>
      <c r="FG665" s="56"/>
      <c r="FH665" s="56"/>
      <c r="FI665" s="56"/>
      <c r="FJ665" s="56"/>
      <c r="FK665" s="56"/>
      <c r="FL665" s="56"/>
      <c r="FM665" s="56"/>
      <c r="FN665" s="56"/>
      <c r="FO665" s="56"/>
      <c r="FP665" s="56"/>
      <c r="FQ665" s="56"/>
      <c r="FR665" s="56"/>
      <c r="FS665" s="56"/>
      <c r="FT665" s="56"/>
      <c r="FU665" s="56"/>
      <c r="FV665" s="56"/>
      <c r="FW665" s="56"/>
      <c r="FX665" s="56"/>
      <c r="FY665" s="56"/>
      <c r="FZ665" s="56"/>
      <c r="GA665" s="56"/>
      <c r="GB665" s="56"/>
      <c r="GC665" s="56"/>
      <c r="GD665" s="56"/>
      <c r="GE665" s="56"/>
      <c r="GF665" s="56"/>
      <c r="GG665" s="56"/>
      <c r="GH665" s="56"/>
      <c r="GI665" s="56"/>
      <c r="GJ665" s="56"/>
      <c r="GK665" s="56"/>
      <c r="GL665" s="56"/>
      <c r="GM665" s="56"/>
      <c r="GN665" s="56"/>
      <c r="GO665" s="56"/>
      <c r="GP665" s="56"/>
      <c r="GQ665" s="56"/>
      <c r="GR665" s="56"/>
      <c r="GS665" s="56"/>
      <c r="GT665" s="56"/>
      <c r="GU665" s="56"/>
      <c r="GV665" s="56"/>
      <c r="GW665" s="56"/>
      <c r="GX665" s="56"/>
      <c r="GY665" s="56"/>
      <c r="GZ665" s="56"/>
      <c r="HA665" s="56"/>
      <c r="HB665" s="56"/>
      <c r="HC665" s="56"/>
      <c r="HD665" s="56"/>
      <c r="HE665" s="56"/>
      <c r="HF665" s="56"/>
      <c r="HG665" s="56"/>
      <c r="HH665" s="56"/>
      <c r="HI665" s="56"/>
      <c r="HJ665" s="56"/>
    </row>
    <row r="666" spans="1:218" ht="15.75" customHeight="1" x14ac:dyDescent="0.2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  <c r="BV666" s="56"/>
      <c r="BW666" s="56"/>
      <c r="BX666" s="56"/>
      <c r="BY666" s="56"/>
      <c r="BZ666" s="56"/>
      <c r="CA666" s="56"/>
      <c r="CB666" s="56"/>
      <c r="CC666" s="56"/>
      <c r="CD666" s="56"/>
      <c r="CE666" s="56"/>
      <c r="CF666" s="56"/>
      <c r="CG666" s="56"/>
      <c r="CH666" s="56"/>
      <c r="CI666" s="56"/>
      <c r="CJ666" s="56"/>
      <c r="CK666" s="56"/>
      <c r="CL666" s="56"/>
      <c r="CM666" s="56"/>
      <c r="CN666" s="56"/>
      <c r="CO666" s="56"/>
      <c r="CP666" s="56"/>
      <c r="CQ666" s="56"/>
      <c r="CR666" s="56"/>
      <c r="CS666" s="56"/>
      <c r="CT666" s="56"/>
      <c r="CU666" s="56"/>
      <c r="CV666" s="56"/>
      <c r="CW666" s="56"/>
      <c r="CX666" s="56"/>
      <c r="CY666" s="56"/>
      <c r="CZ666" s="56"/>
      <c r="DA666" s="56"/>
      <c r="DB666" s="56"/>
      <c r="DC666" s="56"/>
      <c r="DD666" s="56"/>
      <c r="DE666" s="56"/>
      <c r="DF666" s="56"/>
      <c r="DG666" s="56"/>
      <c r="DH666" s="56"/>
      <c r="DI666" s="56"/>
      <c r="DJ666" s="56"/>
      <c r="DK666" s="56"/>
      <c r="DL666" s="56"/>
      <c r="DM666" s="56"/>
      <c r="DN666" s="56"/>
      <c r="DO666" s="56"/>
      <c r="DP666" s="56"/>
      <c r="DQ666" s="56"/>
      <c r="DR666" s="56"/>
      <c r="DS666" s="56"/>
      <c r="DT666" s="56"/>
      <c r="DU666" s="56"/>
      <c r="DV666" s="56"/>
      <c r="DW666" s="56"/>
      <c r="DX666" s="56"/>
      <c r="DY666" s="56"/>
      <c r="DZ666" s="56"/>
      <c r="EA666" s="56"/>
      <c r="EB666" s="56"/>
      <c r="EC666" s="56"/>
      <c r="ED666" s="56"/>
      <c r="EE666" s="56"/>
      <c r="EF666" s="56"/>
      <c r="EG666" s="56"/>
      <c r="EH666" s="56"/>
      <c r="EI666" s="56"/>
      <c r="EJ666" s="56"/>
      <c r="EK666" s="56"/>
      <c r="EL666" s="56"/>
      <c r="EM666" s="56"/>
      <c r="EN666" s="56"/>
      <c r="EO666" s="56"/>
      <c r="EP666" s="56"/>
      <c r="EQ666" s="56"/>
      <c r="ER666" s="56"/>
      <c r="ES666" s="56"/>
      <c r="ET666" s="56"/>
      <c r="EU666" s="56"/>
      <c r="EV666" s="56"/>
      <c r="EW666" s="56"/>
      <c r="EX666" s="56"/>
      <c r="EY666" s="56"/>
      <c r="EZ666" s="56"/>
      <c r="FA666" s="56"/>
      <c r="FB666" s="56"/>
      <c r="FC666" s="56"/>
      <c r="FD666" s="56"/>
      <c r="FE666" s="56"/>
      <c r="FF666" s="56"/>
      <c r="FG666" s="56"/>
      <c r="FH666" s="56"/>
      <c r="FI666" s="56"/>
      <c r="FJ666" s="56"/>
      <c r="FK666" s="56"/>
      <c r="FL666" s="56"/>
      <c r="FM666" s="56"/>
      <c r="FN666" s="56"/>
      <c r="FO666" s="56"/>
      <c r="FP666" s="56"/>
      <c r="FQ666" s="56"/>
      <c r="FR666" s="56"/>
      <c r="FS666" s="56"/>
      <c r="FT666" s="56"/>
      <c r="FU666" s="56"/>
      <c r="FV666" s="56"/>
      <c r="FW666" s="56"/>
      <c r="FX666" s="56"/>
      <c r="FY666" s="56"/>
      <c r="FZ666" s="56"/>
      <c r="GA666" s="56"/>
      <c r="GB666" s="56"/>
      <c r="GC666" s="56"/>
      <c r="GD666" s="56"/>
      <c r="GE666" s="56"/>
      <c r="GF666" s="56"/>
      <c r="GG666" s="56"/>
      <c r="GH666" s="56"/>
      <c r="GI666" s="56"/>
      <c r="GJ666" s="56"/>
      <c r="GK666" s="56"/>
      <c r="GL666" s="56"/>
      <c r="GM666" s="56"/>
      <c r="GN666" s="56"/>
      <c r="GO666" s="56"/>
      <c r="GP666" s="56"/>
      <c r="GQ666" s="56"/>
      <c r="GR666" s="56"/>
      <c r="GS666" s="56"/>
      <c r="GT666" s="56"/>
      <c r="GU666" s="56"/>
      <c r="GV666" s="56"/>
      <c r="GW666" s="56"/>
      <c r="GX666" s="56"/>
      <c r="GY666" s="56"/>
      <c r="GZ666" s="56"/>
      <c r="HA666" s="56"/>
      <c r="HB666" s="56"/>
      <c r="HC666" s="56"/>
      <c r="HD666" s="56"/>
      <c r="HE666" s="56"/>
      <c r="HF666" s="56"/>
      <c r="HG666" s="56"/>
      <c r="HH666" s="56"/>
      <c r="HI666" s="56"/>
      <c r="HJ666" s="56"/>
    </row>
    <row r="667" spans="1:218" ht="15.75" customHeight="1" x14ac:dyDescent="0.2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  <c r="BV667" s="56"/>
      <c r="BW667" s="56"/>
      <c r="BX667" s="56"/>
      <c r="BY667" s="56"/>
      <c r="BZ667" s="56"/>
      <c r="CA667" s="56"/>
      <c r="CB667" s="56"/>
      <c r="CC667" s="56"/>
      <c r="CD667" s="56"/>
      <c r="CE667" s="56"/>
      <c r="CF667" s="56"/>
      <c r="CG667" s="56"/>
      <c r="CH667" s="56"/>
      <c r="CI667" s="56"/>
      <c r="CJ667" s="56"/>
      <c r="CK667" s="56"/>
      <c r="CL667" s="56"/>
      <c r="CM667" s="56"/>
      <c r="CN667" s="56"/>
      <c r="CO667" s="56"/>
      <c r="CP667" s="56"/>
      <c r="CQ667" s="56"/>
      <c r="CR667" s="56"/>
      <c r="CS667" s="56"/>
      <c r="CT667" s="56"/>
      <c r="CU667" s="56"/>
      <c r="CV667" s="56"/>
      <c r="CW667" s="56"/>
      <c r="CX667" s="56"/>
      <c r="CY667" s="56"/>
      <c r="CZ667" s="56"/>
      <c r="DA667" s="56"/>
      <c r="DB667" s="56"/>
      <c r="DC667" s="56"/>
      <c r="DD667" s="56"/>
      <c r="DE667" s="56"/>
      <c r="DF667" s="56"/>
      <c r="DG667" s="56"/>
      <c r="DH667" s="56"/>
      <c r="DI667" s="56"/>
      <c r="DJ667" s="56"/>
      <c r="DK667" s="56"/>
      <c r="DL667" s="56"/>
      <c r="DM667" s="56"/>
      <c r="DN667" s="56"/>
      <c r="DO667" s="56"/>
      <c r="DP667" s="56"/>
      <c r="DQ667" s="56"/>
      <c r="DR667" s="56"/>
      <c r="DS667" s="56"/>
      <c r="DT667" s="56"/>
      <c r="DU667" s="56"/>
      <c r="DV667" s="56"/>
      <c r="DW667" s="56"/>
      <c r="DX667" s="56"/>
      <c r="DY667" s="56"/>
      <c r="DZ667" s="56"/>
      <c r="EA667" s="56"/>
      <c r="EB667" s="56"/>
      <c r="EC667" s="56"/>
      <c r="ED667" s="56"/>
      <c r="EE667" s="56"/>
      <c r="EF667" s="56"/>
      <c r="EG667" s="56"/>
      <c r="EH667" s="56"/>
      <c r="EI667" s="56"/>
      <c r="EJ667" s="56"/>
      <c r="EK667" s="56"/>
      <c r="EL667" s="56"/>
      <c r="EM667" s="56"/>
      <c r="EN667" s="56"/>
      <c r="EO667" s="56"/>
      <c r="EP667" s="56"/>
      <c r="EQ667" s="56"/>
      <c r="ER667" s="56"/>
      <c r="ES667" s="56"/>
      <c r="ET667" s="56"/>
      <c r="EU667" s="56"/>
      <c r="EV667" s="56"/>
      <c r="EW667" s="56"/>
      <c r="EX667" s="56"/>
      <c r="EY667" s="56"/>
      <c r="EZ667" s="56"/>
      <c r="FA667" s="56"/>
      <c r="FB667" s="56"/>
      <c r="FC667" s="56"/>
      <c r="FD667" s="56"/>
      <c r="FE667" s="56"/>
      <c r="FF667" s="56"/>
      <c r="FG667" s="56"/>
      <c r="FH667" s="56"/>
      <c r="FI667" s="56"/>
      <c r="FJ667" s="56"/>
      <c r="FK667" s="56"/>
      <c r="FL667" s="56"/>
      <c r="FM667" s="56"/>
      <c r="FN667" s="56"/>
      <c r="FO667" s="56"/>
      <c r="FP667" s="56"/>
      <c r="FQ667" s="56"/>
      <c r="FR667" s="56"/>
      <c r="FS667" s="56"/>
      <c r="FT667" s="56"/>
      <c r="FU667" s="56"/>
      <c r="FV667" s="56"/>
      <c r="FW667" s="56"/>
      <c r="FX667" s="56"/>
      <c r="FY667" s="56"/>
      <c r="FZ667" s="56"/>
      <c r="GA667" s="56"/>
      <c r="GB667" s="56"/>
      <c r="GC667" s="56"/>
      <c r="GD667" s="56"/>
      <c r="GE667" s="56"/>
      <c r="GF667" s="56"/>
      <c r="GG667" s="56"/>
      <c r="GH667" s="56"/>
      <c r="GI667" s="56"/>
      <c r="GJ667" s="56"/>
      <c r="GK667" s="56"/>
      <c r="GL667" s="56"/>
      <c r="GM667" s="56"/>
      <c r="GN667" s="56"/>
      <c r="GO667" s="56"/>
      <c r="GP667" s="56"/>
      <c r="GQ667" s="56"/>
      <c r="GR667" s="56"/>
      <c r="GS667" s="56"/>
      <c r="GT667" s="56"/>
      <c r="GU667" s="56"/>
      <c r="GV667" s="56"/>
      <c r="GW667" s="56"/>
      <c r="GX667" s="56"/>
      <c r="GY667" s="56"/>
      <c r="GZ667" s="56"/>
      <c r="HA667" s="56"/>
      <c r="HB667" s="56"/>
      <c r="HC667" s="56"/>
      <c r="HD667" s="56"/>
      <c r="HE667" s="56"/>
      <c r="HF667" s="56"/>
      <c r="HG667" s="56"/>
      <c r="HH667" s="56"/>
      <c r="HI667" s="56"/>
      <c r="HJ667" s="56"/>
    </row>
    <row r="668" spans="1:218" ht="15.75" customHeight="1" x14ac:dyDescent="0.2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  <c r="BV668" s="56"/>
      <c r="BW668" s="56"/>
      <c r="BX668" s="56"/>
      <c r="BY668" s="56"/>
      <c r="BZ668" s="56"/>
      <c r="CA668" s="56"/>
      <c r="CB668" s="56"/>
      <c r="CC668" s="56"/>
      <c r="CD668" s="56"/>
      <c r="CE668" s="56"/>
      <c r="CF668" s="56"/>
      <c r="CG668" s="56"/>
      <c r="CH668" s="56"/>
      <c r="CI668" s="56"/>
      <c r="CJ668" s="56"/>
      <c r="CK668" s="56"/>
      <c r="CL668" s="56"/>
      <c r="CM668" s="56"/>
      <c r="CN668" s="56"/>
      <c r="CO668" s="56"/>
      <c r="CP668" s="56"/>
      <c r="CQ668" s="56"/>
      <c r="CR668" s="56"/>
      <c r="CS668" s="56"/>
      <c r="CT668" s="56"/>
      <c r="CU668" s="56"/>
      <c r="CV668" s="56"/>
      <c r="CW668" s="56"/>
      <c r="CX668" s="56"/>
      <c r="CY668" s="56"/>
      <c r="CZ668" s="56"/>
      <c r="DA668" s="56"/>
      <c r="DB668" s="56"/>
      <c r="DC668" s="56"/>
      <c r="DD668" s="56"/>
      <c r="DE668" s="56"/>
      <c r="DF668" s="56"/>
      <c r="DG668" s="56"/>
      <c r="DH668" s="56"/>
      <c r="DI668" s="56"/>
      <c r="DJ668" s="56"/>
      <c r="DK668" s="56"/>
      <c r="DL668" s="56"/>
      <c r="DM668" s="56"/>
      <c r="DN668" s="56"/>
      <c r="DO668" s="56"/>
      <c r="DP668" s="56"/>
      <c r="DQ668" s="56"/>
      <c r="DR668" s="56"/>
      <c r="DS668" s="56"/>
      <c r="DT668" s="56"/>
      <c r="DU668" s="56"/>
      <c r="DV668" s="56"/>
      <c r="DW668" s="56"/>
      <c r="DX668" s="56"/>
      <c r="DY668" s="56"/>
      <c r="DZ668" s="56"/>
      <c r="EA668" s="56"/>
      <c r="EB668" s="56"/>
      <c r="EC668" s="56"/>
      <c r="ED668" s="56"/>
      <c r="EE668" s="56"/>
      <c r="EF668" s="56"/>
      <c r="EG668" s="56"/>
      <c r="EH668" s="56"/>
      <c r="EI668" s="56"/>
      <c r="EJ668" s="56"/>
      <c r="EK668" s="56"/>
      <c r="EL668" s="56"/>
      <c r="EM668" s="56"/>
      <c r="EN668" s="56"/>
      <c r="EO668" s="56"/>
      <c r="EP668" s="56"/>
      <c r="EQ668" s="56"/>
      <c r="ER668" s="56"/>
      <c r="ES668" s="56"/>
      <c r="ET668" s="56"/>
      <c r="EU668" s="56"/>
      <c r="EV668" s="56"/>
      <c r="EW668" s="56"/>
      <c r="EX668" s="56"/>
      <c r="EY668" s="56"/>
      <c r="EZ668" s="56"/>
      <c r="FA668" s="56"/>
      <c r="FB668" s="56"/>
      <c r="FC668" s="56"/>
      <c r="FD668" s="56"/>
      <c r="FE668" s="56"/>
      <c r="FF668" s="56"/>
      <c r="FG668" s="56"/>
      <c r="FH668" s="56"/>
      <c r="FI668" s="56"/>
      <c r="FJ668" s="56"/>
      <c r="FK668" s="56"/>
      <c r="FL668" s="56"/>
      <c r="FM668" s="56"/>
      <c r="FN668" s="56"/>
      <c r="FO668" s="56"/>
      <c r="FP668" s="56"/>
      <c r="FQ668" s="56"/>
      <c r="FR668" s="56"/>
      <c r="FS668" s="56"/>
      <c r="FT668" s="56"/>
      <c r="FU668" s="56"/>
      <c r="FV668" s="56"/>
      <c r="FW668" s="56"/>
      <c r="FX668" s="56"/>
      <c r="FY668" s="56"/>
      <c r="FZ668" s="56"/>
      <c r="GA668" s="56"/>
      <c r="GB668" s="56"/>
      <c r="GC668" s="56"/>
      <c r="GD668" s="56"/>
      <c r="GE668" s="56"/>
      <c r="GF668" s="56"/>
      <c r="GG668" s="56"/>
      <c r="GH668" s="56"/>
      <c r="GI668" s="56"/>
      <c r="GJ668" s="56"/>
      <c r="GK668" s="56"/>
      <c r="GL668" s="56"/>
      <c r="GM668" s="56"/>
      <c r="GN668" s="56"/>
      <c r="GO668" s="56"/>
      <c r="GP668" s="56"/>
      <c r="GQ668" s="56"/>
      <c r="GR668" s="56"/>
      <c r="GS668" s="56"/>
      <c r="GT668" s="56"/>
      <c r="GU668" s="56"/>
      <c r="GV668" s="56"/>
      <c r="GW668" s="56"/>
      <c r="GX668" s="56"/>
      <c r="GY668" s="56"/>
      <c r="GZ668" s="56"/>
      <c r="HA668" s="56"/>
      <c r="HB668" s="56"/>
      <c r="HC668" s="56"/>
      <c r="HD668" s="56"/>
      <c r="HE668" s="56"/>
      <c r="HF668" s="56"/>
      <c r="HG668" s="56"/>
      <c r="HH668" s="56"/>
      <c r="HI668" s="56"/>
      <c r="HJ668" s="56"/>
    </row>
    <row r="669" spans="1:218" ht="15.75" customHeight="1" x14ac:dyDescent="0.2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  <c r="BV669" s="56"/>
      <c r="BW669" s="56"/>
      <c r="BX669" s="56"/>
      <c r="BY669" s="56"/>
      <c r="BZ669" s="56"/>
      <c r="CA669" s="56"/>
      <c r="CB669" s="56"/>
      <c r="CC669" s="56"/>
      <c r="CD669" s="56"/>
      <c r="CE669" s="56"/>
      <c r="CF669" s="56"/>
      <c r="CG669" s="56"/>
      <c r="CH669" s="56"/>
      <c r="CI669" s="56"/>
      <c r="CJ669" s="56"/>
      <c r="CK669" s="56"/>
      <c r="CL669" s="56"/>
      <c r="CM669" s="56"/>
      <c r="CN669" s="56"/>
      <c r="CO669" s="56"/>
      <c r="CP669" s="56"/>
      <c r="CQ669" s="56"/>
      <c r="CR669" s="56"/>
      <c r="CS669" s="56"/>
      <c r="CT669" s="56"/>
      <c r="CU669" s="56"/>
      <c r="CV669" s="56"/>
      <c r="CW669" s="56"/>
      <c r="CX669" s="56"/>
      <c r="CY669" s="56"/>
      <c r="CZ669" s="56"/>
      <c r="DA669" s="56"/>
      <c r="DB669" s="56"/>
      <c r="DC669" s="56"/>
      <c r="DD669" s="56"/>
      <c r="DE669" s="56"/>
      <c r="DF669" s="56"/>
      <c r="DG669" s="56"/>
      <c r="DH669" s="56"/>
      <c r="DI669" s="56"/>
      <c r="DJ669" s="56"/>
      <c r="DK669" s="56"/>
      <c r="DL669" s="56"/>
      <c r="DM669" s="56"/>
      <c r="DN669" s="56"/>
      <c r="DO669" s="56"/>
      <c r="DP669" s="56"/>
      <c r="DQ669" s="56"/>
      <c r="DR669" s="56"/>
      <c r="DS669" s="56"/>
      <c r="DT669" s="56"/>
      <c r="DU669" s="56"/>
      <c r="DV669" s="56"/>
      <c r="DW669" s="56"/>
      <c r="DX669" s="56"/>
      <c r="DY669" s="56"/>
      <c r="DZ669" s="56"/>
      <c r="EA669" s="56"/>
      <c r="EB669" s="56"/>
      <c r="EC669" s="56"/>
      <c r="ED669" s="56"/>
      <c r="EE669" s="56"/>
      <c r="EF669" s="56"/>
      <c r="EG669" s="56"/>
      <c r="EH669" s="56"/>
      <c r="EI669" s="56"/>
      <c r="EJ669" s="56"/>
      <c r="EK669" s="56"/>
      <c r="EL669" s="56"/>
      <c r="EM669" s="56"/>
      <c r="EN669" s="56"/>
      <c r="EO669" s="56"/>
      <c r="EP669" s="56"/>
      <c r="EQ669" s="56"/>
      <c r="ER669" s="56"/>
      <c r="ES669" s="56"/>
      <c r="ET669" s="56"/>
      <c r="EU669" s="56"/>
      <c r="EV669" s="56"/>
      <c r="EW669" s="56"/>
      <c r="EX669" s="56"/>
      <c r="EY669" s="56"/>
      <c r="EZ669" s="56"/>
      <c r="FA669" s="56"/>
      <c r="FB669" s="56"/>
      <c r="FC669" s="56"/>
      <c r="FD669" s="56"/>
      <c r="FE669" s="56"/>
      <c r="FF669" s="56"/>
      <c r="FG669" s="56"/>
      <c r="FH669" s="56"/>
      <c r="FI669" s="56"/>
      <c r="FJ669" s="56"/>
      <c r="FK669" s="56"/>
      <c r="FL669" s="56"/>
      <c r="FM669" s="56"/>
      <c r="FN669" s="56"/>
      <c r="FO669" s="56"/>
      <c r="FP669" s="56"/>
      <c r="FQ669" s="56"/>
      <c r="FR669" s="56"/>
      <c r="FS669" s="56"/>
      <c r="FT669" s="56"/>
      <c r="FU669" s="56"/>
      <c r="FV669" s="56"/>
      <c r="FW669" s="56"/>
      <c r="FX669" s="56"/>
      <c r="FY669" s="56"/>
      <c r="FZ669" s="56"/>
      <c r="GA669" s="56"/>
      <c r="GB669" s="56"/>
      <c r="GC669" s="56"/>
      <c r="GD669" s="56"/>
      <c r="GE669" s="56"/>
      <c r="GF669" s="56"/>
      <c r="GG669" s="56"/>
      <c r="GH669" s="56"/>
      <c r="GI669" s="56"/>
      <c r="GJ669" s="56"/>
      <c r="GK669" s="56"/>
      <c r="GL669" s="56"/>
      <c r="GM669" s="56"/>
      <c r="GN669" s="56"/>
      <c r="GO669" s="56"/>
      <c r="GP669" s="56"/>
      <c r="GQ669" s="56"/>
      <c r="GR669" s="56"/>
      <c r="GS669" s="56"/>
      <c r="GT669" s="56"/>
      <c r="GU669" s="56"/>
      <c r="GV669" s="56"/>
      <c r="GW669" s="56"/>
      <c r="GX669" s="56"/>
      <c r="GY669" s="56"/>
      <c r="GZ669" s="56"/>
      <c r="HA669" s="56"/>
      <c r="HB669" s="56"/>
      <c r="HC669" s="56"/>
      <c r="HD669" s="56"/>
      <c r="HE669" s="56"/>
      <c r="HF669" s="56"/>
      <c r="HG669" s="56"/>
      <c r="HH669" s="56"/>
      <c r="HI669" s="56"/>
      <c r="HJ669" s="56"/>
    </row>
    <row r="670" spans="1:218" ht="15.75" customHeight="1" x14ac:dyDescent="0.2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  <c r="BV670" s="56"/>
      <c r="BW670" s="56"/>
      <c r="BX670" s="56"/>
      <c r="BY670" s="56"/>
      <c r="BZ670" s="56"/>
      <c r="CA670" s="56"/>
      <c r="CB670" s="56"/>
      <c r="CC670" s="56"/>
      <c r="CD670" s="56"/>
      <c r="CE670" s="56"/>
      <c r="CF670" s="56"/>
      <c r="CG670" s="56"/>
      <c r="CH670" s="56"/>
      <c r="CI670" s="56"/>
      <c r="CJ670" s="56"/>
      <c r="CK670" s="56"/>
      <c r="CL670" s="56"/>
      <c r="CM670" s="56"/>
      <c r="CN670" s="56"/>
      <c r="CO670" s="56"/>
      <c r="CP670" s="56"/>
      <c r="CQ670" s="56"/>
      <c r="CR670" s="56"/>
      <c r="CS670" s="56"/>
      <c r="CT670" s="56"/>
      <c r="CU670" s="56"/>
      <c r="CV670" s="56"/>
      <c r="CW670" s="56"/>
      <c r="CX670" s="56"/>
      <c r="CY670" s="56"/>
      <c r="CZ670" s="56"/>
      <c r="DA670" s="56"/>
      <c r="DB670" s="56"/>
      <c r="DC670" s="56"/>
      <c r="DD670" s="56"/>
      <c r="DE670" s="56"/>
      <c r="DF670" s="56"/>
      <c r="DG670" s="56"/>
      <c r="DH670" s="56"/>
      <c r="DI670" s="56"/>
      <c r="DJ670" s="56"/>
      <c r="DK670" s="56"/>
      <c r="DL670" s="56"/>
      <c r="DM670" s="56"/>
      <c r="DN670" s="56"/>
      <c r="DO670" s="56"/>
      <c r="DP670" s="56"/>
      <c r="DQ670" s="56"/>
      <c r="DR670" s="56"/>
      <c r="DS670" s="56"/>
      <c r="DT670" s="56"/>
      <c r="DU670" s="56"/>
      <c r="DV670" s="56"/>
      <c r="DW670" s="56"/>
      <c r="DX670" s="56"/>
      <c r="DY670" s="56"/>
      <c r="DZ670" s="56"/>
      <c r="EA670" s="56"/>
      <c r="EB670" s="56"/>
      <c r="EC670" s="56"/>
      <c r="ED670" s="56"/>
      <c r="EE670" s="56"/>
      <c r="EF670" s="56"/>
      <c r="EG670" s="56"/>
      <c r="EH670" s="56"/>
      <c r="EI670" s="56"/>
      <c r="EJ670" s="56"/>
      <c r="EK670" s="56"/>
      <c r="EL670" s="56"/>
      <c r="EM670" s="56"/>
      <c r="EN670" s="56"/>
      <c r="EO670" s="56"/>
      <c r="EP670" s="56"/>
      <c r="EQ670" s="56"/>
      <c r="ER670" s="56"/>
      <c r="ES670" s="56"/>
      <c r="ET670" s="56"/>
      <c r="EU670" s="56"/>
      <c r="EV670" s="56"/>
      <c r="EW670" s="56"/>
      <c r="EX670" s="56"/>
      <c r="EY670" s="56"/>
      <c r="EZ670" s="56"/>
      <c r="FA670" s="56"/>
      <c r="FB670" s="56"/>
      <c r="FC670" s="56"/>
      <c r="FD670" s="56"/>
      <c r="FE670" s="56"/>
      <c r="FF670" s="56"/>
      <c r="FG670" s="56"/>
      <c r="FH670" s="56"/>
      <c r="FI670" s="56"/>
      <c r="FJ670" s="56"/>
      <c r="FK670" s="56"/>
      <c r="FL670" s="56"/>
      <c r="FM670" s="56"/>
      <c r="FN670" s="56"/>
      <c r="FO670" s="56"/>
      <c r="FP670" s="56"/>
      <c r="FQ670" s="56"/>
      <c r="FR670" s="56"/>
      <c r="FS670" s="56"/>
      <c r="FT670" s="56"/>
      <c r="FU670" s="56"/>
      <c r="FV670" s="56"/>
      <c r="FW670" s="56"/>
      <c r="FX670" s="56"/>
      <c r="FY670" s="56"/>
      <c r="FZ670" s="56"/>
      <c r="GA670" s="56"/>
      <c r="GB670" s="56"/>
      <c r="GC670" s="56"/>
      <c r="GD670" s="56"/>
      <c r="GE670" s="56"/>
      <c r="GF670" s="56"/>
      <c r="GG670" s="56"/>
      <c r="GH670" s="56"/>
      <c r="GI670" s="56"/>
      <c r="GJ670" s="56"/>
      <c r="GK670" s="56"/>
      <c r="GL670" s="56"/>
      <c r="GM670" s="56"/>
      <c r="GN670" s="56"/>
      <c r="GO670" s="56"/>
      <c r="GP670" s="56"/>
      <c r="GQ670" s="56"/>
      <c r="GR670" s="56"/>
      <c r="GS670" s="56"/>
      <c r="GT670" s="56"/>
      <c r="GU670" s="56"/>
      <c r="GV670" s="56"/>
      <c r="GW670" s="56"/>
      <c r="GX670" s="56"/>
      <c r="GY670" s="56"/>
      <c r="GZ670" s="56"/>
      <c r="HA670" s="56"/>
      <c r="HB670" s="56"/>
      <c r="HC670" s="56"/>
      <c r="HD670" s="56"/>
      <c r="HE670" s="56"/>
      <c r="HF670" s="56"/>
      <c r="HG670" s="56"/>
      <c r="HH670" s="56"/>
      <c r="HI670" s="56"/>
      <c r="HJ670" s="56"/>
    </row>
    <row r="671" spans="1:218" ht="15.75" customHeight="1" x14ac:dyDescent="0.2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  <c r="BV671" s="56"/>
      <c r="BW671" s="56"/>
      <c r="BX671" s="56"/>
      <c r="BY671" s="56"/>
      <c r="BZ671" s="56"/>
      <c r="CA671" s="56"/>
      <c r="CB671" s="56"/>
      <c r="CC671" s="56"/>
      <c r="CD671" s="56"/>
      <c r="CE671" s="56"/>
      <c r="CF671" s="56"/>
      <c r="CG671" s="56"/>
      <c r="CH671" s="56"/>
      <c r="CI671" s="56"/>
      <c r="CJ671" s="56"/>
      <c r="CK671" s="56"/>
      <c r="CL671" s="56"/>
      <c r="CM671" s="56"/>
      <c r="CN671" s="56"/>
      <c r="CO671" s="56"/>
      <c r="CP671" s="56"/>
      <c r="CQ671" s="56"/>
      <c r="CR671" s="56"/>
      <c r="CS671" s="56"/>
      <c r="CT671" s="56"/>
      <c r="CU671" s="56"/>
      <c r="CV671" s="56"/>
      <c r="CW671" s="56"/>
      <c r="CX671" s="56"/>
      <c r="CY671" s="56"/>
      <c r="CZ671" s="56"/>
      <c r="DA671" s="56"/>
      <c r="DB671" s="56"/>
      <c r="DC671" s="56"/>
      <c r="DD671" s="56"/>
      <c r="DE671" s="56"/>
      <c r="DF671" s="56"/>
      <c r="DG671" s="56"/>
      <c r="DH671" s="56"/>
      <c r="DI671" s="56"/>
      <c r="DJ671" s="56"/>
      <c r="DK671" s="56"/>
      <c r="DL671" s="56"/>
      <c r="DM671" s="56"/>
      <c r="DN671" s="56"/>
      <c r="DO671" s="56"/>
      <c r="DP671" s="56"/>
      <c r="DQ671" s="56"/>
      <c r="DR671" s="56"/>
      <c r="DS671" s="56"/>
      <c r="DT671" s="56"/>
      <c r="DU671" s="56"/>
      <c r="DV671" s="56"/>
      <c r="DW671" s="56"/>
      <c r="DX671" s="56"/>
      <c r="DY671" s="56"/>
      <c r="DZ671" s="56"/>
      <c r="EA671" s="56"/>
      <c r="EB671" s="56"/>
      <c r="EC671" s="56"/>
      <c r="ED671" s="56"/>
      <c r="EE671" s="56"/>
      <c r="EF671" s="56"/>
      <c r="EG671" s="56"/>
      <c r="EH671" s="56"/>
      <c r="EI671" s="56"/>
      <c r="EJ671" s="56"/>
      <c r="EK671" s="56"/>
      <c r="EL671" s="56"/>
      <c r="EM671" s="56"/>
      <c r="EN671" s="56"/>
      <c r="EO671" s="56"/>
      <c r="EP671" s="56"/>
      <c r="EQ671" s="56"/>
      <c r="ER671" s="56"/>
      <c r="ES671" s="56"/>
      <c r="ET671" s="56"/>
      <c r="EU671" s="56"/>
      <c r="EV671" s="56"/>
      <c r="EW671" s="56"/>
      <c r="EX671" s="56"/>
      <c r="EY671" s="56"/>
      <c r="EZ671" s="56"/>
      <c r="FA671" s="56"/>
      <c r="FB671" s="56"/>
      <c r="FC671" s="56"/>
      <c r="FD671" s="56"/>
      <c r="FE671" s="56"/>
      <c r="FF671" s="56"/>
      <c r="FG671" s="56"/>
      <c r="FH671" s="56"/>
      <c r="FI671" s="56"/>
      <c r="FJ671" s="56"/>
      <c r="FK671" s="56"/>
      <c r="FL671" s="56"/>
      <c r="FM671" s="56"/>
      <c r="FN671" s="56"/>
      <c r="FO671" s="56"/>
      <c r="FP671" s="56"/>
      <c r="FQ671" s="56"/>
      <c r="FR671" s="56"/>
      <c r="FS671" s="56"/>
      <c r="FT671" s="56"/>
      <c r="FU671" s="56"/>
      <c r="FV671" s="56"/>
      <c r="FW671" s="56"/>
      <c r="FX671" s="56"/>
      <c r="FY671" s="56"/>
      <c r="FZ671" s="56"/>
      <c r="GA671" s="56"/>
      <c r="GB671" s="56"/>
      <c r="GC671" s="56"/>
      <c r="GD671" s="56"/>
      <c r="GE671" s="56"/>
      <c r="GF671" s="56"/>
      <c r="GG671" s="56"/>
      <c r="GH671" s="56"/>
      <c r="GI671" s="56"/>
      <c r="GJ671" s="56"/>
      <c r="GK671" s="56"/>
      <c r="GL671" s="56"/>
      <c r="GM671" s="56"/>
      <c r="GN671" s="56"/>
      <c r="GO671" s="56"/>
      <c r="GP671" s="56"/>
      <c r="GQ671" s="56"/>
      <c r="GR671" s="56"/>
      <c r="GS671" s="56"/>
      <c r="GT671" s="56"/>
      <c r="GU671" s="56"/>
      <c r="GV671" s="56"/>
      <c r="GW671" s="56"/>
      <c r="GX671" s="56"/>
      <c r="GY671" s="56"/>
      <c r="GZ671" s="56"/>
      <c r="HA671" s="56"/>
      <c r="HB671" s="56"/>
      <c r="HC671" s="56"/>
      <c r="HD671" s="56"/>
      <c r="HE671" s="56"/>
      <c r="HF671" s="56"/>
      <c r="HG671" s="56"/>
      <c r="HH671" s="56"/>
      <c r="HI671" s="56"/>
      <c r="HJ671" s="56"/>
    </row>
    <row r="672" spans="1:218" ht="15.75" customHeight="1" x14ac:dyDescent="0.2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6"/>
      <c r="CA672" s="56"/>
      <c r="CB672" s="56"/>
      <c r="CC672" s="56"/>
      <c r="CD672" s="56"/>
      <c r="CE672" s="56"/>
      <c r="CF672" s="56"/>
      <c r="CG672" s="56"/>
      <c r="CH672" s="56"/>
      <c r="CI672" s="56"/>
      <c r="CJ672" s="56"/>
      <c r="CK672" s="56"/>
      <c r="CL672" s="56"/>
      <c r="CM672" s="56"/>
      <c r="CN672" s="56"/>
      <c r="CO672" s="56"/>
      <c r="CP672" s="56"/>
      <c r="CQ672" s="56"/>
      <c r="CR672" s="56"/>
      <c r="CS672" s="56"/>
      <c r="CT672" s="56"/>
      <c r="CU672" s="56"/>
      <c r="CV672" s="56"/>
      <c r="CW672" s="56"/>
      <c r="CX672" s="56"/>
      <c r="CY672" s="56"/>
      <c r="CZ672" s="56"/>
      <c r="DA672" s="56"/>
      <c r="DB672" s="56"/>
      <c r="DC672" s="56"/>
      <c r="DD672" s="56"/>
      <c r="DE672" s="56"/>
      <c r="DF672" s="56"/>
      <c r="DG672" s="56"/>
      <c r="DH672" s="56"/>
      <c r="DI672" s="56"/>
      <c r="DJ672" s="56"/>
      <c r="DK672" s="56"/>
      <c r="DL672" s="56"/>
      <c r="DM672" s="56"/>
      <c r="DN672" s="56"/>
      <c r="DO672" s="56"/>
      <c r="DP672" s="56"/>
      <c r="DQ672" s="56"/>
      <c r="DR672" s="56"/>
      <c r="DS672" s="56"/>
      <c r="DT672" s="56"/>
      <c r="DU672" s="56"/>
      <c r="DV672" s="56"/>
      <c r="DW672" s="56"/>
      <c r="DX672" s="56"/>
      <c r="DY672" s="56"/>
      <c r="DZ672" s="56"/>
      <c r="EA672" s="56"/>
      <c r="EB672" s="56"/>
      <c r="EC672" s="56"/>
      <c r="ED672" s="56"/>
      <c r="EE672" s="56"/>
      <c r="EF672" s="56"/>
      <c r="EG672" s="56"/>
      <c r="EH672" s="56"/>
      <c r="EI672" s="56"/>
      <c r="EJ672" s="56"/>
      <c r="EK672" s="56"/>
      <c r="EL672" s="56"/>
      <c r="EM672" s="56"/>
      <c r="EN672" s="56"/>
      <c r="EO672" s="56"/>
      <c r="EP672" s="56"/>
      <c r="EQ672" s="56"/>
      <c r="ER672" s="56"/>
      <c r="ES672" s="56"/>
      <c r="ET672" s="56"/>
      <c r="EU672" s="56"/>
      <c r="EV672" s="56"/>
      <c r="EW672" s="56"/>
      <c r="EX672" s="56"/>
      <c r="EY672" s="56"/>
      <c r="EZ672" s="56"/>
      <c r="FA672" s="56"/>
      <c r="FB672" s="56"/>
      <c r="FC672" s="56"/>
      <c r="FD672" s="56"/>
      <c r="FE672" s="56"/>
      <c r="FF672" s="56"/>
      <c r="FG672" s="56"/>
      <c r="FH672" s="56"/>
      <c r="FI672" s="56"/>
      <c r="FJ672" s="56"/>
      <c r="FK672" s="56"/>
      <c r="FL672" s="56"/>
      <c r="FM672" s="56"/>
      <c r="FN672" s="56"/>
      <c r="FO672" s="56"/>
      <c r="FP672" s="56"/>
      <c r="FQ672" s="56"/>
      <c r="FR672" s="56"/>
      <c r="FS672" s="56"/>
      <c r="FT672" s="56"/>
      <c r="FU672" s="56"/>
      <c r="FV672" s="56"/>
      <c r="FW672" s="56"/>
      <c r="FX672" s="56"/>
      <c r="FY672" s="56"/>
      <c r="FZ672" s="56"/>
      <c r="GA672" s="56"/>
      <c r="GB672" s="56"/>
      <c r="GC672" s="56"/>
      <c r="GD672" s="56"/>
      <c r="GE672" s="56"/>
      <c r="GF672" s="56"/>
      <c r="GG672" s="56"/>
      <c r="GH672" s="56"/>
      <c r="GI672" s="56"/>
      <c r="GJ672" s="56"/>
      <c r="GK672" s="56"/>
      <c r="GL672" s="56"/>
      <c r="GM672" s="56"/>
      <c r="GN672" s="56"/>
      <c r="GO672" s="56"/>
      <c r="GP672" s="56"/>
      <c r="GQ672" s="56"/>
      <c r="GR672" s="56"/>
      <c r="GS672" s="56"/>
      <c r="GT672" s="56"/>
      <c r="GU672" s="56"/>
      <c r="GV672" s="56"/>
      <c r="GW672" s="56"/>
      <c r="GX672" s="56"/>
      <c r="GY672" s="56"/>
      <c r="GZ672" s="56"/>
      <c r="HA672" s="56"/>
      <c r="HB672" s="56"/>
      <c r="HC672" s="56"/>
      <c r="HD672" s="56"/>
      <c r="HE672" s="56"/>
      <c r="HF672" s="56"/>
      <c r="HG672" s="56"/>
      <c r="HH672" s="56"/>
      <c r="HI672" s="56"/>
      <c r="HJ672" s="56"/>
    </row>
    <row r="673" spans="1:218" ht="15.75" customHeight="1" x14ac:dyDescent="0.2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  <c r="BV673" s="56"/>
      <c r="BW673" s="56"/>
      <c r="BX673" s="56"/>
      <c r="BY673" s="56"/>
      <c r="BZ673" s="56"/>
      <c r="CA673" s="56"/>
      <c r="CB673" s="56"/>
      <c r="CC673" s="56"/>
      <c r="CD673" s="56"/>
      <c r="CE673" s="56"/>
      <c r="CF673" s="56"/>
      <c r="CG673" s="56"/>
      <c r="CH673" s="56"/>
      <c r="CI673" s="56"/>
      <c r="CJ673" s="56"/>
      <c r="CK673" s="56"/>
      <c r="CL673" s="56"/>
      <c r="CM673" s="56"/>
      <c r="CN673" s="56"/>
      <c r="CO673" s="56"/>
      <c r="CP673" s="56"/>
      <c r="CQ673" s="56"/>
      <c r="CR673" s="56"/>
      <c r="CS673" s="56"/>
      <c r="CT673" s="56"/>
      <c r="CU673" s="56"/>
      <c r="CV673" s="56"/>
      <c r="CW673" s="56"/>
      <c r="CX673" s="56"/>
      <c r="CY673" s="56"/>
      <c r="CZ673" s="56"/>
      <c r="DA673" s="56"/>
      <c r="DB673" s="56"/>
      <c r="DC673" s="56"/>
      <c r="DD673" s="56"/>
      <c r="DE673" s="56"/>
      <c r="DF673" s="56"/>
      <c r="DG673" s="56"/>
      <c r="DH673" s="56"/>
      <c r="DI673" s="56"/>
      <c r="DJ673" s="56"/>
      <c r="DK673" s="56"/>
      <c r="DL673" s="56"/>
      <c r="DM673" s="56"/>
      <c r="DN673" s="56"/>
      <c r="DO673" s="56"/>
      <c r="DP673" s="56"/>
      <c r="DQ673" s="56"/>
      <c r="DR673" s="56"/>
      <c r="DS673" s="56"/>
      <c r="DT673" s="56"/>
      <c r="DU673" s="56"/>
      <c r="DV673" s="56"/>
      <c r="DW673" s="56"/>
      <c r="DX673" s="56"/>
      <c r="DY673" s="56"/>
      <c r="DZ673" s="56"/>
      <c r="EA673" s="56"/>
      <c r="EB673" s="56"/>
      <c r="EC673" s="56"/>
      <c r="ED673" s="56"/>
      <c r="EE673" s="56"/>
      <c r="EF673" s="56"/>
      <c r="EG673" s="56"/>
      <c r="EH673" s="56"/>
      <c r="EI673" s="56"/>
      <c r="EJ673" s="56"/>
      <c r="EK673" s="56"/>
      <c r="EL673" s="56"/>
      <c r="EM673" s="56"/>
      <c r="EN673" s="56"/>
      <c r="EO673" s="56"/>
      <c r="EP673" s="56"/>
      <c r="EQ673" s="56"/>
      <c r="ER673" s="56"/>
      <c r="ES673" s="56"/>
      <c r="ET673" s="56"/>
      <c r="EU673" s="56"/>
      <c r="EV673" s="56"/>
      <c r="EW673" s="56"/>
      <c r="EX673" s="56"/>
      <c r="EY673" s="56"/>
      <c r="EZ673" s="56"/>
      <c r="FA673" s="56"/>
      <c r="FB673" s="56"/>
      <c r="FC673" s="56"/>
      <c r="FD673" s="56"/>
      <c r="FE673" s="56"/>
      <c r="FF673" s="56"/>
      <c r="FG673" s="56"/>
      <c r="FH673" s="56"/>
      <c r="FI673" s="56"/>
      <c r="FJ673" s="56"/>
      <c r="FK673" s="56"/>
      <c r="FL673" s="56"/>
      <c r="FM673" s="56"/>
      <c r="FN673" s="56"/>
      <c r="FO673" s="56"/>
      <c r="FP673" s="56"/>
      <c r="FQ673" s="56"/>
      <c r="FR673" s="56"/>
      <c r="FS673" s="56"/>
      <c r="FT673" s="56"/>
      <c r="FU673" s="56"/>
      <c r="FV673" s="56"/>
      <c r="FW673" s="56"/>
      <c r="FX673" s="56"/>
      <c r="FY673" s="56"/>
      <c r="FZ673" s="56"/>
      <c r="GA673" s="56"/>
      <c r="GB673" s="56"/>
      <c r="GC673" s="56"/>
      <c r="GD673" s="56"/>
      <c r="GE673" s="56"/>
      <c r="GF673" s="56"/>
      <c r="GG673" s="56"/>
      <c r="GH673" s="56"/>
      <c r="GI673" s="56"/>
      <c r="GJ673" s="56"/>
      <c r="GK673" s="56"/>
      <c r="GL673" s="56"/>
      <c r="GM673" s="56"/>
      <c r="GN673" s="56"/>
      <c r="GO673" s="56"/>
      <c r="GP673" s="56"/>
      <c r="GQ673" s="56"/>
      <c r="GR673" s="56"/>
      <c r="GS673" s="56"/>
      <c r="GT673" s="56"/>
      <c r="GU673" s="56"/>
      <c r="GV673" s="56"/>
      <c r="GW673" s="56"/>
      <c r="GX673" s="56"/>
      <c r="GY673" s="56"/>
      <c r="GZ673" s="56"/>
      <c r="HA673" s="56"/>
      <c r="HB673" s="56"/>
      <c r="HC673" s="56"/>
      <c r="HD673" s="56"/>
      <c r="HE673" s="56"/>
      <c r="HF673" s="56"/>
      <c r="HG673" s="56"/>
      <c r="HH673" s="56"/>
      <c r="HI673" s="56"/>
      <c r="HJ673" s="56"/>
    </row>
    <row r="674" spans="1:218" ht="15.75" customHeight="1" x14ac:dyDescent="0.2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  <c r="BV674" s="56"/>
      <c r="BW674" s="56"/>
      <c r="BX674" s="56"/>
      <c r="BY674" s="56"/>
      <c r="BZ674" s="56"/>
      <c r="CA674" s="56"/>
      <c r="CB674" s="56"/>
      <c r="CC674" s="56"/>
      <c r="CD674" s="56"/>
      <c r="CE674" s="56"/>
      <c r="CF674" s="56"/>
      <c r="CG674" s="56"/>
      <c r="CH674" s="56"/>
      <c r="CI674" s="56"/>
      <c r="CJ674" s="56"/>
      <c r="CK674" s="56"/>
      <c r="CL674" s="56"/>
      <c r="CM674" s="56"/>
      <c r="CN674" s="56"/>
      <c r="CO674" s="56"/>
      <c r="CP674" s="56"/>
      <c r="CQ674" s="56"/>
      <c r="CR674" s="56"/>
      <c r="CS674" s="56"/>
      <c r="CT674" s="56"/>
      <c r="CU674" s="56"/>
      <c r="CV674" s="56"/>
      <c r="CW674" s="56"/>
      <c r="CX674" s="56"/>
      <c r="CY674" s="56"/>
      <c r="CZ674" s="56"/>
      <c r="DA674" s="56"/>
      <c r="DB674" s="56"/>
      <c r="DC674" s="56"/>
      <c r="DD674" s="56"/>
      <c r="DE674" s="56"/>
      <c r="DF674" s="56"/>
      <c r="DG674" s="56"/>
      <c r="DH674" s="56"/>
      <c r="DI674" s="56"/>
      <c r="DJ674" s="56"/>
      <c r="DK674" s="56"/>
      <c r="DL674" s="56"/>
      <c r="DM674" s="56"/>
      <c r="DN674" s="56"/>
      <c r="DO674" s="56"/>
      <c r="DP674" s="56"/>
      <c r="DQ674" s="56"/>
      <c r="DR674" s="56"/>
      <c r="DS674" s="56"/>
      <c r="DT674" s="56"/>
      <c r="DU674" s="56"/>
      <c r="DV674" s="56"/>
      <c r="DW674" s="56"/>
      <c r="DX674" s="56"/>
      <c r="DY674" s="56"/>
      <c r="DZ674" s="56"/>
      <c r="EA674" s="56"/>
      <c r="EB674" s="56"/>
      <c r="EC674" s="56"/>
      <c r="ED674" s="56"/>
      <c r="EE674" s="56"/>
      <c r="EF674" s="56"/>
      <c r="EG674" s="56"/>
      <c r="EH674" s="56"/>
      <c r="EI674" s="56"/>
      <c r="EJ674" s="56"/>
      <c r="EK674" s="56"/>
      <c r="EL674" s="56"/>
      <c r="EM674" s="56"/>
      <c r="EN674" s="56"/>
      <c r="EO674" s="56"/>
      <c r="EP674" s="56"/>
      <c r="EQ674" s="56"/>
      <c r="ER674" s="56"/>
      <c r="ES674" s="56"/>
      <c r="ET674" s="56"/>
      <c r="EU674" s="56"/>
      <c r="EV674" s="56"/>
      <c r="EW674" s="56"/>
      <c r="EX674" s="56"/>
      <c r="EY674" s="56"/>
      <c r="EZ674" s="56"/>
      <c r="FA674" s="56"/>
      <c r="FB674" s="56"/>
      <c r="FC674" s="56"/>
      <c r="FD674" s="56"/>
      <c r="FE674" s="56"/>
      <c r="FF674" s="56"/>
      <c r="FG674" s="56"/>
      <c r="FH674" s="56"/>
      <c r="FI674" s="56"/>
      <c r="FJ674" s="56"/>
      <c r="FK674" s="56"/>
      <c r="FL674" s="56"/>
      <c r="FM674" s="56"/>
      <c r="FN674" s="56"/>
      <c r="FO674" s="56"/>
      <c r="FP674" s="56"/>
      <c r="FQ674" s="56"/>
      <c r="FR674" s="56"/>
      <c r="FS674" s="56"/>
      <c r="FT674" s="56"/>
      <c r="FU674" s="56"/>
      <c r="FV674" s="56"/>
      <c r="FW674" s="56"/>
      <c r="FX674" s="56"/>
      <c r="FY674" s="56"/>
      <c r="FZ674" s="56"/>
      <c r="GA674" s="56"/>
      <c r="GB674" s="56"/>
      <c r="GC674" s="56"/>
      <c r="GD674" s="56"/>
      <c r="GE674" s="56"/>
      <c r="GF674" s="56"/>
      <c r="GG674" s="56"/>
      <c r="GH674" s="56"/>
      <c r="GI674" s="56"/>
      <c r="GJ674" s="56"/>
      <c r="GK674" s="56"/>
      <c r="GL674" s="56"/>
      <c r="GM674" s="56"/>
      <c r="GN674" s="56"/>
      <c r="GO674" s="56"/>
      <c r="GP674" s="56"/>
      <c r="GQ674" s="56"/>
      <c r="GR674" s="56"/>
      <c r="GS674" s="56"/>
      <c r="GT674" s="56"/>
      <c r="GU674" s="56"/>
      <c r="GV674" s="56"/>
      <c r="GW674" s="56"/>
      <c r="GX674" s="56"/>
      <c r="GY674" s="56"/>
      <c r="GZ674" s="56"/>
      <c r="HA674" s="56"/>
      <c r="HB674" s="56"/>
      <c r="HC674" s="56"/>
      <c r="HD674" s="56"/>
      <c r="HE674" s="56"/>
      <c r="HF674" s="56"/>
      <c r="HG674" s="56"/>
      <c r="HH674" s="56"/>
      <c r="HI674" s="56"/>
      <c r="HJ674" s="56"/>
    </row>
    <row r="675" spans="1:218" ht="15.75" customHeight="1" x14ac:dyDescent="0.2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  <c r="BV675" s="56"/>
      <c r="BW675" s="56"/>
      <c r="BX675" s="56"/>
      <c r="BY675" s="56"/>
      <c r="BZ675" s="56"/>
      <c r="CA675" s="56"/>
      <c r="CB675" s="56"/>
      <c r="CC675" s="56"/>
      <c r="CD675" s="56"/>
      <c r="CE675" s="56"/>
      <c r="CF675" s="56"/>
      <c r="CG675" s="56"/>
      <c r="CH675" s="56"/>
      <c r="CI675" s="56"/>
      <c r="CJ675" s="56"/>
      <c r="CK675" s="56"/>
      <c r="CL675" s="56"/>
      <c r="CM675" s="56"/>
      <c r="CN675" s="56"/>
      <c r="CO675" s="56"/>
      <c r="CP675" s="56"/>
      <c r="CQ675" s="56"/>
      <c r="CR675" s="56"/>
      <c r="CS675" s="56"/>
      <c r="CT675" s="56"/>
      <c r="CU675" s="56"/>
      <c r="CV675" s="56"/>
      <c r="CW675" s="56"/>
      <c r="CX675" s="56"/>
      <c r="CY675" s="56"/>
      <c r="CZ675" s="56"/>
      <c r="DA675" s="56"/>
      <c r="DB675" s="56"/>
      <c r="DC675" s="56"/>
      <c r="DD675" s="56"/>
      <c r="DE675" s="56"/>
      <c r="DF675" s="56"/>
      <c r="DG675" s="56"/>
      <c r="DH675" s="56"/>
      <c r="DI675" s="56"/>
      <c r="DJ675" s="56"/>
      <c r="DK675" s="56"/>
      <c r="DL675" s="56"/>
      <c r="DM675" s="56"/>
      <c r="DN675" s="56"/>
      <c r="DO675" s="56"/>
      <c r="DP675" s="56"/>
      <c r="DQ675" s="56"/>
      <c r="DR675" s="56"/>
      <c r="DS675" s="56"/>
      <c r="DT675" s="56"/>
      <c r="DU675" s="56"/>
      <c r="DV675" s="56"/>
      <c r="DW675" s="56"/>
      <c r="DX675" s="56"/>
      <c r="DY675" s="56"/>
      <c r="DZ675" s="56"/>
      <c r="EA675" s="56"/>
      <c r="EB675" s="56"/>
      <c r="EC675" s="56"/>
      <c r="ED675" s="56"/>
      <c r="EE675" s="56"/>
      <c r="EF675" s="56"/>
      <c r="EG675" s="56"/>
      <c r="EH675" s="56"/>
      <c r="EI675" s="56"/>
      <c r="EJ675" s="56"/>
      <c r="EK675" s="56"/>
      <c r="EL675" s="56"/>
      <c r="EM675" s="56"/>
      <c r="EN675" s="56"/>
      <c r="EO675" s="56"/>
      <c r="EP675" s="56"/>
      <c r="EQ675" s="56"/>
      <c r="ER675" s="56"/>
      <c r="ES675" s="56"/>
      <c r="ET675" s="56"/>
      <c r="EU675" s="56"/>
      <c r="EV675" s="56"/>
      <c r="EW675" s="56"/>
      <c r="EX675" s="56"/>
      <c r="EY675" s="56"/>
      <c r="EZ675" s="56"/>
      <c r="FA675" s="56"/>
      <c r="FB675" s="56"/>
      <c r="FC675" s="56"/>
      <c r="FD675" s="56"/>
      <c r="FE675" s="56"/>
      <c r="FF675" s="56"/>
      <c r="FG675" s="56"/>
      <c r="FH675" s="56"/>
      <c r="FI675" s="56"/>
      <c r="FJ675" s="56"/>
      <c r="FK675" s="56"/>
      <c r="FL675" s="56"/>
      <c r="FM675" s="56"/>
      <c r="FN675" s="56"/>
      <c r="FO675" s="56"/>
      <c r="FP675" s="56"/>
      <c r="FQ675" s="56"/>
      <c r="FR675" s="56"/>
      <c r="FS675" s="56"/>
      <c r="FT675" s="56"/>
      <c r="FU675" s="56"/>
      <c r="FV675" s="56"/>
      <c r="FW675" s="56"/>
      <c r="FX675" s="56"/>
      <c r="FY675" s="56"/>
      <c r="FZ675" s="56"/>
      <c r="GA675" s="56"/>
      <c r="GB675" s="56"/>
      <c r="GC675" s="56"/>
      <c r="GD675" s="56"/>
      <c r="GE675" s="56"/>
      <c r="GF675" s="56"/>
      <c r="GG675" s="56"/>
      <c r="GH675" s="56"/>
      <c r="GI675" s="56"/>
      <c r="GJ675" s="56"/>
      <c r="GK675" s="56"/>
      <c r="GL675" s="56"/>
      <c r="GM675" s="56"/>
      <c r="GN675" s="56"/>
      <c r="GO675" s="56"/>
      <c r="GP675" s="56"/>
      <c r="GQ675" s="56"/>
      <c r="GR675" s="56"/>
      <c r="GS675" s="56"/>
      <c r="GT675" s="56"/>
      <c r="GU675" s="56"/>
      <c r="GV675" s="56"/>
      <c r="GW675" s="56"/>
      <c r="GX675" s="56"/>
      <c r="GY675" s="56"/>
      <c r="GZ675" s="56"/>
      <c r="HA675" s="56"/>
      <c r="HB675" s="56"/>
      <c r="HC675" s="56"/>
      <c r="HD675" s="56"/>
      <c r="HE675" s="56"/>
      <c r="HF675" s="56"/>
      <c r="HG675" s="56"/>
      <c r="HH675" s="56"/>
      <c r="HI675" s="56"/>
      <c r="HJ675" s="56"/>
    </row>
    <row r="676" spans="1:218" ht="15.75" customHeight="1" x14ac:dyDescent="0.2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  <c r="BV676" s="56"/>
      <c r="BW676" s="56"/>
      <c r="BX676" s="56"/>
      <c r="BY676" s="56"/>
      <c r="BZ676" s="56"/>
      <c r="CA676" s="56"/>
      <c r="CB676" s="56"/>
      <c r="CC676" s="56"/>
      <c r="CD676" s="56"/>
      <c r="CE676" s="56"/>
      <c r="CF676" s="56"/>
      <c r="CG676" s="56"/>
      <c r="CH676" s="56"/>
      <c r="CI676" s="56"/>
      <c r="CJ676" s="56"/>
      <c r="CK676" s="56"/>
      <c r="CL676" s="56"/>
      <c r="CM676" s="56"/>
      <c r="CN676" s="56"/>
      <c r="CO676" s="56"/>
      <c r="CP676" s="56"/>
      <c r="CQ676" s="56"/>
      <c r="CR676" s="56"/>
      <c r="CS676" s="56"/>
      <c r="CT676" s="56"/>
      <c r="CU676" s="56"/>
      <c r="CV676" s="56"/>
      <c r="CW676" s="56"/>
      <c r="CX676" s="56"/>
      <c r="CY676" s="56"/>
      <c r="CZ676" s="56"/>
      <c r="DA676" s="56"/>
      <c r="DB676" s="56"/>
      <c r="DC676" s="56"/>
      <c r="DD676" s="56"/>
      <c r="DE676" s="56"/>
      <c r="DF676" s="56"/>
      <c r="DG676" s="56"/>
      <c r="DH676" s="56"/>
      <c r="DI676" s="56"/>
      <c r="DJ676" s="56"/>
      <c r="DK676" s="56"/>
      <c r="DL676" s="56"/>
      <c r="DM676" s="56"/>
      <c r="DN676" s="56"/>
      <c r="DO676" s="56"/>
      <c r="DP676" s="56"/>
      <c r="DQ676" s="56"/>
      <c r="DR676" s="56"/>
      <c r="DS676" s="56"/>
      <c r="DT676" s="56"/>
      <c r="DU676" s="56"/>
      <c r="DV676" s="56"/>
      <c r="DW676" s="56"/>
      <c r="DX676" s="56"/>
      <c r="DY676" s="56"/>
      <c r="DZ676" s="56"/>
      <c r="EA676" s="56"/>
      <c r="EB676" s="56"/>
      <c r="EC676" s="56"/>
      <c r="ED676" s="56"/>
      <c r="EE676" s="56"/>
      <c r="EF676" s="56"/>
      <c r="EG676" s="56"/>
      <c r="EH676" s="56"/>
      <c r="EI676" s="56"/>
      <c r="EJ676" s="56"/>
      <c r="EK676" s="56"/>
      <c r="EL676" s="56"/>
      <c r="EM676" s="56"/>
      <c r="EN676" s="56"/>
      <c r="EO676" s="56"/>
      <c r="EP676" s="56"/>
      <c r="EQ676" s="56"/>
      <c r="ER676" s="56"/>
      <c r="ES676" s="56"/>
      <c r="ET676" s="56"/>
      <c r="EU676" s="56"/>
      <c r="EV676" s="56"/>
      <c r="EW676" s="56"/>
      <c r="EX676" s="56"/>
      <c r="EY676" s="56"/>
      <c r="EZ676" s="56"/>
      <c r="FA676" s="56"/>
      <c r="FB676" s="56"/>
      <c r="FC676" s="56"/>
      <c r="FD676" s="56"/>
      <c r="FE676" s="56"/>
      <c r="FF676" s="56"/>
      <c r="FG676" s="56"/>
      <c r="FH676" s="56"/>
      <c r="FI676" s="56"/>
      <c r="FJ676" s="56"/>
      <c r="FK676" s="56"/>
      <c r="FL676" s="56"/>
      <c r="FM676" s="56"/>
      <c r="FN676" s="56"/>
      <c r="FO676" s="56"/>
      <c r="FP676" s="56"/>
      <c r="FQ676" s="56"/>
      <c r="FR676" s="56"/>
      <c r="FS676" s="56"/>
      <c r="FT676" s="56"/>
      <c r="FU676" s="56"/>
      <c r="FV676" s="56"/>
      <c r="FW676" s="56"/>
      <c r="FX676" s="56"/>
      <c r="FY676" s="56"/>
      <c r="FZ676" s="56"/>
      <c r="GA676" s="56"/>
      <c r="GB676" s="56"/>
      <c r="GC676" s="56"/>
      <c r="GD676" s="56"/>
      <c r="GE676" s="56"/>
      <c r="GF676" s="56"/>
      <c r="GG676" s="56"/>
      <c r="GH676" s="56"/>
      <c r="GI676" s="56"/>
      <c r="GJ676" s="56"/>
      <c r="GK676" s="56"/>
      <c r="GL676" s="56"/>
      <c r="GM676" s="56"/>
      <c r="GN676" s="56"/>
      <c r="GO676" s="56"/>
      <c r="GP676" s="56"/>
      <c r="GQ676" s="56"/>
      <c r="GR676" s="56"/>
      <c r="GS676" s="56"/>
      <c r="GT676" s="56"/>
      <c r="GU676" s="56"/>
      <c r="GV676" s="56"/>
      <c r="GW676" s="56"/>
      <c r="GX676" s="56"/>
      <c r="GY676" s="56"/>
      <c r="GZ676" s="56"/>
      <c r="HA676" s="56"/>
      <c r="HB676" s="56"/>
      <c r="HC676" s="56"/>
      <c r="HD676" s="56"/>
      <c r="HE676" s="56"/>
      <c r="HF676" s="56"/>
      <c r="HG676" s="56"/>
      <c r="HH676" s="56"/>
      <c r="HI676" s="56"/>
      <c r="HJ676" s="56"/>
    </row>
    <row r="677" spans="1:218" ht="15.75" customHeight="1" x14ac:dyDescent="0.2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  <c r="BV677" s="56"/>
      <c r="BW677" s="56"/>
      <c r="BX677" s="56"/>
      <c r="BY677" s="56"/>
      <c r="BZ677" s="56"/>
      <c r="CA677" s="56"/>
      <c r="CB677" s="56"/>
      <c r="CC677" s="56"/>
      <c r="CD677" s="56"/>
      <c r="CE677" s="56"/>
      <c r="CF677" s="56"/>
      <c r="CG677" s="56"/>
      <c r="CH677" s="56"/>
      <c r="CI677" s="56"/>
      <c r="CJ677" s="56"/>
      <c r="CK677" s="56"/>
      <c r="CL677" s="56"/>
      <c r="CM677" s="56"/>
      <c r="CN677" s="56"/>
      <c r="CO677" s="56"/>
      <c r="CP677" s="56"/>
      <c r="CQ677" s="56"/>
      <c r="CR677" s="56"/>
      <c r="CS677" s="56"/>
      <c r="CT677" s="56"/>
      <c r="CU677" s="56"/>
      <c r="CV677" s="56"/>
      <c r="CW677" s="56"/>
      <c r="CX677" s="56"/>
      <c r="CY677" s="56"/>
      <c r="CZ677" s="56"/>
      <c r="DA677" s="56"/>
      <c r="DB677" s="56"/>
      <c r="DC677" s="56"/>
      <c r="DD677" s="56"/>
      <c r="DE677" s="56"/>
      <c r="DF677" s="56"/>
      <c r="DG677" s="56"/>
      <c r="DH677" s="56"/>
      <c r="DI677" s="56"/>
      <c r="DJ677" s="56"/>
      <c r="DK677" s="56"/>
      <c r="DL677" s="56"/>
      <c r="DM677" s="56"/>
      <c r="DN677" s="56"/>
      <c r="DO677" s="56"/>
      <c r="DP677" s="56"/>
      <c r="DQ677" s="56"/>
      <c r="DR677" s="56"/>
      <c r="DS677" s="56"/>
      <c r="DT677" s="56"/>
      <c r="DU677" s="56"/>
      <c r="DV677" s="56"/>
      <c r="DW677" s="56"/>
      <c r="DX677" s="56"/>
      <c r="DY677" s="56"/>
      <c r="DZ677" s="56"/>
      <c r="EA677" s="56"/>
      <c r="EB677" s="56"/>
      <c r="EC677" s="56"/>
      <c r="ED677" s="56"/>
      <c r="EE677" s="56"/>
      <c r="EF677" s="56"/>
      <c r="EG677" s="56"/>
      <c r="EH677" s="56"/>
      <c r="EI677" s="56"/>
      <c r="EJ677" s="56"/>
      <c r="EK677" s="56"/>
      <c r="EL677" s="56"/>
      <c r="EM677" s="56"/>
      <c r="EN677" s="56"/>
      <c r="EO677" s="56"/>
      <c r="EP677" s="56"/>
      <c r="EQ677" s="56"/>
      <c r="ER677" s="56"/>
      <c r="ES677" s="56"/>
      <c r="ET677" s="56"/>
      <c r="EU677" s="56"/>
      <c r="EV677" s="56"/>
      <c r="EW677" s="56"/>
      <c r="EX677" s="56"/>
      <c r="EY677" s="56"/>
      <c r="EZ677" s="56"/>
      <c r="FA677" s="56"/>
      <c r="FB677" s="56"/>
      <c r="FC677" s="56"/>
      <c r="FD677" s="56"/>
      <c r="FE677" s="56"/>
      <c r="FF677" s="56"/>
      <c r="FG677" s="56"/>
      <c r="FH677" s="56"/>
      <c r="FI677" s="56"/>
      <c r="FJ677" s="56"/>
      <c r="FK677" s="56"/>
      <c r="FL677" s="56"/>
      <c r="FM677" s="56"/>
      <c r="FN677" s="56"/>
      <c r="FO677" s="56"/>
      <c r="FP677" s="56"/>
      <c r="FQ677" s="56"/>
      <c r="FR677" s="56"/>
      <c r="FS677" s="56"/>
      <c r="FT677" s="56"/>
      <c r="FU677" s="56"/>
      <c r="FV677" s="56"/>
      <c r="FW677" s="56"/>
      <c r="FX677" s="56"/>
      <c r="FY677" s="56"/>
      <c r="FZ677" s="56"/>
      <c r="GA677" s="56"/>
      <c r="GB677" s="56"/>
      <c r="GC677" s="56"/>
      <c r="GD677" s="56"/>
      <c r="GE677" s="56"/>
      <c r="GF677" s="56"/>
      <c r="GG677" s="56"/>
      <c r="GH677" s="56"/>
      <c r="GI677" s="56"/>
      <c r="GJ677" s="56"/>
      <c r="GK677" s="56"/>
      <c r="GL677" s="56"/>
      <c r="GM677" s="56"/>
      <c r="GN677" s="56"/>
      <c r="GO677" s="56"/>
      <c r="GP677" s="56"/>
      <c r="GQ677" s="56"/>
      <c r="GR677" s="56"/>
      <c r="GS677" s="56"/>
      <c r="GT677" s="56"/>
      <c r="GU677" s="56"/>
      <c r="GV677" s="56"/>
      <c r="GW677" s="56"/>
      <c r="GX677" s="56"/>
      <c r="GY677" s="56"/>
      <c r="GZ677" s="56"/>
      <c r="HA677" s="56"/>
      <c r="HB677" s="56"/>
      <c r="HC677" s="56"/>
      <c r="HD677" s="56"/>
      <c r="HE677" s="56"/>
      <c r="HF677" s="56"/>
      <c r="HG677" s="56"/>
      <c r="HH677" s="56"/>
      <c r="HI677" s="56"/>
      <c r="HJ677" s="56"/>
    </row>
    <row r="678" spans="1:218" ht="15.75" customHeight="1" x14ac:dyDescent="0.2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  <c r="BV678" s="56"/>
      <c r="BW678" s="56"/>
      <c r="BX678" s="56"/>
      <c r="BY678" s="56"/>
      <c r="BZ678" s="56"/>
      <c r="CA678" s="56"/>
      <c r="CB678" s="56"/>
      <c r="CC678" s="56"/>
      <c r="CD678" s="56"/>
      <c r="CE678" s="56"/>
      <c r="CF678" s="56"/>
      <c r="CG678" s="56"/>
      <c r="CH678" s="56"/>
      <c r="CI678" s="56"/>
      <c r="CJ678" s="56"/>
      <c r="CK678" s="56"/>
      <c r="CL678" s="56"/>
      <c r="CM678" s="56"/>
      <c r="CN678" s="56"/>
      <c r="CO678" s="56"/>
      <c r="CP678" s="56"/>
      <c r="CQ678" s="56"/>
      <c r="CR678" s="56"/>
      <c r="CS678" s="56"/>
      <c r="CT678" s="56"/>
      <c r="CU678" s="56"/>
      <c r="CV678" s="56"/>
      <c r="CW678" s="56"/>
      <c r="CX678" s="56"/>
      <c r="CY678" s="56"/>
      <c r="CZ678" s="56"/>
      <c r="DA678" s="56"/>
      <c r="DB678" s="56"/>
      <c r="DC678" s="56"/>
      <c r="DD678" s="56"/>
      <c r="DE678" s="56"/>
      <c r="DF678" s="56"/>
      <c r="DG678" s="56"/>
      <c r="DH678" s="56"/>
      <c r="DI678" s="56"/>
      <c r="DJ678" s="56"/>
      <c r="DK678" s="56"/>
      <c r="DL678" s="56"/>
      <c r="DM678" s="56"/>
      <c r="DN678" s="56"/>
      <c r="DO678" s="56"/>
      <c r="DP678" s="56"/>
      <c r="DQ678" s="56"/>
      <c r="DR678" s="56"/>
      <c r="DS678" s="56"/>
      <c r="DT678" s="56"/>
      <c r="DU678" s="56"/>
      <c r="DV678" s="56"/>
      <c r="DW678" s="56"/>
      <c r="DX678" s="56"/>
      <c r="DY678" s="56"/>
      <c r="DZ678" s="56"/>
      <c r="EA678" s="56"/>
      <c r="EB678" s="56"/>
      <c r="EC678" s="56"/>
      <c r="ED678" s="56"/>
      <c r="EE678" s="56"/>
      <c r="EF678" s="56"/>
      <c r="EG678" s="56"/>
      <c r="EH678" s="56"/>
      <c r="EI678" s="56"/>
      <c r="EJ678" s="56"/>
      <c r="EK678" s="56"/>
      <c r="EL678" s="56"/>
      <c r="EM678" s="56"/>
      <c r="EN678" s="56"/>
      <c r="EO678" s="56"/>
      <c r="EP678" s="56"/>
      <c r="EQ678" s="56"/>
      <c r="ER678" s="56"/>
      <c r="ES678" s="56"/>
      <c r="ET678" s="56"/>
      <c r="EU678" s="56"/>
      <c r="EV678" s="56"/>
      <c r="EW678" s="56"/>
      <c r="EX678" s="56"/>
      <c r="EY678" s="56"/>
      <c r="EZ678" s="56"/>
      <c r="FA678" s="56"/>
      <c r="FB678" s="56"/>
      <c r="FC678" s="56"/>
      <c r="FD678" s="56"/>
      <c r="FE678" s="56"/>
      <c r="FF678" s="56"/>
      <c r="FG678" s="56"/>
      <c r="FH678" s="56"/>
      <c r="FI678" s="56"/>
      <c r="FJ678" s="56"/>
      <c r="FK678" s="56"/>
      <c r="FL678" s="56"/>
      <c r="FM678" s="56"/>
      <c r="FN678" s="56"/>
      <c r="FO678" s="56"/>
      <c r="FP678" s="56"/>
      <c r="FQ678" s="56"/>
      <c r="FR678" s="56"/>
      <c r="FS678" s="56"/>
      <c r="FT678" s="56"/>
      <c r="FU678" s="56"/>
      <c r="FV678" s="56"/>
      <c r="FW678" s="56"/>
      <c r="FX678" s="56"/>
      <c r="FY678" s="56"/>
      <c r="FZ678" s="56"/>
      <c r="GA678" s="56"/>
      <c r="GB678" s="56"/>
      <c r="GC678" s="56"/>
      <c r="GD678" s="56"/>
      <c r="GE678" s="56"/>
      <c r="GF678" s="56"/>
      <c r="GG678" s="56"/>
      <c r="GH678" s="56"/>
      <c r="GI678" s="56"/>
      <c r="GJ678" s="56"/>
      <c r="GK678" s="56"/>
      <c r="GL678" s="56"/>
      <c r="GM678" s="56"/>
      <c r="GN678" s="56"/>
      <c r="GO678" s="56"/>
      <c r="GP678" s="56"/>
      <c r="GQ678" s="56"/>
      <c r="GR678" s="56"/>
      <c r="GS678" s="56"/>
      <c r="GT678" s="56"/>
      <c r="GU678" s="56"/>
      <c r="GV678" s="56"/>
      <c r="GW678" s="56"/>
      <c r="GX678" s="56"/>
      <c r="GY678" s="56"/>
      <c r="GZ678" s="56"/>
      <c r="HA678" s="56"/>
      <c r="HB678" s="56"/>
      <c r="HC678" s="56"/>
      <c r="HD678" s="56"/>
      <c r="HE678" s="56"/>
      <c r="HF678" s="56"/>
      <c r="HG678" s="56"/>
      <c r="HH678" s="56"/>
      <c r="HI678" s="56"/>
      <c r="HJ678" s="56"/>
    </row>
    <row r="679" spans="1:218" ht="15.75" customHeight="1" x14ac:dyDescent="0.2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  <c r="BV679" s="56"/>
      <c r="BW679" s="56"/>
      <c r="BX679" s="56"/>
      <c r="BY679" s="56"/>
      <c r="BZ679" s="56"/>
      <c r="CA679" s="56"/>
      <c r="CB679" s="56"/>
      <c r="CC679" s="56"/>
      <c r="CD679" s="56"/>
      <c r="CE679" s="56"/>
      <c r="CF679" s="56"/>
      <c r="CG679" s="56"/>
      <c r="CH679" s="56"/>
      <c r="CI679" s="56"/>
      <c r="CJ679" s="56"/>
      <c r="CK679" s="56"/>
      <c r="CL679" s="56"/>
      <c r="CM679" s="56"/>
      <c r="CN679" s="56"/>
      <c r="CO679" s="56"/>
      <c r="CP679" s="56"/>
      <c r="CQ679" s="56"/>
      <c r="CR679" s="56"/>
      <c r="CS679" s="56"/>
      <c r="CT679" s="56"/>
      <c r="CU679" s="56"/>
      <c r="CV679" s="56"/>
      <c r="CW679" s="56"/>
      <c r="CX679" s="56"/>
      <c r="CY679" s="56"/>
      <c r="CZ679" s="56"/>
      <c r="DA679" s="56"/>
      <c r="DB679" s="56"/>
      <c r="DC679" s="56"/>
      <c r="DD679" s="56"/>
      <c r="DE679" s="56"/>
      <c r="DF679" s="56"/>
      <c r="DG679" s="56"/>
      <c r="DH679" s="56"/>
      <c r="DI679" s="56"/>
      <c r="DJ679" s="56"/>
      <c r="DK679" s="56"/>
      <c r="DL679" s="56"/>
      <c r="DM679" s="56"/>
      <c r="DN679" s="56"/>
      <c r="DO679" s="56"/>
      <c r="DP679" s="56"/>
      <c r="DQ679" s="56"/>
      <c r="DR679" s="56"/>
      <c r="DS679" s="56"/>
      <c r="DT679" s="56"/>
      <c r="DU679" s="56"/>
      <c r="DV679" s="56"/>
      <c r="DW679" s="56"/>
      <c r="DX679" s="56"/>
      <c r="DY679" s="56"/>
      <c r="DZ679" s="56"/>
      <c r="EA679" s="56"/>
      <c r="EB679" s="56"/>
      <c r="EC679" s="56"/>
      <c r="ED679" s="56"/>
      <c r="EE679" s="56"/>
      <c r="EF679" s="56"/>
      <c r="EG679" s="56"/>
      <c r="EH679" s="56"/>
      <c r="EI679" s="56"/>
      <c r="EJ679" s="56"/>
      <c r="EK679" s="56"/>
      <c r="EL679" s="56"/>
      <c r="EM679" s="56"/>
      <c r="EN679" s="56"/>
      <c r="EO679" s="56"/>
      <c r="EP679" s="56"/>
      <c r="EQ679" s="56"/>
      <c r="ER679" s="56"/>
      <c r="ES679" s="56"/>
      <c r="ET679" s="56"/>
      <c r="EU679" s="56"/>
      <c r="EV679" s="56"/>
      <c r="EW679" s="56"/>
      <c r="EX679" s="56"/>
      <c r="EY679" s="56"/>
      <c r="EZ679" s="56"/>
      <c r="FA679" s="56"/>
      <c r="FB679" s="56"/>
      <c r="FC679" s="56"/>
      <c r="FD679" s="56"/>
      <c r="FE679" s="56"/>
      <c r="FF679" s="56"/>
      <c r="FG679" s="56"/>
      <c r="FH679" s="56"/>
      <c r="FI679" s="56"/>
      <c r="FJ679" s="56"/>
      <c r="FK679" s="56"/>
      <c r="FL679" s="56"/>
      <c r="FM679" s="56"/>
      <c r="FN679" s="56"/>
      <c r="FO679" s="56"/>
      <c r="FP679" s="56"/>
      <c r="FQ679" s="56"/>
      <c r="FR679" s="56"/>
      <c r="FS679" s="56"/>
      <c r="FT679" s="56"/>
      <c r="FU679" s="56"/>
      <c r="FV679" s="56"/>
      <c r="FW679" s="56"/>
      <c r="FX679" s="56"/>
      <c r="FY679" s="56"/>
      <c r="FZ679" s="56"/>
      <c r="GA679" s="56"/>
      <c r="GB679" s="56"/>
      <c r="GC679" s="56"/>
      <c r="GD679" s="56"/>
      <c r="GE679" s="56"/>
      <c r="GF679" s="56"/>
      <c r="GG679" s="56"/>
      <c r="GH679" s="56"/>
      <c r="GI679" s="56"/>
      <c r="GJ679" s="56"/>
      <c r="GK679" s="56"/>
      <c r="GL679" s="56"/>
      <c r="GM679" s="56"/>
      <c r="GN679" s="56"/>
      <c r="GO679" s="56"/>
      <c r="GP679" s="56"/>
      <c r="GQ679" s="56"/>
      <c r="GR679" s="56"/>
      <c r="GS679" s="56"/>
      <c r="GT679" s="56"/>
      <c r="GU679" s="56"/>
      <c r="GV679" s="56"/>
      <c r="GW679" s="56"/>
      <c r="GX679" s="56"/>
      <c r="GY679" s="56"/>
      <c r="GZ679" s="56"/>
      <c r="HA679" s="56"/>
      <c r="HB679" s="56"/>
      <c r="HC679" s="56"/>
      <c r="HD679" s="56"/>
      <c r="HE679" s="56"/>
      <c r="HF679" s="56"/>
      <c r="HG679" s="56"/>
      <c r="HH679" s="56"/>
      <c r="HI679" s="56"/>
      <c r="HJ679" s="56"/>
    </row>
    <row r="680" spans="1:218" ht="15.75" customHeight="1" x14ac:dyDescent="0.2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  <c r="BV680" s="56"/>
      <c r="BW680" s="56"/>
      <c r="BX680" s="56"/>
      <c r="BY680" s="56"/>
      <c r="BZ680" s="56"/>
      <c r="CA680" s="56"/>
      <c r="CB680" s="56"/>
      <c r="CC680" s="56"/>
      <c r="CD680" s="56"/>
      <c r="CE680" s="56"/>
      <c r="CF680" s="56"/>
      <c r="CG680" s="56"/>
      <c r="CH680" s="56"/>
      <c r="CI680" s="56"/>
      <c r="CJ680" s="56"/>
      <c r="CK680" s="56"/>
      <c r="CL680" s="56"/>
      <c r="CM680" s="56"/>
      <c r="CN680" s="56"/>
      <c r="CO680" s="56"/>
      <c r="CP680" s="56"/>
      <c r="CQ680" s="56"/>
      <c r="CR680" s="56"/>
      <c r="CS680" s="56"/>
      <c r="CT680" s="56"/>
      <c r="CU680" s="56"/>
      <c r="CV680" s="56"/>
      <c r="CW680" s="56"/>
      <c r="CX680" s="56"/>
      <c r="CY680" s="56"/>
      <c r="CZ680" s="56"/>
      <c r="DA680" s="56"/>
      <c r="DB680" s="56"/>
      <c r="DC680" s="56"/>
      <c r="DD680" s="56"/>
      <c r="DE680" s="56"/>
      <c r="DF680" s="56"/>
      <c r="DG680" s="56"/>
      <c r="DH680" s="56"/>
      <c r="DI680" s="56"/>
      <c r="DJ680" s="56"/>
      <c r="DK680" s="56"/>
      <c r="DL680" s="56"/>
      <c r="DM680" s="56"/>
      <c r="DN680" s="56"/>
      <c r="DO680" s="56"/>
      <c r="DP680" s="56"/>
      <c r="DQ680" s="56"/>
      <c r="DR680" s="56"/>
      <c r="DS680" s="56"/>
      <c r="DT680" s="56"/>
      <c r="DU680" s="56"/>
      <c r="DV680" s="56"/>
      <c r="DW680" s="56"/>
      <c r="DX680" s="56"/>
      <c r="DY680" s="56"/>
      <c r="DZ680" s="56"/>
      <c r="EA680" s="56"/>
      <c r="EB680" s="56"/>
      <c r="EC680" s="56"/>
      <c r="ED680" s="56"/>
      <c r="EE680" s="56"/>
      <c r="EF680" s="56"/>
      <c r="EG680" s="56"/>
      <c r="EH680" s="56"/>
      <c r="EI680" s="56"/>
      <c r="EJ680" s="56"/>
      <c r="EK680" s="56"/>
      <c r="EL680" s="56"/>
      <c r="EM680" s="56"/>
      <c r="EN680" s="56"/>
      <c r="EO680" s="56"/>
      <c r="EP680" s="56"/>
      <c r="EQ680" s="56"/>
      <c r="ER680" s="56"/>
      <c r="ES680" s="56"/>
      <c r="ET680" s="56"/>
      <c r="EU680" s="56"/>
      <c r="EV680" s="56"/>
      <c r="EW680" s="56"/>
      <c r="EX680" s="56"/>
      <c r="EY680" s="56"/>
      <c r="EZ680" s="56"/>
      <c r="FA680" s="56"/>
      <c r="FB680" s="56"/>
      <c r="FC680" s="56"/>
      <c r="FD680" s="56"/>
      <c r="FE680" s="56"/>
      <c r="FF680" s="56"/>
      <c r="FG680" s="56"/>
      <c r="FH680" s="56"/>
      <c r="FI680" s="56"/>
      <c r="FJ680" s="56"/>
      <c r="FK680" s="56"/>
      <c r="FL680" s="56"/>
      <c r="FM680" s="56"/>
      <c r="FN680" s="56"/>
      <c r="FO680" s="56"/>
      <c r="FP680" s="56"/>
      <c r="FQ680" s="56"/>
      <c r="FR680" s="56"/>
      <c r="FS680" s="56"/>
      <c r="FT680" s="56"/>
      <c r="FU680" s="56"/>
      <c r="FV680" s="56"/>
      <c r="FW680" s="56"/>
      <c r="FX680" s="56"/>
      <c r="FY680" s="56"/>
      <c r="FZ680" s="56"/>
      <c r="GA680" s="56"/>
      <c r="GB680" s="56"/>
      <c r="GC680" s="56"/>
      <c r="GD680" s="56"/>
      <c r="GE680" s="56"/>
      <c r="GF680" s="56"/>
      <c r="GG680" s="56"/>
      <c r="GH680" s="56"/>
      <c r="GI680" s="56"/>
      <c r="GJ680" s="56"/>
      <c r="GK680" s="56"/>
      <c r="GL680" s="56"/>
      <c r="GM680" s="56"/>
      <c r="GN680" s="56"/>
      <c r="GO680" s="56"/>
      <c r="GP680" s="56"/>
      <c r="GQ680" s="56"/>
      <c r="GR680" s="56"/>
      <c r="GS680" s="56"/>
      <c r="GT680" s="56"/>
      <c r="GU680" s="56"/>
      <c r="GV680" s="56"/>
      <c r="GW680" s="56"/>
      <c r="GX680" s="56"/>
      <c r="GY680" s="56"/>
      <c r="GZ680" s="56"/>
      <c r="HA680" s="56"/>
      <c r="HB680" s="56"/>
      <c r="HC680" s="56"/>
      <c r="HD680" s="56"/>
      <c r="HE680" s="56"/>
      <c r="HF680" s="56"/>
      <c r="HG680" s="56"/>
      <c r="HH680" s="56"/>
      <c r="HI680" s="56"/>
      <c r="HJ680" s="56"/>
    </row>
    <row r="681" spans="1:218" ht="15.75" customHeight="1" x14ac:dyDescent="0.2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  <c r="BV681" s="56"/>
      <c r="BW681" s="56"/>
      <c r="BX681" s="56"/>
      <c r="BY681" s="56"/>
      <c r="BZ681" s="56"/>
      <c r="CA681" s="56"/>
      <c r="CB681" s="56"/>
      <c r="CC681" s="56"/>
      <c r="CD681" s="56"/>
      <c r="CE681" s="56"/>
      <c r="CF681" s="56"/>
      <c r="CG681" s="56"/>
      <c r="CH681" s="56"/>
      <c r="CI681" s="56"/>
      <c r="CJ681" s="56"/>
      <c r="CK681" s="56"/>
      <c r="CL681" s="56"/>
      <c r="CM681" s="56"/>
      <c r="CN681" s="56"/>
      <c r="CO681" s="56"/>
      <c r="CP681" s="56"/>
      <c r="CQ681" s="56"/>
      <c r="CR681" s="56"/>
      <c r="CS681" s="56"/>
      <c r="CT681" s="56"/>
      <c r="CU681" s="56"/>
      <c r="CV681" s="56"/>
      <c r="CW681" s="56"/>
      <c r="CX681" s="56"/>
      <c r="CY681" s="56"/>
      <c r="CZ681" s="56"/>
      <c r="DA681" s="56"/>
      <c r="DB681" s="56"/>
      <c r="DC681" s="56"/>
      <c r="DD681" s="56"/>
      <c r="DE681" s="56"/>
      <c r="DF681" s="56"/>
      <c r="DG681" s="56"/>
      <c r="DH681" s="56"/>
      <c r="DI681" s="56"/>
      <c r="DJ681" s="56"/>
      <c r="DK681" s="56"/>
      <c r="DL681" s="56"/>
      <c r="DM681" s="56"/>
      <c r="DN681" s="56"/>
      <c r="DO681" s="56"/>
      <c r="DP681" s="56"/>
      <c r="DQ681" s="56"/>
      <c r="DR681" s="56"/>
      <c r="DS681" s="56"/>
      <c r="DT681" s="56"/>
      <c r="DU681" s="56"/>
      <c r="DV681" s="56"/>
      <c r="DW681" s="56"/>
      <c r="DX681" s="56"/>
      <c r="DY681" s="56"/>
      <c r="DZ681" s="56"/>
      <c r="EA681" s="56"/>
      <c r="EB681" s="56"/>
      <c r="EC681" s="56"/>
      <c r="ED681" s="56"/>
      <c r="EE681" s="56"/>
      <c r="EF681" s="56"/>
      <c r="EG681" s="56"/>
      <c r="EH681" s="56"/>
      <c r="EI681" s="56"/>
      <c r="EJ681" s="56"/>
      <c r="EK681" s="56"/>
      <c r="EL681" s="56"/>
      <c r="EM681" s="56"/>
      <c r="EN681" s="56"/>
      <c r="EO681" s="56"/>
      <c r="EP681" s="56"/>
      <c r="EQ681" s="56"/>
      <c r="ER681" s="56"/>
      <c r="ES681" s="56"/>
      <c r="ET681" s="56"/>
      <c r="EU681" s="56"/>
      <c r="EV681" s="56"/>
      <c r="EW681" s="56"/>
      <c r="EX681" s="56"/>
      <c r="EY681" s="56"/>
      <c r="EZ681" s="56"/>
      <c r="FA681" s="56"/>
      <c r="FB681" s="56"/>
      <c r="FC681" s="56"/>
      <c r="FD681" s="56"/>
      <c r="FE681" s="56"/>
      <c r="FF681" s="56"/>
      <c r="FG681" s="56"/>
      <c r="FH681" s="56"/>
      <c r="FI681" s="56"/>
      <c r="FJ681" s="56"/>
      <c r="FK681" s="56"/>
      <c r="FL681" s="56"/>
      <c r="FM681" s="56"/>
      <c r="FN681" s="56"/>
      <c r="FO681" s="56"/>
      <c r="FP681" s="56"/>
      <c r="FQ681" s="56"/>
      <c r="FR681" s="56"/>
      <c r="FS681" s="56"/>
      <c r="FT681" s="56"/>
      <c r="FU681" s="56"/>
      <c r="FV681" s="56"/>
      <c r="FW681" s="56"/>
      <c r="FX681" s="56"/>
      <c r="FY681" s="56"/>
      <c r="FZ681" s="56"/>
      <c r="GA681" s="56"/>
      <c r="GB681" s="56"/>
      <c r="GC681" s="56"/>
      <c r="GD681" s="56"/>
      <c r="GE681" s="56"/>
      <c r="GF681" s="56"/>
      <c r="GG681" s="56"/>
      <c r="GH681" s="56"/>
      <c r="GI681" s="56"/>
      <c r="GJ681" s="56"/>
      <c r="GK681" s="56"/>
      <c r="GL681" s="56"/>
      <c r="GM681" s="56"/>
      <c r="GN681" s="56"/>
      <c r="GO681" s="56"/>
      <c r="GP681" s="56"/>
      <c r="GQ681" s="56"/>
      <c r="GR681" s="56"/>
      <c r="GS681" s="56"/>
      <c r="GT681" s="56"/>
      <c r="GU681" s="56"/>
      <c r="GV681" s="56"/>
      <c r="GW681" s="56"/>
      <c r="GX681" s="56"/>
      <c r="GY681" s="56"/>
      <c r="GZ681" s="56"/>
      <c r="HA681" s="56"/>
      <c r="HB681" s="56"/>
      <c r="HC681" s="56"/>
      <c r="HD681" s="56"/>
      <c r="HE681" s="56"/>
      <c r="HF681" s="56"/>
      <c r="HG681" s="56"/>
      <c r="HH681" s="56"/>
      <c r="HI681" s="56"/>
      <c r="HJ681" s="56"/>
    </row>
    <row r="682" spans="1:218" ht="15.75" customHeight="1" x14ac:dyDescent="0.2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  <c r="CL682" s="56"/>
      <c r="CM682" s="56"/>
      <c r="CN682" s="56"/>
      <c r="CO682" s="56"/>
      <c r="CP682" s="56"/>
      <c r="CQ682" s="56"/>
      <c r="CR682" s="56"/>
      <c r="CS682" s="56"/>
      <c r="CT682" s="56"/>
      <c r="CU682" s="56"/>
      <c r="CV682" s="56"/>
      <c r="CW682" s="56"/>
      <c r="CX682" s="56"/>
      <c r="CY682" s="56"/>
      <c r="CZ682" s="56"/>
      <c r="DA682" s="56"/>
      <c r="DB682" s="56"/>
      <c r="DC682" s="56"/>
      <c r="DD682" s="56"/>
      <c r="DE682" s="56"/>
      <c r="DF682" s="56"/>
      <c r="DG682" s="56"/>
      <c r="DH682" s="56"/>
      <c r="DI682" s="56"/>
      <c r="DJ682" s="56"/>
      <c r="DK682" s="56"/>
      <c r="DL682" s="56"/>
      <c r="DM682" s="56"/>
      <c r="DN682" s="56"/>
      <c r="DO682" s="56"/>
      <c r="DP682" s="56"/>
      <c r="DQ682" s="56"/>
      <c r="DR682" s="56"/>
      <c r="DS682" s="56"/>
      <c r="DT682" s="56"/>
      <c r="DU682" s="56"/>
      <c r="DV682" s="56"/>
      <c r="DW682" s="56"/>
      <c r="DX682" s="56"/>
      <c r="DY682" s="56"/>
      <c r="DZ682" s="56"/>
      <c r="EA682" s="56"/>
      <c r="EB682" s="56"/>
      <c r="EC682" s="56"/>
      <c r="ED682" s="56"/>
      <c r="EE682" s="56"/>
      <c r="EF682" s="56"/>
      <c r="EG682" s="56"/>
      <c r="EH682" s="56"/>
      <c r="EI682" s="56"/>
      <c r="EJ682" s="56"/>
      <c r="EK682" s="56"/>
      <c r="EL682" s="56"/>
      <c r="EM682" s="56"/>
      <c r="EN682" s="56"/>
      <c r="EO682" s="56"/>
      <c r="EP682" s="56"/>
      <c r="EQ682" s="56"/>
      <c r="ER682" s="56"/>
      <c r="ES682" s="56"/>
      <c r="ET682" s="56"/>
      <c r="EU682" s="56"/>
      <c r="EV682" s="56"/>
      <c r="EW682" s="56"/>
      <c r="EX682" s="56"/>
      <c r="EY682" s="56"/>
      <c r="EZ682" s="56"/>
      <c r="FA682" s="56"/>
      <c r="FB682" s="56"/>
      <c r="FC682" s="56"/>
      <c r="FD682" s="56"/>
      <c r="FE682" s="56"/>
      <c r="FF682" s="56"/>
      <c r="FG682" s="56"/>
      <c r="FH682" s="56"/>
      <c r="FI682" s="56"/>
      <c r="FJ682" s="56"/>
      <c r="FK682" s="56"/>
      <c r="FL682" s="56"/>
      <c r="FM682" s="56"/>
      <c r="FN682" s="56"/>
      <c r="FO682" s="56"/>
      <c r="FP682" s="56"/>
      <c r="FQ682" s="56"/>
      <c r="FR682" s="56"/>
      <c r="FS682" s="56"/>
      <c r="FT682" s="56"/>
      <c r="FU682" s="56"/>
      <c r="FV682" s="56"/>
      <c r="FW682" s="56"/>
      <c r="FX682" s="56"/>
      <c r="FY682" s="56"/>
      <c r="FZ682" s="56"/>
      <c r="GA682" s="56"/>
      <c r="GB682" s="56"/>
      <c r="GC682" s="56"/>
      <c r="GD682" s="56"/>
      <c r="GE682" s="56"/>
      <c r="GF682" s="56"/>
      <c r="GG682" s="56"/>
      <c r="GH682" s="56"/>
      <c r="GI682" s="56"/>
      <c r="GJ682" s="56"/>
      <c r="GK682" s="56"/>
      <c r="GL682" s="56"/>
      <c r="GM682" s="56"/>
      <c r="GN682" s="56"/>
      <c r="GO682" s="56"/>
      <c r="GP682" s="56"/>
      <c r="GQ682" s="56"/>
      <c r="GR682" s="56"/>
      <c r="GS682" s="56"/>
      <c r="GT682" s="56"/>
      <c r="GU682" s="56"/>
      <c r="GV682" s="56"/>
      <c r="GW682" s="56"/>
      <c r="GX682" s="56"/>
      <c r="GY682" s="56"/>
      <c r="GZ682" s="56"/>
      <c r="HA682" s="56"/>
      <c r="HB682" s="56"/>
      <c r="HC682" s="56"/>
      <c r="HD682" s="56"/>
      <c r="HE682" s="56"/>
      <c r="HF682" s="56"/>
      <c r="HG682" s="56"/>
      <c r="HH682" s="56"/>
      <c r="HI682" s="56"/>
      <c r="HJ682" s="56"/>
    </row>
    <row r="683" spans="1:218" ht="15.75" customHeight="1" x14ac:dyDescent="0.2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  <c r="BV683" s="56"/>
      <c r="BW683" s="56"/>
      <c r="BX683" s="56"/>
      <c r="BY683" s="56"/>
      <c r="BZ683" s="56"/>
      <c r="CA683" s="56"/>
      <c r="CB683" s="56"/>
      <c r="CC683" s="56"/>
      <c r="CD683" s="56"/>
      <c r="CE683" s="56"/>
      <c r="CF683" s="56"/>
      <c r="CG683" s="56"/>
      <c r="CH683" s="56"/>
      <c r="CI683" s="56"/>
      <c r="CJ683" s="56"/>
      <c r="CK683" s="56"/>
      <c r="CL683" s="56"/>
      <c r="CM683" s="56"/>
      <c r="CN683" s="56"/>
      <c r="CO683" s="56"/>
      <c r="CP683" s="56"/>
      <c r="CQ683" s="56"/>
      <c r="CR683" s="56"/>
      <c r="CS683" s="56"/>
      <c r="CT683" s="56"/>
      <c r="CU683" s="56"/>
      <c r="CV683" s="56"/>
      <c r="CW683" s="56"/>
      <c r="CX683" s="56"/>
      <c r="CY683" s="56"/>
      <c r="CZ683" s="56"/>
      <c r="DA683" s="56"/>
      <c r="DB683" s="56"/>
      <c r="DC683" s="56"/>
      <c r="DD683" s="56"/>
      <c r="DE683" s="56"/>
      <c r="DF683" s="56"/>
      <c r="DG683" s="56"/>
      <c r="DH683" s="56"/>
      <c r="DI683" s="56"/>
      <c r="DJ683" s="56"/>
      <c r="DK683" s="56"/>
      <c r="DL683" s="56"/>
      <c r="DM683" s="56"/>
      <c r="DN683" s="56"/>
      <c r="DO683" s="56"/>
      <c r="DP683" s="56"/>
      <c r="DQ683" s="56"/>
      <c r="DR683" s="56"/>
      <c r="DS683" s="56"/>
      <c r="DT683" s="56"/>
      <c r="DU683" s="56"/>
      <c r="DV683" s="56"/>
      <c r="DW683" s="56"/>
      <c r="DX683" s="56"/>
      <c r="DY683" s="56"/>
      <c r="DZ683" s="56"/>
      <c r="EA683" s="56"/>
      <c r="EB683" s="56"/>
      <c r="EC683" s="56"/>
      <c r="ED683" s="56"/>
      <c r="EE683" s="56"/>
      <c r="EF683" s="56"/>
      <c r="EG683" s="56"/>
      <c r="EH683" s="56"/>
      <c r="EI683" s="56"/>
      <c r="EJ683" s="56"/>
      <c r="EK683" s="56"/>
      <c r="EL683" s="56"/>
      <c r="EM683" s="56"/>
      <c r="EN683" s="56"/>
      <c r="EO683" s="56"/>
      <c r="EP683" s="56"/>
      <c r="EQ683" s="56"/>
      <c r="ER683" s="56"/>
      <c r="ES683" s="56"/>
      <c r="ET683" s="56"/>
      <c r="EU683" s="56"/>
      <c r="EV683" s="56"/>
      <c r="EW683" s="56"/>
      <c r="EX683" s="56"/>
      <c r="EY683" s="56"/>
      <c r="EZ683" s="56"/>
      <c r="FA683" s="56"/>
      <c r="FB683" s="56"/>
      <c r="FC683" s="56"/>
      <c r="FD683" s="56"/>
      <c r="FE683" s="56"/>
      <c r="FF683" s="56"/>
      <c r="FG683" s="56"/>
      <c r="FH683" s="56"/>
      <c r="FI683" s="56"/>
      <c r="FJ683" s="56"/>
      <c r="FK683" s="56"/>
      <c r="FL683" s="56"/>
      <c r="FM683" s="56"/>
      <c r="FN683" s="56"/>
      <c r="FO683" s="56"/>
      <c r="FP683" s="56"/>
      <c r="FQ683" s="56"/>
      <c r="FR683" s="56"/>
      <c r="FS683" s="56"/>
      <c r="FT683" s="56"/>
      <c r="FU683" s="56"/>
      <c r="FV683" s="56"/>
      <c r="FW683" s="56"/>
      <c r="FX683" s="56"/>
      <c r="FY683" s="56"/>
      <c r="FZ683" s="56"/>
      <c r="GA683" s="56"/>
      <c r="GB683" s="56"/>
      <c r="GC683" s="56"/>
      <c r="GD683" s="56"/>
      <c r="GE683" s="56"/>
      <c r="GF683" s="56"/>
      <c r="GG683" s="56"/>
      <c r="GH683" s="56"/>
      <c r="GI683" s="56"/>
      <c r="GJ683" s="56"/>
      <c r="GK683" s="56"/>
      <c r="GL683" s="56"/>
      <c r="GM683" s="56"/>
      <c r="GN683" s="56"/>
      <c r="GO683" s="56"/>
      <c r="GP683" s="56"/>
      <c r="GQ683" s="56"/>
      <c r="GR683" s="56"/>
      <c r="GS683" s="56"/>
      <c r="GT683" s="56"/>
      <c r="GU683" s="56"/>
      <c r="GV683" s="56"/>
      <c r="GW683" s="56"/>
      <c r="GX683" s="56"/>
      <c r="GY683" s="56"/>
      <c r="GZ683" s="56"/>
      <c r="HA683" s="56"/>
      <c r="HB683" s="56"/>
      <c r="HC683" s="56"/>
      <c r="HD683" s="56"/>
      <c r="HE683" s="56"/>
      <c r="HF683" s="56"/>
      <c r="HG683" s="56"/>
      <c r="HH683" s="56"/>
      <c r="HI683" s="56"/>
      <c r="HJ683" s="56"/>
    </row>
    <row r="684" spans="1:218" ht="15.75" customHeight="1" x14ac:dyDescent="0.2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  <c r="BV684" s="56"/>
      <c r="BW684" s="56"/>
      <c r="BX684" s="56"/>
      <c r="BY684" s="56"/>
      <c r="BZ684" s="56"/>
      <c r="CA684" s="56"/>
      <c r="CB684" s="56"/>
      <c r="CC684" s="56"/>
      <c r="CD684" s="56"/>
      <c r="CE684" s="56"/>
      <c r="CF684" s="56"/>
      <c r="CG684" s="56"/>
      <c r="CH684" s="56"/>
      <c r="CI684" s="56"/>
      <c r="CJ684" s="56"/>
      <c r="CK684" s="56"/>
      <c r="CL684" s="56"/>
      <c r="CM684" s="56"/>
      <c r="CN684" s="56"/>
      <c r="CO684" s="56"/>
      <c r="CP684" s="56"/>
      <c r="CQ684" s="56"/>
      <c r="CR684" s="56"/>
      <c r="CS684" s="56"/>
      <c r="CT684" s="56"/>
      <c r="CU684" s="56"/>
      <c r="CV684" s="56"/>
      <c r="CW684" s="56"/>
      <c r="CX684" s="56"/>
      <c r="CY684" s="56"/>
      <c r="CZ684" s="56"/>
      <c r="DA684" s="56"/>
      <c r="DB684" s="56"/>
      <c r="DC684" s="56"/>
      <c r="DD684" s="56"/>
      <c r="DE684" s="56"/>
      <c r="DF684" s="56"/>
      <c r="DG684" s="56"/>
      <c r="DH684" s="56"/>
      <c r="DI684" s="56"/>
      <c r="DJ684" s="56"/>
      <c r="DK684" s="56"/>
      <c r="DL684" s="56"/>
      <c r="DM684" s="56"/>
      <c r="DN684" s="56"/>
      <c r="DO684" s="56"/>
      <c r="DP684" s="56"/>
      <c r="DQ684" s="56"/>
      <c r="DR684" s="56"/>
      <c r="DS684" s="56"/>
      <c r="DT684" s="56"/>
      <c r="DU684" s="56"/>
      <c r="DV684" s="56"/>
      <c r="DW684" s="56"/>
      <c r="DX684" s="56"/>
      <c r="DY684" s="56"/>
      <c r="DZ684" s="56"/>
      <c r="EA684" s="56"/>
      <c r="EB684" s="56"/>
      <c r="EC684" s="56"/>
      <c r="ED684" s="56"/>
      <c r="EE684" s="56"/>
      <c r="EF684" s="56"/>
      <c r="EG684" s="56"/>
      <c r="EH684" s="56"/>
      <c r="EI684" s="56"/>
      <c r="EJ684" s="56"/>
      <c r="EK684" s="56"/>
      <c r="EL684" s="56"/>
      <c r="EM684" s="56"/>
      <c r="EN684" s="56"/>
      <c r="EO684" s="56"/>
      <c r="EP684" s="56"/>
      <c r="EQ684" s="56"/>
      <c r="ER684" s="56"/>
      <c r="ES684" s="56"/>
      <c r="ET684" s="56"/>
      <c r="EU684" s="56"/>
      <c r="EV684" s="56"/>
      <c r="EW684" s="56"/>
      <c r="EX684" s="56"/>
      <c r="EY684" s="56"/>
      <c r="EZ684" s="56"/>
      <c r="FA684" s="56"/>
      <c r="FB684" s="56"/>
      <c r="FC684" s="56"/>
      <c r="FD684" s="56"/>
      <c r="FE684" s="56"/>
      <c r="FF684" s="56"/>
      <c r="FG684" s="56"/>
      <c r="FH684" s="56"/>
      <c r="FI684" s="56"/>
      <c r="FJ684" s="56"/>
      <c r="FK684" s="56"/>
      <c r="FL684" s="56"/>
      <c r="FM684" s="56"/>
      <c r="FN684" s="56"/>
      <c r="FO684" s="56"/>
      <c r="FP684" s="56"/>
      <c r="FQ684" s="56"/>
      <c r="FR684" s="56"/>
      <c r="FS684" s="56"/>
      <c r="FT684" s="56"/>
      <c r="FU684" s="56"/>
      <c r="FV684" s="56"/>
      <c r="FW684" s="56"/>
      <c r="FX684" s="56"/>
      <c r="FY684" s="56"/>
      <c r="FZ684" s="56"/>
      <c r="GA684" s="56"/>
      <c r="GB684" s="56"/>
      <c r="GC684" s="56"/>
      <c r="GD684" s="56"/>
      <c r="GE684" s="56"/>
      <c r="GF684" s="56"/>
      <c r="GG684" s="56"/>
      <c r="GH684" s="56"/>
      <c r="GI684" s="56"/>
      <c r="GJ684" s="56"/>
      <c r="GK684" s="56"/>
      <c r="GL684" s="56"/>
      <c r="GM684" s="56"/>
      <c r="GN684" s="56"/>
      <c r="GO684" s="56"/>
      <c r="GP684" s="56"/>
      <c r="GQ684" s="56"/>
      <c r="GR684" s="56"/>
      <c r="GS684" s="56"/>
      <c r="GT684" s="56"/>
      <c r="GU684" s="56"/>
      <c r="GV684" s="56"/>
      <c r="GW684" s="56"/>
      <c r="GX684" s="56"/>
      <c r="GY684" s="56"/>
      <c r="GZ684" s="56"/>
      <c r="HA684" s="56"/>
      <c r="HB684" s="56"/>
      <c r="HC684" s="56"/>
      <c r="HD684" s="56"/>
      <c r="HE684" s="56"/>
      <c r="HF684" s="56"/>
      <c r="HG684" s="56"/>
      <c r="HH684" s="56"/>
      <c r="HI684" s="56"/>
      <c r="HJ684" s="56"/>
    </row>
    <row r="685" spans="1:218" ht="15.75" customHeight="1" x14ac:dyDescent="0.2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  <c r="BV685" s="56"/>
      <c r="BW685" s="56"/>
      <c r="BX685" s="56"/>
      <c r="BY685" s="56"/>
      <c r="BZ685" s="56"/>
      <c r="CA685" s="56"/>
      <c r="CB685" s="56"/>
      <c r="CC685" s="56"/>
      <c r="CD685" s="56"/>
      <c r="CE685" s="56"/>
      <c r="CF685" s="56"/>
      <c r="CG685" s="56"/>
      <c r="CH685" s="56"/>
      <c r="CI685" s="56"/>
      <c r="CJ685" s="56"/>
      <c r="CK685" s="56"/>
      <c r="CL685" s="56"/>
      <c r="CM685" s="56"/>
      <c r="CN685" s="56"/>
      <c r="CO685" s="56"/>
      <c r="CP685" s="56"/>
      <c r="CQ685" s="56"/>
      <c r="CR685" s="56"/>
      <c r="CS685" s="56"/>
      <c r="CT685" s="56"/>
      <c r="CU685" s="56"/>
      <c r="CV685" s="56"/>
      <c r="CW685" s="56"/>
      <c r="CX685" s="56"/>
      <c r="CY685" s="56"/>
      <c r="CZ685" s="56"/>
      <c r="DA685" s="56"/>
      <c r="DB685" s="56"/>
      <c r="DC685" s="56"/>
      <c r="DD685" s="56"/>
      <c r="DE685" s="56"/>
      <c r="DF685" s="56"/>
      <c r="DG685" s="56"/>
      <c r="DH685" s="56"/>
      <c r="DI685" s="56"/>
      <c r="DJ685" s="56"/>
      <c r="DK685" s="56"/>
      <c r="DL685" s="56"/>
      <c r="DM685" s="56"/>
      <c r="DN685" s="56"/>
      <c r="DO685" s="56"/>
      <c r="DP685" s="56"/>
      <c r="DQ685" s="56"/>
      <c r="DR685" s="56"/>
      <c r="DS685" s="56"/>
      <c r="DT685" s="56"/>
      <c r="DU685" s="56"/>
      <c r="DV685" s="56"/>
      <c r="DW685" s="56"/>
      <c r="DX685" s="56"/>
      <c r="DY685" s="56"/>
      <c r="DZ685" s="56"/>
      <c r="EA685" s="56"/>
      <c r="EB685" s="56"/>
      <c r="EC685" s="56"/>
      <c r="ED685" s="56"/>
      <c r="EE685" s="56"/>
      <c r="EF685" s="56"/>
      <c r="EG685" s="56"/>
      <c r="EH685" s="56"/>
      <c r="EI685" s="56"/>
      <c r="EJ685" s="56"/>
      <c r="EK685" s="56"/>
      <c r="EL685" s="56"/>
      <c r="EM685" s="56"/>
      <c r="EN685" s="56"/>
      <c r="EO685" s="56"/>
      <c r="EP685" s="56"/>
      <c r="EQ685" s="56"/>
      <c r="ER685" s="56"/>
      <c r="ES685" s="56"/>
      <c r="ET685" s="56"/>
      <c r="EU685" s="56"/>
      <c r="EV685" s="56"/>
      <c r="EW685" s="56"/>
      <c r="EX685" s="56"/>
      <c r="EY685" s="56"/>
      <c r="EZ685" s="56"/>
      <c r="FA685" s="56"/>
      <c r="FB685" s="56"/>
      <c r="FC685" s="56"/>
      <c r="FD685" s="56"/>
      <c r="FE685" s="56"/>
      <c r="FF685" s="56"/>
      <c r="FG685" s="56"/>
      <c r="FH685" s="56"/>
      <c r="FI685" s="56"/>
      <c r="FJ685" s="56"/>
      <c r="FK685" s="56"/>
      <c r="FL685" s="56"/>
      <c r="FM685" s="56"/>
      <c r="FN685" s="56"/>
      <c r="FO685" s="56"/>
      <c r="FP685" s="56"/>
      <c r="FQ685" s="56"/>
      <c r="FR685" s="56"/>
      <c r="FS685" s="56"/>
      <c r="FT685" s="56"/>
      <c r="FU685" s="56"/>
      <c r="FV685" s="56"/>
      <c r="FW685" s="56"/>
      <c r="FX685" s="56"/>
      <c r="FY685" s="56"/>
      <c r="FZ685" s="56"/>
      <c r="GA685" s="56"/>
      <c r="GB685" s="56"/>
      <c r="GC685" s="56"/>
      <c r="GD685" s="56"/>
      <c r="GE685" s="56"/>
      <c r="GF685" s="56"/>
      <c r="GG685" s="56"/>
      <c r="GH685" s="56"/>
      <c r="GI685" s="56"/>
      <c r="GJ685" s="56"/>
      <c r="GK685" s="56"/>
      <c r="GL685" s="56"/>
      <c r="GM685" s="56"/>
      <c r="GN685" s="56"/>
      <c r="GO685" s="56"/>
      <c r="GP685" s="56"/>
      <c r="GQ685" s="56"/>
      <c r="GR685" s="56"/>
      <c r="GS685" s="56"/>
      <c r="GT685" s="56"/>
      <c r="GU685" s="56"/>
      <c r="GV685" s="56"/>
      <c r="GW685" s="56"/>
      <c r="GX685" s="56"/>
      <c r="GY685" s="56"/>
      <c r="GZ685" s="56"/>
      <c r="HA685" s="56"/>
      <c r="HB685" s="56"/>
      <c r="HC685" s="56"/>
      <c r="HD685" s="56"/>
      <c r="HE685" s="56"/>
      <c r="HF685" s="56"/>
      <c r="HG685" s="56"/>
      <c r="HH685" s="56"/>
      <c r="HI685" s="56"/>
      <c r="HJ685" s="56"/>
    </row>
    <row r="686" spans="1:218" ht="15.75" customHeight="1" x14ac:dyDescent="0.2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  <c r="BV686" s="56"/>
      <c r="BW686" s="56"/>
      <c r="BX686" s="56"/>
      <c r="BY686" s="56"/>
      <c r="BZ686" s="56"/>
      <c r="CA686" s="56"/>
      <c r="CB686" s="56"/>
      <c r="CC686" s="56"/>
      <c r="CD686" s="56"/>
      <c r="CE686" s="56"/>
      <c r="CF686" s="56"/>
      <c r="CG686" s="56"/>
      <c r="CH686" s="56"/>
      <c r="CI686" s="56"/>
      <c r="CJ686" s="56"/>
      <c r="CK686" s="56"/>
      <c r="CL686" s="56"/>
      <c r="CM686" s="56"/>
      <c r="CN686" s="56"/>
      <c r="CO686" s="56"/>
      <c r="CP686" s="56"/>
      <c r="CQ686" s="56"/>
      <c r="CR686" s="56"/>
      <c r="CS686" s="56"/>
      <c r="CT686" s="56"/>
      <c r="CU686" s="56"/>
      <c r="CV686" s="56"/>
      <c r="CW686" s="56"/>
      <c r="CX686" s="56"/>
      <c r="CY686" s="56"/>
      <c r="CZ686" s="56"/>
      <c r="DA686" s="56"/>
      <c r="DB686" s="56"/>
      <c r="DC686" s="56"/>
      <c r="DD686" s="56"/>
      <c r="DE686" s="56"/>
      <c r="DF686" s="56"/>
      <c r="DG686" s="56"/>
      <c r="DH686" s="56"/>
      <c r="DI686" s="56"/>
      <c r="DJ686" s="56"/>
      <c r="DK686" s="56"/>
      <c r="DL686" s="56"/>
      <c r="DM686" s="56"/>
      <c r="DN686" s="56"/>
      <c r="DO686" s="56"/>
      <c r="DP686" s="56"/>
      <c r="DQ686" s="56"/>
      <c r="DR686" s="56"/>
      <c r="DS686" s="56"/>
      <c r="DT686" s="56"/>
      <c r="DU686" s="56"/>
      <c r="DV686" s="56"/>
      <c r="DW686" s="56"/>
      <c r="DX686" s="56"/>
      <c r="DY686" s="56"/>
      <c r="DZ686" s="56"/>
      <c r="EA686" s="56"/>
      <c r="EB686" s="56"/>
      <c r="EC686" s="56"/>
      <c r="ED686" s="56"/>
      <c r="EE686" s="56"/>
      <c r="EF686" s="56"/>
      <c r="EG686" s="56"/>
      <c r="EH686" s="56"/>
      <c r="EI686" s="56"/>
      <c r="EJ686" s="56"/>
      <c r="EK686" s="56"/>
      <c r="EL686" s="56"/>
      <c r="EM686" s="56"/>
      <c r="EN686" s="56"/>
      <c r="EO686" s="56"/>
      <c r="EP686" s="56"/>
      <c r="EQ686" s="56"/>
      <c r="ER686" s="56"/>
      <c r="ES686" s="56"/>
      <c r="ET686" s="56"/>
      <c r="EU686" s="56"/>
      <c r="EV686" s="56"/>
      <c r="EW686" s="56"/>
      <c r="EX686" s="56"/>
      <c r="EY686" s="56"/>
      <c r="EZ686" s="56"/>
      <c r="FA686" s="56"/>
      <c r="FB686" s="56"/>
      <c r="FC686" s="56"/>
      <c r="FD686" s="56"/>
      <c r="FE686" s="56"/>
      <c r="FF686" s="56"/>
      <c r="FG686" s="56"/>
      <c r="FH686" s="56"/>
      <c r="FI686" s="56"/>
      <c r="FJ686" s="56"/>
      <c r="FK686" s="56"/>
      <c r="FL686" s="56"/>
      <c r="FM686" s="56"/>
      <c r="FN686" s="56"/>
      <c r="FO686" s="56"/>
      <c r="FP686" s="56"/>
      <c r="FQ686" s="56"/>
      <c r="FR686" s="56"/>
      <c r="FS686" s="56"/>
      <c r="FT686" s="56"/>
      <c r="FU686" s="56"/>
      <c r="FV686" s="56"/>
      <c r="FW686" s="56"/>
      <c r="FX686" s="56"/>
      <c r="FY686" s="56"/>
      <c r="FZ686" s="56"/>
      <c r="GA686" s="56"/>
      <c r="GB686" s="56"/>
      <c r="GC686" s="56"/>
      <c r="GD686" s="56"/>
      <c r="GE686" s="56"/>
      <c r="GF686" s="56"/>
      <c r="GG686" s="56"/>
      <c r="GH686" s="56"/>
      <c r="GI686" s="56"/>
      <c r="GJ686" s="56"/>
      <c r="GK686" s="56"/>
      <c r="GL686" s="56"/>
      <c r="GM686" s="56"/>
      <c r="GN686" s="56"/>
      <c r="GO686" s="56"/>
      <c r="GP686" s="56"/>
      <c r="GQ686" s="56"/>
      <c r="GR686" s="56"/>
      <c r="GS686" s="56"/>
      <c r="GT686" s="56"/>
      <c r="GU686" s="56"/>
      <c r="GV686" s="56"/>
      <c r="GW686" s="56"/>
      <c r="GX686" s="56"/>
      <c r="GY686" s="56"/>
      <c r="GZ686" s="56"/>
      <c r="HA686" s="56"/>
      <c r="HB686" s="56"/>
      <c r="HC686" s="56"/>
      <c r="HD686" s="56"/>
      <c r="HE686" s="56"/>
      <c r="HF686" s="56"/>
      <c r="HG686" s="56"/>
      <c r="HH686" s="56"/>
      <c r="HI686" s="56"/>
      <c r="HJ686" s="56"/>
    </row>
    <row r="687" spans="1:218" ht="15.75" customHeight="1" x14ac:dyDescent="0.2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  <c r="BV687" s="56"/>
      <c r="BW687" s="56"/>
      <c r="BX687" s="56"/>
      <c r="BY687" s="56"/>
      <c r="BZ687" s="56"/>
      <c r="CA687" s="56"/>
      <c r="CB687" s="56"/>
      <c r="CC687" s="56"/>
      <c r="CD687" s="56"/>
      <c r="CE687" s="56"/>
      <c r="CF687" s="56"/>
      <c r="CG687" s="56"/>
      <c r="CH687" s="56"/>
      <c r="CI687" s="56"/>
      <c r="CJ687" s="56"/>
      <c r="CK687" s="56"/>
      <c r="CL687" s="56"/>
      <c r="CM687" s="56"/>
      <c r="CN687" s="56"/>
      <c r="CO687" s="56"/>
      <c r="CP687" s="56"/>
      <c r="CQ687" s="56"/>
      <c r="CR687" s="56"/>
      <c r="CS687" s="56"/>
      <c r="CT687" s="56"/>
      <c r="CU687" s="56"/>
      <c r="CV687" s="56"/>
      <c r="CW687" s="56"/>
      <c r="CX687" s="56"/>
      <c r="CY687" s="56"/>
      <c r="CZ687" s="56"/>
      <c r="DA687" s="56"/>
      <c r="DB687" s="56"/>
      <c r="DC687" s="56"/>
      <c r="DD687" s="56"/>
      <c r="DE687" s="56"/>
      <c r="DF687" s="56"/>
      <c r="DG687" s="56"/>
      <c r="DH687" s="56"/>
      <c r="DI687" s="56"/>
      <c r="DJ687" s="56"/>
      <c r="DK687" s="56"/>
      <c r="DL687" s="56"/>
      <c r="DM687" s="56"/>
      <c r="DN687" s="56"/>
      <c r="DO687" s="56"/>
      <c r="DP687" s="56"/>
      <c r="DQ687" s="56"/>
      <c r="DR687" s="56"/>
      <c r="DS687" s="56"/>
      <c r="DT687" s="56"/>
      <c r="DU687" s="56"/>
      <c r="DV687" s="56"/>
      <c r="DW687" s="56"/>
      <c r="DX687" s="56"/>
      <c r="DY687" s="56"/>
      <c r="DZ687" s="56"/>
      <c r="EA687" s="56"/>
      <c r="EB687" s="56"/>
      <c r="EC687" s="56"/>
      <c r="ED687" s="56"/>
      <c r="EE687" s="56"/>
      <c r="EF687" s="56"/>
      <c r="EG687" s="56"/>
      <c r="EH687" s="56"/>
      <c r="EI687" s="56"/>
      <c r="EJ687" s="56"/>
      <c r="EK687" s="56"/>
      <c r="EL687" s="56"/>
      <c r="EM687" s="56"/>
      <c r="EN687" s="56"/>
      <c r="EO687" s="56"/>
      <c r="EP687" s="56"/>
      <c r="EQ687" s="56"/>
      <c r="ER687" s="56"/>
      <c r="ES687" s="56"/>
      <c r="ET687" s="56"/>
      <c r="EU687" s="56"/>
      <c r="EV687" s="56"/>
      <c r="EW687" s="56"/>
      <c r="EX687" s="56"/>
      <c r="EY687" s="56"/>
      <c r="EZ687" s="56"/>
      <c r="FA687" s="56"/>
      <c r="FB687" s="56"/>
      <c r="FC687" s="56"/>
      <c r="FD687" s="56"/>
      <c r="FE687" s="56"/>
      <c r="FF687" s="56"/>
      <c r="FG687" s="56"/>
      <c r="FH687" s="56"/>
      <c r="FI687" s="56"/>
      <c r="FJ687" s="56"/>
      <c r="FK687" s="56"/>
      <c r="FL687" s="56"/>
      <c r="FM687" s="56"/>
      <c r="FN687" s="56"/>
      <c r="FO687" s="56"/>
      <c r="FP687" s="56"/>
      <c r="FQ687" s="56"/>
      <c r="FR687" s="56"/>
      <c r="FS687" s="56"/>
      <c r="FT687" s="56"/>
      <c r="FU687" s="56"/>
      <c r="FV687" s="56"/>
      <c r="FW687" s="56"/>
      <c r="FX687" s="56"/>
      <c r="FY687" s="56"/>
      <c r="FZ687" s="56"/>
      <c r="GA687" s="56"/>
      <c r="GB687" s="56"/>
      <c r="GC687" s="56"/>
      <c r="GD687" s="56"/>
      <c r="GE687" s="56"/>
      <c r="GF687" s="56"/>
      <c r="GG687" s="56"/>
      <c r="GH687" s="56"/>
      <c r="GI687" s="56"/>
      <c r="GJ687" s="56"/>
      <c r="GK687" s="56"/>
      <c r="GL687" s="56"/>
      <c r="GM687" s="56"/>
      <c r="GN687" s="56"/>
      <c r="GO687" s="56"/>
      <c r="GP687" s="56"/>
      <c r="GQ687" s="56"/>
      <c r="GR687" s="56"/>
      <c r="GS687" s="56"/>
      <c r="GT687" s="56"/>
      <c r="GU687" s="56"/>
      <c r="GV687" s="56"/>
      <c r="GW687" s="56"/>
      <c r="GX687" s="56"/>
      <c r="GY687" s="56"/>
      <c r="GZ687" s="56"/>
      <c r="HA687" s="56"/>
      <c r="HB687" s="56"/>
      <c r="HC687" s="56"/>
      <c r="HD687" s="56"/>
      <c r="HE687" s="56"/>
      <c r="HF687" s="56"/>
      <c r="HG687" s="56"/>
      <c r="HH687" s="56"/>
      <c r="HI687" s="56"/>
      <c r="HJ687" s="56"/>
    </row>
    <row r="688" spans="1:218" ht="15.75" customHeight="1" x14ac:dyDescent="0.2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  <c r="BV688" s="56"/>
      <c r="BW688" s="56"/>
      <c r="BX688" s="56"/>
      <c r="BY688" s="56"/>
      <c r="BZ688" s="56"/>
      <c r="CA688" s="56"/>
      <c r="CB688" s="56"/>
      <c r="CC688" s="56"/>
      <c r="CD688" s="56"/>
      <c r="CE688" s="56"/>
      <c r="CF688" s="56"/>
      <c r="CG688" s="56"/>
      <c r="CH688" s="56"/>
      <c r="CI688" s="56"/>
      <c r="CJ688" s="56"/>
      <c r="CK688" s="56"/>
      <c r="CL688" s="56"/>
      <c r="CM688" s="56"/>
      <c r="CN688" s="56"/>
      <c r="CO688" s="56"/>
      <c r="CP688" s="56"/>
      <c r="CQ688" s="56"/>
      <c r="CR688" s="56"/>
      <c r="CS688" s="56"/>
      <c r="CT688" s="56"/>
      <c r="CU688" s="56"/>
      <c r="CV688" s="56"/>
      <c r="CW688" s="56"/>
      <c r="CX688" s="56"/>
      <c r="CY688" s="56"/>
      <c r="CZ688" s="56"/>
      <c r="DA688" s="56"/>
      <c r="DB688" s="56"/>
      <c r="DC688" s="56"/>
      <c r="DD688" s="56"/>
      <c r="DE688" s="56"/>
      <c r="DF688" s="56"/>
      <c r="DG688" s="56"/>
      <c r="DH688" s="56"/>
      <c r="DI688" s="56"/>
      <c r="DJ688" s="56"/>
      <c r="DK688" s="56"/>
      <c r="DL688" s="56"/>
      <c r="DM688" s="56"/>
      <c r="DN688" s="56"/>
      <c r="DO688" s="56"/>
      <c r="DP688" s="56"/>
      <c r="DQ688" s="56"/>
      <c r="DR688" s="56"/>
      <c r="DS688" s="56"/>
      <c r="DT688" s="56"/>
      <c r="DU688" s="56"/>
      <c r="DV688" s="56"/>
      <c r="DW688" s="56"/>
      <c r="DX688" s="56"/>
      <c r="DY688" s="56"/>
      <c r="DZ688" s="56"/>
      <c r="EA688" s="56"/>
      <c r="EB688" s="56"/>
      <c r="EC688" s="56"/>
      <c r="ED688" s="56"/>
      <c r="EE688" s="56"/>
      <c r="EF688" s="56"/>
      <c r="EG688" s="56"/>
      <c r="EH688" s="56"/>
      <c r="EI688" s="56"/>
      <c r="EJ688" s="56"/>
      <c r="EK688" s="56"/>
      <c r="EL688" s="56"/>
      <c r="EM688" s="56"/>
      <c r="EN688" s="56"/>
      <c r="EO688" s="56"/>
      <c r="EP688" s="56"/>
      <c r="EQ688" s="56"/>
      <c r="ER688" s="56"/>
      <c r="ES688" s="56"/>
      <c r="ET688" s="56"/>
      <c r="EU688" s="56"/>
      <c r="EV688" s="56"/>
      <c r="EW688" s="56"/>
      <c r="EX688" s="56"/>
      <c r="EY688" s="56"/>
      <c r="EZ688" s="56"/>
      <c r="FA688" s="56"/>
      <c r="FB688" s="56"/>
      <c r="FC688" s="56"/>
      <c r="FD688" s="56"/>
      <c r="FE688" s="56"/>
      <c r="FF688" s="56"/>
      <c r="FG688" s="56"/>
      <c r="FH688" s="56"/>
      <c r="FI688" s="56"/>
      <c r="FJ688" s="56"/>
      <c r="FK688" s="56"/>
      <c r="FL688" s="56"/>
      <c r="FM688" s="56"/>
      <c r="FN688" s="56"/>
      <c r="FO688" s="56"/>
      <c r="FP688" s="56"/>
      <c r="FQ688" s="56"/>
      <c r="FR688" s="56"/>
      <c r="FS688" s="56"/>
      <c r="FT688" s="56"/>
      <c r="FU688" s="56"/>
      <c r="FV688" s="56"/>
      <c r="FW688" s="56"/>
      <c r="FX688" s="56"/>
      <c r="FY688" s="56"/>
      <c r="FZ688" s="56"/>
      <c r="GA688" s="56"/>
      <c r="GB688" s="56"/>
      <c r="GC688" s="56"/>
      <c r="GD688" s="56"/>
      <c r="GE688" s="56"/>
      <c r="GF688" s="56"/>
      <c r="GG688" s="56"/>
      <c r="GH688" s="56"/>
      <c r="GI688" s="56"/>
      <c r="GJ688" s="56"/>
      <c r="GK688" s="56"/>
      <c r="GL688" s="56"/>
      <c r="GM688" s="56"/>
      <c r="GN688" s="56"/>
      <c r="GO688" s="56"/>
      <c r="GP688" s="56"/>
      <c r="GQ688" s="56"/>
      <c r="GR688" s="56"/>
      <c r="GS688" s="56"/>
      <c r="GT688" s="56"/>
      <c r="GU688" s="56"/>
      <c r="GV688" s="56"/>
      <c r="GW688" s="56"/>
      <c r="GX688" s="56"/>
      <c r="GY688" s="56"/>
      <c r="GZ688" s="56"/>
      <c r="HA688" s="56"/>
      <c r="HB688" s="56"/>
      <c r="HC688" s="56"/>
      <c r="HD688" s="56"/>
      <c r="HE688" s="56"/>
      <c r="HF688" s="56"/>
      <c r="HG688" s="56"/>
      <c r="HH688" s="56"/>
      <c r="HI688" s="56"/>
      <c r="HJ688" s="56"/>
    </row>
    <row r="689" spans="1:218" ht="15.75" customHeight="1" x14ac:dyDescent="0.2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  <c r="BV689" s="56"/>
      <c r="BW689" s="56"/>
      <c r="BX689" s="56"/>
      <c r="BY689" s="56"/>
      <c r="BZ689" s="56"/>
      <c r="CA689" s="56"/>
      <c r="CB689" s="56"/>
      <c r="CC689" s="56"/>
      <c r="CD689" s="56"/>
      <c r="CE689" s="56"/>
      <c r="CF689" s="56"/>
      <c r="CG689" s="56"/>
      <c r="CH689" s="56"/>
      <c r="CI689" s="56"/>
      <c r="CJ689" s="56"/>
      <c r="CK689" s="56"/>
      <c r="CL689" s="56"/>
      <c r="CM689" s="56"/>
      <c r="CN689" s="56"/>
      <c r="CO689" s="56"/>
      <c r="CP689" s="56"/>
      <c r="CQ689" s="56"/>
      <c r="CR689" s="56"/>
      <c r="CS689" s="56"/>
      <c r="CT689" s="56"/>
      <c r="CU689" s="56"/>
      <c r="CV689" s="56"/>
      <c r="CW689" s="56"/>
      <c r="CX689" s="56"/>
      <c r="CY689" s="56"/>
      <c r="CZ689" s="56"/>
      <c r="DA689" s="56"/>
      <c r="DB689" s="56"/>
      <c r="DC689" s="56"/>
      <c r="DD689" s="56"/>
      <c r="DE689" s="56"/>
      <c r="DF689" s="56"/>
      <c r="DG689" s="56"/>
      <c r="DH689" s="56"/>
      <c r="DI689" s="56"/>
      <c r="DJ689" s="56"/>
      <c r="DK689" s="56"/>
      <c r="DL689" s="56"/>
      <c r="DM689" s="56"/>
      <c r="DN689" s="56"/>
      <c r="DO689" s="56"/>
      <c r="DP689" s="56"/>
      <c r="DQ689" s="56"/>
      <c r="DR689" s="56"/>
      <c r="DS689" s="56"/>
      <c r="DT689" s="56"/>
      <c r="DU689" s="56"/>
      <c r="DV689" s="56"/>
      <c r="DW689" s="56"/>
      <c r="DX689" s="56"/>
      <c r="DY689" s="56"/>
      <c r="DZ689" s="56"/>
      <c r="EA689" s="56"/>
      <c r="EB689" s="56"/>
      <c r="EC689" s="56"/>
      <c r="ED689" s="56"/>
      <c r="EE689" s="56"/>
      <c r="EF689" s="56"/>
      <c r="EG689" s="56"/>
      <c r="EH689" s="56"/>
      <c r="EI689" s="56"/>
      <c r="EJ689" s="56"/>
      <c r="EK689" s="56"/>
      <c r="EL689" s="56"/>
      <c r="EM689" s="56"/>
      <c r="EN689" s="56"/>
      <c r="EO689" s="56"/>
      <c r="EP689" s="56"/>
      <c r="EQ689" s="56"/>
      <c r="ER689" s="56"/>
      <c r="ES689" s="56"/>
      <c r="ET689" s="56"/>
      <c r="EU689" s="56"/>
      <c r="EV689" s="56"/>
      <c r="EW689" s="56"/>
      <c r="EX689" s="56"/>
      <c r="EY689" s="56"/>
      <c r="EZ689" s="56"/>
      <c r="FA689" s="56"/>
      <c r="FB689" s="56"/>
      <c r="FC689" s="56"/>
      <c r="FD689" s="56"/>
      <c r="FE689" s="56"/>
      <c r="FF689" s="56"/>
      <c r="FG689" s="56"/>
      <c r="FH689" s="56"/>
      <c r="FI689" s="56"/>
      <c r="FJ689" s="56"/>
      <c r="FK689" s="56"/>
      <c r="FL689" s="56"/>
      <c r="FM689" s="56"/>
      <c r="FN689" s="56"/>
      <c r="FO689" s="56"/>
      <c r="FP689" s="56"/>
      <c r="FQ689" s="56"/>
      <c r="FR689" s="56"/>
      <c r="FS689" s="56"/>
      <c r="FT689" s="56"/>
      <c r="FU689" s="56"/>
      <c r="FV689" s="56"/>
      <c r="FW689" s="56"/>
      <c r="FX689" s="56"/>
      <c r="FY689" s="56"/>
      <c r="FZ689" s="56"/>
      <c r="GA689" s="56"/>
      <c r="GB689" s="56"/>
      <c r="GC689" s="56"/>
      <c r="GD689" s="56"/>
      <c r="GE689" s="56"/>
      <c r="GF689" s="56"/>
      <c r="GG689" s="56"/>
      <c r="GH689" s="56"/>
      <c r="GI689" s="56"/>
      <c r="GJ689" s="56"/>
      <c r="GK689" s="56"/>
      <c r="GL689" s="56"/>
      <c r="GM689" s="56"/>
      <c r="GN689" s="56"/>
      <c r="GO689" s="56"/>
      <c r="GP689" s="56"/>
      <c r="GQ689" s="56"/>
      <c r="GR689" s="56"/>
      <c r="GS689" s="56"/>
      <c r="GT689" s="56"/>
      <c r="GU689" s="56"/>
      <c r="GV689" s="56"/>
      <c r="GW689" s="56"/>
      <c r="GX689" s="56"/>
      <c r="GY689" s="56"/>
      <c r="GZ689" s="56"/>
      <c r="HA689" s="56"/>
      <c r="HB689" s="56"/>
      <c r="HC689" s="56"/>
      <c r="HD689" s="56"/>
      <c r="HE689" s="56"/>
      <c r="HF689" s="56"/>
      <c r="HG689" s="56"/>
      <c r="HH689" s="56"/>
      <c r="HI689" s="56"/>
      <c r="HJ689" s="56"/>
    </row>
    <row r="690" spans="1:218" ht="15.75" customHeight="1" x14ac:dyDescent="0.2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  <c r="BV690" s="56"/>
      <c r="BW690" s="56"/>
      <c r="BX690" s="56"/>
      <c r="BY690" s="56"/>
      <c r="BZ690" s="56"/>
      <c r="CA690" s="56"/>
      <c r="CB690" s="56"/>
      <c r="CC690" s="56"/>
      <c r="CD690" s="56"/>
      <c r="CE690" s="56"/>
      <c r="CF690" s="56"/>
      <c r="CG690" s="56"/>
      <c r="CH690" s="56"/>
      <c r="CI690" s="56"/>
      <c r="CJ690" s="56"/>
      <c r="CK690" s="56"/>
      <c r="CL690" s="56"/>
      <c r="CM690" s="56"/>
      <c r="CN690" s="56"/>
      <c r="CO690" s="56"/>
      <c r="CP690" s="56"/>
      <c r="CQ690" s="56"/>
      <c r="CR690" s="56"/>
      <c r="CS690" s="56"/>
      <c r="CT690" s="56"/>
      <c r="CU690" s="56"/>
      <c r="CV690" s="56"/>
      <c r="CW690" s="56"/>
      <c r="CX690" s="56"/>
      <c r="CY690" s="56"/>
      <c r="CZ690" s="56"/>
      <c r="DA690" s="56"/>
      <c r="DB690" s="56"/>
      <c r="DC690" s="56"/>
      <c r="DD690" s="56"/>
      <c r="DE690" s="56"/>
      <c r="DF690" s="56"/>
      <c r="DG690" s="56"/>
      <c r="DH690" s="56"/>
      <c r="DI690" s="56"/>
      <c r="DJ690" s="56"/>
      <c r="DK690" s="56"/>
      <c r="DL690" s="56"/>
      <c r="DM690" s="56"/>
      <c r="DN690" s="56"/>
      <c r="DO690" s="56"/>
      <c r="DP690" s="56"/>
      <c r="DQ690" s="56"/>
      <c r="DR690" s="56"/>
      <c r="DS690" s="56"/>
      <c r="DT690" s="56"/>
      <c r="DU690" s="56"/>
      <c r="DV690" s="56"/>
      <c r="DW690" s="56"/>
      <c r="DX690" s="56"/>
      <c r="DY690" s="56"/>
      <c r="DZ690" s="56"/>
      <c r="EA690" s="56"/>
      <c r="EB690" s="56"/>
      <c r="EC690" s="56"/>
      <c r="ED690" s="56"/>
      <c r="EE690" s="56"/>
      <c r="EF690" s="56"/>
      <c r="EG690" s="56"/>
      <c r="EH690" s="56"/>
      <c r="EI690" s="56"/>
      <c r="EJ690" s="56"/>
      <c r="EK690" s="56"/>
      <c r="EL690" s="56"/>
      <c r="EM690" s="56"/>
      <c r="EN690" s="56"/>
      <c r="EO690" s="56"/>
      <c r="EP690" s="56"/>
      <c r="EQ690" s="56"/>
      <c r="ER690" s="56"/>
      <c r="ES690" s="56"/>
      <c r="ET690" s="56"/>
      <c r="EU690" s="56"/>
      <c r="EV690" s="56"/>
      <c r="EW690" s="56"/>
      <c r="EX690" s="56"/>
      <c r="EY690" s="56"/>
      <c r="EZ690" s="56"/>
      <c r="FA690" s="56"/>
      <c r="FB690" s="56"/>
      <c r="FC690" s="56"/>
      <c r="FD690" s="56"/>
      <c r="FE690" s="56"/>
      <c r="FF690" s="56"/>
      <c r="FG690" s="56"/>
      <c r="FH690" s="56"/>
      <c r="FI690" s="56"/>
      <c r="FJ690" s="56"/>
      <c r="FK690" s="56"/>
      <c r="FL690" s="56"/>
      <c r="FM690" s="56"/>
      <c r="FN690" s="56"/>
      <c r="FO690" s="56"/>
      <c r="FP690" s="56"/>
      <c r="FQ690" s="56"/>
      <c r="FR690" s="56"/>
      <c r="FS690" s="56"/>
      <c r="FT690" s="56"/>
      <c r="FU690" s="56"/>
      <c r="FV690" s="56"/>
      <c r="FW690" s="56"/>
      <c r="FX690" s="56"/>
      <c r="FY690" s="56"/>
      <c r="FZ690" s="56"/>
      <c r="GA690" s="56"/>
      <c r="GB690" s="56"/>
      <c r="GC690" s="56"/>
      <c r="GD690" s="56"/>
      <c r="GE690" s="56"/>
      <c r="GF690" s="56"/>
      <c r="GG690" s="56"/>
      <c r="GH690" s="56"/>
      <c r="GI690" s="56"/>
      <c r="GJ690" s="56"/>
      <c r="GK690" s="56"/>
      <c r="GL690" s="56"/>
      <c r="GM690" s="56"/>
      <c r="GN690" s="56"/>
      <c r="GO690" s="56"/>
      <c r="GP690" s="56"/>
      <c r="GQ690" s="56"/>
      <c r="GR690" s="56"/>
      <c r="GS690" s="56"/>
      <c r="GT690" s="56"/>
      <c r="GU690" s="56"/>
      <c r="GV690" s="56"/>
      <c r="GW690" s="56"/>
      <c r="GX690" s="56"/>
      <c r="GY690" s="56"/>
      <c r="GZ690" s="56"/>
      <c r="HA690" s="56"/>
      <c r="HB690" s="56"/>
      <c r="HC690" s="56"/>
      <c r="HD690" s="56"/>
      <c r="HE690" s="56"/>
      <c r="HF690" s="56"/>
      <c r="HG690" s="56"/>
      <c r="HH690" s="56"/>
      <c r="HI690" s="56"/>
      <c r="HJ690" s="56"/>
    </row>
    <row r="691" spans="1:218" ht="15.75" customHeight="1" x14ac:dyDescent="0.2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  <c r="BV691" s="56"/>
      <c r="BW691" s="56"/>
      <c r="BX691" s="56"/>
      <c r="BY691" s="56"/>
      <c r="BZ691" s="56"/>
      <c r="CA691" s="56"/>
      <c r="CB691" s="56"/>
      <c r="CC691" s="56"/>
      <c r="CD691" s="56"/>
      <c r="CE691" s="56"/>
      <c r="CF691" s="56"/>
      <c r="CG691" s="56"/>
      <c r="CH691" s="56"/>
      <c r="CI691" s="56"/>
      <c r="CJ691" s="56"/>
      <c r="CK691" s="56"/>
      <c r="CL691" s="56"/>
      <c r="CM691" s="56"/>
      <c r="CN691" s="56"/>
      <c r="CO691" s="56"/>
      <c r="CP691" s="56"/>
      <c r="CQ691" s="56"/>
      <c r="CR691" s="56"/>
      <c r="CS691" s="56"/>
      <c r="CT691" s="56"/>
      <c r="CU691" s="56"/>
      <c r="CV691" s="56"/>
      <c r="CW691" s="56"/>
      <c r="CX691" s="56"/>
      <c r="CY691" s="56"/>
      <c r="CZ691" s="56"/>
      <c r="DA691" s="56"/>
      <c r="DB691" s="56"/>
      <c r="DC691" s="56"/>
      <c r="DD691" s="56"/>
      <c r="DE691" s="56"/>
      <c r="DF691" s="56"/>
      <c r="DG691" s="56"/>
      <c r="DH691" s="56"/>
      <c r="DI691" s="56"/>
      <c r="DJ691" s="56"/>
      <c r="DK691" s="56"/>
      <c r="DL691" s="56"/>
      <c r="DM691" s="56"/>
      <c r="DN691" s="56"/>
      <c r="DO691" s="56"/>
      <c r="DP691" s="56"/>
      <c r="DQ691" s="56"/>
      <c r="DR691" s="56"/>
      <c r="DS691" s="56"/>
      <c r="DT691" s="56"/>
      <c r="DU691" s="56"/>
      <c r="DV691" s="56"/>
      <c r="DW691" s="56"/>
      <c r="DX691" s="56"/>
      <c r="DY691" s="56"/>
      <c r="DZ691" s="56"/>
      <c r="EA691" s="56"/>
      <c r="EB691" s="56"/>
      <c r="EC691" s="56"/>
      <c r="ED691" s="56"/>
      <c r="EE691" s="56"/>
      <c r="EF691" s="56"/>
      <c r="EG691" s="56"/>
      <c r="EH691" s="56"/>
      <c r="EI691" s="56"/>
      <c r="EJ691" s="56"/>
      <c r="EK691" s="56"/>
      <c r="EL691" s="56"/>
      <c r="EM691" s="56"/>
      <c r="EN691" s="56"/>
      <c r="EO691" s="56"/>
      <c r="EP691" s="56"/>
      <c r="EQ691" s="56"/>
      <c r="ER691" s="56"/>
      <c r="ES691" s="56"/>
      <c r="ET691" s="56"/>
      <c r="EU691" s="56"/>
      <c r="EV691" s="56"/>
      <c r="EW691" s="56"/>
      <c r="EX691" s="56"/>
      <c r="EY691" s="56"/>
      <c r="EZ691" s="56"/>
      <c r="FA691" s="56"/>
      <c r="FB691" s="56"/>
      <c r="FC691" s="56"/>
      <c r="FD691" s="56"/>
      <c r="FE691" s="56"/>
      <c r="FF691" s="56"/>
      <c r="FG691" s="56"/>
      <c r="FH691" s="56"/>
      <c r="FI691" s="56"/>
      <c r="FJ691" s="56"/>
      <c r="FK691" s="56"/>
      <c r="FL691" s="56"/>
      <c r="FM691" s="56"/>
      <c r="FN691" s="56"/>
      <c r="FO691" s="56"/>
      <c r="FP691" s="56"/>
      <c r="FQ691" s="56"/>
      <c r="FR691" s="56"/>
      <c r="FS691" s="56"/>
      <c r="FT691" s="56"/>
      <c r="FU691" s="56"/>
      <c r="FV691" s="56"/>
      <c r="FW691" s="56"/>
      <c r="FX691" s="56"/>
      <c r="FY691" s="56"/>
      <c r="FZ691" s="56"/>
      <c r="GA691" s="56"/>
      <c r="GB691" s="56"/>
      <c r="GC691" s="56"/>
      <c r="GD691" s="56"/>
      <c r="GE691" s="56"/>
      <c r="GF691" s="56"/>
      <c r="GG691" s="56"/>
      <c r="GH691" s="56"/>
      <c r="GI691" s="56"/>
      <c r="GJ691" s="56"/>
      <c r="GK691" s="56"/>
      <c r="GL691" s="56"/>
      <c r="GM691" s="56"/>
      <c r="GN691" s="56"/>
      <c r="GO691" s="56"/>
      <c r="GP691" s="56"/>
      <c r="GQ691" s="56"/>
      <c r="GR691" s="56"/>
      <c r="GS691" s="56"/>
      <c r="GT691" s="56"/>
      <c r="GU691" s="56"/>
      <c r="GV691" s="56"/>
      <c r="GW691" s="56"/>
      <c r="GX691" s="56"/>
      <c r="GY691" s="56"/>
      <c r="GZ691" s="56"/>
      <c r="HA691" s="56"/>
      <c r="HB691" s="56"/>
      <c r="HC691" s="56"/>
      <c r="HD691" s="56"/>
      <c r="HE691" s="56"/>
      <c r="HF691" s="56"/>
      <c r="HG691" s="56"/>
      <c r="HH691" s="56"/>
      <c r="HI691" s="56"/>
      <c r="HJ691" s="56"/>
    </row>
    <row r="692" spans="1:218" ht="15.75" customHeight="1" x14ac:dyDescent="0.2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  <c r="BV692" s="56"/>
      <c r="BW692" s="56"/>
      <c r="BX692" s="56"/>
      <c r="BY692" s="56"/>
      <c r="BZ692" s="56"/>
      <c r="CA692" s="56"/>
      <c r="CB692" s="56"/>
      <c r="CC692" s="56"/>
      <c r="CD692" s="56"/>
      <c r="CE692" s="56"/>
      <c r="CF692" s="56"/>
      <c r="CG692" s="56"/>
      <c r="CH692" s="56"/>
      <c r="CI692" s="56"/>
      <c r="CJ692" s="56"/>
      <c r="CK692" s="56"/>
      <c r="CL692" s="56"/>
      <c r="CM692" s="56"/>
      <c r="CN692" s="56"/>
      <c r="CO692" s="56"/>
      <c r="CP692" s="56"/>
      <c r="CQ692" s="56"/>
      <c r="CR692" s="56"/>
      <c r="CS692" s="56"/>
      <c r="CT692" s="56"/>
      <c r="CU692" s="56"/>
      <c r="CV692" s="56"/>
      <c r="CW692" s="56"/>
      <c r="CX692" s="56"/>
      <c r="CY692" s="56"/>
      <c r="CZ692" s="56"/>
      <c r="DA692" s="56"/>
      <c r="DB692" s="56"/>
      <c r="DC692" s="56"/>
      <c r="DD692" s="56"/>
      <c r="DE692" s="56"/>
      <c r="DF692" s="56"/>
      <c r="DG692" s="56"/>
      <c r="DH692" s="56"/>
      <c r="DI692" s="56"/>
      <c r="DJ692" s="56"/>
      <c r="DK692" s="56"/>
      <c r="DL692" s="56"/>
      <c r="DM692" s="56"/>
      <c r="DN692" s="56"/>
      <c r="DO692" s="56"/>
      <c r="DP692" s="56"/>
      <c r="DQ692" s="56"/>
      <c r="DR692" s="56"/>
      <c r="DS692" s="56"/>
      <c r="DT692" s="56"/>
      <c r="DU692" s="56"/>
      <c r="DV692" s="56"/>
      <c r="DW692" s="56"/>
      <c r="DX692" s="56"/>
      <c r="DY692" s="56"/>
      <c r="DZ692" s="56"/>
      <c r="EA692" s="56"/>
      <c r="EB692" s="56"/>
      <c r="EC692" s="56"/>
      <c r="ED692" s="56"/>
      <c r="EE692" s="56"/>
      <c r="EF692" s="56"/>
      <c r="EG692" s="56"/>
      <c r="EH692" s="56"/>
      <c r="EI692" s="56"/>
      <c r="EJ692" s="56"/>
      <c r="EK692" s="56"/>
      <c r="EL692" s="56"/>
      <c r="EM692" s="56"/>
      <c r="EN692" s="56"/>
      <c r="EO692" s="56"/>
      <c r="EP692" s="56"/>
      <c r="EQ692" s="56"/>
      <c r="ER692" s="56"/>
      <c r="ES692" s="56"/>
      <c r="ET692" s="56"/>
      <c r="EU692" s="56"/>
      <c r="EV692" s="56"/>
      <c r="EW692" s="56"/>
      <c r="EX692" s="56"/>
      <c r="EY692" s="56"/>
      <c r="EZ692" s="56"/>
      <c r="FA692" s="56"/>
      <c r="FB692" s="56"/>
      <c r="FC692" s="56"/>
      <c r="FD692" s="56"/>
      <c r="FE692" s="56"/>
      <c r="FF692" s="56"/>
      <c r="FG692" s="56"/>
      <c r="FH692" s="56"/>
      <c r="FI692" s="56"/>
      <c r="FJ692" s="56"/>
      <c r="FK692" s="56"/>
      <c r="FL692" s="56"/>
      <c r="FM692" s="56"/>
      <c r="FN692" s="56"/>
      <c r="FO692" s="56"/>
      <c r="FP692" s="56"/>
      <c r="FQ692" s="56"/>
      <c r="FR692" s="56"/>
      <c r="FS692" s="56"/>
      <c r="FT692" s="56"/>
      <c r="FU692" s="56"/>
      <c r="FV692" s="56"/>
      <c r="FW692" s="56"/>
      <c r="FX692" s="56"/>
      <c r="FY692" s="56"/>
      <c r="FZ692" s="56"/>
      <c r="GA692" s="56"/>
      <c r="GB692" s="56"/>
      <c r="GC692" s="56"/>
      <c r="GD692" s="56"/>
      <c r="GE692" s="56"/>
      <c r="GF692" s="56"/>
      <c r="GG692" s="56"/>
      <c r="GH692" s="56"/>
      <c r="GI692" s="56"/>
      <c r="GJ692" s="56"/>
      <c r="GK692" s="56"/>
      <c r="GL692" s="56"/>
      <c r="GM692" s="56"/>
      <c r="GN692" s="56"/>
      <c r="GO692" s="56"/>
      <c r="GP692" s="56"/>
      <c r="GQ692" s="56"/>
      <c r="GR692" s="56"/>
      <c r="GS692" s="56"/>
      <c r="GT692" s="56"/>
      <c r="GU692" s="56"/>
      <c r="GV692" s="56"/>
      <c r="GW692" s="56"/>
      <c r="GX692" s="56"/>
      <c r="GY692" s="56"/>
      <c r="GZ692" s="56"/>
      <c r="HA692" s="56"/>
      <c r="HB692" s="56"/>
      <c r="HC692" s="56"/>
      <c r="HD692" s="56"/>
      <c r="HE692" s="56"/>
      <c r="HF692" s="56"/>
      <c r="HG692" s="56"/>
      <c r="HH692" s="56"/>
      <c r="HI692" s="56"/>
      <c r="HJ692" s="56"/>
    </row>
    <row r="693" spans="1:218" ht="15.75" customHeight="1" x14ac:dyDescent="0.2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  <c r="BV693" s="56"/>
      <c r="BW693" s="56"/>
      <c r="BX693" s="56"/>
      <c r="BY693" s="56"/>
      <c r="BZ693" s="56"/>
      <c r="CA693" s="56"/>
      <c r="CB693" s="56"/>
      <c r="CC693" s="56"/>
      <c r="CD693" s="56"/>
      <c r="CE693" s="56"/>
      <c r="CF693" s="56"/>
      <c r="CG693" s="56"/>
      <c r="CH693" s="56"/>
      <c r="CI693" s="56"/>
      <c r="CJ693" s="56"/>
      <c r="CK693" s="56"/>
      <c r="CL693" s="56"/>
      <c r="CM693" s="56"/>
      <c r="CN693" s="56"/>
      <c r="CO693" s="56"/>
      <c r="CP693" s="56"/>
      <c r="CQ693" s="56"/>
      <c r="CR693" s="56"/>
      <c r="CS693" s="56"/>
      <c r="CT693" s="56"/>
      <c r="CU693" s="56"/>
      <c r="CV693" s="56"/>
      <c r="CW693" s="56"/>
      <c r="CX693" s="56"/>
      <c r="CY693" s="56"/>
      <c r="CZ693" s="56"/>
      <c r="DA693" s="56"/>
      <c r="DB693" s="56"/>
      <c r="DC693" s="56"/>
      <c r="DD693" s="56"/>
      <c r="DE693" s="56"/>
      <c r="DF693" s="56"/>
      <c r="DG693" s="56"/>
      <c r="DH693" s="56"/>
      <c r="DI693" s="56"/>
      <c r="DJ693" s="56"/>
      <c r="DK693" s="56"/>
      <c r="DL693" s="56"/>
      <c r="DM693" s="56"/>
      <c r="DN693" s="56"/>
      <c r="DO693" s="56"/>
      <c r="DP693" s="56"/>
      <c r="DQ693" s="56"/>
      <c r="DR693" s="56"/>
      <c r="DS693" s="56"/>
      <c r="DT693" s="56"/>
      <c r="DU693" s="56"/>
      <c r="DV693" s="56"/>
      <c r="DW693" s="56"/>
      <c r="DX693" s="56"/>
      <c r="DY693" s="56"/>
      <c r="DZ693" s="56"/>
      <c r="EA693" s="56"/>
      <c r="EB693" s="56"/>
      <c r="EC693" s="56"/>
      <c r="ED693" s="56"/>
      <c r="EE693" s="56"/>
      <c r="EF693" s="56"/>
      <c r="EG693" s="56"/>
      <c r="EH693" s="56"/>
      <c r="EI693" s="56"/>
      <c r="EJ693" s="56"/>
      <c r="EK693" s="56"/>
      <c r="EL693" s="56"/>
      <c r="EM693" s="56"/>
      <c r="EN693" s="56"/>
      <c r="EO693" s="56"/>
      <c r="EP693" s="56"/>
      <c r="EQ693" s="56"/>
      <c r="ER693" s="56"/>
      <c r="ES693" s="56"/>
      <c r="ET693" s="56"/>
      <c r="EU693" s="56"/>
      <c r="EV693" s="56"/>
      <c r="EW693" s="56"/>
      <c r="EX693" s="56"/>
      <c r="EY693" s="56"/>
      <c r="EZ693" s="56"/>
      <c r="FA693" s="56"/>
      <c r="FB693" s="56"/>
      <c r="FC693" s="56"/>
      <c r="FD693" s="56"/>
      <c r="FE693" s="56"/>
      <c r="FF693" s="56"/>
      <c r="FG693" s="56"/>
      <c r="FH693" s="56"/>
      <c r="FI693" s="56"/>
      <c r="FJ693" s="56"/>
      <c r="FK693" s="56"/>
      <c r="FL693" s="56"/>
      <c r="FM693" s="56"/>
      <c r="FN693" s="56"/>
      <c r="FO693" s="56"/>
      <c r="FP693" s="56"/>
      <c r="FQ693" s="56"/>
      <c r="FR693" s="56"/>
      <c r="FS693" s="56"/>
      <c r="FT693" s="56"/>
      <c r="FU693" s="56"/>
      <c r="FV693" s="56"/>
      <c r="FW693" s="56"/>
      <c r="FX693" s="56"/>
      <c r="FY693" s="56"/>
      <c r="FZ693" s="56"/>
      <c r="GA693" s="56"/>
      <c r="GB693" s="56"/>
      <c r="GC693" s="56"/>
      <c r="GD693" s="56"/>
      <c r="GE693" s="56"/>
      <c r="GF693" s="56"/>
      <c r="GG693" s="56"/>
      <c r="GH693" s="56"/>
      <c r="GI693" s="56"/>
      <c r="GJ693" s="56"/>
      <c r="GK693" s="56"/>
      <c r="GL693" s="56"/>
      <c r="GM693" s="56"/>
      <c r="GN693" s="56"/>
      <c r="GO693" s="56"/>
      <c r="GP693" s="56"/>
      <c r="GQ693" s="56"/>
      <c r="GR693" s="56"/>
      <c r="GS693" s="56"/>
      <c r="GT693" s="56"/>
      <c r="GU693" s="56"/>
      <c r="GV693" s="56"/>
      <c r="GW693" s="56"/>
      <c r="GX693" s="56"/>
      <c r="GY693" s="56"/>
      <c r="GZ693" s="56"/>
      <c r="HA693" s="56"/>
      <c r="HB693" s="56"/>
      <c r="HC693" s="56"/>
      <c r="HD693" s="56"/>
      <c r="HE693" s="56"/>
      <c r="HF693" s="56"/>
      <c r="HG693" s="56"/>
      <c r="HH693" s="56"/>
      <c r="HI693" s="56"/>
      <c r="HJ693" s="56"/>
    </row>
    <row r="694" spans="1:218" ht="15.75" customHeight="1" x14ac:dyDescent="0.2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  <c r="BV694" s="56"/>
      <c r="BW694" s="56"/>
      <c r="BX694" s="56"/>
      <c r="BY694" s="56"/>
      <c r="BZ694" s="56"/>
      <c r="CA694" s="56"/>
      <c r="CB694" s="56"/>
      <c r="CC694" s="56"/>
      <c r="CD694" s="56"/>
      <c r="CE694" s="56"/>
      <c r="CF694" s="56"/>
      <c r="CG694" s="56"/>
      <c r="CH694" s="56"/>
      <c r="CI694" s="56"/>
      <c r="CJ694" s="56"/>
      <c r="CK694" s="56"/>
      <c r="CL694" s="56"/>
      <c r="CM694" s="56"/>
      <c r="CN694" s="56"/>
      <c r="CO694" s="56"/>
      <c r="CP694" s="56"/>
      <c r="CQ694" s="56"/>
      <c r="CR694" s="56"/>
      <c r="CS694" s="56"/>
      <c r="CT694" s="56"/>
      <c r="CU694" s="56"/>
      <c r="CV694" s="56"/>
      <c r="CW694" s="56"/>
      <c r="CX694" s="56"/>
      <c r="CY694" s="56"/>
      <c r="CZ694" s="56"/>
      <c r="DA694" s="56"/>
      <c r="DB694" s="56"/>
      <c r="DC694" s="56"/>
      <c r="DD694" s="56"/>
      <c r="DE694" s="56"/>
      <c r="DF694" s="56"/>
      <c r="DG694" s="56"/>
      <c r="DH694" s="56"/>
      <c r="DI694" s="56"/>
      <c r="DJ694" s="56"/>
      <c r="DK694" s="56"/>
      <c r="DL694" s="56"/>
      <c r="DM694" s="56"/>
      <c r="DN694" s="56"/>
      <c r="DO694" s="56"/>
      <c r="DP694" s="56"/>
      <c r="DQ694" s="56"/>
      <c r="DR694" s="56"/>
      <c r="DS694" s="56"/>
      <c r="DT694" s="56"/>
      <c r="DU694" s="56"/>
      <c r="DV694" s="56"/>
      <c r="DW694" s="56"/>
      <c r="DX694" s="56"/>
      <c r="DY694" s="56"/>
      <c r="DZ694" s="56"/>
      <c r="EA694" s="56"/>
      <c r="EB694" s="56"/>
      <c r="EC694" s="56"/>
      <c r="ED694" s="56"/>
      <c r="EE694" s="56"/>
      <c r="EF694" s="56"/>
      <c r="EG694" s="56"/>
      <c r="EH694" s="56"/>
      <c r="EI694" s="56"/>
      <c r="EJ694" s="56"/>
      <c r="EK694" s="56"/>
      <c r="EL694" s="56"/>
      <c r="EM694" s="56"/>
      <c r="EN694" s="56"/>
      <c r="EO694" s="56"/>
      <c r="EP694" s="56"/>
      <c r="EQ694" s="56"/>
      <c r="ER694" s="56"/>
      <c r="ES694" s="56"/>
      <c r="ET694" s="56"/>
      <c r="EU694" s="56"/>
      <c r="EV694" s="56"/>
      <c r="EW694" s="56"/>
      <c r="EX694" s="56"/>
      <c r="EY694" s="56"/>
      <c r="EZ694" s="56"/>
      <c r="FA694" s="56"/>
      <c r="FB694" s="56"/>
      <c r="FC694" s="56"/>
      <c r="FD694" s="56"/>
      <c r="FE694" s="56"/>
      <c r="FF694" s="56"/>
      <c r="FG694" s="56"/>
      <c r="FH694" s="56"/>
      <c r="FI694" s="56"/>
      <c r="FJ694" s="56"/>
      <c r="FK694" s="56"/>
      <c r="FL694" s="56"/>
      <c r="FM694" s="56"/>
      <c r="FN694" s="56"/>
      <c r="FO694" s="56"/>
      <c r="FP694" s="56"/>
      <c r="FQ694" s="56"/>
      <c r="FR694" s="56"/>
      <c r="FS694" s="56"/>
      <c r="FT694" s="56"/>
      <c r="FU694" s="56"/>
      <c r="FV694" s="56"/>
      <c r="FW694" s="56"/>
      <c r="FX694" s="56"/>
      <c r="FY694" s="56"/>
      <c r="FZ694" s="56"/>
      <c r="GA694" s="56"/>
      <c r="GB694" s="56"/>
      <c r="GC694" s="56"/>
      <c r="GD694" s="56"/>
      <c r="GE694" s="56"/>
      <c r="GF694" s="56"/>
      <c r="GG694" s="56"/>
      <c r="GH694" s="56"/>
      <c r="GI694" s="56"/>
      <c r="GJ694" s="56"/>
      <c r="GK694" s="56"/>
      <c r="GL694" s="56"/>
      <c r="GM694" s="56"/>
      <c r="GN694" s="56"/>
      <c r="GO694" s="56"/>
      <c r="GP694" s="56"/>
      <c r="GQ694" s="56"/>
      <c r="GR694" s="56"/>
      <c r="GS694" s="56"/>
      <c r="GT694" s="56"/>
      <c r="GU694" s="56"/>
      <c r="GV694" s="56"/>
      <c r="GW694" s="56"/>
      <c r="GX694" s="56"/>
      <c r="GY694" s="56"/>
      <c r="GZ694" s="56"/>
      <c r="HA694" s="56"/>
      <c r="HB694" s="56"/>
      <c r="HC694" s="56"/>
      <c r="HD694" s="56"/>
      <c r="HE694" s="56"/>
      <c r="HF694" s="56"/>
      <c r="HG694" s="56"/>
      <c r="HH694" s="56"/>
      <c r="HI694" s="56"/>
      <c r="HJ694" s="56"/>
    </row>
    <row r="695" spans="1:218" ht="15.75" customHeight="1" x14ac:dyDescent="0.2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  <c r="CL695" s="56"/>
      <c r="CM695" s="56"/>
      <c r="CN695" s="56"/>
      <c r="CO695" s="56"/>
      <c r="CP695" s="56"/>
      <c r="CQ695" s="56"/>
      <c r="CR695" s="56"/>
      <c r="CS695" s="56"/>
      <c r="CT695" s="56"/>
      <c r="CU695" s="56"/>
      <c r="CV695" s="56"/>
      <c r="CW695" s="56"/>
      <c r="CX695" s="56"/>
      <c r="CY695" s="56"/>
      <c r="CZ695" s="56"/>
      <c r="DA695" s="56"/>
      <c r="DB695" s="56"/>
      <c r="DC695" s="56"/>
      <c r="DD695" s="56"/>
      <c r="DE695" s="56"/>
      <c r="DF695" s="56"/>
      <c r="DG695" s="56"/>
      <c r="DH695" s="56"/>
      <c r="DI695" s="56"/>
      <c r="DJ695" s="56"/>
      <c r="DK695" s="56"/>
      <c r="DL695" s="56"/>
      <c r="DM695" s="56"/>
      <c r="DN695" s="56"/>
      <c r="DO695" s="56"/>
      <c r="DP695" s="56"/>
      <c r="DQ695" s="56"/>
      <c r="DR695" s="56"/>
      <c r="DS695" s="56"/>
      <c r="DT695" s="56"/>
      <c r="DU695" s="56"/>
      <c r="DV695" s="56"/>
      <c r="DW695" s="56"/>
      <c r="DX695" s="56"/>
      <c r="DY695" s="56"/>
      <c r="DZ695" s="56"/>
      <c r="EA695" s="56"/>
      <c r="EB695" s="56"/>
      <c r="EC695" s="56"/>
      <c r="ED695" s="56"/>
      <c r="EE695" s="56"/>
      <c r="EF695" s="56"/>
      <c r="EG695" s="56"/>
      <c r="EH695" s="56"/>
      <c r="EI695" s="56"/>
      <c r="EJ695" s="56"/>
      <c r="EK695" s="56"/>
      <c r="EL695" s="56"/>
      <c r="EM695" s="56"/>
      <c r="EN695" s="56"/>
      <c r="EO695" s="56"/>
      <c r="EP695" s="56"/>
      <c r="EQ695" s="56"/>
      <c r="ER695" s="56"/>
      <c r="ES695" s="56"/>
      <c r="ET695" s="56"/>
      <c r="EU695" s="56"/>
      <c r="EV695" s="56"/>
      <c r="EW695" s="56"/>
      <c r="EX695" s="56"/>
      <c r="EY695" s="56"/>
      <c r="EZ695" s="56"/>
      <c r="FA695" s="56"/>
      <c r="FB695" s="56"/>
      <c r="FC695" s="56"/>
      <c r="FD695" s="56"/>
      <c r="FE695" s="56"/>
      <c r="FF695" s="56"/>
      <c r="FG695" s="56"/>
      <c r="FH695" s="56"/>
      <c r="FI695" s="56"/>
      <c r="FJ695" s="56"/>
      <c r="FK695" s="56"/>
      <c r="FL695" s="56"/>
      <c r="FM695" s="56"/>
      <c r="FN695" s="56"/>
      <c r="FO695" s="56"/>
      <c r="FP695" s="56"/>
      <c r="FQ695" s="56"/>
      <c r="FR695" s="56"/>
      <c r="FS695" s="56"/>
      <c r="FT695" s="56"/>
      <c r="FU695" s="56"/>
      <c r="FV695" s="56"/>
      <c r="FW695" s="56"/>
      <c r="FX695" s="56"/>
      <c r="FY695" s="56"/>
      <c r="FZ695" s="56"/>
      <c r="GA695" s="56"/>
      <c r="GB695" s="56"/>
      <c r="GC695" s="56"/>
      <c r="GD695" s="56"/>
      <c r="GE695" s="56"/>
      <c r="GF695" s="56"/>
      <c r="GG695" s="56"/>
      <c r="GH695" s="56"/>
      <c r="GI695" s="56"/>
      <c r="GJ695" s="56"/>
      <c r="GK695" s="56"/>
      <c r="GL695" s="56"/>
      <c r="GM695" s="56"/>
      <c r="GN695" s="56"/>
      <c r="GO695" s="56"/>
      <c r="GP695" s="56"/>
      <c r="GQ695" s="56"/>
      <c r="GR695" s="56"/>
      <c r="GS695" s="56"/>
      <c r="GT695" s="56"/>
      <c r="GU695" s="56"/>
      <c r="GV695" s="56"/>
      <c r="GW695" s="56"/>
      <c r="GX695" s="56"/>
      <c r="GY695" s="56"/>
      <c r="GZ695" s="56"/>
      <c r="HA695" s="56"/>
      <c r="HB695" s="56"/>
      <c r="HC695" s="56"/>
      <c r="HD695" s="56"/>
      <c r="HE695" s="56"/>
      <c r="HF695" s="56"/>
      <c r="HG695" s="56"/>
      <c r="HH695" s="56"/>
      <c r="HI695" s="56"/>
      <c r="HJ695" s="56"/>
    </row>
    <row r="696" spans="1:218" ht="15.75" customHeight="1" x14ac:dyDescent="0.2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  <c r="BV696" s="56"/>
      <c r="BW696" s="56"/>
      <c r="BX696" s="56"/>
      <c r="BY696" s="56"/>
      <c r="BZ696" s="56"/>
      <c r="CA696" s="56"/>
      <c r="CB696" s="56"/>
      <c r="CC696" s="56"/>
      <c r="CD696" s="56"/>
      <c r="CE696" s="56"/>
      <c r="CF696" s="56"/>
      <c r="CG696" s="56"/>
      <c r="CH696" s="56"/>
      <c r="CI696" s="56"/>
      <c r="CJ696" s="56"/>
      <c r="CK696" s="56"/>
      <c r="CL696" s="56"/>
      <c r="CM696" s="56"/>
      <c r="CN696" s="56"/>
      <c r="CO696" s="56"/>
      <c r="CP696" s="56"/>
      <c r="CQ696" s="56"/>
      <c r="CR696" s="56"/>
      <c r="CS696" s="56"/>
      <c r="CT696" s="56"/>
      <c r="CU696" s="56"/>
      <c r="CV696" s="56"/>
      <c r="CW696" s="56"/>
      <c r="CX696" s="56"/>
      <c r="CY696" s="56"/>
      <c r="CZ696" s="56"/>
      <c r="DA696" s="56"/>
      <c r="DB696" s="56"/>
      <c r="DC696" s="56"/>
      <c r="DD696" s="56"/>
      <c r="DE696" s="56"/>
      <c r="DF696" s="56"/>
      <c r="DG696" s="56"/>
      <c r="DH696" s="56"/>
      <c r="DI696" s="56"/>
      <c r="DJ696" s="56"/>
      <c r="DK696" s="56"/>
      <c r="DL696" s="56"/>
      <c r="DM696" s="56"/>
      <c r="DN696" s="56"/>
      <c r="DO696" s="56"/>
      <c r="DP696" s="56"/>
      <c r="DQ696" s="56"/>
      <c r="DR696" s="56"/>
      <c r="DS696" s="56"/>
      <c r="DT696" s="56"/>
      <c r="DU696" s="56"/>
      <c r="DV696" s="56"/>
      <c r="DW696" s="56"/>
      <c r="DX696" s="56"/>
      <c r="DY696" s="56"/>
      <c r="DZ696" s="56"/>
      <c r="EA696" s="56"/>
      <c r="EB696" s="56"/>
      <c r="EC696" s="56"/>
      <c r="ED696" s="56"/>
      <c r="EE696" s="56"/>
      <c r="EF696" s="56"/>
      <c r="EG696" s="56"/>
      <c r="EH696" s="56"/>
      <c r="EI696" s="56"/>
      <c r="EJ696" s="56"/>
      <c r="EK696" s="56"/>
      <c r="EL696" s="56"/>
      <c r="EM696" s="56"/>
      <c r="EN696" s="56"/>
      <c r="EO696" s="56"/>
      <c r="EP696" s="56"/>
      <c r="EQ696" s="56"/>
      <c r="ER696" s="56"/>
      <c r="ES696" s="56"/>
      <c r="ET696" s="56"/>
      <c r="EU696" s="56"/>
      <c r="EV696" s="56"/>
      <c r="EW696" s="56"/>
      <c r="EX696" s="56"/>
      <c r="EY696" s="56"/>
      <c r="EZ696" s="56"/>
      <c r="FA696" s="56"/>
      <c r="FB696" s="56"/>
      <c r="FC696" s="56"/>
      <c r="FD696" s="56"/>
      <c r="FE696" s="56"/>
      <c r="FF696" s="56"/>
      <c r="FG696" s="56"/>
      <c r="FH696" s="56"/>
      <c r="FI696" s="56"/>
      <c r="FJ696" s="56"/>
      <c r="FK696" s="56"/>
      <c r="FL696" s="56"/>
      <c r="FM696" s="56"/>
      <c r="FN696" s="56"/>
      <c r="FO696" s="56"/>
      <c r="FP696" s="56"/>
      <c r="FQ696" s="56"/>
      <c r="FR696" s="56"/>
      <c r="FS696" s="56"/>
      <c r="FT696" s="56"/>
      <c r="FU696" s="56"/>
      <c r="FV696" s="56"/>
      <c r="FW696" s="56"/>
      <c r="FX696" s="56"/>
      <c r="FY696" s="56"/>
      <c r="FZ696" s="56"/>
      <c r="GA696" s="56"/>
      <c r="GB696" s="56"/>
      <c r="GC696" s="56"/>
      <c r="GD696" s="56"/>
      <c r="GE696" s="56"/>
      <c r="GF696" s="56"/>
      <c r="GG696" s="56"/>
      <c r="GH696" s="56"/>
      <c r="GI696" s="56"/>
      <c r="GJ696" s="56"/>
      <c r="GK696" s="56"/>
      <c r="GL696" s="56"/>
      <c r="GM696" s="56"/>
      <c r="GN696" s="56"/>
      <c r="GO696" s="56"/>
      <c r="GP696" s="56"/>
      <c r="GQ696" s="56"/>
      <c r="GR696" s="56"/>
      <c r="GS696" s="56"/>
      <c r="GT696" s="56"/>
      <c r="GU696" s="56"/>
      <c r="GV696" s="56"/>
      <c r="GW696" s="56"/>
      <c r="GX696" s="56"/>
      <c r="GY696" s="56"/>
      <c r="GZ696" s="56"/>
      <c r="HA696" s="56"/>
      <c r="HB696" s="56"/>
      <c r="HC696" s="56"/>
      <c r="HD696" s="56"/>
      <c r="HE696" s="56"/>
      <c r="HF696" s="56"/>
      <c r="HG696" s="56"/>
      <c r="HH696" s="56"/>
      <c r="HI696" s="56"/>
      <c r="HJ696" s="56"/>
    </row>
    <row r="697" spans="1:218" ht="15.75" customHeight="1" x14ac:dyDescent="0.2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  <c r="CL697" s="56"/>
      <c r="CM697" s="56"/>
      <c r="CN697" s="56"/>
      <c r="CO697" s="56"/>
      <c r="CP697" s="56"/>
      <c r="CQ697" s="56"/>
      <c r="CR697" s="56"/>
      <c r="CS697" s="56"/>
      <c r="CT697" s="56"/>
      <c r="CU697" s="56"/>
      <c r="CV697" s="56"/>
      <c r="CW697" s="56"/>
      <c r="CX697" s="56"/>
      <c r="CY697" s="56"/>
      <c r="CZ697" s="56"/>
      <c r="DA697" s="56"/>
      <c r="DB697" s="56"/>
      <c r="DC697" s="56"/>
      <c r="DD697" s="56"/>
      <c r="DE697" s="56"/>
      <c r="DF697" s="56"/>
      <c r="DG697" s="56"/>
      <c r="DH697" s="56"/>
      <c r="DI697" s="56"/>
      <c r="DJ697" s="56"/>
      <c r="DK697" s="56"/>
      <c r="DL697" s="56"/>
      <c r="DM697" s="56"/>
      <c r="DN697" s="56"/>
      <c r="DO697" s="56"/>
      <c r="DP697" s="56"/>
      <c r="DQ697" s="56"/>
      <c r="DR697" s="56"/>
      <c r="DS697" s="56"/>
      <c r="DT697" s="56"/>
      <c r="DU697" s="56"/>
      <c r="DV697" s="56"/>
      <c r="DW697" s="56"/>
      <c r="DX697" s="56"/>
      <c r="DY697" s="56"/>
      <c r="DZ697" s="56"/>
      <c r="EA697" s="56"/>
      <c r="EB697" s="56"/>
      <c r="EC697" s="56"/>
      <c r="ED697" s="56"/>
      <c r="EE697" s="56"/>
      <c r="EF697" s="56"/>
      <c r="EG697" s="56"/>
      <c r="EH697" s="56"/>
      <c r="EI697" s="56"/>
      <c r="EJ697" s="56"/>
      <c r="EK697" s="56"/>
      <c r="EL697" s="56"/>
      <c r="EM697" s="56"/>
      <c r="EN697" s="56"/>
      <c r="EO697" s="56"/>
      <c r="EP697" s="56"/>
      <c r="EQ697" s="56"/>
      <c r="ER697" s="56"/>
      <c r="ES697" s="56"/>
      <c r="ET697" s="56"/>
      <c r="EU697" s="56"/>
      <c r="EV697" s="56"/>
      <c r="EW697" s="56"/>
      <c r="EX697" s="56"/>
      <c r="EY697" s="56"/>
      <c r="EZ697" s="56"/>
      <c r="FA697" s="56"/>
      <c r="FB697" s="56"/>
      <c r="FC697" s="56"/>
      <c r="FD697" s="56"/>
      <c r="FE697" s="56"/>
      <c r="FF697" s="56"/>
      <c r="FG697" s="56"/>
      <c r="FH697" s="56"/>
      <c r="FI697" s="56"/>
      <c r="FJ697" s="56"/>
      <c r="FK697" s="56"/>
      <c r="FL697" s="56"/>
      <c r="FM697" s="56"/>
      <c r="FN697" s="56"/>
      <c r="FO697" s="56"/>
      <c r="FP697" s="56"/>
      <c r="FQ697" s="56"/>
      <c r="FR697" s="56"/>
      <c r="FS697" s="56"/>
      <c r="FT697" s="56"/>
      <c r="FU697" s="56"/>
      <c r="FV697" s="56"/>
      <c r="FW697" s="56"/>
      <c r="FX697" s="56"/>
      <c r="FY697" s="56"/>
      <c r="FZ697" s="56"/>
      <c r="GA697" s="56"/>
      <c r="GB697" s="56"/>
      <c r="GC697" s="56"/>
      <c r="GD697" s="56"/>
      <c r="GE697" s="56"/>
      <c r="GF697" s="56"/>
      <c r="GG697" s="56"/>
      <c r="GH697" s="56"/>
      <c r="GI697" s="56"/>
      <c r="GJ697" s="56"/>
      <c r="GK697" s="56"/>
      <c r="GL697" s="56"/>
      <c r="GM697" s="56"/>
      <c r="GN697" s="56"/>
      <c r="GO697" s="56"/>
      <c r="GP697" s="56"/>
      <c r="GQ697" s="56"/>
      <c r="GR697" s="56"/>
      <c r="GS697" s="56"/>
      <c r="GT697" s="56"/>
      <c r="GU697" s="56"/>
      <c r="GV697" s="56"/>
      <c r="GW697" s="56"/>
      <c r="GX697" s="56"/>
      <c r="GY697" s="56"/>
      <c r="GZ697" s="56"/>
      <c r="HA697" s="56"/>
      <c r="HB697" s="56"/>
      <c r="HC697" s="56"/>
      <c r="HD697" s="56"/>
      <c r="HE697" s="56"/>
      <c r="HF697" s="56"/>
      <c r="HG697" s="56"/>
      <c r="HH697" s="56"/>
      <c r="HI697" s="56"/>
      <c r="HJ697" s="56"/>
    </row>
    <row r="698" spans="1:218" ht="15.75" customHeight="1" x14ac:dyDescent="0.2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  <c r="BV698" s="56"/>
      <c r="BW698" s="56"/>
      <c r="BX698" s="56"/>
      <c r="BY698" s="56"/>
      <c r="BZ698" s="56"/>
      <c r="CA698" s="56"/>
      <c r="CB698" s="56"/>
      <c r="CC698" s="56"/>
      <c r="CD698" s="56"/>
      <c r="CE698" s="56"/>
      <c r="CF698" s="56"/>
      <c r="CG698" s="56"/>
      <c r="CH698" s="56"/>
      <c r="CI698" s="56"/>
      <c r="CJ698" s="56"/>
      <c r="CK698" s="56"/>
      <c r="CL698" s="56"/>
      <c r="CM698" s="56"/>
      <c r="CN698" s="56"/>
      <c r="CO698" s="56"/>
      <c r="CP698" s="56"/>
      <c r="CQ698" s="56"/>
      <c r="CR698" s="56"/>
      <c r="CS698" s="56"/>
      <c r="CT698" s="56"/>
      <c r="CU698" s="56"/>
      <c r="CV698" s="56"/>
      <c r="CW698" s="56"/>
      <c r="CX698" s="56"/>
      <c r="CY698" s="56"/>
      <c r="CZ698" s="56"/>
      <c r="DA698" s="56"/>
      <c r="DB698" s="56"/>
      <c r="DC698" s="56"/>
      <c r="DD698" s="56"/>
      <c r="DE698" s="56"/>
      <c r="DF698" s="56"/>
      <c r="DG698" s="56"/>
      <c r="DH698" s="56"/>
      <c r="DI698" s="56"/>
      <c r="DJ698" s="56"/>
      <c r="DK698" s="56"/>
      <c r="DL698" s="56"/>
      <c r="DM698" s="56"/>
      <c r="DN698" s="56"/>
      <c r="DO698" s="56"/>
      <c r="DP698" s="56"/>
      <c r="DQ698" s="56"/>
      <c r="DR698" s="56"/>
      <c r="DS698" s="56"/>
      <c r="DT698" s="56"/>
      <c r="DU698" s="56"/>
      <c r="DV698" s="56"/>
      <c r="DW698" s="56"/>
      <c r="DX698" s="56"/>
      <c r="DY698" s="56"/>
      <c r="DZ698" s="56"/>
      <c r="EA698" s="56"/>
      <c r="EB698" s="56"/>
      <c r="EC698" s="56"/>
      <c r="ED698" s="56"/>
      <c r="EE698" s="56"/>
      <c r="EF698" s="56"/>
      <c r="EG698" s="56"/>
      <c r="EH698" s="56"/>
      <c r="EI698" s="56"/>
      <c r="EJ698" s="56"/>
      <c r="EK698" s="56"/>
      <c r="EL698" s="56"/>
      <c r="EM698" s="56"/>
      <c r="EN698" s="56"/>
      <c r="EO698" s="56"/>
      <c r="EP698" s="56"/>
      <c r="EQ698" s="56"/>
      <c r="ER698" s="56"/>
      <c r="ES698" s="56"/>
      <c r="ET698" s="56"/>
      <c r="EU698" s="56"/>
      <c r="EV698" s="56"/>
      <c r="EW698" s="56"/>
      <c r="EX698" s="56"/>
      <c r="EY698" s="56"/>
      <c r="EZ698" s="56"/>
      <c r="FA698" s="56"/>
      <c r="FB698" s="56"/>
      <c r="FC698" s="56"/>
      <c r="FD698" s="56"/>
      <c r="FE698" s="56"/>
      <c r="FF698" s="56"/>
      <c r="FG698" s="56"/>
      <c r="FH698" s="56"/>
      <c r="FI698" s="56"/>
      <c r="FJ698" s="56"/>
      <c r="FK698" s="56"/>
      <c r="FL698" s="56"/>
      <c r="FM698" s="56"/>
      <c r="FN698" s="56"/>
      <c r="FO698" s="56"/>
      <c r="FP698" s="56"/>
      <c r="FQ698" s="56"/>
      <c r="FR698" s="56"/>
      <c r="FS698" s="56"/>
      <c r="FT698" s="56"/>
      <c r="FU698" s="56"/>
      <c r="FV698" s="56"/>
      <c r="FW698" s="56"/>
      <c r="FX698" s="56"/>
      <c r="FY698" s="56"/>
      <c r="FZ698" s="56"/>
      <c r="GA698" s="56"/>
      <c r="GB698" s="56"/>
      <c r="GC698" s="56"/>
      <c r="GD698" s="56"/>
      <c r="GE698" s="56"/>
      <c r="GF698" s="56"/>
      <c r="GG698" s="56"/>
      <c r="GH698" s="56"/>
      <c r="GI698" s="56"/>
      <c r="GJ698" s="56"/>
      <c r="GK698" s="56"/>
      <c r="GL698" s="56"/>
      <c r="GM698" s="56"/>
      <c r="GN698" s="56"/>
      <c r="GO698" s="56"/>
      <c r="GP698" s="56"/>
      <c r="GQ698" s="56"/>
      <c r="GR698" s="56"/>
      <c r="GS698" s="56"/>
      <c r="GT698" s="56"/>
      <c r="GU698" s="56"/>
      <c r="GV698" s="56"/>
      <c r="GW698" s="56"/>
      <c r="GX698" s="56"/>
      <c r="GY698" s="56"/>
      <c r="GZ698" s="56"/>
      <c r="HA698" s="56"/>
      <c r="HB698" s="56"/>
      <c r="HC698" s="56"/>
      <c r="HD698" s="56"/>
      <c r="HE698" s="56"/>
      <c r="HF698" s="56"/>
      <c r="HG698" s="56"/>
      <c r="HH698" s="56"/>
      <c r="HI698" s="56"/>
      <c r="HJ698" s="56"/>
    </row>
    <row r="699" spans="1:218" ht="15.75" customHeight="1" x14ac:dyDescent="0.2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  <c r="CL699" s="56"/>
      <c r="CM699" s="56"/>
      <c r="CN699" s="56"/>
      <c r="CO699" s="56"/>
      <c r="CP699" s="56"/>
      <c r="CQ699" s="56"/>
      <c r="CR699" s="56"/>
      <c r="CS699" s="56"/>
      <c r="CT699" s="56"/>
      <c r="CU699" s="56"/>
      <c r="CV699" s="56"/>
      <c r="CW699" s="56"/>
      <c r="CX699" s="56"/>
      <c r="CY699" s="56"/>
      <c r="CZ699" s="56"/>
      <c r="DA699" s="56"/>
      <c r="DB699" s="56"/>
      <c r="DC699" s="56"/>
      <c r="DD699" s="56"/>
      <c r="DE699" s="56"/>
      <c r="DF699" s="56"/>
      <c r="DG699" s="56"/>
      <c r="DH699" s="56"/>
      <c r="DI699" s="56"/>
      <c r="DJ699" s="56"/>
      <c r="DK699" s="56"/>
      <c r="DL699" s="56"/>
      <c r="DM699" s="56"/>
      <c r="DN699" s="56"/>
      <c r="DO699" s="56"/>
      <c r="DP699" s="56"/>
      <c r="DQ699" s="56"/>
      <c r="DR699" s="56"/>
      <c r="DS699" s="56"/>
      <c r="DT699" s="56"/>
      <c r="DU699" s="56"/>
      <c r="DV699" s="56"/>
      <c r="DW699" s="56"/>
      <c r="DX699" s="56"/>
      <c r="DY699" s="56"/>
      <c r="DZ699" s="56"/>
      <c r="EA699" s="56"/>
      <c r="EB699" s="56"/>
      <c r="EC699" s="56"/>
      <c r="ED699" s="56"/>
      <c r="EE699" s="56"/>
      <c r="EF699" s="56"/>
      <c r="EG699" s="56"/>
      <c r="EH699" s="56"/>
      <c r="EI699" s="56"/>
      <c r="EJ699" s="56"/>
      <c r="EK699" s="56"/>
      <c r="EL699" s="56"/>
      <c r="EM699" s="56"/>
      <c r="EN699" s="56"/>
      <c r="EO699" s="56"/>
      <c r="EP699" s="56"/>
      <c r="EQ699" s="56"/>
      <c r="ER699" s="56"/>
      <c r="ES699" s="56"/>
      <c r="ET699" s="56"/>
      <c r="EU699" s="56"/>
      <c r="EV699" s="56"/>
      <c r="EW699" s="56"/>
      <c r="EX699" s="56"/>
      <c r="EY699" s="56"/>
      <c r="EZ699" s="56"/>
      <c r="FA699" s="56"/>
      <c r="FB699" s="56"/>
      <c r="FC699" s="56"/>
      <c r="FD699" s="56"/>
      <c r="FE699" s="56"/>
      <c r="FF699" s="56"/>
      <c r="FG699" s="56"/>
      <c r="FH699" s="56"/>
      <c r="FI699" s="56"/>
      <c r="FJ699" s="56"/>
      <c r="FK699" s="56"/>
      <c r="FL699" s="56"/>
      <c r="FM699" s="56"/>
      <c r="FN699" s="56"/>
      <c r="FO699" s="56"/>
      <c r="FP699" s="56"/>
      <c r="FQ699" s="56"/>
      <c r="FR699" s="56"/>
      <c r="FS699" s="56"/>
      <c r="FT699" s="56"/>
      <c r="FU699" s="56"/>
      <c r="FV699" s="56"/>
      <c r="FW699" s="56"/>
      <c r="FX699" s="56"/>
      <c r="FY699" s="56"/>
      <c r="FZ699" s="56"/>
      <c r="GA699" s="56"/>
      <c r="GB699" s="56"/>
      <c r="GC699" s="56"/>
      <c r="GD699" s="56"/>
      <c r="GE699" s="56"/>
      <c r="GF699" s="56"/>
      <c r="GG699" s="56"/>
      <c r="GH699" s="56"/>
      <c r="GI699" s="56"/>
      <c r="GJ699" s="56"/>
      <c r="GK699" s="56"/>
      <c r="GL699" s="56"/>
      <c r="GM699" s="56"/>
      <c r="GN699" s="56"/>
      <c r="GO699" s="56"/>
      <c r="GP699" s="56"/>
      <c r="GQ699" s="56"/>
      <c r="GR699" s="56"/>
      <c r="GS699" s="56"/>
      <c r="GT699" s="56"/>
      <c r="GU699" s="56"/>
      <c r="GV699" s="56"/>
      <c r="GW699" s="56"/>
      <c r="GX699" s="56"/>
      <c r="GY699" s="56"/>
      <c r="GZ699" s="56"/>
      <c r="HA699" s="56"/>
      <c r="HB699" s="56"/>
      <c r="HC699" s="56"/>
      <c r="HD699" s="56"/>
      <c r="HE699" s="56"/>
      <c r="HF699" s="56"/>
      <c r="HG699" s="56"/>
      <c r="HH699" s="56"/>
      <c r="HI699" s="56"/>
      <c r="HJ699" s="56"/>
    </row>
    <row r="700" spans="1:218" ht="15.75" customHeight="1" x14ac:dyDescent="0.2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  <c r="CL700" s="56"/>
      <c r="CM700" s="56"/>
      <c r="CN700" s="56"/>
      <c r="CO700" s="56"/>
      <c r="CP700" s="56"/>
      <c r="CQ700" s="56"/>
      <c r="CR700" s="56"/>
      <c r="CS700" s="56"/>
      <c r="CT700" s="56"/>
      <c r="CU700" s="56"/>
      <c r="CV700" s="56"/>
      <c r="CW700" s="56"/>
      <c r="CX700" s="56"/>
      <c r="CY700" s="56"/>
      <c r="CZ700" s="56"/>
      <c r="DA700" s="56"/>
      <c r="DB700" s="56"/>
      <c r="DC700" s="56"/>
      <c r="DD700" s="56"/>
      <c r="DE700" s="56"/>
      <c r="DF700" s="56"/>
      <c r="DG700" s="56"/>
      <c r="DH700" s="56"/>
      <c r="DI700" s="56"/>
      <c r="DJ700" s="56"/>
      <c r="DK700" s="56"/>
      <c r="DL700" s="56"/>
      <c r="DM700" s="56"/>
      <c r="DN700" s="56"/>
      <c r="DO700" s="56"/>
      <c r="DP700" s="56"/>
      <c r="DQ700" s="56"/>
      <c r="DR700" s="56"/>
      <c r="DS700" s="56"/>
      <c r="DT700" s="56"/>
      <c r="DU700" s="56"/>
      <c r="DV700" s="56"/>
      <c r="DW700" s="56"/>
      <c r="DX700" s="56"/>
      <c r="DY700" s="56"/>
      <c r="DZ700" s="56"/>
      <c r="EA700" s="56"/>
      <c r="EB700" s="56"/>
      <c r="EC700" s="56"/>
      <c r="ED700" s="56"/>
      <c r="EE700" s="56"/>
      <c r="EF700" s="56"/>
      <c r="EG700" s="56"/>
      <c r="EH700" s="56"/>
      <c r="EI700" s="56"/>
      <c r="EJ700" s="56"/>
      <c r="EK700" s="56"/>
      <c r="EL700" s="56"/>
      <c r="EM700" s="56"/>
      <c r="EN700" s="56"/>
      <c r="EO700" s="56"/>
      <c r="EP700" s="56"/>
      <c r="EQ700" s="56"/>
      <c r="ER700" s="56"/>
      <c r="ES700" s="56"/>
      <c r="ET700" s="56"/>
      <c r="EU700" s="56"/>
      <c r="EV700" s="56"/>
      <c r="EW700" s="56"/>
      <c r="EX700" s="56"/>
      <c r="EY700" s="56"/>
      <c r="EZ700" s="56"/>
      <c r="FA700" s="56"/>
      <c r="FB700" s="56"/>
      <c r="FC700" s="56"/>
      <c r="FD700" s="56"/>
      <c r="FE700" s="56"/>
      <c r="FF700" s="56"/>
      <c r="FG700" s="56"/>
      <c r="FH700" s="56"/>
      <c r="FI700" s="56"/>
      <c r="FJ700" s="56"/>
      <c r="FK700" s="56"/>
      <c r="FL700" s="56"/>
      <c r="FM700" s="56"/>
      <c r="FN700" s="56"/>
      <c r="FO700" s="56"/>
      <c r="FP700" s="56"/>
      <c r="FQ700" s="56"/>
      <c r="FR700" s="56"/>
      <c r="FS700" s="56"/>
      <c r="FT700" s="56"/>
      <c r="FU700" s="56"/>
      <c r="FV700" s="56"/>
      <c r="FW700" s="56"/>
      <c r="FX700" s="56"/>
      <c r="FY700" s="56"/>
      <c r="FZ700" s="56"/>
      <c r="GA700" s="56"/>
      <c r="GB700" s="56"/>
      <c r="GC700" s="56"/>
      <c r="GD700" s="56"/>
      <c r="GE700" s="56"/>
      <c r="GF700" s="56"/>
      <c r="GG700" s="56"/>
      <c r="GH700" s="56"/>
      <c r="GI700" s="56"/>
      <c r="GJ700" s="56"/>
      <c r="GK700" s="56"/>
      <c r="GL700" s="56"/>
      <c r="GM700" s="56"/>
      <c r="GN700" s="56"/>
      <c r="GO700" s="56"/>
      <c r="GP700" s="56"/>
      <c r="GQ700" s="56"/>
      <c r="GR700" s="56"/>
      <c r="GS700" s="56"/>
      <c r="GT700" s="56"/>
      <c r="GU700" s="56"/>
      <c r="GV700" s="56"/>
      <c r="GW700" s="56"/>
      <c r="GX700" s="56"/>
      <c r="GY700" s="56"/>
      <c r="GZ700" s="56"/>
      <c r="HA700" s="56"/>
      <c r="HB700" s="56"/>
      <c r="HC700" s="56"/>
      <c r="HD700" s="56"/>
      <c r="HE700" s="56"/>
      <c r="HF700" s="56"/>
      <c r="HG700" s="56"/>
      <c r="HH700" s="56"/>
      <c r="HI700" s="56"/>
      <c r="HJ700" s="56"/>
    </row>
    <row r="701" spans="1:218" ht="15.75" customHeight="1" x14ac:dyDescent="0.2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  <c r="BV701" s="56"/>
      <c r="BW701" s="56"/>
      <c r="BX701" s="56"/>
      <c r="BY701" s="56"/>
      <c r="BZ701" s="56"/>
      <c r="CA701" s="56"/>
      <c r="CB701" s="56"/>
      <c r="CC701" s="56"/>
      <c r="CD701" s="56"/>
      <c r="CE701" s="56"/>
      <c r="CF701" s="56"/>
      <c r="CG701" s="56"/>
      <c r="CH701" s="56"/>
      <c r="CI701" s="56"/>
      <c r="CJ701" s="56"/>
      <c r="CK701" s="56"/>
      <c r="CL701" s="56"/>
      <c r="CM701" s="56"/>
      <c r="CN701" s="56"/>
      <c r="CO701" s="56"/>
      <c r="CP701" s="56"/>
      <c r="CQ701" s="56"/>
      <c r="CR701" s="56"/>
      <c r="CS701" s="56"/>
      <c r="CT701" s="56"/>
      <c r="CU701" s="56"/>
      <c r="CV701" s="56"/>
      <c r="CW701" s="56"/>
      <c r="CX701" s="56"/>
      <c r="CY701" s="56"/>
      <c r="CZ701" s="56"/>
      <c r="DA701" s="56"/>
      <c r="DB701" s="56"/>
      <c r="DC701" s="56"/>
      <c r="DD701" s="56"/>
      <c r="DE701" s="56"/>
      <c r="DF701" s="56"/>
      <c r="DG701" s="56"/>
      <c r="DH701" s="56"/>
      <c r="DI701" s="56"/>
      <c r="DJ701" s="56"/>
      <c r="DK701" s="56"/>
      <c r="DL701" s="56"/>
      <c r="DM701" s="56"/>
      <c r="DN701" s="56"/>
      <c r="DO701" s="56"/>
      <c r="DP701" s="56"/>
      <c r="DQ701" s="56"/>
      <c r="DR701" s="56"/>
      <c r="DS701" s="56"/>
      <c r="DT701" s="56"/>
      <c r="DU701" s="56"/>
      <c r="DV701" s="56"/>
      <c r="DW701" s="56"/>
      <c r="DX701" s="56"/>
      <c r="DY701" s="56"/>
      <c r="DZ701" s="56"/>
      <c r="EA701" s="56"/>
      <c r="EB701" s="56"/>
      <c r="EC701" s="56"/>
      <c r="ED701" s="56"/>
      <c r="EE701" s="56"/>
      <c r="EF701" s="56"/>
      <c r="EG701" s="56"/>
      <c r="EH701" s="56"/>
      <c r="EI701" s="56"/>
      <c r="EJ701" s="56"/>
      <c r="EK701" s="56"/>
      <c r="EL701" s="56"/>
      <c r="EM701" s="56"/>
      <c r="EN701" s="56"/>
      <c r="EO701" s="56"/>
      <c r="EP701" s="56"/>
      <c r="EQ701" s="56"/>
      <c r="ER701" s="56"/>
      <c r="ES701" s="56"/>
      <c r="ET701" s="56"/>
      <c r="EU701" s="56"/>
      <c r="EV701" s="56"/>
      <c r="EW701" s="56"/>
      <c r="EX701" s="56"/>
      <c r="EY701" s="56"/>
      <c r="EZ701" s="56"/>
      <c r="FA701" s="56"/>
      <c r="FB701" s="56"/>
      <c r="FC701" s="56"/>
      <c r="FD701" s="56"/>
      <c r="FE701" s="56"/>
      <c r="FF701" s="56"/>
      <c r="FG701" s="56"/>
      <c r="FH701" s="56"/>
      <c r="FI701" s="56"/>
      <c r="FJ701" s="56"/>
      <c r="FK701" s="56"/>
      <c r="FL701" s="56"/>
      <c r="FM701" s="56"/>
      <c r="FN701" s="56"/>
      <c r="FO701" s="56"/>
      <c r="FP701" s="56"/>
      <c r="FQ701" s="56"/>
      <c r="FR701" s="56"/>
      <c r="FS701" s="56"/>
      <c r="FT701" s="56"/>
      <c r="FU701" s="56"/>
      <c r="FV701" s="56"/>
      <c r="FW701" s="56"/>
      <c r="FX701" s="56"/>
      <c r="FY701" s="56"/>
      <c r="FZ701" s="56"/>
      <c r="GA701" s="56"/>
      <c r="GB701" s="56"/>
      <c r="GC701" s="56"/>
      <c r="GD701" s="56"/>
      <c r="GE701" s="56"/>
      <c r="GF701" s="56"/>
      <c r="GG701" s="56"/>
      <c r="GH701" s="56"/>
      <c r="GI701" s="56"/>
      <c r="GJ701" s="56"/>
      <c r="GK701" s="56"/>
      <c r="GL701" s="56"/>
      <c r="GM701" s="56"/>
      <c r="GN701" s="56"/>
      <c r="GO701" s="56"/>
      <c r="GP701" s="56"/>
      <c r="GQ701" s="56"/>
      <c r="GR701" s="56"/>
      <c r="GS701" s="56"/>
      <c r="GT701" s="56"/>
      <c r="GU701" s="56"/>
      <c r="GV701" s="56"/>
      <c r="GW701" s="56"/>
      <c r="GX701" s="56"/>
      <c r="GY701" s="56"/>
      <c r="GZ701" s="56"/>
      <c r="HA701" s="56"/>
      <c r="HB701" s="56"/>
      <c r="HC701" s="56"/>
      <c r="HD701" s="56"/>
      <c r="HE701" s="56"/>
      <c r="HF701" s="56"/>
      <c r="HG701" s="56"/>
      <c r="HH701" s="56"/>
      <c r="HI701" s="56"/>
      <c r="HJ701" s="56"/>
    </row>
    <row r="702" spans="1:218" ht="15.75" customHeight="1" x14ac:dyDescent="0.2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56"/>
      <c r="CH702" s="56"/>
      <c r="CI702" s="56"/>
      <c r="CJ702" s="56"/>
      <c r="CK702" s="56"/>
      <c r="CL702" s="56"/>
      <c r="CM702" s="56"/>
      <c r="CN702" s="56"/>
      <c r="CO702" s="56"/>
      <c r="CP702" s="56"/>
      <c r="CQ702" s="56"/>
      <c r="CR702" s="56"/>
      <c r="CS702" s="56"/>
      <c r="CT702" s="56"/>
      <c r="CU702" s="56"/>
      <c r="CV702" s="56"/>
      <c r="CW702" s="56"/>
      <c r="CX702" s="56"/>
      <c r="CY702" s="56"/>
      <c r="CZ702" s="56"/>
      <c r="DA702" s="56"/>
      <c r="DB702" s="56"/>
      <c r="DC702" s="56"/>
      <c r="DD702" s="56"/>
      <c r="DE702" s="56"/>
      <c r="DF702" s="56"/>
      <c r="DG702" s="56"/>
      <c r="DH702" s="56"/>
      <c r="DI702" s="56"/>
      <c r="DJ702" s="56"/>
      <c r="DK702" s="56"/>
      <c r="DL702" s="56"/>
      <c r="DM702" s="56"/>
      <c r="DN702" s="56"/>
      <c r="DO702" s="56"/>
      <c r="DP702" s="56"/>
      <c r="DQ702" s="56"/>
      <c r="DR702" s="56"/>
      <c r="DS702" s="56"/>
      <c r="DT702" s="56"/>
      <c r="DU702" s="56"/>
      <c r="DV702" s="56"/>
      <c r="DW702" s="56"/>
      <c r="DX702" s="56"/>
      <c r="DY702" s="56"/>
      <c r="DZ702" s="56"/>
      <c r="EA702" s="56"/>
      <c r="EB702" s="56"/>
      <c r="EC702" s="56"/>
      <c r="ED702" s="56"/>
      <c r="EE702" s="56"/>
      <c r="EF702" s="56"/>
      <c r="EG702" s="56"/>
      <c r="EH702" s="56"/>
      <c r="EI702" s="56"/>
      <c r="EJ702" s="56"/>
      <c r="EK702" s="56"/>
      <c r="EL702" s="56"/>
      <c r="EM702" s="56"/>
      <c r="EN702" s="56"/>
      <c r="EO702" s="56"/>
      <c r="EP702" s="56"/>
      <c r="EQ702" s="56"/>
      <c r="ER702" s="56"/>
      <c r="ES702" s="56"/>
      <c r="ET702" s="56"/>
      <c r="EU702" s="56"/>
      <c r="EV702" s="56"/>
      <c r="EW702" s="56"/>
      <c r="EX702" s="56"/>
      <c r="EY702" s="56"/>
      <c r="EZ702" s="56"/>
      <c r="FA702" s="56"/>
      <c r="FB702" s="56"/>
      <c r="FC702" s="56"/>
      <c r="FD702" s="56"/>
      <c r="FE702" s="56"/>
      <c r="FF702" s="56"/>
      <c r="FG702" s="56"/>
      <c r="FH702" s="56"/>
      <c r="FI702" s="56"/>
      <c r="FJ702" s="56"/>
      <c r="FK702" s="56"/>
      <c r="FL702" s="56"/>
      <c r="FM702" s="56"/>
      <c r="FN702" s="56"/>
      <c r="FO702" s="56"/>
      <c r="FP702" s="56"/>
      <c r="FQ702" s="56"/>
      <c r="FR702" s="56"/>
      <c r="FS702" s="56"/>
      <c r="FT702" s="56"/>
      <c r="FU702" s="56"/>
      <c r="FV702" s="56"/>
      <c r="FW702" s="56"/>
      <c r="FX702" s="56"/>
      <c r="FY702" s="56"/>
      <c r="FZ702" s="56"/>
      <c r="GA702" s="56"/>
      <c r="GB702" s="56"/>
      <c r="GC702" s="56"/>
      <c r="GD702" s="56"/>
      <c r="GE702" s="56"/>
      <c r="GF702" s="56"/>
      <c r="GG702" s="56"/>
      <c r="GH702" s="56"/>
      <c r="GI702" s="56"/>
      <c r="GJ702" s="56"/>
      <c r="GK702" s="56"/>
      <c r="GL702" s="56"/>
      <c r="GM702" s="56"/>
      <c r="GN702" s="56"/>
      <c r="GO702" s="56"/>
      <c r="GP702" s="56"/>
      <c r="GQ702" s="56"/>
      <c r="GR702" s="56"/>
      <c r="GS702" s="56"/>
      <c r="GT702" s="56"/>
      <c r="GU702" s="56"/>
      <c r="GV702" s="56"/>
      <c r="GW702" s="56"/>
      <c r="GX702" s="56"/>
      <c r="GY702" s="56"/>
      <c r="GZ702" s="56"/>
      <c r="HA702" s="56"/>
      <c r="HB702" s="56"/>
      <c r="HC702" s="56"/>
      <c r="HD702" s="56"/>
      <c r="HE702" s="56"/>
      <c r="HF702" s="56"/>
      <c r="HG702" s="56"/>
      <c r="HH702" s="56"/>
      <c r="HI702" s="56"/>
      <c r="HJ702" s="56"/>
    </row>
    <row r="703" spans="1:218" ht="15.75" customHeight="1" x14ac:dyDescent="0.2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56"/>
      <c r="CH703" s="56"/>
      <c r="CI703" s="56"/>
      <c r="CJ703" s="56"/>
      <c r="CK703" s="56"/>
      <c r="CL703" s="56"/>
      <c r="CM703" s="56"/>
      <c r="CN703" s="56"/>
      <c r="CO703" s="56"/>
      <c r="CP703" s="56"/>
      <c r="CQ703" s="56"/>
      <c r="CR703" s="56"/>
      <c r="CS703" s="56"/>
      <c r="CT703" s="56"/>
      <c r="CU703" s="56"/>
      <c r="CV703" s="56"/>
      <c r="CW703" s="56"/>
      <c r="CX703" s="56"/>
      <c r="CY703" s="56"/>
      <c r="CZ703" s="56"/>
      <c r="DA703" s="56"/>
      <c r="DB703" s="56"/>
      <c r="DC703" s="56"/>
      <c r="DD703" s="56"/>
      <c r="DE703" s="56"/>
      <c r="DF703" s="56"/>
      <c r="DG703" s="56"/>
      <c r="DH703" s="56"/>
      <c r="DI703" s="56"/>
      <c r="DJ703" s="56"/>
      <c r="DK703" s="56"/>
      <c r="DL703" s="56"/>
      <c r="DM703" s="56"/>
      <c r="DN703" s="56"/>
      <c r="DO703" s="56"/>
      <c r="DP703" s="56"/>
      <c r="DQ703" s="56"/>
      <c r="DR703" s="56"/>
      <c r="DS703" s="56"/>
      <c r="DT703" s="56"/>
      <c r="DU703" s="56"/>
      <c r="DV703" s="56"/>
      <c r="DW703" s="56"/>
      <c r="DX703" s="56"/>
      <c r="DY703" s="56"/>
      <c r="DZ703" s="56"/>
      <c r="EA703" s="56"/>
      <c r="EB703" s="56"/>
      <c r="EC703" s="56"/>
      <c r="ED703" s="56"/>
      <c r="EE703" s="56"/>
      <c r="EF703" s="56"/>
      <c r="EG703" s="56"/>
      <c r="EH703" s="56"/>
      <c r="EI703" s="56"/>
      <c r="EJ703" s="56"/>
      <c r="EK703" s="56"/>
      <c r="EL703" s="56"/>
      <c r="EM703" s="56"/>
      <c r="EN703" s="56"/>
      <c r="EO703" s="56"/>
      <c r="EP703" s="56"/>
      <c r="EQ703" s="56"/>
      <c r="ER703" s="56"/>
      <c r="ES703" s="56"/>
      <c r="ET703" s="56"/>
      <c r="EU703" s="56"/>
      <c r="EV703" s="56"/>
      <c r="EW703" s="56"/>
      <c r="EX703" s="56"/>
      <c r="EY703" s="56"/>
      <c r="EZ703" s="56"/>
      <c r="FA703" s="56"/>
      <c r="FB703" s="56"/>
      <c r="FC703" s="56"/>
      <c r="FD703" s="56"/>
      <c r="FE703" s="56"/>
      <c r="FF703" s="56"/>
      <c r="FG703" s="56"/>
      <c r="FH703" s="56"/>
      <c r="FI703" s="56"/>
      <c r="FJ703" s="56"/>
      <c r="FK703" s="56"/>
      <c r="FL703" s="56"/>
      <c r="FM703" s="56"/>
      <c r="FN703" s="56"/>
      <c r="FO703" s="56"/>
      <c r="FP703" s="56"/>
      <c r="FQ703" s="56"/>
      <c r="FR703" s="56"/>
      <c r="FS703" s="56"/>
      <c r="FT703" s="56"/>
      <c r="FU703" s="56"/>
      <c r="FV703" s="56"/>
      <c r="FW703" s="56"/>
      <c r="FX703" s="56"/>
      <c r="FY703" s="56"/>
      <c r="FZ703" s="56"/>
      <c r="GA703" s="56"/>
      <c r="GB703" s="56"/>
      <c r="GC703" s="56"/>
      <c r="GD703" s="56"/>
      <c r="GE703" s="56"/>
      <c r="GF703" s="56"/>
      <c r="GG703" s="56"/>
      <c r="GH703" s="56"/>
      <c r="GI703" s="56"/>
      <c r="GJ703" s="56"/>
      <c r="GK703" s="56"/>
      <c r="GL703" s="56"/>
      <c r="GM703" s="56"/>
      <c r="GN703" s="56"/>
      <c r="GO703" s="56"/>
      <c r="GP703" s="56"/>
      <c r="GQ703" s="56"/>
      <c r="GR703" s="56"/>
      <c r="GS703" s="56"/>
      <c r="GT703" s="56"/>
      <c r="GU703" s="56"/>
      <c r="GV703" s="56"/>
      <c r="GW703" s="56"/>
      <c r="GX703" s="56"/>
      <c r="GY703" s="56"/>
      <c r="GZ703" s="56"/>
      <c r="HA703" s="56"/>
      <c r="HB703" s="56"/>
      <c r="HC703" s="56"/>
      <c r="HD703" s="56"/>
      <c r="HE703" s="56"/>
      <c r="HF703" s="56"/>
      <c r="HG703" s="56"/>
      <c r="HH703" s="56"/>
      <c r="HI703" s="56"/>
      <c r="HJ703" s="56"/>
    </row>
    <row r="704" spans="1:218" ht="15.75" customHeight="1" x14ac:dyDescent="0.2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  <c r="CL704" s="56"/>
      <c r="CM704" s="56"/>
      <c r="CN704" s="56"/>
      <c r="CO704" s="56"/>
      <c r="CP704" s="56"/>
      <c r="CQ704" s="56"/>
      <c r="CR704" s="56"/>
      <c r="CS704" s="56"/>
      <c r="CT704" s="56"/>
      <c r="CU704" s="56"/>
      <c r="CV704" s="56"/>
      <c r="CW704" s="56"/>
      <c r="CX704" s="56"/>
      <c r="CY704" s="56"/>
      <c r="CZ704" s="56"/>
      <c r="DA704" s="56"/>
      <c r="DB704" s="56"/>
      <c r="DC704" s="56"/>
      <c r="DD704" s="56"/>
      <c r="DE704" s="56"/>
      <c r="DF704" s="56"/>
      <c r="DG704" s="56"/>
      <c r="DH704" s="56"/>
      <c r="DI704" s="56"/>
      <c r="DJ704" s="56"/>
      <c r="DK704" s="56"/>
      <c r="DL704" s="56"/>
      <c r="DM704" s="56"/>
      <c r="DN704" s="56"/>
      <c r="DO704" s="56"/>
      <c r="DP704" s="56"/>
      <c r="DQ704" s="56"/>
      <c r="DR704" s="56"/>
      <c r="DS704" s="56"/>
      <c r="DT704" s="56"/>
      <c r="DU704" s="56"/>
      <c r="DV704" s="56"/>
      <c r="DW704" s="56"/>
      <c r="DX704" s="56"/>
      <c r="DY704" s="56"/>
      <c r="DZ704" s="56"/>
      <c r="EA704" s="56"/>
      <c r="EB704" s="56"/>
      <c r="EC704" s="56"/>
      <c r="ED704" s="56"/>
      <c r="EE704" s="56"/>
      <c r="EF704" s="56"/>
      <c r="EG704" s="56"/>
      <c r="EH704" s="56"/>
      <c r="EI704" s="56"/>
      <c r="EJ704" s="56"/>
      <c r="EK704" s="56"/>
      <c r="EL704" s="56"/>
      <c r="EM704" s="56"/>
      <c r="EN704" s="56"/>
      <c r="EO704" s="56"/>
      <c r="EP704" s="56"/>
      <c r="EQ704" s="56"/>
      <c r="ER704" s="56"/>
      <c r="ES704" s="56"/>
      <c r="ET704" s="56"/>
      <c r="EU704" s="56"/>
      <c r="EV704" s="56"/>
      <c r="EW704" s="56"/>
      <c r="EX704" s="56"/>
      <c r="EY704" s="56"/>
      <c r="EZ704" s="56"/>
      <c r="FA704" s="56"/>
      <c r="FB704" s="56"/>
      <c r="FC704" s="56"/>
      <c r="FD704" s="56"/>
      <c r="FE704" s="56"/>
      <c r="FF704" s="56"/>
      <c r="FG704" s="56"/>
      <c r="FH704" s="56"/>
      <c r="FI704" s="56"/>
      <c r="FJ704" s="56"/>
      <c r="FK704" s="56"/>
      <c r="FL704" s="56"/>
      <c r="FM704" s="56"/>
      <c r="FN704" s="56"/>
      <c r="FO704" s="56"/>
      <c r="FP704" s="56"/>
      <c r="FQ704" s="56"/>
      <c r="FR704" s="56"/>
      <c r="FS704" s="56"/>
      <c r="FT704" s="56"/>
      <c r="FU704" s="56"/>
      <c r="FV704" s="56"/>
      <c r="FW704" s="56"/>
      <c r="FX704" s="56"/>
      <c r="FY704" s="56"/>
      <c r="FZ704" s="56"/>
      <c r="GA704" s="56"/>
      <c r="GB704" s="56"/>
      <c r="GC704" s="56"/>
      <c r="GD704" s="56"/>
      <c r="GE704" s="56"/>
      <c r="GF704" s="56"/>
      <c r="GG704" s="56"/>
      <c r="GH704" s="56"/>
      <c r="GI704" s="56"/>
      <c r="GJ704" s="56"/>
      <c r="GK704" s="56"/>
      <c r="GL704" s="56"/>
      <c r="GM704" s="56"/>
      <c r="GN704" s="56"/>
      <c r="GO704" s="56"/>
      <c r="GP704" s="56"/>
      <c r="GQ704" s="56"/>
      <c r="GR704" s="56"/>
      <c r="GS704" s="56"/>
      <c r="GT704" s="56"/>
      <c r="GU704" s="56"/>
      <c r="GV704" s="56"/>
      <c r="GW704" s="56"/>
      <c r="GX704" s="56"/>
      <c r="GY704" s="56"/>
      <c r="GZ704" s="56"/>
      <c r="HA704" s="56"/>
      <c r="HB704" s="56"/>
      <c r="HC704" s="56"/>
      <c r="HD704" s="56"/>
      <c r="HE704" s="56"/>
      <c r="HF704" s="56"/>
      <c r="HG704" s="56"/>
      <c r="HH704" s="56"/>
      <c r="HI704" s="56"/>
      <c r="HJ704" s="56"/>
    </row>
    <row r="705" spans="1:218" ht="15.75" customHeight="1" x14ac:dyDescent="0.2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  <c r="CL705" s="56"/>
      <c r="CM705" s="56"/>
      <c r="CN705" s="56"/>
      <c r="CO705" s="56"/>
      <c r="CP705" s="56"/>
      <c r="CQ705" s="56"/>
      <c r="CR705" s="56"/>
      <c r="CS705" s="56"/>
      <c r="CT705" s="56"/>
      <c r="CU705" s="56"/>
      <c r="CV705" s="56"/>
      <c r="CW705" s="56"/>
      <c r="CX705" s="56"/>
      <c r="CY705" s="56"/>
      <c r="CZ705" s="56"/>
      <c r="DA705" s="56"/>
      <c r="DB705" s="56"/>
      <c r="DC705" s="56"/>
      <c r="DD705" s="56"/>
      <c r="DE705" s="56"/>
      <c r="DF705" s="56"/>
      <c r="DG705" s="56"/>
      <c r="DH705" s="56"/>
      <c r="DI705" s="56"/>
      <c r="DJ705" s="56"/>
      <c r="DK705" s="56"/>
      <c r="DL705" s="56"/>
      <c r="DM705" s="56"/>
      <c r="DN705" s="56"/>
      <c r="DO705" s="56"/>
      <c r="DP705" s="56"/>
      <c r="DQ705" s="56"/>
      <c r="DR705" s="56"/>
      <c r="DS705" s="56"/>
      <c r="DT705" s="56"/>
      <c r="DU705" s="56"/>
      <c r="DV705" s="56"/>
      <c r="DW705" s="56"/>
      <c r="DX705" s="56"/>
      <c r="DY705" s="56"/>
      <c r="DZ705" s="56"/>
      <c r="EA705" s="56"/>
      <c r="EB705" s="56"/>
      <c r="EC705" s="56"/>
      <c r="ED705" s="56"/>
      <c r="EE705" s="56"/>
      <c r="EF705" s="56"/>
      <c r="EG705" s="56"/>
      <c r="EH705" s="56"/>
      <c r="EI705" s="56"/>
      <c r="EJ705" s="56"/>
      <c r="EK705" s="56"/>
      <c r="EL705" s="56"/>
      <c r="EM705" s="56"/>
      <c r="EN705" s="56"/>
      <c r="EO705" s="56"/>
      <c r="EP705" s="56"/>
      <c r="EQ705" s="56"/>
      <c r="ER705" s="56"/>
      <c r="ES705" s="56"/>
      <c r="ET705" s="56"/>
      <c r="EU705" s="56"/>
      <c r="EV705" s="56"/>
      <c r="EW705" s="56"/>
      <c r="EX705" s="56"/>
      <c r="EY705" s="56"/>
      <c r="EZ705" s="56"/>
      <c r="FA705" s="56"/>
      <c r="FB705" s="56"/>
      <c r="FC705" s="56"/>
      <c r="FD705" s="56"/>
      <c r="FE705" s="56"/>
      <c r="FF705" s="56"/>
      <c r="FG705" s="56"/>
      <c r="FH705" s="56"/>
      <c r="FI705" s="56"/>
      <c r="FJ705" s="56"/>
      <c r="FK705" s="56"/>
      <c r="FL705" s="56"/>
      <c r="FM705" s="56"/>
      <c r="FN705" s="56"/>
      <c r="FO705" s="56"/>
      <c r="FP705" s="56"/>
      <c r="FQ705" s="56"/>
      <c r="FR705" s="56"/>
      <c r="FS705" s="56"/>
      <c r="FT705" s="56"/>
      <c r="FU705" s="56"/>
      <c r="FV705" s="56"/>
      <c r="FW705" s="56"/>
      <c r="FX705" s="56"/>
      <c r="FY705" s="56"/>
      <c r="FZ705" s="56"/>
      <c r="GA705" s="56"/>
      <c r="GB705" s="56"/>
      <c r="GC705" s="56"/>
      <c r="GD705" s="56"/>
      <c r="GE705" s="56"/>
      <c r="GF705" s="56"/>
      <c r="GG705" s="56"/>
      <c r="GH705" s="56"/>
      <c r="GI705" s="56"/>
      <c r="GJ705" s="56"/>
      <c r="GK705" s="56"/>
      <c r="GL705" s="56"/>
      <c r="GM705" s="56"/>
      <c r="GN705" s="56"/>
      <c r="GO705" s="56"/>
      <c r="GP705" s="56"/>
      <c r="GQ705" s="56"/>
      <c r="GR705" s="56"/>
      <c r="GS705" s="56"/>
      <c r="GT705" s="56"/>
      <c r="GU705" s="56"/>
      <c r="GV705" s="56"/>
      <c r="GW705" s="56"/>
      <c r="GX705" s="56"/>
      <c r="GY705" s="56"/>
      <c r="GZ705" s="56"/>
      <c r="HA705" s="56"/>
      <c r="HB705" s="56"/>
      <c r="HC705" s="56"/>
      <c r="HD705" s="56"/>
      <c r="HE705" s="56"/>
      <c r="HF705" s="56"/>
      <c r="HG705" s="56"/>
      <c r="HH705" s="56"/>
      <c r="HI705" s="56"/>
      <c r="HJ705" s="56"/>
    </row>
    <row r="706" spans="1:218" ht="15.75" customHeight="1" x14ac:dyDescent="0.2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  <c r="CL706" s="56"/>
      <c r="CM706" s="56"/>
      <c r="CN706" s="56"/>
      <c r="CO706" s="56"/>
      <c r="CP706" s="56"/>
      <c r="CQ706" s="56"/>
      <c r="CR706" s="56"/>
      <c r="CS706" s="56"/>
      <c r="CT706" s="56"/>
      <c r="CU706" s="56"/>
      <c r="CV706" s="56"/>
      <c r="CW706" s="56"/>
      <c r="CX706" s="56"/>
      <c r="CY706" s="56"/>
      <c r="CZ706" s="56"/>
      <c r="DA706" s="56"/>
      <c r="DB706" s="56"/>
      <c r="DC706" s="56"/>
      <c r="DD706" s="56"/>
      <c r="DE706" s="56"/>
      <c r="DF706" s="56"/>
      <c r="DG706" s="56"/>
      <c r="DH706" s="56"/>
      <c r="DI706" s="56"/>
      <c r="DJ706" s="56"/>
      <c r="DK706" s="56"/>
      <c r="DL706" s="56"/>
      <c r="DM706" s="56"/>
      <c r="DN706" s="56"/>
      <c r="DO706" s="56"/>
      <c r="DP706" s="56"/>
      <c r="DQ706" s="56"/>
      <c r="DR706" s="56"/>
      <c r="DS706" s="56"/>
      <c r="DT706" s="56"/>
      <c r="DU706" s="56"/>
      <c r="DV706" s="56"/>
      <c r="DW706" s="56"/>
      <c r="DX706" s="56"/>
      <c r="DY706" s="56"/>
      <c r="DZ706" s="56"/>
      <c r="EA706" s="56"/>
      <c r="EB706" s="56"/>
      <c r="EC706" s="56"/>
      <c r="ED706" s="56"/>
      <c r="EE706" s="56"/>
      <c r="EF706" s="56"/>
      <c r="EG706" s="56"/>
      <c r="EH706" s="56"/>
      <c r="EI706" s="56"/>
      <c r="EJ706" s="56"/>
      <c r="EK706" s="56"/>
      <c r="EL706" s="56"/>
      <c r="EM706" s="56"/>
      <c r="EN706" s="56"/>
      <c r="EO706" s="56"/>
      <c r="EP706" s="56"/>
      <c r="EQ706" s="56"/>
      <c r="ER706" s="56"/>
      <c r="ES706" s="56"/>
      <c r="ET706" s="56"/>
      <c r="EU706" s="56"/>
      <c r="EV706" s="56"/>
      <c r="EW706" s="56"/>
      <c r="EX706" s="56"/>
      <c r="EY706" s="56"/>
      <c r="EZ706" s="56"/>
      <c r="FA706" s="56"/>
      <c r="FB706" s="56"/>
      <c r="FC706" s="56"/>
      <c r="FD706" s="56"/>
      <c r="FE706" s="56"/>
      <c r="FF706" s="56"/>
      <c r="FG706" s="56"/>
      <c r="FH706" s="56"/>
      <c r="FI706" s="56"/>
      <c r="FJ706" s="56"/>
      <c r="FK706" s="56"/>
      <c r="FL706" s="56"/>
      <c r="FM706" s="56"/>
      <c r="FN706" s="56"/>
      <c r="FO706" s="56"/>
      <c r="FP706" s="56"/>
      <c r="FQ706" s="56"/>
      <c r="FR706" s="56"/>
      <c r="FS706" s="56"/>
      <c r="FT706" s="56"/>
      <c r="FU706" s="56"/>
      <c r="FV706" s="56"/>
      <c r="FW706" s="56"/>
      <c r="FX706" s="56"/>
      <c r="FY706" s="56"/>
      <c r="FZ706" s="56"/>
      <c r="GA706" s="56"/>
      <c r="GB706" s="56"/>
      <c r="GC706" s="56"/>
      <c r="GD706" s="56"/>
      <c r="GE706" s="56"/>
      <c r="GF706" s="56"/>
      <c r="GG706" s="56"/>
      <c r="GH706" s="56"/>
      <c r="GI706" s="56"/>
      <c r="GJ706" s="56"/>
      <c r="GK706" s="56"/>
      <c r="GL706" s="56"/>
      <c r="GM706" s="56"/>
      <c r="GN706" s="56"/>
      <c r="GO706" s="56"/>
      <c r="GP706" s="56"/>
      <c r="GQ706" s="56"/>
      <c r="GR706" s="56"/>
      <c r="GS706" s="56"/>
      <c r="GT706" s="56"/>
      <c r="GU706" s="56"/>
      <c r="GV706" s="56"/>
      <c r="GW706" s="56"/>
      <c r="GX706" s="56"/>
      <c r="GY706" s="56"/>
      <c r="GZ706" s="56"/>
      <c r="HA706" s="56"/>
      <c r="HB706" s="56"/>
      <c r="HC706" s="56"/>
      <c r="HD706" s="56"/>
      <c r="HE706" s="56"/>
      <c r="HF706" s="56"/>
      <c r="HG706" s="56"/>
      <c r="HH706" s="56"/>
      <c r="HI706" s="56"/>
      <c r="HJ706" s="56"/>
    </row>
    <row r="707" spans="1:218" ht="15.75" customHeight="1" x14ac:dyDescent="0.2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  <c r="CL707" s="56"/>
      <c r="CM707" s="56"/>
      <c r="CN707" s="56"/>
      <c r="CO707" s="56"/>
      <c r="CP707" s="56"/>
      <c r="CQ707" s="56"/>
      <c r="CR707" s="56"/>
      <c r="CS707" s="56"/>
      <c r="CT707" s="56"/>
      <c r="CU707" s="56"/>
      <c r="CV707" s="56"/>
      <c r="CW707" s="56"/>
      <c r="CX707" s="56"/>
      <c r="CY707" s="56"/>
      <c r="CZ707" s="56"/>
      <c r="DA707" s="56"/>
      <c r="DB707" s="56"/>
      <c r="DC707" s="56"/>
      <c r="DD707" s="56"/>
      <c r="DE707" s="56"/>
      <c r="DF707" s="56"/>
      <c r="DG707" s="56"/>
      <c r="DH707" s="56"/>
      <c r="DI707" s="56"/>
      <c r="DJ707" s="56"/>
      <c r="DK707" s="56"/>
      <c r="DL707" s="56"/>
      <c r="DM707" s="56"/>
      <c r="DN707" s="56"/>
      <c r="DO707" s="56"/>
      <c r="DP707" s="56"/>
      <c r="DQ707" s="56"/>
      <c r="DR707" s="56"/>
      <c r="DS707" s="56"/>
      <c r="DT707" s="56"/>
      <c r="DU707" s="56"/>
      <c r="DV707" s="56"/>
      <c r="DW707" s="56"/>
      <c r="DX707" s="56"/>
      <c r="DY707" s="56"/>
      <c r="DZ707" s="56"/>
      <c r="EA707" s="56"/>
      <c r="EB707" s="56"/>
      <c r="EC707" s="56"/>
      <c r="ED707" s="56"/>
      <c r="EE707" s="56"/>
      <c r="EF707" s="56"/>
      <c r="EG707" s="56"/>
      <c r="EH707" s="56"/>
      <c r="EI707" s="56"/>
      <c r="EJ707" s="56"/>
      <c r="EK707" s="56"/>
      <c r="EL707" s="56"/>
      <c r="EM707" s="56"/>
      <c r="EN707" s="56"/>
      <c r="EO707" s="56"/>
      <c r="EP707" s="56"/>
      <c r="EQ707" s="56"/>
      <c r="ER707" s="56"/>
      <c r="ES707" s="56"/>
      <c r="ET707" s="56"/>
      <c r="EU707" s="56"/>
      <c r="EV707" s="56"/>
      <c r="EW707" s="56"/>
      <c r="EX707" s="56"/>
      <c r="EY707" s="56"/>
      <c r="EZ707" s="56"/>
      <c r="FA707" s="56"/>
      <c r="FB707" s="56"/>
      <c r="FC707" s="56"/>
      <c r="FD707" s="56"/>
      <c r="FE707" s="56"/>
      <c r="FF707" s="56"/>
      <c r="FG707" s="56"/>
      <c r="FH707" s="56"/>
      <c r="FI707" s="56"/>
      <c r="FJ707" s="56"/>
      <c r="FK707" s="56"/>
      <c r="FL707" s="56"/>
      <c r="FM707" s="56"/>
      <c r="FN707" s="56"/>
      <c r="FO707" s="56"/>
      <c r="FP707" s="56"/>
      <c r="FQ707" s="56"/>
      <c r="FR707" s="56"/>
      <c r="FS707" s="56"/>
      <c r="FT707" s="56"/>
      <c r="FU707" s="56"/>
      <c r="FV707" s="56"/>
      <c r="FW707" s="56"/>
      <c r="FX707" s="56"/>
      <c r="FY707" s="56"/>
      <c r="FZ707" s="56"/>
      <c r="GA707" s="56"/>
      <c r="GB707" s="56"/>
      <c r="GC707" s="56"/>
      <c r="GD707" s="56"/>
      <c r="GE707" s="56"/>
      <c r="GF707" s="56"/>
      <c r="GG707" s="56"/>
      <c r="GH707" s="56"/>
      <c r="GI707" s="56"/>
      <c r="GJ707" s="56"/>
      <c r="GK707" s="56"/>
      <c r="GL707" s="56"/>
      <c r="GM707" s="56"/>
      <c r="GN707" s="56"/>
      <c r="GO707" s="56"/>
      <c r="GP707" s="56"/>
      <c r="GQ707" s="56"/>
      <c r="GR707" s="56"/>
      <c r="GS707" s="56"/>
      <c r="GT707" s="56"/>
      <c r="GU707" s="56"/>
      <c r="GV707" s="56"/>
      <c r="GW707" s="56"/>
      <c r="GX707" s="56"/>
      <c r="GY707" s="56"/>
      <c r="GZ707" s="56"/>
      <c r="HA707" s="56"/>
      <c r="HB707" s="56"/>
      <c r="HC707" s="56"/>
      <c r="HD707" s="56"/>
      <c r="HE707" s="56"/>
      <c r="HF707" s="56"/>
      <c r="HG707" s="56"/>
      <c r="HH707" s="56"/>
      <c r="HI707" s="56"/>
      <c r="HJ707" s="56"/>
    </row>
    <row r="708" spans="1:218" ht="15.75" customHeight="1" x14ac:dyDescent="0.2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  <c r="CL708" s="56"/>
      <c r="CM708" s="56"/>
      <c r="CN708" s="56"/>
      <c r="CO708" s="56"/>
      <c r="CP708" s="56"/>
      <c r="CQ708" s="56"/>
      <c r="CR708" s="56"/>
      <c r="CS708" s="56"/>
      <c r="CT708" s="56"/>
      <c r="CU708" s="56"/>
      <c r="CV708" s="56"/>
      <c r="CW708" s="56"/>
      <c r="CX708" s="56"/>
      <c r="CY708" s="56"/>
      <c r="CZ708" s="56"/>
      <c r="DA708" s="56"/>
      <c r="DB708" s="56"/>
      <c r="DC708" s="56"/>
      <c r="DD708" s="56"/>
      <c r="DE708" s="56"/>
      <c r="DF708" s="56"/>
      <c r="DG708" s="56"/>
      <c r="DH708" s="56"/>
      <c r="DI708" s="56"/>
      <c r="DJ708" s="56"/>
      <c r="DK708" s="56"/>
      <c r="DL708" s="56"/>
      <c r="DM708" s="56"/>
      <c r="DN708" s="56"/>
      <c r="DO708" s="56"/>
      <c r="DP708" s="56"/>
      <c r="DQ708" s="56"/>
      <c r="DR708" s="56"/>
      <c r="DS708" s="56"/>
      <c r="DT708" s="56"/>
      <c r="DU708" s="56"/>
      <c r="DV708" s="56"/>
      <c r="DW708" s="56"/>
      <c r="DX708" s="56"/>
      <c r="DY708" s="56"/>
      <c r="DZ708" s="56"/>
      <c r="EA708" s="56"/>
      <c r="EB708" s="56"/>
      <c r="EC708" s="56"/>
      <c r="ED708" s="56"/>
      <c r="EE708" s="56"/>
      <c r="EF708" s="56"/>
      <c r="EG708" s="56"/>
      <c r="EH708" s="56"/>
      <c r="EI708" s="56"/>
      <c r="EJ708" s="56"/>
      <c r="EK708" s="56"/>
      <c r="EL708" s="56"/>
      <c r="EM708" s="56"/>
      <c r="EN708" s="56"/>
      <c r="EO708" s="56"/>
      <c r="EP708" s="56"/>
      <c r="EQ708" s="56"/>
      <c r="ER708" s="56"/>
      <c r="ES708" s="56"/>
      <c r="ET708" s="56"/>
      <c r="EU708" s="56"/>
      <c r="EV708" s="56"/>
      <c r="EW708" s="56"/>
      <c r="EX708" s="56"/>
      <c r="EY708" s="56"/>
      <c r="EZ708" s="56"/>
      <c r="FA708" s="56"/>
      <c r="FB708" s="56"/>
      <c r="FC708" s="56"/>
      <c r="FD708" s="56"/>
      <c r="FE708" s="56"/>
      <c r="FF708" s="56"/>
      <c r="FG708" s="56"/>
      <c r="FH708" s="56"/>
      <c r="FI708" s="56"/>
      <c r="FJ708" s="56"/>
      <c r="FK708" s="56"/>
      <c r="FL708" s="56"/>
      <c r="FM708" s="56"/>
      <c r="FN708" s="56"/>
      <c r="FO708" s="56"/>
      <c r="FP708" s="56"/>
      <c r="FQ708" s="56"/>
      <c r="FR708" s="56"/>
      <c r="FS708" s="56"/>
      <c r="FT708" s="56"/>
      <c r="FU708" s="56"/>
      <c r="FV708" s="56"/>
      <c r="FW708" s="56"/>
      <c r="FX708" s="56"/>
      <c r="FY708" s="56"/>
      <c r="FZ708" s="56"/>
      <c r="GA708" s="56"/>
      <c r="GB708" s="56"/>
      <c r="GC708" s="56"/>
      <c r="GD708" s="56"/>
      <c r="GE708" s="56"/>
      <c r="GF708" s="56"/>
      <c r="GG708" s="56"/>
      <c r="GH708" s="56"/>
      <c r="GI708" s="56"/>
      <c r="GJ708" s="56"/>
      <c r="GK708" s="56"/>
      <c r="GL708" s="56"/>
      <c r="GM708" s="56"/>
      <c r="GN708" s="56"/>
      <c r="GO708" s="56"/>
      <c r="GP708" s="56"/>
      <c r="GQ708" s="56"/>
      <c r="GR708" s="56"/>
      <c r="GS708" s="56"/>
      <c r="GT708" s="56"/>
      <c r="GU708" s="56"/>
      <c r="GV708" s="56"/>
      <c r="GW708" s="56"/>
      <c r="GX708" s="56"/>
      <c r="GY708" s="56"/>
      <c r="GZ708" s="56"/>
      <c r="HA708" s="56"/>
      <c r="HB708" s="56"/>
      <c r="HC708" s="56"/>
      <c r="HD708" s="56"/>
      <c r="HE708" s="56"/>
      <c r="HF708" s="56"/>
      <c r="HG708" s="56"/>
      <c r="HH708" s="56"/>
      <c r="HI708" s="56"/>
      <c r="HJ708" s="56"/>
    </row>
    <row r="709" spans="1:218" ht="15.75" customHeight="1" x14ac:dyDescent="0.2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  <c r="CL709" s="56"/>
      <c r="CM709" s="56"/>
      <c r="CN709" s="56"/>
      <c r="CO709" s="56"/>
      <c r="CP709" s="56"/>
      <c r="CQ709" s="56"/>
      <c r="CR709" s="56"/>
      <c r="CS709" s="56"/>
      <c r="CT709" s="56"/>
      <c r="CU709" s="56"/>
      <c r="CV709" s="56"/>
      <c r="CW709" s="56"/>
      <c r="CX709" s="56"/>
      <c r="CY709" s="56"/>
      <c r="CZ709" s="56"/>
      <c r="DA709" s="56"/>
      <c r="DB709" s="56"/>
      <c r="DC709" s="56"/>
      <c r="DD709" s="56"/>
      <c r="DE709" s="56"/>
      <c r="DF709" s="56"/>
      <c r="DG709" s="56"/>
      <c r="DH709" s="56"/>
      <c r="DI709" s="56"/>
      <c r="DJ709" s="56"/>
      <c r="DK709" s="56"/>
      <c r="DL709" s="56"/>
      <c r="DM709" s="56"/>
      <c r="DN709" s="56"/>
      <c r="DO709" s="56"/>
      <c r="DP709" s="56"/>
      <c r="DQ709" s="56"/>
      <c r="DR709" s="56"/>
      <c r="DS709" s="56"/>
      <c r="DT709" s="56"/>
      <c r="DU709" s="56"/>
      <c r="DV709" s="56"/>
      <c r="DW709" s="56"/>
      <c r="DX709" s="56"/>
      <c r="DY709" s="56"/>
      <c r="DZ709" s="56"/>
      <c r="EA709" s="56"/>
      <c r="EB709" s="56"/>
      <c r="EC709" s="56"/>
      <c r="ED709" s="56"/>
      <c r="EE709" s="56"/>
      <c r="EF709" s="56"/>
      <c r="EG709" s="56"/>
      <c r="EH709" s="56"/>
      <c r="EI709" s="56"/>
      <c r="EJ709" s="56"/>
      <c r="EK709" s="56"/>
      <c r="EL709" s="56"/>
      <c r="EM709" s="56"/>
      <c r="EN709" s="56"/>
      <c r="EO709" s="56"/>
      <c r="EP709" s="56"/>
      <c r="EQ709" s="56"/>
      <c r="ER709" s="56"/>
      <c r="ES709" s="56"/>
      <c r="ET709" s="56"/>
      <c r="EU709" s="56"/>
      <c r="EV709" s="56"/>
      <c r="EW709" s="56"/>
      <c r="EX709" s="56"/>
      <c r="EY709" s="56"/>
      <c r="EZ709" s="56"/>
      <c r="FA709" s="56"/>
      <c r="FB709" s="56"/>
      <c r="FC709" s="56"/>
      <c r="FD709" s="56"/>
      <c r="FE709" s="56"/>
      <c r="FF709" s="56"/>
      <c r="FG709" s="56"/>
      <c r="FH709" s="56"/>
      <c r="FI709" s="56"/>
      <c r="FJ709" s="56"/>
      <c r="FK709" s="56"/>
      <c r="FL709" s="56"/>
      <c r="FM709" s="56"/>
      <c r="FN709" s="56"/>
      <c r="FO709" s="56"/>
      <c r="FP709" s="56"/>
      <c r="FQ709" s="56"/>
      <c r="FR709" s="56"/>
      <c r="FS709" s="56"/>
      <c r="FT709" s="56"/>
      <c r="FU709" s="56"/>
      <c r="FV709" s="56"/>
      <c r="FW709" s="56"/>
      <c r="FX709" s="56"/>
      <c r="FY709" s="56"/>
      <c r="FZ709" s="56"/>
      <c r="GA709" s="56"/>
      <c r="GB709" s="56"/>
      <c r="GC709" s="56"/>
      <c r="GD709" s="56"/>
      <c r="GE709" s="56"/>
      <c r="GF709" s="56"/>
      <c r="GG709" s="56"/>
      <c r="GH709" s="56"/>
      <c r="GI709" s="56"/>
      <c r="GJ709" s="56"/>
      <c r="GK709" s="56"/>
      <c r="GL709" s="56"/>
      <c r="GM709" s="56"/>
      <c r="GN709" s="56"/>
      <c r="GO709" s="56"/>
      <c r="GP709" s="56"/>
      <c r="GQ709" s="56"/>
      <c r="GR709" s="56"/>
      <c r="GS709" s="56"/>
      <c r="GT709" s="56"/>
      <c r="GU709" s="56"/>
      <c r="GV709" s="56"/>
      <c r="GW709" s="56"/>
      <c r="GX709" s="56"/>
      <c r="GY709" s="56"/>
      <c r="GZ709" s="56"/>
      <c r="HA709" s="56"/>
      <c r="HB709" s="56"/>
      <c r="HC709" s="56"/>
      <c r="HD709" s="56"/>
      <c r="HE709" s="56"/>
      <c r="HF709" s="56"/>
      <c r="HG709" s="56"/>
      <c r="HH709" s="56"/>
      <c r="HI709" s="56"/>
      <c r="HJ709" s="56"/>
    </row>
    <row r="710" spans="1:218" ht="15.75" customHeight="1" x14ac:dyDescent="0.2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  <c r="CL710" s="56"/>
      <c r="CM710" s="56"/>
      <c r="CN710" s="56"/>
      <c r="CO710" s="56"/>
      <c r="CP710" s="56"/>
      <c r="CQ710" s="56"/>
      <c r="CR710" s="56"/>
      <c r="CS710" s="56"/>
      <c r="CT710" s="56"/>
      <c r="CU710" s="56"/>
      <c r="CV710" s="56"/>
      <c r="CW710" s="56"/>
      <c r="CX710" s="56"/>
      <c r="CY710" s="56"/>
      <c r="CZ710" s="56"/>
      <c r="DA710" s="56"/>
      <c r="DB710" s="56"/>
      <c r="DC710" s="56"/>
      <c r="DD710" s="56"/>
      <c r="DE710" s="56"/>
      <c r="DF710" s="56"/>
      <c r="DG710" s="56"/>
      <c r="DH710" s="56"/>
      <c r="DI710" s="56"/>
      <c r="DJ710" s="56"/>
      <c r="DK710" s="56"/>
      <c r="DL710" s="56"/>
      <c r="DM710" s="56"/>
      <c r="DN710" s="56"/>
      <c r="DO710" s="56"/>
      <c r="DP710" s="56"/>
      <c r="DQ710" s="56"/>
      <c r="DR710" s="56"/>
      <c r="DS710" s="56"/>
      <c r="DT710" s="56"/>
      <c r="DU710" s="56"/>
      <c r="DV710" s="56"/>
      <c r="DW710" s="56"/>
      <c r="DX710" s="56"/>
      <c r="DY710" s="56"/>
      <c r="DZ710" s="56"/>
      <c r="EA710" s="56"/>
      <c r="EB710" s="56"/>
      <c r="EC710" s="56"/>
      <c r="ED710" s="56"/>
      <c r="EE710" s="56"/>
      <c r="EF710" s="56"/>
      <c r="EG710" s="56"/>
      <c r="EH710" s="56"/>
      <c r="EI710" s="56"/>
      <c r="EJ710" s="56"/>
      <c r="EK710" s="56"/>
      <c r="EL710" s="56"/>
      <c r="EM710" s="56"/>
      <c r="EN710" s="56"/>
      <c r="EO710" s="56"/>
      <c r="EP710" s="56"/>
      <c r="EQ710" s="56"/>
      <c r="ER710" s="56"/>
      <c r="ES710" s="56"/>
      <c r="ET710" s="56"/>
      <c r="EU710" s="56"/>
      <c r="EV710" s="56"/>
      <c r="EW710" s="56"/>
      <c r="EX710" s="56"/>
      <c r="EY710" s="56"/>
      <c r="EZ710" s="56"/>
      <c r="FA710" s="56"/>
      <c r="FB710" s="56"/>
      <c r="FC710" s="56"/>
      <c r="FD710" s="56"/>
      <c r="FE710" s="56"/>
      <c r="FF710" s="56"/>
      <c r="FG710" s="56"/>
      <c r="FH710" s="56"/>
      <c r="FI710" s="56"/>
      <c r="FJ710" s="56"/>
      <c r="FK710" s="56"/>
      <c r="FL710" s="56"/>
      <c r="FM710" s="56"/>
      <c r="FN710" s="56"/>
      <c r="FO710" s="56"/>
      <c r="FP710" s="56"/>
      <c r="FQ710" s="56"/>
      <c r="FR710" s="56"/>
      <c r="FS710" s="56"/>
      <c r="FT710" s="56"/>
      <c r="FU710" s="56"/>
      <c r="FV710" s="56"/>
      <c r="FW710" s="56"/>
      <c r="FX710" s="56"/>
      <c r="FY710" s="56"/>
      <c r="FZ710" s="56"/>
      <c r="GA710" s="56"/>
      <c r="GB710" s="56"/>
      <c r="GC710" s="56"/>
      <c r="GD710" s="56"/>
      <c r="GE710" s="56"/>
      <c r="GF710" s="56"/>
      <c r="GG710" s="56"/>
      <c r="GH710" s="56"/>
      <c r="GI710" s="56"/>
      <c r="GJ710" s="56"/>
      <c r="GK710" s="56"/>
      <c r="GL710" s="56"/>
      <c r="GM710" s="56"/>
      <c r="GN710" s="56"/>
      <c r="GO710" s="56"/>
      <c r="GP710" s="56"/>
      <c r="GQ710" s="56"/>
      <c r="GR710" s="56"/>
      <c r="GS710" s="56"/>
      <c r="GT710" s="56"/>
      <c r="GU710" s="56"/>
      <c r="GV710" s="56"/>
      <c r="GW710" s="56"/>
      <c r="GX710" s="56"/>
      <c r="GY710" s="56"/>
      <c r="GZ710" s="56"/>
      <c r="HA710" s="56"/>
      <c r="HB710" s="56"/>
      <c r="HC710" s="56"/>
      <c r="HD710" s="56"/>
      <c r="HE710" s="56"/>
      <c r="HF710" s="56"/>
      <c r="HG710" s="56"/>
      <c r="HH710" s="56"/>
      <c r="HI710" s="56"/>
      <c r="HJ710" s="56"/>
    </row>
    <row r="711" spans="1:218" ht="15.75" customHeight="1" x14ac:dyDescent="0.2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  <c r="BV711" s="56"/>
      <c r="BW711" s="56"/>
      <c r="BX711" s="56"/>
      <c r="BY711" s="56"/>
      <c r="BZ711" s="56"/>
      <c r="CA711" s="56"/>
      <c r="CB711" s="56"/>
      <c r="CC711" s="56"/>
      <c r="CD711" s="56"/>
      <c r="CE711" s="56"/>
      <c r="CF711" s="56"/>
      <c r="CG711" s="56"/>
      <c r="CH711" s="56"/>
      <c r="CI711" s="56"/>
      <c r="CJ711" s="56"/>
      <c r="CK711" s="56"/>
      <c r="CL711" s="56"/>
      <c r="CM711" s="56"/>
      <c r="CN711" s="56"/>
      <c r="CO711" s="56"/>
      <c r="CP711" s="56"/>
      <c r="CQ711" s="56"/>
      <c r="CR711" s="56"/>
      <c r="CS711" s="56"/>
      <c r="CT711" s="56"/>
      <c r="CU711" s="56"/>
      <c r="CV711" s="56"/>
      <c r="CW711" s="56"/>
      <c r="CX711" s="56"/>
      <c r="CY711" s="56"/>
      <c r="CZ711" s="56"/>
      <c r="DA711" s="56"/>
      <c r="DB711" s="56"/>
      <c r="DC711" s="56"/>
      <c r="DD711" s="56"/>
      <c r="DE711" s="56"/>
      <c r="DF711" s="56"/>
      <c r="DG711" s="56"/>
      <c r="DH711" s="56"/>
      <c r="DI711" s="56"/>
      <c r="DJ711" s="56"/>
      <c r="DK711" s="56"/>
      <c r="DL711" s="56"/>
      <c r="DM711" s="56"/>
      <c r="DN711" s="56"/>
      <c r="DO711" s="56"/>
      <c r="DP711" s="56"/>
      <c r="DQ711" s="56"/>
      <c r="DR711" s="56"/>
      <c r="DS711" s="56"/>
      <c r="DT711" s="56"/>
      <c r="DU711" s="56"/>
      <c r="DV711" s="56"/>
      <c r="DW711" s="56"/>
      <c r="DX711" s="56"/>
      <c r="DY711" s="56"/>
      <c r="DZ711" s="56"/>
      <c r="EA711" s="56"/>
      <c r="EB711" s="56"/>
      <c r="EC711" s="56"/>
      <c r="ED711" s="56"/>
      <c r="EE711" s="56"/>
      <c r="EF711" s="56"/>
      <c r="EG711" s="56"/>
      <c r="EH711" s="56"/>
      <c r="EI711" s="56"/>
      <c r="EJ711" s="56"/>
      <c r="EK711" s="56"/>
      <c r="EL711" s="56"/>
      <c r="EM711" s="56"/>
      <c r="EN711" s="56"/>
      <c r="EO711" s="56"/>
      <c r="EP711" s="56"/>
      <c r="EQ711" s="56"/>
      <c r="ER711" s="56"/>
      <c r="ES711" s="56"/>
      <c r="ET711" s="56"/>
      <c r="EU711" s="56"/>
      <c r="EV711" s="56"/>
      <c r="EW711" s="56"/>
      <c r="EX711" s="56"/>
      <c r="EY711" s="56"/>
      <c r="EZ711" s="56"/>
      <c r="FA711" s="56"/>
      <c r="FB711" s="56"/>
      <c r="FC711" s="56"/>
      <c r="FD711" s="56"/>
      <c r="FE711" s="56"/>
      <c r="FF711" s="56"/>
      <c r="FG711" s="56"/>
      <c r="FH711" s="56"/>
      <c r="FI711" s="56"/>
      <c r="FJ711" s="56"/>
      <c r="FK711" s="56"/>
      <c r="FL711" s="56"/>
      <c r="FM711" s="56"/>
      <c r="FN711" s="56"/>
      <c r="FO711" s="56"/>
      <c r="FP711" s="56"/>
      <c r="FQ711" s="56"/>
      <c r="FR711" s="56"/>
      <c r="FS711" s="56"/>
      <c r="FT711" s="56"/>
      <c r="FU711" s="56"/>
      <c r="FV711" s="56"/>
      <c r="FW711" s="56"/>
      <c r="FX711" s="56"/>
      <c r="FY711" s="56"/>
      <c r="FZ711" s="56"/>
      <c r="GA711" s="56"/>
      <c r="GB711" s="56"/>
      <c r="GC711" s="56"/>
      <c r="GD711" s="56"/>
      <c r="GE711" s="56"/>
      <c r="GF711" s="56"/>
      <c r="GG711" s="56"/>
      <c r="GH711" s="56"/>
      <c r="GI711" s="56"/>
      <c r="GJ711" s="56"/>
      <c r="GK711" s="56"/>
      <c r="GL711" s="56"/>
      <c r="GM711" s="56"/>
      <c r="GN711" s="56"/>
      <c r="GO711" s="56"/>
      <c r="GP711" s="56"/>
      <c r="GQ711" s="56"/>
      <c r="GR711" s="56"/>
      <c r="GS711" s="56"/>
      <c r="GT711" s="56"/>
      <c r="GU711" s="56"/>
      <c r="GV711" s="56"/>
      <c r="GW711" s="56"/>
      <c r="GX711" s="56"/>
      <c r="GY711" s="56"/>
      <c r="GZ711" s="56"/>
      <c r="HA711" s="56"/>
      <c r="HB711" s="56"/>
      <c r="HC711" s="56"/>
      <c r="HD711" s="56"/>
      <c r="HE711" s="56"/>
      <c r="HF711" s="56"/>
      <c r="HG711" s="56"/>
      <c r="HH711" s="56"/>
      <c r="HI711" s="56"/>
      <c r="HJ711" s="56"/>
    </row>
    <row r="712" spans="1:218" ht="15.75" customHeight="1" x14ac:dyDescent="0.2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6"/>
      <c r="CA712" s="56"/>
      <c r="CB712" s="56"/>
      <c r="CC712" s="56"/>
      <c r="CD712" s="56"/>
      <c r="CE712" s="56"/>
      <c r="CF712" s="56"/>
      <c r="CG712" s="56"/>
      <c r="CH712" s="56"/>
      <c r="CI712" s="56"/>
      <c r="CJ712" s="56"/>
      <c r="CK712" s="56"/>
      <c r="CL712" s="56"/>
      <c r="CM712" s="56"/>
      <c r="CN712" s="56"/>
      <c r="CO712" s="56"/>
      <c r="CP712" s="56"/>
      <c r="CQ712" s="56"/>
      <c r="CR712" s="56"/>
      <c r="CS712" s="56"/>
      <c r="CT712" s="56"/>
      <c r="CU712" s="56"/>
      <c r="CV712" s="56"/>
      <c r="CW712" s="56"/>
      <c r="CX712" s="56"/>
      <c r="CY712" s="56"/>
      <c r="CZ712" s="56"/>
      <c r="DA712" s="56"/>
      <c r="DB712" s="56"/>
      <c r="DC712" s="56"/>
      <c r="DD712" s="56"/>
      <c r="DE712" s="56"/>
      <c r="DF712" s="56"/>
      <c r="DG712" s="56"/>
      <c r="DH712" s="56"/>
      <c r="DI712" s="56"/>
      <c r="DJ712" s="56"/>
      <c r="DK712" s="56"/>
      <c r="DL712" s="56"/>
      <c r="DM712" s="56"/>
      <c r="DN712" s="56"/>
      <c r="DO712" s="56"/>
      <c r="DP712" s="56"/>
      <c r="DQ712" s="56"/>
      <c r="DR712" s="56"/>
      <c r="DS712" s="56"/>
      <c r="DT712" s="56"/>
      <c r="DU712" s="56"/>
      <c r="DV712" s="56"/>
      <c r="DW712" s="56"/>
      <c r="DX712" s="56"/>
      <c r="DY712" s="56"/>
      <c r="DZ712" s="56"/>
      <c r="EA712" s="56"/>
      <c r="EB712" s="56"/>
      <c r="EC712" s="56"/>
      <c r="ED712" s="56"/>
      <c r="EE712" s="56"/>
      <c r="EF712" s="56"/>
      <c r="EG712" s="56"/>
      <c r="EH712" s="56"/>
      <c r="EI712" s="56"/>
      <c r="EJ712" s="56"/>
      <c r="EK712" s="56"/>
      <c r="EL712" s="56"/>
      <c r="EM712" s="56"/>
      <c r="EN712" s="56"/>
      <c r="EO712" s="56"/>
      <c r="EP712" s="56"/>
      <c r="EQ712" s="56"/>
      <c r="ER712" s="56"/>
      <c r="ES712" s="56"/>
      <c r="ET712" s="56"/>
      <c r="EU712" s="56"/>
      <c r="EV712" s="56"/>
      <c r="EW712" s="56"/>
      <c r="EX712" s="56"/>
      <c r="EY712" s="56"/>
      <c r="EZ712" s="56"/>
      <c r="FA712" s="56"/>
      <c r="FB712" s="56"/>
      <c r="FC712" s="56"/>
      <c r="FD712" s="56"/>
      <c r="FE712" s="56"/>
      <c r="FF712" s="56"/>
      <c r="FG712" s="56"/>
      <c r="FH712" s="56"/>
      <c r="FI712" s="56"/>
      <c r="FJ712" s="56"/>
      <c r="FK712" s="56"/>
      <c r="FL712" s="56"/>
      <c r="FM712" s="56"/>
      <c r="FN712" s="56"/>
      <c r="FO712" s="56"/>
      <c r="FP712" s="56"/>
      <c r="FQ712" s="56"/>
      <c r="FR712" s="56"/>
      <c r="FS712" s="56"/>
      <c r="FT712" s="56"/>
      <c r="FU712" s="56"/>
      <c r="FV712" s="56"/>
      <c r="FW712" s="56"/>
      <c r="FX712" s="56"/>
      <c r="FY712" s="56"/>
      <c r="FZ712" s="56"/>
      <c r="GA712" s="56"/>
      <c r="GB712" s="56"/>
      <c r="GC712" s="56"/>
      <c r="GD712" s="56"/>
      <c r="GE712" s="56"/>
      <c r="GF712" s="56"/>
      <c r="GG712" s="56"/>
      <c r="GH712" s="56"/>
      <c r="GI712" s="56"/>
      <c r="GJ712" s="56"/>
      <c r="GK712" s="56"/>
      <c r="GL712" s="56"/>
      <c r="GM712" s="56"/>
      <c r="GN712" s="56"/>
      <c r="GO712" s="56"/>
      <c r="GP712" s="56"/>
      <c r="GQ712" s="56"/>
      <c r="GR712" s="56"/>
      <c r="GS712" s="56"/>
      <c r="GT712" s="56"/>
      <c r="GU712" s="56"/>
      <c r="GV712" s="56"/>
      <c r="GW712" s="56"/>
      <c r="GX712" s="56"/>
      <c r="GY712" s="56"/>
      <c r="GZ712" s="56"/>
      <c r="HA712" s="56"/>
      <c r="HB712" s="56"/>
      <c r="HC712" s="56"/>
      <c r="HD712" s="56"/>
      <c r="HE712" s="56"/>
      <c r="HF712" s="56"/>
      <c r="HG712" s="56"/>
      <c r="HH712" s="56"/>
      <c r="HI712" s="56"/>
      <c r="HJ712" s="56"/>
    </row>
    <row r="713" spans="1:218" ht="15.75" customHeight="1" x14ac:dyDescent="0.2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  <c r="BV713" s="56"/>
      <c r="BW713" s="56"/>
      <c r="BX713" s="56"/>
      <c r="BY713" s="56"/>
      <c r="BZ713" s="56"/>
      <c r="CA713" s="56"/>
      <c r="CB713" s="56"/>
      <c r="CC713" s="56"/>
      <c r="CD713" s="56"/>
      <c r="CE713" s="56"/>
      <c r="CF713" s="56"/>
      <c r="CG713" s="56"/>
      <c r="CH713" s="56"/>
      <c r="CI713" s="56"/>
      <c r="CJ713" s="56"/>
      <c r="CK713" s="56"/>
      <c r="CL713" s="56"/>
      <c r="CM713" s="56"/>
      <c r="CN713" s="56"/>
      <c r="CO713" s="56"/>
      <c r="CP713" s="56"/>
      <c r="CQ713" s="56"/>
      <c r="CR713" s="56"/>
      <c r="CS713" s="56"/>
      <c r="CT713" s="56"/>
      <c r="CU713" s="56"/>
      <c r="CV713" s="56"/>
      <c r="CW713" s="56"/>
      <c r="CX713" s="56"/>
      <c r="CY713" s="56"/>
      <c r="CZ713" s="56"/>
      <c r="DA713" s="56"/>
      <c r="DB713" s="56"/>
      <c r="DC713" s="56"/>
      <c r="DD713" s="56"/>
      <c r="DE713" s="56"/>
      <c r="DF713" s="56"/>
      <c r="DG713" s="56"/>
      <c r="DH713" s="56"/>
      <c r="DI713" s="56"/>
      <c r="DJ713" s="56"/>
      <c r="DK713" s="56"/>
      <c r="DL713" s="56"/>
      <c r="DM713" s="56"/>
      <c r="DN713" s="56"/>
      <c r="DO713" s="56"/>
      <c r="DP713" s="56"/>
      <c r="DQ713" s="56"/>
      <c r="DR713" s="56"/>
      <c r="DS713" s="56"/>
      <c r="DT713" s="56"/>
      <c r="DU713" s="56"/>
      <c r="DV713" s="56"/>
      <c r="DW713" s="56"/>
      <c r="DX713" s="56"/>
      <c r="DY713" s="56"/>
      <c r="DZ713" s="56"/>
      <c r="EA713" s="56"/>
      <c r="EB713" s="56"/>
      <c r="EC713" s="56"/>
      <c r="ED713" s="56"/>
      <c r="EE713" s="56"/>
      <c r="EF713" s="56"/>
      <c r="EG713" s="56"/>
      <c r="EH713" s="56"/>
      <c r="EI713" s="56"/>
      <c r="EJ713" s="56"/>
      <c r="EK713" s="56"/>
      <c r="EL713" s="56"/>
      <c r="EM713" s="56"/>
      <c r="EN713" s="56"/>
      <c r="EO713" s="56"/>
      <c r="EP713" s="56"/>
      <c r="EQ713" s="56"/>
      <c r="ER713" s="56"/>
      <c r="ES713" s="56"/>
      <c r="ET713" s="56"/>
      <c r="EU713" s="56"/>
      <c r="EV713" s="56"/>
      <c r="EW713" s="56"/>
      <c r="EX713" s="56"/>
      <c r="EY713" s="56"/>
      <c r="EZ713" s="56"/>
      <c r="FA713" s="56"/>
      <c r="FB713" s="56"/>
      <c r="FC713" s="56"/>
      <c r="FD713" s="56"/>
      <c r="FE713" s="56"/>
      <c r="FF713" s="56"/>
      <c r="FG713" s="56"/>
      <c r="FH713" s="56"/>
      <c r="FI713" s="56"/>
      <c r="FJ713" s="56"/>
      <c r="FK713" s="56"/>
      <c r="FL713" s="56"/>
      <c r="FM713" s="56"/>
      <c r="FN713" s="56"/>
      <c r="FO713" s="56"/>
      <c r="FP713" s="56"/>
      <c r="FQ713" s="56"/>
      <c r="FR713" s="56"/>
      <c r="FS713" s="56"/>
      <c r="FT713" s="56"/>
      <c r="FU713" s="56"/>
      <c r="FV713" s="56"/>
      <c r="FW713" s="56"/>
      <c r="FX713" s="56"/>
      <c r="FY713" s="56"/>
      <c r="FZ713" s="56"/>
      <c r="GA713" s="56"/>
      <c r="GB713" s="56"/>
      <c r="GC713" s="56"/>
      <c r="GD713" s="56"/>
      <c r="GE713" s="56"/>
      <c r="GF713" s="56"/>
      <c r="GG713" s="56"/>
      <c r="GH713" s="56"/>
      <c r="GI713" s="56"/>
      <c r="GJ713" s="56"/>
      <c r="GK713" s="56"/>
      <c r="GL713" s="56"/>
      <c r="GM713" s="56"/>
      <c r="GN713" s="56"/>
      <c r="GO713" s="56"/>
      <c r="GP713" s="56"/>
      <c r="GQ713" s="56"/>
      <c r="GR713" s="56"/>
      <c r="GS713" s="56"/>
      <c r="GT713" s="56"/>
      <c r="GU713" s="56"/>
      <c r="GV713" s="56"/>
      <c r="GW713" s="56"/>
      <c r="GX713" s="56"/>
      <c r="GY713" s="56"/>
      <c r="GZ713" s="56"/>
      <c r="HA713" s="56"/>
      <c r="HB713" s="56"/>
      <c r="HC713" s="56"/>
      <c r="HD713" s="56"/>
      <c r="HE713" s="56"/>
      <c r="HF713" s="56"/>
      <c r="HG713" s="56"/>
      <c r="HH713" s="56"/>
      <c r="HI713" s="56"/>
      <c r="HJ713" s="56"/>
    </row>
    <row r="714" spans="1:218" ht="15.75" customHeight="1" x14ac:dyDescent="0.2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  <c r="CL714" s="56"/>
      <c r="CM714" s="56"/>
      <c r="CN714" s="56"/>
      <c r="CO714" s="56"/>
      <c r="CP714" s="56"/>
      <c r="CQ714" s="56"/>
      <c r="CR714" s="56"/>
      <c r="CS714" s="56"/>
      <c r="CT714" s="56"/>
      <c r="CU714" s="56"/>
      <c r="CV714" s="56"/>
      <c r="CW714" s="56"/>
      <c r="CX714" s="56"/>
      <c r="CY714" s="56"/>
      <c r="CZ714" s="56"/>
      <c r="DA714" s="56"/>
      <c r="DB714" s="56"/>
      <c r="DC714" s="56"/>
      <c r="DD714" s="56"/>
      <c r="DE714" s="56"/>
      <c r="DF714" s="56"/>
      <c r="DG714" s="56"/>
      <c r="DH714" s="56"/>
      <c r="DI714" s="56"/>
      <c r="DJ714" s="56"/>
      <c r="DK714" s="56"/>
      <c r="DL714" s="56"/>
      <c r="DM714" s="56"/>
      <c r="DN714" s="56"/>
      <c r="DO714" s="56"/>
      <c r="DP714" s="56"/>
      <c r="DQ714" s="56"/>
      <c r="DR714" s="56"/>
      <c r="DS714" s="56"/>
      <c r="DT714" s="56"/>
      <c r="DU714" s="56"/>
      <c r="DV714" s="56"/>
      <c r="DW714" s="56"/>
      <c r="DX714" s="56"/>
      <c r="DY714" s="56"/>
      <c r="DZ714" s="56"/>
      <c r="EA714" s="56"/>
      <c r="EB714" s="56"/>
      <c r="EC714" s="56"/>
      <c r="ED714" s="56"/>
      <c r="EE714" s="56"/>
      <c r="EF714" s="56"/>
      <c r="EG714" s="56"/>
      <c r="EH714" s="56"/>
      <c r="EI714" s="56"/>
      <c r="EJ714" s="56"/>
      <c r="EK714" s="56"/>
      <c r="EL714" s="56"/>
      <c r="EM714" s="56"/>
      <c r="EN714" s="56"/>
      <c r="EO714" s="56"/>
      <c r="EP714" s="56"/>
      <c r="EQ714" s="56"/>
      <c r="ER714" s="56"/>
      <c r="ES714" s="56"/>
      <c r="ET714" s="56"/>
      <c r="EU714" s="56"/>
      <c r="EV714" s="56"/>
      <c r="EW714" s="56"/>
      <c r="EX714" s="56"/>
      <c r="EY714" s="56"/>
      <c r="EZ714" s="56"/>
      <c r="FA714" s="56"/>
      <c r="FB714" s="56"/>
      <c r="FC714" s="56"/>
      <c r="FD714" s="56"/>
      <c r="FE714" s="56"/>
      <c r="FF714" s="56"/>
      <c r="FG714" s="56"/>
      <c r="FH714" s="56"/>
      <c r="FI714" s="56"/>
      <c r="FJ714" s="56"/>
      <c r="FK714" s="56"/>
      <c r="FL714" s="56"/>
      <c r="FM714" s="56"/>
      <c r="FN714" s="56"/>
      <c r="FO714" s="56"/>
      <c r="FP714" s="56"/>
      <c r="FQ714" s="56"/>
      <c r="FR714" s="56"/>
      <c r="FS714" s="56"/>
      <c r="FT714" s="56"/>
      <c r="FU714" s="56"/>
      <c r="FV714" s="56"/>
      <c r="FW714" s="56"/>
      <c r="FX714" s="56"/>
      <c r="FY714" s="56"/>
      <c r="FZ714" s="56"/>
      <c r="GA714" s="56"/>
      <c r="GB714" s="56"/>
      <c r="GC714" s="56"/>
      <c r="GD714" s="56"/>
      <c r="GE714" s="56"/>
      <c r="GF714" s="56"/>
      <c r="GG714" s="56"/>
      <c r="GH714" s="56"/>
      <c r="GI714" s="56"/>
      <c r="GJ714" s="56"/>
      <c r="GK714" s="56"/>
      <c r="GL714" s="56"/>
      <c r="GM714" s="56"/>
      <c r="GN714" s="56"/>
      <c r="GO714" s="56"/>
      <c r="GP714" s="56"/>
      <c r="GQ714" s="56"/>
      <c r="GR714" s="56"/>
      <c r="GS714" s="56"/>
      <c r="GT714" s="56"/>
      <c r="GU714" s="56"/>
      <c r="GV714" s="56"/>
      <c r="GW714" s="56"/>
      <c r="GX714" s="56"/>
      <c r="GY714" s="56"/>
      <c r="GZ714" s="56"/>
      <c r="HA714" s="56"/>
      <c r="HB714" s="56"/>
      <c r="HC714" s="56"/>
      <c r="HD714" s="56"/>
      <c r="HE714" s="56"/>
      <c r="HF714" s="56"/>
      <c r="HG714" s="56"/>
      <c r="HH714" s="56"/>
      <c r="HI714" s="56"/>
      <c r="HJ714" s="56"/>
    </row>
    <row r="715" spans="1:218" ht="15.75" customHeight="1" x14ac:dyDescent="0.2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  <c r="BV715" s="56"/>
      <c r="BW715" s="56"/>
      <c r="BX715" s="56"/>
      <c r="BY715" s="56"/>
      <c r="BZ715" s="56"/>
      <c r="CA715" s="56"/>
      <c r="CB715" s="56"/>
      <c r="CC715" s="56"/>
      <c r="CD715" s="56"/>
      <c r="CE715" s="56"/>
      <c r="CF715" s="56"/>
      <c r="CG715" s="56"/>
      <c r="CH715" s="56"/>
      <c r="CI715" s="56"/>
      <c r="CJ715" s="56"/>
      <c r="CK715" s="56"/>
      <c r="CL715" s="56"/>
      <c r="CM715" s="56"/>
      <c r="CN715" s="56"/>
      <c r="CO715" s="56"/>
      <c r="CP715" s="56"/>
      <c r="CQ715" s="56"/>
      <c r="CR715" s="56"/>
      <c r="CS715" s="56"/>
      <c r="CT715" s="56"/>
      <c r="CU715" s="56"/>
      <c r="CV715" s="56"/>
      <c r="CW715" s="56"/>
      <c r="CX715" s="56"/>
      <c r="CY715" s="56"/>
      <c r="CZ715" s="56"/>
      <c r="DA715" s="56"/>
      <c r="DB715" s="56"/>
      <c r="DC715" s="56"/>
      <c r="DD715" s="56"/>
      <c r="DE715" s="56"/>
      <c r="DF715" s="56"/>
      <c r="DG715" s="56"/>
      <c r="DH715" s="56"/>
      <c r="DI715" s="56"/>
      <c r="DJ715" s="56"/>
      <c r="DK715" s="56"/>
      <c r="DL715" s="56"/>
      <c r="DM715" s="56"/>
      <c r="DN715" s="56"/>
      <c r="DO715" s="56"/>
      <c r="DP715" s="56"/>
      <c r="DQ715" s="56"/>
      <c r="DR715" s="56"/>
      <c r="DS715" s="56"/>
      <c r="DT715" s="56"/>
      <c r="DU715" s="56"/>
      <c r="DV715" s="56"/>
      <c r="DW715" s="56"/>
      <c r="DX715" s="56"/>
      <c r="DY715" s="56"/>
      <c r="DZ715" s="56"/>
      <c r="EA715" s="56"/>
      <c r="EB715" s="56"/>
      <c r="EC715" s="56"/>
      <c r="ED715" s="56"/>
      <c r="EE715" s="56"/>
      <c r="EF715" s="56"/>
      <c r="EG715" s="56"/>
      <c r="EH715" s="56"/>
      <c r="EI715" s="56"/>
      <c r="EJ715" s="56"/>
      <c r="EK715" s="56"/>
      <c r="EL715" s="56"/>
      <c r="EM715" s="56"/>
      <c r="EN715" s="56"/>
      <c r="EO715" s="56"/>
      <c r="EP715" s="56"/>
      <c r="EQ715" s="56"/>
      <c r="ER715" s="56"/>
      <c r="ES715" s="56"/>
      <c r="ET715" s="56"/>
      <c r="EU715" s="56"/>
      <c r="EV715" s="56"/>
      <c r="EW715" s="56"/>
      <c r="EX715" s="56"/>
      <c r="EY715" s="56"/>
      <c r="EZ715" s="56"/>
      <c r="FA715" s="56"/>
      <c r="FB715" s="56"/>
      <c r="FC715" s="56"/>
      <c r="FD715" s="56"/>
      <c r="FE715" s="56"/>
      <c r="FF715" s="56"/>
      <c r="FG715" s="56"/>
      <c r="FH715" s="56"/>
      <c r="FI715" s="56"/>
      <c r="FJ715" s="56"/>
      <c r="FK715" s="56"/>
      <c r="FL715" s="56"/>
      <c r="FM715" s="56"/>
      <c r="FN715" s="56"/>
      <c r="FO715" s="56"/>
      <c r="FP715" s="56"/>
      <c r="FQ715" s="56"/>
      <c r="FR715" s="56"/>
      <c r="FS715" s="56"/>
      <c r="FT715" s="56"/>
      <c r="FU715" s="56"/>
      <c r="FV715" s="56"/>
      <c r="FW715" s="56"/>
      <c r="FX715" s="56"/>
      <c r="FY715" s="56"/>
      <c r="FZ715" s="56"/>
      <c r="GA715" s="56"/>
      <c r="GB715" s="56"/>
      <c r="GC715" s="56"/>
      <c r="GD715" s="56"/>
      <c r="GE715" s="56"/>
      <c r="GF715" s="56"/>
      <c r="GG715" s="56"/>
      <c r="GH715" s="56"/>
      <c r="GI715" s="56"/>
      <c r="GJ715" s="56"/>
      <c r="GK715" s="56"/>
      <c r="GL715" s="56"/>
      <c r="GM715" s="56"/>
      <c r="GN715" s="56"/>
      <c r="GO715" s="56"/>
      <c r="GP715" s="56"/>
      <c r="GQ715" s="56"/>
      <c r="GR715" s="56"/>
      <c r="GS715" s="56"/>
      <c r="GT715" s="56"/>
      <c r="GU715" s="56"/>
      <c r="GV715" s="56"/>
      <c r="GW715" s="56"/>
      <c r="GX715" s="56"/>
      <c r="GY715" s="56"/>
      <c r="GZ715" s="56"/>
      <c r="HA715" s="56"/>
      <c r="HB715" s="56"/>
      <c r="HC715" s="56"/>
      <c r="HD715" s="56"/>
      <c r="HE715" s="56"/>
      <c r="HF715" s="56"/>
      <c r="HG715" s="56"/>
      <c r="HH715" s="56"/>
      <c r="HI715" s="56"/>
      <c r="HJ715" s="56"/>
    </row>
    <row r="716" spans="1:218" ht="15.75" customHeight="1" x14ac:dyDescent="0.2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  <c r="BV716" s="56"/>
      <c r="BW716" s="56"/>
      <c r="BX716" s="56"/>
      <c r="BY716" s="56"/>
      <c r="BZ716" s="56"/>
      <c r="CA716" s="56"/>
      <c r="CB716" s="56"/>
      <c r="CC716" s="56"/>
      <c r="CD716" s="56"/>
      <c r="CE716" s="56"/>
      <c r="CF716" s="56"/>
      <c r="CG716" s="56"/>
      <c r="CH716" s="56"/>
      <c r="CI716" s="56"/>
      <c r="CJ716" s="56"/>
      <c r="CK716" s="56"/>
      <c r="CL716" s="56"/>
      <c r="CM716" s="56"/>
      <c r="CN716" s="56"/>
      <c r="CO716" s="56"/>
      <c r="CP716" s="56"/>
      <c r="CQ716" s="56"/>
      <c r="CR716" s="56"/>
      <c r="CS716" s="56"/>
      <c r="CT716" s="56"/>
      <c r="CU716" s="56"/>
      <c r="CV716" s="56"/>
      <c r="CW716" s="56"/>
      <c r="CX716" s="56"/>
      <c r="CY716" s="56"/>
      <c r="CZ716" s="56"/>
      <c r="DA716" s="56"/>
      <c r="DB716" s="56"/>
      <c r="DC716" s="56"/>
      <c r="DD716" s="56"/>
      <c r="DE716" s="56"/>
      <c r="DF716" s="56"/>
      <c r="DG716" s="56"/>
      <c r="DH716" s="56"/>
      <c r="DI716" s="56"/>
      <c r="DJ716" s="56"/>
      <c r="DK716" s="56"/>
      <c r="DL716" s="56"/>
      <c r="DM716" s="56"/>
      <c r="DN716" s="56"/>
      <c r="DO716" s="56"/>
      <c r="DP716" s="56"/>
      <c r="DQ716" s="56"/>
      <c r="DR716" s="56"/>
      <c r="DS716" s="56"/>
      <c r="DT716" s="56"/>
      <c r="DU716" s="56"/>
      <c r="DV716" s="56"/>
      <c r="DW716" s="56"/>
      <c r="DX716" s="56"/>
      <c r="DY716" s="56"/>
      <c r="DZ716" s="56"/>
      <c r="EA716" s="56"/>
      <c r="EB716" s="56"/>
      <c r="EC716" s="56"/>
      <c r="ED716" s="56"/>
      <c r="EE716" s="56"/>
      <c r="EF716" s="56"/>
      <c r="EG716" s="56"/>
      <c r="EH716" s="56"/>
      <c r="EI716" s="56"/>
      <c r="EJ716" s="56"/>
      <c r="EK716" s="56"/>
      <c r="EL716" s="56"/>
      <c r="EM716" s="56"/>
      <c r="EN716" s="56"/>
      <c r="EO716" s="56"/>
      <c r="EP716" s="56"/>
      <c r="EQ716" s="56"/>
      <c r="ER716" s="56"/>
      <c r="ES716" s="56"/>
      <c r="ET716" s="56"/>
      <c r="EU716" s="56"/>
      <c r="EV716" s="56"/>
      <c r="EW716" s="56"/>
      <c r="EX716" s="56"/>
      <c r="EY716" s="56"/>
      <c r="EZ716" s="56"/>
      <c r="FA716" s="56"/>
      <c r="FB716" s="56"/>
      <c r="FC716" s="56"/>
      <c r="FD716" s="56"/>
      <c r="FE716" s="56"/>
      <c r="FF716" s="56"/>
      <c r="FG716" s="56"/>
      <c r="FH716" s="56"/>
      <c r="FI716" s="56"/>
      <c r="FJ716" s="56"/>
      <c r="FK716" s="56"/>
      <c r="FL716" s="56"/>
      <c r="FM716" s="56"/>
      <c r="FN716" s="56"/>
      <c r="FO716" s="56"/>
      <c r="FP716" s="56"/>
      <c r="FQ716" s="56"/>
      <c r="FR716" s="56"/>
      <c r="FS716" s="56"/>
      <c r="FT716" s="56"/>
      <c r="FU716" s="56"/>
      <c r="FV716" s="56"/>
      <c r="FW716" s="56"/>
      <c r="FX716" s="56"/>
      <c r="FY716" s="56"/>
      <c r="FZ716" s="56"/>
      <c r="GA716" s="56"/>
      <c r="GB716" s="56"/>
      <c r="GC716" s="56"/>
      <c r="GD716" s="56"/>
      <c r="GE716" s="56"/>
      <c r="GF716" s="56"/>
      <c r="GG716" s="56"/>
      <c r="GH716" s="56"/>
      <c r="GI716" s="56"/>
      <c r="GJ716" s="56"/>
      <c r="GK716" s="56"/>
      <c r="GL716" s="56"/>
      <c r="GM716" s="56"/>
      <c r="GN716" s="56"/>
      <c r="GO716" s="56"/>
      <c r="GP716" s="56"/>
      <c r="GQ716" s="56"/>
      <c r="GR716" s="56"/>
      <c r="GS716" s="56"/>
      <c r="GT716" s="56"/>
      <c r="GU716" s="56"/>
      <c r="GV716" s="56"/>
      <c r="GW716" s="56"/>
      <c r="GX716" s="56"/>
      <c r="GY716" s="56"/>
      <c r="GZ716" s="56"/>
      <c r="HA716" s="56"/>
      <c r="HB716" s="56"/>
      <c r="HC716" s="56"/>
      <c r="HD716" s="56"/>
      <c r="HE716" s="56"/>
      <c r="HF716" s="56"/>
      <c r="HG716" s="56"/>
      <c r="HH716" s="56"/>
      <c r="HI716" s="56"/>
      <c r="HJ716" s="56"/>
    </row>
    <row r="717" spans="1:218" ht="15.75" customHeight="1" x14ac:dyDescent="0.2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56"/>
      <c r="CP717" s="56"/>
      <c r="CQ717" s="56"/>
      <c r="CR717" s="56"/>
      <c r="CS717" s="56"/>
      <c r="CT717" s="56"/>
      <c r="CU717" s="56"/>
      <c r="CV717" s="56"/>
      <c r="CW717" s="56"/>
      <c r="CX717" s="56"/>
      <c r="CY717" s="56"/>
      <c r="CZ717" s="56"/>
      <c r="DA717" s="56"/>
      <c r="DB717" s="56"/>
      <c r="DC717" s="56"/>
      <c r="DD717" s="56"/>
      <c r="DE717" s="56"/>
      <c r="DF717" s="56"/>
      <c r="DG717" s="56"/>
      <c r="DH717" s="56"/>
      <c r="DI717" s="56"/>
      <c r="DJ717" s="56"/>
      <c r="DK717" s="56"/>
      <c r="DL717" s="56"/>
      <c r="DM717" s="56"/>
      <c r="DN717" s="56"/>
      <c r="DO717" s="56"/>
      <c r="DP717" s="56"/>
      <c r="DQ717" s="56"/>
      <c r="DR717" s="56"/>
      <c r="DS717" s="56"/>
      <c r="DT717" s="56"/>
      <c r="DU717" s="56"/>
      <c r="DV717" s="56"/>
      <c r="DW717" s="56"/>
      <c r="DX717" s="56"/>
      <c r="DY717" s="56"/>
      <c r="DZ717" s="56"/>
      <c r="EA717" s="56"/>
      <c r="EB717" s="56"/>
      <c r="EC717" s="56"/>
      <c r="ED717" s="56"/>
      <c r="EE717" s="56"/>
      <c r="EF717" s="56"/>
      <c r="EG717" s="56"/>
      <c r="EH717" s="56"/>
      <c r="EI717" s="56"/>
      <c r="EJ717" s="56"/>
      <c r="EK717" s="56"/>
      <c r="EL717" s="56"/>
      <c r="EM717" s="56"/>
      <c r="EN717" s="56"/>
      <c r="EO717" s="56"/>
      <c r="EP717" s="56"/>
      <c r="EQ717" s="56"/>
      <c r="ER717" s="56"/>
      <c r="ES717" s="56"/>
      <c r="ET717" s="56"/>
      <c r="EU717" s="56"/>
      <c r="EV717" s="56"/>
      <c r="EW717" s="56"/>
      <c r="EX717" s="56"/>
      <c r="EY717" s="56"/>
      <c r="EZ717" s="56"/>
      <c r="FA717" s="56"/>
      <c r="FB717" s="56"/>
      <c r="FC717" s="56"/>
      <c r="FD717" s="56"/>
      <c r="FE717" s="56"/>
      <c r="FF717" s="56"/>
      <c r="FG717" s="56"/>
      <c r="FH717" s="56"/>
      <c r="FI717" s="56"/>
      <c r="FJ717" s="56"/>
      <c r="FK717" s="56"/>
      <c r="FL717" s="56"/>
      <c r="FM717" s="56"/>
      <c r="FN717" s="56"/>
      <c r="FO717" s="56"/>
      <c r="FP717" s="56"/>
      <c r="FQ717" s="56"/>
      <c r="FR717" s="56"/>
      <c r="FS717" s="56"/>
      <c r="FT717" s="56"/>
      <c r="FU717" s="56"/>
      <c r="FV717" s="56"/>
      <c r="FW717" s="56"/>
      <c r="FX717" s="56"/>
      <c r="FY717" s="56"/>
      <c r="FZ717" s="56"/>
      <c r="GA717" s="56"/>
      <c r="GB717" s="56"/>
      <c r="GC717" s="56"/>
      <c r="GD717" s="56"/>
      <c r="GE717" s="56"/>
      <c r="GF717" s="56"/>
      <c r="GG717" s="56"/>
      <c r="GH717" s="56"/>
      <c r="GI717" s="56"/>
      <c r="GJ717" s="56"/>
      <c r="GK717" s="56"/>
      <c r="GL717" s="56"/>
      <c r="GM717" s="56"/>
      <c r="GN717" s="56"/>
      <c r="GO717" s="56"/>
      <c r="GP717" s="56"/>
      <c r="GQ717" s="56"/>
      <c r="GR717" s="56"/>
      <c r="GS717" s="56"/>
      <c r="GT717" s="56"/>
      <c r="GU717" s="56"/>
      <c r="GV717" s="56"/>
      <c r="GW717" s="56"/>
      <c r="GX717" s="56"/>
      <c r="GY717" s="56"/>
      <c r="GZ717" s="56"/>
      <c r="HA717" s="56"/>
      <c r="HB717" s="56"/>
      <c r="HC717" s="56"/>
      <c r="HD717" s="56"/>
      <c r="HE717" s="56"/>
      <c r="HF717" s="56"/>
      <c r="HG717" s="56"/>
      <c r="HH717" s="56"/>
      <c r="HI717" s="56"/>
      <c r="HJ717" s="56"/>
    </row>
    <row r="718" spans="1:218" ht="15.75" customHeight="1" x14ac:dyDescent="0.2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  <c r="BV718" s="56"/>
      <c r="BW718" s="56"/>
      <c r="BX718" s="56"/>
      <c r="BY718" s="56"/>
      <c r="BZ718" s="56"/>
      <c r="CA718" s="56"/>
      <c r="CB718" s="56"/>
      <c r="CC718" s="56"/>
      <c r="CD718" s="56"/>
      <c r="CE718" s="56"/>
      <c r="CF718" s="56"/>
      <c r="CG718" s="56"/>
      <c r="CH718" s="56"/>
      <c r="CI718" s="56"/>
      <c r="CJ718" s="56"/>
      <c r="CK718" s="56"/>
      <c r="CL718" s="56"/>
      <c r="CM718" s="56"/>
      <c r="CN718" s="56"/>
      <c r="CO718" s="56"/>
      <c r="CP718" s="56"/>
      <c r="CQ718" s="56"/>
      <c r="CR718" s="56"/>
      <c r="CS718" s="56"/>
      <c r="CT718" s="56"/>
      <c r="CU718" s="56"/>
      <c r="CV718" s="56"/>
      <c r="CW718" s="56"/>
      <c r="CX718" s="56"/>
      <c r="CY718" s="56"/>
      <c r="CZ718" s="56"/>
      <c r="DA718" s="56"/>
      <c r="DB718" s="56"/>
      <c r="DC718" s="56"/>
      <c r="DD718" s="56"/>
      <c r="DE718" s="56"/>
      <c r="DF718" s="56"/>
      <c r="DG718" s="56"/>
      <c r="DH718" s="56"/>
      <c r="DI718" s="56"/>
      <c r="DJ718" s="56"/>
      <c r="DK718" s="56"/>
      <c r="DL718" s="56"/>
      <c r="DM718" s="56"/>
      <c r="DN718" s="56"/>
      <c r="DO718" s="56"/>
      <c r="DP718" s="56"/>
      <c r="DQ718" s="56"/>
      <c r="DR718" s="56"/>
      <c r="DS718" s="56"/>
      <c r="DT718" s="56"/>
      <c r="DU718" s="56"/>
      <c r="DV718" s="56"/>
      <c r="DW718" s="56"/>
      <c r="DX718" s="56"/>
      <c r="DY718" s="56"/>
      <c r="DZ718" s="56"/>
      <c r="EA718" s="56"/>
      <c r="EB718" s="56"/>
      <c r="EC718" s="56"/>
      <c r="ED718" s="56"/>
      <c r="EE718" s="56"/>
      <c r="EF718" s="56"/>
      <c r="EG718" s="56"/>
      <c r="EH718" s="56"/>
      <c r="EI718" s="56"/>
      <c r="EJ718" s="56"/>
      <c r="EK718" s="56"/>
      <c r="EL718" s="56"/>
      <c r="EM718" s="56"/>
      <c r="EN718" s="56"/>
      <c r="EO718" s="56"/>
      <c r="EP718" s="56"/>
      <c r="EQ718" s="56"/>
      <c r="ER718" s="56"/>
      <c r="ES718" s="56"/>
      <c r="ET718" s="56"/>
      <c r="EU718" s="56"/>
      <c r="EV718" s="56"/>
      <c r="EW718" s="56"/>
      <c r="EX718" s="56"/>
      <c r="EY718" s="56"/>
      <c r="EZ718" s="56"/>
      <c r="FA718" s="56"/>
      <c r="FB718" s="56"/>
      <c r="FC718" s="56"/>
      <c r="FD718" s="56"/>
      <c r="FE718" s="56"/>
      <c r="FF718" s="56"/>
      <c r="FG718" s="56"/>
      <c r="FH718" s="56"/>
      <c r="FI718" s="56"/>
      <c r="FJ718" s="56"/>
      <c r="FK718" s="56"/>
      <c r="FL718" s="56"/>
      <c r="FM718" s="56"/>
      <c r="FN718" s="56"/>
      <c r="FO718" s="56"/>
      <c r="FP718" s="56"/>
      <c r="FQ718" s="56"/>
      <c r="FR718" s="56"/>
      <c r="FS718" s="56"/>
      <c r="FT718" s="56"/>
      <c r="FU718" s="56"/>
      <c r="FV718" s="56"/>
      <c r="FW718" s="56"/>
      <c r="FX718" s="56"/>
      <c r="FY718" s="56"/>
      <c r="FZ718" s="56"/>
      <c r="GA718" s="56"/>
      <c r="GB718" s="56"/>
      <c r="GC718" s="56"/>
      <c r="GD718" s="56"/>
      <c r="GE718" s="56"/>
      <c r="GF718" s="56"/>
      <c r="GG718" s="56"/>
      <c r="GH718" s="56"/>
      <c r="GI718" s="56"/>
      <c r="GJ718" s="56"/>
      <c r="GK718" s="56"/>
      <c r="GL718" s="56"/>
      <c r="GM718" s="56"/>
      <c r="GN718" s="56"/>
      <c r="GO718" s="56"/>
      <c r="GP718" s="56"/>
      <c r="GQ718" s="56"/>
      <c r="GR718" s="56"/>
      <c r="GS718" s="56"/>
      <c r="GT718" s="56"/>
      <c r="GU718" s="56"/>
      <c r="GV718" s="56"/>
      <c r="GW718" s="56"/>
      <c r="GX718" s="56"/>
      <c r="GY718" s="56"/>
      <c r="GZ718" s="56"/>
      <c r="HA718" s="56"/>
      <c r="HB718" s="56"/>
      <c r="HC718" s="56"/>
      <c r="HD718" s="56"/>
      <c r="HE718" s="56"/>
      <c r="HF718" s="56"/>
      <c r="HG718" s="56"/>
      <c r="HH718" s="56"/>
      <c r="HI718" s="56"/>
      <c r="HJ718" s="56"/>
    </row>
    <row r="719" spans="1:218" ht="15.75" customHeight="1" x14ac:dyDescent="0.2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  <c r="BV719" s="56"/>
      <c r="BW719" s="56"/>
      <c r="BX719" s="56"/>
      <c r="BY719" s="56"/>
      <c r="BZ719" s="56"/>
      <c r="CA719" s="56"/>
      <c r="CB719" s="56"/>
      <c r="CC719" s="56"/>
      <c r="CD719" s="56"/>
      <c r="CE719" s="56"/>
      <c r="CF719" s="56"/>
      <c r="CG719" s="56"/>
      <c r="CH719" s="56"/>
      <c r="CI719" s="56"/>
      <c r="CJ719" s="56"/>
      <c r="CK719" s="56"/>
      <c r="CL719" s="56"/>
      <c r="CM719" s="56"/>
      <c r="CN719" s="56"/>
      <c r="CO719" s="56"/>
      <c r="CP719" s="56"/>
      <c r="CQ719" s="56"/>
      <c r="CR719" s="56"/>
      <c r="CS719" s="56"/>
      <c r="CT719" s="56"/>
      <c r="CU719" s="56"/>
      <c r="CV719" s="56"/>
      <c r="CW719" s="56"/>
      <c r="CX719" s="56"/>
      <c r="CY719" s="56"/>
      <c r="CZ719" s="56"/>
      <c r="DA719" s="56"/>
      <c r="DB719" s="56"/>
      <c r="DC719" s="56"/>
      <c r="DD719" s="56"/>
      <c r="DE719" s="56"/>
      <c r="DF719" s="56"/>
      <c r="DG719" s="56"/>
      <c r="DH719" s="56"/>
      <c r="DI719" s="56"/>
      <c r="DJ719" s="56"/>
      <c r="DK719" s="56"/>
      <c r="DL719" s="56"/>
      <c r="DM719" s="56"/>
      <c r="DN719" s="56"/>
      <c r="DO719" s="56"/>
      <c r="DP719" s="56"/>
      <c r="DQ719" s="56"/>
      <c r="DR719" s="56"/>
      <c r="DS719" s="56"/>
      <c r="DT719" s="56"/>
      <c r="DU719" s="56"/>
      <c r="DV719" s="56"/>
      <c r="DW719" s="56"/>
      <c r="DX719" s="56"/>
      <c r="DY719" s="56"/>
      <c r="DZ719" s="56"/>
      <c r="EA719" s="56"/>
      <c r="EB719" s="56"/>
      <c r="EC719" s="56"/>
      <c r="ED719" s="56"/>
      <c r="EE719" s="56"/>
      <c r="EF719" s="56"/>
      <c r="EG719" s="56"/>
      <c r="EH719" s="56"/>
      <c r="EI719" s="56"/>
      <c r="EJ719" s="56"/>
      <c r="EK719" s="56"/>
      <c r="EL719" s="56"/>
      <c r="EM719" s="56"/>
      <c r="EN719" s="56"/>
      <c r="EO719" s="56"/>
      <c r="EP719" s="56"/>
      <c r="EQ719" s="56"/>
      <c r="ER719" s="56"/>
      <c r="ES719" s="56"/>
      <c r="ET719" s="56"/>
      <c r="EU719" s="56"/>
      <c r="EV719" s="56"/>
      <c r="EW719" s="56"/>
      <c r="EX719" s="56"/>
      <c r="EY719" s="56"/>
      <c r="EZ719" s="56"/>
      <c r="FA719" s="56"/>
      <c r="FB719" s="56"/>
      <c r="FC719" s="56"/>
      <c r="FD719" s="56"/>
      <c r="FE719" s="56"/>
      <c r="FF719" s="56"/>
      <c r="FG719" s="56"/>
      <c r="FH719" s="56"/>
      <c r="FI719" s="56"/>
      <c r="FJ719" s="56"/>
      <c r="FK719" s="56"/>
      <c r="FL719" s="56"/>
      <c r="FM719" s="56"/>
      <c r="FN719" s="56"/>
      <c r="FO719" s="56"/>
      <c r="FP719" s="56"/>
      <c r="FQ719" s="56"/>
      <c r="FR719" s="56"/>
      <c r="FS719" s="56"/>
      <c r="FT719" s="56"/>
      <c r="FU719" s="56"/>
      <c r="FV719" s="56"/>
      <c r="FW719" s="56"/>
      <c r="FX719" s="56"/>
      <c r="FY719" s="56"/>
      <c r="FZ719" s="56"/>
      <c r="GA719" s="56"/>
      <c r="GB719" s="56"/>
      <c r="GC719" s="56"/>
      <c r="GD719" s="56"/>
      <c r="GE719" s="56"/>
      <c r="GF719" s="56"/>
      <c r="GG719" s="56"/>
      <c r="GH719" s="56"/>
      <c r="GI719" s="56"/>
      <c r="GJ719" s="56"/>
      <c r="GK719" s="56"/>
      <c r="GL719" s="56"/>
      <c r="GM719" s="56"/>
      <c r="GN719" s="56"/>
      <c r="GO719" s="56"/>
      <c r="GP719" s="56"/>
      <c r="GQ719" s="56"/>
      <c r="GR719" s="56"/>
      <c r="GS719" s="56"/>
      <c r="GT719" s="56"/>
      <c r="GU719" s="56"/>
      <c r="GV719" s="56"/>
      <c r="GW719" s="56"/>
      <c r="GX719" s="56"/>
      <c r="GY719" s="56"/>
      <c r="GZ719" s="56"/>
      <c r="HA719" s="56"/>
      <c r="HB719" s="56"/>
      <c r="HC719" s="56"/>
      <c r="HD719" s="56"/>
      <c r="HE719" s="56"/>
      <c r="HF719" s="56"/>
      <c r="HG719" s="56"/>
      <c r="HH719" s="56"/>
      <c r="HI719" s="56"/>
      <c r="HJ719" s="56"/>
    </row>
    <row r="720" spans="1:218" ht="15.75" customHeight="1" x14ac:dyDescent="0.2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  <c r="CL720" s="56"/>
      <c r="CM720" s="56"/>
      <c r="CN720" s="56"/>
      <c r="CO720" s="56"/>
      <c r="CP720" s="56"/>
      <c r="CQ720" s="56"/>
      <c r="CR720" s="56"/>
      <c r="CS720" s="56"/>
      <c r="CT720" s="56"/>
      <c r="CU720" s="56"/>
      <c r="CV720" s="56"/>
      <c r="CW720" s="56"/>
      <c r="CX720" s="56"/>
      <c r="CY720" s="56"/>
      <c r="CZ720" s="56"/>
      <c r="DA720" s="56"/>
      <c r="DB720" s="56"/>
      <c r="DC720" s="56"/>
      <c r="DD720" s="56"/>
      <c r="DE720" s="56"/>
      <c r="DF720" s="56"/>
      <c r="DG720" s="56"/>
      <c r="DH720" s="56"/>
      <c r="DI720" s="56"/>
      <c r="DJ720" s="56"/>
      <c r="DK720" s="56"/>
      <c r="DL720" s="56"/>
      <c r="DM720" s="56"/>
      <c r="DN720" s="56"/>
      <c r="DO720" s="56"/>
      <c r="DP720" s="56"/>
      <c r="DQ720" s="56"/>
      <c r="DR720" s="56"/>
      <c r="DS720" s="56"/>
      <c r="DT720" s="56"/>
      <c r="DU720" s="56"/>
      <c r="DV720" s="56"/>
      <c r="DW720" s="56"/>
      <c r="DX720" s="56"/>
      <c r="DY720" s="56"/>
      <c r="DZ720" s="56"/>
      <c r="EA720" s="56"/>
      <c r="EB720" s="56"/>
      <c r="EC720" s="56"/>
      <c r="ED720" s="56"/>
      <c r="EE720" s="56"/>
      <c r="EF720" s="56"/>
      <c r="EG720" s="56"/>
      <c r="EH720" s="56"/>
      <c r="EI720" s="56"/>
      <c r="EJ720" s="56"/>
      <c r="EK720" s="56"/>
      <c r="EL720" s="56"/>
      <c r="EM720" s="56"/>
      <c r="EN720" s="56"/>
      <c r="EO720" s="56"/>
      <c r="EP720" s="56"/>
      <c r="EQ720" s="56"/>
      <c r="ER720" s="56"/>
      <c r="ES720" s="56"/>
      <c r="ET720" s="56"/>
      <c r="EU720" s="56"/>
      <c r="EV720" s="56"/>
      <c r="EW720" s="56"/>
      <c r="EX720" s="56"/>
      <c r="EY720" s="56"/>
      <c r="EZ720" s="56"/>
      <c r="FA720" s="56"/>
      <c r="FB720" s="56"/>
      <c r="FC720" s="56"/>
      <c r="FD720" s="56"/>
      <c r="FE720" s="56"/>
      <c r="FF720" s="56"/>
      <c r="FG720" s="56"/>
      <c r="FH720" s="56"/>
      <c r="FI720" s="56"/>
      <c r="FJ720" s="56"/>
      <c r="FK720" s="56"/>
      <c r="FL720" s="56"/>
      <c r="FM720" s="56"/>
      <c r="FN720" s="56"/>
      <c r="FO720" s="56"/>
      <c r="FP720" s="56"/>
      <c r="FQ720" s="56"/>
      <c r="FR720" s="56"/>
      <c r="FS720" s="56"/>
      <c r="FT720" s="56"/>
      <c r="FU720" s="56"/>
      <c r="FV720" s="56"/>
      <c r="FW720" s="56"/>
      <c r="FX720" s="56"/>
      <c r="FY720" s="56"/>
      <c r="FZ720" s="56"/>
      <c r="GA720" s="56"/>
      <c r="GB720" s="56"/>
      <c r="GC720" s="56"/>
      <c r="GD720" s="56"/>
      <c r="GE720" s="56"/>
      <c r="GF720" s="56"/>
      <c r="GG720" s="56"/>
      <c r="GH720" s="56"/>
      <c r="GI720" s="56"/>
      <c r="GJ720" s="56"/>
      <c r="GK720" s="56"/>
      <c r="GL720" s="56"/>
      <c r="GM720" s="56"/>
      <c r="GN720" s="56"/>
      <c r="GO720" s="56"/>
      <c r="GP720" s="56"/>
      <c r="GQ720" s="56"/>
      <c r="GR720" s="56"/>
      <c r="GS720" s="56"/>
      <c r="GT720" s="56"/>
      <c r="GU720" s="56"/>
      <c r="GV720" s="56"/>
      <c r="GW720" s="56"/>
      <c r="GX720" s="56"/>
      <c r="GY720" s="56"/>
      <c r="GZ720" s="56"/>
      <c r="HA720" s="56"/>
      <c r="HB720" s="56"/>
      <c r="HC720" s="56"/>
      <c r="HD720" s="56"/>
      <c r="HE720" s="56"/>
      <c r="HF720" s="56"/>
      <c r="HG720" s="56"/>
      <c r="HH720" s="56"/>
      <c r="HI720" s="56"/>
      <c r="HJ720" s="56"/>
    </row>
    <row r="721" spans="1:218" ht="15.75" customHeight="1" x14ac:dyDescent="0.2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  <c r="CL721" s="56"/>
      <c r="CM721" s="56"/>
      <c r="CN721" s="56"/>
      <c r="CO721" s="56"/>
      <c r="CP721" s="56"/>
      <c r="CQ721" s="56"/>
      <c r="CR721" s="56"/>
      <c r="CS721" s="56"/>
      <c r="CT721" s="56"/>
      <c r="CU721" s="56"/>
      <c r="CV721" s="56"/>
      <c r="CW721" s="56"/>
      <c r="CX721" s="56"/>
      <c r="CY721" s="56"/>
      <c r="CZ721" s="56"/>
      <c r="DA721" s="56"/>
      <c r="DB721" s="56"/>
      <c r="DC721" s="56"/>
      <c r="DD721" s="56"/>
      <c r="DE721" s="56"/>
      <c r="DF721" s="56"/>
      <c r="DG721" s="56"/>
      <c r="DH721" s="56"/>
      <c r="DI721" s="56"/>
      <c r="DJ721" s="56"/>
      <c r="DK721" s="56"/>
      <c r="DL721" s="56"/>
      <c r="DM721" s="56"/>
      <c r="DN721" s="56"/>
      <c r="DO721" s="56"/>
      <c r="DP721" s="56"/>
      <c r="DQ721" s="56"/>
      <c r="DR721" s="56"/>
      <c r="DS721" s="56"/>
      <c r="DT721" s="56"/>
      <c r="DU721" s="56"/>
      <c r="DV721" s="56"/>
      <c r="DW721" s="56"/>
      <c r="DX721" s="56"/>
      <c r="DY721" s="56"/>
      <c r="DZ721" s="56"/>
      <c r="EA721" s="56"/>
      <c r="EB721" s="56"/>
      <c r="EC721" s="56"/>
      <c r="ED721" s="56"/>
      <c r="EE721" s="56"/>
      <c r="EF721" s="56"/>
      <c r="EG721" s="56"/>
      <c r="EH721" s="56"/>
      <c r="EI721" s="56"/>
      <c r="EJ721" s="56"/>
      <c r="EK721" s="56"/>
      <c r="EL721" s="56"/>
      <c r="EM721" s="56"/>
      <c r="EN721" s="56"/>
      <c r="EO721" s="56"/>
      <c r="EP721" s="56"/>
      <c r="EQ721" s="56"/>
      <c r="ER721" s="56"/>
      <c r="ES721" s="56"/>
      <c r="ET721" s="56"/>
      <c r="EU721" s="56"/>
      <c r="EV721" s="56"/>
      <c r="EW721" s="56"/>
      <c r="EX721" s="56"/>
      <c r="EY721" s="56"/>
      <c r="EZ721" s="56"/>
      <c r="FA721" s="56"/>
      <c r="FB721" s="56"/>
      <c r="FC721" s="56"/>
      <c r="FD721" s="56"/>
      <c r="FE721" s="56"/>
      <c r="FF721" s="56"/>
      <c r="FG721" s="56"/>
      <c r="FH721" s="56"/>
      <c r="FI721" s="56"/>
      <c r="FJ721" s="56"/>
      <c r="FK721" s="56"/>
      <c r="FL721" s="56"/>
      <c r="FM721" s="56"/>
      <c r="FN721" s="56"/>
      <c r="FO721" s="56"/>
      <c r="FP721" s="56"/>
      <c r="FQ721" s="56"/>
      <c r="FR721" s="56"/>
      <c r="FS721" s="56"/>
      <c r="FT721" s="56"/>
      <c r="FU721" s="56"/>
      <c r="FV721" s="56"/>
      <c r="FW721" s="56"/>
      <c r="FX721" s="56"/>
      <c r="FY721" s="56"/>
      <c r="FZ721" s="56"/>
      <c r="GA721" s="56"/>
      <c r="GB721" s="56"/>
      <c r="GC721" s="56"/>
      <c r="GD721" s="56"/>
      <c r="GE721" s="56"/>
      <c r="GF721" s="56"/>
      <c r="GG721" s="56"/>
      <c r="GH721" s="56"/>
      <c r="GI721" s="56"/>
      <c r="GJ721" s="56"/>
      <c r="GK721" s="56"/>
      <c r="GL721" s="56"/>
      <c r="GM721" s="56"/>
      <c r="GN721" s="56"/>
      <c r="GO721" s="56"/>
      <c r="GP721" s="56"/>
      <c r="GQ721" s="56"/>
      <c r="GR721" s="56"/>
      <c r="GS721" s="56"/>
      <c r="GT721" s="56"/>
      <c r="GU721" s="56"/>
      <c r="GV721" s="56"/>
      <c r="GW721" s="56"/>
      <c r="GX721" s="56"/>
      <c r="GY721" s="56"/>
      <c r="GZ721" s="56"/>
      <c r="HA721" s="56"/>
      <c r="HB721" s="56"/>
      <c r="HC721" s="56"/>
      <c r="HD721" s="56"/>
      <c r="HE721" s="56"/>
      <c r="HF721" s="56"/>
      <c r="HG721" s="56"/>
      <c r="HH721" s="56"/>
      <c r="HI721" s="56"/>
      <c r="HJ721" s="56"/>
    </row>
    <row r="722" spans="1:218" ht="15.75" customHeight="1" x14ac:dyDescent="0.2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  <c r="BV722" s="56"/>
      <c r="BW722" s="56"/>
      <c r="BX722" s="56"/>
      <c r="BY722" s="56"/>
      <c r="BZ722" s="56"/>
      <c r="CA722" s="56"/>
      <c r="CB722" s="56"/>
      <c r="CC722" s="56"/>
      <c r="CD722" s="56"/>
      <c r="CE722" s="56"/>
      <c r="CF722" s="56"/>
      <c r="CG722" s="56"/>
      <c r="CH722" s="56"/>
      <c r="CI722" s="56"/>
      <c r="CJ722" s="56"/>
      <c r="CK722" s="56"/>
      <c r="CL722" s="56"/>
      <c r="CM722" s="56"/>
      <c r="CN722" s="56"/>
      <c r="CO722" s="56"/>
      <c r="CP722" s="56"/>
      <c r="CQ722" s="56"/>
      <c r="CR722" s="56"/>
      <c r="CS722" s="56"/>
      <c r="CT722" s="56"/>
      <c r="CU722" s="56"/>
      <c r="CV722" s="56"/>
      <c r="CW722" s="56"/>
      <c r="CX722" s="56"/>
      <c r="CY722" s="56"/>
      <c r="CZ722" s="56"/>
      <c r="DA722" s="56"/>
      <c r="DB722" s="56"/>
      <c r="DC722" s="56"/>
      <c r="DD722" s="56"/>
      <c r="DE722" s="56"/>
      <c r="DF722" s="56"/>
      <c r="DG722" s="56"/>
      <c r="DH722" s="56"/>
      <c r="DI722" s="56"/>
      <c r="DJ722" s="56"/>
      <c r="DK722" s="56"/>
      <c r="DL722" s="56"/>
      <c r="DM722" s="56"/>
      <c r="DN722" s="56"/>
      <c r="DO722" s="56"/>
      <c r="DP722" s="56"/>
      <c r="DQ722" s="56"/>
      <c r="DR722" s="56"/>
      <c r="DS722" s="56"/>
      <c r="DT722" s="56"/>
      <c r="DU722" s="56"/>
      <c r="DV722" s="56"/>
      <c r="DW722" s="56"/>
      <c r="DX722" s="56"/>
      <c r="DY722" s="56"/>
      <c r="DZ722" s="56"/>
      <c r="EA722" s="56"/>
      <c r="EB722" s="56"/>
      <c r="EC722" s="56"/>
      <c r="ED722" s="56"/>
      <c r="EE722" s="56"/>
      <c r="EF722" s="56"/>
      <c r="EG722" s="56"/>
      <c r="EH722" s="56"/>
      <c r="EI722" s="56"/>
      <c r="EJ722" s="56"/>
      <c r="EK722" s="56"/>
      <c r="EL722" s="56"/>
      <c r="EM722" s="56"/>
      <c r="EN722" s="56"/>
      <c r="EO722" s="56"/>
      <c r="EP722" s="56"/>
      <c r="EQ722" s="56"/>
      <c r="ER722" s="56"/>
      <c r="ES722" s="56"/>
      <c r="ET722" s="56"/>
      <c r="EU722" s="56"/>
      <c r="EV722" s="56"/>
      <c r="EW722" s="56"/>
      <c r="EX722" s="56"/>
      <c r="EY722" s="56"/>
      <c r="EZ722" s="56"/>
      <c r="FA722" s="56"/>
      <c r="FB722" s="56"/>
      <c r="FC722" s="56"/>
      <c r="FD722" s="56"/>
      <c r="FE722" s="56"/>
      <c r="FF722" s="56"/>
      <c r="FG722" s="56"/>
      <c r="FH722" s="56"/>
      <c r="FI722" s="56"/>
      <c r="FJ722" s="56"/>
      <c r="FK722" s="56"/>
      <c r="FL722" s="56"/>
      <c r="FM722" s="56"/>
      <c r="FN722" s="56"/>
      <c r="FO722" s="56"/>
      <c r="FP722" s="56"/>
      <c r="FQ722" s="56"/>
      <c r="FR722" s="56"/>
      <c r="FS722" s="56"/>
      <c r="FT722" s="56"/>
      <c r="FU722" s="56"/>
      <c r="FV722" s="56"/>
      <c r="FW722" s="56"/>
      <c r="FX722" s="56"/>
      <c r="FY722" s="56"/>
      <c r="FZ722" s="56"/>
      <c r="GA722" s="56"/>
      <c r="GB722" s="56"/>
      <c r="GC722" s="56"/>
      <c r="GD722" s="56"/>
      <c r="GE722" s="56"/>
      <c r="GF722" s="56"/>
      <c r="GG722" s="56"/>
      <c r="GH722" s="56"/>
      <c r="GI722" s="56"/>
      <c r="GJ722" s="56"/>
      <c r="GK722" s="56"/>
      <c r="GL722" s="56"/>
      <c r="GM722" s="56"/>
      <c r="GN722" s="56"/>
      <c r="GO722" s="56"/>
      <c r="GP722" s="56"/>
      <c r="GQ722" s="56"/>
      <c r="GR722" s="56"/>
      <c r="GS722" s="56"/>
      <c r="GT722" s="56"/>
      <c r="GU722" s="56"/>
      <c r="GV722" s="56"/>
      <c r="GW722" s="56"/>
      <c r="GX722" s="56"/>
      <c r="GY722" s="56"/>
      <c r="GZ722" s="56"/>
      <c r="HA722" s="56"/>
      <c r="HB722" s="56"/>
      <c r="HC722" s="56"/>
      <c r="HD722" s="56"/>
      <c r="HE722" s="56"/>
      <c r="HF722" s="56"/>
      <c r="HG722" s="56"/>
      <c r="HH722" s="56"/>
      <c r="HI722" s="56"/>
      <c r="HJ722" s="56"/>
    </row>
    <row r="723" spans="1:218" ht="15.75" customHeight="1" x14ac:dyDescent="0.2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  <c r="BV723" s="56"/>
      <c r="BW723" s="56"/>
      <c r="BX723" s="56"/>
      <c r="BY723" s="56"/>
      <c r="BZ723" s="56"/>
      <c r="CA723" s="56"/>
      <c r="CB723" s="56"/>
      <c r="CC723" s="56"/>
      <c r="CD723" s="56"/>
      <c r="CE723" s="56"/>
      <c r="CF723" s="56"/>
      <c r="CG723" s="56"/>
      <c r="CH723" s="56"/>
      <c r="CI723" s="56"/>
      <c r="CJ723" s="56"/>
      <c r="CK723" s="56"/>
      <c r="CL723" s="56"/>
      <c r="CM723" s="56"/>
      <c r="CN723" s="56"/>
      <c r="CO723" s="56"/>
      <c r="CP723" s="56"/>
      <c r="CQ723" s="56"/>
      <c r="CR723" s="56"/>
      <c r="CS723" s="56"/>
      <c r="CT723" s="56"/>
      <c r="CU723" s="56"/>
      <c r="CV723" s="56"/>
      <c r="CW723" s="56"/>
      <c r="CX723" s="56"/>
      <c r="CY723" s="56"/>
      <c r="CZ723" s="56"/>
      <c r="DA723" s="56"/>
      <c r="DB723" s="56"/>
      <c r="DC723" s="56"/>
      <c r="DD723" s="56"/>
      <c r="DE723" s="56"/>
      <c r="DF723" s="56"/>
      <c r="DG723" s="56"/>
      <c r="DH723" s="56"/>
      <c r="DI723" s="56"/>
      <c r="DJ723" s="56"/>
      <c r="DK723" s="56"/>
      <c r="DL723" s="56"/>
      <c r="DM723" s="56"/>
      <c r="DN723" s="56"/>
      <c r="DO723" s="56"/>
      <c r="DP723" s="56"/>
      <c r="DQ723" s="56"/>
      <c r="DR723" s="56"/>
      <c r="DS723" s="56"/>
      <c r="DT723" s="56"/>
      <c r="DU723" s="56"/>
      <c r="DV723" s="56"/>
      <c r="DW723" s="56"/>
      <c r="DX723" s="56"/>
      <c r="DY723" s="56"/>
      <c r="DZ723" s="56"/>
      <c r="EA723" s="56"/>
      <c r="EB723" s="56"/>
      <c r="EC723" s="56"/>
      <c r="ED723" s="56"/>
      <c r="EE723" s="56"/>
      <c r="EF723" s="56"/>
      <c r="EG723" s="56"/>
      <c r="EH723" s="56"/>
      <c r="EI723" s="56"/>
      <c r="EJ723" s="56"/>
      <c r="EK723" s="56"/>
      <c r="EL723" s="56"/>
      <c r="EM723" s="56"/>
      <c r="EN723" s="56"/>
      <c r="EO723" s="56"/>
      <c r="EP723" s="56"/>
      <c r="EQ723" s="56"/>
      <c r="ER723" s="56"/>
      <c r="ES723" s="56"/>
      <c r="ET723" s="56"/>
      <c r="EU723" s="56"/>
      <c r="EV723" s="56"/>
      <c r="EW723" s="56"/>
      <c r="EX723" s="56"/>
      <c r="EY723" s="56"/>
      <c r="EZ723" s="56"/>
      <c r="FA723" s="56"/>
      <c r="FB723" s="56"/>
      <c r="FC723" s="56"/>
      <c r="FD723" s="56"/>
      <c r="FE723" s="56"/>
      <c r="FF723" s="56"/>
      <c r="FG723" s="56"/>
      <c r="FH723" s="56"/>
      <c r="FI723" s="56"/>
      <c r="FJ723" s="56"/>
      <c r="FK723" s="56"/>
      <c r="FL723" s="56"/>
      <c r="FM723" s="56"/>
      <c r="FN723" s="56"/>
      <c r="FO723" s="56"/>
      <c r="FP723" s="56"/>
      <c r="FQ723" s="56"/>
      <c r="FR723" s="56"/>
      <c r="FS723" s="56"/>
      <c r="FT723" s="56"/>
      <c r="FU723" s="56"/>
      <c r="FV723" s="56"/>
      <c r="FW723" s="56"/>
      <c r="FX723" s="56"/>
      <c r="FY723" s="56"/>
      <c r="FZ723" s="56"/>
      <c r="GA723" s="56"/>
      <c r="GB723" s="56"/>
      <c r="GC723" s="56"/>
      <c r="GD723" s="56"/>
      <c r="GE723" s="56"/>
      <c r="GF723" s="56"/>
      <c r="GG723" s="56"/>
      <c r="GH723" s="56"/>
      <c r="GI723" s="56"/>
      <c r="GJ723" s="56"/>
      <c r="GK723" s="56"/>
      <c r="GL723" s="56"/>
      <c r="GM723" s="56"/>
      <c r="GN723" s="56"/>
      <c r="GO723" s="56"/>
      <c r="GP723" s="56"/>
      <c r="GQ723" s="56"/>
      <c r="GR723" s="56"/>
      <c r="GS723" s="56"/>
      <c r="GT723" s="56"/>
      <c r="GU723" s="56"/>
      <c r="GV723" s="56"/>
      <c r="GW723" s="56"/>
      <c r="GX723" s="56"/>
      <c r="GY723" s="56"/>
      <c r="GZ723" s="56"/>
      <c r="HA723" s="56"/>
      <c r="HB723" s="56"/>
      <c r="HC723" s="56"/>
      <c r="HD723" s="56"/>
      <c r="HE723" s="56"/>
      <c r="HF723" s="56"/>
      <c r="HG723" s="56"/>
      <c r="HH723" s="56"/>
      <c r="HI723" s="56"/>
      <c r="HJ723" s="56"/>
    </row>
    <row r="724" spans="1:218" ht="15.75" customHeight="1" x14ac:dyDescent="0.2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  <c r="CL724" s="56"/>
      <c r="CM724" s="56"/>
      <c r="CN724" s="56"/>
      <c r="CO724" s="56"/>
      <c r="CP724" s="56"/>
      <c r="CQ724" s="56"/>
      <c r="CR724" s="56"/>
      <c r="CS724" s="56"/>
      <c r="CT724" s="56"/>
      <c r="CU724" s="56"/>
      <c r="CV724" s="56"/>
      <c r="CW724" s="56"/>
      <c r="CX724" s="56"/>
      <c r="CY724" s="56"/>
      <c r="CZ724" s="56"/>
      <c r="DA724" s="56"/>
      <c r="DB724" s="56"/>
      <c r="DC724" s="56"/>
      <c r="DD724" s="56"/>
      <c r="DE724" s="56"/>
      <c r="DF724" s="56"/>
      <c r="DG724" s="56"/>
      <c r="DH724" s="56"/>
      <c r="DI724" s="56"/>
      <c r="DJ724" s="56"/>
      <c r="DK724" s="56"/>
      <c r="DL724" s="56"/>
      <c r="DM724" s="56"/>
      <c r="DN724" s="56"/>
      <c r="DO724" s="56"/>
      <c r="DP724" s="56"/>
      <c r="DQ724" s="56"/>
      <c r="DR724" s="56"/>
      <c r="DS724" s="56"/>
      <c r="DT724" s="56"/>
      <c r="DU724" s="56"/>
      <c r="DV724" s="56"/>
      <c r="DW724" s="56"/>
      <c r="DX724" s="56"/>
      <c r="DY724" s="56"/>
      <c r="DZ724" s="56"/>
      <c r="EA724" s="56"/>
      <c r="EB724" s="56"/>
      <c r="EC724" s="56"/>
      <c r="ED724" s="56"/>
      <c r="EE724" s="56"/>
      <c r="EF724" s="56"/>
      <c r="EG724" s="56"/>
      <c r="EH724" s="56"/>
      <c r="EI724" s="56"/>
      <c r="EJ724" s="56"/>
      <c r="EK724" s="56"/>
      <c r="EL724" s="56"/>
      <c r="EM724" s="56"/>
      <c r="EN724" s="56"/>
      <c r="EO724" s="56"/>
      <c r="EP724" s="56"/>
      <c r="EQ724" s="56"/>
      <c r="ER724" s="56"/>
      <c r="ES724" s="56"/>
      <c r="ET724" s="56"/>
      <c r="EU724" s="56"/>
      <c r="EV724" s="56"/>
      <c r="EW724" s="56"/>
      <c r="EX724" s="56"/>
      <c r="EY724" s="56"/>
      <c r="EZ724" s="56"/>
      <c r="FA724" s="56"/>
      <c r="FB724" s="56"/>
      <c r="FC724" s="56"/>
      <c r="FD724" s="56"/>
      <c r="FE724" s="56"/>
      <c r="FF724" s="56"/>
      <c r="FG724" s="56"/>
      <c r="FH724" s="56"/>
      <c r="FI724" s="56"/>
      <c r="FJ724" s="56"/>
      <c r="FK724" s="56"/>
      <c r="FL724" s="56"/>
      <c r="FM724" s="56"/>
      <c r="FN724" s="56"/>
      <c r="FO724" s="56"/>
      <c r="FP724" s="56"/>
      <c r="FQ724" s="56"/>
      <c r="FR724" s="56"/>
      <c r="FS724" s="56"/>
      <c r="FT724" s="56"/>
      <c r="FU724" s="56"/>
      <c r="FV724" s="56"/>
      <c r="FW724" s="56"/>
      <c r="FX724" s="56"/>
      <c r="FY724" s="56"/>
      <c r="FZ724" s="56"/>
      <c r="GA724" s="56"/>
      <c r="GB724" s="56"/>
      <c r="GC724" s="56"/>
      <c r="GD724" s="56"/>
      <c r="GE724" s="56"/>
      <c r="GF724" s="56"/>
      <c r="GG724" s="56"/>
      <c r="GH724" s="56"/>
      <c r="GI724" s="56"/>
      <c r="GJ724" s="56"/>
      <c r="GK724" s="56"/>
      <c r="GL724" s="56"/>
      <c r="GM724" s="56"/>
      <c r="GN724" s="56"/>
      <c r="GO724" s="56"/>
      <c r="GP724" s="56"/>
      <c r="GQ724" s="56"/>
      <c r="GR724" s="56"/>
      <c r="GS724" s="56"/>
      <c r="GT724" s="56"/>
      <c r="GU724" s="56"/>
      <c r="GV724" s="56"/>
      <c r="GW724" s="56"/>
      <c r="GX724" s="56"/>
      <c r="GY724" s="56"/>
      <c r="GZ724" s="56"/>
      <c r="HA724" s="56"/>
      <c r="HB724" s="56"/>
      <c r="HC724" s="56"/>
      <c r="HD724" s="56"/>
      <c r="HE724" s="56"/>
      <c r="HF724" s="56"/>
      <c r="HG724" s="56"/>
      <c r="HH724" s="56"/>
      <c r="HI724" s="56"/>
      <c r="HJ724" s="56"/>
    </row>
    <row r="725" spans="1:218" ht="15.75" customHeight="1" x14ac:dyDescent="0.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  <c r="CL725" s="56"/>
      <c r="CM725" s="56"/>
      <c r="CN725" s="56"/>
      <c r="CO725" s="56"/>
      <c r="CP725" s="56"/>
      <c r="CQ725" s="56"/>
      <c r="CR725" s="56"/>
      <c r="CS725" s="56"/>
      <c r="CT725" s="56"/>
      <c r="CU725" s="56"/>
      <c r="CV725" s="56"/>
      <c r="CW725" s="56"/>
      <c r="CX725" s="56"/>
      <c r="CY725" s="56"/>
      <c r="CZ725" s="56"/>
      <c r="DA725" s="56"/>
      <c r="DB725" s="56"/>
      <c r="DC725" s="56"/>
      <c r="DD725" s="56"/>
      <c r="DE725" s="56"/>
      <c r="DF725" s="56"/>
      <c r="DG725" s="56"/>
      <c r="DH725" s="56"/>
      <c r="DI725" s="56"/>
      <c r="DJ725" s="56"/>
      <c r="DK725" s="56"/>
      <c r="DL725" s="56"/>
      <c r="DM725" s="56"/>
      <c r="DN725" s="56"/>
      <c r="DO725" s="56"/>
      <c r="DP725" s="56"/>
      <c r="DQ725" s="56"/>
      <c r="DR725" s="56"/>
      <c r="DS725" s="56"/>
      <c r="DT725" s="56"/>
      <c r="DU725" s="56"/>
      <c r="DV725" s="56"/>
      <c r="DW725" s="56"/>
      <c r="DX725" s="56"/>
      <c r="DY725" s="56"/>
      <c r="DZ725" s="56"/>
      <c r="EA725" s="56"/>
      <c r="EB725" s="56"/>
      <c r="EC725" s="56"/>
      <c r="ED725" s="56"/>
      <c r="EE725" s="56"/>
      <c r="EF725" s="56"/>
      <c r="EG725" s="56"/>
      <c r="EH725" s="56"/>
      <c r="EI725" s="56"/>
      <c r="EJ725" s="56"/>
      <c r="EK725" s="56"/>
      <c r="EL725" s="56"/>
      <c r="EM725" s="56"/>
      <c r="EN725" s="56"/>
      <c r="EO725" s="56"/>
      <c r="EP725" s="56"/>
      <c r="EQ725" s="56"/>
      <c r="ER725" s="56"/>
      <c r="ES725" s="56"/>
      <c r="ET725" s="56"/>
      <c r="EU725" s="56"/>
      <c r="EV725" s="56"/>
      <c r="EW725" s="56"/>
      <c r="EX725" s="56"/>
      <c r="EY725" s="56"/>
      <c r="EZ725" s="56"/>
      <c r="FA725" s="56"/>
      <c r="FB725" s="56"/>
      <c r="FC725" s="56"/>
      <c r="FD725" s="56"/>
      <c r="FE725" s="56"/>
      <c r="FF725" s="56"/>
      <c r="FG725" s="56"/>
      <c r="FH725" s="56"/>
      <c r="FI725" s="56"/>
      <c r="FJ725" s="56"/>
      <c r="FK725" s="56"/>
      <c r="FL725" s="56"/>
      <c r="FM725" s="56"/>
      <c r="FN725" s="56"/>
      <c r="FO725" s="56"/>
      <c r="FP725" s="56"/>
      <c r="FQ725" s="56"/>
      <c r="FR725" s="56"/>
      <c r="FS725" s="56"/>
      <c r="FT725" s="56"/>
      <c r="FU725" s="56"/>
      <c r="FV725" s="56"/>
      <c r="FW725" s="56"/>
      <c r="FX725" s="56"/>
      <c r="FY725" s="56"/>
      <c r="FZ725" s="56"/>
      <c r="GA725" s="56"/>
      <c r="GB725" s="56"/>
      <c r="GC725" s="56"/>
      <c r="GD725" s="56"/>
      <c r="GE725" s="56"/>
      <c r="GF725" s="56"/>
      <c r="GG725" s="56"/>
      <c r="GH725" s="56"/>
      <c r="GI725" s="56"/>
      <c r="GJ725" s="56"/>
      <c r="GK725" s="56"/>
      <c r="GL725" s="56"/>
      <c r="GM725" s="56"/>
      <c r="GN725" s="56"/>
      <c r="GO725" s="56"/>
      <c r="GP725" s="56"/>
      <c r="GQ725" s="56"/>
      <c r="GR725" s="56"/>
      <c r="GS725" s="56"/>
      <c r="GT725" s="56"/>
      <c r="GU725" s="56"/>
      <c r="GV725" s="56"/>
      <c r="GW725" s="56"/>
      <c r="GX725" s="56"/>
      <c r="GY725" s="56"/>
      <c r="GZ725" s="56"/>
      <c r="HA725" s="56"/>
      <c r="HB725" s="56"/>
      <c r="HC725" s="56"/>
      <c r="HD725" s="56"/>
      <c r="HE725" s="56"/>
      <c r="HF725" s="56"/>
      <c r="HG725" s="56"/>
      <c r="HH725" s="56"/>
      <c r="HI725" s="56"/>
      <c r="HJ725" s="56"/>
    </row>
    <row r="726" spans="1:218" ht="15.75" customHeight="1" x14ac:dyDescent="0.2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  <c r="BV726" s="56"/>
      <c r="BW726" s="56"/>
      <c r="BX726" s="56"/>
      <c r="BY726" s="56"/>
      <c r="BZ726" s="56"/>
      <c r="CA726" s="56"/>
      <c r="CB726" s="56"/>
      <c r="CC726" s="56"/>
      <c r="CD726" s="56"/>
      <c r="CE726" s="56"/>
      <c r="CF726" s="56"/>
      <c r="CG726" s="56"/>
      <c r="CH726" s="56"/>
      <c r="CI726" s="56"/>
      <c r="CJ726" s="56"/>
      <c r="CK726" s="56"/>
      <c r="CL726" s="56"/>
      <c r="CM726" s="56"/>
      <c r="CN726" s="56"/>
      <c r="CO726" s="56"/>
      <c r="CP726" s="56"/>
      <c r="CQ726" s="56"/>
      <c r="CR726" s="56"/>
      <c r="CS726" s="56"/>
      <c r="CT726" s="56"/>
      <c r="CU726" s="56"/>
      <c r="CV726" s="56"/>
      <c r="CW726" s="56"/>
      <c r="CX726" s="56"/>
      <c r="CY726" s="56"/>
      <c r="CZ726" s="56"/>
      <c r="DA726" s="56"/>
      <c r="DB726" s="56"/>
      <c r="DC726" s="56"/>
      <c r="DD726" s="56"/>
      <c r="DE726" s="56"/>
      <c r="DF726" s="56"/>
      <c r="DG726" s="56"/>
      <c r="DH726" s="56"/>
      <c r="DI726" s="56"/>
      <c r="DJ726" s="56"/>
      <c r="DK726" s="56"/>
      <c r="DL726" s="56"/>
      <c r="DM726" s="56"/>
      <c r="DN726" s="56"/>
      <c r="DO726" s="56"/>
      <c r="DP726" s="56"/>
      <c r="DQ726" s="56"/>
      <c r="DR726" s="56"/>
      <c r="DS726" s="56"/>
      <c r="DT726" s="56"/>
      <c r="DU726" s="56"/>
      <c r="DV726" s="56"/>
      <c r="DW726" s="56"/>
      <c r="DX726" s="56"/>
      <c r="DY726" s="56"/>
      <c r="DZ726" s="56"/>
      <c r="EA726" s="56"/>
      <c r="EB726" s="56"/>
      <c r="EC726" s="56"/>
      <c r="ED726" s="56"/>
      <c r="EE726" s="56"/>
      <c r="EF726" s="56"/>
      <c r="EG726" s="56"/>
      <c r="EH726" s="56"/>
      <c r="EI726" s="56"/>
      <c r="EJ726" s="56"/>
      <c r="EK726" s="56"/>
      <c r="EL726" s="56"/>
      <c r="EM726" s="56"/>
      <c r="EN726" s="56"/>
      <c r="EO726" s="56"/>
      <c r="EP726" s="56"/>
      <c r="EQ726" s="56"/>
      <c r="ER726" s="56"/>
      <c r="ES726" s="56"/>
      <c r="ET726" s="56"/>
      <c r="EU726" s="56"/>
      <c r="EV726" s="56"/>
      <c r="EW726" s="56"/>
      <c r="EX726" s="56"/>
      <c r="EY726" s="56"/>
      <c r="EZ726" s="56"/>
      <c r="FA726" s="56"/>
      <c r="FB726" s="56"/>
      <c r="FC726" s="56"/>
      <c r="FD726" s="56"/>
      <c r="FE726" s="56"/>
      <c r="FF726" s="56"/>
      <c r="FG726" s="56"/>
      <c r="FH726" s="56"/>
      <c r="FI726" s="56"/>
      <c r="FJ726" s="56"/>
      <c r="FK726" s="56"/>
      <c r="FL726" s="56"/>
      <c r="FM726" s="56"/>
      <c r="FN726" s="56"/>
      <c r="FO726" s="56"/>
      <c r="FP726" s="56"/>
      <c r="FQ726" s="56"/>
      <c r="FR726" s="56"/>
      <c r="FS726" s="56"/>
      <c r="FT726" s="56"/>
      <c r="FU726" s="56"/>
      <c r="FV726" s="56"/>
      <c r="FW726" s="56"/>
      <c r="FX726" s="56"/>
      <c r="FY726" s="56"/>
      <c r="FZ726" s="56"/>
      <c r="GA726" s="56"/>
      <c r="GB726" s="56"/>
      <c r="GC726" s="56"/>
      <c r="GD726" s="56"/>
      <c r="GE726" s="56"/>
      <c r="GF726" s="56"/>
      <c r="GG726" s="56"/>
      <c r="GH726" s="56"/>
      <c r="GI726" s="56"/>
      <c r="GJ726" s="56"/>
      <c r="GK726" s="56"/>
      <c r="GL726" s="56"/>
      <c r="GM726" s="56"/>
      <c r="GN726" s="56"/>
      <c r="GO726" s="56"/>
      <c r="GP726" s="56"/>
      <c r="GQ726" s="56"/>
      <c r="GR726" s="56"/>
      <c r="GS726" s="56"/>
      <c r="GT726" s="56"/>
      <c r="GU726" s="56"/>
      <c r="GV726" s="56"/>
      <c r="GW726" s="56"/>
      <c r="GX726" s="56"/>
      <c r="GY726" s="56"/>
      <c r="GZ726" s="56"/>
      <c r="HA726" s="56"/>
      <c r="HB726" s="56"/>
      <c r="HC726" s="56"/>
      <c r="HD726" s="56"/>
      <c r="HE726" s="56"/>
      <c r="HF726" s="56"/>
      <c r="HG726" s="56"/>
      <c r="HH726" s="56"/>
      <c r="HI726" s="56"/>
      <c r="HJ726" s="56"/>
    </row>
    <row r="727" spans="1:218" ht="15.75" customHeight="1" x14ac:dyDescent="0.2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  <c r="BV727" s="56"/>
      <c r="BW727" s="56"/>
      <c r="BX727" s="56"/>
      <c r="BY727" s="56"/>
      <c r="BZ727" s="56"/>
      <c r="CA727" s="56"/>
      <c r="CB727" s="56"/>
      <c r="CC727" s="56"/>
      <c r="CD727" s="56"/>
      <c r="CE727" s="56"/>
      <c r="CF727" s="56"/>
      <c r="CG727" s="56"/>
      <c r="CH727" s="56"/>
      <c r="CI727" s="56"/>
      <c r="CJ727" s="56"/>
      <c r="CK727" s="56"/>
      <c r="CL727" s="56"/>
      <c r="CM727" s="56"/>
      <c r="CN727" s="56"/>
      <c r="CO727" s="56"/>
      <c r="CP727" s="56"/>
      <c r="CQ727" s="56"/>
      <c r="CR727" s="56"/>
      <c r="CS727" s="56"/>
      <c r="CT727" s="56"/>
      <c r="CU727" s="56"/>
      <c r="CV727" s="56"/>
      <c r="CW727" s="56"/>
      <c r="CX727" s="56"/>
      <c r="CY727" s="56"/>
      <c r="CZ727" s="56"/>
      <c r="DA727" s="56"/>
      <c r="DB727" s="56"/>
      <c r="DC727" s="56"/>
      <c r="DD727" s="56"/>
      <c r="DE727" s="56"/>
      <c r="DF727" s="56"/>
      <c r="DG727" s="56"/>
      <c r="DH727" s="56"/>
      <c r="DI727" s="56"/>
      <c r="DJ727" s="56"/>
      <c r="DK727" s="56"/>
      <c r="DL727" s="56"/>
      <c r="DM727" s="56"/>
      <c r="DN727" s="56"/>
      <c r="DO727" s="56"/>
      <c r="DP727" s="56"/>
      <c r="DQ727" s="56"/>
      <c r="DR727" s="56"/>
      <c r="DS727" s="56"/>
      <c r="DT727" s="56"/>
      <c r="DU727" s="56"/>
      <c r="DV727" s="56"/>
      <c r="DW727" s="56"/>
      <c r="DX727" s="56"/>
      <c r="DY727" s="56"/>
      <c r="DZ727" s="56"/>
      <c r="EA727" s="56"/>
      <c r="EB727" s="56"/>
      <c r="EC727" s="56"/>
      <c r="ED727" s="56"/>
      <c r="EE727" s="56"/>
      <c r="EF727" s="56"/>
      <c r="EG727" s="56"/>
      <c r="EH727" s="56"/>
      <c r="EI727" s="56"/>
      <c r="EJ727" s="56"/>
      <c r="EK727" s="56"/>
      <c r="EL727" s="56"/>
      <c r="EM727" s="56"/>
      <c r="EN727" s="56"/>
      <c r="EO727" s="56"/>
      <c r="EP727" s="56"/>
      <c r="EQ727" s="56"/>
      <c r="ER727" s="56"/>
      <c r="ES727" s="56"/>
      <c r="ET727" s="56"/>
      <c r="EU727" s="56"/>
      <c r="EV727" s="56"/>
      <c r="EW727" s="56"/>
      <c r="EX727" s="56"/>
      <c r="EY727" s="56"/>
      <c r="EZ727" s="56"/>
      <c r="FA727" s="56"/>
      <c r="FB727" s="56"/>
      <c r="FC727" s="56"/>
      <c r="FD727" s="56"/>
      <c r="FE727" s="56"/>
      <c r="FF727" s="56"/>
      <c r="FG727" s="56"/>
      <c r="FH727" s="56"/>
      <c r="FI727" s="56"/>
      <c r="FJ727" s="56"/>
      <c r="FK727" s="56"/>
      <c r="FL727" s="56"/>
      <c r="FM727" s="56"/>
      <c r="FN727" s="56"/>
      <c r="FO727" s="56"/>
      <c r="FP727" s="56"/>
      <c r="FQ727" s="56"/>
      <c r="FR727" s="56"/>
      <c r="FS727" s="56"/>
      <c r="FT727" s="56"/>
      <c r="FU727" s="56"/>
      <c r="FV727" s="56"/>
      <c r="FW727" s="56"/>
      <c r="FX727" s="56"/>
      <c r="FY727" s="56"/>
      <c r="FZ727" s="56"/>
      <c r="GA727" s="56"/>
      <c r="GB727" s="56"/>
      <c r="GC727" s="56"/>
      <c r="GD727" s="56"/>
      <c r="GE727" s="56"/>
      <c r="GF727" s="56"/>
      <c r="GG727" s="56"/>
      <c r="GH727" s="56"/>
      <c r="GI727" s="56"/>
      <c r="GJ727" s="56"/>
      <c r="GK727" s="56"/>
      <c r="GL727" s="56"/>
      <c r="GM727" s="56"/>
      <c r="GN727" s="56"/>
      <c r="GO727" s="56"/>
      <c r="GP727" s="56"/>
      <c r="GQ727" s="56"/>
      <c r="GR727" s="56"/>
      <c r="GS727" s="56"/>
      <c r="GT727" s="56"/>
      <c r="GU727" s="56"/>
      <c r="GV727" s="56"/>
      <c r="GW727" s="56"/>
      <c r="GX727" s="56"/>
      <c r="GY727" s="56"/>
      <c r="GZ727" s="56"/>
      <c r="HA727" s="56"/>
      <c r="HB727" s="56"/>
      <c r="HC727" s="56"/>
      <c r="HD727" s="56"/>
      <c r="HE727" s="56"/>
      <c r="HF727" s="56"/>
      <c r="HG727" s="56"/>
      <c r="HH727" s="56"/>
      <c r="HI727" s="56"/>
      <c r="HJ727" s="56"/>
    </row>
    <row r="728" spans="1:218" ht="15.75" customHeight="1" x14ac:dyDescent="0.2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  <c r="CL728" s="56"/>
      <c r="CM728" s="56"/>
      <c r="CN728" s="56"/>
      <c r="CO728" s="56"/>
      <c r="CP728" s="56"/>
      <c r="CQ728" s="56"/>
      <c r="CR728" s="56"/>
      <c r="CS728" s="56"/>
      <c r="CT728" s="56"/>
      <c r="CU728" s="56"/>
      <c r="CV728" s="56"/>
      <c r="CW728" s="56"/>
      <c r="CX728" s="56"/>
      <c r="CY728" s="56"/>
      <c r="CZ728" s="56"/>
      <c r="DA728" s="56"/>
      <c r="DB728" s="56"/>
      <c r="DC728" s="56"/>
      <c r="DD728" s="56"/>
      <c r="DE728" s="56"/>
      <c r="DF728" s="56"/>
      <c r="DG728" s="56"/>
      <c r="DH728" s="56"/>
      <c r="DI728" s="56"/>
      <c r="DJ728" s="56"/>
      <c r="DK728" s="56"/>
      <c r="DL728" s="56"/>
      <c r="DM728" s="56"/>
      <c r="DN728" s="56"/>
      <c r="DO728" s="56"/>
      <c r="DP728" s="56"/>
      <c r="DQ728" s="56"/>
      <c r="DR728" s="56"/>
      <c r="DS728" s="56"/>
      <c r="DT728" s="56"/>
      <c r="DU728" s="56"/>
      <c r="DV728" s="56"/>
      <c r="DW728" s="56"/>
      <c r="DX728" s="56"/>
      <c r="DY728" s="56"/>
      <c r="DZ728" s="56"/>
      <c r="EA728" s="56"/>
      <c r="EB728" s="56"/>
      <c r="EC728" s="56"/>
      <c r="ED728" s="56"/>
      <c r="EE728" s="56"/>
      <c r="EF728" s="56"/>
      <c r="EG728" s="56"/>
      <c r="EH728" s="56"/>
      <c r="EI728" s="56"/>
      <c r="EJ728" s="56"/>
      <c r="EK728" s="56"/>
      <c r="EL728" s="56"/>
      <c r="EM728" s="56"/>
      <c r="EN728" s="56"/>
      <c r="EO728" s="56"/>
      <c r="EP728" s="56"/>
      <c r="EQ728" s="56"/>
      <c r="ER728" s="56"/>
      <c r="ES728" s="56"/>
      <c r="ET728" s="56"/>
      <c r="EU728" s="56"/>
      <c r="EV728" s="56"/>
      <c r="EW728" s="56"/>
      <c r="EX728" s="56"/>
      <c r="EY728" s="56"/>
      <c r="EZ728" s="56"/>
      <c r="FA728" s="56"/>
      <c r="FB728" s="56"/>
      <c r="FC728" s="56"/>
      <c r="FD728" s="56"/>
      <c r="FE728" s="56"/>
      <c r="FF728" s="56"/>
      <c r="FG728" s="56"/>
      <c r="FH728" s="56"/>
      <c r="FI728" s="56"/>
      <c r="FJ728" s="56"/>
      <c r="FK728" s="56"/>
      <c r="FL728" s="56"/>
      <c r="FM728" s="56"/>
      <c r="FN728" s="56"/>
      <c r="FO728" s="56"/>
      <c r="FP728" s="56"/>
      <c r="FQ728" s="56"/>
      <c r="FR728" s="56"/>
      <c r="FS728" s="56"/>
      <c r="FT728" s="56"/>
      <c r="FU728" s="56"/>
      <c r="FV728" s="56"/>
      <c r="FW728" s="56"/>
      <c r="FX728" s="56"/>
      <c r="FY728" s="56"/>
      <c r="FZ728" s="56"/>
      <c r="GA728" s="56"/>
      <c r="GB728" s="56"/>
      <c r="GC728" s="56"/>
      <c r="GD728" s="56"/>
      <c r="GE728" s="56"/>
      <c r="GF728" s="56"/>
      <c r="GG728" s="56"/>
      <c r="GH728" s="56"/>
      <c r="GI728" s="56"/>
      <c r="GJ728" s="56"/>
      <c r="GK728" s="56"/>
      <c r="GL728" s="56"/>
      <c r="GM728" s="56"/>
      <c r="GN728" s="56"/>
      <c r="GO728" s="56"/>
      <c r="GP728" s="56"/>
      <c r="GQ728" s="56"/>
      <c r="GR728" s="56"/>
      <c r="GS728" s="56"/>
      <c r="GT728" s="56"/>
      <c r="GU728" s="56"/>
      <c r="GV728" s="56"/>
      <c r="GW728" s="56"/>
      <c r="GX728" s="56"/>
      <c r="GY728" s="56"/>
      <c r="GZ728" s="56"/>
      <c r="HA728" s="56"/>
      <c r="HB728" s="56"/>
      <c r="HC728" s="56"/>
      <c r="HD728" s="56"/>
      <c r="HE728" s="56"/>
      <c r="HF728" s="56"/>
      <c r="HG728" s="56"/>
      <c r="HH728" s="56"/>
      <c r="HI728" s="56"/>
      <c r="HJ728" s="56"/>
    </row>
    <row r="729" spans="1:218" ht="15.75" customHeight="1" x14ac:dyDescent="0.2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  <c r="BV729" s="56"/>
      <c r="BW729" s="56"/>
      <c r="BX729" s="56"/>
      <c r="BY729" s="56"/>
      <c r="BZ729" s="56"/>
      <c r="CA729" s="56"/>
      <c r="CB729" s="56"/>
      <c r="CC729" s="56"/>
      <c r="CD729" s="56"/>
      <c r="CE729" s="56"/>
      <c r="CF729" s="56"/>
      <c r="CG729" s="56"/>
      <c r="CH729" s="56"/>
      <c r="CI729" s="56"/>
      <c r="CJ729" s="56"/>
      <c r="CK729" s="56"/>
      <c r="CL729" s="56"/>
      <c r="CM729" s="56"/>
      <c r="CN729" s="56"/>
      <c r="CO729" s="56"/>
      <c r="CP729" s="56"/>
      <c r="CQ729" s="56"/>
      <c r="CR729" s="56"/>
      <c r="CS729" s="56"/>
      <c r="CT729" s="56"/>
      <c r="CU729" s="56"/>
      <c r="CV729" s="56"/>
      <c r="CW729" s="56"/>
      <c r="CX729" s="56"/>
      <c r="CY729" s="56"/>
      <c r="CZ729" s="56"/>
      <c r="DA729" s="56"/>
      <c r="DB729" s="56"/>
      <c r="DC729" s="56"/>
      <c r="DD729" s="56"/>
      <c r="DE729" s="56"/>
      <c r="DF729" s="56"/>
      <c r="DG729" s="56"/>
      <c r="DH729" s="56"/>
      <c r="DI729" s="56"/>
      <c r="DJ729" s="56"/>
      <c r="DK729" s="56"/>
      <c r="DL729" s="56"/>
      <c r="DM729" s="56"/>
      <c r="DN729" s="56"/>
      <c r="DO729" s="56"/>
      <c r="DP729" s="56"/>
      <c r="DQ729" s="56"/>
      <c r="DR729" s="56"/>
      <c r="DS729" s="56"/>
      <c r="DT729" s="56"/>
      <c r="DU729" s="56"/>
      <c r="DV729" s="56"/>
      <c r="DW729" s="56"/>
      <c r="DX729" s="56"/>
      <c r="DY729" s="56"/>
      <c r="DZ729" s="56"/>
      <c r="EA729" s="56"/>
      <c r="EB729" s="56"/>
      <c r="EC729" s="56"/>
      <c r="ED729" s="56"/>
      <c r="EE729" s="56"/>
      <c r="EF729" s="56"/>
      <c r="EG729" s="56"/>
      <c r="EH729" s="56"/>
      <c r="EI729" s="56"/>
      <c r="EJ729" s="56"/>
      <c r="EK729" s="56"/>
      <c r="EL729" s="56"/>
      <c r="EM729" s="56"/>
      <c r="EN729" s="56"/>
      <c r="EO729" s="56"/>
      <c r="EP729" s="56"/>
      <c r="EQ729" s="56"/>
      <c r="ER729" s="56"/>
      <c r="ES729" s="56"/>
      <c r="ET729" s="56"/>
      <c r="EU729" s="56"/>
      <c r="EV729" s="56"/>
      <c r="EW729" s="56"/>
      <c r="EX729" s="56"/>
      <c r="EY729" s="56"/>
      <c r="EZ729" s="56"/>
      <c r="FA729" s="56"/>
      <c r="FB729" s="56"/>
      <c r="FC729" s="56"/>
      <c r="FD729" s="56"/>
      <c r="FE729" s="56"/>
      <c r="FF729" s="56"/>
      <c r="FG729" s="56"/>
      <c r="FH729" s="56"/>
      <c r="FI729" s="56"/>
      <c r="FJ729" s="56"/>
      <c r="FK729" s="56"/>
      <c r="FL729" s="56"/>
      <c r="FM729" s="56"/>
      <c r="FN729" s="56"/>
      <c r="FO729" s="56"/>
      <c r="FP729" s="56"/>
      <c r="FQ729" s="56"/>
      <c r="FR729" s="56"/>
      <c r="FS729" s="56"/>
      <c r="FT729" s="56"/>
      <c r="FU729" s="56"/>
      <c r="FV729" s="56"/>
      <c r="FW729" s="56"/>
      <c r="FX729" s="56"/>
      <c r="FY729" s="56"/>
      <c r="FZ729" s="56"/>
      <c r="GA729" s="56"/>
      <c r="GB729" s="56"/>
      <c r="GC729" s="56"/>
      <c r="GD729" s="56"/>
      <c r="GE729" s="56"/>
      <c r="GF729" s="56"/>
      <c r="GG729" s="56"/>
      <c r="GH729" s="56"/>
      <c r="GI729" s="56"/>
      <c r="GJ729" s="56"/>
      <c r="GK729" s="56"/>
      <c r="GL729" s="56"/>
      <c r="GM729" s="56"/>
      <c r="GN729" s="56"/>
      <c r="GO729" s="56"/>
      <c r="GP729" s="56"/>
      <c r="GQ729" s="56"/>
      <c r="GR729" s="56"/>
      <c r="GS729" s="56"/>
      <c r="GT729" s="56"/>
      <c r="GU729" s="56"/>
      <c r="GV729" s="56"/>
      <c r="GW729" s="56"/>
      <c r="GX729" s="56"/>
      <c r="GY729" s="56"/>
      <c r="GZ729" s="56"/>
      <c r="HA729" s="56"/>
      <c r="HB729" s="56"/>
      <c r="HC729" s="56"/>
      <c r="HD729" s="56"/>
      <c r="HE729" s="56"/>
      <c r="HF729" s="56"/>
      <c r="HG729" s="56"/>
      <c r="HH729" s="56"/>
      <c r="HI729" s="56"/>
      <c r="HJ729" s="56"/>
    </row>
    <row r="730" spans="1:218" ht="15.75" customHeight="1" x14ac:dyDescent="0.2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  <c r="CL730" s="56"/>
      <c r="CM730" s="56"/>
      <c r="CN730" s="56"/>
      <c r="CO730" s="56"/>
      <c r="CP730" s="56"/>
      <c r="CQ730" s="56"/>
      <c r="CR730" s="56"/>
      <c r="CS730" s="56"/>
      <c r="CT730" s="56"/>
      <c r="CU730" s="56"/>
      <c r="CV730" s="56"/>
      <c r="CW730" s="56"/>
      <c r="CX730" s="56"/>
      <c r="CY730" s="56"/>
      <c r="CZ730" s="56"/>
      <c r="DA730" s="56"/>
      <c r="DB730" s="56"/>
      <c r="DC730" s="56"/>
      <c r="DD730" s="56"/>
      <c r="DE730" s="56"/>
      <c r="DF730" s="56"/>
      <c r="DG730" s="56"/>
      <c r="DH730" s="56"/>
      <c r="DI730" s="56"/>
      <c r="DJ730" s="56"/>
      <c r="DK730" s="56"/>
      <c r="DL730" s="56"/>
      <c r="DM730" s="56"/>
      <c r="DN730" s="56"/>
      <c r="DO730" s="56"/>
      <c r="DP730" s="56"/>
      <c r="DQ730" s="56"/>
      <c r="DR730" s="56"/>
      <c r="DS730" s="56"/>
      <c r="DT730" s="56"/>
      <c r="DU730" s="56"/>
      <c r="DV730" s="56"/>
      <c r="DW730" s="56"/>
      <c r="DX730" s="56"/>
      <c r="DY730" s="56"/>
      <c r="DZ730" s="56"/>
      <c r="EA730" s="56"/>
      <c r="EB730" s="56"/>
      <c r="EC730" s="56"/>
      <c r="ED730" s="56"/>
      <c r="EE730" s="56"/>
      <c r="EF730" s="56"/>
      <c r="EG730" s="56"/>
      <c r="EH730" s="56"/>
      <c r="EI730" s="56"/>
      <c r="EJ730" s="56"/>
      <c r="EK730" s="56"/>
      <c r="EL730" s="56"/>
      <c r="EM730" s="56"/>
      <c r="EN730" s="56"/>
      <c r="EO730" s="56"/>
      <c r="EP730" s="56"/>
      <c r="EQ730" s="56"/>
      <c r="ER730" s="56"/>
      <c r="ES730" s="56"/>
      <c r="ET730" s="56"/>
      <c r="EU730" s="56"/>
      <c r="EV730" s="56"/>
      <c r="EW730" s="56"/>
      <c r="EX730" s="56"/>
      <c r="EY730" s="56"/>
      <c r="EZ730" s="56"/>
      <c r="FA730" s="56"/>
      <c r="FB730" s="56"/>
      <c r="FC730" s="56"/>
      <c r="FD730" s="56"/>
      <c r="FE730" s="56"/>
      <c r="FF730" s="56"/>
      <c r="FG730" s="56"/>
      <c r="FH730" s="56"/>
      <c r="FI730" s="56"/>
      <c r="FJ730" s="56"/>
      <c r="FK730" s="56"/>
      <c r="FL730" s="56"/>
      <c r="FM730" s="56"/>
      <c r="FN730" s="56"/>
      <c r="FO730" s="56"/>
      <c r="FP730" s="56"/>
      <c r="FQ730" s="56"/>
      <c r="FR730" s="56"/>
      <c r="FS730" s="56"/>
      <c r="FT730" s="56"/>
      <c r="FU730" s="56"/>
      <c r="FV730" s="56"/>
      <c r="FW730" s="56"/>
      <c r="FX730" s="56"/>
      <c r="FY730" s="56"/>
      <c r="FZ730" s="56"/>
      <c r="GA730" s="56"/>
      <c r="GB730" s="56"/>
      <c r="GC730" s="56"/>
      <c r="GD730" s="56"/>
      <c r="GE730" s="56"/>
      <c r="GF730" s="56"/>
      <c r="GG730" s="56"/>
      <c r="GH730" s="56"/>
      <c r="GI730" s="56"/>
      <c r="GJ730" s="56"/>
      <c r="GK730" s="56"/>
      <c r="GL730" s="56"/>
      <c r="GM730" s="56"/>
      <c r="GN730" s="56"/>
      <c r="GO730" s="56"/>
      <c r="GP730" s="56"/>
      <c r="GQ730" s="56"/>
      <c r="GR730" s="56"/>
      <c r="GS730" s="56"/>
      <c r="GT730" s="56"/>
      <c r="GU730" s="56"/>
      <c r="GV730" s="56"/>
      <c r="GW730" s="56"/>
      <c r="GX730" s="56"/>
      <c r="GY730" s="56"/>
      <c r="GZ730" s="56"/>
      <c r="HA730" s="56"/>
      <c r="HB730" s="56"/>
      <c r="HC730" s="56"/>
      <c r="HD730" s="56"/>
      <c r="HE730" s="56"/>
      <c r="HF730" s="56"/>
      <c r="HG730" s="56"/>
      <c r="HH730" s="56"/>
      <c r="HI730" s="56"/>
      <c r="HJ730" s="56"/>
    </row>
    <row r="731" spans="1:218" ht="15.75" customHeight="1" x14ac:dyDescent="0.2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  <c r="BV731" s="56"/>
      <c r="BW731" s="56"/>
      <c r="BX731" s="56"/>
      <c r="BY731" s="56"/>
      <c r="BZ731" s="56"/>
      <c r="CA731" s="56"/>
      <c r="CB731" s="56"/>
      <c r="CC731" s="56"/>
      <c r="CD731" s="56"/>
      <c r="CE731" s="56"/>
      <c r="CF731" s="56"/>
      <c r="CG731" s="56"/>
      <c r="CH731" s="56"/>
      <c r="CI731" s="56"/>
      <c r="CJ731" s="56"/>
      <c r="CK731" s="56"/>
      <c r="CL731" s="56"/>
      <c r="CM731" s="56"/>
      <c r="CN731" s="56"/>
      <c r="CO731" s="56"/>
      <c r="CP731" s="56"/>
      <c r="CQ731" s="56"/>
      <c r="CR731" s="56"/>
      <c r="CS731" s="56"/>
      <c r="CT731" s="56"/>
      <c r="CU731" s="56"/>
      <c r="CV731" s="56"/>
      <c r="CW731" s="56"/>
      <c r="CX731" s="56"/>
      <c r="CY731" s="56"/>
      <c r="CZ731" s="56"/>
      <c r="DA731" s="56"/>
      <c r="DB731" s="56"/>
      <c r="DC731" s="56"/>
      <c r="DD731" s="56"/>
      <c r="DE731" s="56"/>
      <c r="DF731" s="56"/>
      <c r="DG731" s="56"/>
      <c r="DH731" s="56"/>
      <c r="DI731" s="56"/>
      <c r="DJ731" s="56"/>
      <c r="DK731" s="56"/>
      <c r="DL731" s="56"/>
      <c r="DM731" s="56"/>
      <c r="DN731" s="56"/>
      <c r="DO731" s="56"/>
      <c r="DP731" s="56"/>
      <c r="DQ731" s="56"/>
      <c r="DR731" s="56"/>
      <c r="DS731" s="56"/>
      <c r="DT731" s="56"/>
      <c r="DU731" s="56"/>
      <c r="DV731" s="56"/>
      <c r="DW731" s="56"/>
      <c r="DX731" s="56"/>
      <c r="DY731" s="56"/>
      <c r="DZ731" s="56"/>
      <c r="EA731" s="56"/>
      <c r="EB731" s="56"/>
      <c r="EC731" s="56"/>
      <c r="ED731" s="56"/>
      <c r="EE731" s="56"/>
      <c r="EF731" s="56"/>
      <c r="EG731" s="56"/>
      <c r="EH731" s="56"/>
      <c r="EI731" s="56"/>
      <c r="EJ731" s="56"/>
      <c r="EK731" s="56"/>
      <c r="EL731" s="56"/>
      <c r="EM731" s="56"/>
      <c r="EN731" s="56"/>
      <c r="EO731" s="56"/>
      <c r="EP731" s="56"/>
      <c r="EQ731" s="56"/>
      <c r="ER731" s="56"/>
      <c r="ES731" s="56"/>
      <c r="ET731" s="56"/>
      <c r="EU731" s="56"/>
      <c r="EV731" s="56"/>
      <c r="EW731" s="56"/>
      <c r="EX731" s="56"/>
      <c r="EY731" s="56"/>
      <c r="EZ731" s="56"/>
      <c r="FA731" s="56"/>
      <c r="FB731" s="56"/>
      <c r="FC731" s="56"/>
      <c r="FD731" s="56"/>
      <c r="FE731" s="56"/>
      <c r="FF731" s="56"/>
      <c r="FG731" s="56"/>
      <c r="FH731" s="56"/>
      <c r="FI731" s="56"/>
      <c r="FJ731" s="56"/>
      <c r="FK731" s="56"/>
      <c r="FL731" s="56"/>
      <c r="FM731" s="56"/>
      <c r="FN731" s="56"/>
      <c r="FO731" s="56"/>
      <c r="FP731" s="56"/>
      <c r="FQ731" s="56"/>
      <c r="FR731" s="56"/>
      <c r="FS731" s="56"/>
      <c r="FT731" s="56"/>
      <c r="FU731" s="56"/>
      <c r="FV731" s="56"/>
      <c r="FW731" s="56"/>
      <c r="FX731" s="56"/>
      <c r="FY731" s="56"/>
      <c r="FZ731" s="56"/>
      <c r="GA731" s="56"/>
      <c r="GB731" s="56"/>
      <c r="GC731" s="56"/>
      <c r="GD731" s="56"/>
      <c r="GE731" s="56"/>
      <c r="GF731" s="56"/>
      <c r="GG731" s="56"/>
      <c r="GH731" s="56"/>
      <c r="GI731" s="56"/>
      <c r="GJ731" s="56"/>
      <c r="GK731" s="56"/>
      <c r="GL731" s="56"/>
      <c r="GM731" s="56"/>
      <c r="GN731" s="56"/>
      <c r="GO731" s="56"/>
      <c r="GP731" s="56"/>
      <c r="GQ731" s="56"/>
      <c r="GR731" s="56"/>
      <c r="GS731" s="56"/>
      <c r="GT731" s="56"/>
      <c r="GU731" s="56"/>
      <c r="GV731" s="56"/>
      <c r="GW731" s="56"/>
      <c r="GX731" s="56"/>
      <c r="GY731" s="56"/>
      <c r="GZ731" s="56"/>
      <c r="HA731" s="56"/>
      <c r="HB731" s="56"/>
      <c r="HC731" s="56"/>
      <c r="HD731" s="56"/>
      <c r="HE731" s="56"/>
      <c r="HF731" s="56"/>
      <c r="HG731" s="56"/>
      <c r="HH731" s="56"/>
      <c r="HI731" s="56"/>
      <c r="HJ731" s="56"/>
    </row>
    <row r="732" spans="1:218" ht="15.75" customHeight="1" x14ac:dyDescent="0.2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6"/>
      <c r="CF732" s="56"/>
      <c r="CG732" s="56"/>
      <c r="CH732" s="56"/>
      <c r="CI732" s="56"/>
      <c r="CJ732" s="56"/>
      <c r="CK732" s="56"/>
      <c r="CL732" s="56"/>
      <c r="CM732" s="56"/>
      <c r="CN732" s="56"/>
      <c r="CO732" s="56"/>
      <c r="CP732" s="56"/>
      <c r="CQ732" s="56"/>
      <c r="CR732" s="56"/>
      <c r="CS732" s="56"/>
      <c r="CT732" s="56"/>
      <c r="CU732" s="56"/>
      <c r="CV732" s="56"/>
      <c r="CW732" s="56"/>
      <c r="CX732" s="56"/>
      <c r="CY732" s="56"/>
      <c r="CZ732" s="56"/>
      <c r="DA732" s="56"/>
      <c r="DB732" s="56"/>
      <c r="DC732" s="56"/>
      <c r="DD732" s="56"/>
      <c r="DE732" s="56"/>
      <c r="DF732" s="56"/>
      <c r="DG732" s="56"/>
      <c r="DH732" s="56"/>
      <c r="DI732" s="56"/>
      <c r="DJ732" s="56"/>
      <c r="DK732" s="56"/>
      <c r="DL732" s="56"/>
      <c r="DM732" s="56"/>
      <c r="DN732" s="56"/>
      <c r="DO732" s="56"/>
      <c r="DP732" s="56"/>
      <c r="DQ732" s="56"/>
      <c r="DR732" s="56"/>
      <c r="DS732" s="56"/>
      <c r="DT732" s="56"/>
      <c r="DU732" s="56"/>
      <c r="DV732" s="56"/>
      <c r="DW732" s="56"/>
      <c r="DX732" s="56"/>
      <c r="DY732" s="56"/>
      <c r="DZ732" s="56"/>
      <c r="EA732" s="56"/>
      <c r="EB732" s="56"/>
      <c r="EC732" s="56"/>
      <c r="ED732" s="56"/>
      <c r="EE732" s="56"/>
      <c r="EF732" s="56"/>
      <c r="EG732" s="56"/>
      <c r="EH732" s="56"/>
      <c r="EI732" s="56"/>
      <c r="EJ732" s="56"/>
      <c r="EK732" s="56"/>
      <c r="EL732" s="56"/>
      <c r="EM732" s="56"/>
      <c r="EN732" s="56"/>
      <c r="EO732" s="56"/>
      <c r="EP732" s="56"/>
      <c r="EQ732" s="56"/>
      <c r="ER732" s="56"/>
      <c r="ES732" s="56"/>
      <c r="ET732" s="56"/>
      <c r="EU732" s="56"/>
      <c r="EV732" s="56"/>
      <c r="EW732" s="56"/>
      <c r="EX732" s="56"/>
      <c r="EY732" s="56"/>
      <c r="EZ732" s="56"/>
      <c r="FA732" s="56"/>
      <c r="FB732" s="56"/>
      <c r="FC732" s="56"/>
      <c r="FD732" s="56"/>
      <c r="FE732" s="56"/>
      <c r="FF732" s="56"/>
      <c r="FG732" s="56"/>
      <c r="FH732" s="56"/>
      <c r="FI732" s="56"/>
      <c r="FJ732" s="56"/>
      <c r="FK732" s="56"/>
      <c r="FL732" s="56"/>
      <c r="FM732" s="56"/>
      <c r="FN732" s="56"/>
      <c r="FO732" s="56"/>
      <c r="FP732" s="56"/>
      <c r="FQ732" s="56"/>
      <c r="FR732" s="56"/>
      <c r="FS732" s="56"/>
      <c r="FT732" s="56"/>
      <c r="FU732" s="56"/>
      <c r="FV732" s="56"/>
      <c r="FW732" s="56"/>
      <c r="FX732" s="56"/>
      <c r="FY732" s="56"/>
      <c r="FZ732" s="56"/>
      <c r="GA732" s="56"/>
      <c r="GB732" s="56"/>
      <c r="GC732" s="56"/>
      <c r="GD732" s="56"/>
      <c r="GE732" s="56"/>
      <c r="GF732" s="56"/>
      <c r="GG732" s="56"/>
      <c r="GH732" s="56"/>
      <c r="GI732" s="56"/>
      <c r="GJ732" s="56"/>
      <c r="GK732" s="56"/>
      <c r="GL732" s="56"/>
      <c r="GM732" s="56"/>
      <c r="GN732" s="56"/>
      <c r="GO732" s="56"/>
      <c r="GP732" s="56"/>
      <c r="GQ732" s="56"/>
      <c r="GR732" s="56"/>
      <c r="GS732" s="56"/>
      <c r="GT732" s="56"/>
      <c r="GU732" s="56"/>
      <c r="GV732" s="56"/>
      <c r="GW732" s="56"/>
      <c r="GX732" s="56"/>
      <c r="GY732" s="56"/>
      <c r="GZ732" s="56"/>
      <c r="HA732" s="56"/>
      <c r="HB732" s="56"/>
      <c r="HC732" s="56"/>
      <c r="HD732" s="56"/>
      <c r="HE732" s="56"/>
      <c r="HF732" s="56"/>
      <c r="HG732" s="56"/>
      <c r="HH732" s="56"/>
      <c r="HI732" s="56"/>
      <c r="HJ732" s="56"/>
    </row>
    <row r="733" spans="1:218" ht="15.75" customHeight="1" x14ac:dyDescent="0.2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  <c r="BV733" s="56"/>
      <c r="BW733" s="56"/>
      <c r="BX733" s="56"/>
      <c r="BY733" s="56"/>
      <c r="BZ733" s="56"/>
      <c r="CA733" s="56"/>
      <c r="CB733" s="56"/>
      <c r="CC733" s="56"/>
      <c r="CD733" s="56"/>
      <c r="CE733" s="56"/>
      <c r="CF733" s="56"/>
      <c r="CG733" s="56"/>
      <c r="CH733" s="56"/>
      <c r="CI733" s="56"/>
      <c r="CJ733" s="56"/>
      <c r="CK733" s="56"/>
      <c r="CL733" s="56"/>
      <c r="CM733" s="56"/>
      <c r="CN733" s="56"/>
      <c r="CO733" s="56"/>
      <c r="CP733" s="56"/>
      <c r="CQ733" s="56"/>
      <c r="CR733" s="56"/>
      <c r="CS733" s="56"/>
      <c r="CT733" s="56"/>
      <c r="CU733" s="56"/>
      <c r="CV733" s="56"/>
      <c r="CW733" s="56"/>
      <c r="CX733" s="56"/>
      <c r="CY733" s="56"/>
      <c r="CZ733" s="56"/>
      <c r="DA733" s="56"/>
      <c r="DB733" s="56"/>
      <c r="DC733" s="56"/>
      <c r="DD733" s="56"/>
      <c r="DE733" s="56"/>
      <c r="DF733" s="56"/>
      <c r="DG733" s="56"/>
      <c r="DH733" s="56"/>
      <c r="DI733" s="56"/>
      <c r="DJ733" s="56"/>
      <c r="DK733" s="56"/>
      <c r="DL733" s="56"/>
      <c r="DM733" s="56"/>
      <c r="DN733" s="56"/>
      <c r="DO733" s="56"/>
      <c r="DP733" s="56"/>
      <c r="DQ733" s="56"/>
      <c r="DR733" s="56"/>
      <c r="DS733" s="56"/>
      <c r="DT733" s="56"/>
      <c r="DU733" s="56"/>
      <c r="DV733" s="56"/>
      <c r="DW733" s="56"/>
      <c r="DX733" s="56"/>
      <c r="DY733" s="56"/>
      <c r="DZ733" s="56"/>
      <c r="EA733" s="56"/>
      <c r="EB733" s="56"/>
      <c r="EC733" s="56"/>
      <c r="ED733" s="56"/>
      <c r="EE733" s="56"/>
      <c r="EF733" s="56"/>
      <c r="EG733" s="56"/>
      <c r="EH733" s="56"/>
      <c r="EI733" s="56"/>
      <c r="EJ733" s="56"/>
      <c r="EK733" s="56"/>
      <c r="EL733" s="56"/>
      <c r="EM733" s="56"/>
      <c r="EN733" s="56"/>
      <c r="EO733" s="56"/>
      <c r="EP733" s="56"/>
      <c r="EQ733" s="56"/>
      <c r="ER733" s="56"/>
      <c r="ES733" s="56"/>
      <c r="ET733" s="56"/>
      <c r="EU733" s="56"/>
      <c r="EV733" s="56"/>
      <c r="EW733" s="56"/>
      <c r="EX733" s="56"/>
      <c r="EY733" s="56"/>
      <c r="EZ733" s="56"/>
      <c r="FA733" s="56"/>
      <c r="FB733" s="56"/>
      <c r="FC733" s="56"/>
      <c r="FD733" s="56"/>
      <c r="FE733" s="56"/>
      <c r="FF733" s="56"/>
      <c r="FG733" s="56"/>
      <c r="FH733" s="56"/>
      <c r="FI733" s="56"/>
      <c r="FJ733" s="56"/>
      <c r="FK733" s="56"/>
      <c r="FL733" s="56"/>
      <c r="FM733" s="56"/>
      <c r="FN733" s="56"/>
      <c r="FO733" s="56"/>
      <c r="FP733" s="56"/>
      <c r="FQ733" s="56"/>
      <c r="FR733" s="56"/>
      <c r="FS733" s="56"/>
      <c r="FT733" s="56"/>
      <c r="FU733" s="56"/>
      <c r="FV733" s="56"/>
      <c r="FW733" s="56"/>
      <c r="FX733" s="56"/>
      <c r="FY733" s="56"/>
      <c r="FZ733" s="56"/>
      <c r="GA733" s="56"/>
      <c r="GB733" s="56"/>
      <c r="GC733" s="56"/>
      <c r="GD733" s="56"/>
      <c r="GE733" s="56"/>
      <c r="GF733" s="56"/>
      <c r="GG733" s="56"/>
      <c r="GH733" s="56"/>
      <c r="GI733" s="56"/>
      <c r="GJ733" s="56"/>
      <c r="GK733" s="56"/>
      <c r="GL733" s="56"/>
      <c r="GM733" s="56"/>
      <c r="GN733" s="56"/>
      <c r="GO733" s="56"/>
      <c r="GP733" s="56"/>
      <c r="GQ733" s="56"/>
      <c r="GR733" s="56"/>
      <c r="GS733" s="56"/>
      <c r="GT733" s="56"/>
      <c r="GU733" s="56"/>
      <c r="GV733" s="56"/>
      <c r="GW733" s="56"/>
      <c r="GX733" s="56"/>
      <c r="GY733" s="56"/>
      <c r="GZ733" s="56"/>
      <c r="HA733" s="56"/>
      <c r="HB733" s="56"/>
      <c r="HC733" s="56"/>
      <c r="HD733" s="56"/>
      <c r="HE733" s="56"/>
      <c r="HF733" s="56"/>
      <c r="HG733" s="56"/>
      <c r="HH733" s="56"/>
      <c r="HI733" s="56"/>
      <c r="HJ733" s="56"/>
    </row>
    <row r="734" spans="1:218" ht="15.75" customHeight="1" x14ac:dyDescent="0.2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  <c r="BV734" s="56"/>
      <c r="BW734" s="56"/>
      <c r="BX734" s="56"/>
      <c r="BY734" s="56"/>
      <c r="BZ734" s="56"/>
      <c r="CA734" s="56"/>
      <c r="CB734" s="56"/>
      <c r="CC734" s="56"/>
      <c r="CD734" s="56"/>
      <c r="CE734" s="56"/>
      <c r="CF734" s="56"/>
      <c r="CG734" s="56"/>
      <c r="CH734" s="56"/>
      <c r="CI734" s="56"/>
      <c r="CJ734" s="56"/>
      <c r="CK734" s="56"/>
      <c r="CL734" s="56"/>
      <c r="CM734" s="56"/>
      <c r="CN734" s="56"/>
      <c r="CO734" s="56"/>
      <c r="CP734" s="56"/>
      <c r="CQ734" s="56"/>
      <c r="CR734" s="56"/>
      <c r="CS734" s="56"/>
      <c r="CT734" s="56"/>
      <c r="CU734" s="56"/>
      <c r="CV734" s="56"/>
      <c r="CW734" s="56"/>
      <c r="CX734" s="56"/>
      <c r="CY734" s="56"/>
      <c r="CZ734" s="56"/>
      <c r="DA734" s="56"/>
      <c r="DB734" s="56"/>
      <c r="DC734" s="56"/>
      <c r="DD734" s="56"/>
      <c r="DE734" s="56"/>
      <c r="DF734" s="56"/>
      <c r="DG734" s="56"/>
      <c r="DH734" s="56"/>
      <c r="DI734" s="56"/>
      <c r="DJ734" s="56"/>
      <c r="DK734" s="56"/>
      <c r="DL734" s="56"/>
      <c r="DM734" s="56"/>
      <c r="DN734" s="56"/>
      <c r="DO734" s="56"/>
      <c r="DP734" s="56"/>
      <c r="DQ734" s="56"/>
      <c r="DR734" s="56"/>
      <c r="DS734" s="56"/>
      <c r="DT734" s="56"/>
      <c r="DU734" s="56"/>
      <c r="DV734" s="56"/>
      <c r="DW734" s="56"/>
      <c r="DX734" s="56"/>
      <c r="DY734" s="56"/>
      <c r="DZ734" s="56"/>
      <c r="EA734" s="56"/>
      <c r="EB734" s="56"/>
      <c r="EC734" s="56"/>
      <c r="ED734" s="56"/>
      <c r="EE734" s="56"/>
      <c r="EF734" s="56"/>
      <c r="EG734" s="56"/>
      <c r="EH734" s="56"/>
      <c r="EI734" s="56"/>
      <c r="EJ734" s="56"/>
      <c r="EK734" s="56"/>
      <c r="EL734" s="56"/>
      <c r="EM734" s="56"/>
      <c r="EN734" s="56"/>
      <c r="EO734" s="56"/>
      <c r="EP734" s="56"/>
      <c r="EQ734" s="56"/>
      <c r="ER734" s="56"/>
      <c r="ES734" s="56"/>
      <c r="ET734" s="56"/>
      <c r="EU734" s="56"/>
      <c r="EV734" s="56"/>
      <c r="EW734" s="56"/>
      <c r="EX734" s="56"/>
      <c r="EY734" s="56"/>
      <c r="EZ734" s="56"/>
      <c r="FA734" s="56"/>
      <c r="FB734" s="56"/>
      <c r="FC734" s="56"/>
      <c r="FD734" s="56"/>
      <c r="FE734" s="56"/>
      <c r="FF734" s="56"/>
      <c r="FG734" s="56"/>
      <c r="FH734" s="56"/>
      <c r="FI734" s="56"/>
      <c r="FJ734" s="56"/>
      <c r="FK734" s="56"/>
      <c r="FL734" s="56"/>
      <c r="FM734" s="56"/>
      <c r="FN734" s="56"/>
      <c r="FO734" s="56"/>
      <c r="FP734" s="56"/>
      <c r="FQ734" s="56"/>
      <c r="FR734" s="56"/>
      <c r="FS734" s="56"/>
      <c r="FT734" s="56"/>
      <c r="FU734" s="56"/>
      <c r="FV734" s="56"/>
      <c r="FW734" s="56"/>
      <c r="FX734" s="56"/>
      <c r="FY734" s="56"/>
      <c r="FZ734" s="56"/>
      <c r="GA734" s="56"/>
      <c r="GB734" s="56"/>
      <c r="GC734" s="56"/>
      <c r="GD734" s="56"/>
      <c r="GE734" s="56"/>
      <c r="GF734" s="56"/>
      <c r="GG734" s="56"/>
      <c r="GH734" s="56"/>
      <c r="GI734" s="56"/>
      <c r="GJ734" s="56"/>
      <c r="GK734" s="56"/>
      <c r="GL734" s="56"/>
      <c r="GM734" s="56"/>
      <c r="GN734" s="56"/>
      <c r="GO734" s="56"/>
      <c r="GP734" s="56"/>
      <c r="GQ734" s="56"/>
      <c r="GR734" s="56"/>
      <c r="GS734" s="56"/>
      <c r="GT734" s="56"/>
      <c r="GU734" s="56"/>
      <c r="GV734" s="56"/>
      <c r="GW734" s="56"/>
      <c r="GX734" s="56"/>
      <c r="GY734" s="56"/>
      <c r="GZ734" s="56"/>
      <c r="HA734" s="56"/>
      <c r="HB734" s="56"/>
      <c r="HC734" s="56"/>
      <c r="HD734" s="56"/>
      <c r="HE734" s="56"/>
      <c r="HF734" s="56"/>
      <c r="HG734" s="56"/>
      <c r="HH734" s="56"/>
      <c r="HI734" s="56"/>
      <c r="HJ734" s="56"/>
    </row>
    <row r="735" spans="1:218" ht="15.75" customHeight="1" x14ac:dyDescent="0.2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  <c r="BV735" s="56"/>
      <c r="BW735" s="56"/>
      <c r="BX735" s="56"/>
      <c r="BY735" s="56"/>
      <c r="BZ735" s="56"/>
      <c r="CA735" s="56"/>
      <c r="CB735" s="56"/>
      <c r="CC735" s="56"/>
      <c r="CD735" s="56"/>
      <c r="CE735" s="56"/>
      <c r="CF735" s="56"/>
      <c r="CG735" s="56"/>
      <c r="CH735" s="56"/>
      <c r="CI735" s="56"/>
      <c r="CJ735" s="56"/>
      <c r="CK735" s="56"/>
      <c r="CL735" s="56"/>
      <c r="CM735" s="56"/>
      <c r="CN735" s="56"/>
      <c r="CO735" s="56"/>
      <c r="CP735" s="56"/>
      <c r="CQ735" s="56"/>
      <c r="CR735" s="56"/>
      <c r="CS735" s="56"/>
      <c r="CT735" s="56"/>
      <c r="CU735" s="56"/>
      <c r="CV735" s="56"/>
      <c r="CW735" s="56"/>
      <c r="CX735" s="56"/>
      <c r="CY735" s="56"/>
      <c r="CZ735" s="56"/>
      <c r="DA735" s="56"/>
      <c r="DB735" s="56"/>
      <c r="DC735" s="56"/>
      <c r="DD735" s="56"/>
      <c r="DE735" s="56"/>
      <c r="DF735" s="56"/>
      <c r="DG735" s="56"/>
      <c r="DH735" s="56"/>
      <c r="DI735" s="56"/>
      <c r="DJ735" s="56"/>
      <c r="DK735" s="56"/>
      <c r="DL735" s="56"/>
      <c r="DM735" s="56"/>
      <c r="DN735" s="56"/>
      <c r="DO735" s="56"/>
      <c r="DP735" s="56"/>
      <c r="DQ735" s="56"/>
      <c r="DR735" s="56"/>
      <c r="DS735" s="56"/>
      <c r="DT735" s="56"/>
      <c r="DU735" s="56"/>
      <c r="DV735" s="56"/>
      <c r="DW735" s="56"/>
      <c r="DX735" s="56"/>
      <c r="DY735" s="56"/>
      <c r="DZ735" s="56"/>
      <c r="EA735" s="56"/>
      <c r="EB735" s="56"/>
      <c r="EC735" s="56"/>
      <c r="ED735" s="56"/>
      <c r="EE735" s="56"/>
      <c r="EF735" s="56"/>
      <c r="EG735" s="56"/>
      <c r="EH735" s="56"/>
      <c r="EI735" s="56"/>
      <c r="EJ735" s="56"/>
      <c r="EK735" s="56"/>
      <c r="EL735" s="56"/>
      <c r="EM735" s="56"/>
      <c r="EN735" s="56"/>
      <c r="EO735" s="56"/>
      <c r="EP735" s="56"/>
      <c r="EQ735" s="56"/>
      <c r="ER735" s="56"/>
      <c r="ES735" s="56"/>
      <c r="ET735" s="56"/>
      <c r="EU735" s="56"/>
      <c r="EV735" s="56"/>
      <c r="EW735" s="56"/>
      <c r="EX735" s="56"/>
      <c r="EY735" s="56"/>
      <c r="EZ735" s="56"/>
      <c r="FA735" s="56"/>
      <c r="FB735" s="56"/>
      <c r="FC735" s="56"/>
      <c r="FD735" s="56"/>
      <c r="FE735" s="56"/>
      <c r="FF735" s="56"/>
      <c r="FG735" s="56"/>
      <c r="FH735" s="56"/>
      <c r="FI735" s="56"/>
      <c r="FJ735" s="56"/>
      <c r="FK735" s="56"/>
      <c r="FL735" s="56"/>
      <c r="FM735" s="56"/>
      <c r="FN735" s="56"/>
      <c r="FO735" s="56"/>
      <c r="FP735" s="56"/>
      <c r="FQ735" s="56"/>
      <c r="FR735" s="56"/>
      <c r="FS735" s="56"/>
      <c r="FT735" s="56"/>
      <c r="FU735" s="56"/>
      <c r="FV735" s="56"/>
      <c r="FW735" s="56"/>
      <c r="FX735" s="56"/>
      <c r="FY735" s="56"/>
      <c r="FZ735" s="56"/>
      <c r="GA735" s="56"/>
      <c r="GB735" s="56"/>
      <c r="GC735" s="56"/>
      <c r="GD735" s="56"/>
      <c r="GE735" s="56"/>
      <c r="GF735" s="56"/>
      <c r="GG735" s="56"/>
      <c r="GH735" s="56"/>
      <c r="GI735" s="56"/>
      <c r="GJ735" s="56"/>
      <c r="GK735" s="56"/>
      <c r="GL735" s="56"/>
      <c r="GM735" s="56"/>
      <c r="GN735" s="56"/>
      <c r="GO735" s="56"/>
      <c r="GP735" s="56"/>
      <c r="GQ735" s="56"/>
      <c r="GR735" s="56"/>
      <c r="GS735" s="56"/>
      <c r="GT735" s="56"/>
      <c r="GU735" s="56"/>
      <c r="GV735" s="56"/>
      <c r="GW735" s="56"/>
      <c r="GX735" s="56"/>
      <c r="GY735" s="56"/>
      <c r="GZ735" s="56"/>
      <c r="HA735" s="56"/>
      <c r="HB735" s="56"/>
      <c r="HC735" s="56"/>
      <c r="HD735" s="56"/>
      <c r="HE735" s="56"/>
      <c r="HF735" s="56"/>
      <c r="HG735" s="56"/>
      <c r="HH735" s="56"/>
      <c r="HI735" s="56"/>
      <c r="HJ735" s="56"/>
    </row>
    <row r="736" spans="1:218" ht="15.75" customHeight="1" x14ac:dyDescent="0.2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  <c r="BV736" s="56"/>
      <c r="BW736" s="56"/>
      <c r="BX736" s="56"/>
      <c r="BY736" s="56"/>
      <c r="BZ736" s="56"/>
      <c r="CA736" s="56"/>
      <c r="CB736" s="56"/>
      <c r="CC736" s="56"/>
      <c r="CD736" s="56"/>
      <c r="CE736" s="56"/>
      <c r="CF736" s="56"/>
      <c r="CG736" s="56"/>
      <c r="CH736" s="56"/>
      <c r="CI736" s="56"/>
      <c r="CJ736" s="56"/>
      <c r="CK736" s="56"/>
      <c r="CL736" s="56"/>
      <c r="CM736" s="56"/>
      <c r="CN736" s="56"/>
      <c r="CO736" s="56"/>
      <c r="CP736" s="56"/>
      <c r="CQ736" s="56"/>
      <c r="CR736" s="56"/>
      <c r="CS736" s="56"/>
      <c r="CT736" s="56"/>
      <c r="CU736" s="56"/>
      <c r="CV736" s="56"/>
      <c r="CW736" s="56"/>
      <c r="CX736" s="56"/>
      <c r="CY736" s="56"/>
      <c r="CZ736" s="56"/>
      <c r="DA736" s="56"/>
      <c r="DB736" s="56"/>
      <c r="DC736" s="56"/>
      <c r="DD736" s="56"/>
      <c r="DE736" s="56"/>
      <c r="DF736" s="56"/>
      <c r="DG736" s="56"/>
      <c r="DH736" s="56"/>
      <c r="DI736" s="56"/>
      <c r="DJ736" s="56"/>
      <c r="DK736" s="56"/>
      <c r="DL736" s="56"/>
      <c r="DM736" s="56"/>
      <c r="DN736" s="56"/>
      <c r="DO736" s="56"/>
      <c r="DP736" s="56"/>
      <c r="DQ736" s="56"/>
      <c r="DR736" s="56"/>
      <c r="DS736" s="56"/>
      <c r="DT736" s="56"/>
      <c r="DU736" s="56"/>
      <c r="DV736" s="56"/>
      <c r="DW736" s="56"/>
      <c r="DX736" s="56"/>
      <c r="DY736" s="56"/>
      <c r="DZ736" s="56"/>
      <c r="EA736" s="56"/>
      <c r="EB736" s="56"/>
      <c r="EC736" s="56"/>
      <c r="ED736" s="56"/>
      <c r="EE736" s="56"/>
      <c r="EF736" s="56"/>
      <c r="EG736" s="56"/>
      <c r="EH736" s="56"/>
      <c r="EI736" s="56"/>
      <c r="EJ736" s="56"/>
      <c r="EK736" s="56"/>
      <c r="EL736" s="56"/>
      <c r="EM736" s="56"/>
      <c r="EN736" s="56"/>
      <c r="EO736" s="56"/>
      <c r="EP736" s="56"/>
      <c r="EQ736" s="56"/>
      <c r="ER736" s="56"/>
      <c r="ES736" s="56"/>
      <c r="ET736" s="56"/>
      <c r="EU736" s="56"/>
      <c r="EV736" s="56"/>
      <c r="EW736" s="56"/>
      <c r="EX736" s="56"/>
      <c r="EY736" s="56"/>
      <c r="EZ736" s="56"/>
      <c r="FA736" s="56"/>
      <c r="FB736" s="56"/>
      <c r="FC736" s="56"/>
      <c r="FD736" s="56"/>
      <c r="FE736" s="56"/>
      <c r="FF736" s="56"/>
      <c r="FG736" s="56"/>
      <c r="FH736" s="56"/>
      <c r="FI736" s="56"/>
      <c r="FJ736" s="56"/>
      <c r="FK736" s="56"/>
      <c r="FL736" s="56"/>
      <c r="FM736" s="56"/>
      <c r="FN736" s="56"/>
      <c r="FO736" s="56"/>
      <c r="FP736" s="56"/>
      <c r="FQ736" s="56"/>
      <c r="FR736" s="56"/>
      <c r="FS736" s="56"/>
      <c r="FT736" s="56"/>
      <c r="FU736" s="56"/>
      <c r="FV736" s="56"/>
      <c r="FW736" s="56"/>
      <c r="FX736" s="56"/>
      <c r="FY736" s="56"/>
      <c r="FZ736" s="56"/>
      <c r="GA736" s="56"/>
      <c r="GB736" s="56"/>
      <c r="GC736" s="56"/>
      <c r="GD736" s="56"/>
      <c r="GE736" s="56"/>
      <c r="GF736" s="56"/>
      <c r="GG736" s="56"/>
      <c r="GH736" s="56"/>
      <c r="GI736" s="56"/>
      <c r="GJ736" s="56"/>
      <c r="GK736" s="56"/>
      <c r="GL736" s="56"/>
      <c r="GM736" s="56"/>
      <c r="GN736" s="56"/>
      <c r="GO736" s="56"/>
      <c r="GP736" s="56"/>
      <c r="GQ736" s="56"/>
      <c r="GR736" s="56"/>
      <c r="GS736" s="56"/>
      <c r="GT736" s="56"/>
      <c r="GU736" s="56"/>
      <c r="GV736" s="56"/>
      <c r="GW736" s="56"/>
      <c r="GX736" s="56"/>
      <c r="GY736" s="56"/>
      <c r="GZ736" s="56"/>
      <c r="HA736" s="56"/>
      <c r="HB736" s="56"/>
      <c r="HC736" s="56"/>
      <c r="HD736" s="56"/>
      <c r="HE736" s="56"/>
      <c r="HF736" s="56"/>
      <c r="HG736" s="56"/>
      <c r="HH736" s="56"/>
      <c r="HI736" s="56"/>
      <c r="HJ736" s="56"/>
    </row>
    <row r="737" spans="1:218" ht="15.75" customHeight="1" x14ac:dyDescent="0.2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  <c r="CL737" s="56"/>
      <c r="CM737" s="56"/>
      <c r="CN737" s="56"/>
      <c r="CO737" s="56"/>
      <c r="CP737" s="56"/>
      <c r="CQ737" s="56"/>
      <c r="CR737" s="56"/>
      <c r="CS737" s="56"/>
      <c r="CT737" s="56"/>
      <c r="CU737" s="56"/>
      <c r="CV737" s="56"/>
      <c r="CW737" s="56"/>
      <c r="CX737" s="56"/>
      <c r="CY737" s="56"/>
      <c r="CZ737" s="56"/>
      <c r="DA737" s="56"/>
      <c r="DB737" s="56"/>
      <c r="DC737" s="56"/>
      <c r="DD737" s="56"/>
      <c r="DE737" s="56"/>
      <c r="DF737" s="56"/>
      <c r="DG737" s="56"/>
      <c r="DH737" s="56"/>
      <c r="DI737" s="56"/>
      <c r="DJ737" s="56"/>
      <c r="DK737" s="56"/>
      <c r="DL737" s="56"/>
      <c r="DM737" s="56"/>
      <c r="DN737" s="56"/>
      <c r="DO737" s="56"/>
      <c r="DP737" s="56"/>
      <c r="DQ737" s="56"/>
      <c r="DR737" s="56"/>
      <c r="DS737" s="56"/>
      <c r="DT737" s="56"/>
      <c r="DU737" s="56"/>
      <c r="DV737" s="56"/>
      <c r="DW737" s="56"/>
      <c r="DX737" s="56"/>
      <c r="DY737" s="56"/>
      <c r="DZ737" s="56"/>
      <c r="EA737" s="56"/>
      <c r="EB737" s="56"/>
      <c r="EC737" s="56"/>
      <c r="ED737" s="56"/>
      <c r="EE737" s="56"/>
      <c r="EF737" s="56"/>
      <c r="EG737" s="56"/>
      <c r="EH737" s="56"/>
      <c r="EI737" s="56"/>
      <c r="EJ737" s="56"/>
      <c r="EK737" s="56"/>
      <c r="EL737" s="56"/>
      <c r="EM737" s="56"/>
      <c r="EN737" s="56"/>
      <c r="EO737" s="56"/>
      <c r="EP737" s="56"/>
      <c r="EQ737" s="56"/>
      <c r="ER737" s="56"/>
      <c r="ES737" s="56"/>
      <c r="ET737" s="56"/>
      <c r="EU737" s="56"/>
      <c r="EV737" s="56"/>
      <c r="EW737" s="56"/>
      <c r="EX737" s="56"/>
      <c r="EY737" s="56"/>
      <c r="EZ737" s="56"/>
      <c r="FA737" s="56"/>
      <c r="FB737" s="56"/>
      <c r="FC737" s="56"/>
      <c r="FD737" s="56"/>
      <c r="FE737" s="56"/>
      <c r="FF737" s="56"/>
      <c r="FG737" s="56"/>
      <c r="FH737" s="56"/>
      <c r="FI737" s="56"/>
      <c r="FJ737" s="56"/>
      <c r="FK737" s="56"/>
      <c r="FL737" s="56"/>
      <c r="FM737" s="56"/>
      <c r="FN737" s="56"/>
      <c r="FO737" s="56"/>
      <c r="FP737" s="56"/>
      <c r="FQ737" s="56"/>
      <c r="FR737" s="56"/>
      <c r="FS737" s="56"/>
      <c r="FT737" s="56"/>
      <c r="FU737" s="56"/>
      <c r="FV737" s="56"/>
      <c r="FW737" s="56"/>
      <c r="FX737" s="56"/>
      <c r="FY737" s="56"/>
      <c r="FZ737" s="56"/>
      <c r="GA737" s="56"/>
      <c r="GB737" s="56"/>
      <c r="GC737" s="56"/>
      <c r="GD737" s="56"/>
      <c r="GE737" s="56"/>
      <c r="GF737" s="56"/>
      <c r="GG737" s="56"/>
      <c r="GH737" s="56"/>
      <c r="GI737" s="56"/>
      <c r="GJ737" s="56"/>
      <c r="GK737" s="56"/>
      <c r="GL737" s="56"/>
      <c r="GM737" s="56"/>
      <c r="GN737" s="56"/>
      <c r="GO737" s="56"/>
      <c r="GP737" s="56"/>
      <c r="GQ737" s="56"/>
      <c r="GR737" s="56"/>
      <c r="GS737" s="56"/>
      <c r="GT737" s="56"/>
      <c r="GU737" s="56"/>
      <c r="GV737" s="56"/>
      <c r="GW737" s="56"/>
      <c r="GX737" s="56"/>
      <c r="GY737" s="56"/>
      <c r="GZ737" s="56"/>
      <c r="HA737" s="56"/>
      <c r="HB737" s="56"/>
      <c r="HC737" s="56"/>
      <c r="HD737" s="56"/>
      <c r="HE737" s="56"/>
      <c r="HF737" s="56"/>
      <c r="HG737" s="56"/>
      <c r="HH737" s="56"/>
      <c r="HI737" s="56"/>
      <c r="HJ737" s="56"/>
    </row>
    <row r="738" spans="1:218" ht="15.75" customHeight="1" x14ac:dyDescent="0.2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  <c r="CL738" s="56"/>
      <c r="CM738" s="56"/>
      <c r="CN738" s="56"/>
      <c r="CO738" s="56"/>
      <c r="CP738" s="56"/>
      <c r="CQ738" s="56"/>
      <c r="CR738" s="56"/>
      <c r="CS738" s="56"/>
      <c r="CT738" s="56"/>
      <c r="CU738" s="56"/>
      <c r="CV738" s="56"/>
      <c r="CW738" s="56"/>
      <c r="CX738" s="56"/>
      <c r="CY738" s="56"/>
      <c r="CZ738" s="56"/>
      <c r="DA738" s="56"/>
      <c r="DB738" s="56"/>
      <c r="DC738" s="56"/>
      <c r="DD738" s="56"/>
      <c r="DE738" s="56"/>
      <c r="DF738" s="56"/>
      <c r="DG738" s="56"/>
      <c r="DH738" s="56"/>
      <c r="DI738" s="56"/>
      <c r="DJ738" s="56"/>
      <c r="DK738" s="56"/>
      <c r="DL738" s="56"/>
      <c r="DM738" s="56"/>
      <c r="DN738" s="56"/>
      <c r="DO738" s="56"/>
      <c r="DP738" s="56"/>
      <c r="DQ738" s="56"/>
      <c r="DR738" s="56"/>
      <c r="DS738" s="56"/>
      <c r="DT738" s="56"/>
      <c r="DU738" s="56"/>
      <c r="DV738" s="56"/>
      <c r="DW738" s="56"/>
      <c r="DX738" s="56"/>
      <c r="DY738" s="56"/>
      <c r="DZ738" s="56"/>
      <c r="EA738" s="56"/>
      <c r="EB738" s="56"/>
      <c r="EC738" s="56"/>
      <c r="ED738" s="56"/>
      <c r="EE738" s="56"/>
      <c r="EF738" s="56"/>
      <c r="EG738" s="56"/>
      <c r="EH738" s="56"/>
      <c r="EI738" s="56"/>
      <c r="EJ738" s="56"/>
      <c r="EK738" s="56"/>
      <c r="EL738" s="56"/>
      <c r="EM738" s="56"/>
      <c r="EN738" s="56"/>
      <c r="EO738" s="56"/>
      <c r="EP738" s="56"/>
      <c r="EQ738" s="56"/>
      <c r="ER738" s="56"/>
      <c r="ES738" s="56"/>
      <c r="ET738" s="56"/>
      <c r="EU738" s="56"/>
      <c r="EV738" s="56"/>
      <c r="EW738" s="56"/>
      <c r="EX738" s="56"/>
      <c r="EY738" s="56"/>
      <c r="EZ738" s="56"/>
      <c r="FA738" s="56"/>
      <c r="FB738" s="56"/>
      <c r="FC738" s="56"/>
      <c r="FD738" s="56"/>
      <c r="FE738" s="56"/>
      <c r="FF738" s="56"/>
      <c r="FG738" s="56"/>
      <c r="FH738" s="56"/>
      <c r="FI738" s="56"/>
      <c r="FJ738" s="56"/>
      <c r="FK738" s="56"/>
      <c r="FL738" s="56"/>
      <c r="FM738" s="56"/>
      <c r="FN738" s="56"/>
      <c r="FO738" s="56"/>
      <c r="FP738" s="56"/>
      <c r="FQ738" s="56"/>
      <c r="FR738" s="56"/>
      <c r="FS738" s="56"/>
      <c r="FT738" s="56"/>
      <c r="FU738" s="56"/>
      <c r="FV738" s="56"/>
      <c r="FW738" s="56"/>
      <c r="FX738" s="56"/>
      <c r="FY738" s="56"/>
      <c r="FZ738" s="56"/>
      <c r="GA738" s="56"/>
      <c r="GB738" s="56"/>
      <c r="GC738" s="56"/>
      <c r="GD738" s="56"/>
      <c r="GE738" s="56"/>
      <c r="GF738" s="56"/>
      <c r="GG738" s="56"/>
      <c r="GH738" s="56"/>
      <c r="GI738" s="56"/>
      <c r="GJ738" s="56"/>
      <c r="GK738" s="56"/>
      <c r="GL738" s="56"/>
      <c r="GM738" s="56"/>
      <c r="GN738" s="56"/>
      <c r="GO738" s="56"/>
      <c r="GP738" s="56"/>
      <c r="GQ738" s="56"/>
      <c r="GR738" s="56"/>
      <c r="GS738" s="56"/>
      <c r="GT738" s="56"/>
      <c r="GU738" s="56"/>
      <c r="GV738" s="56"/>
      <c r="GW738" s="56"/>
      <c r="GX738" s="56"/>
      <c r="GY738" s="56"/>
      <c r="GZ738" s="56"/>
      <c r="HA738" s="56"/>
      <c r="HB738" s="56"/>
      <c r="HC738" s="56"/>
      <c r="HD738" s="56"/>
      <c r="HE738" s="56"/>
      <c r="HF738" s="56"/>
      <c r="HG738" s="56"/>
      <c r="HH738" s="56"/>
      <c r="HI738" s="56"/>
      <c r="HJ738" s="56"/>
    </row>
    <row r="739" spans="1:218" ht="15.75" customHeight="1" x14ac:dyDescent="0.2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  <c r="CL739" s="56"/>
      <c r="CM739" s="56"/>
      <c r="CN739" s="56"/>
      <c r="CO739" s="56"/>
      <c r="CP739" s="56"/>
      <c r="CQ739" s="56"/>
      <c r="CR739" s="56"/>
      <c r="CS739" s="56"/>
      <c r="CT739" s="56"/>
      <c r="CU739" s="56"/>
      <c r="CV739" s="56"/>
      <c r="CW739" s="56"/>
      <c r="CX739" s="56"/>
      <c r="CY739" s="56"/>
      <c r="CZ739" s="56"/>
      <c r="DA739" s="56"/>
      <c r="DB739" s="56"/>
      <c r="DC739" s="56"/>
      <c r="DD739" s="56"/>
      <c r="DE739" s="56"/>
      <c r="DF739" s="56"/>
      <c r="DG739" s="56"/>
      <c r="DH739" s="56"/>
      <c r="DI739" s="56"/>
      <c r="DJ739" s="56"/>
      <c r="DK739" s="56"/>
      <c r="DL739" s="56"/>
      <c r="DM739" s="56"/>
      <c r="DN739" s="56"/>
      <c r="DO739" s="56"/>
      <c r="DP739" s="56"/>
      <c r="DQ739" s="56"/>
      <c r="DR739" s="56"/>
      <c r="DS739" s="56"/>
      <c r="DT739" s="56"/>
      <c r="DU739" s="56"/>
      <c r="DV739" s="56"/>
      <c r="DW739" s="56"/>
      <c r="DX739" s="56"/>
      <c r="DY739" s="56"/>
      <c r="DZ739" s="56"/>
      <c r="EA739" s="56"/>
      <c r="EB739" s="56"/>
      <c r="EC739" s="56"/>
      <c r="ED739" s="56"/>
      <c r="EE739" s="56"/>
      <c r="EF739" s="56"/>
      <c r="EG739" s="56"/>
      <c r="EH739" s="56"/>
      <c r="EI739" s="56"/>
      <c r="EJ739" s="56"/>
      <c r="EK739" s="56"/>
      <c r="EL739" s="56"/>
      <c r="EM739" s="56"/>
      <c r="EN739" s="56"/>
      <c r="EO739" s="56"/>
      <c r="EP739" s="56"/>
      <c r="EQ739" s="56"/>
      <c r="ER739" s="56"/>
      <c r="ES739" s="56"/>
      <c r="ET739" s="56"/>
      <c r="EU739" s="56"/>
      <c r="EV739" s="56"/>
      <c r="EW739" s="56"/>
      <c r="EX739" s="56"/>
      <c r="EY739" s="56"/>
      <c r="EZ739" s="56"/>
      <c r="FA739" s="56"/>
      <c r="FB739" s="56"/>
      <c r="FC739" s="56"/>
      <c r="FD739" s="56"/>
      <c r="FE739" s="56"/>
      <c r="FF739" s="56"/>
      <c r="FG739" s="56"/>
      <c r="FH739" s="56"/>
      <c r="FI739" s="56"/>
      <c r="FJ739" s="56"/>
      <c r="FK739" s="56"/>
      <c r="FL739" s="56"/>
      <c r="FM739" s="56"/>
      <c r="FN739" s="56"/>
      <c r="FO739" s="56"/>
      <c r="FP739" s="56"/>
      <c r="FQ739" s="56"/>
      <c r="FR739" s="56"/>
      <c r="FS739" s="56"/>
      <c r="FT739" s="56"/>
      <c r="FU739" s="56"/>
      <c r="FV739" s="56"/>
      <c r="FW739" s="56"/>
      <c r="FX739" s="56"/>
      <c r="FY739" s="56"/>
      <c r="FZ739" s="56"/>
      <c r="GA739" s="56"/>
      <c r="GB739" s="56"/>
      <c r="GC739" s="56"/>
      <c r="GD739" s="56"/>
      <c r="GE739" s="56"/>
      <c r="GF739" s="56"/>
      <c r="GG739" s="56"/>
      <c r="GH739" s="56"/>
      <c r="GI739" s="56"/>
      <c r="GJ739" s="56"/>
      <c r="GK739" s="56"/>
      <c r="GL739" s="56"/>
      <c r="GM739" s="56"/>
      <c r="GN739" s="56"/>
      <c r="GO739" s="56"/>
      <c r="GP739" s="56"/>
      <c r="GQ739" s="56"/>
      <c r="GR739" s="56"/>
      <c r="GS739" s="56"/>
      <c r="GT739" s="56"/>
      <c r="GU739" s="56"/>
      <c r="GV739" s="56"/>
      <c r="GW739" s="56"/>
      <c r="GX739" s="56"/>
      <c r="GY739" s="56"/>
      <c r="GZ739" s="56"/>
      <c r="HA739" s="56"/>
      <c r="HB739" s="56"/>
      <c r="HC739" s="56"/>
      <c r="HD739" s="56"/>
      <c r="HE739" s="56"/>
      <c r="HF739" s="56"/>
      <c r="HG739" s="56"/>
      <c r="HH739" s="56"/>
      <c r="HI739" s="56"/>
      <c r="HJ739" s="56"/>
    </row>
    <row r="740" spans="1:218" ht="15.75" customHeight="1" x14ac:dyDescent="0.2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  <c r="CL740" s="56"/>
      <c r="CM740" s="56"/>
      <c r="CN740" s="56"/>
      <c r="CO740" s="56"/>
      <c r="CP740" s="56"/>
      <c r="CQ740" s="56"/>
      <c r="CR740" s="56"/>
      <c r="CS740" s="56"/>
      <c r="CT740" s="56"/>
      <c r="CU740" s="56"/>
      <c r="CV740" s="56"/>
      <c r="CW740" s="56"/>
      <c r="CX740" s="56"/>
      <c r="CY740" s="56"/>
      <c r="CZ740" s="56"/>
      <c r="DA740" s="56"/>
      <c r="DB740" s="56"/>
      <c r="DC740" s="56"/>
      <c r="DD740" s="56"/>
      <c r="DE740" s="56"/>
      <c r="DF740" s="56"/>
      <c r="DG740" s="56"/>
      <c r="DH740" s="56"/>
      <c r="DI740" s="56"/>
      <c r="DJ740" s="56"/>
      <c r="DK740" s="56"/>
      <c r="DL740" s="56"/>
      <c r="DM740" s="56"/>
      <c r="DN740" s="56"/>
      <c r="DO740" s="56"/>
      <c r="DP740" s="56"/>
      <c r="DQ740" s="56"/>
      <c r="DR740" s="56"/>
      <c r="DS740" s="56"/>
      <c r="DT740" s="56"/>
      <c r="DU740" s="56"/>
      <c r="DV740" s="56"/>
      <c r="DW740" s="56"/>
      <c r="DX740" s="56"/>
      <c r="DY740" s="56"/>
      <c r="DZ740" s="56"/>
      <c r="EA740" s="56"/>
      <c r="EB740" s="56"/>
      <c r="EC740" s="56"/>
      <c r="ED740" s="56"/>
      <c r="EE740" s="56"/>
      <c r="EF740" s="56"/>
      <c r="EG740" s="56"/>
      <c r="EH740" s="56"/>
      <c r="EI740" s="56"/>
      <c r="EJ740" s="56"/>
      <c r="EK740" s="56"/>
      <c r="EL740" s="56"/>
      <c r="EM740" s="56"/>
      <c r="EN740" s="56"/>
      <c r="EO740" s="56"/>
      <c r="EP740" s="56"/>
      <c r="EQ740" s="56"/>
      <c r="ER740" s="56"/>
      <c r="ES740" s="56"/>
      <c r="ET740" s="56"/>
      <c r="EU740" s="56"/>
      <c r="EV740" s="56"/>
      <c r="EW740" s="56"/>
      <c r="EX740" s="56"/>
      <c r="EY740" s="56"/>
      <c r="EZ740" s="56"/>
      <c r="FA740" s="56"/>
      <c r="FB740" s="56"/>
      <c r="FC740" s="56"/>
      <c r="FD740" s="56"/>
      <c r="FE740" s="56"/>
      <c r="FF740" s="56"/>
      <c r="FG740" s="56"/>
      <c r="FH740" s="56"/>
      <c r="FI740" s="56"/>
      <c r="FJ740" s="56"/>
      <c r="FK740" s="56"/>
      <c r="FL740" s="56"/>
      <c r="FM740" s="56"/>
      <c r="FN740" s="56"/>
      <c r="FO740" s="56"/>
      <c r="FP740" s="56"/>
      <c r="FQ740" s="56"/>
      <c r="FR740" s="56"/>
      <c r="FS740" s="56"/>
      <c r="FT740" s="56"/>
      <c r="FU740" s="56"/>
      <c r="FV740" s="56"/>
      <c r="FW740" s="56"/>
      <c r="FX740" s="56"/>
      <c r="FY740" s="56"/>
      <c r="FZ740" s="56"/>
      <c r="GA740" s="56"/>
      <c r="GB740" s="56"/>
      <c r="GC740" s="56"/>
      <c r="GD740" s="56"/>
      <c r="GE740" s="56"/>
      <c r="GF740" s="56"/>
      <c r="GG740" s="56"/>
      <c r="GH740" s="56"/>
      <c r="GI740" s="56"/>
      <c r="GJ740" s="56"/>
      <c r="GK740" s="56"/>
      <c r="GL740" s="56"/>
      <c r="GM740" s="56"/>
      <c r="GN740" s="56"/>
      <c r="GO740" s="56"/>
      <c r="GP740" s="56"/>
      <c r="GQ740" s="56"/>
      <c r="GR740" s="56"/>
      <c r="GS740" s="56"/>
      <c r="GT740" s="56"/>
      <c r="GU740" s="56"/>
      <c r="GV740" s="56"/>
      <c r="GW740" s="56"/>
      <c r="GX740" s="56"/>
      <c r="GY740" s="56"/>
      <c r="GZ740" s="56"/>
      <c r="HA740" s="56"/>
      <c r="HB740" s="56"/>
      <c r="HC740" s="56"/>
      <c r="HD740" s="56"/>
      <c r="HE740" s="56"/>
      <c r="HF740" s="56"/>
      <c r="HG740" s="56"/>
      <c r="HH740" s="56"/>
      <c r="HI740" s="56"/>
      <c r="HJ740" s="56"/>
    </row>
    <row r="741" spans="1:218" ht="15.75" customHeight="1" x14ac:dyDescent="0.2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  <c r="CL741" s="56"/>
      <c r="CM741" s="56"/>
      <c r="CN741" s="56"/>
      <c r="CO741" s="56"/>
      <c r="CP741" s="56"/>
      <c r="CQ741" s="56"/>
      <c r="CR741" s="56"/>
      <c r="CS741" s="56"/>
      <c r="CT741" s="56"/>
      <c r="CU741" s="56"/>
      <c r="CV741" s="56"/>
      <c r="CW741" s="56"/>
      <c r="CX741" s="56"/>
      <c r="CY741" s="56"/>
      <c r="CZ741" s="56"/>
      <c r="DA741" s="56"/>
      <c r="DB741" s="56"/>
      <c r="DC741" s="56"/>
      <c r="DD741" s="56"/>
      <c r="DE741" s="56"/>
      <c r="DF741" s="56"/>
      <c r="DG741" s="56"/>
      <c r="DH741" s="56"/>
      <c r="DI741" s="56"/>
      <c r="DJ741" s="56"/>
      <c r="DK741" s="56"/>
      <c r="DL741" s="56"/>
      <c r="DM741" s="56"/>
      <c r="DN741" s="56"/>
      <c r="DO741" s="56"/>
      <c r="DP741" s="56"/>
      <c r="DQ741" s="56"/>
      <c r="DR741" s="56"/>
      <c r="DS741" s="56"/>
      <c r="DT741" s="56"/>
      <c r="DU741" s="56"/>
      <c r="DV741" s="56"/>
      <c r="DW741" s="56"/>
      <c r="DX741" s="56"/>
      <c r="DY741" s="56"/>
      <c r="DZ741" s="56"/>
      <c r="EA741" s="56"/>
      <c r="EB741" s="56"/>
      <c r="EC741" s="56"/>
      <c r="ED741" s="56"/>
      <c r="EE741" s="56"/>
      <c r="EF741" s="56"/>
      <c r="EG741" s="56"/>
      <c r="EH741" s="56"/>
      <c r="EI741" s="56"/>
      <c r="EJ741" s="56"/>
      <c r="EK741" s="56"/>
      <c r="EL741" s="56"/>
      <c r="EM741" s="56"/>
      <c r="EN741" s="56"/>
      <c r="EO741" s="56"/>
      <c r="EP741" s="56"/>
      <c r="EQ741" s="56"/>
      <c r="ER741" s="56"/>
      <c r="ES741" s="56"/>
      <c r="ET741" s="56"/>
      <c r="EU741" s="56"/>
      <c r="EV741" s="56"/>
      <c r="EW741" s="56"/>
      <c r="EX741" s="56"/>
      <c r="EY741" s="56"/>
      <c r="EZ741" s="56"/>
      <c r="FA741" s="56"/>
      <c r="FB741" s="56"/>
      <c r="FC741" s="56"/>
      <c r="FD741" s="56"/>
      <c r="FE741" s="56"/>
      <c r="FF741" s="56"/>
      <c r="FG741" s="56"/>
      <c r="FH741" s="56"/>
      <c r="FI741" s="56"/>
      <c r="FJ741" s="56"/>
      <c r="FK741" s="56"/>
      <c r="FL741" s="56"/>
      <c r="FM741" s="56"/>
      <c r="FN741" s="56"/>
      <c r="FO741" s="56"/>
      <c r="FP741" s="56"/>
      <c r="FQ741" s="56"/>
      <c r="FR741" s="56"/>
      <c r="FS741" s="56"/>
      <c r="FT741" s="56"/>
      <c r="FU741" s="56"/>
      <c r="FV741" s="56"/>
      <c r="FW741" s="56"/>
      <c r="FX741" s="56"/>
      <c r="FY741" s="56"/>
      <c r="FZ741" s="56"/>
      <c r="GA741" s="56"/>
      <c r="GB741" s="56"/>
      <c r="GC741" s="56"/>
      <c r="GD741" s="56"/>
      <c r="GE741" s="56"/>
      <c r="GF741" s="56"/>
      <c r="GG741" s="56"/>
      <c r="GH741" s="56"/>
      <c r="GI741" s="56"/>
      <c r="GJ741" s="56"/>
      <c r="GK741" s="56"/>
      <c r="GL741" s="56"/>
      <c r="GM741" s="56"/>
      <c r="GN741" s="56"/>
      <c r="GO741" s="56"/>
      <c r="GP741" s="56"/>
      <c r="GQ741" s="56"/>
      <c r="GR741" s="56"/>
      <c r="GS741" s="56"/>
      <c r="GT741" s="56"/>
      <c r="GU741" s="56"/>
      <c r="GV741" s="56"/>
      <c r="GW741" s="56"/>
      <c r="GX741" s="56"/>
      <c r="GY741" s="56"/>
      <c r="GZ741" s="56"/>
      <c r="HA741" s="56"/>
      <c r="HB741" s="56"/>
      <c r="HC741" s="56"/>
      <c r="HD741" s="56"/>
      <c r="HE741" s="56"/>
      <c r="HF741" s="56"/>
      <c r="HG741" s="56"/>
      <c r="HH741" s="56"/>
      <c r="HI741" s="56"/>
      <c r="HJ741" s="56"/>
    </row>
    <row r="742" spans="1:218" ht="15.75" customHeight="1" x14ac:dyDescent="0.2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  <c r="BV742" s="56"/>
      <c r="BW742" s="56"/>
      <c r="BX742" s="56"/>
      <c r="BY742" s="56"/>
      <c r="BZ742" s="56"/>
      <c r="CA742" s="56"/>
      <c r="CB742" s="56"/>
      <c r="CC742" s="56"/>
      <c r="CD742" s="56"/>
      <c r="CE742" s="56"/>
      <c r="CF742" s="56"/>
      <c r="CG742" s="56"/>
      <c r="CH742" s="56"/>
      <c r="CI742" s="56"/>
      <c r="CJ742" s="56"/>
      <c r="CK742" s="56"/>
      <c r="CL742" s="56"/>
      <c r="CM742" s="56"/>
      <c r="CN742" s="56"/>
      <c r="CO742" s="56"/>
      <c r="CP742" s="56"/>
      <c r="CQ742" s="56"/>
      <c r="CR742" s="56"/>
      <c r="CS742" s="56"/>
      <c r="CT742" s="56"/>
      <c r="CU742" s="56"/>
      <c r="CV742" s="56"/>
      <c r="CW742" s="56"/>
      <c r="CX742" s="56"/>
      <c r="CY742" s="56"/>
      <c r="CZ742" s="56"/>
      <c r="DA742" s="56"/>
      <c r="DB742" s="56"/>
      <c r="DC742" s="56"/>
      <c r="DD742" s="56"/>
      <c r="DE742" s="56"/>
      <c r="DF742" s="56"/>
      <c r="DG742" s="56"/>
      <c r="DH742" s="56"/>
      <c r="DI742" s="56"/>
      <c r="DJ742" s="56"/>
      <c r="DK742" s="56"/>
      <c r="DL742" s="56"/>
      <c r="DM742" s="56"/>
      <c r="DN742" s="56"/>
      <c r="DO742" s="56"/>
      <c r="DP742" s="56"/>
      <c r="DQ742" s="56"/>
      <c r="DR742" s="56"/>
      <c r="DS742" s="56"/>
      <c r="DT742" s="56"/>
      <c r="DU742" s="56"/>
      <c r="DV742" s="56"/>
      <c r="DW742" s="56"/>
      <c r="DX742" s="56"/>
      <c r="DY742" s="56"/>
      <c r="DZ742" s="56"/>
      <c r="EA742" s="56"/>
      <c r="EB742" s="56"/>
      <c r="EC742" s="56"/>
      <c r="ED742" s="56"/>
      <c r="EE742" s="56"/>
      <c r="EF742" s="56"/>
      <c r="EG742" s="56"/>
      <c r="EH742" s="56"/>
      <c r="EI742" s="56"/>
      <c r="EJ742" s="56"/>
      <c r="EK742" s="56"/>
      <c r="EL742" s="56"/>
      <c r="EM742" s="56"/>
      <c r="EN742" s="56"/>
      <c r="EO742" s="56"/>
      <c r="EP742" s="56"/>
      <c r="EQ742" s="56"/>
      <c r="ER742" s="56"/>
      <c r="ES742" s="56"/>
      <c r="ET742" s="56"/>
      <c r="EU742" s="56"/>
      <c r="EV742" s="56"/>
      <c r="EW742" s="56"/>
      <c r="EX742" s="56"/>
      <c r="EY742" s="56"/>
      <c r="EZ742" s="56"/>
      <c r="FA742" s="56"/>
      <c r="FB742" s="56"/>
      <c r="FC742" s="56"/>
      <c r="FD742" s="56"/>
      <c r="FE742" s="56"/>
      <c r="FF742" s="56"/>
      <c r="FG742" s="56"/>
      <c r="FH742" s="56"/>
      <c r="FI742" s="56"/>
      <c r="FJ742" s="56"/>
      <c r="FK742" s="56"/>
      <c r="FL742" s="56"/>
      <c r="FM742" s="56"/>
      <c r="FN742" s="56"/>
      <c r="FO742" s="56"/>
      <c r="FP742" s="56"/>
      <c r="FQ742" s="56"/>
      <c r="FR742" s="56"/>
      <c r="FS742" s="56"/>
      <c r="FT742" s="56"/>
      <c r="FU742" s="56"/>
      <c r="FV742" s="56"/>
      <c r="FW742" s="56"/>
      <c r="FX742" s="56"/>
      <c r="FY742" s="56"/>
      <c r="FZ742" s="56"/>
      <c r="GA742" s="56"/>
      <c r="GB742" s="56"/>
      <c r="GC742" s="56"/>
      <c r="GD742" s="56"/>
      <c r="GE742" s="56"/>
      <c r="GF742" s="56"/>
      <c r="GG742" s="56"/>
      <c r="GH742" s="56"/>
      <c r="GI742" s="56"/>
      <c r="GJ742" s="56"/>
      <c r="GK742" s="56"/>
      <c r="GL742" s="56"/>
      <c r="GM742" s="56"/>
      <c r="GN742" s="56"/>
      <c r="GO742" s="56"/>
      <c r="GP742" s="56"/>
      <c r="GQ742" s="56"/>
      <c r="GR742" s="56"/>
      <c r="GS742" s="56"/>
      <c r="GT742" s="56"/>
      <c r="GU742" s="56"/>
      <c r="GV742" s="56"/>
      <c r="GW742" s="56"/>
      <c r="GX742" s="56"/>
      <c r="GY742" s="56"/>
      <c r="GZ742" s="56"/>
      <c r="HA742" s="56"/>
      <c r="HB742" s="56"/>
      <c r="HC742" s="56"/>
      <c r="HD742" s="56"/>
      <c r="HE742" s="56"/>
      <c r="HF742" s="56"/>
      <c r="HG742" s="56"/>
      <c r="HH742" s="56"/>
      <c r="HI742" s="56"/>
      <c r="HJ742" s="56"/>
    </row>
    <row r="743" spans="1:218" ht="15.75" customHeight="1" x14ac:dyDescent="0.2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  <c r="BV743" s="56"/>
      <c r="BW743" s="56"/>
      <c r="BX743" s="56"/>
      <c r="BY743" s="56"/>
      <c r="BZ743" s="56"/>
      <c r="CA743" s="56"/>
      <c r="CB743" s="56"/>
      <c r="CC743" s="56"/>
      <c r="CD743" s="56"/>
      <c r="CE743" s="56"/>
      <c r="CF743" s="56"/>
      <c r="CG743" s="56"/>
      <c r="CH743" s="56"/>
      <c r="CI743" s="56"/>
      <c r="CJ743" s="56"/>
      <c r="CK743" s="56"/>
      <c r="CL743" s="56"/>
      <c r="CM743" s="56"/>
      <c r="CN743" s="56"/>
      <c r="CO743" s="56"/>
      <c r="CP743" s="56"/>
      <c r="CQ743" s="56"/>
      <c r="CR743" s="56"/>
      <c r="CS743" s="56"/>
      <c r="CT743" s="56"/>
      <c r="CU743" s="56"/>
      <c r="CV743" s="56"/>
      <c r="CW743" s="56"/>
      <c r="CX743" s="56"/>
      <c r="CY743" s="56"/>
      <c r="CZ743" s="56"/>
      <c r="DA743" s="56"/>
      <c r="DB743" s="56"/>
      <c r="DC743" s="56"/>
      <c r="DD743" s="56"/>
      <c r="DE743" s="56"/>
      <c r="DF743" s="56"/>
      <c r="DG743" s="56"/>
      <c r="DH743" s="56"/>
      <c r="DI743" s="56"/>
      <c r="DJ743" s="56"/>
      <c r="DK743" s="56"/>
      <c r="DL743" s="56"/>
      <c r="DM743" s="56"/>
      <c r="DN743" s="56"/>
      <c r="DO743" s="56"/>
      <c r="DP743" s="56"/>
      <c r="DQ743" s="56"/>
      <c r="DR743" s="56"/>
      <c r="DS743" s="56"/>
      <c r="DT743" s="56"/>
      <c r="DU743" s="56"/>
      <c r="DV743" s="56"/>
      <c r="DW743" s="56"/>
      <c r="DX743" s="56"/>
      <c r="DY743" s="56"/>
      <c r="DZ743" s="56"/>
      <c r="EA743" s="56"/>
      <c r="EB743" s="56"/>
      <c r="EC743" s="56"/>
      <c r="ED743" s="56"/>
      <c r="EE743" s="56"/>
      <c r="EF743" s="56"/>
      <c r="EG743" s="56"/>
      <c r="EH743" s="56"/>
      <c r="EI743" s="56"/>
      <c r="EJ743" s="56"/>
      <c r="EK743" s="56"/>
      <c r="EL743" s="56"/>
      <c r="EM743" s="56"/>
      <c r="EN743" s="56"/>
      <c r="EO743" s="56"/>
      <c r="EP743" s="56"/>
      <c r="EQ743" s="56"/>
      <c r="ER743" s="56"/>
      <c r="ES743" s="56"/>
      <c r="ET743" s="56"/>
      <c r="EU743" s="56"/>
      <c r="EV743" s="56"/>
      <c r="EW743" s="56"/>
      <c r="EX743" s="56"/>
      <c r="EY743" s="56"/>
      <c r="EZ743" s="56"/>
      <c r="FA743" s="56"/>
      <c r="FB743" s="56"/>
      <c r="FC743" s="56"/>
      <c r="FD743" s="56"/>
      <c r="FE743" s="56"/>
      <c r="FF743" s="56"/>
      <c r="FG743" s="56"/>
      <c r="FH743" s="56"/>
      <c r="FI743" s="56"/>
      <c r="FJ743" s="56"/>
      <c r="FK743" s="56"/>
      <c r="FL743" s="56"/>
      <c r="FM743" s="56"/>
      <c r="FN743" s="56"/>
      <c r="FO743" s="56"/>
      <c r="FP743" s="56"/>
      <c r="FQ743" s="56"/>
      <c r="FR743" s="56"/>
      <c r="FS743" s="56"/>
      <c r="FT743" s="56"/>
      <c r="FU743" s="56"/>
      <c r="FV743" s="56"/>
      <c r="FW743" s="56"/>
      <c r="FX743" s="56"/>
      <c r="FY743" s="56"/>
      <c r="FZ743" s="56"/>
      <c r="GA743" s="56"/>
      <c r="GB743" s="56"/>
      <c r="GC743" s="56"/>
      <c r="GD743" s="56"/>
      <c r="GE743" s="56"/>
      <c r="GF743" s="56"/>
      <c r="GG743" s="56"/>
      <c r="GH743" s="56"/>
      <c r="GI743" s="56"/>
      <c r="GJ743" s="56"/>
      <c r="GK743" s="56"/>
      <c r="GL743" s="56"/>
      <c r="GM743" s="56"/>
      <c r="GN743" s="56"/>
      <c r="GO743" s="56"/>
      <c r="GP743" s="56"/>
      <c r="GQ743" s="56"/>
      <c r="GR743" s="56"/>
      <c r="GS743" s="56"/>
      <c r="GT743" s="56"/>
      <c r="GU743" s="56"/>
      <c r="GV743" s="56"/>
      <c r="GW743" s="56"/>
      <c r="GX743" s="56"/>
      <c r="GY743" s="56"/>
      <c r="GZ743" s="56"/>
      <c r="HA743" s="56"/>
      <c r="HB743" s="56"/>
      <c r="HC743" s="56"/>
      <c r="HD743" s="56"/>
      <c r="HE743" s="56"/>
      <c r="HF743" s="56"/>
      <c r="HG743" s="56"/>
      <c r="HH743" s="56"/>
      <c r="HI743" s="56"/>
      <c r="HJ743" s="56"/>
    </row>
    <row r="744" spans="1:218" ht="15.75" customHeight="1" x14ac:dyDescent="0.2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  <c r="CL744" s="56"/>
      <c r="CM744" s="56"/>
      <c r="CN744" s="56"/>
      <c r="CO744" s="56"/>
      <c r="CP744" s="56"/>
      <c r="CQ744" s="56"/>
      <c r="CR744" s="56"/>
      <c r="CS744" s="56"/>
      <c r="CT744" s="56"/>
      <c r="CU744" s="56"/>
      <c r="CV744" s="56"/>
      <c r="CW744" s="56"/>
      <c r="CX744" s="56"/>
      <c r="CY744" s="56"/>
      <c r="CZ744" s="56"/>
      <c r="DA744" s="56"/>
      <c r="DB744" s="56"/>
      <c r="DC744" s="56"/>
      <c r="DD744" s="56"/>
      <c r="DE744" s="56"/>
      <c r="DF744" s="56"/>
      <c r="DG744" s="56"/>
      <c r="DH744" s="56"/>
      <c r="DI744" s="56"/>
      <c r="DJ744" s="56"/>
      <c r="DK744" s="56"/>
      <c r="DL744" s="56"/>
      <c r="DM744" s="56"/>
      <c r="DN744" s="56"/>
      <c r="DO744" s="56"/>
      <c r="DP744" s="56"/>
      <c r="DQ744" s="56"/>
      <c r="DR744" s="56"/>
      <c r="DS744" s="56"/>
      <c r="DT744" s="56"/>
      <c r="DU744" s="56"/>
      <c r="DV744" s="56"/>
      <c r="DW744" s="56"/>
      <c r="DX744" s="56"/>
      <c r="DY744" s="56"/>
      <c r="DZ744" s="56"/>
      <c r="EA744" s="56"/>
      <c r="EB744" s="56"/>
      <c r="EC744" s="56"/>
      <c r="ED744" s="56"/>
      <c r="EE744" s="56"/>
      <c r="EF744" s="56"/>
      <c r="EG744" s="56"/>
      <c r="EH744" s="56"/>
      <c r="EI744" s="56"/>
      <c r="EJ744" s="56"/>
      <c r="EK744" s="56"/>
      <c r="EL744" s="56"/>
      <c r="EM744" s="56"/>
      <c r="EN744" s="56"/>
      <c r="EO744" s="56"/>
      <c r="EP744" s="56"/>
      <c r="EQ744" s="56"/>
      <c r="ER744" s="56"/>
      <c r="ES744" s="56"/>
      <c r="ET744" s="56"/>
      <c r="EU744" s="56"/>
      <c r="EV744" s="56"/>
      <c r="EW744" s="56"/>
      <c r="EX744" s="56"/>
      <c r="EY744" s="56"/>
      <c r="EZ744" s="56"/>
      <c r="FA744" s="56"/>
      <c r="FB744" s="56"/>
      <c r="FC744" s="56"/>
      <c r="FD744" s="56"/>
      <c r="FE744" s="56"/>
      <c r="FF744" s="56"/>
      <c r="FG744" s="56"/>
      <c r="FH744" s="56"/>
      <c r="FI744" s="56"/>
      <c r="FJ744" s="56"/>
      <c r="FK744" s="56"/>
      <c r="FL744" s="56"/>
      <c r="FM744" s="56"/>
      <c r="FN744" s="56"/>
      <c r="FO744" s="56"/>
      <c r="FP744" s="56"/>
      <c r="FQ744" s="56"/>
      <c r="FR744" s="56"/>
      <c r="FS744" s="56"/>
      <c r="FT744" s="56"/>
      <c r="FU744" s="56"/>
      <c r="FV744" s="56"/>
      <c r="FW744" s="56"/>
      <c r="FX744" s="56"/>
      <c r="FY744" s="56"/>
      <c r="FZ744" s="56"/>
      <c r="GA744" s="56"/>
      <c r="GB744" s="56"/>
      <c r="GC744" s="56"/>
      <c r="GD744" s="56"/>
      <c r="GE744" s="56"/>
      <c r="GF744" s="56"/>
      <c r="GG744" s="56"/>
      <c r="GH744" s="56"/>
      <c r="GI744" s="56"/>
      <c r="GJ744" s="56"/>
      <c r="GK744" s="56"/>
      <c r="GL744" s="56"/>
      <c r="GM744" s="56"/>
      <c r="GN744" s="56"/>
      <c r="GO744" s="56"/>
      <c r="GP744" s="56"/>
      <c r="GQ744" s="56"/>
      <c r="GR744" s="56"/>
      <c r="GS744" s="56"/>
      <c r="GT744" s="56"/>
      <c r="GU744" s="56"/>
      <c r="GV744" s="56"/>
      <c r="GW744" s="56"/>
      <c r="GX744" s="56"/>
      <c r="GY744" s="56"/>
      <c r="GZ744" s="56"/>
      <c r="HA744" s="56"/>
      <c r="HB744" s="56"/>
      <c r="HC744" s="56"/>
      <c r="HD744" s="56"/>
      <c r="HE744" s="56"/>
      <c r="HF744" s="56"/>
      <c r="HG744" s="56"/>
      <c r="HH744" s="56"/>
      <c r="HI744" s="56"/>
      <c r="HJ744" s="56"/>
    </row>
    <row r="745" spans="1:218" ht="15.75" customHeight="1" x14ac:dyDescent="0.2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  <c r="BV745" s="56"/>
      <c r="BW745" s="56"/>
      <c r="BX745" s="56"/>
      <c r="BY745" s="56"/>
      <c r="BZ745" s="56"/>
      <c r="CA745" s="56"/>
      <c r="CB745" s="56"/>
      <c r="CC745" s="56"/>
      <c r="CD745" s="56"/>
      <c r="CE745" s="56"/>
      <c r="CF745" s="56"/>
      <c r="CG745" s="56"/>
      <c r="CH745" s="56"/>
      <c r="CI745" s="56"/>
      <c r="CJ745" s="56"/>
      <c r="CK745" s="56"/>
      <c r="CL745" s="56"/>
      <c r="CM745" s="56"/>
      <c r="CN745" s="56"/>
      <c r="CO745" s="56"/>
      <c r="CP745" s="56"/>
      <c r="CQ745" s="56"/>
      <c r="CR745" s="56"/>
      <c r="CS745" s="56"/>
      <c r="CT745" s="56"/>
      <c r="CU745" s="56"/>
      <c r="CV745" s="56"/>
      <c r="CW745" s="56"/>
      <c r="CX745" s="56"/>
      <c r="CY745" s="56"/>
      <c r="CZ745" s="56"/>
      <c r="DA745" s="56"/>
      <c r="DB745" s="56"/>
      <c r="DC745" s="56"/>
      <c r="DD745" s="56"/>
      <c r="DE745" s="56"/>
      <c r="DF745" s="56"/>
      <c r="DG745" s="56"/>
      <c r="DH745" s="56"/>
      <c r="DI745" s="56"/>
      <c r="DJ745" s="56"/>
      <c r="DK745" s="56"/>
      <c r="DL745" s="56"/>
      <c r="DM745" s="56"/>
      <c r="DN745" s="56"/>
      <c r="DO745" s="56"/>
      <c r="DP745" s="56"/>
      <c r="DQ745" s="56"/>
      <c r="DR745" s="56"/>
      <c r="DS745" s="56"/>
      <c r="DT745" s="56"/>
      <c r="DU745" s="56"/>
      <c r="DV745" s="56"/>
      <c r="DW745" s="56"/>
      <c r="DX745" s="56"/>
      <c r="DY745" s="56"/>
      <c r="DZ745" s="56"/>
      <c r="EA745" s="56"/>
      <c r="EB745" s="56"/>
      <c r="EC745" s="56"/>
      <c r="ED745" s="56"/>
      <c r="EE745" s="56"/>
      <c r="EF745" s="56"/>
      <c r="EG745" s="56"/>
      <c r="EH745" s="56"/>
      <c r="EI745" s="56"/>
      <c r="EJ745" s="56"/>
      <c r="EK745" s="56"/>
      <c r="EL745" s="56"/>
      <c r="EM745" s="56"/>
      <c r="EN745" s="56"/>
      <c r="EO745" s="56"/>
      <c r="EP745" s="56"/>
      <c r="EQ745" s="56"/>
      <c r="ER745" s="56"/>
      <c r="ES745" s="56"/>
      <c r="ET745" s="56"/>
      <c r="EU745" s="56"/>
      <c r="EV745" s="56"/>
      <c r="EW745" s="56"/>
      <c r="EX745" s="56"/>
      <c r="EY745" s="56"/>
      <c r="EZ745" s="56"/>
      <c r="FA745" s="56"/>
      <c r="FB745" s="56"/>
      <c r="FC745" s="56"/>
      <c r="FD745" s="56"/>
      <c r="FE745" s="56"/>
      <c r="FF745" s="56"/>
      <c r="FG745" s="56"/>
      <c r="FH745" s="56"/>
      <c r="FI745" s="56"/>
      <c r="FJ745" s="56"/>
      <c r="FK745" s="56"/>
      <c r="FL745" s="56"/>
      <c r="FM745" s="56"/>
      <c r="FN745" s="56"/>
      <c r="FO745" s="56"/>
      <c r="FP745" s="56"/>
      <c r="FQ745" s="56"/>
      <c r="FR745" s="56"/>
      <c r="FS745" s="56"/>
      <c r="FT745" s="56"/>
      <c r="FU745" s="56"/>
      <c r="FV745" s="56"/>
      <c r="FW745" s="56"/>
      <c r="FX745" s="56"/>
      <c r="FY745" s="56"/>
      <c r="FZ745" s="56"/>
      <c r="GA745" s="56"/>
      <c r="GB745" s="56"/>
      <c r="GC745" s="56"/>
      <c r="GD745" s="56"/>
      <c r="GE745" s="56"/>
      <c r="GF745" s="56"/>
      <c r="GG745" s="56"/>
      <c r="GH745" s="56"/>
      <c r="GI745" s="56"/>
      <c r="GJ745" s="56"/>
      <c r="GK745" s="56"/>
      <c r="GL745" s="56"/>
      <c r="GM745" s="56"/>
      <c r="GN745" s="56"/>
      <c r="GO745" s="56"/>
      <c r="GP745" s="56"/>
      <c r="GQ745" s="56"/>
      <c r="GR745" s="56"/>
      <c r="GS745" s="56"/>
      <c r="GT745" s="56"/>
      <c r="GU745" s="56"/>
      <c r="GV745" s="56"/>
      <c r="GW745" s="56"/>
      <c r="GX745" s="56"/>
      <c r="GY745" s="56"/>
      <c r="GZ745" s="56"/>
      <c r="HA745" s="56"/>
      <c r="HB745" s="56"/>
      <c r="HC745" s="56"/>
      <c r="HD745" s="56"/>
      <c r="HE745" s="56"/>
      <c r="HF745" s="56"/>
      <c r="HG745" s="56"/>
      <c r="HH745" s="56"/>
      <c r="HI745" s="56"/>
      <c r="HJ745" s="56"/>
    </row>
    <row r="746" spans="1:218" ht="15.75" customHeight="1" x14ac:dyDescent="0.2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  <c r="BV746" s="56"/>
      <c r="BW746" s="56"/>
      <c r="BX746" s="56"/>
      <c r="BY746" s="56"/>
      <c r="BZ746" s="56"/>
      <c r="CA746" s="56"/>
      <c r="CB746" s="56"/>
      <c r="CC746" s="56"/>
      <c r="CD746" s="56"/>
      <c r="CE746" s="56"/>
      <c r="CF746" s="56"/>
      <c r="CG746" s="56"/>
      <c r="CH746" s="56"/>
      <c r="CI746" s="56"/>
      <c r="CJ746" s="56"/>
      <c r="CK746" s="56"/>
      <c r="CL746" s="56"/>
      <c r="CM746" s="56"/>
      <c r="CN746" s="56"/>
      <c r="CO746" s="56"/>
      <c r="CP746" s="56"/>
      <c r="CQ746" s="56"/>
      <c r="CR746" s="56"/>
      <c r="CS746" s="56"/>
      <c r="CT746" s="56"/>
      <c r="CU746" s="56"/>
      <c r="CV746" s="56"/>
      <c r="CW746" s="56"/>
      <c r="CX746" s="56"/>
      <c r="CY746" s="56"/>
      <c r="CZ746" s="56"/>
      <c r="DA746" s="56"/>
      <c r="DB746" s="56"/>
      <c r="DC746" s="56"/>
      <c r="DD746" s="56"/>
      <c r="DE746" s="56"/>
      <c r="DF746" s="56"/>
      <c r="DG746" s="56"/>
      <c r="DH746" s="56"/>
      <c r="DI746" s="56"/>
      <c r="DJ746" s="56"/>
      <c r="DK746" s="56"/>
      <c r="DL746" s="56"/>
      <c r="DM746" s="56"/>
      <c r="DN746" s="56"/>
      <c r="DO746" s="56"/>
      <c r="DP746" s="56"/>
      <c r="DQ746" s="56"/>
      <c r="DR746" s="56"/>
      <c r="DS746" s="56"/>
      <c r="DT746" s="56"/>
      <c r="DU746" s="56"/>
      <c r="DV746" s="56"/>
      <c r="DW746" s="56"/>
      <c r="DX746" s="56"/>
      <c r="DY746" s="56"/>
      <c r="DZ746" s="56"/>
      <c r="EA746" s="56"/>
      <c r="EB746" s="56"/>
      <c r="EC746" s="56"/>
      <c r="ED746" s="56"/>
      <c r="EE746" s="56"/>
      <c r="EF746" s="56"/>
      <c r="EG746" s="56"/>
      <c r="EH746" s="56"/>
      <c r="EI746" s="56"/>
      <c r="EJ746" s="56"/>
      <c r="EK746" s="56"/>
      <c r="EL746" s="56"/>
      <c r="EM746" s="56"/>
      <c r="EN746" s="56"/>
      <c r="EO746" s="56"/>
      <c r="EP746" s="56"/>
      <c r="EQ746" s="56"/>
      <c r="ER746" s="56"/>
      <c r="ES746" s="56"/>
      <c r="ET746" s="56"/>
      <c r="EU746" s="56"/>
      <c r="EV746" s="56"/>
      <c r="EW746" s="56"/>
      <c r="EX746" s="56"/>
      <c r="EY746" s="56"/>
      <c r="EZ746" s="56"/>
      <c r="FA746" s="56"/>
      <c r="FB746" s="56"/>
      <c r="FC746" s="56"/>
      <c r="FD746" s="56"/>
      <c r="FE746" s="56"/>
      <c r="FF746" s="56"/>
      <c r="FG746" s="56"/>
      <c r="FH746" s="56"/>
      <c r="FI746" s="56"/>
      <c r="FJ746" s="56"/>
      <c r="FK746" s="56"/>
      <c r="FL746" s="56"/>
      <c r="FM746" s="56"/>
      <c r="FN746" s="56"/>
      <c r="FO746" s="56"/>
      <c r="FP746" s="56"/>
      <c r="FQ746" s="56"/>
      <c r="FR746" s="56"/>
      <c r="FS746" s="56"/>
      <c r="FT746" s="56"/>
      <c r="FU746" s="56"/>
      <c r="FV746" s="56"/>
      <c r="FW746" s="56"/>
      <c r="FX746" s="56"/>
      <c r="FY746" s="56"/>
      <c r="FZ746" s="56"/>
      <c r="GA746" s="56"/>
      <c r="GB746" s="56"/>
      <c r="GC746" s="56"/>
      <c r="GD746" s="56"/>
      <c r="GE746" s="56"/>
      <c r="GF746" s="56"/>
      <c r="GG746" s="56"/>
      <c r="GH746" s="56"/>
      <c r="GI746" s="56"/>
      <c r="GJ746" s="56"/>
      <c r="GK746" s="56"/>
      <c r="GL746" s="56"/>
      <c r="GM746" s="56"/>
      <c r="GN746" s="56"/>
      <c r="GO746" s="56"/>
      <c r="GP746" s="56"/>
      <c r="GQ746" s="56"/>
      <c r="GR746" s="56"/>
      <c r="GS746" s="56"/>
      <c r="GT746" s="56"/>
      <c r="GU746" s="56"/>
      <c r="GV746" s="56"/>
      <c r="GW746" s="56"/>
      <c r="GX746" s="56"/>
      <c r="GY746" s="56"/>
      <c r="GZ746" s="56"/>
      <c r="HA746" s="56"/>
      <c r="HB746" s="56"/>
      <c r="HC746" s="56"/>
      <c r="HD746" s="56"/>
      <c r="HE746" s="56"/>
      <c r="HF746" s="56"/>
      <c r="HG746" s="56"/>
      <c r="HH746" s="56"/>
      <c r="HI746" s="56"/>
      <c r="HJ746" s="56"/>
    </row>
    <row r="747" spans="1:218" ht="15.75" customHeight="1" x14ac:dyDescent="0.2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  <c r="BV747" s="56"/>
      <c r="BW747" s="56"/>
      <c r="BX747" s="56"/>
      <c r="BY747" s="56"/>
      <c r="BZ747" s="56"/>
      <c r="CA747" s="56"/>
      <c r="CB747" s="56"/>
      <c r="CC747" s="56"/>
      <c r="CD747" s="56"/>
      <c r="CE747" s="56"/>
      <c r="CF747" s="56"/>
      <c r="CG747" s="56"/>
      <c r="CH747" s="56"/>
      <c r="CI747" s="56"/>
      <c r="CJ747" s="56"/>
      <c r="CK747" s="56"/>
      <c r="CL747" s="56"/>
      <c r="CM747" s="56"/>
      <c r="CN747" s="56"/>
      <c r="CO747" s="56"/>
      <c r="CP747" s="56"/>
      <c r="CQ747" s="56"/>
      <c r="CR747" s="56"/>
      <c r="CS747" s="56"/>
      <c r="CT747" s="56"/>
      <c r="CU747" s="56"/>
      <c r="CV747" s="56"/>
      <c r="CW747" s="56"/>
      <c r="CX747" s="56"/>
      <c r="CY747" s="56"/>
      <c r="CZ747" s="56"/>
      <c r="DA747" s="56"/>
      <c r="DB747" s="56"/>
      <c r="DC747" s="56"/>
      <c r="DD747" s="56"/>
      <c r="DE747" s="56"/>
      <c r="DF747" s="56"/>
      <c r="DG747" s="56"/>
      <c r="DH747" s="56"/>
      <c r="DI747" s="56"/>
      <c r="DJ747" s="56"/>
      <c r="DK747" s="56"/>
      <c r="DL747" s="56"/>
      <c r="DM747" s="56"/>
      <c r="DN747" s="56"/>
      <c r="DO747" s="56"/>
      <c r="DP747" s="56"/>
      <c r="DQ747" s="56"/>
      <c r="DR747" s="56"/>
      <c r="DS747" s="56"/>
      <c r="DT747" s="56"/>
      <c r="DU747" s="56"/>
      <c r="DV747" s="56"/>
      <c r="DW747" s="56"/>
      <c r="DX747" s="56"/>
      <c r="DY747" s="56"/>
      <c r="DZ747" s="56"/>
      <c r="EA747" s="56"/>
      <c r="EB747" s="56"/>
      <c r="EC747" s="56"/>
      <c r="ED747" s="56"/>
      <c r="EE747" s="56"/>
      <c r="EF747" s="56"/>
      <c r="EG747" s="56"/>
      <c r="EH747" s="56"/>
      <c r="EI747" s="56"/>
      <c r="EJ747" s="56"/>
      <c r="EK747" s="56"/>
      <c r="EL747" s="56"/>
      <c r="EM747" s="56"/>
      <c r="EN747" s="56"/>
      <c r="EO747" s="56"/>
      <c r="EP747" s="56"/>
      <c r="EQ747" s="56"/>
      <c r="ER747" s="56"/>
      <c r="ES747" s="56"/>
      <c r="ET747" s="56"/>
      <c r="EU747" s="56"/>
      <c r="EV747" s="56"/>
      <c r="EW747" s="56"/>
      <c r="EX747" s="56"/>
      <c r="EY747" s="56"/>
      <c r="EZ747" s="56"/>
      <c r="FA747" s="56"/>
      <c r="FB747" s="56"/>
      <c r="FC747" s="56"/>
      <c r="FD747" s="56"/>
      <c r="FE747" s="56"/>
      <c r="FF747" s="56"/>
      <c r="FG747" s="56"/>
      <c r="FH747" s="56"/>
      <c r="FI747" s="56"/>
      <c r="FJ747" s="56"/>
      <c r="FK747" s="56"/>
      <c r="FL747" s="56"/>
      <c r="FM747" s="56"/>
      <c r="FN747" s="56"/>
      <c r="FO747" s="56"/>
      <c r="FP747" s="56"/>
      <c r="FQ747" s="56"/>
      <c r="FR747" s="56"/>
      <c r="FS747" s="56"/>
      <c r="FT747" s="56"/>
      <c r="FU747" s="56"/>
      <c r="FV747" s="56"/>
      <c r="FW747" s="56"/>
      <c r="FX747" s="56"/>
      <c r="FY747" s="56"/>
      <c r="FZ747" s="56"/>
      <c r="GA747" s="56"/>
      <c r="GB747" s="56"/>
      <c r="GC747" s="56"/>
      <c r="GD747" s="56"/>
      <c r="GE747" s="56"/>
      <c r="GF747" s="56"/>
      <c r="GG747" s="56"/>
      <c r="GH747" s="56"/>
      <c r="GI747" s="56"/>
      <c r="GJ747" s="56"/>
      <c r="GK747" s="56"/>
      <c r="GL747" s="56"/>
      <c r="GM747" s="56"/>
      <c r="GN747" s="56"/>
      <c r="GO747" s="56"/>
      <c r="GP747" s="56"/>
      <c r="GQ747" s="56"/>
      <c r="GR747" s="56"/>
      <c r="GS747" s="56"/>
      <c r="GT747" s="56"/>
      <c r="GU747" s="56"/>
      <c r="GV747" s="56"/>
      <c r="GW747" s="56"/>
      <c r="GX747" s="56"/>
      <c r="GY747" s="56"/>
      <c r="GZ747" s="56"/>
      <c r="HA747" s="56"/>
      <c r="HB747" s="56"/>
      <c r="HC747" s="56"/>
      <c r="HD747" s="56"/>
      <c r="HE747" s="56"/>
      <c r="HF747" s="56"/>
      <c r="HG747" s="56"/>
      <c r="HH747" s="56"/>
      <c r="HI747" s="56"/>
      <c r="HJ747" s="56"/>
    </row>
    <row r="748" spans="1:218" ht="15.75" customHeight="1" x14ac:dyDescent="0.2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  <c r="BV748" s="56"/>
      <c r="BW748" s="56"/>
      <c r="BX748" s="56"/>
      <c r="BY748" s="56"/>
      <c r="BZ748" s="56"/>
      <c r="CA748" s="56"/>
      <c r="CB748" s="56"/>
      <c r="CC748" s="56"/>
      <c r="CD748" s="56"/>
      <c r="CE748" s="56"/>
      <c r="CF748" s="56"/>
      <c r="CG748" s="56"/>
      <c r="CH748" s="56"/>
      <c r="CI748" s="56"/>
      <c r="CJ748" s="56"/>
      <c r="CK748" s="56"/>
      <c r="CL748" s="56"/>
      <c r="CM748" s="56"/>
      <c r="CN748" s="56"/>
      <c r="CO748" s="56"/>
      <c r="CP748" s="56"/>
      <c r="CQ748" s="56"/>
      <c r="CR748" s="56"/>
      <c r="CS748" s="56"/>
      <c r="CT748" s="56"/>
      <c r="CU748" s="56"/>
      <c r="CV748" s="56"/>
      <c r="CW748" s="56"/>
      <c r="CX748" s="56"/>
      <c r="CY748" s="56"/>
      <c r="CZ748" s="56"/>
      <c r="DA748" s="56"/>
      <c r="DB748" s="56"/>
      <c r="DC748" s="56"/>
      <c r="DD748" s="56"/>
      <c r="DE748" s="56"/>
      <c r="DF748" s="56"/>
      <c r="DG748" s="56"/>
      <c r="DH748" s="56"/>
      <c r="DI748" s="56"/>
      <c r="DJ748" s="56"/>
      <c r="DK748" s="56"/>
      <c r="DL748" s="56"/>
      <c r="DM748" s="56"/>
      <c r="DN748" s="56"/>
      <c r="DO748" s="56"/>
      <c r="DP748" s="56"/>
      <c r="DQ748" s="56"/>
      <c r="DR748" s="56"/>
      <c r="DS748" s="56"/>
      <c r="DT748" s="56"/>
      <c r="DU748" s="56"/>
      <c r="DV748" s="56"/>
      <c r="DW748" s="56"/>
      <c r="DX748" s="56"/>
      <c r="DY748" s="56"/>
      <c r="DZ748" s="56"/>
      <c r="EA748" s="56"/>
      <c r="EB748" s="56"/>
      <c r="EC748" s="56"/>
      <c r="ED748" s="56"/>
      <c r="EE748" s="56"/>
      <c r="EF748" s="56"/>
      <c r="EG748" s="56"/>
      <c r="EH748" s="56"/>
      <c r="EI748" s="56"/>
      <c r="EJ748" s="56"/>
      <c r="EK748" s="56"/>
      <c r="EL748" s="56"/>
      <c r="EM748" s="56"/>
      <c r="EN748" s="56"/>
      <c r="EO748" s="56"/>
      <c r="EP748" s="56"/>
      <c r="EQ748" s="56"/>
      <c r="ER748" s="56"/>
      <c r="ES748" s="56"/>
      <c r="ET748" s="56"/>
      <c r="EU748" s="56"/>
      <c r="EV748" s="56"/>
      <c r="EW748" s="56"/>
      <c r="EX748" s="56"/>
      <c r="EY748" s="56"/>
      <c r="EZ748" s="56"/>
      <c r="FA748" s="56"/>
      <c r="FB748" s="56"/>
      <c r="FC748" s="56"/>
      <c r="FD748" s="56"/>
      <c r="FE748" s="56"/>
      <c r="FF748" s="56"/>
      <c r="FG748" s="56"/>
      <c r="FH748" s="56"/>
      <c r="FI748" s="56"/>
      <c r="FJ748" s="56"/>
      <c r="FK748" s="56"/>
      <c r="FL748" s="56"/>
      <c r="FM748" s="56"/>
      <c r="FN748" s="56"/>
      <c r="FO748" s="56"/>
      <c r="FP748" s="56"/>
      <c r="FQ748" s="56"/>
      <c r="FR748" s="56"/>
      <c r="FS748" s="56"/>
      <c r="FT748" s="56"/>
      <c r="FU748" s="56"/>
      <c r="FV748" s="56"/>
      <c r="FW748" s="56"/>
      <c r="FX748" s="56"/>
      <c r="FY748" s="56"/>
      <c r="FZ748" s="56"/>
      <c r="GA748" s="56"/>
      <c r="GB748" s="56"/>
      <c r="GC748" s="56"/>
      <c r="GD748" s="56"/>
      <c r="GE748" s="56"/>
      <c r="GF748" s="56"/>
      <c r="GG748" s="56"/>
      <c r="GH748" s="56"/>
      <c r="GI748" s="56"/>
      <c r="GJ748" s="56"/>
      <c r="GK748" s="56"/>
      <c r="GL748" s="56"/>
      <c r="GM748" s="56"/>
      <c r="GN748" s="56"/>
      <c r="GO748" s="56"/>
      <c r="GP748" s="56"/>
      <c r="GQ748" s="56"/>
      <c r="GR748" s="56"/>
      <c r="GS748" s="56"/>
      <c r="GT748" s="56"/>
      <c r="GU748" s="56"/>
      <c r="GV748" s="56"/>
      <c r="GW748" s="56"/>
      <c r="GX748" s="56"/>
      <c r="GY748" s="56"/>
      <c r="GZ748" s="56"/>
      <c r="HA748" s="56"/>
      <c r="HB748" s="56"/>
      <c r="HC748" s="56"/>
      <c r="HD748" s="56"/>
      <c r="HE748" s="56"/>
      <c r="HF748" s="56"/>
      <c r="HG748" s="56"/>
      <c r="HH748" s="56"/>
      <c r="HI748" s="56"/>
      <c r="HJ748" s="56"/>
    </row>
    <row r="749" spans="1:218" ht="15.75" customHeight="1" x14ac:dyDescent="0.2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  <c r="BV749" s="56"/>
      <c r="BW749" s="56"/>
      <c r="BX749" s="56"/>
      <c r="BY749" s="56"/>
      <c r="BZ749" s="56"/>
      <c r="CA749" s="56"/>
      <c r="CB749" s="56"/>
      <c r="CC749" s="56"/>
      <c r="CD749" s="56"/>
      <c r="CE749" s="56"/>
      <c r="CF749" s="56"/>
      <c r="CG749" s="56"/>
      <c r="CH749" s="56"/>
      <c r="CI749" s="56"/>
      <c r="CJ749" s="56"/>
      <c r="CK749" s="56"/>
      <c r="CL749" s="56"/>
      <c r="CM749" s="56"/>
      <c r="CN749" s="56"/>
      <c r="CO749" s="56"/>
      <c r="CP749" s="56"/>
      <c r="CQ749" s="56"/>
      <c r="CR749" s="56"/>
      <c r="CS749" s="56"/>
      <c r="CT749" s="56"/>
      <c r="CU749" s="56"/>
      <c r="CV749" s="56"/>
      <c r="CW749" s="56"/>
      <c r="CX749" s="56"/>
      <c r="CY749" s="56"/>
      <c r="CZ749" s="56"/>
      <c r="DA749" s="56"/>
      <c r="DB749" s="56"/>
      <c r="DC749" s="56"/>
      <c r="DD749" s="56"/>
      <c r="DE749" s="56"/>
      <c r="DF749" s="56"/>
      <c r="DG749" s="56"/>
      <c r="DH749" s="56"/>
      <c r="DI749" s="56"/>
      <c r="DJ749" s="56"/>
      <c r="DK749" s="56"/>
      <c r="DL749" s="56"/>
      <c r="DM749" s="56"/>
      <c r="DN749" s="56"/>
      <c r="DO749" s="56"/>
      <c r="DP749" s="56"/>
      <c r="DQ749" s="56"/>
      <c r="DR749" s="56"/>
      <c r="DS749" s="56"/>
      <c r="DT749" s="56"/>
      <c r="DU749" s="56"/>
      <c r="DV749" s="56"/>
      <c r="DW749" s="56"/>
      <c r="DX749" s="56"/>
      <c r="DY749" s="56"/>
      <c r="DZ749" s="56"/>
      <c r="EA749" s="56"/>
      <c r="EB749" s="56"/>
      <c r="EC749" s="56"/>
      <c r="ED749" s="56"/>
      <c r="EE749" s="56"/>
      <c r="EF749" s="56"/>
      <c r="EG749" s="56"/>
      <c r="EH749" s="56"/>
      <c r="EI749" s="56"/>
      <c r="EJ749" s="56"/>
      <c r="EK749" s="56"/>
      <c r="EL749" s="56"/>
      <c r="EM749" s="56"/>
      <c r="EN749" s="56"/>
      <c r="EO749" s="56"/>
      <c r="EP749" s="56"/>
      <c r="EQ749" s="56"/>
      <c r="ER749" s="56"/>
      <c r="ES749" s="56"/>
      <c r="ET749" s="56"/>
      <c r="EU749" s="56"/>
      <c r="EV749" s="56"/>
      <c r="EW749" s="56"/>
      <c r="EX749" s="56"/>
      <c r="EY749" s="56"/>
      <c r="EZ749" s="56"/>
      <c r="FA749" s="56"/>
      <c r="FB749" s="56"/>
      <c r="FC749" s="56"/>
      <c r="FD749" s="56"/>
      <c r="FE749" s="56"/>
      <c r="FF749" s="56"/>
      <c r="FG749" s="56"/>
      <c r="FH749" s="56"/>
      <c r="FI749" s="56"/>
      <c r="FJ749" s="56"/>
      <c r="FK749" s="56"/>
      <c r="FL749" s="56"/>
      <c r="FM749" s="56"/>
      <c r="FN749" s="56"/>
      <c r="FO749" s="56"/>
      <c r="FP749" s="56"/>
      <c r="FQ749" s="56"/>
      <c r="FR749" s="56"/>
      <c r="FS749" s="56"/>
      <c r="FT749" s="56"/>
      <c r="FU749" s="56"/>
      <c r="FV749" s="56"/>
      <c r="FW749" s="56"/>
      <c r="FX749" s="56"/>
      <c r="FY749" s="56"/>
      <c r="FZ749" s="56"/>
      <c r="GA749" s="56"/>
      <c r="GB749" s="56"/>
      <c r="GC749" s="56"/>
      <c r="GD749" s="56"/>
      <c r="GE749" s="56"/>
      <c r="GF749" s="56"/>
      <c r="GG749" s="56"/>
      <c r="GH749" s="56"/>
      <c r="GI749" s="56"/>
      <c r="GJ749" s="56"/>
      <c r="GK749" s="56"/>
      <c r="GL749" s="56"/>
      <c r="GM749" s="56"/>
      <c r="GN749" s="56"/>
      <c r="GO749" s="56"/>
      <c r="GP749" s="56"/>
      <c r="GQ749" s="56"/>
      <c r="GR749" s="56"/>
      <c r="GS749" s="56"/>
      <c r="GT749" s="56"/>
      <c r="GU749" s="56"/>
      <c r="GV749" s="56"/>
      <c r="GW749" s="56"/>
      <c r="GX749" s="56"/>
      <c r="GY749" s="56"/>
      <c r="GZ749" s="56"/>
      <c r="HA749" s="56"/>
      <c r="HB749" s="56"/>
      <c r="HC749" s="56"/>
      <c r="HD749" s="56"/>
      <c r="HE749" s="56"/>
      <c r="HF749" s="56"/>
      <c r="HG749" s="56"/>
      <c r="HH749" s="56"/>
      <c r="HI749" s="56"/>
      <c r="HJ749" s="56"/>
    </row>
    <row r="750" spans="1:218" ht="15.75" customHeight="1" x14ac:dyDescent="0.2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  <c r="BV750" s="56"/>
      <c r="BW750" s="56"/>
      <c r="BX750" s="56"/>
      <c r="BY750" s="56"/>
      <c r="BZ750" s="56"/>
      <c r="CA750" s="56"/>
      <c r="CB750" s="56"/>
      <c r="CC750" s="56"/>
      <c r="CD750" s="56"/>
      <c r="CE750" s="56"/>
      <c r="CF750" s="56"/>
      <c r="CG750" s="56"/>
      <c r="CH750" s="56"/>
      <c r="CI750" s="56"/>
      <c r="CJ750" s="56"/>
      <c r="CK750" s="56"/>
      <c r="CL750" s="56"/>
      <c r="CM750" s="56"/>
      <c r="CN750" s="56"/>
      <c r="CO750" s="56"/>
      <c r="CP750" s="56"/>
      <c r="CQ750" s="56"/>
      <c r="CR750" s="56"/>
      <c r="CS750" s="56"/>
      <c r="CT750" s="56"/>
      <c r="CU750" s="56"/>
      <c r="CV750" s="56"/>
      <c r="CW750" s="56"/>
      <c r="CX750" s="56"/>
      <c r="CY750" s="56"/>
      <c r="CZ750" s="56"/>
      <c r="DA750" s="56"/>
      <c r="DB750" s="56"/>
      <c r="DC750" s="56"/>
      <c r="DD750" s="56"/>
      <c r="DE750" s="56"/>
      <c r="DF750" s="56"/>
      <c r="DG750" s="56"/>
      <c r="DH750" s="56"/>
      <c r="DI750" s="56"/>
      <c r="DJ750" s="56"/>
      <c r="DK750" s="56"/>
      <c r="DL750" s="56"/>
      <c r="DM750" s="56"/>
      <c r="DN750" s="56"/>
      <c r="DO750" s="56"/>
      <c r="DP750" s="56"/>
      <c r="DQ750" s="56"/>
      <c r="DR750" s="56"/>
      <c r="DS750" s="56"/>
      <c r="DT750" s="56"/>
      <c r="DU750" s="56"/>
      <c r="DV750" s="56"/>
      <c r="DW750" s="56"/>
      <c r="DX750" s="56"/>
      <c r="DY750" s="56"/>
      <c r="DZ750" s="56"/>
      <c r="EA750" s="56"/>
      <c r="EB750" s="56"/>
      <c r="EC750" s="56"/>
      <c r="ED750" s="56"/>
      <c r="EE750" s="56"/>
      <c r="EF750" s="56"/>
      <c r="EG750" s="56"/>
      <c r="EH750" s="56"/>
      <c r="EI750" s="56"/>
      <c r="EJ750" s="56"/>
      <c r="EK750" s="56"/>
      <c r="EL750" s="56"/>
      <c r="EM750" s="56"/>
      <c r="EN750" s="56"/>
      <c r="EO750" s="56"/>
      <c r="EP750" s="56"/>
      <c r="EQ750" s="56"/>
      <c r="ER750" s="56"/>
      <c r="ES750" s="56"/>
      <c r="ET750" s="56"/>
      <c r="EU750" s="56"/>
      <c r="EV750" s="56"/>
      <c r="EW750" s="56"/>
      <c r="EX750" s="56"/>
      <c r="EY750" s="56"/>
      <c r="EZ750" s="56"/>
      <c r="FA750" s="56"/>
      <c r="FB750" s="56"/>
      <c r="FC750" s="56"/>
      <c r="FD750" s="56"/>
      <c r="FE750" s="56"/>
      <c r="FF750" s="56"/>
      <c r="FG750" s="56"/>
      <c r="FH750" s="56"/>
      <c r="FI750" s="56"/>
      <c r="FJ750" s="56"/>
      <c r="FK750" s="56"/>
      <c r="FL750" s="56"/>
      <c r="FM750" s="56"/>
      <c r="FN750" s="56"/>
      <c r="FO750" s="56"/>
      <c r="FP750" s="56"/>
      <c r="FQ750" s="56"/>
      <c r="FR750" s="56"/>
      <c r="FS750" s="56"/>
      <c r="FT750" s="56"/>
      <c r="FU750" s="56"/>
      <c r="FV750" s="56"/>
      <c r="FW750" s="56"/>
      <c r="FX750" s="56"/>
      <c r="FY750" s="56"/>
      <c r="FZ750" s="56"/>
      <c r="GA750" s="56"/>
      <c r="GB750" s="56"/>
      <c r="GC750" s="56"/>
      <c r="GD750" s="56"/>
      <c r="GE750" s="56"/>
      <c r="GF750" s="56"/>
      <c r="GG750" s="56"/>
      <c r="GH750" s="56"/>
      <c r="GI750" s="56"/>
      <c r="GJ750" s="56"/>
      <c r="GK750" s="56"/>
      <c r="GL750" s="56"/>
      <c r="GM750" s="56"/>
      <c r="GN750" s="56"/>
      <c r="GO750" s="56"/>
      <c r="GP750" s="56"/>
      <c r="GQ750" s="56"/>
      <c r="GR750" s="56"/>
      <c r="GS750" s="56"/>
      <c r="GT750" s="56"/>
      <c r="GU750" s="56"/>
      <c r="GV750" s="56"/>
      <c r="GW750" s="56"/>
      <c r="GX750" s="56"/>
      <c r="GY750" s="56"/>
      <c r="GZ750" s="56"/>
      <c r="HA750" s="56"/>
      <c r="HB750" s="56"/>
      <c r="HC750" s="56"/>
      <c r="HD750" s="56"/>
      <c r="HE750" s="56"/>
      <c r="HF750" s="56"/>
      <c r="HG750" s="56"/>
      <c r="HH750" s="56"/>
      <c r="HI750" s="56"/>
      <c r="HJ750" s="56"/>
    </row>
    <row r="751" spans="1:218" ht="15.75" customHeight="1" x14ac:dyDescent="0.2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  <c r="CL751" s="56"/>
      <c r="CM751" s="56"/>
      <c r="CN751" s="56"/>
      <c r="CO751" s="56"/>
      <c r="CP751" s="56"/>
      <c r="CQ751" s="56"/>
      <c r="CR751" s="56"/>
      <c r="CS751" s="56"/>
      <c r="CT751" s="56"/>
      <c r="CU751" s="56"/>
      <c r="CV751" s="56"/>
      <c r="CW751" s="56"/>
      <c r="CX751" s="56"/>
      <c r="CY751" s="56"/>
      <c r="CZ751" s="56"/>
      <c r="DA751" s="56"/>
      <c r="DB751" s="56"/>
      <c r="DC751" s="56"/>
      <c r="DD751" s="56"/>
      <c r="DE751" s="56"/>
      <c r="DF751" s="56"/>
      <c r="DG751" s="56"/>
      <c r="DH751" s="56"/>
      <c r="DI751" s="56"/>
      <c r="DJ751" s="56"/>
      <c r="DK751" s="56"/>
      <c r="DL751" s="56"/>
      <c r="DM751" s="56"/>
      <c r="DN751" s="56"/>
      <c r="DO751" s="56"/>
      <c r="DP751" s="56"/>
      <c r="DQ751" s="56"/>
      <c r="DR751" s="56"/>
      <c r="DS751" s="56"/>
      <c r="DT751" s="56"/>
      <c r="DU751" s="56"/>
      <c r="DV751" s="56"/>
      <c r="DW751" s="56"/>
      <c r="DX751" s="56"/>
      <c r="DY751" s="56"/>
      <c r="DZ751" s="56"/>
      <c r="EA751" s="56"/>
      <c r="EB751" s="56"/>
      <c r="EC751" s="56"/>
      <c r="ED751" s="56"/>
      <c r="EE751" s="56"/>
      <c r="EF751" s="56"/>
      <c r="EG751" s="56"/>
      <c r="EH751" s="56"/>
      <c r="EI751" s="56"/>
      <c r="EJ751" s="56"/>
      <c r="EK751" s="56"/>
      <c r="EL751" s="56"/>
      <c r="EM751" s="56"/>
      <c r="EN751" s="56"/>
      <c r="EO751" s="56"/>
      <c r="EP751" s="56"/>
      <c r="EQ751" s="56"/>
      <c r="ER751" s="56"/>
      <c r="ES751" s="56"/>
      <c r="ET751" s="56"/>
      <c r="EU751" s="56"/>
      <c r="EV751" s="56"/>
      <c r="EW751" s="56"/>
      <c r="EX751" s="56"/>
      <c r="EY751" s="56"/>
      <c r="EZ751" s="56"/>
      <c r="FA751" s="56"/>
      <c r="FB751" s="56"/>
      <c r="FC751" s="56"/>
      <c r="FD751" s="56"/>
      <c r="FE751" s="56"/>
      <c r="FF751" s="56"/>
      <c r="FG751" s="56"/>
      <c r="FH751" s="56"/>
      <c r="FI751" s="56"/>
      <c r="FJ751" s="56"/>
      <c r="FK751" s="56"/>
      <c r="FL751" s="56"/>
      <c r="FM751" s="56"/>
      <c r="FN751" s="56"/>
      <c r="FO751" s="56"/>
      <c r="FP751" s="56"/>
      <c r="FQ751" s="56"/>
      <c r="FR751" s="56"/>
      <c r="FS751" s="56"/>
      <c r="FT751" s="56"/>
      <c r="FU751" s="56"/>
      <c r="FV751" s="56"/>
      <c r="FW751" s="56"/>
      <c r="FX751" s="56"/>
      <c r="FY751" s="56"/>
      <c r="FZ751" s="56"/>
      <c r="GA751" s="56"/>
      <c r="GB751" s="56"/>
      <c r="GC751" s="56"/>
      <c r="GD751" s="56"/>
      <c r="GE751" s="56"/>
      <c r="GF751" s="56"/>
      <c r="GG751" s="56"/>
      <c r="GH751" s="56"/>
      <c r="GI751" s="56"/>
      <c r="GJ751" s="56"/>
      <c r="GK751" s="56"/>
      <c r="GL751" s="56"/>
      <c r="GM751" s="56"/>
      <c r="GN751" s="56"/>
      <c r="GO751" s="56"/>
      <c r="GP751" s="56"/>
      <c r="GQ751" s="56"/>
      <c r="GR751" s="56"/>
      <c r="GS751" s="56"/>
      <c r="GT751" s="56"/>
      <c r="GU751" s="56"/>
      <c r="GV751" s="56"/>
      <c r="GW751" s="56"/>
      <c r="GX751" s="56"/>
      <c r="GY751" s="56"/>
      <c r="GZ751" s="56"/>
      <c r="HA751" s="56"/>
      <c r="HB751" s="56"/>
      <c r="HC751" s="56"/>
      <c r="HD751" s="56"/>
      <c r="HE751" s="56"/>
      <c r="HF751" s="56"/>
      <c r="HG751" s="56"/>
      <c r="HH751" s="56"/>
      <c r="HI751" s="56"/>
      <c r="HJ751" s="56"/>
    </row>
    <row r="752" spans="1:218" ht="15.75" customHeight="1" x14ac:dyDescent="0.2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6"/>
      <c r="CA752" s="56"/>
      <c r="CB752" s="56"/>
      <c r="CC752" s="56"/>
      <c r="CD752" s="56"/>
      <c r="CE752" s="56"/>
      <c r="CF752" s="56"/>
      <c r="CG752" s="56"/>
      <c r="CH752" s="56"/>
      <c r="CI752" s="56"/>
      <c r="CJ752" s="56"/>
      <c r="CK752" s="56"/>
      <c r="CL752" s="56"/>
      <c r="CM752" s="56"/>
      <c r="CN752" s="56"/>
      <c r="CO752" s="56"/>
      <c r="CP752" s="56"/>
      <c r="CQ752" s="56"/>
      <c r="CR752" s="56"/>
      <c r="CS752" s="56"/>
      <c r="CT752" s="56"/>
      <c r="CU752" s="56"/>
      <c r="CV752" s="56"/>
      <c r="CW752" s="56"/>
      <c r="CX752" s="56"/>
      <c r="CY752" s="56"/>
      <c r="CZ752" s="56"/>
      <c r="DA752" s="56"/>
      <c r="DB752" s="56"/>
      <c r="DC752" s="56"/>
      <c r="DD752" s="56"/>
      <c r="DE752" s="56"/>
      <c r="DF752" s="56"/>
      <c r="DG752" s="56"/>
      <c r="DH752" s="56"/>
      <c r="DI752" s="56"/>
      <c r="DJ752" s="56"/>
      <c r="DK752" s="56"/>
      <c r="DL752" s="56"/>
      <c r="DM752" s="56"/>
      <c r="DN752" s="56"/>
      <c r="DO752" s="56"/>
      <c r="DP752" s="56"/>
      <c r="DQ752" s="56"/>
      <c r="DR752" s="56"/>
      <c r="DS752" s="56"/>
      <c r="DT752" s="56"/>
      <c r="DU752" s="56"/>
      <c r="DV752" s="56"/>
      <c r="DW752" s="56"/>
      <c r="DX752" s="56"/>
      <c r="DY752" s="56"/>
      <c r="DZ752" s="56"/>
      <c r="EA752" s="56"/>
      <c r="EB752" s="56"/>
      <c r="EC752" s="56"/>
      <c r="ED752" s="56"/>
      <c r="EE752" s="56"/>
      <c r="EF752" s="56"/>
      <c r="EG752" s="56"/>
      <c r="EH752" s="56"/>
      <c r="EI752" s="56"/>
      <c r="EJ752" s="56"/>
      <c r="EK752" s="56"/>
      <c r="EL752" s="56"/>
      <c r="EM752" s="56"/>
      <c r="EN752" s="56"/>
      <c r="EO752" s="56"/>
      <c r="EP752" s="56"/>
      <c r="EQ752" s="56"/>
      <c r="ER752" s="56"/>
      <c r="ES752" s="56"/>
      <c r="ET752" s="56"/>
      <c r="EU752" s="56"/>
      <c r="EV752" s="56"/>
      <c r="EW752" s="56"/>
      <c r="EX752" s="56"/>
      <c r="EY752" s="56"/>
      <c r="EZ752" s="56"/>
      <c r="FA752" s="56"/>
      <c r="FB752" s="56"/>
      <c r="FC752" s="56"/>
      <c r="FD752" s="56"/>
      <c r="FE752" s="56"/>
      <c r="FF752" s="56"/>
      <c r="FG752" s="56"/>
      <c r="FH752" s="56"/>
      <c r="FI752" s="56"/>
      <c r="FJ752" s="56"/>
      <c r="FK752" s="56"/>
      <c r="FL752" s="56"/>
      <c r="FM752" s="56"/>
      <c r="FN752" s="56"/>
      <c r="FO752" s="56"/>
      <c r="FP752" s="56"/>
      <c r="FQ752" s="56"/>
      <c r="FR752" s="56"/>
      <c r="FS752" s="56"/>
      <c r="FT752" s="56"/>
      <c r="FU752" s="56"/>
      <c r="FV752" s="56"/>
      <c r="FW752" s="56"/>
      <c r="FX752" s="56"/>
      <c r="FY752" s="56"/>
      <c r="FZ752" s="56"/>
      <c r="GA752" s="56"/>
      <c r="GB752" s="56"/>
      <c r="GC752" s="56"/>
      <c r="GD752" s="56"/>
      <c r="GE752" s="56"/>
      <c r="GF752" s="56"/>
      <c r="GG752" s="56"/>
      <c r="GH752" s="56"/>
      <c r="GI752" s="56"/>
      <c r="GJ752" s="56"/>
      <c r="GK752" s="56"/>
      <c r="GL752" s="56"/>
      <c r="GM752" s="56"/>
      <c r="GN752" s="56"/>
      <c r="GO752" s="56"/>
      <c r="GP752" s="56"/>
      <c r="GQ752" s="56"/>
      <c r="GR752" s="56"/>
      <c r="GS752" s="56"/>
      <c r="GT752" s="56"/>
      <c r="GU752" s="56"/>
      <c r="GV752" s="56"/>
      <c r="GW752" s="56"/>
      <c r="GX752" s="56"/>
      <c r="GY752" s="56"/>
      <c r="GZ752" s="56"/>
      <c r="HA752" s="56"/>
      <c r="HB752" s="56"/>
      <c r="HC752" s="56"/>
      <c r="HD752" s="56"/>
      <c r="HE752" s="56"/>
      <c r="HF752" s="56"/>
      <c r="HG752" s="56"/>
      <c r="HH752" s="56"/>
      <c r="HI752" s="56"/>
      <c r="HJ752" s="56"/>
    </row>
    <row r="753" spans="1:218" ht="15.75" customHeight="1" x14ac:dyDescent="0.2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  <c r="CL753" s="56"/>
      <c r="CM753" s="56"/>
      <c r="CN753" s="56"/>
      <c r="CO753" s="56"/>
      <c r="CP753" s="56"/>
      <c r="CQ753" s="56"/>
      <c r="CR753" s="56"/>
      <c r="CS753" s="56"/>
      <c r="CT753" s="56"/>
      <c r="CU753" s="56"/>
      <c r="CV753" s="56"/>
      <c r="CW753" s="56"/>
      <c r="CX753" s="56"/>
      <c r="CY753" s="56"/>
      <c r="CZ753" s="56"/>
      <c r="DA753" s="56"/>
      <c r="DB753" s="56"/>
      <c r="DC753" s="56"/>
      <c r="DD753" s="56"/>
      <c r="DE753" s="56"/>
      <c r="DF753" s="56"/>
      <c r="DG753" s="56"/>
      <c r="DH753" s="56"/>
      <c r="DI753" s="56"/>
      <c r="DJ753" s="56"/>
      <c r="DK753" s="56"/>
      <c r="DL753" s="56"/>
      <c r="DM753" s="56"/>
      <c r="DN753" s="56"/>
      <c r="DO753" s="56"/>
      <c r="DP753" s="56"/>
      <c r="DQ753" s="56"/>
      <c r="DR753" s="56"/>
      <c r="DS753" s="56"/>
      <c r="DT753" s="56"/>
      <c r="DU753" s="56"/>
      <c r="DV753" s="56"/>
      <c r="DW753" s="56"/>
      <c r="DX753" s="56"/>
      <c r="DY753" s="56"/>
      <c r="DZ753" s="56"/>
      <c r="EA753" s="56"/>
      <c r="EB753" s="56"/>
      <c r="EC753" s="56"/>
      <c r="ED753" s="56"/>
      <c r="EE753" s="56"/>
      <c r="EF753" s="56"/>
      <c r="EG753" s="56"/>
      <c r="EH753" s="56"/>
      <c r="EI753" s="56"/>
      <c r="EJ753" s="56"/>
      <c r="EK753" s="56"/>
      <c r="EL753" s="56"/>
      <c r="EM753" s="56"/>
      <c r="EN753" s="56"/>
      <c r="EO753" s="56"/>
      <c r="EP753" s="56"/>
      <c r="EQ753" s="56"/>
      <c r="ER753" s="56"/>
      <c r="ES753" s="56"/>
      <c r="ET753" s="56"/>
      <c r="EU753" s="56"/>
      <c r="EV753" s="56"/>
      <c r="EW753" s="56"/>
      <c r="EX753" s="56"/>
      <c r="EY753" s="56"/>
      <c r="EZ753" s="56"/>
      <c r="FA753" s="56"/>
      <c r="FB753" s="56"/>
      <c r="FC753" s="56"/>
      <c r="FD753" s="56"/>
      <c r="FE753" s="56"/>
      <c r="FF753" s="56"/>
      <c r="FG753" s="56"/>
      <c r="FH753" s="56"/>
      <c r="FI753" s="56"/>
      <c r="FJ753" s="56"/>
      <c r="FK753" s="56"/>
      <c r="FL753" s="56"/>
      <c r="FM753" s="56"/>
      <c r="FN753" s="56"/>
      <c r="FO753" s="56"/>
      <c r="FP753" s="56"/>
      <c r="FQ753" s="56"/>
      <c r="FR753" s="56"/>
      <c r="FS753" s="56"/>
      <c r="FT753" s="56"/>
      <c r="FU753" s="56"/>
      <c r="FV753" s="56"/>
      <c r="FW753" s="56"/>
      <c r="FX753" s="56"/>
      <c r="FY753" s="56"/>
      <c r="FZ753" s="56"/>
      <c r="GA753" s="56"/>
      <c r="GB753" s="56"/>
      <c r="GC753" s="56"/>
      <c r="GD753" s="56"/>
      <c r="GE753" s="56"/>
      <c r="GF753" s="56"/>
      <c r="GG753" s="56"/>
      <c r="GH753" s="56"/>
      <c r="GI753" s="56"/>
      <c r="GJ753" s="56"/>
      <c r="GK753" s="56"/>
      <c r="GL753" s="56"/>
      <c r="GM753" s="56"/>
      <c r="GN753" s="56"/>
      <c r="GO753" s="56"/>
      <c r="GP753" s="56"/>
      <c r="GQ753" s="56"/>
      <c r="GR753" s="56"/>
      <c r="GS753" s="56"/>
      <c r="GT753" s="56"/>
      <c r="GU753" s="56"/>
      <c r="GV753" s="56"/>
      <c r="GW753" s="56"/>
      <c r="GX753" s="56"/>
      <c r="GY753" s="56"/>
      <c r="GZ753" s="56"/>
      <c r="HA753" s="56"/>
      <c r="HB753" s="56"/>
      <c r="HC753" s="56"/>
      <c r="HD753" s="56"/>
      <c r="HE753" s="56"/>
      <c r="HF753" s="56"/>
      <c r="HG753" s="56"/>
      <c r="HH753" s="56"/>
      <c r="HI753" s="56"/>
      <c r="HJ753" s="56"/>
    </row>
    <row r="754" spans="1:218" ht="15.75" customHeight="1" x14ac:dyDescent="0.2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56"/>
      <c r="CP754" s="56"/>
      <c r="CQ754" s="56"/>
      <c r="CR754" s="56"/>
      <c r="CS754" s="56"/>
      <c r="CT754" s="56"/>
      <c r="CU754" s="56"/>
      <c r="CV754" s="56"/>
      <c r="CW754" s="56"/>
      <c r="CX754" s="56"/>
      <c r="CY754" s="56"/>
      <c r="CZ754" s="56"/>
      <c r="DA754" s="56"/>
      <c r="DB754" s="56"/>
      <c r="DC754" s="56"/>
      <c r="DD754" s="56"/>
      <c r="DE754" s="56"/>
      <c r="DF754" s="56"/>
      <c r="DG754" s="56"/>
      <c r="DH754" s="56"/>
      <c r="DI754" s="56"/>
      <c r="DJ754" s="56"/>
      <c r="DK754" s="56"/>
      <c r="DL754" s="56"/>
      <c r="DM754" s="56"/>
      <c r="DN754" s="56"/>
      <c r="DO754" s="56"/>
      <c r="DP754" s="56"/>
      <c r="DQ754" s="56"/>
      <c r="DR754" s="56"/>
      <c r="DS754" s="56"/>
      <c r="DT754" s="56"/>
      <c r="DU754" s="56"/>
      <c r="DV754" s="56"/>
      <c r="DW754" s="56"/>
      <c r="DX754" s="56"/>
      <c r="DY754" s="56"/>
      <c r="DZ754" s="56"/>
      <c r="EA754" s="56"/>
      <c r="EB754" s="56"/>
      <c r="EC754" s="56"/>
      <c r="ED754" s="56"/>
      <c r="EE754" s="56"/>
      <c r="EF754" s="56"/>
      <c r="EG754" s="56"/>
      <c r="EH754" s="56"/>
      <c r="EI754" s="56"/>
      <c r="EJ754" s="56"/>
      <c r="EK754" s="56"/>
      <c r="EL754" s="56"/>
      <c r="EM754" s="56"/>
      <c r="EN754" s="56"/>
      <c r="EO754" s="56"/>
      <c r="EP754" s="56"/>
      <c r="EQ754" s="56"/>
      <c r="ER754" s="56"/>
      <c r="ES754" s="56"/>
      <c r="ET754" s="56"/>
      <c r="EU754" s="56"/>
      <c r="EV754" s="56"/>
      <c r="EW754" s="56"/>
      <c r="EX754" s="56"/>
      <c r="EY754" s="56"/>
      <c r="EZ754" s="56"/>
      <c r="FA754" s="56"/>
      <c r="FB754" s="56"/>
      <c r="FC754" s="56"/>
      <c r="FD754" s="56"/>
      <c r="FE754" s="56"/>
      <c r="FF754" s="56"/>
      <c r="FG754" s="56"/>
      <c r="FH754" s="56"/>
      <c r="FI754" s="56"/>
      <c r="FJ754" s="56"/>
      <c r="FK754" s="56"/>
      <c r="FL754" s="56"/>
      <c r="FM754" s="56"/>
      <c r="FN754" s="56"/>
      <c r="FO754" s="56"/>
      <c r="FP754" s="56"/>
      <c r="FQ754" s="56"/>
      <c r="FR754" s="56"/>
      <c r="FS754" s="56"/>
      <c r="FT754" s="56"/>
      <c r="FU754" s="56"/>
      <c r="FV754" s="56"/>
      <c r="FW754" s="56"/>
      <c r="FX754" s="56"/>
      <c r="FY754" s="56"/>
      <c r="FZ754" s="56"/>
      <c r="GA754" s="56"/>
      <c r="GB754" s="56"/>
      <c r="GC754" s="56"/>
      <c r="GD754" s="56"/>
      <c r="GE754" s="56"/>
      <c r="GF754" s="56"/>
      <c r="GG754" s="56"/>
      <c r="GH754" s="56"/>
      <c r="GI754" s="56"/>
      <c r="GJ754" s="56"/>
      <c r="GK754" s="56"/>
      <c r="GL754" s="56"/>
      <c r="GM754" s="56"/>
      <c r="GN754" s="56"/>
      <c r="GO754" s="56"/>
      <c r="GP754" s="56"/>
      <c r="GQ754" s="56"/>
      <c r="GR754" s="56"/>
      <c r="GS754" s="56"/>
      <c r="GT754" s="56"/>
      <c r="GU754" s="56"/>
      <c r="GV754" s="56"/>
      <c r="GW754" s="56"/>
      <c r="GX754" s="56"/>
      <c r="GY754" s="56"/>
      <c r="GZ754" s="56"/>
      <c r="HA754" s="56"/>
      <c r="HB754" s="56"/>
      <c r="HC754" s="56"/>
      <c r="HD754" s="56"/>
      <c r="HE754" s="56"/>
      <c r="HF754" s="56"/>
      <c r="HG754" s="56"/>
      <c r="HH754" s="56"/>
      <c r="HI754" s="56"/>
      <c r="HJ754" s="56"/>
    </row>
    <row r="755" spans="1:218" ht="15.75" customHeight="1" x14ac:dyDescent="0.2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  <c r="CL755" s="56"/>
      <c r="CM755" s="56"/>
      <c r="CN755" s="56"/>
      <c r="CO755" s="56"/>
      <c r="CP755" s="56"/>
      <c r="CQ755" s="56"/>
      <c r="CR755" s="56"/>
      <c r="CS755" s="56"/>
      <c r="CT755" s="56"/>
      <c r="CU755" s="56"/>
      <c r="CV755" s="56"/>
      <c r="CW755" s="56"/>
      <c r="CX755" s="56"/>
      <c r="CY755" s="56"/>
      <c r="CZ755" s="56"/>
      <c r="DA755" s="56"/>
      <c r="DB755" s="56"/>
      <c r="DC755" s="56"/>
      <c r="DD755" s="56"/>
      <c r="DE755" s="56"/>
      <c r="DF755" s="56"/>
      <c r="DG755" s="56"/>
      <c r="DH755" s="56"/>
      <c r="DI755" s="56"/>
      <c r="DJ755" s="56"/>
      <c r="DK755" s="56"/>
      <c r="DL755" s="56"/>
      <c r="DM755" s="56"/>
      <c r="DN755" s="56"/>
      <c r="DO755" s="56"/>
      <c r="DP755" s="56"/>
      <c r="DQ755" s="56"/>
      <c r="DR755" s="56"/>
      <c r="DS755" s="56"/>
      <c r="DT755" s="56"/>
      <c r="DU755" s="56"/>
      <c r="DV755" s="56"/>
      <c r="DW755" s="56"/>
      <c r="DX755" s="56"/>
      <c r="DY755" s="56"/>
      <c r="DZ755" s="56"/>
      <c r="EA755" s="56"/>
      <c r="EB755" s="56"/>
      <c r="EC755" s="56"/>
      <c r="ED755" s="56"/>
      <c r="EE755" s="56"/>
      <c r="EF755" s="56"/>
      <c r="EG755" s="56"/>
      <c r="EH755" s="56"/>
      <c r="EI755" s="56"/>
      <c r="EJ755" s="56"/>
      <c r="EK755" s="56"/>
      <c r="EL755" s="56"/>
      <c r="EM755" s="56"/>
      <c r="EN755" s="56"/>
      <c r="EO755" s="56"/>
      <c r="EP755" s="56"/>
      <c r="EQ755" s="56"/>
      <c r="ER755" s="56"/>
      <c r="ES755" s="56"/>
      <c r="ET755" s="56"/>
      <c r="EU755" s="56"/>
      <c r="EV755" s="56"/>
      <c r="EW755" s="56"/>
      <c r="EX755" s="56"/>
      <c r="EY755" s="56"/>
      <c r="EZ755" s="56"/>
      <c r="FA755" s="56"/>
      <c r="FB755" s="56"/>
      <c r="FC755" s="56"/>
      <c r="FD755" s="56"/>
      <c r="FE755" s="56"/>
      <c r="FF755" s="56"/>
      <c r="FG755" s="56"/>
      <c r="FH755" s="56"/>
      <c r="FI755" s="56"/>
      <c r="FJ755" s="56"/>
      <c r="FK755" s="56"/>
      <c r="FL755" s="56"/>
      <c r="FM755" s="56"/>
      <c r="FN755" s="56"/>
      <c r="FO755" s="56"/>
      <c r="FP755" s="56"/>
      <c r="FQ755" s="56"/>
      <c r="FR755" s="56"/>
      <c r="FS755" s="56"/>
      <c r="FT755" s="56"/>
      <c r="FU755" s="56"/>
      <c r="FV755" s="56"/>
      <c r="FW755" s="56"/>
      <c r="FX755" s="56"/>
      <c r="FY755" s="56"/>
      <c r="FZ755" s="56"/>
      <c r="GA755" s="56"/>
      <c r="GB755" s="56"/>
      <c r="GC755" s="56"/>
      <c r="GD755" s="56"/>
      <c r="GE755" s="56"/>
      <c r="GF755" s="56"/>
      <c r="GG755" s="56"/>
      <c r="GH755" s="56"/>
      <c r="GI755" s="56"/>
      <c r="GJ755" s="56"/>
      <c r="GK755" s="56"/>
      <c r="GL755" s="56"/>
      <c r="GM755" s="56"/>
      <c r="GN755" s="56"/>
      <c r="GO755" s="56"/>
      <c r="GP755" s="56"/>
      <c r="GQ755" s="56"/>
      <c r="GR755" s="56"/>
      <c r="GS755" s="56"/>
      <c r="GT755" s="56"/>
      <c r="GU755" s="56"/>
      <c r="GV755" s="56"/>
      <c r="GW755" s="56"/>
      <c r="GX755" s="56"/>
      <c r="GY755" s="56"/>
      <c r="GZ755" s="56"/>
      <c r="HA755" s="56"/>
      <c r="HB755" s="56"/>
      <c r="HC755" s="56"/>
      <c r="HD755" s="56"/>
      <c r="HE755" s="56"/>
      <c r="HF755" s="56"/>
      <c r="HG755" s="56"/>
      <c r="HH755" s="56"/>
      <c r="HI755" s="56"/>
      <c r="HJ755" s="56"/>
    </row>
    <row r="756" spans="1:218" ht="15.75" customHeight="1" x14ac:dyDescent="0.2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  <c r="BV756" s="56"/>
      <c r="BW756" s="56"/>
      <c r="BX756" s="56"/>
      <c r="BY756" s="56"/>
      <c r="BZ756" s="56"/>
      <c r="CA756" s="56"/>
      <c r="CB756" s="56"/>
      <c r="CC756" s="56"/>
      <c r="CD756" s="56"/>
      <c r="CE756" s="56"/>
      <c r="CF756" s="56"/>
      <c r="CG756" s="56"/>
      <c r="CH756" s="56"/>
      <c r="CI756" s="56"/>
      <c r="CJ756" s="56"/>
      <c r="CK756" s="56"/>
      <c r="CL756" s="56"/>
      <c r="CM756" s="56"/>
      <c r="CN756" s="56"/>
      <c r="CO756" s="56"/>
      <c r="CP756" s="56"/>
      <c r="CQ756" s="56"/>
      <c r="CR756" s="56"/>
      <c r="CS756" s="56"/>
      <c r="CT756" s="56"/>
      <c r="CU756" s="56"/>
      <c r="CV756" s="56"/>
      <c r="CW756" s="56"/>
      <c r="CX756" s="56"/>
      <c r="CY756" s="56"/>
      <c r="CZ756" s="56"/>
      <c r="DA756" s="56"/>
      <c r="DB756" s="56"/>
      <c r="DC756" s="56"/>
      <c r="DD756" s="56"/>
      <c r="DE756" s="56"/>
      <c r="DF756" s="56"/>
      <c r="DG756" s="56"/>
      <c r="DH756" s="56"/>
      <c r="DI756" s="56"/>
      <c r="DJ756" s="56"/>
      <c r="DK756" s="56"/>
      <c r="DL756" s="56"/>
      <c r="DM756" s="56"/>
      <c r="DN756" s="56"/>
      <c r="DO756" s="56"/>
      <c r="DP756" s="56"/>
      <c r="DQ756" s="56"/>
      <c r="DR756" s="56"/>
      <c r="DS756" s="56"/>
      <c r="DT756" s="56"/>
      <c r="DU756" s="56"/>
      <c r="DV756" s="56"/>
      <c r="DW756" s="56"/>
      <c r="DX756" s="56"/>
      <c r="DY756" s="56"/>
      <c r="DZ756" s="56"/>
      <c r="EA756" s="56"/>
      <c r="EB756" s="56"/>
      <c r="EC756" s="56"/>
      <c r="ED756" s="56"/>
      <c r="EE756" s="56"/>
      <c r="EF756" s="56"/>
      <c r="EG756" s="56"/>
      <c r="EH756" s="56"/>
      <c r="EI756" s="56"/>
      <c r="EJ756" s="56"/>
      <c r="EK756" s="56"/>
      <c r="EL756" s="56"/>
      <c r="EM756" s="56"/>
      <c r="EN756" s="56"/>
      <c r="EO756" s="56"/>
      <c r="EP756" s="56"/>
      <c r="EQ756" s="56"/>
      <c r="ER756" s="56"/>
      <c r="ES756" s="56"/>
      <c r="ET756" s="56"/>
      <c r="EU756" s="56"/>
      <c r="EV756" s="56"/>
      <c r="EW756" s="56"/>
      <c r="EX756" s="56"/>
      <c r="EY756" s="56"/>
      <c r="EZ756" s="56"/>
      <c r="FA756" s="56"/>
      <c r="FB756" s="56"/>
      <c r="FC756" s="56"/>
      <c r="FD756" s="56"/>
      <c r="FE756" s="56"/>
      <c r="FF756" s="56"/>
      <c r="FG756" s="56"/>
      <c r="FH756" s="56"/>
      <c r="FI756" s="56"/>
      <c r="FJ756" s="56"/>
      <c r="FK756" s="56"/>
      <c r="FL756" s="56"/>
      <c r="FM756" s="56"/>
      <c r="FN756" s="56"/>
      <c r="FO756" s="56"/>
      <c r="FP756" s="56"/>
      <c r="FQ756" s="56"/>
      <c r="FR756" s="56"/>
      <c r="FS756" s="56"/>
      <c r="FT756" s="56"/>
      <c r="FU756" s="56"/>
      <c r="FV756" s="56"/>
      <c r="FW756" s="56"/>
      <c r="FX756" s="56"/>
      <c r="FY756" s="56"/>
      <c r="FZ756" s="56"/>
      <c r="GA756" s="56"/>
      <c r="GB756" s="56"/>
      <c r="GC756" s="56"/>
      <c r="GD756" s="56"/>
      <c r="GE756" s="56"/>
      <c r="GF756" s="56"/>
      <c r="GG756" s="56"/>
      <c r="GH756" s="56"/>
      <c r="GI756" s="56"/>
      <c r="GJ756" s="56"/>
      <c r="GK756" s="56"/>
      <c r="GL756" s="56"/>
      <c r="GM756" s="56"/>
      <c r="GN756" s="56"/>
      <c r="GO756" s="56"/>
      <c r="GP756" s="56"/>
      <c r="GQ756" s="56"/>
      <c r="GR756" s="56"/>
      <c r="GS756" s="56"/>
      <c r="GT756" s="56"/>
      <c r="GU756" s="56"/>
      <c r="GV756" s="56"/>
      <c r="GW756" s="56"/>
      <c r="GX756" s="56"/>
      <c r="GY756" s="56"/>
      <c r="GZ756" s="56"/>
      <c r="HA756" s="56"/>
      <c r="HB756" s="56"/>
      <c r="HC756" s="56"/>
      <c r="HD756" s="56"/>
      <c r="HE756" s="56"/>
      <c r="HF756" s="56"/>
      <c r="HG756" s="56"/>
      <c r="HH756" s="56"/>
      <c r="HI756" s="56"/>
      <c r="HJ756" s="56"/>
    </row>
    <row r="757" spans="1:218" ht="15.75" customHeight="1" x14ac:dyDescent="0.2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  <c r="BV757" s="56"/>
      <c r="BW757" s="56"/>
      <c r="BX757" s="56"/>
      <c r="BY757" s="56"/>
      <c r="BZ757" s="56"/>
      <c r="CA757" s="56"/>
      <c r="CB757" s="56"/>
      <c r="CC757" s="56"/>
      <c r="CD757" s="56"/>
      <c r="CE757" s="56"/>
      <c r="CF757" s="56"/>
      <c r="CG757" s="56"/>
      <c r="CH757" s="56"/>
      <c r="CI757" s="56"/>
      <c r="CJ757" s="56"/>
      <c r="CK757" s="56"/>
      <c r="CL757" s="56"/>
      <c r="CM757" s="56"/>
      <c r="CN757" s="56"/>
      <c r="CO757" s="56"/>
      <c r="CP757" s="56"/>
      <c r="CQ757" s="56"/>
      <c r="CR757" s="56"/>
      <c r="CS757" s="56"/>
      <c r="CT757" s="56"/>
      <c r="CU757" s="56"/>
      <c r="CV757" s="56"/>
      <c r="CW757" s="56"/>
      <c r="CX757" s="56"/>
      <c r="CY757" s="56"/>
      <c r="CZ757" s="56"/>
      <c r="DA757" s="56"/>
      <c r="DB757" s="56"/>
      <c r="DC757" s="56"/>
      <c r="DD757" s="56"/>
      <c r="DE757" s="56"/>
      <c r="DF757" s="56"/>
      <c r="DG757" s="56"/>
      <c r="DH757" s="56"/>
      <c r="DI757" s="56"/>
      <c r="DJ757" s="56"/>
      <c r="DK757" s="56"/>
      <c r="DL757" s="56"/>
      <c r="DM757" s="56"/>
      <c r="DN757" s="56"/>
      <c r="DO757" s="56"/>
      <c r="DP757" s="56"/>
      <c r="DQ757" s="56"/>
      <c r="DR757" s="56"/>
      <c r="DS757" s="56"/>
      <c r="DT757" s="56"/>
      <c r="DU757" s="56"/>
      <c r="DV757" s="56"/>
      <c r="DW757" s="56"/>
      <c r="DX757" s="56"/>
      <c r="DY757" s="56"/>
      <c r="DZ757" s="56"/>
      <c r="EA757" s="56"/>
      <c r="EB757" s="56"/>
      <c r="EC757" s="56"/>
      <c r="ED757" s="56"/>
      <c r="EE757" s="56"/>
      <c r="EF757" s="56"/>
      <c r="EG757" s="56"/>
      <c r="EH757" s="56"/>
      <c r="EI757" s="56"/>
      <c r="EJ757" s="56"/>
      <c r="EK757" s="56"/>
      <c r="EL757" s="56"/>
      <c r="EM757" s="56"/>
      <c r="EN757" s="56"/>
      <c r="EO757" s="56"/>
      <c r="EP757" s="56"/>
      <c r="EQ757" s="56"/>
      <c r="ER757" s="56"/>
      <c r="ES757" s="56"/>
      <c r="ET757" s="56"/>
      <c r="EU757" s="56"/>
      <c r="EV757" s="56"/>
      <c r="EW757" s="56"/>
      <c r="EX757" s="56"/>
      <c r="EY757" s="56"/>
      <c r="EZ757" s="56"/>
      <c r="FA757" s="56"/>
      <c r="FB757" s="56"/>
      <c r="FC757" s="56"/>
      <c r="FD757" s="56"/>
      <c r="FE757" s="56"/>
      <c r="FF757" s="56"/>
      <c r="FG757" s="56"/>
      <c r="FH757" s="56"/>
      <c r="FI757" s="56"/>
      <c r="FJ757" s="56"/>
      <c r="FK757" s="56"/>
      <c r="FL757" s="56"/>
      <c r="FM757" s="56"/>
      <c r="FN757" s="56"/>
      <c r="FO757" s="56"/>
      <c r="FP757" s="56"/>
      <c r="FQ757" s="56"/>
      <c r="FR757" s="56"/>
      <c r="FS757" s="56"/>
      <c r="FT757" s="56"/>
      <c r="FU757" s="56"/>
      <c r="FV757" s="56"/>
      <c r="FW757" s="56"/>
      <c r="FX757" s="56"/>
      <c r="FY757" s="56"/>
      <c r="FZ757" s="56"/>
      <c r="GA757" s="56"/>
      <c r="GB757" s="56"/>
      <c r="GC757" s="56"/>
      <c r="GD757" s="56"/>
      <c r="GE757" s="56"/>
      <c r="GF757" s="56"/>
      <c r="GG757" s="56"/>
      <c r="GH757" s="56"/>
      <c r="GI757" s="56"/>
      <c r="GJ757" s="56"/>
      <c r="GK757" s="56"/>
      <c r="GL757" s="56"/>
      <c r="GM757" s="56"/>
      <c r="GN757" s="56"/>
      <c r="GO757" s="56"/>
      <c r="GP757" s="56"/>
      <c r="GQ757" s="56"/>
      <c r="GR757" s="56"/>
      <c r="GS757" s="56"/>
      <c r="GT757" s="56"/>
      <c r="GU757" s="56"/>
      <c r="GV757" s="56"/>
      <c r="GW757" s="56"/>
      <c r="GX757" s="56"/>
      <c r="GY757" s="56"/>
      <c r="GZ757" s="56"/>
      <c r="HA757" s="56"/>
      <c r="HB757" s="56"/>
      <c r="HC757" s="56"/>
      <c r="HD757" s="56"/>
      <c r="HE757" s="56"/>
      <c r="HF757" s="56"/>
      <c r="HG757" s="56"/>
      <c r="HH757" s="56"/>
      <c r="HI757" s="56"/>
      <c r="HJ757" s="56"/>
    </row>
    <row r="758" spans="1:218" ht="15.75" customHeight="1" x14ac:dyDescent="0.2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  <c r="BV758" s="56"/>
      <c r="BW758" s="56"/>
      <c r="BX758" s="56"/>
      <c r="BY758" s="56"/>
      <c r="BZ758" s="56"/>
      <c r="CA758" s="56"/>
      <c r="CB758" s="56"/>
      <c r="CC758" s="56"/>
      <c r="CD758" s="56"/>
      <c r="CE758" s="56"/>
      <c r="CF758" s="56"/>
      <c r="CG758" s="56"/>
      <c r="CH758" s="56"/>
      <c r="CI758" s="56"/>
      <c r="CJ758" s="56"/>
      <c r="CK758" s="56"/>
      <c r="CL758" s="56"/>
      <c r="CM758" s="56"/>
      <c r="CN758" s="56"/>
      <c r="CO758" s="56"/>
      <c r="CP758" s="56"/>
      <c r="CQ758" s="56"/>
      <c r="CR758" s="56"/>
      <c r="CS758" s="56"/>
      <c r="CT758" s="56"/>
      <c r="CU758" s="56"/>
      <c r="CV758" s="56"/>
      <c r="CW758" s="56"/>
      <c r="CX758" s="56"/>
      <c r="CY758" s="56"/>
      <c r="CZ758" s="56"/>
      <c r="DA758" s="56"/>
      <c r="DB758" s="56"/>
      <c r="DC758" s="56"/>
      <c r="DD758" s="56"/>
      <c r="DE758" s="56"/>
      <c r="DF758" s="56"/>
      <c r="DG758" s="56"/>
      <c r="DH758" s="56"/>
      <c r="DI758" s="56"/>
      <c r="DJ758" s="56"/>
      <c r="DK758" s="56"/>
      <c r="DL758" s="56"/>
      <c r="DM758" s="56"/>
      <c r="DN758" s="56"/>
      <c r="DO758" s="56"/>
      <c r="DP758" s="56"/>
      <c r="DQ758" s="56"/>
      <c r="DR758" s="56"/>
      <c r="DS758" s="56"/>
      <c r="DT758" s="56"/>
      <c r="DU758" s="56"/>
      <c r="DV758" s="56"/>
      <c r="DW758" s="56"/>
      <c r="DX758" s="56"/>
      <c r="DY758" s="56"/>
      <c r="DZ758" s="56"/>
      <c r="EA758" s="56"/>
      <c r="EB758" s="56"/>
      <c r="EC758" s="56"/>
      <c r="ED758" s="56"/>
      <c r="EE758" s="56"/>
      <c r="EF758" s="56"/>
      <c r="EG758" s="56"/>
      <c r="EH758" s="56"/>
      <c r="EI758" s="56"/>
      <c r="EJ758" s="56"/>
      <c r="EK758" s="56"/>
      <c r="EL758" s="56"/>
      <c r="EM758" s="56"/>
      <c r="EN758" s="56"/>
      <c r="EO758" s="56"/>
      <c r="EP758" s="56"/>
      <c r="EQ758" s="56"/>
      <c r="ER758" s="56"/>
      <c r="ES758" s="56"/>
      <c r="ET758" s="56"/>
      <c r="EU758" s="56"/>
      <c r="EV758" s="56"/>
      <c r="EW758" s="56"/>
      <c r="EX758" s="56"/>
      <c r="EY758" s="56"/>
      <c r="EZ758" s="56"/>
      <c r="FA758" s="56"/>
      <c r="FB758" s="56"/>
      <c r="FC758" s="56"/>
      <c r="FD758" s="56"/>
      <c r="FE758" s="56"/>
      <c r="FF758" s="56"/>
      <c r="FG758" s="56"/>
      <c r="FH758" s="56"/>
      <c r="FI758" s="56"/>
      <c r="FJ758" s="56"/>
      <c r="FK758" s="56"/>
      <c r="FL758" s="56"/>
      <c r="FM758" s="56"/>
      <c r="FN758" s="56"/>
      <c r="FO758" s="56"/>
      <c r="FP758" s="56"/>
      <c r="FQ758" s="56"/>
      <c r="FR758" s="56"/>
      <c r="FS758" s="56"/>
      <c r="FT758" s="56"/>
      <c r="FU758" s="56"/>
      <c r="FV758" s="56"/>
      <c r="FW758" s="56"/>
      <c r="FX758" s="56"/>
      <c r="FY758" s="56"/>
      <c r="FZ758" s="56"/>
      <c r="GA758" s="56"/>
      <c r="GB758" s="56"/>
      <c r="GC758" s="56"/>
      <c r="GD758" s="56"/>
      <c r="GE758" s="56"/>
      <c r="GF758" s="56"/>
      <c r="GG758" s="56"/>
      <c r="GH758" s="56"/>
      <c r="GI758" s="56"/>
      <c r="GJ758" s="56"/>
      <c r="GK758" s="56"/>
      <c r="GL758" s="56"/>
      <c r="GM758" s="56"/>
      <c r="GN758" s="56"/>
      <c r="GO758" s="56"/>
      <c r="GP758" s="56"/>
      <c r="GQ758" s="56"/>
      <c r="GR758" s="56"/>
      <c r="GS758" s="56"/>
      <c r="GT758" s="56"/>
      <c r="GU758" s="56"/>
      <c r="GV758" s="56"/>
      <c r="GW758" s="56"/>
      <c r="GX758" s="56"/>
      <c r="GY758" s="56"/>
      <c r="GZ758" s="56"/>
      <c r="HA758" s="56"/>
      <c r="HB758" s="56"/>
      <c r="HC758" s="56"/>
      <c r="HD758" s="56"/>
      <c r="HE758" s="56"/>
      <c r="HF758" s="56"/>
      <c r="HG758" s="56"/>
      <c r="HH758" s="56"/>
      <c r="HI758" s="56"/>
      <c r="HJ758" s="56"/>
    </row>
    <row r="759" spans="1:218" ht="15.75" customHeight="1" x14ac:dyDescent="0.2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  <c r="CL759" s="56"/>
      <c r="CM759" s="56"/>
      <c r="CN759" s="56"/>
      <c r="CO759" s="56"/>
      <c r="CP759" s="56"/>
      <c r="CQ759" s="56"/>
      <c r="CR759" s="56"/>
      <c r="CS759" s="56"/>
      <c r="CT759" s="56"/>
      <c r="CU759" s="56"/>
      <c r="CV759" s="56"/>
      <c r="CW759" s="56"/>
      <c r="CX759" s="56"/>
      <c r="CY759" s="56"/>
      <c r="CZ759" s="56"/>
      <c r="DA759" s="56"/>
      <c r="DB759" s="56"/>
      <c r="DC759" s="56"/>
      <c r="DD759" s="56"/>
      <c r="DE759" s="56"/>
      <c r="DF759" s="56"/>
      <c r="DG759" s="56"/>
      <c r="DH759" s="56"/>
      <c r="DI759" s="56"/>
      <c r="DJ759" s="56"/>
      <c r="DK759" s="56"/>
      <c r="DL759" s="56"/>
      <c r="DM759" s="56"/>
      <c r="DN759" s="56"/>
      <c r="DO759" s="56"/>
      <c r="DP759" s="56"/>
      <c r="DQ759" s="56"/>
      <c r="DR759" s="56"/>
      <c r="DS759" s="56"/>
      <c r="DT759" s="56"/>
      <c r="DU759" s="56"/>
      <c r="DV759" s="56"/>
      <c r="DW759" s="56"/>
      <c r="DX759" s="56"/>
      <c r="DY759" s="56"/>
      <c r="DZ759" s="56"/>
      <c r="EA759" s="56"/>
      <c r="EB759" s="56"/>
      <c r="EC759" s="56"/>
      <c r="ED759" s="56"/>
      <c r="EE759" s="56"/>
      <c r="EF759" s="56"/>
      <c r="EG759" s="56"/>
      <c r="EH759" s="56"/>
      <c r="EI759" s="56"/>
      <c r="EJ759" s="56"/>
      <c r="EK759" s="56"/>
      <c r="EL759" s="56"/>
      <c r="EM759" s="56"/>
      <c r="EN759" s="56"/>
      <c r="EO759" s="56"/>
      <c r="EP759" s="56"/>
      <c r="EQ759" s="56"/>
      <c r="ER759" s="56"/>
      <c r="ES759" s="56"/>
      <c r="ET759" s="56"/>
      <c r="EU759" s="56"/>
      <c r="EV759" s="56"/>
      <c r="EW759" s="56"/>
      <c r="EX759" s="56"/>
      <c r="EY759" s="56"/>
      <c r="EZ759" s="56"/>
      <c r="FA759" s="56"/>
      <c r="FB759" s="56"/>
      <c r="FC759" s="56"/>
      <c r="FD759" s="56"/>
      <c r="FE759" s="56"/>
      <c r="FF759" s="56"/>
      <c r="FG759" s="56"/>
      <c r="FH759" s="56"/>
      <c r="FI759" s="56"/>
      <c r="FJ759" s="56"/>
      <c r="FK759" s="56"/>
      <c r="FL759" s="56"/>
      <c r="FM759" s="56"/>
      <c r="FN759" s="56"/>
      <c r="FO759" s="56"/>
      <c r="FP759" s="56"/>
      <c r="FQ759" s="56"/>
      <c r="FR759" s="56"/>
      <c r="FS759" s="56"/>
      <c r="FT759" s="56"/>
      <c r="FU759" s="56"/>
      <c r="FV759" s="56"/>
      <c r="FW759" s="56"/>
      <c r="FX759" s="56"/>
      <c r="FY759" s="56"/>
      <c r="FZ759" s="56"/>
      <c r="GA759" s="56"/>
      <c r="GB759" s="56"/>
      <c r="GC759" s="56"/>
      <c r="GD759" s="56"/>
      <c r="GE759" s="56"/>
      <c r="GF759" s="56"/>
      <c r="GG759" s="56"/>
      <c r="GH759" s="56"/>
      <c r="GI759" s="56"/>
      <c r="GJ759" s="56"/>
      <c r="GK759" s="56"/>
      <c r="GL759" s="56"/>
      <c r="GM759" s="56"/>
      <c r="GN759" s="56"/>
      <c r="GO759" s="56"/>
      <c r="GP759" s="56"/>
      <c r="GQ759" s="56"/>
      <c r="GR759" s="56"/>
      <c r="GS759" s="56"/>
      <c r="GT759" s="56"/>
      <c r="GU759" s="56"/>
      <c r="GV759" s="56"/>
      <c r="GW759" s="56"/>
      <c r="GX759" s="56"/>
      <c r="GY759" s="56"/>
      <c r="GZ759" s="56"/>
      <c r="HA759" s="56"/>
      <c r="HB759" s="56"/>
      <c r="HC759" s="56"/>
      <c r="HD759" s="56"/>
      <c r="HE759" s="56"/>
      <c r="HF759" s="56"/>
      <c r="HG759" s="56"/>
      <c r="HH759" s="56"/>
      <c r="HI759" s="56"/>
      <c r="HJ759" s="56"/>
    </row>
    <row r="760" spans="1:218" ht="15.75" customHeight="1" x14ac:dyDescent="0.2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  <c r="CL760" s="56"/>
      <c r="CM760" s="56"/>
      <c r="CN760" s="56"/>
      <c r="CO760" s="56"/>
      <c r="CP760" s="56"/>
      <c r="CQ760" s="56"/>
      <c r="CR760" s="56"/>
      <c r="CS760" s="56"/>
      <c r="CT760" s="56"/>
      <c r="CU760" s="56"/>
      <c r="CV760" s="56"/>
      <c r="CW760" s="56"/>
      <c r="CX760" s="56"/>
      <c r="CY760" s="56"/>
      <c r="CZ760" s="56"/>
      <c r="DA760" s="56"/>
      <c r="DB760" s="56"/>
      <c r="DC760" s="56"/>
      <c r="DD760" s="56"/>
      <c r="DE760" s="56"/>
      <c r="DF760" s="56"/>
      <c r="DG760" s="56"/>
      <c r="DH760" s="56"/>
      <c r="DI760" s="56"/>
      <c r="DJ760" s="56"/>
      <c r="DK760" s="56"/>
      <c r="DL760" s="56"/>
      <c r="DM760" s="56"/>
      <c r="DN760" s="56"/>
      <c r="DO760" s="56"/>
      <c r="DP760" s="56"/>
      <c r="DQ760" s="56"/>
      <c r="DR760" s="56"/>
      <c r="DS760" s="56"/>
      <c r="DT760" s="56"/>
      <c r="DU760" s="56"/>
      <c r="DV760" s="56"/>
      <c r="DW760" s="56"/>
      <c r="DX760" s="56"/>
      <c r="DY760" s="56"/>
      <c r="DZ760" s="56"/>
      <c r="EA760" s="56"/>
      <c r="EB760" s="56"/>
      <c r="EC760" s="56"/>
      <c r="ED760" s="56"/>
      <c r="EE760" s="56"/>
      <c r="EF760" s="56"/>
      <c r="EG760" s="56"/>
      <c r="EH760" s="56"/>
      <c r="EI760" s="56"/>
      <c r="EJ760" s="56"/>
      <c r="EK760" s="56"/>
      <c r="EL760" s="56"/>
      <c r="EM760" s="56"/>
      <c r="EN760" s="56"/>
      <c r="EO760" s="56"/>
      <c r="EP760" s="56"/>
      <c r="EQ760" s="56"/>
      <c r="ER760" s="56"/>
      <c r="ES760" s="56"/>
      <c r="ET760" s="56"/>
      <c r="EU760" s="56"/>
      <c r="EV760" s="56"/>
      <c r="EW760" s="56"/>
      <c r="EX760" s="56"/>
      <c r="EY760" s="56"/>
      <c r="EZ760" s="56"/>
      <c r="FA760" s="56"/>
      <c r="FB760" s="56"/>
      <c r="FC760" s="56"/>
      <c r="FD760" s="56"/>
      <c r="FE760" s="56"/>
      <c r="FF760" s="56"/>
      <c r="FG760" s="56"/>
      <c r="FH760" s="56"/>
      <c r="FI760" s="56"/>
      <c r="FJ760" s="56"/>
      <c r="FK760" s="56"/>
      <c r="FL760" s="56"/>
      <c r="FM760" s="56"/>
      <c r="FN760" s="56"/>
      <c r="FO760" s="56"/>
      <c r="FP760" s="56"/>
      <c r="FQ760" s="56"/>
      <c r="FR760" s="56"/>
      <c r="FS760" s="56"/>
      <c r="FT760" s="56"/>
      <c r="FU760" s="56"/>
      <c r="FV760" s="56"/>
      <c r="FW760" s="56"/>
      <c r="FX760" s="56"/>
      <c r="FY760" s="56"/>
      <c r="FZ760" s="56"/>
      <c r="GA760" s="56"/>
      <c r="GB760" s="56"/>
      <c r="GC760" s="56"/>
      <c r="GD760" s="56"/>
      <c r="GE760" s="56"/>
      <c r="GF760" s="56"/>
      <c r="GG760" s="56"/>
      <c r="GH760" s="56"/>
      <c r="GI760" s="56"/>
      <c r="GJ760" s="56"/>
      <c r="GK760" s="56"/>
      <c r="GL760" s="56"/>
      <c r="GM760" s="56"/>
      <c r="GN760" s="56"/>
      <c r="GO760" s="56"/>
      <c r="GP760" s="56"/>
      <c r="GQ760" s="56"/>
      <c r="GR760" s="56"/>
      <c r="GS760" s="56"/>
      <c r="GT760" s="56"/>
      <c r="GU760" s="56"/>
      <c r="GV760" s="56"/>
      <c r="GW760" s="56"/>
      <c r="GX760" s="56"/>
      <c r="GY760" s="56"/>
      <c r="GZ760" s="56"/>
      <c r="HA760" s="56"/>
      <c r="HB760" s="56"/>
      <c r="HC760" s="56"/>
      <c r="HD760" s="56"/>
      <c r="HE760" s="56"/>
      <c r="HF760" s="56"/>
      <c r="HG760" s="56"/>
      <c r="HH760" s="56"/>
      <c r="HI760" s="56"/>
      <c r="HJ760" s="56"/>
    </row>
    <row r="761" spans="1:218" ht="15.75" customHeight="1" x14ac:dyDescent="0.2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  <c r="CL761" s="56"/>
      <c r="CM761" s="56"/>
      <c r="CN761" s="56"/>
      <c r="CO761" s="56"/>
      <c r="CP761" s="56"/>
      <c r="CQ761" s="56"/>
      <c r="CR761" s="56"/>
      <c r="CS761" s="56"/>
      <c r="CT761" s="56"/>
      <c r="CU761" s="56"/>
      <c r="CV761" s="56"/>
      <c r="CW761" s="56"/>
      <c r="CX761" s="56"/>
      <c r="CY761" s="56"/>
      <c r="CZ761" s="56"/>
      <c r="DA761" s="56"/>
      <c r="DB761" s="56"/>
      <c r="DC761" s="56"/>
      <c r="DD761" s="56"/>
      <c r="DE761" s="56"/>
      <c r="DF761" s="56"/>
      <c r="DG761" s="56"/>
      <c r="DH761" s="56"/>
      <c r="DI761" s="56"/>
      <c r="DJ761" s="56"/>
      <c r="DK761" s="56"/>
      <c r="DL761" s="56"/>
      <c r="DM761" s="56"/>
      <c r="DN761" s="56"/>
      <c r="DO761" s="56"/>
      <c r="DP761" s="56"/>
      <c r="DQ761" s="56"/>
      <c r="DR761" s="56"/>
      <c r="DS761" s="56"/>
      <c r="DT761" s="56"/>
      <c r="DU761" s="56"/>
      <c r="DV761" s="56"/>
      <c r="DW761" s="56"/>
      <c r="DX761" s="56"/>
      <c r="DY761" s="56"/>
      <c r="DZ761" s="56"/>
      <c r="EA761" s="56"/>
      <c r="EB761" s="56"/>
      <c r="EC761" s="56"/>
      <c r="ED761" s="56"/>
      <c r="EE761" s="56"/>
      <c r="EF761" s="56"/>
      <c r="EG761" s="56"/>
      <c r="EH761" s="56"/>
      <c r="EI761" s="56"/>
      <c r="EJ761" s="56"/>
      <c r="EK761" s="56"/>
      <c r="EL761" s="56"/>
      <c r="EM761" s="56"/>
      <c r="EN761" s="56"/>
      <c r="EO761" s="56"/>
      <c r="EP761" s="56"/>
      <c r="EQ761" s="56"/>
      <c r="ER761" s="56"/>
      <c r="ES761" s="56"/>
      <c r="ET761" s="56"/>
      <c r="EU761" s="56"/>
      <c r="EV761" s="56"/>
      <c r="EW761" s="56"/>
      <c r="EX761" s="56"/>
      <c r="EY761" s="56"/>
      <c r="EZ761" s="56"/>
      <c r="FA761" s="56"/>
      <c r="FB761" s="56"/>
      <c r="FC761" s="56"/>
      <c r="FD761" s="56"/>
      <c r="FE761" s="56"/>
      <c r="FF761" s="56"/>
      <c r="FG761" s="56"/>
      <c r="FH761" s="56"/>
      <c r="FI761" s="56"/>
      <c r="FJ761" s="56"/>
      <c r="FK761" s="56"/>
      <c r="FL761" s="56"/>
      <c r="FM761" s="56"/>
      <c r="FN761" s="56"/>
      <c r="FO761" s="56"/>
      <c r="FP761" s="56"/>
      <c r="FQ761" s="56"/>
      <c r="FR761" s="56"/>
      <c r="FS761" s="56"/>
      <c r="FT761" s="56"/>
      <c r="FU761" s="56"/>
      <c r="FV761" s="56"/>
      <c r="FW761" s="56"/>
      <c r="FX761" s="56"/>
      <c r="FY761" s="56"/>
      <c r="FZ761" s="56"/>
      <c r="GA761" s="56"/>
      <c r="GB761" s="56"/>
      <c r="GC761" s="56"/>
      <c r="GD761" s="56"/>
      <c r="GE761" s="56"/>
      <c r="GF761" s="56"/>
      <c r="GG761" s="56"/>
      <c r="GH761" s="56"/>
      <c r="GI761" s="56"/>
      <c r="GJ761" s="56"/>
      <c r="GK761" s="56"/>
      <c r="GL761" s="56"/>
      <c r="GM761" s="56"/>
      <c r="GN761" s="56"/>
      <c r="GO761" s="56"/>
      <c r="GP761" s="56"/>
      <c r="GQ761" s="56"/>
      <c r="GR761" s="56"/>
      <c r="GS761" s="56"/>
      <c r="GT761" s="56"/>
      <c r="GU761" s="56"/>
      <c r="GV761" s="56"/>
      <c r="GW761" s="56"/>
      <c r="GX761" s="56"/>
      <c r="GY761" s="56"/>
      <c r="GZ761" s="56"/>
      <c r="HA761" s="56"/>
      <c r="HB761" s="56"/>
      <c r="HC761" s="56"/>
      <c r="HD761" s="56"/>
      <c r="HE761" s="56"/>
      <c r="HF761" s="56"/>
      <c r="HG761" s="56"/>
      <c r="HH761" s="56"/>
      <c r="HI761" s="56"/>
      <c r="HJ761" s="56"/>
    </row>
    <row r="762" spans="1:218" ht="15.75" customHeight="1" x14ac:dyDescent="0.2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  <c r="CL762" s="56"/>
      <c r="CM762" s="56"/>
      <c r="CN762" s="56"/>
      <c r="CO762" s="56"/>
      <c r="CP762" s="56"/>
      <c r="CQ762" s="56"/>
      <c r="CR762" s="56"/>
      <c r="CS762" s="56"/>
      <c r="CT762" s="56"/>
      <c r="CU762" s="56"/>
      <c r="CV762" s="56"/>
      <c r="CW762" s="56"/>
      <c r="CX762" s="56"/>
      <c r="CY762" s="56"/>
      <c r="CZ762" s="56"/>
      <c r="DA762" s="56"/>
      <c r="DB762" s="56"/>
      <c r="DC762" s="56"/>
      <c r="DD762" s="56"/>
      <c r="DE762" s="56"/>
      <c r="DF762" s="56"/>
      <c r="DG762" s="56"/>
      <c r="DH762" s="56"/>
      <c r="DI762" s="56"/>
      <c r="DJ762" s="56"/>
      <c r="DK762" s="56"/>
      <c r="DL762" s="56"/>
      <c r="DM762" s="56"/>
      <c r="DN762" s="56"/>
      <c r="DO762" s="56"/>
      <c r="DP762" s="56"/>
      <c r="DQ762" s="56"/>
      <c r="DR762" s="56"/>
      <c r="DS762" s="56"/>
      <c r="DT762" s="56"/>
      <c r="DU762" s="56"/>
      <c r="DV762" s="56"/>
      <c r="DW762" s="56"/>
      <c r="DX762" s="56"/>
      <c r="DY762" s="56"/>
      <c r="DZ762" s="56"/>
      <c r="EA762" s="56"/>
      <c r="EB762" s="56"/>
      <c r="EC762" s="56"/>
      <c r="ED762" s="56"/>
      <c r="EE762" s="56"/>
      <c r="EF762" s="56"/>
      <c r="EG762" s="56"/>
      <c r="EH762" s="56"/>
      <c r="EI762" s="56"/>
      <c r="EJ762" s="56"/>
      <c r="EK762" s="56"/>
      <c r="EL762" s="56"/>
      <c r="EM762" s="56"/>
      <c r="EN762" s="56"/>
      <c r="EO762" s="56"/>
      <c r="EP762" s="56"/>
      <c r="EQ762" s="56"/>
      <c r="ER762" s="56"/>
      <c r="ES762" s="56"/>
      <c r="ET762" s="56"/>
      <c r="EU762" s="56"/>
      <c r="EV762" s="56"/>
      <c r="EW762" s="56"/>
      <c r="EX762" s="56"/>
      <c r="EY762" s="56"/>
      <c r="EZ762" s="56"/>
      <c r="FA762" s="56"/>
      <c r="FB762" s="56"/>
      <c r="FC762" s="56"/>
      <c r="FD762" s="56"/>
      <c r="FE762" s="56"/>
      <c r="FF762" s="56"/>
      <c r="FG762" s="56"/>
      <c r="FH762" s="56"/>
      <c r="FI762" s="56"/>
      <c r="FJ762" s="56"/>
      <c r="FK762" s="56"/>
      <c r="FL762" s="56"/>
      <c r="FM762" s="56"/>
      <c r="FN762" s="56"/>
      <c r="FO762" s="56"/>
      <c r="FP762" s="56"/>
      <c r="FQ762" s="56"/>
      <c r="FR762" s="56"/>
      <c r="FS762" s="56"/>
      <c r="FT762" s="56"/>
      <c r="FU762" s="56"/>
      <c r="FV762" s="56"/>
      <c r="FW762" s="56"/>
      <c r="FX762" s="56"/>
      <c r="FY762" s="56"/>
      <c r="FZ762" s="56"/>
      <c r="GA762" s="56"/>
      <c r="GB762" s="56"/>
      <c r="GC762" s="56"/>
      <c r="GD762" s="56"/>
      <c r="GE762" s="56"/>
      <c r="GF762" s="56"/>
      <c r="GG762" s="56"/>
      <c r="GH762" s="56"/>
      <c r="GI762" s="56"/>
      <c r="GJ762" s="56"/>
      <c r="GK762" s="56"/>
      <c r="GL762" s="56"/>
      <c r="GM762" s="56"/>
      <c r="GN762" s="56"/>
      <c r="GO762" s="56"/>
      <c r="GP762" s="56"/>
      <c r="GQ762" s="56"/>
      <c r="GR762" s="56"/>
      <c r="GS762" s="56"/>
      <c r="GT762" s="56"/>
      <c r="GU762" s="56"/>
      <c r="GV762" s="56"/>
      <c r="GW762" s="56"/>
      <c r="GX762" s="56"/>
      <c r="GY762" s="56"/>
      <c r="GZ762" s="56"/>
      <c r="HA762" s="56"/>
      <c r="HB762" s="56"/>
      <c r="HC762" s="56"/>
      <c r="HD762" s="56"/>
      <c r="HE762" s="56"/>
      <c r="HF762" s="56"/>
      <c r="HG762" s="56"/>
      <c r="HH762" s="56"/>
      <c r="HI762" s="56"/>
      <c r="HJ762" s="56"/>
    </row>
    <row r="763" spans="1:218" ht="15.75" customHeight="1" x14ac:dyDescent="0.2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  <c r="CL763" s="56"/>
      <c r="CM763" s="56"/>
      <c r="CN763" s="56"/>
      <c r="CO763" s="56"/>
      <c r="CP763" s="56"/>
      <c r="CQ763" s="56"/>
      <c r="CR763" s="56"/>
      <c r="CS763" s="56"/>
      <c r="CT763" s="56"/>
      <c r="CU763" s="56"/>
      <c r="CV763" s="56"/>
      <c r="CW763" s="56"/>
      <c r="CX763" s="56"/>
      <c r="CY763" s="56"/>
      <c r="CZ763" s="56"/>
      <c r="DA763" s="56"/>
      <c r="DB763" s="56"/>
      <c r="DC763" s="56"/>
      <c r="DD763" s="56"/>
      <c r="DE763" s="56"/>
      <c r="DF763" s="56"/>
      <c r="DG763" s="56"/>
      <c r="DH763" s="56"/>
      <c r="DI763" s="56"/>
      <c r="DJ763" s="56"/>
      <c r="DK763" s="56"/>
      <c r="DL763" s="56"/>
      <c r="DM763" s="56"/>
      <c r="DN763" s="56"/>
      <c r="DO763" s="56"/>
      <c r="DP763" s="56"/>
      <c r="DQ763" s="56"/>
      <c r="DR763" s="56"/>
      <c r="DS763" s="56"/>
      <c r="DT763" s="56"/>
      <c r="DU763" s="56"/>
      <c r="DV763" s="56"/>
      <c r="DW763" s="56"/>
      <c r="DX763" s="56"/>
      <c r="DY763" s="56"/>
      <c r="DZ763" s="56"/>
      <c r="EA763" s="56"/>
      <c r="EB763" s="56"/>
      <c r="EC763" s="56"/>
      <c r="ED763" s="56"/>
      <c r="EE763" s="56"/>
      <c r="EF763" s="56"/>
      <c r="EG763" s="56"/>
      <c r="EH763" s="56"/>
      <c r="EI763" s="56"/>
      <c r="EJ763" s="56"/>
      <c r="EK763" s="56"/>
      <c r="EL763" s="56"/>
      <c r="EM763" s="56"/>
      <c r="EN763" s="56"/>
      <c r="EO763" s="56"/>
      <c r="EP763" s="56"/>
      <c r="EQ763" s="56"/>
      <c r="ER763" s="56"/>
      <c r="ES763" s="56"/>
      <c r="ET763" s="56"/>
      <c r="EU763" s="56"/>
      <c r="EV763" s="56"/>
      <c r="EW763" s="56"/>
      <c r="EX763" s="56"/>
      <c r="EY763" s="56"/>
      <c r="EZ763" s="56"/>
      <c r="FA763" s="56"/>
      <c r="FB763" s="56"/>
      <c r="FC763" s="56"/>
      <c r="FD763" s="56"/>
      <c r="FE763" s="56"/>
      <c r="FF763" s="56"/>
      <c r="FG763" s="56"/>
      <c r="FH763" s="56"/>
      <c r="FI763" s="56"/>
      <c r="FJ763" s="56"/>
      <c r="FK763" s="56"/>
      <c r="FL763" s="56"/>
      <c r="FM763" s="56"/>
      <c r="FN763" s="56"/>
      <c r="FO763" s="56"/>
      <c r="FP763" s="56"/>
      <c r="FQ763" s="56"/>
      <c r="FR763" s="56"/>
      <c r="FS763" s="56"/>
      <c r="FT763" s="56"/>
      <c r="FU763" s="56"/>
      <c r="FV763" s="56"/>
      <c r="FW763" s="56"/>
      <c r="FX763" s="56"/>
      <c r="FY763" s="56"/>
      <c r="FZ763" s="56"/>
      <c r="GA763" s="56"/>
      <c r="GB763" s="56"/>
      <c r="GC763" s="56"/>
      <c r="GD763" s="56"/>
      <c r="GE763" s="56"/>
      <c r="GF763" s="56"/>
      <c r="GG763" s="56"/>
      <c r="GH763" s="56"/>
      <c r="GI763" s="56"/>
      <c r="GJ763" s="56"/>
      <c r="GK763" s="56"/>
      <c r="GL763" s="56"/>
      <c r="GM763" s="56"/>
      <c r="GN763" s="56"/>
      <c r="GO763" s="56"/>
      <c r="GP763" s="56"/>
      <c r="GQ763" s="56"/>
      <c r="GR763" s="56"/>
      <c r="GS763" s="56"/>
      <c r="GT763" s="56"/>
      <c r="GU763" s="56"/>
      <c r="GV763" s="56"/>
      <c r="GW763" s="56"/>
      <c r="GX763" s="56"/>
      <c r="GY763" s="56"/>
      <c r="GZ763" s="56"/>
      <c r="HA763" s="56"/>
      <c r="HB763" s="56"/>
      <c r="HC763" s="56"/>
      <c r="HD763" s="56"/>
      <c r="HE763" s="56"/>
      <c r="HF763" s="56"/>
      <c r="HG763" s="56"/>
      <c r="HH763" s="56"/>
      <c r="HI763" s="56"/>
      <c r="HJ763" s="56"/>
    </row>
    <row r="764" spans="1:218" ht="15.75" customHeight="1" x14ac:dyDescent="0.2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  <c r="CL764" s="56"/>
      <c r="CM764" s="56"/>
      <c r="CN764" s="56"/>
      <c r="CO764" s="56"/>
      <c r="CP764" s="56"/>
      <c r="CQ764" s="56"/>
      <c r="CR764" s="56"/>
      <c r="CS764" s="56"/>
      <c r="CT764" s="56"/>
      <c r="CU764" s="56"/>
      <c r="CV764" s="56"/>
      <c r="CW764" s="56"/>
      <c r="CX764" s="56"/>
      <c r="CY764" s="56"/>
      <c r="CZ764" s="56"/>
      <c r="DA764" s="56"/>
      <c r="DB764" s="56"/>
      <c r="DC764" s="56"/>
      <c r="DD764" s="56"/>
      <c r="DE764" s="56"/>
      <c r="DF764" s="56"/>
      <c r="DG764" s="56"/>
      <c r="DH764" s="56"/>
      <c r="DI764" s="56"/>
      <c r="DJ764" s="56"/>
      <c r="DK764" s="56"/>
      <c r="DL764" s="56"/>
      <c r="DM764" s="56"/>
      <c r="DN764" s="56"/>
      <c r="DO764" s="56"/>
      <c r="DP764" s="56"/>
      <c r="DQ764" s="56"/>
      <c r="DR764" s="56"/>
      <c r="DS764" s="56"/>
      <c r="DT764" s="56"/>
      <c r="DU764" s="56"/>
      <c r="DV764" s="56"/>
      <c r="DW764" s="56"/>
      <c r="DX764" s="56"/>
      <c r="DY764" s="56"/>
      <c r="DZ764" s="56"/>
      <c r="EA764" s="56"/>
      <c r="EB764" s="56"/>
      <c r="EC764" s="56"/>
      <c r="ED764" s="56"/>
      <c r="EE764" s="56"/>
      <c r="EF764" s="56"/>
      <c r="EG764" s="56"/>
      <c r="EH764" s="56"/>
      <c r="EI764" s="56"/>
      <c r="EJ764" s="56"/>
      <c r="EK764" s="56"/>
      <c r="EL764" s="56"/>
      <c r="EM764" s="56"/>
      <c r="EN764" s="56"/>
      <c r="EO764" s="56"/>
      <c r="EP764" s="56"/>
      <c r="EQ764" s="56"/>
      <c r="ER764" s="56"/>
      <c r="ES764" s="56"/>
      <c r="ET764" s="56"/>
      <c r="EU764" s="56"/>
      <c r="EV764" s="56"/>
      <c r="EW764" s="56"/>
      <c r="EX764" s="56"/>
      <c r="EY764" s="56"/>
      <c r="EZ764" s="56"/>
      <c r="FA764" s="56"/>
      <c r="FB764" s="56"/>
      <c r="FC764" s="56"/>
      <c r="FD764" s="56"/>
      <c r="FE764" s="56"/>
      <c r="FF764" s="56"/>
      <c r="FG764" s="56"/>
      <c r="FH764" s="56"/>
      <c r="FI764" s="56"/>
      <c r="FJ764" s="56"/>
      <c r="FK764" s="56"/>
      <c r="FL764" s="56"/>
      <c r="FM764" s="56"/>
      <c r="FN764" s="56"/>
      <c r="FO764" s="56"/>
      <c r="FP764" s="56"/>
      <c r="FQ764" s="56"/>
      <c r="FR764" s="56"/>
      <c r="FS764" s="56"/>
      <c r="FT764" s="56"/>
      <c r="FU764" s="56"/>
      <c r="FV764" s="56"/>
      <c r="FW764" s="56"/>
      <c r="FX764" s="56"/>
      <c r="FY764" s="56"/>
      <c r="FZ764" s="56"/>
      <c r="GA764" s="56"/>
      <c r="GB764" s="56"/>
      <c r="GC764" s="56"/>
      <c r="GD764" s="56"/>
      <c r="GE764" s="56"/>
      <c r="GF764" s="56"/>
      <c r="GG764" s="56"/>
      <c r="GH764" s="56"/>
      <c r="GI764" s="56"/>
      <c r="GJ764" s="56"/>
      <c r="GK764" s="56"/>
      <c r="GL764" s="56"/>
      <c r="GM764" s="56"/>
      <c r="GN764" s="56"/>
      <c r="GO764" s="56"/>
      <c r="GP764" s="56"/>
      <c r="GQ764" s="56"/>
      <c r="GR764" s="56"/>
      <c r="GS764" s="56"/>
      <c r="GT764" s="56"/>
      <c r="GU764" s="56"/>
      <c r="GV764" s="56"/>
      <c r="GW764" s="56"/>
      <c r="GX764" s="56"/>
      <c r="GY764" s="56"/>
      <c r="GZ764" s="56"/>
      <c r="HA764" s="56"/>
      <c r="HB764" s="56"/>
      <c r="HC764" s="56"/>
      <c r="HD764" s="56"/>
      <c r="HE764" s="56"/>
      <c r="HF764" s="56"/>
      <c r="HG764" s="56"/>
      <c r="HH764" s="56"/>
      <c r="HI764" s="56"/>
      <c r="HJ764" s="56"/>
    </row>
    <row r="765" spans="1:218" ht="15.75" customHeight="1" x14ac:dyDescent="0.2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  <c r="CL765" s="56"/>
      <c r="CM765" s="56"/>
      <c r="CN765" s="56"/>
      <c r="CO765" s="56"/>
      <c r="CP765" s="56"/>
      <c r="CQ765" s="56"/>
      <c r="CR765" s="56"/>
      <c r="CS765" s="56"/>
      <c r="CT765" s="56"/>
      <c r="CU765" s="56"/>
      <c r="CV765" s="56"/>
      <c r="CW765" s="56"/>
      <c r="CX765" s="56"/>
      <c r="CY765" s="56"/>
      <c r="CZ765" s="56"/>
      <c r="DA765" s="56"/>
      <c r="DB765" s="56"/>
      <c r="DC765" s="56"/>
      <c r="DD765" s="56"/>
      <c r="DE765" s="56"/>
      <c r="DF765" s="56"/>
      <c r="DG765" s="56"/>
      <c r="DH765" s="56"/>
      <c r="DI765" s="56"/>
      <c r="DJ765" s="56"/>
      <c r="DK765" s="56"/>
      <c r="DL765" s="56"/>
      <c r="DM765" s="56"/>
      <c r="DN765" s="56"/>
      <c r="DO765" s="56"/>
      <c r="DP765" s="56"/>
      <c r="DQ765" s="56"/>
      <c r="DR765" s="56"/>
      <c r="DS765" s="56"/>
      <c r="DT765" s="56"/>
      <c r="DU765" s="56"/>
      <c r="DV765" s="56"/>
      <c r="DW765" s="56"/>
      <c r="DX765" s="56"/>
      <c r="DY765" s="56"/>
      <c r="DZ765" s="56"/>
      <c r="EA765" s="56"/>
      <c r="EB765" s="56"/>
      <c r="EC765" s="56"/>
      <c r="ED765" s="56"/>
      <c r="EE765" s="56"/>
      <c r="EF765" s="56"/>
      <c r="EG765" s="56"/>
      <c r="EH765" s="56"/>
      <c r="EI765" s="56"/>
      <c r="EJ765" s="56"/>
      <c r="EK765" s="56"/>
      <c r="EL765" s="56"/>
      <c r="EM765" s="56"/>
      <c r="EN765" s="56"/>
      <c r="EO765" s="56"/>
      <c r="EP765" s="56"/>
      <c r="EQ765" s="56"/>
      <c r="ER765" s="56"/>
      <c r="ES765" s="56"/>
      <c r="ET765" s="56"/>
      <c r="EU765" s="56"/>
      <c r="EV765" s="56"/>
      <c r="EW765" s="56"/>
      <c r="EX765" s="56"/>
      <c r="EY765" s="56"/>
      <c r="EZ765" s="56"/>
      <c r="FA765" s="56"/>
      <c r="FB765" s="56"/>
      <c r="FC765" s="56"/>
      <c r="FD765" s="56"/>
      <c r="FE765" s="56"/>
      <c r="FF765" s="56"/>
      <c r="FG765" s="56"/>
      <c r="FH765" s="56"/>
      <c r="FI765" s="56"/>
      <c r="FJ765" s="56"/>
      <c r="FK765" s="56"/>
      <c r="FL765" s="56"/>
      <c r="FM765" s="56"/>
      <c r="FN765" s="56"/>
      <c r="FO765" s="56"/>
      <c r="FP765" s="56"/>
      <c r="FQ765" s="56"/>
      <c r="FR765" s="56"/>
      <c r="FS765" s="56"/>
      <c r="FT765" s="56"/>
      <c r="FU765" s="56"/>
      <c r="FV765" s="56"/>
      <c r="FW765" s="56"/>
      <c r="FX765" s="56"/>
      <c r="FY765" s="56"/>
      <c r="FZ765" s="56"/>
      <c r="GA765" s="56"/>
      <c r="GB765" s="56"/>
      <c r="GC765" s="56"/>
      <c r="GD765" s="56"/>
      <c r="GE765" s="56"/>
      <c r="GF765" s="56"/>
      <c r="GG765" s="56"/>
      <c r="GH765" s="56"/>
      <c r="GI765" s="56"/>
      <c r="GJ765" s="56"/>
      <c r="GK765" s="56"/>
      <c r="GL765" s="56"/>
      <c r="GM765" s="56"/>
      <c r="GN765" s="56"/>
      <c r="GO765" s="56"/>
      <c r="GP765" s="56"/>
      <c r="GQ765" s="56"/>
      <c r="GR765" s="56"/>
      <c r="GS765" s="56"/>
      <c r="GT765" s="56"/>
      <c r="GU765" s="56"/>
      <c r="GV765" s="56"/>
      <c r="GW765" s="56"/>
      <c r="GX765" s="56"/>
      <c r="GY765" s="56"/>
      <c r="GZ765" s="56"/>
      <c r="HA765" s="56"/>
      <c r="HB765" s="56"/>
      <c r="HC765" s="56"/>
      <c r="HD765" s="56"/>
      <c r="HE765" s="56"/>
      <c r="HF765" s="56"/>
      <c r="HG765" s="56"/>
      <c r="HH765" s="56"/>
      <c r="HI765" s="56"/>
      <c r="HJ765" s="56"/>
    </row>
    <row r="766" spans="1:218" ht="15.75" customHeight="1" x14ac:dyDescent="0.2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  <c r="CL766" s="56"/>
      <c r="CM766" s="56"/>
      <c r="CN766" s="56"/>
      <c r="CO766" s="56"/>
      <c r="CP766" s="56"/>
      <c r="CQ766" s="56"/>
      <c r="CR766" s="56"/>
      <c r="CS766" s="56"/>
      <c r="CT766" s="56"/>
      <c r="CU766" s="56"/>
      <c r="CV766" s="56"/>
      <c r="CW766" s="56"/>
      <c r="CX766" s="56"/>
      <c r="CY766" s="56"/>
      <c r="CZ766" s="56"/>
      <c r="DA766" s="56"/>
      <c r="DB766" s="56"/>
      <c r="DC766" s="56"/>
      <c r="DD766" s="56"/>
      <c r="DE766" s="56"/>
      <c r="DF766" s="56"/>
      <c r="DG766" s="56"/>
      <c r="DH766" s="56"/>
      <c r="DI766" s="56"/>
      <c r="DJ766" s="56"/>
      <c r="DK766" s="56"/>
      <c r="DL766" s="56"/>
      <c r="DM766" s="56"/>
      <c r="DN766" s="56"/>
      <c r="DO766" s="56"/>
      <c r="DP766" s="56"/>
      <c r="DQ766" s="56"/>
      <c r="DR766" s="56"/>
      <c r="DS766" s="56"/>
      <c r="DT766" s="56"/>
      <c r="DU766" s="56"/>
      <c r="DV766" s="56"/>
      <c r="DW766" s="56"/>
      <c r="DX766" s="56"/>
      <c r="DY766" s="56"/>
      <c r="DZ766" s="56"/>
      <c r="EA766" s="56"/>
      <c r="EB766" s="56"/>
      <c r="EC766" s="56"/>
      <c r="ED766" s="56"/>
      <c r="EE766" s="56"/>
      <c r="EF766" s="56"/>
      <c r="EG766" s="56"/>
      <c r="EH766" s="56"/>
      <c r="EI766" s="56"/>
      <c r="EJ766" s="56"/>
      <c r="EK766" s="56"/>
      <c r="EL766" s="56"/>
      <c r="EM766" s="56"/>
      <c r="EN766" s="56"/>
      <c r="EO766" s="56"/>
      <c r="EP766" s="56"/>
      <c r="EQ766" s="56"/>
      <c r="ER766" s="56"/>
      <c r="ES766" s="56"/>
      <c r="ET766" s="56"/>
      <c r="EU766" s="56"/>
      <c r="EV766" s="56"/>
      <c r="EW766" s="56"/>
      <c r="EX766" s="56"/>
      <c r="EY766" s="56"/>
      <c r="EZ766" s="56"/>
      <c r="FA766" s="56"/>
      <c r="FB766" s="56"/>
      <c r="FC766" s="56"/>
      <c r="FD766" s="56"/>
      <c r="FE766" s="56"/>
      <c r="FF766" s="56"/>
      <c r="FG766" s="56"/>
      <c r="FH766" s="56"/>
      <c r="FI766" s="56"/>
      <c r="FJ766" s="56"/>
      <c r="FK766" s="56"/>
      <c r="FL766" s="56"/>
      <c r="FM766" s="56"/>
      <c r="FN766" s="56"/>
      <c r="FO766" s="56"/>
      <c r="FP766" s="56"/>
      <c r="FQ766" s="56"/>
      <c r="FR766" s="56"/>
      <c r="FS766" s="56"/>
      <c r="FT766" s="56"/>
      <c r="FU766" s="56"/>
      <c r="FV766" s="56"/>
      <c r="FW766" s="56"/>
      <c r="FX766" s="56"/>
      <c r="FY766" s="56"/>
      <c r="FZ766" s="56"/>
      <c r="GA766" s="56"/>
      <c r="GB766" s="56"/>
      <c r="GC766" s="56"/>
      <c r="GD766" s="56"/>
      <c r="GE766" s="56"/>
      <c r="GF766" s="56"/>
      <c r="GG766" s="56"/>
      <c r="GH766" s="56"/>
      <c r="GI766" s="56"/>
      <c r="GJ766" s="56"/>
      <c r="GK766" s="56"/>
      <c r="GL766" s="56"/>
      <c r="GM766" s="56"/>
      <c r="GN766" s="56"/>
      <c r="GO766" s="56"/>
      <c r="GP766" s="56"/>
      <c r="GQ766" s="56"/>
      <c r="GR766" s="56"/>
      <c r="GS766" s="56"/>
      <c r="GT766" s="56"/>
      <c r="GU766" s="56"/>
      <c r="GV766" s="56"/>
      <c r="GW766" s="56"/>
      <c r="GX766" s="56"/>
      <c r="GY766" s="56"/>
      <c r="GZ766" s="56"/>
      <c r="HA766" s="56"/>
      <c r="HB766" s="56"/>
      <c r="HC766" s="56"/>
      <c r="HD766" s="56"/>
      <c r="HE766" s="56"/>
      <c r="HF766" s="56"/>
      <c r="HG766" s="56"/>
      <c r="HH766" s="56"/>
      <c r="HI766" s="56"/>
      <c r="HJ766" s="56"/>
    </row>
    <row r="767" spans="1:218" ht="15.75" customHeight="1" x14ac:dyDescent="0.2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  <c r="CL767" s="56"/>
      <c r="CM767" s="56"/>
      <c r="CN767" s="56"/>
      <c r="CO767" s="56"/>
      <c r="CP767" s="56"/>
      <c r="CQ767" s="56"/>
      <c r="CR767" s="56"/>
      <c r="CS767" s="56"/>
      <c r="CT767" s="56"/>
      <c r="CU767" s="56"/>
      <c r="CV767" s="56"/>
      <c r="CW767" s="56"/>
      <c r="CX767" s="56"/>
      <c r="CY767" s="56"/>
      <c r="CZ767" s="56"/>
      <c r="DA767" s="56"/>
      <c r="DB767" s="56"/>
      <c r="DC767" s="56"/>
      <c r="DD767" s="56"/>
      <c r="DE767" s="56"/>
      <c r="DF767" s="56"/>
      <c r="DG767" s="56"/>
      <c r="DH767" s="56"/>
      <c r="DI767" s="56"/>
      <c r="DJ767" s="56"/>
      <c r="DK767" s="56"/>
      <c r="DL767" s="56"/>
      <c r="DM767" s="56"/>
      <c r="DN767" s="56"/>
      <c r="DO767" s="56"/>
      <c r="DP767" s="56"/>
      <c r="DQ767" s="56"/>
      <c r="DR767" s="56"/>
      <c r="DS767" s="56"/>
      <c r="DT767" s="56"/>
      <c r="DU767" s="56"/>
      <c r="DV767" s="56"/>
      <c r="DW767" s="56"/>
      <c r="DX767" s="56"/>
      <c r="DY767" s="56"/>
      <c r="DZ767" s="56"/>
      <c r="EA767" s="56"/>
      <c r="EB767" s="56"/>
      <c r="EC767" s="56"/>
      <c r="ED767" s="56"/>
      <c r="EE767" s="56"/>
      <c r="EF767" s="56"/>
      <c r="EG767" s="56"/>
      <c r="EH767" s="56"/>
      <c r="EI767" s="56"/>
      <c r="EJ767" s="56"/>
      <c r="EK767" s="56"/>
      <c r="EL767" s="56"/>
      <c r="EM767" s="56"/>
      <c r="EN767" s="56"/>
      <c r="EO767" s="56"/>
      <c r="EP767" s="56"/>
      <c r="EQ767" s="56"/>
      <c r="ER767" s="56"/>
      <c r="ES767" s="56"/>
      <c r="ET767" s="56"/>
      <c r="EU767" s="56"/>
      <c r="EV767" s="56"/>
      <c r="EW767" s="56"/>
      <c r="EX767" s="56"/>
      <c r="EY767" s="56"/>
      <c r="EZ767" s="56"/>
      <c r="FA767" s="56"/>
      <c r="FB767" s="56"/>
      <c r="FC767" s="56"/>
      <c r="FD767" s="56"/>
      <c r="FE767" s="56"/>
      <c r="FF767" s="56"/>
      <c r="FG767" s="56"/>
      <c r="FH767" s="56"/>
      <c r="FI767" s="56"/>
      <c r="FJ767" s="56"/>
      <c r="FK767" s="56"/>
      <c r="FL767" s="56"/>
      <c r="FM767" s="56"/>
      <c r="FN767" s="56"/>
      <c r="FO767" s="56"/>
      <c r="FP767" s="56"/>
      <c r="FQ767" s="56"/>
      <c r="FR767" s="56"/>
      <c r="FS767" s="56"/>
      <c r="FT767" s="56"/>
      <c r="FU767" s="56"/>
      <c r="FV767" s="56"/>
      <c r="FW767" s="56"/>
      <c r="FX767" s="56"/>
      <c r="FY767" s="56"/>
      <c r="FZ767" s="56"/>
      <c r="GA767" s="56"/>
      <c r="GB767" s="56"/>
      <c r="GC767" s="56"/>
      <c r="GD767" s="56"/>
      <c r="GE767" s="56"/>
      <c r="GF767" s="56"/>
      <c r="GG767" s="56"/>
      <c r="GH767" s="56"/>
      <c r="GI767" s="56"/>
      <c r="GJ767" s="56"/>
      <c r="GK767" s="56"/>
      <c r="GL767" s="56"/>
      <c r="GM767" s="56"/>
      <c r="GN767" s="56"/>
      <c r="GO767" s="56"/>
      <c r="GP767" s="56"/>
      <c r="GQ767" s="56"/>
      <c r="GR767" s="56"/>
      <c r="GS767" s="56"/>
      <c r="GT767" s="56"/>
      <c r="GU767" s="56"/>
      <c r="GV767" s="56"/>
      <c r="GW767" s="56"/>
      <c r="GX767" s="56"/>
      <c r="GY767" s="56"/>
      <c r="GZ767" s="56"/>
      <c r="HA767" s="56"/>
      <c r="HB767" s="56"/>
      <c r="HC767" s="56"/>
      <c r="HD767" s="56"/>
      <c r="HE767" s="56"/>
      <c r="HF767" s="56"/>
      <c r="HG767" s="56"/>
      <c r="HH767" s="56"/>
      <c r="HI767" s="56"/>
      <c r="HJ767" s="56"/>
    </row>
    <row r="768" spans="1:218" ht="15.75" customHeight="1" x14ac:dyDescent="0.2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  <c r="CL768" s="56"/>
      <c r="CM768" s="56"/>
      <c r="CN768" s="56"/>
      <c r="CO768" s="56"/>
      <c r="CP768" s="56"/>
      <c r="CQ768" s="56"/>
      <c r="CR768" s="56"/>
      <c r="CS768" s="56"/>
      <c r="CT768" s="56"/>
      <c r="CU768" s="56"/>
      <c r="CV768" s="56"/>
      <c r="CW768" s="56"/>
      <c r="CX768" s="56"/>
      <c r="CY768" s="56"/>
      <c r="CZ768" s="56"/>
      <c r="DA768" s="56"/>
      <c r="DB768" s="56"/>
      <c r="DC768" s="56"/>
      <c r="DD768" s="56"/>
      <c r="DE768" s="56"/>
      <c r="DF768" s="56"/>
      <c r="DG768" s="56"/>
      <c r="DH768" s="56"/>
      <c r="DI768" s="56"/>
      <c r="DJ768" s="56"/>
      <c r="DK768" s="56"/>
      <c r="DL768" s="56"/>
      <c r="DM768" s="56"/>
      <c r="DN768" s="56"/>
      <c r="DO768" s="56"/>
      <c r="DP768" s="56"/>
      <c r="DQ768" s="56"/>
      <c r="DR768" s="56"/>
      <c r="DS768" s="56"/>
      <c r="DT768" s="56"/>
      <c r="DU768" s="56"/>
      <c r="DV768" s="56"/>
      <c r="DW768" s="56"/>
      <c r="DX768" s="56"/>
      <c r="DY768" s="56"/>
      <c r="DZ768" s="56"/>
      <c r="EA768" s="56"/>
      <c r="EB768" s="56"/>
      <c r="EC768" s="56"/>
      <c r="ED768" s="56"/>
      <c r="EE768" s="56"/>
      <c r="EF768" s="56"/>
      <c r="EG768" s="56"/>
      <c r="EH768" s="56"/>
      <c r="EI768" s="56"/>
      <c r="EJ768" s="56"/>
      <c r="EK768" s="56"/>
      <c r="EL768" s="56"/>
      <c r="EM768" s="56"/>
      <c r="EN768" s="56"/>
      <c r="EO768" s="56"/>
      <c r="EP768" s="56"/>
      <c r="EQ768" s="56"/>
      <c r="ER768" s="56"/>
      <c r="ES768" s="56"/>
      <c r="ET768" s="56"/>
      <c r="EU768" s="56"/>
      <c r="EV768" s="56"/>
      <c r="EW768" s="56"/>
      <c r="EX768" s="56"/>
      <c r="EY768" s="56"/>
      <c r="EZ768" s="56"/>
      <c r="FA768" s="56"/>
      <c r="FB768" s="56"/>
      <c r="FC768" s="56"/>
      <c r="FD768" s="56"/>
      <c r="FE768" s="56"/>
      <c r="FF768" s="56"/>
      <c r="FG768" s="56"/>
      <c r="FH768" s="56"/>
      <c r="FI768" s="56"/>
      <c r="FJ768" s="56"/>
      <c r="FK768" s="56"/>
      <c r="FL768" s="56"/>
      <c r="FM768" s="56"/>
      <c r="FN768" s="56"/>
      <c r="FO768" s="56"/>
      <c r="FP768" s="56"/>
      <c r="FQ768" s="56"/>
      <c r="FR768" s="56"/>
      <c r="FS768" s="56"/>
      <c r="FT768" s="56"/>
      <c r="FU768" s="56"/>
      <c r="FV768" s="56"/>
      <c r="FW768" s="56"/>
      <c r="FX768" s="56"/>
      <c r="FY768" s="56"/>
      <c r="FZ768" s="56"/>
      <c r="GA768" s="56"/>
      <c r="GB768" s="56"/>
      <c r="GC768" s="56"/>
      <c r="GD768" s="56"/>
      <c r="GE768" s="56"/>
      <c r="GF768" s="56"/>
      <c r="GG768" s="56"/>
      <c r="GH768" s="56"/>
      <c r="GI768" s="56"/>
      <c r="GJ768" s="56"/>
      <c r="GK768" s="56"/>
      <c r="GL768" s="56"/>
      <c r="GM768" s="56"/>
      <c r="GN768" s="56"/>
      <c r="GO768" s="56"/>
      <c r="GP768" s="56"/>
      <c r="GQ768" s="56"/>
      <c r="GR768" s="56"/>
      <c r="GS768" s="56"/>
      <c r="GT768" s="56"/>
      <c r="GU768" s="56"/>
      <c r="GV768" s="56"/>
      <c r="GW768" s="56"/>
      <c r="GX768" s="56"/>
      <c r="GY768" s="56"/>
      <c r="GZ768" s="56"/>
      <c r="HA768" s="56"/>
      <c r="HB768" s="56"/>
      <c r="HC768" s="56"/>
      <c r="HD768" s="56"/>
      <c r="HE768" s="56"/>
      <c r="HF768" s="56"/>
      <c r="HG768" s="56"/>
      <c r="HH768" s="56"/>
      <c r="HI768" s="56"/>
      <c r="HJ768" s="56"/>
    </row>
    <row r="769" spans="1:218" ht="15.75" customHeight="1" x14ac:dyDescent="0.2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  <c r="BV769" s="56"/>
      <c r="BW769" s="56"/>
      <c r="BX769" s="56"/>
      <c r="BY769" s="56"/>
      <c r="BZ769" s="56"/>
      <c r="CA769" s="56"/>
      <c r="CB769" s="56"/>
      <c r="CC769" s="56"/>
      <c r="CD769" s="56"/>
      <c r="CE769" s="56"/>
      <c r="CF769" s="56"/>
      <c r="CG769" s="56"/>
      <c r="CH769" s="56"/>
      <c r="CI769" s="56"/>
      <c r="CJ769" s="56"/>
      <c r="CK769" s="56"/>
      <c r="CL769" s="56"/>
      <c r="CM769" s="56"/>
      <c r="CN769" s="56"/>
      <c r="CO769" s="56"/>
      <c r="CP769" s="56"/>
      <c r="CQ769" s="56"/>
      <c r="CR769" s="56"/>
      <c r="CS769" s="56"/>
      <c r="CT769" s="56"/>
      <c r="CU769" s="56"/>
      <c r="CV769" s="56"/>
      <c r="CW769" s="56"/>
      <c r="CX769" s="56"/>
      <c r="CY769" s="56"/>
      <c r="CZ769" s="56"/>
      <c r="DA769" s="56"/>
      <c r="DB769" s="56"/>
      <c r="DC769" s="56"/>
      <c r="DD769" s="56"/>
      <c r="DE769" s="56"/>
      <c r="DF769" s="56"/>
      <c r="DG769" s="56"/>
      <c r="DH769" s="56"/>
      <c r="DI769" s="56"/>
      <c r="DJ769" s="56"/>
      <c r="DK769" s="56"/>
      <c r="DL769" s="56"/>
      <c r="DM769" s="56"/>
      <c r="DN769" s="56"/>
      <c r="DO769" s="56"/>
      <c r="DP769" s="56"/>
      <c r="DQ769" s="56"/>
      <c r="DR769" s="56"/>
      <c r="DS769" s="56"/>
      <c r="DT769" s="56"/>
      <c r="DU769" s="56"/>
      <c r="DV769" s="56"/>
      <c r="DW769" s="56"/>
      <c r="DX769" s="56"/>
      <c r="DY769" s="56"/>
      <c r="DZ769" s="56"/>
      <c r="EA769" s="56"/>
      <c r="EB769" s="56"/>
      <c r="EC769" s="56"/>
      <c r="ED769" s="56"/>
      <c r="EE769" s="56"/>
      <c r="EF769" s="56"/>
      <c r="EG769" s="56"/>
      <c r="EH769" s="56"/>
      <c r="EI769" s="56"/>
      <c r="EJ769" s="56"/>
      <c r="EK769" s="56"/>
      <c r="EL769" s="56"/>
      <c r="EM769" s="56"/>
      <c r="EN769" s="56"/>
      <c r="EO769" s="56"/>
      <c r="EP769" s="56"/>
      <c r="EQ769" s="56"/>
      <c r="ER769" s="56"/>
      <c r="ES769" s="56"/>
      <c r="ET769" s="56"/>
      <c r="EU769" s="56"/>
      <c r="EV769" s="56"/>
      <c r="EW769" s="56"/>
      <c r="EX769" s="56"/>
      <c r="EY769" s="56"/>
      <c r="EZ769" s="56"/>
      <c r="FA769" s="56"/>
      <c r="FB769" s="56"/>
      <c r="FC769" s="56"/>
      <c r="FD769" s="56"/>
      <c r="FE769" s="56"/>
      <c r="FF769" s="56"/>
      <c r="FG769" s="56"/>
      <c r="FH769" s="56"/>
      <c r="FI769" s="56"/>
      <c r="FJ769" s="56"/>
      <c r="FK769" s="56"/>
      <c r="FL769" s="56"/>
      <c r="FM769" s="56"/>
      <c r="FN769" s="56"/>
      <c r="FO769" s="56"/>
      <c r="FP769" s="56"/>
      <c r="FQ769" s="56"/>
      <c r="FR769" s="56"/>
      <c r="FS769" s="56"/>
      <c r="FT769" s="56"/>
      <c r="FU769" s="56"/>
      <c r="FV769" s="56"/>
      <c r="FW769" s="56"/>
      <c r="FX769" s="56"/>
      <c r="FY769" s="56"/>
      <c r="FZ769" s="56"/>
      <c r="GA769" s="56"/>
      <c r="GB769" s="56"/>
      <c r="GC769" s="56"/>
      <c r="GD769" s="56"/>
      <c r="GE769" s="56"/>
      <c r="GF769" s="56"/>
      <c r="GG769" s="56"/>
      <c r="GH769" s="56"/>
      <c r="GI769" s="56"/>
      <c r="GJ769" s="56"/>
      <c r="GK769" s="56"/>
      <c r="GL769" s="56"/>
      <c r="GM769" s="56"/>
      <c r="GN769" s="56"/>
      <c r="GO769" s="56"/>
      <c r="GP769" s="56"/>
      <c r="GQ769" s="56"/>
      <c r="GR769" s="56"/>
      <c r="GS769" s="56"/>
      <c r="GT769" s="56"/>
      <c r="GU769" s="56"/>
      <c r="GV769" s="56"/>
      <c r="GW769" s="56"/>
      <c r="GX769" s="56"/>
      <c r="GY769" s="56"/>
      <c r="GZ769" s="56"/>
      <c r="HA769" s="56"/>
      <c r="HB769" s="56"/>
      <c r="HC769" s="56"/>
      <c r="HD769" s="56"/>
      <c r="HE769" s="56"/>
      <c r="HF769" s="56"/>
      <c r="HG769" s="56"/>
      <c r="HH769" s="56"/>
      <c r="HI769" s="56"/>
      <c r="HJ769" s="56"/>
    </row>
    <row r="770" spans="1:218" ht="15.75" customHeight="1" x14ac:dyDescent="0.2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  <c r="CL770" s="56"/>
      <c r="CM770" s="56"/>
      <c r="CN770" s="56"/>
      <c r="CO770" s="56"/>
      <c r="CP770" s="56"/>
      <c r="CQ770" s="56"/>
      <c r="CR770" s="56"/>
      <c r="CS770" s="56"/>
      <c r="CT770" s="56"/>
      <c r="CU770" s="56"/>
      <c r="CV770" s="56"/>
      <c r="CW770" s="56"/>
      <c r="CX770" s="56"/>
      <c r="CY770" s="56"/>
      <c r="CZ770" s="56"/>
      <c r="DA770" s="56"/>
      <c r="DB770" s="56"/>
      <c r="DC770" s="56"/>
      <c r="DD770" s="56"/>
      <c r="DE770" s="56"/>
      <c r="DF770" s="56"/>
      <c r="DG770" s="56"/>
      <c r="DH770" s="56"/>
      <c r="DI770" s="56"/>
      <c r="DJ770" s="56"/>
      <c r="DK770" s="56"/>
      <c r="DL770" s="56"/>
      <c r="DM770" s="56"/>
      <c r="DN770" s="56"/>
      <c r="DO770" s="56"/>
      <c r="DP770" s="56"/>
      <c r="DQ770" s="56"/>
      <c r="DR770" s="56"/>
      <c r="DS770" s="56"/>
      <c r="DT770" s="56"/>
      <c r="DU770" s="56"/>
      <c r="DV770" s="56"/>
      <c r="DW770" s="56"/>
      <c r="DX770" s="56"/>
      <c r="DY770" s="56"/>
      <c r="DZ770" s="56"/>
      <c r="EA770" s="56"/>
      <c r="EB770" s="56"/>
      <c r="EC770" s="56"/>
      <c r="ED770" s="56"/>
      <c r="EE770" s="56"/>
      <c r="EF770" s="56"/>
      <c r="EG770" s="56"/>
      <c r="EH770" s="56"/>
      <c r="EI770" s="56"/>
      <c r="EJ770" s="56"/>
      <c r="EK770" s="56"/>
      <c r="EL770" s="56"/>
      <c r="EM770" s="56"/>
      <c r="EN770" s="56"/>
      <c r="EO770" s="56"/>
      <c r="EP770" s="56"/>
      <c r="EQ770" s="56"/>
      <c r="ER770" s="56"/>
      <c r="ES770" s="56"/>
      <c r="ET770" s="56"/>
      <c r="EU770" s="56"/>
      <c r="EV770" s="56"/>
      <c r="EW770" s="56"/>
      <c r="EX770" s="56"/>
      <c r="EY770" s="56"/>
      <c r="EZ770" s="56"/>
      <c r="FA770" s="56"/>
      <c r="FB770" s="56"/>
      <c r="FC770" s="56"/>
      <c r="FD770" s="56"/>
      <c r="FE770" s="56"/>
      <c r="FF770" s="56"/>
      <c r="FG770" s="56"/>
      <c r="FH770" s="56"/>
      <c r="FI770" s="56"/>
      <c r="FJ770" s="56"/>
      <c r="FK770" s="56"/>
      <c r="FL770" s="56"/>
      <c r="FM770" s="56"/>
      <c r="FN770" s="56"/>
      <c r="FO770" s="56"/>
      <c r="FP770" s="56"/>
      <c r="FQ770" s="56"/>
      <c r="FR770" s="56"/>
      <c r="FS770" s="56"/>
      <c r="FT770" s="56"/>
      <c r="FU770" s="56"/>
      <c r="FV770" s="56"/>
      <c r="FW770" s="56"/>
      <c r="FX770" s="56"/>
      <c r="FY770" s="56"/>
      <c r="FZ770" s="56"/>
      <c r="GA770" s="56"/>
      <c r="GB770" s="56"/>
      <c r="GC770" s="56"/>
      <c r="GD770" s="56"/>
      <c r="GE770" s="56"/>
      <c r="GF770" s="56"/>
      <c r="GG770" s="56"/>
      <c r="GH770" s="56"/>
      <c r="GI770" s="56"/>
      <c r="GJ770" s="56"/>
      <c r="GK770" s="56"/>
      <c r="GL770" s="56"/>
      <c r="GM770" s="56"/>
      <c r="GN770" s="56"/>
      <c r="GO770" s="56"/>
      <c r="GP770" s="56"/>
      <c r="GQ770" s="56"/>
      <c r="GR770" s="56"/>
      <c r="GS770" s="56"/>
      <c r="GT770" s="56"/>
      <c r="GU770" s="56"/>
      <c r="GV770" s="56"/>
      <c r="GW770" s="56"/>
      <c r="GX770" s="56"/>
      <c r="GY770" s="56"/>
      <c r="GZ770" s="56"/>
      <c r="HA770" s="56"/>
      <c r="HB770" s="56"/>
      <c r="HC770" s="56"/>
      <c r="HD770" s="56"/>
      <c r="HE770" s="56"/>
      <c r="HF770" s="56"/>
      <c r="HG770" s="56"/>
      <c r="HH770" s="56"/>
      <c r="HI770" s="56"/>
      <c r="HJ770" s="56"/>
    </row>
    <row r="771" spans="1:218" ht="15.75" customHeight="1" x14ac:dyDescent="0.2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  <c r="BV771" s="56"/>
      <c r="BW771" s="56"/>
      <c r="BX771" s="56"/>
      <c r="BY771" s="56"/>
      <c r="BZ771" s="56"/>
      <c r="CA771" s="56"/>
      <c r="CB771" s="56"/>
      <c r="CC771" s="56"/>
      <c r="CD771" s="56"/>
      <c r="CE771" s="56"/>
      <c r="CF771" s="56"/>
      <c r="CG771" s="56"/>
      <c r="CH771" s="56"/>
      <c r="CI771" s="56"/>
      <c r="CJ771" s="56"/>
      <c r="CK771" s="56"/>
      <c r="CL771" s="56"/>
      <c r="CM771" s="56"/>
      <c r="CN771" s="56"/>
      <c r="CO771" s="56"/>
      <c r="CP771" s="56"/>
      <c r="CQ771" s="56"/>
      <c r="CR771" s="56"/>
      <c r="CS771" s="56"/>
      <c r="CT771" s="56"/>
      <c r="CU771" s="56"/>
      <c r="CV771" s="56"/>
      <c r="CW771" s="56"/>
      <c r="CX771" s="56"/>
      <c r="CY771" s="56"/>
      <c r="CZ771" s="56"/>
      <c r="DA771" s="56"/>
      <c r="DB771" s="56"/>
      <c r="DC771" s="56"/>
      <c r="DD771" s="56"/>
      <c r="DE771" s="56"/>
      <c r="DF771" s="56"/>
      <c r="DG771" s="56"/>
      <c r="DH771" s="56"/>
      <c r="DI771" s="56"/>
      <c r="DJ771" s="56"/>
      <c r="DK771" s="56"/>
      <c r="DL771" s="56"/>
      <c r="DM771" s="56"/>
      <c r="DN771" s="56"/>
      <c r="DO771" s="56"/>
      <c r="DP771" s="56"/>
      <c r="DQ771" s="56"/>
      <c r="DR771" s="56"/>
      <c r="DS771" s="56"/>
      <c r="DT771" s="56"/>
      <c r="DU771" s="56"/>
      <c r="DV771" s="56"/>
      <c r="DW771" s="56"/>
      <c r="DX771" s="56"/>
      <c r="DY771" s="56"/>
      <c r="DZ771" s="56"/>
      <c r="EA771" s="56"/>
      <c r="EB771" s="56"/>
      <c r="EC771" s="56"/>
      <c r="ED771" s="56"/>
      <c r="EE771" s="56"/>
      <c r="EF771" s="56"/>
      <c r="EG771" s="56"/>
      <c r="EH771" s="56"/>
      <c r="EI771" s="56"/>
      <c r="EJ771" s="56"/>
      <c r="EK771" s="56"/>
      <c r="EL771" s="56"/>
      <c r="EM771" s="56"/>
      <c r="EN771" s="56"/>
      <c r="EO771" s="56"/>
      <c r="EP771" s="56"/>
      <c r="EQ771" s="56"/>
      <c r="ER771" s="56"/>
      <c r="ES771" s="56"/>
      <c r="ET771" s="56"/>
      <c r="EU771" s="56"/>
      <c r="EV771" s="56"/>
      <c r="EW771" s="56"/>
      <c r="EX771" s="56"/>
      <c r="EY771" s="56"/>
      <c r="EZ771" s="56"/>
      <c r="FA771" s="56"/>
      <c r="FB771" s="56"/>
      <c r="FC771" s="56"/>
      <c r="FD771" s="56"/>
      <c r="FE771" s="56"/>
      <c r="FF771" s="56"/>
      <c r="FG771" s="56"/>
      <c r="FH771" s="56"/>
      <c r="FI771" s="56"/>
      <c r="FJ771" s="56"/>
      <c r="FK771" s="56"/>
      <c r="FL771" s="56"/>
      <c r="FM771" s="56"/>
      <c r="FN771" s="56"/>
      <c r="FO771" s="56"/>
      <c r="FP771" s="56"/>
      <c r="FQ771" s="56"/>
      <c r="FR771" s="56"/>
      <c r="FS771" s="56"/>
      <c r="FT771" s="56"/>
      <c r="FU771" s="56"/>
      <c r="FV771" s="56"/>
      <c r="FW771" s="56"/>
      <c r="FX771" s="56"/>
      <c r="FY771" s="56"/>
      <c r="FZ771" s="56"/>
      <c r="GA771" s="56"/>
      <c r="GB771" s="56"/>
      <c r="GC771" s="56"/>
      <c r="GD771" s="56"/>
      <c r="GE771" s="56"/>
      <c r="GF771" s="56"/>
      <c r="GG771" s="56"/>
      <c r="GH771" s="56"/>
      <c r="GI771" s="56"/>
      <c r="GJ771" s="56"/>
      <c r="GK771" s="56"/>
      <c r="GL771" s="56"/>
      <c r="GM771" s="56"/>
      <c r="GN771" s="56"/>
      <c r="GO771" s="56"/>
      <c r="GP771" s="56"/>
      <c r="GQ771" s="56"/>
      <c r="GR771" s="56"/>
      <c r="GS771" s="56"/>
      <c r="GT771" s="56"/>
      <c r="GU771" s="56"/>
      <c r="GV771" s="56"/>
      <c r="GW771" s="56"/>
      <c r="GX771" s="56"/>
      <c r="GY771" s="56"/>
      <c r="GZ771" s="56"/>
      <c r="HA771" s="56"/>
      <c r="HB771" s="56"/>
      <c r="HC771" s="56"/>
      <c r="HD771" s="56"/>
      <c r="HE771" s="56"/>
      <c r="HF771" s="56"/>
      <c r="HG771" s="56"/>
      <c r="HH771" s="56"/>
      <c r="HI771" s="56"/>
      <c r="HJ771" s="56"/>
    </row>
    <row r="772" spans="1:218" ht="15.75" customHeight="1" x14ac:dyDescent="0.2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  <c r="CL772" s="56"/>
      <c r="CM772" s="56"/>
      <c r="CN772" s="56"/>
      <c r="CO772" s="56"/>
      <c r="CP772" s="56"/>
      <c r="CQ772" s="56"/>
      <c r="CR772" s="56"/>
      <c r="CS772" s="56"/>
      <c r="CT772" s="56"/>
      <c r="CU772" s="56"/>
      <c r="CV772" s="56"/>
      <c r="CW772" s="56"/>
      <c r="CX772" s="56"/>
      <c r="CY772" s="56"/>
      <c r="CZ772" s="56"/>
      <c r="DA772" s="56"/>
      <c r="DB772" s="56"/>
      <c r="DC772" s="56"/>
      <c r="DD772" s="56"/>
      <c r="DE772" s="56"/>
      <c r="DF772" s="56"/>
      <c r="DG772" s="56"/>
      <c r="DH772" s="56"/>
      <c r="DI772" s="56"/>
      <c r="DJ772" s="56"/>
      <c r="DK772" s="56"/>
      <c r="DL772" s="56"/>
      <c r="DM772" s="56"/>
      <c r="DN772" s="56"/>
      <c r="DO772" s="56"/>
      <c r="DP772" s="56"/>
      <c r="DQ772" s="56"/>
      <c r="DR772" s="56"/>
      <c r="DS772" s="56"/>
      <c r="DT772" s="56"/>
      <c r="DU772" s="56"/>
      <c r="DV772" s="56"/>
      <c r="DW772" s="56"/>
      <c r="DX772" s="56"/>
      <c r="DY772" s="56"/>
      <c r="DZ772" s="56"/>
      <c r="EA772" s="56"/>
      <c r="EB772" s="56"/>
      <c r="EC772" s="56"/>
      <c r="ED772" s="56"/>
      <c r="EE772" s="56"/>
      <c r="EF772" s="56"/>
      <c r="EG772" s="56"/>
      <c r="EH772" s="56"/>
      <c r="EI772" s="56"/>
      <c r="EJ772" s="56"/>
      <c r="EK772" s="56"/>
      <c r="EL772" s="56"/>
      <c r="EM772" s="56"/>
      <c r="EN772" s="56"/>
      <c r="EO772" s="56"/>
      <c r="EP772" s="56"/>
      <c r="EQ772" s="56"/>
      <c r="ER772" s="56"/>
      <c r="ES772" s="56"/>
      <c r="ET772" s="56"/>
      <c r="EU772" s="56"/>
      <c r="EV772" s="56"/>
      <c r="EW772" s="56"/>
      <c r="EX772" s="56"/>
      <c r="EY772" s="56"/>
      <c r="EZ772" s="56"/>
      <c r="FA772" s="56"/>
      <c r="FB772" s="56"/>
      <c r="FC772" s="56"/>
      <c r="FD772" s="56"/>
      <c r="FE772" s="56"/>
      <c r="FF772" s="56"/>
      <c r="FG772" s="56"/>
      <c r="FH772" s="56"/>
      <c r="FI772" s="56"/>
      <c r="FJ772" s="56"/>
      <c r="FK772" s="56"/>
      <c r="FL772" s="56"/>
      <c r="FM772" s="56"/>
      <c r="FN772" s="56"/>
      <c r="FO772" s="56"/>
      <c r="FP772" s="56"/>
      <c r="FQ772" s="56"/>
      <c r="FR772" s="56"/>
      <c r="FS772" s="56"/>
      <c r="FT772" s="56"/>
      <c r="FU772" s="56"/>
      <c r="FV772" s="56"/>
      <c r="FW772" s="56"/>
      <c r="FX772" s="56"/>
      <c r="FY772" s="56"/>
      <c r="FZ772" s="56"/>
      <c r="GA772" s="56"/>
      <c r="GB772" s="56"/>
      <c r="GC772" s="56"/>
      <c r="GD772" s="56"/>
      <c r="GE772" s="56"/>
      <c r="GF772" s="56"/>
      <c r="GG772" s="56"/>
      <c r="GH772" s="56"/>
      <c r="GI772" s="56"/>
      <c r="GJ772" s="56"/>
      <c r="GK772" s="56"/>
      <c r="GL772" s="56"/>
      <c r="GM772" s="56"/>
      <c r="GN772" s="56"/>
      <c r="GO772" s="56"/>
      <c r="GP772" s="56"/>
      <c r="GQ772" s="56"/>
      <c r="GR772" s="56"/>
      <c r="GS772" s="56"/>
      <c r="GT772" s="56"/>
      <c r="GU772" s="56"/>
      <c r="GV772" s="56"/>
      <c r="GW772" s="56"/>
      <c r="GX772" s="56"/>
      <c r="GY772" s="56"/>
      <c r="GZ772" s="56"/>
      <c r="HA772" s="56"/>
      <c r="HB772" s="56"/>
      <c r="HC772" s="56"/>
      <c r="HD772" s="56"/>
      <c r="HE772" s="56"/>
      <c r="HF772" s="56"/>
      <c r="HG772" s="56"/>
      <c r="HH772" s="56"/>
      <c r="HI772" s="56"/>
      <c r="HJ772" s="56"/>
    </row>
    <row r="773" spans="1:218" ht="15.75" customHeight="1" x14ac:dyDescent="0.2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  <c r="CL773" s="56"/>
      <c r="CM773" s="56"/>
      <c r="CN773" s="56"/>
      <c r="CO773" s="56"/>
      <c r="CP773" s="56"/>
      <c r="CQ773" s="56"/>
      <c r="CR773" s="56"/>
      <c r="CS773" s="56"/>
      <c r="CT773" s="56"/>
      <c r="CU773" s="56"/>
      <c r="CV773" s="56"/>
      <c r="CW773" s="56"/>
      <c r="CX773" s="56"/>
      <c r="CY773" s="56"/>
      <c r="CZ773" s="56"/>
      <c r="DA773" s="56"/>
      <c r="DB773" s="56"/>
      <c r="DC773" s="56"/>
      <c r="DD773" s="56"/>
      <c r="DE773" s="56"/>
      <c r="DF773" s="56"/>
      <c r="DG773" s="56"/>
      <c r="DH773" s="56"/>
      <c r="DI773" s="56"/>
      <c r="DJ773" s="56"/>
      <c r="DK773" s="56"/>
      <c r="DL773" s="56"/>
      <c r="DM773" s="56"/>
      <c r="DN773" s="56"/>
      <c r="DO773" s="56"/>
      <c r="DP773" s="56"/>
      <c r="DQ773" s="56"/>
      <c r="DR773" s="56"/>
      <c r="DS773" s="56"/>
      <c r="DT773" s="56"/>
      <c r="DU773" s="56"/>
      <c r="DV773" s="56"/>
      <c r="DW773" s="56"/>
      <c r="DX773" s="56"/>
      <c r="DY773" s="56"/>
      <c r="DZ773" s="56"/>
      <c r="EA773" s="56"/>
      <c r="EB773" s="56"/>
      <c r="EC773" s="56"/>
      <c r="ED773" s="56"/>
      <c r="EE773" s="56"/>
      <c r="EF773" s="56"/>
      <c r="EG773" s="56"/>
      <c r="EH773" s="56"/>
      <c r="EI773" s="56"/>
      <c r="EJ773" s="56"/>
      <c r="EK773" s="56"/>
      <c r="EL773" s="56"/>
      <c r="EM773" s="56"/>
      <c r="EN773" s="56"/>
      <c r="EO773" s="56"/>
      <c r="EP773" s="56"/>
      <c r="EQ773" s="56"/>
      <c r="ER773" s="56"/>
      <c r="ES773" s="56"/>
      <c r="ET773" s="56"/>
      <c r="EU773" s="56"/>
      <c r="EV773" s="56"/>
      <c r="EW773" s="56"/>
      <c r="EX773" s="56"/>
      <c r="EY773" s="56"/>
      <c r="EZ773" s="56"/>
      <c r="FA773" s="56"/>
      <c r="FB773" s="56"/>
      <c r="FC773" s="56"/>
      <c r="FD773" s="56"/>
      <c r="FE773" s="56"/>
      <c r="FF773" s="56"/>
      <c r="FG773" s="56"/>
      <c r="FH773" s="56"/>
      <c r="FI773" s="56"/>
      <c r="FJ773" s="56"/>
      <c r="FK773" s="56"/>
      <c r="FL773" s="56"/>
      <c r="FM773" s="56"/>
      <c r="FN773" s="56"/>
      <c r="FO773" s="56"/>
      <c r="FP773" s="56"/>
      <c r="FQ773" s="56"/>
      <c r="FR773" s="56"/>
      <c r="FS773" s="56"/>
      <c r="FT773" s="56"/>
      <c r="FU773" s="56"/>
      <c r="FV773" s="56"/>
      <c r="FW773" s="56"/>
      <c r="FX773" s="56"/>
      <c r="FY773" s="56"/>
      <c r="FZ773" s="56"/>
      <c r="GA773" s="56"/>
      <c r="GB773" s="56"/>
      <c r="GC773" s="56"/>
      <c r="GD773" s="56"/>
      <c r="GE773" s="56"/>
      <c r="GF773" s="56"/>
      <c r="GG773" s="56"/>
      <c r="GH773" s="56"/>
      <c r="GI773" s="56"/>
      <c r="GJ773" s="56"/>
      <c r="GK773" s="56"/>
      <c r="GL773" s="56"/>
      <c r="GM773" s="56"/>
      <c r="GN773" s="56"/>
      <c r="GO773" s="56"/>
      <c r="GP773" s="56"/>
      <c r="GQ773" s="56"/>
      <c r="GR773" s="56"/>
      <c r="GS773" s="56"/>
      <c r="GT773" s="56"/>
      <c r="GU773" s="56"/>
      <c r="GV773" s="56"/>
      <c r="GW773" s="56"/>
      <c r="GX773" s="56"/>
      <c r="GY773" s="56"/>
      <c r="GZ773" s="56"/>
      <c r="HA773" s="56"/>
      <c r="HB773" s="56"/>
      <c r="HC773" s="56"/>
      <c r="HD773" s="56"/>
      <c r="HE773" s="56"/>
      <c r="HF773" s="56"/>
      <c r="HG773" s="56"/>
      <c r="HH773" s="56"/>
      <c r="HI773" s="56"/>
      <c r="HJ773" s="56"/>
    </row>
    <row r="774" spans="1:218" ht="15.75" customHeight="1" x14ac:dyDescent="0.2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  <c r="BV774" s="56"/>
      <c r="BW774" s="56"/>
      <c r="BX774" s="56"/>
      <c r="BY774" s="56"/>
      <c r="BZ774" s="56"/>
      <c r="CA774" s="56"/>
      <c r="CB774" s="56"/>
      <c r="CC774" s="56"/>
      <c r="CD774" s="56"/>
      <c r="CE774" s="56"/>
      <c r="CF774" s="56"/>
      <c r="CG774" s="56"/>
      <c r="CH774" s="56"/>
      <c r="CI774" s="56"/>
      <c r="CJ774" s="56"/>
      <c r="CK774" s="56"/>
      <c r="CL774" s="56"/>
      <c r="CM774" s="56"/>
      <c r="CN774" s="56"/>
      <c r="CO774" s="56"/>
      <c r="CP774" s="56"/>
      <c r="CQ774" s="56"/>
      <c r="CR774" s="56"/>
      <c r="CS774" s="56"/>
      <c r="CT774" s="56"/>
      <c r="CU774" s="56"/>
      <c r="CV774" s="56"/>
      <c r="CW774" s="56"/>
      <c r="CX774" s="56"/>
      <c r="CY774" s="56"/>
      <c r="CZ774" s="56"/>
      <c r="DA774" s="56"/>
      <c r="DB774" s="56"/>
      <c r="DC774" s="56"/>
      <c r="DD774" s="56"/>
      <c r="DE774" s="56"/>
      <c r="DF774" s="56"/>
      <c r="DG774" s="56"/>
      <c r="DH774" s="56"/>
      <c r="DI774" s="56"/>
      <c r="DJ774" s="56"/>
      <c r="DK774" s="56"/>
      <c r="DL774" s="56"/>
      <c r="DM774" s="56"/>
      <c r="DN774" s="56"/>
      <c r="DO774" s="56"/>
      <c r="DP774" s="56"/>
      <c r="DQ774" s="56"/>
      <c r="DR774" s="56"/>
      <c r="DS774" s="56"/>
      <c r="DT774" s="56"/>
      <c r="DU774" s="56"/>
      <c r="DV774" s="56"/>
      <c r="DW774" s="56"/>
      <c r="DX774" s="56"/>
      <c r="DY774" s="56"/>
      <c r="DZ774" s="56"/>
      <c r="EA774" s="56"/>
      <c r="EB774" s="56"/>
      <c r="EC774" s="56"/>
      <c r="ED774" s="56"/>
      <c r="EE774" s="56"/>
      <c r="EF774" s="56"/>
      <c r="EG774" s="56"/>
      <c r="EH774" s="56"/>
      <c r="EI774" s="56"/>
      <c r="EJ774" s="56"/>
      <c r="EK774" s="56"/>
      <c r="EL774" s="56"/>
      <c r="EM774" s="56"/>
      <c r="EN774" s="56"/>
      <c r="EO774" s="56"/>
      <c r="EP774" s="56"/>
      <c r="EQ774" s="56"/>
      <c r="ER774" s="56"/>
      <c r="ES774" s="56"/>
      <c r="ET774" s="56"/>
      <c r="EU774" s="56"/>
      <c r="EV774" s="56"/>
      <c r="EW774" s="56"/>
      <c r="EX774" s="56"/>
      <c r="EY774" s="56"/>
      <c r="EZ774" s="56"/>
      <c r="FA774" s="56"/>
      <c r="FB774" s="56"/>
      <c r="FC774" s="56"/>
      <c r="FD774" s="56"/>
      <c r="FE774" s="56"/>
      <c r="FF774" s="56"/>
      <c r="FG774" s="56"/>
      <c r="FH774" s="56"/>
      <c r="FI774" s="56"/>
      <c r="FJ774" s="56"/>
      <c r="FK774" s="56"/>
      <c r="FL774" s="56"/>
      <c r="FM774" s="56"/>
      <c r="FN774" s="56"/>
      <c r="FO774" s="56"/>
      <c r="FP774" s="56"/>
      <c r="FQ774" s="56"/>
      <c r="FR774" s="56"/>
      <c r="FS774" s="56"/>
      <c r="FT774" s="56"/>
      <c r="FU774" s="56"/>
      <c r="FV774" s="56"/>
      <c r="FW774" s="56"/>
      <c r="FX774" s="56"/>
      <c r="FY774" s="56"/>
      <c r="FZ774" s="56"/>
      <c r="GA774" s="56"/>
      <c r="GB774" s="56"/>
      <c r="GC774" s="56"/>
      <c r="GD774" s="56"/>
      <c r="GE774" s="56"/>
      <c r="GF774" s="56"/>
      <c r="GG774" s="56"/>
      <c r="GH774" s="56"/>
      <c r="GI774" s="56"/>
      <c r="GJ774" s="56"/>
      <c r="GK774" s="56"/>
      <c r="GL774" s="56"/>
      <c r="GM774" s="56"/>
      <c r="GN774" s="56"/>
      <c r="GO774" s="56"/>
      <c r="GP774" s="56"/>
      <c r="GQ774" s="56"/>
      <c r="GR774" s="56"/>
      <c r="GS774" s="56"/>
      <c r="GT774" s="56"/>
      <c r="GU774" s="56"/>
      <c r="GV774" s="56"/>
      <c r="GW774" s="56"/>
      <c r="GX774" s="56"/>
      <c r="GY774" s="56"/>
      <c r="GZ774" s="56"/>
      <c r="HA774" s="56"/>
      <c r="HB774" s="56"/>
      <c r="HC774" s="56"/>
      <c r="HD774" s="56"/>
      <c r="HE774" s="56"/>
      <c r="HF774" s="56"/>
      <c r="HG774" s="56"/>
      <c r="HH774" s="56"/>
      <c r="HI774" s="56"/>
      <c r="HJ774" s="56"/>
    </row>
    <row r="775" spans="1:218" ht="15.75" customHeight="1" x14ac:dyDescent="0.2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56"/>
      <c r="CP775" s="56"/>
      <c r="CQ775" s="56"/>
      <c r="CR775" s="56"/>
      <c r="CS775" s="56"/>
      <c r="CT775" s="56"/>
      <c r="CU775" s="56"/>
      <c r="CV775" s="56"/>
      <c r="CW775" s="56"/>
      <c r="CX775" s="56"/>
      <c r="CY775" s="56"/>
      <c r="CZ775" s="56"/>
      <c r="DA775" s="56"/>
      <c r="DB775" s="56"/>
      <c r="DC775" s="56"/>
      <c r="DD775" s="56"/>
      <c r="DE775" s="56"/>
      <c r="DF775" s="56"/>
      <c r="DG775" s="56"/>
      <c r="DH775" s="56"/>
      <c r="DI775" s="56"/>
      <c r="DJ775" s="56"/>
      <c r="DK775" s="56"/>
      <c r="DL775" s="56"/>
      <c r="DM775" s="56"/>
      <c r="DN775" s="56"/>
      <c r="DO775" s="56"/>
      <c r="DP775" s="56"/>
      <c r="DQ775" s="56"/>
      <c r="DR775" s="56"/>
      <c r="DS775" s="56"/>
      <c r="DT775" s="56"/>
      <c r="DU775" s="56"/>
      <c r="DV775" s="56"/>
      <c r="DW775" s="56"/>
      <c r="DX775" s="56"/>
      <c r="DY775" s="56"/>
      <c r="DZ775" s="56"/>
      <c r="EA775" s="56"/>
      <c r="EB775" s="56"/>
      <c r="EC775" s="56"/>
      <c r="ED775" s="56"/>
      <c r="EE775" s="56"/>
      <c r="EF775" s="56"/>
      <c r="EG775" s="56"/>
      <c r="EH775" s="56"/>
      <c r="EI775" s="56"/>
      <c r="EJ775" s="56"/>
      <c r="EK775" s="56"/>
      <c r="EL775" s="56"/>
      <c r="EM775" s="56"/>
      <c r="EN775" s="56"/>
      <c r="EO775" s="56"/>
      <c r="EP775" s="56"/>
      <c r="EQ775" s="56"/>
      <c r="ER775" s="56"/>
      <c r="ES775" s="56"/>
      <c r="ET775" s="56"/>
      <c r="EU775" s="56"/>
      <c r="EV775" s="56"/>
      <c r="EW775" s="56"/>
      <c r="EX775" s="56"/>
      <c r="EY775" s="56"/>
      <c r="EZ775" s="56"/>
      <c r="FA775" s="56"/>
      <c r="FB775" s="56"/>
      <c r="FC775" s="56"/>
      <c r="FD775" s="56"/>
      <c r="FE775" s="56"/>
      <c r="FF775" s="56"/>
      <c r="FG775" s="56"/>
      <c r="FH775" s="56"/>
      <c r="FI775" s="56"/>
      <c r="FJ775" s="56"/>
      <c r="FK775" s="56"/>
      <c r="FL775" s="56"/>
      <c r="FM775" s="56"/>
      <c r="FN775" s="56"/>
      <c r="FO775" s="56"/>
      <c r="FP775" s="56"/>
      <c r="FQ775" s="56"/>
      <c r="FR775" s="56"/>
      <c r="FS775" s="56"/>
      <c r="FT775" s="56"/>
      <c r="FU775" s="56"/>
      <c r="FV775" s="56"/>
      <c r="FW775" s="56"/>
      <c r="FX775" s="56"/>
      <c r="FY775" s="56"/>
      <c r="FZ775" s="56"/>
      <c r="GA775" s="56"/>
      <c r="GB775" s="56"/>
      <c r="GC775" s="56"/>
      <c r="GD775" s="56"/>
      <c r="GE775" s="56"/>
      <c r="GF775" s="56"/>
      <c r="GG775" s="56"/>
      <c r="GH775" s="56"/>
      <c r="GI775" s="56"/>
      <c r="GJ775" s="56"/>
      <c r="GK775" s="56"/>
      <c r="GL775" s="56"/>
      <c r="GM775" s="56"/>
      <c r="GN775" s="56"/>
      <c r="GO775" s="56"/>
      <c r="GP775" s="56"/>
      <c r="GQ775" s="56"/>
      <c r="GR775" s="56"/>
      <c r="GS775" s="56"/>
      <c r="GT775" s="56"/>
      <c r="GU775" s="56"/>
      <c r="GV775" s="56"/>
      <c r="GW775" s="56"/>
      <c r="GX775" s="56"/>
      <c r="GY775" s="56"/>
      <c r="GZ775" s="56"/>
      <c r="HA775" s="56"/>
      <c r="HB775" s="56"/>
      <c r="HC775" s="56"/>
      <c r="HD775" s="56"/>
      <c r="HE775" s="56"/>
      <c r="HF775" s="56"/>
      <c r="HG775" s="56"/>
      <c r="HH775" s="56"/>
      <c r="HI775" s="56"/>
      <c r="HJ775" s="56"/>
    </row>
    <row r="776" spans="1:218" ht="15.75" customHeight="1" x14ac:dyDescent="0.2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  <c r="BV776" s="56"/>
      <c r="BW776" s="56"/>
      <c r="BX776" s="56"/>
      <c r="BY776" s="56"/>
      <c r="BZ776" s="56"/>
      <c r="CA776" s="56"/>
      <c r="CB776" s="56"/>
      <c r="CC776" s="56"/>
      <c r="CD776" s="56"/>
      <c r="CE776" s="56"/>
      <c r="CF776" s="56"/>
      <c r="CG776" s="56"/>
      <c r="CH776" s="56"/>
      <c r="CI776" s="56"/>
      <c r="CJ776" s="56"/>
      <c r="CK776" s="56"/>
      <c r="CL776" s="56"/>
      <c r="CM776" s="56"/>
      <c r="CN776" s="56"/>
      <c r="CO776" s="56"/>
      <c r="CP776" s="56"/>
      <c r="CQ776" s="56"/>
      <c r="CR776" s="56"/>
      <c r="CS776" s="56"/>
      <c r="CT776" s="56"/>
      <c r="CU776" s="56"/>
      <c r="CV776" s="56"/>
      <c r="CW776" s="56"/>
      <c r="CX776" s="56"/>
      <c r="CY776" s="56"/>
      <c r="CZ776" s="56"/>
      <c r="DA776" s="56"/>
      <c r="DB776" s="56"/>
      <c r="DC776" s="56"/>
      <c r="DD776" s="56"/>
      <c r="DE776" s="56"/>
      <c r="DF776" s="56"/>
      <c r="DG776" s="56"/>
      <c r="DH776" s="56"/>
      <c r="DI776" s="56"/>
      <c r="DJ776" s="56"/>
      <c r="DK776" s="56"/>
      <c r="DL776" s="56"/>
      <c r="DM776" s="56"/>
      <c r="DN776" s="56"/>
      <c r="DO776" s="56"/>
      <c r="DP776" s="56"/>
      <c r="DQ776" s="56"/>
      <c r="DR776" s="56"/>
      <c r="DS776" s="56"/>
      <c r="DT776" s="56"/>
      <c r="DU776" s="56"/>
      <c r="DV776" s="56"/>
      <c r="DW776" s="56"/>
      <c r="DX776" s="56"/>
      <c r="DY776" s="56"/>
      <c r="DZ776" s="56"/>
      <c r="EA776" s="56"/>
      <c r="EB776" s="56"/>
      <c r="EC776" s="56"/>
      <c r="ED776" s="56"/>
      <c r="EE776" s="56"/>
      <c r="EF776" s="56"/>
      <c r="EG776" s="56"/>
      <c r="EH776" s="56"/>
      <c r="EI776" s="56"/>
      <c r="EJ776" s="56"/>
      <c r="EK776" s="56"/>
      <c r="EL776" s="56"/>
      <c r="EM776" s="56"/>
      <c r="EN776" s="56"/>
      <c r="EO776" s="56"/>
      <c r="EP776" s="56"/>
      <c r="EQ776" s="56"/>
      <c r="ER776" s="56"/>
      <c r="ES776" s="56"/>
      <c r="ET776" s="56"/>
      <c r="EU776" s="56"/>
      <c r="EV776" s="56"/>
      <c r="EW776" s="56"/>
      <c r="EX776" s="56"/>
      <c r="EY776" s="56"/>
      <c r="EZ776" s="56"/>
      <c r="FA776" s="56"/>
      <c r="FB776" s="56"/>
      <c r="FC776" s="56"/>
      <c r="FD776" s="56"/>
      <c r="FE776" s="56"/>
      <c r="FF776" s="56"/>
      <c r="FG776" s="56"/>
      <c r="FH776" s="56"/>
      <c r="FI776" s="56"/>
      <c r="FJ776" s="56"/>
      <c r="FK776" s="56"/>
      <c r="FL776" s="56"/>
      <c r="FM776" s="56"/>
      <c r="FN776" s="56"/>
      <c r="FO776" s="56"/>
      <c r="FP776" s="56"/>
      <c r="FQ776" s="56"/>
      <c r="FR776" s="56"/>
      <c r="FS776" s="56"/>
      <c r="FT776" s="56"/>
      <c r="FU776" s="56"/>
      <c r="FV776" s="56"/>
      <c r="FW776" s="56"/>
      <c r="FX776" s="56"/>
      <c r="FY776" s="56"/>
      <c r="FZ776" s="56"/>
      <c r="GA776" s="56"/>
      <c r="GB776" s="56"/>
      <c r="GC776" s="56"/>
      <c r="GD776" s="56"/>
      <c r="GE776" s="56"/>
      <c r="GF776" s="56"/>
      <c r="GG776" s="56"/>
      <c r="GH776" s="56"/>
      <c r="GI776" s="56"/>
      <c r="GJ776" s="56"/>
      <c r="GK776" s="56"/>
      <c r="GL776" s="56"/>
      <c r="GM776" s="56"/>
      <c r="GN776" s="56"/>
      <c r="GO776" s="56"/>
      <c r="GP776" s="56"/>
      <c r="GQ776" s="56"/>
      <c r="GR776" s="56"/>
      <c r="GS776" s="56"/>
      <c r="GT776" s="56"/>
      <c r="GU776" s="56"/>
      <c r="GV776" s="56"/>
      <c r="GW776" s="56"/>
      <c r="GX776" s="56"/>
      <c r="GY776" s="56"/>
      <c r="GZ776" s="56"/>
      <c r="HA776" s="56"/>
      <c r="HB776" s="56"/>
      <c r="HC776" s="56"/>
      <c r="HD776" s="56"/>
      <c r="HE776" s="56"/>
      <c r="HF776" s="56"/>
      <c r="HG776" s="56"/>
      <c r="HH776" s="56"/>
      <c r="HI776" s="56"/>
      <c r="HJ776" s="56"/>
    </row>
    <row r="777" spans="1:218" ht="15.75" customHeight="1" x14ac:dyDescent="0.2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  <c r="CL777" s="56"/>
      <c r="CM777" s="56"/>
      <c r="CN777" s="56"/>
      <c r="CO777" s="56"/>
      <c r="CP777" s="56"/>
      <c r="CQ777" s="56"/>
      <c r="CR777" s="56"/>
      <c r="CS777" s="56"/>
      <c r="CT777" s="56"/>
      <c r="CU777" s="56"/>
      <c r="CV777" s="56"/>
      <c r="CW777" s="56"/>
      <c r="CX777" s="56"/>
      <c r="CY777" s="56"/>
      <c r="CZ777" s="56"/>
      <c r="DA777" s="56"/>
      <c r="DB777" s="56"/>
      <c r="DC777" s="56"/>
      <c r="DD777" s="56"/>
      <c r="DE777" s="56"/>
      <c r="DF777" s="56"/>
      <c r="DG777" s="56"/>
      <c r="DH777" s="56"/>
      <c r="DI777" s="56"/>
      <c r="DJ777" s="56"/>
      <c r="DK777" s="56"/>
      <c r="DL777" s="56"/>
      <c r="DM777" s="56"/>
      <c r="DN777" s="56"/>
      <c r="DO777" s="56"/>
      <c r="DP777" s="56"/>
      <c r="DQ777" s="56"/>
      <c r="DR777" s="56"/>
      <c r="DS777" s="56"/>
      <c r="DT777" s="56"/>
      <c r="DU777" s="56"/>
      <c r="DV777" s="56"/>
      <c r="DW777" s="56"/>
      <c r="DX777" s="56"/>
      <c r="DY777" s="56"/>
      <c r="DZ777" s="56"/>
      <c r="EA777" s="56"/>
      <c r="EB777" s="56"/>
      <c r="EC777" s="56"/>
      <c r="ED777" s="56"/>
      <c r="EE777" s="56"/>
      <c r="EF777" s="56"/>
      <c r="EG777" s="56"/>
      <c r="EH777" s="56"/>
      <c r="EI777" s="56"/>
      <c r="EJ777" s="56"/>
      <c r="EK777" s="56"/>
      <c r="EL777" s="56"/>
      <c r="EM777" s="56"/>
      <c r="EN777" s="56"/>
      <c r="EO777" s="56"/>
      <c r="EP777" s="56"/>
      <c r="EQ777" s="56"/>
      <c r="ER777" s="56"/>
      <c r="ES777" s="56"/>
      <c r="ET777" s="56"/>
      <c r="EU777" s="56"/>
      <c r="EV777" s="56"/>
      <c r="EW777" s="56"/>
      <c r="EX777" s="56"/>
      <c r="EY777" s="56"/>
      <c r="EZ777" s="56"/>
      <c r="FA777" s="56"/>
      <c r="FB777" s="56"/>
      <c r="FC777" s="56"/>
      <c r="FD777" s="56"/>
      <c r="FE777" s="56"/>
      <c r="FF777" s="56"/>
      <c r="FG777" s="56"/>
      <c r="FH777" s="56"/>
      <c r="FI777" s="56"/>
      <c r="FJ777" s="56"/>
      <c r="FK777" s="56"/>
      <c r="FL777" s="56"/>
      <c r="FM777" s="56"/>
      <c r="FN777" s="56"/>
      <c r="FO777" s="56"/>
      <c r="FP777" s="56"/>
      <c r="FQ777" s="56"/>
      <c r="FR777" s="56"/>
      <c r="FS777" s="56"/>
      <c r="FT777" s="56"/>
      <c r="FU777" s="56"/>
      <c r="FV777" s="56"/>
      <c r="FW777" s="56"/>
      <c r="FX777" s="56"/>
      <c r="FY777" s="56"/>
      <c r="FZ777" s="56"/>
      <c r="GA777" s="56"/>
      <c r="GB777" s="56"/>
      <c r="GC777" s="56"/>
      <c r="GD777" s="56"/>
      <c r="GE777" s="56"/>
      <c r="GF777" s="56"/>
      <c r="GG777" s="56"/>
      <c r="GH777" s="56"/>
      <c r="GI777" s="56"/>
      <c r="GJ777" s="56"/>
      <c r="GK777" s="56"/>
      <c r="GL777" s="56"/>
      <c r="GM777" s="56"/>
      <c r="GN777" s="56"/>
      <c r="GO777" s="56"/>
      <c r="GP777" s="56"/>
      <c r="GQ777" s="56"/>
      <c r="GR777" s="56"/>
      <c r="GS777" s="56"/>
      <c r="GT777" s="56"/>
      <c r="GU777" s="56"/>
      <c r="GV777" s="56"/>
      <c r="GW777" s="56"/>
      <c r="GX777" s="56"/>
      <c r="GY777" s="56"/>
      <c r="GZ777" s="56"/>
      <c r="HA777" s="56"/>
      <c r="HB777" s="56"/>
      <c r="HC777" s="56"/>
      <c r="HD777" s="56"/>
      <c r="HE777" s="56"/>
      <c r="HF777" s="56"/>
      <c r="HG777" s="56"/>
      <c r="HH777" s="56"/>
      <c r="HI777" s="56"/>
      <c r="HJ777" s="56"/>
    </row>
    <row r="778" spans="1:218" ht="15.75" customHeight="1" x14ac:dyDescent="0.2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  <c r="CL778" s="56"/>
      <c r="CM778" s="56"/>
      <c r="CN778" s="56"/>
      <c r="CO778" s="56"/>
      <c r="CP778" s="56"/>
      <c r="CQ778" s="56"/>
      <c r="CR778" s="56"/>
      <c r="CS778" s="56"/>
      <c r="CT778" s="56"/>
      <c r="CU778" s="56"/>
      <c r="CV778" s="56"/>
      <c r="CW778" s="56"/>
      <c r="CX778" s="56"/>
      <c r="CY778" s="56"/>
      <c r="CZ778" s="56"/>
      <c r="DA778" s="56"/>
      <c r="DB778" s="56"/>
      <c r="DC778" s="56"/>
      <c r="DD778" s="56"/>
      <c r="DE778" s="56"/>
      <c r="DF778" s="56"/>
      <c r="DG778" s="56"/>
      <c r="DH778" s="56"/>
      <c r="DI778" s="56"/>
      <c r="DJ778" s="56"/>
      <c r="DK778" s="56"/>
      <c r="DL778" s="56"/>
      <c r="DM778" s="56"/>
      <c r="DN778" s="56"/>
      <c r="DO778" s="56"/>
      <c r="DP778" s="56"/>
      <c r="DQ778" s="56"/>
      <c r="DR778" s="56"/>
      <c r="DS778" s="56"/>
      <c r="DT778" s="56"/>
      <c r="DU778" s="56"/>
      <c r="DV778" s="56"/>
      <c r="DW778" s="56"/>
      <c r="DX778" s="56"/>
      <c r="DY778" s="56"/>
      <c r="DZ778" s="56"/>
      <c r="EA778" s="56"/>
      <c r="EB778" s="56"/>
      <c r="EC778" s="56"/>
      <c r="ED778" s="56"/>
      <c r="EE778" s="56"/>
      <c r="EF778" s="56"/>
      <c r="EG778" s="56"/>
      <c r="EH778" s="56"/>
      <c r="EI778" s="56"/>
      <c r="EJ778" s="56"/>
      <c r="EK778" s="56"/>
      <c r="EL778" s="56"/>
      <c r="EM778" s="56"/>
      <c r="EN778" s="56"/>
      <c r="EO778" s="56"/>
      <c r="EP778" s="56"/>
      <c r="EQ778" s="56"/>
      <c r="ER778" s="56"/>
      <c r="ES778" s="56"/>
      <c r="ET778" s="56"/>
      <c r="EU778" s="56"/>
      <c r="EV778" s="56"/>
      <c r="EW778" s="56"/>
      <c r="EX778" s="56"/>
      <c r="EY778" s="56"/>
      <c r="EZ778" s="56"/>
      <c r="FA778" s="56"/>
      <c r="FB778" s="56"/>
      <c r="FC778" s="56"/>
      <c r="FD778" s="56"/>
      <c r="FE778" s="56"/>
      <c r="FF778" s="56"/>
      <c r="FG778" s="56"/>
      <c r="FH778" s="56"/>
      <c r="FI778" s="56"/>
      <c r="FJ778" s="56"/>
      <c r="FK778" s="56"/>
      <c r="FL778" s="56"/>
      <c r="FM778" s="56"/>
      <c r="FN778" s="56"/>
      <c r="FO778" s="56"/>
      <c r="FP778" s="56"/>
      <c r="FQ778" s="56"/>
      <c r="FR778" s="56"/>
      <c r="FS778" s="56"/>
      <c r="FT778" s="56"/>
      <c r="FU778" s="56"/>
      <c r="FV778" s="56"/>
      <c r="FW778" s="56"/>
      <c r="FX778" s="56"/>
      <c r="FY778" s="56"/>
      <c r="FZ778" s="56"/>
      <c r="GA778" s="56"/>
      <c r="GB778" s="56"/>
      <c r="GC778" s="56"/>
      <c r="GD778" s="56"/>
      <c r="GE778" s="56"/>
      <c r="GF778" s="56"/>
      <c r="GG778" s="56"/>
      <c r="GH778" s="56"/>
      <c r="GI778" s="56"/>
      <c r="GJ778" s="56"/>
      <c r="GK778" s="56"/>
      <c r="GL778" s="56"/>
      <c r="GM778" s="56"/>
      <c r="GN778" s="56"/>
      <c r="GO778" s="56"/>
      <c r="GP778" s="56"/>
      <c r="GQ778" s="56"/>
      <c r="GR778" s="56"/>
      <c r="GS778" s="56"/>
      <c r="GT778" s="56"/>
      <c r="GU778" s="56"/>
      <c r="GV778" s="56"/>
      <c r="GW778" s="56"/>
      <c r="GX778" s="56"/>
      <c r="GY778" s="56"/>
      <c r="GZ778" s="56"/>
      <c r="HA778" s="56"/>
      <c r="HB778" s="56"/>
      <c r="HC778" s="56"/>
      <c r="HD778" s="56"/>
      <c r="HE778" s="56"/>
      <c r="HF778" s="56"/>
      <c r="HG778" s="56"/>
      <c r="HH778" s="56"/>
      <c r="HI778" s="56"/>
      <c r="HJ778" s="56"/>
    </row>
    <row r="779" spans="1:218" ht="15.75" customHeight="1" x14ac:dyDescent="0.2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  <c r="CL779" s="56"/>
      <c r="CM779" s="56"/>
      <c r="CN779" s="56"/>
      <c r="CO779" s="56"/>
      <c r="CP779" s="56"/>
      <c r="CQ779" s="56"/>
      <c r="CR779" s="56"/>
      <c r="CS779" s="56"/>
      <c r="CT779" s="56"/>
      <c r="CU779" s="56"/>
      <c r="CV779" s="56"/>
      <c r="CW779" s="56"/>
      <c r="CX779" s="56"/>
      <c r="CY779" s="56"/>
      <c r="CZ779" s="56"/>
      <c r="DA779" s="56"/>
      <c r="DB779" s="56"/>
      <c r="DC779" s="56"/>
      <c r="DD779" s="56"/>
      <c r="DE779" s="56"/>
      <c r="DF779" s="56"/>
      <c r="DG779" s="56"/>
      <c r="DH779" s="56"/>
      <c r="DI779" s="56"/>
      <c r="DJ779" s="56"/>
      <c r="DK779" s="56"/>
      <c r="DL779" s="56"/>
      <c r="DM779" s="56"/>
      <c r="DN779" s="56"/>
      <c r="DO779" s="56"/>
      <c r="DP779" s="56"/>
      <c r="DQ779" s="56"/>
      <c r="DR779" s="56"/>
      <c r="DS779" s="56"/>
      <c r="DT779" s="56"/>
      <c r="DU779" s="56"/>
      <c r="DV779" s="56"/>
      <c r="DW779" s="56"/>
      <c r="DX779" s="56"/>
      <c r="DY779" s="56"/>
      <c r="DZ779" s="56"/>
      <c r="EA779" s="56"/>
      <c r="EB779" s="56"/>
      <c r="EC779" s="56"/>
      <c r="ED779" s="56"/>
      <c r="EE779" s="56"/>
      <c r="EF779" s="56"/>
      <c r="EG779" s="56"/>
      <c r="EH779" s="56"/>
      <c r="EI779" s="56"/>
      <c r="EJ779" s="56"/>
      <c r="EK779" s="56"/>
      <c r="EL779" s="56"/>
      <c r="EM779" s="56"/>
      <c r="EN779" s="56"/>
      <c r="EO779" s="56"/>
      <c r="EP779" s="56"/>
      <c r="EQ779" s="56"/>
      <c r="ER779" s="56"/>
      <c r="ES779" s="56"/>
      <c r="ET779" s="56"/>
      <c r="EU779" s="56"/>
      <c r="EV779" s="56"/>
      <c r="EW779" s="56"/>
      <c r="EX779" s="56"/>
      <c r="EY779" s="56"/>
      <c r="EZ779" s="56"/>
      <c r="FA779" s="56"/>
      <c r="FB779" s="56"/>
      <c r="FC779" s="56"/>
      <c r="FD779" s="56"/>
      <c r="FE779" s="56"/>
      <c r="FF779" s="56"/>
      <c r="FG779" s="56"/>
      <c r="FH779" s="56"/>
      <c r="FI779" s="56"/>
      <c r="FJ779" s="56"/>
      <c r="FK779" s="56"/>
      <c r="FL779" s="56"/>
      <c r="FM779" s="56"/>
      <c r="FN779" s="56"/>
      <c r="FO779" s="56"/>
      <c r="FP779" s="56"/>
      <c r="FQ779" s="56"/>
      <c r="FR779" s="56"/>
      <c r="FS779" s="56"/>
      <c r="FT779" s="56"/>
      <c r="FU779" s="56"/>
      <c r="FV779" s="56"/>
      <c r="FW779" s="56"/>
      <c r="FX779" s="56"/>
      <c r="FY779" s="56"/>
      <c r="FZ779" s="56"/>
      <c r="GA779" s="56"/>
      <c r="GB779" s="56"/>
      <c r="GC779" s="56"/>
      <c r="GD779" s="56"/>
      <c r="GE779" s="56"/>
      <c r="GF779" s="56"/>
      <c r="GG779" s="56"/>
      <c r="GH779" s="56"/>
      <c r="GI779" s="56"/>
      <c r="GJ779" s="56"/>
      <c r="GK779" s="56"/>
      <c r="GL779" s="56"/>
      <c r="GM779" s="56"/>
      <c r="GN779" s="56"/>
      <c r="GO779" s="56"/>
      <c r="GP779" s="56"/>
      <c r="GQ779" s="56"/>
      <c r="GR779" s="56"/>
      <c r="GS779" s="56"/>
      <c r="GT779" s="56"/>
      <c r="GU779" s="56"/>
      <c r="GV779" s="56"/>
      <c r="GW779" s="56"/>
      <c r="GX779" s="56"/>
      <c r="GY779" s="56"/>
      <c r="GZ779" s="56"/>
      <c r="HA779" s="56"/>
      <c r="HB779" s="56"/>
      <c r="HC779" s="56"/>
      <c r="HD779" s="56"/>
      <c r="HE779" s="56"/>
      <c r="HF779" s="56"/>
      <c r="HG779" s="56"/>
      <c r="HH779" s="56"/>
      <c r="HI779" s="56"/>
      <c r="HJ779" s="56"/>
    </row>
    <row r="780" spans="1:218" ht="15.75" customHeight="1" x14ac:dyDescent="0.2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  <c r="CL780" s="56"/>
      <c r="CM780" s="56"/>
      <c r="CN780" s="56"/>
      <c r="CO780" s="56"/>
      <c r="CP780" s="56"/>
      <c r="CQ780" s="56"/>
      <c r="CR780" s="56"/>
      <c r="CS780" s="56"/>
      <c r="CT780" s="56"/>
      <c r="CU780" s="56"/>
      <c r="CV780" s="56"/>
      <c r="CW780" s="56"/>
      <c r="CX780" s="56"/>
      <c r="CY780" s="56"/>
      <c r="CZ780" s="56"/>
      <c r="DA780" s="56"/>
      <c r="DB780" s="56"/>
      <c r="DC780" s="56"/>
      <c r="DD780" s="56"/>
      <c r="DE780" s="56"/>
      <c r="DF780" s="56"/>
      <c r="DG780" s="56"/>
      <c r="DH780" s="56"/>
      <c r="DI780" s="56"/>
      <c r="DJ780" s="56"/>
      <c r="DK780" s="56"/>
      <c r="DL780" s="56"/>
      <c r="DM780" s="56"/>
      <c r="DN780" s="56"/>
      <c r="DO780" s="56"/>
      <c r="DP780" s="56"/>
      <c r="DQ780" s="56"/>
      <c r="DR780" s="56"/>
      <c r="DS780" s="56"/>
      <c r="DT780" s="56"/>
      <c r="DU780" s="56"/>
      <c r="DV780" s="56"/>
      <c r="DW780" s="56"/>
      <c r="DX780" s="56"/>
      <c r="DY780" s="56"/>
      <c r="DZ780" s="56"/>
      <c r="EA780" s="56"/>
      <c r="EB780" s="56"/>
      <c r="EC780" s="56"/>
      <c r="ED780" s="56"/>
      <c r="EE780" s="56"/>
      <c r="EF780" s="56"/>
      <c r="EG780" s="56"/>
      <c r="EH780" s="56"/>
      <c r="EI780" s="56"/>
      <c r="EJ780" s="56"/>
      <c r="EK780" s="56"/>
      <c r="EL780" s="56"/>
      <c r="EM780" s="56"/>
      <c r="EN780" s="56"/>
      <c r="EO780" s="56"/>
      <c r="EP780" s="56"/>
      <c r="EQ780" s="56"/>
      <c r="ER780" s="56"/>
      <c r="ES780" s="56"/>
      <c r="ET780" s="56"/>
      <c r="EU780" s="56"/>
      <c r="EV780" s="56"/>
      <c r="EW780" s="56"/>
      <c r="EX780" s="56"/>
      <c r="EY780" s="56"/>
      <c r="EZ780" s="56"/>
      <c r="FA780" s="56"/>
      <c r="FB780" s="56"/>
      <c r="FC780" s="56"/>
      <c r="FD780" s="56"/>
      <c r="FE780" s="56"/>
      <c r="FF780" s="56"/>
      <c r="FG780" s="56"/>
      <c r="FH780" s="56"/>
      <c r="FI780" s="56"/>
      <c r="FJ780" s="56"/>
      <c r="FK780" s="56"/>
      <c r="FL780" s="56"/>
      <c r="FM780" s="56"/>
      <c r="FN780" s="56"/>
      <c r="FO780" s="56"/>
      <c r="FP780" s="56"/>
      <c r="FQ780" s="56"/>
      <c r="FR780" s="56"/>
      <c r="FS780" s="56"/>
      <c r="FT780" s="56"/>
      <c r="FU780" s="56"/>
      <c r="FV780" s="56"/>
      <c r="FW780" s="56"/>
      <c r="FX780" s="56"/>
      <c r="FY780" s="56"/>
      <c r="FZ780" s="56"/>
      <c r="GA780" s="56"/>
      <c r="GB780" s="56"/>
      <c r="GC780" s="56"/>
      <c r="GD780" s="56"/>
      <c r="GE780" s="56"/>
      <c r="GF780" s="56"/>
      <c r="GG780" s="56"/>
      <c r="GH780" s="56"/>
      <c r="GI780" s="56"/>
      <c r="GJ780" s="56"/>
      <c r="GK780" s="56"/>
      <c r="GL780" s="56"/>
      <c r="GM780" s="56"/>
      <c r="GN780" s="56"/>
      <c r="GO780" s="56"/>
      <c r="GP780" s="56"/>
      <c r="GQ780" s="56"/>
      <c r="GR780" s="56"/>
      <c r="GS780" s="56"/>
      <c r="GT780" s="56"/>
      <c r="GU780" s="56"/>
      <c r="GV780" s="56"/>
      <c r="GW780" s="56"/>
      <c r="GX780" s="56"/>
      <c r="GY780" s="56"/>
      <c r="GZ780" s="56"/>
      <c r="HA780" s="56"/>
      <c r="HB780" s="56"/>
      <c r="HC780" s="56"/>
      <c r="HD780" s="56"/>
      <c r="HE780" s="56"/>
      <c r="HF780" s="56"/>
      <c r="HG780" s="56"/>
      <c r="HH780" s="56"/>
      <c r="HI780" s="56"/>
      <c r="HJ780" s="56"/>
    </row>
    <row r="781" spans="1:218" ht="15.75" customHeight="1" x14ac:dyDescent="0.2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  <c r="CL781" s="56"/>
      <c r="CM781" s="56"/>
      <c r="CN781" s="56"/>
      <c r="CO781" s="56"/>
      <c r="CP781" s="56"/>
      <c r="CQ781" s="56"/>
      <c r="CR781" s="56"/>
      <c r="CS781" s="56"/>
      <c r="CT781" s="56"/>
      <c r="CU781" s="56"/>
      <c r="CV781" s="56"/>
      <c r="CW781" s="56"/>
      <c r="CX781" s="56"/>
      <c r="CY781" s="56"/>
      <c r="CZ781" s="56"/>
      <c r="DA781" s="56"/>
      <c r="DB781" s="56"/>
      <c r="DC781" s="56"/>
      <c r="DD781" s="56"/>
      <c r="DE781" s="56"/>
      <c r="DF781" s="56"/>
      <c r="DG781" s="56"/>
      <c r="DH781" s="56"/>
      <c r="DI781" s="56"/>
      <c r="DJ781" s="56"/>
      <c r="DK781" s="56"/>
      <c r="DL781" s="56"/>
      <c r="DM781" s="56"/>
      <c r="DN781" s="56"/>
      <c r="DO781" s="56"/>
      <c r="DP781" s="56"/>
      <c r="DQ781" s="56"/>
      <c r="DR781" s="56"/>
      <c r="DS781" s="56"/>
      <c r="DT781" s="56"/>
      <c r="DU781" s="56"/>
      <c r="DV781" s="56"/>
      <c r="DW781" s="56"/>
      <c r="DX781" s="56"/>
      <c r="DY781" s="56"/>
      <c r="DZ781" s="56"/>
      <c r="EA781" s="56"/>
      <c r="EB781" s="56"/>
      <c r="EC781" s="56"/>
      <c r="ED781" s="56"/>
      <c r="EE781" s="56"/>
      <c r="EF781" s="56"/>
      <c r="EG781" s="56"/>
      <c r="EH781" s="56"/>
      <c r="EI781" s="56"/>
      <c r="EJ781" s="56"/>
      <c r="EK781" s="56"/>
      <c r="EL781" s="56"/>
      <c r="EM781" s="56"/>
      <c r="EN781" s="56"/>
      <c r="EO781" s="56"/>
      <c r="EP781" s="56"/>
      <c r="EQ781" s="56"/>
      <c r="ER781" s="56"/>
      <c r="ES781" s="56"/>
      <c r="ET781" s="56"/>
      <c r="EU781" s="56"/>
      <c r="EV781" s="56"/>
      <c r="EW781" s="56"/>
      <c r="EX781" s="56"/>
      <c r="EY781" s="56"/>
      <c r="EZ781" s="56"/>
      <c r="FA781" s="56"/>
      <c r="FB781" s="56"/>
      <c r="FC781" s="56"/>
      <c r="FD781" s="56"/>
      <c r="FE781" s="56"/>
      <c r="FF781" s="56"/>
      <c r="FG781" s="56"/>
      <c r="FH781" s="56"/>
      <c r="FI781" s="56"/>
      <c r="FJ781" s="56"/>
      <c r="FK781" s="56"/>
      <c r="FL781" s="56"/>
      <c r="FM781" s="56"/>
      <c r="FN781" s="56"/>
      <c r="FO781" s="56"/>
      <c r="FP781" s="56"/>
      <c r="FQ781" s="56"/>
      <c r="FR781" s="56"/>
      <c r="FS781" s="56"/>
      <c r="FT781" s="56"/>
      <c r="FU781" s="56"/>
      <c r="FV781" s="56"/>
      <c r="FW781" s="56"/>
      <c r="FX781" s="56"/>
      <c r="FY781" s="56"/>
      <c r="FZ781" s="56"/>
      <c r="GA781" s="56"/>
      <c r="GB781" s="56"/>
      <c r="GC781" s="56"/>
      <c r="GD781" s="56"/>
      <c r="GE781" s="56"/>
      <c r="GF781" s="56"/>
      <c r="GG781" s="56"/>
      <c r="GH781" s="56"/>
      <c r="GI781" s="56"/>
      <c r="GJ781" s="56"/>
      <c r="GK781" s="56"/>
      <c r="GL781" s="56"/>
      <c r="GM781" s="56"/>
      <c r="GN781" s="56"/>
      <c r="GO781" s="56"/>
      <c r="GP781" s="56"/>
      <c r="GQ781" s="56"/>
      <c r="GR781" s="56"/>
      <c r="GS781" s="56"/>
      <c r="GT781" s="56"/>
      <c r="GU781" s="56"/>
      <c r="GV781" s="56"/>
      <c r="GW781" s="56"/>
      <c r="GX781" s="56"/>
      <c r="GY781" s="56"/>
      <c r="GZ781" s="56"/>
      <c r="HA781" s="56"/>
      <c r="HB781" s="56"/>
      <c r="HC781" s="56"/>
      <c r="HD781" s="56"/>
      <c r="HE781" s="56"/>
      <c r="HF781" s="56"/>
      <c r="HG781" s="56"/>
      <c r="HH781" s="56"/>
      <c r="HI781" s="56"/>
      <c r="HJ781" s="56"/>
    </row>
    <row r="782" spans="1:218" ht="15.75" customHeight="1" x14ac:dyDescent="0.2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  <c r="CL782" s="56"/>
      <c r="CM782" s="56"/>
      <c r="CN782" s="56"/>
      <c r="CO782" s="56"/>
      <c r="CP782" s="56"/>
      <c r="CQ782" s="56"/>
      <c r="CR782" s="56"/>
      <c r="CS782" s="56"/>
      <c r="CT782" s="56"/>
      <c r="CU782" s="56"/>
      <c r="CV782" s="56"/>
      <c r="CW782" s="56"/>
      <c r="CX782" s="56"/>
      <c r="CY782" s="56"/>
      <c r="CZ782" s="56"/>
      <c r="DA782" s="56"/>
      <c r="DB782" s="56"/>
      <c r="DC782" s="56"/>
      <c r="DD782" s="56"/>
      <c r="DE782" s="56"/>
      <c r="DF782" s="56"/>
      <c r="DG782" s="56"/>
      <c r="DH782" s="56"/>
      <c r="DI782" s="56"/>
      <c r="DJ782" s="56"/>
      <c r="DK782" s="56"/>
      <c r="DL782" s="56"/>
      <c r="DM782" s="56"/>
      <c r="DN782" s="56"/>
      <c r="DO782" s="56"/>
      <c r="DP782" s="56"/>
      <c r="DQ782" s="56"/>
      <c r="DR782" s="56"/>
      <c r="DS782" s="56"/>
      <c r="DT782" s="56"/>
      <c r="DU782" s="56"/>
      <c r="DV782" s="56"/>
      <c r="DW782" s="56"/>
      <c r="DX782" s="56"/>
      <c r="DY782" s="56"/>
      <c r="DZ782" s="56"/>
      <c r="EA782" s="56"/>
      <c r="EB782" s="56"/>
      <c r="EC782" s="56"/>
      <c r="ED782" s="56"/>
      <c r="EE782" s="56"/>
      <c r="EF782" s="56"/>
      <c r="EG782" s="56"/>
      <c r="EH782" s="56"/>
      <c r="EI782" s="56"/>
      <c r="EJ782" s="56"/>
      <c r="EK782" s="56"/>
      <c r="EL782" s="56"/>
      <c r="EM782" s="56"/>
      <c r="EN782" s="56"/>
      <c r="EO782" s="56"/>
      <c r="EP782" s="56"/>
      <c r="EQ782" s="56"/>
      <c r="ER782" s="56"/>
      <c r="ES782" s="56"/>
      <c r="ET782" s="56"/>
      <c r="EU782" s="56"/>
      <c r="EV782" s="56"/>
      <c r="EW782" s="56"/>
      <c r="EX782" s="56"/>
      <c r="EY782" s="56"/>
      <c r="EZ782" s="56"/>
      <c r="FA782" s="56"/>
      <c r="FB782" s="56"/>
      <c r="FC782" s="56"/>
      <c r="FD782" s="56"/>
      <c r="FE782" s="56"/>
      <c r="FF782" s="56"/>
      <c r="FG782" s="56"/>
      <c r="FH782" s="56"/>
      <c r="FI782" s="56"/>
      <c r="FJ782" s="56"/>
      <c r="FK782" s="56"/>
      <c r="FL782" s="56"/>
      <c r="FM782" s="56"/>
      <c r="FN782" s="56"/>
      <c r="FO782" s="56"/>
      <c r="FP782" s="56"/>
      <c r="FQ782" s="56"/>
      <c r="FR782" s="56"/>
      <c r="FS782" s="56"/>
      <c r="FT782" s="56"/>
      <c r="FU782" s="56"/>
      <c r="FV782" s="56"/>
      <c r="FW782" s="56"/>
      <c r="FX782" s="56"/>
      <c r="FY782" s="56"/>
      <c r="FZ782" s="56"/>
      <c r="GA782" s="56"/>
      <c r="GB782" s="56"/>
      <c r="GC782" s="56"/>
      <c r="GD782" s="56"/>
      <c r="GE782" s="56"/>
      <c r="GF782" s="56"/>
      <c r="GG782" s="56"/>
      <c r="GH782" s="56"/>
      <c r="GI782" s="56"/>
      <c r="GJ782" s="56"/>
      <c r="GK782" s="56"/>
      <c r="GL782" s="56"/>
      <c r="GM782" s="56"/>
      <c r="GN782" s="56"/>
      <c r="GO782" s="56"/>
      <c r="GP782" s="56"/>
      <c r="GQ782" s="56"/>
      <c r="GR782" s="56"/>
      <c r="GS782" s="56"/>
      <c r="GT782" s="56"/>
      <c r="GU782" s="56"/>
      <c r="GV782" s="56"/>
      <c r="GW782" s="56"/>
      <c r="GX782" s="56"/>
      <c r="GY782" s="56"/>
      <c r="GZ782" s="56"/>
      <c r="HA782" s="56"/>
      <c r="HB782" s="56"/>
      <c r="HC782" s="56"/>
      <c r="HD782" s="56"/>
      <c r="HE782" s="56"/>
      <c r="HF782" s="56"/>
      <c r="HG782" s="56"/>
      <c r="HH782" s="56"/>
      <c r="HI782" s="56"/>
      <c r="HJ782" s="56"/>
    </row>
    <row r="783" spans="1:218" ht="15.75" customHeight="1" x14ac:dyDescent="0.2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  <c r="CL783" s="56"/>
      <c r="CM783" s="56"/>
      <c r="CN783" s="56"/>
      <c r="CO783" s="56"/>
      <c r="CP783" s="56"/>
      <c r="CQ783" s="56"/>
      <c r="CR783" s="56"/>
      <c r="CS783" s="56"/>
      <c r="CT783" s="56"/>
      <c r="CU783" s="56"/>
      <c r="CV783" s="56"/>
      <c r="CW783" s="56"/>
      <c r="CX783" s="56"/>
      <c r="CY783" s="56"/>
      <c r="CZ783" s="56"/>
      <c r="DA783" s="56"/>
      <c r="DB783" s="56"/>
      <c r="DC783" s="56"/>
      <c r="DD783" s="56"/>
      <c r="DE783" s="56"/>
      <c r="DF783" s="56"/>
      <c r="DG783" s="56"/>
      <c r="DH783" s="56"/>
      <c r="DI783" s="56"/>
      <c r="DJ783" s="56"/>
      <c r="DK783" s="56"/>
      <c r="DL783" s="56"/>
      <c r="DM783" s="56"/>
      <c r="DN783" s="56"/>
      <c r="DO783" s="56"/>
      <c r="DP783" s="56"/>
      <c r="DQ783" s="56"/>
      <c r="DR783" s="56"/>
      <c r="DS783" s="56"/>
      <c r="DT783" s="56"/>
      <c r="DU783" s="56"/>
      <c r="DV783" s="56"/>
      <c r="DW783" s="56"/>
      <c r="DX783" s="56"/>
      <c r="DY783" s="56"/>
      <c r="DZ783" s="56"/>
      <c r="EA783" s="56"/>
      <c r="EB783" s="56"/>
      <c r="EC783" s="56"/>
      <c r="ED783" s="56"/>
      <c r="EE783" s="56"/>
      <c r="EF783" s="56"/>
      <c r="EG783" s="56"/>
      <c r="EH783" s="56"/>
      <c r="EI783" s="56"/>
      <c r="EJ783" s="56"/>
      <c r="EK783" s="56"/>
      <c r="EL783" s="56"/>
      <c r="EM783" s="56"/>
      <c r="EN783" s="56"/>
      <c r="EO783" s="56"/>
      <c r="EP783" s="56"/>
      <c r="EQ783" s="56"/>
      <c r="ER783" s="56"/>
      <c r="ES783" s="56"/>
      <c r="ET783" s="56"/>
      <c r="EU783" s="56"/>
      <c r="EV783" s="56"/>
      <c r="EW783" s="56"/>
      <c r="EX783" s="56"/>
      <c r="EY783" s="56"/>
      <c r="EZ783" s="56"/>
      <c r="FA783" s="56"/>
      <c r="FB783" s="56"/>
      <c r="FC783" s="56"/>
      <c r="FD783" s="56"/>
      <c r="FE783" s="56"/>
      <c r="FF783" s="56"/>
      <c r="FG783" s="56"/>
      <c r="FH783" s="56"/>
      <c r="FI783" s="56"/>
      <c r="FJ783" s="56"/>
      <c r="FK783" s="56"/>
      <c r="FL783" s="56"/>
      <c r="FM783" s="56"/>
      <c r="FN783" s="56"/>
      <c r="FO783" s="56"/>
      <c r="FP783" s="56"/>
      <c r="FQ783" s="56"/>
      <c r="FR783" s="56"/>
      <c r="FS783" s="56"/>
      <c r="FT783" s="56"/>
      <c r="FU783" s="56"/>
      <c r="FV783" s="56"/>
      <c r="FW783" s="56"/>
      <c r="FX783" s="56"/>
      <c r="FY783" s="56"/>
      <c r="FZ783" s="56"/>
      <c r="GA783" s="56"/>
      <c r="GB783" s="56"/>
      <c r="GC783" s="56"/>
      <c r="GD783" s="56"/>
      <c r="GE783" s="56"/>
      <c r="GF783" s="56"/>
      <c r="GG783" s="56"/>
      <c r="GH783" s="56"/>
      <c r="GI783" s="56"/>
      <c r="GJ783" s="56"/>
      <c r="GK783" s="56"/>
      <c r="GL783" s="56"/>
      <c r="GM783" s="56"/>
      <c r="GN783" s="56"/>
      <c r="GO783" s="56"/>
      <c r="GP783" s="56"/>
      <c r="GQ783" s="56"/>
      <c r="GR783" s="56"/>
      <c r="GS783" s="56"/>
      <c r="GT783" s="56"/>
      <c r="GU783" s="56"/>
      <c r="GV783" s="56"/>
      <c r="GW783" s="56"/>
      <c r="GX783" s="56"/>
      <c r="GY783" s="56"/>
      <c r="GZ783" s="56"/>
      <c r="HA783" s="56"/>
      <c r="HB783" s="56"/>
      <c r="HC783" s="56"/>
      <c r="HD783" s="56"/>
      <c r="HE783" s="56"/>
      <c r="HF783" s="56"/>
      <c r="HG783" s="56"/>
      <c r="HH783" s="56"/>
      <c r="HI783" s="56"/>
      <c r="HJ783" s="56"/>
    </row>
    <row r="784" spans="1:218" ht="15.75" customHeight="1" x14ac:dyDescent="0.2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  <c r="BV784" s="56"/>
      <c r="BW784" s="56"/>
      <c r="BX784" s="56"/>
      <c r="BY784" s="56"/>
      <c r="BZ784" s="56"/>
      <c r="CA784" s="56"/>
      <c r="CB784" s="56"/>
      <c r="CC784" s="56"/>
      <c r="CD784" s="56"/>
      <c r="CE784" s="56"/>
      <c r="CF784" s="56"/>
      <c r="CG784" s="56"/>
      <c r="CH784" s="56"/>
      <c r="CI784" s="56"/>
      <c r="CJ784" s="56"/>
      <c r="CK784" s="56"/>
      <c r="CL784" s="56"/>
      <c r="CM784" s="56"/>
      <c r="CN784" s="56"/>
      <c r="CO784" s="56"/>
      <c r="CP784" s="56"/>
      <c r="CQ784" s="56"/>
      <c r="CR784" s="56"/>
      <c r="CS784" s="56"/>
      <c r="CT784" s="56"/>
      <c r="CU784" s="56"/>
      <c r="CV784" s="56"/>
      <c r="CW784" s="56"/>
      <c r="CX784" s="56"/>
      <c r="CY784" s="56"/>
      <c r="CZ784" s="56"/>
      <c r="DA784" s="56"/>
      <c r="DB784" s="56"/>
      <c r="DC784" s="56"/>
      <c r="DD784" s="56"/>
      <c r="DE784" s="56"/>
      <c r="DF784" s="56"/>
      <c r="DG784" s="56"/>
      <c r="DH784" s="56"/>
      <c r="DI784" s="56"/>
      <c r="DJ784" s="56"/>
      <c r="DK784" s="56"/>
      <c r="DL784" s="56"/>
      <c r="DM784" s="56"/>
      <c r="DN784" s="56"/>
      <c r="DO784" s="56"/>
      <c r="DP784" s="56"/>
      <c r="DQ784" s="56"/>
      <c r="DR784" s="56"/>
      <c r="DS784" s="56"/>
      <c r="DT784" s="56"/>
      <c r="DU784" s="56"/>
      <c r="DV784" s="56"/>
      <c r="DW784" s="56"/>
      <c r="DX784" s="56"/>
      <c r="DY784" s="56"/>
      <c r="DZ784" s="56"/>
      <c r="EA784" s="56"/>
      <c r="EB784" s="56"/>
      <c r="EC784" s="56"/>
      <c r="ED784" s="56"/>
      <c r="EE784" s="56"/>
      <c r="EF784" s="56"/>
      <c r="EG784" s="56"/>
      <c r="EH784" s="56"/>
      <c r="EI784" s="56"/>
      <c r="EJ784" s="56"/>
      <c r="EK784" s="56"/>
      <c r="EL784" s="56"/>
      <c r="EM784" s="56"/>
      <c r="EN784" s="56"/>
      <c r="EO784" s="56"/>
      <c r="EP784" s="56"/>
      <c r="EQ784" s="56"/>
      <c r="ER784" s="56"/>
      <c r="ES784" s="56"/>
      <c r="ET784" s="56"/>
      <c r="EU784" s="56"/>
      <c r="EV784" s="56"/>
      <c r="EW784" s="56"/>
      <c r="EX784" s="56"/>
      <c r="EY784" s="56"/>
      <c r="EZ784" s="56"/>
      <c r="FA784" s="56"/>
      <c r="FB784" s="56"/>
      <c r="FC784" s="56"/>
      <c r="FD784" s="56"/>
      <c r="FE784" s="56"/>
      <c r="FF784" s="56"/>
      <c r="FG784" s="56"/>
      <c r="FH784" s="56"/>
      <c r="FI784" s="56"/>
      <c r="FJ784" s="56"/>
      <c r="FK784" s="56"/>
      <c r="FL784" s="56"/>
      <c r="FM784" s="56"/>
      <c r="FN784" s="56"/>
      <c r="FO784" s="56"/>
      <c r="FP784" s="56"/>
      <c r="FQ784" s="56"/>
      <c r="FR784" s="56"/>
      <c r="FS784" s="56"/>
      <c r="FT784" s="56"/>
      <c r="FU784" s="56"/>
      <c r="FV784" s="56"/>
      <c r="FW784" s="56"/>
      <c r="FX784" s="56"/>
      <c r="FY784" s="56"/>
      <c r="FZ784" s="56"/>
      <c r="GA784" s="56"/>
      <c r="GB784" s="56"/>
      <c r="GC784" s="56"/>
      <c r="GD784" s="56"/>
      <c r="GE784" s="56"/>
      <c r="GF784" s="56"/>
      <c r="GG784" s="56"/>
      <c r="GH784" s="56"/>
      <c r="GI784" s="56"/>
      <c r="GJ784" s="56"/>
      <c r="GK784" s="56"/>
      <c r="GL784" s="56"/>
      <c r="GM784" s="56"/>
      <c r="GN784" s="56"/>
      <c r="GO784" s="56"/>
      <c r="GP784" s="56"/>
      <c r="GQ784" s="56"/>
      <c r="GR784" s="56"/>
      <c r="GS784" s="56"/>
      <c r="GT784" s="56"/>
      <c r="GU784" s="56"/>
      <c r="GV784" s="56"/>
      <c r="GW784" s="56"/>
      <c r="GX784" s="56"/>
      <c r="GY784" s="56"/>
      <c r="GZ784" s="56"/>
      <c r="HA784" s="56"/>
      <c r="HB784" s="56"/>
      <c r="HC784" s="56"/>
      <c r="HD784" s="56"/>
      <c r="HE784" s="56"/>
      <c r="HF784" s="56"/>
      <c r="HG784" s="56"/>
      <c r="HH784" s="56"/>
      <c r="HI784" s="56"/>
      <c r="HJ784" s="56"/>
    </row>
    <row r="785" spans="1:218" ht="15.75" customHeight="1" x14ac:dyDescent="0.2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  <c r="CL785" s="56"/>
      <c r="CM785" s="56"/>
      <c r="CN785" s="56"/>
      <c r="CO785" s="56"/>
      <c r="CP785" s="56"/>
      <c r="CQ785" s="56"/>
      <c r="CR785" s="56"/>
      <c r="CS785" s="56"/>
      <c r="CT785" s="56"/>
      <c r="CU785" s="56"/>
      <c r="CV785" s="56"/>
      <c r="CW785" s="56"/>
      <c r="CX785" s="56"/>
      <c r="CY785" s="56"/>
      <c r="CZ785" s="56"/>
      <c r="DA785" s="56"/>
      <c r="DB785" s="56"/>
      <c r="DC785" s="56"/>
      <c r="DD785" s="56"/>
      <c r="DE785" s="56"/>
      <c r="DF785" s="56"/>
      <c r="DG785" s="56"/>
      <c r="DH785" s="56"/>
      <c r="DI785" s="56"/>
      <c r="DJ785" s="56"/>
      <c r="DK785" s="56"/>
      <c r="DL785" s="56"/>
      <c r="DM785" s="56"/>
      <c r="DN785" s="56"/>
      <c r="DO785" s="56"/>
      <c r="DP785" s="56"/>
      <c r="DQ785" s="56"/>
      <c r="DR785" s="56"/>
      <c r="DS785" s="56"/>
      <c r="DT785" s="56"/>
      <c r="DU785" s="56"/>
      <c r="DV785" s="56"/>
      <c r="DW785" s="56"/>
      <c r="DX785" s="56"/>
      <c r="DY785" s="56"/>
      <c r="DZ785" s="56"/>
      <c r="EA785" s="56"/>
      <c r="EB785" s="56"/>
      <c r="EC785" s="56"/>
      <c r="ED785" s="56"/>
      <c r="EE785" s="56"/>
      <c r="EF785" s="56"/>
      <c r="EG785" s="56"/>
      <c r="EH785" s="56"/>
      <c r="EI785" s="56"/>
      <c r="EJ785" s="56"/>
      <c r="EK785" s="56"/>
      <c r="EL785" s="56"/>
      <c r="EM785" s="56"/>
      <c r="EN785" s="56"/>
      <c r="EO785" s="56"/>
      <c r="EP785" s="56"/>
      <c r="EQ785" s="56"/>
      <c r="ER785" s="56"/>
      <c r="ES785" s="56"/>
      <c r="ET785" s="56"/>
      <c r="EU785" s="56"/>
      <c r="EV785" s="56"/>
      <c r="EW785" s="56"/>
      <c r="EX785" s="56"/>
      <c r="EY785" s="56"/>
      <c r="EZ785" s="56"/>
      <c r="FA785" s="56"/>
      <c r="FB785" s="56"/>
      <c r="FC785" s="56"/>
      <c r="FD785" s="56"/>
      <c r="FE785" s="56"/>
      <c r="FF785" s="56"/>
      <c r="FG785" s="56"/>
      <c r="FH785" s="56"/>
      <c r="FI785" s="56"/>
      <c r="FJ785" s="56"/>
      <c r="FK785" s="56"/>
      <c r="FL785" s="56"/>
      <c r="FM785" s="56"/>
      <c r="FN785" s="56"/>
      <c r="FO785" s="56"/>
      <c r="FP785" s="56"/>
      <c r="FQ785" s="56"/>
      <c r="FR785" s="56"/>
      <c r="FS785" s="56"/>
      <c r="FT785" s="56"/>
      <c r="FU785" s="56"/>
      <c r="FV785" s="56"/>
      <c r="FW785" s="56"/>
      <c r="FX785" s="56"/>
      <c r="FY785" s="56"/>
      <c r="FZ785" s="56"/>
      <c r="GA785" s="56"/>
      <c r="GB785" s="56"/>
      <c r="GC785" s="56"/>
      <c r="GD785" s="56"/>
      <c r="GE785" s="56"/>
      <c r="GF785" s="56"/>
      <c r="GG785" s="56"/>
      <c r="GH785" s="56"/>
      <c r="GI785" s="56"/>
      <c r="GJ785" s="56"/>
      <c r="GK785" s="56"/>
      <c r="GL785" s="56"/>
      <c r="GM785" s="56"/>
      <c r="GN785" s="56"/>
      <c r="GO785" s="56"/>
      <c r="GP785" s="56"/>
      <c r="GQ785" s="56"/>
      <c r="GR785" s="56"/>
      <c r="GS785" s="56"/>
      <c r="GT785" s="56"/>
      <c r="GU785" s="56"/>
      <c r="GV785" s="56"/>
      <c r="GW785" s="56"/>
      <c r="GX785" s="56"/>
      <c r="GY785" s="56"/>
      <c r="GZ785" s="56"/>
      <c r="HA785" s="56"/>
      <c r="HB785" s="56"/>
      <c r="HC785" s="56"/>
      <c r="HD785" s="56"/>
      <c r="HE785" s="56"/>
      <c r="HF785" s="56"/>
      <c r="HG785" s="56"/>
      <c r="HH785" s="56"/>
      <c r="HI785" s="56"/>
      <c r="HJ785" s="56"/>
    </row>
    <row r="786" spans="1:218" ht="15.75" customHeight="1" x14ac:dyDescent="0.2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  <c r="BV786" s="56"/>
      <c r="BW786" s="56"/>
      <c r="BX786" s="56"/>
      <c r="BY786" s="56"/>
      <c r="BZ786" s="56"/>
      <c r="CA786" s="56"/>
      <c r="CB786" s="56"/>
      <c r="CC786" s="56"/>
      <c r="CD786" s="56"/>
      <c r="CE786" s="56"/>
      <c r="CF786" s="56"/>
      <c r="CG786" s="56"/>
      <c r="CH786" s="56"/>
      <c r="CI786" s="56"/>
      <c r="CJ786" s="56"/>
      <c r="CK786" s="56"/>
      <c r="CL786" s="56"/>
      <c r="CM786" s="56"/>
      <c r="CN786" s="56"/>
      <c r="CO786" s="56"/>
      <c r="CP786" s="56"/>
      <c r="CQ786" s="56"/>
      <c r="CR786" s="56"/>
      <c r="CS786" s="56"/>
      <c r="CT786" s="56"/>
      <c r="CU786" s="56"/>
      <c r="CV786" s="56"/>
      <c r="CW786" s="56"/>
      <c r="CX786" s="56"/>
      <c r="CY786" s="56"/>
      <c r="CZ786" s="56"/>
      <c r="DA786" s="56"/>
      <c r="DB786" s="56"/>
      <c r="DC786" s="56"/>
      <c r="DD786" s="56"/>
      <c r="DE786" s="56"/>
      <c r="DF786" s="56"/>
      <c r="DG786" s="56"/>
      <c r="DH786" s="56"/>
      <c r="DI786" s="56"/>
      <c r="DJ786" s="56"/>
      <c r="DK786" s="56"/>
      <c r="DL786" s="56"/>
      <c r="DM786" s="56"/>
      <c r="DN786" s="56"/>
      <c r="DO786" s="56"/>
      <c r="DP786" s="56"/>
      <c r="DQ786" s="56"/>
      <c r="DR786" s="56"/>
      <c r="DS786" s="56"/>
      <c r="DT786" s="56"/>
      <c r="DU786" s="56"/>
      <c r="DV786" s="56"/>
      <c r="DW786" s="56"/>
      <c r="DX786" s="56"/>
      <c r="DY786" s="56"/>
      <c r="DZ786" s="56"/>
      <c r="EA786" s="56"/>
      <c r="EB786" s="56"/>
      <c r="EC786" s="56"/>
      <c r="ED786" s="56"/>
      <c r="EE786" s="56"/>
      <c r="EF786" s="56"/>
      <c r="EG786" s="56"/>
      <c r="EH786" s="56"/>
      <c r="EI786" s="56"/>
      <c r="EJ786" s="56"/>
      <c r="EK786" s="56"/>
      <c r="EL786" s="56"/>
      <c r="EM786" s="56"/>
      <c r="EN786" s="56"/>
      <c r="EO786" s="56"/>
      <c r="EP786" s="56"/>
      <c r="EQ786" s="56"/>
      <c r="ER786" s="56"/>
      <c r="ES786" s="56"/>
      <c r="ET786" s="56"/>
      <c r="EU786" s="56"/>
      <c r="EV786" s="56"/>
      <c r="EW786" s="56"/>
      <c r="EX786" s="56"/>
      <c r="EY786" s="56"/>
      <c r="EZ786" s="56"/>
      <c r="FA786" s="56"/>
      <c r="FB786" s="56"/>
      <c r="FC786" s="56"/>
      <c r="FD786" s="56"/>
      <c r="FE786" s="56"/>
      <c r="FF786" s="56"/>
      <c r="FG786" s="56"/>
      <c r="FH786" s="56"/>
      <c r="FI786" s="56"/>
      <c r="FJ786" s="56"/>
      <c r="FK786" s="56"/>
      <c r="FL786" s="56"/>
      <c r="FM786" s="56"/>
      <c r="FN786" s="56"/>
      <c r="FO786" s="56"/>
      <c r="FP786" s="56"/>
      <c r="FQ786" s="56"/>
      <c r="FR786" s="56"/>
      <c r="FS786" s="56"/>
      <c r="FT786" s="56"/>
      <c r="FU786" s="56"/>
      <c r="FV786" s="56"/>
      <c r="FW786" s="56"/>
      <c r="FX786" s="56"/>
      <c r="FY786" s="56"/>
      <c r="FZ786" s="56"/>
      <c r="GA786" s="56"/>
      <c r="GB786" s="56"/>
      <c r="GC786" s="56"/>
      <c r="GD786" s="56"/>
      <c r="GE786" s="56"/>
      <c r="GF786" s="56"/>
      <c r="GG786" s="56"/>
      <c r="GH786" s="56"/>
      <c r="GI786" s="56"/>
      <c r="GJ786" s="56"/>
      <c r="GK786" s="56"/>
      <c r="GL786" s="56"/>
      <c r="GM786" s="56"/>
      <c r="GN786" s="56"/>
      <c r="GO786" s="56"/>
      <c r="GP786" s="56"/>
      <c r="GQ786" s="56"/>
      <c r="GR786" s="56"/>
      <c r="GS786" s="56"/>
      <c r="GT786" s="56"/>
      <c r="GU786" s="56"/>
      <c r="GV786" s="56"/>
      <c r="GW786" s="56"/>
      <c r="GX786" s="56"/>
      <c r="GY786" s="56"/>
      <c r="GZ786" s="56"/>
      <c r="HA786" s="56"/>
      <c r="HB786" s="56"/>
      <c r="HC786" s="56"/>
      <c r="HD786" s="56"/>
      <c r="HE786" s="56"/>
      <c r="HF786" s="56"/>
      <c r="HG786" s="56"/>
      <c r="HH786" s="56"/>
      <c r="HI786" s="56"/>
      <c r="HJ786" s="56"/>
    </row>
    <row r="787" spans="1:218" ht="15.75" customHeight="1" x14ac:dyDescent="0.2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  <c r="BV787" s="56"/>
      <c r="BW787" s="56"/>
      <c r="BX787" s="56"/>
      <c r="BY787" s="56"/>
      <c r="BZ787" s="56"/>
      <c r="CA787" s="56"/>
      <c r="CB787" s="56"/>
      <c r="CC787" s="56"/>
      <c r="CD787" s="56"/>
      <c r="CE787" s="56"/>
      <c r="CF787" s="56"/>
      <c r="CG787" s="56"/>
      <c r="CH787" s="56"/>
      <c r="CI787" s="56"/>
      <c r="CJ787" s="56"/>
      <c r="CK787" s="56"/>
      <c r="CL787" s="56"/>
      <c r="CM787" s="56"/>
      <c r="CN787" s="56"/>
      <c r="CO787" s="56"/>
      <c r="CP787" s="56"/>
      <c r="CQ787" s="56"/>
      <c r="CR787" s="56"/>
      <c r="CS787" s="56"/>
      <c r="CT787" s="56"/>
      <c r="CU787" s="56"/>
      <c r="CV787" s="56"/>
      <c r="CW787" s="56"/>
      <c r="CX787" s="56"/>
      <c r="CY787" s="56"/>
      <c r="CZ787" s="56"/>
      <c r="DA787" s="56"/>
      <c r="DB787" s="56"/>
      <c r="DC787" s="56"/>
      <c r="DD787" s="56"/>
      <c r="DE787" s="56"/>
      <c r="DF787" s="56"/>
      <c r="DG787" s="56"/>
      <c r="DH787" s="56"/>
      <c r="DI787" s="56"/>
      <c r="DJ787" s="56"/>
      <c r="DK787" s="56"/>
      <c r="DL787" s="56"/>
      <c r="DM787" s="56"/>
      <c r="DN787" s="56"/>
      <c r="DO787" s="56"/>
      <c r="DP787" s="56"/>
      <c r="DQ787" s="56"/>
      <c r="DR787" s="56"/>
      <c r="DS787" s="56"/>
      <c r="DT787" s="56"/>
      <c r="DU787" s="56"/>
      <c r="DV787" s="56"/>
      <c r="DW787" s="56"/>
      <c r="DX787" s="56"/>
      <c r="DY787" s="56"/>
      <c r="DZ787" s="56"/>
      <c r="EA787" s="56"/>
      <c r="EB787" s="56"/>
      <c r="EC787" s="56"/>
      <c r="ED787" s="56"/>
      <c r="EE787" s="56"/>
      <c r="EF787" s="56"/>
      <c r="EG787" s="56"/>
      <c r="EH787" s="56"/>
      <c r="EI787" s="56"/>
      <c r="EJ787" s="56"/>
      <c r="EK787" s="56"/>
      <c r="EL787" s="56"/>
      <c r="EM787" s="56"/>
      <c r="EN787" s="56"/>
      <c r="EO787" s="56"/>
      <c r="EP787" s="56"/>
      <c r="EQ787" s="56"/>
      <c r="ER787" s="56"/>
      <c r="ES787" s="56"/>
      <c r="ET787" s="56"/>
      <c r="EU787" s="56"/>
      <c r="EV787" s="56"/>
      <c r="EW787" s="56"/>
      <c r="EX787" s="56"/>
      <c r="EY787" s="56"/>
      <c r="EZ787" s="56"/>
      <c r="FA787" s="56"/>
      <c r="FB787" s="56"/>
      <c r="FC787" s="56"/>
      <c r="FD787" s="56"/>
      <c r="FE787" s="56"/>
      <c r="FF787" s="56"/>
      <c r="FG787" s="56"/>
      <c r="FH787" s="56"/>
      <c r="FI787" s="56"/>
      <c r="FJ787" s="56"/>
      <c r="FK787" s="56"/>
      <c r="FL787" s="56"/>
      <c r="FM787" s="56"/>
      <c r="FN787" s="56"/>
      <c r="FO787" s="56"/>
      <c r="FP787" s="56"/>
      <c r="FQ787" s="56"/>
      <c r="FR787" s="56"/>
      <c r="FS787" s="56"/>
      <c r="FT787" s="56"/>
      <c r="FU787" s="56"/>
      <c r="FV787" s="56"/>
      <c r="FW787" s="56"/>
      <c r="FX787" s="56"/>
      <c r="FY787" s="56"/>
      <c r="FZ787" s="56"/>
      <c r="GA787" s="56"/>
      <c r="GB787" s="56"/>
      <c r="GC787" s="56"/>
      <c r="GD787" s="56"/>
      <c r="GE787" s="56"/>
      <c r="GF787" s="56"/>
      <c r="GG787" s="56"/>
      <c r="GH787" s="56"/>
      <c r="GI787" s="56"/>
      <c r="GJ787" s="56"/>
      <c r="GK787" s="56"/>
      <c r="GL787" s="56"/>
      <c r="GM787" s="56"/>
      <c r="GN787" s="56"/>
      <c r="GO787" s="56"/>
      <c r="GP787" s="56"/>
      <c r="GQ787" s="56"/>
      <c r="GR787" s="56"/>
      <c r="GS787" s="56"/>
      <c r="GT787" s="56"/>
      <c r="GU787" s="56"/>
      <c r="GV787" s="56"/>
      <c r="GW787" s="56"/>
      <c r="GX787" s="56"/>
      <c r="GY787" s="56"/>
      <c r="GZ787" s="56"/>
      <c r="HA787" s="56"/>
      <c r="HB787" s="56"/>
      <c r="HC787" s="56"/>
      <c r="HD787" s="56"/>
      <c r="HE787" s="56"/>
      <c r="HF787" s="56"/>
      <c r="HG787" s="56"/>
      <c r="HH787" s="56"/>
      <c r="HI787" s="56"/>
      <c r="HJ787" s="56"/>
    </row>
    <row r="788" spans="1:218" ht="15.75" customHeight="1" x14ac:dyDescent="0.2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  <c r="BV788" s="56"/>
      <c r="BW788" s="56"/>
      <c r="BX788" s="56"/>
      <c r="BY788" s="56"/>
      <c r="BZ788" s="56"/>
      <c r="CA788" s="56"/>
      <c r="CB788" s="56"/>
      <c r="CC788" s="56"/>
      <c r="CD788" s="56"/>
      <c r="CE788" s="56"/>
      <c r="CF788" s="56"/>
      <c r="CG788" s="56"/>
      <c r="CH788" s="56"/>
      <c r="CI788" s="56"/>
      <c r="CJ788" s="56"/>
      <c r="CK788" s="56"/>
      <c r="CL788" s="56"/>
      <c r="CM788" s="56"/>
      <c r="CN788" s="56"/>
      <c r="CO788" s="56"/>
      <c r="CP788" s="56"/>
      <c r="CQ788" s="56"/>
      <c r="CR788" s="56"/>
      <c r="CS788" s="56"/>
      <c r="CT788" s="56"/>
      <c r="CU788" s="56"/>
      <c r="CV788" s="56"/>
      <c r="CW788" s="56"/>
      <c r="CX788" s="56"/>
      <c r="CY788" s="56"/>
      <c r="CZ788" s="56"/>
      <c r="DA788" s="56"/>
      <c r="DB788" s="56"/>
      <c r="DC788" s="56"/>
      <c r="DD788" s="56"/>
      <c r="DE788" s="56"/>
      <c r="DF788" s="56"/>
      <c r="DG788" s="56"/>
      <c r="DH788" s="56"/>
      <c r="DI788" s="56"/>
      <c r="DJ788" s="56"/>
      <c r="DK788" s="56"/>
      <c r="DL788" s="56"/>
      <c r="DM788" s="56"/>
      <c r="DN788" s="56"/>
      <c r="DO788" s="56"/>
      <c r="DP788" s="56"/>
      <c r="DQ788" s="56"/>
      <c r="DR788" s="56"/>
      <c r="DS788" s="56"/>
      <c r="DT788" s="56"/>
      <c r="DU788" s="56"/>
      <c r="DV788" s="56"/>
      <c r="DW788" s="56"/>
      <c r="DX788" s="56"/>
      <c r="DY788" s="56"/>
      <c r="DZ788" s="56"/>
      <c r="EA788" s="56"/>
      <c r="EB788" s="56"/>
      <c r="EC788" s="56"/>
      <c r="ED788" s="56"/>
      <c r="EE788" s="56"/>
      <c r="EF788" s="56"/>
      <c r="EG788" s="56"/>
      <c r="EH788" s="56"/>
      <c r="EI788" s="56"/>
      <c r="EJ788" s="56"/>
      <c r="EK788" s="56"/>
      <c r="EL788" s="56"/>
      <c r="EM788" s="56"/>
      <c r="EN788" s="56"/>
      <c r="EO788" s="56"/>
      <c r="EP788" s="56"/>
      <c r="EQ788" s="56"/>
      <c r="ER788" s="56"/>
      <c r="ES788" s="56"/>
      <c r="ET788" s="56"/>
      <c r="EU788" s="56"/>
      <c r="EV788" s="56"/>
      <c r="EW788" s="56"/>
      <c r="EX788" s="56"/>
      <c r="EY788" s="56"/>
      <c r="EZ788" s="56"/>
      <c r="FA788" s="56"/>
      <c r="FB788" s="56"/>
      <c r="FC788" s="56"/>
      <c r="FD788" s="56"/>
      <c r="FE788" s="56"/>
      <c r="FF788" s="56"/>
      <c r="FG788" s="56"/>
      <c r="FH788" s="56"/>
      <c r="FI788" s="56"/>
      <c r="FJ788" s="56"/>
      <c r="FK788" s="56"/>
      <c r="FL788" s="56"/>
      <c r="FM788" s="56"/>
      <c r="FN788" s="56"/>
      <c r="FO788" s="56"/>
      <c r="FP788" s="56"/>
      <c r="FQ788" s="56"/>
      <c r="FR788" s="56"/>
      <c r="FS788" s="56"/>
      <c r="FT788" s="56"/>
      <c r="FU788" s="56"/>
      <c r="FV788" s="56"/>
      <c r="FW788" s="56"/>
      <c r="FX788" s="56"/>
      <c r="FY788" s="56"/>
      <c r="FZ788" s="56"/>
      <c r="GA788" s="56"/>
      <c r="GB788" s="56"/>
      <c r="GC788" s="56"/>
      <c r="GD788" s="56"/>
      <c r="GE788" s="56"/>
      <c r="GF788" s="56"/>
      <c r="GG788" s="56"/>
      <c r="GH788" s="56"/>
      <c r="GI788" s="56"/>
      <c r="GJ788" s="56"/>
      <c r="GK788" s="56"/>
      <c r="GL788" s="56"/>
      <c r="GM788" s="56"/>
      <c r="GN788" s="56"/>
      <c r="GO788" s="56"/>
      <c r="GP788" s="56"/>
      <c r="GQ788" s="56"/>
      <c r="GR788" s="56"/>
      <c r="GS788" s="56"/>
      <c r="GT788" s="56"/>
      <c r="GU788" s="56"/>
      <c r="GV788" s="56"/>
      <c r="GW788" s="56"/>
      <c r="GX788" s="56"/>
      <c r="GY788" s="56"/>
      <c r="GZ788" s="56"/>
      <c r="HA788" s="56"/>
      <c r="HB788" s="56"/>
      <c r="HC788" s="56"/>
      <c r="HD788" s="56"/>
      <c r="HE788" s="56"/>
      <c r="HF788" s="56"/>
      <c r="HG788" s="56"/>
      <c r="HH788" s="56"/>
      <c r="HI788" s="56"/>
      <c r="HJ788" s="56"/>
    </row>
    <row r="789" spans="1:218" ht="15.75" customHeight="1" x14ac:dyDescent="0.2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  <c r="BV789" s="56"/>
      <c r="BW789" s="56"/>
      <c r="BX789" s="56"/>
      <c r="BY789" s="56"/>
      <c r="BZ789" s="56"/>
      <c r="CA789" s="56"/>
      <c r="CB789" s="56"/>
      <c r="CC789" s="56"/>
      <c r="CD789" s="56"/>
      <c r="CE789" s="56"/>
      <c r="CF789" s="56"/>
      <c r="CG789" s="56"/>
      <c r="CH789" s="56"/>
      <c r="CI789" s="56"/>
      <c r="CJ789" s="56"/>
      <c r="CK789" s="56"/>
      <c r="CL789" s="56"/>
      <c r="CM789" s="56"/>
      <c r="CN789" s="56"/>
      <c r="CO789" s="56"/>
      <c r="CP789" s="56"/>
      <c r="CQ789" s="56"/>
      <c r="CR789" s="56"/>
      <c r="CS789" s="56"/>
      <c r="CT789" s="56"/>
      <c r="CU789" s="56"/>
      <c r="CV789" s="56"/>
      <c r="CW789" s="56"/>
      <c r="CX789" s="56"/>
      <c r="CY789" s="56"/>
      <c r="CZ789" s="56"/>
      <c r="DA789" s="56"/>
      <c r="DB789" s="56"/>
      <c r="DC789" s="56"/>
      <c r="DD789" s="56"/>
      <c r="DE789" s="56"/>
      <c r="DF789" s="56"/>
      <c r="DG789" s="56"/>
      <c r="DH789" s="56"/>
      <c r="DI789" s="56"/>
      <c r="DJ789" s="56"/>
      <c r="DK789" s="56"/>
      <c r="DL789" s="56"/>
      <c r="DM789" s="56"/>
      <c r="DN789" s="56"/>
      <c r="DO789" s="56"/>
      <c r="DP789" s="56"/>
      <c r="DQ789" s="56"/>
      <c r="DR789" s="56"/>
      <c r="DS789" s="56"/>
      <c r="DT789" s="56"/>
      <c r="DU789" s="56"/>
      <c r="DV789" s="56"/>
      <c r="DW789" s="56"/>
      <c r="DX789" s="56"/>
      <c r="DY789" s="56"/>
      <c r="DZ789" s="56"/>
      <c r="EA789" s="56"/>
      <c r="EB789" s="56"/>
      <c r="EC789" s="56"/>
      <c r="ED789" s="56"/>
      <c r="EE789" s="56"/>
      <c r="EF789" s="56"/>
      <c r="EG789" s="56"/>
      <c r="EH789" s="56"/>
      <c r="EI789" s="56"/>
      <c r="EJ789" s="56"/>
      <c r="EK789" s="56"/>
      <c r="EL789" s="56"/>
      <c r="EM789" s="56"/>
      <c r="EN789" s="56"/>
      <c r="EO789" s="56"/>
      <c r="EP789" s="56"/>
      <c r="EQ789" s="56"/>
      <c r="ER789" s="56"/>
      <c r="ES789" s="56"/>
      <c r="ET789" s="56"/>
      <c r="EU789" s="56"/>
      <c r="EV789" s="56"/>
      <c r="EW789" s="56"/>
      <c r="EX789" s="56"/>
      <c r="EY789" s="56"/>
      <c r="EZ789" s="56"/>
      <c r="FA789" s="56"/>
      <c r="FB789" s="56"/>
      <c r="FC789" s="56"/>
      <c r="FD789" s="56"/>
      <c r="FE789" s="56"/>
      <c r="FF789" s="56"/>
      <c r="FG789" s="56"/>
      <c r="FH789" s="56"/>
      <c r="FI789" s="56"/>
      <c r="FJ789" s="56"/>
      <c r="FK789" s="56"/>
      <c r="FL789" s="56"/>
      <c r="FM789" s="56"/>
      <c r="FN789" s="56"/>
      <c r="FO789" s="56"/>
      <c r="FP789" s="56"/>
      <c r="FQ789" s="56"/>
      <c r="FR789" s="56"/>
      <c r="FS789" s="56"/>
      <c r="FT789" s="56"/>
      <c r="FU789" s="56"/>
      <c r="FV789" s="56"/>
      <c r="FW789" s="56"/>
      <c r="FX789" s="56"/>
      <c r="FY789" s="56"/>
      <c r="FZ789" s="56"/>
      <c r="GA789" s="56"/>
      <c r="GB789" s="56"/>
      <c r="GC789" s="56"/>
      <c r="GD789" s="56"/>
      <c r="GE789" s="56"/>
      <c r="GF789" s="56"/>
      <c r="GG789" s="56"/>
      <c r="GH789" s="56"/>
      <c r="GI789" s="56"/>
      <c r="GJ789" s="56"/>
      <c r="GK789" s="56"/>
      <c r="GL789" s="56"/>
      <c r="GM789" s="56"/>
      <c r="GN789" s="56"/>
      <c r="GO789" s="56"/>
      <c r="GP789" s="56"/>
      <c r="GQ789" s="56"/>
      <c r="GR789" s="56"/>
      <c r="GS789" s="56"/>
      <c r="GT789" s="56"/>
      <c r="GU789" s="56"/>
      <c r="GV789" s="56"/>
      <c r="GW789" s="56"/>
      <c r="GX789" s="56"/>
      <c r="GY789" s="56"/>
      <c r="GZ789" s="56"/>
      <c r="HA789" s="56"/>
      <c r="HB789" s="56"/>
      <c r="HC789" s="56"/>
      <c r="HD789" s="56"/>
      <c r="HE789" s="56"/>
      <c r="HF789" s="56"/>
      <c r="HG789" s="56"/>
      <c r="HH789" s="56"/>
      <c r="HI789" s="56"/>
      <c r="HJ789" s="56"/>
    </row>
    <row r="790" spans="1:218" ht="15.75" customHeight="1" x14ac:dyDescent="0.2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56"/>
      <c r="CP790" s="56"/>
      <c r="CQ790" s="56"/>
      <c r="CR790" s="56"/>
      <c r="CS790" s="56"/>
      <c r="CT790" s="56"/>
      <c r="CU790" s="56"/>
      <c r="CV790" s="56"/>
      <c r="CW790" s="56"/>
      <c r="CX790" s="56"/>
      <c r="CY790" s="56"/>
      <c r="CZ790" s="56"/>
      <c r="DA790" s="56"/>
      <c r="DB790" s="56"/>
      <c r="DC790" s="56"/>
      <c r="DD790" s="56"/>
      <c r="DE790" s="56"/>
      <c r="DF790" s="56"/>
      <c r="DG790" s="56"/>
      <c r="DH790" s="56"/>
      <c r="DI790" s="56"/>
      <c r="DJ790" s="56"/>
      <c r="DK790" s="56"/>
      <c r="DL790" s="56"/>
      <c r="DM790" s="56"/>
      <c r="DN790" s="56"/>
      <c r="DO790" s="56"/>
      <c r="DP790" s="56"/>
      <c r="DQ790" s="56"/>
      <c r="DR790" s="56"/>
      <c r="DS790" s="56"/>
      <c r="DT790" s="56"/>
      <c r="DU790" s="56"/>
      <c r="DV790" s="56"/>
      <c r="DW790" s="56"/>
      <c r="DX790" s="56"/>
      <c r="DY790" s="56"/>
      <c r="DZ790" s="56"/>
      <c r="EA790" s="56"/>
      <c r="EB790" s="56"/>
      <c r="EC790" s="56"/>
      <c r="ED790" s="56"/>
      <c r="EE790" s="56"/>
      <c r="EF790" s="56"/>
      <c r="EG790" s="56"/>
      <c r="EH790" s="56"/>
      <c r="EI790" s="56"/>
      <c r="EJ790" s="56"/>
      <c r="EK790" s="56"/>
      <c r="EL790" s="56"/>
      <c r="EM790" s="56"/>
      <c r="EN790" s="56"/>
      <c r="EO790" s="56"/>
      <c r="EP790" s="56"/>
      <c r="EQ790" s="56"/>
      <c r="ER790" s="56"/>
      <c r="ES790" s="56"/>
      <c r="ET790" s="56"/>
      <c r="EU790" s="56"/>
      <c r="EV790" s="56"/>
      <c r="EW790" s="56"/>
      <c r="EX790" s="56"/>
      <c r="EY790" s="56"/>
      <c r="EZ790" s="56"/>
      <c r="FA790" s="56"/>
      <c r="FB790" s="56"/>
      <c r="FC790" s="56"/>
      <c r="FD790" s="56"/>
      <c r="FE790" s="56"/>
      <c r="FF790" s="56"/>
      <c r="FG790" s="56"/>
      <c r="FH790" s="56"/>
      <c r="FI790" s="56"/>
      <c r="FJ790" s="56"/>
      <c r="FK790" s="56"/>
      <c r="FL790" s="56"/>
      <c r="FM790" s="56"/>
      <c r="FN790" s="56"/>
      <c r="FO790" s="56"/>
      <c r="FP790" s="56"/>
      <c r="FQ790" s="56"/>
      <c r="FR790" s="56"/>
      <c r="FS790" s="56"/>
      <c r="FT790" s="56"/>
      <c r="FU790" s="56"/>
      <c r="FV790" s="56"/>
      <c r="FW790" s="56"/>
      <c r="FX790" s="56"/>
      <c r="FY790" s="56"/>
      <c r="FZ790" s="56"/>
      <c r="GA790" s="56"/>
      <c r="GB790" s="56"/>
      <c r="GC790" s="56"/>
      <c r="GD790" s="56"/>
      <c r="GE790" s="56"/>
      <c r="GF790" s="56"/>
      <c r="GG790" s="56"/>
      <c r="GH790" s="56"/>
      <c r="GI790" s="56"/>
      <c r="GJ790" s="56"/>
      <c r="GK790" s="56"/>
      <c r="GL790" s="56"/>
      <c r="GM790" s="56"/>
      <c r="GN790" s="56"/>
      <c r="GO790" s="56"/>
      <c r="GP790" s="56"/>
      <c r="GQ790" s="56"/>
      <c r="GR790" s="56"/>
      <c r="GS790" s="56"/>
      <c r="GT790" s="56"/>
      <c r="GU790" s="56"/>
      <c r="GV790" s="56"/>
      <c r="GW790" s="56"/>
      <c r="GX790" s="56"/>
      <c r="GY790" s="56"/>
      <c r="GZ790" s="56"/>
      <c r="HA790" s="56"/>
      <c r="HB790" s="56"/>
      <c r="HC790" s="56"/>
      <c r="HD790" s="56"/>
      <c r="HE790" s="56"/>
      <c r="HF790" s="56"/>
      <c r="HG790" s="56"/>
      <c r="HH790" s="56"/>
      <c r="HI790" s="56"/>
      <c r="HJ790" s="56"/>
    </row>
    <row r="791" spans="1:218" ht="15.75" customHeight="1" x14ac:dyDescent="0.2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56"/>
      <c r="CP791" s="56"/>
      <c r="CQ791" s="56"/>
      <c r="CR791" s="56"/>
      <c r="CS791" s="56"/>
      <c r="CT791" s="56"/>
      <c r="CU791" s="56"/>
      <c r="CV791" s="56"/>
      <c r="CW791" s="56"/>
      <c r="CX791" s="56"/>
      <c r="CY791" s="56"/>
      <c r="CZ791" s="56"/>
      <c r="DA791" s="56"/>
      <c r="DB791" s="56"/>
      <c r="DC791" s="56"/>
      <c r="DD791" s="56"/>
      <c r="DE791" s="56"/>
      <c r="DF791" s="56"/>
      <c r="DG791" s="56"/>
      <c r="DH791" s="56"/>
      <c r="DI791" s="56"/>
      <c r="DJ791" s="56"/>
      <c r="DK791" s="56"/>
      <c r="DL791" s="56"/>
      <c r="DM791" s="56"/>
      <c r="DN791" s="56"/>
      <c r="DO791" s="56"/>
      <c r="DP791" s="56"/>
      <c r="DQ791" s="56"/>
      <c r="DR791" s="56"/>
      <c r="DS791" s="56"/>
      <c r="DT791" s="56"/>
      <c r="DU791" s="56"/>
      <c r="DV791" s="56"/>
      <c r="DW791" s="56"/>
      <c r="DX791" s="56"/>
      <c r="DY791" s="56"/>
      <c r="DZ791" s="56"/>
      <c r="EA791" s="56"/>
      <c r="EB791" s="56"/>
      <c r="EC791" s="56"/>
      <c r="ED791" s="56"/>
      <c r="EE791" s="56"/>
      <c r="EF791" s="56"/>
      <c r="EG791" s="56"/>
      <c r="EH791" s="56"/>
      <c r="EI791" s="56"/>
      <c r="EJ791" s="56"/>
      <c r="EK791" s="56"/>
      <c r="EL791" s="56"/>
      <c r="EM791" s="56"/>
      <c r="EN791" s="56"/>
      <c r="EO791" s="56"/>
      <c r="EP791" s="56"/>
      <c r="EQ791" s="56"/>
      <c r="ER791" s="56"/>
      <c r="ES791" s="56"/>
      <c r="ET791" s="56"/>
      <c r="EU791" s="56"/>
      <c r="EV791" s="56"/>
      <c r="EW791" s="56"/>
      <c r="EX791" s="56"/>
      <c r="EY791" s="56"/>
      <c r="EZ791" s="56"/>
      <c r="FA791" s="56"/>
      <c r="FB791" s="56"/>
      <c r="FC791" s="56"/>
      <c r="FD791" s="56"/>
      <c r="FE791" s="56"/>
      <c r="FF791" s="56"/>
      <c r="FG791" s="56"/>
      <c r="FH791" s="56"/>
      <c r="FI791" s="56"/>
      <c r="FJ791" s="56"/>
      <c r="FK791" s="56"/>
      <c r="FL791" s="56"/>
      <c r="FM791" s="56"/>
      <c r="FN791" s="56"/>
      <c r="FO791" s="56"/>
      <c r="FP791" s="56"/>
      <c r="FQ791" s="56"/>
      <c r="FR791" s="56"/>
      <c r="FS791" s="56"/>
      <c r="FT791" s="56"/>
      <c r="FU791" s="56"/>
      <c r="FV791" s="56"/>
      <c r="FW791" s="56"/>
      <c r="FX791" s="56"/>
      <c r="FY791" s="56"/>
      <c r="FZ791" s="56"/>
      <c r="GA791" s="56"/>
      <c r="GB791" s="56"/>
      <c r="GC791" s="56"/>
      <c r="GD791" s="56"/>
      <c r="GE791" s="56"/>
      <c r="GF791" s="56"/>
      <c r="GG791" s="56"/>
      <c r="GH791" s="56"/>
      <c r="GI791" s="56"/>
      <c r="GJ791" s="56"/>
      <c r="GK791" s="56"/>
      <c r="GL791" s="56"/>
      <c r="GM791" s="56"/>
      <c r="GN791" s="56"/>
      <c r="GO791" s="56"/>
      <c r="GP791" s="56"/>
      <c r="GQ791" s="56"/>
      <c r="GR791" s="56"/>
      <c r="GS791" s="56"/>
      <c r="GT791" s="56"/>
      <c r="GU791" s="56"/>
      <c r="GV791" s="56"/>
      <c r="GW791" s="56"/>
      <c r="GX791" s="56"/>
      <c r="GY791" s="56"/>
      <c r="GZ791" s="56"/>
      <c r="HA791" s="56"/>
      <c r="HB791" s="56"/>
      <c r="HC791" s="56"/>
      <c r="HD791" s="56"/>
      <c r="HE791" s="56"/>
      <c r="HF791" s="56"/>
      <c r="HG791" s="56"/>
      <c r="HH791" s="56"/>
      <c r="HI791" s="56"/>
      <c r="HJ791" s="56"/>
    </row>
    <row r="792" spans="1:218" ht="15.75" customHeight="1" x14ac:dyDescent="0.2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6"/>
      <c r="CA792" s="56"/>
      <c r="CB792" s="56"/>
      <c r="CC792" s="56"/>
      <c r="CD792" s="56"/>
      <c r="CE792" s="56"/>
      <c r="CF792" s="56"/>
      <c r="CG792" s="56"/>
      <c r="CH792" s="56"/>
      <c r="CI792" s="56"/>
      <c r="CJ792" s="56"/>
      <c r="CK792" s="56"/>
      <c r="CL792" s="56"/>
      <c r="CM792" s="56"/>
      <c r="CN792" s="56"/>
      <c r="CO792" s="56"/>
      <c r="CP792" s="56"/>
      <c r="CQ792" s="56"/>
      <c r="CR792" s="56"/>
      <c r="CS792" s="56"/>
      <c r="CT792" s="56"/>
      <c r="CU792" s="56"/>
      <c r="CV792" s="56"/>
      <c r="CW792" s="56"/>
      <c r="CX792" s="56"/>
      <c r="CY792" s="56"/>
      <c r="CZ792" s="56"/>
      <c r="DA792" s="56"/>
      <c r="DB792" s="56"/>
      <c r="DC792" s="56"/>
      <c r="DD792" s="56"/>
      <c r="DE792" s="56"/>
      <c r="DF792" s="56"/>
      <c r="DG792" s="56"/>
      <c r="DH792" s="56"/>
      <c r="DI792" s="56"/>
      <c r="DJ792" s="56"/>
      <c r="DK792" s="56"/>
      <c r="DL792" s="56"/>
      <c r="DM792" s="56"/>
      <c r="DN792" s="56"/>
      <c r="DO792" s="56"/>
      <c r="DP792" s="56"/>
      <c r="DQ792" s="56"/>
      <c r="DR792" s="56"/>
      <c r="DS792" s="56"/>
      <c r="DT792" s="56"/>
      <c r="DU792" s="56"/>
      <c r="DV792" s="56"/>
      <c r="DW792" s="56"/>
      <c r="DX792" s="56"/>
      <c r="DY792" s="56"/>
      <c r="DZ792" s="56"/>
      <c r="EA792" s="56"/>
      <c r="EB792" s="56"/>
      <c r="EC792" s="56"/>
      <c r="ED792" s="56"/>
      <c r="EE792" s="56"/>
      <c r="EF792" s="56"/>
      <c r="EG792" s="56"/>
      <c r="EH792" s="56"/>
      <c r="EI792" s="56"/>
      <c r="EJ792" s="56"/>
      <c r="EK792" s="56"/>
      <c r="EL792" s="56"/>
      <c r="EM792" s="56"/>
      <c r="EN792" s="56"/>
      <c r="EO792" s="56"/>
      <c r="EP792" s="56"/>
      <c r="EQ792" s="56"/>
      <c r="ER792" s="56"/>
      <c r="ES792" s="56"/>
      <c r="ET792" s="56"/>
      <c r="EU792" s="56"/>
      <c r="EV792" s="56"/>
      <c r="EW792" s="56"/>
      <c r="EX792" s="56"/>
      <c r="EY792" s="56"/>
      <c r="EZ792" s="56"/>
      <c r="FA792" s="56"/>
      <c r="FB792" s="56"/>
      <c r="FC792" s="56"/>
      <c r="FD792" s="56"/>
      <c r="FE792" s="56"/>
      <c r="FF792" s="56"/>
      <c r="FG792" s="56"/>
      <c r="FH792" s="56"/>
      <c r="FI792" s="56"/>
      <c r="FJ792" s="56"/>
      <c r="FK792" s="56"/>
      <c r="FL792" s="56"/>
      <c r="FM792" s="56"/>
      <c r="FN792" s="56"/>
      <c r="FO792" s="56"/>
      <c r="FP792" s="56"/>
      <c r="FQ792" s="56"/>
      <c r="FR792" s="56"/>
      <c r="FS792" s="56"/>
      <c r="FT792" s="56"/>
      <c r="FU792" s="56"/>
      <c r="FV792" s="56"/>
      <c r="FW792" s="56"/>
      <c r="FX792" s="56"/>
      <c r="FY792" s="56"/>
      <c r="FZ792" s="56"/>
      <c r="GA792" s="56"/>
      <c r="GB792" s="56"/>
      <c r="GC792" s="56"/>
      <c r="GD792" s="56"/>
      <c r="GE792" s="56"/>
      <c r="GF792" s="56"/>
      <c r="GG792" s="56"/>
      <c r="GH792" s="56"/>
      <c r="GI792" s="56"/>
      <c r="GJ792" s="56"/>
      <c r="GK792" s="56"/>
      <c r="GL792" s="56"/>
      <c r="GM792" s="56"/>
      <c r="GN792" s="56"/>
      <c r="GO792" s="56"/>
      <c r="GP792" s="56"/>
      <c r="GQ792" s="56"/>
      <c r="GR792" s="56"/>
      <c r="GS792" s="56"/>
      <c r="GT792" s="56"/>
      <c r="GU792" s="56"/>
      <c r="GV792" s="56"/>
      <c r="GW792" s="56"/>
      <c r="GX792" s="56"/>
      <c r="GY792" s="56"/>
      <c r="GZ792" s="56"/>
      <c r="HA792" s="56"/>
      <c r="HB792" s="56"/>
      <c r="HC792" s="56"/>
      <c r="HD792" s="56"/>
      <c r="HE792" s="56"/>
      <c r="HF792" s="56"/>
      <c r="HG792" s="56"/>
      <c r="HH792" s="56"/>
      <c r="HI792" s="56"/>
      <c r="HJ792" s="56"/>
    </row>
    <row r="793" spans="1:218" ht="15.75" customHeight="1" x14ac:dyDescent="0.2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  <c r="BV793" s="56"/>
      <c r="BW793" s="56"/>
      <c r="BX793" s="56"/>
      <c r="BY793" s="56"/>
      <c r="BZ793" s="56"/>
      <c r="CA793" s="56"/>
      <c r="CB793" s="56"/>
      <c r="CC793" s="56"/>
      <c r="CD793" s="56"/>
      <c r="CE793" s="56"/>
      <c r="CF793" s="56"/>
      <c r="CG793" s="56"/>
      <c r="CH793" s="56"/>
      <c r="CI793" s="56"/>
      <c r="CJ793" s="56"/>
      <c r="CK793" s="56"/>
      <c r="CL793" s="56"/>
      <c r="CM793" s="56"/>
      <c r="CN793" s="56"/>
      <c r="CO793" s="56"/>
      <c r="CP793" s="56"/>
      <c r="CQ793" s="56"/>
      <c r="CR793" s="56"/>
      <c r="CS793" s="56"/>
      <c r="CT793" s="56"/>
      <c r="CU793" s="56"/>
      <c r="CV793" s="56"/>
      <c r="CW793" s="56"/>
      <c r="CX793" s="56"/>
      <c r="CY793" s="56"/>
      <c r="CZ793" s="56"/>
      <c r="DA793" s="56"/>
      <c r="DB793" s="56"/>
      <c r="DC793" s="56"/>
      <c r="DD793" s="56"/>
      <c r="DE793" s="56"/>
      <c r="DF793" s="56"/>
      <c r="DG793" s="56"/>
      <c r="DH793" s="56"/>
      <c r="DI793" s="56"/>
      <c r="DJ793" s="56"/>
      <c r="DK793" s="56"/>
      <c r="DL793" s="56"/>
      <c r="DM793" s="56"/>
      <c r="DN793" s="56"/>
      <c r="DO793" s="56"/>
      <c r="DP793" s="56"/>
      <c r="DQ793" s="56"/>
      <c r="DR793" s="56"/>
      <c r="DS793" s="56"/>
      <c r="DT793" s="56"/>
      <c r="DU793" s="56"/>
      <c r="DV793" s="56"/>
      <c r="DW793" s="56"/>
      <c r="DX793" s="56"/>
      <c r="DY793" s="56"/>
      <c r="DZ793" s="56"/>
      <c r="EA793" s="56"/>
      <c r="EB793" s="56"/>
      <c r="EC793" s="56"/>
      <c r="ED793" s="56"/>
      <c r="EE793" s="56"/>
      <c r="EF793" s="56"/>
      <c r="EG793" s="56"/>
      <c r="EH793" s="56"/>
      <c r="EI793" s="56"/>
      <c r="EJ793" s="56"/>
      <c r="EK793" s="56"/>
      <c r="EL793" s="56"/>
      <c r="EM793" s="56"/>
      <c r="EN793" s="56"/>
      <c r="EO793" s="56"/>
      <c r="EP793" s="56"/>
      <c r="EQ793" s="56"/>
      <c r="ER793" s="56"/>
      <c r="ES793" s="56"/>
      <c r="ET793" s="56"/>
      <c r="EU793" s="56"/>
      <c r="EV793" s="56"/>
      <c r="EW793" s="56"/>
      <c r="EX793" s="56"/>
      <c r="EY793" s="56"/>
      <c r="EZ793" s="56"/>
      <c r="FA793" s="56"/>
      <c r="FB793" s="56"/>
      <c r="FC793" s="56"/>
      <c r="FD793" s="56"/>
      <c r="FE793" s="56"/>
      <c r="FF793" s="56"/>
      <c r="FG793" s="56"/>
      <c r="FH793" s="56"/>
      <c r="FI793" s="56"/>
      <c r="FJ793" s="56"/>
      <c r="FK793" s="56"/>
      <c r="FL793" s="56"/>
      <c r="FM793" s="56"/>
      <c r="FN793" s="56"/>
      <c r="FO793" s="56"/>
      <c r="FP793" s="56"/>
      <c r="FQ793" s="56"/>
      <c r="FR793" s="56"/>
      <c r="FS793" s="56"/>
      <c r="FT793" s="56"/>
      <c r="FU793" s="56"/>
      <c r="FV793" s="56"/>
      <c r="FW793" s="56"/>
      <c r="FX793" s="56"/>
      <c r="FY793" s="56"/>
      <c r="FZ793" s="56"/>
      <c r="GA793" s="56"/>
      <c r="GB793" s="56"/>
      <c r="GC793" s="56"/>
      <c r="GD793" s="56"/>
      <c r="GE793" s="56"/>
      <c r="GF793" s="56"/>
      <c r="GG793" s="56"/>
      <c r="GH793" s="56"/>
      <c r="GI793" s="56"/>
      <c r="GJ793" s="56"/>
      <c r="GK793" s="56"/>
      <c r="GL793" s="56"/>
      <c r="GM793" s="56"/>
      <c r="GN793" s="56"/>
      <c r="GO793" s="56"/>
      <c r="GP793" s="56"/>
      <c r="GQ793" s="56"/>
      <c r="GR793" s="56"/>
      <c r="GS793" s="56"/>
      <c r="GT793" s="56"/>
      <c r="GU793" s="56"/>
      <c r="GV793" s="56"/>
      <c r="GW793" s="56"/>
      <c r="GX793" s="56"/>
      <c r="GY793" s="56"/>
      <c r="GZ793" s="56"/>
      <c r="HA793" s="56"/>
      <c r="HB793" s="56"/>
      <c r="HC793" s="56"/>
      <c r="HD793" s="56"/>
      <c r="HE793" s="56"/>
      <c r="HF793" s="56"/>
      <c r="HG793" s="56"/>
      <c r="HH793" s="56"/>
      <c r="HI793" s="56"/>
      <c r="HJ793" s="56"/>
    </row>
    <row r="794" spans="1:218" ht="15.75" customHeight="1" x14ac:dyDescent="0.2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  <c r="BV794" s="56"/>
      <c r="BW794" s="56"/>
      <c r="BX794" s="56"/>
      <c r="BY794" s="56"/>
      <c r="BZ794" s="56"/>
      <c r="CA794" s="56"/>
      <c r="CB794" s="56"/>
      <c r="CC794" s="56"/>
      <c r="CD794" s="56"/>
      <c r="CE794" s="56"/>
      <c r="CF794" s="56"/>
      <c r="CG794" s="56"/>
      <c r="CH794" s="56"/>
      <c r="CI794" s="56"/>
      <c r="CJ794" s="56"/>
      <c r="CK794" s="56"/>
      <c r="CL794" s="56"/>
      <c r="CM794" s="56"/>
      <c r="CN794" s="56"/>
      <c r="CO794" s="56"/>
      <c r="CP794" s="56"/>
      <c r="CQ794" s="56"/>
      <c r="CR794" s="56"/>
      <c r="CS794" s="56"/>
      <c r="CT794" s="56"/>
      <c r="CU794" s="56"/>
      <c r="CV794" s="56"/>
      <c r="CW794" s="56"/>
      <c r="CX794" s="56"/>
      <c r="CY794" s="56"/>
      <c r="CZ794" s="56"/>
      <c r="DA794" s="56"/>
      <c r="DB794" s="56"/>
      <c r="DC794" s="56"/>
      <c r="DD794" s="56"/>
      <c r="DE794" s="56"/>
      <c r="DF794" s="56"/>
      <c r="DG794" s="56"/>
      <c r="DH794" s="56"/>
      <c r="DI794" s="56"/>
      <c r="DJ794" s="56"/>
      <c r="DK794" s="56"/>
      <c r="DL794" s="56"/>
      <c r="DM794" s="56"/>
      <c r="DN794" s="56"/>
      <c r="DO794" s="56"/>
      <c r="DP794" s="56"/>
      <c r="DQ794" s="56"/>
      <c r="DR794" s="56"/>
      <c r="DS794" s="56"/>
      <c r="DT794" s="56"/>
      <c r="DU794" s="56"/>
      <c r="DV794" s="56"/>
      <c r="DW794" s="56"/>
      <c r="DX794" s="56"/>
      <c r="DY794" s="56"/>
      <c r="DZ794" s="56"/>
      <c r="EA794" s="56"/>
      <c r="EB794" s="56"/>
      <c r="EC794" s="56"/>
      <c r="ED794" s="56"/>
      <c r="EE794" s="56"/>
      <c r="EF794" s="56"/>
      <c r="EG794" s="56"/>
      <c r="EH794" s="56"/>
      <c r="EI794" s="56"/>
      <c r="EJ794" s="56"/>
      <c r="EK794" s="56"/>
      <c r="EL794" s="56"/>
      <c r="EM794" s="56"/>
      <c r="EN794" s="56"/>
      <c r="EO794" s="56"/>
      <c r="EP794" s="56"/>
      <c r="EQ794" s="56"/>
      <c r="ER794" s="56"/>
      <c r="ES794" s="56"/>
      <c r="ET794" s="56"/>
      <c r="EU794" s="56"/>
      <c r="EV794" s="56"/>
      <c r="EW794" s="56"/>
      <c r="EX794" s="56"/>
      <c r="EY794" s="56"/>
      <c r="EZ794" s="56"/>
      <c r="FA794" s="56"/>
      <c r="FB794" s="56"/>
      <c r="FC794" s="56"/>
      <c r="FD794" s="56"/>
      <c r="FE794" s="56"/>
      <c r="FF794" s="56"/>
      <c r="FG794" s="56"/>
      <c r="FH794" s="56"/>
      <c r="FI794" s="56"/>
      <c r="FJ794" s="56"/>
      <c r="FK794" s="56"/>
      <c r="FL794" s="56"/>
      <c r="FM794" s="56"/>
      <c r="FN794" s="56"/>
      <c r="FO794" s="56"/>
      <c r="FP794" s="56"/>
      <c r="FQ794" s="56"/>
      <c r="FR794" s="56"/>
      <c r="FS794" s="56"/>
      <c r="FT794" s="56"/>
      <c r="FU794" s="56"/>
      <c r="FV794" s="56"/>
      <c r="FW794" s="56"/>
      <c r="FX794" s="56"/>
      <c r="FY794" s="56"/>
      <c r="FZ794" s="56"/>
      <c r="GA794" s="56"/>
      <c r="GB794" s="56"/>
      <c r="GC794" s="56"/>
      <c r="GD794" s="56"/>
      <c r="GE794" s="56"/>
      <c r="GF794" s="56"/>
      <c r="GG794" s="56"/>
      <c r="GH794" s="56"/>
      <c r="GI794" s="56"/>
      <c r="GJ794" s="56"/>
      <c r="GK794" s="56"/>
      <c r="GL794" s="56"/>
      <c r="GM794" s="56"/>
      <c r="GN794" s="56"/>
      <c r="GO794" s="56"/>
      <c r="GP794" s="56"/>
      <c r="GQ794" s="56"/>
      <c r="GR794" s="56"/>
      <c r="GS794" s="56"/>
      <c r="GT794" s="56"/>
      <c r="GU794" s="56"/>
      <c r="GV794" s="56"/>
      <c r="GW794" s="56"/>
      <c r="GX794" s="56"/>
      <c r="GY794" s="56"/>
      <c r="GZ794" s="56"/>
      <c r="HA794" s="56"/>
      <c r="HB794" s="56"/>
      <c r="HC794" s="56"/>
      <c r="HD794" s="56"/>
      <c r="HE794" s="56"/>
      <c r="HF794" s="56"/>
      <c r="HG794" s="56"/>
      <c r="HH794" s="56"/>
      <c r="HI794" s="56"/>
      <c r="HJ794" s="56"/>
    </row>
    <row r="795" spans="1:218" ht="15.75" customHeight="1" x14ac:dyDescent="0.2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  <c r="CL795" s="56"/>
      <c r="CM795" s="56"/>
      <c r="CN795" s="56"/>
      <c r="CO795" s="56"/>
      <c r="CP795" s="56"/>
      <c r="CQ795" s="56"/>
      <c r="CR795" s="56"/>
      <c r="CS795" s="56"/>
      <c r="CT795" s="56"/>
      <c r="CU795" s="56"/>
      <c r="CV795" s="56"/>
      <c r="CW795" s="56"/>
      <c r="CX795" s="56"/>
      <c r="CY795" s="56"/>
      <c r="CZ795" s="56"/>
      <c r="DA795" s="56"/>
      <c r="DB795" s="56"/>
      <c r="DC795" s="56"/>
      <c r="DD795" s="56"/>
      <c r="DE795" s="56"/>
      <c r="DF795" s="56"/>
      <c r="DG795" s="56"/>
      <c r="DH795" s="56"/>
      <c r="DI795" s="56"/>
      <c r="DJ795" s="56"/>
      <c r="DK795" s="56"/>
      <c r="DL795" s="56"/>
      <c r="DM795" s="56"/>
      <c r="DN795" s="56"/>
      <c r="DO795" s="56"/>
      <c r="DP795" s="56"/>
      <c r="DQ795" s="56"/>
      <c r="DR795" s="56"/>
      <c r="DS795" s="56"/>
      <c r="DT795" s="56"/>
      <c r="DU795" s="56"/>
      <c r="DV795" s="56"/>
      <c r="DW795" s="56"/>
      <c r="DX795" s="56"/>
      <c r="DY795" s="56"/>
      <c r="DZ795" s="56"/>
      <c r="EA795" s="56"/>
      <c r="EB795" s="56"/>
      <c r="EC795" s="56"/>
      <c r="ED795" s="56"/>
      <c r="EE795" s="56"/>
      <c r="EF795" s="56"/>
      <c r="EG795" s="56"/>
      <c r="EH795" s="56"/>
      <c r="EI795" s="56"/>
      <c r="EJ795" s="56"/>
      <c r="EK795" s="56"/>
      <c r="EL795" s="56"/>
      <c r="EM795" s="56"/>
      <c r="EN795" s="56"/>
      <c r="EO795" s="56"/>
      <c r="EP795" s="56"/>
      <c r="EQ795" s="56"/>
      <c r="ER795" s="56"/>
      <c r="ES795" s="56"/>
      <c r="ET795" s="56"/>
      <c r="EU795" s="56"/>
      <c r="EV795" s="56"/>
      <c r="EW795" s="56"/>
      <c r="EX795" s="56"/>
      <c r="EY795" s="56"/>
      <c r="EZ795" s="56"/>
      <c r="FA795" s="56"/>
      <c r="FB795" s="56"/>
      <c r="FC795" s="56"/>
      <c r="FD795" s="56"/>
      <c r="FE795" s="56"/>
      <c r="FF795" s="56"/>
      <c r="FG795" s="56"/>
      <c r="FH795" s="56"/>
      <c r="FI795" s="56"/>
      <c r="FJ795" s="56"/>
      <c r="FK795" s="56"/>
      <c r="FL795" s="56"/>
      <c r="FM795" s="56"/>
      <c r="FN795" s="56"/>
      <c r="FO795" s="56"/>
      <c r="FP795" s="56"/>
      <c r="FQ795" s="56"/>
      <c r="FR795" s="56"/>
      <c r="FS795" s="56"/>
      <c r="FT795" s="56"/>
      <c r="FU795" s="56"/>
      <c r="FV795" s="56"/>
      <c r="FW795" s="56"/>
      <c r="FX795" s="56"/>
      <c r="FY795" s="56"/>
      <c r="FZ795" s="56"/>
      <c r="GA795" s="56"/>
      <c r="GB795" s="56"/>
      <c r="GC795" s="56"/>
      <c r="GD795" s="56"/>
      <c r="GE795" s="56"/>
      <c r="GF795" s="56"/>
      <c r="GG795" s="56"/>
      <c r="GH795" s="56"/>
      <c r="GI795" s="56"/>
      <c r="GJ795" s="56"/>
      <c r="GK795" s="56"/>
      <c r="GL795" s="56"/>
      <c r="GM795" s="56"/>
      <c r="GN795" s="56"/>
      <c r="GO795" s="56"/>
      <c r="GP795" s="56"/>
      <c r="GQ795" s="56"/>
      <c r="GR795" s="56"/>
      <c r="GS795" s="56"/>
      <c r="GT795" s="56"/>
      <c r="GU795" s="56"/>
      <c r="GV795" s="56"/>
      <c r="GW795" s="56"/>
      <c r="GX795" s="56"/>
      <c r="GY795" s="56"/>
      <c r="GZ795" s="56"/>
      <c r="HA795" s="56"/>
      <c r="HB795" s="56"/>
      <c r="HC795" s="56"/>
      <c r="HD795" s="56"/>
      <c r="HE795" s="56"/>
      <c r="HF795" s="56"/>
      <c r="HG795" s="56"/>
      <c r="HH795" s="56"/>
      <c r="HI795" s="56"/>
      <c r="HJ795" s="56"/>
    </row>
    <row r="796" spans="1:218" ht="15.75" customHeight="1" x14ac:dyDescent="0.2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  <c r="CL796" s="56"/>
      <c r="CM796" s="56"/>
      <c r="CN796" s="56"/>
      <c r="CO796" s="56"/>
      <c r="CP796" s="56"/>
      <c r="CQ796" s="56"/>
      <c r="CR796" s="56"/>
      <c r="CS796" s="56"/>
      <c r="CT796" s="56"/>
      <c r="CU796" s="56"/>
      <c r="CV796" s="56"/>
      <c r="CW796" s="56"/>
      <c r="CX796" s="56"/>
      <c r="CY796" s="56"/>
      <c r="CZ796" s="56"/>
      <c r="DA796" s="56"/>
      <c r="DB796" s="56"/>
      <c r="DC796" s="56"/>
      <c r="DD796" s="56"/>
      <c r="DE796" s="56"/>
      <c r="DF796" s="56"/>
      <c r="DG796" s="56"/>
      <c r="DH796" s="56"/>
      <c r="DI796" s="56"/>
      <c r="DJ796" s="56"/>
      <c r="DK796" s="56"/>
      <c r="DL796" s="56"/>
      <c r="DM796" s="56"/>
      <c r="DN796" s="56"/>
      <c r="DO796" s="56"/>
      <c r="DP796" s="56"/>
      <c r="DQ796" s="56"/>
      <c r="DR796" s="56"/>
      <c r="DS796" s="56"/>
      <c r="DT796" s="56"/>
      <c r="DU796" s="56"/>
      <c r="DV796" s="56"/>
      <c r="DW796" s="56"/>
      <c r="DX796" s="56"/>
      <c r="DY796" s="56"/>
      <c r="DZ796" s="56"/>
      <c r="EA796" s="56"/>
      <c r="EB796" s="56"/>
      <c r="EC796" s="56"/>
      <c r="ED796" s="56"/>
      <c r="EE796" s="56"/>
      <c r="EF796" s="56"/>
      <c r="EG796" s="56"/>
      <c r="EH796" s="56"/>
      <c r="EI796" s="56"/>
      <c r="EJ796" s="56"/>
      <c r="EK796" s="56"/>
      <c r="EL796" s="56"/>
      <c r="EM796" s="56"/>
      <c r="EN796" s="56"/>
      <c r="EO796" s="56"/>
      <c r="EP796" s="56"/>
      <c r="EQ796" s="56"/>
      <c r="ER796" s="56"/>
      <c r="ES796" s="56"/>
      <c r="ET796" s="56"/>
      <c r="EU796" s="56"/>
      <c r="EV796" s="56"/>
      <c r="EW796" s="56"/>
      <c r="EX796" s="56"/>
      <c r="EY796" s="56"/>
      <c r="EZ796" s="56"/>
      <c r="FA796" s="56"/>
      <c r="FB796" s="56"/>
      <c r="FC796" s="56"/>
      <c r="FD796" s="56"/>
      <c r="FE796" s="56"/>
      <c r="FF796" s="56"/>
      <c r="FG796" s="56"/>
      <c r="FH796" s="56"/>
      <c r="FI796" s="56"/>
      <c r="FJ796" s="56"/>
      <c r="FK796" s="56"/>
      <c r="FL796" s="56"/>
      <c r="FM796" s="56"/>
      <c r="FN796" s="56"/>
      <c r="FO796" s="56"/>
      <c r="FP796" s="56"/>
      <c r="FQ796" s="56"/>
      <c r="FR796" s="56"/>
      <c r="FS796" s="56"/>
      <c r="FT796" s="56"/>
      <c r="FU796" s="56"/>
      <c r="FV796" s="56"/>
      <c r="FW796" s="56"/>
      <c r="FX796" s="56"/>
      <c r="FY796" s="56"/>
      <c r="FZ796" s="56"/>
      <c r="GA796" s="56"/>
      <c r="GB796" s="56"/>
      <c r="GC796" s="56"/>
      <c r="GD796" s="56"/>
      <c r="GE796" s="56"/>
      <c r="GF796" s="56"/>
      <c r="GG796" s="56"/>
      <c r="GH796" s="56"/>
      <c r="GI796" s="56"/>
      <c r="GJ796" s="56"/>
      <c r="GK796" s="56"/>
      <c r="GL796" s="56"/>
      <c r="GM796" s="56"/>
      <c r="GN796" s="56"/>
      <c r="GO796" s="56"/>
      <c r="GP796" s="56"/>
      <c r="GQ796" s="56"/>
      <c r="GR796" s="56"/>
      <c r="GS796" s="56"/>
      <c r="GT796" s="56"/>
      <c r="GU796" s="56"/>
      <c r="GV796" s="56"/>
      <c r="GW796" s="56"/>
      <c r="GX796" s="56"/>
      <c r="GY796" s="56"/>
      <c r="GZ796" s="56"/>
      <c r="HA796" s="56"/>
      <c r="HB796" s="56"/>
      <c r="HC796" s="56"/>
      <c r="HD796" s="56"/>
      <c r="HE796" s="56"/>
      <c r="HF796" s="56"/>
      <c r="HG796" s="56"/>
      <c r="HH796" s="56"/>
      <c r="HI796" s="56"/>
      <c r="HJ796" s="56"/>
    </row>
    <row r="797" spans="1:218" ht="15.75" customHeight="1" x14ac:dyDescent="0.2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  <c r="BV797" s="56"/>
      <c r="BW797" s="56"/>
      <c r="BX797" s="56"/>
      <c r="BY797" s="56"/>
      <c r="BZ797" s="56"/>
      <c r="CA797" s="56"/>
      <c r="CB797" s="56"/>
      <c r="CC797" s="56"/>
      <c r="CD797" s="56"/>
      <c r="CE797" s="56"/>
      <c r="CF797" s="56"/>
      <c r="CG797" s="56"/>
      <c r="CH797" s="56"/>
      <c r="CI797" s="56"/>
      <c r="CJ797" s="56"/>
      <c r="CK797" s="56"/>
      <c r="CL797" s="56"/>
      <c r="CM797" s="56"/>
      <c r="CN797" s="56"/>
      <c r="CO797" s="56"/>
      <c r="CP797" s="56"/>
      <c r="CQ797" s="56"/>
      <c r="CR797" s="56"/>
      <c r="CS797" s="56"/>
      <c r="CT797" s="56"/>
      <c r="CU797" s="56"/>
      <c r="CV797" s="56"/>
      <c r="CW797" s="56"/>
      <c r="CX797" s="56"/>
      <c r="CY797" s="56"/>
      <c r="CZ797" s="56"/>
      <c r="DA797" s="56"/>
      <c r="DB797" s="56"/>
      <c r="DC797" s="56"/>
      <c r="DD797" s="56"/>
      <c r="DE797" s="56"/>
      <c r="DF797" s="56"/>
      <c r="DG797" s="56"/>
      <c r="DH797" s="56"/>
      <c r="DI797" s="56"/>
      <c r="DJ797" s="56"/>
      <c r="DK797" s="56"/>
      <c r="DL797" s="56"/>
      <c r="DM797" s="56"/>
      <c r="DN797" s="56"/>
      <c r="DO797" s="56"/>
      <c r="DP797" s="56"/>
      <c r="DQ797" s="56"/>
      <c r="DR797" s="56"/>
      <c r="DS797" s="56"/>
      <c r="DT797" s="56"/>
      <c r="DU797" s="56"/>
      <c r="DV797" s="56"/>
      <c r="DW797" s="56"/>
      <c r="DX797" s="56"/>
      <c r="DY797" s="56"/>
      <c r="DZ797" s="56"/>
      <c r="EA797" s="56"/>
      <c r="EB797" s="56"/>
      <c r="EC797" s="56"/>
      <c r="ED797" s="56"/>
      <c r="EE797" s="56"/>
      <c r="EF797" s="56"/>
      <c r="EG797" s="56"/>
      <c r="EH797" s="56"/>
      <c r="EI797" s="56"/>
      <c r="EJ797" s="56"/>
      <c r="EK797" s="56"/>
      <c r="EL797" s="56"/>
      <c r="EM797" s="56"/>
      <c r="EN797" s="56"/>
      <c r="EO797" s="56"/>
      <c r="EP797" s="56"/>
      <c r="EQ797" s="56"/>
      <c r="ER797" s="56"/>
      <c r="ES797" s="56"/>
      <c r="ET797" s="56"/>
      <c r="EU797" s="56"/>
      <c r="EV797" s="56"/>
      <c r="EW797" s="56"/>
      <c r="EX797" s="56"/>
      <c r="EY797" s="56"/>
      <c r="EZ797" s="56"/>
      <c r="FA797" s="56"/>
      <c r="FB797" s="56"/>
      <c r="FC797" s="56"/>
      <c r="FD797" s="56"/>
      <c r="FE797" s="56"/>
      <c r="FF797" s="56"/>
      <c r="FG797" s="56"/>
      <c r="FH797" s="56"/>
      <c r="FI797" s="56"/>
      <c r="FJ797" s="56"/>
      <c r="FK797" s="56"/>
      <c r="FL797" s="56"/>
      <c r="FM797" s="56"/>
      <c r="FN797" s="56"/>
      <c r="FO797" s="56"/>
      <c r="FP797" s="56"/>
      <c r="FQ797" s="56"/>
      <c r="FR797" s="56"/>
      <c r="FS797" s="56"/>
      <c r="FT797" s="56"/>
      <c r="FU797" s="56"/>
      <c r="FV797" s="56"/>
      <c r="FW797" s="56"/>
      <c r="FX797" s="56"/>
      <c r="FY797" s="56"/>
      <c r="FZ797" s="56"/>
      <c r="GA797" s="56"/>
      <c r="GB797" s="56"/>
      <c r="GC797" s="56"/>
      <c r="GD797" s="56"/>
      <c r="GE797" s="56"/>
      <c r="GF797" s="56"/>
      <c r="GG797" s="56"/>
      <c r="GH797" s="56"/>
      <c r="GI797" s="56"/>
      <c r="GJ797" s="56"/>
      <c r="GK797" s="56"/>
      <c r="GL797" s="56"/>
      <c r="GM797" s="56"/>
      <c r="GN797" s="56"/>
      <c r="GO797" s="56"/>
      <c r="GP797" s="56"/>
      <c r="GQ797" s="56"/>
      <c r="GR797" s="56"/>
      <c r="GS797" s="56"/>
      <c r="GT797" s="56"/>
      <c r="GU797" s="56"/>
      <c r="GV797" s="56"/>
      <c r="GW797" s="56"/>
      <c r="GX797" s="56"/>
      <c r="GY797" s="56"/>
      <c r="GZ797" s="56"/>
      <c r="HA797" s="56"/>
      <c r="HB797" s="56"/>
      <c r="HC797" s="56"/>
      <c r="HD797" s="56"/>
      <c r="HE797" s="56"/>
      <c r="HF797" s="56"/>
      <c r="HG797" s="56"/>
      <c r="HH797" s="56"/>
      <c r="HI797" s="56"/>
      <c r="HJ797" s="56"/>
    </row>
    <row r="798" spans="1:218" ht="15.75" customHeight="1" x14ac:dyDescent="0.2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  <c r="BV798" s="56"/>
      <c r="BW798" s="56"/>
      <c r="BX798" s="56"/>
      <c r="BY798" s="56"/>
      <c r="BZ798" s="56"/>
      <c r="CA798" s="56"/>
      <c r="CB798" s="56"/>
      <c r="CC798" s="56"/>
      <c r="CD798" s="56"/>
      <c r="CE798" s="56"/>
      <c r="CF798" s="56"/>
      <c r="CG798" s="56"/>
      <c r="CH798" s="56"/>
      <c r="CI798" s="56"/>
      <c r="CJ798" s="56"/>
      <c r="CK798" s="56"/>
      <c r="CL798" s="56"/>
      <c r="CM798" s="56"/>
      <c r="CN798" s="56"/>
      <c r="CO798" s="56"/>
      <c r="CP798" s="56"/>
      <c r="CQ798" s="56"/>
      <c r="CR798" s="56"/>
      <c r="CS798" s="56"/>
      <c r="CT798" s="56"/>
      <c r="CU798" s="56"/>
      <c r="CV798" s="56"/>
      <c r="CW798" s="56"/>
      <c r="CX798" s="56"/>
      <c r="CY798" s="56"/>
      <c r="CZ798" s="56"/>
      <c r="DA798" s="56"/>
      <c r="DB798" s="56"/>
      <c r="DC798" s="56"/>
      <c r="DD798" s="56"/>
      <c r="DE798" s="56"/>
      <c r="DF798" s="56"/>
      <c r="DG798" s="56"/>
      <c r="DH798" s="56"/>
      <c r="DI798" s="56"/>
      <c r="DJ798" s="56"/>
      <c r="DK798" s="56"/>
      <c r="DL798" s="56"/>
      <c r="DM798" s="56"/>
      <c r="DN798" s="56"/>
      <c r="DO798" s="56"/>
      <c r="DP798" s="56"/>
      <c r="DQ798" s="56"/>
      <c r="DR798" s="56"/>
      <c r="DS798" s="56"/>
      <c r="DT798" s="56"/>
      <c r="DU798" s="56"/>
      <c r="DV798" s="56"/>
      <c r="DW798" s="56"/>
      <c r="DX798" s="56"/>
      <c r="DY798" s="56"/>
      <c r="DZ798" s="56"/>
      <c r="EA798" s="56"/>
      <c r="EB798" s="56"/>
      <c r="EC798" s="56"/>
      <c r="ED798" s="56"/>
      <c r="EE798" s="56"/>
      <c r="EF798" s="56"/>
      <c r="EG798" s="56"/>
      <c r="EH798" s="56"/>
      <c r="EI798" s="56"/>
      <c r="EJ798" s="56"/>
      <c r="EK798" s="56"/>
      <c r="EL798" s="56"/>
      <c r="EM798" s="56"/>
      <c r="EN798" s="56"/>
      <c r="EO798" s="56"/>
      <c r="EP798" s="56"/>
      <c r="EQ798" s="56"/>
      <c r="ER798" s="56"/>
      <c r="ES798" s="56"/>
      <c r="ET798" s="56"/>
      <c r="EU798" s="56"/>
      <c r="EV798" s="56"/>
      <c r="EW798" s="56"/>
      <c r="EX798" s="56"/>
      <c r="EY798" s="56"/>
      <c r="EZ798" s="56"/>
      <c r="FA798" s="56"/>
      <c r="FB798" s="56"/>
      <c r="FC798" s="56"/>
      <c r="FD798" s="56"/>
      <c r="FE798" s="56"/>
      <c r="FF798" s="56"/>
      <c r="FG798" s="56"/>
      <c r="FH798" s="56"/>
      <c r="FI798" s="56"/>
      <c r="FJ798" s="56"/>
      <c r="FK798" s="56"/>
      <c r="FL798" s="56"/>
      <c r="FM798" s="56"/>
      <c r="FN798" s="56"/>
      <c r="FO798" s="56"/>
      <c r="FP798" s="56"/>
      <c r="FQ798" s="56"/>
      <c r="FR798" s="56"/>
      <c r="FS798" s="56"/>
      <c r="FT798" s="56"/>
      <c r="FU798" s="56"/>
      <c r="FV798" s="56"/>
      <c r="FW798" s="56"/>
      <c r="FX798" s="56"/>
      <c r="FY798" s="56"/>
      <c r="FZ798" s="56"/>
      <c r="GA798" s="56"/>
      <c r="GB798" s="56"/>
      <c r="GC798" s="56"/>
      <c r="GD798" s="56"/>
      <c r="GE798" s="56"/>
      <c r="GF798" s="56"/>
      <c r="GG798" s="56"/>
      <c r="GH798" s="56"/>
      <c r="GI798" s="56"/>
      <c r="GJ798" s="56"/>
      <c r="GK798" s="56"/>
      <c r="GL798" s="56"/>
      <c r="GM798" s="56"/>
      <c r="GN798" s="56"/>
      <c r="GO798" s="56"/>
      <c r="GP798" s="56"/>
      <c r="GQ798" s="56"/>
      <c r="GR798" s="56"/>
      <c r="GS798" s="56"/>
      <c r="GT798" s="56"/>
      <c r="GU798" s="56"/>
      <c r="GV798" s="56"/>
      <c r="GW798" s="56"/>
      <c r="GX798" s="56"/>
      <c r="GY798" s="56"/>
      <c r="GZ798" s="56"/>
      <c r="HA798" s="56"/>
      <c r="HB798" s="56"/>
      <c r="HC798" s="56"/>
      <c r="HD798" s="56"/>
      <c r="HE798" s="56"/>
      <c r="HF798" s="56"/>
      <c r="HG798" s="56"/>
      <c r="HH798" s="56"/>
      <c r="HI798" s="56"/>
      <c r="HJ798" s="56"/>
    </row>
    <row r="799" spans="1:218" ht="15.75" customHeight="1" x14ac:dyDescent="0.2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  <c r="CL799" s="56"/>
      <c r="CM799" s="56"/>
      <c r="CN799" s="56"/>
      <c r="CO799" s="56"/>
      <c r="CP799" s="56"/>
      <c r="CQ799" s="56"/>
      <c r="CR799" s="56"/>
      <c r="CS799" s="56"/>
      <c r="CT799" s="56"/>
      <c r="CU799" s="56"/>
      <c r="CV799" s="56"/>
      <c r="CW799" s="56"/>
      <c r="CX799" s="56"/>
      <c r="CY799" s="56"/>
      <c r="CZ799" s="56"/>
      <c r="DA799" s="56"/>
      <c r="DB799" s="56"/>
      <c r="DC799" s="56"/>
      <c r="DD799" s="56"/>
      <c r="DE799" s="56"/>
      <c r="DF799" s="56"/>
      <c r="DG799" s="56"/>
      <c r="DH799" s="56"/>
      <c r="DI799" s="56"/>
      <c r="DJ799" s="56"/>
      <c r="DK799" s="56"/>
      <c r="DL799" s="56"/>
      <c r="DM799" s="56"/>
      <c r="DN799" s="56"/>
      <c r="DO799" s="56"/>
      <c r="DP799" s="56"/>
      <c r="DQ799" s="56"/>
      <c r="DR799" s="56"/>
      <c r="DS799" s="56"/>
      <c r="DT799" s="56"/>
      <c r="DU799" s="56"/>
      <c r="DV799" s="56"/>
      <c r="DW799" s="56"/>
      <c r="DX799" s="56"/>
      <c r="DY799" s="56"/>
      <c r="DZ799" s="56"/>
      <c r="EA799" s="56"/>
      <c r="EB799" s="56"/>
      <c r="EC799" s="56"/>
      <c r="ED799" s="56"/>
      <c r="EE799" s="56"/>
      <c r="EF799" s="56"/>
      <c r="EG799" s="56"/>
      <c r="EH799" s="56"/>
      <c r="EI799" s="56"/>
      <c r="EJ799" s="56"/>
      <c r="EK799" s="56"/>
      <c r="EL799" s="56"/>
      <c r="EM799" s="56"/>
      <c r="EN799" s="56"/>
      <c r="EO799" s="56"/>
      <c r="EP799" s="56"/>
      <c r="EQ799" s="56"/>
      <c r="ER799" s="56"/>
      <c r="ES799" s="56"/>
      <c r="ET799" s="56"/>
      <c r="EU799" s="56"/>
      <c r="EV799" s="56"/>
      <c r="EW799" s="56"/>
      <c r="EX799" s="56"/>
      <c r="EY799" s="56"/>
      <c r="EZ799" s="56"/>
      <c r="FA799" s="56"/>
      <c r="FB799" s="56"/>
      <c r="FC799" s="56"/>
      <c r="FD799" s="56"/>
      <c r="FE799" s="56"/>
      <c r="FF799" s="56"/>
      <c r="FG799" s="56"/>
      <c r="FH799" s="56"/>
      <c r="FI799" s="56"/>
      <c r="FJ799" s="56"/>
      <c r="FK799" s="56"/>
      <c r="FL799" s="56"/>
      <c r="FM799" s="56"/>
      <c r="FN799" s="56"/>
      <c r="FO799" s="56"/>
      <c r="FP799" s="56"/>
      <c r="FQ799" s="56"/>
      <c r="FR799" s="56"/>
      <c r="FS799" s="56"/>
      <c r="FT799" s="56"/>
      <c r="FU799" s="56"/>
      <c r="FV799" s="56"/>
      <c r="FW799" s="56"/>
      <c r="FX799" s="56"/>
      <c r="FY799" s="56"/>
      <c r="FZ799" s="56"/>
      <c r="GA799" s="56"/>
      <c r="GB799" s="56"/>
      <c r="GC799" s="56"/>
      <c r="GD799" s="56"/>
      <c r="GE799" s="56"/>
      <c r="GF799" s="56"/>
      <c r="GG799" s="56"/>
      <c r="GH799" s="56"/>
      <c r="GI799" s="56"/>
      <c r="GJ799" s="56"/>
      <c r="GK799" s="56"/>
      <c r="GL799" s="56"/>
      <c r="GM799" s="56"/>
      <c r="GN799" s="56"/>
      <c r="GO799" s="56"/>
      <c r="GP799" s="56"/>
      <c r="GQ799" s="56"/>
      <c r="GR799" s="56"/>
      <c r="GS799" s="56"/>
      <c r="GT799" s="56"/>
      <c r="GU799" s="56"/>
      <c r="GV799" s="56"/>
      <c r="GW799" s="56"/>
      <c r="GX799" s="56"/>
      <c r="GY799" s="56"/>
      <c r="GZ799" s="56"/>
      <c r="HA799" s="56"/>
      <c r="HB799" s="56"/>
      <c r="HC799" s="56"/>
      <c r="HD799" s="56"/>
      <c r="HE799" s="56"/>
      <c r="HF799" s="56"/>
      <c r="HG799" s="56"/>
      <c r="HH799" s="56"/>
      <c r="HI799" s="56"/>
      <c r="HJ799" s="56"/>
    </row>
    <row r="800" spans="1:218" ht="15.75" customHeight="1" x14ac:dyDescent="0.2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  <c r="CE800" s="56"/>
      <c r="CF800" s="56"/>
      <c r="CG800" s="56"/>
      <c r="CH800" s="56"/>
      <c r="CI800" s="56"/>
      <c r="CJ800" s="56"/>
      <c r="CK800" s="56"/>
      <c r="CL800" s="56"/>
      <c r="CM800" s="56"/>
      <c r="CN800" s="56"/>
      <c r="CO800" s="56"/>
      <c r="CP800" s="56"/>
      <c r="CQ800" s="56"/>
      <c r="CR800" s="56"/>
      <c r="CS800" s="56"/>
      <c r="CT800" s="56"/>
      <c r="CU800" s="56"/>
      <c r="CV800" s="56"/>
      <c r="CW800" s="56"/>
      <c r="CX800" s="56"/>
      <c r="CY800" s="56"/>
      <c r="CZ800" s="56"/>
      <c r="DA800" s="56"/>
      <c r="DB800" s="56"/>
      <c r="DC800" s="56"/>
      <c r="DD800" s="56"/>
      <c r="DE800" s="56"/>
      <c r="DF800" s="56"/>
      <c r="DG800" s="56"/>
      <c r="DH800" s="56"/>
      <c r="DI800" s="56"/>
      <c r="DJ800" s="56"/>
      <c r="DK800" s="56"/>
      <c r="DL800" s="56"/>
      <c r="DM800" s="56"/>
      <c r="DN800" s="56"/>
      <c r="DO800" s="56"/>
      <c r="DP800" s="56"/>
      <c r="DQ800" s="56"/>
      <c r="DR800" s="56"/>
      <c r="DS800" s="56"/>
      <c r="DT800" s="56"/>
      <c r="DU800" s="56"/>
      <c r="DV800" s="56"/>
      <c r="DW800" s="56"/>
      <c r="DX800" s="56"/>
      <c r="DY800" s="56"/>
      <c r="DZ800" s="56"/>
      <c r="EA800" s="56"/>
      <c r="EB800" s="56"/>
      <c r="EC800" s="56"/>
      <c r="ED800" s="56"/>
      <c r="EE800" s="56"/>
      <c r="EF800" s="56"/>
      <c r="EG800" s="56"/>
      <c r="EH800" s="56"/>
      <c r="EI800" s="56"/>
      <c r="EJ800" s="56"/>
      <c r="EK800" s="56"/>
      <c r="EL800" s="56"/>
      <c r="EM800" s="56"/>
      <c r="EN800" s="56"/>
      <c r="EO800" s="56"/>
      <c r="EP800" s="56"/>
      <c r="EQ800" s="56"/>
      <c r="ER800" s="56"/>
      <c r="ES800" s="56"/>
      <c r="ET800" s="56"/>
      <c r="EU800" s="56"/>
      <c r="EV800" s="56"/>
      <c r="EW800" s="56"/>
      <c r="EX800" s="56"/>
      <c r="EY800" s="56"/>
      <c r="EZ800" s="56"/>
      <c r="FA800" s="56"/>
      <c r="FB800" s="56"/>
      <c r="FC800" s="56"/>
      <c r="FD800" s="56"/>
      <c r="FE800" s="56"/>
      <c r="FF800" s="56"/>
      <c r="FG800" s="56"/>
      <c r="FH800" s="56"/>
      <c r="FI800" s="56"/>
      <c r="FJ800" s="56"/>
      <c r="FK800" s="56"/>
      <c r="FL800" s="56"/>
      <c r="FM800" s="56"/>
      <c r="FN800" s="56"/>
      <c r="FO800" s="56"/>
      <c r="FP800" s="56"/>
      <c r="FQ800" s="56"/>
      <c r="FR800" s="56"/>
      <c r="FS800" s="56"/>
      <c r="FT800" s="56"/>
      <c r="FU800" s="56"/>
      <c r="FV800" s="56"/>
      <c r="FW800" s="56"/>
      <c r="FX800" s="56"/>
      <c r="FY800" s="56"/>
      <c r="FZ800" s="56"/>
      <c r="GA800" s="56"/>
      <c r="GB800" s="56"/>
      <c r="GC800" s="56"/>
      <c r="GD800" s="56"/>
      <c r="GE800" s="56"/>
      <c r="GF800" s="56"/>
      <c r="GG800" s="56"/>
      <c r="GH800" s="56"/>
      <c r="GI800" s="56"/>
      <c r="GJ800" s="56"/>
      <c r="GK800" s="56"/>
      <c r="GL800" s="56"/>
      <c r="GM800" s="56"/>
      <c r="GN800" s="56"/>
      <c r="GO800" s="56"/>
      <c r="GP800" s="56"/>
      <c r="GQ800" s="56"/>
      <c r="GR800" s="56"/>
      <c r="GS800" s="56"/>
      <c r="GT800" s="56"/>
      <c r="GU800" s="56"/>
      <c r="GV800" s="56"/>
      <c r="GW800" s="56"/>
      <c r="GX800" s="56"/>
      <c r="GY800" s="56"/>
      <c r="GZ800" s="56"/>
      <c r="HA800" s="56"/>
      <c r="HB800" s="56"/>
      <c r="HC800" s="56"/>
      <c r="HD800" s="56"/>
      <c r="HE800" s="56"/>
      <c r="HF800" s="56"/>
      <c r="HG800" s="56"/>
      <c r="HH800" s="56"/>
      <c r="HI800" s="56"/>
      <c r="HJ800" s="56"/>
    </row>
    <row r="801" spans="1:218" ht="15.75" customHeight="1" x14ac:dyDescent="0.2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  <c r="BV801" s="56"/>
      <c r="BW801" s="56"/>
      <c r="BX801" s="56"/>
      <c r="BY801" s="56"/>
      <c r="BZ801" s="56"/>
      <c r="CA801" s="56"/>
      <c r="CB801" s="56"/>
      <c r="CC801" s="56"/>
      <c r="CD801" s="56"/>
      <c r="CE801" s="56"/>
      <c r="CF801" s="56"/>
      <c r="CG801" s="56"/>
      <c r="CH801" s="56"/>
      <c r="CI801" s="56"/>
      <c r="CJ801" s="56"/>
      <c r="CK801" s="56"/>
      <c r="CL801" s="56"/>
      <c r="CM801" s="56"/>
      <c r="CN801" s="56"/>
      <c r="CO801" s="56"/>
      <c r="CP801" s="56"/>
      <c r="CQ801" s="56"/>
      <c r="CR801" s="56"/>
      <c r="CS801" s="56"/>
      <c r="CT801" s="56"/>
      <c r="CU801" s="56"/>
      <c r="CV801" s="56"/>
      <c r="CW801" s="56"/>
      <c r="CX801" s="56"/>
      <c r="CY801" s="56"/>
      <c r="CZ801" s="56"/>
      <c r="DA801" s="56"/>
      <c r="DB801" s="56"/>
      <c r="DC801" s="56"/>
      <c r="DD801" s="56"/>
      <c r="DE801" s="56"/>
      <c r="DF801" s="56"/>
      <c r="DG801" s="56"/>
      <c r="DH801" s="56"/>
      <c r="DI801" s="56"/>
      <c r="DJ801" s="56"/>
      <c r="DK801" s="56"/>
      <c r="DL801" s="56"/>
      <c r="DM801" s="56"/>
      <c r="DN801" s="56"/>
      <c r="DO801" s="56"/>
      <c r="DP801" s="56"/>
      <c r="DQ801" s="56"/>
      <c r="DR801" s="56"/>
      <c r="DS801" s="56"/>
      <c r="DT801" s="56"/>
      <c r="DU801" s="56"/>
      <c r="DV801" s="56"/>
      <c r="DW801" s="56"/>
      <c r="DX801" s="56"/>
      <c r="DY801" s="56"/>
      <c r="DZ801" s="56"/>
      <c r="EA801" s="56"/>
      <c r="EB801" s="56"/>
      <c r="EC801" s="56"/>
      <c r="ED801" s="56"/>
      <c r="EE801" s="56"/>
      <c r="EF801" s="56"/>
      <c r="EG801" s="56"/>
      <c r="EH801" s="56"/>
      <c r="EI801" s="56"/>
      <c r="EJ801" s="56"/>
      <c r="EK801" s="56"/>
      <c r="EL801" s="56"/>
      <c r="EM801" s="56"/>
      <c r="EN801" s="56"/>
      <c r="EO801" s="56"/>
      <c r="EP801" s="56"/>
      <c r="EQ801" s="56"/>
      <c r="ER801" s="56"/>
      <c r="ES801" s="56"/>
      <c r="ET801" s="56"/>
      <c r="EU801" s="56"/>
      <c r="EV801" s="56"/>
      <c r="EW801" s="56"/>
      <c r="EX801" s="56"/>
      <c r="EY801" s="56"/>
      <c r="EZ801" s="56"/>
      <c r="FA801" s="56"/>
      <c r="FB801" s="56"/>
      <c r="FC801" s="56"/>
      <c r="FD801" s="56"/>
      <c r="FE801" s="56"/>
      <c r="FF801" s="56"/>
      <c r="FG801" s="56"/>
      <c r="FH801" s="56"/>
      <c r="FI801" s="56"/>
      <c r="FJ801" s="56"/>
      <c r="FK801" s="56"/>
      <c r="FL801" s="56"/>
      <c r="FM801" s="56"/>
      <c r="FN801" s="56"/>
      <c r="FO801" s="56"/>
      <c r="FP801" s="56"/>
      <c r="FQ801" s="56"/>
      <c r="FR801" s="56"/>
      <c r="FS801" s="56"/>
      <c r="FT801" s="56"/>
      <c r="FU801" s="56"/>
      <c r="FV801" s="56"/>
      <c r="FW801" s="56"/>
      <c r="FX801" s="56"/>
      <c r="FY801" s="56"/>
      <c r="FZ801" s="56"/>
      <c r="GA801" s="56"/>
      <c r="GB801" s="56"/>
      <c r="GC801" s="56"/>
      <c r="GD801" s="56"/>
      <c r="GE801" s="56"/>
      <c r="GF801" s="56"/>
      <c r="GG801" s="56"/>
      <c r="GH801" s="56"/>
      <c r="GI801" s="56"/>
      <c r="GJ801" s="56"/>
      <c r="GK801" s="56"/>
      <c r="GL801" s="56"/>
      <c r="GM801" s="56"/>
      <c r="GN801" s="56"/>
      <c r="GO801" s="56"/>
      <c r="GP801" s="56"/>
      <c r="GQ801" s="56"/>
      <c r="GR801" s="56"/>
      <c r="GS801" s="56"/>
      <c r="GT801" s="56"/>
      <c r="GU801" s="56"/>
      <c r="GV801" s="56"/>
      <c r="GW801" s="56"/>
      <c r="GX801" s="56"/>
      <c r="GY801" s="56"/>
      <c r="GZ801" s="56"/>
      <c r="HA801" s="56"/>
      <c r="HB801" s="56"/>
      <c r="HC801" s="56"/>
      <c r="HD801" s="56"/>
      <c r="HE801" s="56"/>
      <c r="HF801" s="56"/>
      <c r="HG801" s="56"/>
      <c r="HH801" s="56"/>
      <c r="HI801" s="56"/>
      <c r="HJ801" s="56"/>
    </row>
    <row r="802" spans="1:218" ht="15.75" customHeight="1" x14ac:dyDescent="0.2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  <c r="CL802" s="56"/>
      <c r="CM802" s="56"/>
      <c r="CN802" s="56"/>
      <c r="CO802" s="56"/>
      <c r="CP802" s="56"/>
      <c r="CQ802" s="56"/>
      <c r="CR802" s="56"/>
      <c r="CS802" s="56"/>
      <c r="CT802" s="56"/>
      <c r="CU802" s="56"/>
      <c r="CV802" s="56"/>
      <c r="CW802" s="56"/>
      <c r="CX802" s="56"/>
      <c r="CY802" s="56"/>
      <c r="CZ802" s="56"/>
      <c r="DA802" s="56"/>
      <c r="DB802" s="56"/>
      <c r="DC802" s="56"/>
      <c r="DD802" s="56"/>
      <c r="DE802" s="56"/>
      <c r="DF802" s="56"/>
      <c r="DG802" s="56"/>
      <c r="DH802" s="56"/>
      <c r="DI802" s="56"/>
      <c r="DJ802" s="56"/>
      <c r="DK802" s="56"/>
      <c r="DL802" s="56"/>
      <c r="DM802" s="56"/>
      <c r="DN802" s="56"/>
      <c r="DO802" s="56"/>
      <c r="DP802" s="56"/>
      <c r="DQ802" s="56"/>
      <c r="DR802" s="56"/>
      <c r="DS802" s="56"/>
      <c r="DT802" s="56"/>
      <c r="DU802" s="56"/>
      <c r="DV802" s="56"/>
      <c r="DW802" s="56"/>
      <c r="DX802" s="56"/>
      <c r="DY802" s="56"/>
      <c r="DZ802" s="56"/>
      <c r="EA802" s="56"/>
      <c r="EB802" s="56"/>
      <c r="EC802" s="56"/>
      <c r="ED802" s="56"/>
      <c r="EE802" s="56"/>
      <c r="EF802" s="56"/>
      <c r="EG802" s="56"/>
      <c r="EH802" s="56"/>
      <c r="EI802" s="56"/>
      <c r="EJ802" s="56"/>
      <c r="EK802" s="56"/>
      <c r="EL802" s="56"/>
      <c r="EM802" s="56"/>
      <c r="EN802" s="56"/>
      <c r="EO802" s="56"/>
      <c r="EP802" s="56"/>
      <c r="EQ802" s="56"/>
      <c r="ER802" s="56"/>
      <c r="ES802" s="56"/>
      <c r="ET802" s="56"/>
      <c r="EU802" s="56"/>
      <c r="EV802" s="56"/>
      <c r="EW802" s="56"/>
      <c r="EX802" s="56"/>
      <c r="EY802" s="56"/>
      <c r="EZ802" s="56"/>
      <c r="FA802" s="56"/>
      <c r="FB802" s="56"/>
      <c r="FC802" s="56"/>
      <c r="FD802" s="56"/>
      <c r="FE802" s="56"/>
      <c r="FF802" s="56"/>
      <c r="FG802" s="56"/>
      <c r="FH802" s="56"/>
      <c r="FI802" s="56"/>
      <c r="FJ802" s="56"/>
      <c r="FK802" s="56"/>
      <c r="FL802" s="56"/>
      <c r="FM802" s="56"/>
      <c r="FN802" s="56"/>
      <c r="FO802" s="56"/>
      <c r="FP802" s="56"/>
      <c r="FQ802" s="56"/>
      <c r="FR802" s="56"/>
      <c r="FS802" s="56"/>
      <c r="FT802" s="56"/>
      <c r="FU802" s="56"/>
      <c r="FV802" s="56"/>
      <c r="FW802" s="56"/>
      <c r="FX802" s="56"/>
      <c r="FY802" s="56"/>
      <c r="FZ802" s="56"/>
      <c r="GA802" s="56"/>
      <c r="GB802" s="56"/>
      <c r="GC802" s="56"/>
      <c r="GD802" s="56"/>
      <c r="GE802" s="56"/>
      <c r="GF802" s="56"/>
      <c r="GG802" s="56"/>
      <c r="GH802" s="56"/>
      <c r="GI802" s="56"/>
      <c r="GJ802" s="56"/>
      <c r="GK802" s="56"/>
      <c r="GL802" s="56"/>
      <c r="GM802" s="56"/>
      <c r="GN802" s="56"/>
      <c r="GO802" s="56"/>
      <c r="GP802" s="56"/>
      <c r="GQ802" s="56"/>
      <c r="GR802" s="56"/>
      <c r="GS802" s="56"/>
      <c r="GT802" s="56"/>
      <c r="GU802" s="56"/>
      <c r="GV802" s="56"/>
      <c r="GW802" s="56"/>
      <c r="GX802" s="56"/>
      <c r="GY802" s="56"/>
      <c r="GZ802" s="56"/>
      <c r="HA802" s="56"/>
      <c r="HB802" s="56"/>
      <c r="HC802" s="56"/>
      <c r="HD802" s="56"/>
      <c r="HE802" s="56"/>
      <c r="HF802" s="56"/>
      <c r="HG802" s="56"/>
      <c r="HH802" s="56"/>
      <c r="HI802" s="56"/>
      <c r="HJ802" s="56"/>
    </row>
    <row r="803" spans="1:218" ht="15.75" customHeight="1" x14ac:dyDescent="0.2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  <c r="BV803" s="56"/>
      <c r="BW803" s="56"/>
      <c r="BX803" s="56"/>
      <c r="BY803" s="56"/>
      <c r="BZ803" s="56"/>
      <c r="CA803" s="56"/>
      <c r="CB803" s="56"/>
      <c r="CC803" s="56"/>
      <c r="CD803" s="56"/>
      <c r="CE803" s="56"/>
      <c r="CF803" s="56"/>
      <c r="CG803" s="56"/>
      <c r="CH803" s="56"/>
      <c r="CI803" s="56"/>
      <c r="CJ803" s="56"/>
      <c r="CK803" s="56"/>
      <c r="CL803" s="56"/>
      <c r="CM803" s="56"/>
      <c r="CN803" s="56"/>
      <c r="CO803" s="56"/>
      <c r="CP803" s="56"/>
      <c r="CQ803" s="56"/>
      <c r="CR803" s="56"/>
      <c r="CS803" s="56"/>
      <c r="CT803" s="56"/>
      <c r="CU803" s="56"/>
      <c r="CV803" s="56"/>
      <c r="CW803" s="56"/>
      <c r="CX803" s="56"/>
      <c r="CY803" s="56"/>
      <c r="CZ803" s="56"/>
      <c r="DA803" s="56"/>
      <c r="DB803" s="56"/>
      <c r="DC803" s="56"/>
      <c r="DD803" s="56"/>
      <c r="DE803" s="56"/>
      <c r="DF803" s="56"/>
      <c r="DG803" s="56"/>
      <c r="DH803" s="56"/>
      <c r="DI803" s="56"/>
      <c r="DJ803" s="56"/>
      <c r="DK803" s="56"/>
      <c r="DL803" s="56"/>
      <c r="DM803" s="56"/>
      <c r="DN803" s="56"/>
      <c r="DO803" s="56"/>
      <c r="DP803" s="56"/>
      <c r="DQ803" s="56"/>
      <c r="DR803" s="56"/>
      <c r="DS803" s="56"/>
      <c r="DT803" s="56"/>
      <c r="DU803" s="56"/>
      <c r="DV803" s="56"/>
      <c r="DW803" s="56"/>
      <c r="DX803" s="56"/>
      <c r="DY803" s="56"/>
      <c r="DZ803" s="56"/>
      <c r="EA803" s="56"/>
      <c r="EB803" s="56"/>
      <c r="EC803" s="56"/>
      <c r="ED803" s="56"/>
      <c r="EE803" s="56"/>
      <c r="EF803" s="56"/>
      <c r="EG803" s="56"/>
      <c r="EH803" s="56"/>
      <c r="EI803" s="56"/>
      <c r="EJ803" s="56"/>
      <c r="EK803" s="56"/>
      <c r="EL803" s="56"/>
      <c r="EM803" s="56"/>
      <c r="EN803" s="56"/>
      <c r="EO803" s="56"/>
      <c r="EP803" s="56"/>
      <c r="EQ803" s="56"/>
      <c r="ER803" s="56"/>
      <c r="ES803" s="56"/>
      <c r="ET803" s="56"/>
      <c r="EU803" s="56"/>
      <c r="EV803" s="56"/>
      <c r="EW803" s="56"/>
      <c r="EX803" s="56"/>
      <c r="EY803" s="56"/>
      <c r="EZ803" s="56"/>
      <c r="FA803" s="56"/>
      <c r="FB803" s="56"/>
      <c r="FC803" s="56"/>
      <c r="FD803" s="56"/>
      <c r="FE803" s="56"/>
      <c r="FF803" s="56"/>
      <c r="FG803" s="56"/>
      <c r="FH803" s="56"/>
      <c r="FI803" s="56"/>
      <c r="FJ803" s="56"/>
      <c r="FK803" s="56"/>
      <c r="FL803" s="56"/>
      <c r="FM803" s="56"/>
      <c r="FN803" s="56"/>
      <c r="FO803" s="56"/>
      <c r="FP803" s="56"/>
      <c r="FQ803" s="56"/>
      <c r="FR803" s="56"/>
      <c r="FS803" s="56"/>
      <c r="FT803" s="56"/>
      <c r="FU803" s="56"/>
      <c r="FV803" s="56"/>
      <c r="FW803" s="56"/>
      <c r="FX803" s="56"/>
      <c r="FY803" s="56"/>
      <c r="FZ803" s="56"/>
      <c r="GA803" s="56"/>
      <c r="GB803" s="56"/>
      <c r="GC803" s="56"/>
      <c r="GD803" s="56"/>
      <c r="GE803" s="56"/>
      <c r="GF803" s="56"/>
      <c r="GG803" s="56"/>
      <c r="GH803" s="56"/>
      <c r="GI803" s="56"/>
      <c r="GJ803" s="56"/>
      <c r="GK803" s="56"/>
      <c r="GL803" s="56"/>
      <c r="GM803" s="56"/>
      <c r="GN803" s="56"/>
      <c r="GO803" s="56"/>
      <c r="GP803" s="56"/>
      <c r="GQ803" s="56"/>
      <c r="GR803" s="56"/>
      <c r="GS803" s="56"/>
      <c r="GT803" s="56"/>
      <c r="GU803" s="56"/>
      <c r="GV803" s="56"/>
      <c r="GW803" s="56"/>
      <c r="GX803" s="56"/>
      <c r="GY803" s="56"/>
      <c r="GZ803" s="56"/>
      <c r="HA803" s="56"/>
      <c r="HB803" s="56"/>
      <c r="HC803" s="56"/>
      <c r="HD803" s="56"/>
      <c r="HE803" s="56"/>
      <c r="HF803" s="56"/>
      <c r="HG803" s="56"/>
      <c r="HH803" s="56"/>
      <c r="HI803" s="56"/>
      <c r="HJ803" s="56"/>
    </row>
    <row r="804" spans="1:218" ht="15.75" customHeight="1" x14ac:dyDescent="0.2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  <c r="BV804" s="56"/>
      <c r="BW804" s="56"/>
      <c r="BX804" s="56"/>
      <c r="BY804" s="56"/>
      <c r="BZ804" s="56"/>
      <c r="CA804" s="56"/>
      <c r="CB804" s="56"/>
      <c r="CC804" s="56"/>
      <c r="CD804" s="56"/>
      <c r="CE804" s="56"/>
      <c r="CF804" s="56"/>
      <c r="CG804" s="56"/>
      <c r="CH804" s="56"/>
      <c r="CI804" s="56"/>
      <c r="CJ804" s="56"/>
      <c r="CK804" s="56"/>
      <c r="CL804" s="56"/>
      <c r="CM804" s="56"/>
      <c r="CN804" s="56"/>
      <c r="CO804" s="56"/>
      <c r="CP804" s="56"/>
      <c r="CQ804" s="56"/>
      <c r="CR804" s="56"/>
      <c r="CS804" s="56"/>
      <c r="CT804" s="56"/>
      <c r="CU804" s="56"/>
      <c r="CV804" s="56"/>
      <c r="CW804" s="56"/>
      <c r="CX804" s="56"/>
      <c r="CY804" s="56"/>
      <c r="CZ804" s="56"/>
      <c r="DA804" s="56"/>
      <c r="DB804" s="56"/>
      <c r="DC804" s="56"/>
      <c r="DD804" s="56"/>
      <c r="DE804" s="56"/>
      <c r="DF804" s="56"/>
      <c r="DG804" s="56"/>
      <c r="DH804" s="56"/>
      <c r="DI804" s="56"/>
      <c r="DJ804" s="56"/>
      <c r="DK804" s="56"/>
      <c r="DL804" s="56"/>
      <c r="DM804" s="56"/>
      <c r="DN804" s="56"/>
      <c r="DO804" s="56"/>
      <c r="DP804" s="56"/>
      <c r="DQ804" s="56"/>
      <c r="DR804" s="56"/>
      <c r="DS804" s="56"/>
      <c r="DT804" s="56"/>
      <c r="DU804" s="56"/>
      <c r="DV804" s="56"/>
      <c r="DW804" s="56"/>
      <c r="DX804" s="56"/>
      <c r="DY804" s="56"/>
      <c r="DZ804" s="56"/>
      <c r="EA804" s="56"/>
      <c r="EB804" s="56"/>
      <c r="EC804" s="56"/>
      <c r="ED804" s="56"/>
      <c r="EE804" s="56"/>
      <c r="EF804" s="56"/>
      <c r="EG804" s="56"/>
      <c r="EH804" s="56"/>
      <c r="EI804" s="56"/>
      <c r="EJ804" s="56"/>
      <c r="EK804" s="56"/>
      <c r="EL804" s="56"/>
      <c r="EM804" s="56"/>
      <c r="EN804" s="56"/>
      <c r="EO804" s="56"/>
      <c r="EP804" s="56"/>
      <c r="EQ804" s="56"/>
      <c r="ER804" s="56"/>
      <c r="ES804" s="56"/>
      <c r="ET804" s="56"/>
      <c r="EU804" s="56"/>
      <c r="EV804" s="56"/>
      <c r="EW804" s="56"/>
      <c r="EX804" s="56"/>
      <c r="EY804" s="56"/>
      <c r="EZ804" s="56"/>
      <c r="FA804" s="56"/>
      <c r="FB804" s="56"/>
      <c r="FC804" s="56"/>
      <c r="FD804" s="56"/>
      <c r="FE804" s="56"/>
      <c r="FF804" s="56"/>
      <c r="FG804" s="56"/>
      <c r="FH804" s="56"/>
      <c r="FI804" s="56"/>
      <c r="FJ804" s="56"/>
      <c r="FK804" s="56"/>
      <c r="FL804" s="56"/>
      <c r="FM804" s="56"/>
      <c r="FN804" s="56"/>
      <c r="FO804" s="56"/>
      <c r="FP804" s="56"/>
      <c r="FQ804" s="56"/>
      <c r="FR804" s="56"/>
      <c r="FS804" s="56"/>
      <c r="FT804" s="56"/>
      <c r="FU804" s="56"/>
      <c r="FV804" s="56"/>
      <c r="FW804" s="56"/>
      <c r="FX804" s="56"/>
      <c r="FY804" s="56"/>
      <c r="FZ804" s="56"/>
      <c r="GA804" s="56"/>
      <c r="GB804" s="56"/>
      <c r="GC804" s="56"/>
      <c r="GD804" s="56"/>
      <c r="GE804" s="56"/>
      <c r="GF804" s="56"/>
      <c r="GG804" s="56"/>
      <c r="GH804" s="56"/>
      <c r="GI804" s="56"/>
      <c r="GJ804" s="56"/>
      <c r="GK804" s="56"/>
      <c r="GL804" s="56"/>
      <c r="GM804" s="56"/>
      <c r="GN804" s="56"/>
      <c r="GO804" s="56"/>
      <c r="GP804" s="56"/>
      <c r="GQ804" s="56"/>
      <c r="GR804" s="56"/>
      <c r="GS804" s="56"/>
      <c r="GT804" s="56"/>
      <c r="GU804" s="56"/>
      <c r="GV804" s="56"/>
      <c r="GW804" s="56"/>
      <c r="GX804" s="56"/>
      <c r="GY804" s="56"/>
      <c r="GZ804" s="56"/>
      <c r="HA804" s="56"/>
      <c r="HB804" s="56"/>
      <c r="HC804" s="56"/>
      <c r="HD804" s="56"/>
      <c r="HE804" s="56"/>
      <c r="HF804" s="56"/>
      <c r="HG804" s="56"/>
      <c r="HH804" s="56"/>
      <c r="HI804" s="56"/>
      <c r="HJ804" s="56"/>
    </row>
    <row r="805" spans="1:218" ht="15.75" customHeight="1" x14ac:dyDescent="0.2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  <c r="BV805" s="56"/>
      <c r="BW805" s="56"/>
      <c r="BX805" s="56"/>
      <c r="BY805" s="56"/>
      <c r="BZ805" s="56"/>
      <c r="CA805" s="56"/>
      <c r="CB805" s="56"/>
      <c r="CC805" s="56"/>
      <c r="CD805" s="56"/>
      <c r="CE805" s="56"/>
      <c r="CF805" s="56"/>
      <c r="CG805" s="56"/>
      <c r="CH805" s="56"/>
      <c r="CI805" s="56"/>
      <c r="CJ805" s="56"/>
      <c r="CK805" s="56"/>
      <c r="CL805" s="56"/>
      <c r="CM805" s="56"/>
      <c r="CN805" s="56"/>
      <c r="CO805" s="56"/>
      <c r="CP805" s="56"/>
      <c r="CQ805" s="56"/>
      <c r="CR805" s="56"/>
      <c r="CS805" s="56"/>
      <c r="CT805" s="56"/>
      <c r="CU805" s="56"/>
      <c r="CV805" s="56"/>
      <c r="CW805" s="56"/>
      <c r="CX805" s="56"/>
      <c r="CY805" s="56"/>
      <c r="CZ805" s="56"/>
      <c r="DA805" s="56"/>
      <c r="DB805" s="56"/>
      <c r="DC805" s="56"/>
      <c r="DD805" s="56"/>
      <c r="DE805" s="56"/>
      <c r="DF805" s="56"/>
      <c r="DG805" s="56"/>
      <c r="DH805" s="56"/>
      <c r="DI805" s="56"/>
      <c r="DJ805" s="56"/>
      <c r="DK805" s="56"/>
      <c r="DL805" s="56"/>
      <c r="DM805" s="56"/>
      <c r="DN805" s="56"/>
      <c r="DO805" s="56"/>
      <c r="DP805" s="56"/>
      <c r="DQ805" s="56"/>
      <c r="DR805" s="56"/>
      <c r="DS805" s="56"/>
      <c r="DT805" s="56"/>
      <c r="DU805" s="56"/>
      <c r="DV805" s="56"/>
      <c r="DW805" s="56"/>
      <c r="DX805" s="56"/>
      <c r="DY805" s="56"/>
      <c r="DZ805" s="56"/>
      <c r="EA805" s="56"/>
      <c r="EB805" s="56"/>
      <c r="EC805" s="56"/>
      <c r="ED805" s="56"/>
      <c r="EE805" s="56"/>
      <c r="EF805" s="56"/>
      <c r="EG805" s="56"/>
      <c r="EH805" s="56"/>
      <c r="EI805" s="56"/>
      <c r="EJ805" s="56"/>
      <c r="EK805" s="56"/>
      <c r="EL805" s="56"/>
      <c r="EM805" s="56"/>
      <c r="EN805" s="56"/>
      <c r="EO805" s="56"/>
      <c r="EP805" s="56"/>
      <c r="EQ805" s="56"/>
      <c r="ER805" s="56"/>
      <c r="ES805" s="56"/>
      <c r="ET805" s="56"/>
      <c r="EU805" s="56"/>
      <c r="EV805" s="56"/>
      <c r="EW805" s="56"/>
      <c r="EX805" s="56"/>
      <c r="EY805" s="56"/>
      <c r="EZ805" s="56"/>
      <c r="FA805" s="56"/>
      <c r="FB805" s="56"/>
      <c r="FC805" s="56"/>
      <c r="FD805" s="56"/>
      <c r="FE805" s="56"/>
      <c r="FF805" s="56"/>
      <c r="FG805" s="56"/>
      <c r="FH805" s="56"/>
      <c r="FI805" s="56"/>
      <c r="FJ805" s="56"/>
      <c r="FK805" s="56"/>
      <c r="FL805" s="56"/>
      <c r="FM805" s="56"/>
      <c r="FN805" s="56"/>
      <c r="FO805" s="56"/>
      <c r="FP805" s="56"/>
      <c r="FQ805" s="56"/>
      <c r="FR805" s="56"/>
      <c r="FS805" s="56"/>
      <c r="FT805" s="56"/>
      <c r="FU805" s="56"/>
      <c r="FV805" s="56"/>
      <c r="FW805" s="56"/>
      <c r="FX805" s="56"/>
      <c r="FY805" s="56"/>
      <c r="FZ805" s="56"/>
      <c r="GA805" s="56"/>
      <c r="GB805" s="56"/>
      <c r="GC805" s="56"/>
      <c r="GD805" s="56"/>
      <c r="GE805" s="56"/>
      <c r="GF805" s="56"/>
      <c r="GG805" s="56"/>
      <c r="GH805" s="56"/>
      <c r="GI805" s="56"/>
      <c r="GJ805" s="56"/>
      <c r="GK805" s="56"/>
      <c r="GL805" s="56"/>
      <c r="GM805" s="56"/>
      <c r="GN805" s="56"/>
      <c r="GO805" s="56"/>
      <c r="GP805" s="56"/>
      <c r="GQ805" s="56"/>
      <c r="GR805" s="56"/>
      <c r="GS805" s="56"/>
      <c r="GT805" s="56"/>
      <c r="GU805" s="56"/>
      <c r="GV805" s="56"/>
      <c r="GW805" s="56"/>
      <c r="GX805" s="56"/>
      <c r="GY805" s="56"/>
      <c r="GZ805" s="56"/>
      <c r="HA805" s="56"/>
      <c r="HB805" s="56"/>
      <c r="HC805" s="56"/>
      <c r="HD805" s="56"/>
      <c r="HE805" s="56"/>
      <c r="HF805" s="56"/>
      <c r="HG805" s="56"/>
      <c r="HH805" s="56"/>
      <c r="HI805" s="56"/>
      <c r="HJ805" s="56"/>
    </row>
    <row r="806" spans="1:218" ht="15.75" customHeight="1" x14ac:dyDescent="0.2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  <c r="BV806" s="56"/>
      <c r="BW806" s="56"/>
      <c r="BX806" s="56"/>
      <c r="BY806" s="56"/>
      <c r="BZ806" s="56"/>
      <c r="CA806" s="56"/>
      <c r="CB806" s="56"/>
      <c r="CC806" s="56"/>
      <c r="CD806" s="56"/>
      <c r="CE806" s="56"/>
      <c r="CF806" s="56"/>
      <c r="CG806" s="56"/>
      <c r="CH806" s="56"/>
      <c r="CI806" s="56"/>
      <c r="CJ806" s="56"/>
      <c r="CK806" s="56"/>
      <c r="CL806" s="56"/>
      <c r="CM806" s="56"/>
      <c r="CN806" s="56"/>
      <c r="CO806" s="56"/>
      <c r="CP806" s="56"/>
      <c r="CQ806" s="56"/>
      <c r="CR806" s="56"/>
      <c r="CS806" s="56"/>
      <c r="CT806" s="56"/>
      <c r="CU806" s="56"/>
      <c r="CV806" s="56"/>
      <c r="CW806" s="56"/>
      <c r="CX806" s="56"/>
      <c r="CY806" s="56"/>
      <c r="CZ806" s="56"/>
      <c r="DA806" s="56"/>
      <c r="DB806" s="56"/>
      <c r="DC806" s="56"/>
      <c r="DD806" s="56"/>
      <c r="DE806" s="56"/>
      <c r="DF806" s="56"/>
      <c r="DG806" s="56"/>
      <c r="DH806" s="56"/>
      <c r="DI806" s="56"/>
      <c r="DJ806" s="56"/>
      <c r="DK806" s="56"/>
      <c r="DL806" s="56"/>
      <c r="DM806" s="56"/>
      <c r="DN806" s="56"/>
      <c r="DO806" s="56"/>
      <c r="DP806" s="56"/>
      <c r="DQ806" s="56"/>
      <c r="DR806" s="56"/>
      <c r="DS806" s="56"/>
      <c r="DT806" s="56"/>
      <c r="DU806" s="56"/>
      <c r="DV806" s="56"/>
      <c r="DW806" s="56"/>
      <c r="DX806" s="56"/>
      <c r="DY806" s="56"/>
      <c r="DZ806" s="56"/>
      <c r="EA806" s="56"/>
      <c r="EB806" s="56"/>
      <c r="EC806" s="56"/>
      <c r="ED806" s="56"/>
      <c r="EE806" s="56"/>
      <c r="EF806" s="56"/>
      <c r="EG806" s="56"/>
      <c r="EH806" s="56"/>
      <c r="EI806" s="56"/>
      <c r="EJ806" s="56"/>
      <c r="EK806" s="56"/>
      <c r="EL806" s="56"/>
      <c r="EM806" s="56"/>
      <c r="EN806" s="56"/>
      <c r="EO806" s="56"/>
      <c r="EP806" s="56"/>
      <c r="EQ806" s="56"/>
      <c r="ER806" s="56"/>
      <c r="ES806" s="56"/>
      <c r="ET806" s="56"/>
      <c r="EU806" s="56"/>
      <c r="EV806" s="56"/>
      <c r="EW806" s="56"/>
      <c r="EX806" s="56"/>
      <c r="EY806" s="56"/>
      <c r="EZ806" s="56"/>
      <c r="FA806" s="56"/>
      <c r="FB806" s="56"/>
      <c r="FC806" s="56"/>
      <c r="FD806" s="56"/>
      <c r="FE806" s="56"/>
      <c r="FF806" s="56"/>
      <c r="FG806" s="56"/>
      <c r="FH806" s="56"/>
      <c r="FI806" s="56"/>
      <c r="FJ806" s="56"/>
      <c r="FK806" s="56"/>
      <c r="FL806" s="56"/>
      <c r="FM806" s="56"/>
      <c r="FN806" s="56"/>
      <c r="FO806" s="56"/>
      <c r="FP806" s="56"/>
      <c r="FQ806" s="56"/>
      <c r="FR806" s="56"/>
      <c r="FS806" s="56"/>
      <c r="FT806" s="56"/>
      <c r="FU806" s="56"/>
      <c r="FV806" s="56"/>
      <c r="FW806" s="56"/>
      <c r="FX806" s="56"/>
      <c r="FY806" s="56"/>
      <c r="FZ806" s="56"/>
      <c r="GA806" s="56"/>
      <c r="GB806" s="56"/>
      <c r="GC806" s="56"/>
      <c r="GD806" s="56"/>
      <c r="GE806" s="56"/>
      <c r="GF806" s="56"/>
      <c r="GG806" s="56"/>
      <c r="GH806" s="56"/>
      <c r="GI806" s="56"/>
      <c r="GJ806" s="56"/>
      <c r="GK806" s="56"/>
      <c r="GL806" s="56"/>
      <c r="GM806" s="56"/>
      <c r="GN806" s="56"/>
      <c r="GO806" s="56"/>
      <c r="GP806" s="56"/>
      <c r="GQ806" s="56"/>
      <c r="GR806" s="56"/>
      <c r="GS806" s="56"/>
      <c r="GT806" s="56"/>
      <c r="GU806" s="56"/>
      <c r="GV806" s="56"/>
      <c r="GW806" s="56"/>
      <c r="GX806" s="56"/>
      <c r="GY806" s="56"/>
      <c r="GZ806" s="56"/>
      <c r="HA806" s="56"/>
      <c r="HB806" s="56"/>
      <c r="HC806" s="56"/>
      <c r="HD806" s="56"/>
      <c r="HE806" s="56"/>
      <c r="HF806" s="56"/>
      <c r="HG806" s="56"/>
      <c r="HH806" s="56"/>
      <c r="HI806" s="56"/>
      <c r="HJ806" s="56"/>
    </row>
    <row r="807" spans="1:218" ht="15.75" customHeight="1" x14ac:dyDescent="0.2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  <c r="BV807" s="56"/>
      <c r="BW807" s="56"/>
      <c r="BX807" s="56"/>
      <c r="BY807" s="56"/>
      <c r="BZ807" s="56"/>
      <c r="CA807" s="56"/>
      <c r="CB807" s="56"/>
      <c r="CC807" s="56"/>
      <c r="CD807" s="56"/>
      <c r="CE807" s="56"/>
      <c r="CF807" s="56"/>
      <c r="CG807" s="56"/>
      <c r="CH807" s="56"/>
      <c r="CI807" s="56"/>
      <c r="CJ807" s="56"/>
      <c r="CK807" s="56"/>
      <c r="CL807" s="56"/>
      <c r="CM807" s="56"/>
      <c r="CN807" s="56"/>
      <c r="CO807" s="56"/>
      <c r="CP807" s="56"/>
      <c r="CQ807" s="56"/>
      <c r="CR807" s="56"/>
      <c r="CS807" s="56"/>
      <c r="CT807" s="56"/>
      <c r="CU807" s="56"/>
      <c r="CV807" s="56"/>
      <c r="CW807" s="56"/>
      <c r="CX807" s="56"/>
      <c r="CY807" s="56"/>
      <c r="CZ807" s="56"/>
      <c r="DA807" s="56"/>
      <c r="DB807" s="56"/>
      <c r="DC807" s="56"/>
      <c r="DD807" s="56"/>
      <c r="DE807" s="56"/>
      <c r="DF807" s="56"/>
      <c r="DG807" s="56"/>
      <c r="DH807" s="56"/>
      <c r="DI807" s="56"/>
      <c r="DJ807" s="56"/>
      <c r="DK807" s="56"/>
      <c r="DL807" s="56"/>
      <c r="DM807" s="56"/>
      <c r="DN807" s="56"/>
      <c r="DO807" s="56"/>
      <c r="DP807" s="56"/>
      <c r="DQ807" s="56"/>
      <c r="DR807" s="56"/>
      <c r="DS807" s="56"/>
      <c r="DT807" s="56"/>
      <c r="DU807" s="56"/>
      <c r="DV807" s="56"/>
      <c r="DW807" s="56"/>
      <c r="DX807" s="56"/>
      <c r="DY807" s="56"/>
      <c r="DZ807" s="56"/>
      <c r="EA807" s="56"/>
      <c r="EB807" s="56"/>
      <c r="EC807" s="56"/>
      <c r="ED807" s="56"/>
      <c r="EE807" s="56"/>
      <c r="EF807" s="56"/>
      <c r="EG807" s="56"/>
      <c r="EH807" s="56"/>
      <c r="EI807" s="56"/>
      <c r="EJ807" s="56"/>
      <c r="EK807" s="56"/>
      <c r="EL807" s="56"/>
      <c r="EM807" s="56"/>
      <c r="EN807" s="56"/>
      <c r="EO807" s="56"/>
      <c r="EP807" s="56"/>
      <c r="EQ807" s="56"/>
      <c r="ER807" s="56"/>
      <c r="ES807" s="56"/>
      <c r="ET807" s="56"/>
      <c r="EU807" s="56"/>
      <c r="EV807" s="56"/>
      <c r="EW807" s="56"/>
      <c r="EX807" s="56"/>
      <c r="EY807" s="56"/>
      <c r="EZ807" s="56"/>
      <c r="FA807" s="56"/>
      <c r="FB807" s="56"/>
      <c r="FC807" s="56"/>
      <c r="FD807" s="56"/>
      <c r="FE807" s="56"/>
      <c r="FF807" s="56"/>
      <c r="FG807" s="56"/>
      <c r="FH807" s="56"/>
      <c r="FI807" s="56"/>
      <c r="FJ807" s="56"/>
      <c r="FK807" s="56"/>
      <c r="FL807" s="56"/>
      <c r="FM807" s="56"/>
      <c r="FN807" s="56"/>
      <c r="FO807" s="56"/>
      <c r="FP807" s="56"/>
      <c r="FQ807" s="56"/>
      <c r="FR807" s="56"/>
      <c r="FS807" s="56"/>
      <c r="FT807" s="56"/>
      <c r="FU807" s="56"/>
      <c r="FV807" s="56"/>
      <c r="FW807" s="56"/>
      <c r="FX807" s="56"/>
      <c r="FY807" s="56"/>
      <c r="FZ807" s="56"/>
      <c r="GA807" s="56"/>
      <c r="GB807" s="56"/>
      <c r="GC807" s="56"/>
      <c r="GD807" s="56"/>
      <c r="GE807" s="56"/>
      <c r="GF807" s="56"/>
      <c r="GG807" s="56"/>
      <c r="GH807" s="56"/>
      <c r="GI807" s="56"/>
      <c r="GJ807" s="56"/>
      <c r="GK807" s="56"/>
      <c r="GL807" s="56"/>
      <c r="GM807" s="56"/>
      <c r="GN807" s="56"/>
      <c r="GO807" s="56"/>
      <c r="GP807" s="56"/>
      <c r="GQ807" s="56"/>
      <c r="GR807" s="56"/>
      <c r="GS807" s="56"/>
      <c r="GT807" s="56"/>
      <c r="GU807" s="56"/>
      <c r="GV807" s="56"/>
      <c r="GW807" s="56"/>
      <c r="GX807" s="56"/>
      <c r="GY807" s="56"/>
      <c r="GZ807" s="56"/>
      <c r="HA807" s="56"/>
      <c r="HB807" s="56"/>
      <c r="HC807" s="56"/>
      <c r="HD807" s="56"/>
      <c r="HE807" s="56"/>
      <c r="HF807" s="56"/>
      <c r="HG807" s="56"/>
      <c r="HH807" s="56"/>
      <c r="HI807" s="56"/>
      <c r="HJ807" s="56"/>
    </row>
    <row r="808" spans="1:218" ht="15.75" customHeight="1" x14ac:dyDescent="0.2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  <c r="BV808" s="56"/>
      <c r="BW808" s="56"/>
      <c r="BX808" s="56"/>
      <c r="BY808" s="56"/>
      <c r="BZ808" s="56"/>
      <c r="CA808" s="56"/>
      <c r="CB808" s="56"/>
      <c r="CC808" s="56"/>
      <c r="CD808" s="56"/>
      <c r="CE808" s="56"/>
      <c r="CF808" s="56"/>
      <c r="CG808" s="56"/>
      <c r="CH808" s="56"/>
      <c r="CI808" s="56"/>
      <c r="CJ808" s="56"/>
      <c r="CK808" s="56"/>
      <c r="CL808" s="56"/>
      <c r="CM808" s="56"/>
      <c r="CN808" s="56"/>
      <c r="CO808" s="56"/>
      <c r="CP808" s="56"/>
      <c r="CQ808" s="56"/>
      <c r="CR808" s="56"/>
      <c r="CS808" s="56"/>
      <c r="CT808" s="56"/>
      <c r="CU808" s="56"/>
      <c r="CV808" s="56"/>
      <c r="CW808" s="56"/>
      <c r="CX808" s="56"/>
      <c r="CY808" s="56"/>
      <c r="CZ808" s="56"/>
      <c r="DA808" s="56"/>
      <c r="DB808" s="56"/>
      <c r="DC808" s="56"/>
      <c r="DD808" s="56"/>
      <c r="DE808" s="56"/>
      <c r="DF808" s="56"/>
      <c r="DG808" s="56"/>
      <c r="DH808" s="56"/>
      <c r="DI808" s="56"/>
      <c r="DJ808" s="56"/>
      <c r="DK808" s="56"/>
      <c r="DL808" s="56"/>
      <c r="DM808" s="56"/>
      <c r="DN808" s="56"/>
      <c r="DO808" s="56"/>
      <c r="DP808" s="56"/>
      <c r="DQ808" s="56"/>
      <c r="DR808" s="56"/>
      <c r="DS808" s="56"/>
      <c r="DT808" s="56"/>
      <c r="DU808" s="56"/>
      <c r="DV808" s="56"/>
      <c r="DW808" s="56"/>
      <c r="DX808" s="56"/>
      <c r="DY808" s="56"/>
      <c r="DZ808" s="56"/>
      <c r="EA808" s="56"/>
      <c r="EB808" s="56"/>
      <c r="EC808" s="56"/>
      <c r="ED808" s="56"/>
      <c r="EE808" s="56"/>
      <c r="EF808" s="56"/>
      <c r="EG808" s="56"/>
      <c r="EH808" s="56"/>
      <c r="EI808" s="56"/>
      <c r="EJ808" s="56"/>
      <c r="EK808" s="56"/>
      <c r="EL808" s="56"/>
      <c r="EM808" s="56"/>
      <c r="EN808" s="56"/>
      <c r="EO808" s="56"/>
      <c r="EP808" s="56"/>
      <c r="EQ808" s="56"/>
      <c r="ER808" s="56"/>
      <c r="ES808" s="56"/>
      <c r="ET808" s="56"/>
      <c r="EU808" s="56"/>
      <c r="EV808" s="56"/>
      <c r="EW808" s="56"/>
      <c r="EX808" s="56"/>
      <c r="EY808" s="56"/>
      <c r="EZ808" s="56"/>
      <c r="FA808" s="56"/>
      <c r="FB808" s="56"/>
      <c r="FC808" s="56"/>
      <c r="FD808" s="56"/>
      <c r="FE808" s="56"/>
      <c r="FF808" s="56"/>
      <c r="FG808" s="56"/>
      <c r="FH808" s="56"/>
      <c r="FI808" s="56"/>
      <c r="FJ808" s="56"/>
      <c r="FK808" s="56"/>
      <c r="FL808" s="56"/>
      <c r="FM808" s="56"/>
      <c r="FN808" s="56"/>
      <c r="FO808" s="56"/>
      <c r="FP808" s="56"/>
      <c r="FQ808" s="56"/>
      <c r="FR808" s="56"/>
      <c r="FS808" s="56"/>
      <c r="FT808" s="56"/>
      <c r="FU808" s="56"/>
      <c r="FV808" s="56"/>
      <c r="FW808" s="56"/>
      <c r="FX808" s="56"/>
      <c r="FY808" s="56"/>
      <c r="FZ808" s="56"/>
      <c r="GA808" s="56"/>
      <c r="GB808" s="56"/>
      <c r="GC808" s="56"/>
      <c r="GD808" s="56"/>
      <c r="GE808" s="56"/>
      <c r="GF808" s="56"/>
      <c r="GG808" s="56"/>
      <c r="GH808" s="56"/>
      <c r="GI808" s="56"/>
      <c r="GJ808" s="56"/>
      <c r="GK808" s="56"/>
      <c r="GL808" s="56"/>
      <c r="GM808" s="56"/>
      <c r="GN808" s="56"/>
      <c r="GO808" s="56"/>
      <c r="GP808" s="56"/>
      <c r="GQ808" s="56"/>
      <c r="GR808" s="56"/>
      <c r="GS808" s="56"/>
      <c r="GT808" s="56"/>
      <c r="GU808" s="56"/>
      <c r="GV808" s="56"/>
      <c r="GW808" s="56"/>
      <c r="GX808" s="56"/>
      <c r="GY808" s="56"/>
      <c r="GZ808" s="56"/>
      <c r="HA808" s="56"/>
      <c r="HB808" s="56"/>
      <c r="HC808" s="56"/>
      <c r="HD808" s="56"/>
      <c r="HE808" s="56"/>
      <c r="HF808" s="56"/>
      <c r="HG808" s="56"/>
      <c r="HH808" s="56"/>
      <c r="HI808" s="56"/>
      <c r="HJ808" s="56"/>
    </row>
    <row r="809" spans="1:218" ht="15.75" customHeight="1" x14ac:dyDescent="0.2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  <c r="CL809" s="56"/>
      <c r="CM809" s="56"/>
      <c r="CN809" s="56"/>
      <c r="CO809" s="56"/>
      <c r="CP809" s="56"/>
      <c r="CQ809" s="56"/>
      <c r="CR809" s="56"/>
      <c r="CS809" s="56"/>
      <c r="CT809" s="56"/>
      <c r="CU809" s="56"/>
      <c r="CV809" s="56"/>
      <c r="CW809" s="56"/>
      <c r="CX809" s="56"/>
      <c r="CY809" s="56"/>
      <c r="CZ809" s="56"/>
      <c r="DA809" s="56"/>
      <c r="DB809" s="56"/>
      <c r="DC809" s="56"/>
      <c r="DD809" s="56"/>
      <c r="DE809" s="56"/>
      <c r="DF809" s="56"/>
      <c r="DG809" s="56"/>
      <c r="DH809" s="56"/>
      <c r="DI809" s="56"/>
      <c r="DJ809" s="56"/>
      <c r="DK809" s="56"/>
      <c r="DL809" s="56"/>
      <c r="DM809" s="56"/>
      <c r="DN809" s="56"/>
      <c r="DO809" s="56"/>
      <c r="DP809" s="56"/>
      <c r="DQ809" s="56"/>
      <c r="DR809" s="56"/>
      <c r="DS809" s="56"/>
      <c r="DT809" s="56"/>
      <c r="DU809" s="56"/>
      <c r="DV809" s="56"/>
      <c r="DW809" s="56"/>
      <c r="DX809" s="56"/>
      <c r="DY809" s="56"/>
      <c r="DZ809" s="56"/>
      <c r="EA809" s="56"/>
      <c r="EB809" s="56"/>
      <c r="EC809" s="56"/>
      <c r="ED809" s="56"/>
      <c r="EE809" s="56"/>
      <c r="EF809" s="56"/>
      <c r="EG809" s="56"/>
      <c r="EH809" s="56"/>
      <c r="EI809" s="56"/>
      <c r="EJ809" s="56"/>
      <c r="EK809" s="56"/>
      <c r="EL809" s="56"/>
      <c r="EM809" s="56"/>
      <c r="EN809" s="56"/>
      <c r="EO809" s="56"/>
      <c r="EP809" s="56"/>
      <c r="EQ809" s="56"/>
      <c r="ER809" s="56"/>
      <c r="ES809" s="56"/>
      <c r="ET809" s="56"/>
      <c r="EU809" s="56"/>
      <c r="EV809" s="56"/>
      <c r="EW809" s="56"/>
      <c r="EX809" s="56"/>
      <c r="EY809" s="56"/>
      <c r="EZ809" s="56"/>
      <c r="FA809" s="56"/>
      <c r="FB809" s="56"/>
      <c r="FC809" s="56"/>
      <c r="FD809" s="56"/>
      <c r="FE809" s="56"/>
      <c r="FF809" s="56"/>
      <c r="FG809" s="56"/>
      <c r="FH809" s="56"/>
      <c r="FI809" s="56"/>
      <c r="FJ809" s="56"/>
      <c r="FK809" s="56"/>
      <c r="FL809" s="56"/>
      <c r="FM809" s="56"/>
      <c r="FN809" s="56"/>
      <c r="FO809" s="56"/>
      <c r="FP809" s="56"/>
      <c r="FQ809" s="56"/>
      <c r="FR809" s="56"/>
      <c r="FS809" s="56"/>
      <c r="FT809" s="56"/>
      <c r="FU809" s="56"/>
      <c r="FV809" s="56"/>
      <c r="FW809" s="56"/>
      <c r="FX809" s="56"/>
      <c r="FY809" s="56"/>
      <c r="FZ809" s="56"/>
      <c r="GA809" s="56"/>
      <c r="GB809" s="56"/>
      <c r="GC809" s="56"/>
      <c r="GD809" s="56"/>
      <c r="GE809" s="56"/>
      <c r="GF809" s="56"/>
      <c r="GG809" s="56"/>
      <c r="GH809" s="56"/>
      <c r="GI809" s="56"/>
      <c r="GJ809" s="56"/>
      <c r="GK809" s="56"/>
      <c r="GL809" s="56"/>
      <c r="GM809" s="56"/>
      <c r="GN809" s="56"/>
      <c r="GO809" s="56"/>
      <c r="GP809" s="56"/>
      <c r="GQ809" s="56"/>
      <c r="GR809" s="56"/>
      <c r="GS809" s="56"/>
      <c r="GT809" s="56"/>
      <c r="GU809" s="56"/>
      <c r="GV809" s="56"/>
      <c r="GW809" s="56"/>
      <c r="GX809" s="56"/>
      <c r="GY809" s="56"/>
      <c r="GZ809" s="56"/>
      <c r="HA809" s="56"/>
      <c r="HB809" s="56"/>
      <c r="HC809" s="56"/>
      <c r="HD809" s="56"/>
      <c r="HE809" s="56"/>
      <c r="HF809" s="56"/>
      <c r="HG809" s="56"/>
      <c r="HH809" s="56"/>
      <c r="HI809" s="56"/>
      <c r="HJ809" s="56"/>
    </row>
    <row r="810" spans="1:218" ht="15.75" customHeight="1" x14ac:dyDescent="0.2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  <c r="CL810" s="56"/>
      <c r="CM810" s="56"/>
      <c r="CN810" s="56"/>
      <c r="CO810" s="56"/>
      <c r="CP810" s="56"/>
      <c r="CQ810" s="56"/>
      <c r="CR810" s="56"/>
      <c r="CS810" s="56"/>
      <c r="CT810" s="56"/>
      <c r="CU810" s="56"/>
      <c r="CV810" s="56"/>
      <c r="CW810" s="56"/>
      <c r="CX810" s="56"/>
      <c r="CY810" s="56"/>
      <c r="CZ810" s="56"/>
      <c r="DA810" s="56"/>
      <c r="DB810" s="56"/>
      <c r="DC810" s="56"/>
      <c r="DD810" s="56"/>
      <c r="DE810" s="56"/>
      <c r="DF810" s="56"/>
      <c r="DG810" s="56"/>
      <c r="DH810" s="56"/>
      <c r="DI810" s="56"/>
      <c r="DJ810" s="56"/>
      <c r="DK810" s="56"/>
      <c r="DL810" s="56"/>
      <c r="DM810" s="56"/>
      <c r="DN810" s="56"/>
      <c r="DO810" s="56"/>
      <c r="DP810" s="56"/>
      <c r="DQ810" s="56"/>
      <c r="DR810" s="56"/>
      <c r="DS810" s="56"/>
      <c r="DT810" s="56"/>
      <c r="DU810" s="56"/>
      <c r="DV810" s="56"/>
      <c r="DW810" s="56"/>
      <c r="DX810" s="56"/>
      <c r="DY810" s="56"/>
      <c r="DZ810" s="56"/>
      <c r="EA810" s="56"/>
      <c r="EB810" s="56"/>
      <c r="EC810" s="56"/>
      <c r="ED810" s="56"/>
      <c r="EE810" s="56"/>
      <c r="EF810" s="56"/>
      <c r="EG810" s="56"/>
      <c r="EH810" s="56"/>
      <c r="EI810" s="56"/>
      <c r="EJ810" s="56"/>
      <c r="EK810" s="56"/>
      <c r="EL810" s="56"/>
      <c r="EM810" s="56"/>
      <c r="EN810" s="56"/>
      <c r="EO810" s="56"/>
      <c r="EP810" s="56"/>
      <c r="EQ810" s="56"/>
      <c r="ER810" s="56"/>
      <c r="ES810" s="56"/>
      <c r="ET810" s="56"/>
      <c r="EU810" s="56"/>
      <c r="EV810" s="56"/>
      <c r="EW810" s="56"/>
      <c r="EX810" s="56"/>
      <c r="EY810" s="56"/>
      <c r="EZ810" s="56"/>
      <c r="FA810" s="56"/>
      <c r="FB810" s="56"/>
      <c r="FC810" s="56"/>
      <c r="FD810" s="56"/>
      <c r="FE810" s="56"/>
      <c r="FF810" s="56"/>
      <c r="FG810" s="56"/>
      <c r="FH810" s="56"/>
      <c r="FI810" s="56"/>
      <c r="FJ810" s="56"/>
      <c r="FK810" s="56"/>
      <c r="FL810" s="56"/>
      <c r="FM810" s="56"/>
      <c r="FN810" s="56"/>
      <c r="FO810" s="56"/>
      <c r="FP810" s="56"/>
      <c r="FQ810" s="56"/>
      <c r="FR810" s="56"/>
      <c r="FS810" s="56"/>
      <c r="FT810" s="56"/>
      <c r="FU810" s="56"/>
      <c r="FV810" s="56"/>
      <c r="FW810" s="56"/>
      <c r="FX810" s="56"/>
      <c r="FY810" s="56"/>
      <c r="FZ810" s="56"/>
      <c r="GA810" s="56"/>
      <c r="GB810" s="56"/>
      <c r="GC810" s="56"/>
      <c r="GD810" s="56"/>
      <c r="GE810" s="56"/>
      <c r="GF810" s="56"/>
      <c r="GG810" s="56"/>
      <c r="GH810" s="56"/>
      <c r="GI810" s="56"/>
      <c r="GJ810" s="56"/>
      <c r="GK810" s="56"/>
      <c r="GL810" s="56"/>
      <c r="GM810" s="56"/>
      <c r="GN810" s="56"/>
      <c r="GO810" s="56"/>
      <c r="GP810" s="56"/>
      <c r="GQ810" s="56"/>
      <c r="GR810" s="56"/>
      <c r="GS810" s="56"/>
      <c r="GT810" s="56"/>
      <c r="GU810" s="56"/>
      <c r="GV810" s="56"/>
      <c r="GW810" s="56"/>
      <c r="GX810" s="56"/>
      <c r="GY810" s="56"/>
      <c r="GZ810" s="56"/>
      <c r="HA810" s="56"/>
      <c r="HB810" s="56"/>
      <c r="HC810" s="56"/>
      <c r="HD810" s="56"/>
      <c r="HE810" s="56"/>
      <c r="HF810" s="56"/>
      <c r="HG810" s="56"/>
      <c r="HH810" s="56"/>
      <c r="HI810" s="56"/>
      <c r="HJ810" s="56"/>
    </row>
    <row r="811" spans="1:218" ht="15.75" customHeight="1" x14ac:dyDescent="0.2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  <c r="CL811" s="56"/>
      <c r="CM811" s="56"/>
      <c r="CN811" s="56"/>
      <c r="CO811" s="56"/>
      <c r="CP811" s="56"/>
      <c r="CQ811" s="56"/>
      <c r="CR811" s="56"/>
      <c r="CS811" s="56"/>
      <c r="CT811" s="56"/>
      <c r="CU811" s="56"/>
      <c r="CV811" s="56"/>
      <c r="CW811" s="56"/>
      <c r="CX811" s="56"/>
      <c r="CY811" s="56"/>
      <c r="CZ811" s="56"/>
      <c r="DA811" s="56"/>
      <c r="DB811" s="56"/>
      <c r="DC811" s="56"/>
      <c r="DD811" s="56"/>
      <c r="DE811" s="56"/>
      <c r="DF811" s="56"/>
      <c r="DG811" s="56"/>
      <c r="DH811" s="56"/>
      <c r="DI811" s="56"/>
      <c r="DJ811" s="56"/>
      <c r="DK811" s="56"/>
      <c r="DL811" s="56"/>
      <c r="DM811" s="56"/>
      <c r="DN811" s="56"/>
      <c r="DO811" s="56"/>
      <c r="DP811" s="56"/>
      <c r="DQ811" s="56"/>
      <c r="DR811" s="56"/>
      <c r="DS811" s="56"/>
      <c r="DT811" s="56"/>
      <c r="DU811" s="56"/>
      <c r="DV811" s="56"/>
      <c r="DW811" s="56"/>
      <c r="DX811" s="56"/>
      <c r="DY811" s="56"/>
      <c r="DZ811" s="56"/>
      <c r="EA811" s="56"/>
      <c r="EB811" s="56"/>
      <c r="EC811" s="56"/>
      <c r="ED811" s="56"/>
      <c r="EE811" s="56"/>
      <c r="EF811" s="56"/>
      <c r="EG811" s="56"/>
      <c r="EH811" s="56"/>
      <c r="EI811" s="56"/>
      <c r="EJ811" s="56"/>
      <c r="EK811" s="56"/>
      <c r="EL811" s="56"/>
      <c r="EM811" s="56"/>
      <c r="EN811" s="56"/>
      <c r="EO811" s="56"/>
      <c r="EP811" s="56"/>
      <c r="EQ811" s="56"/>
      <c r="ER811" s="56"/>
      <c r="ES811" s="56"/>
      <c r="ET811" s="56"/>
      <c r="EU811" s="56"/>
      <c r="EV811" s="56"/>
      <c r="EW811" s="56"/>
      <c r="EX811" s="56"/>
      <c r="EY811" s="56"/>
      <c r="EZ811" s="56"/>
      <c r="FA811" s="56"/>
      <c r="FB811" s="56"/>
      <c r="FC811" s="56"/>
      <c r="FD811" s="56"/>
      <c r="FE811" s="56"/>
      <c r="FF811" s="56"/>
      <c r="FG811" s="56"/>
      <c r="FH811" s="56"/>
      <c r="FI811" s="56"/>
      <c r="FJ811" s="56"/>
      <c r="FK811" s="56"/>
      <c r="FL811" s="56"/>
      <c r="FM811" s="56"/>
      <c r="FN811" s="56"/>
      <c r="FO811" s="56"/>
      <c r="FP811" s="56"/>
      <c r="FQ811" s="56"/>
      <c r="FR811" s="56"/>
      <c r="FS811" s="56"/>
      <c r="FT811" s="56"/>
      <c r="FU811" s="56"/>
      <c r="FV811" s="56"/>
      <c r="FW811" s="56"/>
      <c r="FX811" s="56"/>
      <c r="FY811" s="56"/>
      <c r="FZ811" s="56"/>
      <c r="GA811" s="56"/>
      <c r="GB811" s="56"/>
      <c r="GC811" s="56"/>
      <c r="GD811" s="56"/>
      <c r="GE811" s="56"/>
      <c r="GF811" s="56"/>
      <c r="GG811" s="56"/>
      <c r="GH811" s="56"/>
      <c r="GI811" s="56"/>
      <c r="GJ811" s="56"/>
      <c r="GK811" s="56"/>
      <c r="GL811" s="56"/>
      <c r="GM811" s="56"/>
      <c r="GN811" s="56"/>
      <c r="GO811" s="56"/>
      <c r="GP811" s="56"/>
      <c r="GQ811" s="56"/>
      <c r="GR811" s="56"/>
      <c r="GS811" s="56"/>
      <c r="GT811" s="56"/>
      <c r="GU811" s="56"/>
      <c r="GV811" s="56"/>
      <c r="GW811" s="56"/>
      <c r="GX811" s="56"/>
      <c r="GY811" s="56"/>
      <c r="GZ811" s="56"/>
      <c r="HA811" s="56"/>
      <c r="HB811" s="56"/>
      <c r="HC811" s="56"/>
      <c r="HD811" s="56"/>
      <c r="HE811" s="56"/>
      <c r="HF811" s="56"/>
      <c r="HG811" s="56"/>
      <c r="HH811" s="56"/>
      <c r="HI811" s="56"/>
      <c r="HJ811" s="56"/>
    </row>
    <row r="812" spans="1:218" ht="15.75" customHeight="1" x14ac:dyDescent="0.2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  <c r="BV812" s="56"/>
      <c r="BW812" s="56"/>
      <c r="BX812" s="56"/>
      <c r="BY812" s="56"/>
      <c r="BZ812" s="56"/>
      <c r="CA812" s="56"/>
      <c r="CB812" s="56"/>
      <c r="CC812" s="56"/>
      <c r="CD812" s="56"/>
      <c r="CE812" s="56"/>
      <c r="CF812" s="56"/>
      <c r="CG812" s="56"/>
      <c r="CH812" s="56"/>
      <c r="CI812" s="56"/>
      <c r="CJ812" s="56"/>
      <c r="CK812" s="56"/>
      <c r="CL812" s="56"/>
      <c r="CM812" s="56"/>
      <c r="CN812" s="56"/>
      <c r="CO812" s="56"/>
      <c r="CP812" s="56"/>
      <c r="CQ812" s="56"/>
      <c r="CR812" s="56"/>
      <c r="CS812" s="56"/>
      <c r="CT812" s="56"/>
      <c r="CU812" s="56"/>
      <c r="CV812" s="56"/>
      <c r="CW812" s="56"/>
      <c r="CX812" s="56"/>
      <c r="CY812" s="56"/>
      <c r="CZ812" s="56"/>
      <c r="DA812" s="56"/>
      <c r="DB812" s="56"/>
      <c r="DC812" s="56"/>
      <c r="DD812" s="56"/>
      <c r="DE812" s="56"/>
      <c r="DF812" s="56"/>
      <c r="DG812" s="56"/>
      <c r="DH812" s="56"/>
      <c r="DI812" s="56"/>
      <c r="DJ812" s="56"/>
      <c r="DK812" s="56"/>
      <c r="DL812" s="56"/>
      <c r="DM812" s="56"/>
      <c r="DN812" s="56"/>
      <c r="DO812" s="56"/>
      <c r="DP812" s="56"/>
      <c r="DQ812" s="56"/>
      <c r="DR812" s="56"/>
      <c r="DS812" s="56"/>
      <c r="DT812" s="56"/>
      <c r="DU812" s="56"/>
      <c r="DV812" s="56"/>
      <c r="DW812" s="56"/>
      <c r="DX812" s="56"/>
      <c r="DY812" s="56"/>
      <c r="DZ812" s="56"/>
      <c r="EA812" s="56"/>
      <c r="EB812" s="56"/>
      <c r="EC812" s="56"/>
      <c r="ED812" s="56"/>
      <c r="EE812" s="56"/>
      <c r="EF812" s="56"/>
      <c r="EG812" s="56"/>
      <c r="EH812" s="56"/>
      <c r="EI812" s="56"/>
      <c r="EJ812" s="56"/>
      <c r="EK812" s="56"/>
      <c r="EL812" s="56"/>
      <c r="EM812" s="56"/>
      <c r="EN812" s="56"/>
      <c r="EO812" s="56"/>
      <c r="EP812" s="56"/>
      <c r="EQ812" s="56"/>
      <c r="ER812" s="56"/>
      <c r="ES812" s="56"/>
      <c r="ET812" s="56"/>
      <c r="EU812" s="56"/>
      <c r="EV812" s="56"/>
      <c r="EW812" s="56"/>
      <c r="EX812" s="56"/>
      <c r="EY812" s="56"/>
      <c r="EZ812" s="56"/>
      <c r="FA812" s="56"/>
      <c r="FB812" s="56"/>
      <c r="FC812" s="56"/>
      <c r="FD812" s="56"/>
      <c r="FE812" s="56"/>
      <c r="FF812" s="56"/>
      <c r="FG812" s="56"/>
      <c r="FH812" s="56"/>
      <c r="FI812" s="56"/>
      <c r="FJ812" s="56"/>
      <c r="FK812" s="56"/>
      <c r="FL812" s="56"/>
      <c r="FM812" s="56"/>
      <c r="FN812" s="56"/>
      <c r="FO812" s="56"/>
      <c r="FP812" s="56"/>
      <c r="FQ812" s="56"/>
      <c r="FR812" s="56"/>
      <c r="FS812" s="56"/>
      <c r="FT812" s="56"/>
      <c r="FU812" s="56"/>
      <c r="FV812" s="56"/>
      <c r="FW812" s="56"/>
      <c r="FX812" s="56"/>
      <c r="FY812" s="56"/>
      <c r="FZ812" s="56"/>
      <c r="GA812" s="56"/>
      <c r="GB812" s="56"/>
      <c r="GC812" s="56"/>
      <c r="GD812" s="56"/>
      <c r="GE812" s="56"/>
      <c r="GF812" s="56"/>
      <c r="GG812" s="56"/>
      <c r="GH812" s="56"/>
      <c r="GI812" s="56"/>
      <c r="GJ812" s="56"/>
      <c r="GK812" s="56"/>
      <c r="GL812" s="56"/>
      <c r="GM812" s="56"/>
      <c r="GN812" s="56"/>
      <c r="GO812" s="56"/>
      <c r="GP812" s="56"/>
      <c r="GQ812" s="56"/>
      <c r="GR812" s="56"/>
      <c r="GS812" s="56"/>
      <c r="GT812" s="56"/>
      <c r="GU812" s="56"/>
      <c r="GV812" s="56"/>
      <c r="GW812" s="56"/>
      <c r="GX812" s="56"/>
      <c r="GY812" s="56"/>
      <c r="GZ812" s="56"/>
      <c r="HA812" s="56"/>
      <c r="HB812" s="56"/>
      <c r="HC812" s="56"/>
      <c r="HD812" s="56"/>
      <c r="HE812" s="56"/>
      <c r="HF812" s="56"/>
      <c r="HG812" s="56"/>
      <c r="HH812" s="56"/>
      <c r="HI812" s="56"/>
      <c r="HJ812" s="56"/>
    </row>
    <row r="813" spans="1:218" ht="15.75" customHeight="1" x14ac:dyDescent="0.2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  <c r="BV813" s="56"/>
      <c r="BW813" s="56"/>
      <c r="BX813" s="56"/>
      <c r="BY813" s="56"/>
      <c r="BZ813" s="56"/>
      <c r="CA813" s="56"/>
      <c r="CB813" s="56"/>
      <c r="CC813" s="56"/>
      <c r="CD813" s="56"/>
      <c r="CE813" s="56"/>
      <c r="CF813" s="56"/>
      <c r="CG813" s="56"/>
      <c r="CH813" s="56"/>
      <c r="CI813" s="56"/>
      <c r="CJ813" s="56"/>
      <c r="CK813" s="56"/>
      <c r="CL813" s="56"/>
      <c r="CM813" s="56"/>
      <c r="CN813" s="56"/>
      <c r="CO813" s="56"/>
      <c r="CP813" s="56"/>
      <c r="CQ813" s="56"/>
      <c r="CR813" s="56"/>
      <c r="CS813" s="56"/>
      <c r="CT813" s="56"/>
      <c r="CU813" s="56"/>
      <c r="CV813" s="56"/>
      <c r="CW813" s="56"/>
      <c r="CX813" s="56"/>
      <c r="CY813" s="56"/>
      <c r="CZ813" s="56"/>
      <c r="DA813" s="56"/>
      <c r="DB813" s="56"/>
      <c r="DC813" s="56"/>
      <c r="DD813" s="56"/>
      <c r="DE813" s="56"/>
      <c r="DF813" s="56"/>
      <c r="DG813" s="56"/>
      <c r="DH813" s="56"/>
      <c r="DI813" s="56"/>
      <c r="DJ813" s="56"/>
      <c r="DK813" s="56"/>
      <c r="DL813" s="56"/>
      <c r="DM813" s="56"/>
      <c r="DN813" s="56"/>
      <c r="DO813" s="56"/>
      <c r="DP813" s="56"/>
      <c r="DQ813" s="56"/>
      <c r="DR813" s="56"/>
      <c r="DS813" s="56"/>
      <c r="DT813" s="56"/>
      <c r="DU813" s="56"/>
      <c r="DV813" s="56"/>
      <c r="DW813" s="56"/>
      <c r="DX813" s="56"/>
      <c r="DY813" s="56"/>
      <c r="DZ813" s="56"/>
      <c r="EA813" s="56"/>
      <c r="EB813" s="56"/>
      <c r="EC813" s="56"/>
      <c r="ED813" s="56"/>
      <c r="EE813" s="56"/>
      <c r="EF813" s="56"/>
      <c r="EG813" s="56"/>
      <c r="EH813" s="56"/>
      <c r="EI813" s="56"/>
      <c r="EJ813" s="56"/>
      <c r="EK813" s="56"/>
      <c r="EL813" s="56"/>
      <c r="EM813" s="56"/>
      <c r="EN813" s="56"/>
      <c r="EO813" s="56"/>
      <c r="EP813" s="56"/>
      <c r="EQ813" s="56"/>
      <c r="ER813" s="56"/>
      <c r="ES813" s="56"/>
      <c r="ET813" s="56"/>
      <c r="EU813" s="56"/>
      <c r="EV813" s="56"/>
      <c r="EW813" s="56"/>
      <c r="EX813" s="56"/>
      <c r="EY813" s="56"/>
      <c r="EZ813" s="56"/>
      <c r="FA813" s="56"/>
      <c r="FB813" s="56"/>
      <c r="FC813" s="56"/>
      <c r="FD813" s="56"/>
      <c r="FE813" s="56"/>
      <c r="FF813" s="56"/>
      <c r="FG813" s="56"/>
      <c r="FH813" s="56"/>
      <c r="FI813" s="56"/>
      <c r="FJ813" s="56"/>
      <c r="FK813" s="56"/>
      <c r="FL813" s="56"/>
      <c r="FM813" s="56"/>
      <c r="FN813" s="56"/>
      <c r="FO813" s="56"/>
      <c r="FP813" s="56"/>
      <c r="FQ813" s="56"/>
      <c r="FR813" s="56"/>
      <c r="FS813" s="56"/>
      <c r="FT813" s="56"/>
      <c r="FU813" s="56"/>
      <c r="FV813" s="56"/>
      <c r="FW813" s="56"/>
      <c r="FX813" s="56"/>
      <c r="FY813" s="56"/>
      <c r="FZ813" s="56"/>
      <c r="GA813" s="56"/>
      <c r="GB813" s="56"/>
      <c r="GC813" s="56"/>
      <c r="GD813" s="56"/>
      <c r="GE813" s="56"/>
      <c r="GF813" s="56"/>
      <c r="GG813" s="56"/>
      <c r="GH813" s="56"/>
      <c r="GI813" s="56"/>
      <c r="GJ813" s="56"/>
      <c r="GK813" s="56"/>
      <c r="GL813" s="56"/>
      <c r="GM813" s="56"/>
      <c r="GN813" s="56"/>
      <c r="GO813" s="56"/>
      <c r="GP813" s="56"/>
      <c r="GQ813" s="56"/>
      <c r="GR813" s="56"/>
      <c r="GS813" s="56"/>
      <c r="GT813" s="56"/>
      <c r="GU813" s="56"/>
      <c r="GV813" s="56"/>
      <c r="GW813" s="56"/>
      <c r="GX813" s="56"/>
      <c r="GY813" s="56"/>
      <c r="GZ813" s="56"/>
      <c r="HA813" s="56"/>
      <c r="HB813" s="56"/>
      <c r="HC813" s="56"/>
      <c r="HD813" s="56"/>
      <c r="HE813" s="56"/>
      <c r="HF813" s="56"/>
      <c r="HG813" s="56"/>
      <c r="HH813" s="56"/>
      <c r="HI813" s="56"/>
      <c r="HJ813" s="56"/>
    </row>
    <row r="814" spans="1:218" ht="15.75" customHeight="1" x14ac:dyDescent="0.2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  <c r="CL814" s="56"/>
      <c r="CM814" s="56"/>
      <c r="CN814" s="56"/>
      <c r="CO814" s="56"/>
      <c r="CP814" s="56"/>
      <c r="CQ814" s="56"/>
      <c r="CR814" s="56"/>
      <c r="CS814" s="56"/>
      <c r="CT814" s="56"/>
      <c r="CU814" s="56"/>
      <c r="CV814" s="56"/>
      <c r="CW814" s="56"/>
      <c r="CX814" s="56"/>
      <c r="CY814" s="56"/>
      <c r="CZ814" s="56"/>
      <c r="DA814" s="56"/>
      <c r="DB814" s="56"/>
      <c r="DC814" s="56"/>
      <c r="DD814" s="56"/>
      <c r="DE814" s="56"/>
      <c r="DF814" s="56"/>
      <c r="DG814" s="56"/>
      <c r="DH814" s="56"/>
      <c r="DI814" s="56"/>
      <c r="DJ814" s="56"/>
      <c r="DK814" s="56"/>
      <c r="DL814" s="56"/>
      <c r="DM814" s="56"/>
      <c r="DN814" s="56"/>
      <c r="DO814" s="56"/>
      <c r="DP814" s="56"/>
      <c r="DQ814" s="56"/>
      <c r="DR814" s="56"/>
      <c r="DS814" s="56"/>
      <c r="DT814" s="56"/>
      <c r="DU814" s="56"/>
      <c r="DV814" s="56"/>
      <c r="DW814" s="56"/>
      <c r="DX814" s="56"/>
      <c r="DY814" s="56"/>
      <c r="DZ814" s="56"/>
      <c r="EA814" s="56"/>
      <c r="EB814" s="56"/>
      <c r="EC814" s="56"/>
      <c r="ED814" s="56"/>
      <c r="EE814" s="56"/>
      <c r="EF814" s="56"/>
      <c r="EG814" s="56"/>
      <c r="EH814" s="56"/>
      <c r="EI814" s="56"/>
      <c r="EJ814" s="56"/>
      <c r="EK814" s="56"/>
      <c r="EL814" s="56"/>
      <c r="EM814" s="56"/>
      <c r="EN814" s="56"/>
      <c r="EO814" s="56"/>
      <c r="EP814" s="56"/>
      <c r="EQ814" s="56"/>
      <c r="ER814" s="56"/>
      <c r="ES814" s="56"/>
      <c r="ET814" s="56"/>
      <c r="EU814" s="56"/>
      <c r="EV814" s="56"/>
      <c r="EW814" s="56"/>
      <c r="EX814" s="56"/>
      <c r="EY814" s="56"/>
      <c r="EZ814" s="56"/>
      <c r="FA814" s="56"/>
      <c r="FB814" s="56"/>
      <c r="FC814" s="56"/>
      <c r="FD814" s="56"/>
      <c r="FE814" s="56"/>
      <c r="FF814" s="56"/>
      <c r="FG814" s="56"/>
      <c r="FH814" s="56"/>
      <c r="FI814" s="56"/>
      <c r="FJ814" s="56"/>
      <c r="FK814" s="56"/>
      <c r="FL814" s="56"/>
      <c r="FM814" s="56"/>
      <c r="FN814" s="56"/>
      <c r="FO814" s="56"/>
      <c r="FP814" s="56"/>
      <c r="FQ814" s="56"/>
      <c r="FR814" s="56"/>
      <c r="FS814" s="56"/>
      <c r="FT814" s="56"/>
      <c r="FU814" s="56"/>
      <c r="FV814" s="56"/>
      <c r="FW814" s="56"/>
      <c r="FX814" s="56"/>
      <c r="FY814" s="56"/>
      <c r="FZ814" s="56"/>
      <c r="GA814" s="56"/>
      <c r="GB814" s="56"/>
      <c r="GC814" s="56"/>
      <c r="GD814" s="56"/>
      <c r="GE814" s="56"/>
      <c r="GF814" s="56"/>
      <c r="GG814" s="56"/>
      <c r="GH814" s="56"/>
      <c r="GI814" s="56"/>
      <c r="GJ814" s="56"/>
      <c r="GK814" s="56"/>
      <c r="GL814" s="56"/>
      <c r="GM814" s="56"/>
      <c r="GN814" s="56"/>
      <c r="GO814" s="56"/>
      <c r="GP814" s="56"/>
      <c r="GQ814" s="56"/>
      <c r="GR814" s="56"/>
      <c r="GS814" s="56"/>
      <c r="GT814" s="56"/>
      <c r="GU814" s="56"/>
      <c r="GV814" s="56"/>
      <c r="GW814" s="56"/>
      <c r="GX814" s="56"/>
      <c r="GY814" s="56"/>
      <c r="GZ814" s="56"/>
      <c r="HA814" s="56"/>
      <c r="HB814" s="56"/>
      <c r="HC814" s="56"/>
      <c r="HD814" s="56"/>
      <c r="HE814" s="56"/>
      <c r="HF814" s="56"/>
      <c r="HG814" s="56"/>
      <c r="HH814" s="56"/>
      <c r="HI814" s="56"/>
      <c r="HJ814" s="56"/>
    </row>
    <row r="815" spans="1:218" ht="15.75" customHeight="1" x14ac:dyDescent="0.2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  <c r="BV815" s="56"/>
      <c r="BW815" s="56"/>
      <c r="BX815" s="56"/>
      <c r="BY815" s="56"/>
      <c r="BZ815" s="56"/>
      <c r="CA815" s="56"/>
      <c r="CB815" s="56"/>
      <c r="CC815" s="56"/>
      <c r="CD815" s="56"/>
      <c r="CE815" s="56"/>
      <c r="CF815" s="56"/>
      <c r="CG815" s="56"/>
      <c r="CH815" s="56"/>
      <c r="CI815" s="56"/>
      <c r="CJ815" s="56"/>
      <c r="CK815" s="56"/>
      <c r="CL815" s="56"/>
      <c r="CM815" s="56"/>
      <c r="CN815" s="56"/>
      <c r="CO815" s="56"/>
      <c r="CP815" s="56"/>
      <c r="CQ815" s="56"/>
      <c r="CR815" s="56"/>
      <c r="CS815" s="56"/>
      <c r="CT815" s="56"/>
      <c r="CU815" s="56"/>
      <c r="CV815" s="56"/>
      <c r="CW815" s="56"/>
      <c r="CX815" s="56"/>
      <c r="CY815" s="56"/>
      <c r="CZ815" s="56"/>
      <c r="DA815" s="56"/>
      <c r="DB815" s="56"/>
      <c r="DC815" s="56"/>
      <c r="DD815" s="56"/>
      <c r="DE815" s="56"/>
      <c r="DF815" s="56"/>
      <c r="DG815" s="56"/>
      <c r="DH815" s="56"/>
      <c r="DI815" s="56"/>
      <c r="DJ815" s="56"/>
      <c r="DK815" s="56"/>
      <c r="DL815" s="56"/>
      <c r="DM815" s="56"/>
      <c r="DN815" s="56"/>
      <c r="DO815" s="56"/>
      <c r="DP815" s="56"/>
      <c r="DQ815" s="56"/>
      <c r="DR815" s="56"/>
      <c r="DS815" s="56"/>
      <c r="DT815" s="56"/>
      <c r="DU815" s="56"/>
      <c r="DV815" s="56"/>
      <c r="DW815" s="56"/>
      <c r="DX815" s="56"/>
      <c r="DY815" s="56"/>
      <c r="DZ815" s="56"/>
      <c r="EA815" s="56"/>
      <c r="EB815" s="56"/>
      <c r="EC815" s="56"/>
      <c r="ED815" s="56"/>
      <c r="EE815" s="56"/>
      <c r="EF815" s="56"/>
      <c r="EG815" s="56"/>
      <c r="EH815" s="56"/>
      <c r="EI815" s="56"/>
      <c r="EJ815" s="56"/>
      <c r="EK815" s="56"/>
      <c r="EL815" s="56"/>
      <c r="EM815" s="56"/>
      <c r="EN815" s="56"/>
      <c r="EO815" s="56"/>
      <c r="EP815" s="56"/>
      <c r="EQ815" s="56"/>
      <c r="ER815" s="56"/>
      <c r="ES815" s="56"/>
      <c r="ET815" s="56"/>
      <c r="EU815" s="56"/>
      <c r="EV815" s="56"/>
      <c r="EW815" s="56"/>
      <c r="EX815" s="56"/>
      <c r="EY815" s="56"/>
      <c r="EZ815" s="56"/>
      <c r="FA815" s="56"/>
      <c r="FB815" s="56"/>
      <c r="FC815" s="56"/>
      <c r="FD815" s="56"/>
      <c r="FE815" s="56"/>
      <c r="FF815" s="56"/>
      <c r="FG815" s="56"/>
      <c r="FH815" s="56"/>
      <c r="FI815" s="56"/>
      <c r="FJ815" s="56"/>
      <c r="FK815" s="56"/>
      <c r="FL815" s="56"/>
      <c r="FM815" s="56"/>
      <c r="FN815" s="56"/>
      <c r="FO815" s="56"/>
      <c r="FP815" s="56"/>
      <c r="FQ815" s="56"/>
      <c r="FR815" s="56"/>
      <c r="FS815" s="56"/>
      <c r="FT815" s="56"/>
      <c r="FU815" s="56"/>
      <c r="FV815" s="56"/>
      <c r="FW815" s="56"/>
      <c r="FX815" s="56"/>
      <c r="FY815" s="56"/>
      <c r="FZ815" s="56"/>
      <c r="GA815" s="56"/>
      <c r="GB815" s="56"/>
      <c r="GC815" s="56"/>
      <c r="GD815" s="56"/>
      <c r="GE815" s="56"/>
      <c r="GF815" s="56"/>
      <c r="GG815" s="56"/>
      <c r="GH815" s="56"/>
      <c r="GI815" s="56"/>
      <c r="GJ815" s="56"/>
      <c r="GK815" s="56"/>
      <c r="GL815" s="56"/>
      <c r="GM815" s="56"/>
      <c r="GN815" s="56"/>
      <c r="GO815" s="56"/>
      <c r="GP815" s="56"/>
      <c r="GQ815" s="56"/>
      <c r="GR815" s="56"/>
      <c r="GS815" s="56"/>
      <c r="GT815" s="56"/>
      <c r="GU815" s="56"/>
      <c r="GV815" s="56"/>
      <c r="GW815" s="56"/>
      <c r="GX815" s="56"/>
      <c r="GY815" s="56"/>
      <c r="GZ815" s="56"/>
      <c r="HA815" s="56"/>
      <c r="HB815" s="56"/>
      <c r="HC815" s="56"/>
      <c r="HD815" s="56"/>
      <c r="HE815" s="56"/>
      <c r="HF815" s="56"/>
      <c r="HG815" s="56"/>
      <c r="HH815" s="56"/>
      <c r="HI815" s="56"/>
      <c r="HJ815" s="56"/>
    </row>
    <row r="816" spans="1:218" ht="15.75" customHeight="1" x14ac:dyDescent="0.2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  <c r="BV816" s="56"/>
      <c r="BW816" s="56"/>
      <c r="BX816" s="56"/>
      <c r="BY816" s="56"/>
      <c r="BZ816" s="56"/>
      <c r="CA816" s="56"/>
      <c r="CB816" s="56"/>
      <c r="CC816" s="56"/>
      <c r="CD816" s="56"/>
      <c r="CE816" s="56"/>
      <c r="CF816" s="56"/>
      <c r="CG816" s="56"/>
      <c r="CH816" s="56"/>
      <c r="CI816" s="56"/>
      <c r="CJ816" s="56"/>
      <c r="CK816" s="56"/>
      <c r="CL816" s="56"/>
      <c r="CM816" s="56"/>
      <c r="CN816" s="56"/>
      <c r="CO816" s="56"/>
      <c r="CP816" s="56"/>
      <c r="CQ816" s="56"/>
      <c r="CR816" s="56"/>
      <c r="CS816" s="56"/>
      <c r="CT816" s="56"/>
      <c r="CU816" s="56"/>
      <c r="CV816" s="56"/>
      <c r="CW816" s="56"/>
      <c r="CX816" s="56"/>
      <c r="CY816" s="56"/>
      <c r="CZ816" s="56"/>
      <c r="DA816" s="56"/>
      <c r="DB816" s="56"/>
      <c r="DC816" s="56"/>
      <c r="DD816" s="56"/>
      <c r="DE816" s="56"/>
      <c r="DF816" s="56"/>
      <c r="DG816" s="56"/>
      <c r="DH816" s="56"/>
      <c r="DI816" s="56"/>
      <c r="DJ816" s="56"/>
      <c r="DK816" s="56"/>
      <c r="DL816" s="56"/>
      <c r="DM816" s="56"/>
      <c r="DN816" s="56"/>
      <c r="DO816" s="56"/>
      <c r="DP816" s="56"/>
      <c r="DQ816" s="56"/>
      <c r="DR816" s="56"/>
      <c r="DS816" s="56"/>
      <c r="DT816" s="56"/>
      <c r="DU816" s="56"/>
      <c r="DV816" s="56"/>
      <c r="DW816" s="56"/>
      <c r="DX816" s="56"/>
      <c r="DY816" s="56"/>
      <c r="DZ816" s="56"/>
      <c r="EA816" s="56"/>
      <c r="EB816" s="56"/>
      <c r="EC816" s="56"/>
      <c r="ED816" s="56"/>
      <c r="EE816" s="56"/>
      <c r="EF816" s="56"/>
      <c r="EG816" s="56"/>
      <c r="EH816" s="56"/>
      <c r="EI816" s="56"/>
      <c r="EJ816" s="56"/>
      <c r="EK816" s="56"/>
      <c r="EL816" s="56"/>
      <c r="EM816" s="56"/>
      <c r="EN816" s="56"/>
      <c r="EO816" s="56"/>
      <c r="EP816" s="56"/>
      <c r="EQ816" s="56"/>
      <c r="ER816" s="56"/>
      <c r="ES816" s="56"/>
      <c r="ET816" s="56"/>
      <c r="EU816" s="56"/>
      <c r="EV816" s="56"/>
      <c r="EW816" s="56"/>
      <c r="EX816" s="56"/>
      <c r="EY816" s="56"/>
      <c r="EZ816" s="56"/>
      <c r="FA816" s="56"/>
      <c r="FB816" s="56"/>
      <c r="FC816" s="56"/>
      <c r="FD816" s="56"/>
      <c r="FE816" s="56"/>
      <c r="FF816" s="56"/>
      <c r="FG816" s="56"/>
      <c r="FH816" s="56"/>
      <c r="FI816" s="56"/>
      <c r="FJ816" s="56"/>
      <c r="FK816" s="56"/>
      <c r="FL816" s="56"/>
      <c r="FM816" s="56"/>
      <c r="FN816" s="56"/>
      <c r="FO816" s="56"/>
      <c r="FP816" s="56"/>
      <c r="FQ816" s="56"/>
      <c r="FR816" s="56"/>
      <c r="FS816" s="56"/>
      <c r="FT816" s="56"/>
      <c r="FU816" s="56"/>
      <c r="FV816" s="56"/>
      <c r="FW816" s="56"/>
      <c r="FX816" s="56"/>
      <c r="FY816" s="56"/>
      <c r="FZ816" s="56"/>
      <c r="GA816" s="56"/>
      <c r="GB816" s="56"/>
      <c r="GC816" s="56"/>
      <c r="GD816" s="56"/>
      <c r="GE816" s="56"/>
      <c r="GF816" s="56"/>
      <c r="GG816" s="56"/>
      <c r="GH816" s="56"/>
      <c r="GI816" s="56"/>
      <c r="GJ816" s="56"/>
      <c r="GK816" s="56"/>
      <c r="GL816" s="56"/>
      <c r="GM816" s="56"/>
      <c r="GN816" s="56"/>
      <c r="GO816" s="56"/>
      <c r="GP816" s="56"/>
      <c r="GQ816" s="56"/>
      <c r="GR816" s="56"/>
      <c r="GS816" s="56"/>
      <c r="GT816" s="56"/>
      <c r="GU816" s="56"/>
      <c r="GV816" s="56"/>
      <c r="GW816" s="56"/>
      <c r="GX816" s="56"/>
      <c r="GY816" s="56"/>
      <c r="GZ816" s="56"/>
      <c r="HA816" s="56"/>
      <c r="HB816" s="56"/>
      <c r="HC816" s="56"/>
      <c r="HD816" s="56"/>
      <c r="HE816" s="56"/>
      <c r="HF816" s="56"/>
      <c r="HG816" s="56"/>
      <c r="HH816" s="56"/>
      <c r="HI816" s="56"/>
      <c r="HJ816" s="56"/>
    </row>
    <row r="817" spans="1:218" ht="15.75" customHeight="1" x14ac:dyDescent="0.2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  <c r="CL817" s="56"/>
      <c r="CM817" s="56"/>
      <c r="CN817" s="56"/>
      <c r="CO817" s="56"/>
      <c r="CP817" s="56"/>
      <c r="CQ817" s="56"/>
      <c r="CR817" s="56"/>
      <c r="CS817" s="56"/>
      <c r="CT817" s="56"/>
      <c r="CU817" s="56"/>
      <c r="CV817" s="56"/>
      <c r="CW817" s="56"/>
      <c r="CX817" s="56"/>
      <c r="CY817" s="56"/>
      <c r="CZ817" s="56"/>
      <c r="DA817" s="56"/>
      <c r="DB817" s="56"/>
      <c r="DC817" s="56"/>
      <c r="DD817" s="56"/>
      <c r="DE817" s="56"/>
      <c r="DF817" s="56"/>
      <c r="DG817" s="56"/>
      <c r="DH817" s="56"/>
      <c r="DI817" s="56"/>
      <c r="DJ817" s="56"/>
      <c r="DK817" s="56"/>
      <c r="DL817" s="56"/>
      <c r="DM817" s="56"/>
      <c r="DN817" s="56"/>
      <c r="DO817" s="56"/>
      <c r="DP817" s="56"/>
      <c r="DQ817" s="56"/>
      <c r="DR817" s="56"/>
      <c r="DS817" s="56"/>
      <c r="DT817" s="56"/>
      <c r="DU817" s="56"/>
      <c r="DV817" s="56"/>
      <c r="DW817" s="56"/>
      <c r="DX817" s="56"/>
      <c r="DY817" s="56"/>
      <c r="DZ817" s="56"/>
      <c r="EA817" s="56"/>
      <c r="EB817" s="56"/>
      <c r="EC817" s="56"/>
      <c r="ED817" s="56"/>
      <c r="EE817" s="56"/>
      <c r="EF817" s="56"/>
      <c r="EG817" s="56"/>
      <c r="EH817" s="56"/>
      <c r="EI817" s="56"/>
      <c r="EJ817" s="56"/>
      <c r="EK817" s="56"/>
      <c r="EL817" s="56"/>
      <c r="EM817" s="56"/>
      <c r="EN817" s="56"/>
      <c r="EO817" s="56"/>
      <c r="EP817" s="56"/>
      <c r="EQ817" s="56"/>
      <c r="ER817" s="56"/>
      <c r="ES817" s="56"/>
      <c r="ET817" s="56"/>
      <c r="EU817" s="56"/>
      <c r="EV817" s="56"/>
      <c r="EW817" s="56"/>
      <c r="EX817" s="56"/>
      <c r="EY817" s="56"/>
      <c r="EZ817" s="56"/>
      <c r="FA817" s="56"/>
      <c r="FB817" s="56"/>
      <c r="FC817" s="56"/>
      <c r="FD817" s="56"/>
      <c r="FE817" s="56"/>
      <c r="FF817" s="56"/>
      <c r="FG817" s="56"/>
      <c r="FH817" s="56"/>
      <c r="FI817" s="56"/>
      <c r="FJ817" s="56"/>
      <c r="FK817" s="56"/>
      <c r="FL817" s="56"/>
      <c r="FM817" s="56"/>
      <c r="FN817" s="56"/>
      <c r="FO817" s="56"/>
      <c r="FP817" s="56"/>
      <c r="FQ817" s="56"/>
      <c r="FR817" s="56"/>
      <c r="FS817" s="56"/>
      <c r="FT817" s="56"/>
      <c r="FU817" s="56"/>
      <c r="FV817" s="56"/>
      <c r="FW817" s="56"/>
      <c r="FX817" s="56"/>
      <c r="FY817" s="56"/>
      <c r="FZ817" s="56"/>
      <c r="GA817" s="56"/>
      <c r="GB817" s="56"/>
      <c r="GC817" s="56"/>
      <c r="GD817" s="56"/>
      <c r="GE817" s="56"/>
      <c r="GF817" s="56"/>
      <c r="GG817" s="56"/>
      <c r="GH817" s="56"/>
      <c r="GI817" s="56"/>
      <c r="GJ817" s="56"/>
      <c r="GK817" s="56"/>
      <c r="GL817" s="56"/>
      <c r="GM817" s="56"/>
      <c r="GN817" s="56"/>
      <c r="GO817" s="56"/>
      <c r="GP817" s="56"/>
      <c r="GQ817" s="56"/>
      <c r="GR817" s="56"/>
      <c r="GS817" s="56"/>
      <c r="GT817" s="56"/>
      <c r="GU817" s="56"/>
      <c r="GV817" s="56"/>
      <c r="GW817" s="56"/>
      <c r="GX817" s="56"/>
      <c r="GY817" s="56"/>
      <c r="GZ817" s="56"/>
      <c r="HA817" s="56"/>
      <c r="HB817" s="56"/>
      <c r="HC817" s="56"/>
      <c r="HD817" s="56"/>
      <c r="HE817" s="56"/>
      <c r="HF817" s="56"/>
      <c r="HG817" s="56"/>
      <c r="HH817" s="56"/>
      <c r="HI817" s="56"/>
      <c r="HJ817" s="56"/>
    </row>
    <row r="818" spans="1:218" ht="15.75" customHeight="1" x14ac:dyDescent="0.2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  <c r="CL818" s="56"/>
      <c r="CM818" s="56"/>
      <c r="CN818" s="56"/>
      <c r="CO818" s="56"/>
      <c r="CP818" s="56"/>
      <c r="CQ818" s="56"/>
      <c r="CR818" s="56"/>
      <c r="CS818" s="56"/>
      <c r="CT818" s="56"/>
      <c r="CU818" s="56"/>
      <c r="CV818" s="56"/>
      <c r="CW818" s="56"/>
      <c r="CX818" s="56"/>
      <c r="CY818" s="56"/>
      <c r="CZ818" s="56"/>
      <c r="DA818" s="56"/>
      <c r="DB818" s="56"/>
      <c r="DC818" s="56"/>
      <c r="DD818" s="56"/>
      <c r="DE818" s="56"/>
      <c r="DF818" s="56"/>
      <c r="DG818" s="56"/>
      <c r="DH818" s="56"/>
      <c r="DI818" s="56"/>
      <c r="DJ818" s="56"/>
      <c r="DK818" s="56"/>
      <c r="DL818" s="56"/>
      <c r="DM818" s="56"/>
      <c r="DN818" s="56"/>
      <c r="DO818" s="56"/>
      <c r="DP818" s="56"/>
      <c r="DQ818" s="56"/>
      <c r="DR818" s="56"/>
      <c r="DS818" s="56"/>
      <c r="DT818" s="56"/>
      <c r="DU818" s="56"/>
      <c r="DV818" s="56"/>
      <c r="DW818" s="56"/>
      <c r="DX818" s="56"/>
      <c r="DY818" s="56"/>
      <c r="DZ818" s="56"/>
      <c r="EA818" s="56"/>
      <c r="EB818" s="56"/>
      <c r="EC818" s="56"/>
      <c r="ED818" s="56"/>
      <c r="EE818" s="56"/>
      <c r="EF818" s="56"/>
      <c r="EG818" s="56"/>
      <c r="EH818" s="56"/>
      <c r="EI818" s="56"/>
      <c r="EJ818" s="56"/>
      <c r="EK818" s="56"/>
      <c r="EL818" s="56"/>
      <c r="EM818" s="56"/>
      <c r="EN818" s="56"/>
      <c r="EO818" s="56"/>
      <c r="EP818" s="56"/>
      <c r="EQ818" s="56"/>
      <c r="ER818" s="56"/>
      <c r="ES818" s="56"/>
      <c r="ET818" s="56"/>
      <c r="EU818" s="56"/>
      <c r="EV818" s="56"/>
      <c r="EW818" s="56"/>
      <c r="EX818" s="56"/>
      <c r="EY818" s="56"/>
      <c r="EZ818" s="56"/>
      <c r="FA818" s="56"/>
      <c r="FB818" s="56"/>
      <c r="FC818" s="56"/>
      <c r="FD818" s="56"/>
      <c r="FE818" s="56"/>
      <c r="FF818" s="56"/>
      <c r="FG818" s="56"/>
      <c r="FH818" s="56"/>
      <c r="FI818" s="56"/>
      <c r="FJ818" s="56"/>
      <c r="FK818" s="56"/>
      <c r="FL818" s="56"/>
      <c r="FM818" s="56"/>
      <c r="FN818" s="56"/>
      <c r="FO818" s="56"/>
      <c r="FP818" s="56"/>
      <c r="FQ818" s="56"/>
      <c r="FR818" s="56"/>
      <c r="FS818" s="56"/>
      <c r="FT818" s="56"/>
      <c r="FU818" s="56"/>
      <c r="FV818" s="56"/>
      <c r="FW818" s="56"/>
      <c r="FX818" s="56"/>
      <c r="FY818" s="56"/>
      <c r="FZ818" s="56"/>
      <c r="GA818" s="56"/>
      <c r="GB818" s="56"/>
      <c r="GC818" s="56"/>
      <c r="GD818" s="56"/>
      <c r="GE818" s="56"/>
      <c r="GF818" s="56"/>
      <c r="GG818" s="56"/>
      <c r="GH818" s="56"/>
      <c r="GI818" s="56"/>
      <c r="GJ818" s="56"/>
      <c r="GK818" s="56"/>
      <c r="GL818" s="56"/>
      <c r="GM818" s="56"/>
      <c r="GN818" s="56"/>
      <c r="GO818" s="56"/>
      <c r="GP818" s="56"/>
      <c r="GQ818" s="56"/>
      <c r="GR818" s="56"/>
      <c r="GS818" s="56"/>
      <c r="GT818" s="56"/>
      <c r="GU818" s="56"/>
      <c r="GV818" s="56"/>
      <c r="GW818" s="56"/>
      <c r="GX818" s="56"/>
      <c r="GY818" s="56"/>
      <c r="GZ818" s="56"/>
      <c r="HA818" s="56"/>
      <c r="HB818" s="56"/>
      <c r="HC818" s="56"/>
      <c r="HD818" s="56"/>
      <c r="HE818" s="56"/>
      <c r="HF818" s="56"/>
      <c r="HG818" s="56"/>
      <c r="HH818" s="56"/>
      <c r="HI818" s="56"/>
      <c r="HJ818" s="56"/>
    </row>
    <row r="819" spans="1:218" ht="15.75" customHeight="1" x14ac:dyDescent="0.2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  <c r="CL819" s="56"/>
      <c r="CM819" s="56"/>
      <c r="CN819" s="56"/>
      <c r="CO819" s="56"/>
      <c r="CP819" s="56"/>
      <c r="CQ819" s="56"/>
      <c r="CR819" s="56"/>
      <c r="CS819" s="56"/>
      <c r="CT819" s="56"/>
      <c r="CU819" s="56"/>
      <c r="CV819" s="56"/>
      <c r="CW819" s="56"/>
      <c r="CX819" s="56"/>
      <c r="CY819" s="56"/>
      <c r="CZ819" s="56"/>
      <c r="DA819" s="56"/>
      <c r="DB819" s="56"/>
      <c r="DC819" s="56"/>
      <c r="DD819" s="56"/>
      <c r="DE819" s="56"/>
      <c r="DF819" s="56"/>
      <c r="DG819" s="56"/>
      <c r="DH819" s="56"/>
      <c r="DI819" s="56"/>
      <c r="DJ819" s="56"/>
      <c r="DK819" s="56"/>
      <c r="DL819" s="56"/>
      <c r="DM819" s="56"/>
      <c r="DN819" s="56"/>
      <c r="DO819" s="56"/>
      <c r="DP819" s="56"/>
      <c r="DQ819" s="56"/>
      <c r="DR819" s="56"/>
      <c r="DS819" s="56"/>
      <c r="DT819" s="56"/>
      <c r="DU819" s="56"/>
      <c r="DV819" s="56"/>
      <c r="DW819" s="56"/>
      <c r="DX819" s="56"/>
      <c r="DY819" s="56"/>
      <c r="DZ819" s="56"/>
      <c r="EA819" s="56"/>
      <c r="EB819" s="56"/>
      <c r="EC819" s="56"/>
      <c r="ED819" s="56"/>
      <c r="EE819" s="56"/>
      <c r="EF819" s="56"/>
      <c r="EG819" s="56"/>
      <c r="EH819" s="56"/>
      <c r="EI819" s="56"/>
      <c r="EJ819" s="56"/>
      <c r="EK819" s="56"/>
      <c r="EL819" s="56"/>
      <c r="EM819" s="56"/>
      <c r="EN819" s="56"/>
      <c r="EO819" s="56"/>
      <c r="EP819" s="56"/>
      <c r="EQ819" s="56"/>
      <c r="ER819" s="56"/>
      <c r="ES819" s="56"/>
      <c r="ET819" s="56"/>
      <c r="EU819" s="56"/>
      <c r="EV819" s="56"/>
      <c r="EW819" s="56"/>
      <c r="EX819" s="56"/>
      <c r="EY819" s="56"/>
      <c r="EZ819" s="56"/>
      <c r="FA819" s="56"/>
      <c r="FB819" s="56"/>
      <c r="FC819" s="56"/>
      <c r="FD819" s="56"/>
      <c r="FE819" s="56"/>
      <c r="FF819" s="56"/>
      <c r="FG819" s="56"/>
      <c r="FH819" s="56"/>
      <c r="FI819" s="56"/>
      <c r="FJ819" s="56"/>
      <c r="FK819" s="56"/>
      <c r="FL819" s="56"/>
      <c r="FM819" s="56"/>
      <c r="FN819" s="56"/>
      <c r="FO819" s="56"/>
      <c r="FP819" s="56"/>
      <c r="FQ819" s="56"/>
      <c r="FR819" s="56"/>
      <c r="FS819" s="56"/>
      <c r="FT819" s="56"/>
      <c r="FU819" s="56"/>
      <c r="FV819" s="56"/>
      <c r="FW819" s="56"/>
      <c r="FX819" s="56"/>
      <c r="FY819" s="56"/>
      <c r="FZ819" s="56"/>
      <c r="GA819" s="56"/>
      <c r="GB819" s="56"/>
      <c r="GC819" s="56"/>
      <c r="GD819" s="56"/>
      <c r="GE819" s="56"/>
      <c r="GF819" s="56"/>
      <c r="GG819" s="56"/>
      <c r="GH819" s="56"/>
      <c r="GI819" s="56"/>
      <c r="GJ819" s="56"/>
      <c r="GK819" s="56"/>
      <c r="GL819" s="56"/>
      <c r="GM819" s="56"/>
      <c r="GN819" s="56"/>
      <c r="GO819" s="56"/>
      <c r="GP819" s="56"/>
      <c r="GQ819" s="56"/>
      <c r="GR819" s="56"/>
      <c r="GS819" s="56"/>
      <c r="GT819" s="56"/>
      <c r="GU819" s="56"/>
      <c r="GV819" s="56"/>
      <c r="GW819" s="56"/>
      <c r="GX819" s="56"/>
      <c r="GY819" s="56"/>
      <c r="GZ819" s="56"/>
      <c r="HA819" s="56"/>
      <c r="HB819" s="56"/>
      <c r="HC819" s="56"/>
      <c r="HD819" s="56"/>
      <c r="HE819" s="56"/>
      <c r="HF819" s="56"/>
      <c r="HG819" s="56"/>
      <c r="HH819" s="56"/>
      <c r="HI819" s="56"/>
      <c r="HJ819" s="56"/>
    </row>
    <row r="820" spans="1:218" ht="15.75" customHeight="1" x14ac:dyDescent="0.2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  <c r="CL820" s="56"/>
      <c r="CM820" s="56"/>
      <c r="CN820" s="56"/>
      <c r="CO820" s="56"/>
      <c r="CP820" s="56"/>
      <c r="CQ820" s="56"/>
      <c r="CR820" s="56"/>
      <c r="CS820" s="56"/>
      <c r="CT820" s="56"/>
      <c r="CU820" s="56"/>
      <c r="CV820" s="56"/>
      <c r="CW820" s="56"/>
      <c r="CX820" s="56"/>
      <c r="CY820" s="56"/>
      <c r="CZ820" s="56"/>
      <c r="DA820" s="56"/>
      <c r="DB820" s="56"/>
      <c r="DC820" s="56"/>
      <c r="DD820" s="56"/>
      <c r="DE820" s="56"/>
      <c r="DF820" s="56"/>
      <c r="DG820" s="56"/>
      <c r="DH820" s="56"/>
      <c r="DI820" s="56"/>
      <c r="DJ820" s="56"/>
      <c r="DK820" s="56"/>
      <c r="DL820" s="56"/>
      <c r="DM820" s="56"/>
      <c r="DN820" s="56"/>
      <c r="DO820" s="56"/>
      <c r="DP820" s="56"/>
      <c r="DQ820" s="56"/>
      <c r="DR820" s="56"/>
      <c r="DS820" s="56"/>
      <c r="DT820" s="56"/>
      <c r="DU820" s="56"/>
      <c r="DV820" s="56"/>
      <c r="DW820" s="56"/>
      <c r="DX820" s="56"/>
      <c r="DY820" s="56"/>
      <c r="DZ820" s="56"/>
      <c r="EA820" s="56"/>
      <c r="EB820" s="56"/>
      <c r="EC820" s="56"/>
      <c r="ED820" s="56"/>
      <c r="EE820" s="56"/>
      <c r="EF820" s="56"/>
      <c r="EG820" s="56"/>
      <c r="EH820" s="56"/>
      <c r="EI820" s="56"/>
      <c r="EJ820" s="56"/>
      <c r="EK820" s="56"/>
      <c r="EL820" s="56"/>
      <c r="EM820" s="56"/>
      <c r="EN820" s="56"/>
      <c r="EO820" s="56"/>
      <c r="EP820" s="56"/>
      <c r="EQ820" s="56"/>
      <c r="ER820" s="56"/>
      <c r="ES820" s="56"/>
      <c r="ET820" s="56"/>
      <c r="EU820" s="56"/>
      <c r="EV820" s="56"/>
      <c r="EW820" s="56"/>
      <c r="EX820" s="56"/>
      <c r="EY820" s="56"/>
      <c r="EZ820" s="56"/>
      <c r="FA820" s="56"/>
      <c r="FB820" s="56"/>
      <c r="FC820" s="56"/>
      <c r="FD820" s="56"/>
      <c r="FE820" s="56"/>
      <c r="FF820" s="56"/>
      <c r="FG820" s="56"/>
      <c r="FH820" s="56"/>
      <c r="FI820" s="56"/>
      <c r="FJ820" s="56"/>
      <c r="FK820" s="56"/>
      <c r="FL820" s="56"/>
      <c r="FM820" s="56"/>
      <c r="FN820" s="56"/>
      <c r="FO820" s="56"/>
      <c r="FP820" s="56"/>
      <c r="FQ820" s="56"/>
      <c r="FR820" s="56"/>
      <c r="FS820" s="56"/>
      <c r="FT820" s="56"/>
      <c r="FU820" s="56"/>
      <c r="FV820" s="56"/>
      <c r="FW820" s="56"/>
      <c r="FX820" s="56"/>
      <c r="FY820" s="56"/>
      <c r="FZ820" s="56"/>
      <c r="GA820" s="56"/>
      <c r="GB820" s="56"/>
      <c r="GC820" s="56"/>
      <c r="GD820" s="56"/>
      <c r="GE820" s="56"/>
      <c r="GF820" s="56"/>
      <c r="GG820" s="56"/>
      <c r="GH820" s="56"/>
      <c r="GI820" s="56"/>
      <c r="GJ820" s="56"/>
      <c r="GK820" s="56"/>
      <c r="GL820" s="56"/>
      <c r="GM820" s="56"/>
      <c r="GN820" s="56"/>
      <c r="GO820" s="56"/>
      <c r="GP820" s="56"/>
      <c r="GQ820" s="56"/>
      <c r="GR820" s="56"/>
      <c r="GS820" s="56"/>
      <c r="GT820" s="56"/>
      <c r="GU820" s="56"/>
      <c r="GV820" s="56"/>
      <c r="GW820" s="56"/>
      <c r="GX820" s="56"/>
      <c r="GY820" s="56"/>
      <c r="GZ820" s="56"/>
      <c r="HA820" s="56"/>
      <c r="HB820" s="56"/>
      <c r="HC820" s="56"/>
      <c r="HD820" s="56"/>
      <c r="HE820" s="56"/>
      <c r="HF820" s="56"/>
      <c r="HG820" s="56"/>
      <c r="HH820" s="56"/>
      <c r="HI820" s="56"/>
      <c r="HJ820" s="56"/>
    </row>
    <row r="821" spans="1:218" ht="15.75" customHeight="1" x14ac:dyDescent="0.2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  <c r="CL821" s="56"/>
      <c r="CM821" s="56"/>
      <c r="CN821" s="56"/>
      <c r="CO821" s="56"/>
      <c r="CP821" s="56"/>
      <c r="CQ821" s="56"/>
      <c r="CR821" s="56"/>
      <c r="CS821" s="56"/>
      <c r="CT821" s="56"/>
      <c r="CU821" s="56"/>
      <c r="CV821" s="56"/>
      <c r="CW821" s="56"/>
      <c r="CX821" s="56"/>
      <c r="CY821" s="56"/>
      <c r="CZ821" s="56"/>
      <c r="DA821" s="56"/>
      <c r="DB821" s="56"/>
      <c r="DC821" s="56"/>
      <c r="DD821" s="56"/>
      <c r="DE821" s="56"/>
      <c r="DF821" s="56"/>
      <c r="DG821" s="56"/>
      <c r="DH821" s="56"/>
      <c r="DI821" s="56"/>
      <c r="DJ821" s="56"/>
      <c r="DK821" s="56"/>
      <c r="DL821" s="56"/>
      <c r="DM821" s="56"/>
      <c r="DN821" s="56"/>
      <c r="DO821" s="56"/>
      <c r="DP821" s="56"/>
      <c r="DQ821" s="56"/>
      <c r="DR821" s="56"/>
      <c r="DS821" s="56"/>
      <c r="DT821" s="56"/>
      <c r="DU821" s="56"/>
      <c r="DV821" s="56"/>
      <c r="DW821" s="56"/>
      <c r="DX821" s="56"/>
      <c r="DY821" s="56"/>
      <c r="DZ821" s="56"/>
      <c r="EA821" s="56"/>
      <c r="EB821" s="56"/>
      <c r="EC821" s="56"/>
      <c r="ED821" s="56"/>
      <c r="EE821" s="56"/>
      <c r="EF821" s="56"/>
      <c r="EG821" s="56"/>
      <c r="EH821" s="56"/>
      <c r="EI821" s="56"/>
      <c r="EJ821" s="56"/>
      <c r="EK821" s="56"/>
      <c r="EL821" s="56"/>
      <c r="EM821" s="56"/>
      <c r="EN821" s="56"/>
      <c r="EO821" s="56"/>
      <c r="EP821" s="56"/>
      <c r="EQ821" s="56"/>
      <c r="ER821" s="56"/>
      <c r="ES821" s="56"/>
      <c r="ET821" s="56"/>
      <c r="EU821" s="56"/>
      <c r="EV821" s="56"/>
      <c r="EW821" s="56"/>
      <c r="EX821" s="56"/>
      <c r="EY821" s="56"/>
      <c r="EZ821" s="56"/>
      <c r="FA821" s="56"/>
      <c r="FB821" s="56"/>
      <c r="FC821" s="56"/>
      <c r="FD821" s="56"/>
      <c r="FE821" s="56"/>
      <c r="FF821" s="56"/>
      <c r="FG821" s="56"/>
      <c r="FH821" s="56"/>
      <c r="FI821" s="56"/>
      <c r="FJ821" s="56"/>
      <c r="FK821" s="56"/>
      <c r="FL821" s="56"/>
      <c r="FM821" s="56"/>
      <c r="FN821" s="56"/>
      <c r="FO821" s="56"/>
      <c r="FP821" s="56"/>
      <c r="FQ821" s="56"/>
      <c r="FR821" s="56"/>
      <c r="FS821" s="56"/>
      <c r="FT821" s="56"/>
      <c r="FU821" s="56"/>
      <c r="FV821" s="56"/>
      <c r="FW821" s="56"/>
      <c r="FX821" s="56"/>
      <c r="FY821" s="56"/>
      <c r="FZ821" s="56"/>
      <c r="GA821" s="56"/>
      <c r="GB821" s="56"/>
      <c r="GC821" s="56"/>
      <c r="GD821" s="56"/>
      <c r="GE821" s="56"/>
      <c r="GF821" s="56"/>
      <c r="GG821" s="56"/>
      <c r="GH821" s="56"/>
      <c r="GI821" s="56"/>
      <c r="GJ821" s="56"/>
      <c r="GK821" s="56"/>
      <c r="GL821" s="56"/>
      <c r="GM821" s="56"/>
      <c r="GN821" s="56"/>
      <c r="GO821" s="56"/>
      <c r="GP821" s="56"/>
      <c r="GQ821" s="56"/>
      <c r="GR821" s="56"/>
      <c r="GS821" s="56"/>
      <c r="GT821" s="56"/>
      <c r="GU821" s="56"/>
      <c r="GV821" s="56"/>
      <c r="GW821" s="56"/>
      <c r="GX821" s="56"/>
      <c r="GY821" s="56"/>
      <c r="GZ821" s="56"/>
      <c r="HA821" s="56"/>
      <c r="HB821" s="56"/>
      <c r="HC821" s="56"/>
      <c r="HD821" s="56"/>
      <c r="HE821" s="56"/>
      <c r="HF821" s="56"/>
      <c r="HG821" s="56"/>
      <c r="HH821" s="56"/>
      <c r="HI821" s="56"/>
      <c r="HJ821" s="56"/>
    </row>
    <row r="822" spans="1:218" ht="15.75" customHeight="1" x14ac:dyDescent="0.2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  <c r="CL822" s="56"/>
      <c r="CM822" s="56"/>
      <c r="CN822" s="56"/>
      <c r="CO822" s="56"/>
      <c r="CP822" s="56"/>
      <c r="CQ822" s="56"/>
      <c r="CR822" s="56"/>
      <c r="CS822" s="56"/>
      <c r="CT822" s="56"/>
      <c r="CU822" s="56"/>
      <c r="CV822" s="56"/>
      <c r="CW822" s="56"/>
      <c r="CX822" s="56"/>
      <c r="CY822" s="56"/>
      <c r="CZ822" s="56"/>
      <c r="DA822" s="56"/>
      <c r="DB822" s="56"/>
      <c r="DC822" s="56"/>
      <c r="DD822" s="56"/>
      <c r="DE822" s="56"/>
      <c r="DF822" s="56"/>
      <c r="DG822" s="56"/>
      <c r="DH822" s="56"/>
      <c r="DI822" s="56"/>
      <c r="DJ822" s="56"/>
      <c r="DK822" s="56"/>
      <c r="DL822" s="56"/>
      <c r="DM822" s="56"/>
      <c r="DN822" s="56"/>
      <c r="DO822" s="56"/>
      <c r="DP822" s="56"/>
      <c r="DQ822" s="56"/>
      <c r="DR822" s="56"/>
      <c r="DS822" s="56"/>
      <c r="DT822" s="56"/>
      <c r="DU822" s="56"/>
      <c r="DV822" s="56"/>
      <c r="DW822" s="56"/>
      <c r="DX822" s="56"/>
      <c r="DY822" s="56"/>
      <c r="DZ822" s="56"/>
      <c r="EA822" s="56"/>
      <c r="EB822" s="56"/>
      <c r="EC822" s="56"/>
      <c r="ED822" s="56"/>
      <c r="EE822" s="56"/>
      <c r="EF822" s="56"/>
      <c r="EG822" s="56"/>
      <c r="EH822" s="56"/>
      <c r="EI822" s="56"/>
      <c r="EJ822" s="56"/>
      <c r="EK822" s="56"/>
      <c r="EL822" s="56"/>
      <c r="EM822" s="56"/>
      <c r="EN822" s="56"/>
      <c r="EO822" s="56"/>
      <c r="EP822" s="56"/>
      <c r="EQ822" s="56"/>
      <c r="ER822" s="56"/>
      <c r="ES822" s="56"/>
      <c r="ET822" s="56"/>
      <c r="EU822" s="56"/>
      <c r="EV822" s="56"/>
      <c r="EW822" s="56"/>
      <c r="EX822" s="56"/>
      <c r="EY822" s="56"/>
      <c r="EZ822" s="56"/>
      <c r="FA822" s="56"/>
      <c r="FB822" s="56"/>
      <c r="FC822" s="56"/>
      <c r="FD822" s="56"/>
      <c r="FE822" s="56"/>
      <c r="FF822" s="56"/>
      <c r="FG822" s="56"/>
      <c r="FH822" s="56"/>
      <c r="FI822" s="56"/>
      <c r="FJ822" s="56"/>
      <c r="FK822" s="56"/>
      <c r="FL822" s="56"/>
      <c r="FM822" s="56"/>
      <c r="FN822" s="56"/>
      <c r="FO822" s="56"/>
      <c r="FP822" s="56"/>
      <c r="FQ822" s="56"/>
      <c r="FR822" s="56"/>
      <c r="FS822" s="56"/>
      <c r="FT822" s="56"/>
      <c r="FU822" s="56"/>
      <c r="FV822" s="56"/>
      <c r="FW822" s="56"/>
      <c r="FX822" s="56"/>
      <c r="FY822" s="56"/>
      <c r="FZ822" s="56"/>
      <c r="GA822" s="56"/>
      <c r="GB822" s="56"/>
      <c r="GC822" s="56"/>
      <c r="GD822" s="56"/>
      <c r="GE822" s="56"/>
      <c r="GF822" s="56"/>
      <c r="GG822" s="56"/>
      <c r="GH822" s="56"/>
      <c r="GI822" s="56"/>
      <c r="GJ822" s="56"/>
      <c r="GK822" s="56"/>
      <c r="GL822" s="56"/>
      <c r="GM822" s="56"/>
      <c r="GN822" s="56"/>
      <c r="GO822" s="56"/>
      <c r="GP822" s="56"/>
      <c r="GQ822" s="56"/>
      <c r="GR822" s="56"/>
      <c r="GS822" s="56"/>
      <c r="GT822" s="56"/>
      <c r="GU822" s="56"/>
      <c r="GV822" s="56"/>
      <c r="GW822" s="56"/>
      <c r="GX822" s="56"/>
      <c r="GY822" s="56"/>
      <c r="GZ822" s="56"/>
      <c r="HA822" s="56"/>
      <c r="HB822" s="56"/>
      <c r="HC822" s="56"/>
      <c r="HD822" s="56"/>
      <c r="HE822" s="56"/>
      <c r="HF822" s="56"/>
      <c r="HG822" s="56"/>
      <c r="HH822" s="56"/>
      <c r="HI822" s="56"/>
      <c r="HJ822" s="56"/>
    </row>
    <row r="823" spans="1:218" ht="15.75" customHeight="1" x14ac:dyDescent="0.2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  <c r="BV823" s="56"/>
      <c r="BW823" s="56"/>
      <c r="BX823" s="56"/>
      <c r="BY823" s="56"/>
      <c r="BZ823" s="56"/>
      <c r="CA823" s="56"/>
      <c r="CB823" s="56"/>
      <c r="CC823" s="56"/>
      <c r="CD823" s="56"/>
      <c r="CE823" s="56"/>
      <c r="CF823" s="56"/>
      <c r="CG823" s="56"/>
      <c r="CH823" s="56"/>
      <c r="CI823" s="56"/>
      <c r="CJ823" s="56"/>
      <c r="CK823" s="56"/>
      <c r="CL823" s="56"/>
      <c r="CM823" s="56"/>
      <c r="CN823" s="56"/>
      <c r="CO823" s="56"/>
      <c r="CP823" s="56"/>
      <c r="CQ823" s="56"/>
      <c r="CR823" s="56"/>
      <c r="CS823" s="56"/>
      <c r="CT823" s="56"/>
      <c r="CU823" s="56"/>
      <c r="CV823" s="56"/>
      <c r="CW823" s="56"/>
      <c r="CX823" s="56"/>
      <c r="CY823" s="56"/>
      <c r="CZ823" s="56"/>
      <c r="DA823" s="56"/>
      <c r="DB823" s="56"/>
      <c r="DC823" s="56"/>
      <c r="DD823" s="56"/>
      <c r="DE823" s="56"/>
      <c r="DF823" s="56"/>
      <c r="DG823" s="56"/>
      <c r="DH823" s="56"/>
      <c r="DI823" s="56"/>
      <c r="DJ823" s="56"/>
      <c r="DK823" s="56"/>
      <c r="DL823" s="56"/>
      <c r="DM823" s="56"/>
      <c r="DN823" s="56"/>
      <c r="DO823" s="56"/>
      <c r="DP823" s="56"/>
      <c r="DQ823" s="56"/>
      <c r="DR823" s="56"/>
      <c r="DS823" s="56"/>
      <c r="DT823" s="56"/>
      <c r="DU823" s="56"/>
      <c r="DV823" s="56"/>
      <c r="DW823" s="56"/>
      <c r="DX823" s="56"/>
      <c r="DY823" s="56"/>
      <c r="DZ823" s="56"/>
      <c r="EA823" s="56"/>
      <c r="EB823" s="56"/>
      <c r="EC823" s="56"/>
      <c r="ED823" s="56"/>
      <c r="EE823" s="56"/>
      <c r="EF823" s="56"/>
      <c r="EG823" s="56"/>
      <c r="EH823" s="56"/>
      <c r="EI823" s="56"/>
      <c r="EJ823" s="56"/>
      <c r="EK823" s="56"/>
      <c r="EL823" s="56"/>
      <c r="EM823" s="56"/>
      <c r="EN823" s="56"/>
      <c r="EO823" s="56"/>
      <c r="EP823" s="56"/>
      <c r="EQ823" s="56"/>
      <c r="ER823" s="56"/>
      <c r="ES823" s="56"/>
      <c r="ET823" s="56"/>
      <c r="EU823" s="56"/>
      <c r="EV823" s="56"/>
      <c r="EW823" s="56"/>
      <c r="EX823" s="56"/>
      <c r="EY823" s="56"/>
      <c r="EZ823" s="56"/>
      <c r="FA823" s="56"/>
      <c r="FB823" s="56"/>
      <c r="FC823" s="56"/>
      <c r="FD823" s="56"/>
      <c r="FE823" s="56"/>
      <c r="FF823" s="56"/>
      <c r="FG823" s="56"/>
      <c r="FH823" s="56"/>
      <c r="FI823" s="56"/>
      <c r="FJ823" s="56"/>
      <c r="FK823" s="56"/>
      <c r="FL823" s="56"/>
      <c r="FM823" s="56"/>
      <c r="FN823" s="56"/>
      <c r="FO823" s="56"/>
      <c r="FP823" s="56"/>
      <c r="FQ823" s="56"/>
      <c r="FR823" s="56"/>
      <c r="FS823" s="56"/>
      <c r="FT823" s="56"/>
      <c r="FU823" s="56"/>
      <c r="FV823" s="56"/>
      <c r="FW823" s="56"/>
      <c r="FX823" s="56"/>
      <c r="FY823" s="56"/>
      <c r="FZ823" s="56"/>
      <c r="GA823" s="56"/>
      <c r="GB823" s="56"/>
      <c r="GC823" s="56"/>
      <c r="GD823" s="56"/>
      <c r="GE823" s="56"/>
      <c r="GF823" s="56"/>
      <c r="GG823" s="56"/>
      <c r="GH823" s="56"/>
      <c r="GI823" s="56"/>
      <c r="GJ823" s="56"/>
      <c r="GK823" s="56"/>
      <c r="GL823" s="56"/>
      <c r="GM823" s="56"/>
      <c r="GN823" s="56"/>
      <c r="GO823" s="56"/>
      <c r="GP823" s="56"/>
      <c r="GQ823" s="56"/>
      <c r="GR823" s="56"/>
      <c r="GS823" s="56"/>
      <c r="GT823" s="56"/>
      <c r="GU823" s="56"/>
      <c r="GV823" s="56"/>
      <c r="GW823" s="56"/>
      <c r="GX823" s="56"/>
      <c r="GY823" s="56"/>
      <c r="GZ823" s="56"/>
      <c r="HA823" s="56"/>
      <c r="HB823" s="56"/>
      <c r="HC823" s="56"/>
      <c r="HD823" s="56"/>
      <c r="HE823" s="56"/>
      <c r="HF823" s="56"/>
      <c r="HG823" s="56"/>
      <c r="HH823" s="56"/>
      <c r="HI823" s="56"/>
      <c r="HJ823" s="56"/>
    </row>
    <row r="824" spans="1:218" ht="15.75" customHeight="1" x14ac:dyDescent="0.2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  <c r="BV824" s="56"/>
      <c r="BW824" s="56"/>
      <c r="BX824" s="56"/>
      <c r="BY824" s="56"/>
      <c r="BZ824" s="56"/>
      <c r="CA824" s="56"/>
      <c r="CB824" s="56"/>
      <c r="CC824" s="56"/>
      <c r="CD824" s="56"/>
      <c r="CE824" s="56"/>
      <c r="CF824" s="56"/>
      <c r="CG824" s="56"/>
      <c r="CH824" s="56"/>
      <c r="CI824" s="56"/>
      <c r="CJ824" s="56"/>
      <c r="CK824" s="56"/>
      <c r="CL824" s="56"/>
      <c r="CM824" s="56"/>
      <c r="CN824" s="56"/>
      <c r="CO824" s="56"/>
      <c r="CP824" s="56"/>
      <c r="CQ824" s="56"/>
      <c r="CR824" s="56"/>
      <c r="CS824" s="56"/>
      <c r="CT824" s="56"/>
      <c r="CU824" s="56"/>
      <c r="CV824" s="56"/>
      <c r="CW824" s="56"/>
      <c r="CX824" s="56"/>
      <c r="CY824" s="56"/>
      <c r="CZ824" s="56"/>
      <c r="DA824" s="56"/>
      <c r="DB824" s="56"/>
      <c r="DC824" s="56"/>
      <c r="DD824" s="56"/>
      <c r="DE824" s="56"/>
      <c r="DF824" s="56"/>
      <c r="DG824" s="56"/>
      <c r="DH824" s="56"/>
      <c r="DI824" s="56"/>
      <c r="DJ824" s="56"/>
      <c r="DK824" s="56"/>
      <c r="DL824" s="56"/>
      <c r="DM824" s="56"/>
      <c r="DN824" s="56"/>
      <c r="DO824" s="56"/>
      <c r="DP824" s="56"/>
      <c r="DQ824" s="56"/>
      <c r="DR824" s="56"/>
      <c r="DS824" s="56"/>
      <c r="DT824" s="56"/>
      <c r="DU824" s="56"/>
      <c r="DV824" s="56"/>
      <c r="DW824" s="56"/>
      <c r="DX824" s="56"/>
      <c r="DY824" s="56"/>
      <c r="DZ824" s="56"/>
      <c r="EA824" s="56"/>
      <c r="EB824" s="56"/>
      <c r="EC824" s="56"/>
      <c r="ED824" s="56"/>
      <c r="EE824" s="56"/>
      <c r="EF824" s="56"/>
      <c r="EG824" s="56"/>
      <c r="EH824" s="56"/>
      <c r="EI824" s="56"/>
      <c r="EJ824" s="56"/>
      <c r="EK824" s="56"/>
      <c r="EL824" s="56"/>
      <c r="EM824" s="56"/>
      <c r="EN824" s="56"/>
      <c r="EO824" s="56"/>
      <c r="EP824" s="56"/>
      <c r="EQ824" s="56"/>
      <c r="ER824" s="56"/>
      <c r="ES824" s="56"/>
      <c r="ET824" s="56"/>
      <c r="EU824" s="56"/>
      <c r="EV824" s="56"/>
      <c r="EW824" s="56"/>
      <c r="EX824" s="56"/>
      <c r="EY824" s="56"/>
      <c r="EZ824" s="56"/>
      <c r="FA824" s="56"/>
      <c r="FB824" s="56"/>
      <c r="FC824" s="56"/>
      <c r="FD824" s="56"/>
      <c r="FE824" s="56"/>
      <c r="FF824" s="56"/>
      <c r="FG824" s="56"/>
      <c r="FH824" s="56"/>
      <c r="FI824" s="56"/>
      <c r="FJ824" s="56"/>
      <c r="FK824" s="56"/>
      <c r="FL824" s="56"/>
      <c r="FM824" s="56"/>
      <c r="FN824" s="56"/>
      <c r="FO824" s="56"/>
      <c r="FP824" s="56"/>
      <c r="FQ824" s="56"/>
      <c r="FR824" s="56"/>
      <c r="FS824" s="56"/>
      <c r="FT824" s="56"/>
      <c r="FU824" s="56"/>
      <c r="FV824" s="56"/>
      <c r="FW824" s="56"/>
      <c r="FX824" s="56"/>
      <c r="FY824" s="56"/>
      <c r="FZ824" s="56"/>
      <c r="GA824" s="56"/>
      <c r="GB824" s="56"/>
      <c r="GC824" s="56"/>
      <c r="GD824" s="56"/>
      <c r="GE824" s="56"/>
      <c r="GF824" s="56"/>
      <c r="GG824" s="56"/>
      <c r="GH824" s="56"/>
      <c r="GI824" s="56"/>
      <c r="GJ824" s="56"/>
      <c r="GK824" s="56"/>
      <c r="GL824" s="56"/>
      <c r="GM824" s="56"/>
      <c r="GN824" s="56"/>
      <c r="GO824" s="56"/>
      <c r="GP824" s="56"/>
      <c r="GQ824" s="56"/>
      <c r="GR824" s="56"/>
      <c r="GS824" s="56"/>
      <c r="GT824" s="56"/>
      <c r="GU824" s="56"/>
      <c r="GV824" s="56"/>
      <c r="GW824" s="56"/>
      <c r="GX824" s="56"/>
      <c r="GY824" s="56"/>
      <c r="GZ824" s="56"/>
      <c r="HA824" s="56"/>
      <c r="HB824" s="56"/>
      <c r="HC824" s="56"/>
      <c r="HD824" s="56"/>
      <c r="HE824" s="56"/>
      <c r="HF824" s="56"/>
      <c r="HG824" s="56"/>
      <c r="HH824" s="56"/>
      <c r="HI824" s="56"/>
      <c r="HJ824" s="56"/>
    </row>
    <row r="825" spans="1:218" ht="15.75" customHeight="1" x14ac:dyDescent="0.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  <c r="BV825" s="56"/>
      <c r="BW825" s="56"/>
      <c r="BX825" s="56"/>
      <c r="BY825" s="56"/>
      <c r="BZ825" s="56"/>
      <c r="CA825" s="56"/>
      <c r="CB825" s="56"/>
      <c r="CC825" s="56"/>
      <c r="CD825" s="56"/>
      <c r="CE825" s="56"/>
      <c r="CF825" s="56"/>
      <c r="CG825" s="56"/>
      <c r="CH825" s="56"/>
      <c r="CI825" s="56"/>
      <c r="CJ825" s="56"/>
      <c r="CK825" s="56"/>
      <c r="CL825" s="56"/>
      <c r="CM825" s="56"/>
      <c r="CN825" s="56"/>
      <c r="CO825" s="56"/>
      <c r="CP825" s="56"/>
      <c r="CQ825" s="56"/>
      <c r="CR825" s="56"/>
      <c r="CS825" s="56"/>
      <c r="CT825" s="56"/>
      <c r="CU825" s="56"/>
      <c r="CV825" s="56"/>
      <c r="CW825" s="56"/>
      <c r="CX825" s="56"/>
      <c r="CY825" s="56"/>
      <c r="CZ825" s="56"/>
      <c r="DA825" s="56"/>
      <c r="DB825" s="56"/>
      <c r="DC825" s="56"/>
      <c r="DD825" s="56"/>
      <c r="DE825" s="56"/>
      <c r="DF825" s="56"/>
      <c r="DG825" s="56"/>
      <c r="DH825" s="56"/>
      <c r="DI825" s="56"/>
      <c r="DJ825" s="56"/>
      <c r="DK825" s="56"/>
      <c r="DL825" s="56"/>
      <c r="DM825" s="56"/>
      <c r="DN825" s="56"/>
      <c r="DO825" s="56"/>
      <c r="DP825" s="56"/>
      <c r="DQ825" s="56"/>
      <c r="DR825" s="56"/>
      <c r="DS825" s="56"/>
      <c r="DT825" s="56"/>
      <c r="DU825" s="56"/>
      <c r="DV825" s="56"/>
      <c r="DW825" s="56"/>
      <c r="DX825" s="56"/>
      <c r="DY825" s="56"/>
      <c r="DZ825" s="56"/>
      <c r="EA825" s="56"/>
      <c r="EB825" s="56"/>
      <c r="EC825" s="56"/>
      <c r="ED825" s="56"/>
      <c r="EE825" s="56"/>
      <c r="EF825" s="56"/>
      <c r="EG825" s="56"/>
      <c r="EH825" s="56"/>
      <c r="EI825" s="56"/>
      <c r="EJ825" s="56"/>
      <c r="EK825" s="56"/>
      <c r="EL825" s="56"/>
      <c r="EM825" s="56"/>
      <c r="EN825" s="56"/>
      <c r="EO825" s="56"/>
      <c r="EP825" s="56"/>
      <c r="EQ825" s="56"/>
      <c r="ER825" s="56"/>
      <c r="ES825" s="56"/>
      <c r="ET825" s="56"/>
      <c r="EU825" s="56"/>
      <c r="EV825" s="56"/>
      <c r="EW825" s="56"/>
      <c r="EX825" s="56"/>
      <c r="EY825" s="56"/>
      <c r="EZ825" s="56"/>
      <c r="FA825" s="56"/>
      <c r="FB825" s="56"/>
      <c r="FC825" s="56"/>
      <c r="FD825" s="56"/>
      <c r="FE825" s="56"/>
      <c r="FF825" s="56"/>
      <c r="FG825" s="56"/>
      <c r="FH825" s="56"/>
      <c r="FI825" s="56"/>
      <c r="FJ825" s="56"/>
      <c r="FK825" s="56"/>
      <c r="FL825" s="56"/>
      <c r="FM825" s="56"/>
      <c r="FN825" s="56"/>
      <c r="FO825" s="56"/>
      <c r="FP825" s="56"/>
      <c r="FQ825" s="56"/>
      <c r="FR825" s="56"/>
      <c r="FS825" s="56"/>
      <c r="FT825" s="56"/>
      <c r="FU825" s="56"/>
      <c r="FV825" s="56"/>
      <c r="FW825" s="56"/>
      <c r="FX825" s="56"/>
      <c r="FY825" s="56"/>
      <c r="FZ825" s="56"/>
      <c r="GA825" s="56"/>
      <c r="GB825" s="56"/>
      <c r="GC825" s="56"/>
      <c r="GD825" s="56"/>
      <c r="GE825" s="56"/>
      <c r="GF825" s="56"/>
      <c r="GG825" s="56"/>
      <c r="GH825" s="56"/>
      <c r="GI825" s="56"/>
      <c r="GJ825" s="56"/>
      <c r="GK825" s="56"/>
      <c r="GL825" s="56"/>
      <c r="GM825" s="56"/>
      <c r="GN825" s="56"/>
      <c r="GO825" s="56"/>
      <c r="GP825" s="56"/>
      <c r="GQ825" s="56"/>
      <c r="GR825" s="56"/>
      <c r="GS825" s="56"/>
      <c r="GT825" s="56"/>
      <c r="GU825" s="56"/>
      <c r="GV825" s="56"/>
      <c r="GW825" s="56"/>
      <c r="GX825" s="56"/>
      <c r="GY825" s="56"/>
      <c r="GZ825" s="56"/>
      <c r="HA825" s="56"/>
      <c r="HB825" s="56"/>
      <c r="HC825" s="56"/>
      <c r="HD825" s="56"/>
      <c r="HE825" s="56"/>
      <c r="HF825" s="56"/>
      <c r="HG825" s="56"/>
      <c r="HH825" s="56"/>
      <c r="HI825" s="56"/>
      <c r="HJ825" s="56"/>
    </row>
    <row r="826" spans="1:218" ht="15.75" customHeight="1" x14ac:dyDescent="0.2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  <c r="CL826" s="56"/>
      <c r="CM826" s="56"/>
      <c r="CN826" s="56"/>
      <c r="CO826" s="56"/>
      <c r="CP826" s="56"/>
      <c r="CQ826" s="56"/>
      <c r="CR826" s="56"/>
      <c r="CS826" s="56"/>
      <c r="CT826" s="56"/>
      <c r="CU826" s="56"/>
      <c r="CV826" s="56"/>
      <c r="CW826" s="56"/>
      <c r="CX826" s="56"/>
      <c r="CY826" s="56"/>
      <c r="CZ826" s="56"/>
      <c r="DA826" s="56"/>
      <c r="DB826" s="56"/>
      <c r="DC826" s="56"/>
      <c r="DD826" s="56"/>
      <c r="DE826" s="56"/>
      <c r="DF826" s="56"/>
      <c r="DG826" s="56"/>
      <c r="DH826" s="56"/>
      <c r="DI826" s="56"/>
      <c r="DJ826" s="56"/>
      <c r="DK826" s="56"/>
      <c r="DL826" s="56"/>
      <c r="DM826" s="56"/>
      <c r="DN826" s="56"/>
      <c r="DO826" s="56"/>
      <c r="DP826" s="56"/>
      <c r="DQ826" s="56"/>
      <c r="DR826" s="56"/>
      <c r="DS826" s="56"/>
      <c r="DT826" s="56"/>
      <c r="DU826" s="56"/>
      <c r="DV826" s="56"/>
      <c r="DW826" s="56"/>
      <c r="DX826" s="56"/>
      <c r="DY826" s="56"/>
      <c r="DZ826" s="56"/>
      <c r="EA826" s="56"/>
      <c r="EB826" s="56"/>
      <c r="EC826" s="56"/>
      <c r="ED826" s="56"/>
      <c r="EE826" s="56"/>
      <c r="EF826" s="56"/>
      <c r="EG826" s="56"/>
      <c r="EH826" s="56"/>
      <c r="EI826" s="56"/>
      <c r="EJ826" s="56"/>
      <c r="EK826" s="56"/>
      <c r="EL826" s="56"/>
      <c r="EM826" s="56"/>
      <c r="EN826" s="56"/>
      <c r="EO826" s="56"/>
      <c r="EP826" s="56"/>
      <c r="EQ826" s="56"/>
      <c r="ER826" s="56"/>
      <c r="ES826" s="56"/>
      <c r="ET826" s="56"/>
      <c r="EU826" s="56"/>
      <c r="EV826" s="56"/>
      <c r="EW826" s="56"/>
      <c r="EX826" s="56"/>
      <c r="EY826" s="56"/>
      <c r="EZ826" s="56"/>
      <c r="FA826" s="56"/>
      <c r="FB826" s="56"/>
      <c r="FC826" s="56"/>
      <c r="FD826" s="56"/>
      <c r="FE826" s="56"/>
      <c r="FF826" s="56"/>
      <c r="FG826" s="56"/>
      <c r="FH826" s="56"/>
      <c r="FI826" s="56"/>
      <c r="FJ826" s="56"/>
      <c r="FK826" s="56"/>
      <c r="FL826" s="56"/>
      <c r="FM826" s="56"/>
      <c r="FN826" s="56"/>
      <c r="FO826" s="56"/>
      <c r="FP826" s="56"/>
      <c r="FQ826" s="56"/>
      <c r="FR826" s="56"/>
      <c r="FS826" s="56"/>
      <c r="FT826" s="56"/>
      <c r="FU826" s="56"/>
      <c r="FV826" s="56"/>
      <c r="FW826" s="56"/>
      <c r="FX826" s="56"/>
      <c r="FY826" s="56"/>
      <c r="FZ826" s="56"/>
      <c r="GA826" s="56"/>
      <c r="GB826" s="56"/>
      <c r="GC826" s="56"/>
      <c r="GD826" s="56"/>
      <c r="GE826" s="56"/>
      <c r="GF826" s="56"/>
      <c r="GG826" s="56"/>
      <c r="GH826" s="56"/>
      <c r="GI826" s="56"/>
      <c r="GJ826" s="56"/>
      <c r="GK826" s="56"/>
      <c r="GL826" s="56"/>
      <c r="GM826" s="56"/>
      <c r="GN826" s="56"/>
      <c r="GO826" s="56"/>
      <c r="GP826" s="56"/>
      <c r="GQ826" s="56"/>
      <c r="GR826" s="56"/>
      <c r="GS826" s="56"/>
      <c r="GT826" s="56"/>
      <c r="GU826" s="56"/>
      <c r="GV826" s="56"/>
      <c r="GW826" s="56"/>
      <c r="GX826" s="56"/>
      <c r="GY826" s="56"/>
      <c r="GZ826" s="56"/>
      <c r="HA826" s="56"/>
      <c r="HB826" s="56"/>
      <c r="HC826" s="56"/>
      <c r="HD826" s="56"/>
      <c r="HE826" s="56"/>
      <c r="HF826" s="56"/>
      <c r="HG826" s="56"/>
      <c r="HH826" s="56"/>
      <c r="HI826" s="56"/>
      <c r="HJ826" s="56"/>
    </row>
    <row r="827" spans="1:218" ht="15.75" customHeight="1" x14ac:dyDescent="0.2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  <c r="BV827" s="56"/>
      <c r="BW827" s="56"/>
      <c r="BX827" s="56"/>
      <c r="BY827" s="56"/>
      <c r="BZ827" s="56"/>
      <c r="CA827" s="56"/>
      <c r="CB827" s="56"/>
      <c r="CC827" s="56"/>
      <c r="CD827" s="56"/>
      <c r="CE827" s="56"/>
      <c r="CF827" s="56"/>
      <c r="CG827" s="56"/>
      <c r="CH827" s="56"/>
      <c r="CI827" s="56"/>
      <c r="CJ827" s="56"/>
      <c r="CK827" s="56"/>
      <c r="CL827" s="56"/>
      <c r="CM827" s="56"/>
      <c r="CN827" s="56"/>
      <c r="CO827" s="56"/>
      <c r="CP827" s="56"/>
      <c r="CQ827" s="56"/>
      <c r="CR827" s="56"/>
      <c r="CS827" s="56"/>
      <c r="CT827" s="56"/>
      <c r="CU827" s="56"/>
      <c r="CV827" s="56"/>
      <c r="CW827" s="56"/>
      <c r="CX827" s="56"/>
      <c r="CY827" s="56"/>
      <c r="CZ827" s="56"/>
      <c r="DA827" s="56"/>
      <c r="DB827" s="56"/>
      <c r="DC827" s="56"/>
      <c r="DD827" s="56"/>
      <c r="DE827" s="56"/>
      <c r="DF827" s="56"/>
      <c r="DG827" s="56"/>
      <c r="DH827" s="56"/>
      <c r="DI827" s="56"/>
      <c r="DJ827" s="56"/>
      <c r="DK827" s="56"/>
      <c r="DL827" s="56"/>
      <c r="DM827" s="56"/>
      <c r="DN827" s="56"/>
      <c r="DO827" s="56"/>
      <c r="DP827" s="56"/>
      <c r="DQ827" s="56"/>
      <c r="DR827" s="56"/>
      <c r="DS827" s="56"/>
      <c r="DT827" s="56"/>
      <c r="DU827" s="56"/>
      <c r="DV827" s="56"/>
      <c r="DW827" s="56"/>
      <c r="DX827" s="56"/>
      <c r="DY827" s="56"/>
      <c r="DZ827" s="56"/>
      <c r="EA827" s="56"/>
      <c r="EB827" s="56"/>
      <c r="EC827" s="56"/>
      <c r="ED827" s="56"/>
      <c r="EE827" s="56"/>
      <c r="EF827" s="56"/>
      <c r="EG827" s="56"/>
      <c r="EH827" s="56"/>
      <c r="EI827" s="56"/>
      <c r="EJ827" s="56"/>
      <c r="EK827" s="56"/>
      <c r="EL827" s="56"/>
      <c r="EM827" s="56"/>
      <c r="EN827" s="56"/>
      <c r="EO827" s="56"/>
      <c r="EP827" s="56"/>
      <c r="EQ827" s="56"/>
      <c r="ER827" s="56"/>
      <c r="ES827" s="56"/>
      <c r="ET827" s="56"/>
      <c r="EU827" s="56"/>
      <c r="EV827" s="56"/>
      <c r="EW827" s="56"/>
      <c r="EX827" s="56"/>
      <c r="EY827" s="56"/>
      <c r="EZ827" s="56"/>
      <c r="FA827" s="56"/>
      <c r="FB827" s="56"/>
      <c r="FC827" s="56"/>
      <c r="FD827" s="56"/>
      <c r="FE827" s="56"/>
      <c r="FF827" s="56"/>
      <c r="FG827" s="56"/>
      <c r="FH827" s="56"/>
      <c r="FI827" s="56"/>
      <c r="FJ827" s="56"/>
      <c r="FK827" s="56"/>
      <c r="FL827" s="56"/>
      <c r="FM827" s="56"/>
      <c r="FN827" s="56"/>
      <c r="FO827" s="56"/>
      <c r="FP827" s="56"/>
      <c r="FQ827" s="56"/>
      <c r="FR827" s="56"/>
      <c r="FS827" s="56"/>
      <c r="FT827" s="56"/>
      <c r="FU827" s="56"/>
      <c r="FV827" s="56"/>
      <c r="FW827" s="56"/>
      <c r="FX827" s="56"/>
      <c r="FY827" s="56"/>
      <c r="FZ827" s="56"/>
      <c r="GA827" s="56"/>
      <c r="GB827" s="56"/>
      <c r="GC827" s="56"/>
      <c r="GD827" s="56"/>
      <c r="GE827" s="56"/>
      <c r="GF827" s="56"/>
      <c r="GG827" s="56"/>
      <c r="GH827" s="56"/>
      <c r="GI827" s="56"/>
      <c r="GJ827" s="56"/>
      <c r="GK827" s="56"/>
      <c r="GL827" s="56"/>
      <c r="GM827" s="56"/>
      <c r="GN827" s="56"/>
      <c r="GO827" s="56"/>
      <c r="GP827" s="56"/>
      <c r="GQ827" s="56"/>
      <c r="GR827" s="56"/>
      <c r="GS827" s="56"/>
      <c r="GT827" s="56"/>
      <c r="GU827" s="56"/>
      <c r="GV827" s="56"/>
      <c r="GW827" s="56"/>
      <c r="GX827" s="56"/>
      <c r="GY827" s="56"/>
      <c r="GZ827" s="56"/>
      <c r="HA827" s="56"/>
      <c r="HB827" s="56"/>
      <c r="HC827" s="56"/>
      <c r="HD827" s="56"/>
      <c r="HE827" s="56"/>
      <c r="HF827" s="56"/>
      <c r="HG827" s="56"/>
      <c r="HH827" s="56"/>
      <c r="HI827" s="56"/>
      <c r="HJ827" s="56"/>
    </row>
    <row r="828" spans="1:218" ht="15.75" customHeight="1" x14ac:dyDescent="0.2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  <c r="BV828" s="56"/>
      <c r="BW828" s="56"/>
      <c r="BX828" s="56"/>
      <c r="BY828" s="56"/>
      <c r="BZ828" s="56"/>
      <c r="CA828" s="56"/>
      <c r="CB828" s="56"/>
      <c r="CC828" s="56"/>
      <c r="CD828" s="56"/>
      <c r="CE828" s="56"/>
      <c r="CF828" s="56"/>
      <c r="CG828" s="56"/>
      <c r="CH828" s="56"/>
      <c r="CI828" s="56"/>
      <c r="CJ828" s="56"/>
      <c r="CK828" s="56"/>
      <c r="CL828" s="56"/>
      <c r="CM828" s="56"/>
      <c r="CN828" s="56"/>
      <c r="CO828" s="56"/>
      <c r="CP828" s="56"/>
      <c r="CQ828" s="56"/>
      <c r="CR828" s="56"/>
      <c r="CS828" s="56"/>
      <c r="CT828" s="56"/>
      <c r="CU828" s="56"/>
      <c r="CV828" s="56"/>
      <c r="CW828" s="56"/>
      <c r="CX828" s="56"/>
      <c r="CY828" s="56"/>
      <c r="CZ828" s="56"/>
      <c r="DA828" s="56"/>
      <c r="DB828" s="56"/>
      <c r="DC828" s="56"/>
      <c r="DD828" s="56"/>
      <c r="DE828" s="56"/>
      <c r="DF828" s="56"/>
      <c r="DG828" s="56"/>
      <c r="DH828" s="56"/>
      <c r="DI828" s="56"/>
      <c r="DJ828" s="56"/>
      <c r="DK828" s="56"/>
      <c r="DL828" s="56"/>
      <c r="DM828" s="56"/>
      <c r="DN828" s="56"/>
      <c r="DO828" s="56"/>
      <c r="DP828" s="56"/>
      <c r="DQ828" s="56"/>
      <c r="DR828" s="56"/>
      <c r="DS828" s="56"/>
      <c r="DT828" s="56"/>
      <c r="DU828" s="56"/>
      <c r="DV828" s="56"/>
      <c r="DW828" s="56"/>
      <c r="DX828" s="56"/>
      <c r="DY828" s="56"/>
      <c r="DZ828" s="56"/>
      <c r="EA828" s="56"/>
      <c r="EB828" s="56"/>
      <c r="EC828" s="56"/>
      <c r="ED828" s="56"/>
      <c r="EE828" s="56"/>
      <c r="EF828" s="56"/>
      <c r="EG828" s="56"/>
      <c r="EH828" s="56"/>
      <c r="EI828" s="56"/>
      <c r="EJ828" s="56"/>
      <c r="EK828" s="56"/>
      <c r="EL828" s="56"/>
      <c r="EM828" s="56"/>
      <c r="EN828" s="56"/>
      <c r="EO828" s="56"/>
      <c r="EP828" s="56"/>
      <c r="EQ828" s="56"/>
      <c r="ER828" s="56"/>
      <c r="ES828" s="56"/>
      <c r="ET828" s="56"/>
      <c r="EU828" s="56"/>
      <c r="EV828" s="56"/>
      <c r="EW828" s="56"/>
      <c r="EX828" s="56"/>
      <c r="EY828" s="56"/>
      <c r="EZ828" s="56"/>
      <c r="FA828" s="56"/>
      <c r="FB828" s="56"/>
      <c r="FC828" s="56"/>
      <c r="FD828" s="56"/>
      <c r="FE828" s="56"/>
      <c r="FF828" s="56"/>
      <c r="FG828" s="56"/>
      <c r="FH828" s="56"/>
      <c r="FI828" s="56"/>
      <c r="FJ828" s="56"/>
      <c r="FK828" s="56"/>
      <c r="FL828" s="56"/>
      <c r="FM828" s="56"/>
      <c r="FN828" s="56"/>
      <c r="FO828" s="56"/>
      <c r="FP828" s="56"/>
      <c r="FQ828" s="56"/>
      <c r="FR828" s="56"/>
      <c r="FS828" s="56"/>
      <c r="FT828" s="56"/>
      <c r="FU828" s="56"/>
      <c r="FV828" s="56"/>
      <c r="FW828" s="56"/>
      <c r="FX828" s="56"/>
      <c r="FY828" s="56"/>
      <c r="FZ828" s="56"/>
      <c r="GA828" s="56"/>
      <c r="GB828" s="56"/>
      <c r="GC828" s="56"/>
      <c r="GD828" s="56"/>
      <c r="GE828" s="56"/>
      <c r="GF828" s="56"/>
      <c r="GG828" s="56"/>
      <c r="GH828" s="56"/>
      <c r="GI828" s="56"/>
      <c r="GJ828" s="56"/>
      <c r="GK828" s="56"/>
      <c r="GL828" s="56"/>
      <c r="GM828" s="56"/>
      <c r="GN828" s="56"/>
      <c r="GO828" s="56"/>
      <c r="GP828" s="56"/>
      <c r="GQ828" s="56"/>
      <c r="GR828" s="56"/>
      <c r="GS828" s="56"/>
      <c r="GT828" s="56"/>
      <c r="GU828" s="56"/>
      <c r="GV828" s="56"/>
      <c r="GW828" s="56"/>
      <c r="GX828" s="56"/>
      <c r="GY828" s="56"/>
      <c r="GZ828" s="56"/>
      <c r="HA828" s="56"/>
      <c r="HB828" s="56"/>
      <c r="HC828" s="56"/>
      <c r="HD828" s="56"/>
      <c r="HE828" s="56"/>
      <c r="HF828" s="56"/>
      <c r="HG828" s="56"/>
      <c r="HH828" s="56"/>
      <c r="HI828" s="56"/>
      <c r="HJ828" s="56"/>
    </row>
    <row r="829" spans="1:218" ht="15.75" customHeight="1" x14ac:dyDescent="0.2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  <c r="CL829" s="56"/>
      <c r="CM829" s="56"/>
      <c r="CN829" s="56"/>
      <c r="CO829" s="56"/>
      <c r="CP829" s="56"/>
      <c r="CQ829" s="56"/>
      <c r="CR829" s="56"/>
      <c r="CS829" s="56"/>
      <c r="CT829" s="56"/>
      <c r="CU829" s="56"/>
      <c r="CV829" s="56"/>
      <c r="CW829" s="56"/>
      <c r="CX829" s="56"/>
      <c r="CY829" s="56"/>
      <c r="CZ829" s="56"/>
      <c r="DA829" s="56"/>
      <c r="DB829" s="56"/>
      <c r="DC829" s="56"/>
      <c r="DD829" s="56"/>
      <c r="DE829" s="56"/>
      <c r="DF829" s="56"/>
      <c r="DG829" s="56"/>
      <c r="DH829" s="56"/>
      <c r="DI829" s="56"/>
      <c r="DJ829" s="56"/>
      <c r="DK829" s="56"/>
      <c r="DL829" s="56"/>
      <c r="DM829" s="56"/>
      <c r="DN829" s="56"/>
      <c r="DO829" s="56"/>
      <c r="DP829" s="56"/>
      <c r="DQ829" s="56"/>
      <c r="DR829" s="56"/>
      <c r="DS829" s="56"/>
      <c r="DT829" s="56"/>
      <c r="DU829" s="56"/>
      <c r="DV829" s="56"/>
      <c r="DW829" s="56"/>
      <c r="DX829" s="56"/>
      <c r="DY829" s="56"/>
      <c r="DZ829" s="56"/>
      <c r="EA829" s="56"/>
      <c r="EB829" s="56"/>
      <c r="EC829" s="56"/>
      <c r="ED829" s="56"/>
      <c r="EE829" s="56"/>
      <c r="EF829" s="56"/>
      <c r="EG829" s="56"/>
      <c r="EH829" s="56"/>
      <c r="EI829" s="56"/>
      <c r="EJ829" s="56"/>
      <c r="EK829" s="56"/>
      <c r="EL829" s="56"/>
      <c r="EM829" s="56"/>
      <c r="EN829" s="56"/>
      <c r="EO829" s="56"/>
      <c r="EP829" s="56"/>
      <c r="EQ829" s="56"/>
      <c r="ER829" s="56"/>
      <c r="ES829" s="56"/>
      <c r="ET829" s="56"/>
      <c r="EU829" s="56"/>
      <c r="EV829" s="56"/>
      <c r="EW829" s="56"/>
      <c r="EX829" s="56"/>
      <c r="EY829" s="56"/>
      <c r="EZ829" s="56"/>
      <c r="FA829" s="56"/>
      <c r="FB829" s="56"/>
      <c r="FC829" s="56"/>
      <c r="FD829" s="56"/>
      <c r="FE829" s="56"/>
      <c r="FF829" s="56"/>
      <c r="FG829" s="56"/>
      <c r="FH829" s="56"/>
      <c r="FI829" s="56"/>
      <c r="FJ829" s="56"/>
      <c r="FK829" s="56"/>
      <c r="FL829" s="56"/>
      <c r="FM829" s="56"/>
      <c r="FN829" s="56"/>
      <c r="FO829" s="56"/>
      <c r="FP829" s="56"/>
      <c r="FQ829" s="56"/>
      <c r="FR829" s="56"/>
      <c r="FS829" s="56"/>
      <c r="FT829" s="56"/>
      <c r="FU829" s="56"/>
      <c r="FV829" s="56"/>
      <c r="FW829" s="56"/>
      <c r="FX829" s="56"/>
      <c r="FY829" s="56"/>
      <c r="FZ829" s="56"/>
      <c r="GA829" s="56"/>
      <c r="GB829" s="56"/>
      <c r="GC829" s="56"/>
      <c r="GD829" s="56"/>
      <c r="GE829" s="56"/>
      <c r="GF829" s="56"/>
      <c r="GG829" s="56"/>
      <c r="GH829" s="56"/>
      <c r="GI829" s="56"/>
      <c r="GJ829" s="56"/>
      <c r="GK829" s="56"/>
      <c r="GL829" s="56"/>
      <c r="GM829" s="56"/>
      <c r="GN829" s="56"/>
      <c r="GO829" s="56"/>
      <c r="GP829" s="56"/>
      <c r="GQ829" s="56"/>
      <c r="GR829" s="56"/>
      <c r="GS829" s="56"/>
      <c r="GT829" s="56"/>
      <c r="GU829" s="56"/>
      <c r="GV829" s="56"/>
      <c r="GW829" s="56"/>
      <c r="GX829" s="56"/>
      <c r="GY829" s="56"/>
      <c r="GZ829" s="56"/>
      <c r="HA829" s="56"/>
      <c r="HB829" s="56"/>
      <c r="HC829" s="56"/>
      <c r="HD829" s="56"/>
      <c r="HE829" s="56"/>
      <c r="HF829" s="56"/>
      <c r="HG829" s="56"/>
      <c r="HH829" s="56"/>
      <c r="HI829" s="56"/>
      <c r="HJ829" s="56"/>
    </row>
    <row r="830" spans="1:218" ht="15.75" customHeight="1" x14ac:dyDescent="0.2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  <c r="CL830" s="56"/>
      <c r="CM830" s="56"/>
      <c r="CN830" s="56"/>
      <c r="CO830" s="56"/>
      <c r="CP830" s="56"/>
      <c r="CQ830" s="56"/>
      <c r="CR830" s="56"/>
      <c r="CS830" s="56"/>
      <c r="CT830" s="56"/>
      <c r="CU830" s="56"/>
      <c r="CV830" s="56"/>
      <c r="CW830" s="56"/>
      <c r="CX830" s="56"/>
      <c r="CY830" s="56"/>
      <c r="CZ830" s="56"/>
      <c r="DA830" s="56"/>
      <c r="DB830" s="56"/>
      <c r="DC830" s="56"/>
      <c r="DD830" s="56"/>
      <c r="DE830" s="56"/>
      <c r="DF830" s="56"/>
      <c r="DG830" s="56"/>
      <c r="DH830" s="56"/>
      <c r="DI830" s="56"/>
      <c r="DJ830" s="56"/>
      <c r="DK830" s="56"/>
      <c r="DL830" s="56"/>
      <c r="DM830" s="56"/>
      <c r="DN830" s="56"/>
      <c r="DO830" s="56"/>
      <c r="DP830" s="56"/>
      <c r="DQ830" s="56"/>
      <c r="DR830" s="56"/>
      <c r="DS830" s="56"/>
      <c r="DT830" s="56"/>
      <c r="DU830" s="56"/>
      <c r="DV830" s="56"/>
      <c r="DW830" s="56"/>
      <c r="DX830" s="56"/>
      <c r="DY830" s="56"/>
      <c r="DZ830" s="56"/>
      <c r="EA830" s="56"/>
      <c r="EB830" s="56"/>
      <c r="EC830" s="56"/>
      <c r="ED830" s="56"/>
      <c r="EE830" s="56"/>
      <c r="EF830" s="56"/>
      <c r="EG830" s="56"/>
      <c r="EH830" s="56"/>
      <c r="EI830" s="56"/>
      <c r="EJ830" s="56"/>
      <c r="EK830" s="56"/>
      <c r="EL830" s="56"/>
      <c r="EM830" s="56"/>
      <c r="EN830" s="56"/>
      <c r="EO830" s="56"/>
      <c r="EP830" s="56"/>
      <c r="EQ830" s="56"/>
      <c r="ER830" s="56"/>
      <c r="ES830" s="56"/>
      <c r="ET830" s="56"/>
      <c r="EU830" s="56"/>
      <c r="EV830" s="56"/>
      <c r="EW830" s="56"/>
      <c r="EX830" s="56"/>
      <c r="EY830" s="56"/>
      <c r="EZ830" s="56"/>
      <c r="FA830" s="56"/>
      <c r="FB830" s="56"/>
      <c r="FC830" s="56"/>
      <c r="FD830" s="56"/>
      <c r="FE830" s="56"/>
      <c r="FF830" s="56"/>
      <c r="FG830" s="56"/>
      <c r="FH830" s="56"/>
      <c r="FI830" s="56"/>
      <c r="FJ830" s="56"/>
      <c r="FK830" s="56"/>
      <c r="FL830" s="56"/>
      <c r="FM830" s="56"/>
      <c r="FN830" s="56"/>
      <c r="FO830" s="56"/>
      <c r="FP830" s="56"/>
      <c r="FQ830" s="56"/>
      <c r="FR830" s="56"/>
      <c r="FS830" s="56"/>
      <c r="FT830" s="56"/>
      <c r="FU830" s="56"/>
      <c r="FV830" s="56"/>
      <c r="FW830" s="56"/>
      <c r="FX830" s="56"/>
      <c r="FY830" s="56"/>
      <c r="FZ830" s="56"/>
      <c r="GA830" s="56"/>
      <c r="GB830" s="56"/>
      <c r="GC830" s="56"/>
      <c r="GD830" s="56"/>
      <c r="GE830" s="56"/>
      <c r="GF830" s="56"/>
      <c r="GG830" s="56"/>
      <c r="GH830" s="56"/>
      <c r="GI830" s="56"/>
      <c r="GJ830" s="56"/>
      <c r="GK830" s="56"/>
      <c r="GL830" s="56"/>
      <c r="GM830" s="56"/>
      <c r="GN830" s="56"/>
      <c r="GO830" s="56"/>
      <c r="GP830" s="56"/>
      <c r="GQ830" s="56"/>
      <c r="GR830" s="56"/>
      <c r="GS830" s="56"/>
      <c r="GT830" s="56"/>
      <c r="GU830" s="56"/>
      <c r="GV830" s="56"/>
      <c r="GW830" s="56"/>
      <c r="GX830" s="56"/>
      <c r="GY830" s="56"/>
      <c r="GZ830" s="56"/>
      <c r="HA830" s="56"/>
      <c r="HB830" s="56"/>
      <c r="HC830" s="56"/>
      <c r="HD830" s="56"/>
      <c r="HE830" s="56"/>
      <c r="HF830" s="56"/>
      <c r="HG830" s="56"/>
      <c r="HH830" s="56"/>
      <c r="HI830" s="56"/>
      <c r="HJ830" s="56"/>
    </row>
    <row r="831" spans="1:218" ht="15.75" customHeight="1" x14ac:dyDescent="0.2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  <c r="BV831" s="56"/>
      <c r="BW831" s="56"/>
      <c r="BX831" s="56"/>
      <c r="BY831" s="56"/>
      <c r="BZ831" s="56"/>
      <c r="CA831" s="56"/>
      <c r="CB831" s="56"/>
      <c r="CC831" s="56"/>
      <c r="CD831" s="56"/>
      <c r="CE831" s="56"/>
      <c r="CF831" s="56"/>
      <c r="CG831" s="56"/>
      <c r="CH831" s="56"/>
      <c r="CI831" s="56"/>
      <c r="CJ831" s="56"/>
      <c r="CK831" s="56"/>
      <c r="CL831" s="56"/>
      <c r="CM831" s="56"/>
      <c r="CN831" s="56"/>
      <c r="CO831" s="56"/>
      <c r="CP831" s="56"/>
      <c r="CQ831" s="56"/>
      <c r="CR831" s="56"/>
      <c r="CS831" s="56"/>
      <c r="CT831" s="56"/>
      <c r="CU831" s="56"/>
      <c r="CV831" s="56"/>
      <c r="CW831" s="56"/>
      <c r="CX831" s="56"/>
      <c r="CY831" s="56"/>
      <c r="CZ831" s="56"/>
      <c r="DA831" s="56"/>
      <c r="DB831" s="56"/>
      <c r="DC831" s="56"/>
      <c r="DD831" s="56"/>
      <c r="DE831" s="56"/>
      <c r="DF831" s="56"/>
      <c r="DG831" s="56"/>
      <c r="DH831" s="56"/>
      <c r="DI831" s="56"/>
      <c r="DJ831" s="56"/>
      <c r="DK831" s="56"/>
      <c r="DL831" s="56"/>
      <c r="DM831" s="56"/>
      <c r="DN831" s="56"/>
      <c r="DO831" s="56"/>
      <c r="DP831" s="56"/>
      <c r="DQ831" s="56"/>
      <c r="DR831" s="56"/>
      <c r="DS831" s="56"/>
      <c r="DT831" s="56"/>
      <c r="DU831" s="56"/>
      <c r="DV831" s="56"/>
      <c r="DW831" s="56"/>
      <c r="DX831" s="56"/>
      <c r="DY831" s="56"/>
      <c r="DZ831" s="56"/>
      <c r="EA831" s="56"/>
      <c r="EB831" s="56"/>
      <c r="EC831" s="56"/>
      <c r="ED831" s="56"/>
      <c r="EE831" s="56"/>
      <c r="EF831" s="56"/>
      <c r="EG831" s="56"/>
      <c r="EH831" s="56"/>
      <c r="EI831" s="56"/>
      <c r="EJ831" s="56"/>
      <c r="EK831" s="56"/>
      <c r="EL831" s="56"/>
      <c r="EM831" s="56"/>
      <c r="EN831" s="56"/>
      <c r="EO831" s="56"/>
      <c r="EP831" s="56"/>
      <c r="EQ831" s="56"/>
      <c r="ER831" s="56"/>
      <c r="ES831" s="56"/>
      <c r="ET831" s="56"/>
      <c r="EU831" s="56"/>
      <c r="EV831" s="56"/>
      <c r="EW831" s="56"/>
      <c r="EX831" s="56"/>
      <c r="EY831" s="56"/>
      <c r="EZ831" s="56"/>
      <c r="FA831" s="56"/>
      <c r="FB831" s="56"/>
      <c r="FC831" s="56"/>
      <c r="FD831" s="56"/>
      <c r="FE831" s="56"/>
      <c r="FF831" s="56"/>
      <c r="FG831" s="56"/>
      <c r="FH831" s="56"/>
      <c r="FI831" s="56"/>
      <c r="FJ831" s="56"/>
      <c r="FK831" s="56"/>
      <c r="FL831" s="56"/>
      <c r="FM831" s="56"/>
      <c r="FN831" s="56"/>
      <c r="FO831" s="56"/>
      <c r="FP831" s="56"/>
      <c r="FQ831" s="56"/>
      <c r="FR831" s="56"/>
      <c r="FS831" s="56"/>
      <c r="FT831" s="56"/>
      <c r="FU831" s="56"/>
      <c r="FV831" s="56"/>
      <c r="FW831" s="56"/>
      <c r="FX831" s="56"/>
      <c r="FY831" s="56"/>
      <c r="FZ831" s="56"/>
      <c r="GA831" s="56"/>
      <c r="GB831" s="56"/>
      <c r="GC831" s="56"/>
      <c r="GD831" s="56"/>
      <c r="GE831" s="56"/>
      <c r="GF831" s="56"/>
      <c r="GG831" s="56"/>
      <c r="GH831" s="56"/>
      <c r="GI831" s="56"/>
      <c r="GJ831" s="56"/>
      <c r="GK831" s="56"/>
      <c r="GL831" s="56"/>
      <c r="GM831" s="56"/>
      <c r="GN831" s="56"/>
      <c r="GO831" s="56"/>
      <c r="GP831" s="56"/>
      <c r="GQ831" s="56"/>
      <c r="GR831" s="56"/>
      <c r="GS831" s="56"/>
      <c r="GT831" s="56"/>
      <c r="GU831" s="56"/>
      <c r="GV831" s="56"/>
      <c r="GW831" s="56"/>
      <c r="GX831" s="56"/>
      <c r="GY831" s="56"/>
      <c r="GZ831" s="56"/>
      <c r="HA831" s="56"/>
      <c r="HB831" s="56"/>
      <c r="HC831" s="56"/>
      <c r="HD831" s="56"/>
      <c r="HE831" s="56"/>
      <c r="HF831" s="56"/>
      <c r="HG831" s="56"/>
      <c r="HH831" s="56"/>
      <c r="HI831" s="56"/>
      <c r="HJ831" s="56"/>
    </row>
    <row r="832" spans="1:218" ht="15.75" customHeight="1" x14ac:dyDescent="0.2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6"/>
      <c r="CA832" s="56"/>
      <c r="CB832" s="56"/>
      <c r="CC832" s="56"/>
      <c r="CD832" s="56"/>
      <c r="CE832" s="56"/>
      <c r="CF832" s="56"/>
      <c r="CG832" s="56"/>
      <c r="CH832" s="56"/>
      <c r="CI832" s="56"/>
      <c r="CJ832" s="56"/>
      <c r="CK832" s="56"/>
      <c r="CL832" s="56"/>
      <c r="CM832" s="56"/>
      <c r="CN832" s="56"/>
      <c r="CO832" s="56"/>
      <c r="CP832" s="56"/>
      <c r="CQ832" s="56"/>
      <c r="CR832" s="56"/>
      <c r="CS832" s="56"/>
      <c r="CT832" s="56"/>
      <c r="CU832" s="56"/>
      <c r="CV832" s="56"/>
      <c r="CW832" s="56"/>
      <c r="CX832" s="56"/>
      <c r="CY832" s="56"/>
      <c r="CZ832" s="56"/>
      <c r="DA832" s="56"/>
      <c r="DB832" s="56"/>
      <c r="DC832" s="56"/>
      <c r="DD832" s="56"/>
      <c r="DE832" s="56"/>
      <c r="DF832" s="56"/>
      <c r="DG832" s="56"/>
      <c r="DH832" s="56"/>
      <c r="DI832" s="56"/>
      <c r="DJ832" s="56"/>
      <c r="DK832" s="56"/>
      <c r="DL832" s="56"/>
      <c r="DM832" s="56"/>
      <c r="DN832" s="56"/>
      <c r="DO832" s="56"/>
      <c r="DP832" s="56"/>
      <c r="DQ832" s="56"/>
      <c r="DR832" s="56"/>
      <c r="DS832" s="56"/>
      <c r="DT832" s="56"/>
      <c r="DU832" s="56"/>
      <c r="DV832" s="56"/>
      <c r="DW832" s="56"/>
      <c r="DX832" s="56"/>
      <c r="DY832" s="56"/>
      <c r="DZ832" s="56"/>
      <c r="EA832" s="56"/>
      <c r="EB832" s="56"/>
      <c r="EC832" s="56"/>
      <c r="ED832" s="56"/>
      <c r="EE832" s="56"/>
      <c r="EF832" s="56"/>
      <c r="EG832" s="56"/>
      <c r="EH832" s="56"/>
      <c r="EI832" s="56"/>
      <c r="EJ832" s="56"/>
      <c r="EK832" s="56"/>
      <c r="EL832" s="56"/>
      <c r="EM832" s="56"/>
      <c r="EN832" s="56"/>
      <c r="EO832" s="56"/>
      <c r="EP832" s="56"/>
      <c r="EQ832" s="56"/>
      <c r="ER832" s="56"/>
      <c r="ES832" s="56"/>
      <c r="ET832" s="56"/>
      <c r="EU832" s="56"/>
      <c r="EV832" s="56"/>
      <c r="EW832" s="56"/>
      <c r="EX832" s="56"/>
      <c r="EY832" s="56"/>
      <c r="EZ832" s="56"/>
      <c r="FA832" s="56"/>
      <c r="FB832" s="56"/>
      <c r="FC832" s="56"/>
      <c r="FD832" s="56"/>
      <c r="FE832" s="56"/>
      <c r="FF832" s="56"/>
      <c r="FG832" s="56"/>
      <c r="FH832" s="56"/>
      <c r="FI832" s="56"/>
      <c r="FJ832" s="56"/>
      <c r="FK832" s="56"/>
      <c r="FL832" s="56"/>
      <c r="FM832" s="56"/>
      <c r="FN832" s="56"/>
      <c r="FO832" s="56"/>
      <c r="FP832" s="56"/>
      <c r="FQ832" s="56"/>
      <c r="FR832" s="56"/>
      <c r="FS832" s="56"/>
      <c r="FT832" s="56"/>
      <c r="FU832" s="56"/>
      <c r="FV832" s="56"/>
      <c r="FW832" s="56"/>
      <c r="FX832" s="56"/>
      <c r="FY832" s="56"/>
      <c r="FZ832" s="56"/>
      <c r="GA832" s="56"/>
      <c r="GB832" s="56"/>
      <c r="GC832" s="56"/>
      <c r="GD832" s="56"/>
      <c r="GE832" s="56"/>
      <c r="GF832" s="56"/>
      <c r="GG832" s="56"/>
      <c r="GH832" s="56"/>
      <c r="GI832" s="56"/>
      <c r="GJ832" s="56"/>
      <c r="GK832" s="56"/>
      <c r="GL832" s="56"/>
      <c r="GM832" s="56"/>
      <c r="GN832" s="56"/>
      <c r="GO832" s="56"/>
      <c r="GP832" s="56"/>
      <c r="GQ832" s="56"/>
      <c r="GR832" s="56"/>
      <c r="GS832" s="56"/>
      <c r="GT832" s="56"/>
      <c r="GU832" s="56"/>
      <c r="GV832" s="56"/>
      <c r="GW832" s="56"/>
      <c r="GX832" s="56"/>
      <c r="GY832" s="56"/>
      <c r="GZ832" s="56"/>
      <c r="HA832" s="56"/>
      <c r="HB832" s="56"/>
      <c r="HC832" s="56"/>
      <c r="HD832" s="56"/>
      <c r="HE832" s="56"/>
      <c r="HF832" s="56"/>
      <c r="HG832" s="56"/>
      <c r="HH832" s="56"/>
      <c r="HI832" s="56"/>
      <c r="HJ832" s="56"/>
    </row>
    <row r="833" spans="1:218" ht="15.75" customHeight="1" x14ac:dyDescent="0.2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  <c r="BV833" s="56"/>
      <c r="BW833" s="56"/>
      <c r="BX833" s="56"/>
      <c r="BY833" s="56"/>
      <c r="BZ833" s="56"/>
      <c r="CA833" s="56"/>
      <c r="CB833" s="56"/>
      <c r="CC833" s="56"/>
      <c r="CD833" s="56"/>
      <c r="CE833" s="56"/>
      <c r="CF833" s="56"/>
      <c r="CG833" s="56"/>
      <c r="CH833" s="56"/>
      <c r="CI833" s="56"/>
      <c r="CJ833" s="56"/>
      <c r="CK833" s="56"/>
      <c r="CL833" s="56"/>
      <c r="CM833" s="56"/>
      <c r="CN833" s="56"/>
      <c r="CO833" s="56"/>
      <c r="CP833" s="56"/>
      <c r="CQ833" s="56"/>
      <c r="CR833" s="56"/>
      <c r="CS833" s="56"/>
      <c r="CT833" s="56"/>
      <c r="CU833" s="56"/>
      <c r="CV833" s="56"/>
      <c r="CW833" s="56"/>
      <c r="CX833" s="56"/>
      <c r="CY833" s="56"/>
      <c r="CZ833" s="56"/>
      <c r="DA833" s="56"/>
      <c r="DB833" s="56"/>
      <c r="DC833" s="56"/>
      <c r="DD833" s="56"/>
      <c r="DE833" s="56"/>
      <c r="DF833" s="56"/>
      <c r="DG833" s="56"/>
      <c r="DH833" s="56"/>
      <c r="DI833" s="56"/>
      <c r="DJ833" s="56"/>
      <c r="DK833" s="56"/>
      <c r="DL833" s="56"/>
      <c r="DM833" s="56"/>
      <c r="DN833" s="56"/>
      <c r="DO833" s="56"/>
      <c r="DP833" s="56"/>
      <c r="DQ833" s="56"/>
      <c r="DR833" s="56"/>
      <c r="DS833" s="56"/>
      <c r="DT833" s="56"/>
      <c r="DU833" s="56"/>
      <c r="DV833" s="56"/>
      <c r="DW833" s="56"/>
      <c r="DX833" s="56"/>
      <c r="DY833" s="56"/>
      <c r="DZ833" s="56"/>
      <c r="EA833" s="56"/>
      <c r="EB833" s="56"/>
      <c r="EC833" s="56"/>
      <c r="ED833" s="56"/>
      <c r="EE833" s="56"/>
      <c r="EF833" s="56"/>
      <c r="EG833" s="56"/>
      <c r="EH833" s="56"/>
      <c r="EI833" s="56"/>
      <c r="EJ833" s="56"/>
      <c r="EK833" s="56"/>
      <c r="EL833" s="56"/>
      <c r="EM833" s="56"/>
      <c r="EN833" s="56"/>
      <c r="EO833" s="56"/>
      <c r="EP833" s="56"/>
      <c r="EQ833" s="56"/>
      <c r="ER833" s="56"/>
      <c r="ES833" s="56"/>
      <c r="ET833" s="56"/>
      <c r="EU833" s="56"/>
      <c r="EV833" s="56"/>
      <c r="EW833" s="56"/>
      <c r="EX833" s="56"/>
      <c r="EY833" s="56"/>
      <c r="EZ833" s="56"/>
      <c r="FA833" s="56"/>
      <c r="FB833" s="56"/>
      <c r="FC833" s="56"/>
      <c r="FD833" s="56"/>
      <c r="FE833" s="56"/>
      <c r="FF833" s="56"/>
      <c r="FG833" s="56"/>
      <c r="FH833" s="56"/>
      <c r="FI833" s="56"/>
      <c r="FJ833" s="56"/>
      <c r="FK833" s="56"/>
      <c r="FL833" s="56"/>
      <c r="FM833" s="56"/>
      <c r="FN833" s="56"/>
      <c r="FO833" s="56"/>
      <c r="FP833" s="56"/>
      <c r="FQ833" s="56"/>
      <c r="FR833" s="56"/>
      <c r="FS833" s="56"/>
      <c r="FT833" s="56"/>
      <c r="FU833" s="56"/>
      <c r="FV833" s="56"/>
      <c r="FW833" s="56"/>
      <c r="FX833" s="56"/>
      <c r="FY833" s="56"/>
      <c r="FZ833" s="56"/>
      <c r="GA833" s="56"/>
      <c r="GB833" s="56"/>
      <c r="GC833" s="56"/>
      <c r="GD833" s="56"/>
      <c r="GE833" s="56"/>
      <c r="GF833" s="56"/>
      <c r="GG833" s="56"/>
      <c r="GH833" s="56"/>
      <c r="GI833" s="56"/>
      <c r="GJ833" s="56"/>
      <c r="GK833" s="56"/>
      <c r="GL833" s="56"/>
      <c r="GM833" s="56"/>
      <c r="GN833" s="56"/>
      <c r="GO833" s="56"/>
      <c r="GP833" s="56"/>
      <c r="GQ833" s="56"/>
      <c r="GR833" s="56"/>
      <c r="GS833" s="56"/>
      <c r="GT833" s="56"/>
      <c r="GU833" s="56"/>
      <c r="GV833" s="56"/>
      <c r="GW833" s="56"/>
      <c r="GX833" s="56"/>
      <c r="GY833" s="56"/>
      <c r="GZ833" s="56"/>
      <c r="HA833" s="56"/>
      <c r="HB833" s="56"/>
      <c r="HC833" s="56"/>
      <c r="HD833" s="56"/>
      <c r="HE833" s="56"/>
      <c r="HF833" s="56"/>
      <c r="HG833" s="56"/>
      <c r="HH833" s="56"/>
      <c r="HI833" s="56"/>
      <c r="HJ833" s="56"/>
    </row>
    <row r="834" spans="1:218" ht="15.75" customHeight="1" x14ac:dyDescent="0.2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  <c r="BV834" s="56"/>
      <c r="BW834" s="56"/>
      <c r="BX834" s="56"/>
      <c r="BY834" s="56"/>
      <c r="BZ834" s="56"/>
      <c r="CA834" s="56"/>
      <c r="CB834" s="56"/>
      <c r="CC834" s="56"/>
      <c r="CD834" s="56"/>
      <c r="CE834" s="56"/>
      <c r="CF834" s="56"/>
      <c r="CG834" s="56"/>
      <c r="CH834" s="56"/>
      <c r="CI834" s="56"/>
      <c r="CJ834" s="56"/>
      <c r="CK834" s="56"/>
      <c r="CL834" s="56"/>
      <c r="CM834" s="56"/>
      <c r="CN834" s="56"/>
      <c r="CO834" s="56"/>
      <c r="CP834" s="56"/>
      <c r="CQ834" s="56"/>
      <c r="CR834" s="56"/>
      <c r="CS834" s="56"/>
      <c r="CT834" s="56"/>
      <c r="CU834" s="56"/>
      <c r="CV834" s="56"/>
      <c r="CW834" s="56"/>
      <c r="CX834" s="56"/>
      <c r="CY834" s="56"/>
      <c r="CZ834" s="56"/>
      <c r="DA834" s="56"/>
      <c r="DB834" s="56"/>
      <c r="DC834" s="56"/>
      <c r="DD834" s="56"/>
      <c r="DE834" s="56"/>
      <c r="DF834" s="56"/>
      <c r="DG834" s="56"/>
      <c r="DH834" s="56"/>
      <c r="DI834" s="56"/>
      <c r="DJ834" s="56"/>
      <c r="DK834" s="56"/>
      <c r="DL834" s="56"/>
      <c r="DM834" s="56"/>
      <c r="DN834" s="56"/>
      <c r="DO834" s="56"/>
      <c r="DP834" s="56"/>
      <c r="DQ834" s="56"/>
      <c r="DR834" s="56"/>
      <c r="DS834" s="56"/>
      <c r="DT834" s="56"/>
      <c r="DU834" s="56"/>
      <c r="DV834" s="56"/>
      <c r="DW834" s="56"/>
      <c r="DX834" s="56"/>
      <c r="DY834" s="56"/>
      <c r="DZ834" s="56"/>
      <c r="EA834" s="56"/>
      <c r="EB834" s="56"/>
      <c r="EC834" s="56"/>
      <c r="ED834" s="56"/>
      <c r="EE834" s="56"/>
      <c r="EF834" s="56"/>
      <c r="EG834" s="56"/>
      <c r="EH834" s="56"/>
      <c r="EI834" s="56"/>
      <c r="EJ834" s="56"/>
      <c r="EK834" s="56"/>
      <c r="EL834" s="56"/>
      <c r="EM834" s="56"/>
      <c r="EN834" s="56"/>
      <c r="EO834" s="56"/>
      <c r="EP834" s="56"/>
      <c r="EQ834" s="56"/>
      <c r="ER834" s="56"/>
      <c r="ES834" s="56"/>
      <c r="ET834" s="56"/>
      <c r="EU834" s="56"/>
      <c r="EV834" s="56"/>
      <c r="EW834" s="56"/>
      <c r="EX834" s="56"/>
      <c r="EY834" s="56"/>
      <c r="EZ834" s="56"/>
      <c r="FA834" s="56"/>
      <c r="FB834" s="56"/>
      <c r="FC834" s="56"/>
      <c r="FD834" s="56"/>
      <c r="FE834" s="56"/>
      <c r="FF834" s="56"/>
      <c r="FG834" s="56"/>
      <c r="FH834" s="56"/>
      <c r="FI834" s="56"/>
      <c r="FJ834" s="56"/>
      <c r="FK834" s="56"/>
      <c r="FL834" s="56"/>
      <c r="FM834" s="56"/>
      <c r="FN834" s="56"/>
      <c r="FO834" s="56"/>
      <c r="FP834" s="56"/>
      <c r="FQ834" s="56"/>
      <c r="FR834" s="56"/>
      <c r="FS834" s="56"/>
      <c r="FT834" s="56"/>
      <c r="FU834" s="56"/>
      <c r="FV834" s="56"/>
      <c r="FW834" s="56"/>
      <c r="FX834" s="56"/>
      <c r="FY834" s="56"/>
      <c r="FZ834" s="56"/>
      <c r="GA834" s="56"/>
      <c r="GB834" s="56"/>
      <c r="GC834" s="56"/>
      <c r="GD834" s="56"/>
      <c r="GE834" s="56"/>
      <c r="GF834" s="56"/>
      <c r="GG834" s="56"/>
      <c r="GH834" s="56"/>
      <c r="GI834" s="56"/>
      <c r="GJ834" s="56"/>
      <c r="GK834" s="56"/>
      <c r="GL834" s="56"/>
      <c r="GM834" s="56"/>
      <c r="GN834" s="56"/>
      <c r="GO834" s="56"/>
      <c r="GP834" s="56"/>
      <c r="GQ834" s="56"/>
      <c r="GR834" s="56"/>
      <c r="GS834" s="56"/>
      <c r="GT834" s="56"/>
      <c r="GU834" s="56"/>
      <c r="GV834" s="56"/>
      <c r="GW834" s="56"/>
      <c r="GX834" s="56"/>
      <c r="GY834" s="56"/>
      <c r="GZ834" s="56"/>
      <c r="HA834" s="56"/>
      <c r="HB834" s="56"/>
      <c r="HC834" s="56"/>
      <c r="HD834" s="56"/>
      <c r="HE834" s="56"/>
      <c r="HF834" s="56"/>
      <c r="HG834" s="56"/>
      <c r="HH834" s="56"/>
      <c r="HI834" s="56"/>
      <c r="HJ834" s="56"/>
    </row>
    <row r="835" spans="1:218" ht="15.75" customHeight="1" x14ac:dyDescent="0.2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  <c r="BV835" s="56"/>
      <c r="BW835" s="56"/>
      <c r="BX835" s="56"/>
      <c r="BY835" s="56"/>
      <c r="BZ835" s="56"/>
      <c r="CA835" s="56"/>
      <c r="CB835" s="56"/>
      <c r="CC835" s="56"/>
      <c r="CD835" s="56"/>
      <c r="CE835" s="56"/>
      <c r="CF835" s="56"/>
      <c r="CG835" s="56"/>
      <c r="CH835" s="56"/>
      <c r="CI835" s="56"/>
      <c r="CJ835" s="56"/>
      <c r="CK835" s="56"/>
      <c r="CL835" s="56"/>
      <c r="CM835" s="56"/>
      <c r="CN835" s="56"/>
      <c r="CO835" s="56"/>
      <c r="CP835" s="56"/>
      <c r="CQ835" s="56"/>
      <c r="CR835" s="56"/>
      <c r="CS835" s="56"/>
      <c r="CT835" s="56"/>
      <c r="CU835" s="56"/>
      <c r="CV835" s="56"/>
      <c r="CW835" s="56"/>
      <c r="CX835" s="56"/>
      <c r="CY835" s="56"/>
      <c r="CZ835" s="56"/>
      <c r="DA835" s="56"/>
      <c r="DB835" s="56"/>
      <c r="DC835" s="56"/>
      <c r="DD835" s="56"/>
      <c r="DE835" s="56"/>
      <c r="DF835" s="56"/>
      <c r="DG835" s="56"/>
      <c r="DH835" s="56"/>
      <c r="DI835" s="56"/>
      <c r="DJ835" s="56"/>
      <c r="DK835" s="56"/>
      <c r="DL835" s="56"/>
      <c r="DM835" s="56"/>
      <c r="DN835" s="56"/>
      <c r="DO835" s="56"/>
      <c r="DP835" s="56"/>
      <c r="DQ835" s="56"/>
      <c r="DR835" s="56"/>
      <c r="DS835" s="56"/>
      <c r="DT835" s="56"/>
      <c r="DU835" s="56"/>
      <c r="DV835" s="56"/>
      <c r="DW835" s="56"/>
      <c r="DX835" s="56"/>
      <c r="DY835" s="56"/>
      <c r="DZ835" s="56"/>
      <c r="EA835" s="56"/>
      <c r="EB835" s="56"/>
      <c r="EC835" s="56"/>
      <c r="ED835" s="56"/>
      <c r="EE835" s="56"/>
      <c r="EF835" s="56"/>
      <c r="EG835" s="56"/>
      <c r="EH835" s="56"/>
      <c r="EI835" s="56"/>
      <c r="EJ835" s="56"/>
      <c r="EK835" s="56"/>
      <c r="EL835" s="56"/>
      <c r="EM835" s="56"/>
      <c r="EN835" s="56"/>
      <c r="EO835" s="56"/>
      <c r="EP835" s="56"/>
      <c r="EQ835" s="56"/>
      <c r="ER835" s="56"/>
      <c r="ES835" s="56"/>
      <c r="ET835" s="56"/>
      <c r="EU835" s="56"/>
      <c r="EV835" s="56"/>
      <c r="EW835" s="56"/>
      <c r="EX835" s="56"/>
      <c r="EY835" s="56"/>
      <c r="EZ835" s="56"/>
      <c r="FA835" s="56"/>
      <c r="FB835" s="56"/>
      <c r="FC835" s="56"/>
      <c r="FD835" s="56"/>
      <c r="FE835" s="56"/>
      <c r="FF835" s="56"/>
      <c r="FG835" s="56"/>
      <c r="FH835" s="56"/>
      <c r="FI835" s="56"/>
      <c r="FJ835" s="56"/>
      <c r="FK835" s="56"/>
      <c r="FL835" s="56"/>
      <c r="FM835" s="56"/>
      <c r="FN835" s="56"/>
      <c r="FO835" s="56"/>
      <c r="FP835" s="56"/>
      <c r="FQ835" s="56"/>
      <c r="FR835" s="56"/>
      <c r="FS835" s="56"/>
      <c r="FT835" s="56"/>
      <c r="FU835" s="56"/>
      <c r="FV835" s="56"/>
      <c r="FW835" s="56"/>
      <c r="FX835" s="56"/>
      <c r="FY835" s="56"/>
      <c r="FZ835" s="56"/>
      <c r="GA835" s="56"/>
      <c r="GB835" s="56"/>
      <c r="GC835" s="56"/>
      <c r="GD835" s="56"/>
      <c r="GE835" s="56"/>
      <c r="GF835" s="56"/>
      <c r="GG835" s="56"/>
      <c r="GH835" s="56"/>
      <c r="GI835" s="56"/>
      <c r="GJ835" s="56"/>
      <c r="GK835" s="56"/>
      <c r="GL835" s="56"/>
      <c r="GM835" s="56"/>
      <c r="GN835" s="56"/>
      <c r="GO835" s="56"/>
      <c r="GP835" s="56"/>
      <c r="GQ835" s="56"/>
      <c r="GR835" s="56"/>
      <c r="GS835" s="56"/>
      <c r="GT835" s="56"/>
      <c r="GU835" s="56"/>
      <c r="GV835" s="56"/>
      <c r="GW835" s="56"/>
      <c r="GX835" s="56"/>
      <c r="GY835" s="56"/>
      <c r="GZ835" s="56"/>
      <c r="HA835" s="56"/>
      <c r="HB835" s="56"/>
      <c r="HC835" s="56"/>
      <c r="HD835" s="56"/>
      <c r="HE835" s="56"/>
      <c r="HF835" s="56"/>
      <c r="HG835" s="56"/>
      <c r="HH835" s="56"/>
      <c r="HI835" s="56"/>
      <c r="HJ835" s="56"/>
    </row>
    <row r="836" spans="1:218" ht="15.75" customHeight="1" x14ac:dyDescent="0.2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  <c r="BV836" s="56"/>
      <c r="BW836" s="56"/>
      <c r="BX836" s="56"/>
      <c r="BY836" s="56"/>
      <c r="BZ836" s="56"/>
      <c r="CA836" s="56"/>
      <c r="CB836" s="56"/>
      <c r="CC836" s="56"/>
      <c r="CD836" s="56"/>
      <c r="CE836" s="56"/>
      <c r="CF836" s="56"/>
      <c r="CG836" s="56"/>
      <c r="CH836" s="56"/>
      <c r="CI836" s="56"/>
      <c r="CJ836" s="56"/>
      <c r="CK836" s="56"/>
      <c r="CL836" s="56"/>
      <c r="CM836" s="56"/>
      <c r="CN836" s="56"/>
      <c r="CO836" s="56"/>
      <c r="CP836" s="56"/>
      <c r="CQ836" s="56"/>
      <c r="CR836" s="56"/>
      <c r="CS836" s="56"/>
      <c r="CT836" s="56"/>
      <c r="CU836" s="56"/>
      <c r="CV836" s="56"/>
      <c r="CW836" s="56"/>
      <c r="CX836" s="56"/>
      <c r="CY836" s="56"/>
      <c r="CZ836" s="56"/>
      <c r="DA836" s="56"/>
      <c r="DB836" s="56"/>
      <c r="DC836" s="56"/>
      <c r="DD836" s="56"/>
      <c r="DE836" s="56"/>
      <c r="DF836" s="56"/>
      <c r="DG836" s="56"/>
      <c r="DH836" s="56"/>
      <c r="DI836" s="56"/>
      <c r="DJ836" s="56"/>
      <c r="DK836" s="56"/>
      <c r="DL836" s="56"/>
      <c r="DM836" s="56"/>
      <c r="DN836" s="56"/>
      <c r="DO836" s="56"/>
      <c r="DP836" s="56"/>
      <c r="DQ836" s="56"/>
      <c r="DR836" s="56"/>
      <c r="DS836" s="56"/>
      <c r="DT836" s="56"/>
      <c r="DU836" s="56"/>
      <c r="DV836" s="56"/>
      <c r="DW836" s="56"/>
      <c r="DX836" s="56"/>
      <c r="DY836" s="56"/>
      <c r="DZ836" s="56"/>
      <c r="EA836" s="56"/>
      <c r="EB836" s="56"/>
      <c r="EC836" s="56"/>
      <c r="ED836" s="56"/>
      <c r="EE836" s="56"/>
      <c r="EF836" s="56"/>
      <c r="EG836" s="56"/>
      <c r="EH836" s="56"/>
      <c r="EI836" s="56"/>
      <c r="EJ836" s="56"/>
      <c r="EK836" s="56"/>
      <c r="EL836" s="56"/>
      <c r="EM836" s="56"/>
      <c r="EN836" s="56"/>
      <c r="EO836" s="56"/>
      <c r="EP836" s="56"/>
      <c r="EQ836" s="56"/>
      <c r="ER836" s="56"/>
      <c r="ES836" s="56"/>
      <c r="ET836" s="56"/>
      <c r="EU836" s="56"/>
      <c r="EV836" s="56"/>
      <c r="EW836" s="56"/>
      <c r="EX836" s="56"/>
      <c r="EY836" s="56"/>
      <c r="EZ836" s="56"/>
      <c r="FA836" s="56"/>
      <c r="FB836" s="56"/>
      <c r="FC836" s="56"/>
      <c r="FD836" s="56"/>
      <c r="FE836" s="56"/>
      <c r="FF836" s="56"/>
      <c r="FG836" s="56"/>
      <c r="FH836" s="56"/>
      <c r="FI836" s="56"/>
      <c r="FJ836" s="56"/>
      <c r="FK836" s="56"/>
      <c r="FL836" s="56"/>
      <c r="FM836" s="56"/>
      <c r="FN836" s="56"/>
      <c r="FO836" s="56"/>
      <c r="FP836" s="56"/>
      <c r="FQ836" s="56"/>
      <c r="FR836" s="56"/>
      <c r="FS836" s="56"/>
      <c r="FT836" s="56"/>
      <c r="FU836" s="56"/>
      <c r="FV836" s="56"/>
      <c r="FW836" s="56"/>
      <c r="FX836" s="56"/>
      <c r="FY836" s="56"/>
      <c r="FZ836" s="56"/>
      <c r="GA836" s="56"/>
      <c r="GB836" s="56"/>
      <c r="GC836" s="56"/>
      <c r="GD836" s="56"/>
      <c r="GE836" s="56"/>
      <c r="GF836" s="56"/>
      <c r="GG836" s="56"/>
      <c r="GH836" s="56"/>
      <c r="GI836" s="56"/>
      <c r="GJ836" s="56"/>
      <c r="GK836" s="56"/>
      <c r="GL836" s="56"/>
      <c r="GM836" s="56"/>
      <c r="GN836" s="56"/>
      <c r="GO836" s="56"/>
      <c r="GP836" s="56"/>
      <c r="GQ836" s="56"/>
      <c r="GR836" s="56"/>
      <c r="GS836" s="56"/>
      <c r="GT836" s="56"/>
      <c r="GU836" s="56"/>
      <c r="GV836" s="56"/>
      <c r="GW836" s="56"/>
      <c r="GX836" s="56"/>
      <c r="GY836" s="56"/>
      <c r="GZ836" s="56"/>
      <c r="HA836" s="56"/>
      <c r="HB836" s="56"/>
      <c r="HC836" s="56"/>
      <c r="HD836" s="56"/>
      <c r="HE836" s="56"/>
      <c r="HF836" s="56"/>
      <c r="HG836" s="56"/>
      <c r="HH836" s="56"/>
      <c r="HI836" s="56"/>
      <c r="HJ836" s="56"/>
    </row>
    <row r="837" spans="1:218" ht="15.75" customHeight="1" x14ac:dyDescent="0.2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  <c r="BV837" s="56"/>
      <c r="BW837" s="56"/>
      <c r="BX837" s="56"/>
      <c r="BY837" s="56"/>
      <c r="BZ837" s="56"/>
      <c r="CA837" s="56"/>
      <c r="CB837" s="56"/>
      <c r="CC837" s="56"/>
      <c r="CD837" s="56"/>
      <c r="CE837" s="56"/>
      <c r="CF837" s="56"/>
      <c r="CG837" s="56"/>
      <c r="CH837" s="56"/>
      <c r="CI837" s="56"/>
      <c r="CJ837" s="56"/>
      <c r="CK837" s="56"/>
      <c r="CL837" s="56"/>
      <c r="CM837" s="56"/>
      <c r="CN837" s="56"/>
      <c r="CO837" s="56"/>
      <c r="CP837" s="56"/>
      <c r="CQ837" s="56"/>
      <c r="CR837" s="56"/>
      <c r="CS837" s="56"/>
      <c r="CT837" s="56"/>
      <c r="CU837" s="56"/>
      <c r="CV837" s="56"/>
      <c r="CW837" s="56"/>
      <c r="CX837" s="56"/>
      <c r="CY837" s="56"/>
      <c r="CZ837" s="56"/>
      <c r="DA837" s="56"/>
      <c r="DB837" s="56"/>
      <c r="DC837" s="56"/>
      <c r="DD837" s="56"/>
      <c r="DE837" s="56"/>
      <c r="DF837" s="56"/>
      <c r="DG837" s="56"/>
      <c r="DH837" s="56"/>
      <c r="DI837" s="56"/>
      <c r="DJ837" s="56"/>
      <c r="DK837" s="56"/>
      <c r="DL837" s="56"/>
      <c r="DM837" s="56"/>
      <c r="DN837" s="56"/>
      <c r="DO837" s="56"/>
      <c r="DP837" s="56"/>
      <c r="DQ837" s="56"/>
      <c r="DR837" s="56"/>
      <c r="DS837" s="56"/>
      <c r="DT837" s="56"/>
      <c r="DU837" s="56"/>
      <c r="DV837" s="56"/>
      <c r="DW837" s="56"/>
      <c r="DX837" s="56"/>
      <c r="DY837" s="56"/>
      <c r="DZ837" s="56"/>
      <c r="EA837" s="56"/>
      <c r="EB837" s="56"/>
      <c r="EC837" s="56"/>
      <c r="ED837" s="56"/>
      <c r="EE837" s="56"/>
      <c r="EF837" s="56"/>
      <c r="EG837" s="56"/>
      <c r="EH837" s="56"/>
      <c r="EI837" s="56"/>
      <c r="EJ837" s="56"/>
      <c r="EK837" s="56"/>
      <c r="EL837" s="56"/>
      <c r="EM837" s="56"/>
      <c r="EN837" s="56"/>
      <c r="EO837" s="56"/>
      <c r="EP837" s="56"/>
      <c r="EQ837" s="56"/>
      <c r="ER837" s="56"/>
      <c r="ES837" s="56"/>
      <c r="ET837" s="56"/>
      <c r="EU837" s="56"/>
      <c r="EV837" s="56"/>
      <c r="EW837" s="56"/>
      <c r="EX837" s="56"/>
      <c r="EY837" s="56"/>
      <c r="EZ837" s="56"/>
      <c r="FA837" s="56"/>
      <c r="FB837" s="56"/>
      <c r="FC837" s="56"/>
      <c r="FD837" s="56"/>
      <c r="FE837" s="56"/>
      <c r="FF837" s="56"/>
      <c r="FG837" s="56"/>
      <c r="FH837" s="56"/>
      <c r="FI837" s="56"/>
      <c r="FJ837" s="56"/>
      <c r="FK837" s="56"/>
      <c r="FL837" s="56"/>
      <c r="FM837" s="56"/>
      <c r="FN837" s="56"/>
      <c r="FO837" s="56"/>
      <c r="FP837" s="56"/>
      <c r="FQ837" s="56"/>
      <c r="FR837" s="56"/>
      <c r="FS837" s="56"/>
      <c r="FT837" s="56"/>
      <c r="FU837" s="56"/>
      <c r="FV837" s="56"/>
      <c r="FW837" s="56"/>
      <c r="FX837" s="56"/>
      <c r="FY837" s="56"/>
      <c r="FZ837" s="56"/>
      <c r="GA837" s="56"/>
      <c r="GB837" s="56"/>
      <c r="GC837" s="56"/>
      <c r="GD837" s="56"/>
      <c r="GE837" s="56"/>
      <c r="GF837" s="56"/>
      <c r="GG837" s="56"/>
      <c r="GH837" s="56"/>
      <c r="GI837" s="56"/>
      <c r="GJ837" s="56"/>
      <c r="GK837" s="56"/>
      <c r="GL837" s="56"/>
      <c r="GM837" s="56"/>
      <c r="GN837" s="56"/>
      <c r="GO837" s="56"/>
      <c r="GP837" s="56"/>
      <c r="GQ837" s="56"/>
      <c r="GR837" s="56"/>
      <c r="GS837" s="56"/>
      <c r="GT837" s="56"/>
      <c r="GU837" s="56"/>
      <c r="GV837" s="56"/>
      <c r="GW837" s="56"/>
      <c r="GX837" s="56"/>
      <c r="GY837" s="56"/>
      <c r="GZ837" s="56"/>
      <c r="HA837" s="56"/>
      <c r="HB837" s="56"/>
      <c r="HC837" s="56"/>
      <c r="HD837" s="56"/>
      <c r="HE837" s="56"/>
      <c r="HF837" s="56"/>
      <c r="HG837" s="56"/>
      <c r="HH837" s="56"/>
      <c r="HI837" s="56"/>
      <c r="HJ837" s="56"/>
    </row>
    <row r="838" spans="1:218" ht="15.75" customHeight="1" x14ac:dyDescent="0.2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  <c r="CL838" s="56"/>
      <c r="CM838" s="56"/>
      <c r="CN838" s="56"/>
      <c r="CO838" s="56"/>
      <c r="CP838" s="56"/>
      <c r="CQ838" s="56"/>
      <c r="CR838" s="56"/>
      <c r="CS838" s="56"/>
      <c r="CT838" s="56"/>
      <c r="CU838" s="56"/>
      <c r="CV838" s="56"/>
      <c r="CW838" s="56"/>
      <c r="CX838" s="56"/>
      <c r="CY838" s="56"/>
      <c r="CZ838" s="56"/>
      <c r="DA838" s="56"/>
      <c r="DB838" s="56"/>
      <c r="DC838" s="56"/>
      <c r="DD838" s="56"/>
      <c r="DE838" s="56"/>
      <c r="DF838" s="56"/>
      <c r="DG838" s="56"/>
      <c r="DH838" s="56"/>
      <c r="DI838" s="56"/>
      <c r="DJ838" s="56"/>
      <c r="DK838" s="56"/>
      <c r="DL838" s="56"/>
      <c r="DM838" s="56"/>
      <c r="DN838" s="56"/>
      <c r="DO838" s="56"/>
      <c r="DP838" s="56"/>
      <c r="DQ838" s="56"/>
      <c r="DR838" s="56"/>
      <c r="DS838" s="56"/>
      <c r="DT838" s="56"/>
      <c r="DU838" s="56"/>
      <c r="DV838" s="56"/>
      <c r="DW838" s="56"/>
      <c r="DX838" s="56"/>
      <c r="DY838" s="56"/>
      <c r="DZ838" s="56"/>
      <c r="EA838" s="56"/>
      <c r="EB838" s="56"/>
      <c r="EC838" s="56"/>
      <c r="ED838" s="56"/>
      <c r="EE838" s="56"/>
      <c r="EF838" s="56"/>
      <c r="EG838" s="56"/>
      <c r="EH838" s="56"/>
      <c r="EI838" s="56"/>
      <c r="EJ838" s="56"/>
      <c r="EK838" s="56"/>
      <c r="EL838" s="56"/>
      <c r="EM838" s="56"/>
      <c r="EN838" s="56"/>
      <c r="EO838" s="56"/>
      <c r="EP838" s="56"/>
      <c r="EQ838" s="56"/>
      <c r="ER838" s="56"/>
      <c r="ES838" s="56"/>
      <c r="ET838" s="56"/>
      <c r="EU838" s="56"/>
      <c r="EV838" s="56"/>
      <c r="EW838" s="56"/>
      <c r="EX838" s="56"/>
      <c r="EY838" s="56"/>
      <c r="EZ838" s="56"/>
      <c r="FA838" s="56"/>
      <c r="FB838" s="56"/>
      <c r="FC838" s="56"/>
      <c r="FD838" s="56"/>
      <c r="FE838" s="56"/>
      <c r="FF838" s="56"/>
      <c r="FG838" s="56"/>
      <c r="FH838" s="56"/>
      <c r="FI838" s="56"/>
      <c r="FJ838" s="56"/>
      <c r="FK838" s="56"/>
      <c r="FL838" s="56"/>
      <c r="FM838" s="56"/>
      <c r="FN838" s="56"/>
      <c r="FO838" s="56"/>
      <c r="FP838" s="56"/>
      <c r="FQ838" s="56"/>
      <c r="FR838" s="56"/>
      <c r="FS838" s="56"/>
      <c r="FT838" s="56"/>
      <c r="FU838" s="56"/>
      <c r="FV838" s="56"/>
      <c r="FW838" s="56"/>
      <c r="FX838" s="56"/>
      <c r="FY838" s="56"/>
      <c r="FZ838" s="56"/>
      <c r="GA838" s="56"/>
      <c r="GB838" s="56"/>
      <c r="GC838" s="56"/>
      <c r="GD838" s="56"/>
      <c r="GE838" s="56"/>
      <c r="GF838" s="56"/>
      <c r="GG838" s="56"/>
      <c r="GH838" s="56"/>
      <c r="GI838" s="56"/>
      <c r="GJ838" s="56"/>
      <c r="GK838" s="56"/>
      <c r="GL838" s="56"/>
      <c r="GM838" s="56"/>
      <c r="GN838" s="56"/>
      <c r="GO838" s="56"/>
      <c r="GP838" s="56"/>
      <c r="GQ838" s="56"/>
      <c r="GR838" s="56"/>
      <c r="GS838" s="56"/>
      <c r="GT838" s="56"/>
      <c r="GU838" s="56"/>
      <c r="GV838" s="56"/>
      <c r="GW838" s="56"/>
      <c r="GX838" s="56"/>
      <c r="GY838" s="56"/>
      <c r="GZ838" s="56"/>
      <c r="HA838" s="56"/>
      <c r="HB838" s="56"/>
      <c r="HC838" s="56"/>
      <c r="HD838" s="56"/>
      <c r="HE838" s="56"/>
      <c r="HF838" s="56"/>
      <c r="HG838" s="56"/>
      <c r="HH838" s="56"/>
      <c r="HI838" s="56"/>
      <c r="HJ838" s="56"/>
    </row>
    <row r="839" spans="1:218" ht="15.75" customHeight="1" x14ac:dyDescent="0.2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  <c r="BV839" s="56"/>
      <c r="BW839" s="56"/>
      <c r="BX839" s="56"/>
      <c r="BY839" s="56"/>
      <c r="BZ839" s="56"/>
      <c r="CA839" s="56"/>
      <c r="CB839" s="56"/>
      <c r="CC839" s="56"/>
      <c r="CD839" s="56"/>
      <c r="CE839" s="56"/>
      <c r="CF839" s="56"/>
      <c r="CG839" s="56"/>
      <c r="CH839" s="56"/>
      <c r="CI839" s="56"/>
      <c r="CJ839" s="56"/>
      <c r="CK839" s="56"/>
      <c r="CL839" s="56"/>
      <c r="CM839" s="56"/>
      <c r="CN839" s="56"/>
      <c r="CO839" s="56"/>
      <c r="CP839" s="56"/>
      <c r="CQ839" s="56"/>
      <c r="CR839" s="56"/>
      <c r="CS839" s="56"/>
      <c r="CT839" s="56"/>
      <c r="CU839" s="56"/>
      <c r="CV839" s="56"/>
      <c r="CW839" s="56"/>
      <c r="CX839" s="56"/>
      <c r="CY839" s="56"/>
      <c r="CZ839" s="56"/>
      <c r="DA839" s="56"/>
      <c r="DB839" s="56"/>
      <c r="DC839" s="56"/>
      <c r="DD839" s="56"/>
      <c r="DE839" s="56"/>
      <c r="DF839" s="56"/>
      <c r="DG839" s="56"/>
      <c r="DH839" s="56"/>
      <c r="DI839" s="56"/>
      <c r="DJ839" s="56"/>
      <c r="DK839" s="56"/>
      <c r="DL839" s="56"/>
      <c r="DM839" s="56"/>
      <c r="DN839" s="56"/>
      <c r="DO839" s="56"/>
      <c r="DP839" s="56"/>
      <c r="DQ839" s="56"/>
      <c r="DR839" s="56"/>
      <c r="DS839" s="56"/>
      <c r="DT839" s="56"/>
      <c r="DU839" s="56"/>
      <c r="DV839" s="56"/>
      <c r="DW839" s="56"/>
      <c r="DX839" s="56"/>
      <c r="DY839" s="56"/>
      <c r="DZ839" s="56"/>
      <c r="EA839" s="56"/>
      <c r="EB839" s="56"/>
      <c r="EC839" s="56"/>
      <c r="ED839" s="56"/>
      <c r="EE839" s="56"/>
      <c r="EF839" s="56"/>
      <c r="EG839" s="56"/>
      <c r="EH839" s="56"/>
      <c r="EI839" s="56"/>
      <c r="EJ839" s="56"/>
      <c r="EK839" s="56"/>
      <c r="EL839" s="56"/>
      <c r="EM839" s="56"/>
      <c r="EN839" s="56"/>
      <c r="EO839" s="56"/>
      <c r="EP839" s="56"/>
      <c r="EQ839" s="56"/>
      <c r="ER839" s="56"/>
      <c r="ES839" s="56"/>
      <c r="ET839" s="56"/>
      <c r="EU839" s="56"/>
      <c r="EV839" s="56"/>
      <c r="EW839" s="56"/>
      <c r="EX839" s="56"/>
      <c r="EY839" s="56"/>
      <c r="EZ839" s="56"/>
      <c r="FA839" s="56"/>
      <c r="FB839" s="56"/>
      <c r="FC839" s="56"/>
      <c r="FD839" s="56"/>
      <c r="FE839" s="56"/>
      <c r="FF839" s="56"/>
      <c r="FG839" s="56"/>
      <c r="FH839" s="56"/>
      <c r="FI839" s="56"/>
      <c r="FJ839" s="56"/>
      <c r="FK839" s="56"/>
      <c r="FL839" s="56"/>
      <c r="FM839" s="56"/>
      <c r="FN839" s="56"/>
      <c r="FO839" s="56"/>
      <c r="FP839" s="56"/>
      <c r="FQ839" s="56"/>
      <c r="FR839" s="56"/>
      <c r="FS839" s="56"/>
      <c r="FT839" s="56"/>
      <c r="FU839" s="56"/>
      <c r="FV839" s="56"/>
      <c r="FW839" s="56"/>
      <c r="FX839" s="56"/>
      <c r="FY839" s="56"/>
      <c r="FZ839" s="56"/>
      <c r="GA839" s="56"/>
      <c r="GB839" s="56"/>
      <c r="GC839" s="56"/>
      <c r="GD839" s="56"/>
      <c r="GE839" s="56"/>
      <c r="GF839" s="56"/>
      <c r="GG839" s="56"/>
      <c r="GH839" s="56"/>
      <c r="GI839" s="56"/>
      <c r="GJ839" s="56"/>
      <c r="GK839" s="56"/>
      <c r="GL839" s="56"/>
      <c r="GM839" s="56"/>
      <c r="GN839" s="56"/>
      <c r="GO839" s="56"/>
      <c r="GP839" s="56"/>
      <c r="GQ839" s="56"/>
      <c r="GR839" s="56"/>
      <c r="GS839" s="56"/>
      <c r="GT839" s="56"/>
      <c r="GU839" s="56"/>
      <c r="GV839" s="56"/>
      <c r="GW839" s="56"/>
      <c r="GX839" s="56"/>
      <c r="GY839" s="56"/>
      <c r="GZ839" s="56"/>
      <c r="HA839" s="56"/>
      <c r="HB839" s="56"/>
      <c r="HC839" s="56"/>
      <c r="HD839" s="56"/>
      <c r="HE839" s="56"/>
      <c r="HF839" s="56"/>
      <c r="HG839" s="56"/>
      <c r="HH839" s="56"/>
      <c r="HI839" s="56"/>
      <c r="HJ839" s="56"/>
    </row>
    <row r="840" spans="1:218" ht="15.75" customHeight="1" x14ac:dyDescent="0.2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  <c r="BV840" s="56"/>
      <c r="BW840" s="56"/>
      <c r="BX840" s="56"/>
      <c r="BY840" s="56"/>
      <c r="BZ840" s="56"/>
      <c r="CA840" s="56"/>
      <c r="CB840" s="56"/>
      <c r="CC840" s="56"/>
      <c r="CD840" s="56"/>
      <c r="CE840" s="56"/>
      <c r="CF840" s="56"/>
      <c r="CG840" s="56"/>
      <c r="CH840" s="56"/>
      <c r="CI840" s="56"/>
      <c r="CJ840" s="56"/>
      <c r="CK840" s="56"/>
      <c r="CL840" s="56"/>
      <c r="CM840" s="56"/>
      <c r="CN840" s="56"/>
      <c r="CO840" s="56"/>
      <c r="CP840" s="56"/>
      <c r="CQ840" s="56"/>
      <c r="CR840" s="56"/>
      <c r="CS840" s="56"/>
      <c r="CT840" s="56"/>
      <c r="CU840" s="56"/>
      <c r="CV840" s="56"/>
      <c r="CW840" s="56"/>
      <c r="CX840" s="56"/>
      <c r="CY840" s="56"/>
      <c r="CZ840" s="56"/>
      <c r="DA840" s="56"/>
      <c r="DB840" s="56"/>
      <c r="DC840" s="56"/>
      <c r="DD840" s="56"/>
      <c r="DE840" s="56"/>
      <c r="DF840" s="56"/>
      <c r="DG840" s="56"/>
      <c r="DH840" s="56"/>
      <c r="DI840" s="56"/>
      <c r="DJ840" s="56"/>
      <c r="DK840" s="56"/>
      <c r="DL840" s="56"/>
      <c r="DM840" s="56"/>
      <c r="DN840" s="56"/>
      <c r="DO840" s="56"/>
      <c r="DP840" s="56"/>
      <c r="DQ840" s="56"/>
      <c r="DR840" s="56"/>
      <c r="DS840" s="56"/>
      <c r="DT840" s="56"/>
      <c r="DU840" s="56"/>
      <c r="DV840" s="56"/>
      <c r="DW840" s="56"/>
      <c r="DX840" s="56"/>
      <c r="DY840" s="56"/>
      <c r="DZ840" s="56"/>
      <c r="EA840" s="56"/>
      <c r="EB840" s="56"/>
      <c r="EC840" s="56"/>
      <c r="ED840" s="56"/>
      <c r="EE840" s="56"/>
      <c r="EF840" s="56"/>
      <c r="EG840" s="56"/>
      <c r="EH840" s="56"/>
      <c r="EI840" s="56"/>
      <c r="EJ840" s="56"/>
      <c r="EK840" s="56"/>
      <c r="EL840" s="56"/>
      <c r="EM840" s="56"/>
      <c r="EN840" s="56"/>
      <c r="EO840" s="56"/>
      <c r="EP840" s="56"/>
      <c r="EQ840" s="56"/>
      <c r="ER840" s="56"/>
      <c r="ES840" s="56"/>
      <c r="ET840" s="56"/>
      <c r="EU840" s="56"/>
      <c r="EV840" s="56"/>
      <c r="EW840" s="56"/>
      <c r="EX840" s="56"/>
      <c r="EY840" s="56"/>
      <c r="EZ840" s="56"/>
      <c r="FA840" s="56"/>
      <c r="FB840" s="56"/>
      <c r="FC840" s="56"/>
      <c r="FD840" s="56"/>
      <c r="FE840" s="56"/>
      <c r="FF840" s="56"/>
      <c r="FG840" s="56"/>
      <c r="FH840" s="56"/>
      <c r="FI840" s="56"/>
      <c r="FJ840" s="56"/>
      <c r="FK840" s="56"/>
      <c r="FL840" s="56"/>
      <c r="FM840" s="56"/>
      <c r="FN840" s="56"/>
      <c r="FO840" s="56"/>
      <c r="FP840" s="56"/>
      <c r="FQ840" s="56"/>
      <c r="FR840" s="56"/>
      <c r="FS840" s="56"/>
      <c r="FT840" s="56"/>
      <c r="FU840" s="56"/>
      <c r="FV840" s="56"/>
      <c r="FW840" s="56"/>
      <c r="FX840" s="56"/>
      <c r="FY840" s="56"/>
      <c r="FZ840" s="56"/>
      <c r="GA840" s="56"/>
      <c r="GB840" s="56"/>
      <c r="GC840" s="56"/>
      <c r="GD840" s="56"/>
      <c r="GE840" s="56"/>
      <c r="GF840" s="56"/>
      <c r="GG840" s="56"/>
      <c r="GH840" s="56"/>
      <c r="GI840" s="56"/>
      <c r="GJ840" s="56"/>
      <c r="GK840" s="56"/>
      <c r="GL840" s="56"/>
      <c r="GM840" s="56"/>
      <c r="GN840" s="56"/>
      <c r="GO840" s="56"/>
      <c r="GP840" s="56"/>
      <c r="GQ840" s="56"/>
      <c r="GR840" s="56"/>
      <c r="GS840" s="56"/>
      <c r="GT840" s="56"/>
      <c r="GU840" s="56"/>
      <c r="GV840" s="56"/>
      <c r="GW840" s="56"/>
      <c r="GX840" s="56"/>
      <c r="GY840" s="56"/>
      <c r="GZ840" s="56"/>
      <c r="HA840" s="56"/>
      <c r="HB840" s="56"/>
      <c r="HC840" s="56"/>
      <c r="HD840" s="56"/>
      <c r="HE840" s="56"/>
      <c r="HF840" s="56"/>
      <c r="HG840" s="56"/>
      <c r="HH840" s="56"/>
      <c r="HI840" s="56"/>
      <c r="HJ840" s="56"/>
    </row>
    <row r="841" spans="1:218" ht="15.75" customHeight="1" x14ac:dyDescent="0.2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  <c r="BV841" s="56"/>
      <c r="BW841" s="56"/>
      <c r="BX841" s="56"/>
      <c r="BY841" s="56"/>
      <c r="BZ841" s="56"/>
      <c r="CA841" s="56"/>
      <c r="CB841" s="56"/>
      <c r="CC841" s="56"/>
      <c r="CD841" s="56"/>
      <c r="CE841" s="56"/>
      <c r="CF841" s="56"/>
      <c r="CG841" s="56"/>
      <c r="CH841" s="56"/>
      <c r="CI841" s="56"/>
      <c r="CJ841" s="56"/>
      <c r="CK841" s="56"/>
      <c r="CL841" s="56"/>
      <c r="CM841" s="56"/>
      <c r="CN841" s="56"/>
      <c r="CO841" s="56"/>
      <c r="CP841" s="56"/>
      <c r="CQ841" s="56"/>
      <c r="CR841" s="56"/>
      <c r="CS841" s="56"/>
      <c r="CT841" s="56"/>
      <c r="CU841" s="56"/>
      <c r="CV841" s="56"/>
      <c r="CW841" s="56"/>
      <c r="CX841" s="56"/>
      <c r="CY841" s="56"/>
      <c r="CZ841" s="56"/>
      <c r="DA841" s="56"/>
      <c r="DB841" s="56"/>
      <c r="DC841" s="56"/>
      <c r="DD841" s="56"/>
      <c r="DE841" s="56"/>
      <c r="DF841" s="56"/>
      <c r="DG841" s="56"/>
      <c r="DH841" s="56"/>
      <c r="DI841" s="56"/>
      <c r="DJ841" s="56"/>
      <c r="DK841" s="56"/>
      <c r="DL841" s="56"/>
      <c r="DM841" s="56"/>
      <c r="DN841" s="56"/>
      <c r="DO841" s="56"/>
      <c r="DP841" s="56"/>
      <c r="DQ841" s="56"/>
      <c r="DR841" s="56"/>
      <c r="DS841" s="56"/>
      <c r="DT841" s="56"/>
      <c r="DU841" s="56"/>
      <c r="DV841" s="56"/>
      <c r="DW841" s="56"/>
      <c r="DX841" s="56"/>
      <c r="DY841" s="56"/>
      <c r="DZ841" s="56"/>
      <c r="EA841" s="56"/>
      <c r="EB841" s="56"/>
      <c r="EC841" s="56"/>
      <c r="ED841" s="56"/>
      <c r="EE841" s="56"/>
      <c r="EF841" s="56"/>
      <c r="EG841" s="56"/>
      <c r="EH841" s="56"/>
      <c r="EI841" s="56"/>
      <c r="EJ841" s="56"/>
      <c r="EK841" s="56"/>
      <c r="EL841" s="56"/>
      <c r="EM841" s="56"/>
      <c r="EN841" s="56"/>
      <c r="EO841" s="56"/>
      <c r="EP841" s="56"/>
      <c r="EQ841" s="56"/>
      <c r="ER841" s="56"/>
      <c r="ES841" s="56"/>
      <c r="ET841" s="56"/>
      <c r="EU841" s="56"/>
      <c r="EV841" s="56"/>
      <c r="EW841" s="56"/>
      <c r="EX841" s="56"/>
      <c r="EY841" s="56"/>
      <c r="EZ841" s="56"/>
      <c r="FA841" s="56"/>
      <c r="FB841" s="56"/>
      <c r="FC841" s="56"/>
      <c r="FD841" s="56"/>
      <c r="FE841" s="56"/>
      <c r="FF841" s="56"/>
      <c r="FG841" s="56"/>
      <c r="FH841" s="56"/>
      <c r="FI841" s="56"/>
      <c r="FJ841" s="56"/>
      <c r="FK841" s="56"/>
      <c r="FL841" s="56"/>
      <c r="FM841" s="56"/>
      <c r="FN841" s="56"/>
      <c r="FO841" s="56"/>
      <c r="FP841" s="56"/>
      <c r="FQ841" s="56"/>
      <c r="FR841" s="56"/>
      <c r="FS841" s="56"/>
      <c r="FT841" s="56"/>
      <c r="FU841" s="56"/>
      <c r="FV841" s="56"/>
      <c r="FW841" s="56"/>
      <c r="FX841" s="56"/>
      <c r="FY841" s="56"/>
      <c r="FZ841" s="56"/>
      <c r="GA841" s="56"/>
      <c r="GB841" s="56"/>
      <c r="GC841" s="56"/>
      <c r="GD841" s="56"/>
      <c r="GE841" s="56"/>
      <c r="GF841" s="56"/>
      <c r="GG841" s="56"/>
      <c r="GH841" s="56"/>
      <c r="GI841" s="56"/>
      <c r="GJ841" s="56"/>
      <c r="GK841" s="56"/>
      <c r="GL841" s="56"/>
      <c r="GM841" s="56"/>
      <c r="GN841" s="56"/>
      <c r="GO841" s="56"/>
      <c r="GP841" s="56"/>
      <c r="GQ841" s="56"/>
      <c r="GR841" s="56"/>
      <c r="GS841" s="56"/>
      <c r="GT841" s="56"/>
      <c r="GU841" s="56"/>
      <c r="GV841" s="56"/>
      <c r="GW841" s="56"/>
      <c r="GX841" s="56"/>
      <c r="GY841" s="56"/>
      <c r="GZ841" s="56"/>
      <c r="HA841" s="56"/>
      <c r="HB841" s="56"/>
      <c r="HC841" s="56"/>
      <c r="HD841" s="56"/>
      <c r="HE841" s="56"/>
      <c r="HF841" s="56"/>
      <c r="HG841" s="56"/>
      <c r="HH841" s="56"/>
      <c r="HI841" s="56"/>
      <c r="HJ841" s="56"/>
    </row>
    <row r="842" spans="1:218" ht="15.75" customHeight="1" x14ac:dyDescent="0.2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  <c r="BV842" s="56"/>
      <c r="BW842" s="56"/>
      <c r="BX842" s="56"/>
      <c r="BY842" s="56"/>
      <c r="BZ842" s="56"/>
      <c r="CA842" s="56"/>
      <c r="CB842" s="56"/>
      <c r="CC842" s="56"/>
      <c r="CD842" s="56"/>
      <c r="CE842" s="56"/>
      <c r="CF842" s="56"/>
      <c r="CG842" s="56"/>
      <c r="CH842" s="56"/>
      <c r="CI842" s="56"/>
      <c r="CJ842" s="56"/>
      <c r="CK842" s="56"/>
      <c r="CL842" s="56"/>
      <c r="CM842" s="56"/>
      <c r="CN842" s="56"/>
      <c r="CO842" s="56"/>
      <c r="CP842" s="56"/>
      <c r="CQ842" s="56"/>
      <c r="CR842" s="56"/>
      <c r="CS842" s="56"/>
      <c r="CT842" s="56"/>
      <c r="CU842" s="56"/>
      <c r="CV842" s="56"/>
      <c r="CW842" s="56"/>
      <c r="CX842" s="56"/>
      <c r="CY842" s="56"/>
      <c r="CZ842" s="56"/>
      <c r="DA842" s="56"/>
      <c r="DB842" s="56"/>
      <c r="DC842" s="56"/>
      <c r="DD842" s="56"/>
      <c r="DE842" s="56"/>
      <c r="DF842" s="56"/>
      <c r="DG842" s="56"/>
      <c r="DH842" s="56"/>
      <c r="DI842" s="56"/>
      <c r="DJ842" s="56"/>
      <c r="DK842" s="56"/>
      <c r="DL842" s="56"/>
      <c r="DM842" s="56"/>
      <c r="DN842" s="56"/>
      <c r="DO842" s="56"/>
      <c r="DP842" s="56"/>
      <c r="DQ842" s="56"/>
      <c r="DR842" s="56"/>
      <c r="DS842" s="56"/>
      <c r="DT842" s="56"/>
      <c r="DU842" s="56"/>
      <c r="DV842" s="56"/>
      <c r="DW842" s="56"/>
      <c r="DX842" s="56"/>
      <c r="DY842" s="56"/>
      <c r="DZ842" s="56"/>
      <c r="EA842" s="56"/>
      <c r="EB842" s="56"/>
      <c r="EC842" s="56"/>
      <c r="ED842" s="56"/>
      <c r="EE842" s="56"/>
      <c r="EF842" s="56"/>
      <c r="EG842" s="56"/>
      <c r="EH842" s="56"/>
      <c r="EI842" s="56"/>
      <c r="EJ842" s="56"/>
      <c r="EK842" s="56"/>
      <c r="EL842" s="56"/>
      <c r="EM842" s="56"/>
      <c r="EN842" s="56"/>
      <c r="EO842" s="56"/>
      <c r="EP842" s="56"/>
      <c r="EQ842" s="56"/>
      <c r="ER842" s="56"/>
      <c r="ES842" s="56"/>
      <c r="ET842" s="56"/>
      <c r="EU842" s="56"/>
      <c r="EV842" s="56"/>
      <c r="EW842" s="56"/>
      <c r="EX842" s="56"/>
      <c r="EY842" s="56"/>
      <c r="EZ842" s="56"/>
      <c r="FA842" s="56"/>
      <c r="FB842" s="56"/>
      <c r="FC842" s="56"/>
      <c r="FD842" s="56"/>
      <c r="FE842" s="56"/>
      <c r="FF842" s="56"/>
      <c r="FG842" s="56"/>
      <c r="FH842" s="56"/>
      <c r="FI842" s="56"/>
      <c r="FJ842" s="56"/>
      <c r="FK842" s="56"/>
      <c r="FL842" s="56"/>
      <c r="FM842" s="56"/>
      <c r="FN842" s="56"/>
      <c r="FO842" s="56"/>
      <c r="FP842" s="56"/>
      <c r="FQ842" s="56"/>
      <c r="FR842" s="56"/>
      <c r="FS842" s="56"/>
      <c r="FT842" s="56"/>
      <c r="FU842" s="56"/>
      <c r="FV842" s="56"/>
      <c r="FW842" s="56"/>
      <c r="FX842" s="56"/>
      <c r="FY842" s="56"/>
      <c r="FZ842" s="56"/>
      <c r="GA842" s="56"/>
      <c r="GB842" s="56"/>
      <c r="GC842" s="56"/>
      <c r="GD842" s="56"/>
      <c r="GE842" s="56"/>
      <c r="GF842" s="56"/>
      <c r="GG842" s="56"/>
      <c r="GH842" s="56"/>
      <c r="GI842" s="56"/>
      <c r="GJ842" s="56"/>
      <c r="GK842" s="56"/>
      <c r="GL842" s="56"/>
      <c r="GM842" s="56"/>
      <c r="GN842" s="56"/>
      <c r="GO842" s="56"/>
      <c r="GP842" s="56"/>
      <c r="GQ842" s="56"/>
      <c r="GR842" s="56"/>
      <c r="GS842" s="56"/>
      <c r="GT842" s="56"/>
      <c r="GU842" s="56"/>
      <c r="GV842" s="56"/>
      <c r="GW842" s="56"/>
      <c r="GX842" s="56"/>
      <c r="GY842" s="56"/>
      <c r="GZ842" s="56"/>
      <c r="HA842" s="56"/>
      <c r="HB842" s="56"/>
      <c r="HC842" s="56"/>
      <c r="HD842" s="56"/>
      <c r="HE842" s="56"/>
      <c r="HF842" s="56"/>
      <c r="HG842" s="56"/>
      <c r="HH842" s="56"/>
      <c r="HI842" s="56"/>
      <c r="HJ842" s="56"/>
    </row>
    <row r="843" spans="1:218" ht="15.75" customHeight="1" x14ac:dyDescent="0.2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  <c r="BV843" s="56"/>
      <c r="BW843" s="56"/>
      <c r="BX843" s="56"/>
      <c r="BY843" s="56"/>
      <c r="BZ843" s="56"/>
      <c r="CA843" s="56"/>
      <c r="CB843" s="56"/>
      <c r="CC843" s="56"/>
      <c r="CD843" s="56"/>
      <c r="CE843" s="56"/>
      <c r="CF843" s="56"/>
      <c r="CG843" s="56"/>
      <c r="CH843" s="56"/>
      <c r="CI843" s="56"/>
      <c r="CJ843" s="56"/>
      <c r="CK843" s="56"/>
      <c r="CL843" s="56"/>
      <c r="CM843" s="56"/>
      <c r="CN843" s="56"/>
      <c r="CO843" s="56"/>
      <c r="CP843" s="56"/>
      <c r="CQ843" s="56"/>
      <c r="CR843" s="56"/>
      <c r="CS843" s="56"/>
      <c r="CT843" s="56"/>
      <c r="CU843" s="56"/>
      <c r="CV843" s="56"/>
      <c r="CW843" s="56"/>
      <c r="CX843" s="56"/>
      <c r="CY843" s="56"/>
      <c r="CZ843" s="56"/>
      <c r="DA843" s="56"/>
      <c r="DB843" s="56"/>
      <c r="DC843" s="56"/>
      <c r="DD843" s="56"/>
      <c r="DE843" s="56"/>
      <c r="DF843" s="56"/>
      <c r="DG843" s="56"/>
      <c r="DH843" s="56"/>
      <c r="DI843" s="56"/>
      <c r="DJ843" s="56"/>
      <c r="DK843" s="56"/>
      <c r="DL843" s="56"/>
      <c r="DM843" s="56"/>
      <c r="DN843" s="56"/>
      <c r="DO843" s="56"/>
      <c r="DP843" s="56"/>
      <c r="DQ843" s="56"/>
      <c r="DR843" s="56"/>
      <c r="DS843" s="56"/>
      <c r="DT843" s="56"/>
      <c r="DU843" s="56"/>
      <c r="DV843" s="56"/>
      <c r="DW843" s="56"/>
      <c r="DX843" s="56"/>
      <c r="DY843" s="56"/>
      <c r="DZ843" s="56"/>
      <c r="EA843" s="56"/>
      <c r="EB843" s="56"/>
      <c r="EC843" s="56"/>
      <c r="ED843" s="56"/>
      <c r="EE843" s="56"/>
      <c r="EF843" s="56"/>
      <c r="EG843" s="56"/>
      <c r="EH843" s="56"/>
      <c r="EI843" s="56"/>
      <c r="EJ843" s="56"/>
      <c r="EK843" s="56"/>
      <c r="EL843" s="56"/>
      <c r="EM843" s="56"/>
      <c r="EN843" s="56"/>
      <c r="EO843" s="56"/>
      <c r="EP843" s="56"/>
      <c r="EQ843" s="56"/>
      <c r="ER843" s="56"/>
      <c r="ES843" s="56"/>
      <c r="ET843" s="56"/>
      <c r="EU843" s="56"/>
      <c r="EV843" s="56"/>
      <c r="EW843" s="56"/>
      <c r="EX843" s="56"/>
      <c r="EY843" s="56"/>
      <c r="EZ843" s="56"/>
      <c r="FA843" s="56"/>
      <c r="FB843" s="56"/>
      <c r="FC843" s="56"/>
      <c r="FD843" s="56"/>
      <c r="FE843" s="56"/>
      <c r="FF843" s="56"/>
      <c r="FG843" s="56"/>
      <c r="FH843" s="56"/>
      <c r="FI843" s="56"/>
      <c r="FJ843" s="56"/>
      <c r="FK843" s="56"/>
      <c r="FL843" s="56"/>
      <c r="FM843" s="56"/>
      <c r="FN843" s="56"/>
      <c r="FO843" s="56"/>
      <c r="FP843" s="56"/>
      <c r="FQ843" s="56"/>
      <c r="FR843" s="56"/>
      <c r="FS843" s="56"/>
      <c r="FT843" s="56"/>
      <c r="FU843" s="56"/>
      <c r="FV843" s="56"/>
      <c r="FW843" s="56"/>
      <c r="FX843" s="56"/>
      <c r="FY843" s="56"/>
      <c r="FZ843" s="56"/>
      <c r="GA843" s="56"/>
      <c r="GB843" s="56"/>
      <c r="GC843" s="56"/>
      <c r="GD843" s="56"/>
      <c r="GE843" s="56"/>
      <c r="GF843" s="56"/>
      <c r="GG843" s="56"/>
      <c r="GH843" s="56"/>
      <c r="GI843" s="56"/>
      <c r="GJ843" s="56"/>
      <c r="GK843" s="56"/>
      <c r="GL843" s="56"/>
      <c r="GM843" s="56"/>
      <c r="GN843" s="56"/>
      <c r="GO843" s="56"/>
      <c r="GP843" s="56"/>
      <c r="GQ843" s="56"/>
      <c r="GR843" s="56"/>
      <c r="GS843" s="56"/>
      <c r="GT843" s="56"/>
      <c r="GU843" s="56"/>
      <c r="GV843" s="56"/>
      <c r="GW843" s="56"/>
      <c r="GX843" s="56"/>
      <c r="GY843" s="56"/>
      <c r="GZ843" s="56"/>
      <c r="HA843" s="56"/>
      <c r="HB843" s="56"/>
      <c r="HC843" s="56"/>
      <c r="HD843" s="56"/>
      <c r="HE843" s="56"/>
      <c r="HF843" s="56"/>
      <c r="HG843" s="56"/>
      <c r="HH843" s="56"/>
      <c r="HI843" s="56"/>
      <c r="HJ843" s="56"/>
    </row>
    <row r="844" spans="1:218" ht="15.75" customHeight="1" x14ac:dyDescent="0.2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  <c r="CL844" s="56"/>
      <c r="CM844" s="56"/>
      <c r="CN844" s="56"/>
      <c r="CO844" s="56"/>
      <c r="CP844" s="56"/>
      <c r="CQ844" s="56"/>
      <c r="CR844" s="56"/>
      <c r="CS844" s="56"/>
      <c r="CT844" s="56"/>
      <c r="CU844" s="56"/>
      <c r="CV844" s="56"/>
      <c r="CW844" s="56"/>
      <c r="CX844" s="56"/>
      <c r="CY844" s="56"/>
      <c r="CZ844" s="56"/>
      <c r="DA844" s="56"/>
      <c r="DB844" s="56"/>
      <c r="DC844" s="56"/>
      <c r="DD844" s="56"/>
      <c r="DE844" s="56"/>
      <c r="DF844" s="56"/>
      <c r="DG844" s="56"/>
      <c r="DH844" s="56"/>
      <c r="DI844" s="56"/>
      <c r="DJ844" s="56"/>
      <c r="DK844" s="56"/>
      <c r="DL844" s="56"/>
      <c r="DM844" s="56"/>
      <c r="DN844" s="56"/>
      <c r="DO844" s="56"/>
      <c r="DP844" s="56"/>
      <c r="DQ844" s="56"/>
      <c r="DR844" s="56"/>
      <c r="DS844" s="56"/>
      <c r="DT844" s="56"/>
      <c r="DU844" s="56"/>
      <c r="DV844" s="56"/>
      <c r="DW844" s="56"/>
      <c r="DX844" s="56"/>
      <c r="DY844" s="56"/>
      <c r="DZ844" s="56"/>
      <c r="EA844" s="56"/>
      <c r="EB844" s="56"/>
      <c r="EC844" s="56"/>
      <c r="ED844" s="56"/>
      <c r="EE844" s="56"/>
      <c r="EF844" s="56"/>
      <c r="EG844" s="56"/>
      <c r="EH844" s="56"/>
      <c r="EI844" s="56"/>
      <c r="EJ844" s="56"/>
      <c r="EK844" s="56"/>
      <c r="EL844" s="56"/>
      <c r="EM844" s="56"/>
      <c r="EN844" s="56"/>
      <c r="EO844" s="56"/>
      <c r="EP844" s="56"/>
      <c r="EQ844" s="56"/>
      <c r="ER844" s="56"/>
      <c r="ES844" s="56"/>
      <c r="ET844" s="56"/>
      <c r="EU844" s="56"/>
      <c r="EV844" s="56"/>
      <c r="EW844" s="56"/>
      <c r="EX844" s="56"/>
      <c r="EY844" s="56"/>
      <c r="EZ844" s="56"/>
      <c r="FA844" s="56"/>
      <c r="FB844" s="56"/>
      <c r="FC844" s="56"/>
      <c r="FD844" s="56"/>
      <c r="FE844" s="56"/>
      <c r="FF844" s="56"/>
      <c r="FG844" s="56"/>
      <c r="FH844" s="56"/>
      <c r="FI844" s="56"/>
      <c r="FJ844" s="56"/>
      <c r="FK844" s="56"/>
      <c r="FL844" s="56"/>
      <c r="FM844" s="56"/>
      <c r="FN844" s="56"/>
      <c r="FO844" s="56"/>
      <c r="FP844" s="56"/>
      <c r="FQ844" s="56"/>
      <c r="FR844" s="56"/>
      <c r="FS844" s="56"/>
      <c r="FT844" s="56"/>
      <c r="FU844" s="56"/>
      <c r="FV844" s="56"/>
      <c r="FW844" s="56"/>
      <c r="FX844" s="56"/>
      <c r="FY844" s="56"/>
      <c r="FZ844" s="56"/>
      <c r="GA844" s="56"/>
      <c r="GB844" s="56"/>
      <c r="GC844" s="56"/>
      <c r="GD844" s="56"/>
      <c r="GE844" s="56"/>
      <c r="GF844" s="56"/>
      <c r="GG844" s="56"/>
      <c r="GH844" s="56"/>
      <c r="GI844" s="56"/>
      <c r="GJ844" s="56"/>
      <c r="GK844" s="56"/>
      <c r="GL844" s="56"/>
      <c r="GM844" s="56"/>
      <c r="GN844" s="56"/>
      <c r="GO844" s="56"/>
      <c r="GP844" s="56"/>
      <c r="GQ844" s="56"/>
      <c r="GR844" s="56"/>
      <c r="GS844" s="56"/>
      <c r="GT844" s="56"/>
      <c r="GU844" s="56"/>
      <c r="GV844" s="56"/>
      <c r="GW844" s="56"/>
      <c r="GX844" s="56"/>
      <c r="GY844" s="56"/>
      <c r="GZ844" s="56"/>
      <c r="HA844" s="56"/>
      <c r="HB844" s="56"/>
      <c r="HC844" s="56"/>
      <c r="HD844" s="56"/>
      <c r="HE844" s="56"/>
      <c r="HF844" s="56"/>
      <c r="HG844" s="56"/>
      <c r="HH844" s="56"/>
      <c r="HI844" s="56"/>
      <c r="HJ844" s="56"/>
    </row>
    <row r="845" spans="1:218" ht="15.75" customHeight="1" x14ac:dyDescent="0.2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  <c r="BV845" s="56"/>
      <c r="BW845" s="56"/>
      <c r="BX845" s="56"/>
      <c r="BY845" s="56"/>
      <c r="BZ845" s="56"/>
      <c r="CA845" s="56"/>
      <c r="CB845" s="56"/>
      <c r="CC845" s="56"/>
      <c r="CD845" s="56"/>
      <c r="CE845" s="56"/>
      <c r="CF845" s="56"/>
      <c r="CG845" s="56"/>
      <c r="CH845" s="56"/>
      <c r="CI845" s="56"/>
      <c r="CJ845" s="56"/>
      <c r="CK845" s="56"/>
      <c r="CL845" s="56"/>
      <c r="CM845" s="56"/>
      <c r="CN845" s="56"/>
      <c r="CO845" s="56"/>
      <c r="CP845" s="56"/>
      <c r="CQ845" s="56"/>
      <c r="CR845" s="56"/>
      <c r="CS845" s="56"/>
      <c r="CT845" s="56"/>
      <c r="CU845" s="56"/>
      <c r="CV845" s="56"/>
      <c r="CW845" s="56"/>
      <c r="CX845" s="56"/>
      <c r="CY845" s="56"/>
      <c r="CZ845" s="56"/>
      <c r="DA845" s="56"/>
      <c r="DB845" s="56"/>
      <c r="DC845" s="56"/>
      <c r="DD845" s="56"/>
      <c r="DE845" s="56"/>
      <c r="DF845" s="56"/>
      <c r="DG845" s="56"/>
      <c r="DH845" s="56"/>
      <c r="DI845" s="56"/>
      <c r="DJ845" s="56"/>
      <c r="DK845" s="56"/>
      <c r="DL845" s="56"/>
      <c r="DM845" s="56"/>
      <c r="DN845" s="56"/>
      <c r="DO845" s="56"/>
      <c r="DP845" s="56"/>
      <c r="DQ845" s="56"/>
      <c r="DR845" s="56"/>
      <c r="DS845" s="56"/>
      <c r="DT845" s="56"/>
      <c r="DU845" s="56"/>
      <c r="DV845" s="56"/>
      <c r="DW845" s="56"/>
      <c r="DX845" s="56"/>
      <c r="DY845" s="56"/>
      <c r="DZ845" s="56"/>
      <c r="EA845" s="56"/>
      <c r="EB845" s="56"/>
      <c r="EC845" s="56"/>
      <c r="ED845" s="56"/>
      <c r="EE845" s="56"/>
      <c r="EF845" s="56"/>
      <c r="EG845" s="56"/>
      <c r="EH845" s="56"/>
      <c r="EI845" s="56"/>
      <c r="EJ845" s="56"/>
      <c r="EK845" s="56"/>
      <c r="EL845" s="56"/>
      <c r="EM845" s="56"/>
      <c r="EN845" s="56"/>
      <c r="EO845" s="56"/>
      <c r="EP845" s="56"/>
      <c r="EQ845" s="56"/>
      <c r="ER845" s="56"/>
      <c r="ES845" s="56"/>
      <c r="ET845" s="56"/>
      <c r="EU845" s="56"/>
      <c r="EV845" s="56"/>
      <c r="EW845" s="56"/>
      <c r="EX845" s="56"/>
      <c r="EY845" s="56"/>
      <c r="EZ845" s="56"/>
      <c r="FA845" s="56"/>
      <c r="FB845" s="56"/>
      <c r="FC845" s="56"/>
      <c r="FD845" s="56"/>
      <c r="FE845" s="56"/>
      <c r="FF845" s="56"/>
      <c r="FG845" s="56"/>
      <c r="FH845" s="56"/>
      <c r="FI845" s="56"/>
      <c r="FJ845" s="56"/>
      <c r="FK845" s="56"/>
      <c r="FL845" s="56"/>
      <c r="FM845" s="56"/>
      <c r="FN845" s="56"/>
      <c r="FO845" s="56"/>
      <c r="FP845" s="56"/>
      <c r="FQ845" s="56"/>
      <c r="FR845" s="56"/>
      <c r="FS845" s="56"/>
      <c r="FT845" s="56"/>
      <c r="FU845" s="56"/>
      <c r="FV845" s="56"/>
      <c r="FW845" s="56"/>
      <c r="FX845" s="56"/>
      <c r="FY845" s="56"/>
      <c r="FZ845" s="56"/>
      <c r="GA845" s="56"/>
      <c r="GB845" s="56"/>
      <c r="GC845" s="56"/>
      <c r="GD845" s="56"/>
      <c r="GE845" s="56"/>
      <c r="GF845" s="56"/>
      <c r="GG845" s="56"/>
      <c r="GH845" s="56"/>
      <c r="GI845" s="56"/>
      <c r="GJ845" s="56"/>
      <c r="GK845" s="56"/>
      <c r="GL845" s="56"/>
      <c r="GM845" s="56"/>
      <c r="GN845" s="56"/>
      <c r="GO845" s="56"/>
      <c r="GP845" s="56"/>
      <c r="GQ845" s="56"/>
      <c r="GR845" s="56"/>
      <c r="GS845" s="56"/>
      <c r="GT845" s="56"/>
      <c r="GU845" s="56"/>
      <c r="GV845" s="56"/>
      <c r="GW845" s="56"/>
      <c r="GX845" s="56"/>
      <c r="GY845" s="56"/>
      <c r="GZ845" s="56"/>
      <c r="HA845" s="56"/>
      <c r="HB845" s="56"/>
      <c r="HC845" s="56"/>
      <c r="HD845" s="56"/>
      <c r="HE845" s="56"/>
      <c r="HF845" s="56"/>
      <c r="HG845" s="56"/>
      <c r="HH845" s="56"/>
      <c r="HI845" s="56"/>
      <c r="HJ845" s="56"/>
    </row>
    <row r="846" spans="1:218" ht="15.75" customHeight="1" x14ac:dyDescent="0.2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  <c r="CL846" s="56"/>
      <c r="CM846" s="56"/>
      <c r="CN846" s="56"/>
      <c r="CO846" s="56"/>
      <c r="CP846" s="56"/>
      <c r="CQ846" s="56"/>
      <c r="CR846" s="56"/>
      <c r="CS846" s="56"/>
      <c r="CT846" s="56"/>
      <c r="CU846" s="56"/>
      <c r="CV846" s="56"/>
      <c r="CW846" s="56"/>
      <c r="CX846" s="56"/>
      <c r="CY846" s="56"/>
      <c r="CZ846" s="56"/>
      <c r="DA846" s="56"/>
      <c r="DB846" s="56"/>
      <c r="DC846" s="56"/>
      <c r="DD846" s="56"/>
      <c r="DE846" s="56"/>
      <c r="DF846" s="56"/>
      <c r="DG846" s="56"/>
      <c r="DH846" s="56"/>
      <c r="DI846" s="56"/>
      <c r="DJ846" s="56"/>
      <c r="DK846" s="56"/>
      <c r="DL846" s="56"/>
      <c r="DM846" s="56"/>
      <c r="DN846" s="56"/>
      <c r="DO846" s="56"/>
      <c r="DP846" s="56"/>
      <c r="DQ846" s="56"/>
      <c r="DR846" s="56"/>
      <c r="DS846" s="56"/>
      <c r="DT846" s="56"/>
      <c r="DU846" s="56"/>
      <c r="DV846" s="56"/>
      <c r="DW846" s="56"/>
      <c r="DX846" s="56"/>
      <c r="DY846" s="56"/>
      <c r="DZ846" s="56"/>
      <c r="EA846" s="56"/>
      <c r="EB846" s="56"/>
      <c r="EC846" s="56"/>
      <c r="ED846" s="56"/>
      <c r="EE846" s="56"/>
      <c r="EF846" s="56"/>
      <c r="EG846" s="56"/>
      <c r="EH846" s="56"/>
      <c r="EI846" s="56"/>
      <c r="EJ846" s="56"/>
      <c r="EK846" s="56"/>
      <c r="EL846" s="56"/>
      <c r="EM846" s="56"/>
      <c r="EN846" s="56"/>
      <c r="EO846" s="56"/>
      <c r="EP846" s="56"/>
      <c r="EQ846" s="56"/>
      <c r="ER846" s="56"/>
      <c r="ES846" s="56"/>
      <c r="ET846" s="56"/>
      <c r="EU846" s="56"/>
      <c r="EV846" s="56"/>
      <c r="EW846" s="56"/>
      <c r="EX846" s="56"/>
      <c r="EY846" s="56"/>
      <c r="EZ846" s="56"/>
      <c r="FA846" s="56"/>
      <c r="FB846" s="56"/>
      <c r="FC846" s="56"/>
      <c r="FD846" s="56"/>
      <c r="FE846" s="56"/>
      <c r="FF846" s="56"/>
      <c r="FG846" s="56"/>
      <c r="FH846" s="56"/>
      <c r="FI846" s="56"/>
      <c r="FJ846" s="56"/>
      <c r="FK846" s="56"/>
      <c r="FL846" s="56"/>
      <c r="FM846" s="56"/>
      <c r="FN846" s="56"/>
      <c r="FO846" s="56"/>
      <c r="FP846" s="56"/>
      <c r="FQ846" s="56"/>
      <c r="FR846" s="56"/>
      <c r="FS846" s="56"/>
      <c r="FT846" s="56"/>
      <c r="FU846" s="56"/>
      <c r="FV846" s="56"/>
      <c r="FW846" s="56"/>
      <c r="FX846" s="56"/>
      <c r="FY846" s="56"/>
      <c r="FZ846" s="56"/>
      <c r="GA846" s="56"/>
      <c r="GB846" s="56"/>
      <c r="GC846" s="56"/>
      <c r="GD846" s="56"/>
      <c r="GE846" s="56"/>
      <c r="GF846" s="56"/>
      <c r="GG846" s="56"/>
      <c r="GH846" s="56"/>
      <c r="GI846" s="56"/>
      <c r="GJ846" s="56"/>
      <c r="GK846" s="56"/>
      <c r="GL846" s="56"/>
      <c r="GM846" s="56"/>
      <c r="GN846" s="56"/>
      <c r="GO846" s="56"/>
      <c r="GP846" s="56"/>
      <c r="GQ846" s="56"/>
      <c r="GR846" s="56"/>
      <c r="GS846" s="56"/>
      <c r="GT846" s="56"/>
      <c r="GU846" s="56"/>
      <c r="GV846" s="56"/>
      <c r="GW846" s="56"/>
      <c r="GX846" s="56"/>
      <c r="GY846" s="56"/>
      <c r="GZ846" s="56"/>
      <c r="HA846" s="56"/>
      <c r="HB846" s="56"/>
      <c r="HC846" s="56"/>
      <c r="HD846" s="56"/>
      <c r="HE846" s="56"/>
      <c r="HF846" s="56"/>
      <c r="HG846" s="56"/>
      <c r="HH846" s="56"/>
      <c r="HI846" s="56"/>
      <c r="HJ846" s="56"/>
    </row>
    <row r="847" spans="1:218" ht="15.75" customHeight="1" x14ac:dyDescent="0.2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  <c r="CL847" s="56"/>
      <c r="CM847" s="56"/>
      <c r="CN847" s="56"/>
      <c r="CO847" s="56"/>
      <c r="CP847" s="56"/>
      <c r="CQ847" s="56"/>
      <c r="CR847" s="56"/>
      <c r="CS847" s="56"/>
      <c r="CT847" s="56"/>
      <c r="CU847" s="56"/>
      <c r="CV847" s="56"/>
      <c r="CW847" s="56"/>
      <c r="CX847" s="56"/>
      <c r="CY847" s="56"/>
      <c r="CZ847" s="56"/>
      <c r="DA847" s="56"/>
      <c r="DB847" s="56"/>
      <c r="DC847" s="56"/>
      <c r="DD847" s="56"/>
      <c r="DE847" s="56"/>
      <c r="DF847" s="56"/>
      <c r="DG847" s="56"/>
      <c r="DH847" s="56"/>
      <c r="DI847" s="56"/>
      <c r="DJ847" s="56"/>
      <c r="DK847" s="56"/>
      <c r="DL847" s="56"/>
      <c r="DM847" s="56"/>
      <c r="DN847" s="56"/>
      <c r="DO847" s="56"/>
      <c r="DP847" s="56"/>
      <c r="DQ847" s="56"/>
      <c r="DR847" s="56"/>
      <c r="DS847" s="56"/>
      <c r="DT847" s="56"/>
      <c r="DU847" s="56"/>
      <c r="DV847" s="56"/>
      <c r="DW847" s="56"/>
      <c r="DX847" s="56"/>
      <c r="DY847" s="56"/>
      <c r="DZ847" s="56"/>
      <c r="EA847" s="56"/>
      <c r="EB847" s="56"/>
      <c r="EC847" s="56"/>
      <c r="ED847" s="56"/>
      <c r="EE847" s="56"/>
      <c r="EF847" s="56"/>
      <c r="EG847" s="56"/>
      <c r="EH847" s="56"/>
      <c r="EI847" s="56"/>
      <c r="EJ847" s="56"/>
      <c r="EK847" s="56"/>
      <c r="EL847" s="56"/>
      <c r="EM847" s="56"/>
      <c r="EN847" s="56"/>
      <c r="EO847" s="56"/>
      <c r="EP847" s="56"/>
      <c r="EQ847" s="56"/>
      <c r="ER847" s="56"/>
      <c r="ES847" s="56"/>
      <c r="ET847" s="56"/>
      <c r="EU847" s="56"/>
      <c r="EV847" s="56"/>
      <c r="EW847" s="56"/>
      <c r="EX847" s="56"/>
      <c r="EY847" s="56"/>
      <c r="EZ847" s="56"/>
      <c r="FA847" s="56"/>
      <c r="FB847" s="56"/>
      <c r="FC847" s="56"/>
      <c r="FD847" s="56"/>
      <c r="FE847" s="56"/>
      <c r="FF847" s="56"/>
      <c r="FG847" s="56"/>
      <c r="FH847" s="56"/>
      <c r="FI847" s="56"/>
      <c r="FJ847" s="56"/>
      <c r="FK847" s="56"/>
      <c r="FL847" s="56"/>
      <c r="FM847" s="56"/>
      <c r="FN847" s="56"/>
      <c r="FO847" s="56"/>
      <c r="FP847" s="56"/>
      <c r="FQ847" s="56"/>
      <c r="FR847" s="56"/>
      <c r="FS847" s="56"/>
      <c r="FT847" s="56"/>
      <c r="FU847" s="56"/>
      <c r="FV847" s="56"/>
      <c r="FW847" s="56"/>
      <c r="FX847" s="56"/>
      <c r="FY847" s="56"/>
      <c r="FZ847" s="56"/>
      <c r="GA847" s="56"/>
      <c r="GB847" s="56"/>
      <c r="GC847" s="56"/>
      <c r="GD847" s="56"/>
      <c r="GE847" s="56"/>
      <c r="GF847" s="56"/>
      <c r="GG847" s="56"/>
      <c r="GH847" s="56"/>
      <c r="GI847" s="56"/>
      <c r="GJ847" s="56"/>
      <c r="GK847" s="56"/>
      <c r="GL847" s="56"/>
      <c r="GM847" s="56"/>
      <c r="GN847" s="56"/>
      <c r="GO847" s="56"/>
      <c r="GP847" s="56"/>
      <c r="GQ847" s="56"/>
      <c r="GR847" s="56"/>
      <c r="GS847" s="56"/>
      <c r="GT847" s="56"/>
      <c r="GU847" s="56"/>
      <c r="GV847" s="56"/>
      <c r="GW847" s="56"/>
      <c r="GX847" s="56"/>
      <c r="GY847" s="56"/>
      <c r="GZ847" s="56"/>
      <c r="HA847" s="56"/>
      <c r="HB847" s="56"/>
      <c r="HC847" s="56"/>
      <c r="HD847" s="56"/>
      <c r="HE847" s="56"/>
      <c r="HF847" s="56"/>
      <c r="HG847" s="56"/>
      <c r="HH847" s="56"/>
      <c r="HI847" s="56"/>
      <c r="HJ847" s="56"/>
    </row>
    <row r="848" spans="1:218" ht="15.75" customHeight="1" x14ac:dyDescent="0.2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  <c r="CL848" s="56"/>
      <c r="CM848" s="56"/>
      <c r="CN848" s="56"/>
      <c r="CO848" s="56"/>
      <c r="CP848" s="56"/>
      <c r="CQ848" s="56"/>
      <c r="CR848" s="56"/>
      <c r="CS848" s="56"/>
      <c r="CT848" s="56"/>
      <c r="CU848" s="56"/>
      <c r="CV848" s="56"/>
      <c r="CW848" s="56"/>
      <c r="CX848" s="56"/>
      <c r="CY848" s="56"/>
      <c r="CZ848" s="56"/>
      <c r="DA848" s="56"/>
      <c r="DB848" s="56"/>
      <c r="DC848" s="56"/>
      <c r="DD848" s="56"/>
      <c r="DE848" s="56"/>
      <c r="DF848" s="56"/>
      <c r="DG848" s="56"/>
      <c r="DH848" s="56"/>
      <c r="DI848" s="56"/>
      <c r="DJ848" s="56"/>
      <c r="DK848" s="56"/>
      <c r="DL848" s="56"/>
      <c r="DM848" s="56"/>
      <c r="DN848" s="56"/>
      <c r="DO848" s="56"/>
      <c r="DP848" s="56"/>
      <c r="DQ848" s="56"/>
      <c r="DR848" s="56"/>
      <c r="DS848" s="56"/>
      <c r="DT848" s="56"/>
      <c r="DU848" s="56"/>
      <c r="DV848" s="56"/>
      <c r="DW848" s="56"/>
      <c r="DX848" s="56"/>
      <c r="DY848" s="56"/>
      <c r="DZ848" s="56"/>
      <c r="EA848" s="56"/>
      <c r="EB848" s="56"/>
      <c r="EC848" s="56"/>
      <c r="ED848" s="56"/>
      <c r="EE848" s="56"/>
      <c r="EF848" s="56"/>
      <c r="EG848" s="56"/>
      <c r="EH848" s="56"/>
      <c r="EI848" s="56"/>
      <c r="EJ848" s="56"/>
      <c r="EK848" s="56"/>
      <c r="EL848" s="56"/>
      <c r="EM848" s="56"/>
      <c r="EN848" s="56"/>
      <c r="EO848" s="56"/>
      <c r="EP848" s="56"/>
      <c r="EQ848" s="56"/>
      <c r="ER848" s="56"/>
      <c r="ES848" s="56"/>
      <c r="ET848" s="56"/>
      <c r="EU848" s="56"/>
      <c r="EV848" s="56"/>
      <c r="EW848" s="56"/>
      <c r="EX848" s="56"/>
      <c r="EY848" s="56"/>
      <c r="EZ848" s="56"/>
      <c r="FA848" s="56"/>
      <c r="FB848" s="56"/>
      <c r="FC848" s="56"/>
      <c r="FD848" s="56"/>
      <c r="FE848" s="56"/>
      <c r="FF848" s="56"/>
      <c r="FG848" s="56"/>
      <c r="FH848" s="56"/>
      <c r="FI848" s="56"/>
      <c r="FJ848" s="56"/>
      <c r="FK848" s="56"/>
      <c r="FL848" s="56"/>
      <c r="FM848" s="56"/>
      <c r="FN848" s="56"/>
      <c r="FO848" s="56"/>
      <c r="FP848" s="56"/>
      <c r="FQ848" s="56"/>
      <c r="FR848" s="56"/>
      <c r="FS848" s="56"/>
      <c r="FT848" s="56"/>
      <c r="FU848" s="56"/>
      <c r="FV848" s="56"/>
      <c r="FW848" s="56"/>
      <c r="FX848" s="56"/>
      <c r="FY848" s="56"/>
      <c r="FZ848" s="56"/>
      <c r="GA848" s="56"/>
      <c r="GB848" s="56"/>
      <c r="GC848" s="56"/>
      <c r="GD848" s="56"/>
      <c r="GE848" s="56"/>
      <c r="GF848" s="56"/>
      <c r="GG848" s="56"/>
      <c r="GH848" s="56"/>
      <c r="GI848" s="56"/>
      <c r="GJ848" s="56"/>
      <c r="GK848" s="56"/>
      <c r="GL848" s="56"/>
      <c r="GM848" s="56"/>
      <c r="GN848" s="56"/>
      <c r="GO848" s="56"/>
      <c r="GP848" s="56"/>
      <c r="GQ848" s="56"/>
      <c r="GR848" s="56"/>
      <c r="GS848" s="56"/>
      <c r="GT848" s="56"/>
      <c r="GU848" s="56"/>
      <c r="GV848" s="56"/>
      <c r="GW848" s="56"/>
      <c r="GX848" s="56"/>
      <c r="GY848" s="56"/>
      <c r="GZ848" s="56"/>
      <c r="HA848" s="56"/>
      <c r="HB848" s="56"/>
      <c r="HC848" s="56"/>
      <c r="HD848" s="56"/>
      <c r="HE848" s="56"/>
      <c r="HF848" s="56"/>
      <c r="HG848" s="56"/>
      <c r="HH848" s="56"/>
      <c r="HI848" s="56"/>
      <c r="HJ848" s="56"/>
    </row>
    <row r="849" spans="1:218" ht="15.75" customHeight="1" x14ac:dyDescent="0.2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  <c r="CL849" s="56"/>
      <c r="CM849" s="56"/>
      <c r="CN849" s="56"/>
      <c r="CO849" s="56"/>
      <c r="CP849" s="56"/>
      <c r="CQ849" s="56"/>
      <c r="CR849" s="56"/>
      <c r="CS849" s="56"/>
      <c r="CT849" s="56"/>
      <c r="CU849" s="56"/>
      <c r="CV849" s="56"/>
      <c r="CW849" s="56"/>
      <c r="CX849" s="56"/>
      <c r="CY849" s="56"/>
      <c r="CZ849" s="56"/>
      <c r="DA849" s="56"/>
      <c r="DB849" s="56"/>
      <c r="DC849" s="56"/>
      <c r="DD849" s="56"/>
      <c r="DE849" s="56"/>
      <c r="DF849" s="56"/>
      <c r="DG849" s="56"/>
      <c r="DH849" s="56"/>
      <c r="DI849" s="56"/>
      <c r="DJ849" s="56"/>
      <c r="DK849" s="56"/>
      <c r="DL849" s="56"/>
      <c r="DM849" s="56"/>
      <c r="DN849" s="56"/>
      <c r="DO849" s="56"/>
      <c r="DP849" s="56"/>
      <c r="DQ849" s="56"/>
      <c r="DR849" s="56"/>
      <c r="DS849" s="56"/>
      <c r="DT849" s="56"/>
      <c r="DU849" s="56"/>
      <c r="DV849" s="56"/>
      <c r="DW849" s="56"/>
      <c r="DX849" s="56"/>
      <c r="DY849" s="56"/>
      <c r="DZ849" s="56"/>
      <c r="EA849" s="56"/>
      <c r="EB849" s="56"/>
      <c r="EC849" s="56"/>
      <c r="ED849" s="56"/>
      <c r="EE849" s="56"/>
      <c r="EF849" s="56"/>
      <c r="EG849" s="56"/>
      <c r="EH849" s="56"/>
      <c r="EI849" s="56"/>
      <c r="EJ849" s="56"/>
      <c r="EK849" s="56"/>
      <c r="EL849" s="56"/>
      <c r="EM849" s="56"/>
      <c r="EN849" s="56"/>
      <c r="EO849" s="56"/>
      <c r="EP849" s="56"/>
      <c r="EQ849" s="56"/>
      <c r="ER849" s="56"/>
      <c r="ES849" s="56"/>
      <c r="ET849" s="56"/>
      <c r="EU849" s="56"/>
      <c r="EV849" s="56"/>
      <c r="EW849" s="56"/>
      <c r="EX849" s="56"/>
      <c r="EY849" s="56"/>
      <c r="EZ849" s="56"/>
      <c r="FA849" s="56"/>
      <c r="FB849" s="56"/>
      <c r="FC849" s="56"/>
      <c r="FD849" s="56"/>
      <c r="FE849" s="56"/>
      <c r="FF849" s="56"/>
      <c r="FG849" s="56"/>
      <c r="FH849" s="56"/>
      <c r="FI849" s="56"/>
      <c r="FJ849" s="56"/>
      <c r="FK849" s="56"/>
      <c r="FL849" s="56"/>
      <c r="FM849" s="56"/>
      <c r="FN849" s="56"/>
      <c r="FO849" s="56"/>
      <c r="FP849" s="56"/>
      <c r="FQ849" s="56"/>
      <c r="FR849" s="56"/>
      <c r="FS849" s="56"/>
      <c r="FT849" s="56"/>
      <c r="FU849" s="56"/>
      <c r="FV849" s="56"/>
      <c r="FW849" s="56"/>
      <c r="FX849" s="56"/>
      <c r="FY849" s="56"/>
      <c r="FZ849" s="56"/>
      <c r="GA849" s="56"/>
      <c r="GB849" s="56"/>
      <c r="GC849" s="56"/>
      <c r="GD849" s="56"/>
      <c r="GE849" s="56"/>
      <c r="GF849" s="56"/>
      <c r="GG849" s="56"/>
      <c r="GH849" s="56"/>
      <c r="GI849" s="56"/>
      <c r="GJ849" s="56"/>
      <c r="GK849" s="56"/>
      <c r="GL849" s="56"/>
      <c r="GM849" s="56"/>
      <c r="GN849" s="56"/>
      <c r="GO849" s="56"/>
      <c r="GP849" s="56"/>
      <c r="GQ849" s="56"/>
      <c r="GR849" s="56"/>
      <c r="GS849" s="56"/>
      <c r="GT849" s="56"/>
      <c r="GU849" s="56"/>
      <c r="GV849" s="56"/>
      <c r="GW849" s="56"/>
      <c r="GX849" s="56"/>
      <c r="GY849" s="56"/>
      <c r="GZ849" s="56"/>
      <c r="HA849" s="56"/>
      <c r="HB849" s="56"/>
      <c r="HC849" s="56"/>
      <c r="HD849" s="56"/>
      <c r="HE849" s="56"/>
      <c r="HF849" s="56"/>
      <c r="HG849" s="56"/>
      <c r="HH849" s="56"/>
      <c r="HI849" s="56"/>
      <c r="HJ849" s="56"/>
    </row>
    <row r="850" spans="1:218" ht="15.75" customHeight="1" x14ac:dyDescent="0.2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  <c r="CL850" s="56"/>
      <c r="CM850" s="56"/>
      <c r="CN850" s="56"/>
      <c r="CO850" s="56"/>
      <c r="CP850" s="56"/>
      <c r="CQ850" s="56"/>
      <c r="CR850" s="56"/>
      <c r="CS850" s="56"/>
      <c r="CT850" s="56"/>
      <c r="CU850" s="56"/>
      <c r="CV850" s="56"/>
      <c r="CW850" s="56"/>
      <c r="CX850" s="56"/>
      <c r="CY850" s="56"/>
      <c r="CZ850" s="56"/>
      <c r="DA850" s="56"/>
      <c r="DB850" s="56"/>
      <c r="DC850" s="56"/>
      <c r="DD850" s="56"/>
      <c r="DE850" s="56"/>
      <c r="DF850" s="56"/>
      <c r="DG850" s="56"/>
      <c r="DH850" s="56"/>
      <c r="DI850" s="56"/>
      <c r="DJ850" s="56"/>
      <c r="DK850" s="56"/>
      <c r="DL850" s="56"/>
      <c r="DM850" s="56"/>
      <c r="DN850" s="56"/>
      <c r="DO850" s="56"/>
      <c r="DP850" s="56"/>
      <c r="DQ850" s="56"/>
      <c r="DR850" s="56"/>
      <c r="DS850" s="56"/>
      <c r="DT850" s="56"/>
      <c r="DU850" s="56"/>
      <c r="DV850" s="56"/>
      <c r="DW850" s="56"/>
      <c r="DX850" s="56"/>
      <c r="DY850" s="56"/>
      <c r="DZ850" s="56"/>
      <c r="EA850" s="56"/>
      <c r="EB850" s="56"/>
      <c r="EC850" s="56"/>
      <c r="ED850" s="56"/>
      <c r="EE850" s="56"/>
      <c r="EF850" s="56"/>
      <c r="EG850" s="56"/>
      <c r="EH850" s="56"/>
      <c r="EI850" s="56"/>
      <c r="EJ850" s="56"/>
      <c r="EK850" s="56"/>
      <c r="EL850" s="56"/>
      <c r="EM850" s="56"/>
      <c r="EN850" s="56"/>
      <c r="EO850" s="56"/>
      <c r="EP850" s="56"/>
      <c r="EQ850" s="56"/>
      <c r="ER850" s="56"/>
      <c r="ES850" s="56"/>
      <c r="ET850" s="56"/>
      <c r="EU850" s="56"/>
      <c r="EV850" s="56"/>
      <c r="EW850" s="56"/>
      <c r="EX850" s="56"/>
      <c r="EY850" s="56"/>
      <c r="EZ850" s="56"/>
      <c r="FA850" s="56"/>
      <c r="FB850" s="56"/>
      <c r="FC850" s="56"/>
      <c r="FD850" s="56"/>
      <c r="FE850" s="56"/>
      <c r="FF850" s="56"/>
      <c r="FG850" s="56"/>
      <c r="FH850" s="56"/>
      <c r="FI850" s="56"/>
      <c r="FJ850" s="56"/>
      <c r="FK850" s="56"/>
      <c r="FL850" s="56"/>
      <c r="FM850" s="56"/>
      <c r="FN850" s="56"/>
      <c r="FO850" s="56"/>
      <c r="FP850" s="56"/>
      <c r="FQ850" s="56"/>
      <c r="FR850" s="56"/>
      <c r="FS850" s="56"/>
      <c r="FT850" s="56"/>
      <c r="FU850" s="56"/>
      <c r="FV850" s="56"/>
      <c r="FW850" s="56"/>
      <c r="FX850" s="56"/>
      <c r="FY850" s="56"/>
      <c r="FZ850" s="56"/>
      <c r="GA850" s="56"/>
      <c r="GB850" s="56"/>
      <c r="GC850" s="56"/>
      <c r="GD850" s="56"/>
      <c r="GE850" s="56"/>
      <c r="GF850" s="56"/>
      <c r="GG850" s="56"/>
      <c r="GH850" s="56"/>
      <c r="GI850" s="56"/>
      <c r="GJ850" s="56"/>
      <c r="GK850" s="56"/>
      <c r="GL850" s="56"/>
      <c r="GM850" s="56"/>
      <c r="GN850" s="56"/>
      <c r="GO850" s="56"/>
      <c r="GP850" s="56"/>
      <c r="GQ850" s="56"/>
      <c r="GR850" s="56"/>
      <c r="GS850" s="56"/>
      <c r="GT850" s="56"/>
      <c r="GU850" s="56"/>
      <c r="GV850" s="56"/>
      <c r="GW850" s="56"/>
      <c r="GX850" s="56"/>
      <c r="GY850" s="56"/>
      <c r="GZ850" s="56"/>
      <c r="HA850" s="56"/>
      <c r="HB850" s="56"/>
      <c r="HC850" s="56"/>
      <c r="HD850" s="56"/>
      <c r="HE850" s="56"/>
      <c r="HF850" s="56"/>
      <c r="HG850" s="56"/>
      <c r="HH850" s="56"/>
      <c r="HI850" s="56"/>
      <c r="HJ850" s="56"/>
    </row>
    <row r="851" spans="1:218" ht="15.75" customHeight="1" x14ac:dyDescent="0.2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  <c r="CL851" s="56"/>
      <c r="CM851" s="56"/>
      <c r="CN851" s="56"/>
      <c r="CO851" s="56"/>
      <c r="CP851" s="56"/>
      <c r="CQ851" s="56"/>
      <c r="CR851" s="56"/>
      <c r="CS851" s="56"/>
      <c r="CT851" s="56"/>
      <c r="CU851" s="56"/>
      <c r="CV851" s="56"/>
      <c r="CW851" s="56"/>
      <c r="CX851" s="56"/>
      <c r="CY851" s="56"/>
      <c r="CZ851" s="56"/>
      <c r="DA851" s="56"/>
      <c r="DB851" s="56"/>
      <c r="DC851" s="56"/>
      <c r="DD851" s="56"/>
      <c r="DE851" s="56"/>
      <c r="DF851" s="56"/>
      <c r="DG851" s="56"/>
      <c r="DH851" s="56"/>
      <c r="DI851" s="56"/>
      <c r="DJ851" s="56"/>
      <c r="DK851" s="56"/>
      <c r="DL851" s="56"/>
      <c r="DM851" s="56"/>
      <c r="DN851" s="56"/>
      <c r="DO851" s="56"/>
      <c r="DP851" s="56"/>
      <c r="DQ851" s="56"/>
      <c r="DR851" s="56"/>
      <c r="DS851" s="56"/>
      <c r="DT851" s="56"/>
      <c r="DU851" s="56"/>
      <c r="DV851" s="56"/>
      <c r="DW851" s="56"/>
      <c r="DX851" s="56"/>
      <c r="DY851" s="56"/>
      <c r="DZ851" s="56"/>
      <c r="EA851" s="56"/>
      <c r="EB851" s="56"/>
      <c r="EC851" s="56"/>
      <c r="ED851" s="56"/>
      <c r="EE851" s="56"/>
      <c r="EF851" s="56"/>
      <c r="EG851" s="56"/>
      <c r="EH851" s="56"/>
      <c r="EI851" s="56"/>
      <c r="EJ851" s="56"/>
      <c r="EK851" s="56"/>
      <c r="EL851" s="56"/>
      <c r="EM851" s="56"/>
      <c r="EN851" s="56"/>
      <c r="EO851" s="56"/>
      <c r="EP851" s="56"/>
      <c r="EQ851" s="56"/>
      <c r="ER851" s="56"/>
      <c r="ES851" s="56"/>
      <c r="ET851" s="56"/>
      <c r="EU851" s="56"/>
      <c r="EV851" s="56"/>
      <c r="EW851" s="56"/>
      <c r="EX851" s="56"/>
      <c r="EY851" s="56"/>
      <c r="EZ851" s="56"/>
      <c r="FA851" s="56"/>
      <c r="FB851" s="56"/>
      <c r="FC851" s="56"/>
      <c r="FD851" s="56"/>
      <c r="FE851" s="56"/>
      <c r="FF851" s="56"/>
      <c r="FG851" s="56"/>
      <c r="FH851" s="56"/>
      <c r="FI851" s="56"/>
      <c r="FJ851" s="56"/>
      <c r="FK851" s="56"/>
      <c r="FL851" s="56"/>
      <c r="FM851" s="56"/>
      <c r="FN851" s="56"/>
      <c r="FO851" s="56"/>
      <c r="FP851" s="56"/>
      <c r="FQ851" s="56"/>
      <c r="FR851" s="56"/>
      <c r="FS851" s="56"/>
      <c r="FT851" s="56"/>
      <c r="FU851" s="56"/>
      <c r="FV851" s="56"/>
      <c r="FW851" s="56"/>
      <c r="FX851" s="56"/>
      <c r="FY851" s="56"/>
      <c r="FZ851" s="56"/>
      <c r="GA851" s="56"/>
      <c r="GB851" s="56"/>
      <c r="GC851" s="56"/>
      <c r="GD851" s="56"/>
      <c r="GE851" s="56"/>
      <c r="GF851" s="56"/>
      <c r="GG851" s="56"/>
      <c r="GH851" s="56"/>
      <c r="GI851" s="56"/>
      <c r="GJ851" s="56"/>
      <c r="GK851" s="56"/>
      <c r="GL851" s="56"/>
      <c r="GM851" s="56"/>
      <c r="GN851" s="56"/>
      <c r="GO851" s="56"/>
      <c r="GP851" s="56"/>
      <c r="GQ851" s="56"/>
      <c r="GR851" s="56"/>
      <c r="GS851" s="56"/>
      <c r="GT851" s="56"/>
      <c r="GU851" s="56"/>
      <c r="GV851" s="56"/>
      <c r="GW851" s="56"/>
      <c r="GX851" s="56"/>
      <c r="GY851" s="56"/>
      <c r="GZ851" s="56"/>
      <c r="HA851" s="56"/>
      <c r="HB851" s="56"/>
      <c r="HC851" s="56"/>
      <c r="HD851" s="56"/>
      <c r="HE851" s="56"/>
      <c r="HF851" s="56"/>
      <c r="HG851" s="56"/>
      <c r="HH851" s="56"/>
      <c r="HI851" s="56"/>
      <c r="HJ851" s="56"/>
    </row>
    <row r="852" spans="1:218" ht="15.75" customHeight="1" x14ac:dyDescent="0.2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  <c r="BV852" s="56"/>
      <c r="BW852" s="56"/>
      <c r="BX852" s="56"/>
      <c r="BY852" s="56"/>
      <c r="BZ852" s="56"/>
      <c r="CA852" s="56"/>
      <c r="CB852" s="56"/>
      <c r="CC852" s="56"/>
      <c r="CD852" s="56"/>
      <c r="CE852" s="56"/>
      <c r="CF852" s="56"/>
      <c r="CG852" s="56"/>
      <c r="CH852" s="56"/>
      <c r="CI852" s="56"/>
      <c r="CJ852" s="56"/>
      <c r="CK852" s="56"/>
      <c r="CL852" s="56"/>
      <c r="CM852" s="56"/>
      <c r="CN852" s="56"/>
      <c r="CO852" s="56"/>
      <c r="CP852" s="56"/>
      <c r="CQ852" s="56"/>
      <c r="CR852" s="56"/>
      <c r="CS852" s="56"/>
      <c r="CT852" s="56"/>
      <c r="CU852" s="56"/>
      <c r="CV852" s="56"/>
      <c r="CW852" s="56"/>
      <c r="CX852" s="56"/>
      <c r="CY852" s="56"/>
      <c r="CZ852" s="56"/>
      <c r="DA852" s="56"/>
      <c r="DB852" s="56"/>
      <c r="DC852" s="56"/>
      <c r="DD852" s="56"/>
      <c r="DE852" s="56"/>
      <c r="DF852" s="56"/>
      <c r="DG852" s="56"/>
      <c r="DH852" s="56"/>
      <c r="DI852" s="56"/>
      <c r="DJ852" s="56"/>
      <c r="DK852" s="56"/>
      <c r="DL852" s="56"/>
      <c r="DM852" s="56"/>
      <c r="DN852" s="56"/>
      <c r="DO852" s="56"/>
      <c r="DP852" s="56"/>
      <c r="DQ852" s="56"/>
      <c r="DR852" s="56"/>
      <c r="DS852" s="56"/>
      <c r="DT852" s="56"/>
      <c r="DU852" s="56"/>
      <c r="DV852" s="56"/>
      <c r="DW852" s="56"/>
      <c r="DX852" s="56"/>
      <c r="DY852" s="56"/>
      <c r="DZ852" s="56"/>
      <c r="EA852" s="56"/>
      <c r="EB852" s="56"/>
      <c r="EC852" s="56"/>
      <c r="ED852" s="56"/>
      <c r="EE852" s="56"/>
      <c r="EF852" s="56"/>
      <c r="EG852" s="56"/>
      <c r="EH852" s="56"/>
      <c r="EI852" s="56"/>
      <c r="EJ852" s="56"/>
      <c r="EK852" s="56"/>
      <c r="EL852" s="56"/>
      <c r="EM852" s="56"/>
      <c r="EN852" s="56"/>
      <c r="EO852" s="56"/>
      <c r="EP852" s="56"/>
      <c r="EQ852" s="56"/>
      <c r="ER852" s="56"/>
      <c r="ES852" s="56"/>
      <c r="ET852" s="56"/>
      <c r="EU852" s="56"/>
      <c r="EV852" s="56"/>
      <c r="EW852" s="56"/>
      <c r="EX852" s="56"/>
      <c r="EY852" s="56"/>
      <c r="EZ852" s="56"/>
      <c r="FA852" s="56"/>
      <c r="FB852" s="56"/>
      <c r="FC852" s="56"/>
      <c r="FD852" s="56"/>
      <c r="FE852" s="56"/>
      <c r="FF852" s="56"/>
      <c r="FG852" s="56"/>
      <c r="FH852" s="56"/>
      <c r="FI852" s="56"/>
      <c r="FJ852" s="56"/>
      <c r="FK852" s="56"/>
      <c r="FL852" s="56"/>
      <c r="FM852" s="56"/>
      <c r="FN852" s="56"/>
      <c r="FO852" s="56"/>
      <c r="FP852" s="56"/>
      <c r="FQ852" s="56"/>
      <c r="FR852" s="56"/>
      <c r="FS852" s="56"/>
      <c r="FT852" s="56"/>
      <c r="FU852" s="56"/>
      <c r="FV852" s="56"/>
      <c r="FW852" s="56"/>
      <c r="FX852" s="56"/>
      <c r="FY852" s="56"/>
      <c r="FZ852" s="56"/>
      <c r="GA852" s="56"/>
      <c r="GB852" s="56"/>
      <c r="GC852" s="56"/>
      <c r="GD852" s="56"/>
      <c r="GE852" s="56"/>
      <c r="GF852" s="56"/>
      <c r="GG852" s="56"/>
      <c r="GH852" s="56"/>
      <c r="GI852" s="56"/>
      <c r="GJ852" s="56"/>
      <c r="GK852" s="56"/>
      <c r="GL852" s="56"/>
      <c r="GM852" s="56"/>
      <c r="GN852" s="56"/>
      <c r="GO852" s="56"/>
      <c r="GP852" s="56"/>
      <c r="GQ852" s="56"/>
      <c r="GR852" s="56"/>
      <c r="GS852" s="56"/>
      <c r="GT852" s="56"/>
      <c r="GU852" s="56"/>
      <c r="GV852" s="56"/>
      <c r="GW852" s="56"/>
      <c r="GX852" s="56"/>
      <c r="GY852" s="56"/>
      <c r="GZ852" s="56"/>
      <c r="HA852" s="56"/>
      <c r="HB852" s="56"/>
      <c r="HC852" s="56"/>
      <c r="HD852" s="56"/>
      <c r="HE852" s="56"/>
      <c r="HF852" s="56"/>
      <c r="HG852" s="56"/>
      <c r="HH852" s="56"/>
      <c r="HI852" s="56"/>
      <c r="HJ852" s="56"/>
    </row>
    <row r="853" spans="1:218" ht="15.75" customHeight="1" x14ac:dyDescent="0.2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  <c r="CL853" s="56"/>
      <c r="CM853" s="56"/>
      <c r="CN853" s="56"/>
      <c r="CO853" s="56"/>
      <c r="CP853" s="56"/>
      <c r="CQ853" s="56"/>
      <c r="CR853" s="56"/>
      <c r="CS853" s="56"/>
      <c r="CT853" s="56"/>
      <c r="CU853" s="56"/>
      <c r="CV853" s="56"/>
      <c r="CW853" s="56"/>
      <c r="CX853" s="56"/>
      <c r="CY853" s="56"/>
      <c r="CZ853" s="56"/>
      <c r="DA853" s="56"/>
      <c r="DB853" s="56"/>
      <c r="DC853" s="56"/>
      <c r="DD853" s="56"/>
      <c r="DE853" s="56"/>
      <c r="DF853" s="56"/>
      <c r="DG853" s="56"/>
      <c r="DH853" s="56"/>
      <c r="DI853" s="56"/>
      <c r="DJ853" s="56"/>
      <c r="DK853" s="56"/>
      <c r="DL853" s="56"/>
      <c r="DM853" s="56"/>
      <c r="DN853" s="56"/>
      <c r="DO853" s="56"/>
      <c r="DP853" s="56"/>
      <c r="DQ853" s="56"/>
      <c r="DR853" s="56"/>
      <c r="DS853" s="56"/>
      <c r="DT853" s="56"/>
      <c r="DU853" s="56"/>
      <c r="DV853" s="56"/>
      <c r="DW853" s="56"/>
      <c r="DX853" s="56"/>
      <c r="DY853" s="56"/>
      <c r="DZ853" s="56"/>
      <c r="EA853" s="56"/>
      <c r="EB853" s="56"/>
      <c r="EC853" s="56"/>
      <c r="ED853" s="56"/>
      <c r="EE853" s="56"/>
      <c r="EF853" s="56"/>
      <c r="EG853" s="56"/>
      <c r="EH853" s="56"/>
      <c r="EI853" s="56"/>
      <c r="EJ853" s="56"/>
      <c r="EK853" s="56"/>
      <c r="EL853" s="56"/>
      <c r="EM853" s="56"/>
      <c r="EN853" s="56"/>
      <c r="EO853" s="56"/>
      <c r="EP853" s="56"/>
      <c r="EQ853" s="56"/>
      <c r="ER853" s="56"/>
      <c r="ES853" s="56"/>
      <c r="ET853" s="56"/>
      <c r="EU853" s="56"/>
      <c r="EV853" s="56"/>
      <c r="EW853" s="56"/>
      <c r="EX853" s="56"/>
      <c r="EY853" s="56"/>
      <c r="EZ853" s="56"/>
      <c r="FA853" s="56"/>
      <c r="FB853" s="56"/>
      <c r="FC853" s="56"/>
      <c r="FD853" s="56"/>
      <c r="FE853" s="56"/>
      <c r="FF853" s="56"/>
      <c r="FG853" s="56"/>
      <c r="FH853" s="56"/>
      <c r="FI853" s="56"/>
      <c r="FJ853" s="56"/>
      <c r="FK853" s="56"/>
      <c r="FL853" s="56"/>
      <c r="FM853" s="56"/>
      <c r="FN853" s="56"/>
      <c r="FO853" s="56"/>
      <c r="FP853" s="56"/>
      <c r="FQ853" s="56"/>
      <c r="FR853" s="56"/>
      <c r="FS853" s="56"/>
      <c r="FT853" s="56"/>
      <c r="FU853" s="56"/>
      <c r="FV853" s="56"/>
      <c r="FW853" s="56"/>
      <c r="FX853" s="56"/>
      <c r="FY853" s="56"/>
      <c r="FZ853" s="56"/>
      <c r="GA853" s="56"/>
      <c r="GB853" s="56"/>
      <c r="GC853" s="56"/>
      <c r="GD853" s="56"/>
      <c r="GE853" s="56"/>
      <c r="GF853" s="56"/>
      <c r="GG853" s="56"/>
      <c r="GH853" s="56"/>
      <c r="GI853" s="56"/>
      <c r="GJ853" s="56"/>
      <c r="GK853" s="56"/>
      <c r="GL853" s="56"/>
      <c r="GM853" s="56"/>
      <c r="GN853" s="56"/>
      <c r="GO853" s="56"/>
      <c r="GP853" s="56"/>
      <c r="GQ853" s="56"/>
      <c r="GR853" s="56"/>
      <c r="GS853" s="56"/>
      <c r="GT853" s="56"/>
      <c r="GU853" s="56"/>
      <c r="GV853" s="56"/>
      <c r="GW853" s="56"/>
      <c r="GX853" s="56"/>
      <c r="GY853" s="56"/>
      <c r="GZ853" s="56"/>
      <c r="HA853" s="56"/>
      <c r="HB853" s="56"/>
      <c r="HC853" s="56"/>
      <c r="HD853" s="56"/>
      <c r="HE853" s="56"/>
      <c r="HF853" s="56"/>
      <c r="HG853" s="56"/>
      <c r="HH853" s="56"/>
      <c r="HI853" s="56"/>
      <c r="HJ853" s="56"/>
    </row>
    <row r="854" spans="1:218" ht="15.75" customHeight="1" x14ac:dyDescent="0.2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  <c r="BV854" s="56"/>
      <c r="BW854" s="56"/>
      <c r="BX854" s="56"/>
      <c r="BY854" s="56"/>
      <c r="BZ854" s="56"/>
      <c r="CA854" s="56"/>
      <c r="CB854" s="56"/>
      <c r="CC854" s="56"/>
      <c r="CD854" s="56"/>
      <c r="CE854" s="56"/>
      <c r="CF854" s="56"/>
      <c r="CG854" s="56"/>
      <c r="CH854" s="56"/>
      <c r="CI854" s="56"/>
      <c r="CJ854" s="56"/>
      <c r="CK854" s="56"/>
      <c r="CL854" s="56"/>
      <c r="CM854" s="56"/>
      <c r="CN854" s="56"/>
      <c r="CO854" s="56"/>
      <c r="CP854" s="56"/>
      <c r="CQ854" s="56"/>
      <c r="CR854" s="56"/>
      <c r="CS854" s="56"/>
      <c r="CT854" s="56"/>
      <c r="CU854" s="56"/>
      <c r="CV854" s="56"/>
      <c r="CW854" s="56"/>
      <c r="CX854" s="56"/>
      <c r="CY854" s="56"/>
      <c r="CZ854" s="56"/>
      <c r="DA854" s="56"/>
      <c r="DB854" s="56"/>
      <c r="DC854" s="56"/>
      <c r="DD854" s="56"/>
      <c r="DE854" s="56"/>
      <c r="DF854" s="56"/>
      <c r="DG854" s="56"/>
      <c r="DH854" s="56"/>
      <c r="DI854" s="56"/>
      <c r="DJ854" s="56"/>
      <c r="DK854" s="56"/>
      <c r="DL854" s="56"/>
      <c r="DM854" s="56"/>
      <c r="DN854" s="56"/>
      <c r="DO854" s="56"/>
      <c r="DP854" s="56"/>
      <c r="DQ854" s="56"/>
      <c r="DR854" s="56"/>
      <c r="DS854" s="56"/>
      <c r="DT854" s="56"/>
      <c r="DU854" s="56"/>
      <c r="DV854" s="56"/>
      <c r="DW854" s="56"/>
      <c r="DX854" s="56"/>
      <c r="DY854" s="56"/>
      <c r="DZ854" s="56"/>
      <c r="EA854" s="56"/>
      <c r="EB854" s="56"/>
      <c r="EC854" s="56"/>
      <c r="ED854" s="56"/>
      <c r="EE854" s="56"/>
      <c r="EF854" s="56"/>
      <c r="EG854" s="56"/>
      <c r="EH854" s="56"/>
      <c r="EI854" s="56"/>
      <c r="EJ854" s="56"/>
      <c r="EK854" s="56"/>
      <c r="EL854" s="56"/>
      <c r="EM854" s="56"/>
      <c r="EN854" s="56"/>
      <c r="EO854" s="56"/>
      <c r="EP854" s="56"/>
      <c r="EQ854" s="56"/>
      <c r="ER854" s="56"/>
      <c r="ES854" s="56"/>
      <c r="ET854" s="56"/>
      <c r="EU854" s="56"/>
      <c r="EV854" s="56"/>
      <c r="EW854" s="56"/>
      <c r="EX854" s="56"/>
      <c r="EY854" s="56"/>
      <c r="EZ854" s="56"/>
      <c r="FA854" s="56"/>
      <c r="FB854" s="56"/>
      <c r="FC854" s="56"/>
      <c r="FD854" s="56"/>
      <c r="FE854" s="56"/>
      <c r="FF854" s="56"/>
      <c r="FG854" s="56"/>
      <c r="FH854" s="56"/>
      <c r="FI854" s="56"/>
      <c r="FJ854" s="56"/>
      <c r="FK854" s="56"/>
      <c r="FL854" s="56"/>
      <c r="FM854" s="56"/>
      <c r="FN854" s="56"/>
      <c r="FO854" s="56"/>
      <c r="FP854" s="56"/>
      <c r="FQ854" s="56"/>
      <c r="FR854" s="56"/>
      <c r="FS854" s="56"/>
      <c r="FT854" s="56"/>
      <c r="FU854" s="56"/>
      <c r="FV854" s="56"/>
      <c r="FW854" s="56"/>
      <c r="FX854" s="56"/>
      <c r="FY854" s="56"/>
      <c r="FZ854" s="56"/>
      <c r="GA854" s="56"/>
      <c r="GB854" s="56"/>
      <c r="GC854" s="56"/>
      <c r="GD854" s="56"/>
      <c r="GE854" s="56"/>
      <c r="GF854" s="56"/>
      <c r="GG854" s="56"/>
      <c r="GH854" s="56"/>
      <c r="GI854" s="56"/>
      <c r="GJ854" s="56"/>
      <c r="GK854" s="56"/>
      <c r="GL854" s="56"/>
      <c r="GM854" s="56"/>
      <c r="GN854" s="56"/>
      <c r="GO854" s="56"/>
      <c r="GP854" s="56"/>
      <c r="GQ854" s="56"/>
      <c r="GR854" s="56"/>
      <c r="GS854" s="56"/>
      <c r="GT854" s="56"/>
      <c r="GU854" s="56"/>
      <c r="GV854" s="56"/>
      <c r="GW854" s="56"/>
      <c r="GX854" s="56"/>
      <c r="GY854" s="56"/>
      <c r="GZ854" s="56"/>
      <c r="HA854" s="56"/>
      <c r="HB854" s="56"/>
      <c r="HC854" s="56"/>
      <c r="HD854" s="56"/>
      <c r="HE854" s="56"/>
      <c r="HF854" s="56"/>
      <c r="HG854" s="56"/>
      <c r="HH854" s="56"/>
      <c r="HI854" s="56"/>
      <c r="HJ854" s="56"/>
    </row>
    <row r="855" spans="1:218" ht="15.75" customHeight="1" x14ac:dyDescent="0.2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  <c r="BV855" s="56"/>
      <c r="BW855" s="56"/>
      <c r="BX855" s="56"/>
      <c r="BY855" s="56"/>
      <c r="BZ855" s="56"/>
      <c r="CA855" s="56"/>
      <c r="CB855" s="56"/>
      <c r="CC855" s="56"/>
      <c r="CD855" s="56"/>
      <c r="CE855" s="56"/>
      <c r="CF855" s="56"/>
      <c r="CG855" s="56"/>
      <c r="CH855" s="56"/>
      <c r="CI855" s="56"/>
      <c r="CJ855" s="56"/>
      <c r="CK855" s="56"/>
      <c r="CL855" s="56"/>
      <c r="CM855" s="56"/>
      <c r="CN855" s="56"/>
      <c r="CO855" s="56"/>
      <c r="CP855" s="56"/>
      <c r="CQ855" s="56"/>
      <c r="CR855" s="56"/>
      <c r="CS855" s="56"/>
      <c r="CT855" s="56"/>
      <c r="CU855" s="56"/>
      <c r="CV855" s="56"/>
      <c r="CW855" s="56"/>
      <c r="CX855" s="56"/>
      <c r="CY855" s="56"/>
      <c r="CZ855" s="56"/>
      <c r="DA855" s="56"/>
      <c r="DB855" s="56"/>
      <c r="DC855" s="56"/>
      <c r="DD855" s="56"/>
      <c r="DE855" s="56"/>
      <c r="DF855" s="56"/>
      <c r="DG855" s="56"/>
      <c r="DH855" s="56"/>
      <c r="DI855" s="56"/>
      <c r="DJ855" s="56"/>
      <c r="DK855" s="56"/>
      <c r="DL855" s="56"/>
      <c r="DM855" s="56"/>
      <c r="DN855" s="56"/>
      <c r="DO855" s="56"/>
      <c r="DP855" s="56"/>
      <c r="DQ855" s="56"/>
      <c r="DR855" s="56"/>
      <c r="DS855" s="56"/>
      <c r="DT855" s="56"/>
      <c r="DU855" s="56"/>
      <c r="DV855" s="56"/>
      <c r="DW855" s="56"/>
      <c r="DX855" s="56"/>
      <c r="DY855" s="56"/>
      <c r="DZ855" s="56"/>
      <c r="EA855" s="56"/>
      <c r="EB855" s="56"/>
      <c r="EC855" s="56"/>
      <c r="ED855" s="56"/>
      <c r="EE855" s="56"/>
      <c r="EF855" s="56"/>
      <c r="EG855" s="56"/>
      <c r="EH855" s="56"/>
      <c r="EI855" s="56"/>
      <c r="EJ855" s="56"/>
      <c r="EK855" s="56"/>
      <c r="EL855" s="56"/>
      <c r="EM855" s="56"/>
      <c r="EN855" s="56"/>
      <c r="EO855" s="56"/>
      <c r="EP855" s="56"/>
      <c r="EQ855" s="56"/>
      <c r="ER855" s="56"/>
      <c r="ES855" s="56"/>
      <c r="ET855" s="56"/>
      <c r="EU855" s="56"/>
      <c r="EV855" s="56"/>
      <c r="EW855" s="56"/>
      <c r="EX855" s="56"/>
      <c r="EY855" s="56"/>
      <c r="EZ855" s="56"/>
      <c r="FA855" s="56"/>
      <c r="FB855" s="56"/>
      <c r="FC855" s="56"/>
      <c r="FD855" s="56"/>
      <c r="FE855" s="56"/>
      <c r="FF855" s="56"/>
      <c r="FG855" s="56"/>
      <c r="FH855" s="56"/>
      <c r="FI855" s="56"/>
      <c r="FJ855" s="56"/>
      <c r="FK855" s="56"/>
      <c r="FL855" s="56"/>
      <c r="FM855" s="56"/>
      <c r="FN855" s="56"/>
      <c r="FO855" s="56"/>
      <c r="FP855" s="56"/>
      <c r="FQ855" s="56"/>
      <c r="FR855" s="56"/>
      <c r="FS855" s="56"/>
      <c r="FT855" s="56"/>
      <c r="FU855" s="56"/>
      <c r="FV855" s="56"/>
      <c r="FW855" s="56"/>
      <c r="FX855" s="56"/>
      <c r="FY855" s="56"/>
      <c r="FZ855" s="56"/>
      <c r="GA855" s="56"/>
      <c r="GB855" s="56"/>
      <c r="GC855" s="56"/>
      <c r="GD855" s="56"/>
      <c r="GE855" s="56"/>
      <c r="GF855" s="56"/>
      <c r="GG855" s="56"/>
      <c r="GH855" s="56"/>
      <c r="GI855" s="56"/>
      <c r="GJ855" s="56"/>
      <c r="GK855" s="56"/>
      <c r="GL855" s="56"/>
      <c r="GM855" s="56"/>
      <c r="GN855" s="56"/>
      <c r="GO855" s="56"/>
      <c r="GP855" s="56"/>
      <c r="GQ855" s="56"/>
      <c r="GR855" s="56"/>
      <c r="GS855" s="56"/>
      <c r="GT855" s="56"/>
      <c r="GU855" s="56"/>
      <c r="GV855" s="56"/>
      <c r="GW855" s="56"/>
      <c r="GX855" s="56"/>
      <c r="GY855" s="56"/>
      <c r="GZ855" s="56"/>
      <c r="HA855" s="56"/>
      <c r="HB855" s="56"/>
      <c r="HC855" s="56"/>
      <c r="HD855" s="56"/>
      <c r="HE855" s="56"/>
      <c r="HF855" s="56"/>
      <c r="HG855" s="56"/>
      <c r="HH855" s="56"/>
      <c r="HI855" s="56"/>
      <c r="HJ855" s="56"/>
    </row>
    <row r="856" spans="1:218" ht="15.75" customHeight="1" x14ac:dyDescent="0.2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  <c r="BV856" s="56"/>
      <c r="BW856" s="56"/>
      <c r="BX856" s="56"/>
      <c r="BY856" s="56"/>
      <c r="BZ856" s="56"/>
      <c r="CA856" s="56"/>
      <c r="CB856" s="56"/>
      <c r="CC856" s="56"/>
      <c r="CD856" s="56"/>
      <c r="CE856" s="56"/>
      <c r="CF856" s="56"/>
      <c r="CG856" s="56"/>
      <c r="CH856" s="56"/>
      <c r="CI856" s="56"/>
      <c r="CJ856" s="56"/>
      <c r="CK856" s="56"/>
      <c r="CL856" s="56"/>
      <c r="CM856" s="56"/>
      <c r="CN856" s="56"/>
      <c r="CO856" s="56"/>
      <c r="CP856" s="56"/>
      <c r="CQ856" s="56"/>
      <c r="CR856" s="56"/>
      <c r="CS856" s="56"/>
      <c r="CT856" s="56"/>
      <c r="CU856" s="56"/>
      <c r="CV856" s="56"/>
      <c r="CW856" s="56"/>
      <c r="CX856" s="56"/>
      <c r="CY856" s="56"/>
      <c r="CZ856" s="56"/>
      <c r="DA856" s="56"/>
      <c r="DB856" s="56"/>
      <c r="DC856" s="56"/>
      <c r="DD856" s="56"/>
      <c r="DE856" s="56"/>
      <c r="DF856" s="56"/>
      <c r="DG856" s="56"/>
      <c r="DH856" s="56"/>
      <c r="DI856" s="56"/>
      <c r="DJ856" s="56"/>
      <c r="DK856" s="56"/>
      <c r="DL856" s="56"/>
      <c r="DM856" s="56"/>
      <c r="DN856" s="56"/>
      <c r="DO856" s="56"/>
      <c r="DP856" s="56"/>
      <c r="DQ856" s="56"/>
      <c r="DR856" s="56"/>
      <c r="DS856" s="56"/>
      <c r="DT856" s="56"/>
      <c r="DU856" s="56"/>
      <c r="DV856" s="56"/>
      <c r="DW856" s="56"/>
      <c r="DX856" s="56"/>
      <c r="DY856" s="56"/>
      <c r="DZ856" s="56"/>
      <c r="EA856" s="56"/>
      <c r="EB856" s="56"/>
      <c r="EC856" s="56"/>
      <c r="ED856" s="56"/>
      <c r="EE856" s="56"/>
      <c r="EF856" s="56"/>
      <c r="EG856" s="56"/>
      <c r="EH856" s="56"/>
      <c r="EI856" s="56"/>
      <c r="EJ856" s="56"/>
      <c r="EK856" s="56"/>
      <c r="EL856" s="56"/>
      <c r="EM856" s="56"/>
      <c r="EN856" s="56"/>
      <c r="EO856" s="56"/>
      <c r="EP856" s="56"/>
      <c r="EQ856" s="56"/>
      <c r="ER856" s="56"/>
      <c r="ES856" s="56"/>
      <c r="ET856" s="56"/>
      <c r="EU856" s="56"/>
      <c r="EV856" s="56"/>
      <c r="EW856" s="56"/>
      <c r="EX856" s="56"/>
      <c r="EY856" s="56"/>
      <c r="EZ856" s="56"/>
      <c r="FA856" s="56"/>
      <c r="FB856" s="56"/>
      <c r="FC856" s="56"/>
      <c r="FD856" s="56"/>
      <c r="FE856" s="56"/>
      <c r="FF856" s="56"/>
      <c r="FG856" s="56"/>
      <c r="FH856" s="56"/>
      <c r="FI856" s="56"/>
      <c r="FJ856" s="56"/>
      <c r="FK856" s="56"/>
      <c r="FL856" s="56"/>
      <c r="FM856" s="56"/>
      <c r="FN856" s="56"/>
      <c r="FO856" s="56"/>
      <c r="FP856" s="56"/>
      <c r="FQ856" s="56"/>
      <c r="FR856" s="56"/>
      <c r="FS856" s="56"/>
      <c r="FT856" s="56"/>
      <c r="FU856" s="56"/>
      <c r="FV856" s="56"/>
      <c r="FW856" s="56"/>
      <c r="FX856" s="56"/>
      <c r="FY856" s="56"/>
      <c r="FZ856" s="56"/>
      <c r="GA856" s="56"/>
      <c r="GB856" s="56"/>
      <c r="GC856" s="56"/>
      <c r="GD856" s="56"/>
      <c r="GE856" s="56"/>
      <c r="GF856" s="56"/>
      <c r="GG856" s="56"/>
      <c r="GH856" s="56"/>
      <c r="GI856" s="56"/>
      <c r="GJ856" s="56"/>
      <c r="GK856" s="56"/>
      <c r="GL856" s="56"/>
      <c r="GM856" s="56"/>
      <c r="GN856" s="56"/>
      <c r="GO856" s="56"/>
      <c r="GP856" s="56"/>
      <c r="GQ856" s="56"/>
      <c r="GR856" s="56"/>
      <c r="GS856" s="56"/>
      <c r="GT856" s="56"/>
      <c r="GU856" s="56"/>
      <c r="GV856" s="56"/>
      <c r="GW856" s="56"/>
      <c r="GX856" s="56"/>
      <c r="GY856" s="56"/>
      <c r="GZ856" s="56"/>
      <c r="HA856" s="56"/>
      <c r="HB856" s="56"/>
      <c r="HC856" s="56"/>
      <c r="HD856" s="56"/>
      <c r="HE856" s="56"/>
      <c r="HF856" s="56"/>
      <c r="HG856" s="56"/>
      <c r="HH856" s="56"/>
      <c r="HI856" s="56"/>
      <c r="HJ856" s="56"/>
    </row>
    <row r="857" spans="1:218" ht="15.75" customHeight="1" x14ac:dyDescent="0.2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  <c r="BV857" s="56"/>
      <c r="BW857" s="56"/>
      <c r="BX857" s="56"/>
      <c r="BY857" s="56"/>
      <c r="BZ857" s="56"/>
      <c r="CA857" s="56"/>
      <c r="CB857" s="56"/>
      <c r="CC857" s="56"/>
      <c r="CD857" s="56"/>
      <c r="CE857" s="56"/>
      <c r="CF857" s="56"/>
      <c r="CG857" s="56"/>
      <c r="CH857" s="56"/>
      <c r="CI857" s="56"/>
      <c r="CJ857" s="56"/>
      <c r="CK857" s="56"/>
      <c r="CL857" s="56"/>
      <c r="CM857" s="56"/>
      <c r="CN857" s="56"/>
      <c r="CO857" s="56"/>
      <c r="CP857" s="56"/>
      <c r="CQ857" s="56"/>
      <c r="CR857" s="56"/>
      <c r="CS857" s="56"/>
      <c r="CT857" s="56"/>
      <c r="CU857" s="56"/>
      <c r="CV857" s="56"/>
      <c r="CW857" s="56"/>
      <c r="CX857" s="56"/>
      <c r="CY857" s="56"/>
      <c r="CZ857" s="56"/>
      <c r="DA857" s="56"/>
      <c r="DB857" s="56"/>
      <c r="DC857" s="56"/>
      <c r="DD857" s="56"/>
      <c r="DE857" s="56"/>
      <c r="DF857" s="56"/>
      <c r="DG857" s="56"/>
      <c r="DH857" s="56"/>
      <c r="DI857" s="56"/>
      <c r="DJ857" s="56"/>
      <c r="DK857" s="56"/>
      <c r="DL857" s="56"/>
      <c r="DM857" s="56"/>
      <c r="DN857" s="56"/>
      <c r="DO857" s="56"/>
      <c r="DP857" s="56"/>
      <c r="DQ857" s="56"/>
      <c r="DR857" s="56"/>
      <c r="DS857" s="56"/>
      <c r="DT857" s="56"/>
      <c r="DU857" s="56"/>
      <c r="DV857" s="56"/>
      <c r="DW857" s="56"/>
      <c r="DX857" s="56"/>
      <c r="DY857" s="56"/>
      <c r="DZ857" s="56"/>
      <c r="EA857" s="56"/>
      <c r="EB857" s="56"/>
      <c r="EC857" s="56"/>
      <c r="ED857" s="56"/>
      <c r="EE857" s="56"/>
      <c r="EF857" s="56"/>
      <c r="EG857" s="56"/>
      <c r="EH857" s="56"/>
      <c r="EI857" s="56"/>
      <c r="EJ857" s="56"/>
      <c r="EK857" s="56"/>
      <c r="EL857" s="56"/>
      <c r="EM857" s="56"/>
      <c r="EN857" s="56"/>
      <c r="EO857" s="56"/>
      <c r="EP857" s="56"/>
      <c r="EQ857" s="56"/>
      <c r="ER857" s="56"/>
      <c r="ES857" s="56"/>
      <c r="ET857" s="56"/>
      <c r="EU857" s="56"/>
      <c r="EV857" s="56"/>
      <c r="EW857" s="56"/>
      <c r="EX857" s="56"/>
      <c r="EY857" s="56"/>
      <c r="EZ857" s="56"/>
      <c r="FA857" s="56"/>
      <c r="FB857" s="56"/>
      <c r="FC857" s="56"/>
      <c r="FD857" s="56"/>
      <c r="FE857" s="56"/>
      <c r="FF857" s="56"/>
      <c r="FG857" s="56"/>
      <c r="FH857" s="56"/>
      <c r="FI857" s="56"/>
      <c r="FJ857" s="56"/>
      <c r="FK857" s="56"/>
      <c r="FL857" s="56"/>
      <c r="FM857" s="56"/>
      <c r="FN857" s="56"/>
      <c r="FO857" s="56"/>
      <c r="FP857" s="56"/>
      <c r="FQ857" s="56"/>
      <c r="FR857" s="56"/>
      <c r="FS857" s="56"/>
      <c r="FT857" s="56"/>
      <c r="FU857" s="56"/>
      <c r="FV857" s="56"/>
      <c r="FW857" s="56"/>
      <c r="FX857" s="56"/>
      <c r="FY857" s="56"/>
      <c r="FZ857" s="56"/>
      <c r="GA857" s="56"/>
      <c r="GB857" s="56"/>
      <c r="GC857" s="56"/>
      <c r="GD857" s="56"/>
      <c r="GE857" s="56"/>
      <c r="GF857" s="56"/>
      <c r="GG857" s="56"/>
      <c r="GH857" s="56"/>
      <c r="GI857" s="56"/>
      <c r="GJ857" s="56"/>
      <c r="GK857" s="56"/>
      <c r="GL857" s="56"/>
      <c r="GM857" s="56"/>
      <c r="GN857" s="56"/>
      <c r="GO857" s="56"/>
      <c r="GP857" s="56"/>
      <c r="GQ857" s="56"/>
      <c r="GR857" s="56"/>
      <c r="GS857" s="56"/>
      <c r="GT857" s="56"/>
      <c r="GU857" s="56"/>
      <c r="GV857" s="56"/>
      <c r="GW857" s="56"/>
      <c r="GX857" s="56"/>
      <c r="GY857" s="56"/>
      <c r="GZ857" s="56"/>
      <c r="HA857" s="56"/>
      <c r="HB857" s="56"/>
      <c r="HC857" s="56"/>
      <c r="HD857" s="56"/>
      <c r="HE857" s="56"/>
      <c r="HF857" s="56"/>
      <c r="HG857" s="56"/>
      <c r="HH857" s="56"/>
      <c r="HI857" s="56"/>
      <c r="HJ857" s="56"/>
    </row>
    <row r="858" spans="1:218" ht="15.75" customHeight="1" x14ac:dyDescent="0.2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  <c r="BV858" s="56"/>
      <c r="BW858" s="56"/>
      <c r="BX858" s="56"/>
      <c r="BY858" s="56"/>
      <c r="BZ858" s="56"/>
      <c r="CA858" s="56"/>
      <c r="CB858" s="56"/>
      <c r="CC858" s="56"/>
      <c r="CD858" s="56"/>
      <c r="CE858" s="56"/>
      <c r="CF858" s="56"/>
      <c r="CG858" s="56"/>
      <c r="CH858" s="56"/>
      <c r="CI858" s="56"/>
      <c r="CJ858" s="56"/>
      <c r="CK858" s="56"/>
      <c r="CL858" s="56"/>
      <c r="CM858" s="56"/>
      <c r="CN858" s="56"/>
      <c r="CO858" s="56"/>
      <c r="CP858" s="56"/>
      <c r="CQ858" s="56"/>
      <c r="CR858" s="56"/>
      <c r="CS858" s="56"/>
      <c r="CT858" s="56"/>
      <c r="CU858" s="56"/>
      <c r="CV858" s="56"/>
      <c r="CW858" s="56"/>
      <c r="CX858" s="56"/>
      <c r="CY858" s="56"/>
      <c r="CZ858" s="56"/>
      <c r="DA858" s="56"/>
      <c r="DB858" s="56"/>
      <c r="DC858" s="56"/>
      <c r="DD858" s="56"/>
      <c r="DE858" s="56"/>
      <c r="DF858" s="56"/>
      <c r="DG858" s="56"/>
      <c r="DH858" s="56"/>
      <c r="DI858" s="56"/>
      <c r="DJ858" s="56"/>
      <c r="DK858" s="56"/>
      <c r="DL858" s="56"/>
      <c r="DM858" s="56"/>
      <c r="DN858" s="56"/>
      <c r="DO858" s="56"/>
      <c r="DP858" s="56"/>
      <c r="DQ858" s="56"/>
      <c r="DR858" s="56"/>
      <c r="DS858" s="56"/>
      <c r="DT858" s="56"/>
      <c r="DU858" s="56"/>
      <c r="DV858" s="56"/>
      <c r="DW858" s="56"/>
      <c r="DX858" s="56"/>
      <c r="DY858" s="56"/>
      <c r="DZ858" s="56"/>
      <c r="EA858" s="56"/>
      <c r="EB858" s="56"/>
      <c r="EC858" s="56"/>
      <c r="ED858" s="56"/>
      <c r="EE858" s="56"/>
      <c r="EF858" s="56"/>
      <c r="EG858" s="56"/>
      <c r="EH858" s="56"/>
      <c r="EI858" s="56"/>
      <c r="EJ858" s="56"/>
      <c r="EK858" s="56"/>
      <c r="EL858" s="56"/>
      <c r="EM858" s="56"/>
      <c r="EN858" s="56"/>
      <c r="EO858" s="56"/>
      <c r="EP858" s="56"/>
      <c r="EQ858" s="56"/>
      <c r="ER858" s="56"/>
      <c r="ES858" s="56"/>
      <c r="ET858" s="56"/>
      <c r="EU858" s="56"/>
      <c r="EV858" s="56"/>
      <c r="EW858" s="56"/>
      <c r="EX858" s="56"/>
      <c r="EY858" s="56"/>
      <c r="EZ858" s="56"/>
      <c r="FA858" s="56"/>
      <c r="FB858" s="56"/>
      <c r="FC858" s="56"/>
      <c r="FD858" s="56"/>
      <c r="FE858" s="56"/>
      <c r="FF858" s="56"/>
      <c r="FG858" s="56"/>
      <c r="FH858" s="56"/>
      <c r="FI858" s="56"/>
      <c r="FJ858" s="56"/>
      <c r="FK858" s="56"/>
      <c r="FL858" s="56"/>
      <c r="FM858" s="56"/>
      <c r="FN858" s="56"/>
      <c r="FO858" s="56"/>
      <c r="FP858" s="56"/>
      <c r="FQ858" s="56"/>
      <c r="FR858" s="56"/>
      <c r="FS858" s="56"/>
      <c r="FT858" s="56"/>
      <c r="FU858" s="56"/>
      <c r="FV858" s="56"/>
      <c r="FW858" s="56"/>
      <c r="FX858" s="56"/>
      <c r="FY858" s="56"/>
      <c r="FZ858" s="56"/>
      <c r="GA858" s="56"/>
      <c r="GB858" s="56"/>
      <c r="GC858" s="56"/>
      <c r="GD858" s="56"/>
      <c r="GE858" s="56"/>
      <c r="GF858" s="56"/>
      <c r="GG858" s="56"/>
      <c r="GH858" s="56"/>
      <c r="GI858" s="56"/>
      <c r="GJ858" s="56"/>
      <c r="GK858" s="56"/>
      <c r="GL858" s="56"/>
      <c r="GM858" s="56"/>
      <c r="GN858" s="56"/>
      <c r="GO858" s="56"/>
      <c r="GP858" s="56"/>
      <c r="GQ858" s="56"/>
      <c r="GR858" s="56"/>
      <c r="GS858" s="56"/>
      <c r="GT858" s="56"/>
      <c r="GU858" s="56"/>
      <c r="GV858" s="56"/>
      <c r="GW858" s="56"/>
      <c r="GX858" s="56"/>
      <c r="GY858" s="56"/>
      <c r="GZ858" s="56"/>
      <c r="HA858" s="56"/>
      <c r="HB858" s="56"/>
      <c r="HC858" s="56"/>
      <c r="HD858" s="56"/>
      <c r="HE858" s="56"/>
      <c r="HF858" s="56"/>
      <c r="HG858" s="56"/>
      <c r="HH858" s="56"/>
      <c r="HI858" s="56"/>
      <c r="HJ858" s="56"/>
    </row>
    <row r="859" spans="1:218" ht="15.75" customHeight="1" x14ac:dyDescent="0.2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  <c r="BV859" s="56"/>
      <c r="BW859" s="56"/>
      <c r="BX859" s="56"/>
      <c r="BY859" s="56"/>
      <c r="BZ859" s="56"/>
      <c r="CA859" s="56"/>
      <c r="CB859" s="56"/>
      <c r="CC859" s="56"/>
      <c r="CD859" s="56"/>
      <c r="CE859" s="56"/>
      <c r="CF859" s="56"/>
      <c r="CG859" s="56"/>
      <c r="CH859" s="56"/>
      <c r="CI859" s="56"/>
      <c r="CJ859" s="56"/>
      <c r="CK859" s="56"/>
      <c r="CL859" s="56"/>
      <c r="CM859" s="56"/>
      <c r="CN859" s="56"/>
      <c r="CO859" s="56"/>
      <c r="CP859" s="56"/>
      <c r="CQ859" s="56"/>
      <c r="CR859" s="56"/>
      <c r="CS859" s="56"/>
      <c r="CT859" s="56"/>
      <c r="CU859" s="56"/>
      <c r="CV859" s="56"/>
      <c r="CW859" s="56"/>
      <c r="CX859" s="56"/>
      <c r="CY859" s="56"/>
      <c r="CZ859" s="56"/>
      <c r="DA859" s="56"/>
      <c r="DB859" s="56"/>
      <c r="DC859" s="56"/>
      <c r="DD859" s="56"/>
      <c r="DE859" s="56"/>
      <c r="DF859" s="56"/>
      <c r="DG859" s="56"/>
      <c r="DH859" s="56"/>
      <c r="DI859" s="56"/>
      <c r="DJ859" s="56"/>
      <c r="DK859" s="56"/>
      <c r="DL859" s="56"/>
      <c r="DM859" s="56"/>
      <c r="DN859" s="56"/>
      <c r="DO859" s="56"/>
      <c r="DP859" s="56"/>
      <c r="DQ859" s="56"/>
      <c r="DR859" s="56"/>
      <c r="DS859" s="56"/>
      <c r="DT859" s="56"/>
      <c r="DU859" s="56"/>
      <c r="DV859" s="56"/>
      <c r="DW859" s="56"/>
      <c r="DX859" s="56"/>
      <c r="DY859" s="56"/>
      <c r="DZ859" s="56"/>
      <c r="EA859" s="56"/>
      <c r="EB859" s="56"/>
      <c r="EC859" s="56"/>
      <c r="ED859" s="56"/>
      <c r="EE859" s="56"/>
      <c r="EF859" s="56"/>
      <c r="EG859" s="56"/>
      <c r="EH859" s="56"/>
      <c r="EI859" s="56"/>
      <c r="EJ859" s="56"/>
      <c r="EK859" s="56"/>
      <c r="EL859" s="56"/>
      <c r="EM859" s="56"/>
      <c r="EN859" s="56"/>
      <c r="EO859" s="56"/>
      <c r="EP859" s="56"/>
      <c r="EQ859" s="56"/>
      <c r="ER859" s="56"/>
      <c r="ES859" s="56"/>
      <c r="ET859" s="56"/>
      <c r="EU859" s="56"/>
      <c r="EV859" s="56"/>
      <c r="EW859" s="56"/>
      <c r="EX859" s="56"/>
      <c r="EY859" s="56"/>
      <c r="EZ859" s="56"/>
      <c r="FA859" s="56"/>
      <c r="FB859" s="56"/>
      <c r="FC859" s="56"/>
      <c r="FD859" s="56"/>
      <c r="FE859" s="56"/>
      <c r="FF859" s="56"/>
      <c r="FG859" s="56"/>
      <c r="FH859" s="56"/>
      <c r="FI859" s="56"/>
      <c r="FJ859" s="56"/>
      <c r="FK859" s="56"/>
      <c r="FL859" s="56"/>
      <c r="FM859" s="56"/>
      <c r="FN859" s="56"/>
      <c r="FO859" s="56"/>
      <c r="FP859" s="56"/>
      <c r="FQ859" s="56"/>
      <c r="FR859" s="56"/>
      <c r="FS859" s="56"/>
      <c r="FT859" s="56"/>
      <c r="FU859" s="56"/>
      <c r="FV859" s="56"/>
      <c r="FW859" s="56"/>
      <c r="FX859" s="56"/>
      <c r="FY859" s="56"/>
      <c r="FZ859" s="56"/>
      <c r="GA859" s="56"/>
      <c r="GB859" s="56"/>
      <c r="GC859" s="56"/>
      <c r="GD859" s="56"/>
      <c r="GE859" s="56"/>
      <c r="GF859" s="56"/>
      <c r="GG859" s="56"/>
      <c r="GH859" s="56"/>
      <c r="GI859" s="56"/>
      <c r="GJ859" s="56"/>
      <c r="GK859" s="56"/>
      <c r="GL859" s="56"/>
      <c r="GM859" s="56"/>
      <c r="GN859" s="56"/>
      <c r="GO859" s="56"/>
      <c r="GP859" s="56"/>
      <c r="GQ859" s="56"/>
      <c r="GR859" s="56"/>
      <c r="GS859" s="56"/>
      <c r="GT859" s="56"/>
      <c r="GU859" s="56"/>
      <c r="GV859" s="56"/>
      <c r="GW859" s="56"/>
      <c r="GX859" s="56"/>
      <c r="GY859" s="56"/>
      <c r="GZ859" s="56"/>
      <c r="HA859" s="56"/>
      <c r="HB859" s="56"/>
      <c r="HC859" s="56"/>
      <c r="HD859" s="56"/>
      <c r="HE859" s="56"/>
      <c r="HF859" s="56"/>
      <c r="HG859" s="56"/>
      <c r="HH859" s="56"/>
      <c r="HI859" s="56"/>
      <c r="HJ859" s="56"/>
    </row>
    <row r="860" spans="1:218" ht="15.75" customHeight="1" x14ac:dyDescent="0.2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  <c r="CL860" s="56"/>
      <c r="CM860" s="56"/>
      <c r="CN860" s="56"/>
      <c r="CO860" s="56"/>
      <c r="CP860" s="56"/>
      <c r="CQ860" s="56"/>
      <c r="CR860" s="56"/>
      <c r="CS860" s="56"/>
      <c r="CT860" s="56"/>
      <c r="CU860" s="56"/>
      <c r="CV860" s="56"/>
      <c r="CW860" s="56"/>
      <c r="CX860" s="56"/>
      <c r="CY860" s="56"/>
      <c r="CZ860" s="56"/>
      <c r="DA860" s="56"/>
      <c r="DB860" s="56"/>
      <c r="DC860" s="56"/>
      <c r="DD860" s="56"/>
      <c r="DE860" s="56"/>
      <c r="DF860" s="56"/>
      <c r="DG860" s="56"/>
      <c r="DH860" s="56"/>
      <c r="DI860" s="56"/>
      <c r="DJ860" s="56"/>
      <c r="DK860" s="56"/>
      <c r="DL860" s="56"/>
      <c r="DM860" s="56"/>
      <c r="DN860" s="56"/>
      <c r="DO860" s="56"/>
      <c r="DP860" s="56"/>
      <c r="DQ860" s="56"/>
      <c r="DR860" s="56"/>
      <c r="DS860" s="56"/>
      <c r="DT860" s="56"/>
      <c r="DU860" s="56"/>
      <c r="DV860" s="56"/>
      <c r="DW860" s="56"/>
      <c r="DX860" s="56"/>
      <c r="DY860" s="56"/>
      <c r="DZ860" s="56"/>
      <c r="EA860" s="56"/>
      <c r="EB860" s="56"/>
      <c r="EC860" s="56"/>
      <c r="ED860" s="56"/>
      <c r="EE860" s="56"/>
      <c r="EF860" s="56"/>
      <c r="EG860" s="56"/>
      <c r="EH860" s="56"/>
      <c r="EI860" s="56"/>
      <c r="EJ860" s="56"/>
      <c r="EK860" s="56"/>
      <c r="EL860" s="56"/>
      <c r="EM860" s="56"/>
      <c r="EN860" s="56"/>
      <c r="EO860" s="56"/>
      <c r="EP860" s="56"/>
      <c r="EQ860" s="56"/>
      <c r="ER860" s="56"/>
      <c r="ES860" s="56"/>
      <c r="ET860" s="56"/>
      <c r="EU860" s="56"/>
      <c r="EV860" s="56"/>
      <c r="EW860" s="56"/>
      <c r="EX860" s="56"/>
      <c r="EY860" s="56"/>
      <c r="EZ860" s="56"/>
      <c r="FA860" s="56"/>
      <c r="FB860" s="56"/>
      <c r="FC860" s="56"/>
      <c r="FD860" s="56"/>
      <c r="FE860" s="56"/>
      <c r="FF860" s="56"/>
      <c r="FG860" s="56"/>
      <c r="FH860" s="56"/>
      <c r="FI860" s="56"/>
      <c r="FJ860" s="56"/>
      <c r="FK860" s="56"/>
      <c r="FL860" s="56"/>
      <c r="FM860" s="56"/>
      <c r="FN860" s="56"/>
      <c r="FO860" s="56"/>
      <c r="FP860" s="56"/>
      <c r="FQ860" s="56"/>
      <c r="FR860" s="56"/>
      <c r="FS860" s="56"/>
      <c r="FT860" s="56"/>
      <c r="FU860" s="56"/>
      <c r="FV860" s="56"/>
      <c r="FW860" s="56"/>
      <c r="FX860" s="56"/>
      <c r="FY860" s="56"/>
      <c r="FZ860" s="56"/>
      <c r="GA860" s="56"/>
      <c r="GB860" s="56"/>
      <c r="GC860" s="56"/>
      <c r="GD860" s="56"/>
      <c r="GE860" s="56"/>
      <c r="GF860" s="56"/>
      <c r="GG860" s="56"/>
      <c r="GH860" s="56"/>
      <c r="GI860" s="56"/>
      <c r="GJ860" s="56"/>
      <c r="GK860" s="56"/>
      <c r="GL860" s="56"/>
      <c r="GM860" s="56"/>
      <c r="GN860" s="56"/>
      <c r="GO860" s="56"/>
      <c r="GP860" s="56"/>
      <c r="GQ860" s="56"/>
      <c r="GR860" s="56"/>
      <c r="GS860" s="56"/>
      <c r="GT860" s="56"/>
      <c r="GU860" s="56"/>
      <c r="GV860" s="56"/>
      <c r="GW860" s="56"/>
      <c r="GX860" s="56"/>
      <c r="GY860" s="56"/>
      <c r="GZ860" s="56"/>
      <c r="HA860" s="56"/>
      <c r="HB860" s="56"/>
      <c r="HC860" s="56"/>
      <c r="HD860" s="56"/>
      <c r="HE860" s="56"/>
      <c r="HF860" s="56"/>
      <c r="HG860" s="56"/>
      <c r="HH860" s="56"/>
      <c r="HI860" s="56"/>
      <c r="HJ860" s="56"/>
    </row>
    <row r="861" spans="1:218" ht="15.75" customHeight="1" x14ac:dyDescent="0.2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  <c r="CL861" s="56"/>
      <c r="CM861" s="56"/>
      <c r="CN861" s="56"/>
      <c r="CO861" s="56"/>
      <c r="CP861" s="56"/>
      <c r="CQ861" s="56"/>
      <c r="CR861" s="56"/>
      <c r="CS861" s="56"/>
      <c r="CT861" s="56"/>
      <c r="CU861" s="56"/>
      <c r="CV861" s="56"/>
      <c r="CW861" s="56"/>
      <c r="CX861" s="56"/>
      <c r="CY861" s="56"/>
      <c r="CZ861" s="56"/>
      <c r="DA861" s="56"/>
      <c r="DB861" s="56"/>
      <c r="DC861" s="56"/>
      <c r="DD861" s="56"/>
      <c r="DE861" s="56"/>
      <c r="DF861" s="56"/>
      <c r="DG861" s="56"/>
      <c r="DH861" s="56"/>
      <c r="DI861" s="56"/>
      <c r="DJ861" s="56"/>
      <c r="DK861" s="56"/>
      <c r="DL861" s="56"/>
      <c r="DM861" s="56"/>
      <c r="DN861" s="56"/>
      <c r="DO861" s="56"/>
      <c r="DP861" s="56"/>
      <c r="DQ861" s="56"/>
      <c r="DR861" s="56"/>
      <c r="DS861" s="56"/>
      <c r="DT861" s="56"/>
      <c r="DU861" s="56"/>
      <c r="DV861" s="56"/>
      <c r="DW861" s="56"/>
      <c r="DX861" s="56"/>
      <c r="DY861" s="56"/>
      <c r="DZ861" s="56"/>
      <c r="EA861" s="56"/>
      <c r="EB861" s="56"/>
      <c r="EC861" s="56"/>
      <c r="ED861" s="56"/>
      <c r="EE861" s="56"/>
      <c r="EF861" s="56"/>
      <c r="EG861" s="56"/>
      <c r="EH861" s="56"/>
      <c r="EI861" s="56"/>
      <c r="EJ861" s="56"/>
      <c r="EK861" s="56"/>
      <c r="EL861" s="56"/>
      <c r="EM861" s="56"/>
      <c r="EN861" s="56"/>
      <c r="EO861" s="56"/>
      <c r="EP861" s="56"/>
      <c r="EQ861" s="56"/>
      <c r="ER861" s="56"/>
      <c r="ES861" s="56"/>
      <c r="ET861" s="56"/>
      <c r="EU861" s="56"/>
      <c r="EV861" s="56"/>
      <c r="EW861" s="56"/>
      <c r="EX861" s="56"/>
      <c r="EY861" s="56"/>
      <c r="EZ861" s="56"/>
      <c r="FA861" s="56"/>
      <c r="FB861" s="56"/>
      <c r="FC861" s="56"/>
      <c r="FD861" s="56"/>
      <c r="FE861" s="56"/>
      <c r="FF861" s="56"/>
      <c r="FG861" s="56"/>
      <c r="FH861" s="56"/>
      <c r="FI861" s="56"/>
      <c r="FJ861" s="56"/>
      <c r="FK861" s="56"/>
      <c r="FL861" s="56"/>
      <c r="FM861" s="56"/>
      <c r="FN861" s="56"/>
      <c r="FO861" s="56"/>
      <c r="FP861" s="56"/>
      <c r="FQ861" s="56"/>
      <c r="FR861" s="56"/>
      <c r="FS861" s="56"/>
      <c r="FT861" s="56"/>
      <c r="FU861" s="56"/>
      <c r="FV861" s="56"/>
      <c r="FW861" s="56"/>
      <c r="FX861" s="56"/>
      <c r="FY861" s="56"/>
      <c r="FZ861" s="56"/>
      <c r="GA861" s="56"/>
      <c r="GB861" s="56"/>
      <c r="GC861" s="56"/>
      <c r="GD861" s="56"/>
      <c r="GE861" s="56"/>
      <c r="GF861" s="56"/>
      <c r="GG861" s="56"/>
      <c r="GH861" s="56"/>
      <c r="GI861" s="56"/>
      <c r="GJ861" s="56"/>
      <c r="GK861" s="56"/>
      <c r="GL861" s="56"/>
      <c r="GM861" s="56"/>
      <c r="GN861" s="56"/>
      <c r="GO861" s="56"/>
      <c r="GP861" s="56"/>
      <c r="GQ861" s="56"/>
      <c r="GR861" s="56"/>
      <c r="GS861" s="56"/>
      <c r="GT861" s="56"/>
      <c r="GU861" s="56"/>
      <c r="GV861" s="56"/>
      <c r="GW861" s="56"/>
      <c r="GX861" s="56"/>
      <c r="GY861" s="56"/>
      <c r="GZ861" s="56"/>
      <c r="HA861" s="56"/>
      <c r="HB861" s="56"/>
      <c r="HC861" s="56"/>
      <c r="HD861" s="56"/>
      <c r="HE861" s="56"/>
      <c r="HF861" s="56"/>
      <c r="HG861" s="56"/>
      <c r="HH861" s="56"/>
      <c r="HI861" s="56"/>
      <c r="HJ861" s="56"/>
    </row>
    <row r="862" spans="1:218" ht="15.75" customHeight="1" x14ac:dyDescent="0.2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  <c r="CL862" s="56"/>
      <c r="CM862" s="56"/>
      <c r="CN862" s="56"/>
      <c r="CO862" s="56"/>
      <c r="CP862" s="56"/>
      <c r="CQ862" s="56"/>
      <c r="CR862" s="56"/>
      <c r="CS862" s="56"/>
      <c r="CT862" s="56"/>
      <c r="CU862" s="56"/>
      <c r="CV862" s="56"/>
      <c r="CW862" s="56"/>
      <c r="CX862" s="56"/>
      <c r="CY862" s="56"/>
      <c r="CZ862" s="56"/>
      <c r="DA862" s="56"/>
      <c r="DB862" s="56"/>
      <c r="DC862" s="56"/>
      <c r="DD862" s="56"/>
      <c r="DE862" s="56"/>
      <c r="DF862" s="56"/>
      <c r="DG862" s="56"/>
      <c r="DH862" s="56"/>
      <c r="DI862" s="56"/>
      <c r="DJ862" s="56"/>
      <c r="DK862" s="56"/>
      <c r="DL862" s="56"/>
      <c r="DM862" s="56"/>
      <c r="DN862" s="56"/>
      <c r="DO862" s="56"/>
      <c r="DP862" s="56"/>
      <c r="DQ862" s="56"/>
      <c r="DR862" s="56"/>
      <c r="DS862" s="56"/>
      <c r="DT862" s="56"/>
      <c r="DU862" s="56"/>
      <c r="DV862" s="56"/>
      <c r="DW862" s="56"/>
      <c r="DX862" s="56"/>
      <c r="DY862" s="56"/>
      <c r="DZ862" s="56"/>
      <c r="EA862" s="56"/>
      <c r="EB862" s="56"/>
      <c r="EC862" s="56"/>
      <c r="ED862" s="56"/>
      <c r="EE862" s="56"/>
      <c r="EF862" s="56"/>
      <c r="EG862" s="56"/>
      <c r="EH862" s="56"/>
      <c r="EI862" s="56"/>
      <c r="EJ862" s="56"/>
      <c r="EK862" s="56"/>
      <c r="EL862" s="56"/>
      <c r="EM862" s="56"/>
      <c r="EN862" s="56"/>
      <c r="EO862" s="56"/>
      <c r="EP862" s="56"/>
      <c r="EQ862" s="56"/>
      <c r="ER862" s="56"/>
      <c r="ES862" s="56"/>
      <c r="ET862" s="56"/>
      <c r="EU862" s="56"/>
      <c r="EV862" s="56"/>
      <c r="EW862" s="56"/>
      <c r="EX862" s="56"/>
      <c r="EY862" s="56"/>
      <c r="EZ862" s="56"/>
      <c r="FA862" s="56"/>
      <c r="FB862" s="56"/>
      <c r="FC862" s="56"/>
      <c r="FD862" s="56"/>
      <c r="FE862" s="56"/>
      <c r="FF862" s="56"/>
      <c r="FG862" s="56"/>
      <c r="FH862" s="56"/>
      <c r="FI862" s="56"/>
      <c r="FJ862" s="56"/>
      <c r="FK862" s="56"/>
      <c r="FL862" s="56"/>
      <c r="FM862" s="56"/>
      <c r="FN862" s="56"/>
      <c r="FO862" s="56"/>
      <c r="FP862" s="56"/>
      <c r="FQ862" s="56"/>
      <c r="FR862" s="56"/>
      <c r="FS862" s="56"/>
      <c r="FT862" s="56"/>
      <c r="FU862" s="56"/>
      <c r="FV862" s="56"/>
      <c r="FW862" s="56"/>
      <c r="FX862" s="56"/>
      <c r="FY862" s="56"/>
      <c r="FZ862" s="56"/>
      <c r="GA862" s="56"/>
      <c r="GB862" s="56"/>
      <c r="GC862" s="56"/>
      <c r="GD862" s="56"/>
      <c r="GE862" s="56"/>
      <c r="GF862" s="56"/>
      <c r="GG862" s="56"/>
      <c r="GH862" s="56"/>
      <c r="GI862" s="56"/>
      <c r="GJ862" s="56"/>
      <c r="GK862" s="56"/>
      <c r="GL862" s="56"/>
      <c r="GM862" s="56"/>
      <c r="GN862" s="56"/>
      <c r="GO862" s="56"/>
      <c r="GP862" s="56"/>
      <c r="GQ862" s="56"/>
      <c r="GR862" s="56"/>
      <c r="GS862" s="56"/>
      <c r="GT862" s="56"/>
      <c r="GU862" s="56"/>
      <c r="GV862" s="56"/>
      <c r="GW862" s="56"/>
      <c r="GX862" s="56"/>
      <c r="GY862" s="56"/>
      <c r="GZ862" s="56"/>
      <c r="HA862" s="56"/>
      <c r="HB862" s="56"/>
      <c r="HC862" s="56"/>
      <c r="HD862" s="56"/>
      <c r="HE862" s="56"/>
      <c r="HF862" s="56"/>
      <c r="HG862" s="56"/>
      <c r="HH862" s="56"/>
      <c r="HI862" s="56"/>
      <c r="HJ862" s="56"/>
    </row>
    <row r="863" spans="1:218" ht="15.75" customHeight="1" x14ac:dyDescent="0.2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  <c r="BV863" s="56"/>
      <c r="BW863" s="56"/>
      <c r="BX863" s="56"/>
      <c r="BY863" s="56"/>
      <c r="BZ863" s="56"/>
      <c r="CA863" s="56"/>
      <c r="CB863" s="56"/>
      <c r="CC863" s="56"/>
      <c r="CD863" s="56"/>
      <c r="CE863" s="56"/>
      <c r="CF863" s="56"/>
      <c r="CG863" s="56"/>
      <c r="CH863" s="56"/>
      <c r="CI863" s="56"/>
      <c r="CJ863" s="56"/>
      <c r="CK863" s="56"/>
      <c r="CL863" s="56"/>
      <c r="CM863" s="56"/>
      <c r="CN863" s="56"/>
      <c r="CO863" s="56"/>
      <c r="CP863" s="56"/>
      <c r="CQ863" s="56"/>
      <c r="CR863" s="56"/>
      <c r="CS863" s="56"/>
      <c r="CT863" s="56"/>
      <c r="CU863" s="56"/>
      <c r="CV863" s="56"/>
      <c r="CW863" s="56"/>
      <c r="CX863" s="56"/>
      <c r="CY863" s="56"/>
      <c r="CZ863" s="56"/>
      <c r="DA863" s="56"/>
      <c r="DB863" s="56"/>
      <c r="DC863" s="56"/>
      <c r="DD863" s="56"/>
      <c r="DE863" s="56"/>
      <c r="DF863" s="56"/>
      <c r="DG863" s="56"/>
      <c r="DH863" s="56"/>
      <c r="DI863" s="56"/>
      <c r="DJ863" s="56"/>
      <c r="DK863" s="56"/>
      <c r="DL863" s="56"/>
      <c r="DM863" s="56"/>
      <c r="DN863" s="56"/>
      <c r="DO863" s="56"/>
      <c r="DP863" s="56"/>
      <c r="DQ863" s="56"/>
      <c r="DR863" s="56"/>
      <c r="DS863" s="56"/>
      <c r="DT863" s="56"/>
      <c r="DU863" s="56"/>
      <c r="DV863" s="56"/>
      <c r="DW863" s="56"/>
      <c r="DX863" s="56"/>
      <c r="DY863" s="56"/>
      <c r="DZ863" s="56"/>
      <c r="EA863" s="56"/>
      <c r="EB863" s="56"/>
      <c r="EC863" s="56"/>
      <c r="ED863" s="56"/>
      <c r="EE863" s="56"/>
      <c r="EF863" s="56"/>
      <c r="EG863" s="56"/>
      <c r="EH863" s="56"/>
      <c r="EI863" s="56"/>
      <c r="EJ863" s="56"/>
      <c r="EK863" s="56"/>
      <c r="EL863" s="56"/>
      <c r="EM863" s="56"/>
      <c r="EN863" s="56"/>
      <c r="EO863" s="56"/>
      <c r="EP863" s="56"/>
      <c r="EQ863" s="56"/>
      <c r="ER863" s="56"/>
      <c r="ES863" s="56"/>
      <c r="ET863" s="56"/>
      <c r="EU863" s="56"/>
      <c r="EV863" s="56"/>
      <c r="EW863" s="56"/>
      <c r="EX863" s="56"/>
      <c r="EY863" s="56"/>
      <c r="EZ863" s="56"/>
      <c r="FA863" s="56"/>
      <c r="FB863" s="56"/>
      <c r="FC863" s="56"/>
      <c r="FD863" s="56"/>
      <c r="FE863" s="56"/>
      <c r="FF863" s="56"/>
      <c r="FG863" s="56"/>
      <c r="FH863" s="56"/>
      <c r="FI863" s="56"/>
      <c r="FJ863" s="56"/>
      <c r="FK863" s="56"/>
      <c r="FL863" s="56"/>
      <c r="FM863" s="56"/>
      <c r="FN863" s="56"/>
      <c r="FO863" s="56"/>
      <c r="FP863" s="56"/>
      <c r="FQ863" s="56"/>
      <c r="FR863" s="56"/>
      <c r="FS863" s="56"/>
      <c r="FT863" s="56"/>
      <c r="FU863" s="56"/>
      <c r="FV863" s="56"/>
      <c r="FW863" s="56"/>
      <c r="FX863" s="56"/>
      <c r="FY863" s="56"/>
      <c r="FZ863" s="56"/>
      <c r="GA863" s="56"/>
      <c r="GB863" s="56"/>
      <c r="GC863" s="56"/>
      <c r="GD863" s="56"/>
      <c r="GE863" s="56"/>
      <c r="GF863" s="56"/>
      <c r="GG863" s="56"/>
      <c r="GH863" s="56"/>
      <c r="GI863" s="56"/>
      <c r="GJ863" s="56"/>
      <c r="GK863" s="56"/>
      <c r="GL863" s="56"/>
      <c r="GM863" s="56"/>
      <c r="GN863" s="56"/>
      <c r="GO863" s="56"/>
      <c r="GP863" s="56"/>
      <c r="GQ863" s="56"/>
      <c r="GR863" s="56"/>
      <c r="GS863" s="56"/>
      <c r="GT863" s="56"/>
      <c r="GU863" s="56"/>
      <c r="GV863" s="56"/>
      <c r="GW863" s="56"/>
      <c r="GX863" s="56"/>
      <c r="GY863" s="56"/>
      <c r="GZ863" s="56"/>
      <c r="HA863" s="56"/>
      <c r="HB863" s="56"/>
      <c r="HC863" s="56"/>
      <c r="HD863" s="56"/>
      <c r="HE863" s="56"/>
      <c r="HF863" s="56"/>
      <c r="HG863" s="56"/>
      <c r="HH863" s="56"/>
      <c r="HI863" s="56"/>
      <c r="HJ863" s="56"/>
    </row>
    <row r="864" spans="1:218" ht="15.75" customHeight="1" x14ac:dyDescent="0.2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  <c r="BV864" s="56"/>
      <c r="BW864" s="56"/>
      <c r="BX864" s="56"/>
      <c r="BY864" s="56"/>
      <c r="BZ864" s="56"/>
      <c r="CA864" s="56"/>
      <c r="CB864" s="56"/>
      <c r="CC864" s="56"/>
      <c r="CD864" s="56"/>
      <c r="CE864" s="56"/>
      <c r="CF864" s="56"/>
      <c r="CG864" s="56"/>
      <c r="CH864" s="56"/>
      <c r="CI864" s="56"/>
      <c r="CJ864" s="56"/>
      <c r="CK864" s="56"/>
      <c r="CL864" s="56"/>
      <c r="CM864" s="56"/>
      <c r="CN864" s="56"/>
      <c r="CO864" s="56"/>
      <c r="CP864" s="56"/>
      <c r="CQ864" s="56"/>
      <c r="CR864" s="56"/>
      <c r="CS864" s="56"/>
      <c r="CT864" s="56"/>
      <c r="CU864" s="56"/>
      <c r="CV864" s="56"/>
      <c r="CW864" s="56"/>
      <c r="CX864" s="56"/>
      <c r="CY864" s="56"/>
      <c r="CZ864" s="56"/>
      <c r="DA864" s="56"/>
      <c r="DB864" s="56"/>
      <c r="DC864" s="56"/>
      <c r="DD864" s="56"/>
      <c r="DE864" s="56"/>
      <c r="DF864" s="56"/>
      <c r="DG864" s="56"/>
      <c r="DH864" s="56"/>
      <c r="DI864" s="56"/>
      <c r="DJ864" s="56"/>
      <c r="DK864" s="56"/>
      <c r="DL864" s="56"/>
      <c r="DM864" s="56"/>
      <c r="DN864" s="56"/>
      <c r="DO864" s="56"/>
      <c r="DP864" s="56"/>
      <c r="DQ864" s="56"/>
      <c r="DR864" s="56"/>
      <c r="DS864" s="56"/>
      <c r="DT864" s="56"/>
      <c r="DU864" s="56"/>
      <c r="DV864" s="56"/>
      <c r="DW864" s="56"/>
      <c r="DX864" s="56"/>
      <c r="DY864" s="56"/>
      <c r="DZ864" s="56"/>
      <c r="EA864" s="56"/>
      <c r="EB864" s="56"/>
      <c r="EC864" s="56"/>
      <c r="ED864" s="56"/>
      <c r="EE864" s="56"/>
      <c r="EF864" s="56"/>
      <c r="EG864" s="56"/>
      <c r="EH864" s="56"/>
      <c r="EI864" s="56"/>
      <c r="EJ864" s="56"/>
      <c r="EK864" s="56"/>
      <c r="EL864" s="56"/>
      <c r="EM864" s="56"/>
      <c r="EN864" s="56"/>
      <c r="EO864" s="56"/>
      <c r="EP864" s="56"/>
      <c r="EQ864" s="56"/>
      <c r="ER864" s="56"/>
      <c r="ES864" s="56"/>
      <c r="ET864" s="56"/>
      <c r="EU864" s="56"/>
      <c r="EV864" s="56"/>
      <c r="EW864" s="56"/>
      <c r="EX864" s="56"/>
      <c r="EY864" s="56"/>
      <c r="EZ864" s="56"/>
      <c r="FA864" s="56"/>
      <c r="FB864" s="56"/>
      <c r="FC864" s="56"/>
      <c r="FD864" s="56"/>
      <c r="FE864" s="56"/>
      <c r="FF864" s="56"/>
      <c r="FG864" s="56"/>
      <c r="FH864" s="56"/>
      <c r="FI864" s="56"/>
      <c r="FJ864" s="56"/>
      <c r="FK864" s="56"/>
      <c r="FL864" s="56"/>
      <c r="FM864" s="56"/>
      <c r="FN864" s="56"/>
      <c r="FO864" s="56"/>
      <c r="FP864" s="56"/>
      <c r="FQ864" s="56"/>
      <c r="FR864" s="56"/>
      <c r="FS864" s="56"/>
      <c r="FT864" s="56"/>
      <c r="FU864" s="56"/>
      <c r="FV864" s="56"/>
      <c r="FW864" s="56"/>
      <c r="FX864" s="56"/>
      <c r="FY864" s="56"/>
      <c r="FZ864" s="56"/>
      <c r="GA864" s="56"/>
      <c r="GB864" s="56"/>
      <c r="GC864" s="56"/>
      <c r="GD864" s="56"/>
      <c r="GE864" s="56"/>
      <c r="GF864" s="56"/>
      <c r="GG864" s="56"/>
      <c r="GH864" s="56"/>
      <c r="GI864" s="56"/>
      <c r="GJ864" s="56"/>
      <c r="GK864" s="56"/>
      <c r="GL864" s="56"/>
      <c r="GM864" s="56"/>
      <c r="GN864" s="56"/>
      <c r="GO864" s="56"/>
      <c r="GP864" s="56"/>
      <c r="GQ864" s="56"/>
      <c r="GR864" s="56"/>
      <c r="GS864" s="56"/>
      <c r="GT864" s="56"/>
      <c r="GU864" s="56"/>
      <c r="GV864" s="56"/>
      <c r="GW864" s="56"/>
      <c r="GX864" s="56"/>
      <c r="GY864" s="56"/>
      <c r="GZ864" s="56"/>
      <c r="HA864" s="56"/>
      <c r="HB864" s="56"/>
      <c r="HC864" s="56"/>
      <c r="HD864" s="56"/>
      <c r="HE864" s="56"/>
      <c r="HF864" s="56"/>
      <c r="HG864" s="56"/>
      <c r="HH864" s="56"/>
      <c r="HI864" s="56"/>
      <c r="HJ864" s="56"/>
    </row>
    <row r="865" spans="1:218" ht="15.75" customHeight="1" x14ac:dyDescent="0.2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  <c r="BV865" s="56"/>
      <c r="BW865" s="56"/>
      <c r="BX865" s="56"/>
      <c r="BY865" s="56"/>
      <c r="BZ865" s="56"/>
      <c r="CA865" s="56"/>
      <c r="CB865" s="56"/>
      <c r="CC865" s="56"/>
      <c r="CD865" s="56"/>
      <c r="CE865" s="56"/>
      <c r="CF865" s="56"/>
      <c r="CG865" s="56"/>
      <c r="CH865" s="56"/>
      <c r="CI865" s="56"/>
      <c r="CJ865" s="56"/>
      <c r="CK865" s="56"/>
      <c r="CL865" s="56"/>
      <c r="CM865" s="56"/>
      <c r="CN865" s="56"/>
      <c r="CO865" s="56"/>
      <c r="CP865" s="56"/>
      <c r="CQ865" s="56"/>
      <c r="CR865" s="56"/>
      <c r="CS865" s="56"/>
      <c r="CT865" s="56"/>
      <c r="CU865" s="56"/>
      <c r="CV865" s="56"/>
      <c r="CW865" s="56"/>
      <c r="CX865" s="56"/>
      <c r="CY865" s="56"/>
      <c r="CZ865" s="56"/>
      <c r="DA865" s="56"/>
      <c r="DB865" s="56"/>
      <c r="DC865" s="56"/>
      <c r="DD865" s="56"/>
      <c r="DE865" s="56"/>
      <c r="DF865" s="56"/>
      <c r="DG865" s="56"/>
      <c r="DH865" s="56"/>
      <c r="DI865" s="56"/>
      <c r="DJ865" s="56"/>
      <c r="DK865" s="56"/>
      <c r="DL865" s="56"/>
      <c r="DM865" s="56"/>
      <c r="DN865" s="56"/>
      <c r="DO865" s="56"/>
      <c r="DP865" s="56"/>
      <c r="DQ865" s="56"/>
      <c r="DR865" s="56"/>
      <c r="DS865" s="56"/>
      <c r="DT865" s="56"/>
      <c r="DU865" s="56"/>
      <c r="DV865" s="56"/>
      <c r="DW865" s="56"/>
      <c r="DX865" s="56"/>
      <c r="DY865" s="56"/>
      <c r="DZ865" s="56"/>
      <c r="EA865" s="56"/>
      <c r="EB865" s="56"/>
      <c r="EC865" s="56"/>
      <c r="ED865" s="56"/>
      <c r="EE865" s="56"/>
      <c r="EF865" s="56"/>
      <c r="EG865" s="56"/>
      <c r="EH865" s="56"/>
      <c r="EI865" s="56"/>
      <c r="EJ865" s="56"/>
      <c r="EK865" s="56"/>
      <c r="EL865" s="56"/>
      <c r="EM865" s="56"/>
      <c r="EN865" s="56"/>
      <c r="EO865" s="56"/>
      <c r="EP865" s="56"/>
      <c r="EQ865" s="56"/>
      <c r="ER865" s="56"/>
      <c r="ES865" s="56"/>
      <c r="ET865" s="56"/>
      <c r="EU865" s="56"/>
      <c r="EV865" s="56"/>
      <c r="EW865" s="56"/>
      <c r="EX865" s="56"/>
      <c r="EY865" s="56"/>
      <c r="EZ865" s="56"/>
      <c r="FA865" s="56"/>
      <c r="FB865" s="56"/>
      <c r="FC865" s="56"/>
      <c r="FD865" s="56"/>
      <c r="FE865" s="56"/>
      <c r="FF865" s="56"/>
      <c r="FG865" s="56"/>
      <c r="FH865" s="56"/>
      <c r="FI865" s="56"/>
      <c r="FJ865" s="56"/>
      <c r="FK865" s="56"/>
      <c r="FL865" s="56"/>
      <c r="FM865" s="56"/>
      <c r="FN865" s="56"/>
      <c r="FO865" s="56"/>
      <c r="FP865" s="56"/>
      <c r="FQ865" s="56"/>
      <c r="FR865" s="56"/>
      <c r="FS865" s="56"/>
      <c r="FT865" s="56"/>
      <c r="FU865" s="56"/>
      <c r="FV865" s="56"/>
      <c r="FW865" s="56"/>
      <c r="FX865" s="56"/>
      <c r="FY865" s="56"/>
      <c r="FZ865" s="56"/>
      <c r="GA865" s="56"/>
      <c r="GB865" s="56"/>
      <c r="GC865" s="56"/>
      <c r="GD865" s="56"/>
      <c r="GE865" s="56"/>
      <c r="GF865" s="56"/>
      <c r="GG865" s="56"/>
      <c r="GH865" s="56"/>
      <c r="GI865" s="56"/>
      <c r="GJ865" s="56"/>
      <c r="GK865" s="56"/>
      <c r="GL865" s="56"/>
      <c r="GM865" s="56"/>
      <c r="GN865" s="56"/>
      <c r="GO865" s="56"/>
      <c r="GP865" s="56"/>
      <c r="GQ865" s="56"/>
      <c r="GR865" s="56"/>
      <c r="GS865" s="56"/>
      <c r="GT865" s="56"/>
      <c r="GU865" s="56"/>
      <c r="GV865" s="56"/>
      <c r="GW865" s="56"/>
      <c r="GX865" s="56"/>
      <c r="GY865" s="56"/>
      <c r="GZ865" s="56"/>
      <c r="HA865" s="56"/>
      <c r="HB865" s="56"/>
      <c r="HC865" s="56"/>
      <c r="HD865" s="56"/>
      <c r="HE865" s="56"/>
      <c r="HF865" s="56"/>
      <c r="HG865" s="56"/>
      <c r="HH865" s="56"/>
      <c r="HI865" s="56"/>
      <c r="HJ865" s="56"/>
    </row>
    <row r="866" spans="1:218" ht="15.75" customHeight="1" x14ac:dyDescent="0.2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  <c r="CL866" s="56"/>
      <c r="CM866" s="56"/>
      <c r="CN866" s="56"/>
      <c r="CO866" s="56"/>
      <c r="CP866" s="56"/>
      <c r="CQ866" s="56"/>
      <c r="CR866" s="56"/>
      <c r="CS866" s="56"/>
      <c r="CT866" s="56"/>
      <c r="CU866" s="56"/>
      <c r="CV866" s="56"/>
      <c r="CW866" s="56"/>
      <c r="CX866" s="56"/>
      <c r="CY866" s="56"/>
      <c r="CZ866" s="56"/>
      <c r="DA866" s="56"/>
      <c r="DB866" s="56"/>
      <c r="DC866" s="56"/>
      <c r="DD866" s="56"/>
      <c r="DE866" s="56"/>
      <c r="DF866" s="56"/>
      <c r="DG866" s="56"/>
      <c r="DH866" s="56"/>
      <c r="DI866" s="56"/>
      <c r="DJ866" s="56"/>
      <c r="DK866" s="56"/>
      <c r="DL866" s="56"/>
      <c r="DM866" s="56"/>
      <c r="DN866" s="56"/>
      <c r="DO866" s="56"/>
      <c r="DP866" s="56"/>
      <c r="DQ866" s="56"/>
      <c r="DR866" s="56"/>
      <c r="DS866" s="56"/>
      <c r="DT866" s="56"/>
      <c r="DU866" s="56"/>
      <c r="DV866" s="56"/>
      <c r="DW866" s="56"/>
      <c r="DX866" s="56"/>
      <c r="DY866" s="56"/>
      <c r="DZ866" s="56"/>
      <c r="EA866" s="56"/>
      <c r="EB866" s="56"/>
      <c r="EC866" s="56"/>
      <c r="ED866" s="56"/>
      <c r="EE866" s="56"/>
      <c r="EF866" s="56"/>
      <c r="EG866" s="56"/>
      <c r="EH866" s="56"/>
      <c r="EI866" s="56"/>
      <c r="EJ866" s="56"/>
      <c r="EK866" s="56"/>
      <c r="EL866" s="56"/>
      <c r="EM866" s="56"/>
      <c r="EN866" s="56"/>
      <c r="EO866" s="56"/>
      <c r="EP866" s="56"/>
      <c r="EQ866" s="56"/>
      <c r="ER866" s="56"/>
      <c r="ES866" s="56"/>
      <c r="ET866" s="56"/>
      <c r="EU866" s="56"/>
      <c r="EV866" s="56"/>
      <c r="EW866" s="56"/>
      <c r="EX866" s="56"/>
      <c r="EY866" s="56"/>
      <c r="EZ866" s="56"/>
      <c r="FA866" s="56"/>
      <c r="FB866" s="56"/>
      <c r="FC866" s="56"/>
      <c r="FD866" s="56"/>
      <c r="FE866" s="56"/>
      <c r="FF866" s="56"/>
      <c r="FG866" s="56"/>
      <c r="FH866" s="56"/>
      <c r="FI866" s="56"/>
      <c r="FJ866" s="56"/>
      <c r="FK866" s="56"/>
      <c r="FL866" s="56"/>
      <c r="FM866" s="56"/>
      <c r="FN866" s="56"/>
      <c r="FO866" s="56"/>
      <c r="FP866" s="56"/>
      <c r="FQ866" s="56"/>
      <c r="FR866" s="56"/>
      <c r="FS866" s="56"/>
      <c r="FT866" s="56"/>
      <c r="FU866" s="56"/>
      <c r="FV866" s="56"/>
      <c r="FW866" s="56"/>
      <c r="FX866" s="56"/>
      <c r="FY866" s="56"/>
      <c r="FZ866" s="56"/>
      <c r="GA866" s="56"/>
      <c r="GB866" s="56"/>
      <c r="GC866" s="56"/>
      <c r="GD866" s="56"/>
      <c r="GE866" s="56"/>
      <c r="GF866" s="56"/>
      <c r="GG866" s="56"/>
      <c r="GH866" s="56"/>
      <c r="GI866" s="56"/>
      <c r="GJ866" s="56"/>
      <c r="GK866" s="56"/>
      <c r="GL866" s="56"/>
      <c r="GM866" s="56"/>
      <c r="GN866" s="56"/>
      <c r="GO866" s="56"/>
      <c r="GP866" s="56"/>
      <c r="GQ866" s="56"/>
      <c r="GR866" s="56"/>
      <c r="GS866" s="56"/>
      <c r="GT866" s="56"/>
      <c r="GU866" s="56"/>
      <c r="GV866" s="56"/>
      <c r="GW866" s="56"/>
      <c r="GX866" s="56"/>
      <c r="GY866" s="56"/>
      <c r="GZ866" s="56"/>
      <c r="HA866" s="56"/>
      <c r="HB866" s="56"/>
      <c r="HC866" s="56"/>
      <c r="HD866" s="56"/>
      <c r="HE866" s="56"/>
      <c r="HF866" s="56"/>
      <c r="HG866" s="56"/>
      <c r="HH866" s="56"/>
      <c r="HI866" s="56"/>
      <c r="HJ866" s="56"/>
    </row>
    <row r="867" spans="1:218" ht="15.75" customHeight="1" x14ac:dyDescent="0.2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  <c r="BV867" s="56"/>
      <c r="BW867" s="56"/>
      <c r="BX867" s="56"/>
      <c r="BY867" s="56"/>
      <c r="BZ867" s="56"/>
      <c r="CA867" s="56"/>
      <c r="CB867" s="56"/>
      <c r="CC867" s="56"/>
      <c r="CD867" s="56"/>
      <c r="CE867" s="56"/>
      <c r="CF867" s="56"/>
      <c r="CG867" s="56"/>
      <c r="CH867" s="56"/>
      <c r="CI867" s="56"/>
      <c r="CJ867" s="56"/>
      <c r="CK867" s="56"/>
      <c r="CL867" s="56"/>
      <c r="CM867" s="56"/>
      <c r="CN867" s="56"/>
      <c r="CO867" s="56"/>
      <c r="CP867" s="56"/>
      <c r="CQ867" s="56"/>
      <c r="CR867" s="56"/>
      <c r="CS867" s="56"/>
      <c r="CT867" s="56"/>
      <c r="CU867" s="56"/>
      <c r="CV867" s="56"/>
      <c r="CW867" s="56"/>
      <c r="CX867" s="56"/>
      <c r="CY867" s="56"/>
      <c r="CZ867" s="56"/>
      <c r="DA867" s="56"/>
      <c r="DB867" s="56"/>
      <c r="DC867" s="56"/>
      <c r="DD867" s="56"/>
      <c r="DE867" s="56"/>
      <c r="DF867" s="56"/>
      <c r="DG867" s="56"/>
      <c r="DH867" s="56"/>
      <c r="DI867" s="56"/>
      <c r="DJ867" s="56"/>
      <c r="DK867" s="56"/>
      <c r="DL867" s="56"/>
      <c r="DM867" s="56"/>
      <c r="DN867" s="56"/>
      <c r="DO867" s="56"/>
      <c r="DP867" s="56"/>
      <c r="DQ867" s="56"/>
      <c r="DR867" s="56"/>
      <c r="DS867" s="56"/>
      <c r="DT867" s="56"/>
      <c r="DU867" s="56"/>
      <c r="DV867" s="56"/>
      <c r="DW867" s="56"/>
      <c r="DX867" s="56"/>
      <c r="DY867" s="56"/>
      <c r="DZ867" s="56"/>
      <c r="EA867" s="56"/>
      <c r="EB867" s="56"/>
      <c r="EC867" s="56"/>
      <c r="ED867" s="56"/>
      <c r="EE867" s="56"/>
      <c r="EF867" s="56"/>
      <c r="EG867" s="56"/>
      <c r="EH867" s="56"/>
      <c r="EI867" s="56"/>
      <c r="EJ867" s="56"/>
      <c r="EK867" s="56"/>
      <c r="EL867" s="56"/>
      <c r="EM867" s="56"/>
      <c r="EN867" s="56"/>
      <c r="EO867" s="56"/>
      <c r="EP867" s="56"/>
      <c r="EQ867" s="56"/>
      <c r="ER867" s="56"/>
      <c r="ES867" s="56"/>
      <c r="ET867" s="56"/>
      <c r="EU867" s="56"/>
      <c r="EV867" s="56"/>
      <c r="EW867" s="56"/>
      <c r="EX867" s="56"/>
      <c r="EY867" s="56"/>
      <c r="EZ867" s="56"/>
      <c r="FA867" s="56"/>
      <c r="FB867" s="56"/>
      <c r="FC867" s="56"/>
      <c r="FD867" s="56"/>
      <c r="FE867" s="56"/>
      <c r="FF867" s="56"/>
      <c r="FG867" s="56"/>
      <c r="FH867" s="56"/>
      <c r="FI867" s="56"/>
      <c r="FJ867" s="56"/>
      <c r="FK867" s="56"/>
      <c r="FL867" s="56"/>
      <c r="FM867" s="56"/>
      <c r="FN867" s="56"/>
      <c r="FO867" s="56"/>
      <c r="FP867" s="56"/>
      <c r="FQ867" s="56"/>
      <c r="FR867" s="56"/>
      <c r="FS867" s="56"/>
      <c r="FT867" s="56"/>
      <c r="FU867" s="56"/>
      <c r="FV867" s="56"/>
      <c r="FW867" s="56"/>
      <c r="FX867" s="56"/>
      <c r="FY867" s="56"/>
      <c r="FZ867" s="56"/>
      <c r="GA867" s="56"/>
      <c r="GB867" s="56"/>
      <c r="GC867" s="56"/>
      <c r="GD867" s="56"/>
      <c r="GE867" s="56"/>
      <c r="GF867" s="56"/>
      <c r="GG867" s="56"/>
      <c r="GH867" s="56"/>
      <c r="GI867" s="56"/>
      <c r="GJ867" s="56"/>
      <c r="GK867" s="56"/>
      <c r="GL867" s="56"/>
      <c r="GM867" s="56"/>
      <c r="GN867" s="56"/>
      <c r="GO867" s="56"/>
      <c r="GP867" s="56"/>
      <c r="GQ867" s="56"/>
      <c r="GR867" s="56"/>
      <c r="GS867" s="56"/>
      <c r="GT867" s="56"/>
      <c r="GU867" s="56"/>
      <c r="GV867" s="56"/>
      <c r="GW867" s="56"/>
      <c r="GX867" s="56"/>
      <c r="GY867" s="56"/>
      <c r="GZ867" s="56"/>
      <c r="HA867" s="56"/>
      <c r="HB867" s="56"/>
      <c r="HC867" s="56"/>
      <c r="HD867" s="56"/>
      <c r="HE867" s="56"/>
      <c r="HF867" s="56"/>
      <c r="HG867" s="56"/>
      <c r="HH867" s="56"/>
      <c r="HI867" s="56"/>
      <c r="HJ867" s="56"/>
    </row>
    <row r="868" spans="1:218" ht="15.75" customHeight="1" x14ac:dyDescent="0.2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  <c r="CL868" s="56"/>
      <c r="CM868" s="56"/>
      <c r="CN868" s="56"/>
      <c r="CO868" s="56"/>
      <c r="CP868" s="56"/>
      <c r="CQ868" s="56"/>
      <c r="CR868" s="56"/>
      <c r="CS868" s="56"/>
      <c r="CT868" s="56"/>
      <c r="CU868" s="56"/>
      <c r="CV868" s="56"/>
      <c r="CW868" s="56"/>
      <c r="CX868" s="56"/>
      <c r="CY868" s="56"/>
      <c r="CZ868" s="56"/>
      <c r="DA868" s="56"/>
      <c r="DB868" s="56"/>
      <c r="DC868" s="56"/>
      <c r="DD868" s="56"/>
      <c r="DE868" s="56"/>
      <c r="DF868" s="56"/>
      <c r="DG868" s="56"/>
      <c r="DH868" s="56"/>
      <c r="DI868" s="56"/>
      <c r="DJ868" s="56"/>
      <c r="DK868" s="56"/>
      <c r="DL868" s="56"/>
      <c r="DM868" s="56"/>
      <c r="DN868" s="56"/>
      <c r="DO868" s="56"/>
      <c r="DP868" s="56"/>
      <c r="DQ868" s="56"/>
      <c r="DR868" s="56"/>
      <c r="DS868" s="56"/>
      <c r="DT868" s="56"/>
      <c r="DU868" s="56"/>
      <c r="DV868" s="56"/>
      <c r="DW868" s="56"/>
      <c r="DX868" s="56"/>
      <c r="DY868" s="56"/>
      <c r="DZ868" s="56"/>
      <c r="EA868" s="56"/>
      <c r="EB868" s="56"/>
      <c r="EC868" s="56"/>
      <c r="ED868" s="56"/>
      <c r="EE868" s="56"/>
      <c r="EF868" s="56"/>
      <c r="EG868" s="56"/>
      <c r="EH868" s="56"/>
      <c r="EI868" s="56"/>
      <c r="EJ868" s="56"/>
      <c r="EK868" s="56"/>
      <c r="EL868" s="56"/>
      <c r="EM868" s="56"/>
      <c r="EN868" s="56"/>
      <c r="EO868" s="56"/>
      <c r="EP868" s="56"/>
      <c r="EQ868" s="56"/>
      <c r="ER868" s="56"/>
      <c r="ES868" s="56"/>
      <c r="ET868" s="56"/>
      <c r="EU868" s="56"/>
      <c r="EV868" s="56"/>
      <c r="EW868" s="56"/>
      <c r="EX868" s="56"/>
      <c r="EY868" s="56"/>
      <c r="EZ868" s="56"/>
      <c r="FA868" s="56"/>
      <c r="FB868" s="56"/>
      <c r="FC868" s="56"/>
      <c r="FD868" s="56"/>
      <c r="FE868" s="56"/>
      <c r="FF868" s="56"/>
      <c r="FG868" s="56"/>
      <c r="FH868" s="56"/>
      <c r="FI868" s="56"/>
      <c r="FJ868" s="56"/>
      <c r="FK868" s="56"/>
      <c r="FL868" s="56"/>
      <c r="FM868" s="56"/>
      <c r="FN868" s="56"/>
      <c r="FO868" s="56"/>
      <c r="FP868" s="56"/>
      <c r="FQ868" s="56"/>
      <c r="FR868" s="56"/>
      <c r="FS868" s="56"/>
      <c r="FT868" s="56"/>
      <c r="FU868" s="56"/>
      <c r="FV868" s="56"/>
      <c r="FW868" s="56"/>
      <c r="FX868" s="56"/>
      <c r="FY868" s="56"/>
      <c r="FZ868" s="56"/>
      <c r="GA868" s="56"/>
      <c r="GB868" s="56"/>
      <c r="GC868" s="56"/>
      <c r="GD868" s="56"/>
      <c r="GE868" s="56"/>
      <c r="GF868" s="56"/>
      <c r="GG868" s="56"/>
      <c r="GH868" s="56"/>
      <c r="GI868" s="56"/>
      <c r="GJ868" s="56"/>
      <c r="GK868" s="56"/>
      <c r="GL868" s="56"/>
      <c r="GM868" s="56"/>
      <c r="GN868" s="56"/>
      <c r="GO868" s="56"/>
      <c r="GP868" s="56"/>
      <c r="GQ868" s="56"/>
      <c r="GR868" s="56"/>
      <c r="GS868" s="56"/>
      <c r="GT868" s="56"/>
      <c r="GU868" s="56"/>
      <c r="GV868" s="56"/>
      <c r="GW868" s="56"/>
      <c r="GX868" s="56"/>
      <c r="GY868" s="56"/>
      <c r="GZ868" s="56"/>
      <c r="HA868" s="56"/>
      <c r="HB868" s="56"/>
      <c r="HC868" s="56"/>
      <c r="HD868" s="56"/>
      <c r="HE868" s="56"/>
      <c r="HF868" s="56"/>
      <c r="HG868" s="56"/>
      <c r="HH868" s="56"/>
      <c r="HI868" s="56"/>
      <c r="HJ868" s="56"/>
    </row>
    <row r="869" spans="1:218" ht="15.75" customHeight="1" x14ac:dyDescent="0.2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  <c r="BV869" s="56"/>
      <c r="BW869" s="56"/>
      <c r="BX869" s="56"/>
      <c r="BY869" s="56"/>
      <c r="BZ869" s="56"/>
      <c r="CA869" s="56"/>
      <c r="CB869" s="56"/>
      <c r="CC869" s="56"/>
      <c r="CD869" s="56"/>
      <c r="CE869" s="56"/>
      <c r="CF869" s="56"/>
      <c r="CG869" s="56"/>
      <c r="CH869" s="56"/>
      <c r="CI869" s="56"/>
      <c r="CJ869" s="56"/>
      <c r="CK869" s="56"/>
      <c r="CL869" s="56"/>
      <c r="CM869" s="56"/>
      <c r="CN869" s="56"/>
      <c r="CO869" s="56"/>
      <c r="CP869" s="56"/>
      <c r="CQ869" s="56"/>
      <c r="CR869" s="56"/>
      <c r="CS869" s="56"/>
      <c r="CT869" s="56"/>
      <c r="CU869" s="56"/>
      <c r="CV869" s="56"/>
      <c r="CW869" s="56"/>
      <c r="CX869" s="56"/>
      <c r="CY869" s="56"/>
      <c r="CZ869" s="56"/>
      <c r="DA869" s="56"/>
      <c r="DB869" s="56"/>
      <c r="DC869" s="56"/>
      <c r="DD869" s="56"/>
      <c r="DE869" s="56"/>
      <c r="DF869" s="56"/>
      <c r="DG869" s="56"/>
      <c r="DH869" s="56"/>
      <c r="DI869" s="56"/>
      <c r="DJ869" s="56"/>
      <c r="DK869" s="56"/>
      <c r="DL869" s="56"/>
      <c r="DM869" s="56"/>
      <c r="DN869" s="56"/>
      <c r="DO869" s="56"/>
      <c r="DP869" s="56"/>
      <c r="DQ869" s="56"/>
      <c r="DR869" s="56"/>
      <c r="DS869" s="56"/>
      <c r="DT869" s="56"/>
      <c r="DU869" s="56"/>
      <c r="DV869" s="56"/>
      <c r="DW869" s="56"/>
      <c r="DX869" s="56"/>
      <c r="DY869" s="56"/>
      <c r="DZ869" s="56"/>
      <c r="EA869" s="56"/>
      <c r="EB869" s="56"/>
      <c r="EC869" s="56"/>
      <c r="ED869" s="56"/>
      <c r="EE869" s="56"/>
      <c r="EF869" s="56"/>
      <c r="EG869" s="56"/>
      <c r="EH869" s="56"/>
      <c r="EI869" s="56"/>
      <c r="EJ869" s="56"/>
      <c r="EK869" s="56"/>
      <c r="EL869" s="56"/>
      <c r="EM869" s="56"/>
      <c r="EN869" s="56"/>
      <c r="EO869" s="56"/>
      <c r="EP869" s="56"/>
      <c r="EQ869" s="56"/>
      <c r="ER869" s="56"/>
      <c r="ES869" s="56"/>
      <c r="ET869" s="56"/>
      <c r="EU869" s="56"/>
      <c r="EV869" s="56"/>
      <c r="EW869" s="56"/>
      <c r="EX869" s="56"/>
      <c r="EY869" s="56"/>
      <c r="EZ869" s="56"/>
      <c r="FA869" s="56"/>
      <c r="FB869" s="56"/>
      <c r="FC869" s="56"/>
      <c r="FD869" s="56"/>
      <c r="FE869" s="56"/>
      <c r="FF869" s="56"/>
      <c r="FG869" s="56"/>
      <c r="FH869" s="56"/>
      <c r="FI869" s="56"/>
      <c r="FJ869" s="56"/>
      <c r="FK869" s="56"/>
      <c r="FL869" s="56"/>
      <c r="FM869" s="56"/>
      <c r="FN869" s="56"/>
      <c r="FO869" s="56"/>
      <c r="FP869" s="56"/>
      <c r="FQ869" s="56"/>
      <c r="FR869" s="56"/>
      <c r="FS869" s="56"/>
      <c r="FT869" s="56"/>
      <c r="FU869" s="56"/>
      <c r="FV869" s="56"/>
      <c r="FW869" s="56"/>
      <c r="FX869" s="56"/>
      <c r="FY869" s="56"/>
      <c r="FZ869" s="56"/>
      <c r="GA869" s="56"/>
      <c r="GB869" s="56"/>
      <c r="GC869" s="56"/>
      <c r="GD869" s="56"/>
      <c r="GE869" s="56"/>
      <c r="GF869" s="56"/>
      <c r="GG869" s="56"/>
      <c r="GH869" s="56"/>
      <c r="GI869" s="56"/>
      <c r="GJ869" s="56"/>
      <c r="GK869" s="56"/>
      <c r="GL869" s="56"/>
      <c r="GM869" s="56"/>
      <c r="GN869" s="56"/>
      <c r="GO869" s="56"/>
      <c r="GP869" s="56"/>
      <c r="GQ869" s="56"/>
      <c r="GR869" s="56"/>
      <c r="GS869" s="56"/>
      <c r="GT869" s="56"/>
      <c r="GU869" s="56"/>
      <c r="GV869" s="56"/>
      <c r="GW869" s="56"/>
      <c r="GX869" s="56"/>
      <c r="GY869" s="56"/>
      <c r="GZ869" s="56"/>
      <c r="HA869" s="56"/>
      <c r="HB869" s="56"/>
      <c r="HC869" s="56"/>
      <c r="HD869" s="56"/>
      <c r="HE869" s="56"/>
      <c r="HF869" s="56"/>
      <c r="HG869" s="56"/>
      <c r="HH869" s="56"/>
      <c r="HI869" s="56"/>
      <c r="HJ869" s="56"/>
    </row>
    <row r="870" spans="1:218" ht="15.75" customHeight="1" x14ac:dyDescent="0.2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  <c r="BV870" s="56"/>
      <c r="BW870" s="56"/>
      <c r="BX870" s="56"/>
      <c r="BY870" s="56"/>
      <c r="BZ870" s="56"/>
      <c r="CA870" s="56"/>
      <c r="CB870" s="56"/>
      <c r="CC870" s="56"/>
      <c r="CD870" s="56"/>
      <c r="CE870" s="56"/>
      <c r="CF870" s="56"/>
      <c r="CG870" s="56"/>
      <c r="CH870" s="56"/>
      <c r="CI870" s="56"/>
      <c r="CJ870" s="56"/>
      <c r="CK870" s="56"/>
      <c r="CL870" s="56"/>
      <c r="CM870" s="56"/>
      <c r="CN870" s="56"/>
      <c r="CO870" s="56"/>
      <c r="CP870" s="56"/>
      <c r="CQ870" s="56"/>
      <c r="CR870" s="56"/>
      <c r="CS870" s="56"/>
      <c r="CT870" s="56"/>
      <c r="CU870" s="56"/>
      <c r="CV870" s="56"/>
      <c r="CW870" s="56"/>
      <c r="CX870" s="56"/>
      <c r="CY870" s="56"/>
      <c r="CZ870" s="56"/>
      <c r="DA870" s="56"/>
      <c r="DB870" s="56"/>
      <c r="DC870" s="56"/>
      <c r="DD870" s="56"/>
      <c r="DE870" s="56"/>
      <c r="DF870" s="56"/>
      <c r="DG870" s="56"/>
      <c r="DH870" s="56"/>
      <c r="DI870" s="56"/>
      <c r="DJ870" s="56"/>
      <c r="DK870" s="56"/>
      <c r="DL870" s="56"/>
      <c r="DM870" s="56"/>
      <c r="DN870" s="56"/>
      <c r="DO870" s="56"/>
      <c r="DP870" s="56"/>
      <c r="DQ870" s="56"/>
      <c r="DR870" s="56"/>
      <c r="DS870" s="56"/>
      <c r="DT870" s="56"/>
      <c r="DU870" s="56"/>
      <c r="DV870" s="56"/>
      <c r="DW870" s="56"/>
      <c r="DX870" s="56"/>
      <c r="DY870" s="56"/>
      <c r="DZ870" s="56"/>
      <c r="EA870" s="56"/>
      <c r="EB870" s="56"/>
      <c r="EC870" s="56"/>
      <c r="ED870" s="56"/>
      <c r="EE870" s="56"/>
      <c r="EF870" s="56"/>
      <c r="EG870" s="56"/>
      <c r="EH870" s="56"/>
      <c r="EI870" s="56"/>
      <c r="EJ870" s="56"/>
      <c r="EK870" s="56"/>
      <c r="EL870" s="56"/>
      <c r="EM870" s="56"/>
      <c r="EN870" s="56"/>
      <c r="EO870" s="56"/>
      <c r="EP870" s="56"/>
      <c r="EQ870" s="56"/>
      <c r="ER870" s="56"/>
      <c r="ES870" s="56"/>
      <c r="ET870" s="56"/>
      <c r="EU870" s="56"/>
      <c r="EV870" s="56"/>
      <c r="EW870" s="56"/>
      <c r="EX870" s="56"/>
      <c r="EY870" s="56"/>
      <c r="EZ870" s="56"/>
      <c r="FA870" s="56"/>
      <c r="FB870" s="56"/>
      <c r="FC870" s="56"/>
      <c r="FD870" s="56"/>
      <c r="FE870" s="56"/>
      <c r="FF870" s="56"/>
      <c r="FG870" s="56"/>
      <c r="FH870" s="56"/>
      <c r="FI870" s="56"/>
      <c r="FJ870" s="56"/>
      <c r="FK870" s="56"/>
      <c r="FL870" s="56"/>
      <c r="FM870" s="56"/>
      <c r="FN870" s="56"/>
      <c r="FO870" s="56"/>
      <c r="FP870" s="56"/>
      <c r="FQ870" s="56"/>
      <c r="FR870" s="56"/>
      <c r="FS870" s="56"/>
      <c r="FT870" s="56"/>
      <c r="FU870" s="56"/>
      <c r="FV870" s="56"/>
      <c r="FW870" s="56"/>
      <c r="FX870" s="56"/>
      <c r="FY870" s="56"/>
      <c r="FZ870" s="56"/>
      <c r="GA870" s="56"/>
      <c r="GB870" s="56"/>
      <c r="GC870" s="56"/>
      <c r="GD870" s="56"/>
      <c r="GE870" s="56"/>
      <c r="GF870" s="56"/>
      <c r="GG870" s="56"/>
      <c r="GH870" s="56"/>
      <c r="GI870" s="56"/>
      <c r="GJ870" s="56"/>
      <c r="GK870" s="56"/>
      <c r="GL870" s="56"/>
      <c r="GM870" s="56"/>
      <c r="GN870" s="56"/>
      <c r="GO870" s="56"/>
      <c r="GP870" s="56"/>
      <c r="GQ870" s="56"/>
      <c r="GR870" s="56"/>
      <c r="GS870" s="56"/>
      <c r="GT870" s="56"/>
      <c r="GU870" s="56"/>
      <c r="GV870" s="56"/>
      <c r="GW870" s="56"/>
      <c r="GX870" s="56"/>
      <c r="GY870" s="56"/>
      <c r="GZ870" s="56"/>
      <c r="HA870" s="56"/>
      <c r="HB870" s="56"/>
      <c r="HC870" s="56"/>
      <c r="HD870" s="56"/>
      <c r="HE870" s="56"/>
      <c r="HF870" s="56"/>
      <c r="HG870" s="56"/>
      <c r="HH870" s="56"/>
      <c r="HI870" s="56"/>
      <c r="HJ870" s="56"/>
    </row>
    <row r="871" spans="1:218" ht="15.75" customHeight="1" x14ac:dyDescent="0.2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  <c r="BV871" s="56"/>
      <c r="BW871" s="56"/>
      <c r="BX871" s="56"/>
      <c r="BY871" s="56"/>
      <c r="BZ871" s="56"/>
      <c r="CA871" s="56"/>
      <c r="CB871" s="56"/>
      <c r="CC871" s="56"/>
      <c r="CD871" s="56"/>
      <c r="CE871" s="56"/>
      <c r="CF871" s="56"/>
      <c r="CG871" s="56"/>
      <c r="CH871" s="56"/>
      <c r="CI871" s="56"/>
      <c r="CJ871" s="56"/>
      <c r="CK871" s="56"/>
      <c r="CL871" s="56"/>
      <c r="CM871" s="56"/>
      <c r="CN871" s="56"/>
      <c r="CO871" s="56"/>
      <c r="CP871" s="56"/>
      <c r="CQ871" s="56"/>
      <c r="CR871" s="56"/>
      <c r="CS871" s="56"/>
      <c r="CT871" s="56"/>
      <c r="CU871" s="56"/>
      <c r="CV871" s="56"/>
      <c r="CW871" s="56"/>
      <c r="CX871" s="56"/>
      <c r="CY871" s="56"/>
      <c r="CZ871" s="56"/>
      <c r="DA871" s="56"/>
      <c r="DB871" s="56"/>
      <c r="DC871" s="56"/>
      <c r="DD871" s="56"/>
      <c r="DE871" s="56"/>
      <c r="DF871" s="56"/>
      <c r="DG871" s="56"/>
      <c r="DH871" s="56"/>
      <c r="DI871" s="56"/>
      <c r="DJ871" s="56"/>
      <c r="DK871" s="56"/>
      <c r="DL871" s="56"/>
      <c r="DM871" s="56"/>
      <c r="DN871" s="56"/>
      <c r="DO871" s="56"/>
      <c r="DP871" s="56"/>
      <c r="DQ871" s="56"/>
      <c r="DR871" s="56"/>
      <c r="DS871" s="56"/>
      <c r="DT871" s="56"/>
      <c r="DU871" s="56"/>
      <c r="DV871" s="56"/>
      <c r="DW871" s="56"/>
      <c r="DX871" s="56"/>
      <c r="DY871" s="56"/>
      <c r="DZ871" s="56"/>
      <c r="EA871" s="56"/>
      <c r="EB871" s="56"/>
      <c r="EC871" s="56"/>
      <c r="ED871" s="56"/>
      <c r="EE871" s="56"/>
      <c r="EF871" s="56"/>
      <c r="EG871" s="56"/>
      <c r="EH871" s="56"/>
      <c r="EI871" s="56"/>
      <c r="EJ871" s="56"/>
      <c r="EK871" s="56"/>
      <c r="EL871" s="56"/>
      <c r="EM871" s="56"/>
      <c r="EN871" s="56"/>
      <c r="EO871" s="56"/>
      <c r="EP871" s="56"/>
      <c r="EQ871" s="56"/>
      <c r="ER871" s="56"/>
      <c r="ES871" s="56"/>
      <c r="ET871" s="56"/>
      <c r="EU871" s="56"/>
      <c r="EV871" s="56"/>
      <c r="EW871" s="56"/>
      <c r="EX871" s="56"/>
      <c r="EY871" s="56"/>
      <c r="EZ871" s="56"/>
      <c r="FA871" s="56"/>
      <c r="FB871" s="56"/>
      <c r="FC871" s="56"/>
      <c r="FD871" s="56"/>
      <c r="FE871" s="56"/>
      <c r="FF871" s="56"/>
      <c r="FG871" s="56"/>
      <c r="FH871" s="56"/>
      <c r="FI871" s="56"/>
      <c r="FJ871" s="56"/>
      <c r="FK871" s="56"/>
      <c r="FL871" s="56"/>
      <c r="FM871" s="56"/>
      <c r="FN871" s="56"/>
      <c r="FO871" s="56"/>
      <c r="FP871" s="56"/>
      <c r="FQ871" s="56"/>
      <c r="FR871" s="56"/>
      <c r="FS871" s="56"/>
      <c r="FT871" s="56"/>
      <c r="FU871" s="56"/>
      <c r="FV871" s="56"/>
      <c r="FW871" s="56"/>
      <c r="FX871" s="56"/>
      <c r="FY871" s="56"/>
      <c r="FZ871" s="56"/>
      <c r="GA871" s="56"/>
      <c r="GB871" s="56"/>
      <c r="GC871" s="56"/>
      <c r="GD871" s="56"/>
      <c r="GE871" s="56"/>
      <c r="GF871" s="56"/>
      <c r="GG871" s="56"/>
      <c r="GH871" s="56"/>
      <c r="GI871" s="56"/>
      <c r="GJ871" s="56"/>
      <c r="GK871" s="56"/>
      <c r="GL871" s="56"/>
      <c r="GM871" s="56"/>
      <c r="GN871" s="56"/>
      <c r="GO871" s="56"/>
      <c r="GP871" s="56"/>
      <c r="GQ871" s="56"/>
      <c r="GR871" s="56"/>
      <c r="GS871" s="56"/>
      <c r="GT871" s="56"/>
      <c r="GU871" s="56"/>
      <c r="GV871" s="56"/>
      <c r="GW871" s="56"/>
      <c r="GX871" s="56"/>
      <c r="GY871" s="56"/>
      <c r="GZ871" s="56"/>
      <c r="HA871" s="56"/>
      <c r="HB871" s="56"/>
      <c r="HC871" s="56"/>
      <c r="HD871" s="56"/>
      <c r="HE871" s="56"/>
      <c r="HF871" s="56"/>
      <c r="HG871" s="56"/>
      <c r="HH871" s="56"/>
      <c r="HI871" s="56"/>
      <c r="HJ871" s="56"/>
    </row>
    <row r="872" spans="1:218" ht="15.75" customHeight="1" x14ac:dyDescent="0.2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6"/>
      <c r="CA872" s="56"/>
      <c r="CB872" s="56"/>
      <c r="CC872" s="56"/>
      <c r="CD872" s="56"/>
      <c r="CE872" s="56"/>
      <c r="CF872" s="56"/>
      <c r="CG872" s="56"/>
      <c r="CH872" s="56"/>
      <c r="CI872" s="56"/>
      <c r="CJ872" s="56"/>
      <c r="CK872" s="56"/>
      <c r="CL872" s="56"/>
      <c r="CM872" s="56"/>
      <c r="CN872" s="56"/>
      <c r="CO872" s="56"/>
      <c r="CP872" s="56"/>
      <c r="CQ872" s="56"/>
      <c r="CR872" s="56"/>
      <c r="CS872" s="56"/>
      <c r="CT872" s="56"/>
      <c r="CU872" s="56"/>
      <c r="CV872" s="56"/>
      <c r="CW872" s="56"/>
      <c r="CX872" s="56"/>
      <c r="CY872" s="56"/>
      <c r="CZ872" s="56"/>
      <c r="DA872" s="56"/>
      <c r="DB872" s="56"/>
      <c r="DC872" s="56"/>
      <c r="DD872" s="56"/>
      <c r="DE872" s="56"/>
      <c r="DF872" s="56"/>
      <c r="DG872" s="56"/>
      <c r="DH872" s="56"/>
      <c r="DI872" s="56"/>
      <c r="DJ872" s="56"/>
      <c r="DK872" s="56"/>
      <c r="DL872" s="56"/>
      <c r="DM872" s="56"/>
      <c r="DN872" s="56"/>
      <c r="DO872" s="56"/>
      <c r="DP872" s="56"/>
      <c r="DQ872" s="56"/>
      <c r="DR872" s="56"/>
      <c r="DS872" s="56"/>
      <c r="DT872" s="56"/>
      <c r="DU872" s="56"/>
      <c r="DV872" s="56"/>
      <c r="DW872" s="56"/>
      <c r="DX872" s="56"/>
      <c r="DY872" s="56"/>
      <c r="DZ872" s="56"/>
      <c r="EA872" s="56"/>
      <c r="EB872" s="56"/>
      <c r="EC872" s="56"/>
      <c r="ED872" s="56"/>
      <c r="EE872" s="56"/>
      <c r="EF872" s="56"/>
      <c r="EG872" s="56"/>
      <c r="EH872" s="56"/>
      <c r="EI872" s="56"/>
      <c r="EJ872" s="56"/>
      <c r="EK872" s="56"/>
      <c r="EL872" s="56"/>
      <c r="EM872" s="56"/>
      <c r="EN872" s="56"/>
      <c r="EO872" s="56"/>
      <c r="EP872" s="56"/>
      <c r="EQ872" s="56"/>
      <c r="ER872" s="56"/>
      <c r="ES872" s="56"/>
      <c r="ET872" s="56"/>
      <c r="EU872" s="56"/>
      <c r="EV872" s="56"/>
      <c r="EW872" s="56"/>
      <c r="EX872" s="56"/>
      <c r="EY872" s="56"/>
      <c r="EZ872" s="56"/>
      <c r="FA872" s="56"/>
      <c r="FB872" s="56"/>
      <c r="FC872" s="56"/>
      <c r="FD872" s="56"/>
      <c r="FE872" s="56"/>
      <c r="FF872" s="56"/>
      <c r="FG872" s="56"/>
      <c r="FH872" s="56"/>
      <c r="FI872" s="56"/>
      <c r="FJ872" s="56"/>
      <c r="FK872" s="56"/>
      <c r="FL872" s="56"/>
      <c r="FM872" s="56"/>
      <c r="FN872" s="56"/>
      <c r="FO872" s="56"/>
      <c r="FP872" s="56"/>
      <c r="FQ872" s="56"/>
      <c r="FR872" s="56"/>
      <c r="FS872" s="56"/>
      <c r="FT872" s="56"/>
      <c r="FU872" s="56"/>
      <c r="FV872" s="56"/>
      <c r="FW872" s="56"/>
      <c r="FX872" s="56"/>
      <c r="FY872" s="56"/>
      <c r="FZ872" s="56"/>
      <c r="GA872" s="56"/>
      <c r="GB872" s="56"/>
      <c r="GC872" s="56"/>
      <c r="GD872" s="56"/>
      <c r="GE872" s="56"/>
      <c r="GF872" s="56"/>
      <c r="GG872" s="56"/>
      <c r="GH872" s="56"/>
      <c r="GI872" s="56"/>
      <c r="GJ872" s="56"/>
      <c r="GK872" s="56"/>
      <c r="GL872" s="56"/>
      <c r="GM872" s="56"/>
      <c r="GN872" s="56"/>
      <c r="GO872" s="56"/>
      <c r="GP872" s="56"/>
      <c r="GQ872" s="56"/>
      <c r="GR872" s="56"/>
      <c r="GS872" s="56"/>
      <c r="GT872" s="56"/>
      <c r="GU872" s="56"/>
      <c r="GV872" s="56"/>
      <c r="GW872" s="56"/>
      <c r="GX872" s="56"/>
      <c r="GY872" s="56"/>
      <c r="GZ872" s="56"/>
      <c r="HA872" s="56"/>
      <c r="HB872" s="56"/>
      <c r="HC872" s="56"/>
      <c r="HD872" s="56"/>
      <c r="HE872" s="56"/>
      <c r="HF872" s="56"/>
      <c r="HG872" s="56"/>
      <c r="HH872" s="56"/>
      <c r="HI872" s="56"/>
      <c r="HJ872" s="56"/>
    </row>
    <row r="873" spans="1:218" ht="15.75" customHeight="1" x14ac:dyDescent="0.2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  <c r="BV873" s="56"/>
      <c r="BW873" s="56"/>
      <c r="BX873" s="56"/>
      <c r="BY873" s="56"/>
      <c r="BZ873" s="56"/>
      <c r="CA873" s="56"/>
      <c r="CB873" s="56"/>
      <c r="CC873" s="56"/>
      <c r="CD873" s="56"/>
      <c r="CE873" s="56"/>
      <c r="CF873" s="56"/>
      <c r="CG873" s="56"/>
      <c r="CH873" s="56"/>
      <c r="CI873" s="56"/>
      <c r="CJ873" s="56"/>
      <c r="CK873" s="56"/>
      <c r="CL873" s="56"/>
      <c r="CM873" s="56"/>
      <c r="CN873" s="56"/>
      <c r="CO873" s="56"/>
      <c r="CP873" s="56"/>
      <c r="CQ873" s="56"/>
      <c r="CR873" s="56"/>
      <c r="CS873" s="56"/>
      <c r="CT873" s="56"/>
      <c r="CU873" s="56"/>
      <c r="CV873" s="56"/>
      <c r="CW873" s="56"/>
      <c r="CX873" s="56"/>
      <c r="CY873" s="56"/>
      <c r="CZ873" s="56"/>
      <c r="DA873" s="56"/>
      <c r="DB873" s="56"/>
      <c r="DC873" s="56"/>
      <c r="DD873" s="56"/>
      <c r="DE873" s="56"/>
      <c r="DF873" s="56"/>
      <c r="DG873" s="56"/>
      <c r="DH873" s="56"/>
      <c r="DI873" s="56"/>
      <c r="DJ873" s="56"/>
      <c r="DK873" s="56"/>
      <c r="DL873" s="56"/>
      <c r="DM873" s="56"/>
      <c r="DN873" s="56"/>
      <c r="DO873" s="56"/>
      <c r="DP873" s="56"/>
      <c r="DQ873" s="56"/>
      <c r="DR873" s="56"/>
      <c r="DS873" s="56"/>
      <c r="DT873" s="56"/>
      <c r="DU873" s="56"/>
      <c r="DV873" s="56"/>
      <c r="DW873" s="56"/>
      <c r="DX873" s="56"/>
      <c r="DY873" s="56"/>
      <c r="DZ873" s="56"/>
      <c r="EA873" s="56"/>
      <c r="EB873" s="56"/>
      <c r="EC873" s="56"/>
      <c r="ED873" s="56"/>
      <c r="EE873" s="56"/>
      <c r="EF873" s="56"/>
      <c r="EG873" s="56"/>
      <c r="EH873" s="56"/>
      <c r="EI873" s="56"/>
      <c r="EJ873" s="56"/>
      <c r="EK873" s="56"/>
      <c r="EL873" s="56"/>
      <c r="EM873" s="56"/>
      <c r="EN873" s="56"/>
      <c r="EO873" s="56"/>
      <c r="EP873" s="56"/>
      <c r="EQ873" s="56"/>
      <c r="ER873" s="56"/>
      <c r="ES873" s="56"/>
      <c r="ET873" s="56"/>
      <c r="EU873" s="56"/>
      <c r="EV873" s="56"/>
      <c r="EW873" s="56"/>
      <c r="EX873" s="56"/>
      <c r="EY873" s="56"/>
      <c r="EZ873" s="56"/>
      <c r="FA873" s="56"/>
      <c r="FB873" s="56"/>
      <c r="FC873" s="56"/>
      <c r="FD873" s="56"/>
      <c r="FE873" s="56"/>
      <c r="FF873" s="56"/>
      <c r="FG873" s="56"/>
      <c r="FH873" s="56"/>
      <c r="FI873" s="56"/>
      <c r="FJ873" s="56"/>
      <c r="FK873" s="56"/>
      <c r="FL873" s="56"/>
      <c r="FM873" s="56"/>
      <c r="FN873" s="56"/>
      <c r="FO873" s="56"/>
      <c r="FP873" s="56"/>
      <c r="FQ873" s="56"/>
      <c r="FR873" s="56"/>
      <c r="FS873" s="56"/>
      <c r="FT873" s="56"/>
      <c r="FU873" s="56"/>
      <c r="FV873" s="56"/>
      <c r="FW873" s="56"/>
      <c r="FX873" s="56"/>
      <c r="FY873" s="56"/>
      <c r="FZ873" s="56"/>
      <c r="GA873" s="56"/>
      <c r="GB873" s="56"/>
      <c r="GC873" s="56"/>
      <c r="GD873" s="56"/>
      <c r="GE873" s="56"/>
      <c r="GF873" s="56"/>
      <c r="GG873" s="56"/>
      <c r="GH873" s="56"/>
      <c r="GI873" s="56"/>
      <c r="GJ873" s="56"/>
      <c r="GK873" s="56"/>
      <c r="GL873" s="56"/>
      <c r="GM873" s="56"/>
      <c r="GN873" s="56"/>
      <c r="GO873" s="56"/>
      <c r="GP873" s="56"/>
      <c r="GQ873" s="56"/>
      <c r="GR873" s="56"/>
      <c r="GS873" s="56"/>
      <c r="GT873" s="56"/>
      <c r="GU873" s="56"/>
      <c r="GV873" s="56"/>
      <c r="GW873" s="56"/>
      <c r="GX873" s="56"/>
      <c r="GY873" s="56"/>
      <c r="GZ873" s="56"/>
      <c r="HA873" s="56"/>
      <c r="HB873" s="56"/>
      <c r="HC873" s="56"/>
      <c r="HD873" s="56"/>
      <c r="HE873" s="56"/>
      <c r="HF873" s="56"/>
      <c r="HG873" s="56"/>
      <c r="HH873" s="56"/>
      <c r="HI873" s="56"/>
      <c r="HJ873" s="56"/>
    </row>
    <row r="874" spans="1:218" ht="15.75" customHeight="1" x14ac:dyDescent="0.2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  <c r="BV874" s="56"/>
      <c r="BW874" s="56"/>
      <c r="BX874" s="56"/>
      <c r="BY874" s="56"/>
      <c r="BZ874" s="56"/>
      <c r="CA874" s="56"/>
      <c r="CB874" s="56"/>
      <c r="CC874" s="56"/>
      <c r="CD874" s="56"/>
      <c r="CE874" s="56"/>
      <c r="CF874" s="56"/>
      <c r="CG874" s="56"/>
      <c r="CH874" s="56"/>
      <c r="CI874" s="56"/>
      <c r="CJ874" s="56"/>
      <c r="CK874" s="56"/>
      <c r="CL874" s="56"/>
      <c r="CM874" s="56"/>
      <c r="CN874" s="56"/>
      <c r="CO874" s="56"/>
      <c r="CP874" s="56"/>
      <c r="CQ874" s="56"/>
      <c r="CR874" s="56"/>
      <c r="CS874" s="56"/>
      <c r="CT874" s="56"/>
      <c r="CU874" s="56"/>
      <c r="CV874" s="56"/>
      <c r="CW874" s="56"/>
      <c r="CX874" s="56"/>
      <c r="CY874" s="56"/>
      <c r="CZ874" s="56"/>
      <c r="DA874" s="56"/>
      <c r="DB874" s="56"/>
      <c r="DC874" s="56"/>
      <c r="DD874" s="56"/>
      <c r="DE874" s="56"/>
      <c r="DF874" s="56"/>
      <c r="DG874" s="56"/>
      <c r="DH874" s="56"/>
      <c r="DI874" s="56"/>
      <c r="DJ874" s="56"/>
      <c r="DK874" s="56"/>
      <c r="DL874" s="56"/>
      <c r="DM874" s="56"/>
      <c r="DN874" s="56"/>
      <c r="DO874" s="56"/>
      <c r="DP874" s="56"/>
      <c r="DQ874" s="56"/>
      <c r="DR874" s="56"/>
      <c r="DS874" s="56"/>
      <c r="DT874" s="56"/>
      <c r="DU874" s="56"/>
      <c r="DV874" s="56"/>
      <c r="DW874" s="56"/>
      <c r="DX874" s="56"/>
      <c r="DY874" s="56"/>
      <c r="DZ874" s="56"/>
      <c r="EA874" s="56"/>
      <c r="EB874" s="56"/>
      <c r="EC874" s="56"/>
      <c r="ED874" s="56"/>
      <c r="EE874" s="56"/>
      <c r="EF874" s="56"/>
      <c r="EG874" s="56"/>
      <c r="EH874" s="56"/>
      <c r="EI874" s="56"/>
      <c r="EJ874" s="56"/>
      <c r="EK874" s="56"/>
      <c r="EL874" s="56"/>
      <c r="EM874" s="56"/>
      <c r="EN874" s="56"/>
      <c r="EO874" s="56"/>
      <c r="EP874" s="56"/>
      <c r="EQ874" s="56"/>
      <c r="ER874" s="56"/>
      <c r="ES874" s="56"/>
      <c r="ET874" s="56"/>
      <c r="EU874" s="56"/>
      <c r="EV874" s="56"/>
      <c r="EW874" s="56"/>
      <c r="EX874" s="56"/>
      <c r="EY874" s="56"/>
      <c r="EZ874" s="56"/>
      <c r="FA874" s="56"/>
      <c r="FB874" s="56"/>
      <c r="FC874" s="56"/>
      <c r="FD874" s="56"/>
      <c r="FE874" s="56"/>
      <c r="FF874" s="56"/>
      <c r="FG874" s="56"/>
      <c r="FH874" s="56"/>
      <c r="FI874" s="56"/>
      <c r="FJ874" s="56"/>
      <c r="FK874" s="56"/>
      <c r="FL874" s="56"/>
      <c r="FM874" s="56"/>
      <c r="FN874" s="56"/>
      <c r="FO874" s="56"/>
      <c r="FP874" s="56"/>
      <c r="FQ874" s="56"/>
      <c r="FR874" s="56"/>
      <c r="FS874" s="56"/>
      <c r="FT874" s="56"/>
      <c r="FU874" s="56"/>
      <c r="FV874" s="56"/>
      <c r="FW874" s="56"/>
      <c r="FX874" s="56"/>
      <c r="FY874" s="56"/>
      <c r="FZ874" s="56"/>
      <c r="GA874" s="56"/>
      <c r="GB874" s="56"/>
      <c r="GC874" s="56"/>
      <c r="GD874" s="56"/>
      <c r="GE874" s="56"/>
      <c r="GF874" s="56"/>
      <c r="GG874" s="56"/>
      <c r="GH874" s="56"/>
      <c r="GI874" s="56"/>
      <c r="GJ874" s="56"/>
      <c r="GK874" s="56"/>
      <c r="GL874" s="56"/>
      <c r="GM874" s="56"/>
      <c r="GN874" s="56"/>
      <c r="GO874" s="56"/>
      <c r="GP874" s="56"/>
      <c r="GQ874" s="56"/>
      <c r="GR874" s="56"/>
      <c r="GS874" s="56"/>
      <c r="GT874" s="56"/>
      <c r="GU874" s="56"/>
      <c r="GV874" s="56"/>
      <c r="GW874" s="56"/>
      <c r="GX874" s="56"/>
      <c r="GY874" s="56"/>
      <c r="GZ874" s="56"/>
      <c r="HA874" s="56"/>
      <c r="HB874" s="56"/>
      <c r="HC874" s="56"/>
      <c r="HD874" s="56"/>
      <c r="HE874" s="56"/>
      <c r="HF874" s="56"/>
      <c r="HG874" s="56"/>
      <c r="HH874" s="56"/>
      <c r="HI874" s="56"/>
      <c r="HJ874" s="56"/>
    </row>
    <row r="875" spans="1:218" ht="15.75" customHeight="1" x14ac:dyDescent="0.2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  <c r="CL875" s="56"/>
      <c r="CM875" s="56"/>
      <c r="CN875" s="56"/>
      <c r="CO875" s="56"/>
      <c r="CP875" s="56"/>
      <c r="CQ875" s="56"/>
      <c r="CR875" s="56"/>
      <c r="CS875" s="56"/>
      <c r="CT875" s="56"/>
      <c r="CU875" s="56"/>
      <c r="CV875" s="56"/>
      <c r="CW875" s="56"/>
      <c r="CX875" s="56"/>
      <c r="CY875" s="56"/>
      <c r="CZ875" s="56"/>
      <c r="DA875" s="56"/>
      <c r="DB875" s="56"/>
      <c r="DC875" s="56"/>
      <c r="DD875" s="56"/>
      <c r="DE875" s="56"/>
      <c r="DF875" s="56"/>
      <c r="DG875" s="56"/>
      <c r="DH875" s="56"/>
      <c r="DI875" s="56"/>
      <c r="DJ875" s="56"/>
      <c r="DK875" s="56"/>
      <c r="DL875" s="56"/>
      <c r="DM875" s="56"/>
      <c r="DN875" s="56"/>
      <c r="DO875" s="56"/>
      <c r="DP875" s="56"/>
      <c r="DQ875" s="56"/>
      <c r="DR875" s="56"/>
      <c r="DS875" s="56"/>
      <c r="DT875" s="56"/>
      <c r="DU875" s="56"/>
      <c r="DV875" s="56"/>
      <c r="DW875" s="56"/>
      <c r="DX875" s="56"/>
      <c r="DY875" s="56"/>
      <c r="DZ875" s="56"/>
      <c r="EA875" s="56"/>
      <c r="EB875" s="56"/>
      <c r="EC875" s="56"/>
      <c r="ED875" s="56"/>
      <c r="EE875" s="56"/>
      <c r="EF875" s="56"/>
      <c r="EG875" s="56"/>
      <c r="EH875" s="56"/>
      <c r="EI875" s="56"/>
      <c r="EJ875" s="56"/>
      <c r="EK875" s="56"/>
      <c r="EL875" s="56"/>
      <c r="EM875" s="56"/>
      <c r="EN875" s="56"/>
      <c r="EO875" s="56"/>
      <c r="EP875" s="56"/>
      <c r="EQ875" s="56"/>
      <c r="ER875" s="56"/>
      <c r="ES875" s="56"/>
      <c r="ET875" s="56"/>
      <c r="EU875" s="56"/>
      <c r="EV875" s="56"/>
      <c r="EW875" s="56"/>
      <c r="EX875" s="56"/>
      <c r="EY875" s="56"/>
      <c r="EZ875" s="56"/>
      <c r="FA875" s="56"/>
      <c r="FB875" s="56"/>
      <c r="FC875" s="56"/>
      <c r="FD875" s="56"/>
      <c r="FE875" s="56"/>
      <c r="FF875" s="56"/>
      <c r="FG875" s="56"/>
      <c r="FH875" s="56"/>
      <c r="FI875" s="56"/>
      <c r="FJ875" s="56"/>
      <c r="FK875" s="56"/>
      <c r="FL875" s="56"/>
      <c r="FM875" s="56"/>
      <c r="FN875" s="56"/>
      <c r="FO875" s="56"/>
      <c r="FP875" s="56"/>
      <c r="FQ875" s="56"/>
      <c r="FR875" s="56"/>
      <c r="FS875" s="56"/>
      <c r="FT875" s="56"/>
      <c r="FU875" s="56"/>
      <c r="FV875" s="56"/>
      <c r="FW875" s="56"/>
      <c r="FX875" s="56"/>
      <c r="FY875" s="56"/>
      <c r="FZ875" s="56"/>
      <c r="GA875" s="56"/>
      <c r="GB875" s="56"/>
      <c r="GC875" s="56"/>
      <c r="GD875" s="56"/>
      <c r="GE875" s="56"/>
      <c r="GF875" s="56"/>
      <c r="GG875" s="56"/>
      <c r="GH875" s="56"/>
      <c r="GI875" s="56"/>
      <c r="GJ875" s="56"/>
      <c r="GK875" s="56"/>
      <c r="GL875" s="56"/>
      <c r="GM875" s="56"/>
      <c r="GN875" s="56"/>
      <c r="GO875" s="56"/>
      <c r="GP875" s="56"/>
      <c r="GQ875" s="56"/>
      <c r="GR875" s="56"/>
      <c r="GS875" s="56"/>
      <c r="GT875" s="56"/>
      <c r="GU875" s="56"/>
      <c r="GV875" s="56"/>
      <c r="GW875" s="56"/>
      <c r="GX875" s="56"/>
      <c r="GY875" s="56"/>
      <c r="GZ875" s="56"/>
      <c r="HA875" s="56"/>
      <c r="HB875" s="56"/>
      <c r="HC875" s="56"/>
      <c r="HD875" s="56"/>
      <c r="HE875" s="56"/>
      <c r="HF875" s="56"/>
      <c r="HG875" s="56"/>
      <c r="HH875" s="56"/>
      <c r="HI875" s="56"/>
      <c r="HJ875" s="56"/>
    </row>
    <row r="876" spans="1:218" ht="15.75" customHeight="1" x14ac:dyDescent="0.2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  <c r="CL876" s="56"/>
      <c r="CM876" s="56"/>
      <c r="CN876" s="56"/>
      <c r="CO876" s="56"/>
      <c r="CP876" s="56"/>
      <c r="CQ876" s="56"/>
      <c r="CR876" s="56"/>
      <c r="CS876" s="56"/>
      <c r="CT876" s="56"/>
      <c r="CU876" s="56"/>
      <c r="CV876" s="56"/>
      <c r="CW876" s="56"/>
      <c r="CX876" s="56"/>
      <c r="CY876" s="56"/>
      <c r="CZ876" s="56"/>
      <c r="DA876" s="56"/>
      <c r="DB876" s="56"/>
      <c r="DC876" s="56"/>
      <c r="DD876" s="56"/>
      <c r="DE876" s="56"/>
      <c r="DF876" s="56"/>
      <c r="DG876" s="56"/>
      <c r="DH876" s="56"/>
      <c r="DI876" s="56"/>
      <c r="DJ876" s="56"/>
      <c r="DK876" s="56"/>
      <c r="DL876" s="56"/>
      <c r="DM876" s="56"/>
      <c r="DN876" s="56"/>
      <c r="DO876" s="56"/>
      <c r="DP876" s="56"/>
      <c r="DQ876" s="56"/>
      <c r="DR876" s="56"/>
      <c r="DS876" s="56"/>
      <c r="DT876" s="56"/>
      <c r="DU876" s="56"/>
      <c r="DV876" s="56"/>
      <c r="DW876" s="56"/>
      <c r="DX876" s="56"/>
      <c r="DY876" s="56"/>
      <c r="DZ876" s="56"/>
      <c r="EA876" s="56"/>
      <c r="EB876" s="56"/>
      <c r="EC876" s="56"/>
      <c r="ED876" s="56"/>
      <c r="EE876" s="56"/>
      <c r="EF876" s="56"/>
      <c r="EG876" s="56"/>
      <c r="EH876" s="56"/>
      <c r="EI876" s="56"/>
      <c r="EJ876" s="56"/>
      <c r="EK876" s="56"/>
      <c r="EL876" s="56"/>
      <c r="EM876" s="56"/>
      <c r="EN876" s="56"/>
      <c r="EO876" s="56"/>
      <c r="EP876" s="56"/>
      <c r="EQ876" s="56"/>
      <c r="ER876" s="56"/>
      <c r="ES876" s="56"/>
      <c r="ET876" s="56"/>
      <c r="EU876" s="56"/>
      <c r="EV876" s="56"/>
      <c r="EW876" s="56"/>
      <c r="EX876" s="56"/>
      <c r="EY876" s="56"/>
      <c r="EZ876" s="56"/>
      <c r="FA876" s="56"/>
      <c r="FB876" s="56"/>
      <c r="FC876" s="56"/>
      <c r="FD876" s="56"/>
      <c r="FE876" s="56"/>
      <c r="FF876" s="56"/>
      <c r="FG876" s="56"/>
      <c r="FH876" s="56"/>
      <c r="FI876" s="56"/>
      <c r="FJ876" s="56"/>
      <c r="FK876" s="56"/>
      <c r="FL876" s="56"/>
      <c r="FM876" s="56"/>
      <c r="FN876" s="56"/>
      <c r="FO876" s="56"/>
      <c r="FP876" s="56"/>
      <c r="FQ876" s="56"/>
      <c r="FR876" s="56"/>
      <c r="FS876" s="56"/>
      <c r="FT876" s="56"/>
      <c r="FU876" s="56"/>
      <c r="FV876" s="56"/>
      <c r="FW876" s="56"/>
      <c r="FX876" s="56"/>
      <c r="FY876" s="56"/>
      <c r="FZ876" s="56"/>
      <c r="GA876" s="56"/>
      <c r="GB876" s="56"/>
      <c r="GC876" s="56"/>
      <c r="GD876" s="56"/>
      <c r="GE876" s="56"/>
      <c r="GF876" s="56"/>
      <c r="GG876" s="56"/>
      <c r="GH876" s="56"/>
      <c r="GI876" s="56"/>
      <c r="GJ876" s="56"/>
      <c r="GK876" s="56"/>
      <c r="GL876" s="56"/>
      <c r="GM876" s="56"/>
      <c r="GN876" s="56"/>
      <c r="GO876" s="56"/>
      <c r="GP876" s="56"/>
      <c r="GQ876" s="56"/>
      <c r="GR876" s="56"/>
      <c r="GS876" s="56"/>
      <c r="GT876" s="56"/>
      <c r="GU876" s="56"/>
      <c r="GV876" s="56"/>
      <c r="GW876" s="56"/>
      <c r="GX876" s="56"/>
      <c r="GY876" s="56"/>
      <c r="GZ876" s="56"/>
      <c r="HA876" s="56"/>
      <c r="HB876" s="56"/>
      <c r="HC876" s="56"/>
      <c r="HD876" s="56"/>
      <c r="HE876" s="56"/>
      <c r="HF876" s="56"/>
      <c r="HG876" s="56"/>
      <c r="HH876" s="56"/>
      <c r="HI876" s="56"/>
      <c r="HJ876" s="56"/>
    </row>
    <row r="877" spans="1:218" ht="15.75" customHeight="1" x14ac:dyDescent="0.2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  <c r="BV877" s="56"/>
      <c r="BW877" s="56"/>
      <c r="BX877" s="56"/>
      <c r="BY877" s="56"/>
      <c r="BZ877" s="56"/>
      <c r="CA877" s="56"/>
      <c r="CB877" s="56"/>
      <c r="CC877" s="56"/>
      <c r="CD877" s="56"/>
      <c r="CE877" s="56"/>
      <c r="CF877" s="56"/>
      <c r="CG877" s="56"/>
      <c r="CH877" s="56"/>
      <c r="CI877" s="56"/>
      <c r="CJ877" s="56"/>
      <c r="CK877" s="56"/>
      <c r="CL877" s="56"/>
      <c r="CM877" s="56"/>
      <c r="CN877" s="56"/>
      <c r="CO877" s="56"/>
      <c r="CP877" s="56"/>
      <c r="CQ877" s="56"/>
      <c r="CR877" s="56"/>
      <c r="CS877" s="56"/>
      <c r="CT877" s="56"/>
      <c r="CU877" s="56"/>
      <c r="CV877" s="56"/>
      <c r="CW877" s="56"/>
      <c r="CX877" s="56"/>
      <c r="CY877" s="56"/>
      <c r="CZ877" s="56"/>
      <c r="DA877" s="56"/>
      <c r="DB877" s="56"/>
      <c r="DC877" s="56"/>
      <c r="DD877" s="56"/>
      <c r="DE877" s="56"/>
      <c r="DF877" s="56"/>
      <c r="DG877" s="56"/>
      <c r="DH877" s="56"/>
      <c r="DI877" s="56"/>
      <c r="DJ877" s="56"/>
      <c r="DK877" s="56"/>
      <c r="DL877" s="56"/>
      <c r="DM877" s="56"/>
      <c r="DN877" s="56"/>
      <c r="DO877" s="56"/>
      <c r="DP877" s="56"/>
      <c r="DQ877" s="56"/>
      <c r="DR877" s="56"/>
      <c r="DS877" s="56"/>
      <c r="DT877" s="56"/>
      <c r="DU877" s="56"/>
      <c r="DV877" s="56"/>
      <c r="DW877" s="56"/>
      <c r="DX877" s="56"/>
      <c r="DY877" s="56"/>
      <c r="DZ877" s="56"/>
      <c r="EA877" s="56"/>
      <c r="EB877" s="56"/>
      <c r="EC877" s="56"/>
      <c r="ED877" s="56"/>
      <c r="EE877" s="56"/>
      <c r="EF877" s="56"/>
      <c r="EG877" s="56"/>
      <c r="EH877" s="56"/>
      <c r="EI877" s="56"/>
      <c r="EJ877" s="56"/>
      <c r="EK877" s="56"/>
      <c r="EL877" s="56"/>
      <c r="EM877" s="56"/>
      <c r="EN877" s="56"/>
      <c r="EO877" s="56"/>
      <c r="EP877" s="56"/>
      <c r="EQ877" s="56"/>
      <c r="ER877" s="56"/>
      <c r="ES877" s="56"/>
      <c r="ET877" s="56"/>
      <c r="EU877" s="56"/>
      <c r="EV877" s="56"/>
      <c r="EW877" s="56"/>
      <c r="EX877" s="56"/>
      <c r="EY877" s="56"/>
      <c r="EZ877" s="56"/>
      <c r="FA877" s="56"/>
      <c r="FB877" s="56"/>
      <c r="FC877" s="56"/>
      <c r="FD877" s="56"/>
      <c r="FE877" s="56"/>
      <c r="FF877" s="56"/>
      <c r="FG877" s="56"/>
      <c r="FH877" s="56"/>
      <c r="FI877" s="56"/>
      <c r="FJ877" s="56"/>
      <c r="FK877" s="56"/>
      <c r="FL877" s="56"/>
      <c r="FM877" s="56"/>
      <c r="FN877" s="56"/>
      <c r="FO877" s="56"/>
      <c r="FP877" s="56"/>
      <c r="FQ877" s="56"/>
      <c r="FR877" s="56"/>
      <c r="FS877" s="56"/>
      <c r="FT877" s="56"/>
      <c r="FU877" s="56"/>
      <c r="FV877" s="56"/>
      <c r="FW877" s="56"/>
      <c r="FX877" s="56"/>
      <c r="FY877" s="56"/>
      <c r="FZ877" s="56"/>
      <c r="GA877" s="56"/>
      <c r="GB877" s="56"/>
      <c r="GC877" s="56"/>
      <c r="GD877" s="56"/>
      <c r="GE877" s="56"/>
      <c r="GF877" s="56"/>
      <c r="GG877" s="56"/>
      <c r="GH877" s="56"/>
      <c r="GI877" s="56"/>
      <c r="GJ877" s="56"/>
      <c r="GK877" s="56"/>
      <c r="GL877" s="56"/>
      <c r="GM877" s="56"/>
      <c r="GN877" s="56"/>
      <c r="GO877" s="56"/>
      <c r="GP877" s="56"/>
      <c r="GQ877" s="56"/>
      <c r="GR877" s="56"/>
      <c r="GS877" s="56"/>
      <c r="GT877" s="56"/>
      <c r="GU877" s="56"/>
      <c r="GV877" s="56"/>
      <c r="GW877" s="56"/>
      <c r="GX877" s="56"/>
      <c r="GY877" s="56"/>
      <c r="GZ877" s="56"/>
      <c r="HA877" s="56"/>
      <c r="HB877" s="56"/>
      <c r="HC877" s="56"/>
      <c r="HD877" s="56"/>
      <c r="HE877" s="56"/>
      <c r="HF877" s="56"/>
      <c r="HG877" s="56"/>
      <c r="HH877" s="56"/>
      <c r="HI877" s="56"/>
      <c r="HJ877" s="56"/>
    </row>
    <row r="878" spans="1:218" ht="15.75" customHeight="1" x14ac:dyDescent="0.2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  <c r="BV878" s="56"/>
      <c r="BW878" s="56"/>
      <c r="BX878" s="56"/>
      <c r="BY878" s="56"/>
      <c r="BZ878" s="56"/>
      <c r="CA878" s="56"/>
      <c r="CB878" s="56"/>
      <c r="CC878" s="56"/>
      <c r="CD878" s="56"/>
      <c r="CE878" s="56"/>
      <c r="CF878" s="56"/>
      <c r="CG878" s="56"/>
      <c r="CH878" s="56"/>
      <c r="CI878" s="56"/>
      <c r="CJ878" s="56"/>
      <c r="CK878" s="56"/>
      <c r="CL878" s="56"/>
      <c r="CM878" s="56"/>
      <c r="CN878" s="56"/>
      <c r="CO878" s="56"/>
      <c r="CP878" s="56"/>
      <c r="CQ878" s="56"/>
      <c r="CR878" s="56"/>
      <c r="CS878" s="56"/>
      <c r="CT878" s="56"/>
      <c r="CU878" s="56"/>
      <c r="CV878" s="56"/>
      <c r="CW878" s="56"/>
      <c r="CX878" s="56"/>
      <c r="CY878" s="56"/>
      <c r="CZ878" s="56"/>
      <c r="DA878" s="56"/>
      <c r="DB878" s="56"/>
      <c r="DC878" s="56"/>
      <c r="DD878" s="56"/>
      <c r="DE878" s="56"/>
      <c r="DF878" s="56"/>
      <c r="DG878" s="56"/>
      <c r="DH878" s="56"/>
      <c r="DI878" s="56"/>
      <c r="DJ878" s="56"/>
      <c r="DK878" s="56"/>
      <c r="DL878" s="56"/>
      <c r="DM878" s="56"/>
      <c r="DN878" s="56"/>
      <c r="DO878" s="56"/>
      <c r="DP878" s="56"/>
      <c r="DQ878" s="56"/>
      <c r="DR878" s="56"/>
      <c r="DS878" s="56"/>
      <c r="DT878" s="56"/>
      <c r="DU878" s="56"/>
      <c r="DV878" s="56"/>
      <c r="DW878" s="56"/>
      <c r="DX878" s="56"/>
      <c r="DY878" s="56"/>
      <c r="DZ878" s="56"/>
      <c r="EA878" s="56"/>
      <c r="EB878" s="56"/>
      <c r="EC878" s="56"/>
      <c r="ED878" s="56"/>
      <c r="EE878" s="56"/>
      <c r="EF878" s="56"/>
      <c r="EG878" s="56"/>
      <c r="EH878" s="56"/>
      <c r="EI878" s="56"/>
      <c r="EJ878" s="56"/>
      <c r="EK878" s="56"/>
      <c r="EL878" s="56"/>
      <c r="EM878" s="56"/>
      <c r="EN878" s="56"/>
      <c r="EO878" s="56"/>
      <c r="EP878" s="56"/>
      <c r="EQ878" s="56"/>
      <c r="ER878" s="56"/>
      <c r="ES878" s="56"/>
      <c r="ET878" s="56"/>
      <c r="EU878" s="56"/>
      <c r="EV878" s="56"/>
      <c r="EW878" s="56"/>
      <c r="EX878" s="56"/>
      <c r="EY878" s="56"/>
      <c r="EZ878" s="56"/>
      <c r="FA878" s="56"/>
      <c r="FB878" s="56"/>
      <c r="FC878" s="56"/>
      <c r="FD878" s="56"/>
      <c r="FE878" s="56"/>
      <c r="FF878" s="56"/>
      <c r="FG878" s="56"/>
      <c r="FH878" s="56"/>
      <c r="FI878" s="56"/>
      <c r="FJ878" s="56"/>
      <c r="FK878" s="56"/>
      <c r="FL878" s="56"/>
      <c r="FM878" s="56"/>
      <c r="FN878" s="56"/>
      <c r="FO878" s="56"/>
      <c r="FP878" s="56"/>
      <c r="FQ878" s="56"/>
      <c r="FR878" s="56"/>
      <c r="FS878" s="56"/>
      <c r="FT878" s="56"/>
      <c r="FU878" s="56"/>
      <c r="FV878" s="56"/>
      <c r="FW878" s="56"/>
      <c r="FX878" s="56"/>
      <c r="FY878" s="56"/>
      <c r="FZ878" s="56"/>
      <c r="GA878" s="56"/>
      <c r="GB878" s="56"/>
      <c r="GC878" s="56"/>
      <c r="GD878" s="56"/>
      <c r="GE878" s="56"/>
      <c r="GF878" s="56"/>
      <c r="GG878" s="56"/>
      <c r="GH878" s="56"/>
      <c r="GI878" s="56"/>
      <c r="GJ878" s="56"/>
      <c r="GK878" s="56"/>
      <c r="GL878" s="56"/>
      <c r="GM878" s="56"/>
      <c r="GN878" s="56"/>
      <c r="GO878" s="56"/>
      <c r="GP878" s="56"/>
      <c r="GQ878" s="56"/>
      <c r="GR878" s="56"/>
      <c r="GS878" s="56"/>
      <c r="GT878" s="56"/>
      <c r="GU878" s="56"/>
      <c r="GV878" s="56"/>
      <c r="GW878" s="56"/>
      <c r="GX878" s="56"/>
      <c r="GY878" s="56"/>
      <c r="GZ878" s="56"/>
      <c r="HA878" s="56"/>
      <c r="HB878" s="56"/>
      <c r="HC878" s="56"/>
      <c r="HD878" s="56"/>
      <c r="HE878" s="56"/>
      <c r="HF878" s="56"/>
      <c r="HG878" s="56"/>
      <c r="HH878" s="56"/>
      <c r="HI878" s="56"/>
      <c r="HJ878" s="56"/>
    </row>
    <row r="879" spans="1:218" ht="15.75" customHeight="1" x14ac:dyDescent="0.2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  <c r="CL879" s="56"/>
      <c r="CM879" s="56"/>
      <c r="CN879" s="56"/>
      <c r="CO879" s="56"/>
      <c r="CP879" s="56"/>
      <c r="CQ879" s="56"/>
      <c r="CR879" s="56"/>
      <c r="CS879" s="56"/>
      <c r="CT879" s="56"/>
      <c r="CU879" s="56"/>
      <c r="CV879" s="56"/>
      <c r="CW879" s="56"/>
      <c r="CX879" s="56"/>
      <c r="CY879" s="56"/>
      <c r="CZ879" s="56"/>
      <c r="DA879" s="56"/>
      <c r="DB879" s="56"/>
      <c r="DC879" s="56"/>
      <c r="DD879" s="56"/>
      <c r="DE879" s="56"/>
      <c r="DF879" s="56"/>
      <c r="DG879" s="56"/>
      <c r="DH879" s="56"/>
      <c r="DI879" s="56"/>
      <c r="DJ879" s="56"/>
      <c r="DK879" s="56"/>
      <c r="DL879" s="56"/>
      <c r="DM879" s="56"/>
      <c r="DN879" s="56"/>
      <c r="DO879" s="56"/>
      <c r="DP879" s="56"/>
      <c r="DQ879" s="56"/>
      <c r="DR879" s="56"/>
      <c r="DS879" s="56"/>
      <c r="DT879" s="56"/>
      <c r="DU879" s="56"/>
      <c r="DV879" s="56"/>
      <c r="DW879" s="56"/>
      <c r="DX879" s="56"/>
      <c r="DY879" s="56"/>
      <c r="DZ879" s="56"/>
      <c r="EA879" s="56"/>
      <c r="EB879" s="56"/>
      <c r="EC879" s="56"/>
      <c r="ED879" s="56"/>
      <c r="EE879" s="56"/>
      <c r="EF879" s="56"/>
      <c r="EG879" s="56"/>
      <c r="EH879" s="56"/>
      <c r="EI879" s="56"/>
      <c r="EJ879" s="56"/>
      <c r="EK879" s="56"/>
      <c r="EL879" s="56"/>
      <c r="EM879" s="56"/>
      <c r="EN879" s="56"/>
      <c r="EO879" s="56"/>
      <c r="EP879" s="56"/>
      <c r="EQ879" s="56"/>
      <c r="ER879" s="56"/>
      <c r="ES879" s="56"/>
      <c r="ET879" s="56"/>
      <c r="EU879" s="56"/>
      <c r="EV879" s="56"/>
      <c r="EW879" s="56"/>
      <c r="EX879" s="56"/>
      <c r="EY879" s="56"/>
      <c r="EZ879" s="56"/>
      <c r="FA879" s="56"/>
      <c r="FB879" s="56"/>
      <c r="FC879" s="56"/>
      <c r="FD879" s="56"/>
      <c r="FE879" s="56"/>
      <c r="FF879" s="56"/>
      <c r="FG879" s="56"/>
      <c r="FH879" s="56"/>
      <c r="FI879" s="56"/>
      <c r="FJ879" s="56"/>
      <c r="FK879" s="56"/>
      <c r="FL879" s="56"/>
      <c r="FM879" s="56"/>
      <c r="FN879" s="56"/>
      <c r="FO879" s="56"/>
      <c r="FP879" s="56"/>
      <c r="FQ879" s="56"/>
      <c r="FR879" s="56"/>
      <c r="FS879" s="56"/>
      <c r="FT879" s="56"/>
      <c r="FU879" s="56"/>
      <c r="FV879" s="56"/>
      <c r="FW879" s="56"/>
      <c r="FX879" s="56"/>
      <c r="FY879" s="56"/>
      <c r="FZ879" s="56"/>
      <c r="GA879" s="56"/>
      <c r="GB879" s="56"/>
      <c r="GC879" s="56"/>
      <c r="GD879" s="56"/>
      <c r="GE879" s="56"/>
      <c r="GF879" s="56"/>
      <c r="GG879" s="56"/>
      <c r="GH879" s="56"/>
      <c r="GI879" s="56"/>
      <c r="GJ879" s="56"/>
      <c r="GK879" s="56"/>
      <c r="GL879" s="56"/>
      <c r="GM879" s="56"/>
      <c r="GN879" s="56"/>
      <c r="GO879" s="56"/>
      <c r="GP879" s="56"/>
      <c r="GQ879" s="56"/>
      <c r="GR879" s="56"/>
      <c r="GS879" s="56"/>
      <c r="GT879" s="56"/>
      <c r="GU879" s="56"/>
      <c r="GV879" s="56"/>
      <c r="GW879" s="56"/>
      <c r="GX879" s="56"/>
      <c r="GY879" s="56"/>
      <c r="GZ879" s="56"/>
      <c r="HA879" s="56"/>
      <c r="HB879" s="56"/>
      <c r="HC879" s="56"/>
      <c r="HD879" s="56"/>
      <c r="HE879" s="56"/>
      <c r="HF879" s="56"/>
      <c r="HG879" s="56"/>
      <c r="HH879" s="56"/>
      <c r="HI879" s="56"/>
      <c r="HJ879" s="56"/>
    </row>
    <row r="880" spans="1:218" ht="15.75" customHeight="1" x14ac:dyDescent="0.2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  <c r="CL880" s="56"/>
      <c r="CM880" s="56"/>
      <c r="CN880" s="56"/>
      <c r="CO880" s="56"/>
      <c r="CP880" s="56"/>
      <c r="CQ880" s="56"/>
      <c r="CR880" s="56"/>
      <c r="CS880" s="56"/>
      <c r="CT880" s="56"/>
      <c r="CU880" s="56"/>
      <c r="CV880" s="56"/>
      <c r="CW880" s="56"/>
      <c r="CX880" s="56"/>
      <c r="CY880" s="56"/>
      <c r="CZ880" s="56"/>
      <c r="DA880" s="56"/>
      <c r="DB880" s="56"/>
      <c r="DC880" s="56"/>
      <c r="DD880" s="56"/>
      <c r="DE880" s="56"/>
      <c r="DF880" s="56"/>
      <c r="DG880" s="56"/>
      <c r="DH880" s="56"/>
      <c r="DI880" s="56"/>
      <c r="DJ880" s="56"/>
      <c r="DK880" s="56"/>
      <c r="DL880" s="56"/>
      <c r="DM880" s="56"/>
      <c r="DN880" s="56"/>
      <c r="DO880" s="56"/>
      <c r="DP880" s="56"/>
      <c r="DQ880" s="56"/>
      <c r="DR880" s="56"/>
      <c r="DS880" s="56"/>
      <c r="DT880" s="56"/>
      <c r="DU880" s="56"/>
      <c r="DV880" s="56"/>
      <c r="DW880" s="56"/>
      <c r="DX880" s="56"/>
      <c r="DY880" s="56"/>
      <c r="DZ880" s="56"/>
      <c r="EA880" s="56"/>
      <c r="EB880" s="56"/>
      <c r="EC880" s="56"/>
      <c r="ED880" s="56"/>
      <c r="EE880" s="56"/>
      <c r="EF880" s="56"/>
      <c r="EG880" s="56"/>
      <c r="EH880" s="56"/>
      <c r="EI880" s="56"/>
      <c r="EJ880" s="56"/>
      <c r="EK880" s="56"/>
      <c r="EL880" s="56"/>
      <c r="EM880" s="56"/>
      <c r="EN880" s="56"/>
      <c r="EO880" s="56"/>
      <c r="EP880" s="56"/>
      <c r="EQ880" s="56"/>
      <c r="ER880" s="56"/>
      <c r="ES880" s="56"/>
      <c r="ET880" s="56"/>
      <c r="EU880" s="56"/>
      <c r="EV880" s="56"/>
      <c r="EW880" s="56"/>
      <c r="EX880" s="56"/>
      <c r="EY880" s="56"/>
      <c r="EZ880" s="56"/>
      <c r="FA880" s="56"/>
      <c r="FB880" s="56"/>
      <c r="FC880" s="56"/>
      <c r="FD880" s="56"/>
      <c r="FE880" s="56"/>
      <c r="FF880" s="56"/>
      <c r="FG880" s="56"/>
      <c r="FH880" s="56"/>
      <c r="FI880" s="56"/>
      <c r="FJ880" s="56"/>
      <c r="FK880" s="56"/>
      <c r="FL880" s="56"/>
      <c r="FM880" s="56"/>
      <c r="FN880" s="56"/>
      <c r="FO880" s="56"/>
      <c r="FP880" s="56"/>
      <c r="FQ880" s="56"/>
      <c r="FR880" s="56"/>
      <c r="FS880" s="56"/>
      <c r="FT880" s="56"/>
      <c r="FU880" s="56"/>
      <c r="FV880" s="56"/>
      <c r="FW880" s="56"/>
      <c r="FX880" s="56"/>
      <c r="FY880" s="56"/>
      <c r="FZ880" s="56"/>
      <c r="GA880" s="56"/>
      <c r="GB880" s="56"/>
      <c r="GC880" s="56"/>
      <c r="GD880" s="56"/>
      <c r="GE880" s="56"/>
      <c r="GF880" s="56"/>
      <c r="GG880" s="56"/>
      <c r="GH880" s="56"/>
      <c r="GI880" s="56"/>
      <c r="GJ880" s="56"/>
      <c r="GK880" s="56"/>
      <c r="GL880" s="56"/>
      <c r="GM880" s="56"/>
      <c r="GN880" s="56"/>
      <c r="GO880" s="56"/>
      <c r="GP880" s="56"/>
      <c r="GQ880" s="56"/>
      <c r="GR880" s="56"/>
      <c r="GS880" s="56"/>
      <c r="GT880" s="56"/>
      <c r="GU880" s="56"/>
      <c r="GV880" s="56"/>
      <c r="GW880" s="56"/>
      <c r="GX880" s="56"/>
      <c r="GY880" s="56"/>
      <c r="GZ880" s="56"/>
      <c r="HA880" s="56"/>
      <c r="HB880" s="56"/>
      <c r="HC880" s="56"/>
      <c r="HD880" s="56"/>
      <c r="HE880" s="56"/>
      <c r="HF880" s="56"/>
      <c r="HG880" s="56"/>
      <c r="HH880" s="56"/>
      <c r="HI880" s="56"/>
      <c r="HJ880" s="56"/>
    </row>
    <row r="881" spans="1:218" ht="15.75" customHeight="1" x14ac:dyDescent="0.2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  <c r="CL881" s="56"/>
      <c r="CM881" s="56"/>
      <c r="CN881" s="56"/>
      <c r="CO881" s="56"/>
      <c r="CP881" s="56"/>
      <c r="CQ881" s="56"/>
      <c r="CR881" s="56"/>
      <c r="CS881" s="56"/>
      <c r="CT881" s="56"/>
      <c r="CU881" s="56"/>
      <c r="CV881" s="56"/>
      <c r="CW881" s="56"/>
      <c r="CX881" s="56"/>
      <c r="CY881" s="56"/>
      <c r="CZ881" s="56"/>
      <c r="DA881" s="56"/>
      <c r="DB881" s="56"/>
      <c r="DC881" s="56"/>
      <c r="DD881" s="56"/>
      <c r="DE881" s="56"/>
      <c r="DF881" s="56"/>
      <c r="DG881" s="56"/>
      <c r="DH881" s="56"/>
      <c r="DI881" s="56"/>
      <c r="DJ881" s="56"/>
      <c r="DK881" s="56"/>
      <c r="DL881" s="56"/>
      <c r="DM881" s="56"/>
      <c r="DN881" s="56"/>
      <c r="DO881" s="56"/>
      <c r="DP881" s="56"/>
      <c r="DQ881" s="56"/>
      <c r="DR881" s="56"/>
      <c r="DS881" s="56"/>
      <c r="DT881" s="56"/>
      <c r="DU881" s="56"/>
      <c r="DV881" s="56"/>
      <c r="DW881" s="56"/>
      <c r="DX881" s="56"/>
      <c r="DY881" s="56"/>
      <c r="DZ881" s="56"/>
      <c r="EA881" s="56"/>
      <c r="EB881" s="56"/>
      <c r="EC881" s="56"/>
      <c r="ED881" s="56"/>
      <c r="EE881" s="56"/>
      <c r="EF881" s="56"/>
      <c r="EG881" s="56"/>
      <c r="EH881" s="56"/>
      <c r="EI881" s="56"/>
      <c r="EJ881" s="56"/>
      <c r="EK881" s="56"/>
      <c r="EL881" s="56"/>
      <c r="EM881" s="56"/>
      <c r="EN881" s="56"/>
      <c r="EO881" s="56"/>
      <c r="EP881" s="56"/>
      <c r="EQ881" s="56"/>
      <c r="ER881" s="56"/>
      <c r="ES881" s="56"/>
      <c r="ET881" s="56"/>
      <c r="EU881" s="56"/>
      <c r="EV881" s="56"/>
      <c r="EW881" s="56"/>
      <c r="EX881" s="56"/>
      <c r="EY881" s="56"/>
      <c r="EZ881" s="56"/>
      <c r="FA881" s="56"/>
      <c r="FB881" s="56"/>
      <c r="FC881" s="56"/>
      <c r="FD881" s="56"/>
      <c r="FE881" s="56"/>
      <c r="FF881" s="56"/>
      <c r="FG881" s="56"/>
      <c r="FH881" s="56"/>
      <c r="FI881" s="56"/>
      <c r="FJ881" s="56"/>
      <c r="FK881" s="56"/>
      <c r="FL881" s="56"/>
      <c r="FM881" s="56"/>
      <c r="FN881" s="56"/>
      <c r="FO881" s="56"/>
      <c r="FP881" s="56"/>
      <c r="FQ881" s="56"/>
      <c r="FR881" s="56"/>
      <c r="FS881" s="56"/>
      <c r="FT881" s="56"/>
      <c r="FU881" s="56"/>
      <c r="FV881" s="56"/>
      <c r="FW881" s="56"/>
      <c r="FX881" s="56"/>
      <c r="FY881" s="56"/>
      <c r="FZ881" s="56"/>
      <c r="GA881" s="56"/>
      <c r="GB881" s="56"/>
      <c r="GC881" s="56"/>
      <c r="GD881" s="56"/>
      <c r="GE881" s="56"/>
      <c r="GF881" s="56"/>
      <c r="GG881" s="56"/>
      <c r="GH881" s="56"/>
      <c r="GI881" s="56"/>
      <c r="GJ881" s="56"/>
      <c r="GK881" s="56"/>
      <c r="GL881" s="56"/>
      <c r="GM881" s="56"/>
      <c r="GN881" s="56"/>
      <c r="GO881" s="56"/>
      <c r="GP881" s="56"/>
      <c r="GQ881" s="56"/>
      <c r="GR881" s="56"/>
      <c r="GS881" s="56"/>
      <c r="GT881" s="56"/>
      <c r="GU881" s="56"/>
      <c r="GV881" s="56"/>
      <c r="GW881" s="56"/>
      <c r="GX881" s="56"/>
      <c r="GY881" s="56"/>
      <c r="GZ881" s="56"/>
      <c r="HA881" s="56"/>
      <c r="HB881" s="56"/>
      <c r="HC881" s="56"/>
      <c r="HD881" s="56"/>
      <c r="HE881" s="56"/>
      <c r="HF881" s="56"/>
      <c r="HG881" s="56"/>
      <c r="HH881" s="56"/>
      <c r="HI881" s="56"/>
      <c r="HJ881" s="56"/>
    </row>
    <row r="882" spans="1:218" ht="15.75" customHeight="1" x14ac:dyDescent="0.2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  <c r="BV882" s="56"/>
      <c r="BW882" s="56"/>
      <c r="BX882" s="56"/>
      <c r="BY882" s="56"/>
      <c r="BZ882" s="56"/>
      <c r="CA882" s="56"/>
      <c r="CB882" s="56"/>
      <c r="CC882" s="56"/>
      <c r="CD882" s="56"/>
      <c r="CE882" s="56"/>
      <c r="CF882" s="56"/>
      <c r="CG882" s="56"/>
      <c r="CH882" s="56"/>
      <c r="CI882" s="56"/>
      <c r="CJ882" s="56"/>
      <c r="CK882" s="56"/>
      <c r="CL882" s="56"/>
      <c r="CM882" s="56"/>
      <c r="CN882" s="56"/>
      <c r="CO882" s="56"/>
      <c r="CP882" s="56"/>
      <c r="CQ882" s="56"/>
      <c r="CR882" s="56"/>
      <c r="CS882" s="56"/>
      <c r="CT882" s="56"/>
      <c r="CU882" s="56"/>
      <c r="CV882" s="56"/>
      <c r="CW882" s="56"/>
      <c r="CX882" s="56"/>
      <c r="CY882" s="56"/>
      <c r="CZ882" s="56"/>
      <c r="DA882" s="56"/>
      <c r="DB882" s="56"/>
      <c r="DC882" s="56"/>
      <c r="DD882" s="56"/>
      <c r="DE882" s="56"/>
      <c r="DF882" s="56"/>
      <c r="DG882" s="56"/>
      <c r="DH882" s="56"/>
      <c r="DI882" s="56"/>
      <c r="DJ882" s="56"/>
      <c r="DK882" s="56"/>
      <c r="DL882" s="56"/>
      <c r="DM882" s="56"/>
      <c r="DN882" s="56"/>
      <c r="DO882" s="56"/>
      <c r="DP882" s="56"/>
      <c r="DQ882" s="56"/>
      <c r="DR882" s="56"/>
      <c r="DS882" s="56"/>
      <c r="DT882" s="56"/>
      <c r="DU882" s="56"/>
      <c r="DV882" s="56"/>
      <c r="DW882" s="56"/>
      <c r="DX882" s="56"/>
      <c r="DY882" s="56"/>
      <c r="DZ882" s="56"/>
      <c r="EA882" s="56"/>
      <c r="EB882" s="56"/>
      <c r="EC882" s="56"/>
      <c r="ED882" s="56"/>
      <c r="EE882" s="56"/>
      <c r="EF882" s="56"/>
      <c r="EG882" s="56"/>
      <c r="EH882" s="56"/>
      <c r="EI882" s="56"/>
      <c r="EJ882" s="56"/>
      <c r="EK882" s="56"/>
      <c r="EL882" s="56"/>
      <c r="EM882" s="56"/>
      <c r="EN882" s="56"/>
      <c r="EO882" s="56"/>
      <c r="EP882" s="56"/>
      <c r="EQ882" s="56"/>
      <c r="ER882" s="56"/>
      <c r="ES882" s="56"/>
      <c r="ET882" s="56"/>
      <c r="EU882" s="56"/>
      <c r="EV882" s="56"/>
      <c r="EW882" s="56"/>
      <c r="EX882" s="56"/>
      <c r="EY882" s="56"/>
      <c r="EZ882" s="56"/>
      <c r="FA882" s="56"/>
      <c r="FB882" s="56"/>
      <c r="FC882" s="56"/>
      <c r="FD882" s="56"/>
      <c r="FE882" s="56"/>
      <c r="FF882" s="56"/>
      <c r="FG882" s="56"/>
      <c r="FH882" s="56"/>
      <c r="FI882" s="56"/>
      <c r="FJ882" s="56"/>
      <c r="FK882" s="56"/>
      <c r="FL882" s="56"/>
      <c r="FM882" s="56"/>
      <c r="FN882" s="56"/>
      <c r="FO882" s="56"/>
      <c r="FP882" s="56"/>
      <c r="FQ882" s="56"/>
      <c r="FR882" s="56"/>
      <c r="FS882" s="56"/>
      <c r="FT882" s="56"/>
      <c r="FU882" s="56"/>
      <c r="FV882" s="56"/>
      <c r="FW882" s="56"/>
      <c r="FX882" s="56"/>
      <c r="FY882" s="56"/>
      <c r="FZ882" s="56"/>
      <c r="GA882" s="56"/>
      <c r="GB882" s="56"/>
      <c r="GC882" s="56"/>
      <c r="GD882" s="56"/>
      <c r="GE882" s="56"/>
      <c r="GF882" s="56"/>
      <c r="GG882" s="56"/>
      <c r="GH882" s="56"/>
      <c r="GI882" s="56"/>
      <c r="GJ882" s="56"/>
      <c r="GK882" s="56"/>
      <c r="GL882" s="56"/>
      <c r="GM882" s="56"/>
      <c r="GN882" s="56"/>
      <c r="GO882" s="56"/>
      <c r="GP882" s="56"/>
      <c r="GQ882" s="56"/>
      <c r="GR882" s="56"/>
      <c r="GS882" s="56"/>
      <c r="GT882" s="56"/>
      <c r="GU882" s="56"/>
      <c r="GV882" s="56"/>
      <c r="GW882" s="56"/>
      <c r="GX882" s="56"/>
      <c r="GY882" s="56"/>
      <c r="GZ882" s="56"/>
      <c r="HA882" s="56"/>
      <c r="HB882" s="56"/>
      <c r="HC882" s="56"/>
      <c r="HD882" s="56"/>
      <c r="HE882" s="56"/>
      <c r="HF882" s="56"/>
      <c r="HG882" s="56"/>
      <c r="HH882" s="56"/>
      <c r="HI882" s="56"/>
      <c r="HJ882" s="56"/>
    </row>
    <row r="883" spans="1:218" ht="15.75" customHeight="1" x14ac:dyDescent="0.2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  <c r="BV883" s="56"/>
      <c r="BW883" s="56"/>
      <c r="BX883" s="56"/>
      <c r="BY883" s="56"/>
      <c r="BZ883" s="56"/>
      <c r="CA883" s="56"/>
      <c r="CB883" s="56"/>
      <c r="CC883" s="56"/>
      <c r="CD883" s="56"/>
      <c r="CE883" s="56"/>
      <c r="CF883" s="56"/>
      <c r="CG883" s="56"/>
      <c r="CH883" s="56"/>
      <c r="CI883" s="56"/>
      <c r="CJ883" s="56"/>
      <c r="CK883" s="56"/>
      <c r="CL883" s="56"/>
      <c r="CM883" s="56"/>
      <c r="CN883" s="56"/>
      <c r="CO883" s="56"/>
      <c r="CP883" s="56"/>
      <c r="CQ883" s="56"/>
      <c r="CR883" s="56"/>
      <c r="CS883" s="56"/>
      <c r="CT883" s="56"/>
      <c r="CU883" s="56"/>
      <c r="CV883" s="56"/>
      <c r="CW883" s="56"/>
      <c r="CX883" s="56"/>
      <c r="CY883" s="56"/>
      <c r="CZ883" s="56"/>
      <c r="DA883" s="56"/>
      <c r="DB883" s="56"/>
      <c r="DC883" s="56"/>
      <c r="DD883" s="56"/>
      <c r="DE883" s="56"/>
      <c r="DF883" s="56"/>
      <c r="DG883" s="56"/>
      <c r="DH883" s="56"/>
      <c r="DI883" s="56"/>
      <c r="DJ883" s="56"/>
      <c r="DK883" s="56"/>
      <c r="DL883" s="56"/>
      <c r="DM883" s="56"/>
      <c r="DN883" s="56"/>
      <c r="DO883" s="56"/>
      <c r="DP883" s="56"/>
      <c r="DQ883" s="56"/>
      <c r="DR883" s="56"/>
      <c r="DS883" s="56"/>
      <c r="DT883" s="56"/>
      <c r="DU883" s="56"/>
      <c r="DV883" s="56"/>
      <c r="DW883" s="56"/>
      <c r="DX883" s="56"/>
      <c r="DY883" s="56"/>
      <c r="DZ883" s="56"/>
      <c r="EA883" s="56"/>
      <c r="EB883" s="56"/>
      <c r="EC883" s="56"/>
      <c r="ED883" s="56"/>
      <c r="EE883" s="56"/>
      <c r="EF883" s="56"/>
      <c r="EG883" s="56"/>
      <c r="EH883" s="56"/>
      <c r="EI883" s="56"/>
      <c r="EJ883" s="56"/>
      <c r="EK883" s="56"/>
      <c r="EL883" s="56"/>
      <c r="EM883" s="56"/>
      <c r="EN883" s="56"/>
      <c r="EO883" s="56"/>
      <c r="EP883" s="56"/>
      <c r="EQ883" s="56"/>
      <c r="ER883" s="56"/>
      <c r="ES883" s="56"/>
      <c r="ET883" s="56"/>
      <c r="EU883" s="56"/>
      <c r="EV883" s="56"/>
      <c r="EW883" s="56"/>
      <c r="EX883" s="56"/>
      <c r="EY883" s="56"/>
      <c r="EZ883" s="56"/>
      <c r="FA883" s="56"/>
      <c r="FB883" s="56"/>
      <c r="FC883" s="56"/>
      <c r="FD883" s="56"/>
      <c r="FE883" s="56"/>
      <c r="FF883" s="56"/>
      <c r="FG883" s="56"/>
      <c r="FH883" s="56"/>
      <c r="FI883" s="56"/>
      <c r="FJ883" s="56"/>
      <c r="FK883" s="56"/>
      <c r="FL883" s="56"/>
      <c r="FM883" s="56"/>
      <c r="FN883" s="56"/>
      <c r="FO883" s="56"/>
      <c r="FP883" s="56"/>
      <c r="FQ883" s="56"/>
      <c r="FR883" s="56"/>
      <c r="FS883" s="56"/>
      <c r="FT883" s="56"/>
      <c r="FU883" s="56"/>
      <c r="FV883" s="56"/>
      <c r="FW883" s="56"/>
      <c r="FX883" s="56"/>
      <c r="FY883" s="56"/>
      <c r="FZ883" s="56"/>
      <c r="GA883" s="56"/>
      <c r="GB883" s="56"/>
      <c r="GC883" s="56"/>
      <c r="GD883" s="56"/>
      <c r="GE883" s="56"/>
      <c r="GF883" s="56"/>
      <c r="GG883" s="56"/>
      <c r="GH883" s="56"/>
      <c r="GI883" s="56"/>
      <c r="GJ883" s="56"/>
      <c r="GK883" s="56"/>
      <c r="GL883" s="56"/>
      <c r="GM883" s="56"/>
      <c r="GN883" s="56"/>
      <c r="GO883" s="56"/>
      <c r="GP883" s="56"/>
      <c r="GQ883" s="56"/>
      <c r="GR883" s="56"/>
      <c r="GS883" s="56"/>
      <c r="GT883" s="56"/>
      <c r="GU883" s="56"/>
      <c r="GV883" s="56"/>
      <c r="GW883" s="56"/>
      <c r="GX883" s="56"/>
      <c r="GY883" s="56"/>
      <c r="GZ883" s="56"/>
      <c r="HA883" s="56"/>
      <c r="HB883" s="56"/>
      <c r="HC883" s="56"/>
      <c r="HD883" s="56"/>
      <c r="HE883" s="56"/>
      <c r="HF883" s="56"/>
      <c r="HG883" s="56"/>
      <c r="HH883" s="56"/>
      <c r="HI883" s="56"/>
      <c r="HJ883" s="56"/>
    </row>
    <row r="884" spans="1:218" ht="15.75" customHeight="1" x14ac:dyDescent="0.2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  <c r="CL884" s="56"/>
      <c r="CM884" s="56"/>
      <c r="CN884" s="56"/>
      <c r="CO884" s="56"/>
      <c r="CP884" s="56"/>
      <c r="CQ884" s="56"/>
      <c r="CR884" s="56"/>
      <c r="CS884" s="56"/>
      <c r="CT884" s="56"/>
      <c r="CU884" s="56"/>
      <c r="CV884" s="56"/>
      <c r="CW884" s="56"/>
      <c r="CX884" s="56"/>
      <c r="CY884" s="56"/>
      <c r="CZ884" s="56"/>
      <c r="DA884" s="56"/>
      <c r="DB884" s="56"/>
      <c r="DC884" s="56"/>
      <c r="DD884" s="56"/>
      <c r="DE884" s="56"/>
      <c r="DF884" s="56"/>
      <c r="DG884" s="56"/>
      <c r="DH884" s="56"/>
      <c r="DI884" s="56"/>
      <c r="DJ884" s="56"/>
      <c r="DK884" s="56"/>
      <c r="DL884" s="56"/>
      <c r="DM884" s="56"/>
      <c r="DN884" s="56"/>
      <c r="DO884" s="56"/>
      <c r="DP884" s="56"/>
      <c r="DQ884" s="56"/>
      <c r="DR884" s="56"/>
      <c r="DS884" s="56"/>
      <c r="DT884" s="56"/>
      <c r="DU884" s="56"/>
      <c r="DV884" s="56"/>
      <c r="DW884" s="56"/>
      <c r="DX884" s="56"/>
      <c r="DY884" s="56"/>
      <c r="DZ884" s="56"/>
      <c r="EA884" s="56"/>
      <c r="EB884" s="56"/>
      <c r="EC884" s="56"/>
      <c r="ED884" s="56"/>
      <c r="EE884" s="56"/>
      <c r="EF884" s="56"/>
      <c r="EG884" s="56"/>
      <c r="EH884" s="56"/>
      <c r="EI884" s="56"/>
      <c r="EJ884" s="56"/>
      <c r="EK884" s="56"/>
      <c r="EL884" s="56"/>
      <c r="EM884" s="56"/>
      <c r="EN884" s="56"/>
      <c r="EO884" s="56"/>
      <c r="EP884" s="56"/>
      <c r="EQ884" s="56"/>
      <c r="ER884" s="56"/>
      <c r="ES884" s="56"/>
      <c r="ET884" s="56"/>
      <c r="EU884" s="56"/>
      <c r="EV884" s="56"/>
      <c r="EW884" s="56"/>
      <c r="EX884" s="56"/>
      <c r="EY884" s="56"/>
      <c r="EZ884" s="56"/>
      <c r="FA884" s="56"/>
      <c r="FB884" s="56"/>
      <c r="FC884" s="56"/>
      <c r="FD884" s="56"/>
      <c r="FE884" s="56"/>
      <c r="FF884" s="56"/>
      <c r="FG884" s="56"/>
      <c r="FH884" s="56"/>
      <c r="FI884" s="56"/>
      <c r="FJ884" s="56"/>
      <c r="FK884" s="56"/>
      <c r="FL884" s="56"/>
      <c r="FM884" s="56"/>
      <c r="FN884" s="56"/>
      <c r="FO884" s="56"/>
      <c r="FP884" s="56"/>
      <c r="FQ884" s="56"/>
      <c r="FR884" s="56"/>
      <c r="FS884" s="56"/>
      <c r="FT884" s="56"/>
      <c r="FU884" s="56"/>
      <c r="FV884" s="56"/>
      <c r="FW884" s="56"/>
      <c r="FX884" s="56"/>
      <c r="FY884" s="56"/>
      <c r="FZ884" s="56"/>
      <c r="GA884" s="56"/>
      <c r="GB884" s="56"/>
      <c r="GC884" s="56"/>
      <c r="GD884" s="56"/>
      <c r="GE884" s="56"/>
      <c r="GF884" s="56"/>
      <c r="GG884" s="56"/>
      <c r="GH884" s="56"/>
      <c r="GI884" s="56"/>
      <c r="GJ884" s="56"/>
      <c r="GK884" s="56"/>
      <c r="GL884" s="56"/>
      <c r="GM884" s="56"/>
      <c r="GN884" s="56"/>
      <c r="GO884" s="56"/>
      <c r="GP884" s="56"/>
      <c r="GQ884" s="56"/>
      <c r="GR884" s="56"/>
      <c r="GS884" s="56"/>
      <c r="GT884" s="56"/>
      <c r="GU884" s="56"/>
      <c r="GV884" s="56"/>
      <c r="GW884" s="56"/>
      <c r="GX884" s="56"/>
      <c r="GY884" s="56"/>
      <c r="GZ884" s="56"/>
      <c r="HA884" s="56"/>
      <c r="HB884" s="56"/>
      <c r="HC884" s="56"/>
      <c r="HD884" s="56"/>
      <c r="HE884" s="56"/>
      <c r="HF884" s="56"/>
      <c r="HG884" s="56"/>
      <c r="HH884" s="56"/>
      <c r="HI884" s="56"/>
      <c r="HJ884" s="56"/>
    </row>
    <row r="885" spans="1:218" ht="15.75" customHeight="1" x14ac:dyDescent="0.2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  <c r="CL885" s="56"/>
      <c r="CM885" s="56"/>
      <c r="CN885" s="56"/>
      <c r="CO885" s="56"/>
      <c r="CP885" s="56"/>
      <c r="CQ885" s="56"/>
      <c r="CR885" s="56"/>
      <c r="CS885" s="56"/>
      <c r="CT885" s="56"/>
      <c r="CU885" s="56"/>
      <c r="CV885" s="56"/>
      <c r="CW885" s="56"/>
      <c r="CX885" s="56"/>
      <c r="CY885" s="56"/>
      <c r="CZ885" s="56"/>
      <c r="DA885" s="56"/>
      <c r="DB885" s="56"/>
      <c r="DC885" s="56"/>
      <c r="DD885" s="56"/>
      <c r="DE885" s="56"/>
      <c r="DF885" s="56"/>
      <c r="DG885" s="56"/>
      <c r="DH885" s="56"/>
      <c r="DI885" s="56"/>
      <c r="DJ885" s="56"/>
      <c r="DK885" s="56"/>
      <c r="DL885" s="56"/>
      <c r="DM885" s="56"/>
      <c r="DN885" s="56"/>
      <c r="DO885" s="56"/>
      <c r="DP885" s="56"/>
      <c r="DQ885" s="56"/>
      <c r="DR885" s="56"/>
      <c r="DS885" s="56"/>
      <c r="DT885" s="56"/>
      <c r="DU885" s="56"/>
      <c r="DV885" s="56"/>
      <c r="DW885" s="56"/>
      <c r="DX885" s="56"/>
      <c r="DY885" s="56"/>
      <c r="DZ885" s="56"/>
      <c r="EA885" s="56"/>
      <c r="EB885" s="56"/>
      <c r="EC885" s="56"/>
      <c r="ED885" s="56"/>
      <c r="EE885" s="56"/>
      <c r="EF885" s="56"/>
      <c r="EG885" s="56"/>
      <c r="EH885" s="56"/>
      <c r="EI885" s="56"/>
      <c r="EJ885" s="56"/>
      <c r="EK885" s="56"/>
      <c r="EL885" s="56"/>
      <c r="EM885" s="56"/>
      <c r="EN885" s="56"/>
      <c r="EO885" s="56"/>
      <c r="EP885" s="56"/>
      <c r="EQ885" s="56"/>
      <c r="ER885" s="56"/>
      <c r="ES885" s="56"/>
      <c r="ET885" s="56"/>
      <c r="EU885" s="56"/>
      <c r="EV885" s="56"/>
      <c r="EW885" s="56"/>
      <c r="EX885" s="56"/>
      <c r="EY885" s="56"/>
      <c r="EZ885" s="56"/>
      <c r="FA885" s="56"/>
      <c r="FB885" s="56"/>
      <c r="FC885" s="56"/>
      <c r="FD885" s="56"/>
      <c r="FE885" s="56"/>
      <c r="FF885" s="56"/>
      <c r="FG885" s="56"/>
      <c r="FH885" s="56"/>
      <c r="FI885" s="56"/>
      <c r="FJ885" s="56"/>
      <c r="FK885" s="56"/>
      <c r="FL885" s="56"/>
      <c r="FM885" s="56"/>
      <c r="FN885" s="56"/>
      <c r="FO885" s="56"/>
      <c r="FP885" s="56"/>
      <c r="FQ885" s="56"/>
      <c r="FR885" s="56"/>
      <c r="FS885" s="56"/>
      <c r="FT885" s="56"/>
      <c r="FU885" s="56"/>
      <c r="FV885" s="56"/>
      <c r="FW885" s="56"/>
      <c r="FX885" s="56"/>
      <c r="FY885" s="56"/>
      <c r="FZ885" s="56"/>
      <c r="GA885" s="56"/>
      <c r="GB885" s="56"/>
      <c r="GC885" s="56"/>
      <c r="GD885" s="56"/>
      <c r="GE885" s="56"/>
      <c r="GF885" s="56"/>
      <c r="GG885" s="56"/>
      <c r="GH885" s="56"/>
      <c r="GI885" s="56"/>
      <c r="GJ885" s="56"/>
      <c r="GK885" s="56"/>
      <c r="GL885" s="56"/>
      <c r="GM885" s="56"/>
      <c r="GN885" s="56"/>
      <c r="GO885" s="56"/>
      <c r="GP885" s="56"/>
      <c r="GQ885" s="56"/>
      <c r="GR885" s="56"/>
      <c r="GS885" s="56"/>
      <c r="GT885" s="56"/>
      <c r="GU885" s="56"/>
      <c r="GV885" s="56"/>
      <c r="GW885" s="56"/>
      <c r="GX885" s="56"/>
      <c r="GY885" s="56"/>
      <c r="GZ885" s="56"/>
      <c r="HA885" s="56"/>
      <c r="HB885" s="56"/>
      <c r="HC885" s="56"/>
      <c r="HD885" s="56"/>
      <c r="HE885" s="56"/>
      <c r="HF885" s="56"/>
      <c r="HG885" s="56"/>
      <c r="HH885" s="56"/>
      <c r="HI885" s="56"/>
      <c r="HJ885" s="56"/>
    </row>
    <row r="886" spans="1:218" ht="15.75" customHeight="1" x14ac:dyDescent="0.2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  <c r="BV886" s="56"/>
      <c r="BW886" s="56"/>
      <c r="BX886" s="56"/>
      <c r="BY886" s="56"/>
      <c r="BZ886" s="56"/>
      <c r="CA886" s="56"/>
      <c r="CB886" s="56"/>
      <c r="CC886" s="56"/>
      <c r="CD886" s="56"/>
      <c r="CE886" s="56"/>
      <c r="CF886" s="56"/>
      <c r="CG886" s="56"/>
      <c r="CH886" s="56"/>
      <c r="CI886" s="56"/>
      <c r="CJ886" s="56"/>
      <c r="CK886" s="56"/>
      <c r="CL886" s="56"/>
      <c r="CM886" s="56"/>
      <c r="CN886" s="56"/>
      <c r="CO886" s="56"/>
      <c r="CP886" s="56"/>
      <c r="CQ886" s="56"/>
      <c r="CR886" s="56"/>
      <c r="CS886" s="56"/>
      <c r="CT886" s="56"/>
      <c r="CU886" s="56"/>
      <c r="CV886" s="56"/>
      <c r="CW886" s="56"/>
      <c r="CX886" s="56"/>
      <c r="CY886" s="56"/>
      <c r="CZ886" s="56"/>
      <c r="DA886" s="56"/>
      <c r="DB886" s="56"/>
      <c r="DC886" s="56"/>
      <c r="DD886" s="56"/>
      <c r="DE886" s="56"/>
      <c r="DF886" s="56"/>
      <c r="DG886" s="56"/>
      <c r="DH886" s="56"/>
      <c r="DI886" s="56"/>
      <c r="DJ886" s="56"/>
      <c r="DK886" s="56"/>
      <c r="DL886" s="56"/>
      <c r="DM886" s="56"/>
      <c r="DN886" s="56"/>
      <c r="DO886" s="56"/>
      <c r="DP886" s="56"/>
      <c r="DQ886" s="56"/>
      <c r="DR886" s="56"/>
      <c r="DS886" s="56"/>
      <c r="DT886" s="56"/>
      <c r="DU886" s="56"/>
      <c r="DV886" s="56"/>
      <c r="DW886" s="56"/>
      <c r="DX886" s="56"/>
      <c r="DY886" s="56"/>
      <c r="DZ886" s="56"/>
      <c r="EA886" s="56"/>
      <c r="EB886" s="56"/>
      <c r="EC886" s="56"/>
      <c r="ED886" s="56"/>
      <c r="EE886" s="56"/>
      <c r="EF886" s="56"/>
      <c r="EG886" s="56"/>
      <c r="EH886" s="56"/>
      <c r="EI886" s="56"/>
      <c r="EJ886" s="56"/>
      <c r="EK886" s="56"/>
      <c r="EL886" s="56"/>
      <c r="EM886" s="56"/>
      <c r="EN886" s="56"/>
      <c r="EO886" s="56"/>
      <c r="EP886" s="56"/>
      <c r="EQ886" s="56"/>
      <c r="ER886" s="56"/>
      <c r="ES886" s="56"/>
      <c r="ET886" s="56"/>
      <c r="EU886" s="56"/>
      <c r="EV886" s="56"/>
      <c r="EW886" s="56"/>
      <c r="EX886" s="56"/>
      <c r="EY886" s="56"/>
      <c r="EZ886" s="56"/>
      <c r="FA886" s="56"/>
      <c r="FB886" s="56"/>
      <c r="FC886" s="56"/>
      <c r="FD886" s="56"/>
      <c r="FE886" s="56"/>
      <c r="FF886" s="56"/>
      <c r="FG886" s="56"/>
      <c r="FH886" s="56"/>
      <c r="FI886" s="56"/>
      <c r="FJ886" s="56"/>
      <c r="FK886" s="56"/>
      <c r="FL886" s="56"/>
      <c r="FM886" s="56"/>
      <c r="FN886" s="56"/>
      <c r="FO886" s="56"/>
      <c r="FP886" s="56"/>
      <c r="FQ886" s="56"/>
      <c r="FR886" s="56"/>
      <c r="FS886" s="56"/>
      <c r="FT886" s="56"/>
      <c r="FU886" s="56"/>
      <c r="FV886" s="56"/>
      <c r="FW886" s="56"/>
      <c r="FX886" s="56"/>
      <c r="FY886" s="56"/>
      <c r="FZ886" s="56"/>
      <c r="GA886" s="56"/>
      <c r="GB886" s="56"/>
      <c r="GC886" s="56"/>
      <c r="GD886" s="56"/>
      <c r="GE886" s="56"/>
      <c r="GF886" s="56"/>
      <c r="GG886" s="56"/>
      <c r="GH886" s="56"/>
      <c r="GI886" s="56"/>
      <c r="GJ886" s="56"/>
      <c r="GK886" s="56"/>
      <c r="GL886" s="56"/>
      <c r="GM886" s="56"/>
      <c r="GN886" s="56"/>
      <c r="GO886" s="56"/>
      <c r="GP886" s="56"/>
      <c r="GQ886" s="56"/>
      <c r="GR886" s="56"/>
      <c r="GS886" s="56"/>
      <c r="GT886" s="56"/>
      <c r="GU886" s="56"/>
      <c r="GV886" s="56"/>
      <c r="GW886" s="56"/>
      <c r="GX886" s="56"/>
      <c r="GY886" s="56"/>
      <c r="GZ886" s="56"/>
      <c r="HA886" s="56"/>
      <c r="HB886" s="56"/>
      <c r="HC886" s="56"/>
      <c r="HD886" s="56"/>
      <c r="HE886" s="56"/>
      <c r="HF886" s="56"/>
      <c r="HG886" s="56"/>
      <c r="HH886" s="56"/>
      <c r="HI886" s="56"/>
      <c r="HJ886" s="56"/>
    </row>
    <row r="887" spans="1:218" ht="15.75" customHeight="1" x14ac:dyDescent="0.2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  <c r="CL887" s="56"/>
      <c r="CM887" s="56"/>
      <c r="CN887" s="56"/>
      <c r="CO887" s="56"/>
      <c r="CP887" s="56"/>
      <c r="CQ887" s="56"/>
      <c r="CR887" s="56"/>
      <c r="CS887" s="56"/>
      <c r="CT887" s="56"/>
      <c r="CU887" s="56"/>
      <c r="CV887" s="56"/>
      <c r="CW887" s="56"/>
      <c r="CX887" s="56"/>
      <c r="CY887" s="56"/>
      <c r="CZ887" s="56"/>
      <c r="DA887" s="56"/>
      <c r="DB887" s="56"/>
      <c r="DC887" s="56"/>
      <c r="DD887" s="56"/>
      <c r="DE887" s="56"/>
      <c r="DF887" s="56"/>
      <c r="DG887" s="56"/>
      <c r="DH887" s="56"/>
      <c r="DI887" s="56"/>
      <c r="DJ887" s="56"/>
      <c r="DK887" s="56"/>
      <c r="DL887" s="56"/>
      <c r="DM887" s="56"/>
      <c r="DN887" s="56"/>
      <c r="DO887" s="56"/>
      <c r="DP887" s="56"/>
      <c r="DQ887" s="56"/>
      <c r="DR887" s="56"/>
      <c r="DS887" s="56"/>
      <c r="DT887" s="56"/>
      <c r="DU887" s="56"/>
      <c r="DV887" s="56"/>
      <c r="DW887" s="56"/>
      <c r="DX887" s="56"/>
      <c r="DY887" s="56"/>
      <c r="DZ887" s="56"/>
      <c r="EA887" s="56"/>
      <c r="EB887" s="56"/>
      <c r="EC887" s="56"/>
      <c r="ED887" s="56"/>
      <c r="EE887" s="56"/>
      <c r="EF887" s="56"/>
      <c r="EG887" s="56"/>
      <c r="EH887" s="56"/>
      <c r="EI887" s="56"/>
      <c r="EJ887" s="56"/>
      <c r="EK887" s="56"/>
      <c r="EL887" s="56"/>
      <c r="EM887" s="56"/>
      <c r="EN887" s="56"/>
      <c r="EO887" s="56"/>
      <c r="EP887" s="56"/>
      <c r="EQ887" s="56"/>
      <c r="ER887" s="56"/>
      <c r="ES887" s="56"/>
      <c r="ET887" s="56"/>
      <c r="EU887" s="56"/>
      <c r="EV887" s="56"/>
      <c r="EW887" s="56"/>
      <c r="EX887" s="56"/>
      <c r="EY887" s="56"/>
      <c r="EZ887" s="56"/>
      <c r="FA887" s="56"/>
      <c r="FB887" s="56"/>
      <c r="FC887" s="56"/>
      <c r="FD887" s="56"/>
      <c r="FE887" s="56"/>
      <c r="FF887" s="56"/>
      <c r="FG887" s="56"/>
      <c r="FH887" s="56"/>
      <c r="FI887" s="56"/>
      <c r="FJ887" s="56"/>
      <c r="FK887" s="56"/>
      <c r="FL887" s="56"/>
      <c r="FM887" s="56"/>
      <c r="FN887" s="56"/>
      <c r="FO887" s="56"/>
      <c r="FP887" s="56"/>
      <c r="FQ887" s="56"/>
      <c r="FR887" s="56"/>
      <c r="FS887" s="56"/>
      <c r="FT887" s="56"/>
      <c r="FU887" s="56"/>
      <c r="FV887" s="56"/>
      <c r="FW887" s="56"/>
      <c r="FX887" s="56"/>
      <c r="FY887" s="56"/>
      <c r="FZ887" s="56"/>
      <c r="GA887" s="56"/>
      <c r="GB887" s="56"/>
      <c r="GC887" s="56"/>
      <c r="GD887" s="56"/>
      <c r="GE887" s="56"/>
      <c r="GF887" s="56"/>
      <c r="GG887" s="56"/>
      <c r="GH887" s="56"/>
      <c r="GI887" s="56"/>
      <c r="GJ887" s="56"/>
      <c r="GK887" s="56"/>
      <c r="GL887" s="56"/>
      <c r="GM887" s="56"/>
      <c r="GN887" s="56"/>
      <c r="GO887" s="56"/>
      <c r="GP887" s="56"/>
      <c r="GQ887" s="56"/>
      <c r="GR887" s="56"/>
      <c r="GS887" s="56"/>
      <c r="GT887" s="56"/>
      <c r="GU887" s="56"/>
      <c r="GV887" s="56"/>
      <c r="GW887" s="56"/>
      <c r="GX887" s="56"/>
      <c r="GY887" s="56"/>
      <c r="GZ887" s="56"/>
      <c r="HA887" s="56"/>
      <c r="HB887" s="56"/>
      <c r="HC887" s="56"/>
      <c r="HD887" s="56"/>
      <c r="HE887" s="56"/>
      <c r="HF887" s="56"/>
      <c r="HG887" s="56"/>
      <c r="HH887" s="56"/>
      <c r="HI887" s="56"/>
      <c r="HJ887" s="56"/>
    </row>
    <row r="888" spans="1:218" ht="15.75" customHeight="1" x14ac:dyDescent="0.2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  <c r="CL888" s="56"/>
      <c r="CM888" s="56"/>
      <c r="CN888" s="56"/>
      <c r="CO888" s="56"/>
      <c r="CP888" s="56"/>
      <c r="CQ888" s="56"/>
      <c r="CR888" s="56"/>
      <c r="CS888" s="56"/>
      <c r="CT888" s="56"/>
      <c r="CU888" s="56"/>
      <c r="CV888" s="56"/>
      <c r="CW888" s="56"/>
      <c r="CX888" s="56"/>
      <c r="CY888" s="56"/>
      <c r="CZ888" s="56"/>
      <c r="DA888" s="56"/>
      <c r="DB888" s="56"/>
      <c r="DC888" s="56"/>
      <c r="DD888" s="56"/>
      <c r="DE888" s="56"/>
      <c r="DF888" s="56"/>
      <c r="DG888" s="56"/>
      <c r="DH888" s="56"/>
      <c r="DI888" s="56"/>
      <c r="DJ888" s="56"/>
      <c r="DK888" s="56"/>
      <c r="DL888" s="56"/>
      <c r="DM888" s="56"/>
      <c r="DN888" s="56"/>
      <c r="DO888" s="56"/>
      <c r="DP888" s="56"/>
      <c r="DQ888" s="56"/>
      <c r="DR888" s="56"/>
      <c r="DS888" s="56"/>
      <c r="DT888" s="56"/>
      <c r="DU888" s="56"/>
      <c r="DV888" s="56"/>
      <c r="DW888" s="56"/>
      <c r="DX888" s="56"/>
      <c r="DY888" s="56"/>
      <c r="DZ888" s="56"/>
      <c r="EA888" s="56"/>
      <c r="EB888" s="56"/>
      <c r="EC888" s="56"/>
      <c r="ED888" s="56"/>
      <c r="EE888" s="56"/>
      <c r="EF888" s="56"/>
      <c r="EG888" s="56"/>
      <c r="EH888" s="56"/>
      <c r="EI888" s="56"/>
      <c r="EJ888" s="56"/>
      <c r="EK888" s="56"/>
      <c r="EL888" s="56"/>
      <c r="EM888" s="56"/>
      <c r="EN888" s="56"/>
      <c r="EO888" s="56"/>
      <c r="EP888" s="56"/>
      <c r="EQ888" s="56"/>
      <c r="ER888" s="56"/>
      <c r="ES888" s="56"/>
      <c r="ET888" s="56"/>
      <c r="EU888" s="56"/>
      <c r="EV888" s="56"/>
      <c r="EW888" s="56"/>
      <c r="EX888" s="56"/>
      <c r="EY888" s="56"/>
      <c r="EZ888" s="56"/>
      <c r="FA888" s="56"/>
      <c r="FB888" s="56"/>
      <c r="FC888" s="56"/>
      <c r="FD888" s="56"/>
      <c r="FE888" s="56"/>
      <c r="FF888" s="56"/>
      <c r="FG888" s="56"/>
      <c r="FH888" s="56"/>
      <c r="FI888" s="56"/>
      <c r="FJ888" s="56"/>
      <c r="FK888" s="56"/>
      <c r="FL888" s="56"/>
      <c r="FM888" s="56"/>
      <c r="FN888" s="56"/>
      <c r="FO888" s="56"/>
      <c r="FP888" s="56"/>
      <c r="FQ888" s="56"/>
      <c r="FR888" s="56"/>
      <c r="FS888" s="56"/>
      <c r="FT888" s="56"/>
      <c r="FU888" s="56"/>
      <c r="FV888" s="56"/>
      <c r="FW888" s="56"/>
      <c r="FX888" s="56"/>
      <c r="FY888" s="56"/>
      <c r="FZ888" s="56"/>
      <c r="GA888" s="56"/>
      <c r="GB888" s="56"/>
      <c r="GC888" s="56"/>
      <c r="GD888" s="56"/>
      <c r="GE888" s="56"/>
      <c r="GF888" s="56"/>
      <c r="GG888" s="56"/>
      <c r="GH888" s="56"/>
      <c r="GI888" s="56"/>
      <c r="GJ888" s="56"/>
      <c r="GK888" s="56"/>
      <c r="GL888" s="56"/>
      <c r="GM888" s="56"/>
      <c r="GN888" s="56"/>
      <c r="GO888" s="56"/>
      <c r="GP888" s="56"/>
      <c r="GQ888" s="56"/>
      <c r="GR888" s="56"/>
      <c r="GS888" s="56"/>
      <c r="GT888" s="56"/>
      <c r="GU888" s="56"/>
      <c r="GV888" s="56"/>
      <c r="GW888" s="56"/>
      <c r="GX888" s="56"/>
      <c r="GY888" s="56"/>
      <c r="GZ888" s="56"/>
      <c r="HA888" s="56"/>
      <c r="HB888" s="56"/>
      <c r="HC888" s="56"/>
      <c r="HD888" s="56"/>
      <c r="HE888" s="56"/>
      <c r="HF888" s="56"/>
      <c r="HG888" s="56"/>
      <c r="HH888" s="56"/>
      <c r="HI888" s="56"/>
      <c r="HJ888" s="56"/>
    </row>
    <row r="889" spans="1:218" ht="15.75" customHeight="1" x14ac:dyDescent="0.2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  <c r="BV889" s="56"/>
      <c r="BW889" s="56"/>
      <c r="BX889" s="56"/>
      <c r="BY889" s="56"/>
      <c r="BZ889" s="56"/>
      <c r="CA889" s="56"/>
      <c r="CB889" s="56"/>
      <c r="CC889" s="56"/>
      <c r="CD889" s="56"/>
      <c r="CE889" s="56"/>
      <c r="CF889" s="56"/>
      <c r="CG889" s="56"/>
      <c r="CH889" s="56"/>
      <c r="CI889" s="56"/>
      <c r="CJ889" s="56"/>
      <c r="CK889" s="56"/>
      <c r="CL889" s="56"/>
      <c r="CM889" s="56"/>
      <c r="CN889" s="56"/>
      <c r="CO889" s="56"/>
      <c r="CP889" s="56"/>
      <c r="CQ889" s="56"/>
      <c r="CR889" s="56"/>
      <c r="CS889" s="56"/>
      <c r="CT889" s="56"/>
      <c r="CU889" s="56"/>
      <c r="CV889" s="56"/>
      <c r="CW889" s="56"/>
      <c r="CX889" s="56"/>
      <c r="CY889" s="56"/>
      <c r="CZ889" s="56"/>
      <c r="DA889" s="56"/>
      <c r="DB889" s="56"/>
      <c r="DC889" s="56"/>
      <c r="DD889" s="56"/>
      <c r="DE889" s="56"/>
      <c r="DF889" s="56"/>
      <c r="DG889" s="56"/>
      <c r="DH889" s="56"/>
      <c r="DI889" s="56"/>
      <c r="DJ889" s="56"/>
      <c r="DK889" s="56"/>
      <c r="DL889" s="56"/>
      <c r="DM889" s="56"/>
      <c r="DN889" s="56"/>
      <c r="DO889" s="56"/>
      <c r="DP889" s="56"/>
      <c r="DQ889" s="56"/>
      <c r="DR889" s="56"/>
      <c r="DS889" s="56"/>
      <c r="DT889" s="56"/>
      <c r="DU889" s="56"/>
      <c r="DV889" s="56"/>
      <c r="DW889" s="56"/>
      <c r="DX889" s="56"/>
      <c r="DY889" s="56"/>
      <c r="DZ889" s="56"/>
      <c r="EA889" s="56"/>
      <c r="EB889" s="56"/>
      <c r="EC889" s="56"/>
      <c r="ED889" s="56"/>
      <c r="EE889" s="56"/>
      <c r="EF889" s="56"/>
      <c r="EG889" s="56"/>
      <c r="EH889" s="56"/>
      <c r="EI889" s="56"/>
      <c r="EJ889" s="56"/>
      <c r="EK889" s="56"/>
      <c r="EL889" s="56"/>
      <c r="EM889" s="56"/>
      <c r="EN889" s="56"/>
      <c r="EO889" s="56"/>
      <c r="EP889" s="56"/>
      <c r="EQ889" s="56"/>
      <c r="ER889" s="56"/>
      <c r="ES889" s="56"/>
      <c r="ET889" s="56"/>
      <c r="EU889" s="56"/>
      <c r="EV889" s="56"/>
      <c r="EW889" s="56"/>
      <c r="EX889" s="56"/>
      <c r="EY889" s="56"/>
      <c r="EZ889" s="56"/>
      <c r="FA889" s="56"/>
      <c r="FB889" s="56"/>
      <c r="FC889" s="56"/>
      <c r="FD889" s="56"/>
      <c r="FE889" s="56"/>
      <c r="FF889" s="56"/>
      <c r="FG889" s="56"/>
      <c r="FH889" s="56"/>
      <c r="FI889" s="56"/>
      <c r="FJ889" s="56"/>
      <c r="FK889" s="56"/>
      <c r="FL889" s="56"/>
      <c r="FM889" s="56"/>
      <c r="FN889" s="56"/>
      <c r="FO889" s="56"/>
      <c r="FP889" s="56"/>
      <c r="FQ889" s="56"/>
      <c r="FR889" s="56"/>
      <c r="FS889" s="56"/>
      <c r="FT889" s="56"/>
      <c r="FU889" s="56"/>
      <c r="FV889" s="56"/>
      <c r="FW889" s="56"/>
      <c r="FX889" s="56"/>
      <c r="FY889" s="56"/>
      <c r="FZ889" s="56"/>
      <c r="GA889" s="56"/>
      <c r="GB889" s="56"/>
      <c r="GC889" s="56"/>
      <c r="GD889" s="56"/>
      <c r="GE889" s="56"/>
      <c r="GF889" s="56"/>
      <c r="GG889" s="56"/>
      <c r="GH889" s="56"/>
      <c r="GI889" s="56"/>
      <c r="GJ889" s="56"/>
      <c r="GK889" s="56"/>
      <c r="GL889" s="56"/>
      <c r="GM889" s="56"/>
      <c r="GN889" s="56"/>
      <c r="GO889" s="56"/>
      <c r="GP889" s="56"/>
      <c r="GQ889" s="56"/>
      <c r="GR889" s="56"/>
      <c r="GS889" s="56"/>
      <c r="GT889" s="56"/>
      <c r="GU889" s="56"/>
      <c r="GV889" s="56"/>
      <c r="GW889" s="56"/>
      <c r="GX889" s="56"/>
      <c r="GY889" s="56"/>
      <c r="GZ889" s="56"/>
      <c r="HA889" s="56"/>
      <c r="HB889" s="56"/>
      <c r="HC889" s="56"/>
      <c r="HD889" s="56"/>
      <c r="HE889" s="56"/>
      <c r="HF889" s="56"/>
      <c r="HG889" s="56"/>
      <c r="HH889" s="56"/>
      <c r="HI889" s="56"/>
      <c r="HJ889" s="56"/>
    </row>
    <row r="890" spans="1:218" ht="15.75" customHeight="1" x14ac:dyDescent="0.2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  <c r="BV890" s="56"/>
      <c r="BW890" s="56"/>
      <c r="BX890" s="56"/>
      <c r="BY890" s="56"/>
      <c r="BZ890" s="56"/>
      <c r="CA890" s="56"/>
      <c r="CB890" s="56"/>
      <c r="CC890" s="56"/>
      <c r="CD890" s="56"/>
      <c r="CE890" s="56"/>
      <c r="CF890" s="56"/>
      <c r="CG890" s="56"/>
      <c r="CH890" s="56"/>
      <c r="CI890" s="56"/>
      <c r="CJ890" s="56"/>
      <c r="CK890" s="56"/>
      <c r="CL890" s="56"/>
      <c r="CM890" s="56"/>
      <c r="CN890" s="56"/>
      <c r="CO890" s="56"/>
      <c r="CP890" s="56"/>
      <c r="CQ890" s="56"/>
      <c r="CR890" s="56"/>
      <c r="CS890" s="56"/>
      <c r="CT890" s="56"/>
      <c r="CU890" s="56"/>
      <c r="CV890" s="56"/>
      <c r="CW890" s="56"/>
      <c r="CX890" s="56"/>
      <c r="CY890" s="56"/>
      <c r="CZ890" s="56"/>
      <c r="DA890" s="56"/>
      <c r="DB890" s="56"/>
      <c r="DC890" s="56"/>
      <c r="DD890" s="56"/>
      <c r="DE890" s="56"/>
      <c r="DF890" s="56"/>
      <c r="DG890" s="56"/>
      <c r="DH890" s="56"/>
      <c r="DI890" s="56"/>
      <c r="DJ890" s="56"/>
      <c r="DK890" s="56"/>
      <c r="DL890" s="56"/>
      <c r="DM890" s="56"/>
      <c r="DN890" s="56"/>
      <c r="DO890" s="56"/>
      <c r="DP890" s="56"/>
      <c r="DQ890" s="56"/>
      <c r="DR890" s="56"/>
      <c r="DS890" s="56"/>
      <c r="DT890" s="56"/>
      <c r="DU890" s="56"/>
      <c r="DV890" s="56"/>
      <c r="DW890" s="56"/>
      <c r="DX890" s="56"/>
      <c r="DY890" s="56"/>
      <c r="DZ890" s="56"/>
      <c r="EA890" s="56"/>
      <c r="EB890" s="56"/>
      <c r="EC890" s="56"/>
      <c r="ED890" s="56"/>
      <c r="EE890" s="56"/>
      <c r="EF890" s="56"/>
      <c r="EG890" s="56"/>
      <c r="EH890" s="56"/>
      <c r="EI890" s="56"/>
      <c r="EJ890" s="56"/>
      <c r="EK890" s="56"/>
      <c r="EL890" s="56"/>
      <c r="EM890" s="56"/>
      <c r="EN890" s="56"/>
      <c r="EO890" s="56"/>
      <c r="EP890" s="56"/>
      <c r="EQ890" s="56"/>
      <c r="ER890" s="56"/>
      <c r="ES890" s="56"/>
      <c r="ET890" s="56"/>
      <c r="EU890" s="56"/>
      <c r="EV890" s="56"/>
      <c r="EW890" s="56"/>
      <c r="EX890" s="56"/>
      <c r="EY890" s="56"/>
      <c r="EZ890" s="56"/>
      <c r="FA890" s="56"/>
      <c r="FB890" s="56"/>
      <c r="FC890" s="56"/>
      <c r="FD890" s="56"/>
      <c r="FE890" s="56"/>
      <c r="FF890" s="56"/>
      <c r="FG890" s="56"/>
      <c r="FH890" s="56"/>
      <c r="FI890" s="56"/>
      <c r="FJ890" s="56"/>
      <c r="FK890" s="56"/>
      <c r="FL890" s="56"/>
      <c r="FM890" s="56"/>
      <c r="FN890" s="56"/>
      <c r="FO890" s="56"/>
      <c r="FP890" s="56"/>
      <c r="FQ890" s="56"/>
      <c r="FR890" s="56"/>
      <c r="FS890" s="56"/>
      <c r="FT890" s="56"/>
      <c r="FU890" s="56"/>
      <c r="FV890" s="56"/>
      <c r="FW890" s="56"/>
      <c r="FX890" s="56"/>
      <c r="FY890" s="56"/>
      <c r="FZ890" s="56"/>
      <c r="GA890" s="56"/>
      <c r="GB890" s="56"/>
      <c r="GC890" s="56"/>
      <c r="GD890" s="56"/>
      <c r="GE890" s="56"/>
      <c r="GF890" s="56"/>
      <c r="GG890" s="56"/>
      <c r="GH890" s="56"/>
      <c r="GI890" s="56"/>
      <c r="GJ890" s="56"/>
      <c r="GK890" s="56"/>
      <c r="GL890" s="56"/>
      <c r="GM890" s="56"/>
      <c r="GN890" s="56"/>
      <c r="GO890" s="56"/>
      <c r="GP890" s="56"/>
      <c r="GQ890" s="56"/>
      <c r="GR890" s="56"/>
      <c r="GS890" s="56"/>
      <c r="GT890" s="56"/>
      <c r="GU890" s="56"/>
      <c r="GV890" s="56"/>
      <c r="GW890" s="56"/>
      <c r="GX890" s="56"/>
      <c r="GY890" s="56"/>
      <c r="GZ890" s="56"/>
      <c r="HA890" s="56"/>
      <c r="HB890" s="56"/>
      <c r="HC890" s="56"/>
      <c r="HD890" s="56"/>
      <c r="HE890" s="56"/>
      <c r="HF890" s="56"/>
      <c r="HG890" s="56"/>
      <c r="HH890" s="56"/>
      <c r="HI890" s="56"/>
      <c r="HJ890" s="56"/>
    </row>
    <row r="891" spans="1:218" ht="15.75" customHeight="1" x14ac:dyDescent="0.2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  <c r="BV891" s="56"/>
      <c r="BW891" s="56"/>
      <c r="BX891" s="56"/>
      <c r="BY891" s="56"/>
      <c r="BZ891" s="56"/>
      <c r="CA891" s="56"/>
      <c r="CB891" s="56"/>
      <c r="CC891" s="56"/>
      <c r="CD891" s="56"/>
      <c r="CE891" s="56"/>
      <c r="CF891" s="56"/>
      <c r="CG891" s="56"/>
      <c r="CH891" s="56"/>
      <c r="CI891" s="56"/>
      <c r="CJ891" s="56"/>
      <c r="CK891" s="56"/>
      <c r="CL891" s="56"/>
      <c r="CM891" s="56"/>
      <c r="CN891" s="56"/>
      <c r="CO891" s="56"/>
      <c r="CP891" s="56"/>
      <c r="CQ891" s="56"/>
      <c r="CR891" s="56"/>
      <c r="CS891" s="56"/>
      <c r="CT891" s="56"/>
      <c r="CU891" s="56"/>
      <c r="CV891" s="56"/>
      <c r="CW891" s="56"/>
      <c r="CX891" s="56"/>
      <c r="CY891" s="56"/>
      <c r="CZ891" s="56"/>
      <c r="DA891" s="56"/>
      <c r="DB891" s="56"/>
      <c r="DC891" s="56"/>
      <c r="DD891" s="56"/>
      <c r="DE891" s="56"/>
      <c r="DF891" s="56"/>
      <c r="DG891" s="56"/>
      <c r="DH891" s="56"/>
      <c r="DI891" s="56"/>
      <c r="DJ891" s="56"/>
      <c r="DK891" s="56"/>
      <c r="DL891" s="56"/>
      <c r="DM891" s="56"/>
      <c r="DN891" s="56"/>
      <c r="DO891" s="56"/>
      <c r="DP891" s="56"/>
      <c r="DQ891" s="56"/>
      <c r="DR891" s="56"/>
      <c r="DS891" s="56"/>
      <c r="DT891" s="56"/>
      <c r="DU891" s="56"/>
      <c r="DV891" s="56"/>
      <c r="DW891" s="56"/>
      <c r="DX891" s="56"/>
      <c r="DY891" s="56"/>
      <c r="DZ891" s="56"/>
      <c r="EA891" s="56"/>
      <c r="EB891" s="56"/>
      <c r="EC891" s="56"/>
      <c r="ED891" s="56"/>
      <c r="EE891" s="56"/>
      <c r="EF891" s="56"/>
      <c r="EG891" s="56"/>
      <c r="EH891" s="56"/>
      <c r="EI891" s="56"/>
      <c r="EJ891" s="56"/>
      <c r="EK891" s="56"/>
      <c r="EL891" s="56"/>
      <c r="EM891" s="56"/>
      <c r="EN891" s="56"/>
      <c r="EO891" s="56"/>
      <c r="EP891" s="56"/>
      <c r="EQ891" s="56"/>
      <c r="ER891" s="56"/>
      <c r="ES891" s="56"/>
      <c r="ET891" s="56"/>
      <c r="EU891" s="56"/>
      <c r="EV891" s="56"/>
      <c r="EW891" s="56"/>
      <c r="EX891" s="56"/>
      <c r="EY891" s="56"/>
      <c r="EZ891" s="56"/>
      <c r="FA891" s="56"/>
      <c r="FB891" s="56"/>
      <c r="FC891" s="56"/>
      <c r="FD891" s="56"/>
      <c r="FE891" s="56"/>
      <c r="FF891" s="56"/>
      <c r="FG891" s="56"/>
      <c r="FH891" s="56"/>
      <c r="FI891" s="56"/>
      <c r="FJ891" s="56"/>
      <c r="FK891" s="56"/>
      <c r="FL891" s="56"/>
      <c r="FM891" s="56"/>
      <c r="FN891" s="56"/>
      <c r="FO891" s="56"/>
      <c r="FP891" s="56"/>
      <c r="FQ891" s="56"/>
      <c r="FR891" s="56"/>
      <c r="FS891" s="56"/>
      <c r="FT891" s="56"/>
      <c r="FU891" s="56"/>
      <c r="FV891" s="56"/>
      <c r="FW891" s="56"/>
      <c r="FX891" s="56"/>
      <c r="FY891" s="56"/>
      <c r="FZ891" s="56"/>
      <c r="GA891" s="56"/>
      <c r="GB891" s="56"/>
      <c r="GC891" s="56"/>
      <c r="GD891" s="56"/>
      <c r="GE891" s="56"/>
      <c r="GF891" s="56"/>
      <c r="GG891" s="56"/>
      <c r="GH891" s="56"/>
      <c r="GI891" s="56"/>
      <c r="GJ891" s="56"/>
      <c r="GK891" s="56"/>
      <c r="GL891" s="56"/>
      <c r="GM891" s="56"/>
      <c r="GN891" s="56"/>
      <c r="GO891" s="56"/>
      <c r="GP891" s="56"/>
      <c r="GQ891" s="56"/>
      <c r="GR891" s="56"/>
      <c r="GS891" s="56"/>
      <c r="GT891" s="56"/>
      <c r="GU891" s="56"/>
      <c r="GV891" s="56"/>
      <c r="GW891" s="56"/>
      <c r="GX891" s="56"/>
      <c r="GY891" s="56"/>
      <c r="GZ891" s="56"/>
      <c r="HA891" s="56"/>
      <c r="HB891" s="56"/>
      <c r="HC891" s="56"/>
      <c r="HD891" s="56"/>
      <c r="HE891" s="56"/>
      <c r="HF891" s="56"/>
      <c r="HG891" s="56"/>
      <c r="HH891" s="56"/>
      <c r="HI891" s="56"/>
      <c r="HJ891" s="56"/>
    </row>
    <row r="892" spans="1:218" ht="15.75" customHeight="1" x14ac:dyDescent="0.2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  <c r="BV892" s="56"/>
      <c r="BW892" s="56"/>
      <c r="BX892" s="56"/>
      <c r="BY892" s="56"/>
      <c r="BZ892" s="56"/>
      <c r="CA892" s="56"/>
      <c r="CB892" s="56"/>
      <c r="CC892" s="56"/>
      <c r="CD892" s="56"/>
      <c r="CE892" s="56"/>
      <c r="CF892" s="56"/>
      <c r="CG892" s="56"/>
      <c r="CH892" s="56"/>
      <c r="CI892" s="56"/>
      <c r="CJ892" s="56"/>
      <c r="CK892" s="56"/>
      <c r="CL892" s="56"/>
      <c r="CM892" s="56"/>
      <c r="CN892" s="56"/>
      <c r="CO892" s="56"/>
      <c r="CP892" s="56"/>
      <c r="CQ892" s="56"/>
      <c r="CR892" s="56"/>
      <c r="CS892" s="56"/>
      <c r="CT892" s="56"/>
      <c r="CU892" s="56"/>
      <c r="CV892" s="56"/>
      <c r="CW892" s="56"/>
      <c r="CX892" s="56"/>
      <c r="CY892" s="56"/>
      <c r="CZ892" s="56"/>
      <c r="DA892" s="56"/>
      <c r="DB892" s="56"/>
      <c r="DC892" s="56"/>
      <c r="DD892" s="56"/>
      <c r="DE892" s="56"/>
      <c r="DF892" s="56"/>
      <c r="DG892" s="56"/>
      <c r="DH892" s="56"/>
      <c r="DI892" s="56"/>
      <c r="DJ892" s="56"/>
      <c r="DK892" s="56"/>
      <c r="DL892" s="56"/>
      <c r="DM892" s="56"/>
      <c r="DN892" s="56"/>
      <c r="DO892" s="56"/>
      <c r="DP892" s="56"/>
      <c r="DQ892" s="56"/>
      <c r="DR892" s="56"/>
      <c r="DS892" s="56"/>
      <c r="DT892" s="56"/>
      <c r="DU892" s="56"/>
      <c r="DV892" s="56"/>
      <c r="DW892" s="56"/>
      <c r="DX892" s="56"/>
      <c r="DY892" s="56"/>
      <c r="DZ892" s="56"/>
      <c r="EA892" s="56"/>
      <c r="EB892" s="56"/>
      <c r="EC892" s="56"/>
      <c r="ED892" s="56"/>
      <c r="EE892" s="56"/>
      <c r="EF892" s="56"/>
      <c r="EG892" s="56"/>
      <c r="EH892" s="56"/>
      <c r="EI892" s="56"/>
      <c r="EJ892" s="56"/>
      <c r="EK892" s="56"/>
      <c r="EL892" s="56"/>
      <c r="EM892" s="56"/>
      <c r="EN892" s="56"/>
      <c r="EO892" s="56"/>
      <c r="EP892" s="56"/>
      <c r="EQ892" s="56"/>
      <c r="ER892" s="56"/>
      <c r="ES892" s="56"/>
      <c r="ET892" s="56"/>
      <c r="EU892" s="56"/>
      <c r="EV892" s="56"/>
      <c r="EW892" s="56"/>
      <c r="EX892" s="56"/>
      <c r="EY892" s="56"/>
      <c r="EZ892" s="56"/>
      <c r="FA892" s="56"/>
      <c r="FB892" s="56"/>
      <c r="FC892" s="56"/>
      <c r="FD892" s="56"/>
      <c r="FE892" s="56"/>
      <c r="FF892" s="56"/>
      <c r="FG892" s="56"/>
      <c r="FH892" s="56"/>
      <c r="FI892" s="56"/>
      <c r="FJ892" s="56"/>
      <c r="FK892" s="56"/>
      <c r="FL892" s="56"/>
      <c r="FM892" s="56"/>
      <c r="FN892" s="56"/>
      <c r="FO892" s="56"/>
      <c r="FP892" s="56"/>
      <c r="FQ892" s="56"/>
      <c r="FR892" s="56"/>
      <c r="FS892" s="56"/>
      <c r="FT892" s="56"/>
      <c r="FU892" s="56"/>
      <c r="FV892" s="56"/>
      <c r="FW892" s="56"/>
      <c r="FX892" s="56"/>
      <c r="FY892" s="56"/>
      <c r="FZ892" s="56"/>
      <c r="GA892" s="56"/>
      <c r="GB892" s="56"/>
      <c r="GC892" s="56"/>
      <c r="GD892" s="56"/>
      <c r="GE892" s="56"/>
      <c r="GF892" s="56"/>
      <c r="GG892" s="56"/>
      <c r="GH892" s="56"/>
      <c r="GI892" s="56"/>
      <c r="GJ892" s="56"/>
      <c r="GK892" s="56"/>
      <c r="GL892" s="56"/>
      <c r="GM892" s="56"/>
      <c r="GN892" s="56"/>
      <c r="GO892" s="56"/>
      <c r="GP892" s="56"/>
      <c r="GQ892" s="56"/>
      <c r="GR892" s="56"/>
      <c r="GS892" s="56"/>
      <c r="GT892" s="56"/>
      <c r="GU892" s="56"/>
      <c r="GV892" s="56"/>
      <c r="GW892" s="56"/>
      <c r="GX892" s="56"/>
      <c r="GY892" s="56"/>
      <c r="GZ892" s="56"/>
      <c r="HA892" s="56"/>
      <c r="HB892" s="56"/>
      <c r="HC892" s="56"/>
      <c r="HD892" s="56"/>
      <c r="HE892" s="56"/>
      <c r="HF892" s="56"/>
      <c r="HG892" s="56"/>
      <c r="HH892" s="56"/>
      <c r="HI892" s="56"/>
      <c r="HJ892" s="56"/>
    </row>
    <row r="893" spans="1:218" ht="15.75" customHeight="1" x14ac:dyDescent="0.2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56"/>
      <c r="CP893" s="56"/>
      <c r="CQ893" s="56"/>
      <c r="CR893" s="56"/>
      <c r="CS893" s="56"/>
      <c r="CT893" s="56"/>
      <c r="CU893" s="56"/>
      <c r="CV893" s="56"/>
      <c r="CW893" s="56"/>
      <c r="CX893" s="56"/>
      <c r="CY893" s="56"/>
      <c r="CZ893" s="56"/>
      <c r="DA893" s="56"/>
      <c r="DB893" s="56"/>
      <c r="DC893" s="56"/>
      <c r="DD893" s="56"/>
      <c r="DE893" s="56"/>
      <c r="DF893" s="56"/>
      <c r="DG893" s="56"/>
      <c r="DH893" s="56"/>
      <c r="DI893" s="56"/>
      <c r="DJ893" s="56"/>
      <c r="DK893" s="56"/>
      <c r="DL893" s="56"/>
      <c r="DM893" s="56"/>
      <c r="DN893" s="56"/>
      <c r="DO893" s="56"/>
      <c r="DP893" s="56"/>
      <c r="DQ893" s="56"/>
      <c r="DR893" s="56"/>
      <c r="DS893" s="56"/>
      <c r="DT893" s="56"/>
      <c r="DU893" s="56"/>
      <c r="DV893" s="56"/>
      <c r="DW893" s="56"/>
      <c r="DX893" s="56"/>
      <c r="DY893" s="56"/>
      <c r="DZ893" s="56"/>
      <c r="EA893" s="56"/>
      <c r="EB893" s="56"/>
      <c r="EC893" s="56"/>
      <c r="ED893" s="56"/>
      <c r="EE893" s="56"/>
      <c r="EF893" s="56"/>
      <c r="EG893" s="56"/>
      <c r="EH893" s="56"/>
      <c r="EI893" s="56"/>
      <c r="EJ893" s="56"/>
      <c r="EK893" s="56"/>
      <c r="EL893" s="56"/>
      <c r="EM893" s="56"/>
      <c r="EN893" s="56"/>
      <c r="EO893" s="56"/>
      <c r="EP893" s="56"/>
      <c r="EQ893" s="56"/>
      <c r="ER893" s="56"/>
      <c r="ES893" s="56"/>
      <c r="ET893" s="56"/>
      <c r="EU893" s="56"/>
      <c r="EV893" s="56"/>
      <c r="EW893" s="56"/>
      <c r="EX893" s="56"/>
      <c r="EY893" s="56"/>
      <c r="EZ893" s="56"/>
      <c r="FA893" s="56"/>
      <c r="FB893" s="56"/>
      <c r="FC893" s="56"/>
      <c r="FD893" s="56"/>
      <c r="FE893" s="56"/>
      <c r="FF893" s="56"/>
      <c r="FG893" s="56"/>
      <c r="FH893" s="56"/>
      <c r="FI893" s="56"/>
      <c r="FJ893" s="56"/>
      <c r="FK893" s="56"/>
      <c r="FL893" s="56"/>
      <c r="FM893" s="56"/>
      <c r="FN893" s="56"/>
      <c r="FO893" s="56"/>
      <c r="FP893" s="56"/>
      <c r="FQ893" s="56"/>
      <c r="FR893" s="56"/>
      <c r="FS893" s="56"/>
      <c r="FT893" s="56"/>
      <c r="FU893" s="56"/>
      <c r="FV893" s="56"/>
      <c r="FW893" s="56"/>
      <c r="FX893" s="56"/>
      <c r="FY893" s="56"/>
      <c r="FZ893" s="56"/>
      <c r="GA893" s="56"/>
      <c r="GB893" s="56"/>
      <c r="GC893" s="56"/>
      <c r="GD893" s="56"/>
      <c r="GE893" s="56"/>
      <c r="GF893" s="56"/>
      <c r="GG893" s="56"/>
      <c r="GH893" s="56"/>
      <c r="GI893" s="56"/>
      <c r="GJ893" s="56"/>
      <c r="GK893" s="56"/>
      <c r="GL893" s="56"/>
      <c r="GM893" s="56"/>
      <c r="GN893" s="56"/>
      <c r="GO893" s="56"/>
      <c r="GP893" s="56"/>
      <c r="GQ893" s="56"/>
      <c r="GR893" s="56"/>
      <c r="GS893" s="56"/>
      <c r="GT893" s="56"/>
      <c r="GU893" s="56"/>
      <c r="GV893" s="56"/>
      <c r="GW893" s="56"/>
      <c r="GX893" s="56"/>
      <c r="GY893" s="56"/>
      <c r="GZ893" s="56"/>
      <c r="HA893" s="56"/>
      <c r="HB893" s="56"/>
      <c r="HC893" s="56"/>
      <c r="HD893" s="56"/>
      <c r="HE893" s="56"/>
      <c r="HF893" s="56"/>
      <c r="HG893" s="56"/>
      <c r="HH893" s="56"/>
      <c r="HI893" s="56"/>
      <c r="HJ893" s="56"/>
    </row>
    <row r="894" spans="1:218" ht="15.75" customHeight="1" x14ac:dyDescent="0.2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  <c r="CL894" s="56"/>
      <c r="CM894" s="56"/>
      <c r="CN894" s="56"/>
      <c r="CO894" s="56"/>
      <c r="CP894" s="56"/>
      <c r="CQ894" s="56"/>
      <c r="CR894" s="56"/>
      <c r="CS894" s="56"/>
      <c r="CT894" s="56"/>
      <c r="CU894" s="56"/>
      <c r="CV894" s="56"/>
      <c r="CW894" s="56"/>
      <c r="CX894" s="56"/>
      <c r="CY894" s="56"/>
      <c r="CZ894" s="56"/>
      <c r="DA894" s="56"/>
      <c r="DB894" s="56"/>
      <c r="DC894" s="56"/>
      <c r="DD894" s="56"/>
      <c r="DE894" s="56"/>
      <c r="DF894" s="56"/>
      <c r="DG894" s="56"/>
      <c r="DH894" s="56"/>
      <c r="DI894" s="56"/>
      <c r="DJ894" s="56"/>
      <c r="DK894" s="56"/>
      <c r="DL894" s="56"/>
      <c r="DM894" s="56"/>
      <c r="DN894" s="56"/>
      <c r="DO894" s="56"/>
      <c r="DP894" s="56"/>
      <c r="DQ894" s="56"/>
      <c r="DR894" s="56"/>
      <c r="DS894" s="56"/>
      <c r="DT894" s="56"/>
      <c r="DU894" s="56"/>
      <c r="DV894" s="56"/>
      <c r="DW894" s="56"/>
      <c r="DX894" s="56"/>
      <c r="DY894" s="56"/>
      <c r="DZ894" s="56"/>
      <c r="EA894" s="56"/>
      <c r="EB894" s="56"/>
      <c r="EC894" s="56"/>
      <c r="ED894" s="56"/>
      <c r="EE894" s="56"/>
      <c r="EF894" s="56"/>
      <c r="EG894" s="56"/>
      <c r="EH894" s="56"/>
      <c r="EI894" s="56"/>
      <c r="EJ894" s="56"/>
      <c r="EK894" s="56"/>
      <c r="EL894" s="56"/>
      <c r="EM894" s="56"/>
      <c r="EN894" s="56"/>
      <c r="EO894" s="56"/>
      <c r="EP894" s="56"/>
      <c r="EQ894" s="56"/>
      <c r="ER894" s="56"/>
      <c r="ES894" s="56"/>
      <c r="ET894" s="56"/>
      <c r="EU894" s="56"/>
      <c r="EV894" s="56"/>
      <c r="EW894" s="56"/>
      <c r="EX894" s="56"/>
      <c r="EY894" s="56"/>
      <c r="EZ894" s="56"/>
      <c r="FA894" s="56"/>
      <c r="FB894" s="56"/>
      <c r="FC894" s="56"/>
      <c r="FD894" s="56"/>
      <c r="FE894" s="56"/>
      <c r="FF894" s="56"/>
      <c r="FG894" s="56"/>
      <c r="FH894" s="56"/>
      <c r="FI894" s="56"/>
      <c r="FJ894" s="56"/>
      <c r="FK894" s="56"/>
      <c r="FL894" s="56"/>
      <c r="FM894" s="56"/>
      <c r="FN894" s="56"/>
      <c r="FO894" s="56"/>
      <c r="FP894" s="56"/>
      <c r="FQ894" s="56"/>
      <c r="FR894" s="56"/>
      <c r="FS894" s="56"/>
      <c r="FT894" s="56"/>
      <c r="FU894" s="56"/>
      <c r="FV894" s="56"/>
      <c r="FW894" s="56"/>
      <c r="FX894" s="56"/>
      <c r="FY894" s="56"/>
      <c r="FZ894" s="56"/>
      <c r="GA894" s="56"/>
      <c r="GB894" s="56"/>
      <c r="GC894" s="56"/>
      <c r="GD894" s="56"/>
      <c r="GE894" s="56"/>
      <c r="GF894" s="56"/>
      <c r="GG894" s="56"/>
      <c r="GH894" s="56"/>
      <c r="GI894" s="56"/>
      <c r="GJ894" s="56"/>
      <c r="GK894" s="56"/>
      <c r="GL894" s="56"/>
      <c r="GM894" s="56"/>
      <c r="GN894" s="56"/>
      <c r="GO894" s="56"/>
      <c r="GP894" s="56"/>
      <c r="GQ894" s="56"/>
      <c r="GR894" s="56"/>
      <c r="GS894" s="56"/>
      <c r="GT894" s="56"/>
      <c r="GU894" s="56"/>
      <c r="GV894" s="56"/>
      <c r="GW894" s="56"/>
      <c r="GX894" s="56"/>
      <c r="GY894" s="56"/>
      <c r="GZ894" s="56"/>
      <c r="HA894" s="56"/>
      <c r="HB894" s="56"/>
      <c r="HC894" s="56"/>
      <c r="HD894" s="56"/>
      <c r="HE894" s="56"/>
      <c r="HF894" s="56"/>
      <c r="HG894" s="56"/>
      <c r="HH894" s="56"/>
      <c r="HI894" s="56"/>
      <c r="HJ894" s="56"/>
    </row>
    <row r="895" spans="1:218" ht="15.75" customHeight="1" x14ac:dyDescent="0.2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  <c r="CL895" s="56"/>
      <c r="CM895" s="56"/>
      <c r="CN895" s="56"/>
      <c r="CO895" s="56"/>
      <c r="CP895" s="56"/>
      <c r="CQ895" s="56"/>
      <c r="CR895" s="56"/>
      <c r="CS895" s="56"/>
      <c r="CT895" s="56"/>
      <c r="CU895" s="56"/>
      <c r="CV895" s="56"/>
      <c r="CW895" s="56"/>
      <c r="CX895" s="56"/>
      <c r="CY895" s="56"/>
      <c r="CZ895" s="56"/>
      <c r="DA895" s="56"/>
      <c r="DB895" s="56"/>
      <c r="DC895" s="56"/>
      <c r="DD895" s="56"/>
      <c r="DE895" s="56"/>
      <c r="DF895" s="56"/>
      <c r="DG895" s="56"/>
      <c r="DH895" s="56"/>
      <c r="DI895" s="56"/>
      <c r="DJ895" s="56"/>
      <c r="DK895" s="56"/>
      <c r="DL895" s="56"/>
      <c r="DM895" s="56"/>
      <c r="DN895" s="56"/>
      <c r="DO895" s="56"/>
      <c r="DP895" s="56"/>
      <c r="DQ895" s="56"/>
      <c r="DR895" s="56"/>
      <c r="DS895" s="56"/>
      <c r="DT895" s="56"/>
      <c r="DU895" s="56"/>
      <c r="DV895" s="56"/>
      <c r="DW895" s="56"/>
      <c r="DX895" s="56"/>
      <c r="DY895" s="56"/>
      <c r="DZ895" s="56"/>
      <c r="EA895" s="56"/>
      <c r="EB895" s="56"/>
      <c r="EC895" s="56"/>
      <c r="ED895" s="56"/>
      <c r="EE895" s="56"/>
      <c r="EF895" s="56"/>
      <c r="EG895" s="56"/>
      <c r="EH895" s="56"/>
      <c r="EI895" s="56"/>
      <c r="EJ895" s="56"/>
      <c r="EK895" s="56"/>
      <c r="EL895" s="56"/>
      <c r="EM895" s="56"/>
      <c r="EN895" s="56"/>
      <c r="EO895" s="56"/>
      <c r="EP895" s="56"/>
      <c r="EQ895" s="56"/>
      <c r="ER895" s="56"/>
      <c r="ES895" s="56"/>
      <c r="ET895" s="56"/>
      <c r="EU895" s="56"/>
      <c r="EV895" s="56"/>
      <c r="EW895" s="56"/>
      <c r="EX895" s="56"/>
      <c r="EY895" s="56"/>
      <c r="EZ895" s="56"/>
      <c r="FA895" s="56"/>
      <c r="FB895" s="56"/>
      <c r="FC895" s="56"/>
      <c r="FD895" s="56"/>
      <c r="FE895" s="56"/>
      <c r="FF895" s="56"/>
      <c r="FG895" s="56"/>
      <c r="FH895" s="56"/>
      <c r="FI895" s="56"/>
      <c r="FJ895" s="56"/>
      <c r="FK895" s="56"/>
      <c r="FL895" s="56"/>
      <c r="FM895" s="56"/>
      <c r="FN895" s="56"/>
      <c r="FO895" s="56"/>
      <c r="FP895" s="56"/>
      <c r="FQ895" s="56"/>
      <c r="FR895" s="56"/>
      <c r="FS895" s="56"/>
      <c r="FT895" s="56"/>
      <c r="FU895" s="56"/>
      <c r="FV895" s="56"/>
      <c r="FW895" s="56"/>
      <c r="FX895" s="56"/>
      <c r="FY895" s="56"/>
      <c r="FZ895" s="56"/>
      <c r="GA895" s="56"/>
      <c r="GB895" s="56"/>
      <c r="GC895" s="56"/>
      <c r="GD895" s="56"/>
      <c r="GE895" s="56"/>
      <c r="GF895" s="56"/>
      <c r="GG895" s="56"/>
      <c r="GH895" s="56"/>
      <c r="GI895" s="56"/>
      <c r="GJ895" s="56"/>
      <c r="GK895" s="56"/>
      <c r="GL895" s="56"/>
      <c r="GM895" s="56"/>
      <c r="GN895" s="56"/>
      <c r="GO895" s="56"/>
      <c r="GP895" s="56"/>
      <c r="GQ895" s="56"/>
      <c r="GR895" s="56"/>
      <c r="GS895" s="56"/>
      <c r="GT895" s="56"/>
      <c r="GU895" s="56"/>
      <c r="GV895" s="56"/>
      <c r="GW895" s="56"/>
      <c r="GX895" s="56"/>
      <c r="GY895" s="56"/>
      <c r="GZ895" s="56"/>
      <c r="HA895" s="56"/>
      <c r="HB895" s="56"/>
      <c r="HC895" s="56"/>
      <c r="HD895" s="56"/>
      <c r="HE895" s="56"/>
      <c r="HF895" s="56"/>
      <c r="HG895" s="56"/>
      <c r="HH895" s="56"/>
      <c r="HI895" s="56"/>
      <c r="HJ895" s="56"/>
    </row>
    <row r="896" spans="1:218" ht="15.75" customHeight="1" x14ac:dyDescent="0.2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  <c r="CL896" s="56"/>
      <c r="CM896" s="56"/>
      <c r="CN896" s="56"/>
      <c r="CO896" s="56"/>
      <c r="CP896" s="56"/>
      <c r="CQ896" s="56"/>
      <c r="CR896" s="56"/>
      <c r="CS896" s="56"/>
      <c r="CT896" s="56"/>
      <c r="CU896" s="56"/>
      <c r="CV896" s="56"/>
      <c r="CW896" s="56"/>
      <c r="CX896" s="56"/>
      <c r="CY896" s="56"/>
      <c r="CZ896" s="56"/>
      <c r="DA896" s="56"/>
      <c r="DB896" s="56"/>
      <c r="DC896" s="56"/>
      <c r="DD896" s="56"/>
      <c r="DE896" s="56"/>
      <c r="DF896" s="56"/>
      <c r="DG896" s="56"/>
      <c r="DH896" s="56"/>
      <c r="DI896" s="56"/>
      <c r="DJ896" s="56"/>
      <c r="DK896" s="56"/>
      <c r="DL896" s="56"/>
      <c r="DM896" s="56"/>
      <c r="DN896" s="56"/>
      <c r="DO896" s="56"/>
      <c r="DP896" s="56"/>
      <c r="DQ896" s="56"/>
      <c r="DR896" s="56"/>
      <c r="DS896" s="56"/>
      <c r="DT896" s="56"/>
      <c r="DU896" s="56"/>
      <c r="DV896" s="56"/>
      <c r="DW896" s="56"/>
      <c r="DX896" s="56"/>
      <c r="DY896" s="56"/>
      <c r="DZ896" s="56"/>
      <c r="EA896" s="56"/>
      <c r="EB896" s="56"/>
      <c r="EC896" s="56"/>
      <c r="ED896" s="56"/>
      <c r="EE896" s="56"/>
      <c r="EF896" s="56"/>
      <c r="EG896" s="56"/>
      <c r="EH896" s="56"/>
      <c r="EI896" s="56"/>
      <c r="EJ896" s="56"/>
      <c r="EK896" s="56"/>
      <c r="EL896" s="56"/>
      <c r="EM896" s="56"/>
      <c r="EN896" s="56"/>
      <c r="EO896" s="56"/>
      <c r="EP896" s="56"/>
      <c r="EQ896" s="56"/>
      <c r="ER896" s="56"/>
      <c r="ES896" s="56"/>
      <c r="ET896" s="56"/>
      <c r="EU896" s="56"/>
      <c r="EV896" s="56"/>
      <c r="EW896" s="56"/>
      <c r="EX896" s="56"/>
      <c r="EY896" s="56"/>
      <c r="EZ896" s="56"/>
      <c r="FA896" s="56"/>
      <c r="FB896" s="56"/>
      <c r="FC896" s="56"/>
      <c r="FD896" s="56"/>
      <c r="FE896" s="56"/>
      <c r="FF896" s="56"/>
      <c r="FG896" s="56"/>
      <c r="FH896" s="56"/>
      <c r="FI896" s="56"/>
      <c r="FJ896" s="56"/>
      <c r="FK896" s="56"/>
      <c r="FL896" s="56"/>
      <c r="FM896" s="56"/>
      <c r="FN896" s="56"/>
      <c r="FO896" s="56"/>
      <c r="FP896" s="56"/>
      <c r="FQ896" s="56"/>
      <c r="FR896" s="56"/>
      <c r="FS896" s="56"/>
      <c r="FT896" s="56"/>
      <c r="FU896" s="56"/>
      <c r="FV896" s="56"/>
      <c r="FW896" s="56"/>
      <c r="FX896" s="56"/>
      <c r="FY896" s="56"/>
      <c r="FZ896" s="56"/>
      <c r="GA896" s="56"/>
      <c r="GB896" s="56"/>
      <c r="GC896" s="56"/>
      <c r="GD896" s="56"/>
      <c r="GE896" s="56"/>
      <c r="GF896" s="56"/>
      <c r="GG896" s="56"/>
      <c r="GH896" s="56"/>
      <c r="GI896" s="56"/>
      <c r="GJ896" s="56"/>
      <c r="GK896" s="56"/>
      <c r="GL896" s="56"/>
      <c r="GM896" s="56"/>
      <c r="GN896" s="56"/>
      <c r="GO896" s="56"/>
      <c r="GP896" s="56"/>
      <c r="GQ896" s="56"/>
      <c r="GR896" s="56"/>
      <c r="GS896" s="56"/>
      <c r="GT896" s="56"/>
      <c r="GU896" s="56"/>
      <c r="GV896" s="56"/>
      <c r="GW896" s="56"/>
      <c r="GX896" s="56"/>
      <c r="GY896" s="56"/>
      <c r="GZ896" s="56"/>
      <c r="HA896" s="56"/>
      <c r="HB896" s="56"/>
      <c r="HC896" s="56"/>
      <c r="HD896" s="56"/>
      <c r="HE896" s="56"/>
      <c r="HF896" s="56"/>
      <c r="HG896" s="56"/>
      <c r="HH896" s="56"/>
      <c r="HI896" s="56"/>
      <c r="HJ896" s="56"/>
    </row>
    <row r="897" spans="1:218" ht="15.75" customHeight="1" x14ac:dyDescent="0.2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56"/>
      <c r="CP897" s="56"/>
      <c r="CQ897" s="56"/>
      <c r="CR897" s="56"/>
      <c r="CS897" s="56"/>
      <c r="CT897" s="56"/>
      <c r="CU897" s="56"/>
      <c r="CV897" s="56"/>
      <c r="CW897" s="56"/>
      <c r="CX897" s="56"/>
      <c r="CY897" s="56"/>
      <c r="CZ897" s="56"/>
      <c r="DA897" s="56"/>
      <c r="DB897" s="56"/>
      <c r="DC897" s="56"/>
      <c r="DD897" s="56"/>
      <c r="DE897" s="56"/>
      <c r="DF897" s="56"/>
      <c r="DG897" s="56"/>
      <c r="DH897" s="56"/>
      <c r="DI897" s="56"/>
      <c r="DJ897" s="56"/>
      <c r="DK897" s="56"/>
      <c r="DL897" s="56"/>
      <c r="DM897" s="56"/>
      <c r="DN897" s="56"/>
      <c r="DO897" s="56"/>
      <c r="DP897" s="56"/>
      <c r="DQ897" s="56"/>
      <c r="DR897" s="56"/>
      <c r="DS897" s="56"/>
      <c r="DT897" s="56"/>
      <c r="DU897" s="56"/>
      <c r="DV897" s="56"/>
      <c r="DW897" s="56"/>
      <c r="DX897" s="56"/>
      <c r="DY897" s="56"/>
      <c r="DZ897" s="56"/>
      <c r="EA897" s="56"/>
      <c r="EB897" s="56"/>
      <c r="EC897" s="56"/>
      <c r="ED897" s="56"/>
      <c r="EE897" s="56"/>
      <c r="EF897" s="56"/>
      <c r="EG897" s="56"/>
      <c r="EH897" s="56"/>
      <c r="EI897" s="56"/>
      <c r="EJ897" s="56"/>
      <c r="EK897" s="56"/>
      <c r="EL897" s="56"/>
      <c r="EM897" s="56"/>
      <c r="EN897" s="56"/>
      <c r="EO897" s="56"/>
      <c r="EP897" s="56"/>
      <c r="EQ897" s="56"/>
      <c r="ER897" s="56"/>
      <c r="ES897" s="56"/>
      <c r="ET897" s="56"/>
      <c r="EU897" s="56"/>
      <c r="EV897" s="56"/>
      <c r="EW897" s="56"/>
      <c r="EX897" s="56"/>
      <c r="EY897" s="56"/>
      <c r="EZ897" s="56"/>
      <c r="FA897" s="56"/>
      <c r="FB897" s="56"/>
      <c r="FC897" s="56"/>
      <c r="FD897" s="56"/>
      <c r="FE897" s="56"/>
      <c r="FF897" s="56"/>
      <c r="FG897" s="56"/>
      <c r="FH897" s="56"/>
      <c r="FI897" s="56"/>
      <c r="FJ897" s="56"/>
      <c r="FK897" s="56"/>
      <c r="FL897" s="56"/>
      <c r="FM897" s="56"/>
      <c r="FN897" s="56"/>
      <c r="FO897" s="56"/>
      <c r="FP897" s="56"/>
      <c r="FQ897" s="56"/>
      <c r="FR897" s="56"/>
      <c r="FS897" s="56"/>
      <c r="FT897" s="56"/>
      <c r="FU897" s="56"/>
      <c r="FV897" s="56"/>
      <c r="FW897" s="56"/>
      <c r="FX897" s="56"/>
      <c r="FY897" s="56"/>
      <c r="FZ897" s="56"/>
      <c r="GA897" s="56"/>
      <c r="GB897" s="56"/>
      <c r="GC897" s="56"/>
      <c r="GD897" s="56"/>
      <c r="GE897" s="56"/>
      <c r="GF897" s="56"/>
      <c r="GG897" s="56"/>
      <c r="GH897" s="56"/>
      <c r="GI897" s="56"/>
      <c r="GJ897" s="56"/>
      <c r="GK897" s="56"/>
      <c r="GL897" s="56"/>
      <c r="GM897" s="56"/>
      <c r="GN897" s="56"/>
      <c r="GO897" s="56"/>
      <c r="GP897" s="56"/>
      <c r="GQ897" s="56"/>
      <c r="GR897" s="56"/>
      <c r="GS897" s="56"/>
      <c r="GT897" s="56"/>
      <c r="GU897" s="56"/>
      <c r="GV897" s="56"/>
      <c r="GW897" s="56"/>
      <c r="GX897" s="56"/>
      <c r="GY897" s="56"/>
      <c r="GZ897" s="56"/>
      <c r="HA897" s="56"/>
      <c r="HB897" s="56"/>
      <c r="HC897" s="56"/>
      <c r="HD897" s="56"/>
      <c r="HE897" s="56"/>
      <c r="HF897" s="56"/>
      <c r="HG897" s="56"/>
      <c r="HH897" s="56"/>
      <c r="HI897" s="56"/>
      <c r="HJ897" s="56"/>
    </row>
    <row r="898" spans="1:218" ht="15.75" customHeight="1" x14ac:dyDescent="0.2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  <c r="CL898" s="56"/>
      <c r="CM898" s="56"/>
      <c r="CN898" s="56"/>
      <c r="CO898" s="56"/>
      <c r="CP898" s="56"/>
      <c r="CQ898" s="56"/>
      <c r="CR898" s="56"/>
      <c r="CS898" s="56"/>
      <c r="CT898" s="56"/>
      <c r="CU898" s="56"/>
      <c r="CV898" s="56"/>
      <c r="CW898" s="56"/>
      <c r="CX898" s="56"/>
      <c r="CY898" s="56"/>
      <c r="CZ898" s="56"/>
      <c r="DA898" s="56"/>
      <c r="DB898" s="56"/>
      <c r="DC898" s="56"/>
      <c r="DD898" s="56"/>
      <c r="DE898" s="56"/>
      <c r="DF898" s="56"/>
      <c r="DG898" s="56"/>
      <c r="DH898" s="56"/>
      <c r="DI898" s="56"/>
      <c r="DJ898" s="56"/>
      <c r="DK898" s="56"/>
      <c r="DL898" s="56"/>
      <c r="DM898" s="56"/>
      <c r="DN898" s="56"/>
      <c r="DO898" s="56"/>
      <c r="DP898" s="56"/>
      <c r="DQ898" s="56"/>
      <c r="DR898" s="56"/>
      <c r="DS898" s="56"/>
      <c r="DT898" s="56"/>
      <c r="DU898" s="56"/>
      <c r="DV898" s="56"/>
      <c r="DW898" s="56"/>
      <c r="DX898" s="56"/>
      <c r="DY898" s="56"/>
      <c r="DZ898" s="56"/>
      <c r="EA898" s="56"/>
      <c r="EB898" s="56"/>
      <c r="EC898" s="56"/>
      <c r="ED898" s="56"/>
      <c r="EE898" s="56"/>
      <c r="EF898" s="56"/>
      <c r="EG898" s="56"/>
      <c r="EH898" s="56"/>
      <c r="EI898" s="56"/>
      <c r="EJ898" s="56"/>
      <c r="EK898" s="56"/>
      <c r="EL898" s="56"/>
      <c r="EM898" s="56"/>
      <c r="EN898" s="56"/>
      <c r="EO898" s="56"/>
      <c r="EP898" s="56"/>
      <c r="EQ898" s="56"/>
      <c r="ER898" s="56"/>
      <c r="ES898" s="56"/>
      <c r="ET898" s="56"/>
      <c r="EU898" s="56"/>
      <c r="EV898" s="56"/>
      <c r="EW898" s="56"/>
      <c r="EX898" s="56"/>
      <c r="EY898" s="56"/>
      <c r="EZ898" s="56"/>
      <c r="FA898" s="56"/>
      <c r="FB898" s="56"/>
      <c r="FC898" s="56"/>
      <c r="FD898" s="56"/>
      <c r="FE898" s="56"/>
      <c r="FF898" s="56"/>
      <c r="FG898" s="56"/>
      <c r="FH898" s="56"/>
      <c r="FI898" s="56"/>
      <c r="FJ898" s="56"/>
      <c r="FK898" s="56"/>
      <c r="FL898" s="56"/>
      <c r="FM898" s="56"/>
      <c r="FN898" s="56"/>
      <c r="FO898" s="56"/>
      <c r="FP898" s="56"/>
      <c r="FQ898" s="56"/>
      <c r="FR898" s="56"/>
      <c r="FS898" s="56"/>
      <c r="FT898" s="56"/>
      <c r="FU898" s="56"/>
      <c r="FV898" s="56"/>
      <c r="FW898" s="56"/>
      <c r="FX898" s="56"/>
      <c r="FY898" s="56"/>
      <c r="FZ898" s="56"/>
      <c r="GA898" s="56"/>
      <c r="GB898" s="56"/>
      <c r="GC898" s="56"/>
      <c r="GD898" s="56"/>
      <c r="GE898" s="56"/>
      <c r="GF898" s="56"/>
      <c r="GG898" s="56"/>
      <c r="GH898" s="56"/>
      <c r="GI898" s="56"/>
      <c r="GJ898" s="56"/>
      <c r="GK898" s="56"/>
      <c r="GL898" s="56"/>
      <c r="GM898" s="56"/>
      <c r="GN898" s="56"/>
      <c r="GO898" s="56"/>
      <c r="GP898" s="56"/>
      <c r="GQ898" s="56"/>
      <c r="GR898" s="56"/>
      <c r="GS898" s="56"/>
      <c r="GT898" s="56"/>
      <c r="GU898" s="56"/>
      <c r="GV898" s="56"/>
      <c r="GW898" s="56"/>
      <c r="GX898" s="56"/>
      <c r="GY898" s="56"/>
      <c r="GZ898" s="56"/>
      <c r="HA898" s="56"/>
      <c r="HB898" s="56"/>
      <c r="HC898" s="56"/>
      <c r="HD898" s="56"/>
      <c r="HE898" s="56"/>
      <c r="HF898" s="56"/>
      <c r="HG898" s="56"/>
      <c r="HH898" s="56"/>
      <c r="HI898" s="56"/>
      <c r="HJ898" s="56"/>
    </row>
    <row r="899" spans="1:218" ht="15.75" customHeight="1" x14ac:dyDescent="0.2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  <c r="CL899" s="56"/>
      <c r="CM899" s="56"/>
      <c r="CN899" s="56"/>
      <c r="CO899" s="56"/>
      <c r="CP899" s="56"/>
      <c r="CQ899" s="56"/>
      <c r="CR899" s="56"/>
      <c r="CS899" s="56"/>
      <c r="CT899" s="56"/>
      <c r="CU899" s="56"/>
      <c r="CV899" s="56"/>
      <c r="CW899" s="56"/>
      <c r="CX899" s="56"/>
      <c r="CY899" s="56"/>
      <c r="CZ899" s="56"/>
      <c r="DA899" s="56"/>
      <c r="DB899" s="56"/>
      <c r="DC899" s="56"/>
      <c r="DD899" s="56"/>
      <c r="DE899" s="56"/>
      <c r="DF899" s="56"/>
      <c r="DG899" s="56"/>
      <c r="DH899" s="56"/>
      <c r="DI899" s="56"/>
      <c r="DJ899" s="56"/>
      <c r="DK899" s="56"/>
      <c r="DL899" s="56"/>
      <c r="DM899" s="56"/>
      <c r="DN899" s="56"/>
      <c r="DO899" s="56"/>
      <c r="DP899" s="56"/>
      <c r="DQ899" s="56"/>
      <c r="DR899" s="56"/>
      <c r="DS899" s="56"/>
      <c r="DT899" s="56"/>
      <c r="DU899" s="56"/>
      <c r="DV899" s="56"/>
      <c r="DW899" s="56"/>
      <c r="DX899" s="56"/>
      <c r="DY899" s="56"/>
      <c r="DZ899" s="56"/>
      <c r="EA899" s="56"/>
      <c r="EB899" s="56"/>
      <c r="EC899" s="56"/>
      <c r="ED899" s="56"/>
      <c r="EE899" s="56"/>
      <c r="EF899" s="56"/>
      <c r="EG899" s="56"/>
      <c r="EH899" s="56"/>
      <c r="EI899" s="56"/>
      <c r="EJ899" s="56"/>
      <c r="EK899" s="56"/>
      <c r="EL899" s="56"/>
      <c r="EM899" s="56"/>
      <c r="EN899" s="56"/>
      <c r="EO899" s="56"/>
      <c r="EP899" s="56"/>
      <c r="EQ899" s="56"/>
      <c r="ER899" s="56"/>
      <c r="ES899" s="56"/>
      <c r="ET899" s="56"/>
      <c r="EU899" s="56"/>
      <c r="EV899" s="56"/>
      <c r="EW899" s="56"/>
      <c r="EX899" s="56"/>
      <c r="EY899" s="56"/>
      <c r="EZ899" s="56"/>
      <c r="FA899" s="56"/>
      <c r="FB899" s="56"/>
      <c r="FC899" s="56"/>
      <c r="FD899" s="56"/>
      <c r="FE899" s="56"/>
      <c r="FF899" s="56"/>
      <c r="FG899" s="56"/>
      <c r="FH899" s="56"/>
      <c r="FI899" s="56"/>
      <c r="FJ899" s="56"/>
      <c r="FK899" s="56"/>
      <c r="FL899" s="56"/>
      <c r="FM899" s="56"/>
      <c r="FN899" s="56"/>
      <c r="FO899" s="56"/>
      <c r="FP899" s="56"/>
      <c r="FQ899" s="56"/>
      <c r="FR899" s="56"/>
      <c r="FS899" s="56"/>
      <c r="FT899" s="56"/>
      <c r="FU899" s="56"/>
      <c r="FV899" s="56"/>
      <c r="FW899" s="56"/>
      <c r="FX899" s="56"/>
      <c r="FY899" s="56"/>
      <c r="FZ899" s="56"/>
      <c r="GA899" s="56"/>
      <c r="GB899" s="56"/>
      <c r="GC899" s="56"/>
      <c r="GD899" s="56"/>
      <c r="GE899" s="56"/>
      <c r="GF899" s="56"/>
      <c r="GG899" s="56"/>
      <c r="GH899" s="56"/>
      <c r="GI899" s="56"/>
      <c r="GJ899" s="56"/>
      <c r="GK899" s="56"/>
      <c r="GL899" s="56"/>
      <c r="GM899" s="56"/>
      <c r="GN899" s="56"/>
      <c r="GO899" s="56"/>
      <c r="GP899" s="56"/>
      <c r="GQ899" s="56"/>
      <c r="GR899" s="56"/>
      <c r="GS899" s="56"/>
      <c r="GT899" s="56"/>
      <c r="GU899" s="56"/>
      <c r="GV899" s="56"/>
      <c r="GW899" s="56"/>
      <c r="GX899" s="56"/>
      <c r="GY899" s="56"/>
      <c r="GZ899" s="56"/>
      <c r="HA899" s="56"/>
      <c r="HB899" s="56"/>
      <c r="HC899" s="56"/>
      <c r="HD899" s="56"/>
      <c r="HE899" s="56"/>
      <c r="HF899" s="56"/>
      <c r="HG899" s="56"/>
      <c r="HH899" s="56"/>
      <c r="HI899" s="56"/>
      <c r="HJ899" s="56"/>
    </row>
    <row r="900" spans="1:218" ht="15.75" customHeight="1" x14ac:dyDescent="0.2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  <c r="BV900" s="56"/>
      <c r="BW900" s="56"/>
      <c r="BX900" s="56"/>
      <c r="BY900" s="56"/>
      <c r="BZ900" s="56"/>
      <c r="CA900" s="56"/>
      <c r="CB900" s="56"/>
      <c r="CC900" s="56"/>
      <c r="CD900" s="56"/>
      <c r="CE900" s="56"/>
      <c r="CF900" s="56"/>
      <c r="CG900" s="56"/>
      <c r="CH900" s="56"/>
      <c r="CI900" s="56"/>
      <c r="CJ900" s="56"/>
      <c r="CK900" s="56"/>
      <c r="CL900" s="56"/>
      <c r="CM900" s="56"/>
      <c r="CN900" s="56"/>
      <c r="CO900" s="56"/>
      <c r="CP900" s="56"/>
      <c r="CQ900" s="56"/>
      <c r="CR900" s="56"/>
      <c r="CS900" s="56"/>
      <c r="CT900" s="56"/>
      <c r="CU900" s="56"/>
      <c r="CV900" s="56"/>
      <c r="CW900" s="56"/>
      <c r="CX900" s="56"/>
      <c r="CY900" s="56"/>
      <c r="CZ900" s="56"/>
      <c r="DA900" s="56"/>
      <c r="DB900" s="56"/>
      <c r="DC900" s="56"/>
      <c r="DD900" s="56"/>
      <c r="DE900" s="56"/>
      <c r="DF900" s="56"/>
      <c r="DG900" s="56"/>
      <c r="DH900" s="56"/>
      <c r="DI900" s="56"/>
      <c r="DJ900" s="56"/>
      <c r="DK900" s="56"/>
      <c r="DL900" s="56"/>
      <c r="DM900" s="56"/>
      <c r="DN900" s="56"/>
      <c r="DO900" s="56"/>
      <c r="DP900" s="56"/>
      <c r="DQ900" s="56"/>
      <c r="DR900" s="56"/>
      <c r="DS900" s="56"/>
      <c r="DT900" s="56"/>
      <c r="DU900" s="56"/>
      <c r="DV900" s="56"/>
      <c r="DW900" s="56"/>
      <c r="DX900" s="56"/>
      <c r="DY900" s="56"/>
      <c r="DZ900" s="56"/>
      <c r="EA900" s="56"/>
      <c r="EB900" s="56"/>
      <c r="EC900" s="56"/>
      <c r="ED900" s="56"/>
      <c r="EE900" s="56"/>
      <c r="EF900" s="56"/>
      <c r="EG900" s="56"/>
      <c r="EH900" s="56"/>
      <c r="EI900" s="56"/>
      <c r="EJ900" s="56"/>
      <c r="EK900" s="56"/>
      <c r="EL900" s="56"/>
      <c r="EM900" s="56"/>
      <c r="EN900" s="56"/>
      <c r="EO900" s="56"/>
      <c r="EP900" s="56"/>
      <c r="EQ900" s="56"/>
      <c r="ER900" s="56"/>
      <c r="ES900" s="56"/>
      <c r="ET900" s="56"/>
      <c r="EU900" s="56"/>
      <c r="EV900" s="56"/>
      <c r="EW900" s="56"/>
      <c r="EX900" s="56"/>
      <c r="EY900" s="56"/>
      <c r="EZ900" s="56"/>
      <c r="FA900" s="56"/>
      <c r="FB900" s="56"/>
      <c r="FC900" s="56"/>
      <c r="FD900" s="56"/>
      <c r="FE900" s="56"/>
      <c r="FF900" s="56"/>
      <c r="FG900" s="56"/>
      <c r="FH900" s="56"/>
      <c r="FI900" s="56"/>
      <c r="FJ900" s="56"/>
      <c r="FK900" s="56"/>
      <c r="FL900" s="56"/>
      <c r="FM900" s="56"/>
      <c r="FN900" s="56"/>
      <c r="FO900" s="56"/>
      <c r="FP900" s="56"/>
      <c r="FQ900" s="56"/>
      <c r="FR900" s="56"/>
      <c r="FS900" s="56"/>
      <c r="FT900" s="56"/>
      <c r="FU900" s="56"/>
      <c r="FV900" s="56"/>
      <c r="FW900" s="56"/>
      <c r="FX900" s="56"/>
      <c r="FY900" s="56"/>
      <c r="FZ900" s="56"/>
      <c r="GA900" s="56"/>
      <c r="GB900" s="56"/>
      <c r="GC900" s="56"/>
      <c r="GD900" s="56"/>
      <c r="GE900" s="56"/>
      <c r="GF900" s="56"/>
      <c r="GG900" s="56"/>
      <c r="GH900" s="56"/>
      <c r="GI900" s="56"/>
      <c r="GJ900" s="56"/>
      <c r="GK900" s="56"/>
      <c r="GL900" s="56"/>
      <c r="GM900" s="56"/>
      <c r="GN900" s="56"/>
      <c r="GO900" s="56"/>
      <c r="GP900" s="56"/>
      <c r="GQ900" s="56"/>
      <c r="GR900" s="56"/>
      <c r="GS900" s="56"/>
      <c r="GT900" s="56"/>
      <c r="GU900" s="56"/>
      <c r="GV900" s="56"/>
      <c r="GW900" s="56"/>
      <c r="GX900" s="56"/>
      <c r="GY900" s="56"/>
      <c r="GZ900" s="56"/>
      <c r="HA900" s="56"/>
      <c r="HB900" s="56"/>
      <c r="HC900" s="56"/>
      <c r="HD900" s="56"/>
      <c r="HE900" s="56"/>
      <c r="HF900" s="56"/>
      <c r="HG900" s="56"/>
      <c r="HH900" s="56"/>
      <c r="HI900" s="56"/>
      <c r="HJ900" s="56"/>
    </row>
    <row r="901" spans="1:218" ht="15.75" customHeight="1" x14ac:dyDescent="0.2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  <c r="CL901" s="56"/>
      <c r="CM901" s="56"/>
      <c r="CN901" s="56"/>
      <c r="CO901" s="56"/>
      <c r="CP901" s="56"/>
      <c r="CQ901" s="56"/>
      <c r="CR901" s="56"/>
      <c r="CS901" s="56"/>
      <c r="CT901" s="56"/>
      <c r="CU901" s="56"/>
      <c r="CV901" s="56"/>
      <c r="CW901" s="56"/>
      <c r="CX901" s="56"/>
      <c r="CY901" s="56"/>
      <c r="CZ901" s="56"/>
      <c r="DA901" s="56"/>
      <c r="DB901" s="56"/>
      <c r="DC901" s="56"/>
      <c r="DD901" s="56"/>
      <c r="DE901" s="56"/>
      <c r="DF901" s="56"/>
      <c r="DG901" s="56"/>
      <c r="DH901" s="56"/>
      <c r="DI901" s="56"/>
      <c r="DJ901" s="56"/>
      <c r="DK901" s="56"/>
      <c r="DL901" s="56"/>
      <c r="DM901" s="56"/>
      <c r="DN901" s="56"/>
      <c r="DO901" s="56"/>
      <c r="DP901" s="56"/>
      <c r="DQ901" s="56"/>
      <c r="DR901" s="56"/>
      <c r="DS901" s="56"/>
      <c r="DT901" s="56"/>
      <c r="DU901" s="56"/>
      <c r="DV901" s="56"/>
      <c r="DW901" s="56"/>
      <c r="DX901" s="56"/>
      <c r="DY901" s="56"/>
      <c r="DZ901" s="56"/>
      <c r="EA901" s="56"/>
      <c r="EB901" s="56"/>
      <c r="EC901" s="56"/>
      <c r="ED901" s="56"/>
      <c r="EE901" s="56"/>
      <c r="EF901" s="56"/>
      <c r="EG901" s="56"/>
      <c r="EH901" s="56"/>
      <c r="EI901" s="56"/>
      <c r="EJ901" s="56"/>
      <c r="EK901" s="56"/>
      <c r="EL901" s="56"/>
      <c r="EM901" s="56"/>
      <c r="EN901" s="56"/>
      <c r="EO901" s="56"/>
      <c r="EP901" s="56"/>
      <c r="EQ901" s="56"/>
      <c r="ER901" s="56"/>
      <c r="ES901" s="56"/>
      <c r="ET901" s="56"/>
      <c r="EU901" s="56"/>
      <c r="EV901" s="56"/>
      <c r="EW901" s="56"/>
      <c r="EX901" s="56"/>
      <c r="EY901" s="56"/>
      <c r="EZ901" s="56"/>
      <c r="FA901" s="56"/>
      <c r="FB901" s="56"/>
      <c r="FC901" s="56"/>
      <c r="FD901" s="56"/>
      <c r="FE901" s="56"/>
      <c r="FF901" s="56"/>
      <c r="FG901" s="56"/>
      <c r="FH901" s="56"/>
      <c r="FI901" s="56"/>
      <c r="FJ901" s="56"/>
      <c r="FK901" s="56"/>
      <c r="FL901" s="56"/>
      <c r="FM901" s="56"/>
      <c r="FN901" s="56"/>
      <c r="FO901" s="56"/>
      <c r="FP901" s="56"/>
      <c r="FQ901" s="56"/>
      <c r="FR901" s="56"/>
      <c r="FS901" s="56"/>
      <c r="FT901" s="56"/>
      <c r="FU901" s="56"/>
      <c r="FV901" s="56"/>
      <c r="FW901" s="56"/>
      <c r="FX901" s="56"/>
      <c r="FY901" s="56"/>
      <c r="FZ901" s="56"/>
      <c r="GA901" s="56"/>
      <c r="GB901" s="56"/>
      <c r="GC901" s="56"/>
      <c r="GD901" s="56"/>
      <c r="GE901" s="56"/>
      <c r="GF901" s="56"/>
      <c r="GG901" s="56"/>
      <c r="GH901" s="56"/>
      <c r="GI901" s="56"/>
      <c r="GJ901" s="56"/>
      <c r="GK901" s="56"/>
      <c r="GL901" s="56"/>
      <c r="GM901" s="56"/>
      <c r="GN901" s="56"/>
      <c r="GO901" s="56"/>
      <c r="GP901" s="56"/>
      <c r="GQ901" s="56"/>
      <c r="GR901" s="56"/>
      <c r="GS901" s="56"/>
      <c r="GT901" s="56"/>
      <c r="GU901" s="56"/>
      <c r="GV901" s="56"/>
      <c r="GW901" s="56"/>
      <c r="GX901" s="56"/>
      <c r="GY901" s="56"/>
      <c r="GZ901" s="56"/>
      <c r="HA901" s="56"/>
      <c r="HB901" s="56"/>
      <c r="HC901" s="56"/>
      <c r="HD901" s="56"/>
      <c r="HE901" s="56"/>
      <c r="HF901" s="56"/>
      <c r="HG901" s="56"/>
      <c r="HH901" s="56"/>
      <c r="HI901" s="56"/>
      <c r="HJ901" s="56"/>
    </row>
    <row r="902" spans="1:218" ht="15.75" customHeight="1" x14ac:dyDescent="0.2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  <c r="BV902" s="56"/>
      <c r="BW902" s="56"/>
      <c r="BX902" s="56"/>
      <c r="BY902" s="56"/>
      <c r="BZ902" s="56"/>
      <c r="CA902" s="56"/>
      <c r="CB902" s="56"/>
      <c r="CC902" s="56"/>
      <c r="CD902" s="56"/>
      <c r="CE902" s="56"/>
      <c r="CF902" s="56"/>
      <c r="CG902" s="56"/>
      <c r="CH902" s="56"/>
      <c r="CI902" s="56"/>
      <c r="CJ902" s="56"/>
      <c r="CK902" s="56"/>
      <c r="CL902" s="56"/>
      <c r="CM902" s="56"/>
      <c r="CN902" s="56"/>
      <c r="CO902" s="56"/>
      <c r="CP902" s="56"/>
      <c r="CQ902" s="56"/>
      <c r="CR902" s="56"/>
      <c r="CS902" s="56"/>
      <c r="CT902" s="56"/>
      <c r="CU902" s="56"/>
      <c r="CV902" s="56"/>
      <c r="CW902" s="56"/>
      <c r="CX902" s="56"/>
      <c r="CY902" s="56"/>
      <c r="CZ902" s="56"/>
      <c r="DA902" s="56"/>
      <c r="DB902" s="56"/>
      <c r="DC902" s="56"/>
      <c r="DD902" s="56"/>
      <c r="DE902" s="56"/>
      <c r="DF902" s="56"/>
      <c r="DG902" s="56"/>
      <c r="DH902" s="56"/>
      <c r="DI902" s="56"/>
      <c r="DJ902" s="56"/>
      <c r="DK902" s="56"/>
      <c r="DL902" s="56"/>
      <c r="DM902" s="56"/>
      <c r="DN902" s="56"/>
      <c r="DO902" s="56"/>
      <c r="DP902" s="56"/>
      <c r="DQ902" s="56"/>
      <c r="DR902" s="56"/>
      <c r="DS902" s="56"/>
      <c r="DT902" s="56"/>
      <c r="DU902" s="56"/>
      <c r="DV902" s="56"/>
      <c r="DW902" s="56"/>
      <c r="DX902" s="56"/>
      <c r="DY902" s="56"/>
      <c r="DZ902" s="56"/>
      <c r="EA902" s="56"/>
      <c r="EB902" s="56"/>
      <c r="EC902" s="56"/>
      <c r="ED902" s="56"/>
      <c r="EE902" s="56"/>
      <c r="EF902" s="56"/>
      <c r="EG902" s="56"/>
      <c r="EH902" s="56"/>
      <c r="EI902" s="56"/>
      <c r="EJ902" s="56"/>
      <c r="EK902" s="56"/>
      <c r="EL902" s="56"/>
      <c r="EM902" s="56"/>
      <c r="EN902" s="56"/>
      <c r="EO902" s="56"/>
      <c r="EP902" s="56"/>
      <c r="EQ902" s="56"/>
      <c r="ER902" s="56"/>
      <c r="ES902" s="56"/>
      <c r="ET902" s="56"/>
      <c r="EU902" s="56"/>
      <c r="EV902" s="56"/>
      <c r="EW902" s="56"/>
      <c r="EX902" s="56"/>
      <c r="EY902" s="56"/>
      <c r="EZ902" s="56"/>
      <c r="FA902" s="56"/>
      <c r="FB902" s="56"/>
      <c r="FC902" s="56"/>
      <c r="FD902" s="56"/>
      <c r="FE902" s="56"/>
      <c r="FF902" s="56"/>
      <c r="FG902" s="56"/>
      <c r="FH902" s="56"/>
      <c r="FI902" s="56"/>
      <c r="FJ902" s="56"/>
      <c r="FK902" s="56"/>
      <c r="FL902" s="56"/>
      <c r="FM902" s="56"/>
      <c r="FN902" s="56"/>
      <c r="FO902" s="56"/>
      <c r="FP902" s="56"/>
      <c r="FQ902" s="56"/>
      <c r="FR902" s="56"/>
      <c r="FS902" s="56"/>
      <c r="FT902" s="56"/>
      <c r="FU902" s="56"/>
      <c r="FV902" s="56"/>
      <c r="FW902" s="56"/>
      <c r="FX902" s="56"/>
      <c r="FY902" s="56"/>
      <c r="FZ902" s="56"/>
      <c r="GA902" s="56"/>
      <c r="GB902" s="56"/>
      <c r="GC902" s="56"/>
      <c r="GD902" s="56"/>
      <c r="GE902" s="56"/>
      <c r="GF902" s="56"/>
      <c r="GG902" s="56"/>
      <c r="GH902" s="56"/>
      <c r="GI902" s="56"/>
      <c r="GJ902" s="56"/>
      <c r="GK902" s="56"/>
      <c r="GL902" s="56"/>
      <c r="GM902" s="56"/>
      <c r="GN902" s="56"/>
      <c r="GO902" s="56"/>
      <c r="GP902" s="56"/>
      <c r="GQ902" s="56"/>
      <c r="GR902" s="56"/>
      <c r="GS902" s="56"/>
      <c r="GT902" s="56"/>
      <c r="GU902" s="56"/>
      <c r="GV902" s="56"/>
      <c r="GW902" s="56"/>
      <c r="GX902" s="56"/>
      <c r="GY902" s="56"/>
      <c r="GZ902" s="56"/>
      <c r="HA902" s="56"/>
      <c r="HB902" s="56"/>
      <c r="HC902" s="56"/>
      <c r="HD902" s="56"/>
      <c r="HE902" s="56"/>
      <c r="HF902" s="56"/>
      <c r="HG902" s="56"/>
      <c r="HH902" s="56"/>
      <c r="HI902" s="56"/>
      <c r="HJ902" s="56"/>
    </row>
    <row r="903" spans="1:218" ht="15.75" customHeight="1" x14ac:dyDescent="0.2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  <c r="BV903" s="56"/>
      <c r="BW903" s="56"/>
      <c r="BX903" s="56"/>
      <c r="BY903" s="56"/>
      <c r="BZ903" s="56"/>
      <c r="CA903" s="56"/>
      <c r="CB903" s="56"/>
      <c r="CC903" s="56"/>
      <c r="CD903" s="56"/>
      <c r="CE903" s="56"/>
      <c r="CF903" s="56"/>
      <c r="CG903" s="56"/>
      <c r="CH903" s="56"/>
      <c r="CI903" s="56"/>
      <c r="CJ903" s="56"/>
      <c r="CK903" s="56"/>
      <c r="CL903" s="56"/>
      <c r="CM903" s="56"/>
      <c r="CN903" s="56"/>
      <c r="CO903" s="56"/>
      <c r="CP903" s="56"/>
      <c r="CQ903" s="56"/>
      <c r="CR903" s="56"/>
      <c r="CS903" s="56"/>
      <c r="CT903" s="56"/>
      <c r="CU903" s="56"/>
      <c r="CV903" s="56"/>
      <c r="CW903" s="56"/>
      <c r="CX903" s="56"/>
      <c r="CY903" s="56"/>
      <c r="CZ903" s="56"/>
      <c r="DA903" s="56"/>
      <c r="DB903" s="56"/>
      <c r="DC903" s="56"/>
      <c r="DD903" s="56"/>
      <c r="DE903" s="56"/>
      <c r="DF903" s="56"/>
      <c r="DG903" s="56"/>
      <c r="DH903" s="56"/>
      <c r="DI903" s="56"/>
      <c r="DJ903" s="56"/>
      <c r="DK903" s="56"/>
      <c r="DL903" s="56"/>
      <c r="DM903" s="56"/>
      <c r="DN903" s="56"/>
      <c r="DO903" s="56"/>
      <c r="DP903" s="56"/>
      <c r="DQ903" s="56"/>
      <c r="DR903" s="56"/>
      <c r="DS903" s="56"/>
      <c r="DT903" s="56"/>
      <c r="DU903" s="56"/>
      <c r="DV903" s="56"/>
      <c r="DW903" s="56"/>
      <c r="DX903" s="56"/>
      <c r="DY903" s="56"/>
      <c r="DZ903" s="56"/>
      <c r="EA903" s="56"/>
      <c r="EB903" s="56"/>
      <c r="EC903" s="56"/>
      <c r="ED903" s="56"/>
      <c r="EE903" s="56"/>
      <c r="EF903" s="56"/>
      <c r="EG903" s="56"/>
      <c r="EH903" s="56"/>
      <c r="EI903" s="56"/>
      <c r="EJ903" s="56"/>
      <c r="EK903" s="56"/>
      <c r="EL903" s="56"/>
      <c r="EM903" s="56"/>
      <c r="EN903" s="56"/>
      <c r="EO903" s="56"/>
      <c r="EP903" s="56"/>
      <c r="EQ903" s="56"/>
      <c r="ER903" s="56"/>
      <c r="ES903" s="56"/>
      <c r="ET903" s="56"/>
      <c r="EU903" s="56"/>
      <c r="EV903" s="56"/>
      <c r="EW903" s="56"/>
      <c r="EX903" s="56"/>
      <c r="EY903" s="56"/>
      <c r="EZ903" s="56"/>
      <c r="FA903" s="56"/>
      <c r="FB903" s="56"/>
      <c r="FC903" s="56"/>
      <c r="FD903" s="56"/>
      <c r="FE903" s="56"/>
      <c r="FF903" s="56"/>
      <c r="FG903" s="56"/>
      <c r="FH903" s="56"/>
      <c r="FI903" s="56"/>
      <c r="FJ903" s="56"/>
      <c r="FK903" s="56"/>
      <c r="FL903" s="56"/>
      <c r="FM903" s="56"/>
      <c r="FN903" s="56"/>
      <c r="FO903" s="56"/>
      <c r="FP903" s="56"/>
      <c r="FQ903" s="56"/>
      <c r="FR903" s="56"/>
      <c r="FS903" s="56"/>
      <c r="FT903" s="56"/>
      <c r="FU903" s="56"/>
      <c r="FV903" s="56"/>
      <c r="FW903" s="56"/>
      <c r="FX903" s="56"/>
      <c r="FY903" s="56"/>
      <c r="FZ903" s="56"/>
      <c r="GA903" s="56"/>
      <c r="GB903" s="56"/>
      <c r="GC903" s="56"/>
      <c r="GD903" s="56"/>
      <c r="GE903" s="56"/>
      <c r="GF903" s="56"/>
      <c r="GG903" s="56"/>
      <c r="GH903" s="56"/>
      <c r="GI903" s="56"/>
      <c r="GJ903" s="56"/>
      <c r="GK903" s="56"/>
      <c r="GL903" s="56"/>
      <c r="GM903" s="56"/>
      <c r="GN903" s="56"/>
      <c r="GO903" s="56"/>
      <c r="GP903" s="56"/>
      <c r="GQ903" s="56"/>
      <c r="GR903" s="56"/>
      <c r="GS903" s="56"/>
      <c r="GT903" s="56"/>
      <c r="GU903" s="56"/>
      <c r="GV903" s="56"/>
      <c r="GW903" s="56"/>
      <c r="GX903" s="56"/>
      <c r="GY903" s="56"/>
      <c r="GZ903" s="56"/>
      <c r="HA903" s="56"/>
      <c r="HB903" s="56"/>
      <c r="HC903" s="56"/>
      <c r="HD903" s="56"/>
      <c r="HE903" s="56"/>
      <c r="HF903" s="56"/>
      <c r="HG903" s="56"/>
      <c r="HH903" s="56"/>
      <c r="HI903" s="56"/>
      <c r="HJ903" s="56"/>
    </row>
    <row r="904" spans="1:218" ht="15.75" customHeight="1" x14ac:dyDescent="0.2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  <c r="BV904" s="56"/>
      <c r="BW904" s="56"/>
      <c r="BX904" s="56"/>
      <c r="BY904" s="56"/>
      <c r="BZ904" s="56"/>
      <c r="CA904" s="56"/>
      <c r="CB904" s="56"/>
      <c r="CC904" s="56"/>
      <c r="CD904" s="56"/>
      <c r="CE904" s="56"/>
      <c r="CF904" s="56"/>
      <c r="CG904" s="56"/>
      <c r="CH904" s="56"/>
      <c r="CI904" s="56"/>
      <c r="CJ904" s="56"/>
      <c r="CK904" s="56"/>
      <c r="CL904" s="56"/>
      <c r="CM904" s="56"/>
      <c r="CN904" s="56"/>
      <c r="CO904" s="56"/>
      <c r="CP904" s="56"/>
      <c r="CQ904" s="56"/>
      <c r="CR904" s="56"/>
      <c r="CS904" s="56"/>
      <c r="CT904" s="56"/>
      <c r="CU904" s="56"/>
      <c r="CV904" s="56"/>
      <c r="CW904" s="56"/>
      <c r="CX904" s="56"/>
      <c r="CY904" s="56"/>
      <c r="CZ904" s="56"/>
      <c r="DA904" s="56"/>
      <c r="DB904" s="56"/>
      <c r="DC904" s="56"/>
      <c r="DD904" s="56"/>
      <c r="DE904" s="56"/>
      <c r="DF904" s="56"/>
      <c r="DG904" s="56"/>
      <c r="DH904" s="56"/>
      <c r="DI904" s="56"/>
      <c r="DJ904" s="56"/>
      <c r="DK904" s="56"/>
      <c r="DL904" s="56"/>
      <c r="DM904" s="56"/>
      <c r="DN904" s="56"/>
      <c r="DO904" s="56"/>
      <c r="DP904" s="56"/>
      <c r="DQ904" s="56"/>
      <c r="DR904" s="56"/>
      <c r="DS904" s="56"/>
      <c r="DT904" s="56"/>
      <c r="DU904" s="56"/>
      <c r="DV904" s="56"/>
      <c r="DW904" s="56"/>
      <c r="DX904" s="56"/>
      <c r="DY904" s="56"/>
      <c r="DZ904" s="56"/>
      <c r="EA904" s="56"/>
      <c r="EB904" s="56"/>
      <c r="EC904" s="56"/>
      <c r="ED904" s="56"/>
      <c r="EE904" s="56"/>
      <c r="EF904" s="56"/>
      <c r="EG904" s="56"/>
      <c r="EH904" s="56"/>
      <c r="EI904" s="56"/>
      <c r="EJ904" s="56"/>
      <c r="EK904" s="56"/>
      <c r="EL904" s="56"/>
      <c r="EM904" s="56"/>
      <c r="EN904" s="56"/>
      <c r="EO904" s="56"/>
      <c r="EP904" s="56"/>
      <c r="EQ904" s="56"/>
      <c r="ER904" s="56"/>
      <c r="ES904" s="56"/>
      <c r="ET904" s="56"/>
      <c r="EU904" s="56"/>
      <c r="EV904" s="56"/>
      <c r="EW904" s="56"/>
      <c r="EX904" s="56"/>
      <c r="EY904" s="56"/>
      <c r="EZ904" s="56"/>
      <c r="FA904" s="56"/>
      <c r="FB904" s="56"/>
      <c r="FC904" s="56"/>
      <c r="FD904" s="56"/>
      <c r="FE904" s="56"/>
      <c r="FF904" s="56"/>
      <c r="FG904" s="56"/>
      <c r="FH904" s="56"/>
      <c r="FI904" s="56"/>
      <c r="FJ904" s="56"/>
      <c r="FK904" s="56"/>
      <c r="FL904" s="56"/>
      <c r="FM904" s="56"/>
      <c r="FN904" s="56"/>
      <c r="FO904" s="56"/>
      <c r="FP904" s="56"/>
      <c r="FQ904" s="56"/>
      <c r="FR904" s="56"/>
      <c r="FS904" s="56"/>
      <c r="FT904" s="56"/>
      <c r="FU904" s="56"/>
      <c r="FV904" s="56"/>
      <c r="FW904" s="56"/>
      <c r="FX904" s="56"/>
      <c r="FY904" s="56"/>
      <c r="FZ904" s="56"/>
      <c r="GA904" s="56"/>
      <c r="GB904" s="56"/>
      <c r="GC904" s="56"/>
      <c r="GD904" s="56"/>
      <c r="GE904" s="56"/>
      <c r="GF904" s="56"/>
      <c r="GG904" s="56"/>
      <c r="GH904" s="56"/>
      <c r="GI904" s="56"/>
      <c r="GJ904" s="56"/>
      <c r="GK904" s="56"/>
      <c r="GL904" s="56"/>
      <c r="GM904" s="56"/>
      <c r="GN904" s="56"/>
      <c r="GO904" s="56"/>
      <c r="GP904" s="56"/>
      <c r="GQ904" s="56"/>
      <c r="GR904" s="56"/>
      <c r="GS904" s="56"/>
      <c r="GT904" s="56"/>
      <c r="GU904" s="56"/>
      <c r="GV904" s="56"/>
      <c r="GW904" s="56"/>
      <c r="GX904" s="56"/>
      <c r="GY904" s="56"/>
      <c r="GZ904" s="56"/>
      <c r="HA904" s="56"/>
      <c r="HB904" s="56"/>
      <c r="HC904" s="56"/>
      <c r="HD904" s="56"/>
      <c r="HE904" s="56"/>
      <c r="HF904" s="56"/>
      <c r="HG904" s="56"/>
      <c r="HH904" s="56"/>
      <c r="HI904" s="56"/>
      <c r="HJ904" s="56"/>
    </row>
    <row r="905" spans="1:218" ht="15.75" customHeight="1" x14ac:dyDescent="0.2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  <c r="BV905" s="56"/>
      <c r="BW905" s="56"/>
      <c r="BX905" s="56"/>
      <c r="BY905" s="56"/>
      <c r="BZ905" s="56"/>
      <c r="CA905" s="56"/>
      <c r="CB905" s="56"/>
      <c r="CC905" s="56"/>
      <c r="CD905" s="56"/>
      <c r="CE905" s="56"/>
      <c r="CF905" s="56"/>
      <c r="CG905" s="56"/>
      <c r="CH905" s="56"/>
      <c r="CI905" s="56"/>
      <c r="CJ905" s="56"/>
      <c r="CK905" s="56"/>
      <c r="CL905" s="56"/>
      <c r="CM905" s="56"/>
      <c r="CN905" s="56"/>
      <c r="CO905" s="56"/>
      <c r="CP905" s="56"/>
      <c r="CQ905" s="56"/>
      <c r="CR905" s="56"/>
      <c r="CS905" s="56"/>
      <c r="CT905" s="56"/>
      <c r="CU905" s="56"/>
      <c r="CV905" s="56"/>
      <c r="CW905" s="56"/>
      <c r="CX905" s="56"/>
      <c r="CY905" s="56"/>
      <c r="CZ905" s="56"/>
      <c r="DA905" s="56"/>
      <c r="DB905" s="56"/>
      <c r="DC905" s="56"/>
      <c r="DD905" s="56"/>
      <c r="DE905" s="56"/>
      <c r="DF905" s="56"/>
      <c r="DG905" s="56"/>
      <c r="DH905" s="56"/>
      <c r="DI905" s="56"/>
      <c r="DJ905" s="56"/>
      <c r="DK905" s="56"/>
      <c r="DL905" s="56"/>
      <c r="DM905" s="56"/>
      <c r="DN905" s="56"/>
      <c r="DO905" s="56"/>
      <c r="DP905" s="56"/>
      <c r="DQ905" s="56"/>
      <c r="DR905" s="56"/>
      <c r="DS905" s="56"/>
      <c r="DT905" s="56"/>
      <c r="DU905" s="56"/>
      <c r="DV905" s="56"/>
      <c r="DW905" s="56"/>
      <c r="DX905" s="56"/>
      <c r="DY905" s="56"/>
      <c r="DZ905" s="56"/>
      <c r="EA905" s="56"/>
      <c r="EB905" s="56"/>
      <c r="EC905" s="56"/>
      <c r="ED905" s="56"/>
      <c r="EE905" s="56"/>
      <c r="EF905" s="56"/>
      <c r="EG905" s="56"/>
      <c r="EH905" s="56"/>
      <c r="EI905" s="56"/>
      <c r="EJ905" s="56"/>
      <c r="EK905" s="56"/>
      <c r="EL905" s="56"/>
      <c r="EM905" s="56"/>
      <c r="EN905" s="56"/>
      <c r="EO905" s="56"/>
      <c r="EP905" s="56"/>
      <c r="EQ905" s="56"/>
      <c r="ER905" s="56"/>
      <c r="ES905" s="56"/>
      <c r="ET905" s="56"/>
      <c r="EU905" s="56"/>
      <c r="EV905" s="56"/>
      <c r="EW905" s="56"/>
      <c r="EX905" s="56"/>
      <c r="EY905" s="56"/>
      <c r="EZ905" s="56"/>
      <c r="FA905" s="56"/>
      <c r="FB905" s="56"/>
      <c r="FC905" s="56"/>
      <c r="FD905" s="56"/>
      <c r="FE905" s="56"/>
      <c r="FF905" s="56"/>
      <c r="FG905" s="56"/>
      <c r="FH905" s="56"/>
      <c r="FI905" s="56"/>
      <c r="FJ905" s="56"/>
      <c r="FK905" s="56"/>
      <c r="FL905" s="56"/>
      <c r="FM905" s="56"/>
      <c r="FN905" s="56"/>
      <c r="FO905" s="56"/>
      <c r="FP905" s="56"/>
      <c r="FQ905" s="56"/>
      <c r="FR905" s="56"/>
      <c r="FS905" s="56"/>
      <c r="FT905" s="56"/>
      <c r="FU905" s="56"/>
      <c r="FV905" s="56"/>
      <c r="FW905" s="56"/>
      <c r="FX905" s="56"/>
      <c r="FY905" s="56"/>
      <c r="FZ905" s="56"/>
      <c r="GA905" s="56"/>
      <c r="GB905" s="56"/>
      <c r="GC905" s="56"/>
      <c r="GD905" s="56"/>
      <c r="GE905" s="56"/>
      <c r="GF905" s="56"/>
      <c r="GG905" s="56"/>
      <c r="GH905" s="56"/>
      <c r="GI905" s="56"/>
      <c r="GJ905" s="56"/>
      <c r="GK905" s="56"/>
      <c r="GL905" s="56"/>
      <c r="GM905" s="56"/>
      <c r="GN905" s="56"/>
      <c r="GO905" s="56"/>
      <c r="GP905" s="56"/>
      <c r="GQ905" s="56"/>
      <c r="GR905" s="56"/>
      <c r="GS905" s="56"/>
      <c r="GT905" s="56"/>
      <c r="GU905" s="56"/>
      <c r="GV905" s="56"/>
      <c r="GW905" s="56"/>
      <c r="GX905" s="56"/>
      <c r="GY905" s="56"/>
      <c r="GZ905" s="56"/>
      <c r="HA905" s="56"/>
      <c r="HB905" s="56"/>
      <c r="HC905" s="56"/>
      <c r="HD905" s="56"/>
      <c r="HE905" s="56"/>
      <c r="HF905" s="56"/>
      <c r="HG905" s="56"/>
      <c r="HH905" s="56"/>
      <c r="HI905" s="56"/>
      <c r="HJ905" s="56"/>
    </row>
    <row r="906" spans="1:218" ht="15.75" customHeight="1" x14ac:dyDescent="0.2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  <c r="BV906" s="56"/>
      <c r="BW906" s="56"/>
      <c r="BX906" s="56"/>
      <c r="BY906" s="56"/>
      <c r="BZ906" s="56"/>
      <c r="CA906" s="56"/>
      <c r="CB906" s="56"/>
      <c r="CC906" s="56"/>
      <c r="CD906" s="56"/>
      <c r="CE906" s="56"/>
      <c r="CF906" s="56"/>
      <c r="CG906" s="56"/>
      <c r="CH906" s="56"/>
      <c r="CI906" s="56"/>
      <c r="CJ906" s="56"/>
      <c r="CK906" s="56"/>
      <c r="CL906" s="56"/>
      <c r="CM906" s="56"/>
      <c r="CN906" s="56"/>
      <c r="CO906" s="56"/>
      <c r="CP906" s="56"/>
      <c r="CQ906" s="56"/>
      <c r="CR906" s="56"/>
      <c r="CS906" s="56"/>
      <c r="CT906" s="56"/>
      <c r="CU906" s="56"/>
      <c r="CV906" s="56"/>
      <c r="CW906" s="56"/>
      <c r="CX906" s="56"/>
      <c r="CY906" s="56"/>
      <c r="CZ906" s="56"/>
      <c r="DA906" s="56"/>
      <c r="DB906" s="56"/>
      <c r="DC906" s="56"/>
      <c r="DD906" s="56"/>
      <c r="DE906" s="56"/>
      <c r="DF906" s="56"/>
      <c r="DG906" s="56"/>
      <c r="DH906" s="56"/>
      <c r="DI906" s="56"/>
      <c r="DJ906" s="56"/>
      <c r="DK906" s="56"/>
      <c r="DL906" s="56"/>
      <c r="DM906" s="56"/>
      <c r="DN906" s="56"/>
      <c r="DO906" s="56"/>
      <c r="DP906" s="56"/>
      <c r="DQ906" s="56"/>
      <c r="DR906" s="56"/>
      <c r="DS906" s="56"/>
      <c r="DT906" s="56"/>
      <c r="DU906" s="56"/>
      <c r="DV906" s="56"/>
      <c r="DW906" s="56"/>
      <c r="DX906" s="56"/>
      <c r="DY906" s="56"/>
      <c r="DZ906" s="56"/>
      <c r="EA906" s="56"/>
      <c r="EB906" s="56"/>
      <c r="EC906" s="56"/>
      <c r="ED906" s="56"/>
      <c r="EE906" s="56"/>
      <c r="EF906" s="56"/>
      <c r="EG906" s="56"/>
      <c r="EH906" s="56"/>
      <c r="EI906" s="56"/>
      <c r="EJ906" s="56"/>
      <c r="EK906" s="56"/>
      <c r="EL906" s="56"/>
      <c r="EM906" s="56"/>
      <c r="EN906" s="56"/>
      <c r="EO906" s="56"/>
      <c r="EP906" s="56"/>
      <c r="EQ906" s="56"/>
      <c r="ER906" s="56"/>
      <c r="ES906" s="56"/>
      <c r="ET906" s="56"/>
      <c r="EU906" s="56"/>
      <c r="EV906" s="56"/>
      <c r="EW906" s="56"/>
      <c r="EX906" s="56"/>
      <c r="EY906" s="56"/>
      <c r="EZ906" s="56"/>
      <c r="FA906" s="56"/>
      <c r="FB906" s="56"/>
      <c r="FC906" s="56"/>
      <c r="FD906" s="56"/>
      <c r="FE906" s="56"/>
      <c r="FF906" s="56"/>
      <c r="FG906" s="56"/>
      <c r="FH906" s="56"/>
      <c r="FI906" s="56"/>
      <c r="FJ906" s="56"/>
      <c r="FK906" s="56"/>
      <c r="FL906" s="56"/>
      <c r="FM906" s="56"/>
      <c r="FN906" s="56"/>
      <c r="FO906" s="56"/>
      <c r="FP906" s="56"/>
      <c r="FQ906" s="56"/>
      <c r="FR906" s="56"/>
      <c r="FS906" s="56"/>
      <c r="FT906" s="56"/>
      <c r="FU906" s="56"/>
      <c r="FV906" s="56"/>
      <c r="FW906" s="56"/>
      <c r="FX906" s="56"/>
      <c r="FY906" s="56"/>
      <c r="FZ906" s="56"/>
      <c r="GA906" s="56"/>
      <c r="GB906" s="56"/>
      <c r="GC906" s="56"/>
      <c r="GD906" s="56"/>
      <c r="GE906" s="56"/>
      <c r="GF906" s="56"/>
      <c r="GG906" s="56"/>
      <c r="GH906" s="56"/>
      <c r="GI906" s="56"/>
      <c r="GJ906" s="56"/>
      <c r="GK906" s="56"/>
      <c r="GL906" s="56"/>
      <c r="GM906" s="56"/>
      <c r="GN906" s="56"/>
      <c r="GO906" s="56"/>
      <c r="GP906" s="56"/>
      <c r="GQ906" s="56"/>
      <c r="GR906" s="56"/>
      <c r="GS906" s="56"/>
      <c r="GT906" s="56"/>
      <c r="GU906" s="56"/>
      <c r="GV906" s="56"/>
      <c r="GW906" s="56"/>
      <c r="GX906" s="56"/>
      <c r="GY906" s="56"/>
      <c r="GZ906" s="56"/>
      <c r="HA906" s="56"/>
      <c r="HB906" s="56"/>
      <c r="HC906" s="56"/>
      <c r="HD906" s="56"/>
      <c r="HE906" s="56"/>
      <c r="HF906" s="56"/>
      <c r="HG906" s="56"/>
      <c r="HH906" s="56"/>
      <c r="HI906" s="56"/>
      <c r="HJ906" s="56"/>
    </row>
    <row r="907" spans="1:218" ht="15.75" customHeight="1" x14ac:dyDescent="0.2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  <c r="BV907" s="56"/>
      <c r="BW907" s="56"/>
      <c r="BX907" s="56"/>
      <c r="BY907" s="56"/>
      <c r="BZ907" s="56"/>
      <c r="CA907" s="56"/>
      <c r="CB907" s="56"/>
      <c r="CC907" s="56"/>
      <c r="CD907" s="56"/>
      <c r="CE907" s="56"/>
      <c r="CF907" s="56"/>
      <c r="CG907" s="56"/>
      <c r="CH907" s="56"/>
      <c r="CI907" s="56"/>
      <c r="CJ907" s="56"/>
      <c r="CK907" s="56"/>
      <c r="CL907" s="56"/>
      <c r="CM907" s="56"/>
      <c r="CN907" s="56"/>
      <c r="CO907" s="56"/>
      <c r="CP907" s="56"/>
      <c r="CQ907" s="56"/>
      <c r="CR907" s="56"/>
      <c r="CS907" s="56"/>
      <c r="CT907" s="56"/>
      <c r="CU907" s="56"/>
      <c r="CV907" s="56"/>
      <c r="CW907" s="56"/>
      <c r="CX907" s="56"/>
      <c r="CY907" s="56"/>
      <c r="CZ907" s="56"/>
      <c r="DA907" s="56"/>
      <c r="DB907" s="56"/>
      <c r="DC907" s="56"/>
      <c r="DD907" s="56"/>
      <c r="DE907" s="56"/>
      <c r="DF907" s="56"/>
      <c r="DG907" s="56"/>
      <c r="DH907" s="56"/>
      <c r="DI907" s="56"/>
      <c r="DJ907" s="56"/>
      <c r="DK907" s="56"/>
      <c r="DL907" s="56"/>
      <c r="DM907" s="56"/>
      <c r="DN907" s="56"/>
      <c r="DO907" s="56"/>
      <c r="DP907" s="56"/>
      <c r="DQ907" s="56"/>
      <c r="DR907" s="56"/>
      <c r="DS907" s="56"/>
      <c r="DT907" s="56"/>
      <c r="DU907" s="56"/>
      <c r="DV907" s="56"/>
      <c r="DW907" s="56"/>
      <c r="DX907" s="56"/>
      <c r="DY907" s="56"/>
      <c r="DZ907" s="56"/>
      <c r="EA907" s="56"/>
      <c r="EB907" s="56"/>
      <c r="EC907" s="56"/>
      <c r="ED907" s="56"/>
      <c r="EE907" s="56"/>
      <c r="EF907" s="56"/>
      <c r="EG907" s="56"/>
      <c r="EH907" s="56"/>
      <c r="EI907" s="56"/>
      <c r="EJ907" s="56"/>
      <c r="EK907" s="56"/>
      <c r="EL907" s="56"/>
      <c r="EM907" s="56"/>
      <c r="EN907" s="56"/>
      <c r="EO907" s="56"/>
      <c r="EP907" s="56"/>
      <c r="EQ907" s="56"/>
      <c r="ER907" s="56"/>
      <c r="ES907" s="56"/>
      <c r="ET907" s="56"/>
      <c r="EU907" s="56"/>
      <c r="EV907" s="56"/>
      <c r="EW907" s="56"/>
      <c r="EX907" s="56"/>
      <c r="EY907" s="56"/>
      <c r="EZ907" s="56"/>
      <c r="FA907" s="56"/>
      <c r="FB907" s="56"/>
      <c r="FC907" s="56"/>
      <c r="FD907" s="56"/>
      <c r="FE907" s="56"/>
      <c r="FF907" s="56"/>
      <c r="FG907" s="56"/>
      <c r="FH907" s="56"/>
      <c r="FI907" s="56"/>
      <c r="FJ907" s="56"/>
      <c r="FK907" s="56"/>
      <c r="FL907" s="56"/>
      <c r="FM907" s="56"/>
      <c r="FN907" s="56"/>
      <c r="FO907" s="56"/>
      <c r="FP907" s="56"/>
      <c r="FQ907" s="56"/>
      <c r="FR907" s="56"/>
      <c r="FS907" s="56"/>
      <c r="FT907" s="56"/>
      <c r="FU907" s="56"/>
      <c r="FV907" s="56"/>
      <c r="FW907" s="56"/>
      <c r="FX907" s="56"/>
      <c r="FY907" s="56"/>
      <c r="FZ907" s="56"/>
      <c r="GA907" s="56"/>
      <c r="GB907" s="56"/>
      <c r="GC907" s="56"/>
      <c r="GD907" s="56"/>
      <c r="GE907" s="56"/>
      <c r="GF907" s="56"/>
      <c r="GG907" s="56"/>
      <c r="GH907" s="56"/>
      <c r="GI907" s="56"/>
      <c r="GJ907" s="56"/>
      <c r="GK907" s="56"/>
      <c r="GL907" s="56"/>
      <c r="GM907" s="56"/>
      <c r="GN907" s="56"/>
      <c r="GO907" s="56"/>
      <c r="GP907" s="56"/>
      <c r="GQ907" s="56"/>
      <c r="GR907" s="56"/>
      <c r="GS907" s="56"/>
      <c r="GT907" s="56"/>
      <c r="GU907" s="56"/>
      <c r="GV907" s="56"/>
      <c r="GW907" s="56"/>
      <c r="GX907" s="56"/>
      <c r="GY907" s="56"/>
      <c r="GZ907" s="56"/>
      <c r="HA907" s="56"/>
      <c r="HB907" s="56"/>
      <c r="HC907" s="56"/>
      <c r="HD907" s="56"/>
      <c r="HE907" s="56"/>
      <c r="HF907" s="56"/>
      <c r="HG907" s="56"/>
      <c r="HH907" s="56"/>
      <c r="HI907" s="56"/>
      <c r="HJ907" s="56"/>
    </row>
    <row r="908" spans="1:218" ht="15.75" customHeight="1" x14ac:dyDescent="0.2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  <c r="BV908" s="56"/>
      <c r="BW908" s="56"/>
      <c r="BX908" s="56"/>
      <c r="BY908" s="56"/>
      <c r="BZ908" s="56"/>
      <c r="CA908" s="56"/>
      <c r="CB908" s="56"/>
      <c r="CC908" s="56"/>
      <c r="CD908" s="56"/>
      <c r="CE908" s="56"/>
      <c r="CF908" s="56"/>
      <c r="CG908" s="56"/>
      <c r="CH908" s="56"/>
      <c r="CI908" s="56"/>
      <c r="CJ908" s="56"/>
      <c r="CK908" s="56"/>
      <c r="CL908" s="56"/>
      <c r="CM908" s="56"/>
      <c r="CN908" s="56"/>
      <c r="CO908" s="56"/>
      <c r="CP908" s="56"/>
      <c r="CQ908" s="56"/>
      <c r="CR908" s="56"/>
      <c r="CS908" s="56"/>
      <c r="CT908" s="56"/>
      <c r="CU908" s="56"/>
      <c r="CV908" s="56"/>
      <c r="CW908" s="56"/>
      <c r="CX908" s="56"/>
      <c r="CY908" s="56"/>
      <c r="CZ908" s="56"/>
      <c r="DA908" s="56"/>
      <c r="DB908" s="56"/>
      <c r="DC908" s="56"/>
      <c r="DD908" s="56"/>
      <c r="DE908" s="56"/>
      <c r="DF908" s="56"/>
      <c r="DG908" s="56"/>
      <c r="DH908" s="56"/>
      <c r="DI908" s="56"/>
      <c r="DJ908" s="56"/>
      <c r="DK908" s="56"/>
      <c r="DL908" s="56"/>
      <c r="DM908" s="56"/>
      <c r="DN908" s="56"/>
      <c r="DO908" s="56"/>
      <c r="DP908" s="56"/>
      <c r="DQ908" s="56"/>
      <c r="DR908" s="56"/>
      <c r="DS908" s="56"/>
      <c r="DT908" s="56"/>
      <c r="DU908" s="56"/>
      <c r="DV908" s="56"/>
      <c r="DW908" s="56"/>
      <c r="DX908" s="56"/>
      <c r="DY908" s="56"/>
      <c r="DZ908" s="56"/>
      <c r="EA908" s="56"/>
      <c r="EB908" s="56"/>
      <c r="EC908" s="56"/>
      <c r="ED908" s="56"/>
      <c r="EE908" s="56"/>
      <c r="EF908" s="56"/>
      <c r="EG908" s="56"/>
      <c r="EH908" s="56"/>
      <c r="EI908" s="56"/>
      <c r="EJ908" s="56"/>
      <c r="EK908" s="56"/>
      <c r="EL908" s="56"/>
      <c r="EM908" s="56"/>
      <c r="EN908" s="56"/>
      <c r="EO908" s="56"/>
      <c r="EP908" s="56"/>
      <c r="EQ908" s="56"/>
      <c r="ER908" s="56"/>
      <c r="ES908" s="56"/>
      <c r="ET908" s="56"/>
      <c r="EU908" s="56"/>
      <c r="EV908" s="56"/>
      <c r="EW908" s="56"/>
      <c r="EX908" s="56"/>
      <c r="EY908" s="56"/>
      <c r="EZ908" s="56"/>
      <c r="FA908" s="56"/>
      <c r="FB908" s="56"/>
      <c r="FC908" s="56"/>
      <c r="FD908" s="56"/>
      <c r="FE908" s="56"/>
      <c r="FF908" s="56"/>
      <c r="FG908" s="56"/>
      <c r="FH908" s="56"/>
      <c r="FI908" s="56"/>
      <c r="FJ908" s="56"/>
      <c r="FK908" s="56"/>
      <c r="FL908" s="56"/>
      <c r="FM908" s="56"/>
      <c r="FN908" s="56"/>
      <c r="FO908" s="56"/>
      <c r="FP908" s="56"/>
      <c r="FQ908" s="56"/>
      <c r="FR908" s="56"/>
      <c r="FS908" s="56"/>
      <c r="FT908" s="56"/>
      <c r="FU908" s="56"/>
      <c r="FV908" s="56"/>
      <c r="FW908" s="56"/>
      <c r="FX908" s="56"/>
      <c r="FY908" s="56"/>
      <c r="FZ908" s="56"/>
      <c r="GA908" s="56"/>
      <c r="GB908" s="56"/>
      <c r="GC908" s="56"/>
      <c r="GD908" s="56"/>
      <c r="GE908" s="56"/>
      <c r="GF908" s="56"/>
      <c r="GG908" s="56"/>
      <c r="GH908" s="56"/>
      <c r="GI908" s="56"/>
      <c r="GJ908" s="56"/>
      <c r="GK908" s="56"/>
      <c r="GL908" s="56"/>
      <c r="GM908" s="56"/>
      <c r="GN908" s="56"/>
      <c r="GO908" s="56"/>
      <c r="GP908" s="56"/>
      <c r="GQ908" s="56"/>
      <c r="GR908" s="56"/>
      <c r="GS908" s="56"/>
      <c r="GT908" s="56"/>
      <c r="GU908" s="56"/>
      <c r="GV908" s="56"/>
      <c r="GW908" s="56"/>
      <c r="GX908" s="56"/>
      <c r="GY908" s="56"/>
      <c r="GZ908" s="56"/>
      <c r="HA908" s="56"/>
      <c r="HB908" s="56"/>
      <c r="HC908" s="56"/>
      <c r="HD908" s="56"/>
      <c r="HE908" s="56"/>
      <c r="HF908" s="56"/>
      <c r="HG908" s="56"/>
      <c r="HH908" s="56"/>
      <c r="HI908" s="56"/>
      <c r="HJ908" s="56"/>
    </row>
    <row r="909" spans="1:218" ht="15.75" customHeight="1" x14ac:dyDescent="0.2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  <c r="CL909" s="56"/>
      <c r="CM909" s="56"/>
      <c r="CN909" s="56"/>
      <c r="CO909" s="56"/>
      <c r="CP909" s="56"/>
      <c r="CQ909" s="56"/>
      <c r="CR909" s="56"/>
      <c r="CS909" s="56"/>
      <c r="CT909" s="56"/>
      <c r="CU909" s="56"/>
      <c r="CV909" s="56"/>
      <c r="CW909" s="56"/>
      <c r="CX909" s="56"/>
      <c r="CY909" s="56"/>
      <c r="CZ909" s="56"/>
      <c r="DA909" s="56"/>
      <c r="DB909" s="56"/>
      <c r="DC909" s="56"/>
      <c r="DD909" s="56"/>
      <c r="DE909" s="56"/>
      <c r="DF909" s="56"/>
      <c r="DG909" s="56"/>
      <c r="DH909" s="56"/>
      <c r="DI909" s="56"/>
      <c r="DJ909" s="56"/>
      <c r="DK909" s="56"/>
      <c r="DL909" s="56"/>
      <c r="DM909" s="56"/>
      <c r="DN909" s="56"/>
      <c r="DO909" s="56"/>
      <c r="DP909" s="56"/>
      <c r="DQ909" s="56"/>
      <c r="DR909" s="56"/>
      <c r="DS909" s="56"/>
      <c r="DT909" s="56"/>
      <c r="DU909" s="56"/>
      <c r="DV909" s="56"/>
      <c r="DW909" s="56"/>
      <c r="DX909" s="56"/>
      <c r="DY909" s="56"/>
      <c r="DZ909" s="56"/>
      <c r="EA909" s="56"/>
      <c r="EB909" s="56"/>
      <c r="EC909" s="56"/>
      <c r="ED909" s="56"/>
      <c r="EE909" s="56"/>
      <c r="EF909" s="56"/>
      <c r="EG909" s="56"/>
      <c r="EH909" s="56"/>
      <c r="EI909" s="56"/>
      <c r="EJ909" s="56"/>
      <c r="EK909" s="56"/>
      <c r="EL909" s="56"/>
      <c r="EM909" s="56"/>
      <c r="EN909" s="56"/>
      <c r="EO909" s="56"/>
      <c r="EP909" s="56"/>
      <c r="EQ909" s="56"/>
      <c r="ER909" s="56"/>
      <c r="ES909" s="56"/>
      <c r="ET909" s="56"/>
      <c r="EU909" s="56"/>
      <c r="EV909" s="56"/>
      <c r="EW909" s="56"/>
      <c r="EX909" s="56"/>
      <c r="EY909" s="56"/>
      <c r="EZ909" s="56"/>
      <c r="FA909" s="56"/>
      <c r="FB909" s="56"/>
      <c r="FC909" s="56"/>
      <c r="FD909" s="56"/>
      <c r="FE909" s="56"/>
      <c r="FF909" s="56"/>
      <c r="FG909" s="56"/>
      <c r="FH909" s="56"/>
      <c r="FI909" s="56"/>
      <c r="FJ909" s="56"/>
      <c r="FK909" s="56"/>
      <c r="FL909" s="56"/>
      <c r="FM909" s="56"/>
      <c r="FN909" s="56"/>
      <c r="FO909" s="56"/>
      <c r="FP909" s="56"/>
      <c r="FQ909" s="56"/>
      <c r="FR909" s="56"/>
      <c r="FS909" s="56"/>
      <c r="FT909" s="56"/>
      <c r="FU909" s="56"/>
      <c r="FV909" s="56"/>
      <c r="FW909" s="56"/>
      <c r="FX909" s="56"/>
      <c r="FY909" s="56"/>
      <c r="FZ909" s="56"/>
      <c r="GA909" s="56"/>
      <c r="GB909" s="56"/>
      <c r="GC909" s="56"/>
      <c r="GD909" s="56"/>
      <c r="GE909" s="56"/>
      <c r="GF909" s="56"/>
      <c r="GG909" s="56"/>
      <c r="GH909" s="56"/>
      <c r="GI909" s="56"/>
      <c r="GJ909" s="56"/>
      <c r="GK909" s="56"/>
      <c r="GL909" s="56"/>
      <c r="GM909" s="56"/>
      <c r="GN909" s="56"/>
      <c r="GO909" s="56"/>
      <c r="GP909" s="56"/>
      <c r="GQ909" s="56"/>
      <c r="GR909" s="56"/>
      <c r="GS909" s="56"/>
      <c r="GT909" s="56"/>
      <c r="GU909" s="56"/>
      <c r="GV909" s="56"/>
      <c r="GW909" s="56"/>
      <c r="GX909" s="56"/>
      <c r="GY909" s="56"/>
      <c r="GZ909" s="56"/>
      <c r="HA909" s="56"/>
      <c r="HB909" s="56"/>
      <c r="HC909" s="56"/>
      <c r="HD909" s="56"/>
      <c r="HE909" s="56"/>
      <c r="HF909" s="56"/>
      <c r="HG909" s="56"/>
      <c r="HH909" s="56"/>
      <c r="HI909" s="56"/>
      <c r="HJ909" s="56"/>
    </row>
    <row r="910" spans="1:218" ht="15.75" customHeight="1" x14ac:dyDescent="0.2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  <c r="CL910" s="56"/>
      <c r="CM910" s="56"/>
      <c r="CN910" s="56"/>
      <c r="CO910" s="56"/>
      <c r="CP910" s="56"/>
      <c r="CQ910" s="56"/>
      <c r="CR910" s="56"/>
      <c r="CS910" s="56"/>
      <c r="CT910" s="56"/>
      <c r="CU910" s="56"/>
      <c r="CV910" s="56"/>
      <c r="CW910" s="56"/>
      <c r="CX910" s="56"/>
      <c r="CY910" s="56"/>
      <c r="CZ910" s="56"/>
      <c r="DA910" s="56"/>
      <c r="DB910" s="56"/>
      <c r="DC910" s="56"/>
      <c r="DD910" s="56"/>
      <c r="DE910" s="56"/>
      <c r="DF910" s="56"/>
      <c r="DG910" s="56"/>
      <c r="DH910" s="56"/>
      <c r="DI910" s="56"/>
      <c r="DJ910" s="56"/>
      <c r="DK910" s="56"/>
      <c r="DL910" s="56"/>
      <c r="DM910" s="56"/>
      <c r="DN910" s="56"/>
      <c r="DO910" s="56"/>
      <c r="DP910" s="56"/>
      <c r="DQ910" s="56"/>
      <c r="DR910" s="56"/>
      <c r="DS910" s="56"/>
      <c r="DT910" s="56"/>
      <c r="DU910" s="56"/>
      <c r="DV910" s="56"/>
      <c r="DW910" s="56"/>
      <c r="DX910" s="56"/>
      <c r="DY910" s="56"/>
      <c r="DZ910" s="56"/>
      <c r="EA910" s="56"/>
      <c r="EB910" s="56"/>
      <c r="EC910" s="56"/>
      <c r="ED910" s="56"/>
      <c r="EE910" s="56"/>
      <c r="EF910" s="56"/>
      <c r="EG910" s="56"/>
      <c r="EH910" s="56"/>
      <c r="EI910" s="56"/>
      <c r="EJ910" s="56"/>
      <c r="EK910" s="56"/>
      <c r="EL910" s="56"/>
      <c r="EM910" s="56"/>
      <c r="EN910" s="56"/>
      <c r="EO910" s="56"/>
      <c r="EP910" s="56"/>
      <c r="EQ910" s="56"/>
      <c r="ER910" s="56"/>
      <c r="ES910" s="56"/>
      <c r="ET910" s="56"/>
      <c r="EU910" s="56"/>
      <c r="EV910" s="56"/>
      <c r="EW910" s="56"/>
      <c r="EX910" s="56"/>
      <c r="EY910" s="56"/>
      <c r="EZ910" s="56"/>
      <c r="FA910" s="56"/>
      <c r="FB910" s="56"/>
      <c r="FC910" s="56"/>
      <c r="FD910" s="56"/>
      <c r="FE910" s="56"/>
      <c r="FF910" s="56"/>
      <c r="FG910" s="56"/>
      <c r="FH910" s="56"/>
      <c r="FI910" s="56"/>
      <c r="FJ910" s="56"/>
      <c r="FK910" s="56"/>
      <c r="FL910" s="56"/>
      <c r="FM910" s="56"/>
      <c r="FN910" s="56"/>
      <c r="FO910" s="56"/>
      <c r="FP910" s="56"/>
      <c r="FQ910" s="56"/>
      <c r="FR910" s="56"/>
      <c r="FS910" s="56"/>
      <c r="FT910" s="56"/>
      <c r="FU910" s="56"/>
      <c r="FV910" s="56"/>
      <c r="FW910" s="56"/>
      <c r="FX910" s="56"/>
      <c r="FY910" s="56"/>
      <c r="FZ910" s="56"/>
      <c r="GA910" s="56"/>
      <c r="GB910" s="56"/>
      <c r="GC910" s="56"/>
      <c r="GD910" s="56"/>
      <c r="GE910" s="56"/>
      <c r="GF910" s="56"/>
      <c r="GG910" s="56"/>
      <c r="GH910" s="56"/>
      <c r="GI910" s="56"/>
      <c r="GJ910" s="56"/>
      <c r="GK910" s="56"/>
      <c r="GL910" s="56"/>
      <c r="GM910" s="56"/>
      <c r="GN910" s="56"/>
      <c r="GO910" s="56"/>
      <c r="GP910" s="56"/>
      <c r="GQ910" s="56"/>
      <c r="GR910" s="56"/>
      <c r="GS910" s="56"/>
      <c r="GT910" s="56"/>
      <c r="GU910" s="56"/>
      <c r="GV910" s="56"/>
      <c r="GW910" s="56"/>
      <c r="GX910" s="56"/>
      <c r="GY910" s="56"/>
      <c r="GZ910" s="56"/>
      <c r="HA910" s="56"/>
      <c r="HB910" s="56"/>
      <c r="HC910" s="56"/>
      <c r="HD910" s="56"/>
      <c r="HE910" s="56"/>
      <c r="HF910" s="56"/>
      <c r="HG910" s="56"/>
      <c r="HH910" s="56"/>
      <c r="HI910" s="56"/>
      <c r="HJ910" s="56"/>
    </row>
    <row r="911" spans="1:218" ht="15.75" customHeight="1" x14ac:dyDescent="0.2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  <c r="CL911" s="56"/>
      <c r="CM911" s="56"/>
      <c r="CN911" s="56"/>
      <c r="CO911" s="56"/>
      <c r="CP911" s="56"/>
      <c r="CQ911" s="56"/>
      <c r="CR911" s="56"/>
      <c r="CS911" s="56"/>
      <c r="CT911" s="56"/>
      <c r="CU911" s="56"/>
      <c r="CV911" s="56"/>
      <c r="CW911" s="56"/>
      <c r="CX911" s="56"/>
      <c r="CY911" s="56"/>
      <c r="CZ911" s="56"/>
      <c r="DA911" s="56"/>
      <c r="DB911" s="56"/>
      <c r="DC911" s="56"/>
      <c r="DD911" s="56"/>
      <c r="DE911" s="56"/>
      <c r="DF911" s="56"/>
      <c r="DG911" s="56"/>
      <c r="DH911" s="56"/>
      <c r="DI911" s="56"/>
      <c r="DJ911" s="56"/>
      <c r="DK911" s="56"/>
      <c r="DL911" s="56"/>
      <c r="DM911" s="56"/>
      <c r="DN911" s="56"/>
      <c r="DO911" s="56"/>
      <c r="DP911" s="56"/>
      <c r="DQ911" s="56"/>
      <c r="DR911" s="56"/>
      <c r="DS911" s="56"/>
      <c r="DT911" s="56"/>
      <c r="DU911" s="56"/>
      <c r="DV911" s="56"/>
      <c r="DW911" s="56"/>
      <c r="DX911" s="56"/>
      <c r="DY911" s="56"/>
      <c r="DZ911" s="56"/>
      <c r="EA911" s="56"/>
      <c r="EB911" s="56"/>
      <c r="EC911" s="56"/>
      <c r="ED911" s="56"/>
      <c r="EE911" s="56"/>
      <c r="EF911" s="56"/>
      <c r="EG911" s="56"/>
      <c r="EH911" s="56"/>
      <c r="EI911" s="56"/>
      <c r="EJ911" s="56"/>
      <c r="EK911" s="56"/>
      <c r="EL911" s="56"/>
      <c r="EM911" s="56"/>
      <c r="EN911" s="56"/>
      <c r="EO911" s="56"/>
      <c r="EP911" s="56"/>
      <c r="EQ911" s="56"/>
      <c r="ER911" s="56"/>
      <c r="ES911" s="56"/>
      <c r="ET911" s="56"/>
      <c r="EU911" s="56"/>
      <c r="EV911" s="56"/>
      <c r="EW911" s="56"/>
      <c r="EX911" s="56"/>
      <c r="EY911" s="56"/>
      <c r="EZ911" s="56"/>
      <c r="FA911" s="56"/>
      <c r="FB911" s="56"/>
      <c r="FC911" s="56"/>
      <c r="FD911" s="56"/>
      <c r="FE911" s="56"/>
      <c r="FF911" s="56"/>
      <c r="FG911" s="56"/>
      <c r="FH911" s="56"/>
      <c r="FI911" s="56"/>
      <c r="FJ911" s="56"/>
      <c r="FK911" s="56"/>
      <c r="FL911" s="56"/>
      <c r="FM911" s="56"/>
      <c r="FN911" s="56"/>
      <c r="FO911" s="56"/>
      <c r="FP911" s="56"/>
      <c r="FQ911" s="56"/>
      <c r="FR911" s="56"/>
      <c r="FS911" s="56"/>
      <c r="FT911" s="56"/>
      <c r="FU911" s="56"/>
      <c r="FV911" s="56"/>
      <c r="FW911" s="56"/>
      <c r="FX911" s="56"/>
      <c r="FY911" s="56"/>
      <c r="FZ911" s="56"/>
      <c r="GA911" s="56"/>
      <c r="GB911" s="56"/>
      <c r="GC911" s="56"/>
      <c r="GD911" s="56"/>
      <c r="GE911" s="56"/>
      <c r="GF911" s="56"/>
      <c r="GG911" s="56"/>
      <c r="GH911" s="56"/>
      <c r="GI911" s="56"/>
      <c r="GJ911" s="56"/>
      <c r="GK911" s="56"/>
      <c r="GL911" s="56"/>
      <c r="GM911" s="56"/>
      <c r="GN911" s="56"/>
      <c r="GO911" s="56"/>
      <c r="GP911" s="56"/>
      <c r="GQ911" s="56"/>
      <c r="GR911" s="56"/>
      <c r="GS911" s="56"/>
      <c r="GT911" s="56"/>
      <c r="GU911" s="56"/>
      <c r="GV911" s="56"/>
      <c r="GW911" s="56"/>
      <c r="GX911" s="56"/>
      <c r="GY911" s="56"/>
      <c r="GZ911" s="56"/>
      <c r="HA911" s="56"/>
      <c r="HB911" s="56"/>
      <c r="HC911" s="56"/>
      <c r="HD911" s="56"/>
      <c r="HE911" s="56"/>
      <c r="HF911" s="56"/>
      <c r="HG911" s="56"/>
      <c r="HH911" s="56"/>
      <c r="HI911" s="56"/>
      <c r="HJ911" s="56"/>
    </row>
    <row r="912" spans="1:218" ht="15.75" customHeight="1" x14ac:dyDescent="0.2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  <c r="CL912" s="56"/>
      <c r="CM912" s="56"/>
      <c r="CN912" s="56"/>
      <c r="CO912" s="56"/>
      <c r="CP912" s="56"/>
      <c r="CQ912" s="56"/>
      <c r="CR912" s="56"/>
      <c r="CS912" s="56"/>
      <c r="CT912" s="56"/>
      <c r="CU912" s="56"/>
      <c r="CV912" s="56"/>
      <c r="CW912" s="56"/>
      <c r="CX912" s="56"/>
      <c r="CY912" s="56"/>
      <c r="CZ912" s="56"/>
      <c r="DA912" s="56"/>
      <c r="DB912" s="56"/>
      <c r="DC912" s="56"/>
      <c r="DD912" s="56"/>
      <c r="DE912" s="56"/>
      <c r="DF912" s="56"/>
      <c r="DG912" s="56"/>
      <c r="DH912" s="56"/>
      <c r="DI912" s="56"/>
      <c r="DJ912" s="56"/>
      <c r="DK912" s="56"/>
      <c r="DL912" s="56"/>
      <c r="DM912" s="56"/>
      <c r="DN912" s="56"/>
      <c r="DO912" s="56"/>
      <c r="DP912" s="56"/>
      <c r="DQ912" s="56"/>
      <c r="DR912" s="56"/>
      <c r="DS912" s="56"/>
      <c r="DT912" s="56"/>
      <c r="DU912" s="56"/>
      <c r="DV912" s="56"/>
      <c r="DW912" s="56"/>
      <c r="DX912" s="56"/>
      <c r="DY912" s="56"/>
      <c r="DZ912" s="56"/>
      <c r="EA912" s="56"/>
      <c r="EB912" s="56"/>
      <c r="EC912" s="56"/>
      <c r="ED912" s="56"/>
      <c r="EE912" s="56"/>
      <c r="EF912" s="56"/>
      <c r="EG912" s="56"/>
      <c r="EH912" s="56"/>
      <c r="EI912" s="56"/>
      <c r="EJ912" s="56"/>
      <c r="EK912" s="56"/>
      <c r="EL912" s="56"/>
      <c r="EM912" s="56"/>
      <c r="EN912" s="56"/>
      <c r="EO912" s="56"/>
      <c r="EP912" s="56"/>
      <c r="EQ912" s="56"/>
      <c r="ER912" s="56"/>
      <c r="ES912" s="56"/>
      <c r="ET912" s="56"/>
      <c r="EU912" s="56"/>
      <c r="EV912" s="56"/>
      <c r="EW912" s="56"/>
      <c r="EX912" s="56"/>
      <c r="EY912" s="56"/>
      <c r="EZ912" s="56"/>
      <c r="FA912" s="56"/>
      <c r="FB912" s="56"/>
      <c r="FC912" s="56"/>
      <c r="FD912" s="56"/>
      <c r="FE912" s="56"/>
      <c r="FF912" s="56"/>
      <c r="FG912" s="56"/>
      <c r="FH912" s="56"/>
      <c r="FI912" s="56"/>
      <c r="FJ912" s="56"/>
      <c r="FK912" s="56"/>
      <c r="FL912" s="56"/>
      <c r="FM912" s="56"/>
      <c r="FN912" s="56"/>
      <c r="FO912" s="56"/>
      <c r="FP912" s="56"/>
      <c r="FQ912" s="56"/>
      <c r="FR912" s="56"/>
      <c r="FS912" s="56"/>
      <c r="FT912" s="56"/>
      <c r="FU912" s="56"/>
      <c r="FV912" s="56"/>
      <c r="FW912" s="56"/>
      <c r="FX912" s="56"/>
      <c r="FY912" s="56"/>
      <c r="FZ912" s="56"/>
      <c r="GA912" s="56"/>
      <c r="GB912" s="56"/>
      <c r="GC912" s="56"/>
      <c r="GD912" s="56"/>
      <c r="GE912" s="56"/>
      <c r="GF912" s="56"/>
      <c r="GG912" s="56"/>
      <c r="GH912" s="56"/>
      <c r="GI912" s="56"/>
      <c r="GJ912" s="56"/>
      <c r="GK912" s="56"/>
      <c r="GL912" s="56"/>
      <c r="GM912" s="56"/>
      <c r="GN912" s="56"/>
      <c r="GO912" s="56"/>
      <c r="GP912" s="56"/>
      <c r="GQ912" s="56"/>
      <c r="GR912" s="56"/>
      <c r="GS912" s="56"/>
      <c r="GT912" s="56"/>
      <c r="GU912" s="56"/>
      <c r="GV912" s="56"/>
      <c r="GW912" s="56"/>
      <c r="GX912" s="56"/>
      <c r="GY912" s="56"/>
      <c r="GZ912" s="56"/>
      <c r="HA912" s="56"/>
      <c r="HB912" s="56"/>
      <c r="HC912" s="56"/>
      <c r="HD912" s="56"/>
      <c r="HE912" s="56"/>
      <c r="HF912" s="56"/>
      <c r="HG912" s="56"/>
      <c r="HH912" s="56"/>
      <c r="HI912" s="56"/>
      <c r="HJ912" s="56"/>
    </row>
    <row r="913" spans="1:218" ht="15.75" customHeight="1" x14ac:dyDescent="0.2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  <c r="BV913" s="56"/>
      <c r="BW913" s="56"/>
      <c r="BX913" s="56"/>
      <c r="BY913" s="56"/>
      <c r="BZ913" s="56"/>
      <c r="CA913" s="56"/>
      <c r="CB913" s="56"/>
      <c r="CC913" s="56"/>
      <c r="CD913" s="56"/>
      <c r="CE913" s="56"/>
      <c r="CF913" s="56"/>
      <c r="CG913" s="56"/>
      <c r="CH913" s="56"/>
      <c r="CI913" s="56"/>
      <c r="CJ913" s="56"/>
      <c r="CK913" s="56"/>
      <c r="CL913" s="56"/>
      <c r="CM913" s="56"/>
      <c r="CN913" s="56"/>
      <c r="CO913" s="56"/>
      <c r="CP913" s="56"/>
      <c r="CQ913" s="56"/>
      <c r="CR913" s="56"/>
      <c r="CS913" s="56"/>
      <c r="CT913" s="56"/>
      <c r="CU913" s="56"/>
      <c r="CV913" s="56"/>
      <c r="CW913" s="56"/>
      <c r="CX913" s="56"/>
      <c r="CY913" s="56"/>
      <c r="CZ913" s="56"/>
      <c r="DA913" s="56"/>
      <c r="DB913" s="56"/>
      <c r="DC913" s="56"/>
      <c r="DD913" s="56"/>
      <c r="DE913" s="56"/>
      <c r="DF913" s="56"/>
      <c r="DG913" s="56"/>
      <c r="DH913" s="56"/>
      <c r="DI913" s="56"/>
      <c r="DJ913" s="56"/>
      <c r="DK913" s="56"/>
      <c r="DL913" s="56"/>
      <c r="DM913" s="56"/>
      <c r="DN913" s="56"/>
      <c r="DO913" s="56"/>
      <c r="DP913" s="56"/>
      <c r="DQ913" s="56"/>
      <c r="DR913" s="56"/>
      <c r="DS913" s="56"/>
      <c r="DT913" s="56"/>
      <c r="DU913" s="56"/>
      <c r="DV913" s="56"/>
      <c r="DW913" s="56"/>
      <c r="DX913" s="56"/>
      <c r="DY913" s="56"/>
      <c r="DZ913" s="56"/>
      <c r="EA913" s="56"/>
      <c r="EB913" s="56"/>
      <c r="EC913" s="56"/>
      <c r="ED913" s="56"/>
      <c r="EE913" s="56"/>
      <c r="EF913" s="56"/>
      <c r="EG913" s="56"/>
      <c r="EH913" s="56"/>
      <c r="EI913" s="56"/>
      <c r="EJ913" s="56"/>
      <c r="EK913" s="56"/>
      <c r="EL913" s="56"/>
      <c r="EM913" s="56"/>
      <c r="EN913" s="56"/>
      <c r="EO913" s="56"/>
      <c r="EP913" s="56"/>
      <c r="EQ913" s="56"/>
      <c r="ER913" s="56"/>
      <c r="ES913" s="56"/>
      <c r="ET913" s="56"/>
      <c r="EU913" s="56"/>
      <c r="EV913" s="56"/>
      <c r="EW913" s="56"/>
      <c r="EX913" s="56"/>
      <c r="EY913" s="56"/>
      <c r="EZ913" s="56"/>
      <c r="FA913" s="56"/>
      <c r="FB913" s="56"/>
      <c r="FC913" s="56"/>
      <c r="FD913" s="56"/>
      <c r="FE913" s="56"/>
      <c r="FF913" s="56"/>
      <c r="FG913" s="56"/>
      <c r="FH913" s="56"/>
      <c r="FI913" s="56"/>
      <c r="FJ913" s="56"/>
      <c r="FK913" s="56"/>
      <c r="FL913" s="56"/>
      <c r="FM913" s="56"/>
      <c r="FN913" s="56"/>
      <c r="FO913" s="56"/>
      <c r="FP913" s="56"/>
      <c r="FQ913" s="56"/>
      <c r="FR913" s="56"/>
      <c r="FS913" s="56"/>
      <c r="FT913" s="56"/>
      <c r="FU913" s="56"/>
      <c r="FV913" s="56"/>
      <c r="FW913" s="56"/>
      <c r="FX913" s="56"/>
      <c r="FY913" s="56"/>
      <c r="FZ913" s="56"/>
      <c r="GA913" s="56"/>
      <c r="GB913" s="56"/>
      <c r="GC913" s="56"/>
      <c r="GD913" s="56"/>
      <c r="GE913" s="56"/>
      <c r="GF913" s="56"/>
      <c r="GG913" s="56"/>
      <c r="GH913" s="56"/>
      <c r="GI913" s="56"/>
      <c r="GJ913" s="56"/>
      <c r="GK913" s="56"/>
      <c r="GL913" s="56"/>
      <c r="GM913" s="56"/>
      <c r="GN913" s="56"/>
      <c r="GO913" s="56"/>
      <c r="GP913" s="56"/>
      <c r="GQ913" s="56"/>
      <c r="GR913" s="56"/>
      <c r="GS913" s="56"/>
      <c r="GT913" s="56"/>
      <c r="GU913" s="56"/>
      <c r="GV913" s="56"/>
      <c r="GW913" s="56"/>
      <c r="GX913" s="56"/>
      <c r="GY913" s="56"/>
      <c r="GZ913" s="56"/>
      <c r="HA913" s="56"/>
      <c r="HB913" s="56"/>
      <c r="HC913" s="56"/>
      <c r="HD913" s="56"/>
      <c r="HE913" s="56"/>
      <c r="HF913" s="56"/>
      <c r="HG913" s="56"/>
      <c r="HH913" s="56"/>
      <c r="HI913" s="56"/>
      <c r="HJ913" s="56"/>
    </row>
    <row r="914" spans="1:218" ht="15.75" customHeight="1" x14ac:dyDescent="0.2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  <c r="BV914" s="56"/>
      <c r="BW914" s="56"/>
      <c r="BX914" s="56"/>
      <c r="BY914" s="56"/>
      <c r="BZ914" s="56"/>
      <c r="CA914" s="56"/>
      <c r="CB914" s="56"/>
      <c r="CC914" s="56"/>
      <c r="CD914" s="56"/>
      <c r="CE914" s="56"/>
      <c r="CF914" s="56"/>
      <c r="CG914" s="56"/>
      <c r="CH914" s="56"/>
      <c r="CI914" s="56"/>
      <c r="CJ914" s="56"/>
      <c r="CK914" s="56"/>
      <c r="CL914" s="56"/>
      <c r="CM914" s="56"/>
      <c r="CN914" s="56"/>
      <c r="CO914" s="56"/>
      <c r="CP914" s="56"/>
      <c r="CQ914" s="56"/>
      <c r="CR914" s="56"/>
      <c r="CS914" s="56"/>
      <c r="CT914" s="56"/>
      <c r="CU914" s="56"/>
      <c r="CV914" s="56"/>
      <c r="CW914" s="56"/>
      <c r="CX914" s="56"/>
      <c r="CY914" s="56"/>
      <c r="CZ914" s="56"/>
      <c r="DA914" s="56"/>
      <c r="DB914" s="56"/>
      <c r="DC914" s="56"/>
      <c r="DD914" s="56"/>
      <c r="DE914" s="56"/>
      <c r="DF914" s="56"/>
      <c r="DG914" s="56"/>
      <c r="DH914" s="56"/>
      <c r="DI914" s="56"/>
      <c r="DJ914" s="56"/>
      <c r="DK914" s="56"/>
      <c r="DL914" s="56"/>
      <c r="DM914" s="56"/>
      <c r="DN914" s="56"/>
      <c r="DO914" s="56"/>
      <c r="DP914" s="56"/>
      <c r="DQ914" s="56"/>
      <c r="DR914" s="56"/>
      <c r="DS914" s="56"/>
      <c r="DT914" s="56"/>
      <c r="DU914" s="56"/>
      <c r="DV914" s="56"/>
      <c r="DW914" s="56"/>
      <c r="DX914" s="56"/>
      <c r="DY914" s="56"/>
      <c r="DZ914" s="56"/>
      <c r="EA914" s="56"/>
      <c r="EB914" s="56"/>
      <c r="EC914" s="56"/>
      <c r="ED914" s="56"/>
      <c r="EE914" s="56"/>
      <c r="EF914" s="56"/>
      <c r="EG914" s="56"/>
      <c r="EH914" s="56"/>
      <c r="EI914" s="56"/>
      <c r="EJ914" s="56"/>
      <c r="EK914" s="56"/>
      <c r="EL914" s="56"/>
      <c r="EM914" s="56"/>
      <c r="EN914" s="56"/>
      <c r="EO914" s="56"/>
      <c r="EP914" s="56"/>
      <c r="EQ914" s="56"/>
      <c r="ER914" s="56"/>
      <c r="ES914" s="56"/>
      <c r="ET914" s="56"/>
      <c r="EU914" s="56"/>
      <c r="EV914" s="56"/>
      <c r="EW914" s="56"/>
      <c r="EX914" s="56"/>
      <c r="EY914" s="56"/>
      <c r="EZ914" s="56"/>
      <c r="FA914" s="56"/>
      <c r="FB914" s="56"/>
      <c r="FC914" s="56"/>
      <c r="FD914" s="56"/>
      <c r="FE914" s="56"/>
      <c r="FF914" s="56"/>
      <c r="FG914" s="56"/>
      <c r="FH914" s="56"/>
      <c r="FI914" s="56"/>
      <c r="FJ914" s="56"/>
      <c r="FK914" s="56"/>
      <c r="FL914" s="56"/>
      <c r="FM914" s="56"/>
      <c r="FN914" s="56"/>
      <c r="FO914" s="56"/>
      <c r="FP914" s="56"/>
      <c r="FQ914" s="56"/>
      <c r="FR914" s="56"/>
      <c r="FS914" s="56"/>
      <c r="FT914" s="56"/>
      <c r="FU914" s="56"/>
      <c r="FV914" s="56"/>
      <c r="FW914" s="56"/>
      <c r="FX914" s="56"/>
      <c r="FY914" s="56"/>
      <c r="FZ914" s="56"/>
      <c r="GA914" s="56"/>
      <c r="GB914" s="56"/>
      <c r="GC914" s="56"/>
      <c r="GD914" s="56"/>
      <c r="GE914" s="56"/>
      <c r="GF914" s="56"/>
      <c r="GG914" s="56"/>
      <c r="GH914" s="56"/>
      <c r="GI914" s="56"/>
      <c r="GJ914" s="56"/>
      <c r="GK914" s="56"/>
      <c r="GL914" s="56"/>
      <c r="GM914" s="56"/>
      <c r="GN914" s="56"/>
      <c r="GO914" s="56"/>
      <c r="GP914" s="56"/>
      <c r="GQ914" s="56"/>
      <c r="GR914" s="56"/>
      <c r="GS914" s="56"/>
      <c r="GT914" s="56"/>
      <c r="GU914" s="56"/>
      <c r="GV914" s="56"/>
      <c r="GW914" s="56"/>
      <c r="GX914" s="56"/>
      <c r="GY914" s="56"/>
      <c r="GZ914" s="56"/>
      <c r="HA914" s="56"/>
      <c r="HB914" s="56"/>
      <c r="HC914" s="56"/>
      <c r="HD914" s="56"/>
      <c r="HE914" s="56"/>
      <c r="HF914" s="56"/>
      <c r="HG914" s="56"/>
      <c r="HH914" s="56"/>
      <c r="HI914" s="56"/>
      <c r="HJ914" s="56"/>
    </row>
    <row r="915" spans="1:218" ht="15.75" customHeight="1" x14ac:dyDescent="0.2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  <c r="CL915" s="56"/>
      <c r="CM915" s="56"/>
      <c r="CN915" s="56"/>
      <c r="CO915" s="56"/>
      <c r="CP915" s="56"/>
      <c r="CQ915" s="56"/>
      <c r="CR915" s="56"/>
      <c r="CS915" s="56"/>
      <c r="CT915" s="56"/>
      <c r="CU915" s="56"/>
      <c r="CV915" s="56"/>
      <c r="CW915" s="56"/>
      <c r="CX915" s="56"/>
      <c r="CY915" s="56"/>
      <c r="CZ915" s="56"/>
      <c r="DA915" s="56"/>
      <c r="DB915" s="56"/>
      <c r="DC915" s="56"/>
      <c r="DD915" s="56"/>
      <c r="DE915" s="56"/>
      <c r="DF915" s="56"/>
      <c r="DG915" s="56"/>
      <c r="DH915" s="56"/>
      <c r="DI915" s="56"/>
      <c r="DJ915" s="56"/>
      <c r="DK915" s="56"/>
      <c r="DL915" s="56"/>
      <c r="DM915" s="56"/>
      <c r="DN915" s="56"/>
      <c r="DO915" s="56"/>
      <c r="DP915" s="56"/>
      <c r="DQ915" s="56"/>
      <c r="DR915" s="56"/>
      <c r="DS915" s="56"/>
      <c r="DT915" s="56"/>
      <c r="DU915" s="56"/>
      <c r="DV915" s="56"/>
      <c r="DW915" s="56"/>
      <c r="DX915" s="56"/>
      <c r="DY915" s="56"/>
      <c r="DZ915" s="56"/>
      <c r="EA915" s="56"/>
      <c r="EB915" s="56"/>
      <c r="EC915" s="56"/>
      <c r="ED915" s="56"/>
      <c r="EE915" s="56"/>
      <c r="EF915" s="56"/>
      <c r="EG915" s="56"/>
      <c r="EH915" s="56"/>
      <c r="EI915" s="56"/>
      <c r="EJ915" s="56"/>
      <c r="EK915" s="56"/>
      <c r="EL915" s="56"/>
      <c r="EM915" s="56"/>
      <c r="EN915" s="56"/>
      <c r="EO915" s="56"/>
      <c r="EP915" s="56"/>
      <c r="EQ915" s="56"/>
      <c r="ER915" s="56"/>
      <c r="ES915" s="56"/>
      <c r="ET915" s="56"/>
      <c r="EU915" s="56"/>
      <c r="EV915" s="56"/>
      <c r="EW915" s="56"/>
      <c r="EX915" s="56"/>
      <c r="EY915" s="56"/>
      <c r="EZ915" s="56"/>
      <c r="FA915" s="56"/>
      <c r="FB915" s="56"/>
      <c r="FC915" s="56"/>
      <c r="FD915" s="56"/>
      <c r="FE915" s="56"/>
      <c r="FF915" s="56"/>
      <c r="FG915" s="56"/>
      <c r="FH915" s="56"/>
      <c r="FI915" s="56"/>
      <c r="FJ915" s="56"/>
      <c r="FK915" s="56"/>
      <c r="FL915" s="56"/>
      <c r="FM915" s="56"/>
      <c r="FN915" s="56"/>
      <c r="FO915" s="56"/>
      <c r="FP915" s="56"/>
      <c r="FQ915" s="56"/>
      <c r="FR915" s="56"/>
      <c r="FS915" s="56"/>
      <c r="FT915" s="56"/>
      <c r="FU915" s="56"/>
      <c r="FV915" s="56"/>
      <c r="FW915" s="56"/>
      <c r="FX915" s="56"/>
      <c r="FY915" s="56"/>
      <c r="FZ915" s="56"/>
      <c r="GA915" s="56"/>
      <c r="GB915" s="56"/>
      <c r="GC915" s="56"/>
      <c r="GD915" s="56"/>
      <c r="GE915" s="56"/>
      <c r="GF915" s="56"/>
      <c r="GG915" s="56"/>
      <c r="GH915" s="56"/>
      <c r="GI915" s="56"/>
      <c r="GJ915" s="56"/>
      <c r="GK915" s="56"/>
      <c r="GL915" s="56"/>
      <c r="GM915" s="56"/>
      <c r="GN915" s="56"/>
      <c r="GO915" s="56"/>
      <c r="GP915" s="56"/>
      <c r="GQ915" s="56"/>
      <c r="GR915" s="56"/>
      <c r="GS915" s="56"/>
      <c r="GT915" s="56"/>
      <c r="GU915" s="56"/>
      <c r="GV915" s="56"/>
      <c r="GW915" s="56"/>
      <c r="GX915" s="56"/>
      <c r="GY915" s="56"/>
      <c r="GZ915" s="56"/>
      <c r="HA915" s="56"/>
      <c r="HB915" s="56"/>
      <c r="HC915" s="56"/>
      <c r="HD915" s="56"/>
      <c r="HE915" s="56"/>
      <c r="HF915" s="56"/>
      <c r="HG915" s="56"/>
      <c r="HH915" s="56"/>
      <c r="HI915" s="56"/>
      <c r="HJ915" s="56"/>
    </row>
    <row r="916" spans="1:218" ht="15.75" customHeight="1" x14ac:dyDescent="0.2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  <c r="CL916" s="56"/>
      <c r="CM916" s="56"/>
      <c r="CN916" s="56"/>
      <c r="CO916" s="56"/>
      <c r="CP916" s="56"/>
      <c r="CQ916" s="56"/>
      <c r="CR916" s="56"/>
      <c r="CS916" s="56"/>
      <c r="CT916" s="56"/>
      <c r="CU916" s="56"/>
      <c r="CV916" s="56"/>
      <c r="CW916" s="56"/>
      <c r="CX916" s="56"/>
      <c r="CY916" s="56"/>
      <c r="CZ916" s="56"/>
      <c r="DA916" s="56"/>
      <c r="DB916" s="56"/>
      <c r="DC916" s="56"/>
      <c r="DD916" s="56"/>
      <c r="DE916" s="56"/>
      <c r="DF916" s="56"/>
      <c r="DG916" s="56"/>
      <c r="DH916" s="56"/>
      <c r="DI916" s="56"/>
      <c r="DJ916" s="56"/>
      <c r="DK916" s="56"/>
      <c r="DL916" s="56"/>
      <c r="DM916" s="56"/>
      <c r="DN916" s="56"/>
      <c r="DO916" s="56"/>
      <c r="DP916" s="56"/>
      <c r="DQ916" s="56"/>
      <c r="DR916" s="56"/>
      <c r="DS916" s="56"/>
      <c r="DT916" s="56"/>
      <c r="DU916" s="56"/>
      <c r="DV916" s="56"/>
      <c r="DW916" s="56"/>
      <c r="DX916" s="56"/>
      <c r="DY916" s="56"/>
      <c r="DZ916" s="56"/>
      <c r="EA916" s="56"/>
      <c r="EB916" s="56"/>
      <c r="EC916" s="56"/>
      <c r="ED916" s="56"/>
      <c r="EE916" s="56"/>
      <c r="EF916" s="56"/>
      <c r="EG916" s="56"/>
      <c r="EH916" s="56"/>
      <c r="EI916" s="56"/>
      <c r="EJ916" s="56"/>
      <c r="EK916" s="56"/>
      <c r="EL916" s="56"/>
      <c r="EM916" s="56"/>
      <c r="EN916" s="56"/>
      <c r="EO916" s="56"/>
      <c r="EP916" s="56"/>
      <c r="EQ916" s="56"/>
      <c r="ER916" s="56"/>
      <c r="ES916" s="56"/>
      <c r="ET916" s="56"/>
      <c r="EU916" s="56"/>
      <c r="EV916" s="56"/>
      <c r="EW916" s="56"/>
      <c r="EX916" s="56"/>
      <c r="EY916" s="56"/>
      <c r="EZ916" s="56"/>
      <c r="FA916" s="56"/>
      <c r="FB916" s="56"/>
      <c r="FC916" s="56"/>
      <c r="FD916" s="56"/>
      <c r="FE916" s="56"/>
      <c r="FF916" s="56"/>
      <c r="FG916" s="56"/>
      <c r="FH916" s="56"/>
      <c r="FI916" s="56"/>
      <c r="FJ916" s="56"/>
      <c r="FK916" s="56"/>
      <c r="FL916" s="56"/>
      <c r="FM916" s="56"/>
      <c r="FN916" s="56"/>
      <c r="FO916" s="56"/>
      <c r="FP916" s="56"/>
      <c r="FQ916" s="56"/>
      <c r="FR916" s="56"/>
      <c r="FS916" s="56"/>
      <c r="FT916" s="56"/>
      <c r="FU916" s="56"/>
      <c r="FV916" s="56"/>
      <c r="FW916" s="56"/>
      <c r="FX916" s="56"/>
      <c r="FY916" s="56"/>
      <c r="FZ916" s="56"/>
      <c r="GA916" s="56"/>
      <c r="GB916" s="56"/>
      <c r="GC916" s="56"/>
      <c r="GD916" s="56"/>
      <c r="GE916" s="56"/>
      <c r="GF916" s="56"/>
      <c r="GG916" s="56"/>
      <c r="GH916" s="56"/>
      <c r="GI916" s="56"/>
      <c r="GJ916" s="56"/>
      <c r="GK916" s="56"/>
      <c r="GL916" s="56"/>
      <c r="GM916" s="56"/>
      <c r="GN916" s="56"/>
      <c r="GO916" s="56"/>
      <c r="GP916" s="56"/>
      <c r="GQ916" s="56"/>
      <c r="GR916" s="56"/>
      <c r="GS916" s="56"/>
      <c r="GT916" s="56"/>
      <c r="GU916" s="56"/>
      <c r="GV916" s="56"/>
      <c r="GW916" s="56"/>
      <c r="GX916" s="56"/>
      <c r="GY916" s="56"/>
      <c r="GZ916" s="56"/>
      <c r="HA916" s="56"/>
      <c r="HB916" s="56"/>
      <c r="HC916" s="56"/>
      <c r="HD916" s="56"/>
      <c r="HE916" s="56"/>
      <c r="HF916" s="56"/>
      <c r="HG916" s="56"/>
      <c r="HH916" s="56"/>
      <c r="HI916" s="56"/>
      <c r="HJ916" s="56"/>
    </row>
    <row r="917" spans="1:218" ht="15.75" customHeight="1" x14ac:dyDescent="0.2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  <c r="CL917" s="56"/>
      <c r="CM917" s="56"/>
      <c r="CN917" s="56"/>
      <c r="CO917" s="56"/>
      <c r="CP917" s="56"/>
      <c r="CQ917" s="56"/>
      <c r="CR917" s="56"/>
      <c r="CS917" s="56"/>
      <c r="CT917" s="56"/>
      <c r="CU917" s="56"/>
      <c r="CV917" s="56"/>
      <c r="CW917" s="56"/>
      <c r="CX917" s="56"/>
      <c r="CY917" s="56"/>
      <c r="CZ917" s="56"/>
      <c r="DA917" s="56"/>
      <c r="DB917" s="56"/>
      <c r="DC917" s="56"/>
      <c r="DD917" s="56"/>
      <c r="DE917" s="56"/>
      <c r="DF917" s="56"/>
      <c r="DG917" s="56"/>
      <c r="DH917" s="56"/>
      <c r="DI917" s="56"/>
      <c r="DJ917" s="56"/>
      <c r="DK917" s="56"/>
      <c r="DL917" s="56"/>
      <c r="DM917" s="56"/>
      <c r="DN917" s="56"/>
      <c r="DO917" s="56"/>
      <c r="DP917" s="56"/>
      <c r="DQ917" s="56"/>
      <c r="DR917" s="56"/>
      <c r="DS917" s="56"/>
      <c r="DT917" s="56"/>
      <c r="DU917" s="56"/>
      <c r="DV917" s="56"/>
      <c r="DW917" s="56"/>
      <c r="DX917" s="56"/>
      <c r="DY917" s="56"/>
      <c r="DZ917" s="56"/>
      <c r="EA917" s="56"/>
      <c r="EB917" s="56"/>
      <c r="EC917" s="56"/>
      <c r="ED917" s="56"/>
      <c r="EE917" s="56"/>
      <c r="EF917" s="56"/>
      <c r="EG917" s="56"/>
      <c r="EH917" s="56"/>
      <c r="EI917" s="56"/>
      <c r="EJ917" s="56"/>
      <c r="EK917" s="56"/>
      <c r="EL917" s="56"/>
      <c r="EM917" s="56"/>
      <c r="EN917" s="56"/>
      <c r="EO917" s="56"/>
      <c r="EP917" s="56"/>
      <c r="EQ917" s="56"/>
      <c r="ER917" s="56"/>
      <c r="ES917" s="56"/>
      <c r="ET917" s="56"/>
      <c r="EU917" s="56"/>
      <c r="EV917" s="56"/>
      <c r="EW917" s="56"/>
      <c r="EX917" s="56"/>
      <c r="EY917" s="56"/>
      <c r="EZ917" s="56"/>
      <c r="FA917" s="56"/>
      <c r="FB917" s="56"/>
      <c r="FC917" s="56"/>
      <c r="FD917" s="56"/>
      <c r="FE917" s="56"/>
      <c r="FF917" s="56"/>
      <c r="FG917" s="56"/>
      <c r="FH917" s="56"/>
      <c r="FI917" s="56"/>
      <c r="FJ917" s="56"/>
      <c r="FK917" s="56"/>
      <c r="FL917" s="56"/>
      <c r="FM917" s="56"/>
      <c r="FN917" s="56"/>
      <c r="FO917" s="56"/>
      <c r="FP917" s="56"/>
      <c r="FQ917" s="56"/>
      <c r="FR917" s="56"/>
      <c r="FS917" s="56"/>
      <c r="FT917" s="56"/>
      <c r="FU917" s="56"/>
      <c r="FV917" s="56"/>
      <c r="FW917" s="56"/>
      <c r="FX917" s="56"/>
      <c r="FY917" s="56"/>
      <c r="FZ917" s="56"/>
      <c r="GA917" s="56"/>
      <c r="GB917" s="56"/>
      <c r="GC917" s="56"/>
      <c r="GD917" s="56"/>
      <c r="GE917" s="56"/>
      <c r="GF917" s="56"/>
      <c r="GG917" s="56"/>
      <c r="GH917" s="56"/>
      <c r="GI917" s="56"/>
      <c r="GJ917" s="56"/>
      <c r="GK917" s="56"/>
      <c r="GL917" s="56"/>
      <c r="GM917" s="56"/>
      <c r="GN917" s="56"/>
      <c r="GO917" s="56"/>
      <c r="GP917" s="56"/>
      <c r="GQ917" s="56"/>
      <c r="GR917" s="56"/>
      <c r="GS917" s="56"/>
      <c r="GT917" s="56"/>
      <c r="GU917" s="56"/>
      <c r="GV917" s="56"/>
      <c r="GW917" s="56"/>
      <c r="GX917" s="56"/>
      <c r="GY917" s="56"/>
      <c r="GZ917" s="56"/>
      <c r="HA917" s="56"/>
      <c r="HB917" s="56"/>
      <c r="HC917" s="56"/>
      <c r="HD917" s="56"/>
      <c r="HE917" s="56"/>
      <c r="HF917" s="56"/>
      <c r="HG917" s="56"/>
      <c r="HH917" s="56"/>
      <c r="HI917" s="56"/>
      <c r="HJ917" s="56"/>
    </row>
    <row r="918" spans="1:218" ht="15.75" customHeight="1" x14ac:dyDescent="0.2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  <c r="CL918" s="56"/>
      <c r="CM918" s="56"/>
      <c r="CN918" s="56"/>
      <c r="CO918" s="56"/>
      <c r="CP918" s="56"/>
      <c r="CQ918" s="56"/>
      <c r="CR918" s="56"/>
      <c r="CS918" s="56"/>
      <c r="CT918" s="56"/>
      <c r="CU918" s="56"/>
      <c r="CV918" s="56"/>
      <c r="CW918" s="56"/>
      <c r="CX918" s="56"/>
      <c r="CY918" s="56"/>
      <c r="CZ918" s="56"/>
      <c r="DA918" s="56"/>
      <c r="DB918" s="56"/>
      <c r="DC918" s="56"/>
      <c r="DD918" s="56"/>
      <c r="DE918" s="56"/>
      <c r="DF918" s="56"/>
      <c r="DG918" s="56"/>
      <c r="DH918" s="56"/>
      <c r="DI918" s="56"/>
      <c r="DJ918" s="56"/>
      <c r="DK918" s="56"/>
      <c r="DL918" s="56"/>
      <c r="DM918" s="56"/>
      <c r="DN918" s="56"/>
      <c r="DO918" s="56"/>
      <c r="DP918" s="56"/>
      <c r="DQ918" s="56"/>
      <c r="DR918" s="56"/>
      <c r="DS918" s="56"/>
      <c r="DT918" s="56"/>
      <c r="DU918" s="56"/>
      <c r="DV918" s="56"/>
      <c r="DW918" s="56"/>
      <c r="DX918" s="56"/>
      <c r="DY918" s="56"/>
      <c r="DZ918" s="56"/>
      <c r="EA918" s="56"/>
      <c r="EB918" s="56"/>
      <c r="EC918" s="56"/>
      <c r="ED918" s="56"/>
      <c r="EE918" s="56"/>
      <c r="EF918" s="56"/>
      <c r="EG918" s="56"/>
      <c r="EH918" s="56"/>
      <c r="EI918" s="56"/>
      <c r="EJ918" s="56"/>
      <c r="EK918" s="56"/>
      <c r="EL918" s="56"/>
      <c r="EM918" s="56"/>
      <c r="EN918" s="56"/>
      <c r="EO918" s="56"/>
      <c r="EP918" s="56"/>
      <c r="EQ918" s="56"/>
      <c r="ER918" s="56"/>
      <c r="ES918" s="56"/>
      <c r="ET918" s="56"/>
      <c r="EU918" s="56"/>
      <c r="EV918" s="56"/>
      <c r="EW918" s="56"/>
      <c r="EX918" s="56"/>
      <c r="EY918" s="56"/>
      <c r="EZ918" s="56"/>
      <c r="FA918" s="56"/>
      <c r="FB918" s="56"/>
      <c r="FC918" s="56"/>
      <c r="FD918" s="56"/>
      <c r="FE918" s="56"/>
      <c r="FF918" s="56"/>
      <c r="FG918" s="56"/>
      <c r="FH918" s="56"/>
      <c r="FI918" s="56"/>
      <c r="FJ918" s="56"/>
      <c r="FK918" s="56"/>
      <c r="FL918" s="56"/>
      <c r="FM918" s="56"/>
      <c r="FN918" s="56"/>
      <c r="FO918" s="56"/>
      <c r="FP918" s="56"/>
      <c r="FQ918" s="56"/>
      <c r="FR918" s="56"/>
      <c r="FS918" s="56"/>
      <c r="FT918" s="56"/>
      <c r="FU918" s="56"/>
      <c r="FV918" s="56"/>
      <c r="FW918" s="56"/>
      <c r="FX918" s="56"/>
      <c r="FY918" s="56"/>
      <c r="FZ918" s="56"/>
      <c r="GA918" s="56"/>
      <c r="GB918" s="56"/>
      <c r="GC918" s="56"/>
      <c r="GD918" s="56"/>
      <c r="GE918" s="56"/>
      <c r="GF918" s="56"/>
      <c r="GG918" s="56"/>
      <c r="GH918" s="56"/>
      <c r="GI918" s="56"/>
      <c r="GJ918" s="56"/>
      <c r="GK918" s="56"/>
      <c r="GL918" s="56"/>
      <c r="GM918" s="56"/>
      <c r="GN918" s="56"/>
      <c r="GO918" s="56"/>
      <c r="GP918" s="56"/>
      <c r="GQ918" s="56"/>
      <c r="GR918" s="56"/>
      <c r="GS918" s="56"/>
      <c r="GT918" s="56"/>
      <c r="GU918" s="56"/>
      <c r="GV918" s="56"/>
      <c r="GW918" s="56"/>
      <c r="GX918" s="56"/>
      <c r="GY918" s="56"/>
      <c r="GZ918" s="56"/>
      <c r="HA918" s="56"/>
      <c r="HB918" s="56"/>
      <c r="HC918" s="56"/>
      <c r="HD918" s="56"/>
      <c r="HE918" s="56"/>
      <c r="HF918" s="56"/>
      <c r="HG918" s="56"/>
      <c r="HH918" s="56"/>
      <c r="HI918" s="56"/>
      <c r="HJ918" s="56"/>
    </row>
    <row r="919" spans="1:218" ht="15.75" customHeight="1" x14ac:dyDescent="0.2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  <c r="BV919" s="56"/>
      <c r="BW919" s="56"/>
      <c r="BX919" s="56"/>
      <c r="BY919" s="56"/>
      <c r="BZ919" s="56"/>
      <c r="CA919" s="56"/>
      <c r="CB919" s="56"/>
      <c r="CC919" s="56"/>
      <c r="CD919" s="56"/>
      <c r="CE919" s="56"/>
      <c r="CF919" s="56"/>
      <c r="CG919" s="56"/>
      <c r="CH919" s="56"/>
      <c r="CI919" s="56"/>
      <c r="CJ919" s="56"/>
      <c r="CK919" s="56"/>
      <c r="CL919" s="56"/>
      <c r="CM919" s="56"/>
      <c r="CN919" s="56"/>
      <c r="CO919" s="56"/>
      <c r="CP919" s="56"/>
      <c r="CQ919" s="56"/>
      <c r="CR919" s="56"/>
      <c r="CS919" s="56"/>
      <c r="CT919" s="56"/>
      <c r="CU919" s="56"/>
      <c r="CV919" s="56"/>
      <c r="CW919" s="56"/>
      <c r="CX919" s="56"/>
      <c r="CY919" s="56"/>
      <c r="CZ919" s="56"/>
      <c r="DA919" s="56"/>
      <c r="DB919" s="56"/>
      <c r="DC919" s="56"/>
      <c r="DD919" s="56"/>
      <c r="DE919" s="56"/>
      <c r="DF919" s="56"/>
      <c r="DG919" s="56"/>
      <c r="DH919" s="56"/>
      <c r="DI919" s="56"/>
      <c r="DJ919" s="56"/>
      <c r="DK919" s="56"/>
      <c r="DL919" s="56"/>
      <c r="DM919" s="56"/>
      <c r="DN919" s="56"/>
      <c r="DO919" s="56"/>
      <c r="DP919" s="56"/>
      <c r="DQ919" s="56"/>
      <c r="DR919" s="56"/>
      <c r="DS919" s="56"/>
      <c r="DT919" s="56"/>
      <c r="DU919" s="56"/>
      <c r="DV919" s="56"/>
      <c r="DW919" s="56"/>
      <c r="DX919" s="56"/>
      <c r="DY919" s="56"/>
      <c r="DZ919" s="56"/>
      <c r="EA919" s="56"/>
      <c r="EB919" s="56"/>
      <c r="EC919" s="56"/>
      <c r="ED919" s="56"/>
      <c r="EE919" s="56"/>
      <c r="EF919" s="56"/>
      <c r="EG919" s="56"/>
      <c r="EH919" s="56"/>
      <c r="EI919" s="56"/>
      <c r="EJ919" s="56"/>
      <c r="EK919" s="56"/>
      <c r="EL919" s="56"/>
      <c r="EM919" s="56"/>
      <c r="EN919" s="56"/>
      <c r="EO919" s="56"/>
      <c r="EP919" s="56"/>
      <c r="EQ919" s="56"/>
      <c r="ER919" s="56"/>
      <c r="ES919" s="56"/>
      <c r="ET919" s="56"/>
      <c r="EU919" s="56"/>
      <c r="EV919" s="56"/>
      <c r="EW919" s="56"/>
      <c r="EX919" s="56"/>
      <c r="EY919" s="56"/>
      <c r="EZ919" s="56"/>
      <c r="FA919" s="56"/>
      <c r="FB919" s="56"/>
      <c r="FC919" s="56"/>
      <c r="FD919" s="56"/>
      <c r="FE919" s="56"/>
      <c r="FF919" s="56"/>
      <c r="FG919" s="56"/>
      <c r="FH919" s="56"/>
      <c r="FI919" s="56"/>
      <c r="FJ919" s="56"/>
      <c r="FK919" s="56"/>
      <c r="FL919" s="56"/>
      <c r="FM919" s="56"/>
      <c r="FN919" s="56"/>
      <c r="FO919" s="56"/>
      <c r="FP919" s="56"/>
      <c r="FQ919" s="56"/>
      <c r="FR919" s="56"/>
      <c r="FS919" s="56"/>
      <c r="FT919" s="56"/>
      <c r="FU919" s="56"/>
      <c r="FV919" s="56"/>
      <c r="FW919" s="56"/>
      <c r="FX919" s="56"/>
      <c r="FY919" s="56"/>
      <c r="FZ919" s="56"/>
      <c r="GA919" s="56"/>
      <c r="GB919" s="56"/>
      <c r="GC919" s="56"/>
      <c r="GD919" s="56"/>
      <c r="GE919" s="56"/>
      <c r="GF919" s="56"/>
      <c r="GG919" s="56"/>
      <c r="GH919" s="56"/>
      <c r="GI919" s="56"/>
      <c r="GJ919" s="56"/>
      <c r="GK919" s="56"/>
      <c r="GL919" s="56"/>
      <c r="GM919" s="56"/>
      <c r="GN919" s="56"/>
      <c r="GO919" s="56"/>
      <c r="GP919" s="56"/>
      <c r="GQ919" s="56"/>
      <c r="GR919" s="56"/>
      <c r="GS919" s="56"/>
      <c r="GT919" s="56"/>
      <c r="GU919" s="56"/>
      <c r="GV919" s="56"/>
      <c r="GW919" s="56"/>
      <c r="GX919" s="56"/>
      <c r="GY919" s="56"/>
      <c r="GZ919" s="56"/>
      <c r="HA919" s="56"/>
      <c r="HB919" s="56"/>
      <c r="HC919" s="56"/>
      <c r="HD919" s="56"/>
      <c r="HE919" s="56"/>
      <c r="HF919" s="56"/>
      <c r="HG919" s="56"/>
      <c r="HH919" s="56"/>
      <c r="HI919" s="56"/>
      <c r="HJ919" s="56"/>
    </row>
    <row r="920" spans="1:218" ht="15.75" customHeight="1" x14ac:dyDescent="0.2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  <c r="BV920" s="56"/>
      <c r="BW920" s="56"/>
      <c r="BX920" s="56"/>
      <c r="BY920" s="56"/>
      <c r="BZ920" s="56"/>
      <c r="CA920" s="56"/>
      <c r="CB920" s="56"/>
      <c r="CC920" s="56"/>
      <c r="CD920" s="56"/>
      <c r="CE920" s="56"/>
      <c r="CF920" s="56"/>
      <c r="CG920" s="56"/>
      <c r="CH920" s="56"/>
      <c r="CI920" s="56"/>
      <c r="CJ920" s="56"/>
      <c r="CK920" s="56"/>
      <c r="CL920" s="56"/>
      <c r="CM920" s="56"/>
      <c r="CN920" s="56"/>
      <c r="CO920" s="56"/>
      <c r="CP920" s="56"/>
      <c r="CQ920" s="56"/>
      <c r="CR920" s="56"/>
      <c r="CS920" s="56"/>
      <c r="CT920" s="56"/>
      <c r="CU920" s="56"/>
      <c r="CV920" s="56"/>
      <c r="CW920" s="56"/>
      <c r="CX920" s="56"/>
      <c r="CY920" s="56"/>
      <c r="CZ920" s="56"/>
      <c r="DA920" s="56"/>
      <c r="DB920" s="56"/>
      <c r="DC920" s="56"/>
      <c r="DD920" s="56"/>
      <c r="DE920" s="56"/>
      <c r="DF920" s="56"/>
      <c r="DG920" s="56"/>
      <c r="DH920" s="56"/>
      <c r="DI920" s="56"/>
      <c r="DJ920" s="56"/>
      <c r="DK920" s="56"/>
      <c r="DL920" s="56"/>
      <c r="DM920" s="56"/>
      <c r="DN920" s="56"/>
      <c r="DO920" s="56"/>
      <c r="DP920" s="56"/>
      <c r="DQ920" s="56"/>
      <c r="DR920" s="56"/>
      <c r="DS920" s="56"/>
      <c r="DT920" s="56"/>
      <c r="DU920" s="56"/>
      <c r="DV920" s="56"/>
      <c r="DW920" s="56"/>
      <c r="DX920" s="56"/>
      <c r="DY920" s="56"/>
      <c r="DZ920" s="56"/>
      <c r="EA920" s="56"/>
      <c r="EB920" s="56"/>
      <c r="EC920" s="56"/>
      <c r="ED920" s="56"/>
      <c r="EE920" s="56"/>
      <c r="EF920" s="56"/>
      <c r="EG920" s="56"/>
      <c r="EH920" s="56"/>
      <c r="EI920" s="56"/>
      <c r="EJ920" s="56"/>
      <c r="EK920" s="56"/>
      <c r="EL920" s="56"/>
      <c r="EM920" s="56"/>
      <c r="EN920" s="56"/>
      <c r="EO920" s="56"/>
      <c r="EP920" s="56"/>
      <c r="EQ920" s="56"/>
      <c r="ER920" s="56"/>
      <c r="ES920" s="56"/>
      <c r="ET920" s="56"/>
      <c r="EU920" s="56"/>
      <c r="EV920" s="56"/>
      <c r="EW920" s="56"/>
      <c r="EX920" s="56"/>
      <c r="EY920" s="56"/>
      <c r="EZ920" s="56"/>
      <c r="FA920" s="56"/>
      <c r="FB920" s="56"/>
      <c r="FC920" s="56"/>
      <c r="FD920" s="56"/>
      <c r="FE920" s="56"/>
      <c r="FF920" s="56"/>
      <c r="FG920" s="56"/>
      <c r="FH920" s="56"/>
      <c r="FI920" s="56"/>
      <c r="FJ920" s="56"/>
      <c r="FK920" s="56"/>
      <c r="FL920" s="56"/>
      <c r="FM920" s="56"/>
      <c r="FN920" s="56"/>
      <c r="FO920" s="56"/>
      <c r="FP920" s="56"/>
      <c r="FQ920" s="56"/>
      <c r="FR920" s="56"/>
      <c r="FS920" s="56"/>
      <c r="FT920" s="56"/>
      <c r="FU920" s="56"/>
      <c r="FV920" s="56"/>
      <c r="FW920" s="56"/>
      <c r="FX920" s="56"/>
      <c r="FY920" s="56"/>
      <c r="FZ920" s="56"/>
      <c r="GA920" s="56"/>
      <c r="GB920" s="56"/>
      <c r="GC920" s="56"/>
      <c r="GD920" s="56"/>
      <c r="GE920" s="56"/>
      <c r="GF920" s="56"/>
      <c r="GG920" s="56"/>
      <c r="GH920" s="56"/>
      <c r="GI920" s="56"/>
      <c r="GJ920" s="56"/>
      <c r="GK920" s="56"/>
      <c r="GL920" s="56"/>
      <c r="GM920" s="56"/>
      <c r="GN920" s="56"/>
      <c r="GO920" s="56"/>
      <c r="GP920" s="56"/>
      <c r="GQ920" s="56"/>
      <c r="GR920" s="56"/>
      <c r="GS920" s="56"/>
      <c r="GT920" s="56"/>
      <c r="GU920" s="56"/>
      <c r="GV920" s="56"/>
      <c r="GW920" s="56"/>
      <c r="GX920" s="56"/>
      <c r="GY920" s="56"/>
      <c r="GZ920" s="56"/>
      <c r="HA920" s="56"/>
      <c r="HB920" s="56"/>
      <c r="HC920" s="56"/>
      <c r="HD920" s="56"/>
      <c r="HE920" s="56"/>
      <c r="HF920" s="56"/>
      <c r="HG920" s="56"/>
      <c r="HH920" s="56"/>
      <c r="HI920" s="56"/>
      <c r="HJ920" s="56"/>
    </row>
    <row r="921" spans="1:218" ht="15.75" customHeight="1" x14ac:dyDescent="0.2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  <c r="BV921" s="56"/>
      <c r="BW921" s="56"/>
      <c r="BX921" s="56"/>
      <c r="BY921" s="56"/>
      <c r="BZ921" s="56"/>
      <c r="CA921" s="56"/>
      <c r="CB921" s="56"/>
      <c r="CC921" s="56"/>
      <c r="CD921" s="56"/>
      <c r="CE921" s="56"/>
      <c r="CF921" s="56"/>
      <c r="CG921" s="56"/>
      <c r="CH921" s="56"/>
      <c r="CI921" s="56"/>
      <c r="CJ921" s="56"/>
      <c r="CK921" s="56"/>
      <c r="CL921" s="56"/>
      <c r="CM921" s="56"/>
      <c r="CN921" s="56"/>
      <c r="CO921" s="56"/>
      <c r="CP921" s="56"/>
      <c r="CQ921" s="56"/>
      <c r="CR921" s="56"/>
      <c r="CS921" s="56"/>
      <c r="CT921" s="56"/>
      <c r="CU921" s="56"/>
      <c r="CV921" s="56"/>
      <c r="CW921" s="56"/>
      <c r="CX921" s="56"/>
      <c r="CY921" s="56"/>
      <c r="CZ921" s="56"/>
      <c r="DA921" s="56"/>
      <c r="DB921" s="56"/>
      <c r="DC921" s="56"/>
      <c r="DD921" s="56"/>
      <c r="DE921" s="56"/>
      <c r="DF921" s="56"/>
      <c r="DG921" s="56"/>
      <c r="DH921" s="56"/>
      <c r="DI921" s="56"/>
      <c r="DJ921" s="56"/>
      <c r="DK921" s="56"/>
      <c r="DL921" s="56"/>
      <c r="DM921" s="56"/>
      <c r="DN921" s="56"/>
      <c r="DO921" s="56"/>
      <c r="DP921" s="56"/>
      <c r="DQ921" s="56"/>
      <c r="DR921" s="56"/>
      <c r="DS921" s="56"/>
      <c r="DT921" s="56"/>
      <c r="DU921" s="56"/>
      <c r="DV921" s="56"/>
      <c r="DW921" s="56"/>
      <c r="DX921" s="56"/>
      <c r="DY921" s="56"/>
      <c r="DZ921" s="56"/>
      <c r="EA921" s="56"/>
      <c r="EB921" s="56"/>
      <c r="EC921" s="56"/>
      <c r="ED921" s="56"/>
      <c r="EE921" s="56"/>
      <c r="EF921" s="56"/>
      <c r="EG921" s="56"/>
      <c r="EH921" s="56"/>
      <c r="EI921" s="56"/>
      <c r="EJ921" s="56"/>
      <c r="EK921" s="56"/>
      <c r="EL921" s="56"/>
      <c r="EM921" s="56"/>
      <c r="EN921" s="56"/>
      <c r="EO921" s="56"/>
      <c r="EP921" s="56"/>
      <c r="EQ921" s="56"/>
      <c r="ER921" s="56"/>
      <c r="ES921" s="56"/>
      <c r="ET921" s="56"/>
      <c r="EU921" s="56"/>
      <c r="EV921" s="56"/>
      <c r="EW921" s="56"/>
      <c r="EX921" s="56"/>
      <c r="EY921" s="56"/>
      <c r="EZ921" s="56"/>
      <c r="FA921" s="56"/>
      <c r="FB921" s="56"/>
      <c r="FC921" s="56"/>
      <c r="FD921" s="56"/>
      <c r="FE921" s="56"/>
      <c r="FF921" s="56"/>
      <c r="FG921" s="56"/>
      <c r="FH921" s="56"/>
      <c r="FI921" s="56"/>
      <c r="FJ921" s="56"/>
      <c r="FK921" s="56"/>
      <c r="FL921" s="56"/>
      <c r="FM921" s="56"/>
      <c r="FN921" s="56"/>
      <c r="FO921" s="56"/>
      <c r="FP921" s="56"/>
      <c r="FQ921" s="56"/>
      <c r="FR921" s="56"/>
      <c r="FS921" s="56"/>
      <c r="FT921" s="56"/>
      <c r="FU921" s="56"/>
      <c r="FV921" s="56"/>
      <c r="FW921" s="56"/>
      <c r="FX921" s="56"/>
      <c r="FY921" s="56"/>
      <c r="FZ921" s="56"/>
      <c r="GA921" s="56"/>
      <c r="GB921" s="56"/>
      <c r="GC921" s="56"/>
      <c r="GD921" s="56"/>
      <c r="GE921" s="56"/>
      <c r="GF921" s="56"/>
      <c r="GG921" s="56"/>
      <c r="GH921" s="56"/>
      <c r="GI921" s="56"/>
      <c r="GJ921" s="56"/>
      <c r="GK921" s="56"/>
      <c r="GL921" s="56"/>
      <c r="GM921" s="56"/>
      <c r="GN921" s="56"/>
      <c r="GO921" s="56"/>
      <c r="GP921" s="56"/>
      <c r="GQ921" s="56"/>
      <c r="GR921" s="56"/>
      <c r="GS921" s="56"/>
      <c r="GT921" s="56"/>
      <c r="GU921" s="56"/>
      <c r="GV921" s="56"/>
      <c r="GW921" s="56"/>
      <c r="GX921" s="56"/>
      <c r="GY921" s="56"/>
      <c r="GZ921" s="56"/>
      <c r="HA921" s="56"/>
      <c r="HB921" s="56"/>
      <c r="HC921" s="56"/>
      <c r="HD921" s="56"/>
      <c r="HE921" s="56"/>
      <c r="HF921" s="56"/>
      <c r="HG921" s="56"/>
      <c r="HH921" s="56"/>
      <c r="HI921" s="56"/>
      <c r="HJ921" s="56"/>
    </row>
    <row r="922" spans="1:218" ht="15.75" customHeight="1" x14ac:dyDescent="0.2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  <c r="BV922" s="56"/>
      <c r="BW922" s="56"/>
      <c r="BX922" s="56"/>
      <c r="BY922" s="56"/>
      <c r="BZ922" s="56"/>
      <c r="CA922" s="56"/>
      <c r="CB922" s="56"/>
      <c r="CC922" s="56"/>
      <c r="CD922" s="56"/>
      <c r="CE922" s="56"/>
      <c r="CF922" s="56"/>
      <c r="CG922" s="56"/>
      <c r="CH922" s="56"/>
      <c r="CI922" s="56"/>
      <c r="CJ922" s="56"/>
      <c r="CK922" s="56"/>
      <c r="CL922" s="56"/>
      <c r="CM922" s="56"/>
      <c r="CN922" s="56"/>
      <c r="CO922" s="56"/>
      <c r="CP922" s="56"/>
      <c r="CQ922" s="56"/>
      <c r="CR922" s="56"/>
      <c r="CS922" s="56"/>
      <c r="CT922" s="56"/>
      <c r="CU922" s="56"/>
      <c r="CV922" s="56"/>
      <c r="CW922" s="56"/>
      <c r="CX922" s="56"/>
      <c r="CY922" s="56"/>
      <c r="CZ922" s="56"/>
      <c r="DA922" s="56"/>
      <c r="DB922" s="56"/>
      <c r="DC922" s="56"/>
      <c r="DD922" s="56"/>
      <c r="DE922" s="56"/>
      <c r="DF922" s="56"/>
      <c r="DG922" s="56"/>
      <c r="DH922" s="56"/>
      <c r="DI922" s="56"/>
      <c r="DJ922" s="56"/>
      <c r="DK922" s="56"/>
      <c r="DL922" s="56"/>
      <c r="DM922" s="56"/>
      <c r="DN922" s="56"/>
      <c r="DO922" s="56"/>
      <c r="DP922" s="56"/>
      <c r="DQ922" s="56"/>
      <c r="DR922" s="56"/>
      <c r="DS922" s="56"/>
      <c r="DT922" s="56"/>
      <c r="DU922" s="56"/>
      <c r="DV922" s="56"/>
      <c r="DW922" s="56"/>
      <c r="DX922" s="56"/>
      <c r="DY922" s="56"/>
      <c r="DZ922" s="56"/>
      <c r="EA922" s="56"/>
      <c r="EB922" s="56"/>
      <c r="EC922" s="56"/>
      <c r="ED922" s="56"/>
      <c r="EE922" s="56"/>
      <c r="EF922" s="56"/>
      <c r="EG922" s="56"/>
      <c r="EH922" s="56"/>
      <c r="EI922" s="56"/>
      <c r="EJ922" s="56"/>
      <c r="EK922" s="56"/>
      <c r="EL922" s="56"/>
      <c r="EM922" s="56"/>
      <c r="EN922" s="56"/>
      <c r="EO922" s="56"/>
      <c r="EP922" s="56"/>
      <c r="EQ922" s="56"/>
      <c r="ER922" s="56"/>
      <c r="ES922" s="56"/>
      <c r="ET922" s="56"/>
      <c r="EU922" s="56"/>
      <c r="EV922" s="56"/>
      <c r="EW922" s="56"/>
      <c r="EX922" s="56"/>
      <c r="EY922" s="56"/>
      <c r="EZ922" s="56"/>
      <c r="FA922" s="56"/>
      <c r="FB922" s="56"/>
      <c r="FC922" s="56"/>
      <c r="FD922" s="56"/>
      <c r="FE922" s="56"/>
      <c r="FF922" s="56"/>
      <c r="FG922" s="56"/>
      <c r="FH922" s="56"/>
      <c r="FI922" s="56"/>
      <c r="FJ922" s="56"/>
      <c r="FK922" s="56"/>
      <c r="FL922" s="56"/>
      <c r="FM922" s="56"/>
      <c r="FN922" s="56"/>
      <c r="FO922" s="56"/>
      <c r="FP922" s="56"/>
      <c r="FQ922" s="56"/>
      <c r="FR922" s="56"/>
      <c r="FS922" s="56"/>
      <c r="FT922" s="56"/>
      <c r="FU922" s="56"/>
      <c r="FV922" s="56"/>
      <c r="FW922" s="56"/>
      <c r="FX922" s="56"/>
      <c r="FY922" s="56"/>
      <c r="FZ922" s="56"/>
      <c r="GA922" s="56"/>
      <c r="GB922" s="56"/>
      <c r="GC922" s="56"/>
      <c r="GD922" s="56"/>
      <c r="GE922" s="56"/>
      <c r="GF922" s="56"/>
      <c r="GG922" s="56"/>
      <c r="GH922" s="56"/>
      <c r="GI922" s="56"/>
      <c r="GJ922" s="56"/>
      <c r="GK922" s="56"/>
      <c r="GL922" s="56"/>
      <c r="GM922" s="56"/>
      <c r="GN922" s="56"/>
      <c r="GO922" s="56"/>
      <c r="GP922" s="56"/>
      <c r="GQ922" s="56"/>
      <c r="GR922" s="56"/>
      <c r="GS922" s="56"/>
      <c r="GT922" s="56"/>
      <c r="GU922" s="56"/>
      <c r="GV922" s="56"/>
      <c r="GW922" s="56"/>
      <c r="GX922" s="56"/>
      <c r="GY922" s="56"/>
      <c r="GZ922" s="56"/>
      <c r="HA922" s="56"/>
      <c r="HB922" s="56"/>
      <c r="HC922" s="56"/>
      <c r="HD922" s="56"/>
      <c r="HE922" s="56"/>
      <c r="HF922" s="56"/>
      <c r="HG922" s="56"/>
      <c r="HH922" s="56"/>
      <c r="HI922" s="56"/>
      <c r="HJ922" s="56"/>
    </row>
    <row r="923" spans="1:218" ht="15.75" customHeight="1" x14ac:dyDescent="0.2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  <c r="BV923" s="56"/>
      <c r="BW923" s="56"/>
      <c r="BX923" s="56"/>
      <c r="BY923" s="56"/>
      <c r="BZ923" s="56"/>
      <c r="CA923" s="56"/>
      <c r="CB923" s="56"/>
      <c r="CC923" s="56"/>
      <c r="CD923" s="56"/>
      <c r="CE923" s="56"/>
      <c r="CF923" s="56"/>
      <c r="CG923" s="56"/>
      <c r="CH923" s="56"/>
      <c r="CI923" s="56"/>
      <c r="CJ923" s="56"/>
      <c r="CK923" s="56"/>
      <c r="CL923" s="56"/>
      <c r="CM923" s="56"/>
      <c r="CN923" s="56"/>
      <c r="CO923" s="56"/>
      <c r="CP923" s="56"/>
      <c r="CQ923" s="56"/>
      <c r="CR923" s="56"/>
      <c r="CS923" s="56"/>
      <c r="CT923" s="56"/>
      <c r="CU923" s="56"/>
      <c r="CV923" s="56"/>
      <c r="CW923" s="56"/>
      <c r="CX923" s="56"/>
      <c r="CY923" s="56"/>
      <c r="CZ923" s="56"/>
      <c r="DA923" s="56"/>
      <c r="DB923" s="56"/>
      <c r="DC923" s="56"/>
      <c r="DD923" s="56"/>
      <c r="DE923" s="56"/>
      <c r="DF923" s="56"/>
      <c r="DG923" s="56"/>
      <c r="DH923" s="56"/>
      <c r="DI923" s="56"/>
      <c r="DJ923" s="56"/>
      <c r="DK923" s="56"/>
      <c r="DL923" s="56"/>
      <c r="DM923" s="56"/>
      <c r="DN923" s="56"/>
      <c r="DO923" s="56"/>
      <c r="DP923" s="56"/>
      <c r="DQ923" s="56"/>
      <c r="DR923" s="56"/>
      <c r="DS923" s="56"/>
      <c r="DT923" s="56"/>
      <c r="DU923" s="56"/>
      <c r="DV923" s="56"/>
      <c r="DW923" s="56"/>
      <c r="DX923" s="56"/>
      <c r="DY923" s="56"/>
      <c r="DZ923" s="56"/>
      <c r="EA923" s="56"/>
      <c r="EB923" s="56"/>
      <c r="EC923" s="56"/>
      <c r="ED923" s="56"/>
      <c r="EE923" s="56"/>
      <c r="EF923" s="56"/>
      <c r="EG923" s="56"/>
      <c r="EH923" s="56"/>
      <c r="EI923" s="56"/>
      <c r="EJ923" s="56"/>
      <c r="EK923" s="56"/>
      <c r="EL923" s="56"/>
      <c r="EM923" s="56"/>
      <c r="EN923" s="56"/>
      <c r="EO923" s="56"/>
      <c r="EP923" s="56"/>
      <c r="EQ923" s="56"/>
      <c r="ER923" s="56"/>
      <c r="ES923" s="56"/>
      <c r="ET923" s="56"/>
      <c r="EU923" s="56"/>
      <c r="EV923" s="56"/>
      <c r="EW923" s="56"/>
      <c r="EX923" s="56"/>
      <c r="EY923" s="56"/>
      <c r="EZ923" s="56"/>
      <c r="FA923" s="56"/>
      <c r="FB923" s="56"/>
      <c r="FC923" s="56"/>
      <c r="FD923" s="56"/>
      <c r="FE923" s="56"/>
      <c r="FF923" s="56"/>
      <c r="FG923" s="56"/>
      <c r="FH923" s="56"/>
      <c r="FI923" s="56"/>
      <c r="FJ923" s="56"/>
      <c r="FK923" s="56"/>
      <c r="FL923" s="56"/>
      <c r="FM923" s="56"/>
      <c r="FN923" s="56"/>
      <c r="FO923" s="56"/>
      <c r="FP923" s="56"/>
      <c r="FQ923" s="56"/>
      <c r="FR923" s="56"/>
      <c r="FS923" s="56"/>
      <c r="FT923" s="56"/>
      <c r="FU923" s="56"/>
      <c r="FV923" s="56"/>
      <c r="FW923" s="56"/>
      <c r="FX923" s="56"/>
      <c r="FY923" s="56"/>
      <c r="FZ923" s="56"/>
      <c r="GA923" s="56"/>
      <c r="GB923" s="56"/>
      <c r="GC923" s="56"/>
      <c r="GD923" s="56"/>
      <c r="GE923" s="56"/>
      <c r="GF923" s="56"/>
      <c r="GG923" s="56"/>
      <c r="GH923" s="56"/>
      <c r="GI923" s="56"/>
      <c r="GJ923" s="56"/>
      <c r="GK923" s="56"/>
      <c r="GL923" s="56"/>
      <c r="GM923" s="56"/>
      <c r="GN923" s="56"/>
      <c r="GO923" s="56"/>
      <c r="GP923" s="56"/>
      <c r="GQ923" s="56"/>
      <c r="GR923" s="56"/>
      <c r="GS923" s="56"/>
      <c r="GT923" s="56"/>
      <c r="GU923" s="56"/>
      <c r="GV923" s="56"/>
      <c r="GW923" s="56"/>
      <c r="GX923" s="56"/>
      <c r="GY923" s="56"/>
      <c r="GZ923" s="56"/>
      <c r="HA923" s="56"/>
      <c r="HB923" s="56"/>
      <c r="HC923" s="56"/>
      <c r="HD923" s="56"/>
      <c r="HE923" s="56"/>
      <c r="HF923" s="56"/>
      <c r="HG923" s="56"/>
      <c r="HH923" s="56"/>
      <c r="HI923" s="56"/>
      <c r="HJ923" s="56"/>
    </row>
    <row r="924" spans="1:218" ht="15.75" customHeight="1" x14ac:dyDescent="0.2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  <c r="CL924" s="56"/>
      <c r="CM924" s="56"/>
      <c r="CN924" s="56"/>
      <c r="CO924" s="56"/>
      <c r="CP924" s="56"/>
      <c r="CQ924" s="56"/>
      <c r="CR924" s="56"/>
      <c r="CS924" s="56"/>
      <c r="CT924" s="56"/>
      <c r="CU924" s="56"/>
      <c r="CV924" s="56"/>
      <c r="CW924" s="56"/>
      <c r="CX924" s="56"/>
      <c r="CY924" s="56"/>
      <c r="CZ924" s="56"/>
      <c r="DA924" s="56"/>
      <c r="DB924" s="56"/>
      <c r="DC924" s="56"/>
      <c r="DD924" s="56"/>
      <c r="DE924" s="56"/>
      <c r="DF924" s="56"/>
      <c r="DG924" s="56"/>
      <c r="DH924" s="56"/>
      <c r="DI924" s="56"/>
      <c r="DJ924" s="56"/>
      <c r="DK924" s="56"/>
      <c r="DL924" s="56"/>
      <c r="DM924" s="56"/>
      <c r="DN924" s="56"/>
      <c r="DO924" s="56"/>
      <c r="DP924" s="56"/>
      <c r="DQ924" s="56"/>
      <c r="DR924" s="56"/>
      <c r="DS924" s="56"/>
      <c r="DT924" s="56"/>
      <c r="DU924" s="56"/>
      <c r="DV924" s="56"/>
      <c r="DW924" s="56"/>
      <c r="DX924" s="56"/>
      <c r="DY924" s="56"/>
      <c r="DZ924" s="56"/>
      <c r="EA924" s="56"/>
      <c r="EB924" s="56"/>
      <c r="EC924" s="56"/>
      <c r="ED924" s="56"/>
      <c r="EE924" s="56"/>
      <c r="EF924" s="56"/>
      <c r="EG924" s="56"/>
      <c r="EH924" s="56"/>
      <c r="EI924" s="56"/>
      <c r="EJ924" s="56"/>
      <c r="EK924" s="56"/>
      <c r="EL924" s="56"/>
      <c r="EM924" s="56"/>
      <c r="EN924" s="56"/>
      <c r="EO924" s="56"/>
      <c r="EP924" s="56"/>
      <c r="EQ924" s="56"/>
      <c r="ER924" s="56"/>
      <c r="ES924" s="56"/>
      <c r="ET924" s="56"/>
      <c r="EU924" s="56"/>
      <c r="EV924" s="56"/>
      <c r="EW924" s="56"/>
      <c r="EX924" s="56"/>
      <c r="EY924" s="56"/>
      <c r="EZ924" s="56"/>
      <c r="FA924" s="56"/>
      <c r="FB924" s="56"/>
      <c r="FC924" s="56"/>
      <c r="FD924" s="56"/>
      <c r="FE924" s="56"/>
      <c r="FF924" s="56"/>
      <c r="FG924" s="56"/>
      <c r="FH924" s="56"/>
      <c r="FI924" s="56"/>
      <c r="FJ924" s="56"/>
      <c r="FK924" s="56"/>
      <c r="FL924" s="56"/>
      <c r="FM924" s="56"/>
      <c r="FN924" s="56"/>
      <c r="FO924" s="56"/>
      <c r="FP924" s="56"/>
      <c r="FQ924" s="56"/>
      <c r="FR924" s="56"/>
      <c r="FS924" s="56"/>
      <c r="FT924" s="56"/>
      <c r="FU924" s="56"/>
      <c r="FV924" s="56"/>
      <c r="FW924" s="56"/>
      <c r="FX924" s="56"/>
      <c r="FY924" s="56"/>
      <c r="FZ924" s="56"/>
      <c r="GA924" s="56"/>
      <c r="GB924" s="56"/>
      <c r="GC924" s="56"/>
      <c r="GD924" s="56"/>
      <c r="GE924" s="56"/>
      <c r="GF924" s="56"/>
      <c r="GG924" s="56"/>
      <c r="GH924" s="56"/>
      <c r="GI924" s="56"/>
      <c r="GJ924" s="56"/>
      <c r="GK924" s="56"/>
      <c r="GL924" s="56"/>
      <c r="GM924" s="56"/>
      <c r="GN924" s="56"/>
      <c r="GO924" s="56"/>
      <c r="GP924" s="56"/>
      <c r="GQ924" s="56"/>
      <c r="GR924" s="56"/>
      <c r="GS924" s="56"/>
      <c r="GT924" s="56"/>
      <c r="GU924" s="56"/>
      <c r="GV924" s="56"/>
      <c r="GW924" s="56"/>
      <c r="GX924" s="56"/>
      <c r="GY924" s="56"/>
      <c r="GZ924" s="56"/>
      <c r="HA924" s="56"/>
      <c r="HB924" s="56"/>
      <c r="HC924" s="56"/>
      <c r="HD924" s="56"/>
      <c r="HE924" s="56"/>
      <c r="HF924" s="56"/>
      <c r="HG924" s="56"/>
      <c r="HH924" s="56"/>
      <c r="HI924" s="56"/>
      <c r="HJ924" s="56"/>
    </row>
    <row r="925" spans="1:218" ht="15.75" customHeight="1" x14ac:dyDescent="0.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  <c r="CL925" s="56"/>
      <c r="CM925" s="56"/>
      <c r="CN925" s="56"/>
      <c r="CO925" s="56"/>
      <c r="CP925" s="56"/>
      <c r="CQ925" s="56"/>
      <c r="CR925" s="56"/>
      <c r="CS925" s="56"/>
      <c r="CT925" s="56"/>
      <c r="CU925" s="56"/>
      <c r="CV925" s="56"/>
      <c r="CW925" s="56"/>
      <c r="CX925" s="56"/>
      <c r="CY925" s="56"/>
      <c r="CZ925" s="56"/>
      <c r="DA925" s="56"/>
      <c r="DB925" s="56"/>
      <c r="DC925" s="56"/>
      <c r="DD925" s="56"/>
      <c r="DE925" s="56"/>
      <c r="DF925" s="56"/>
      <c r="DG925" s="56"/>
      <c r="DH925" s="56"/>
      <c r="DI925" s="56"/>
      <c r="DJ925" s="56"/>
      <c r="DK925" s="56"/>
      <c r="DL925" s="56"/>
      <c r="DM925" s="56"/>
      <c r="DN925" s="56"/>
      <c r="DO925" s="56"/>
      <c r="DP925" s="56"/>
      <c r="DQ925" s="56"/>
      <c r="DR925" s="56"/>
      <c r="DS925" s="56"/>
      <c r="DT925" s="56"/>
      <c r="DU925" s="56"/>
      <c r="DV925" s="56"/>
      <c r="DW925" s="56"/>
      <c r="DX925" s="56"/>
      <c r="DY925" s="56"/>
      <c r="DZ925" s="56"/>
      <c r="EA925" s="56"/>
      <c r="EB925" s="56"/>
      <c r="EC925" s="56"/>
      <c r="ED925" s="56"/>
      <c r="EE925" s="56"/>
      <c r="EF925" s="56"/>
      <c r="EG925" s="56"/>
      <c r="EH925" s="56"/>
      <c r="EI925" s="56"/>
      <c r="EJ925" s="56"/>
      <c r="EK925" s="56"/>
      <c r="EL925" s="56"/>
      <c r="EM925" s="56"/>
      <c r="EN925" s="56"/>
      <c r="EO925" s="56"/>
      <c r="EP925" s="56"/>
      <c r="EQ925" s="56"/>
      <c r="ER925" s="56"/>
      <c r="ES925" s="56"/>
      <c r="ET925" s="56"/>
      <c r="EU925" s="56"/>
      <c r="EV925" s="56"/>
      <c r="EW925" s="56"/>
      <c r="EX925" s="56"/>
      <c r="EY925" s="56"/>
      <c r="EZ925" s="56"/>
      <c r="FA925" s="56"/>
      <c r="FB925" s="56"/>
      <c r="FC925" s="56"/>
      <c r="FD925" s="56"/>
      <c r="FE925" s="56"/>
      <c r="FF925" s="56"/>
      <c r="FG925" s="56"/>
      <c r="FH925" s="56"/>
      <c r="FI925" s="56"/>
      <c r="FJ925" s="56"/>
      <c r="FK925" s="56"/>
      <c r="FL925" s="56"/>
      <c r="FM925" s="56"/>
      <c r="FN925" s="56"/>
      <c r="FO925" s="56"/>
      <c r="FP925" s="56"/>
      <c r="FQ925" s="56"/>
      <c r="FR925" s="56"/>
      <c r="FS925" s="56"/>
      <c r="FT925" s="56"/>
      <c r="FU925" s="56"/>
      <c r="FV925" s="56"/>
      <c r="FW925" s="56"/>
      <c r="FX925" s="56"/>
      <c r="FY925" s="56"/>
      <c r="FZ925" s="56"/>
      <c r="GA925" s="56"/>
      <c r="GB925" s="56"/>
      <c r="GC925" s="56"/>
      <c r="GD925" s="56"/>
      <c r="GE925" s="56"/>
      <c r="GF925" s="56"/>
      <c r="GG925" s="56"/>
      <c r="GH925" s="56"/>
      <c r="GI925" s="56"/>
      <c r="GJ925" s="56"/>
      <c r="GK925" s="56"/>
      <c r="GL925" s="56"/>
      <c r="GM925" s="56"/>
      <c r="GN925" s="56"/>
      <c r="GO925" s="56"/>
      <c r="GP925" s="56"/>
      <c r="GQ925" s="56"/>
      <c r="GR925" s="56"/>
      <c r="GS925" s="56"/>
      <c r="GT925" s="56"/>
      <c r="GU925" s="56"/>
      <c r="GV925" s="56"/>
      <c r="GW925" s="56"/>
      <c r="GX925" s="56"/>
      <c r="GY925" s="56"/>
      <c r="GZ925" s="56"/>
      <c r="HA925" s="56"/>
      <c r="HB925" s="56"/>
      <c r="HC925" s="56"/>
      <c r="HD925" s="56"/>
      <c r="HE925" s="56"/>
      <c r="HF925" s="56"/>
      <c r="HG925" s="56"/>
      <c r="HH925" s="56"/>
      <c r="HI925" s="56"/>
      <c r="HJ925" s="56"/>
    </row>
    <row r="926" spans="1:218" ht="15.75" customHeight="1" x14ac:dyDescent="0.2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  <c r="CL926" s="56"/>
      <c r="CM926" s="56"/>
      <c r="CN926" s="56"/>
      <c r="CO926" s="56"/>
      <c r="CP926" s="56"/>
      <c r="CQ926" s="56"/>
      <c r="CR926" s="56"/>
      <c r="CS926" s="56"/>
      <c r="CT926" s="56"/>
      <c r="CU926" s="56"/>
      <c r="CV926" s="56"/>
      <c r="CW926" s="56"/>
      <c r="CX926" s="56"/>
      <c r="CY926" s="56"/>
      <c r="CZ926" s="56"/>
      <c r="DA926" s="56"/>
      <c r="DB926" s="56"/>
      <c r="DC926" s="56"/>
      <c r="DD926" s="56"/>
      <c r="DE926" s="56"/>
      <c r="DF926" s="56"/>
      <c r="DG926" s="56"/>
      <c r="DH926" s="56"/>
      <c r="DI926" s="56"/>
      <c r="DJ926" s="56"/>
      <c r="DK926" s="56"/>
      <c r="DL926" s="56"/>
      <c r="DM926" s="56"/>
      <c r="DN926" s="56"/>
      <c r="DO926" s="56"/>
      <c r="DP926" s="56"/>
      <c r="DQ926" s="56"/>
      <c r="DR926" s="56"/>
      <c r="DS926" s="56"/>
      <c r="DT926" s="56"/>
      <c r="DU926" s="56"/>
      <c r="DV926" s="56"/>
      <c r="DW926" s="56"/>
      <c r="DX926" s="56"/>
      <c r="DY926" s="56"/>
      <c r="DZ926" s="56"/>
      <c r="EA926" s="56"/>
      <c r="EB926" s="56"/>
      <c r="EC926" s="56"/>
      <c r="ED926" s="56"/>
      <c r="EE926" s="56"/>
      <c r="EF926" s="56"/>
      <c r="EG926" s="56"/>
      <c r="EH926" s="56"/>
      <c r="EI926" s="56"/>
      <c r="EJ926" s="56"/>
      <c r="EK926" s="56"/>
      <c r="EL926" s="56"/>
      <c r="EM926" s="56"/>
      <c r="EN926" s="56"/>
      <c r="EO926" s="56"/>
      <c r="EP926" s="56"/>
      <c r="EQ926" s="56"/>
      <c r="ER926" s="56"/>
      <c r="ES926" s="56"/>
      <c r="ET926" s="56"/>
      <c r="EU926" s="56"/>
      <c r="EV926" s="56"/>
      <c r="EW926" s="56"/>
      <c r="EX926" s="56"/>
      <c r="EY926" s="56"/>
      <c r="EZ926" s="56"/>
      <c r="FA926" s="56"/>
      <c r="FB926" s="56"/>
      <c r="FC926" s="56"/>
      <c r="FD926" s="56"/>
      <c r="FE926" s="56"/>
      <c r="FF926" s="56"/>
      <c r="FG926" s="56"/>
      <c r="FH926" s="56"/>
      <c r="FI926" s="56"/>
      <c r="FJ926" s="56"/>
      <c r="FK926" s="56"/>
      <c r="FL926" s="56"/>
      <c r="FM926" s="56"/>
      <c r="FN926" s="56"/>
      <c r="FO926" s="56"/>
      <c r="FP926" s="56"/>
      <c r="FQ926" s="56"/>
      <c r="FR926" s="56"/>
      <c r="FS926" s="56"/>
      <c r="FT926" s="56"/>
      <c r="FU926" s="56"/>
      <c r="FV926" s="56"/>
      <c r="FW926" s="56"/>
      <c r="FX926" s="56"/>
      <c r="FY926" s="56"/>
      <c r="FZ926" s="56"/>
      <c r="GA926" s="56"/>
      <c r="GB926" s="56"/>
      <c r="GC926" s="56"/>
      <c r="GD926" s="56"/>
      <c r="GE926" s="56"/>
      <c r="GF926" s="56"/>
      <c r="GG926" s="56"/>
      <c r="GH926" s="56"/>
      <c r="GI926" s="56"/>
      <c r="GJ926" s="56"/>
      <c r="GK926" s="56"/>
      <c r="GL926" s="56"/>
      <c r="GM926" s="56"/>
      <c r="GN926" s="56"/>
      <c r="GO926" s="56"/>
      <c r="GP926" s="56"/>
      <c r="GQ926" s="56"/>
      <c r="GR926" s="56"/>
      <c r="GS926" s="56"/>
      <c r="GT926" s="56"/>
      <c r="GU926" s="56"/>
      <c r="GV926" s="56"/>
      <c r="GW926" s="56"/>
      <c r="GX926" s="56"/>
      <c r="GY926" s="56"/>
      <c r="GZ926" s="56"/>
      <c r="HA926" s="56"/>
      <c r="HB926" s="56"/>
      <c r="HC926" s="56"/>
      <c r="HD926" s="56"/>
      <c r="HE926" s="56"/>
      <c r="HF926" s="56"/>
      <c r="HG926" s="56"/>
      <c r="HH926" s="56"/>
      <c r="HI926" s="56"/>
      <c r="HJ926" s="56"/>
    </row>
    <row r="927" spans="1:218" ht="15.75" customHeight="1" x14ac:dyDescent="0.2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  <c r="BV927" s="56"/>
      <c r="BW927" s="56"/>
      <c r="BX927" s="56"/>
      <c r="BY927" s="56"/>
      <c r="BZ927" s="56"/>
      <c r="CA927" s="56"/>
      <c r="CB927" s="56"/>
      <c r="CC927" s="56"/>
      <c r="CD927" s="56"/>
      <c r="CE927" s="56"/>
      <c r="CF927" s="56"/>
      <c r="CG927" s="56"/>
      <c r="CH927" s="56"/>
      <c r="CI927" s="56"/>
      <c r="CJ927" s="56"/>
      <c r="CK927" s="56"/>
      <c r="CL927" s="56"/>
      <c r="CM927" s="56"/>
      <c r="CN927" s="56"/>
      <c r="CO927" s="56"/>
      <c r="CP927" s="56"/>
      <c r="CQ927" s="56"/>
      <c r="CR927" s="56"/>
      <c r="CS927" s="56"/>
      <c r="CT927" s="56"/>
      <c r="CU927" s="56"/>
      <c r="CV927" s="56"/>
      <c r="CW927" s="56"/>
      <c r="CX927" s="56"/>
      <c r="CY927" s="56"/>
      <c r="CZ927" s="56"/>
      <c r="DA927" s="56"/>
      <c r="DB927" s="56"/>
      <c r="DC927" s="56"/>
      <c r="DD927" s="56"/>
      <c r="DE927" s="56"/>
      <c r="DF927" s="56"/>
      <c r="DG927" s="56"/>
      <c r="DH927" s="56"/>
      <c r="DI927" s="56"/>
      <c r="DJ927" s="56"/>
      <c r="DK927" s="56"/>
      <c r="DL927" s="56"/>
      <c r="DM927" s="56"/>
      <c r="DN927" s="56"/>
      <c r="DO927" s="56"/>
      <c r="DP927" s="56"/>
      <c r="DQ927" s="56"/>
      <c r="DR927" s="56"/>
      <c r="DS927" s="56"/>
      <c r="DT927" s="56"/>
      <c r="DU927" s="56"/>
      <c r="DV927" s="56"/>
      <c r="DW927" s="56"/>
      <c r="DX927" s="56"/>
      <c r="DY927" s="56"/>
      <c r="DZ927" s="56"/>
      <c r="EA927" s="56"/>
      <c r="EB927" s="56"/>
      <c r="EC927" s="56"/>
      <c r="ED927" s="56"/>
      <c r="EE927" s="56"/>
      <c r="EF927" s="56"/>
      <c r="EG927" s="56"/>
      <c r="EH927" s="56"/>
      <c r="EI927" s="56"/>
      <c r="EJ927" s="56"/>
      <c r="EK927" s="56"/>
      <c r="EL927" s="56"/>
      <c r="EM927" s="56"/>
      <c r="EN927" s="56"/>
      <c r="EO927" s="56"/>
      <c r="EP927" s="56"/>
      <c r="EQ927" s="56"/>
      <c r="ER927" s="56"/>
      <c r="ES927" s="56"/>
      <c r="ET927" s="56"/>
      <c r="EU927" s="56"/>
      <c r="EV927" s="56"/>
      <c r="EW927" s="56"/>
      <c r="EX927" s="56"/>
      <c r="EY927" s="56"/>
      <c r="EZ927" s="56"/>
      <c r="FA927" s="56"/>
      <c r="FB927" s="56"/>
      <c r="FC927" s="56"/>
      <c r="FD927" s="56"/>
      <c r="FE927" s="56"/>
      <c r="FF927" s="56"/>
      <c r="FG927" s="56"/>
      <c r="FH927" s="56"/>
      <c r="FI927" s="56"/>
      <c r="FJ927" s="56"/>
      <c r="FK927" s="56"/>
      <c r="FL927" s="56"/>
      <c r="FM927" s="56"/>
      <c r="FN927" s="56"/>
      <c r="FO927" s="56"/>
      <c r="FP927" s="56"/>
      <c r="FQ927" s="56"/>
      <c r="FR927" s="56"/>
      <c r="FS927" s="56"/>
      <c r="FT927" s="56"/>
      <c r="FU927" s="56"/>
      <c r="FV927" s="56"/>
      <c r="FW927" s="56"/>
      <c r="FX927" s="56"/>
      <c r="FY927" s="56"/>
      <c r="FZ927" s="56"/>
      <c r="GA927" s="56"/>
      <c r="GB927" s="56"/>
      <c r="GC927" s="56"/>
      <c r="GD927" s="56"/>
      <c r="GE927" s="56"/>
      <c r="GF927" s="56"/>
      <c r="GG927" s="56"/>
      <c r="GH927" s="56"/>
      <c r="GI927" s="56"/>
      <c r="GJ927" s="56"/>
      <c r="GK927" s="56"/>
      <c r="GL927" s="56"/>
      <c r="GM927" s="56"/>
      <c r="GN927" s="56"/>
      <c r="GO927" s="56"/>
      <c r="GP927" s="56"/>
      <c r="GQ927" s="56"/>
      <c r="GR927" s="56"/>
      <c r="GS927" s="56"/>
      <c r="GT927" s="56"/>
      <c r="GU927" s="56"/>
      <c r="GV927" s="56"/>
      <c r="GW927" s="56"/>
      <c r="GX927" s="56"/>
      <c r="GY927" s="56"/>
      <c r="GZ927" s="56"/>
      <c r="HA927" s="56"/>
      <c r="HB927" s="56"/>
      <c r="HC927" s="56"/>
      <c r="HD927" s="56"/>
      <c r="HE927" s="56"/>
      <c r="HF927" s="56"/>
      <c r="HG927" s="56"/>
      <c r="HH927" s="56"/>
      <c r="HI927" s="56"/>
      <c r="HJ927" s="56"/>
    </row>
    <row r="928" spans="1:218" ht="15.75" customHeight="1" x14ac:dyDescent="0.2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  <c r="CL928" s="56"/>
      <c r="CM928" s="56"/>
      <c r="CN928" s="56"/>
      <c r="CO928" s="56"/>
      <c r="CP928" s="56"/>
      <c r="CQ928" s="56"/>
      <c r="CR928" s="56"/>
      <c r="CS928" s="56"/>
      <c r="CT928" s="56"/>
      <c r="CU928" s="56"/>
      <c r="CV928" s="56"/>
      <c r="CW928" s="56"/>
      <c r="CX928" s="56"/>
      <c r="CY928" s="56"/>
      <c r="CZ928" s="56"/>
      <c r="DA928" s="56"/>
      <c r="DB928" s="56"/>
      <c r="DC928" s="56"/>
      <c r="DD928" s="56"/>
      <c r="DE928" s="56"/>
      <c r="DF928" s="56"/>
      <c r="DG928" s="56"/>
      <c r="DH928" s="56"/>
      <c r="DI928" s="56"/>
      <c r="DJ928" s="56"/>
      <c r="DK928" s="56"/>
      <c r="DL928" s="56"/>
      <c r="DM928" s="56"/>
      <c r="DN928" s="56"/>
      <c r="DO928" s="56"/>
      <c r="DP928" s="56"/>
      <c r="DQ928" s="56"/>
      <c r="DR928" s="56"/>
      <c r="DS928" s="56"/>
      <c r="DT928" s="56"/>
      <c r="DU928" s="56"/>
      <c r="DV928" s="56"/>
      <c r="DW928" s="56"/>
      <c r="DX928" s="56"/>
      <c r="DY928" s="56"/>
      <c r="DZ928" s="56"/>
      <c r="EA928" s="56"/>
      <c r="EB928" s="56"/>
      <c r="EC928" s="56"/>
      <c r="ED928" s="56"/>
      <c r="EE928" s="56"/>
      <c r="EF928" s="56"/>
      <c r="EG928" s="56"/>
      <c r="EH928" s="56"/>
      <c r="EI928" s="56"/>
      <c r="EJ928" s="56"/>
      <c r="EK928" s="56"/>
      <c r="EL928" s="56"/>
      <c r="EM928" s="56"/>
      <c r="EN928" s="56"/>
      <c r="EO928" s="56"/>
      <c r="EP928" s="56"/>
      <c r="EQ928" s="56"/>
      <c r="ER928" s="56"/>
      <c r="ES928" s="56"/>
      <c r="ET928" s="56"/>
      <c r="EU928" s="56"/>
      <c r="EV928" s="56"/>
      <c r="EW928" s="56"/>
      <c r="EX928" s="56"/>
      <c r="EY928" s="56"/>
      <c r="EZ928" s="56"/>
      <c r="FA928" s="56"/>
      <c r="FB928" s="56"/>
      <c r="FC928" s="56"/>
      <c r="FD928" s="56"/>
      <c r="FE928" s="56"/>
      <c r="FF928" s="56"/>
      <c r="FG928" s="56"/>
      <c r="FH928" s="56"/>
      <c r="FI928" s="56"/>
      <c r="FJ928" s="56"/>
      <c r="FK928" s="56"/>
      <c r="FL928" s="56"/>
      <c r="FM928" s="56"/>
      <c r="FN928" s="56"/>
      <c r="FO928" s="56"/>
      <c r="FP928" s="56"/>
      <c r="FQ928" s="56"/>
      <c r="FR928" s="56"/>
      <c r="FS928" s="56"/>
      <c r="FT928" s="56"/>
      <c r="FU928" s="56"/>
      <c r="FV928" s="56"/>
      <c r="FW928" s="56"/>
      <c r="FX928" s="56"/>
      <c r="FY928" s="56"/>
      <c r="FZ928" s="56"/>
      <c r="GA928" s="56"/>
      <c r="GB928" s="56"/>
      <c r="GC928" s="56"/>
      <c r="GD928" s="56"/>
      <c r="GE928" s="56"/>
      <c r="GF928" s="56"/>
      <c r="GG928" s="56"/>
      <c r="GH928" s="56"/>
      <c r="GI928" s="56"/>
      <c r="GJ928" s="56"/>
      <c r="GK928" s="56"/>
      <c r="GL928" s="56"/>
      <c r="GM928" s="56"/>
      <c r="GN928" s="56"/>
      <c r="GO928" s="56"/>
      <c r="GP928" s="56"/>
      <c r="GQ928" s="56"/>
      <c r="GR928" s="56"/>
      <c r="GS928" s="56"/>
      <c r="GT928" s="56"/>
      <c r="GU928" s="56"/>
      <c r="GV928" s="56"/>
      <c r="GW928" s="56"/>
      <c r="GX928" s="56"/>
      <c r="GY928" s="56"/>
      <c r="GZ928" s="56"/>
      <c r="HA928" s="56"/>
      <c r="HB928" s="56"/>
      <c r="HC928" s="56"/>
      <c r="HD928" s="56"/>
      <c r="HE928" s="56"/>
      <c r="HF928" s="56"/>
      <c r="HG928" s="56"/>
      <c r="HH928" s="56"/>
      <c r="HI928" s="56"/>
      <c r="HJ928" s="56"/>
    </row>
    <row r="929" spans="1:218" ht="15.75" customHeight="1" x14ac:dyDescent="0.2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  <c r="BV929" s="56"/>
      <c r="BW929" s="56"/>
      <c r="BX929" s="56"/>
      <c r="BY929" s="56"/>
      <c r="BZ929" s="56"/>
      <c r="CA929" s="56"/>
      <c r="CB929" s="56"/>
      <c r="CC929" s="56"/>
      <c r="CD929" s="56"/>
      <c r="CE929" s="56"/>
      <c r="CF929" s="56"/>
      <c r="CG929" s="56"/>
      <c r="CH929" s="56"/>
      <c r="CI929" s="56"/>
      <c r="CJ929" s="56"/>
      <c r="CK929" s="56"/>
      <c r="CL929" s="56"/>
      <c r="CM929" s="56"/>
      <c r="CN929" s="56"/>
      <c r="CO929" s="56"/>
      <c r="CP929" s="56"/>
      <c r="CQ929" s="56"/>
      <c r="CR929" s="56"/>
      <c r="CS929" s="56"/>
      <c r="CT929" s="56"/>
      <c r="CU929" s="56"/>
      <c r="CV929" s="56"/>
      <c r="CW929" s="56"/>
      <c r="CX929" s="56"/>
      <c r="CY929" s="56"/>
      <c r="CZ929" s="56"/>
      <c r="DA929" s="56"/>
      <c r="DB929" s="56"/>
      <c r="DC929" s="56"/>
      <c r="DD929" s="56"/>
      <c r="DE929" s="56"/>
      <c r="DF929" s="56"/>
      <c r="DG929" s="56"/>
      <c r="DH929" s="56"/>
      <c r="DI929" s="56"/>
      <c r="DJ929" s="56"/>
      <c r="DK929" s="56"/>
      <c r="DL929" s="56"/>
      <c r="DM929" s="56"/>
      <c r="DN929" s="56"/>
      <c r="DO929" s="56"/>
      <c r="DP929" s="56"/>
      <c r="DQ929" s="56"/>
      <c r="DR929" s="56"/>
      <c r="DS929" s="56"/>
      <c r="DT929" s="56"/>
      <c r="DU929" s="56"/>
      <c r="DV929" s="56"/>
      <c r="DW929" s="56"/>
      <c r="DX929" s="56"/>
      <c r="DY929" s="56"/>
      <c r="DZ929" s="56"/>
      <c r="EA929" s="56"/>
      <c r="EB929" s="56"/>
      <c r="EC929" s="56"/>
      <c r="ED929" s="56"/>
      <c r="EE929" s="56"/>
      <c r="EF929" s="56"/>
      <c r="EG929" s="56"/>
      <c r="EH929" s="56"/>
      <c r="EI929" s="56"/>
      <c r="EJ929" s="56"/>
      <c r="EK929" s="56"/>
      <c r="EL929" s="56"/>
      <c r="EM929" s="56"/>
      <c r="EN929" s="56"/>
      <c r="EO929" s="56"/>
      <c r="EP929" s="56"/>
      <c r="EQ929" s="56"/>
      <c r="ER929" s="56"/>
      <c r="ES929" s="56"/>
      <c r="ET929" s="56"/>
      <c r="EU929" s="56"/>
      <c r="EV929" s="56"/>
      <c r="EW929" s="56"/>
      <c r="EX929" s="56"/>
      <c r="EY929" s="56"/>
      <c r="EZ929" s="56"/>
      <c r="FA929" s="56"/>
      <c r="FB929" s="56"/>
      <c r="FC929" s="56"/>
      <c r="FD929" s="56"/>
      <c r="FE929" s="56"/>
      <c r="FF929" s="56"/>
      <c r="FG929" s="56"/>
      <c r="FH929" s="56"/>
      <c r="FI929" s="56"/>
      <c r="FJ929" s="56"/>
      <c r="FK929" s="56"/>
      <c r="FL929" s="56"/>
      <c r="FM929" s="56"/>
      <c r="FN929" s="56"/>
      <c r="FO929" s="56"/>
      <c r="FP929" s="56"/>
      <c r="FQ929" s="56"/>
      <c r="FR929" s="56"/>
      <c r="FS929" s="56"/>
      <c r="FT929" s="56"/>
      <c r="FU929" s="56"/>
      <c r="FV929" s="56"/>
      <c r="FW929" s="56"/>
      <c r="FX929" s="56"/>
      <c r="FY929" s="56"/>
      <c r="FZ929" s="56"/>
      <c r="GA929" s="56"/>
      <c r="GB929" s="56"/>
      <c r="GC929" s="56"/>
      <c r="GD929" s="56"/>
      <c r="GE929" s="56"/>
      <c r="GF929" s="56"/>
      <c r="GG929" s="56"/>
      <c r="GH929" s="56"/>
      <c r="GI929" s="56"/>
      <c r="GJ929" s="56"/>
      <c r="GK929" s="56"/>
      <c r="GL929" s="56"/>
      <c r="GM929" s="56"/>
      <c r="GN929" s="56"/>
      <c r="GO929" s="56"/>
      <c r="GP929" s="56"/>
      <c r="GQ929" s="56"/>
      <c r="GR929" s="56"/>
      <c r="GS929" s="56"/>
      <c r="GT929" s="56"/>
      <c r="GU929" s="56"/>
      <c r="GV929" s="56"/>
      <c r="GW929" s="56"/>
      <c r="GX929" s="56"/>
      <c r="GY929" s="56"/>
      <c r="GZ929" s="56"/>
      <c r="HA929" s="56"/>
      <c r="HB929" s="56"/>
      <c r="HC929" s="56"/>
      <c r="HD929" s="56"/>
      <c r="HE929" s="56"/>
      <c r="HF929" s="56"/>
      <c r="HG929" s="56"/>
      <c r="HH929" s="56"/>
      <c r="HI929" s="56"/>
      <c r="HJ929" s="56"/>
    </row>
    <row r="930" spans="1:218" ht="15.75" customHeight="1" x14ac:dyDescent="0.2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  <c r="BV930" s="56"/>
      <c r="BW930" s="56"/>
      <c r="BX930" s="56"/>
      <c r="BY930" s="56"/>
      <c r="BZ930" s="56"/>
      <c r="CA930" s="56"/>
      <c r="CB930" s="56"/>
      <c r="CC930" s="56"/>
      <c r="CD930" s="56"/>
      <c r="CE930" s="56"/>
      <c r="CF930" s="56"/>
      <c r="CG930" s="56"/>
      <c r="CH930" s="56"/>
      <c r="CI930" s="56"/>
      <c r="CJ930" s="56"/>
      <c r="CK930" s="56"/>
      <c r="CL930" s="56"/>
      <c r="CM930" s="56"/>
      <c r="CN930" s="56"/>
      <c r="CO930" s="56"/>
      <c r="CP930" s="56"/>
      <c r="CQ930" s="56"/>
      <c r="CR930" s="56"/>
      <c r="CS930" s="56"/>
      <c r="CT930" s="56"/>
      <c r="CU930" s="56"/>
      <c r="CV930" s="56"/>
      <c r="CW930" s="56"/>
      <c r="CX930" s="56"/>
      <c r="CY930" s="56"/>
      <c r="CZ930" s="56"/>
      <c r="DA930" s="56"/>
      <c r="DB930" s="56"/>
      <c r="DC930" s="56"/>
      <c r="DD930" s="56"/>
      <c r="DE930" s="56"/>
      <c r="DF930" s="56"/>
      <c r="DG930" s="56"/>
      <c r="DH930" s="56"/>
      <c r="DI930" s="56"/>
      <c r="DJ930" s="56"/>
      <c r="DK930" s="56"/>
      <c r="DL930" s="56"/>
      <c r="DM930" s="56"/>
      <c r="DN930" s="56"/>
      <c r="DO930" s="56"/>
      <c r="DP930" s="56"/>
      <c r="DQ930" s="56"/>
      <c r="DR930" s="56"/>
      <c r="DS930" s="56"/>
      <c r="DT930" s="56"/>
      <c r="DU930" s="56"/>
      <c r="DV930" s="56"/>
      <c r="DW930" s="56"/>
      <c r="DX930" s="56"/>
      <c r="DY930" s="56"/>
      <c r="DZ930" s="56"/>
      <c r="EA930" s="56"/>
      <c r="EB930" s="56"/>
      <c r="EC930" s="56"/>
      <c r="ED930" s="56"/>
      <c r="EE930" s="56"/>
      <c r="EF930" s="56"/>
      <c r="EG930" s="56"/>
      <c r="EH930" s="56"/>
      <c r="EI930" s="56"/>
      <c r="EJ930" s="56"/>
      <c r="EK930" s="56"/>
      <c r="EL930" s="56"/>
      <c r="EM930" s="56"/>
      <c r="EN930" s="56"/>
      <c r="EO930" s="56"/>
      <c r="EP930" s="56"/>
      <c r="EQ930" s="56"/>
      <c r="ER930" s="56"/>
      <c r="ES930" s="56"/>
      <c r="ET930" s="56"/>
      <c r="EU930" s="56"/>
      <c r="EV930" s="56"/>
      <c r="EW930" s="56"/>
      <c r="EX930" s="56"/>
      <c r="EY930" s="56"/>
      <c r="EZ930" s="56"/>
      <c r="FA930" s="56"/>
      <c r="FB930" s="56"/>
      <c r="FC930" s="56"/>
      <c r="FD930" s="56"/>
      <c r="FE930" s="56"/>
      <c r="FF930" s="56"/>
      <c r="FG930" s="56"/>
      <c r="FH930" s="56"/>
      <c r="FI930" s="56"/>
      <c r="FJ930" s="56"/>
      <c r="FK930" s="56"/>
      <c r="FL930" s="56"/>
      <c r="FM930" s="56"/>
      <c r="FN930" s="56"/>
      <c r="FO930" s="56"/>
      <c r="FP930" s="56"/>
      <c r="FQ930" s="56"/>
      <c r="FR930" s="56"/>
      <c r="FS930" s="56"/>
      <c r="FT930" s="56"/>
      <c r="FU930" s="56"/>
      <c r="FV930" s="56"/>
      <c r="FW930" s="56"/>
      <c r="FX930" s="56"/>
      <c r="FY930" s="56"/>
      <c r="FZ930" s="56"/>
      <c r="GA930" s="56"/>
      <c r="GB930" s="56"/>
      <c r="GC930" s="56"/>
      <c r="GD930" s="56"/>
      <c r="GE930" s="56"/>
      <c r="GF930" s="56"/>
      <c r="GG930" s="56"/>
      <c r="GH930" s="56"/>
      <c r="GI930" s="56"/>
      <c r="GJ930" s="56"/>
      <c r="GK930" s="56"/>
      <c r="GL930" s="56"/>
      <c r="GM930" s="56"/>
      <c r="GN930" s="56"/>
      <c r="GO930" s="56"/>
      <c r="GP930" s="56"/>
      <c r="GQ930" s="56"/>
      <c r="GR930" s="56"/>
      <c r="GS930" s="56"/>
      <c r="GT930" s="56"/>
      <c r="GU930" s="56"/>
      <c r="GV930" s="56"/>
      <c r="GW930" s="56"/>
      <c r="GX930" s="56"/>
      <c r="GY930" s="56"/>
      <c r="GZ930" s="56"/>
      <c r="HA930" s="56"/>
      <c r="HB930" s="56"/>
      <c r="HC930" s="56"/>
      <c r="HD930" s="56"/>
      <c r="HE930" s="56"/>
      <c r="HF930" s="56"/>
      <c r="HG930" s="56"/>
      <c r="HH930" s="56"/>
      <c r="HI930" s="56"/>
      <c r="HJ930" s="56"/>
    </row>
    <row r="931" spans="1:218" ht="15.75" customHeight="1" x14ac:dyDescent="0.2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  <c r="BV931" s="56"/>
      <c r="BW931" s="56"/>
      <c r="BX931" s="56"/>
      <c r="BY931" s="56"/>
      <c r="BZ931" s="56"/>
      <c r="CA931" s="56"/>
      <c r="CB931" s="56"/>
      <c r="CC931" s="56"/>
      <c r="CD931" s="56"/>
      <c r="CE931" s="56"/>
      <c r="CF931" s="56"/>
      <c r="CG931" s="56"/>
      <c r="CH931" s="56"/>
      <c r="CI931" s="56"/>
      <c r="CJ931" s="56"/>
      <c r="CK931" s="56"/>
      <c r="CL931" s="56"/>
      <c r="CM931" s="56"/>
      <c r="CN931" s="56"/>
      <c r="CO931" s="56"/>
      <c r="CP931" s="56"/>
      <c r="CQ931" s="56"/>
      <c r="CR931" s="56"/>
      <c r="CS931" s="56"/>
      <c r="CT931" s="56"/>
      <c r="CU931" s="56"/>
      <c r="CV931" s="56"/>
      <c r="CW931" s="56"/>
      <c r="CX931" s="56"/>
      <c r="CY931" s="56"/>
      <c r="CZ931" s="56"/>
      <c r="DA931" s="56"/>
      <c r="DB931" s="56"/>
      <c r="DC931" s="56"/>
      <c r="DD931" s="56"/>
      <c r="DE931" s="56"/>
      <c r="DF931" s="56"/>
      <c r="DG931" s="56"/>
      <c r="DH931" s="56"/>
      <c r="DI931" s="56"/>
      <c r="DJ931" s="56"/>
      <c r="DK931" s="56"/>
      <c r="DL931" s="56"/>
      <c r="DM931" s="56"/>
      <c r="DN931" s="56"/>
      <c r="DO931" s="56"/>
      <c r="DP931" s="56"/>
      <c r="DQ931" s="56"/>
      <c r="DR931" s="56"/>
      <c r="DS931" s="56"/>
      <c r="DT931" s="56"/>
      <c r="DU931" s="56"/>
      <c r="DV931" s="56"/>
      <c r="DW931" s="56"/>
      <c r="DX931" s="56"/>
      <c r="DY931" s="56"/>
      <c r="DZ931" s="56"/>
      <c r="EA931" s="56"/>
      <c r="EB931" s="56"/>
      <c r="EC931" s="56"/>
      <c r="ED931" s="56"/>
      <c r="EE931" s="56"/>
      <c r="EF931" s="56"/>
      <c r="EG931" s="56"/>
      <c r="EH931" s="56"/>
      <c r="EI931" s="56"/>
      <c r="EJ931" s="56"/>
      <c r="EK931" s="56"/>
      <c r="EL931" s="56"/>
      <c r="EM931" s="56"/>
      <c r="EN931" s="56"/>
      <c r="EO931" s="56"/>
      <c r="EP931" s="56"/>
      <c r="EQ931" s="56"/>
      <c r="ER931" s="56"/>
      <c r="ES931" s="56"/>
      <c r="ET931" s="56"/>
      <c r="EU931" s="56"/>
      <c r="EV931" s="56"/>
      <c r="EW931" s="56"/>
      <c r="EX931" s="56"/>
      <c r="EY931" s="56"/>
      <c r="EZ931" s="56"/>
      <c r="FA931" s="56"/>
      <c r="FB931" s="56"/>
      <c r="FC931" s="56"/>
      <c r="FD931" s="56"/>
      <c r="FE931" s="56"/>
      <c r="FF931" s="56"/>
      <c r="FG931" s="56"/>
      <c r="FH931" s="56"/>
      <c r="FI931" s="56"/>
      <c r="FJ931" s="56"/>
      <c r="FK931" s="56"/>
      <c r="FL931" s="56"/>
      <c r="FM931" s="56"/>
      <c r="FN931" s="56"/>
      <c r="FO931" s="56"/>
      <c r="FP931" s="56"/>
      <c r="FQ931" s="56"/>
      <c r="FR931" s="56"/>
      <c r="FS931" s="56"/>
      <c r="FT931" s="56"/>
      <c r="FU931" s="56"/>
      <c r="FV931" s="56"/>
      <c r="FW931" s="56"/>
      <c r="FX931" s="56"/>
      <c r="FY931" s="56"/>
      <c r="FZ931" s="56"/>
      <c r="GA931" s="56"/>
      <c r="GB931" s="56"/>
      <c r="GC931" s="56"/>
      <c r="GD931" s="56"/>
      <c r="GE931" s="56"/>
      <c r="GF931" s="56"/>
      <c r="GG931" s="56"/>
      <c r="GH931" s="56"/>
      <c r="GI931" s="56"/>
      <c r="GJ931" s="56"/>
      <c r="GK931" s="56"/>
      <c r="GL931" s="56"/>
      <c r="GM931" s="56"/>
      <c r="GN931" s="56"/>
      <c r="GO931" s="56"/>
      <c r="GP931" s="56"/>
      <c r="GQ931" s="56"/>
      <c r="GR931" s="56"/>
      <c r="GS931" s="56"/>
      <c r="GT931" s="56"/>
      <c r="GU931" s="56"/>
      <c r="GV931" s="56"/>
      <c r="GW931" s="56"/>
      <c r="GX931" s="56"/>
      <c r="GY931" s="56"/>
      <c r="GZ931" s="56"/>
      <c r="HA931" s="56"/>
      <c r="HB931" s="56"/>
      <c r="HC931" s="56"/>
      <c r="HD931" s="56"/>
      <c r="HE931" s="56"/>
      <c r="HF931" s="56"/>
      <c r="HG931" s="56"/>
      <c r="HH931" s="56"/>
      <c r="HI931" s="56"/>
      <c r="HJ931" s="56"/>
    </row>
    <row r="932" spans="1:218" ht="15.75" customHeight="1" x14ac:dyDescent="0.2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  <c r="CL932" s="56"/>
      <c r="CM932" s="56"/>
      <c r="CN932" s="56"/>
      <c r="CO932" s="56"/>
      <c r="CP932" s="56"/>
      <c r="CQ932" s="56"/>
      <c r="CR932" s="56"/>
      <c r="CS932" s="56"/>
      <c r="CT932" s="56"/>
      <c r="CU932" s="56"/>
      <c r="CV932" s="56"/>
      <c r="CW932" s="56"/>
      <c r="CX932" s="56"/>
      <c r="CY932" s="56"/>
      <c r="CZ932" s="56"/>
      <c r="DA932" s="56"/>
      <c r="DB932" s="56"/>
      <c r="DC932" s="56"/>
      <c r="DD932" s="56"/>
      <c r="DE932" s="56"/>
      <c r="DF932" s="56"/>
      <c r="DG932" s="56"/>
      <c r="DH932" s="56"/>
      <c r="DI932" s="56"/>
      <c r="DJ932" s="56"/>
      <c r="DK932" s="56"/>
      <c r="DL932" s="56"/>
      <c r="DM932" s="56"/>
      <c r="DN932" s="56"/>
      <c r="DO932" s="56"/>
      <c r="DP932" s="56"/>
      <c r="DQ932" s="56"/>
      <c r="DR932" s="56"/>
      <c r="DS932" s="56"/>
      <c r="DT932" s="56"/>
      <c r="DU932" s="56"/>
      <c r="DV932" s="56"/>
      <c r="DW932" s="56"/>
      <c r="DX932" s="56"/>
      <c r="DY932" s="56"/>
      <c r="DZ932" s="56"/>
      <c r="EA932" s="56"/>
      <c r="EB932" s="56"/>
      <c r="EC932" s="56"/>
      <c r="ED932" s="56"/>
      <c r="EE932" s="56"/>
      <c r="EF932" s="56"/>
      <c r="EG932" s="56"/>
      <c r="EH932" s="56"/>
      <c r="EI932" s="56"/>
      <c r="EJ932" s="56"/>
      <c r="EK932" s="56"/>
      <c r="EL932" s="56"/>
      <c r="EM932" s="56"/>
      <c r="EN932" s="56"/>
      <c r="EO932" s="56"/>
      <c r="EP932" s="56"/>
      <c r="EQ932" s="56"/>
      <c r="ER932" s="56"/>
      <c r="ES932" s="56"/>
      <c r="ET932" s="56"/>
      <c r="EU932" s="56"/>
      <c r="EV932" s="56"/>
      <c r="EW932" s="56"/>
      <c r="EX932" s="56"/>
      <c r="EY932" s="56"/>
      <c r="EZ932" s="56"/>
      <c r="FA932" s="56"/>
      <c r="FB932" s="56"/>
      <c r="FC932" s="56"/>
      <c r="FD932" s="56"/>
      <c r="FE932" s="56"/>
      <c r="FF932" s="56"/>
      <c r="FG932" s="56"/>
      <c r="FH932" s="56"/>
      <c r="FI932" s="56"/>
      <c r="FJ932" s="56"/>
      <c r="FK932" s="56"/>
      <c r="FL932" s="56"/>
      <c r="FM932" s="56"/>
      <c r="FN932" s="56"/>
      <c r="FO932" s="56"/>
      <c r="FP932" s="56"/>
      <c r="FQ932" s="56"/>
      <c r="FR932" s="56"/>
      <c r="FS932" s="56"/>
      <c r="FT932" s="56"/>
      <c r="FU932" s="56"/>
      <c r="FV932" s="56"/>
      <c r="FW932" s="56"/>
      <c r="FX932" s="56"/>
      <c r="FY932" s="56"/>
      <c r="FZ932" s="56"/>
      <c r="GA932" s="56"/>
      <c r="GB932" s="56"/>
      <c r="GC932" s="56"/>
      <c r="GD932" s="56"/>
      <c r="GE932" s="56"/>
      <c r="GF932" s="56"/>
      <c r="GG932" s="56"/>
      <c r="GH932" s="56"/>
      <c r="GI932" s="56"/>
      <c r="GJ932" s="56"/>
      <c r="GK932" s="56"/>
      <c r="GL932" s="56"/>
      <c r="GM932" s="56"/>
      <c r="GN932" s="56"/>
      <c r="GO932" s="56"/>
      <c r="GP932" s="56"/>
      <c r="GQ932" s="56"/>
      <c r="GR932" s="56"/>
      <c r="GS932" s="56"/>
      <c r="GT932" s="56"/>
      <c r="GU932" s="56"/>
      <c r="GV932" s="56"/>
      <c r="GW932" s="56"/>
      <c r="GX932" s="56"/>
      <c r="GY932" s="56"/>
      <c r="GZ932" s="56"/>
      <c r="HA932" s="56"/>
      <c r="HB932" s="56"/>
      <c r="HC932" s="56"/>
      <c r="HD932" s="56"/>
      <c r="HE932" s="56"/>
      <c r="HF932" s="56"/>
      <c r="HG932" s="56"/>
      <c r="HH932" s="56"/>
      <c r="HI932" s="56"/>
      <c r="HJ932" s="56"/>
    </row>
    <row r="933" spans="1:218" ht="15.75" customHeight="1" x14ac:dyDescent="0.2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  <c r="CL933" s="56"/>
      <c r="CM933" s="56"/>
      <c r="CN933" s="56"/>
      <c r="CO933" s="56"/>
      <c r="CP933" s="56"/>
      <c r="CQ933" s="56"/>
      <c r="CR933" s="56"/>
      <c r="CS933" s="56"/>
      <c r="CT933" s="56"/>
      <c r="CU933" s="56"/>
      <c r="CV933" s="56"/>
      <c r="CW933" s="56"/>
      <c r="CX933" s="56"/>
      <c r="CY933" s="56"/>
      <c r="CZ933" s="56"/>
      <c r="DA933" s="56"/>
      <c r="DB933" s="56"/>
      <c r="DC933" s="56"/>
      <c r="DD933" s="56"/>
      <c r="DE933" s="56"/>
      <c r="DF933" s="56"/>
      <c r="DG933" s="56"/>
      <c r="DH933" s="56"/>
      <c r="DI933" s="56"/>
      <c r="DJ933" s="56"/>
      <c r="DK933" s="56"/>
      <c r="DL933" s="56"/>
      <c r="DM933" s="56"/>
      <c r="DN933" s="56"/>
      <c r="DO933" s="56"/>
      <c r="DP933" s="56"/>
      <c r="DQ933" s="56"/>
      <c r="DR933" s="56"/>
      <c r="DS933" s="56"/>
      <c r="DT933" s="56"/>
      <c r="DU933" s="56"/>
      <c r="DV933" s="56"/>
      <c r="DW933" s="56"/>
      <c r="DX933" s="56"/>
      <c r="DY933" s="56"/>
      <c r="DZ933" s="56"/>
      <c r="EA933" s="56"/>
      <c r="EB933" s="56"/>
      <c r="EC933" s="56"/>
      <c r="ED933" s="56"/>
      <c r="EE933" s="56"/>
      <c r="EF933" s="56"/>
      <c r="EG933" s="56"/>
      <c r="EH933" s="56"/>
      <c r="EI933" s="56"/>
      <c r="EJ933" s="56"/>
      <c r="EK933" s="56"/>
      <c r="EL933" s="56"/>
      <c r="EM933" s="56"/>
      <c r="EN933" s="56"/>
      <c r="EO933" s="56"/>
      <c r="EP933" s="56"/>
      <c r="EQ933" s="56"/>
      <c r="ER933" s="56"/>
      <c r="ES933" s="56"/>
      <c r="ET933" s="56"/>
      <c r="EU933" s="56"/>
      <c r="EV933" s="56"/>
      <c r="EW933" s="56"/>
      <c r="EX933" s="56"/>
      <c r="EY933" s="56"/>
      <c r="EZ933" s="56"/>
      <c r="FA933" s="56"/>
      <c r="FB933" s="56"/>
      <c r="FC933" s="56"/>
      <c r="FD933" s="56"/>
      <c r="FE933" s="56"/>
      <c r="FF933" s="56"/>
      <c r="FG933" s="56"/>
      <c r="FH933" s="56"/>
      <c r="FI933" s="56"/>
      <c r="FJ933" s="56"/>
      <c r="FK933" s="56"/>
      <c r="FL933" s="56"/>
      <c r="FM933" s="56"/>
      <c r="FN933" s="56"/>
      <c r="FO933" s="56"/>
      <c r="FP933" s="56"/>
      <c r="FQ933" s="56"/>
      <c r="FR933" s="56"/>
      <c r="FS933" s="56"/>
      <c r="FT933" s="56"/>
      <c r="FU933" s="56"/>
      <c r="FV933" s="56"/>
      <c r="FW933" s="56"/>
      <c r="FX933" s="56"/>
      <c r="FY933" s="56"/>
      <c r="FZ933" s="56"/>
      <c r="GA933" s="56"/>
      <c r="GB933" s="56"/>
      <c r="GC933" s="56"/>
      <c r="GD933" s="56"/>
      <c r="GE933" s="56"/>
      <c r="GF933" s="56"/>
      <c r="GG933" s="56"/>
      <c r="GH933" s="56"/>
      <c r="GI933" s="56"/>
      <c r="GJ933" s="56"/>
      <c r="GK933" s="56"/>
      <c r="GL933" s="56"/>
      <c r="GM933" s="56"/>
      <c r="GN933" s="56"/>
      <c r="GO933" s="56"/>
      <c r="GP933" s="56"/>
      <c r="GQ933" s="56"/>
      <c r="GR933" s="56"/>
      <c r="GS933" s="56"/>
      <c r="GT933" s="56"/>
      <c r="GU933" s="56"/>
      <c r="GV933" s="56"/>
      <c r="GW933" s="56"/>
      <c r="GX933" s="56"/>
      <c r="GY933" s="56"/>
      <c r="GZ933" s="56"/>
      <c r="HA933" s="56"/>
      <c r="HB933" s="56"/>
      <c r="HC933" s="56"/>
      <c r="HD933" s="56"/>
      <c r="HE933" s="56"/>
      <c r="HF933" s="56"/>
      <c r="HG933" s="56"/>
      <c r="HH933" s="56"/>
      <c r="HI933" s="56"/>
      <c r="HJ933" s="56"/>
    </row>
    <row r="934" spans="1:218" ht="15.75" customHeight="1" x14ac:dyDescent="0.2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  <c r="BV934" s="56"/>
      <c r="BW934" s="56"/>
      <c r="BX934" s="56"/>
      <c r="BY934" s="56"/>
      <c r="BZ934" s="56"/>
      <c r="CA934" s="56"/>
      <c r="CB934" s="56"/>
      <c r="CC934" s="56"/>
      <c r="CD934" s="56"/>
      <c r="CE934" s="56"/>
      <c r="CF934" s="56"/>
      <c r="CG934" s="56"/>
      <c r="CH934" s="56"/>
      <c r="CI934" s="56"/>
      <c r="CJ934" s="56"/>
      <c r="CK934" s="56"/>
      <c r="CL934" s="56"/>
      <c r="CM934" s="56"/>
      <c r="CN934" s="56"/>
      <c r="CO934" s="56"/>
      <c r="CP934" s="56"/>
      <c r="CQ934" s="56"/>
      <c r="CR934" s="56"/>
      <c r="CS934" s="56"/>
      <c r="CT934" s="56"/>
      <c r="CU934" s="56"/>
      <c r="CV934" s="56"/>
      <c r="CW934" s="56"/>
      <c r="CX934" s="56"/>
      <c r="CY934" s="56"/>
      <c r="CZ934" s="56"/>
      <c r="DA934" s="56"/>
      <c r="DB934" s="56"/>
      <c r="DC934" s="56"/>
      <c r="DD934" s="56"/>
      <c r="DE934" s="56"/>
      <c r="DF934" s="56"/>
      <c r="DG934" s="56"/>
      <c r="DH934" s="56"/>
      <c r="DI934" s="56"/>
      <c r="DJ934" s="56"/>
      <c r="DK934" s="56"/>
      <c r="DL934" s="56"/>
      <c r="DM934" s="56"/>
      <c r="DN934" s="56"/>
      <c r="DO934" s="56"/>
      <c r="DP934" s="56"/>
      <c r="DQ934" s="56"/>
      <c r="DR934" s="56"/>
      <c r="DS934" s="56"/>
      <c r="DT934" s="56"/>
      <c r="DU934" s="56"/>
      <c r="DV934" s="56"/>
      <c r="DW934" s="56"/>
      <c r="DX934" s="56"/>
      <c r="DY934" s="56"/>
      <c r="DZ934" s="56"/>
      <c r="EA934" s="56"/>
      <c r="EB934" s="56"/>
      <c r="EC934" s="56"/>
      <c r="ED934" s="56"/>
      <c r="EE934" s="56"/>
      <c r="EF934" s="56"/>
      <c r="EG934" s="56"/>
      <c r="EH934" s="56"/>
      <c r="EI934" s="56"/>
      <c r="EJ934" s="56"/>
      <c r="EK934" s="56"/>
      <c r="EL934" s="56"/>
      <c r="EM934" s="56"/>
      <c r="EN934" s="56"/>
      <c r="EO934" s="56"/>
      <c r="EP934" s="56"/>
      <c r="EQ934" s="56"/>
      <c r="ER934" s="56"/>
      <c r="ES934" s="56"/>
      <c r="ET934" s="56"/>
      <c r="EU934" s="56"/>
      <c r="EV934" s="56"/>
      <c r="EW934" s="56"/>
      <c r="EX934" s="56"/>
      <c r="EY934" s="56"/>
      <c r="EZ934" s="56"/>
      <c r="FA934" s="56"/>
      <c r="FB934" s="56"/>
      <c r="FC934" s="56"/>
      <c r="FD934" s="56"/>
      <c r="FE934" s="56"/>
      <c r="FF934" s="56"/>
      <c r="FG934" s="56"/>
      <c r="FH934" s="56"/>
      <c r="FI934" s="56"/>
      <c r="FJ934" s="56"/>
      <c r="FK934" s="56"/>
      <c r="FL934" s="56"/>
      <c r="FM934" s="56"/>
      <c r="FN934" s="56"/>
      <c r="FO934" s="56"/>
      <c r="FP934" s="56"/>
      <c r="FQ934" s="56"/>
      <c r="FR934" s="56"/>
      <c r="FS934" s="56"/>
      <c r="FT934" s="56"/>
      <c r="FU934" s="56"/>
      <c r="FV934" s="56"/>
      <c r="FW934" s="56"/>
      <c r="FX934" s="56"/>
      <c r="FY934" s="56"/>
      <c r="FZ934" s="56"/>
      <c r="GA934" s="56"/>
      <c r="GB934" s="56"/>
      <c r="GC934" s="56"/>
      <c r="GD934" s="56"/>
      <c r="GE934" s="56"/>
      <c r="GF934" s="56"/>
      <c r="GG934" s="56"/>
      <c r="GH934" s="56"/>
      <c r="GI934" s="56"/>
      <c r="GJ934" s="56"/>
      <c r="GK934" s="56"/>
      <c r="GL934" s="56"/>
      <c r="GM934" s="56"/>
      <c r="GN934" s="56"/>
      <c r="GO934" s="56"/>
      <c r="GP934" s="56"/>
      <c r="GQ934" s="56"/>
      <c r="GR934" s="56"/>
      <c r="GS934" s="56"/>
      <c r="GT934" s="56"/>
      <c r="GU934" s="56"/>
      <c r="GV934" s="56"/>
      <c r="GW934" s="56"/>
      <c r="GX934" s="56"/>
      <c r="GY934" s="56"/>
      <c r="GZ934" s="56"/>
      <c r="HA934" s="56"/>
      <c r="HB934" s="56"/>
      <c r="HC934" s="56"/>
      <c r="HD934" s="56"/>
      <c r="HE934" s="56"/>
      <c r="HF934" s="56"/>
      <c r="HG934" s="56"/>
      <c r="HH934" s="56"/>
      <c r="HI934" s="56"/>
      <c r="HJ934" s="56"/>
    </row>
    <row r="935" spans="1:218" ht="15.75" customHeight="1" x14ac:dyDescent="0.2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  <c r="BV935" s="56"/>
      <c r="BW935" s="56"/>
      <c r="BX935" s="56"/>
      <c r="BY935" s="56"/>
      <c r="BZ935" s="56"/>
      <c r="CA935" s="56"/>
      <c r="CB935" s="56"/>
      <c r="CC935" s="56"/>
      <c r="CD935" s="56"/>
      <c r="CE935" s="56"/>
      <c r="CF935" s="56"/>
      <c r="CG935" s="56"/>
      <c r="CH935" s="56"/>
      <c r="CI935" s="56"/>
      <c r="CJ935" s="56"/>
      <c r="CK935" s="56"/>
      <c r="CL935" s="56"/>
      <c r="CM935" s="56"/>
      <c r="CN935" s="56"/>
      <c r="CO935" s="56"/>
      <c r="CP935" s="56"/>
      <c r="CQ935" s="56"/>
      <c r="CR935" s="56"/>
      <c r="CS935" s="56"/>
      <c r="CT935" s="56"/>
      <c r="CU935" s="56"/>
      <c r="CV935" s="56"/>
      <c r="CW935" s="56"/>
      <c r="CX935" s="56"/>
      <c r="CY935" s="56"/>
      <c r="CZ935" s="56"/>
      <c r="DA935" s="56"/>
      <c r="DB935" s="56"/>
      <c r="DC935" s="56"/>
      <c r="DD935" s="56"/>
      <c r="DE935" s="56"/>
      <c r="DF935" s="56"/>
      <c r="DG935" s="56"/>
      <c r="DH935" s="56"/>
      <c r="DI935" s="56"/>
      <c r="DJ935" s="56"/>
      <c r="DK935" s="56"/>
      <c r="DL935" s="56"/>
      <c r="DM935" s="56"/>
      <c r="DN935" s="56"/>
      <c r="DO935" s="56"/>
      <c r="DP935" s="56"/>
      <c r="DQ935" s="56"/>
      <c r="DR935" s="56"/>
      <c r="DS935" s="56"/>
      <c r="DT935" s="56"/>
      <c r="DU935" s="56"/>
      <c r="DV935" s="56"/>
      <c r="DW935" s="56"/>
      <c r="DX935" s="56"/>
      <c r="DY935" s="56"/>
      <c r="DZ935" s="56"/>
      <c r="EA935" s="56"/>
      <c r="EB935" s="56"/>
      <c r="EC935" s="56"/>
      <c r="ED935" s="56"/>
      <c r="EE935" s="56"/>
      <c r="EF935" s="56"/>
      <c r="EG935" s="56"/>
      <c r="EH935" s="56"/>
      <c r="EI935" s="56"/>
      <c r="EJ935" s="56"/>
      <c r="EK935" s="56"/>
      <c r="EL935" s="56"/>
      <c r="EM935" s="56"/>
      <c r="EN935" s="56"/>
      <c r="EO935" s="56"/>
      <c r="EP935" s="56"/>
      <c r="EQ935" s="56"/>
      <c r="ER935" s="56"/>
      <c r="ES935" s="56"/>
      <c r="ET935" s="56"/>
      <c r="EU935" s="56"/>
      <c r="EV935" s="56"/>
      <c r="EW935" s="56"/>
      <c r="EX935" s="56"/>
      <c r="EY935" s="56"/>
      <c r="EZ935" s="56"/>
      <c r="FA935" s="56"/>
      <c r="FB935" s="56"/>
      <c r="FC935" s="56"/>
      <c r="FD935" s="56"/>
      <c r="FE935" s="56"/>
      <c r="FF935" s="56"/>
      <c r="FG935" s="56"/>
      <c r="FH935" s="56"/>
      <c r="FI935" s="56"/>
      <c r="FJ935" s="56"/>
      <c r="FK935" s="56"/>
      <c r="FL935" s="56"/>
      <c r="FM935" s="56"/>
      <c r="FN935" s="56"/>
      <c r="FO935" s="56"/>
      <c r="FP935" s="56"/>
      <c r="FQ935" s="56"/>
      <c r="FR935" s="56"/>
      <c r="FS935" s="56"/>
      <c r="FT935" s="56"/>
      <c r="FU935" s="56"/>
      <c r="FV935" s="56"/>
      <c r="FW935" s="56"/>
      <c r="FX935" s="56"/>
      <c r="FY935" s="56"/>
      <c r="FZ935" s="56"/>
      <c r="GA935" s="56"/>
      <c r="GB935" s="56"/>
      <c r="GC935" s="56"/>
      <c r="GD935" s="56"/>
      <c r="GE935" s="56"/>
      <c r="GF935" s="56"/>
      <c r="GG935" s="56"/>
      <c r="GH935" s="56"/>
      <c r="GI935" s="56"/>
      <c r="GJ935" s="56"/>
      <c r="GK935" s="56"/>
      <c r="GL935" s="56"/>
      <c r="GM935" s="56"/>
      <c r="GN935" s="56"/>
      <c r="GO935" s="56"/>
      <c r="GP935" s="56"/>
      <c r="GQ935" s="56"/>
      <c r="GR935" s="56"/>
      <c r="GS935" s="56"/>
      <c r="GT935" s="56"/>
      <c r="GU935" s="56"/>
      <c r="GV935" s="56"/>
      <c r="GW935" s="56"/>
      <c r="GX935" s="56"/>
      <c r="GY935" s="56"/>
      <c r="GZ935" s="56"/>
      <c r="HA935" s="56"/>
      <c r="HB935" s="56"/>
      <c r="HC935" s="56"/>
      <c r="HD935" s="56"/>
      <c r="HE935" s="56"/>
      <c r="HF935" s="56"/>
      <c r="HG935" s="56"/>
      <c r="HH935" s="56"/>
      <c r="HI935" s="56"/>
      <c r="HJ935" s="56"/>
    </row>
    <row r="936" spans="1:218" ht="15.75" customHeight="1" x14ac:dyDescent="0.2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  <c r="BV936" s="56"/>
      <c r="BW936" s="56"/>
      <c r="BX936" s="56"/>
      <c r="BY936" s="56"/>
      <c r="BZ936" s="56"/>
      <c r="CA936" s="56"/>
      <c r="CB936" s="56"/>
      <c r="CC936" s="56"/>
      <c r="CD936" s="56"/>
      <c r="CE936" s="56"/>
      <c r="CF936" s="56"/>
      <c r="CG936" s="56"/>
      <c r="CH936" s="56"/>
      <c r="CI936" s="56"/>
      <c r="CJ936" s="56"/>
      <c r="CK936" s="56"/>
      <c r="CL936" s="56"/>
      <c r="CM936" s="56"/>
      <c r="CN936" s="56"/>
      <c r="CO936" s="56"/>
      <c r="CP936" s="56"/>
      <c r="CQ936" s="56"/>
      <c r="CR936" s="56"/>
      <c r="CS936" s="56"/>
      <c r="CT936" s="56"/>
      <c r="CU936" s="56"/>
      <c r="CV936" s="56"/>
      <c r="CW936" s="56"/>
      <c r="CX936" s="56"/>
      <c r="CY936" s="56"/>
      <c r="CZ936" s="56"/>
      <c r="DA936" s="56"/>
      <c r="DB936" s="56"/>
      <c r="DC936" s="56"/>
      <c r="DD936" s="56"/>
      <c r="DE936" s="56"/>
      <c r="DF936" s="56"/>
      <c r="DG936" s="56"/>
      <c r="DH936" s="56"/>
      <c r="DI936" s="56"/>
      <c r="DJ936" s="56"/>
      <c r="DK936" s="56"/>
      <c r="DL936" s="56"/>
      <c r="DM936" s="56"/>
      <c r="DN936" s="56"/>
      <c r="DO936" s="56"/>
      <c r="DP936" s="56"/>
      <c r="DQ936" s="56"/>
      <c r="DR936" s="56"/>
      <c r="DS936" s="56"/>
      <c r="DT936" s="56"/>
      <c r="DU936" s="56"/>
      <c r="DV936" s="56"/>
      <c r="DW936" s="56"/>
      <c r="DX936" s="56"/>
      <c r="DY936" s="56"/>
      <c r="DZ936" s="56"/>
      <c r="EA936" s="56"/>
      <c r="EB936" s="56"/>
      <c r="EC936" s="56"/>
      <c r="ED936" s="56"/>
      <c r="EE936" s="56"/>
      <c r="EF936" s="56"/>
      <c r="EG936" s="56"/>
      <c r="EH936" s="56"/>
      <c r="EI936" s="56"/>
      <c r="EJ936" s="56"/>
      <c r="EK936" s="56"/>
      <c r="EL936" s="56"/>
      <c r="EM936" s="56"/>
      <c r="EN936" s="56"/>
      <c r="EO936" s="56"/>
      <c r="EP936" s="56"/>
      <c r="EQ936" s="56"/>
      <c r="ER936" s="56"/>
      <c r="ES936" s="56"/>
      <c r="ET936" s="56"/>
      <c r="EU936" s="56"/>
      <c r="EV936" s="56"/>
      <c r="EW936" s="56"/>
      <c r="EX936" s="56"/>
      <c r="EY936" s="56"/>
      <c r="EZ936" s="56"/>
      <c r="FA936" s="56"/>
      <c r="FB936" s="56"/>
      <c r="FC936" s="56"/>
      <c r="FD936" s="56"/>
      <c r="FE936" s="56"/>
      <c r="FF936" s="56"/>
      <c r="FG936" s="56"/>
      <c r="FH936" s="56"/>
      <c r="FI936" s="56"/>
      <c r="FJ936" s="56"/>
      <c r="FK936" s="56"/>
      <c r="FL936" s="56"/>
      <c r="FM936" s="56"/>
      <c r="FN936" s="56"/>
      <c r="FO936" s="56"/>
      <c r="FP936" s="56"/>
      <c r="FQ936" s="56"/>
      <c r="FR936" s="56"/>
      <c r="FS936" s="56"/>
      <c r="FT936" s="56"/>
      <c r="FU936" s="56"/>
      <c r="FV936" s="56"/>
      <c r="FW936" s="56"/>
      <c r="FX936" s="56"/>
      <c r="FY936" s="56"/>
      <c r="FZ936" s="56"/>
      <c r="GA936" s="56"/>
      <c r="GB936" s="56"/>
      <c r="GC936" s="56"/>
      <c r="GD936" s="56"/>
      <c r="GE936" s="56"/>
      <c r="GF936" s="56"/>
      <c r="GG936" s="56"/>
      <c r="GH936" s="56"/>
      <c r="GI936" s="56"/>
      <c r="GJ936" s="56"/>
      <c r="GK936" s="56"/>
      <c r="GL936" s="56"/>
      <c r="GM936" s="56"/>
      <c r="GN936" s="56"/>
      <c r="GO936" s="56"/>
      <c r="GP936" s="56"/>
      <c r="GQ936" s="56"/>
      <c r="GR936" s="56"/>
      <c r="GS936" s="56"/>
      <c r="GT936" s="56"/>
      <c r="GU936" s="56"/>
      <c r="GV936" s="56"/>
      <c r="GW936" s="56"/>
      <c r="GX936" s="56"/>
      <c r="GY936" s="56"/>
      <c r="GZ936" s="56"/>
      <c r="HA936" s="56"/>
      <c r="HB936" s="56"/>
      <c r="HC936" s="56"/>
      <c r="HD936" s="56"/>
      <c r="HE936" s="56"/>
      <c r="HF936" s="56"/>
      <c r="HG936" s="56"/>
      <c r="HH936" s="56"/>
      <c r="HI936" s="56"/>
      <c r="HJ936" s="56"/>
    </row>
    <row r="937" spans="1:218" ht="15.75" customHeight="1" x14ac:dyDescent="0.2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  <c r="CL937" s="56"/>
      <c r="CM937" s="56"/>
      <c r="CN937" s="56"/>
      <c r="CO937" s="56"/>
      <c r="CP937" s="56"/>
      <c r="CQ937" s="56"/>
      <c r="CR937" s="56"/>
      <c r="CS937" s="56"/>
      <c r="CT937" s="56"/>
      <c r="CU937" s="56"/>
      <c r="CV937" s="56"/>
      <c r="CW937" s="56"/>
      <c r="CX937" s="56"/>
      <c r="CY937" s="56"/>
      <c r="CZ937" s="56"/>
      <c r="DA937" s="56"/>
      <c r="DB937" s="56"/>
      <c r="DC937" s="56"/>
      <c r="DD937" s="56"/>
      <c r="DE937" s="56"/>
      <c r="DF937" s="56"/>
      <c r="DG937" s="56"/>
      <c r="DH937" s="56"/>
      <c r="DI937" s="56"/>
      <c r="DJ937" s="56"/>
      <c r="DK937" s="56"/>
      <c r="DL937" s="56"/>
      <c r="DM937" s="56"/>
      <c r="DN937" s="56"/>
      <c r="DO937" s="56"/>
      <c r="DP937" s="56"/>
      <c r="DQ937" s="56"/>
      <c r="DR937" s="56"/>
      <c r="DS937" s="56"/>
      <c r="DT937" s="56"/>
      <c r="DU937" s="56"/>
      <c r="DV937" s="56"/>
      <c r="DW937" s="56"/>
      <c r="DX937" s="56"/>
      <c r="DY937" s="56"/>
      <c r="DZ937" s="56"/>
      <c r="EA937" s="56"/>
      <c r="EB937" s="56"/>
      <c r="EC937" s="56"/>
      <c r="ED937" s="56"/>
      <c r="EE937" s="56"/>
      <c r="EF937" s="56"/>
      <c r="EG937" s="56"/>
      <c r="EH937" s="56"/>
      <c r="EI937" s="56"/>
      <c r="EJ937" s="56"/>
      <c r="EK937" s="56"/>
      <c r="EL937" s="56"/>
      <c r="EM937" s="56"/>
      <c r="EN937" s="56"/>
      <c r="EO937" s="56"/>
      <c r="EP937" s="56"/>
      <c r="EQ937" s="56"/>
      <c r="ER937" s="56"/>
      <c r="ES937" s="56"/>
      <c r="ET937" s="56"/>
      <c r="EU937" s="56"/>
      <c r="EV937" s="56"/>
      <c r="EW937" s="56"/>
      <c r="EX937" s="56"/>
      <c r="EY937" s="56"/>
      <c r="EZ937" s="56"/>
      <c r="FA937" s="56"/>
      <c r="FB937" s="56"/>
      <c r="FC937" s="56"/>
      <c r="FD937" s="56"/>
      <c r="FE937" s="56"/>
      <c r="FF937" s="56"/>
      <c r="FG937" s="56"/>
      <c r="FH937" s="56"/>
      <c r="FI937" s="56"/>
      <c r="FJ937" s="56"/>
      <c r="FK937" s="56"/>
      <c r="FL937" s="56"/>
      <c r="FM937" s="56"/>
      <c r="FN937" s="56"/>
      <c r="FO937" s="56"/>
      <c r="FP937" s="56"/>
      <c r="FQ937" s="56"/>
      <c r="FR937" s="56"/>
      <c r="FS937" s="56"/>
      <c r="FT937" s="56"/>
      <c r="FU937" s="56"/>
      <c r="FV937" s="56"/>
      <c r="FW937" s="56"/>
      <c r="FX937" s="56"/>
      <c r="FY937" s="56"/>
      <c r="FZ937" s="56"/>
      <c r="GA937" s="56"/>
      <c r="GB937" s="56"/>
      <c r="GC937" s="56"/>
      <c r="GD937" s="56"/>
      <c r="GE937" s="56"/>
      <c r="GF937" s="56"/>
      <c r="GG937" s="56"/>
      <c r="GH937" s="56"/>
      <c r="GI937" s="56"/>
      <c r="GJ937" s="56"/>
      <c r="GK937" s="56"/>
      <c r="GL937" s="56"/>
      <c r="GM937" s="56"/>
      <c r="GN937" s="56"/>
      <c r="GO937" s="56"/>
      <c r="GP937" s="56"/>
      <c r="GQ937" s="56"/>
      <c r="GR937" s="56"/>
      <c r="GS937" s="56"/>
      <c r="GT937" s="56"/>
      <c r="GU937" s="56"/>
      <c r="GV937" s="56"/>
      <c r="GW937" s="56"/>
      <c r="GX937" s="56"/>
      <c r="GY937" s="56"/>
      <c r="GZ937" s="56"/>
      <c r="HA937" s="56"/>
      <c r="HB937" s="56"/>
      <c r="HC937" s="56"/>
      <c r="HD937" s="56"/>
      <c r="HE937" s="56"/>
      <c r="HF937" s="56"/>
      <c r="HG937" s="56"/>
      <c r="HH937" s="56"/>
      <c r="HI937" s="56"/>
      <c r="HJ937" s="56"/>
    </row>
    <row r="938" spans="1:218" ht="15.75" customHeight="1" x14ac:dyDescent="0.2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  <c r="CL938" s="56"/>
      <c r="CM938" s="56"/>
      <c r="CN938" s="56"/>
      <c r="CO938" s="56"/>
      <c r="CP938" s="56"/>
      <c r="CQ938" s="56"/>
      <c r="CR938" s="56"/>
      <c r="CS938" s="56"/>
      <c r="CT938" s="56"/>
      <c r="CU938" s="56"/>
      <c r="CV938" s="56"/>
      <c r="CW938" s="56"/>
      <c r="CX938" s="56"/>
      <c r="CY938" s="56"/>
      <c r="CZ938" s="56"/>
      <c r="DA938" s="56"/>
      <c r="DB938" s="56"/>
      <c r="DC938" s="56"/>
      <c r="DD938" s="56"/>
      <c r="DE938" s="56"/>
      <c r="DF938" s="56"/>
      <c r="DG938" s="56"/>
      <c r="DH938" s="56"/>
      <c r="DI938" s="56"/>
      <c r="DJ938" s="56"/>
      <c r="DK938" s="56"/>
      <c r="DL938" s="56"/>
      <c r="DM938" s="56"/>
      <c r="DN938" s="56"/>
      <c r="DO938" s="56"/>
      <c r="DP938" s="56"/>
      <c r="DQ938" s="56"/>
      <c r="DR938" s="56"/>
      <c r="DS938" s="56"/>
      <c r="DT938" s="56"/>
      <c r="DU938" s="56"/>
      <c r="DV938" s="56"/>
      <c r="DW938" s="56"/>
      <c r="DX938" s="56"/>
      <c r="DY938" s="56"/>
      <c r="DZ938" s="56"/>
      <c r="EA938" s="56"/>
      <c r="EB938" s="56"/>
      <c r="EC938" s="56"/>
      <c r="ED938" s="56"/>
      <c r="EE938" s="56"/>
      <c r="EF938" s="56"/>
      <c r="EG938" s="56"/>
      <c r="EH938" s="56"/>
      <c r="EI938" s="56"/>
      <c r="EJ938" s="56"/>
      <c r="EK938" s="56"/>
      <c r="EL938" s="56"/>
      <c r="EM938" s="56"/>
      <c r="EN938" s="56"/>
      <c r="EO938" s="56"/>
      <c r="EP938" s="56"/>
      <c r="EQ938" s="56"/>
      <c r="ER938" s="56"/>
      <c r="ES938" s="56"/>
      <c r="ET938" s="56"/>
      <c r="EU938" s="56"/>
      <c r="EV938" s="56"/>
      <c r="EW938" s="56"/>
      <c r="EX938" s="56"/>
      <c r="EY938" s="56"/>
      <c r="EZ938" s="56"/>
      <c r="FA938" s="56"/>
      <c r="FB938" s="56"/>
      <c r="FC938" s="56"/>
      <c r="FD938" s="56"/>
      <c r="FE938" s="56"/>
      <c r="FF938" s="56"/>
      <c r="FG938" s="56"/>
      <c r="FH938" s="56"/>
      <c r="FI938" s="56"/>
      <c r="FJ938" s="56"/>
      <c r="FK938" s="56"/>
      <c r="FL938" s="56"/>
      <c r="FM938" s="56"/>
      <c r="FN938" s="56"/>
      <c r="FO938" s="56"/>
      <c r="FP938" s="56"/>
      <c r="FQ938" s="56"/>
      <c r="FR938" s="56"/>
      <c r="FS938" s="56"/>
      <c r="FT938" s="56"/>
      <c r="FU938" s="56"/>
      <c r="FV938" s="56"/>
      <c r="FW938" s="56"/>
      <c r="FX938" s="56"/>
      <c r="FY938" s="56"/>
      <c r="FZ938" s="56"/>
      <c r="GA938" s="56"/>
      <c r="GB938" s="56"/>
      <c r="GC938" s="56"/>
      <c r="GD938" s="56"/>
      <c r="GE938" s="56"/>
      <c r="GF938" s="56"/>
      <c r="GG938" s="56"/>
      <c r="GH938" s="56"/>
      <c r="GI938" s="56"/>
      <c r="GJ938" s="56"/>
      <c r="GK938" s="56"/>
      <c r="GL938" s="56"/>
      <c r="GM938" s="56"/>
      <c r="GN938" s="56"/>
      <c r="GO938" s="56"/>
      <c r="GP938" s="56"/>
      <c r="GQ938" s="56"/>
      <c r="GR938" s="56"/>
      <c r="GS938" s="56"/>
      <c r="GT938" s="56"/>
      <c r="GU938" s="56"/>
      <c r="GV938" s="56"/>
      <c r="GW938" s="56"/>
      <c r="GX938" s="56"/>
      <c r="GY938" s="56"/>
      <c r="GZ938" s="56"/>
      <c r="HA938" s="56"/>
      <c r="HB938" s="56"/>
      <c r="HC938" s="56"/>
      <c r="HD938" s="56"/>
      <c r="HE938" s="56"/>
      <c r="HF938" s="56"/>
      <c r="HG938" s="56"/>
      <c r="HH938" s="56"/>
      <c r="HI938" s="56"/>
      <c r="HJ938" s="56"/>
    </row>
    <row r="939" spans="1:218" ht="15.75" customHeight="1" x14ac:dyDescent="0.2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  <c r="BV939" s="56"/>
      <c r="BW939" s="56"/>
      <c r="BX939" s="56"/>
      <c r="BY939" s="56"/>
      <c r="BZ939" s="56"/>
      <c r="CA939" s="56"/>
      <c r="CB939" s="56"/>
      <c r="CC939" s="56"/>
      <c r="CD939" s="56"/>
      <c r="CE939" s="56"/>
      <c r="CF939" s="56"/>
      <c r="CG939" s="56"/>
      <c r="CH939" s="56"/>
      <c r="CI939" s="56"/>
      <c r="CJ939" s="56"/>
      <c r="CK939" s="56"/>
      <c r="CL939" s="56"/>
      <c r="CM939" s="56"/>
      <c r="CN939" s="56"/>
      <c r="CO939" s="56"/>
      <c r="CP939" s="56"/>
      <c r="CQ939" s="56"/>
      <c r="CR939" s="56"/>
      <c r="CS939" s="56"/>
      <c r="CT939" s="56"/>
      <c r="CU939" s="56"/>
      <c r="CV939" s="56"/>
      <c r="CW939" s="56"/>
      <c r="CX939" s="56"/>
      <c r="CY939" s="56"/>
      <c r="CZ939" s="56"/>
      <c r="DA939" s="56"/>
      <c r="DB939" s="56"/>
      <c r="DC939" s="56"/>
      <c r="DD939" s="56"/>
      <c r="DE939" s="56"/>
      <c r="DF939" s="56"/>
      <c r="DG939" s="56"/>
      <c r="DH939" s="56"/>
      <c r="DI939" s="56"/>
      <c r="DJ939" s="56"/>
      <c r="DK939" s="56"/>
      <c r="DL939" s="56"/>
      <c r="DM939" s="56"/>
      <c r="DN939" s="56"/>
      <c r="DO939" s="56"/>
      <c r="DP939" s="56"/>
      <c r="DQ939" s="56"/>
      <c r="DR939" s="56"/>
      <c r="DS939" s="56"/>
      <c r="DT939" s="56"/>
      <c r="DU939" s="56"/>
      <c r="DV939" s="56"/>
      <c r="DW939" s="56"/>
      <c r="DX939" s="56"/>
      <c r="DY939" s="56"/>
      <c r="DZ939" s="56"/>
      <c r="EA939" s="56"/>
      <c r="EB939" s="56"/>
      <c r="EC939" s="56"/>
      <c r="ED939" s="56"/>
      <c r="EE939" s="56"/>
      <c r="EF939" s="56"/>
      <c r="EG939" s="56"/>
      <c r="EH939" s="56"/>
      <c r="EI939" s="56"/>
      <c r="EJ939" s="56"/>
      <c r="EK939" s="56"/>
      <c r="EL939" s="56"/>
      <c r="EM939" s="56"/>
      <c r="EN939" s="56"/>
      <c r="EO939" s="56"/>
      <c r="EP939" s="56"/>
      <c r="EQ939" s="56"/>
      <c r="ER939" s="56"/>
      <c r="ES939" s="56"/>
      <c r="ET939" s="56"/>
      <c r="EU939" s="56"/>
      <c r="EV939" s="56"/>
      <c r="EW939" s="56"/>
      <c r="EX939" s="56"/>
      <c r="EY939" s="56"/>
      <c r="EZ939" s="56"/>
      <c r="FA939" s="56"/>
      <c r="FB939" s="56"/>
      <c r="FC939" s="56"/>
      <c r="FD939" s="56"/>
      <c r="FE939" s="56"/>
      <c r="FF939" s="56"/>
      <c r="FG939" s="56"/>
      <c r="FH939" s="56"/>
      <c r="FI939" s="56"/>
      <c r="FJ939" s="56"/>
      <c r="FK939" s="56"/>
      <c r="FL939" s="56"/>
      <c r="FM939" s="56"/>
      <c r="FN939" s="56"/>
      <c r="FO939" s="56"/>
      <c r="FP939" s="56"/>
      <c r="FQ939" s="56"/>
      <c r="FR939" s="56"/>
      <c r="FS939" s="56"/>
      <c r="FT939" s="56"/>
      <c r="FU939" s="56"/>
      <c r="FV939" s="56"/>
      <c r="FW939" s="56"/>
      <c r="FX939" s="56"/>
      <c r="FY939" s="56"/>
      <c r="FZ939" s="56"/>
      <c r="GA939" s="56"/>
      <c r="GB939" s="56"/>
      <c r="GC939" s="56"/>
      <c r="GD939" s="56"/>
      <c r="GE939" s="56"/>
      <c r="GF939" s="56"/>
      <c r="GG939" s="56"/>
      <c r="GH939" s="56"/>
      <c r="GI939" s="56"/>
      <c r="GJ939" s="56"/>
      <c r="GK939" s="56"/>
      <c r="GL939" s="56"/>
      <c r="GM939" s="56"/>
      <c r="GN939" s="56"/>
      <c r="GO939" s="56"/>
      <c r="GP939" s="56"/>
      <c r="GQ939" s="56"/>
      <c r="GR939" s="56"/>
      <c r="GS939" s="56"/>
      <c r="GT939" s="56"/>
      <c r="GU939" s="56"/>
      <c r="GV939" s="56"/>
      <c r="GW939" s="56"/>
      <c r="GX939" s="56"/>
      <c r="GY939" s="56"/>
      <c r="GZ939" s="56"/>
      <c r="HA939" s="56"/>
      <c r="HB939" s="56"/>
      <c r="HC939" s="56"/>
      <c r="HD939" s="56"/>
      <c r="HE939" s="56"/>
      <c r="HF939" s="56"/>
      <c r="HG939" s="56"/>
      <c r="HH939" s="56"/>
      <c r="HI939" s="56"/>
      <c r="HJ939" s="56"/>
    </row>
    <row r="940" spans="1:218" ht="15.75" customHeight="1" x14ac:dyDescent="0.2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  <c r="BV940" s="56"/>
      <c r="BW940" s="56"/>
      <c r="BX940" s="56"/>
      <c r="BY940" s="56"/>
      <c r="BZ940" s="56"/>
      <c r="CA940" s="56"/>
      <c r="CB940" s="56"/>
      <c r="CC940" s="56"/>
      <c r="CD940" s="56"/>
      <c r="CE940" s="56"/>
      <c r="CF940" s="56"/>
      <c r="CG940" s="56"/>
      <c r="CH940" s="56"/>
      <c r="CI940" s="56"/>
      <c r="CJ940" s="56"/>
      <c r="CK940" s="56"/>
      <c r="CL940" s="56"/>
      <c r="CM940" s="56"/>
      <c r="CN940" s="56"/>
      <c r="CO940" s="56"/>
      <c r="CP940" s="56"/>
      <c r="CQ940" s="56"/>
      <c r="CR940" s="56"/>
      <c r="CS940" s="56"/>
      <c r="CT940" s="56"/>
      <c r="CU940" s="56"/>
      <c r="CV940" s="56"/>
      <c r="CW940" s="56"/>
      <c r="CX940" s="56"/>
      <c r="CY940" s="56"/>
      <c r="CZ940" s="56"/>
      <c r="DA940" s="56"/>
      <c r="DB940" s="56"/>
      <c r="DC940" s="56"/>
      <c r="DD940" s="56"/>
      <c r="DE940" s="56"/>
      <c r="DF940" s="56"/>
      <c r="DG940" s="56"/>
      <c r="DH940" s="56"/>
      <c r="DI940" s="56"/>
      <c r="DJ940" s="56"/>
      <c r="DK940" s="56"/>
      <c r="DL940" s="56"/>
      <c r="DM940" s="56"/>
      <c r="DN940" s="56"/>
      <c r="DO940" s="56"/>
      <c r="DP940" s="56"/>
      <c r="DQ940" s="56"/>
      <c r="DR940" s="56"/>
      <c r="DS940" s="56"/>
      <c r="DT940" s="56"/>
      <c r="DU940" s="56"/>
      <c r="DV940" s="56"/>
      <c r="DW940" s="56"/>
      <c r="DX940" s="56"/>
      <c r="DY940" s="56"/>
      <c r="DZ940" s="56"/>
      <c r="EA940" s="56"/>
      <c r="EB940" s="56"/>
      <c r="EC940" s="56"/>
      <c r="ED940" s="56"/>
      <c r="EE940" s="56"/>
      <c r="EF940" s="56"/>
      <c r="EG940" s="56"/>
      <c r="EH940" s="56"/>
      <c r="EI940" s="56"/>
      <c r="EJ940" s="56"/>
      <c r="EK940" s="56"/>
      <c r="EL940" s="56"/>
      <c r="EM940" s="56"/>
      <c r="EN940" s="56"/>
      <c r="EO940" s="56"/>
      <c r="EP940" s="56"/>
      <c r="EQ940" s="56"/>
      <c r="ER940" s="56"/>
      <c r="ES940" s="56"/>
      <c r="ET940" s="56"/>
      <c r="EU940" s="56"/>
      <c r="EV940" s="56"/>
      <c r="EW940" s="56"/>
      <c r="EX940" s="56"/>
      <c r="EY940" s="56"/>
      <c r="EZ940" s="56"/>
      <c r="FA940" s="56"/>
      <c r="FB940" s="56"/>
      <c r="FC940" s="56"/>
      <c r="FD940" s="56"/>
      <c r="FE940" s="56"/>
      <c r="FF940" s="56"/>
      <c r="FG940" s="56"/>
      <c r="FH940" s="56"/>
      <c r="FI940" s="56"/>
      <c r="FJ940" s="56"/>
      <c r="FK940" s="56"/>
      <c r="FL940" s="56"/>
      <c r="FM940" s="56"/>
      <c r="FN940" s="56"/>
      <c r="FO940" s="56"/>
      <c r="FP940" s="56"/>
      <c r="FQ940" s="56"/>
      <c r="FR940" s="56"/>
      <c r="FS940" s="56"/>
      <c r="FT940" s="56"/>
      <c r="FU940" s="56"/>
      <c r="FV940" s="56"/>
      <c r="FW940" s="56"/>
      <c r="FX940" s="56"/>
      <c r="FY940" s="56"/>
      <c r="FZ940" s="56"/>
      <c r="GA940" s="56"/>
      <c r="GB940" s="56"/>
      <c r="GC940" s="56"/>
      <c r="GD940" s="56"/>
      <c r="GE940" s="56"/>
      <c r="GF940" s="56"/>
      <c r="GG940" s="56"/>
      <c r="GH940" s="56"/>
      <c r="GI940" s="56"/>
      <c r="GJ940" s="56"/>
      <c r="GK940" s="56"/>
      <c r="GL940" s="56"/>
      <c r="GM940" s="56"/>
      <c r="GN940" s="56"/>
      <c r="GO940" s="56"/>
      <c r="GP940" s="56"/>
      <c r="GQ940" s="56"/>
      <c r="GR940" s="56"/>
      <c r="GS940" s="56"/>
      <c r="GT940" s="56"/>
      <c r="GU940" s="56"/>
      <c r="GV940" s="56"/>
      <c r="GW940" s="56"/>
      <c r="GX940" s="56"/>
      <c r="GY940" s="56"/>
      <c r="GZ940" s="56"/>
      <c r="HA940" s="56"/>
      <c r="HB940" s="56"/>
      <c r="HC940" s="56"/>
      <c r="HD940" s="56"/>
      <c r="HE940" s="56"/>
      <c r="HF940" s="56"/>
      <c r="HG940" s="56"/>
      <c r="HH940" s="56"/>
      <c r="HI940" s="56"/>
      <c r="HJ940" s="56"/>
    </row>
    <row r="941" spans="1:218" ht="15.75" customHeight="1" x14ac:dyDescent="0.2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  <c r="BV941" s="56"/>
      <c r="BW941" s="56"/>
      <c r="BX941" s="56"/>
      <c r="BY941" s="56"/>
      <c r="BZ941" s="56"/>
      <c r="CA941" s="56"/>
      <c r="CB941" s="56"/>
      <c r="CC941" s="56"/>
      <c r="CD941" s="56"/>
      <c r="CE941" s="56"/>
      <c r="CF941" s="56"/>
      <c r="CG941" s="56"/>
      <c r="CH941" s="56"/>
      <c r="CI941" s="56"/>
      <c r="CJ941" s="56"/>
      <c r="CK941" s="56"/>
      <c r="CL941" s="56"/>
      <c r="CM941" s="56"/>
      <c r="CN941" s="56"/>
      <c r="CO941" s="56"/>
      <c r="CP941" s="56"/>
      <c r="CQ941" s="56"/>
      <c r="CR941" s="56"/>
      <c r="CS941" s="56"/>
      <c r="CT941" s="56"/>
      <c r="CU941" s="56"/>
      <c r="CV941" s="56"/>
      <c r="CW941" s="56"/>
      <c r="CX941" s="56"/>
      <c r="CY941" s="56"/>
      <c r="CZ941" s="56"/>
      <c r="DA941" s="56"/>
      <c r="DB941" s="56"/>
      <c r="DC941" s="56"/>
      <c r="DD941" s="56"/>
      <c r="DE941" s="56"/>
      <c r="DF941" s="56"/>
      <c r="DG941" s="56"/>
      <c r="DH941" s="56"/>
      <c r="DI941" s="56"/>
      <c r="DJ941" s="56"/>
      <c r="DK941" s="56"/>
      <c r="DL941" s="56"/>
      <c r="DM941" s="56"/>
      <c r="DN941" s="56"/>
      <c r="DO941" s="56"/>
      <c r="DP941" s="56"/>
      <c r="DQ941" s="56"/>
      <c r="DR941" s="56"/>
      <c r="DS941" s="56"/>
      <c r="DT941" s="56"/>
      <c r="DU941" s="56"/>
      <c r="DV941" s="56"/>
      <c r="DW941" s="56"/>
      <c r="DX941" s="56"/>
      <c r="DY941" s="56"/>
      <c r="DZ941" s="56"/>
      <c r="EA941" s="56"/>
      <c r="EB941" s="56"/>
      <c r="EC941" s="56"/>
      <c r="ED941" s="56"/>
      <c r="EE941" s="56"/>
      <c r="EF941" s="56"/>
      <c r="EG941" s="56"/>
      <c r="EH941" s="56"/>
      <c r="EI941" s="56"/>
      <c r="EJ941" s="56"/>
      <c r="EK941" s="56"/>
      <c r="EL941" s="56"/>
      <c r="EM941" s="56"/>
      <c r="EN941" s="56"/>
      <c r="EO941" s="56"/>
      <c r="EP941" s="56"/>
      <c r="EQ941" s="56"/>
      <c r="ER941" s="56"/>
      <c r="ES941" s="56"/>
      <c r="ET941" s="56"/>
      <c r="EU941" s="56"/>
      <c r="EV941" s="56"/>
      <c r="EW941" s="56"/>
      <c r="EX941" s="56"/>
      <c r="EY941" s="56"/>
      <c r="EZ941" s="56"/>
      <c r="FA941" s="56"/>
      <c r="FB941" s="56"/>
      <c r="FC941" s="56"/>
      <c r="FD941" s="56"/>
      <c r="FE941" s="56"/>
      <c r="FF941" s="56"/>
      <c r="FG941" s="56"/>
      <c r="FH941" s="56"/>
      <c r="FI941" s="56"/>
      <c r="FJ941" s="56"/>
      <c r="FK941" s="56"/>
      <c r="FL941" s="56"/>
      <c r="FM941" s="56"/>
      <c r="FN941" s="56"/>
      <c r="FO941" s="56"/>
      <c r="FP941" s="56"/>
      <c r="FQ941" s="56"/>
      <c r="FR941" s="56"/>
      <c r="FS941" s="56"/>
      <c r="FT941" s="56"/>
      <c r="FU941" s="56"/>
      <c r="FV941" s="56"/>
      <c r="FW941" s="56"/>
      <c r="FX941" s="56"/>
      <c r="FY941" s="56"/>
      <c r="FZ941" s="56"/>
      <c r="GA941" s="56"/>
      <c r="GB941" s="56"/>
      <c r="GC941" s="56"/>
      <c r="GD941" s="56"/>
      <c r="GE941" s="56"/>
      <c r="GF941" s="56"/>
      <c r="GG941" s="56"/>
      <c r="GH941" s="56"/>
      <c r="GI941" s="56"/>
      <c r="GJ941" s="56"/>
      <c r="GK941" s="56"/>
      <c r="GL941" s="56"/>
      <c r="GM941" s="56"/>
      <c r="GN941" s="56"/>
      <c r="GO941" s="56"/>
      <c r="GP941" s="56"/>
      <c r="GQ941" s="56"/>
      <c r="GR941" s="56"/>
      <c r="GS941" s="56"/>
      <c r="GT941" s="56"/>
      <c r="GU941" s="56"/>
      <c r="GV941" s="56"/>
      <c r="GW941" s="56"/>
      <c r="GX941" s="56"/>
      <c r="GY941" s="56"/>
      <c r="GZ941" s="56"/>
      <c r="HA941" s="56"/>
      <c r="HB941" s="56"/>
      <c r="HC941" s="56"/>
      <c r="HD941" s="56"/>
      <c r="HE941" s="56"/>
      <c r="HF941" s="56"/>
      <c r="HG941" s="56"/>
      <c r="HH941" s="56"/>
      <c r="HI941" s="56"/>
      <c r="HJ941" s="56"/>
    </row>
    <row r="942" spans="1:218" ht="15.75" customHeight="1" x14ac:dyDescent="0.2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  <c r="BV942" s="56"/>
      <c r="BW942" s="56"/>
      <c r="BX942" s="56"/>
      <c r="BY942" s="56"/>
      <c r="BZ942" s="56"/>
      <c r="CA942" s="56"/>
      <c r="CB942" s="56"/>
      <c r="CC942" s="56"/>
      <c r="CD942" s="56"/>
      <c r="CE942" s="56"/>
      <c r="CF942" s="56"/>
      <c r="CG942" s="56"/>
      <c r="CH942" s="56"/>
      <c r="CI942" s="56"/>
      <c r="CJ942" s="56"/>
      <c r="CK942" s="56"/>
      <c r="CL942" s="56"/>
      <c r="CM942" s="56"/>
      <c r="CN942" s="56"/>
      <c r="CO942" s="56"/>
      <c r="CP942" s="56"/>
      <c r="CQ942" s="56"/>
      <c r="CR942" s="56"/>
      <c r="CS942" s="56"/>
      <c r="CT942" s="56"/>
      <c r="CU942" s="56"/>
      <c r="CV942" s="56"/>
      <c r="CW942" s="56"/>
      <c r="CX942" s="56"/>
      <c r="CY942" s="56"/>
      <c r="CZ942" s="56"/>
      <c r="DA942" s="56"/>
      <c r="DB942" s="56"/>
      <c r="DC942" s="56"/>
      <c r="DD942" s="56"/>
      <c r="DE942" s="56"/>
      <c r="DF942" s="56"/>
      <c r="DG942" s="56"/>
      <c r="DH942" s="56"/>
      <c r="DI942" s="56"/>
      <c r="DJ942" s="56"/>
      <c r="DK942" s="56"/>
      <c r="DL942" s="56"/>
      <c r="DM942" s="56"/>
      <c r="DN942" s="56"/>
      <c r="DO942" s="56"/>
      <c r="DP942" s="56"/>
      <c r="DQ942" s="56"/>
      <c r="DR942" s="56"/>
      <c r="DS942" s="56"/>
      <c r="DT942" s="56"/>
      <c r="DU942" s="56"/>
      <c r="DV942" s="56"/>
      <c r="DW942" s="56"/>
      <c r="DX942" s="56"/>
      <c r="DY942" s="56"/>
      <c r="DZ942" s="56"/>
      <c r="EA942" s="56"/>
      <c r="EB942" s="56"/>
      <c r="EC942" s="56"/>
      <c r="ED942" s="56"/>
      <c r="EE942" s="56"/>
      <c r="EF942" s="56"/>
      <c r="EG942" s="56"/>
      <c r="EH942" s="56"/>
      <c r="EI942" s="56"/>
      <c r="EJ942" s="56"/>
      <c r="EK942" s="56"/>
      <c r="EL942" s="56"/>
      <c r="EM942" s="56"/>
      <c r="EN942" s="56"/>
      <c r="EO942" s="56"/>
      <c r="EP942" s="56"/>
      <c r="EQ942" s="56"/>
      <c r="ER942" s="56"/>
      <c r="ES942" s="56"/>
      <c r="ET942" s="56"/>
      <c r="EU942" s="56"/>
      <c r="EV942" s="56"/>
      <c r="EW942" s="56"/>
      <c r="EX942" s="56"/>
      <c r="EY942" s="56"/>
      <c r="EZ942" s="56"/>
      <c r="FA942" s="56"/>
      <c r="FB942" s="56"/>
      <c r="FC942" s="56"/>
      <c r="FD942" s="56"/>
      <c r="FE942" s="56"/>
      <c r="FF942" s="56"/>
      <c r="FG942" s="56"/>
      <c r="FH942" s="56"/>
      <c r="FI942" s="56"/>
      <c r="FJ942" s="56"/>
      <c r="FK942" s="56"/>
      <c r="FL942" s="56"/>
      <c r="FM942" s="56"/>
      <c r="FN942" s="56"/>
      <c r="FO942" s="56"/>
      <c r="FP942" s="56"/>
      <c r="FQ942" s="56"/>
      <c r="FR942" s="56"/>
      <c r="FS942" s="56"/>
      <c r="FT942" s="56"/>
      <c r="FU942" s="56"/>
      <c r="FV942" s="56"/>
      <c r="FW942" s="56"/>
      <c r="FX942" s="56"/>
      <c r="FY942" s="56"/>
      <c r="FZ942" s="56"/>
      <c r="GA942" s="56"/>
      <c r="GB942" s="56"/>
      <c r="GC942" s="56"/>
      <c r="GD942" s="56"/>
      <c r="GE942" s="56"/>
      <c r="GF942" s="56"/>
      <c r="GG942" s="56"/>
      <c r="GH942" s="56"/>
      <c r="GI942" s="56"/>
      <c r="GJ942" s="56"/>
      <c r="GK942" s="56"/>
      <c r="GL942" s="56"/>
      <c r="GM942" s="56"/>
      <c r="GN942" s="56"/>
      <c r="GO942" s="56"/>
      <c r="GP942" s="56"/>
      <c r="GQ942" s="56"/>
      <c r="GR942" s="56"/>
      <c r="GS942" s="56"/>
      <c r="GT942" s="56"/>
      <c r="GU942" s="56"/>
      <c r="GV942" s="56"/>
      <c r="GW942" s="56"/>
      <c r="GX942" s="56"/>
      <c r="GY942" s="56"/>
      <c r="GZ942" s="56"/>
      <c r="HA942" s="56"/>
      <c r="HB942" s="56"/>
      <c r="HC942" s="56"/>
      <c r="HD942" s="56"/>
      <c r="HE942" s="56"/>
      <c r="HF942" s="56"/>
      <c r="HG942" s="56"/>
      <c r="HH942" s="56"/>
      <c r="HI942" s="56"/>
      <c r="HJ942" s="56"/>
    </row>
    <row r="943" spans="1:218" ht="15.75" customHeight="1" x14ac:dyDescent="0.2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  <c r="BV943" s="56"/>
      <c r="BW943" s="56"/>
      <c r="BX943" s="56"/>
      <c r="BY943" s="56"/>
      <c r="BZ943" s="56"/>
      <c r="CA943" s="56"/>
      <c r="CB943" s="56"/>
      <c r="CC943" s="56"/>
      <c r="CD943" s="56"/>
      <c r="CE943" s="56"/>
      <c r="CF943" s="56"/>
      <c r="CG943" s="56"/>
      <c r="CH943" s="56"/>
      <c r="CI943" s="56"/>
      <c r="CJ943" s="56"/>
      <c r="CK943" s="56"/>
      <c r="CL943" s="56"/>
      <c r="CM943" s="56"/>
      <c r="CN943" s="56"/>
      <c r="CO943" s="56"/>
      <c r="CP943" s="56"/>
      <c r="CQ943" s="56"/>
      <c r="CR943" s="56"/>
      <c r="CS943" s="56"/>
      <c r="CT943" s="56"/>
      <c r="CU943" s="56"/>
      <c r="CV943" s="56"/>
      <c r="CW943" s="56"/>
      <c r="CX943" s="56"/>
      <c r="CY943" s="56"/>
      <c r="CZ943" s="56"/>
      <c r="DA943" s="56"/>
      <c r="DB943" s="56"/>
      <c r="DC943" s="56"/>
      <c r="DD943" s="56"/>
      <c r="DE943" s="56"/>
      <c r="DF943" s="56"/>
      <c r="DG943" s="56"/>
      <c r="DH943" s="56"/>
      <c r="DI943" s="56"/>
      <c r="DJ943" s="56"/>
      <c r="DK943" s="56"/>
      <c r="DL943" s="56"/>
      <c r="DM943" s="56"/>
      <c r="DN943" s="56"/>
      <c r="DO943" s="56"/>
      <c r="DP943" s="56"/>
      <c r="DQ943" s="56"/>
      <c r="DR943" s="56"/>
      <c r="DS943" s="56"/>
      <c r="DT943" s="56"/>
      <c r="DU943" s="56"/>
      <c r="DV943" s="56"/>
      <c r="DW943" s="56"/>
      <c r="DX943" s="56"/>
      <c r="DY943" s="56"/>
      <c r="DZ943" s="56"/>
      <c r="EA943" s="56"/>
      <c r="EB943" s="56"/>
      <c r="EC943" s="56"/>
      <c r="ED943" s="56"/>
      <c r="EE943" s="56"/>
      <c r="EF943" s="56"/>
      <c r="EG943" s="56"/>
      <c r="EH943" s="56"/>
      <c r="EI943" s="56"/>
      <c r="EJ943" s="56"/>
      <c r="EK943" s="56"/>
      <c r="EL943" s="56"/>
      <c r="EM943" s="56"/>
      <c r="EN943" s="56"/>
      <c r="EO943" s="56"/>
      <c r="EP943" s="56"/>
      <c r="EQ943" s="56"/>
      <c r="ER943" s="56"/>
      <c r="ES943" s="56"/>
      <c r="ET943" s="56"/>
      <c r="EU943" s="56"/>
      <c r="EV943" s="56"/>
      <c r="EW943" s="56"/>
      <c r="EX943" s="56"/>
      <c r="EY943" s="56"/>
      <c r="EZ943" s="56"/>
      <c r="FA943" s="56"/>
      <c r="FB943" s="56"/>
      <c r="FC943" s="56"/>
      <c r="FD943" s="56"/>
      <c r="FE943" s="56"/>
      <c r="FF943" s="56"/>
      <c r="FG943" s="56"/>
      <c r="FH943" s="56"/>
      <c r="FI943" s="56"/>
      <c r="FJ943" s="56"/>
      <c r="FK943" s="56"/>
      <c r="FL943" s="56"/>
      <c r="FM943" s="56"/>
      <c r="FN943" s="56"/>
      <c r="FO943" s="56"/>
      <c r="FP943" s="56"/>
      <c r="FQ943" s="56"/>
      <c r="FR943" s="56"/>
      <c r="FS943" s="56"/>
      <c r="FT943" s="56"/>
      <c r="FU943" s="56"/>
      <c r="FV943" s="56"/>
      <c r="FW943" s="56"/>
      <c r="FX943" s="56"/>
      <c r="FY943" s="56"/>
      <c r="FZ943" s="56"/>
      <c r="GA943" s="56"/>
      <c r="GB943" s="56"/>
      <c r="GC943" s="56"/>
      <c r="GD943" s="56"/>
      <c r="GE943" s="56"/>
      <c r="GF943" s="56"/>
      <c r="GG943" s="56"/>
      <c r="GH943" s="56"/>
      <c r="GI943" s="56"/>
      <c r="GJ943" s="56"/>
      <c r="GK943" s="56"/>
      <c r="GL943" s="56"/>
      <c r="GM943" s="56"/>
      <c r="GN943" s="56"/>
      <c r="GO943" s="56"/>
      <c r="GP943" s="56"/>
      <c r="GQ943" s="56"/>
      <c r="GR943" s="56"/>
      <c r="GS943" s="56"/>
      <c r="GT943" s="56"/>
      <c r="GU943" s="56"/>
      <c r="GV943" s="56"/>
      <c r="GW943" s="56"/>
      <c r="GX943" s="56"/>
      <c r="GY943" s="56"/>
      <c r="GZ943" s="56"/>
      <c r="HA943" s="56"/>
      <c r="HB943" s="56"/>
      <c r="HC943" s="56"/>
      <c r="HD943" s="56"/>
      <c r="HE943" s="56"/>
      <c r="HF943" s="56"/>
      <c r="HG943" s="56"/>
      <c r="HH943" s="56"/>
      <c r="HI943" s="56"/>
      <c r="HJ943" s="56"/>
    </row>
    <row r="944" spans="1:218" ht="15.75" customHeight="1" x14ac:dyDescent="0.2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  <c r="CL944" s="56"/>
      <c r="CM944" s="56"/>
      <c r="CN944" s="56"/>
      <c r="CO944" s="56"/>
      <c r="CP944" s="56"/>
      <c r="CQ944" s="56"/>
      <c r="CR944" s="56"/>
      <c r="CS944" s="56"/>
      <c r="CT944" s="56"/>
      <c r="CU944" s="56"/>
      <c r="CV944" s="56"/>
      <c r="CW944" s="56"/>
      <c r="CX944" s="56"/>
      <c r="CY944" s="56"/>
      <c r="CZ944" s="56"/>
      <c r="DA944" s="56"/>
      <c r="DB944" s="56"/>
      <c r="DC944" s="56"/>
      <c r="DD944" s="56"/>
      <c r="DE944" s="56"/>
      <c r="DF944" s="56"/>
      <c r="DG944" s="56"/>
      <c r="DH944" s="56"/>
      <c r="DI944" s="56"/>
      <c r="DJ944" s="56"/>
      <c r="DK944" s="56"/>
      <c r="DL944" s="56"/>
      <c r="DM944" s="56"/>
      <c r="DN944" s="56"/>
      <c r="DO944" s="56"/>
      <c r="DP944" s="56"/>
      <c r="DQ944" s="56"/>
      <c r="DR944" s="56"/>
      <c r="DS944" s="56"/>
      <c r="DT944" s="56"/>
      <c r="DU944" s="56"/>
      <c r="DV944" s="56"/>
      <c r="DW944" s="56"/>
      <c r="DX944" s="56"/>
      <c r="DY944" s="56"/>
      <c r="DZ944" s="56"/>
      <c r="EA944" s="56"/>
      <c r="EB944" s="56"/>
      <c r="EC944" s="56"/>
      <c r="ED944" s="56"/>
      <c r="EE944" s="56"/>
      <c r="EF944" s="56"/>
      <c r="EG944" s="56"/>
      <c r="EH944" s="56"/>
      <c r="EI944" s="56"/>
      <c r="EJ944" s="56"/>
      <c r="EK944" s="56"/>
      <c r="EL944" s="56"/>
      <c r="EM944" s="56"/>
      <c r="EN944" s="56"/>
      <c r="EO944" s="56"/>
      <c r="EP944" s="56"/>
      <c r="EQ944" s="56"/>
      <c r="ER944" s="56"/>
      <c r="ES944" s="56"/>
      <c r="ET944" s="56"/>
      <c r="EU944" s="56"/>
      <c r="EV944" s="56"/>
      <c r="EW944" s="56"/>
      <c r="EX944" s="56"/>
      <c r="EY944" s="56"/>
      <c r="EZ944" s="56"/>
      <c r="FA944" s="56"/>
      <c r="FB944" s="56"/>
      <c r="FC944" s="56"/>
      <c r="FD944" s="56"/>
      <c r="FE944" s="56"/>
      <c r="FF944" s="56"/>
      <c r="FG944" s="56"/>
      <c r="FH944" s="56"/>
      <c r="FI944" s="56"/>
      <c r="FJ944" s="56"/>
      <c r="FK944" s="56"/>
      <c r="FL944" s="56"/>
      <c r="FM944" s="56"/>
      <c r="FN944" s="56"/>
      <c r="FO944" s="56"/>
      <c r="FP944" s="56"/>
      <c r="FQ944" s="56"/>
      <c r="FR944" s="56"/>
      <c r="FS944" s="56"/>
      <c r="FT944" s="56"/>
      <c r="FU944" s="56"/>
      <c r="FV944" s="56"/>
      <c r="FW944" s="56"/>
      <c r="FX944" s="56"/>
      <c r="FY944" s="56"/>
      <c r="FZ944" s="56"/>
      <c r="GA944" s="56"/>
      <c r="GB944" s="56"/>
      <c r="GC944" s="56"/>
      <c r="GD944" s="56"/>
      <c r="GE944" s="56"/>
      <c r="GF944" s="56"/>
      <c r="GG944" s="56"/>
      <c r="GH944" s="56"/>
      <c r="GI944" s="56"/>
      <c r="GJ944" s="56"/>
      <c r="GK944" s="56"/>
      <c r="GL944" s="56"/>
      <c r="GM944" s="56"/>
      <c r="GN944" s="56"/>
      <c r="GO944" s="56"/>
      <c r="GP944" s="56"/>
      <c r="GQ944" s="56"/>
      <c r="GR944" s="56"/>
      <c r="GS944" s="56"/>
      <c r="GT944" s="56"/>
      <c r="GU944" s="56"/>
      <c r="GV944" s="56"/>
      <c r="GW944" s="56"/>
      <c r="GX944" s="56"/>
      <c r="GY944" s="56"/>
      <c r="GZ944" s="56"/>
      <c r="HA944" s="56"/>
      <c r="HB944" s="56"/>
      <c r="HC944" s="56"/>
      <c r="HD944" s="56"/>
      <c r="HE944" s="56"/>
      <c r="HF944" s="56"/>
      <c r="HG944" s="56"/>
      <c r="HH944" s="56"/>
      <c r="HI944" s="56"/>
      <c r="HJ944" s="56"/>
    </row>
    <row r="945" spans="1:218" ht="15.75" customHeight="1" x14ac:dyDescent="0.2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  <c r="BV945" s="56"/>
      <c r="BW945" s="56"/>
      <c r="BX945" s="56"/>
      <c r="BY945" s="56"/>
      <c r="BZ945" s="56"/>
      <c r="CA945" s="56"/>
      <c r="CB945" s="56"/>
      <c r="CC945" s="56"/>
      <c r="CD945" s="56"/>
      <c r="CE945" s="56"/>
      <c r="CF945" s="56"/>
      <c r="CG945" s="56"/>
      <c r="CH945" s="56"/>
      <c r="CI945" s="56"/>
      <c r="CJ945" s="56"/>
      <c r="CK945" s="56"/>
      <c r="CL945" s="56"/>
      <c r="CM945" s="56"/>
      <c r="CN945" s="56"/>
      <c r="CO945" s="56"/>
      <c r="CP945" s="56"/>
      <c r="CQ945" s="56"/>
      <c r="CR945" s="56"/>
      <c r="CS945" s="56"/>
      <c r="CT945" s="56"/>
      <c r="CU945" s="56"/>
      <c r="CV945" s="56"/>
      <c r="CW945" s="56"/>
      <c r="CX945" s="56"/>
      <c r="CY945" s="56"/>
      <c r="CZ945" s="56"/>
      <c r="DA945" s="56"/>
      <c r="DB945" s="56"/>
      <c r="DC945" s="56"/>
      <c r="DD945" s="56"/>
      <c r="DE945" s="56"/>
      <c r="DF945" s="56"/>
      <c r="DG945" s="56"/>
      <c r="DH945" s="56"/>
      <c r="DI945" s="56"/>
      <c r="DJ945" s="56"/>
      <c r="DK945" s="56"/>
      <c r="DL945" s="56"/>
      <c r="DM945" s="56"/>
      <c r="DN945" s="56"/>
      <c r="DO945" s="56"/>
      <c r="DP945" s="56"/>
      <c r="DQ945" s="56"/>
      <c r="DR945" s="56"/>
      <c r="DS945" s="56"/>
      <c r="DT945" s="56"/>
      <c r="DU945" s="56"/>
      <c r="DV945" s="56"/>
      <c r="DW945" s="56"/>
      <c r="DX945" s="56"/>
      <c r="DY945" s="56"/>
      <c r="DZ945" s="56"/>
      <c r="EA945" s="56"/>
      <c r="EB945" s="56"/>
      <c r="EC945" s="56"/>
      <c r="ED945" s="56"/>
      <c r="EE945" s="56"/>
      <c r="EF945" s="56"/>
      <c r="EG945" s="56"/>
      <c r="EH945" s="56"/>
      <c r="EI945" s="56"/>
      <c r="EJ945" s="56"/>
      <c r="EK945" s="56"/>
      <c r="EL945" s="56"/>
      <c r="EM945" s="56"/>
      <c r="EN945" s="56"/>
      <c r="EO945" s="56"/>
      <c r="EP945" s="56"/>
      <c r="EQ945" s="56"/>
      <c r="ER945" s="56"/>
      <c r="ES945" s="56"/>
      <c r="ET945" s="56"/>
      <c r="EU945" s="56"/>
      <c r="EV945" s="56"/>
      <c r="EW945" s="56"/>
      <c r="EX945" s="56"/>
      <c r="EY945" s="56"/>
      <c r="EZ945" s="56"/>
      <c r="FA945" s="56"/>
      <c r="FB945" s="56"/>
      <c r="FC945" s="56"/>
      <c r="FD945" s="56"/>
      <c r="FE945" s="56"/>
      <c r="FF945" s="56"/>
      <c r="FG945" s="56"/>
      <c r="FH945" s="56"/>
      <c r="FI945" s="56"/>
      <c r="FJ945" s="56"/>
      <c r="FK945" s="56"/>
      <c r="FL945" s="56"/>
      <c r="FM945" s="56"/>
      <c r="FN945" s="56"/>
      <c r="FO945" s="56"/>
      <c r="FP945" s="56"/>
      <c r="FQ945" s="56"/>
      <c r="FR945" s="56"/>
      <c r="FS945" s="56"/>
      <c r="FT945" s="56"/>
      <c r="FU945" s="56"/>
      <c r="FV945" s="56"/>
      <c r="FW945" s="56"/>
      <c r="FX945" s="56"/>
      <c r="FY945" s="56"/>
      <c r="FZ945" s="56"/>
      <c r="GA945" s="56"/>
      <c r="GB945" s="56"/>
      <c r="GC945" s="56"/>
      <c r="GD945" s="56"/>
      <c r="GE945" s="56"/>
      <c r="GF945" s="56"/>
      <c r="GG945" s="56"/>
      <c r="GH945" s="56"/>
      <c r="GI945" s="56"/>
      <c r="GJ945" s="56"/>
      <c r="GK945" s="56"/>
      <c r="GL945" s="56"/>
      <c r="GM945" s="56"/>
      <c r="GN945" s="56"/>
      <c r="GO945" s="56"/>
      <c r="GP945" s="56"/>
      <c r="GQ945" s="56"/>
      <c r="GR945" s="56"/>
      <c r="GS945" s="56"/>
      <c r="GT945" s="56"/>
      <c r="GU945" s="56"/>
      <c r="GV945" s="56"/>
      <c r="GW945" s="56"/>
      <c r="GX945" s="56"/>
      <c r="GY945" s="56"/>
      <c r="GZ945" s="56"/>
      <c r="HA945" s="56"/>
      <c r="HB945" s="56"/>
      <c r="HC945" s="56"/>
      <c r="HD945" s="56"/>
      <c r="HE945" s="56"/>
      <c r="HF945" s="56"/>
      <c r="HG945" s="56"/>
      <c r="HH945" s="56"/>
      <c r="HI945" s="56"/>
      <c r="HJ945" s="56"/>
    </row>
    <row r="946" spans="1:218" ht="15.75" customHeight="1" x14ac:dyDescent="0.2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  <c r="BV946" s="56"/>
      <c r="BW946" s="56"/>
      <c r="BX946" s="56"/>
      <c r="BY946" s="56"/>
      <c r="BZ946" s="56"/>
      <c r="CA946" s="56"/>
      <c r="CB946" s="56"/>
      <c r="CC946" s="56"/>
      <c r="CD946" s="56"/>
      <c r="CE946" s="56"/>
      <c r="CF946" s="56"/>
      <c r="CG946" s="56"/>
      <c r="CH946" s="56"/>
      <c r="CI946" s="56"/>
      <c r="CJ946" s="56"/>
      <c r="CK946" s="56"/>
      <c r="CL946" s="56"/>
      <c r="CM946" s="56"/>
      <c r="CN946" s="56"/>
      <c r="CO946" s="56"/>
      <c r="CP946" s="56"/>
      <c r="CQ946" s="56"/>
      <c r="CR946" s="56"/>
      <c r="CS946" s="56"/>
      <c r="CT946" s="56"/>
      <c r="CU946" s="56"/>
      <c r="CV946" s="56"/>
      <c r="CW946" s="56"/>
      <c r="CX946" s="56"/>
      <c r="CY946" s="56"/>
      <c r="CZ946" s="56"/>
      <c r="DA946" s="56"/>
      <c r="DB946" s="56"/>
      <c r="DC946" s="56"/>
      <c r="DD946" s="56"/>
      <c r="DE946" s="56"/>
      <c r="DF946" s="56"/>
      <c r="DG946" s="56"/>
      <c r="DH946" s="56"/>
      <c r="DI946" s="56"/>
      <c r="DJ946" s="56"/>
      <c r="DK946" s="56"/>
      <c r="DL946" s="56"/>
      <c r="DM946" s="56"/>
      <c r="DN946" s="56"/>
      <c r="DO946" s="56"/>
      <c r="DP946" s="56"/>
      <c r="DQ946" s="56"/>
      <c r="DR946" s="56"/>
      <c r="DS946" s="56"/>
      <c r="DT946" s="56"/>
      <c r="DU946" s="56"/>
      <c r="DV946" s="56"/>
      <c r="DW946" s="56"/>
      <c r="DX946" s="56"/>
      <c r="DY946" s="56"/>
      <c r="DZ946" s="56"/>
      <c r="EA946" s="56"/>
      <c r="EB946" s="56"/>
      <c r="EC946" s="56"/>
      <c r="ED946" s="56"/>
      <c r="EE946" s="56"/>
      <c r="EF946" s="56"/>
      <c r="EG946" s="56"/>
      <c r="EH946" s="56"/>
      <c r="EI946" s="56"/>
      <c r="EJ946" s="56"/>
      <c r="EK946" s="56"/>
      <c r="EL946" s="56"/>
      <c r="EM946" s="56"/>
      <c r="EN946" s="56"/>
      <c r="EO946" s="56"/>
      <c r="EP946" s="56"/>
      <c r="EQ946" s="56"/>
      <c r="ER946" s="56"/>
      <c r="ES946" s="56"/>
      <c r="ET946" s="56"/>
      <c r="EU946" s="56"/>
      <c r="EV946" s="56"/>
      <c r="EW946" s="56"/>
      <c r="EX946" s="56"/>
      <c r="EY946" s="56"/>
      <c r="EZ946" s="56"/>
      <c r="FA946" s="56"/>
      <c r="FB946" s="56"/>
      <c r="FC946" s="56"/>
      <c r="FD946" s="56"/>
      <c r="FE946" s="56"/>
      <c r="FF946" s="56"/>
      <c r="FG946" s="56"/>
      <c r="FH946" s="56"/>
      <c r="FI946" s="56"/>
      <c r="FJ946" s="56"/>
      <c r="FK946" s="56"/>
      <c r="FL946" s="56"/>
      <c r="FM946" s="56"/>
      <c r="FN946" s="56"/>
      <c r="FO946" s="56"/>
      <c r="FP946" s="56"/>
      <c r="FQ946" s="56"/>
      <c r="FR946" s="56"/>
      <c r="FS946" s="56"/>
      <c r="FT946" s="56"/>
      <c r="FU946" s="56"/>
      <c r="FV946" s="56"/>
      <c r="FW946" s="56"/>
      <c r="FX946" s="56"/>
      <c r="FY946" s="56"/>
      <c r="FZ946" s="56"/>
      <c r="GA946" s="56"/>
      <c r="GB946" s="56"/>
      <c r="GC946" s="56"/>
      <c r="GD946" s="56"/>
      <c r="GE946" s="56"/>
      <c r="GF946" s="56"/>
      <c r="GG946" s="56"/>
      <c r="GH946" s="56"/>
      <c r="GI946" s="56"/>
      <c r="GJ946" s="56"/>
      <c r="GK946" s="56"/>
      <c r="GL946" s="56"/>
      <c r="GM946" s="56"/>
      <c r="GN946" s="56"/>
      <c r="GO946" s="56"/>
      <c r="GP946" s="56"/>
      <c r="GQ946" s="56"/>
      <c r="GR946" s="56"/>
      <c r="GS946" s="56"/>
      <c r="GT946" s="56"/>
      <c r="GU946" s="56"/>
      <c r="GV946" s="56"/>
      <c r="GW946" s="56"/>
      <c r="GX946" s="56"/>
      <c r="GY946" s="56"/>
      <c r="GZ946" s="56"/>
      <c r="HA946" s="56"/>
      <c r="HB946" s="56"/>
      <c r="HC946" s="56"/>
      <c r="HD946" s="56"/>
      <c r="HE946" s="56"/>
      <c r="HF946" s="56"/>
      <c r="HG946" s="56"/>
      <c r="HH946" s="56"/>
      <c r="HI946" s="56"/>
      <c r="HJ946" s="56"/>
    </row>
    <row r="947" spans="1:218" ht="15.75" customHeight="1" x14ac:dyDescent="0.2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  <c r="CL947" s="56"/>
      <c r="CM947" s="56"/>
      <c r="CN947" s="56"/>
      <c r="CO947" s="56"/>
      <c r="CP947" s="56"/>
      <c r="CQ947" s="56"/>
      <c r="CR947" s="56"/>
      <c r="CS947" s="56"/>
      <c r="CT947" s="56"/>
      <c r="CU947" s="56"/>
      <c r="CV947" s="56"/>
      <c r="CW947" s="56"/>
      <c r="CX947" s="56"/>
      <c r="CY947" s="56"/>
      <c r="CZ947" s="56"/>
      <c r="DA947" s="56"/>
      <c r="DB947" s="56"/>
      <c r="DC947" s="56"/>
      <c r="DD947" s="56"/>
      <c r="DE947" s="56"/>
      <c r="DF947" s="56"/>
      <c r="DG947" s="56"/>
      <c r="DH947" s="56"/>
      <c r="DI947" s="56"/>
      <c r="DJ947" s="56"/>
      <c r="DK947" s="56"/>
      <c r="DL947" s="56"/>
      <c r="DM947" s="56"/>
      <c r="DN947" s="56"/>
      <c r="DO947" s="56"/>
      <c r="DP947" s="56"/>
      <c r="DQ947" s="56"/>
      <c r="DR947" s="56"/>
      <c r="DS947" s="56"/>
      <c r="DT947" s="56"/>
      <c r="DU947" s="56"/>
      <c r="DV947" s="56"/>
      <c r="DW947" s="56"/>
      <c r="DX947" s="56"/>
      <c r="DY947" s="56"/>
      <c r="DZ947" s="56"/>
      <c r="EA947" s="56"/>
      <c r="EB947" s="56"/>
      <c r="EC947" s="56"/>
      <c r="ED947" s="56"/>
      <c r="EE947" s="56"/>
      <c r="EF947" s="56"/>
      <c r="EG947" s="56"/>
      <c r="EH947" s="56"/>
      <c r="EI947" s="56"/>
      <c r="EJ947" s="56"/>
      <c r="EK947" s="56"/>
      <c r="EL947" s="56"/>
      <c r="EM947" s="56"/>
      <c r="EN947" s="56"/>
      <c r="EO947" s="56"/>
      <c r="EP947" s="56"/>
      <c r="EQ947" s="56"/>
      <c r="ER947" s="56"/>
      <c r="ES947" s="56"/>
      <c r="ET947" s="56"/>
      <c r="EU947" s="56"/>
      <c r="EV947" s="56"/>
      <c r="EW947" s="56"/>
      <c r="EX947" s="56"/>
      <c r="EY947" s="56"/>
      <c r="EZ947" s="56"/>
      <c r="FA947" s="56"/>
      <c r="FB947" s="56"/>
      <c r="FC947" s="56"/>
      <c r="FD947" s="56"/>
      <c r="FE947" s="56"/>
      <c r="FF947" s="56"/>
      <c r="FG947" s="56"/>
      <c r="FH947" s="56"/>
      <c r="FI947" s="56"/>
      <c r="FJ947" s="56"/>
      <c r="FK947" s="56"/>
      <c r="FL947" s="56"/>
      <c r="FM947" s="56"/>
      <c r="FN947" s="56"/>
      <c r="FO947" s="56"/>
      <c r="FP947" s="56"/>
      <c r="FQ947" s="56"/>
      <c r="FR947" s="56"/>
      <c r="FS947" s="56"/>
      <c r="FT947" s="56"/>
      <c r="FU947" s="56"/>
      <c r="FV947" s="56"/>
      <c r="FW947" s="56"/>
      <c r="FX947" s="56"/>
      <c r="FY947" s="56"/>
      <c r="FZ947" s="56"/>
      <c r="GA947" s="56"/>
      <c r="GB947" s="56"/>
      <c r="GC947" s="56"/>
      <c r="GD947" s="56"/>
      <c r="GE947" s="56"/>
      <c r="GF947" s="56"/>
      <c r="GG947" s="56"/>
      <c r="GH947" s="56"/>
      <c r="GI947" s="56"/>
      <c r="GJ947" s="56"/>
      <c r="GK947" s="56"/>
      <c r="GL947" s="56"/>
      <c r="GM947" s="56"/>
      <c r="GN947" s="56"/>
      <c r="GO947" s="56"/>
      <c r="GP947" s="56"/>
      <c r="GQ947" s="56"/>
      <c r="GR947" s="56"/>
      <c r="GS947" s="56"/>
      <c r="GT947" s="56"/>
      <c r="GU947" s="56"/>
      <c r="GV947" s="56"/>
      <c r="GW947" s="56"/>
      <c r="GX947" s="56"/>
      <c r="GY947" s="56"/>
      <c r="GZ947" s="56"/>
      <c r="HA947" s="56"/>
      <c r="HB947" s="56"/>
      <c r="HC947" s="56"/>
      <c r="HD947" s="56"/>
      <c r="HE947" s="56"/>
      <c r="HF947" s="56"/>
      <c r="HG947" s="56"/>
      <c r="HH947" s="56"/>
      <c r="HI947" s="56"/>
      <c r="HJ947" s="56"/>
    </row>
    <row r="948" spans="1:218" ht="15.75" customHeight="1" x14ac:dyDescent="0.2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  <c r="BV948" s="56"/>
      <c r="BW948" s="56"/>
      <c r="BX948" s="56"/>
      <c r="BY948" s="56"/>
      <c r="BZ948" s="56"/>
      <c r="CA948" s="56"/>
      <c r="CB948" s="56"/>
      <c r="CC948" s="56"/>
      <c r="CD948" s="56"/>
      <c r="CE948" s="56"/>
      <c r="CF948" s="56"/>
      <c r="CG948" s="56"/>
      <c r="CH948" s="56"/>
      <c r="CI948" s="56"/>
      <c r="CJ948" s="56"/>
      <c r="CK948" s="56"/>
      <c r="CL948" s="56"/>
      <c r="CM948" s="56"/>
      <c r="CN948" s="56"/>
      <c r="CO948" s="56"/>
      <c r="CP948" s="56"/>
      <c r="CQ948" s="56"/>
      <c r="CR948" s="56"/>
      <c r="CS948" s="56"/>
      <c r="CT948" s="56"/>
      <c r="CU948" s="56"/>
      <c r="CV948" s="56"/>
      <c r="CW948" s="56"/>
      <c r="CX948" s="56"/>
      <c r="CY948" s="56"/>
      <c r="CZ948" s="56"/>
      <c r="DA948" s="56"/>
      <c r="DB948" s="56"/>
      <c r="DC948" s="56"/>
      <c r="DD948" s="56"/>
      <c r="DE948" s="56"/>
      <c r="DF948" s="56"/>
      <c r="DG948" s="56"/>
      <c r="DH948" s="56"/>
      <c r="DI948" s="56"/>
      <c r="DJ948" s="56"/>
      <c r="DK948" s="56"/>
      <c r="DL948" s="56"/>
      <c r="DM948" s="56"/>
      <c r="DN948" s="56"/>
      <c r="DO948" s="56"/>
      <c r="DP948" s="56"/>
      <c r="DQ948" s="56"/>
      <c r="DR948" s="56"/>
      <c r="DS948" s="56"/>
      <c r="DT948" s="56"/>
      <c r="DU948" s="56"/>
      <c r="DV948" s="56"/>
      <c r="DW948" s="56"/>
      <c r="DX948" s="56"/>
      <c r="DY948" s="56"/>
      <c r="DZ948" s="56"/>
      <c r="EA948" s="56"/>
      <c r="EB948" s="56"/>
      <c r="EC948" s="56"/>
      <c r="ED948" s="56"/>
      <c r="EE948" s="56"/>
      <c r="EF948" s="56"/>
      <c r="EG948" s="56"/>
      <c r="EH948" s="56"/>
      <c r="EI948" s="56"/>
      <c r="EJ948" s="56"/>
      <c r="EK948" s="56"/>
      <c r="EL948" s="56"/>
      <c r="EM948" s="56"/>
      <c r="EN948" s="56"/>
      <c r="EO948" s="56"/>
      <c r="EP948" s="56"/>
      <c r="EQ948" s="56"/>
      <c r="ER948" s="56"/>
      <c r="ES948" s="56"/>
      <c r="ET948" s="56"/>
      <c r="EU948" s="56"/>
      <c r="EV948" s="56"/>
      <c r="EW948" s="56"/>
      <c r="EX948" s="56"/>
      <c r="EY948" s="56"/>
      <c r="EZ948" s="56"/>
      <c r="FA948" s="56"/>
      <c r="FB948" s="56"/>
      <c r="FC948" s="56"/>
      <c r="FD948" s="56"/>
      <c r="FE948" s="56"/>
      <c r="FF948" s="56"/>
      <c r="FG948" s="56"/>
      <c r="FH948" s="56"/>
      <c r="FI948" s="56"/>
      <c r="FJ948" s="56"/>
      <c r="FK948" s="56"/>
      <c r="FL948" s="56"/>
      <c r="FM948" s="56"/>
      <c r="FN948" s="56"/>
      <c r="FO948" s="56"/>
      <c r="FP948" s="56"/>
      <c r="FQ948" s="56"/>
      <c r="FR948" s="56"/>
      <c r="FS948" s="56"/>
      <c r="FT948" s="56"/>
      <c r="FU948" s="56"/>
      <c r="FV948" s="56"/>
      <c r="FW948" s="56"/>
      <c r="FX948" s="56"/>
      <c r="FY948" s="56"/>
      <c r="FZ948" s="56"/>
      <c r="GA948" s="56"/>
      <c r="GB948" s="56"/>
      <c r="GC948" s="56"/>
      <c r="GD948" s="56"/>
      <c r="GE948" s="56"/>
      <c r="GF948" s="56"/>
      <c r="GG948" s="56"/>
      <c r="GH948" s="56"/>
      <c r="GI948" s="56"/>
      <c r="GJ948" s="56"/>
      <c r="GK948" s="56"/>
      <c r="GL948" s="56"/>
      <c r="GM948" s="56"/>
      <c r="GN948" s="56"/>
      <c r="GO948" s="56"/>
      <c r="GP948" s="56"/>
      <c r="GQ948" s="56"/>
      <c r="GR948" s="56"/>
      <c r="GS948" s="56"/>
      <c r="GT948" s="56"/>
      <c r="GU948" s="56"/>
      <c r="GV948" s="56"/>
      <c r="GW948" s="56"/>
      <c r="GX948" s="56"/>
      <c r="GY948" s="56"/>
      <c r="GZ948" s="56"/>
      <c r="HA948" s="56"/>
      <c r="HB948" s="56"/>
      <c r="HC948" s="56"/>
      <c r="HD948" s="56"/>
      <c r="HE948" s="56"/>
      <c r="HF948" s="56"/>
      <c r="HG948" s="56"/>
      <c r="HH948" s="56"/>
      <c r="HI948" s="56"/>
      <c r="HJ948" s="56"/>
    </row>
    <row r="949" spans="1:218" ht="15.75" customHeight="1" x14ac:dyDescent="0.2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  <c r="BV949" s="56"/>
      <c r="BW949" s="56"/>
      <c r="BX949" s="56"/>
      <c r="BY949" s="56"/>
      <c r="BZ949" s="56"/>
      <c r="CA949" s="56"/>
      <c r="CB949" s="56"/>
      <c r="CC949" s="56"/>
      <c r="CD949" s="56"/>
      <c r="CE949" s="56"/>
      <c r="CF949" s="56"/>
      <c r="CG949" s="56"/>
      <c r="CH949" s="56"/>
      <c r="CI949" s="56"/>
      <c r="CJ949" s="56"/>
      <c r="CK949" s="56"/>
      <c r="CL949" s="56"/>
      <c r="CM949" s="56"/>
      <c r="CN949" s="56"/>
      <c r="CO949" s="56"/>
      <c r="CP949" s="56"/>
      <c r="CQ949" s="56"/>
      <c r="CR949" s="56"/>
      <c r="CS949" s="56"/>
      <c r="CT949" s="56"/>
      <c r="CU949" s="56"/>
      <c r="CV949" s="56"/>
      <c r="CW949" s="56"/>
      <c r="CX949" s="56"/>
      <c r="CY949" s="56"/>
      <c r="CZ949" s="56"/>
      <c r="DA949" s="56"/>
      <c r="DB949" s="56"/>
      <c r="DC949" s="56"/>
      <c r="DD949" s="56"/>
      <c r="DE949" s="56"/>
      <c r="DF949" s="56"/>
      <c r="DG949" s="56"/>
      <c r="DH949" s="56"/>
      <c r="DI949" s="56"/>
      <c r="DJ949" s="56"/>
      <c r="DK949" s="56"/>
      <c r="DL949" s="56"/>
      <c r="DM949" s="56"/>
      <c r="DN949" s="56"/>
      <c r="DO949" s="56"/>
      <c r="DP949" s="56"/>
      <c r="DQ949" s="56"/>
      <c r="DR949" s="56"/>
      <c r="DS949" s="56"/>
      <c r="DT949" s="56"/>
      <c r="DU949" s="56"/>
      <c r="DV949" s="56"/>
      <c r="DW949" s="56"/>
      <c r="DX949" s="56"/>
      <c r="DY949" s="56"/>
      <c r="DZ949" s="56"/>
      <c r="EA949" s="56"/>
      <c r="EB949" s="56"/>
      <c r="EC949" s="56"/>
      <c r="ED949" s="56"/>
      <c r="EE949" s="56"/>
      <c r="EF949" s="56"/>
      <c r="EG949" s="56"/>
      <c r="EH949" s="56"/>
      <c r="EI949" s="56"/>
      <c r="EJ949" s="56"/>
      <c r="EK949" s="56"/>
      <c r="EL949" s="56"/>
      <c r="EM949" s="56"/>
      <c r="EN949" s="56"/>
      <c r="EO949" s="56"/>
      <c r="EP949" s="56"/>
      <c r="EQ949" s="56"/>
      <c r="ER949" s="56"/>
      <c r="ES949" s="56"/>
      <c r="ET949" s="56"/>
      <c r="EU949" s="56"/>
      <c r="EV949" s="56"/>
      <c r="EW949" s="56"/>
      <c r="EX949" s="56"/>
      <c r="EY949" s="56"/>
      <c r="EZ949" s="56"/>
      <c r="FA949" s="56"/>
      <c r="FB949" s="56"/>
      <c r="FC949" s="56"/>
      <c r="FD949" s="56"/>
      <c r="FE949" s="56"/>
      <c r="FF949" s="56"/>
      <c r="FG949" s="56"/>
      <c r="FH949" s="56"/>
      <c r="FI949" s="56"/>
      <c r="FJ949" s="56"/>
      <c r="FK949" s="56"/>
      <c r="FL949" s="56"/>
      <c r="FM949" s="56"/>
      <c r="FN949" s="56"/>
      <c r="FO949" s="56"/>
      <c r="FP949" s="56"/>
      <c r="FQ949" s="56"/>
      <c r="FR949" s="56"/>
      <c r="FS949" s="56"/>
      <c r="FT949" s="56"/>
      <c r="FU949" s="56"/>
      <c r="FV949" s="56"/>
      <c r="FW949" s="56"/>
      <c r="FX949" s="56"/>
      <c r="FY949" s="56"/>
      <c r="FZ949" s="56"/>
      <c r="GA949" s="56"/>
      <c r="GB949" s="56"/>
      <c r="GC949" s="56"/>
      <c r="GD949" s="56"/>
      <c r="GE949" s="56"/>
      <c r="GF949" s="56"/>
      <c r="GG949" s="56"/>
      <c r="GH949" s="56"/>
      <c r="GI949" s="56"/>
      <c r="GJ949" s="56"/>
      <c r="GK949" s="56"/>
      <c r="GL949" s="56"/>
      <c r="GM949" s="56"/>
      <c r="GN949" s="56"/>
      <c r="GO949" s="56"/>
      <c r="GP949" s="56"/>
      <c r="GQ949" s="56"/>
      <c r="GR949" s="56"/>
      <c r="GS949" s="56"/>
      <c r="GT949" s="56"/>
      <c r="GU949" s="56"/>
      <c r="GV949" s="56"/>
      <c r="GW949" s="56"/>
      <c r="GX949" s="56"/>
      <c r="GY949" s="56"/>
      <c r="GZ949" s="56"/>
      <c r="HA949" s="56"/>
      <c r="HB949" s="56"/>
      <c r="HC949" s="56"/>
      <c r="HD949" s="56"/>
      <c r="HE949" s="56"/>
      <c r="HF949" s="56"/>
      <c r="HG949" s="56"/>
      <c r="HH949" s="56"/>
      <c r="HI949" s="56"/>
      <c r="HJ949" s="56"/>
    </row>
    <row r="950" spans="1:218" ht="15.75" customHeight="1" x14ac:dyDescent="0.2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  <c r="BV950" s="56"/>
      <c r="BW950" s="56"/>
      <c r="BX950" s="56"/>
      <c r="BY950" s="56"/>
      <c r="BZ950" s="56"/>
      <c r="CA950" s="56"/>
      <c r="CB950" s="56"/>
      <c r="CC950" s="56"/>
      <c r="CD950" s="56"/>
      <c r="CE950" s="56"/>
      <c r="CF950" s="56"/>
      <c r="CG950" s="56"/>
      <c r="CH950" s="56"/>
      <c r="CI950" s="56"/>
      <c r="CJ950" s="56"/>
      <c r="CK950" s="56"/>
      <c r="CL950" s="56"/>
      <c r="CM950" s="56"/>
      <c r="CN950" s="56"/>
      <c r="CO950" s="56"/>
      <c r="CP950" s="56"/>
      <c r="CQ950" s="56"/>
      <c r="CR950" s="56"/>
      <c r="CS950" s="56"/>
      <c r="CT950" s="56"/>
      <c r="CU950" s="56"/>
      <c r="CV950" s="56"/>
      <c r="CW950" s="56"/>
      <c r="CX950" s="56"/>
      <c r="CY950" s="56"/>
      <c r="CZ950" s="56"/>
      <c r="DA950" s="56"/>
      <c r="DB950" s="56"/>
      <c r="DC950" s="56"/>
      <c r="DD950" s="56"/>
      <c r="DE950" s="56"/>
      <c r="DF950" s="56"/>
      <c r="DG950" s="56"/>
      <c r="DH950" s="56"/>
      <c r="DI950" s="56"/>
      <c r="DJ950" s="56"/>
      <c r="DK950" s="56"/>
      <c r="DL950" s="56"/>
      <c r="DM950" s="56"/>
      <c r="DN950" s="56"/>
      <c r="DO950" s="56"/>
      <c r="DP950" s="56"/>
      <c r="DQ950" s="56"/>
      <c r="DR950" s="56"/>
      <c r="DS950" s="56"/>
      <c r="DT950" s="56"/>
      <c r="DU950" s="56"/>
      <c r="DV950" s="56"/>
      <c r="DW950" s="56"/>
      <c r="DX950" s="56"/>
      <c r="DY950" s="56"/>
      <c r="DZ950" s="56"/>
      <c r="EA950" s="56"/>
      <c r="EB950" s="56"/>
      <c r="EC950" s="56"/>
      <c r="ED950" s="56"/>
      <c r="EE950" s="56"/>
      <c r="EF950" s="56"/>
      <c r="EG950" s="56"/>
      <c r="EH950" s="56"/>
      <c r="EI950" s="56"/>
      <c r="EJ950" s="56"/>
      <c r="EK950" s="56"/>
      <c r="EL950" s="56"/>
      <c r="EM950" s="56"/>
      <c r="EN950" s="56"/>
      <c r="EO950" s="56"/>
      <c r="EP950" s="56"/>
      <c r="EQ950" s="56"/>
      <c r="ER950" s="56"/>
      <c r="ES950" s="56"/>
      <c r="ET950" s="56"/>
      <c r="EU950" s="56"/>
      <c r="EV950" s="56"/>
      <c r="EW950" s="56"/>
      <c r="EX950" s="56"/>
      <c r="EY950" s="56"/>
      <c r="EZ950" s="56"/>
      <c r="FA950" s="56"/>
      <c r="FB950" s="56"/>
      <c r="FC950" s="56"/>
      <c r="FD950" s="56"/>
      <c r="FE950" s="56"/>
      <c r="FF950" s="56"/>
      <c r="FG950" s="56"/>
      <c r="FH950" s="56"/>
      <c r="FI950" s="56"/>
      <c r="FJ950" s="56"/>
      <c r="FK950" s="56"/>
      <c r="FL950" s="56"/>
      <c r="FM950" s="56"/>
      <c r="FN950" s="56"/>
      <c r="FO950" s="56"/>
      <c r="FP950" s="56"/>
      <c r="FQ950" s="56"/>
      <c r="FR950" s="56"/>
      <c r="FS950" s="56"/>
      <c r="FT950" s="56"/>
      <c r="FU950" s="56"/>
      <c r="FV950" s="56"/>
      <c r="FW950" s="56"/>
      <c r="FX950" s="56"/>
      <c r="FY950" s="56"/>
      <c r="FZ950" s="56"/>
      <c r="GA950" s="56"/>
      <c r="GB950" s="56"/>
      <c r="GC950" s="56"/>
      <c r="GD950" s="56"/>
      <c r="GE950" s="56"/>
      <c r="GF950" s="56"/>
      <c r="GG950" s="56"/>
      <c r="GH950" s="56"/>
      <c r="GI950" s="56"/>
      <c r="GJ950" s="56"/>
      <c r="GK950" s="56"/>
      <c r="GL950" s="56"/>
      <c r="GM950" s="56"/>
      <c r="GN950" s="56"/>
      <c r="GO950" s="56"/>
      <c r="GP950" s="56"/>
      <c r="GQ950" s="56"/>
      <c r="GR950" s="56"/>
      <c r="GS950" s="56"/>
      <c r="GT950" s="56"/>
      <c r="GU950" s="56"/>
      <c r="GV950" s="56"/>
      <c r="GW950" s="56"/>
      <c r="GX950" s="56"/>
      <c r="GY950" s="56"/>
      <c r="GZ950" s="56"/>
      <c r="HA950" s="56"/>
      <c r="HB950" s="56"/>
      <c r="HC950" s="56"/>
      <c r="HD950" s="56"/>
      <c r="HE950" s="56"/>
      <c r="HF950" s="56"/>
      <c r="HG950" s="56"/>
      <c r="HH950" s="56"/>
      <c r="HI950" s="56"/>
      <c r="HJ950" s="56"/>
    </row>
    <row r="951" spans="1:218" ht="15.75" customHeight="1" x14ac:dyDescent="0.2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  <c r="BV951" s="56"/>
      <c r="BW951" s="56"/>
      <c r="BX951" s="56"/>
      <c r="BY951" s="56"/>
      <c r="BZ951" s="56"/>
      <c r="CA951" s="56"/>
      <c r="CB951" s="56"/>
      <c r="CC951" s="56"/>
      <c r="CD951" s="56"/>
      <c r="CE951" s="56"/>
      <c r="CF951" s="56"/>
      <c r="CG951" s="56"/>
      <c r="CH951" s="56"/>
      <c r="CI951" s="56"/>
      <c r="CJ951" s="56"/>
      <c r="CK951" s="56"/>
      <c r="CL951" s="56"/>
      <c r="CM951" s="56"/>
      <c r="CN951" s="56"/>
      <c r="CO951" s="56"/>
      <c r="CP951" s="56"/>
      <c r="CQ951" s="56"/>
      <c r="CR951" s="56"/>
      <c r="CS951" s="56"/>
      <c r="CT951" s="56"/>
      <c r="CU951" s="56"/>
      <c r="CV951" s="56"/>
      <c r="CW951" s="56"/>
      <c r="CX951" s="56"/>
      <c r="CY951" s="56"/>
      <c r="CZ951" s="56"/>
      <c r="DA951" s="56"/>
      <c r="DB951" s="56"/>
      <c r="DC951" s="56"/>
      <c r="DD951" s="56"/>
      <c r="DE951" s="56"/>
      <c r="DF951" s="56"/>
      <c r="DG951" s="56"/>
      <c r="DH951" s="56"/>
      <c r="DI951" s="56"/>
      <c r="DJ951" s="56"/>
      <c r="DK951" s="56"/>
      <c r="DL951" s="56"/>
      <c r="DM951" s="56"/>
      <c r="DN951" s="56"/>
      <c r="DO951" s="56"/>
      <c r="DP951" s="56"/>
      <c r="DQ951" s="56"/>
      <c r="DR951" s="56"/>
      <c r="DS951" s="56"/>
      <c r="DT951" s="56"/>
      <c r="DU951" s="56"/>
      <c r="DV951" s="56"/>
      <c r="DW951" s="56"/>
      <c r="DX951" s="56"/>
      <c r="DY951" s="56"/>
      <c r="DZ951" s="56"/>
      <c r="EA951" s="56"/>
      <c r="EB951" s="56"/>
      <c r="EC951" s="56"/>
      <c r="ED951" s="56"/>
      <c r="EE951" s="56"/>
      <c r="EF951" s="56"/>
      <c r="EG951" s="56"/>
      <c r="EH951" s="56"/>
      <c r="EI951" s="56"/>
      <c r="EJ951" s="56"/>
      <c r="EK951" s="56"/>
      <c r="EL951" s="56"/>
      <c r="EM951" s="56"/>
      <c r="EN951" s="56"/>
      <c r="EO951" s="56"/>
      <c r="EP951" s="56"/>
      <c r="EQ951" s="56"/>
      <c r="ER951" s="56"/>
      <c r="ES951" s="56"/>
      <c r="ET951" s="56"/>
      <c r="EU951" s="56"/>
      <c r="EV951" s="56"/>
      <c r="EW951" s="56"/>
      <c r="EX951" s="56"/>
      <c r="EY951" s="56"/>
      <c r="EZ951" s="56"/>
      <c r="FA951" s="56"/>
      <c r="FB951" s="56"/>
      <c r="FC951" s="56"/>
      <c r="FD951" s="56"/>
      <c r="FE951" s="56"/>
      <c r="FF951" s="56"/>
      <c r="FG951" s="56"/>
      <c r="FH951" s="56"/>
      <c r="FI951" s="56"/>
      <c r="FJ951" s="56"/>
      <c r="FK951" s="56"/>
      <c r="FL951" s="56"/>
      <c r="FM951" s="56"/>
      <c r="FN951" s="56"/>
      <c r="FO951" s="56"/>
      <c r="FP951" s="56"/>
      <c r="FQ951" s="56"/>
      <c r="FR951" s="56"/>
      <c r="FS951" s="56"/>
      <c r="FT951" s="56"/>
      <c r="FU951" s="56"/>
      <c r="FV951" s="56"/>
      <c r="FW951" s="56"/>
      <c r="FX951" s="56"/>
      <c r="FY951" s="56"/>
      <c r="FZ951" s="56"/>
      <c r="GA951" s="56"/>
      <c r="GB951" s="56"/>
      <c r="GC951" s="56"/>
      <c r="GD951" s="56"/>
      <c r="GE951" s="56"/>
      <c r="GF951" s="56"/>
      <c r="GG951" s="56"/>
      <c r="GH951" s="56"/>
      <c r="GI951" s="56"/>
      <c r="GJ951" s="56"/>
      <c r="GK951" s="56"/>
      <c r="GL951" s="56"/>
      <c r="GM951" s="56"/>
      <c r="GN951" s="56"/>
      <c r="GO951" s="56"/>
      <c r="GP951" s="56"/>
      <c r="GQ951" s="56"/>
      <c r="GR951" s="56"/>
      <c r="GS951" s="56"/>
      <c r="GT951" s="56"/>
      <c r="GU951" s="56"/>
      <c r="GV951" s="56"/>
      <c r="GW951" s="56"/>
      <c r="GX951" s="56"/>
      <c r="GY951" s="56"/>
      <c r="GZ951" s="56"/>
      <c r="HA951" s="56"/>
      <c r="HB951" s="56"/>
      <c r="HC951" s="56"/>
      <c r="HD951" s="56"/>
      <c r="HE951" s="56"/>
      <c r="HF951" s="56"/>
      <c r="HG951" s="56"/>
      <c r="HH951" s="56"/>
      <c r="HI951" s="56"/>
      <c r="HJ951" s="56"/>
    </row>
    <row r="952" spans="1:218" ht="15.75" customHeight="1" x14ac:dyDescent="0.2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  <c r="CL952" s="56"/>
      <c r="CM952" s="56"/>
      <c r="CN952" s="56"/>
      <c r="CO952" s="56"/>
      <c r="CP952" s="56"/>
      <c r="CQ952" s="56"/>
      <c r="CR952" s="56"/>
      <c r="CS952" s="56"/>
      <c r="CT952" s="56"/>
      <c r="CU952" s="56"/>
      <c r="CV952" s="56"/>
      <c r="CW952" s="56"/>
      <c r="CX952" s="56"/>
      <c r="CY952" s="56"/>
      <c r="CZ952" s="56"/>
      <c r="DA952" s="56"/>
      <c r="DB952" s="56"/>
      <c r="DC952" s="56"/>
      <c r="DD952" s="56"/>
      <c r="DE952" s="56"/>
      <c r="DF952" s="56"/>
      <c r="DG952" s="56"/>
      <c r="DH952" s="56"/>
      <c r="DI952" s="56"/>
      <c r="DJ952" s="56"/>
      <c r="DK952" s="56"/>
      <c r="DL952" s="56"/>
      <c r="DM952" s="56"/>
      <c r="DN952" s="56"/>
      <c r="DO952" s="56"/>
      <c r="DP952" s="56"/>
      <c r="DQ952" s="56"/>
      <c r="DR952" s="56"/>
      <c r="DS952" s="56"/>
      <c r="DT952" s="56"/>
      <c r="DU952" s="56"/>
      <c r="DV952" s="56"/>
      <c r="DW952" s="56"/>
      <c r="DX952" s="56"/>
      <c r="DY952" s="56"/>
      <c r="DZ952" s="56"/>
      <c r="EA952" s="56"/>
      <c r="EB952" s="56"/>
      <c r="EC952" s="56"/>
      <c r="ED952" s="56"/>
      <c r="EE952" s="56"/>
      <c r="EF952" s="56"/>
      <c r="EG952" s="56"/>
      <c r="EH952" s="56"/>
      <c r="EI952" s="56"/>
      <c r="EJ952" s="56"/>
      <c r="EK952" s="56"/>
      <c r="EL952" s="56"/>
      <c r="EM952" s="56"/>
      <c r="EN952" s="56"/>
      <c r="EO952" s="56"/>
      <c r="EP952" s="56"/>
      <c r="EQ952" s="56"/>
      <c r="ER952" s="56"/>
      <c r="ES952" s="56"/>
      <c r="ET952" s="56"/>
      <c r="EU952" s="56"/>
      <c r="EV952" s="56"/>
      <c r="EW952" s="56"/>
      <c r="EX952" s="56"/>
      <c r="EY952" s="56"/>
      <c r="EZ952" s="56"/>
      <c r="FA952" s="56"/>
      <c r="FB952" s="56"/>
      <c r="FC952" s="56"/>
      <c r="FD952" s="56"/>
      <c r="FE952" s="56"/>
      <c r="FF952" s="56"/>
      <c r="FG952" s="56"/>
      <c r="FH952" s="56"/>
      <c r="FI952" s="56"/>
      <c r="FJ952" s="56"/>
      <c r="FK952" s="56"/>
      <c r="FL952" s="56"/>
      <c r="FM952" s="56"/>
      <c r="FN952" s="56"/>
      <c r="FO952" s="56"/>
      <c r="FP952" s="56"/>
      <c r="FQ952" s="56"/>
      <c r="FR952" s="56"/>
      <c r="FS952" s="56"/>
      <c r="FT952" s="56"/>
      <c r="FU952" s="56"/>
      <c r="FV952" s="56"/>
      <c r="FW952" s="56"/>
      <c r="FX952" s="56"/>
      <c r="FY952" s="56"/>
      <c r="FZ952" s="56"/>
      <c r="GA952" s="56"/>
      <c r="GB952" s="56"/>
      <c r="GC952" s="56"/>
      <c r="GD952" s="56"/>
      <c r="GE952" s="56"/>
      <c r="GF952" s="56"/>
      <c r="GG952" s="56"/>
      <c r="GH952" s="56"/>
      <c r="GI952" s="56"/>
      <c r="GJ952" s="56"/>
      <c r="GK952" s="56"/>
      <c r="GL952" s="56"/>
      <c r="GM952" s="56"/>
      <c r="GN952" s="56"/>
      <c r="GO952" s="56"/>
      <c r="GP952" s="56"/>
      <c r="GQ952" s="56"/>
      <c r="GR952" s="56"/>
      <c r="GS952" s="56"/>
      <c r="GT952" s="56"/>
      <c r="GU952" s="56"/>
      <c r="GV952" s="56"/>
      <c r="GW952" s="56"/>
      <c r="GX952" s="56"/>
      <c r="GY952" s="56"/>
      <c r="GZ952" s="56"/>
      <c r="HA952" s="56"/>
      <c r="HB952" s="56"/>
      <c r="HC952" s="56"/>
      <c r="HD952" s="56"/>
      <c r="HE952" s="56"/>
      <c r="HF952" s="56"/>
      <c r="HG952" s="56"/>
      <c r="HH952" s="56"/>
      <c r="HI952" s="56"/>
      <c r="HJ952" s="56"/>
    </row>
    <row r="953" spans="1:218" ht="15.75" customHeight="1" x14ac:dyDescent="0.2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  <c r="CL953" s="56"/>
      <c r="CM953" s="56"/>
      <c r="CN953" s="56"/>
      <c r="CO953" s="56"/>
      <c r="CP953" s="56"/>
      <c r="CQ953" s="56"/>
      <c r="CR953" s="56"/>
      <c r="CS953" s="56"/>
      <c r="CT953" s="56"/>
      <c r="CU953" s="56"/>
      <c r="CV953" s="56"/>
      <c r="CW953" s="56"/>
      <c r="CX953" s="56"/>
      <c r="CY953" s="56"/>
      <c r="CZ953" s="56"/>
      <c r="DA953" s="56"/>
      <c r="DB953" s="56"/>
      <c r="DC953" s="56"/>
      <c r="DD953" s="56"/>
      <c r="DE953" s="56"/>
      <c r="DF953" s="56"/>
      <c r="DG953" s="56"/>
      <c r="DH953" s="56"/>
      <c r="DI953" s="56"/>
      <c r="DJ953" s="56"/>
      <c r="DK953" s="56"/>
      <c r="DL953" s="56"/>
      <c r="DM953" s="56"/>
      <c r="DN953" s="56"/>
      <c r="DO953" s="56"/>
      <c r="DP953" s="56"/>
      <c r="DQ953" s="56"/>
      <c r="DR953" s="56"/>
      <c r="DS953" s="56"/>
      <c r="DT953" s="56"/>
      <c r="DU953" s="56"/>
      <c r="DV953" s="56"/>
      <c r="DW953" s="56"/>
      <c r="DX953" s="56"/>
      <c r="DY953" s="56"/>
      <c r="DZ953" s="56"/>
      <c r="EA953" s="56"/>
      <c r="EB953" s="56"/>
      <c r="EC953" s="56"/>
      <c r="ED953" s="56"/>
      <c r="EE953" s="56"/>
      <c r="EF953" s="56"/>
      <c r="EG953" s="56"/>
      <c r="EH953" s="56"/>
      <c r="EI953" s="56"/>
      <c r="EJ953" s="56"/>
      <c r="EK953" s="56"/>
      <c r="EL953" s="56"/>
      <c r="EM953" s="56"/>
      <c r="EN953" s="56"/>
      <c r="EO953" s="56"/>
      <c r="EP953" s="56"/>
      <c r="EQ953" s="56"/>
      <c r="ER953" s="56"/>
      <c r="ES953" s="56"/>
      <c r="ET953" s="56"/>
      <c r="EU953" s="56"/>
      <c r="EV953" s="56"/>
      <c r="EW953" s="56"/>
      <c r="EX953" s="56"/>
      <c r="EY953" s="56"/>
      <c r="EZ953" s="56"/>
      <c r="FA953" s="56"/>
      <c r="FB953" s="56"/>
      <c r="FC953" s="56"/>
      <c r="FD953" s="56"/>
      <c r="FE953" s="56"/>
      <c r="FF953" s="56"/>
      <c r="FG953" s="56"/>
      <c r="FH953" s="56"/>
      <c r="FI953" s="56"/>
      <c r="FJ953" s="56"/>
      <c r="FK953" s="56"/>
      <c r="FL953" s="56"/>
      <c r="FM953" s="56"/>
      <c r="FN953" s="56"/>
      <c r="FO953" s="56"/>
      <c r="FP953" s="56"/>
      <c r="FQ953" s="56"/>
      <c r="FR953" s="56"/>
      <c r="FS953" s="56"/>
      <c r="FT953" s="56"/>
      <c r="FU953" s="56"/>
      <c r="FV953" s="56"/>
      <c r="FW953" s="56"/>
      <c r="FX953" s="56"/>
      <c r="FY953" s="56"/>
      <c r="FZ953" s="56"/>
      <c r="GA953" s="56"/>
      <c r="GB953" s="56"/>
      <c r="GC953" s="56"/>
      <c r="GD953" s="56"/>
      <c r="GE953" s="56"/>
      <c r="GF953" s="56"/>
      <c r="GG953" s="56"/>
      <c r="GH953" s="56"/>
      <c r="GI953" s="56"/>
      <c r="GJ953" s="56"/>
      <c r="GK953" s="56"/>
      <c r="GL953" s="56"/>
      <c r="GM953" s="56"/>
      <c r="GN953" s="56"/>
      <c r="GO953" s="56"/>
      <c r="GP953" s="56"/>
      <c r="GQ953" s="56"/>
      <c r="GR953" s="56"/>
      <c r="GS953" s="56"/>
      <c r="GT953" s="56"/>
      <c r="GU953" s="56"/>
      <c r="GV953" s="56"/>
      <c r="GW953" s="56"/>
      <c r="GX953" s="56"/>
      <c r="GY953" s="56"/>
      <c r="GZ953" s="56"/>
      <c r="HA953" s="56"/>
      <c r="HB953" s="56"/>
      <c r="HC953" s="56"/>
      <c r="HD953" s="56"/>
      <c r="HE953" s="56"/>
      <c r="HF953" s="56"/>
      <c r="HG953" s="56"/>
      <c r="HH953" s="56"/>
      <c r="HI953" s="56"/>
      <c r="HJ953" s="56"/>
    </row>
    <row r="954" spans="1:218" ht="15.75" customHeight="1" x14ac:dyDescent="0.2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  <c r="CL954" s="56"/>
      <c r="CM954" s="56"/>
      <c r="CN954" s="56"/>
      <c r="CO954" s="56"/>
      <c r="CP954" s="56"/>
      <c r="CQ954" s="56"/>
      <c r="CR954" s="56"/>
      <c r="CS954" s="56"/>
      <c r="CT954" s="56"/>
      <c r="CU954" s="56"/>
      <c r="CV954" s="56"/>
      <c r="CW954" s="56"/>
      <c r="CX954" s="56"/>
      <c r="CY954" s="56"/>
      <c r="CZ954" s="56"/>
      <c r="DA954" s="56"/>
      <c r="DB954" s="56"/>
      <c r="DC954" s="56"/>
      <c r="DD954" s="56"/>
      <c r="DE954" s="56"/>
      <c r="DF954" s="56"/>
      <c r="DG954" s="56"/>
      <c r="DH954" s="56"/>
      <c r="DI954" s="56"/>
      <c r="DJ954" s="56"/>
      <c r="DK954" s="56"/>
      <c r="DL954" s="56"/>
      <c r="DM954" s="56"/>
      <c r="DN954" s="56"/>
      <c r="DO954" s="56"/>
      <c r="DP954" s="56"/>
      <c r="DQ954" s="56"/>
      <c r="DR954" s="56"/>
      <c r="DS954" s="56"/>
      <c r="DT954" s="56"/>
      <c r="DU954" s="56"/>
      <c r="DV954" s="56"/>
      <c r="DW954" s="56"/>
      <c r="DX954" s="56"/>
      <c r="DY954" s="56"/>
      <c r="DZ954" s="56"/>
      <c r="EA954" s="56"/>
      <c r="EB954" s="56"/>
      <c r="EC954" s="56"/>
      <c r="ED954" s="56"/>
      <c r="EE954" s="56"/>
      <c r="EF954" s="56"/>
      <c r="EG954" s="56"/>
      <c r="EH954" s="56"/>
      <c r="EI954" s="56"/>
      <c r="EJ954" s="56"/>
      <c r="EK954" s="56"/>
      <c r="EL954" s="56"/>
      <c r="EM954" s="56"/>
      <c r="EN954" s="56"/>
      <c r="EO954" s="56"/>
      <c r="EP954" s="56"/>
      <c r="EQ954" s="56"/>
      <c r="ER954" s="56"/>
      <c r="ES954" s="56"/>
      <c r="ET954" s="56"/>
      <c r="EU954" s="56"/>
      <c r="EV954" s="56"/>
      <c r="EW954" s="56"/>
      <c r="EX954" s="56"/>
      <c r="EY954" s="56"/>
      <c r="EZ954" s="56"/>
      <c r="FA954" s="56"/>
      <c r="FB954" s="56"/>
      <c r="FC954" s="56"/>
      <c r="FD954" s="56"/>
      <c r="FE954" s="56"/>
      <c r="FF954" s="56"/>
      <c r="FG954" s="56"/>
      <c r="FH954" s="56"/>
      <c r="FI954" s="56"/>
      <c r="FJ954" s="56"/>
      <c r="FK954" s="56"/>
      <c r="FL954" s="56"/>
      <c r="FM954" s="56"/>
      <c r="FN954" s="56"/>
      <c r="FO954" s="56"/>
      <c r="FP954" s="56"/>
      <c r="FQ954" s="56"/>
      <c r="FR954" s="56"/>
      <c r="FS954" s="56"/>
      <c r="FT954" s="56"/>
      <c r="FU954" s="56"/>
      <c r="FV954" s="56"/>
      <c r="FW954" s="56"/>
      <c r="FX954" s="56"/>
      <c r="FY954" s="56"/>
      <c r="FZ954" s="56"/>
      <c r="GA954" s="56"/>
      <c r="GB954" s="56"/>
      <c r="GC954" s="56"/>
      <c r="GD954" s="56"/>
      <c r="GE954" s="56"/>
      <c r="GF954" s="56"/>
      <c r="GG954" s="56"/>
      <c r="GH954" s="56"/>
      <c r="GI954" s="56"/>
      <c r="GJ954" s="56"/>
      <c r="GK954" s="56"/>
      <c r="GL954" s="56"/>
      <c r="GM954" s="56"/>
      <c r="GN954" s="56"/>
      <c r="GO954" s="56"/>
      <c r="GP954" s="56"/>
      <c r="GQ954" s="56"/>
      <c r="GR954" s="56"/>
      <c r="GS954" s="56"/>
      <c r="GT954" s="56"/>
      <c r="GU954" s="56"/>
      <c r="GV954" s="56"/>
      <c r="GW954" s="56"/>
      <c r="GX954" s="56"/>
      <c r="GY954" s="56"/>
      <c r="GZ954" s="56"/>
      <c r="HA954" s="56"/>
      <c r="HB954" s="56"/>
      <c r="HC954" s="56"/>
      <c r="HD954" s="56"/>
      <c r="HE954" s="56"/>
      <c r="HF954" s="56"/>
      <c r="HG954" s="56"/>
      <c r="HH954" s="56"/>
      <c r="HI954" s="56"/>
      <c r="HJ954" s="56"/>
    </row>
    <row r="955" spans="1:218" ht="15.75" customHeight="1" x14ac:dyDescent="0.2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  <c r="CL955" s="56"/>
      <c r="CM955" s="56"/>
      <c r="CN955" s="56"/>
      <c r="CO955" s="56"/>
      <c r="CP955" s="56"/>
      <c r="CQ955" s="56"/>
      <c r="CR955" s="56"/>
      <c r="CS955" s="56"/>
      <c r="CT955" s="56"/>
      <c r="CU955" s="56"/>
      <c r="CV955" s="56"/>
      <c r="CW955" s="56"/>
      <c r="CX955" s="56"/>
      <c r="CY955" s="56"/>
      <c r="CZ955" s="56"/>
      <c r="DA955" s="56"/>
      <c r="DB955" s="56"/>
      <c r="DC955" s="56"/>
      <c r="DD955" s="56"/>
      <c r="DE955" s="56"/>
      <c r="DF955" s="56"/>
      <c r="DG955" s="56"/>
      <c r="DH955" s="56"/>
      <c r="DI955" s="56"/>
      <c r="DJ955" s="56"/>
      <c r="DK955" s="56"/>
      <c r="DL955" s="56"/>
      <c r="DM955" s="56"/>
      <c r="DN955" s="56"/>
      <c r="DO955" s="56"/>
      <c r="DP955" s="56"/>
      <c r="DQ955" s="56"/>
      <c r="DR955" s="56"/>
      <c r="DS955" s="56"/>
      <c r="DT955" s="56"/>
      <c r="DU955" s="56"/>
      <c r="DV955" s="56"/>
      <c r="DW955" s="56"/>
      <c r="DX955" s="56"/>
      <c r="DY955" s="56"/>
      <c r="DZ955" s="56"/>
      <c r="EA955" s="56"/>
      <c r="EB955" s="56"/>
      <c r="EC955" s="56"/>
      <c r="ED955" s="56"/>
      <c r="EE955" s="56"/>
      <c r="EF955" s="56"/>
      <c r="EG955" s="56"/>
      <c r="EH955" s="56"/>
      <c r="EI955" s="56"/>
      <c r="EJ955" s="56"/>
      <c r="EK955" s="56"/>
      <c r="EL955" s="56"/>
      <c r="EM955" s="56"/>
      <c r="EN955" s="56"/>
      <c r="EO955" s="56"/>
      <c r="EP955" s="56"/>
      <c r="EQ955" s="56"/>
      <c r="ER955" s="56"/>
      <c r="ES955" s="56"/>
      <c r="ET955" s="56"/>
      <c r="EU955" s="56"/>
      <c r="EV955" s="56"/>
      <c r="EW955" s="56"/>
      <c r="EX955" s="56"/>
      <c r="EY955" s="56"/>
      <c r="EZ955" s="56"/>
      <c r="FA955" s="56"/>
      <c r="FB955" s="56"/>
      <c r="FC955" s="56"/>
      <c r="FD955" s="56"/>
      <c r="FE955" s="56"/>
      <c r="FF955" s="56"/>
      <c r="FG955" s="56"/>
      <c r="FH955" s="56"/>
      <c r="FI955" s="56"/>
      <c r="FJ955" s="56"/>
      <c r="FK955" s="56"/>
      <c r="FL955" s="56"/>
      <c r="FM955" s="56"/>
      <c r="FN955" s="56"/>
      <c r="FO955" s="56"/>
      <c r="FP955" s="56"/>
      <c r="FQ955" s="56"/>
      <c r="FR955" s="56"/>
      <c r="FS955" s="56"/>
      <c r="FT955" s="56"/>
      <c r="FU955" s="56"/>
      <c r="FV955" s="56"/>
      <c r="FW955" s="56"/>
      <c r="FX955" s="56"/>
      <c r="FY955" s="56"/>
      <c r="FZ955" s="56"/>
      <c r="GA955" s="56"/>
      <c r="GB955" s="56"/>
      <c r="GC955" s="56"/>
      <c r="GD955" s="56"/>
      <c r="GE955" s="56"/>
      <c r="GF955" s="56"/>
      <c r="GG955" s="56"/>
      <c r="GH955" s="56"/>
      <c r="GI955" s="56"/>
      <c r="GJ955" s="56"/>
      <c r="GK955" s="56"/>
      <c r="GL955" s="56"/>
      <c r="GM955" s="56"/>
      <c r="GN955" s="56"/>
      <c r="GO955" s="56"/>
      <c r="GP955" s="56"/>
      <c r="GQ955" s="56"/>
      <c r="GR955" s="56"/>
      <c r="GS955" s="56"/>
      <c r="GT955" s="56"/>
      <c r="GU955" s="56"/>
      <c r="GV955" s="56"/>
      <c r="GW955" s="56"/>
      <c r="GX955" s="56"/>
      <c r="GY955" s="56"/>
      <c r="GZ955" s="56"/>
      <c r="HA955" s="56"/>
      <c r="HB955" s="56"/>
      <c r="HC955" s="56"/>
      <c r="HD955" s="56"/>
      <c r="HE955" s="56"/>
      <c r="HF955" s="56"/>
      <c r="HG955" s="56"/>
      <c r="HH955" s="56"/>
      <c r="HI955" s="56"/>
      <c r="HJ955" s="56"/>
    </row>
    <row r="956" spans="1:218" ht="15.75" customHeight="1" x14ac:dyDescent="0.2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  <c r="CL956" s="56"/>
      <c r="CM956" s="56"/>
      <c r="CN956" s="56"/>
      <c r="CO956" s="56"/>
      <c r="CP956" s="56"/>
      <c r="CQ956" s="56"/>
      <c r="CR956" s="56"/>
      <c r="CS956" s="56"/>
      <c r="CT956" s="56"/>
      <c r="CU956" s="56"/>
      <c r="CV956" s="56"/>
      <c r="CW956" s="56"/>
      <c r="CX956" s="56"/>
      <c r="CY956" s="56"/>
      <c r="CZ956" s="56"/>
      <c r="DA956" s="56"/>
      <c r="DB956" s="56"/>
      <c r="DC956" s="56"/>
      <c r="DD956" s="56"/>
      <c r="DE956" s="56"/>
      <c r="DF956" s="56"/>
      <c r="DG956" s="56"/>
      <c r="DH956" s="56"/>
      <c r="DI956" s="56"/>
      <c r="DJ956" s="56"/>
      <c r="DK956" s="56"/>
      <c r="DL956" s="56"/>
      <c r="DM956" s="56"/>
      <c r="DN956" s="56"/>
      <c r="DO956" s="56"/>
      <c r="DP956" s="56"/>
      <c r="DQ956" s="56"/>
      <c r="DR956" s="56"/>
      <c r="DS956" s="56"/>
      <c r="DT956" s="56"/>
      <c r="DU956" s="56"/>
      <c r="DV956" s="56"/>
      <c r="DW956" s="56"/>
      <c r="DX956" s="56"/>
      <c r="DY956" s="56"/>
      <c r="DZ956" s="56"/>
      <c r="EA956" s="56"/>
      <c r="EB956" s="56"/>
      <c r="EC956" s="56"/>
      <c r="ED956" s="56"/>
      <c r="EE956" s="56"/>
      <c r="EF956" s="56"/>
      <c r="EG956" s="56"/>
      <c r="EH956" s="56"/>
      <c r="EI956" s="56"/>
      <c r="EJ956" s="56"/>
      <c r="EK956" s="56"/>
      <c r="EL956" s="56"/>
      <c r="EM956" s="56"/>
      <c r="EN956" s="56"/>
      <c r="EO956" s="56"/>
      <c r="EP956" s="56"/>
      <c r="EQ956" s="56"/>
      <c r="ER956" s="56"/>
      <c r="ES956" s="56"/>
      <c r="ET956" s="56"/>
      <c r="EU956" s="56"/>
      <c r="EV956" s="56"/>
      <c r="EW956" s="56"/>
      <c r="EX956" s="56"/>
      <c r="EY956" s="56"/>
      <c r="EZ956" s="56"/>
      <c r="FA956" s="56"/>
      <c r="FB956" s="56"/>
      <c r="FC956" s="56"/>
      <c r="FD956" s="56"/>
      <c r="FE956" s="56"/>
      <c r="FF956" s="56"/>
      <c r="FG956" s="56"/>
      <c r="FH956" s="56"/>
      <c r="FI956" s="56"/>
      <c r="FJ956" s="56"/>
      <c r="FK956" s="56"/>
      <c r="FL956" s="56"/>
      <c r="FM956" s="56"/>
      <c r="FN956" s="56"/>
      <c r="FO956" s="56"/>
      <c r="FP956" s="56"/>
      <c r="FQ956" s="56"/>
      <c r="FR956" s="56"/>
      <c r="FS956" s="56"/>
      <c r="FT956" s="56"/>
      <c r="FU956" s="56"/>
      <c r="FV956" s="56"/>
      <c r="FW956" s="56"/>
      <c r="FX956" s="56"/>
      <c r="FY956" s="56"/>
      <c r="FZ956" s="56"/>
      <c r="GA956" s="56"/>
      <c r="GB956" s="56"/>
      <c r="GC956" s="56"/>
      <c r="GD956" s="56"/>
      <c r="GE956" s="56"/>
      <c r="GF956" s="56"/>
      <c r="GG956" s="56"/>
      <c r="GH956" s="56"/>
      <c r="GI956" s="56"/>
      <c r="GJ956" s="56"/>
      <c r="GK956" s="56"/>
      <c r="GL956" s="56"/>
      <c r="GM956" s="56"/>
      <c r="GN956" s="56"/>
      <c r="GO956" s="56"/>
      <c r="GP956" s="56"/>
      <c r="GQ956" s="56"/>
      <c r="GR956" s="56"/>
      <c r="GS956" s="56"/>
      <c r="GT956" s="56"/>
      <c r="GU956" s="56"/>
      <c r="GV956" s="56"/>
      <c r="GW956" s="56"/>
      <c r="GX956" s="56"/>
      <c r="GY956" s="56"/>
      <c r="GZ956" s="56"/>
      <c r="HA956" s="56"/>
      <c r="HB956" s="56"/>
      <c r="HC956" s="56"/>
      <c r="HD956" s="56"/>
      <c r="HE956" s="56"/>
      <c r="HF956" s="56"/>
      <c r="HG956" s="56"/>
      <c r="HH956" s="56"/>
      <c r="HI956" s="56"/>
      <c r="HJ956" s="56"/>
    </row>
    <row r="957" spans="1:218" ht="15.75" customHeight="1" x14ac:dyDescent="0.2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  <c r="CL957" s="56"/>
      <c r="CM957" s="56"/>
      <c r="CN957" s="56"/>
      <c r="CO957" s="56"/>
      <c r="CP957" s="56"/>
      <c r="CQ957" s="56"/>
      <c r="CR957" s="56"/>
      <c r="CS957" s="56"/>
      <c r="CT957" s="56"/>
      <c r="CU957" s="56"/>
      <c r="CV957" s="56"/>
      <c r="CW957" s="56"/>
      <c r="CX957" s="56"/>
      <c r="CY957" s="56"/>
      <c r="CZ957" s="56"/>
      <c r="DA957" s="56"/>
      <c r="DB957" s="56"/>
      <c r="DC957" s="56"/>
      <c r="DD957" s="56"/>
      <c r="DE957" s="56"/>
      <c r="DF957" s="56"/>
      <c r="DG957" s="56"/>
      <c r="DH957" s="56"/>
      <c r="DI957" s="56"/>
      <c r="DJ957" s="56"/>
      <c r="DK957" s="56"/>
      <c r="DL957" s="56"/>
      <c r="DM957" s="56"/>
      <c r="DN957" s="56"/>
      <c r="DO957" s="56"/>
      <c r="DP957" s="56"/>
      <c r="DQ957" s="56"/>
      <c r="DR957" s="56"/>
      <c r="DS957" s="56"/>
      <c r="DT957" s="56"/>
      <c r="DU957" s="56"/>
      <c r="DV957" s="56"/>
      <c r="DW957" s="56"/>
      <c r="DX957" s="56"/>
      <c r="DY957" s="56"/>
      <c r="DZ957" s="56"/>
      <c r="EA957" s="56"/>
      <c r="EB957" s="56"/>
      <c r="EC957" s="56"/>
      <c r="ED957" s="56"/>
      <c r="EE957" s="56"/>
      <c r="EF957" s="56"/>
      <c r="EG957" s="56"/>
      <c r="EH957" s="56"/>
      <c r="EI957" s="56"/>
      <c r="EJ957" s="56"/>
      <c r="EK957" s="56"/>
      <c r="EL957" s="56"/>
      <c r="EM957" s="56"/>
      <c r="EN957" s="56"/>
      <c r="EO957" s="56"/>
      <c r="EP957" s="56"/>
      <c r="EQ957" s="56"/>
      <c r="ER957" s="56"/>
      <c r="ES957" s="56"/>
      <c r="ET957" s="56"/>
      <c r="EU957" s="56"/>
      <c r="EV957" s="56"/>
      <c r="EW957" s="56"/>
      <c r="EX957" s="56"/>
      <c r="EY957" s="56"/>
      <c r="EZ957" s="56"/>
      <c r="FA957" s="56"/>
      <c r="FB957" s="56"/>
      <c r="FC957" s="56"/>
      <c r="FD957" s="56"/>
      <c r="FE957" s="56"/>
      <c r="FF957" s="56"/>
      <c r="FG957" s="56"/>
      <c r="FH957" s="56"/>
      <c r="FI957" s="56"/>
      <c r="FJ957" s="56"/>
      <c r="FK957" s="56"/>
      <c r="FL957" s="56"/>
      <c r="FM957" s="56"/>
      <c r="FN957" s="56"/>
      <c r="FO957" s="56"/>
      <c r="FP957" s="56"/>
      <c r="FQ957" s="56"/>
      <c r="FR957" s="56"/>
      <c r="FS957" s="56"/>
      <c r="FT957" s="56"/>
      <c r="FU957" s="56"/>
      <c r="FV957" s="56"/>
      <c r="FW957" s="56"/>
      <c r="FX957" s="56"/>
      <c r="FY957" s="56"/>
      <c r="FZ957" s="56"/>
      <c r="GA957" s="56"/>
      <c r="GB957" s="56"/>
      <c r="GC957" s="56"/>
      <c r="GD957" s="56"/>
      <c r="GE957" s="56"/>
      <c r="GF957" s="56"/>
      <c r="GG957" s="56"/>
      <c r="GH957" s="56"/>
      <c r="GI957" s="56"/>
      <c r="GJ957" s="56"/>
      <c r="GK957" s="56"/>
      <c r="GL957" s="56"/>
      <c r="GM957" s="56"/>
      <c r="GN957" s="56"/>
      <c r="GO957" s="56"/>
      <c r="GP957" s="56"/>
      <c r="GQ957" s="56"/>
      <c r="GR957" s="56"/>
      <c r="GS957" s="56"/>
      <c r="GT957" s="56"/>
      <c r="GU957" s="56"/>
      <c r="GV957" s="56"/>
      <c r="GW957" s="56"/>
      <c r="GX957" s="56"/>
      <c r="GY957" s="56"/>
      <c r="GZ957" s="56"/>
      <c r="HA957" s="56"/>
      <c r="HB957" s="56"/>
      <c r="HC957" s="56"/>
      <c r="HD957" s="56"/>
      <c r="HE957" s="56"/>
      <c r="HF957" s="56"/>
      <c r="HG957" s="56"/>
      <c r="HH957" s="56"/>
      <c r="HI957" s="56"/>
      <c r="HJ957" s="56"/>
    </row>
    <row r="958" spans="1:218" ht="15.75" customHeight="1" x14ac:dyDescent="0.2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  <c r="CL958" s="56"/>
      <c r="CM958" s="56"/>
      <c r="CN958" s="56"/>
      <c r="CO958" s="56"/>
      <c r="CP958" s="56"/>
      <c r="CQ958" s="56"/>
      <c r="CR958" s="56"/>
      <c r="CS958" s="56"/>
      <c r="CT958" s="56"/>
      <c r="CU958" s="56"/>
      <c r="CV958" s="56"/>
      <c r="CW958" s="56"/>
      <c r="CX958" s="56"/>
      <c r="CY958" s="56"/>
      <c r="CZ958" s="56"/>
      <c r="DA958" s="56"/>
      <c r="DB958" s="56"/>
      <c r="DC958" s="56"/>
      <c r="DD958" s="56"/>
      <c r="DE958" s="56"/>
      <c r="DF958" s="56"/>
      <c r="DG958" s="56"/>
      <c r="DH958" s="56"/>
      <c r="DI958" s="56"/>
      <c r="DJ958" s="56"/>
      <c r="DK958" s="56"/>
      <c r="DL958" s="56"/>
      <c r="DM958" s="56"/>
      <c r="DN958" s="56"/>
      <c r="DO958" s="56"/>
      <c r="DP958" s="56"/>
      <c r="DQ958" s="56"/>
      <c r="DR958" s="56"/>
      <c r="DS958" s="56"/>
      <c r="DT958" s="56"/>
      <c r="DU958" s="56"/>
      <c r="DV958" s="56"/>
      <c r="DW958" s="56"/>
      <c r="DX958" s="56"/>
      <c r="DY958" s="56"/>
      <c r="DZ958" s="56"/>
      <c r="EA958" s="56"/>
      <c r="EB958" s="56"/>
      <c r="EC958" s="56"/>
      <c r="ED958" s="56"/>
      <c r="EE958" s="56"/>
      <c r="EF958" s="56"/>
      <c r="EG958" s="56"/>
      <c r="EH958" s="56"/>
      <c r="EI958" s="56"/>
      <c r="EJ958" s="56"/>
      <c r="EK958" s="56"/>
      <c r="EL958" s="56"/>
      <c r="EM958" s="56"/>
      <c r="EN958" s="56"/>
      <c r="EO958" s="56"/>
      <c r="EP958" s="56"/>
      <c r="EQ958" s="56"/>
      <c r="ER958" s="56"/>
      <c r="ES958" s="56"/>
      <c r="ET958" s="56"/>
      <c r="EU958" s="56"/>
      <c r="EV958" s="56"/>
      <c r="EW958" s="56"/>
      <c r="EX958" s="56"/>
      <c r="EY958" s="56"/>
      <c r="EZ958" s="56"/>
      <c r="FA958" s="56"/>
      <c r="FB958" s="56"/>
      <c r="FC958" s="56"/>
      <c r="FD958" s="56"/>
      <c r="FE958" s="56"/>
      <c r="FF958" s="56"/>
      <c r="FG958" s="56"/>
      <c r="FH958" s="56"/>
      <c r="FI958" s="56"/>
      <c r="FJ958" s="56"/>
      <c r="FK958" s="56"/>
      <c r="FL958" s="56"/>
      <c r="FM958" s="56"/>
      <c r="FN958" s="56"/>
      <c r="FO958" s="56"/>
      <c r="FP958" s="56"/>
      <c r="FQ958" s="56"/>
      <c r="FR958" s="56"/>
      <c r="FS958" s="56"/>
      <c r="FT958" s="56"/>
      <c r="FU958" s="56"/>
      <c r="FV958" s="56"/>
      <c r="FW958" s="56"/>
      <c r="FX958" s="56"/>
      <c r="FY958" s="56"/>
      <c r="FZ958" s="56"/>
      <c r="GA958" s="56"/>
      <c r="GB958" s="56"/>
      <c r="GC958" s="56"/>
      <c r="GD958" s="56"/>
      <c r="GE958" s="56"/>
      <c r="GF958" s="56"/>
      <c r="GG958" s="56"/>
      <c r="GH958" s="56"/>
      <c r="GI958" s="56"/>
      <c r="GJ958" s="56"/>
      <c r="GK958" s="56"/>
      <c r="GL958" s="56"/>
      <c r="GM958" s="56"/>
      <c r="GN958" s="56"/>
      <c r="GO958" s="56"/>
      <c r="GP958" s="56"/>
      <c r="GQ958" s="56"/>
      <c r="GR958" s="56"/>
      <c r="GS958" s="56"/>
      <c r="GT958" s="56"/>
      <c r="GU958" s="56"/>
      <c r="GV958" s="56"/>
      <c r="GW958" s="56"/>
      <c r="GX958" s="56"/>
      <c r="GY958" s="56"/>
      <c r="GZ958" s="56"/>
      <c r="HA958" s="56"/>
      <c r="HB958" s="56"/>
      <c r="HC958" s="56"/>
      <c r="HD958" s="56"/>
      <c r="HE958" s="56"/>
      <c r="HF958" s="56"/>
      <c r="HG958" s="56"/>
      <c r="HH958" s="56"/>
      <c r="HI958" s="56"/>
      <c r="HJ958" s="56"/>
    </row>
    <row r="959" spans="1:218" ht="15.75" customHeight="1" x14ac:dyDescent="0.2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  <c r="BV959" s="56"/>
      <c r="BW959" s="56"/>
      <c r="BX959" s="56"/>
      <c r="BY959" s="56"/>
      <c r="BZ959" s="56"/>
      <c r="CA959" s="56"/>
      <c r="CB959" s="56"/>
      <c r="CC959" s="56"/>
      <c r="CD959" s="56"/>
      <c r="CE959" s="56"/>
      <c r="CF959" s="56"/>
      <c r="CG959" s="56"/>
      <c r="CH959" s="56"/>
      <c r="CI959" s="56"/>
      <c r="CJ959" s="56"/>
      <c r="CK959" s="56"/>
      <c r="CL959" s="56"/>
      <c r="CM959" s="56"/>
      <c r="CN959" s="56"/>
      <c r="CO959" s="56"/>
      <c r="CP959" s="56"/>
      <c r="CQ959" s="56"/>
      <c r="CR959" s="56"/>
      <c r="CS959" s="56"/>
      <c r="CT959" s="56"/>
      <c r="CU959" s="56"/>
      <c r="CV959" s="56"/>
      <c r="CW959" s="56"/>
      <c r="CX959" s="56"/>
      <c r="CY959" s="56"/>
      <c r="CZ959" s="56"/>
      <c r="DA959" s="56"/>
      <c r="DB959" s="56"/>
      <c r="DC959" s="56"/>
      <c r="DD959" s="56"/>
      <c r="DE959" s="56"/>
      <c r="DF959" s="56"/>
      <c r="DG959" s="56"/>
      <c r="DH959" s="56"/>
      <c r="DI959" s="56"/>
      <c r="DJ959" s="56"/>
      <c r="DK959" s="56"/>
      <c r="DL959" s="56"/>
      <c r="DM959" s="56"/>
      <c r="DN959" s="56"/>
      <c r="DO959" s="56"/>
      <c r="DP959" s="56"/>
      <c r="DQ959" s="56"/>
      <c r="DR959" s="56"/>
      <c r="DS959" s="56"/>
      <c r="DT959" s="56"/>
      <c r="DU959" s="56"/>
      <c r="DV959" s="56"/>
      <c r="DW959" s="56"/>
      <c r="DX959" s="56"/>
      <c r="DY959" s="56"/>
      <c r="DZ959" s="56"/>
      <c r="EA959" s="56"/>
      <c r="EB959" s="56"/>
      <c r="EC959" s="56"/>
      <c r="ED959" s="56"/>
      <c r="EE959" s="56"/>
      <c r="EF959" s="56"/>
      <c r="EG959" s="56"/>
      <c r="EH959" s="56"/>
      <c r="EI959" s="56"/>
      <c r="EJ959" s="56"/>
      <c r="EK959" s="56"/>
      <c r="EL959" s="56"/>
      <c r="EM959" s="56"/>
      <c r="EN959" s="56"/>
      <c r="EO959" s="56"/>
      <c r="EP959" s="56"/>
      <c r="EQ959" s="56"/>
      <c r="ER959" s="56"/>
      <c r="ES959" s="56"/>
      <c r="ET959" s="56"/>
      <c r="EU959" s="56"/>
      <c r="EV959" s="56"/>
      <c r="EW959" s="56"/>
      <c r="EX959" s="56"/>
      <c r="EY959" s="56"/>
      <c r="EZ959" s="56"/>
      <c r="FA959" s="56"/>
      <c r="FB959" s="56"/>
      <c r="FC959" s="56"/>
      <c r="FD959" s="56"/>
      <c r="FE959" s="56"/>
      <c r="FF959" s="56"/>
      <c r="FG959" s="56"/>
      <c r="FH959" s="56"/>
      <c r="FI959" s="56"/>
      <c r="FJ959" s="56"/>
      <c r="FK959" s="56"/>
      <c r="FL959" s="56"/>
      <c r="FM959" s="56"/>
      <c r="FN959" s="56"/>
      <c r="FO959" s="56"/>
      <c r="FP959" s="56"/>
      <c r="FQ959" s="56"/>
      <c r="FR959" s="56"/>
      <c r="FS959" s="56"/>
      <c r="FT959" s="56"/>
      <c r="FU959" s="56"/>
      <c r="FV959" s="56"/>
      <c r="FW959" s="56"/>
      <c r="FX959" s="56"/>
      <c r="FY959" s="56"/>
      <c r="FZ959" s="56"/>
      <c r="GA959" s="56"/>
      <c r="GB959" s="56"/>
      <c r="GC959" s="56"/>
      <c r="GD959" s="56"/>
      <c r="GE959" s="56"/>
      <c r="GF959" s="56"/>
      <c r="GG959" s="56"/>
      <c r="GH959" s="56"/>
      <c r="GI959" s="56"/>
      <c r="GJ959" s="56"/>
      <c r="GK959" s="56"/>
      <c r="GL959" s="56"/>
      <c r="GM959" s="56"/>
      <c r="GN959" s="56"/>
      <c r="GO959" s="56"/>
      <c r="GP959" s="56"/>
      <c r="GQ959" s="56"/>
      <c r="GR959" s="56"/>
      <c r="GS959" s="56"/>
      <c r="GT959" s="56"/>
      <c r="GU959" s="56"/>
      <c r="GV959" s="56"/>
      <c r="GW959" s="56"/>
      <c r="GX959" s="56"/>
      <c r="GY959" s="56"/>
      <c r="GZ959" s="56"/>
      <c r="HA959" s="56"/>
      <c r="HB959" s="56"/>
      <c r="HC959" s="56"/>
      <c r="HD959" s="56"/>
      <c r="HE959" s="56"/>
      <c r="HF959" s="56"/>
      <c r="HG959" s="56"/>
      <c r="HH959" s="56"/>
      <c r="HI959" s="56"/>
      <c r="HJ959" s="56"/>
    </row>
    <row r="960" spans="1:218" ht="15.75" customHeight="1" x14ac:dyDescent="0.2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  <c r="BV960" s="56"/>
      <c r="BW960" s="56"/>
      <c r="BX960" s="56"/>
      <c r="BY960" s="56"/>
      <c r="BZ960" s="56"/>
      <c r="CA960" s="56"/>
      <c r="CB960" s="56"/>
      <c r="CC960" s="56"/>
      <c r="CD960" s="56"/>
      <c r="CE960" s="56"/>
      <c r="CF960" s="56"/>
      <c r="CG960" s="56"/>
      <c r="CH960" s="56"/>
      <c r="CI960" s="56"/>
      <c r="CJ960" s="56"/>
      <c r="CK960" s="56"/>
      <c r="CL960" s="56"/>
      <c r="CM960" s="56"/>
      <c r="CN960" s="56"/>
      <c r="CO960" s="56"/>
      <c r="CP960" s="56"/>
      <c r="CQ960" s="56"/>
      <c r="CR960" s="56"/>
      <c r="CS960" s="56"/>
      <c r="CT960" s="56"/>
      <c r="CU960" s="56"/>
      <c r="CV960" s="56"/>
      <c r="CW960" s="56"/>
      <c r="CX960" s="56"/>
      <c r="CY960" s="56"/>
      <c r="CZ960" s="56"/>
      <c r="DA960" s="56"/>
      <c r="DB960" s="56"/>
      <c r="DC960" s="56"/>
      <c r="DD960" s="56"/>
      <c r="DE960" s="56"/>
      <c r="DF960" s="56"/>
      <c r="DG960" s="56"/>
      <c r="DH960" s="56"/>
      <c r="DI960" s="56"/>
      <c r="DJ960" s="56"/>
      <c r="DK960" s="56"/>
      <c r="DL960" s="56"/>
      <c r="DM960" s="56"/>
      <c r="DN960" s="56"/>
      <c r="DO960" s="56"/>
      <c r="DP960" s="56"/>
      <c r="DQ960" s="56"/>
      <c r="DR960" s="56"/>
      <c r="DS960" s="56"/>
      <c r="DT960" s="56"/>
      <c r="DU960" s="56"/>
      <c r="DV960" s="56"/>
      <c r="DW960" s="56"/>
      <c r="DX960" s="56"/>
      <c r="DY960" s="56"/>
      <c r="DZ960" s="56"/>
      <c r="EA960" s="56"/>
      <c r="EB960" s="56"/>
      <c r="EC960" s="56"/>
      <c r="ED960" s="56"/>
      <c r="EE960" s="56"/>
      <c r="EF960" s="56"/>
      <c r="EG960" s="56"/>
      <c r="EH960" s="56"/>
      <c r="EI960" s="56"/>
      <c r="EJ960" s="56"/>
      <c r="EK960" s="56"/>
      <c r="EL960" s="56"/>
      <c r="EM960" s="56"/>
      <c r="EN960" s="56"/>
      <c r="EO960" s="56"/>
      <c r="EP960" s="56"/>
      <c r="EQ960" s="56"/>
      <c r="ER960" s="56"/>
      <c r="ES960" s="56"/>
      <c r="ET960" s="56"/>
      <c r="EU960" s="56"/>
      <c r="EV960" s="56"/>
      <c r="EW960" s="56"/>
      <c r="EX960" s="56"/>
      <c r="EY960" s="56"/>
      <c r="EZ960" s="56"/>
      <c r="FA960" s="56"/>
      <c r="FB960" s="56"/>
      <c r="FC960" s="56"/>
      <c r="FD960" s="56"/>
      <c r="FE960" s="56"/>
      <c r="FF960" s="56"/>
      <c r="FG960" s="56"/>
      <c r="FH960" s="56"/>
      <c r="FI960" s="56"/>
      <c r="FJ960" s="56"/>
      <c r="FK960" s="56"/>
      <c r="FL960" s="56"/>
      <c r="FM960" s="56"/>
      <c r="FN960" s="56"/>
      <c r="FO960" s="56"/>
      <c r="FP960" s="56"/>
      <c r="FQ960" s="56"/>
      <c r="FR960" s="56"/>
      <c r="FS960" s="56"/>
      <c r="FT960" s="56"/>
      <c r="FU960" s="56"/>
      <c r="FV960" s="56"/>
      <c r="FW960" s="56"/>
      <c r="FX960" s="56"/>
      <c r="FY960" s="56"/>
      <c r="FZ960" s="56"/>
      <c r="GA960" s="56"/>
      <c r="GB960" s="56"/>
      <c r="GC960" s="56"/>
      <c r="GD960" s="56"/>
      <c r="GE960" s="56"/>
      <c r="GF960" s="56"/>
      <c r="GG960" s="56"/>
      <c r="GH960" s="56"/>
      <c r="GI960" s="56"/>
      <c r="GJ960" s="56"/>
      <c r="GK960" s="56"/>
      <c r="GL960" s="56"/>
      <c r="GM960" s="56"/>
      <c r="GN960" s="56"/>
      <c r="GO960" s="56"/>
      <c r="GP960" s="56"/>
      <c r="GQ960" s="56"/>
      <c r="GR960" s="56"/>
      <c r="GS960" s="56"/>
      <c r="GT960" s="56"/>
      <c r="GU960" s="56"/>
      <c r="GV960" s="56"/>
      <c r="GW960" s="56"/>
      <c r="GX960" s="56"/>
      <c r="GY960" s="56"/>
      <c r="GZ960" s="56"/>
      <c r="HA960" s="56"/>
      <c r="HB960" s="56"/>
      <c r="HC960" s="56"/>
      <c r="HD960" s="56"/>
      <c r="HE960" s="56"/>
      <c r="HF960" s="56"/>
      <c r="HG960" s="56"/>
      <c r="HH960" s="56"/>
      <c r="HI960" s="56"/>
      <c r="HJ960" s="56"/>
    </row>
    <row r="961" spans="1:218" ht="15.75" customHeight="1" x14ac:dyDescent="0.2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  <c r="CL961" s="56"/>
      <c r="CM961" s="56"/>
      <c r="CN961" s="56"/>
      <c r="CO961" s="56"/>
      <c r="CP961" s="56"/>
      <c r="CQ961" s="56"/>
      <c r="CR961" s="56"/>
      <c r="CS961" s="56"/>
      <c r="CT961" s="56"/>
      <c r="CU961" s="56"/>
      <c r="CV961" s="56"/>
      <c r="CW961" s="56"/>
      <c r="CX961" s="56"/>
      <c r="CY961" s="56"/>
      <c r="CZ961" s="56"/>
      <c r="DA961" s="56"/>
      <c r="DB961" s="56"/>
      <c r="DC961" s="56"/>
      <c r="DD961" s="56"/>
      <c r="DE961" s="56"/>
      <c r="DF961" s="56"/>
      <c r="DG961" s="56"/>
      <c r="DH961" s="56"/>
      <c r="DI961" s="56"/>
      <c r="DJ961" s="56"/>
      <c r="DK961" s="56"/>
      <c r="DL961" s="56"/>
      <c r="DM961" s="56"/>
      <c r="DN961" s="56"/>
      <c r="DO961" s="56"/>
      <c r="DP961" s="56"/>
      <c r="DQ961" s="56"/>
      <c r="DR961" s="56"/>
      <c r="DS961" s="56"/>
      <c r="DT961" s="56"/>
      <c r="DU961" s="56"/>
      <c r="DV961" s="56"/>
      <c r="DW961" s="56"/>
      <c r="DX961" s="56"/>
      <c r="DY961" s="56"/>
      <c r="DZ961" s="56"/>
      <c r="EA961" s="56"/>
      <c r="EB961" s="56"/>
      <c r="EC961" s="56"/>
      <c r="ED961" s="56"/>
      <c r="EE961" s="56"/>
      <c r="EF961" s="56"/>
      <c r="EG961" s="56"/>
      <c r="EH961" s="56"/>
      <c r="EI961" s="56"/>
      <c r="EJ961" s="56"/>
      <c r="EK961" s="56"/>
      <c r="EL961" s="56"/>
      <c r="EM961" s="56"/>
      <c r="EN961" s="56"/>
      <c r="EO961" s="56"/>
      <c r="EP961" s="56"/>
      <c r="EQ961" s="56"/>
      <c r="ER961" s="56"/>
      <c r="ES961" s="56"/>
      <c r="ET961" s="56"/>
      <c r="EU961" s="56"/>
      <c r="EV961" s="56"/>
      <c r="EW961" s="56"/>
      <c r="EX961" s="56"/>
      <c r="EY961" s="56"/>
      <c r="EZ961" s="56"/>
      <c r="FA961" s="56"/>
      <c r="FB961" s="56"/>
      <c r="FC961" s="56"/>
      <c r="FD961" s="56"/>
      <c r="FE961" s="56"/>
      <c r="FF961" s="56"/>
      <c r="FG961" s="56"/>
      <c r="FH961" s="56"/>
      <c r="FI961" s="56"/>
      <c r="FJ961" s="56"/>
      <c r="FK961" s="56"/>
      <c r="FL961" s="56"/>
      <c r="FM961" s="56"/>
      <c r="FN961" s="56"/>
      <c r="FO961" s="56"/>
      <c r="FP961" s="56"/>
      <c r="FQ961" s="56"/>
      <c r="FR961" s="56"/>
      <c r="FS961" s="56"/>
      <c r="FT961" s="56"/>
      <c r="FU961" s="56"/>
      <c r="FV961" s="56"/>
      <c r="FW961" s="56"/>
      <c r="FX961" s="56"/>
      <c r="FY961" s="56"/>
      <c r="FZ961" s="56"/>
      <c r="GA961" s="56"/>
      <c r="GB961" s="56"/>
      <c r="GC961" s="56"/>
      <c r="GD961" s="56"/>
      <c r="GE961" s="56"/>
      <c r="GF961" s="56"/>
      <c r="GG961" s="56"/>
      <c r="GH961" s="56"/>
      <c r="GI961" s="56"/>
      <c r="GJ961" s="56"/>
      <c r="GK961" s="56"/>
      <c r="GL961" s="56"/>
      <c r="GM961" s="56"/>
      <c r="GN961" s="56"/>
      <c r="GO961" s="56"/>
      <c r="GP961" s="56"/>
      <c r="GQ961" s="56"/>
      <c r="GR961" s="56"/>
      <c r="GS961" s="56"/>
      <c r="GT961" s="56"/>
      <c r="GU961" s="56"/>
      <c r="GV961" s="56"/>
      <c r="GW961" s="56"/>
      <c r="GX961" s="56"/>
      <c r="GY961" s="56"/>
      <c r="GZ961" s="56"/>
      <c r="HA961" s="56"/>
      <c r="HB961" s="56"/>
      <c r="HC961" s="56"/>
      <c r="HD961" s="56"/>
      <c r="HE961" s="56"/>
      <c r="HF961" s="56"/>
      <c r="HG961" s="56"/>
      <c r="HH961" s="56"/>
      <c r="HI961" s="56"/>
      <c r="HJ961" s="56"/>
    </row>
    <row r="962" spans="1:218" ht="15.75" customHeight="1" x14ac:dyDescent="0.2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  <c r="CL962" s="56"/>
      <c r="CM962" s="56"/>
      <c r="CN962" s="56"/>
      <c r="CO962" s="56"/>
      <c r="CP962" s="56"/>
      <c r="CQ962" s="56"/>
      <c r="CR962" s="56"/>
      <c r="CS962" s="56"/>
      <c r="CT962" s="56"/>
      <c r="CU962" s="56"/>
      <c r="CV962" s="56"/>
      <c r="CW962" s="56"/>
      <c r="CX962" s="56"/>
      <c r="CY962" s="56"/>
      <c r="CZ962" s="56"/>
      <c r="DA962" s="56"/>
      <c r="DB962" s="56"/>
      <c r="DC962" s="56"/>
      <c r="DD962" s="56"/>
      <c r="DE962" s="56"/>
      <c r="DF962" s="56"/>
      <c r="DG962" s="56"/>
      <c r="DH962" s="56"/>
      <c r="DI962" s="56"/>
      <c r="DJ962" s="56"/>
      <c r="DK962" s="56"/>
      <c r="DL962" s="56"/>
      <c r="DM962" s="56"/>
      <c r="DN962" s="56"/>
      <c r="DO962" s="56"/>
      <c r="DP962" s="56"/>
      <c r="DQ962" s="56"/>
      <c r="DR962" s="56"/>
      <c r="DS962" s="56"/>
      <c r="DT962" s="56"/>
      <c r="DU962" s="56"/>
      <c r="DV962" s="56"/>
      <c r="DW962" s="56"/>
      <c r="DX962" s="56"/>
      <c r="DY962" s="56"/>
      <c r="DZ962" s="56"/>
      <c r="EA962" s="56"/>
      <c r="EB962" s="56"/>
      <c r="EC962" s="56"/>
      <c r="ED962" s="56"/>
      <c r="EE962" s="56"/>
      <c r="EF962" s="56"/>
      <c r="EG962" s="56"/>
      <c r="EH962" s="56"/>
      <c r="EI962" s="56"/>
      <c r="EJ962" s="56"/>
      <c r="EK962" s="56"/>
      <c r="EL962" s="56"/>
      <c r="EM962" s="56"/>
      <c r="EN962" s="56"/>
      <c r="EO962" s="56"/>
      <c r="EP962" s="56"/>
      <c r="EQ962" s="56"/>
      <c r="ER962" s="56"/>
      <c r="ES962" s="56"/>
      <c r="ET962" s="56"/>
      <c r="EU962" s="56"/>
      <c r="EV962" s="56"/>
      <c r="EW962" s="56"/>
      <c r="EX962" s="56"/>
      <c r="EY962" s="56"/>
      <c r="EZ962" s="56"/>
      <c r="FA962" s="56"/>
      <c r="FB962" s="56"/>
      <c r="FC962" s="56"/>
      <c r="FD962" s="56"/>
      <c r="FE962" s="56"/>
      <c r="FF962" s="56"/>
      <c r="FG962" s="56"/>
      <c r="FH962" s="56"/>
      <c r="FI962" s="56"/>
      <c r="FJ962" s="56"/>
      <c r="FK962" s="56"/>
      <c r="FL962" s="56"/>
      <c r="FM962" s="56"/>
      <c r="FN962" s="56"/>
      <c r="FO962" s="56"/>
      <c r="FP962" s="56"/>
      <c r="FQ962" s="56"/>
      <c r="FR962" s="56"/>
      <c r="FS962" s="56"/>
      <c r="FT962" s="56"/>
      <c r="FU962" s="56"/>
      <c r="FV962" s="56"/>
      <c r="FW962" s="56"/>
      <c r="FX962" s="56"/>
      <c r="FY962" s="56"/>
      <c r="FZ962" s="56"/>
      <c r="GA962" s="56"/>
      <c r="GB962" s="56"/>
      <c r="GC962" s="56"/>
      <c r="GD962" s="56"/>
      <c r="GE962" s="56"/>
      <c r="GF962" s="56"/>
      <c r="GG962" s="56"/>
      <c r="GH962" s="56"/>
      <c r="GI962" s="56"/>
      <c r="GJ962" s="56"/>
      <c r="GK962" s="56"/>
      <c r="GL962" s="56"/>
      <c r="GM962" s="56"/>
      <c r="GN962" s="56"/>
      <c r="GO962" s="56"/>
      <c r="GP962" s="56"/>
      <c r="GQ962" s="56"/>
      <c r="GR962" s="56"/>
      <c r="GS962" s="56"/>
      <c r="GT962" s="56"/>
      <c r="GU962" s="56"/>
      <c r="GV962" s="56"/>
      <c r="GW962" s="56"/>
      <c r="GX962" s="56"/>
      <c r="GY962" s="56"/>
      <c r="GZ962" s="56"/>
      <c r="HA962" s="56"/>
      <c r="HB962" s="56"/>
      <c r="HC962" s="56"/>
      <c r="HD962" s="56"/>
      <c r="HE962" s="56"/>
      <c r="HF962" s="56"/>
      <c r="HG962" s="56"/>
      <c r="HH962" s="56"/>
      <c r="HI962" s="56"/>
      <c r="HJ962" s="56"/>
    </row>
    <row r="963" spans="1:218" ht="15.75" customHeight="1" x14ac:dyDescent="0.2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  <c r="CL963" s="56"/>
      <c r="CM963" s="56"/>
      <c r="CN963" s="56"/>
      <c r="CO963" s="56"/>
      <c r="CP963" s="56"/>
      <c r="CQ963" s="56"/>
      <c r="CR963" s="56"/>
      <c r="CS963" s="56"/>
      <c r="CT963" s="56"/>
      <c r="CU963" s="56"/>
      <c r="CV963" s="56"/>
      <c r="CW963" s="56"/>
      <c r="CX963" s="56"/>
      <c r="CY963" s="56"/>
      <c r="CZ963" s="56"/>
      <c r="DA963" s="56"/>
      <c r="DB963" s="56"/>
      <c r="DC963" s="56"/>
      <c r="DD963" s="56"/>
      <c r="DE963" s="56"/>
      <c r="DF963" s="56"/>
      <c r="DG963" s="56"/>
      <c r="DH963" s="56"/>
      <c r="DI963" s="56"/>
      <c r="DJ963" s="56"/>
      <c r="DK963" s="56"/>
      <c r="DL963" s="56"/>
      <c r="DM963" s="56"/>
      <c r="DN963" s="56"/>
      <c r="DO963" s="56"/>
      <c r="DP963" s="56"/>
      <c r="DQ963" s="56"/>
      <c r="DR963" s="56"/>
      <c r="DS963" s="56"/>
      <c r="DT963" s="56"/>
      <c r="DU963" s="56"/>
      <c r="DV963" s="56"/>
      <c r="DW963" s="56"/>
      <c r="DX963" s="56"/>
      <c r="DY963" s="56"/>
      <c r="DZ963" s="56"/>
      <c r="EA963" s="56"/>
      <c r="EB963" s="56"/>
      <c r="EC963" s="56"/>
      <c r="ED963" s="56"/>
      <c r="EE963" s="56"/>
      <c r="EF963" s="56"/>
      <c r="EG963" s="56"/>
      <c r="EH963" s="56"/>
      <c r="EI963" s="56"/>
      <c r="EJ963" s="56"/>
      <c r="EK963" s="56"/>
      <c r="EL963" s="56"/>
      <c r="EM963" s="56"/>
      <c r="EN963" s="56"/>
      <c r="EO963" s="56"/>
      <c r="EP963" s="56"/>
      <c r="EQ963" s="56"/>
      <c r="ER963" s="56"/>
      <c r="ES963" s="56"/>
      <c r="ET963" s="56"/>
      <c r="EU963" s="56"/>
      <c r="EV963" s="56"/>
      <c r="EW963" s="56"/>
      <c r="EX963" s="56"/>
      <c r="EY963" s="56"/>
      <c r="EZ963" s="56"/>
      <c r="FA963" s="56"/>
      <c r="FB963" s="56"/>
      <c r="FC963" s="56"/>
      <c r="FD963" s="56"/>
      <c r="FE963" s="56"/>
      <c r="FF963" s="56"/>
      <c r="FG963" s="56"/>
      <c r="FH963" s="56"/>
      <c r="FI963" s="56"/>
      <c r="FJ963" s="56"/>
      <c r="FK963" s="56"/>
      <c r="FL963" s="56"/>
      <c r="FM963" s="56"/>
      <c r="FN963" s="56"/>
      <c r="FO963" s="56"/>
      <c r="FP963" s="56"/>
      <c r="FQ963" s="56"/>
      <c r="FR963" s="56"/>
      <c r="FS963" s="56"/>
      <c r="FT963" s="56"/>
      <c r="FU963" s="56"/>
      <c r="FV963" s="56"/>
      <c r="FW963" s="56"/>
      <c r="FX963" s="56"/>
      <c r="FY963" s="56"/>
      <c r="FZ963" s="56"/>
      <c r="GA963" s="56"/>
      <c r="GB963" s="56"/>
      <c r="GC963" s="56"/>
      <c r="GD963" s="56"/>
      <c r="GE963" s="56"/>
      <c r="GF963" s="56"/>
      <c r="GG963" s="56"/>
      <c r="GH963" s="56"/>
      <c r="GI963" s="56"/>
      <c r="GJ963" s="56"/>
      <c r="GK963" s="56"/>
      <c r="GL963" s="56"/>
      <c r="GM963" s="56"/>
      <c r="GN963" s="56"/>
      <c r="GO963" s="56"/>
      <c r="GP963" s="56"/>
      <c r="GQ963" s="56"/>
      <c r="GR963" s="56"/>
      <c r="GS963" s="56"/>
      <c r="GT963" s="56"/>
      <c r="GU963" s="56"/>
      <c r="GV963" s="56"/>
      <c r="GW963" s="56"/>
      <c r="GX963" s="56"/>
      <c r="GY963" s="56"/>
      <c r="GZ963" s="56"/>
      <c r="HA963" s="56"/>
      <c r="HB963" s="56"/>
      <c r="HC963" s="56"/>
      <c r="HD963" s="56"/>
      <c r="HE963" s="56"/>
      <c r="HF963" s="56"/>
      <c r="HG963" s="56"/>
      <c r="HH963" s="56"/>
      <c r="HI963" s="56"/>
      <c r="HJ963" s="56"/>
    </row>
    <row r="964" spans="1:218" ht="15.75" customHeight="1" x14ac:dyDescent="0.2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  <c r="BV964" s="56"/>
      <c r="BW964" s="56"/>
      <c r="BX964" s="56"/>
      <c r="BY964" s="56"/>
      <c r="BZ964" s="56"/>
      <c r="CA964" s="56"/>
      <c r="CB964" s="56"/>
      <c r="CC964" s="56"/>
      <c r="CD964" s="56"/>
      <c r="CE964" s="56"/>
      <c r="CF964" s="56"/>
      <c r="CG964" s="56"/>
      <c r="CH964" s="56"/>
      <c r="CI964" s="56"/>
      <c r="CJ964" s="56"/>
      <c r="CK964" s="56"/>
      <c r="CL964" s="56"/>
      <c r="CM964" s="56"/>
      <c r="CN964" s="56"/>
      <c r="CO964" s="56"/>
      <c r="CP964" s="56"/>
      <c r="CQ964" s="56"/>
      <c r="CR964" s="56"/>
      <c r="CS964" s="56"/>
      <c r="CT964" s="56"/>
      <c r="CU964" s="56"/>
      <c r="CV964" s="56"/>
      <c r="CW964" s="56"/>
      <c r="CX964" s="56"/>
      <c r="CY964" s="56"/>
      <c r="CZ964" s="56"/>
      <c r="DA964" s="56"/>
      <c r="DB964" s="56"/>
      <c r="DC964" s="56"/>
      <c r="DD964" s="56"/>
      <c r="DE964" s="56"/>
      <c r="DF964" s="56"/>
      <c r="DG964" s="56"/>
      <c r="DH964" s="56"/>
      <c r="DI964" s="56"/>
      <c r="DJ964" s="56"/>
      <c r="DK964" s="56"/>
      <c r="DL964" s="56"/>
      <c r="DM964" s="56"/>
      <c r="DN964" s="56"/>
      <c r="DO964" s="56"/>
      <c r="DP964" s="56"/>
      <c r="DQ964" s="56"/>
      <c r="DR964" s="56"/>
      <c r="DS964" s="56"/>
      <c r="DT964" s="56"/>
      <c r="DU964" s="56"/>
      <c r="DV964" s="56"/>
      <c r="DW964" s="56"/>
      <c r="DX964" s="56"/>
      <c r="DY964" s="56"/>
      <c r="DZ964" s="56"/>
      <c r="EA964" s="56"/>
      <c r="EB964" s="56"/>
      <c r="EC964" s="56"/>
      <c r="ED964" s="56"/>
      <c r="EE964" s="56"/>
      <c r="EF964" s="56"/>
      <c r="EG964" s="56"/>
      <c r="EH964" s="56"/>
      <c r="EI964" s="56"/>
      <c r="EJ964" s="56"/>
      <c r="EK964" s="56"/>
      <c r="EL964" s="56"/>
      <c r="EM964" s="56"/>
      <c r="EN964" s="56"/>
      <c r="EO964" s="56"/>
      <c r="EP964" s="56"/>
      <c r="EQ964" s="56"/>
      <c r="ER964" s="56"/>
      <c r="ES964" s="56"/>
      <c r="ET964" s="56"/>
      <c r="EU964" s="56"/>
      <c r="EV964" s="56"/>
      <c r="EW964" s="56"/>
      <c r="EX964" s="56"/>
      <c r="EY964" s="56"/>
      <c r="EZ964" s="56"/>
      <c r="FA964" s="56"/>
      <c r="FB964" s="56"/>
      <c r="FC964" s="56"/>
      <c r="FD964" s="56"/>
      <c r="FE964" s="56"/>
      <c r="FF964" s="56"/>
      <c r="FG964" s="56"/>
      <c r="FH964" s="56"/>
      <c r="FI964" s="56"/>
      <c r="FJ964" s="56"/>
      <c r="FK964" s="56"/>
      <c r="FL964" s="56"/>
      <c r="FM964" s="56"/>
      <c r="FN964" s="56"/>
      <c r="FO964" s="56"/>
      <c r="FP964" s="56"/>
      <c r="FQ964" s="56"/>
      <c r="FR964" s="56"/>
      <c r="FS964" s="56"/>
      <c r="FT964" s="56"/>
      <c r="FU964" s="56"/>
      <c r="FV964" s="56"/>
      <c r="FW964" s="56"/>
      <c r="FX964" s="56"/>
      <c r="FY964" s="56"/>
      <c r="FZ964" s="56"/>
      <c r="GA964" s="56"/>
      <c r="GB964" s="56"/>
      <c r="GC964" s="56"/>
      <c r="GD964" s="56"/>
      <c r="GE964" s="56"/>
      <c r="GF964" s="56"/>
      <c r="GG964" s="56"/>
      <c r="GH964" s="56"/>
      <c r="GI964" s="56"/>
      <c r="GJ964" s="56"/>
      <c r="GK964" s="56"/>
      <c r="GL964" s="56"/>
      <c r="GM964" s="56"/>
      <c r="GN964" s="56"/>
      <c r="GO964" s="56"/>
      <c r="GP964" s="56"/>
      <c r="GQ964" s="56"/>
      <c r="GR964" s="56"/>
      <c r="GS964" s="56"/>
      <c r="GT964" s="56"/>
      <c r="GU964" s="56"/>
      <c r="GV964" s="56"/>
      <c r="GW964" s="56"/>
      <c r="GX964" s="56"/>
      <c r="GY964" s="56"/>
      <c r="GZ964" s="56"/>
      <c r="HA964" s="56"/>
      <c r="HB964" s="56"/>
      <c r="HC964" s="56"/>
      <c r="HD964" s="56"/>
      <c r="HE964" s="56"/>
      <c r="HF964" s="56"/>
      <c r="HG964" s="56"/>
      <c r="HH964" s="56"/>
      <c r="HI964" s="56"/>
      <c r="HJ964" s="56"/>
    </row>
    <row r="965" spans="1:218" ht="15.75" customHeight="1" x14ac:dyDescent="0.2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  <c r="BV965" s="56"/>
      <c r="BW965" s="56"/>
      <c r="BX965" s="56"/>
      <c r="BY965" s="56"/>
      <c r="BZ965" s="56"/>
      <c r="CA965" s="56"/>
      <c r="CB965" s="56"/>
      <c r="CC965" s="56"/>
      <c r="CD965" s="56"/>
      <c r="CE965" s="56"/>
      <c r="CF965" s="56"/>
      <c r="CG965" s="56"/>
      <c r="CH965" s="56"/>
      <c r="CI965" s="56"/>
      <c r="CJ965" s="56"/>
      <c r="CK965" s="56"/>
      <c r="CL965" s="56"/>
      <c r="CM965" s="56"/>
      <c r="CN965" s="56"/>
      <c r="CO965" s="56"/>
      <c r="CP965" s="56"/>
      <c r="CQ965" s="56"/>
      <c r="CR965" s="56"/>
      <c r="CS965" s="56"/>
      <c r="CT965" s="56"/>
      <c r="CU965" s="56"/>
      <c r="CV965" s="56"/>
      <c r="CW965" s="56"/>
      <c r="CX965" s="56"/>
      <c r="CY965" s="56"/>
      <c r="CZ965" s="56"/>
      <c r="DA965" s="56"/>
      <c r="DB965" s="56"/>
      <c r="DC965" s="56"/>
      <c r="DD965" s="56"/>
      <c r="DE965" s="56"/>
      <c r="DF965" s="56"/>
      <c r="DG965" s="56"/>
      <c r="DH965" s="56"/>
      <c r="DI965" s="56"/>
      <c r="DJ965" s="56"/>
      <c r="DK965" s="56"/>
      <c r="DL965" s="56"/>
      <c r="DM965" s="56"/>
      <c r="DN965" s="56"/>
      <c r="DO965" s="56"/>
      <c r="DP965" s="56"/>
      <c r="DQ965" s="56"/>
      <c r="DR965" s="56"/>
      <c r="DS965" s="56"/>
      <c r="DT965" s="56"/>
      <c r="DU965" s="56"/>
      <c r="DV965" s="56"/>
      <c r="DW965" s="56"/>
      <c r="DX965" s="56"/>
      <c r="DY965" s="56"/>
      <c r="DZ965" s="56"/>
      <c r="EA965" s="56"/>
      <c r="EB965" s="56"/>
      <c r="EC965" s="56"/>
      <c r="ED965" s="56"/>
      <c r="EE965" s="56"/>
      <c r="EF965" s="56"/>
      <c r="EG965" s="56"/>
      <c r="EH965" s="56"/>
      <c r="EI965" s="56"/>
      <c r="EJ965" s="56"/>
      <c r="EK965" s="56"/>
      <c r="EL965" s="56"/>
      <c r="EM965" s="56"/>
      <c r="EN965" s="56"/>
      <c r="EO965" s="56"/>
      <c r="EP965" s="56"/>
      <c r="EQ965" s="56"/>
      <c r="ER965" s="56"/>
      <c r="ES965" s="56"/>
      <c r="ET965" s="56"/>
      <c r="EU965" s="56"/>
      <c r="EV965" s="56"/>
      <c r="EW965" s="56"/>
      <c r="EX965" s="56"/>
      <c r="EY965" s="56"/>
      <c r="EZ965" s="56"/>
      <c r="FA965" s="56"/>
      <c r="FB965" s="56"/>
      <c r="FC965" s="56"/>
      <c r="FD965" s="56"/>
      <c r="FE965" s="56"/>
      <c r="FF965" s="56"/>
      <c r="FG965" s="56"/>
      <c r="FH965" s="56"/>
      <c r="FI965" s="56"/>
      <c r="FJ965" s="56"/>
      <c r="FK965" s="56"/>
      <c r="FL965" s="56"/>
      <c r="FM965" s="56"/>
      <c r="FN965" s="56"/>
      <c r="FO965" s="56"/>
      <c r="FP965" s="56"/>
      <c r="FQ965" s="56"/>
      <c r="FR965" s="56"/>
      <c r="FS965" s="56"/>
      <c r="FT965" s="56"/>
      <c r="FU965" s="56"/>
      <c r="FV965" s="56"/>
      <c r="FW965" s="56"/>
      <c r="FX965" s="56"/>
      <c r="FY965" s="56"/>
      <c r="FZ965" s="56"/>
      <c r="GA965" s="56"/>
      <c r="GB965" s="56"/>
      <c r="GC965" s="56"/>
      <c r="GD965" s="56"/>
      <c r="GE965" s="56"/>
      <c r="GF965" s="56"/>
      <c r="GG965" s="56"/>
      <c r="GH965" s="56"/>
      <c r="GI965" s="56"/>
      <c r="GJ965" s="56"/>
      <c r="GK965" s="56"/>
      <c r="GL965" s="56"/>
      <c r="GM965" s="56"/>
      <c r="GN965" s="56"/>
      <c r="GO965" s="56"/>
      <c r="GP965" s="56"/>
      <c r="GQ965" s="56"/>
      <c r="GR965" s="56"/>
      <c r="GS965" s="56"/>
      <c r="GT965" s="56"/>
      <c r="GU965" s="56"/>
      <c r="GV965" s="56"/>
      <c r="GW965" s="56"/>
      <c r="GX965" s="56"/>
      <c r="GY965" s="56"/>
      <c r="GZ965" s="56"/>
      <c r="HA965" s="56"/>
      <c r="HB965" s="56"/>
      <c r="HC965" s="56"/>
      <c r="HD965" s="56"/>
      <c r="HE965" s="56"/>
      <c r="HF965" s="56"/>
      <c r="HG965" s="56"/>
      <c r="HH965" s="56"/>
      <c r="HI965" s="56"/>
      <c r="HJ965" s="56"/>
    </row>
    <row r="966" spans="1:218" ht="15.75" customHeight="1" x14ac:dyDescent="0.2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  <c r="BV966" s="56"/>
      <c r="BW966" s="56"/>
      <c r="BX966" s="56"/>
      <c r="BY966" s="56"/>
      <c r="BZ966" s="56"/>
      <c r="CA966" s="56"/>
      <c r="CB966" s="56"/>
      <c r="CC966" s="56"/>
      <c r="CD966" s="56"/>
      <c r="CE966" s="56"/>
      <c r="CF966" s="56"/>
      <c r="CG966" s="56"/>
      <c r="CH966" s="56"/>
      <c r="CI966" s="56"/>
      <c r="CJ966" s="56"/>
      <c r="CK966" s="56"/>
      <c r="CL966" s="56"/>
      <c r="CM966" s="56"/>
      <c r="CN966" s="56"/>
      <c r="CO966" s="56"/>
      <c r="CP966" s="56"/>
      <c r="CQ966" s="56"/>
      <c r="CR966" s="56"/>
      <c r="CS966" s="56"/>
      <c r="CT966" s="56"/>
      <c r="CU966" s="56"/>
      <c r="CV966" s="56"/>
      <c r="CW966" s="56"/>
      <c r="CX966" s="56"/>
      <c r="CY966" s="56"/>
      <c r="CZ966" s="56"/>
      <c r="DA966" s="56"/>
      <c r="DB966" s="56"/>
      <c r="DC966" s="56"/>
      <c r="DD966" s="56"/>
      <c r="DE966" s="56"/>
      <c r="DF966" s="56"/>
      <c r="DG966" s="56"/>
      <c r="DH966" s="56"/>
      <c r="DI966" s="56"/>
      <c r="DJ966" s="56"/>
      <c r="DK966" s="56"/>
      <c r="DL966" s="56"/>
      <c r="DM966" s="56"/>
      <c r="DN966" s="56"/>
      <c r="DO966" s="56"/>
      <c r="DP966" s="56"/>
      <c r="DQ966" s="56"/>
      <c r="DR966" s="56"/>
      <c r="DS966" s="56"/>
      <c r="DT966" s="56"/>
      <c r="DU966" s="56"/>
      <c r="DV966" s="56"/>
      <c r="DW966" s="56"/>
      <c r="DX966" s="56"/>
      <c r="DY966" s="56"/>
      <c r="DZ966" s="56"/>
      <c r="EA966" s="56"/>
      <c r="EB966" s="56"/>
      <c r="EC966" s="56"/>
      <c r="ED966" s="56"/>
      <c r="EE966" s="56"/>
      <c r="EF966" s="56"/>
      <c r="EG966" s="56"/>
      <c r="EH966" s="56"/>
      <c r="EI966" s="56"/>
      <c r="EJ966" s="56"/>
      <c r="EK966" s="56"/>
      <c r="EL966" s="56"/>
      <c r="EM966" s="56"/>
      <c r="EN966" s="56"/>
      <c r="EO966" s="56"/>
      <c r="EP966" s="56"/>
      <c r="EQ966" s="56"/>
      <c r="ER966" s="56"/>
      <c r="ES966" s="56"/>
      <c r="ET966" s="56"/>
      <c r="EU966" s="56"/>
      <c r="EV966" s="56"/>
      <c r="EW966" s="56"/>
      <c r="EX966" s="56"/>
      <c r="EY966" s="56"/>
      <c r="EZ966" s="56"/>
      <c r="FA966" s="56"/>
      <c r="FB966" s="56"/>
      <c r="FC966" s="56"/>
      <c r="FD966" s="56"/>
      <c r="FE966" s="56"/>
      <c r="FF966" s="56"/>
      <c r="FG966" s="56"/>
      <c r="FH966" s="56"/>
      <c r="FI966" s="56"/>
      <c r="FJ966" s="56"/>
      <c r="FK966" s="56"/>
      <c r="FL966" s="56"/>
      <c r="FM966" s="56"/>
      <c r="FN966" s="56"/>
      <c r="FO966" s="56"/>
      <c r="FP966" s="56"/>
      <c r="FQ966" s="56"/>
      <c r="FR966" s="56"/>
      <c r="FS966" s="56"/>
      <c r="FT966" s="56"/>
      <c r="FU966" s="56"/>
      <c r="FV966" s="56"/>
      <c r="FW966" s="56"/>
      <c r="FX966" s="56"/>
      <c r="FY966" s="56"/>
      <c r="FZ966" s="56"/>
      <c r="GA966" s="56"/>
      <c r="GB966" s="56"/>
      <c r="GC966" s="56"/>
      <c r="GD966" s="56"/>
      <c r="GE966" s="56"/>
      <c r="GF966" s="56"/>
      <c r="GG966" s="56"/>
      <c r="GH966" s="56"/>
      <c r="GI966" s="56"/>
      <c r="GJ966" s="56"/>
      <c r="GK966" s="56"/>
      <c r="GL966" s="56"/>
      <c r="GM966" s="56"/>
      <c r="GN966" s="56"/>
      <c r="GO966" s="56"/>
      <c r="GP966" s="56"/>
      <c r="GQ966" s="56"/>
      <c r="GR966" s="56"/>
      <c r="GS966" s="56"/>
      <c r="GT966" s="56"/>
      <c r="GU966" s="56"/>
      <c r="GV966" s="56"/>
      <c r="GW966" s="56"/>
      <c r="GX966" s="56"/>
      <c r="GY966" s="56"/>
      <c r="GZ966" s="56"/>
      <c r="HA966" s="56"/>
      <c r="HB966" s="56"/>
      <c r="HC966" s="56"/>
      <c r="HD966" s="56"/>
      <c r="HE966" s="56"/>
      <c r="HF966" s="56"/>
      <c r="HG966" s="56"/>
      <c r="HH966" s="56"/>
      <c r="HI966" s="56"/>
      <c r="HJ966" s="56"/>
    </row>
    <row r="967" spans="1:218" ht="15.75" customHeight="1" x14ac:dyDescent="0.2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  <c r="CL967" s="56"/>
      <c r="CM967" s="56"/>
      <c r="CN967" s="56"/>
      <c r="CO967" s="56"/>
      <c r="CP967" s="56"/>
      <c r="CQ967" s="56"/>
      <c r="CR967" s="56"/>
      <c r="CS967" s="56"/>
      <c r="CT967" s="56"/>
      <c r="CU967" s="56"/>
      <c r="CV967" s="56"/>
      <c r="CW967" s="56"/>
      <c r="CX967" s="56"/>
      <c r="CY967" s="56"/>
      <c r="CZ967" s="56"/>
      <c r="DA967" s="56"/>
      <c r="DB967" s="56"/>
      <c r="DC967" s="56"/>
      <c r="DD967" s="56"/>
      <c r="DE967" s="56"/>
      <c r="DF967" s="56"/>
      <c r="DG967" s="56"/>
      <c r="DH967" s="56"/>
      <c r="DI967" s="56"/>
      <c r="DJ967" s="56"/>
      <c r="DK967" s="56"/>
      <c r="DL967" s="56"/>
      <c r="DM967" s="56"/>
      <c r="DN967" s="56"/>
      <c r="DO967" s="56"/>
      <c r="DP967" s="56"/>
      <c r="DQ967" s="56"/>
      <c r="DR967" s="56"/>
      <c r="DS967" s="56"/>
      <c r="DT967" s="56"/>
      <c r="DU967" s="56"/>
      <c r="DV967" s="56"/>
      <c r="DW967" s="56"/>
      <c r="DX967" s="56"/>
      <c r="DY967" s="56"/>
      <c r="DZ967" s="56"/>
      <c r="EA967" s="56"/>
      <c r="EB967" s="56"/>
      <c r="EC967" s="56"/>
      <c r="ED967" s="56"/>
      <c r="EE967" s="56"/>
      <c r="EF967" s="56"/>
      <c r="EG967" s="56"/>
      <c r="EH967" s="56"/>
      <c r="EI967" s="56"/>
      <c r="EJ967" s="56"/>
      <c r="EK967" s="56"/>
      <c r="EL967" s="56"/>
      <c r="EM967" s="56"/>
      <c r="EN967" s="56"/>
      <c r="EO967" s="56"/>
      <c r="EP967" s="56"/>
      <c r="EQ967" s="56"/>
      <c r="ER967" s="56"/>
      <c r="ES967" s="56"/>
      <c r="ET967" s="56"/>
      <c r="EU967" s="56"/>
      <c r="EV967" s="56"/>
      <c r="EW967" s="56"/>
      <c r="EX967" s="56"/>
      <c r="EY967" s="56"/>
      <c r="EZ967" s="56"/>
      <c r="FA967" s="56"/>
      <c r="FB967" s="56"/>
      <c r="FC967" s="56"/>
      <c r="FD967" s="56"/>
      <c r="FE967" s="56"/>
      <c r="FF967" s="56"/>
      <c r="FG967" s="56"/>
      <c r="FH967" s="56"/>
      <c r="FI967" s="56"/>
      <c r="FJ967" s="56"/>
      <c r="FK967" s="56"/>
      <c r="FL967" s="56"/>
      <c r="FM967" s="56"/>
      <c r="FN967" s="56"/>
      <c r="FO967" s="56"/>
      <c r="FP967" s="56"/>
      <c r="FQ967" s="56"/>
      <c r="FR967" s="56"/>
      <c r="FS967" s="56"/>
      <c r="FT967" s="56"/>
      <c r="FU967" s="56"/>
      <c r="FV967" s="56"/>
      <c r="FW967" s="56"/>
      <c r="FX967" s="56"/>
      <c r="FY967" s="56"/>
      <c r="FZ967" s="56"/>
      <c r="GA967" s="56"/>
      <c r="GB967" s="56"/>
      <c r="GC967" s="56"/>
      <c r="GD967" s="56"/>
      <c r="GE967" s="56"/>
      <c r="GF967" s="56"/>
      <c r="GG967" s="56"/>
      <c r="GH967" s="56"/>
      <c r="GI967" s="56"/>
      <c r="GJ967" s="56"/>
      <c r="GK967" s="56"/>
      <c r="GL967" s="56"/>
      <c r="GM967" s="56"/>
      <c r="GN967" s="56"/>
      <c r="GO967" s="56"/>
      <c r="GP967" s="56"/>
      <c r="GQ967" s="56"/>
      <c r="GR967" s="56"/>
      <c r="GS967" s="56"/>
      <c r="GT967" s="56"/>
      <c r="GU967" s="56"/>
      <c r="GV967" s="56"/>
      <c r="GW967" s="56"/>
      <c r="GX967" s="56"/>
      <c r="GY967" s="56"/>
      <c r="GZ967" s="56"/>
      <c r="HA967" s="56"/>
      <c r="HB967" s="56"/>
      <c r="HC967" s="56"/>
      <c r="HD967" s="56"/>
      <c r="HE967" s="56"/>
      <c r="HF967" s="56"/>
      <c r="HG967" s="56"/>
      <c r="HH967" s="56"/>
      <c r="HI967" s="56"/>
      <c r="HJ967" s="56"/>
    </row>
    <row r="968" spans="1:218" ht="15.75" customHeight="1" x14ac:dyDescent="0.2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  <c r="BV968" s="56"/>
      <c r="BW968" s="56"/>
      <c r="BX968" s="56"/>
      <c r="BY968" s="56"/>
      <c r="BZ968" s="56"/>
      <c r="CA968" s="56"/>
      <c r="CB968" s="56"/>
      <c r="CC968" s="56"/>
      <c r="CD968" s="56"/>
      <c r="CE968" s="56"/>
      <c r="CF968" s="56"/>
      <c r="CG968" s="56"/>
      <c r="CH968" s="56"/>
      <c r="CI968" s="56"/>
      <c r="CJ968" s="56"/>
      <c r="CK968" s="56"/>
      <c r="CL968" s="56"/>
      <c r="CM968" s="56"/>
      <c r="CN968" s="56"/>
      <c r="CO968" s="56"/>
      <c r="CP968" s="56"/>
      <c r="CQ968" s="56"/>
      <c r="CR968" s="56"/>
      <c r="CS968" s="56"/>
      <c r="CT968" s="56"/>
      <c r="CU968" s="56"/>
      <c r="CV968" s="56"/>
      <c r="CW968" s="56"/>
      <c r="CX968" s="56"/>
      <c r="CY968" s="56"/>
      <c r="CZ968" s="56"/>
      <c r="DA968" s="56"/>
      <c r="DB968" s="56"/>
      <c r="DC968" s="56"/>
      <c r="DD968" s="56"/>
      <c r="DE968" s="56"/>
      <c r="DF968" s="56"/>
      <c r="DG968" s="56"/>
      <c r="DH968" s="56"/>
      <c r="DI968" s="56"/>
      <c r="DJ968" s="56"/>
      <c r="DK968" s="56"/>
      <c r="DL968" s="56"/>
      <c r="DM968" s="56"/>
      <c r="DN968" s="56"/>
      <c r="DO968" s="56"/>
      <c r="DP968" s="56"/>
      <c r="DQ968" s="56"/>
      <c r="DR968" s="56"/>
      <c r="DS968" s="56"/>
      <c r="DT968" s="56"/>
      <c r="DU968" s="56"/>
      <c r="DV968" s="56"/>
      <c r="DW968" s="56"/>
      <c r="DX968" s="56"/>
      <c r="DY968" s="56"/>
      <c r="DZ968" s="56"/>
      <c r="EA968" s="56"/>
      <c r="EB968" s="56"/>
      <c r="EC968" s="56"/>
      <c r="ED968" s="56"/>
      <c r="EE968" s="56"/>
      <c r="EF968" s="56"/>
      <c r="EG968" s="56"/>
      <c r="EH968" s="56"/>
      <c r="EI968" s="56"/>
      <c r="EJ968" s="56"/>
      <c r="EK968" s="56"/>
      <c r="EL968" s="56"/>
      <c r="EM968" s="56"/>
      <c r="EN968" s="56"/>
      <c r="EO968" s="56"/>
      <c r="EP968" s="56"/>
      <c r="EQ968" s="56"/>
      <c r="ER968" s="56"/>
      <c r="ES968" s="56"/>
      <c r="ET968" s="56"/>
      <c r="EU968" s="56"/>
      <c r="EV968" s="56"/>
      <c r="EW968" s="56"/>
      <c r="EX968" s="56"/>
      <c r="EY968" s="56"/>
      <c r="EZ968" s="56"/>
      <c r="FA968" s="56"/>
      <c r="FB968" s="56"/>
      <c r="FC968" s="56"/>
      <c r="FD968" s="56"/>
      <c r="FE968" s="56"/>
      <c r="FF968" s="56"/>
      <c r="FG968" s="56"/>
      <c r="FH968" s="56"/>
      <c r="FI968" s="56"/>
      <c r="FJ968" s="56"/>
      <c r="FK968" s="56"/>
      <c r="FL968" s="56"/>
      <c r="FM968" s="56"/>
      <c r="FN968" s="56"/>
      <c r="FO968" s="56"/>
      <c r="FP968" s="56"/>
      <c r="FQ968" s="56"/>
      <c r="FR968" s="56"/>
      <c r="FS968" s="56"/>
      <c r="FT968" s="56"/>
      <c r="FU968" s="56"/>
      <c r="FV968" s="56"/>
      <c r="FW968" s="56"/>
      <c r="FX968" s="56"/>
      <c r="FY968" s="56"/>
      <c r="FZ968" s="56"/>
      <c r="GA968" s="56"/>
      <c r="GB968" s="56"/>
      <c r="GC968" s="56"/>
      <c r="GD968" s="56"/>
      <c r="GE968" s="56"/>
      <c r="GF968" s="56"/>
      <c r="GG968" s="56"/>
      <c r="GH968" s="56"/>
      <c r="GI968" s="56"/>
      <c r="GJ968" s="56"/>
      <c r="GK968" s="56"/>
      <c r="GL968" s="56"/>
      <c r="GM968" s="56"/>
      <c r="GN968" s="56"/>
      <c r="GO968" s="56"/>
      <c r="GP968" s="56"/>
      <c r="GQ968" s="56"/>
      <c r="GR968" s="56"/>
      <c r="GS968" s="56"/>
      <c r="GT968" s="56"/>
      <c r="GU968" s="56"/>
      <c r="GV968" s="56"/>
      <c r="GW968" s="56"/>
      <c r="GX968" s="56"/>
      <c r="GY968" s="56"/>
      <c r="GZ968" s="56"/>
      <c r="HA968" s="56"/>
      <c r="HB968" s="56"/>
      <c r="HC968" s="56"/>
      <c r="HD968" s="56"/>
      <c r="HE968" s="56"/>
      <c r="HF968" s="56"/>
      <c r="HG968" s="56"/>
      <c r="HH968" s="56"/>
      <c r="HI968" s="56"/>
      <c r="HJ968" s="56"/>
    </row>
    <row r="969" spans="1:218" ht="15.75" customHeight="1" x14ac:dyDescent="0.2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  <c r="BV969" s="56"/>
      <c r="BW969" s="56"/>
      <c r="BX969" s="56"/>
      <c r="BY969" s="56"/>
      <c r="BZ969" s="56"/>
      <c r="CA969" s="56"/>
      <c r="CB969" s="56"/>
      <c r="CC969" s="56"/>
      <c r="CD969" s="56"/>
      <c r="CE969" s="56"/>
      <c r="CF969" s="56"/>
      <c r="CG969" s="56"/>
      <c r="CH969" s="56"/>
      <c r="CI969" s="56"/>
      <c r="CJ969" s="56"/>
      <c r="CK969" s="56"/>
      <c r="CL969" s="56"/>
      <c r="CM969" s="56"/>
      <c r="CN969" s="56"/>
      <c r="CO969" s="56"/>
      <c r="CP969" s="56"/>
      <c r="CQ969" s="56"/>
      <c r="CR969" s="56"/>
      <c r="CS969" s="56"/>
      <c r="CT969" s="56"/>
      <c r="CU969" s="56"/>
      <c r="CV969" s="56"/>
      <c r="CW969" s="56"/>
      <c r="CX969" s="56"/>
      <c r="CY969" s="56"/>
      <c r="CZ969" s="56"/>
      <c r="DA969" s="56"/>
      <c r="DB969" s="56"/>
      <c r="DC969" s="56"/>
      <c r="DD969" s="56"/>
      <c r="DE969" s="56"/>
      <c r="DF969" s="56"/>
      <c r="DG969" s="56"/>
      <c r="DH969" s="56"/>
      <c r="DI969" s="56"/>
      <c r="DJ969" s="56"/>
      <c r="DK969" s="56"/>
      <c r="DL969" s="56"/>
      <c r="DM969" s="56"/>
      <c r="DN969" s="56"/>
      <c r="DO969" s="56"/>
      <c r="DP969" s="56"/>
      <c r="DQ969" s="56"/>
      <c r="DR969" s="56"/>
      <c r="DS969" s="56"/>
      <c r="DT969" s="56"/>
      <c r="DU969" s="56"/>
      <c r="DV969" s="56"/>
      <c r="DW969" s="56"/>
      <c r="DX969" s="56"/>
      <c r="DY969" s="56"/>
      <c r="DZ969" s="56"/>
      <c r="EA969" s="56"/>
      <c r="EB969" s="56"/>
      <c r="EC969" s="56"/>
      <c r="ED969" s="56"/>
      <c r="EE969" s="56"/>
      <c r="EF969" s="56"/>
      <c r="EG969" s="56"/>
      <c r="EH969" s="56"/>
      <c r="EI969" s="56"/>
      <c r="EJ969" s="56"/>
      <c r="EK969" s="56"/>
      <c r="EL969" s="56"/>
      <c r="EM969" s="56"/>
      <c r="EN969" s="56"/>
      <c r="EO969" s="56"/>
      <c r="EP969" s="56"/>
      <c r="EQ969" s="56"/>
      <c r="ER969" s="56"/>
      <c r="ES969" s="56"/>
      <c r="ET969" s="56"/>
      <c r="EU969" s="56"/>
      <c r="EV969" s="56"/>
      <c r="EW969" s="56"/>
      <c r="EX969" s="56"/>
      <c r="EY969" s="56"/>
      <c r="EZ969" s="56"/>
      <c r="FA969" s="56"/>
      <c r="FB969" s="56"/>
      <c r="FC969" s="56"/>
      <c r="FD969" s="56"/>
      <c r="FE969" s="56"/>
      <c r="FF969" s="56"/>
      <c r="FG969" s="56"/>
      <c r="FH969" s="56"/>
      <c r="FI969" s="56"/>
      <c r="FJ969" s="56"/>
      <c r="FK969" s="56"/>
      <c r="FL969" s="56"/>
      <c r="FM969" s="56"/>
      <c r="FN969" s="56"/>
      <c r="FO969" s="56"/>
      <c r="FP969" s="56"/>
      <c r="FQ969" s="56"/>
      <c r="FR969" s="56"/>
      <c r="FS969" s="56"/>
      <c r="FT969" s="56"/>
      <c r="FU969" s="56"/>
      <c r="FV969" s="56"/>
      <c r="FW969" s="56"/>
      <c r="FX969" s="56"/>
      <c r="FY969" s="56"/>
      <c r="FZ969" s="56"/>
      <c r="GA969" s="56"/>
      <c r="GB969" s="56"/>
      <c r="GC969" s="56"/>
      <c r="GD969" s="56"/>
      <c r="GE969" s="56"/>
      <c r="GF969" s="56"/>
      <c r="GG969" s="56"/>
      <c r="GH969" s="56"/>
      <c r="GI969" s="56"/>
      <c r="GJ969" s="56"/>
      <c r="GK969" s="56"/>
      <c r="GL969" s="56"/>
      <c r="GM969" s="56"/>
      <c r="GN969" s="56"/>
      <c r="GO969" s="56"/>
      <c r="GP969" s="56"/>
      <c r="GQ969" s="56"/>
      <c r="GR969" s="56"/>
      <c r="GS969" s="56"/>
      <c r="GT969" s="56"/>
      <c r="GU969" s="56"/>
      <c r="GV969" s="56"/>
      <c r="GW969" s="56"/>
      <c r="GX969" s="56"/>
      <c r="GY969" s="56"/>
      <c r="GZ969" s="56"/>
      <c r="HA969" s="56"/>
      <c r="HB969" s="56"/>
      <c r="HC969" s="56"/>
      <c r="HD969" s="56"/>
      <c r="HE969" s="56"/>
      <c r="HF969" s="56"/>
      <c r="HG969" s="56"/>
      <c r="HH969" s="56"/>
      <c r="HI969" s="56"/>
      <c r="HJ969" s="56"/>
    </row>
    <row r="970" spans="1:218" ht="15.75" customHeight="1" x14ac:dyDescent="0.2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  <c r="BV970" s="56"/>
      <c r="BW970" s="56"/>
      <c r="BX970" s="56"/>
      <c r="BY970" s="56"/>
      <c r="BZ970" s="56"/>
      <c r="CA970" s="56"/>
      <c r="CB970" s="56"/>
      <c r="CC970" s="56"/>
      <c r="CD970" s="56"/>
      <c r="CE970" s="56"/>
      <c r="CF970" s="56"/>
      <c r="CG970" s="56"/>
      <c r="CH970" s="56"/>
      <c r="CI970" s="56"/>
      <c r="CJ970" s="56"/>
      <c r="CK970" s="56"/>
      <c r="CL970" s="56"/>
      <c r="CM970" s="56"/>
      <c r="CN970" s="56"/>
      <c r="CO970" s="56"/>
      <c r="CP970" s="56"/>
      <c r="CQ970" s="56"/>
      <c r="CR970" s="56"/>
      <c r="CS970" s="56"/>
      <c r="CT970" s="56"/>
      <c r="CU970" s="56"/>
      <c r="CV970" s="56"/>
      <c r="CW970" s="56"/>
      <c r="CX970" s="56"/>
      <c r="CY970" s="56"/>
      <c r="CZ970" s="56"/>
      <c r="DA970" s="56"/>
      <c r="DB970" s="56"/>
      <c r="DC970" s="56"/>
      <c r="DD970" s="56"/>
      <c r="DE970" s="56"/>
      <c r="DF970" s="56"/>
      <c r="DG970" s="56"/>
      <c r="DH970" s="56"/>
      <c r="DI970" s="56"/>
      <c r="DJ970" s="56"/>
      <c r="DK970" s="56"/>
      <c r="DL970" s="56"/>
      <c r="DM970" s="56"/>
      <c r="DN970" s="56"/>
      <c r="DO970" s="56"/>
      <c r="DP970" s="56"/>
      <c r="DQ970" s="56"/>
      <c r="DR970" s="56"/>
      <c r="DS970" s="56"/>
      <c r="DT970" s="56"/>
      <c r="DU970" s="56"/>
      <c r="DV970" s="56"/>
      <c r="DW970" s="56"/>
      <c r="DX970" s="56"/>
      <c r="DY970" s="56"/>
      <c r="DZ970" s="56"/>
      <c r="EA970" s="56"/>
      <c r="EB970" s="56"/>
      <c r="EC970" s="56"/>
      <c r="ED970" s="56"/>
      <c r="EE970" s="56"/>
      <c r="EF970" s="56"/>
      <c r="EG970" s="56"/>
      <c r="EH970" s="56"/>
      <c r="EI970" s="56"/>
      <c r="EJ970" s="56"/>
      <c r="EK970" s="56"/>
      <c r="EL970" s="56"/>
      <c r="EM970" s="56"/>
      <c r="EN970" s="56"/>
      <c r="EO970" s="56"/>
      <c r="EP970" s="56"/>
      <c r="EQ970" s="56"/>
      <c r="ER970" s="56"/>
      <c r="ES970" s="56"/>
      <c r="ET970" s="56"/>
      <c r="EU970" s="56"/>
      <c r="EV970" s="56"/>
      <c r="EW970" s="56"/>
      <c r="EX970" s="56"/>
      <c r="EY970" s="56"/>
      <c r="EZ970" s="56"/>
      <c r="FA970" s="56"/>
      <c r="FB970" s="56"/>
      <c r="FC970" s="56"/>
      <c r="FD970" s="56"/>
      <c r="FE970" s="56"/>
      <c r="FF970" s="56"/>
      <c r="FG970" s="56"/>
      <c r="FH970" s="56"/>
      <c r="FI970" s="56"/>
      <c r="FJ970" s="56"/>
      <c r="FK970" s="56"/>
      <c r="FL970" s="56"/>
      <c r="FM970" s="56"/>
      <c r="FN970" s="56"/>
      <c r="FO970" s="56"/>
      <c r="FP970" s="56"/>
      <c r="FQ970" s="56"/>
      <c r="FR970" s="56"/>
      <c r="FS970" s="56"/>
      <c r="FT970" s="56"/>
      <c r="FU970" s="56"/>
      <c r="FV970" s="56"/>
      <c r="FW970" s="56"/>
      <c r="FX970" s="56"/>
      <c r="FY970" s="56"/>
      <c r="FZ970" s="56"/>
      <c r="GA970" s="56"/>
      <c r="GB970" s="56"/>
      <c r="GC970" s="56"/>
      <c r="GD970" s="56"/>
      <c r="GE970" s="56"/>
      <c r="GF970" s="56"/>
      <c r="GG970" s="56"/>
      <c r="GH970" s="56"/>
      <c r="GI970" s="56"/>
      <c r="GJ970" s="56"/>
      <c r="GK970" s="56"/>
      <c r="GL970" s="56"/>
      <c r="GM970" s="56"/>
      <c r="GN970" s="56"/>
      <c r="GO970" s="56"/>
      <c r="GP970" s="56"/>
      <c r="GQ970" s="56"/>
      <c r="GR970" s="56"/>
      <c r="GS970" s="56"/>
      <c r="GT970" s="56"/>
      <c r="GU970" s="56"/>
      <c r="GV970" s="56"/>
      <c r="GW970" s="56"/>
      <c r="GX970" s="56"/>
      <c r="GY970" s="56"/>
      <c r="GZ970" s="56"/>
      <c r="HA970" s="56"/>
      <c r="HB970" s="56"/>
      <c r="HC970" s="56"/>
      <c r="HD970" s="56"/>
      <c r="HE970" s="56"/>
      <c r="HF970" s="56"/>
      <c r="HG970" s="56"/>
      <c r="HH970" s="56"/>
      <c r="HI970" s="56"/>
      <c r="HJ970" s="56"/>
    </row>
    <row r="971" spans="1:218" ht="15.75" customHeight="1" x14ac:dyDescent="0.2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  <c r="BV971" s="56"/>
      <c r="BW971" s="56"/>
      <c r="BX971" s="56"/>
      <c r="BY971" s="56"/>
      <c r="BZ971" s="56"/>
      <c r="CA971" s="56"/>
      <c r="CB971" s="56"/>
      <c r="CC971" s="56"/>
      <c r="CD971" s="56"/>
      <c r="CE971" s="56"/>
      <c r="CF971" s="56"/>
      <c r="CG971" s="56"/>
      <c r="CH971" s="56"/>
      <c r="CI971" s="56"/>
      <c r="CJ971" s="56"/>
      <c r="CK971" s="56"/>
      <c r="CL971" s="56"/>
      <c r="CM971" s="56"/>
      <c r="CN971" s="56"/>
      <c r="CO971" s="56"/>
      <c r="CP971" s="56"/>
      <c r="CQ971" s="56"/>
      <c r="CR971" s="56"/>
      <c r="CS971" s="56"/>
      <c r="CT971" s="56"/>
      <c r="CU971" s="56"/>
      <c r="CV971" s="56"/>
      <c r="CW971" s="56"/>
      <c r="CX971" s="56"/>
      <c r="CY971" s="56"/>
      <c r="CZ971" s="56"/>
      <c r="DA971" s="56"/>
      <c r="DB971" s="56"/>
      <c r="DC971" s="56"/>
      <c r="DD971" s="56"/>
      <c r="DE971" s="56"/>
      <c r="DF971" s="56"/>
      <c r="DG971" s="56"/>
      <c r="DH971" s="56"/>
      <c r="DI971" s="56"/>
      <c r="DJ971" s="56"/>
      <c r="DK971" s="56"/>
      <c r="DL971" s="56"/>
      <c r="DM971" s="56"/>
      <c r="DN971" s="56"/>
      <c r="DO971" s="56"/>
      <c r="DP971" s="56"/>
      <c r="DQ971" s="56"/>
      <c r="DR971" s="56"/>
      <c r="DS971" s="56"/>
      <c r="DT971" s="56"/>
      <c r="DU971" s="56"/>
      <c r="DV971" s="56"/>
      <c r="DW971" s="56"/>
      <c r="DX971" s="56"/>
      <c r="DY971" s="56"/>
      <c r="DZ971" s="56"/>
      <c r="EA971" s="56"/>
      <c r="EB971" s="56"/>
      <c r="EC971" s="56"/>
      <c r="ED971" s="56"/>
      <c r="EE971" s="56"/>
      <c r="EF971" s="56"/>
      <c r="EG971" s="56"/>
      <c r="EH971" s="56"/>
      <c r="EI971" s="56"/>
      <c r="EJ971" s="56"/>
      <c r="EK971" s="56"/>
      <c r="EL971" s="56"/>
      <c r="EM971" s="56"/>
      <c r="EN971" s="56"/>
      <c r="EO971" s="56"/>
      <c r="EP971" s="56"/>
      <c r="EQ971" s="56"/>
      <c r="ER971" s="56"/>
      <c r="ES971" s="56"/>
      <c r="ET971" s="56"/>
      <c r="EU971" s="56"/>
      <c r="EV971" s="56"/>
      <c r="EW971" s="56"/>
      <c r="EX971" s="56"/>
      <c r="EY971" s="56"/>
      <c r="EZ971" s="56"/>
      <c r="FA971" s="56"/>
      <c r="FB971" s="56"/>
      <c r="FC971" s="56"/>
      <c r="FD971" s="56"/>
      <c r="FE971" s="56"/>
      <c r="FF971" s="56"/>
      <c r="FG971" s="56"/>
      <c r="FH971" s="56"/>
      <c r="FI971" s="56"/>
      <c r="FJ971" s="56"/>
      <c r="FK971" s="56"/>
      <c r="FL971" s="56"/>
      <c r="FM971" s="56"/>
      <c r="FN971" s="56"/>
      <c r="FO971" s="56"/>
      <c r="FP971" s="56"/>
      <c r="FQ971" s="56"/>
      <c r="FR971" s="56"/>
      <c r="FS971" s="56"/>
      <c r="FT971" s="56"/>
      <c r="FU971" s="56"/>
      <c r="FV971" s="56"/>
      <c r="FW971" s="56"/>
      <c r="FX971" s="56"/>
      <c r="FY971" s="56"/>
      <c r="FZ971" s="56"/>
      <c r="GA971" s="56"/>
      <c r="GB971" s="56"/>
      <c r="GC971" s="56"/>
      <c r="GD971" s="56"/>
      <c r="GE971" s="56"/>
      <c r="GF971" s="56"/>
      <c r="GG971" s="56"/>
      <c r="GH971" s="56"/>
      <c r="GI971" s="56"/>
      <c r="GJ971" s="56"/>
      <c r="GK971" s="56"/>
      <c r="GL971" s="56"/>
      <c r="GM971" s="56"/>
      <c r="GN971" s="56"/>
      <c r="GO971" s="56"/>
      <c r="GP971" s="56"/>
      <c r="GQ971" s="56"/>
      <c r="GR971" s="56"/>
      <c r="GS971" s="56"/>
      <c r="GT971" s="56"/>
      <c r="GU971" s="56"/>
      <c r="GV971" s="56"/>
      <c r="GW971" s="56"/>
      <c r="GX971" s="56"/>
      <c r="GY971" s="56"/>
      <c r="GZ971" s="56"/>
      <c r="HA971" s="56"/>
      <c r="HB971" s="56"/>
      <c r="HC971" s="56"/>
      <c r="HD971" s="56"/>
      <c r="HE971" s="56"/>
      <c r="HF971" s="56"/>
      <c r="HG971" s="56"/>
      <c r="HH971" s="56"/>
      <c r="HI971" s="56"/>
      <c r="HJ971" s="56"/>
    </row>
    <row r="972" spans="1:218" ht="15.75" customHeight="1" x14ac:dyDescent="0.2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  <c r="BV972" s="56"/>
      <c r="BW972" s="56"/>
      <c r="BX972" s="56"/>
      <c r="BY972" s="56"/>
      <c r="BZ972" s="56"/>
      <c r="CA972" s="56"/>
      <c r="CB972" s="56"/>
      <c r="CC972" s="56"/>
      <c r="CD972" s="56"/>
      <c r="CE972" s="56"/>
      <c r="CF972" s="56"/>
      <c r="CG972" s="56"/>
      <c r="CH972" s="56"/>
      <c r="CI972" s="56"/>
      <c r="CJ972" s="56"/>
      <c r="CK972" s="56"/>
      <c r="CL972" s="56"/>
      <c r="CM972" s="56"/>
      <c r="CN972" s="56"/>
      <c r="CO972" s="56"/>
      <c r="CP972" s="56"/>
      <c r="CQ972" s="56"/>
      <c r="CR972" s="56"/>
      <c r="CS972" s="56"/>
      <c r="CT972" s="56"/>
      <c r="CU972" s="56"/>
      <c r="CV972" s="56"/>
      <c r="CW972" s="56"/>
      <c r="CX972" s="56"/>
      <c r="CY972" s="56"/>
      <c r="CZ972" s="56"/>
      <c r="DA972" s="56"/>
      <c r="DB972" s="56"/>
      <c r="DC972" s="56"/>
      <c r="DD972" s="56"/>
      <c r="DE972" s="56"/>
      <c r="DF972" s="56"/>
      <c r="DG972" s="56"/>
      <c r="DH972" s="56"/>
      <c r="DI972" s="56"/>
      <c r="DJ972" s="56"/>
      <c r="DK972" s="56"/>
      <c r="DL972" s="56"/>
      <c r="DM972" s="56"/>
      <c r="DN972" s="56"/>
      <c r="DO972" s="56"/>
      <c r="DP972" s="56"/>
      <c r="DQ972" s="56"/>
      <c r="DR972" s="56"/>
      <c r="DS972" s="56"/>
      <c r="DT972" s="56"/>
      <c r="DU972" s="56"/>
      <c r="DV972" s="56"/>
      <c r="DW972" s="56"/>
      <c r="DX972" s="56"/>
      <c r="DY972" s="56"/>
      <c r="DZ972" s="56"/>
      <c r="EA972" s="56"/>
      <c r="EB972" s="56"/>
      <c r="EC972" s="56"/>
      <c r="ED972" s="56"/>
      <c r="EE972" s="56"/>
      <c r="EF972" s="56"/>
      <c r="EG972" s="56"/>
      <c r="EH972" s="56"/>
      <c r="EI972" s="56"/>
      <c r="EJ972" s="56"/>
      <c r="EK972" s="56"/>
      <c r="EL972" s="56"/>
      <c r="EM972" s="56"/>
      <c r="EN972" s="56"/>
      <c r="EO972" s="56"/>
      <c r="EP972" s="56"/>
      <c r="EQ972" s="56"/>
      <c r="ER972" s="56"/>
      <c r="ES972" s="56"/>
      <c r="ET972" s="56"/>
      <c r="EU972" s="56"/>
      <c r="EV972" s="56"/>
      <c r="EW972" s="56"/>
      <c r="EX972" s="56"/>
      <c r="EY972" s="56"/>
      <c r="EZ972" s="56"/>
      <c r="FA972" s="56"/>
      <c r="FB972" s="56"/>
      <c r="FC972" s="56"/>
      <c r="FD972" s="56"/>
      <c r="FE972" s="56"/>
      <c r="FF972" s="56"/>
      <c r="FG972" s="56"/>
      <c r="FH972" s="56"/>
      <c r="FI972" s="56"/>
      <c r="FJ972" s="56"/>
      <c r="FK972" s="56"/>
      <c r="FL972" s="56"/>
      <c r="FM972" s="56"/>
      <c r="FN972" s="56"/>
      <c r="FO972" s="56"/>
      <c r="FP972" s="56"/>
      <c r="FQ972" s="56"/>
      <c r="FR972" s="56"/>
      <c r="FS972" s="56"/>
      <c r="FT972" s="56"/>
      <c r="FU972" s="56"/>
      <c r="FV972" s="56"/>
      <c r="FW972" s="56"/>
      <c r="FX972" s="56"/>
      <c r="FY972" s="56"/>
      <c r="FZ972" s="56"/>
      <c r="GA972" s="56"/>
      <c r="GB972" s="56"/>
      <c r="GC972" s="56"/>
      <c r="GD972" s="56"/>
      <c r="GE972" s="56"/>
      <c r="GF972" s="56"/>
      <c r="GG972" s="56"/>
      <c r="GH972" s="56"/>
      <c r="GI972" s="56"/>
      <c r="GJ972" s="56"/>
      <c r="GK972" s="56"/>
      <c r="GL972" s="56"/>
      <c r="GM972" s="56"/>
      <c r="GN972" s="56"/>
      <c r="GO972" s="56"/>
      <c r="GP972" s="56"/>
      <c r="GQ972" s="56"/>
      <c r="GR972" s="56"/>
      <c r="GS972" s="56"/>
      <c r="GT972" s="56"/>
      <c r="GU972" s="56"/>
      <c r="GV972" s="56"/>
      <c r="GW972" s="56"/>
      <c r="GX972" s="56"/>
      <c r="GY972" s="56"/>
      <c r="GZ972" s="56"/>
      <c r="HA972" s="56"/>
      <c r="HB972" s="56"/>
      <c r="HC972" s="56"/>
      <c r="HD972" s="56"/>
      <c r="HE972" s="56"/>
      <c r="HF972" s="56"/>
      <c r="HG972" s="56"/>
      <c r="HH972" s="56"/>
      <c r="HI972" s="56"/>
      <c r="HJ972" s="56"/>
    </row>
    <row r="973" spans="1:218" ht="15.75" customHeight="1" x14ac:dyDescent="0.2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  <c r="BV973" s="56"/>
      <c r="BW973" s="56"/>
      <c r="BX973" s="56"/>
      <c r="BY973" s="56"/>
      <c r="BZ973" s="56"/>
      <c r="CA973" s="56"/>
      <c r="CB973" s="56"/>
      <c r="CC973" s="56"/>
      <c r="CD973" s="56"/>
      <c r="CE973" s="56"/>
      <c r="CF973" s="56"/>
      <c r="CG973" s="56"/>
      <c r="CH973" s="56"/>
      <c r="CI973" s="56"/>
      <c r="CJ973" s="56"/>
      <c r="CK973" s="56"/>
      <c r="CL973" s="56"/>
      <c r="CM973" s="56"/>
      <c r="CN973" s="56"/>
      <c r="CO973" s="56"/>
      <c r="CP973" s="56"/>
      <c r="CQ973" s="56"/>
      <c r="CR973" s="56"/>
      <c r="CS973" s="56"/>
      <c r="CT973" s="56"/>
      <c r="CU973" s="56"/>
      <c r="CV973" s="56"/>
      <c r="CW973" s="56"/>
      <c r="CX973" s="56"/>
      <c r="CY973" s="56"/>
      <c r="CZ973" s="56"/>
      <c r="DA973" s="56"/>
      <c r="DB973" s="56"/>
      <c r="DC973" s="56"/>
      <c r="DD973" s="56"/>
      <c r="DE973" s="56"/>
      <c r="DF973" s="56"/>
      <c r="DG973" s="56"/>
      <c r="DH973" s="56"/>
      <c r="DI973" s="56"/>
      <c r="DJ973" s="56"/>
      <c r="DK973" s="56"/>
      <c r="DL973" s="56"/>
      <c r="DM973" s="56"/>
      <c r="DN973" s="56"/>
      <c r="DO973" s="56"/>
      <c r="DP973" s="56"/>
      <c r="DQ973" s="56"/>
      <c r="DR973" s="56"/>
      <c r="DS973" s="56"/>
      <c r="DT973" s="56"/>
      <c r="DU973" s="56"/>
      <c r="DV973" s="56"/>
      <c r="DW973" s="56"/>
      <c r="DX973" s="56"/>
      <c r="DY973" s="56"/>
      <c r="DZ973" s="56"/>
      <c r="EA973" s="56"/>
      <c r="EB973" s="56"/>
      <c r="EC973" s="56"/>
      <c r="ED973" s="56"/>
      <c r="EE973" s="56"/>
      <c r="EF973" s="56"/>
      <c r="EG973" s="56"/>
      <c r="EH973" s="56"/>
      <c r="EI973" s="56"/>
      <c r="EJ973" s="56"/>
      <c r="EK973" s="56"/>
      <c r="EL973" s="56"/>
      <c r="EM973" s="56"/>
      <c r="EN973" s="56"/>
      <c r="EO973" s="56"/>
      <c r="EP973" s="56"/>
      <c r="EQ973" s="56"/>
      <c r="ER973" s="56"/>
      <c r="ES973" s="56"/>
      <c r="ET973" s="56"/>
      <c r="EU973" s="56"/>
      <c r="EV973" s="56"/>
      <c r="EW973" s="56"/>
      <c r="EX973" s="56"/>
      <c r="EY973" s="56"/>
      <c r="EZ973" s="56"/>
      <c r="FA973" s="56"/>
      <c r="FB973" s="56"/>
      <c r="FC973" s="56"/>
      <c r="FD973" s="56"/>
      <c r="FE973" s="56"/>
      <c r="FF973" s="56"/>
      <c r="FG973" s="56"/>
      <c r="FH973" s="56"/>
      <c r="FI973" s="56"/>
      <c r="FJ973" s="56"/>
      <c r="FK973" s="56"/>
      <c r="FL973" s="56"/>
      <c r="FM973" s="56"/>
      <c r="FN973" s="56"/>
      <c r="FO973" s="56"/>
      <c r="FP973" s="56"/>
      <c r="FQ973" s="56"/>
      <c r="FR973" s="56"/>
      <c r="FS973" s="56"/>
      <c r="FT973" s="56"/>
      <c r="FU973" s="56"/>
      <c r="FV973" s="56"/>
      <c r="FW973" s="56"/>
      <c r="FX973" s="56"/>
      <c r="FY973" s="56"/>
      <c r="FZ973" s="56"/>
      <c r="GA973" s="56"/>
      <c r="GB973" s="56"/>
      <c r="GC973" s="56"/>
      <c r="GD973" s="56"/>
      <c r="GE973" s="56"/>
      <c r="GF973" s="56"/>
      <c r="GG973" s="56"/>
      <c r="GH973" s="56"/>
      <c r="GI973" s="56"/>
      <c r="GJ973" s="56"/>
      <c r="GK973" s="56"/>
      <c r="GL973" s="56"/>
      <c r="GM973" s="56"/>
      <c r="GN973" s="56"/>
      <c r="GO973" s="56"/>
      <c r="GP973" s="56"/>
      <c r="GQ973" s="56"/>
      <c r="GR973" s="56"/>
      <c r="GS973" s="56"/>
      <c r="GT973" s="56"/>
      <c r="GU973" s="56"/>
      <c r="GV973" s="56"/>
      <c r="GW973" s="56"/>
      <c r="GX973" s="56"/>
      <c r="GY973" s="56"/>
      <c r="GZ973" s="56"/>
      <c r="HA973" s="56"/>
      <c r="HB973" s="56"/>
      <c r="HC973" s="56"/>
      <c r="HD973" s="56"/>
      <c r="HE973" s="56"/>
      <c r="HF973" s="56"/>
      <c r="HG973" s="56"/>
      <c r="HH973" s="56"/>
      <c r="HI973" s="56"/>
      <c r="HJ973" s="56"/>
    </row>
    <row r="974" spans="1:218" ht="15.75" customHeight="1" x14ac:dyDescent="0.2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  <c r="BV974" s="56"/>
      <c r="BW974" s="56"/>
      <c r="BX974" s="56"/>
      <c r="BY974" s="56"/>
      <c r="BZ974" s="56"/>
      <c r="CA974" s="56"/>
      <c r="CB974" s="56"/>
      <c r="CC974" s="56"/>
      <c r="CD974" s="56"/>
      <c r="CE974" s="56"/>
      <c r="CF974" s="56"/>
      <c r="CG974" s="56"/>
      <c r="CH974" s="56"/>
      <c r="CI974" s="56"/>
      <c r="CJ974" s="56"/>
      <c r="CK974" s="56"/>
      <c r="CL974" s="56"/>
      <c r="CM974" s="56"/>
      <c r="CN974" s="56"/>
      <c r="CO974" s="56"/>
      <c r="CP974" s="56"/>
      <c r="CQ974" s="56"/>
      <c r="CR974" s="56"/>
      <c r="CS974" s="56"/>
      <c r="CT974" s="56"/>
      <c r="CU974" s="56"/>
      <c r="CV974" s="56"/>
      <c r="CW974" s="56"/>
      <c r="CX974" s="56"/>
      <c r="CY974" s="56"/>
      <c r="CZ974" s="56"/>
      <c r="DA974" s="56"/>
      <c r="DB974" s="56"/>
      <c r="DC974" s="56"/>
      <c r="DD974" s="56"/>
      <c r="DE974" s="56"/>
      <c r="DF974" s="56"/>
      <c r="DG974" s="56"/>
      <c r="DH974" s="56"/>
      <c r="DI974" s="56"/>
      <c r="DJ974" s="56"/>
      <c r="DK974" s="56"/>
      <c r="DL974" s="56"/>
      <c r="DM974" s="56"/>
      <c r="DN974" s="56"/>
      <c r="DO974" s="56"/>
      <c r="DP974" s="56"/>
      <c r="DQ974" s="56"/>
      <c r="DR974" s="56"/>
      <c r="DS974" s="56"/>
      <c r="DT974" s="56"/>
      <c r="DU974" s="56"/>
      <c r="DV974" s="56"/>
      <c r="DW974" s="56"/>
      <c r="DX974" s="56"/>
      <c r="DY974" s="56"/>
      <c r="DZ974" s="56"/>
      <c r="EA974" s="56"/>
      <c r="EB974" s="56"/>
      <c r="EC974" s="56"/>
      <c r="ED974" s="56"/>
      <c r="EE974" s="56"/>
      <c r="EF974" s="56"/>
      <c r="EG974" s="56"/>
      <c r="EH974" s="56"/>
      <c r="EI974" s="56"/>
      <c r="EJ974" s="56"/>
      <c r="EK974" s="56"/>
      <c r="EL974" s="56"/>
      <c r="EM974" s="56"/>
      <c r="EN974" s="56"/>
      <c r="EO974" s="56"/>
      <c r="EP974" s="56"/>
      <c r="EQ974" s="56"/>
      <c r="ER974" s="56"/>
      <c r="ES974" s="56"/>
      <c r="ET974" s="56"/>
      <c r="EU974" s="56"/>
      <c r="EV974" s="56"/>
      <c r="EW974" s="56"/>
      <c r="EX974" s="56"/>
      <c r="EY974" s="56"/>
      <c r="EZ974" s="56"/>
      <c r="FA974" s="56"/>
      <c r="FB974" s="56"/>
      <c r="FC974" s="56"/>
      <c r="FD974" s="56"/>
      <c r="FE974" s="56"/>
      <c r="FF974" s="56"/>
      <c r="FG974" s="56"/>
      <c r="FH974" s="56"/>
      <c r="FI974" s="56"/>
      <c r="FJ974" s="56"/>
      <c r="FK974" s="56"/>
      <c r="FL974" s="56"/>
      <c r="FM974" s="56"/>
      <c r="FN974" s="56"/>
      <c r="FO974" s="56"/>
      <c r="FP974" s="56"/>
      <c r="FQ974" s="56"/>
      <c r="FR974" s="56"/>
      <c r="FS974" s="56"/>
      <c r="FT974" s="56"/>
      <c r="FU974" s="56"/>
      <c r="FV974" s="56"/>
      <c r="FW974" s="56"/>
      <c r="FX974" s="56"/>
      <c r="FY974" s="56"/>
      <c r="FZ974" s="56"/>
      <c r="GA974" s="56"/>
      <c r="GB974" s="56"/>
      <c r="GC974" s="56"/>
      <c r="GD974" s="56"/>
      <c r="GE974" s="56"/>
      <c r="GF974" s="56"/>
      <c r="GG974" s="56"/>
      <c r="GH974" s="56"/>
      <c r="GI974" s="56"/>
      <c r="GJ974" s="56"/>
      <c r="GK974" s="56"/>
      <c r="GL974" s="56"/>
      <c r="GM974" s="56"/>
      <c r="GN974" s="56"/>
      <c r="GO974" s="56"/>
      <c r="GP974" s="56"/>
      <c r="GQ974" s="56"/>
      <c r="GR974" s="56"/>
      <c r="GS974" s="56"/>
      <c r="GT974" s="56"/>
      <c r="GU974" s="56"/>
      <c r="GV974" s="56"/>
      <c r="GW974" s="56"/>
      <c r="GX974" s="56"/>
      <c r="GY974" s="56"/>
      <c r="GZ974" s="56"/>
      <c r="HA974" s="56"/>
      <c r="HB974" s="56"/>
      <c r="HC974" s="56"/>
      <c r="HD974" s="56"/>
      <c r="HE974" s="56"/>
      <c r="HF974" s="56"/>
      <c r="HG974" s="56"/>
      <c r="HH974" s="56"/>
      <c r="HI974" s="56"/>
      <c r="HJ974" s="56"/>
    </row>
    <row r="975" spans="1:218" ht="15.75" customHeight="1" x14ac:dyDescent="0.2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  <c r="BV975" s="56"/>
      <c r="BW975" s="56"/>
      <c r="BX975" s="56"/>
      <c r="BY975" s="56"/>
      <c r="BZ975" s="56"/>
      <c r="CA975" s="56"/>
      <c r="CB975" s="56"/>
      <c r="CC975" s="56"/>
      <c r="CD975" s="56"/>
      <c r="CE975" s="56"/>
      <c r="CF975" s="56"/>
      <c r="CG975" s="56"/>
      <c r="CH975" s="56"/>
      <c r="CI975" s="56"/>
      <c r="CJ975" s="56"/>
      <c r="CK975" s="56"/>
      <c r="CL975" s="56"/>
      <c r="CM975" s="56"/>
      <c r="CN975" s="56"/>
      <c r="CO975" s="56"/>
      <c r="CP975" s="56"/>
      <c r="CQ975" s="56"/>
      <c r="CR975" s="56"/>
      <c r="CS975" s="56"/>
      <c r="CT975" s="56"/>
      <c r="CU975" s="56"/>
      <c r="CV975" s="56"/>
      <c r="CW975" s="56"/>
      <c r="CX975" s="56"/>
      <c r="CY975" s="56"/>
      <c r="CZ975" s="56"/>
      <c r="DA975" s="56"/>
      <c r="DB975" s="56"/>
      <c r="DC975" s="56"/>
      <c r="DD975" s="56"/>
      <c r="DE975" s="56"/>
      <c r="DF975" s="56"/>
      <c r="DG975" s="56"/>
      <c r="DH975" s="56"/>
      <c r="DI975" s="56"/>
      <c r="DJ975" s="56"/>
      <c r="DK975" s="56"/>
      <c r="DL975" s="56"/>
      <c r="DM975" s="56"/>
      <c r="DN975" s="56"/>
      <c r="DO975" s="56"/>
      <c r="DP975" s="56"/>
      <c r="DQ975" s="56"/>
      <c r="DR975" s="56"/>
      <c r="DS975" s="56"/>
      <c r="DT975" s="56"/>
      <c r="DU975" s="56"/>
      <c r="DV975" s="56"/>
      <c r="DW975" s="56"/>
      <c r="DX975" s="56"/>
      <c r="DY975" s="56"/>
      <c r="DZ975" s="56"/>
      <c r="EA975" s="56"/>
      <c r="EB975" s="56"/>
      <c r="EC975" s="56"/>
      <c r="ED975" s="56"/>
      <c r="EE975" s="56"/>
      <c r="EF975" s="56"/>
      <c r="EG975" s="56"/>
      <c r="EH975" s="56"/>
      <c r="EI975" s="56"/>
      <c r="EJ975" s="56"/>
      <c r="EK975" s="56"/>
      <c r="EL975" s="56"/>
      <c r="EM975" s="56"/>
      <c r="EN975" s="56"/>
      <c r="EO975" s="56"/>
      <c r="EP975" s="56"/>
      <c r="EQ975" s="56"/>
      <c r="ER975" s="56"/>
      <c r="ES975" s="56"/>
      <c r="ET975" s="56"/>
      <c r="EU975" s="56"/>
      <c r="EV975" s="56"/>
      <c r="EW975" s="56"/>
      <c r="EX975" s="56"/>
      <c r="EY975" s="56"/>
      <c r="EZ975" s="56"/>
      <c r="FA975" s="56"/>
      <c r="FB975" s="56"/>
      <c r="FC975" s="56"/>
      <c r="FD975" s="56"/>
      <c r="FE975" s="56"/>
      <c r="FF975" s="56"/>
      <c r="FG975" s="56"/>
      <c r="FH975" s="56"/>
      <c r="FI975" s="56"/>
      <c r="FJ975" s="56"/>
      <c r="FK975" s="56"/>
      <c r="FL975" s="56"/>
      <c r="FM975" s="56"/>
      <c r="FN975" s="56"/>
      <c r="FO975" s="56"/>
      <c r="FP975" s="56"/>
      <c r="FQ975" s="56"/>
      <c r="FR975" s="56"/>
      <c r="FS975" s="56"/>
      <c r="FT975" s="56"/>
      <c r="FU975" s="56"/>
      <c r="FV975" s="56"/>
      <c r="FW975" s="56"/>
      <c r="FX975" s="56"/>
      <c r="FY975" s="56"/>
      <c r="FZ975" s="56"/>
      <c r="GA975" s="56"/>
      <c r="GB975" s="56"/>
      <c r="GC975" s="56"/>
      <c r="GD975" s="56"/>
      <c r="GE975" s="56"/>
      <c r="GF975" s="56"/>
      <c r="GG975" s="56"/>
      <c r="GH975" s="56"/>
      <c r="GI975" s="56"/>
      <c r="GJ975" s="56"/>
      <c r="GK975" s="56"/>
      <c r="GL975" s="56"/>
      <c r="GM975" s="56"/>
      <c r="GN975" s="56"/>
      <c r="GO975" s="56"/>
      <c r="GP975" s="56"/>
      <c r="GQ975" s="56"/>
      <c r="GR975" s="56"/>
      <c r="GS975" s="56"/>
      <c r="GT975" s="56"/>
      <c r="GU975" s="56"/>
      <c r="GV975" s="56"/>
      <c r="GW975" s="56"/>
      <c r="GX975" s="56"/>
      <c r="GY975" s="56"/>
      <c r="GZ975" s="56"/>
      <c r="HA975" s="56"/>
      <c r="HB975" s="56"/>
      <c r="HC975" s="56"/>
      <c r="HD975" s="56"/>
      <c r="HE975" s="56"/>
      <c r="HF975" s="56"/>
      <c r="HG975" s="56"/>
      <c r="HH975" s="56"/>
      <c r="HI975" s="56"/>
      <c r="HJ975" s="56"/>
    </row>
    <row r="976" spans="1:218" ht="15.75" customHeight="1" x14ac:dyDescent="0.2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  <c r="BV976" s="56"/>
      <c r="BW976" s="56"/>
      <c r="BX976" s="56"/>
      <c r="BY976" s="56"/>
      <c r="BZ976" s="56"/>
      <c r="CA976" s="56"/>
      <c r="CB976" s="56"/>
      <c r="CC976" s="56"/>
      <c r="CD976" s="56"/>
      <c r="CE976" s="56"/>
      <c r="CF976" s="56"/>
      <c r="CG976" s="56"/>
      <c r="CH976" s="56"/>
      <c r="CI976" s="56"/>
      <c r="CJ976" s="56"/>
      <c r="CK976" s="56"/>
      <c r="CL976" s="56"/>
      <c r="CM976" s="56"/>
      <c r="CN976" s="56"/>
      <c r="CO976" s="56"/>
      <c r="CP976" s="56"/>
      <c r="CQ976" s="56"/>
      <c r="CR976" s="56"/>
      <c r="CS976" s="56"/>
      <c r="CT976" s="56"/>
      <c r="CU976" s="56"/>
      <c r="CV976" s="56"/>
      <c r="CW976" s="56"/>
      <c r="CX976" s="56"/>
      <c r="CY976" s="56"/>
      <c r="CZ976" s="56"/>
      <c r="DA976" s="56"/>
      <c r="DB976" s="56"/>
      <c r="DC976" s="56"/>
      <c r="DD976" s="56"/>
      <c r="DE976" s="56"/>
      <c r="DF976" s="56"/>
      <c r="DG976" s="56"/>
      <c r="DH976" s="56"/>
      <c r="DI976" s="56"/>
      <c r="DJ976" s="56"/>
      <c r="DK976" s="56"/>
      <c r="DL976" s="56"/>
      <c r="DM976" s="56"/>
      <c r="DN976" s="56"/>
      <c r="DO976" s="56"/>
      <c r="DP976" s="56"/>
      <c r="DQ976" s="56"/>
      <c r="DR976" s="56"/>
      <c r="DS976" s="56"/>
      <c r="DT976" s="56"/>
      <c r="DU976" s="56"/>
      <c r="DV976" s="56"/>
      <c r="DW976" s="56"/>
      <c r="DX976" s="56"/>
      <c r="DY976" s="56"/>
      <c r="DZ976" s="56"/>
      <c r="EA976" s="56"/>
      <c r="EB976" s="56"/>
      <c r="EC976" s="56"/>
      <c r="ED976" s="56"/>
      <c r="EE976" s="56"/>
      <c r="EF976" s="56"/>
      <c r="EG976" s="56"/>
      <c r="EH976" s="56"/>
      <c r="EI976" s="56"/>
      <c r="EJ976" s="56"/>
      <c r="EK976" s="56"/>
      <c r="EL976" s="56"/>
      <c r="EM976" s="56"/>
      <c r="EN976" s="56"/>
      <c r="EO976" s="56"/>
      <c r="EP976" s="56"/>
      <c r="EQ976" s="56"/>
      <c r="ER976" s="56"/>
      <c r="ES976" s="56"/>
      <c r="ET976" s="56"/>
      <c r="EU976" s="56"/>
      <c r="EV976" s="56"/>
      <c r="EW976" s="56"/>
      <c r="EX976" s="56"/>
      <c r="EY976" s="56"/>
      <c r="EZ976" s="56"/>
      <c r="FA976" s="56"/>
      <c r="FB976" s="56"/>
      <c r="FC976" s="56"/>
      <c r="FD976" s="56"/>
      <c r="FE976" s="56"/>
      <c r="FF976" s="56"/>
      <c r="FG976" s="56"/>
      <c r="FH976" s="56"/>
      <c r="FI976" s="56"/>
      <c r="FJ976" s="56"/>
      <c r="FK976" s="56"/>
      <c r="FL976" s="56"/>
      <c r="FM976" s="56"/>
      <c r="FN976" s="56"/>
      <c r="FO976" s="56"/>
      <c r="FP976" s="56"/>
      <c r="FQ976" s="56"/>
      <c r="FR976" s="56"/>
      <c r="FS976" s="56"/>
      <c r="FT976" s="56"/>
      <c r="FU976" s="56"/>
      <c r="FV976" s="56"/>
      <c r="FW976" s="56"/>
      <c r="FX976" s="56"/>
      <c r="FY976" s="56"/>
      <c r="FZ976" s="56"/>
      <c r="GA976" s="56"/>
      <c r="GB976" s="56"/>
      <c r="GC976" s="56"/>
      <c r="GD976" s="56"/>
      <c r="GE976" s="56"/>
      <c r="GF976" s="56"/>
      <c r="GG976" s="56"/>
      <c r="GH976" s="56"/>
      <c r="GI976" s="56"/>
      <c r="GJ976" s="56"/>
      <c r="GK976" s="56"/>
      <c r="GL976" s="56"/>
      <c r="GM976" s="56"/>
      <c r="GN976" s="56"/>
      <c r="GO976" s="56"/>
      <c r="GP976" s="56"/>
      <c r="GQ976" s="56"/>
      <c r="GR976" s="56"/>
      <c r="GS976" s="56"/>
      <c r="GT976" s="56"/>
      <c r="GU976" s="56"/>
      <c r="GV976" s="56"/>
      <c r="GW976" s="56"/>
      <c r="GX976" s="56"/>
      <c r="GY976" s="56"/>
      <c r="GZ976" s="56"/>
      <c r="HA976" s="56"/>
      <c r="HB976" s="56"/>
      <c r="HC976" s="56"/>
      <c r="HD976" s="56"/>
      <c r="HE976" s="56"/>
      <c r="HF976" s="56"/>
      <c r="HG976" s="56"/>
      <c r="HH976" s="56"/>
      <c r="HI976" s="56"/>
      <c r="HJ976" s="56"/>
    </row>
    <row r="977" spans="1:218" ht="15.75" customHeight="1" x14ac:dyDescent="0.2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  <c r="BV977" s="56"/>
      <c r="BW977" s="56"/>
      <c r="BX977" s="56"/>
      <c r="BY977" s="56"/>
      <c r="BZ977" s="56"/>
      <c r="CA977" s="56"/>
      <c r="CB977" s="56"/>
      <c r="CC977" s="56"/>
      <c r="CD977" s="56"/>
      <c r="CE977" s="56"/>
      <c r="CF977" s="56"/>
      <c r="CG977" s="56"/>
      <c r="CH977" s="56"/>
      <c r="CI977" s="56"/>
      <c r="CJ977" s="56"/>
      <c r="CK977" s="56"/>
      <c r="CL977" s="56"/>
      <c r="CM977" s="56"/>
      <c r="CN977" s="56"/>
      <c r="CO977" s="56"/>
      <c r="CP977" s="56"/>
      <c r="CQ977" s="56"/>
      <c r="CR977" s="56"/>
      <c r="CS977" s="56"/>
      <c r="CT977" s="56"/>
      <c r="CU977" s="56"/>
      <c r="CV977" s="56"/>
      <c r="CW977" s="56"/>
      <c r="CX977" s="56"/>
      <c r="CY977" s="56"/>
      <c r="CZ977" s="56"/>
      <c r="DA977" s="56"/>
      <c r="DB977" s="56"/>
      <c r="DC977" s="56"/>
      <c r="DD977" s="56"/>
      <c r="DE977" s="56"/>
      <c r="DF977" s="56"/>
      <c r="DG977" s="56"/>
      <c r="DH977" s="56"/>
      <c r="DI977" s="56"/>
      <c r="DJ977" s="56"/>
      <c r="DK977" s="56"/>
      <c r="DL977" s="56"/>
      <c r="DM977" s="56"/>
      <c r="DN977" s="56"/>
      <c r="DO977" s="56"/>
      <c r="DP977" s="56"/>
      <c r="DQ977" s="56"/>
      <c r="DR977" s="56"/>
      <c r="DS977" s="56"/>
      <c r="DT977" s="56"/>
      <c r="DU977" s="56"/>
      <c r="DV977" s="56"/>
      <c r="DW977" s="56"/>
      <c r="DX977" s="56"/>
      <c r="DY977" s="56"/>
      <c r="DZ977" s="56"/>
      <c r="EA977" s="56"/>
      <c r="EB977" s="56"/>
      <c r="EC977" s="56"/>
      <c r="ED977" s="56"/>
      <c r="EE977" s="56"/>
      <c r="EF977" s="56"/>
      <c r="EG977" s="56"/>
      <c r="EH977" s="56"/>
      <c r="EI977" s="56"/>
      <c r="EJ977" s="56"/>
      <c r="EK977" s="56"/>
      <c r="EL977" s="56"/>
      <c r="EM977" s="56"/>
      <c r="EN977" s="56"/>
      <c r="EO977" s="56"/>
      <c r="EP977" s="56"/>
      <c r="EQ977" s="56"/>
      <c r="ER977" s="56"/>
      <c r="ES977" s="56"/>
      <c r="ET977" s="56"/>
      <c r="EU977" s="56"/>
      <c r="EV977" s="56"/>
      <c r="EW977" s="56"/>
      <c r="EX977" s="56"/>
      <c r="EY977" s="56"/>
      <c r="EZ977" s="56"/>
      <c r="FA977" s="56"/>
      <c r="FB977" s="56"/>
      <c r="FC977" s="56"/>
      <c r="FD977" s="56"/>
      <c r="FE977" s="56"/>
      <c r="FF977" s="56"/>
      <c r="FG977" s="56"/>
      <c r="FH977" s="56"/>
      <c r="FI977" s="56"/>
      <c r="FJ977" s="56"/>
      <c r="FK977" s="56"/>
      <c r="FL977" s="56"/>
      <c r="FM977" s="56"/>
      <c r="FN977" s="56"/>
      <c r="FO977" s="56"/>
      <c r="FP977" s="56"/>
      <c r="FQ977" s="56"/>
      <c r="FR977" s="56"/>
      <c r="FS977" s="56"/>
      <c r="FT977" s="56"/>
      <c r="FU977" s="56"/>
      <c r="FV977" s="56"/>
      <c r="FW977" s="56"/>
      <c r="FX977" s="56"/>
      <c r="FY977" s="56"/>
      <c r="FZ977" s="56"/>
      <c r="GA977" s="56"/>
      <c r="GB977" s="56"/>
      <c r="GC977" s="56"/>
      <c r="GD977" s="56"/>
      <c r="GE977" s="56"/>
      <c r="GF977" s="56"/>
      <c r="GG977" s="56"/>
      <c r="GH977" s="56"/>
      <c r="GI977" s="56"/>
      <c r="GJ977" s="56"/>
      <c r="GK977" s="56"/>
      <c r="GL977" s="56"/>
      <c r="GM977" s="56"/>
      <c r="GN977" s="56"/>
      <c r="GO977" s="56"/>
      <c r="GP977" s="56"/>
      <c r="GQ977" s="56"/>
      <c r="GR977" s="56"/>
      <c r="GS977" s="56"/>
      <c r="GT977" s="56"/>
      <c r="GU977" s="56"/>
      <c r="GV977" s="56"/>
      <c r="GW977" s="56"/>
      <c r="GX977" s="56"/>
      <c r="GY977" s="56"/>
      <c r="GZ977" s="56"/>
      <c r="HA977" s="56"/>
      <c r="HB977" s="56"/>
      <c r="HC977" s="56"/>
      <c r="HD977" s="56"/>
      <c r="HE977" s="56"/>
      <c r="HF977" s="56"/>
      <c r="HG977" s="56"/>
      <c r="HH977" s="56"/>
      <c r="HI977" s="56"/>
      <c r="HJ977" s="56"/>
    </row>
    <row r="978" spans="1:218" ht="15.75" customHeight="1" x14ac:dyDescent="0.2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  <c r="BV978" s="56"/>
      <c r="BW978" s="56"/>
      <c r="BX978" s="56"/>
      <c r="BY978" s="56"/>
      <c r="BZ978" s="56"/>
      <c r="CA978" s="56"/>
      <c r="CB978" s="56"/>
      <c r="CC978" s="56"/>
      <c r="CD978" s="56"/>
      <c r="CE978" s="56"/>
      <c r="CF978" s="56"/>
      <c r="CG978" s="56"/>
      <c r="CH978" s="56"/>
      <c r="CI978" s="56"/>
      <c r="CJ978" s="56"/>
      <c r="CK978" s="56"/>
      <c r="CL978" s="56"/>
      <c r="CM978" s="56"/>
      <c r="CN978" s="56"/>
      <c r="CO978" s="56"/>
      <c r="CP978" s="56"/>
      <c r="CQ978" s="56"/>
      <c r="CR978" s="56"/>
      <c r="CS978" s="56"/>
      <c r="CT978" s="56"/>
      <c r="CU978" s="56"/>
      <c r="CV978" s="56"/>
      <c r="CW978" s="56"/>
      <c r="CX978" s="56"/>
      <c r="CY978" s="56"/>
      <c r="CZ978" s="56"/>
      <c r="DA978" s="56"/>
      <c r="DB978" s="56"/>
      <c r="DC978" s="56"/>
      <c r="DD978" s="56"/>
      <c r="DE978" s="56"/>
      <c r="DF978" s="56"/>
      <c r="DG978" s="56"/>
      <c r="DH978" s="56"/>
      <c r="DI978" s="56"/>
      <c r="DJ978" s="56"/>
      <c r="DK978" s="56"/>
      <c r="DL978" s="56"/>
      <c r="DM978" s="56"/>
      <c r="DN978" s="56"/>
      <c r="DO978" s="56"/>
      <c r="DP978" s="56"/>
      <c r="DQ978" s="56"/>
      <c r="DR978" s="56"/>
      <c r="DS978" s="56"/>
      <c r="DT978" s="56"/>
      <c r="DU978" s="56"/>
      <c r="DV978" s="56"/>
      <c r="DW978" s="56"/>
      <c r="DX978" s="56"/>
      <c r="DY978" s="56"/>
      <c r="DZ978" s="56"/>
      <c r="EA978" s="56"/>
      <c r="EB978" s="56"/>
      <c r="EC978" s="56"/>
      <c r="ED978" s="56"/>
      <c r="EE978" s="56"/>
      <c r="EF978" s="56"/>
      <c r="EG978" s="56"/>
      <c r="EH978" s="56"/>
      <c r="EI978" s="56"/>
      <c r="EJ978" s="56"/>
      <c r="EK978" s="56"/>
      <c r="EL978" s="56"/>
      <c r="EM978" s="56"/>
      <c r="EN978" s="56"/>
      <c r="EO978" s="56"/>
      <c r="EP978" s="56"/>
      <c r="EQ978" s="56"/>
      <c r="ER978" s="56"/>
      <c r="ES978" s="56"/>
      <c r="ET978" s="56"/>
      <c r="EU978" s="56"/>
      <c r="EV978" s="56"/>
      <c r="EW978" s="56"/>
      <c r="EX978" s="56"/>
      <c r="EY978" s="56"/>
      <c r="EZ978" s="56"/>
      <c r="FA978" s="56"/>
      <c r="FB978" s="56"/>
      <c r="FC978" s="56"/>
      <c r="FD978" s="56"/>
      <c r="FE978" s="56"/>
      <c r="FF978" s="56"/>
      <c r="FG978" s="56"/>
      <c r="FH978" s="56"/>
      <c r="FI978" s="56"/>
      <c r="FJ978" s="56"/>
      <c r="FK978" s="56"/>
      <c r="FL978" s="56"/>
      <c r="FM978" s="56"/>
      <c r="FN978" s="56"/>
      <c r="FO978" s="56"/>
      <c r="FP978" s="56"/>
      <c r="FQ978" s="56"/>
      <c r="FR978" s="56"/>
      <c r="FS978" s="56"/>
      <c r="FT978" s="56"/>
      <c r="FU978" s="56"/>
      <c r="FV978" s="56"/>
      <c r="FW978" s="56"/>
      <c r="FX978" s="56"/>
      <c r="FY978" s="56"/>
      <c r="FZ978" s="56"/>
      <c r="GA978" s="56"/>
      <c r="GB978" s="56"/>
      <c r="GC978" s="56"/>
      <c r="GD978" s="56"/>
      <c r="GE978" s="56"/>
      <c r="GF978" s="56"/>
      <c r="GG978" s="56"/>
      <c r="GH978" s="56"/>
      <c r="GI978" s="56"/>
      <c r="GJ978" s="56"/>
      <c r="GK978" s="56"/>
      <c r="GL978" s="56"/>
      <c r="GM978" s="56"/>
      <c r="GN978" s="56"/>
      <c r="GO978" s="56"/>
      <c r="GP978" s="56"/>
      <c r="GQ978" s="56"/>
      <c r="GR978" s="56"/>
      <c r="GS978" s="56"/>
      <c r="GT978" s="56"/>
      <c r="GU978" s="56"/>
      <c r="GV978" s="56"/>
      <c r="GW978" s="56"/>
      <c r="GX978" s="56"/>
      <c r="GY978" s="56"/>
      <c r="GZ978" s="56"/>
      <c r="HA978" s="56"/>
      <c r="HB978" s="56"/>
      <c r="HC978" s="56"/>
      <c r="HD978" s="56"/>
      <c r="HE978" s="56"/>
      <c r="HF978" s="56"/>
      <c r="HG978" s="56"/>
      <c r="HH978" s="56"/>
      <c r="HI978" s="56"/>
      <c r="HJ978" s="56"/>
    </row>
    <row r="979" spans="1:218" ht="15.75" customHeight="1" x14ac:dyDescent="0.2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  <c r="BV979" s="56"/>
      <c r="BW979" s="56"/>
      <c r="BX979" s="56"/>
      <c r="BY979" s="56"/>
      <c r="BZ979" s="56"/>
      <c r="CA979" s="56"/>
      <c r="CB979" s="56"/>
      <c r="CC979" s="56"/>
      <c r="CD979" s="56"/>
      <c r="CE979" s="56"/>
      <c r="CF979" s="56"/>
      <c r="CG979" s="56"/>
      <c r="CH979" s="56"/>
      <c r="CI979" s="56"/>
      <c r="CJ979" s="56"/>
      <c r="CK979" s="56"/>
      <c r="CL979" s="56"/>
      <c r="CM979" s="56"/>
      <c r="CN979" s="56"/>
      <c r="CO979" s="56"/>
      <c r="CP979" s="56"/>
      <c r="CQ979" s="56"/>
      <c r="CR979" s="56"/>
      <c r="CS979" s="56"/>
      <c r="CT979" s="56"/>
      <c r="CU979" s="56"/>
      <c r="CV979" s="56"/>
      <c r="CW979" s="56"/>
      <c r="CX979" s="56"/>
      <c r="CY979" s="56"/>
      <c r="CZ979" s="56"/>
      <c r="DA979" s="56"/>
      <c r="DB979" s="56"/>
      <c r="DC979" s="56"/>
      <c r="DD979" s="56"/>
      <c r="DE979" s="56"/>
      <c r="DF979" s="56"/>
      <c r="DG979" s="56"/>
      <c r="DH979" s="56"/>
      <c r="DI979" s="56"/>
      <c r="DJ979" s="56"/>
      <c r="DK979" s="56"/>
      <c r="DL979" s="56"/>
      <c r="DM979" s="56"/>
      <c r="DN979" s="56"/>
      <c r="DO979" s="56"/>
      <c r="DP979" s="56"/>
      <c r="DQ979" s="56"/>
      <c r="DR979" s="56"/>
      <c r="DS979" s="56"/>
      <c r="DT979" s="56"/>
      <c r="DU979" s="56"/>
      <c r="DV979" s="56"/>
      <c r="DW979" s="56"/>
      <c r="DX979" s="56"/>
      <c r="DY979" s="56"/>
      <c r="DZ979" s="56"/>
      <c r="EA979" s="56"/>
      <c r="EB979" s="56"/>
      <c r="EC979" s="56"/>
      <c r="ED979" s="56"/>
      <c r="EE979" s="56"/>
      <c r="EF979" s="56"/>
      <c r="EG979" s="56"/>
      <c r="EH979" s="56"/>
      <c r="EI979" s="56"/>
      <c r="EJ979" s="56"/>
      <c r="EK979" s="56"/>
      <c r="EL979" s="56"/>
      <c r="EM979" s="56"/>
      <c r="EN979" s="56"/>
      <c r="EO979" s="56"/>
      <c r="EP979" s="56"/>
      <c r="EQ979" s="56"/>
      <c r="ER979" s="56"/>
      <c r="ES979" s="56"/>
      <c r="ET979" s="56"/>
      <c r="EU979" s="56"/>
      <c r="EV979" s="56"/>
      <c r="EW979" s="56"/>
      <c r="EX979" s="56"/>
      <c r="EY979" s="56"/>
      <c r="EZ979" s="56"/>
      <c r="FA979" s="56"/>
      <c r="FB979" s="56"/>
      <c r="FC979" s="56"/>
      <c r="FD979" s="56"/>
      <c r="FE979" s="56"/>
      <c r="FF979" s="56"/>
      <c r="FG979" s="56"/>
      <c r="FH979" s="56"/>
      <c r="FI979" s="56"/>
      <c r="FJ979" s="56"/>
      <c r="FK979" s="56"/>
      <c r="FL979" s="56"/>
      <c r="FM979" s="56"/>
      <c r="FN979" s="56"/>
      <c r="FO979" s="56"/>
      <c r="FP979" s="56"/>
      <c r="FQ979" s="56"/>
      <c r="FR979" s="56"/>
      <c r="FS979" s="56"/>
      <c r="FT979" s="56"/>
      <c r="FU979" s="56"/>
      <c r="FV979" s="56"/>
      <c r="FW979" s="56"/>
      <c r="FX979" s="56"/>
      <c r="FY979" s="56"/>
      <c r="FZ979" s="56"/>
      <c r="GA979" s="56"/>
      <c r="GB979" s="56"/>
      <c r="GC979" s="56"/>
      <c r="GD979" s="56"/>
      <c r="GE979" s="56"/>
      <c r="GF979" s="56"/>
      <c r="GG979" s="56"/>
      <c r="GH979" s="56"/>
      <c r="GI979" s="56"/>
      <c r="GJ979" s="56"/>
      <c r="GK979" s="56"/>
      <c r="GL979" s="56"/>
      <c r="GM979" s="56"/>
      <c r="GN979" s="56"/>
      <c r="GO979" s="56"/>
      <c r="GP979" s="56"/>
      <c r="GQ979" s="56"/>
      <c r="GR979" s="56"/>
      <c r="GS979" s="56"/>
      <c r="GT979" s="56"/>
      <c r="GU979" s="56"/>
      <c r="GV979" s="56"/>
      <c r="GW979" s="56"/>
      <c r="GX979" s="56"/>
      <c r="GY979" s="56"/>
      <c r="GZ979" s="56"/>
      <c r="HA979" s="56"/>
      <c r="HB979" s="56"/>
      <c r="HC979" s="56"/>
      <c r="HD979" s="56"/>
      <c r="HE979" s="56"/>
      <c r="HF979" s="56"/>
      <c r="HG979" s="56"/>
      <c r="HH979" s="56"/>
      <c r="HI979" s="56"/>
      <c r="HJ979" s="56"/>
    </row>
    <row r="980" spans="1:218" ht="15.75" customHeight="1" x14ac:dyDescent="0.2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  <c r="BV980" s="56"/>
      <c r="BW980" s="56"/>
      <c r="BX980" s="56"/>
      <c r="BY980" s="56"/>
      <c r="BZ980" s="56"/>
      <c r="CA980" s="56"/>
      <c r="CB980" s="56"/>
      <c r="CC980" s="56"/>
      <c r="CD980" s="56"/>
      <c r="CE980" s="56"/>
      <c r="CF980" s="56"/>
      <c r="CG980" s="56"/>
      <c r="CH980" s="56"/>
      <c r="CI980" s="56"/>
      <c r="CJ980" s="56"/>
      <c r="CK980" s="56"/>
      <c r="CL980" s="56"/>
      <c r="CM980" s="56"/>
      <c r="CN980" s="56"/>
      <c r="CO980" s="56"/>
      <c r="CP980" s="56"/>
      <c r="CQ980" s="56"/>
      <c r="CR980" s="56"/>
      <c r="CS980" s="56"/>
      <c r="CT980" s="56"/>
      <c r="CU980" s="56"/>
      <c r="CV980" s="56"/>
      <c r="CW980" s="56"/>
      <c r="CX980" s="56"/>
      <c r="CY980" s="56"/>
      <c r="CZ980" s="56"/>
      <c r="DA980" s="56"/>
      <c r="DB980" s="56"/>
      <c r="DC980" s="56"/>
      <c r="DD980" s="56"/>
      <c r="DE980" s="56"/>
      <c r="DF980" s="56"/>
      <c r="DG980" s="56"/>
      <c r="DH980" s="56"/>
      <c r="DI980" s="56"/>
      <c r="DJ980" s="56"/>
      <c r="DK980" s="56"/>
      <c r="DL980" s="56"/>
      <c r="DM980" s="56"/>
      <c r="DN980" s="56"/>
      <c r="DO980" s="56"/>
      <c r="DP980" s="56"/>
      <c r="DQ980" s="56"/>
      <c r="DR980" s="56"/>
      <c r="DS980" s="56"/>
      <c r="DT980" s="56"/>
      <c r="DU980" s="56"/>
      <c r="DV980" s="56"/>
      <c r="DW980" s="56"/>
      <c r="DX980" s="56"/>
      <c r="DY980" s="56"/>
      <c r="DZ980" s="56"/>
      <c r="EA980" s="56"/>
      <c r="EB980" s="56"/>
      <c r="EC980" s="56"/>
      <c r="ED980" s="56"/>
      <c r="EE980" s="56"/>
      <c r="EF980" s="56"/>
      <c r="EG980" s="56"/>
      <c r="EH980" s="56"/>
      <c r="EI980" s="56"/>
      <c r="EJ980" s="56"/>
      <c r="EK980" s="56"/>
      <c r="EL980" s="56"/>
      <c r="EM980" s="56"/>
      <c r="EN980" s="56"/>
      <c r="EO980" s="56"/>
      <c r="EP980" s="56"/>
      <c r="EQ980" s="56"/>
      <c r="ER980" s="56"/>
      <c r="ES980" s="56"/>
      <c r="ET980" s="56"/>
      <c r="EU980" s="56"/>
      <c r="EV980" s="56"/>
      <c r="EW980" s="56"/>
      <c r="EX980" s="56"/>
      <c r="EY980" s="56"/>
      <c r="EZ980" s="56"/>
      <c r="FA980" s="56"/>
      <c r="FB980" s="56"/>
      <c r="FC980" s="56"/>
      <c r="FD980" s="56"/>
      <c r="FE980" s="56"/>
      <c r="FF980" s="56"/>
      <c r="FG980" s="56"/>
      <c r="FH980" s="56"/>
      <c r="FI980" s="56"/>
      <c r="FJ980" s="56"/>
      <c r="FK980" s="56"/>
      <c r="FL980" s="56"/>
      <c r="FM980" s="56"/>
      <c r="FN980" s="56"/>
      <c r="FO980" s="56"/>
      <c r="FP980" s="56"/>
      <c r="FQ980" s="56"/>
      <c r="FR980" s="56"/>
      <c r="FS980" s="56"/>
      <c r="FT980" s="56"/>
      <c r="FU980" s="56"/>
      <c r="FV980" s="56"/>
      <c r="FW980" s="56"/>
      <c r="FX980" s="56"/>
      <c r="FY980" s="56"/>
      <c r="FZ980" s="56"/>
      <c r="GA980" s="56"/>
      <c r="GB980" s="56"/>
      <c r="GC980" s="56"/>
      <c r="GD980" s="56"/>
      <c r="GE980" s="56"/>
      <c r="GF980" s="56"/>
      <c r="GG980" s="56"/>
      <c r="GH980" s="56"/>
      <c r="GI980" s="56"/>
      <c r="GJ980" s="56"/>
      <c r="GK980" s="56"/>
      <c r="GL980" s="56"/>
      <c r="GM980" s="56"/>
      <c r="GN980" s="56"/>
      <c r="GO980" s="56"/>
      <c r="GP980" s="56"/>
      <c r="GQ980" s="56"/>
      <c r="GR980" s="56"/>
      <c r="GS980" s="56"/>
      <c r="GT980" s="56"/>
      <c r="GU980" s="56"/>
      <c r="GV980" s="56"/>
      <c r="GW980" s="56"/>
      <c r="GX980" s="56"/>
      <c r="GY980" s="56"/>
      <c r="GZ980" s="56"/>
      <c r="HA980" s="56"/>
      <c r="HB980" s="56"/>
      <c r="HC980" s="56"/>
      <c r="HD980" s="56"/>
      <c r="HE980" s="56"/>
      <c r="HF980" s="56"/>
      <c r="HG980" s="56"/>
      <c r="HH980" s="56"/>
      <c r="HI980" s="56"/>
      <c r="HJ980" s="56"/>
    </row>
    <row r="981" spans="1:218" ht="15.75" customHeight="1" x14ac:dyDescent="0.2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  <c r="BV981" s="56"/>
      <c r="BW981" s="56"/>
      <c r="BX981" s="56"/>
      <c r="BY981" s="56"/>
      <c r="BZ981" s="56"/>
      <c r="CA981" s="56"/>
      <c r="CB981" s="56"/>
      <c r="CC981" s="56"/>
      <c r="CD981" s="56"/>
      <c r="CE981" s="56"/>
      <c r="CF981" s="56"/>
      <c r="CG981" s="56"/>
      <c r="CH981" s="56"/>
      <c r="CI981" s="56"/>
      <c r="CJ981" s="56"/>
      <c r="CK981" s="56"/>
      <c r="CL981" s="56"/>
      <c r="CM981" s="56"/>
      <c r="CN981" s="56"/>
      <c r="CO981" s="56"/>
      <c r="CP981" s="56"/>
      <c r="CQ981" s="56"/>
      <c r="CR981" s="56"/>
      <c r="CS981" s="56"/>
      <c r="CT981" s="56"/>
      <c r="CU981" s="56"/>
      <c r="CV981" s="56"/>
      <c r="CW981" s="56"/>
      <c r="CX981" s="56"/>
      <c r="CY981" s="56"/>
      <c r="CZ981" s="56"/>
      <c r="DA981" s="56"/>
      <c r="DB981" s="56"/>
      <c r="DC981" s="56"/>
      <c r="DD981" s="56"/>
      <c r="DE981" s="56"/>
      <c r="DF981" s="56"/>
      <c r="DG981" s="56"/>
      <c r="DH981" s="56"/>
      <c r="DI981" s="56"/>
      <c r="DJ981" s="56"/>
      <c r="DK981" s="56"/>
      <c r="DL981" s="56"/>
      <c r="DM981" s="56"/>
      <c r="DN981" s="56"/>
      <c r="DO981" s="56"/>
      <c r="DP981" s="56"/>
      <c r="DQ981" s="56"/>
      <c r="DR981" s="56"/>
      <c r="DS981" s="56"/>
      <c r="DT981" s="56"/>
      <c r="DU981" s="56"/>
      <c r="DV981" s="56"/>
      <c r="DW981" s="56"/>
      <c r="DX981" s="56"/>
      <c r="DY981" s="56"/>
      <c r="DZ981" s="56"/>
      <c r="EA981" s="56"/>
      <c r="EB981" s="56"/>
      <c r="EC981" s="56"/>
      <c r="ED981" s="56"/>
      <c r="EE981" s="56"/>
      <c r="EF981" s="56"/>
      <c r="EG981" s="56"/>
      <c r="EH981" s="56"/>
      <c r="EI981" s="56"/>
      <c r="EJ981" s="56"/>
      <c r="EK981" s="56"/>
      <c r="EL981" s="56"/>
      <c r="EM981" s="56"/>
      <c r="EN981" s="56"/>
      <c r="EO981" s="56"/>
      <c r="EP981" s="56"/>
      <c r="EQ981" s="56"/>
      <c r="ER981" s="56"/>
      <c r="ES981" s="56"/>
      <c r="ET981" s="56"/>
      <c r="EU981" s="56"/>
      <c r="EV981" s="56"/>
      <c r="EW981" s="56"/>
      <c r="EX981" s="56"/>
      <c r="EY981" s="56"/>
      <c r="EZ981" s="56"/>
      <c r="FA981" s="56"/>
      <c r="FB981" s="56"/>
      <c r="FC981" s="56"/>
      <c r="FD981" s="56"/>
      <c r="FE981" s="56"/>
      <c r="FF981" s="56"/>
      <c r="FG981" s="56"/>
      <c r="FH981" s="56"/>
      <c r="FI981" s="56"/>
      <c r="FJ981" s="56"/>
      <c r="FK981" s="56"/>
      <c r="FL981" s="56"/>
      <c r="FM981" s="56"/>
      <c r="FN981" s="56"/>
      <c r="FO981" s="56"/>
      <c r="FP981" s="56"/>
      <c r="FQ981" s="56"/>
      <c r="FR981" s="56"/>
      <c r="FS981" s="56"/>
      <c r="FT981" s="56"/>
      <c r="FU981" s="56"/>
      <c r="FV981" s="56"/>
      <c r="FW981" s="56"/>
      <c r="FX981" s="56"/>
      <c r="FY981" s="56"/>
      <c r="FZ981" s="56"/>
      <c r="GA981" s="56"/>
      <c r="GB981" s="56"/>
      <c r="GC981" s="56"/>
      <c r="GD981" s="56"/>
      <c r="GE981" s="56"/>
      <c r="GF981" s="56"/>
      <c r="GG981" s="56"/>
      <c r="GH981" s="56"/>
      <c r="GI981" s="56"/>
      <c r="GJ981" s="56"/>
      <c r="GK981" s="56"/>
      <c r="GL981" s="56"/>
      <c r="GM981" s="56"/>
      <c r="GN981" s="56"/>
      <c r="GO981" s="56"/>
      <c r="GP981" s="56"/>
      <c r="GQ981" s="56"/>
      <c r="GR981" s="56"/>
      <c r="GS981" s="56"/>
      <c r="GT981" s="56"/>
      <c r="GU981" s="56"/>
      <c r="GV981" s="56"/>
      <c r="GW981" s="56"/>
      <c r="GX981" s="56"/>
      <c r="GY981" s="56"/>
      <c r="GZ981" s="56"/>
      <c r="HA981" s="56"/>
      <c r="HB981" s="56"/>
      <c r="HC981" s="56"/>
      <c r="HD981" s="56"/>
      <c r="HE981" s="56"/>
      <c r="HF981" s="56"/>
      <c r="HG981" s="56"/>
      <c r="HH981" s="56"/>
      <c r="HI981" s="56"/>
      <c r="HJ981" s="56"/>
    </row>
    <row r="982" spans="1:218" ht="15.75" customHeight="1" x14ac:dyDescent="0.2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  <c r="BV982" s="56"/>
      <c r="BW982" s="56"/>
      <c r="BX982" s="56"/>
      <c r="BY982" s="56"/>
      <c r="BZ982" s="56"/>
      <c r="CA982" s="56"/>
      <c r="CB982" s="56"/>
      <c r="CC982" s="56"/>
      <c r="CD982" s="56"/>
      <c r="CE982" s="56"/>
      <c r="CF982" s="56"/>
      <c r="CG982" s="56"/>
      <c r="CH982" s="56"/>
      <c r="CI982" s="56"/>
      <c r="CJ982" s="56"/>
      <c r="CK982" s="56"/>
      <c r="CL982" s="56"/>
      <c r="CM982" s="56"/>
      <c r="CN982" s="56"/>
      <c r="CO982" s="56"/>
      <c r="CP982" s="56"/>
      <c r="CQ982" s="56"/>
      <c r="CR982" s="56"/>
      <c r="CS982" s="56"/>
      <c r="CT982" s="56"/>
      <c r="CU982" s="56"/>
      <c r="CV982" s="56"/>
      <c r="CW982" s="56"/>
      <c r="CX982" s="56"/>
      <c r="CY982" s="56"/>
      <c r="CZ982" s="56"/>
      <c r="DA982" s="56"/>
      <c r="DB982" s="56"/>
      <c r="DC982" s="56"/>
      <c r="DD982" s="56"/>
      <c r="DE982" s="56"/>
      <c r="DF982" s="56"/>
      <c r="DG982" s="56"/>
      <c r="DH982" s="56"/>
      <c r="DI982" s="56"/>
      <c r="DJ982" s="56"/>
      <c r="DK982" s="56"/>
      <c r="DL982" s="56"/>
      <c r="DM982" s="56"/>
      <c r="DN982" s="56"/>
      <c r="DO982" s="56"/>
      <c r="DP982" s="56"/>
      <c r="DQ982" s="56"/>
      <c r="DR982" s="56"/>
      <c r="DS982" s="56"/>
      <c r="DT982" s="56"/>
      <c r="DU982" s="56"/>
      <c r="DV982" s="56"/>
      <c r="DW982" s="56"/>
      <c r="DX982" s="56"/>
      <c r="DY982" s="56"/>
      <c r="DZ982" s="56"/>
      <c r="EA982" s="56"/>
      <c r="EB982" s="56"/>
      <c r="EC982" s="56"/>
      <c r="ED982" s="56"/>
      <c r="EE982" s="56"/>
      <c r="EF982" s="56"/>
      <c r="EG982" s="56"/>
      <c r="EH982" s="56"/>
      <c r="EI982" s="56"/>
      <c r="EJ982" s="56"/>
      <c r="EK982" s="56"/>
      <c r="EL982" s="56"/>
      <c r="EM982" s="56"/>
      <c r="EN982" s="56"/>
      <c r="EO982" s="56"/>
      <c r="EP982" s="56"/>
      <c r="EQ982" s="56"/>
      <c r="ER982" s="56"/>
      <c r="ES982" s="56"/>
      <c r="ET982" s="56"/>
      <c r="EU982" s="56"/>
      <c r="EV982" s="56"/>
      <c r="EW982" s="56"/>
      <c r="EX982" s="56"/>
      <c r="EY982" s="56"/>
      <c r="EZ982" s="56"/>
      <c r="FA982" s="56"/>
      <c r="FB982" s="56"/>
      <c r="FC982" s="56"/>
      <c r="FD982" s="56"/>
      <c r="FE982" s="56"/>
      <c r="FF982" s="56"/>
      <c r="FG982" s="56"/>
      <c r="FH982" s="56"/>
      <c r="FI982" s="56"/>
      <c r="FJ982" s="56"/>
      <c r="FK982" s="56"/>
      <c r="FL982" s="56"/>
      <c r="FM982" s="56"/>
      <c r="FN982" s="56"/>
      <c r="FO982" s="56"/>
      <c r="FP982" s="56"/>
      <c r="FQ982" s="56"/>
      <c r="FR982" s="56"/>
      <c r="FS982" s="56"/>
      <c r="FT982" s="56"/>
      <c r="FU982" s="56"/>
      <c r="FV982" s="56"/>
      <c r="FW982" s="56"/>
      <c r="FX982" s="56"/>
      <c r="FY982" s="56"/>
      <c r="FZ982" s="56"/>
      <c r="GA982" s="56"/>
      <c r="GB982" s="56"/>
      <c r="GC982" s="56"/>
      <c r="GD982" s="56"/>
      <c r="GE982" s="56"/>
      <c r="GF982" s="56"/>
      <c r="GG982" s="56"/>
      <c r="GH982" s="56"/>
      <c r="GI982" s="56"/>
      <c r="GJ982" s="56"/>
      <c r="GK982" s="56"/>
      <c r="GL982" s="56"/>
      <c r="GM982" s="56"/>
      <c r="GN982" s="56"/>
      <c r="GO982" s="56"/>
      <c r="GP982" s="56"/>
      <c r="GQ982" s="56"/>
      <c r="GR982" s="56"/>
      <c r="GS982" s="56"/>
      <c r="GT982" s="56"/>
      <c r="GU982" s="56"/>
      <c r="GV982" s="56"/>
      <c r="GW982" s="56"/>
      <c r="GX982" s="56"/>
      <c r="GY982" s="56"/>
      <c r="GZ982" s="56"/>
      <c r="HA982" s="56"/>
      <c r="HB982" s="56"/>
      <c r="HC982" s="56"/>
      <c r="HD982" s="56"/>
      <c r="HE982" s="56"/>
      <c r="HF982" s="56"/>
      <c r="HG982" s="56"/>
      <c r="HH982" s="56"/>
      <c r="HI982" s="56"/>
      <c r="HJ982" s="56"/>
    </row>
    <row r="983" spans="1:218" ht="15.75" customHeight="1" x14ac:dyDescent="0.2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  <c r="BV983" s="56"/>
      <c r="BW983" s="56"/>
      <c r="BX983" s="56"/>
      <c r="BY983" s="56"/>
      <c r="BZ983" s="56"/>
      <c r="CA983" s="56"/>
      <c r="CB983" s="56"/>
      <c r="CC983" s="56"/>
      <c r="CD983" s="56"/>
      <c r="CE983" s="56"/>
      <c r="CF983" s="56"/>
      <c r="CG983" s="56"/>
      <c r="CH983" s="56"/>
      <c r="CI983" s="56"/>
      <c r="CJ983" s="56"/>
      <c r="CK983" s="56"/>
      <c r="CL983" s="56"/>
      <c r="CM983" s="56"/>
      <c r="CN983" s="56"/>
      <c r="CO983" s="56"/>
      <c r="CP983" s="56"/>
      <c r="CQ983" s="56"/>
      <c r="CR983" s="56"/>
      <c r="CS983" s="56"/>
      <c r="CT983" s="56"/>
      <c r="CU983" s="56"/>
      <c r="CV983" s="56"/>
      <c r="CW983" s="56"/>
      <c r="CX983" s="56"/>
      <c r="CY983" s="56"/>
      <c r="CZ983" s="56"/>
      <c r="DA983" s="56"/>
      <c r="DB983" s="56"/>
      <c r="DC983" s="56"/>
      <c r="DD983" s="56"/>
      <c r="DE983" s="56"/>
      <c r="DF983" s="56"/>
      <c r="DG983" s="56"/>
      <c r="DH983" s="56"/>
      <c r="DI983" s="56"/>
      <c r="DJ983" s="56"/>
      <c r="DK983" s="56"/>
      <c r="DL983" s="56"/>
      <c r="DM983" s="56"/>
      <c r="DN983" s="56"/>
      <c r="DO983" s="56"/>
      <c r="DP983" s="56"/>
      <c r="DQ983" s="56"/>
      <c r="DR983" s="56"/>
      <c r="DS983" s="56"/>
      <c r="DT983" s="56"/>
      <c r="DU983" s="56"/>
      <c r="DV983" s="56"/>
      <c r="DW983" s="56"/>
      <c r="DX983" s="56"/>
      <c r="DY983" s="56"/>
      <c r="DZ983" s="56"/>
      <c r="EA983" s="56"/>
      <c r="EB983" s="56"/>
      <c r="EC983" s="56"/>
      <c r="ED983" s="56"/>
      <c r="EE983" s="56"/>
      <c r="EF983" s="56"/>
      <c r="EG983" s="56"/>
      <c r="EH983" s="56"/>
      <c r="EI983" s="56"/>
      <c r="EJ983" s="56"/>
      <c r="EK983" s="56"/>
      <c r="EL983" s="56"/>
      <c r="EM983" s="56"/>
      <c r="EN983" s="56"/>
      <c r="EO983" s="56"/>
      <c r="EP983" s="56"/>
      <c r="EQ983" s="56"/>
      <c r="ER983" s="56"/>
      <c r="ES983" s="56"/>
      <c r="ET983" s="56"/>
      <c r="EU983" s="56"/>
      <c r="EV983" s="56"/>
      <c r="EW983" s="56"/>
      <c r="EX983" s="56"/>
      <c r="EY983" s="56"/>
      <c r="EZ983" s="56"/>
      <c r="FA983" s="56"/>
      <c r="FB983" s="56"/>
      <c r="FC983" s="56"/>
      <c r="FD983" s="56"/>
      <c r="FE983" s="56"/>
      <c r="FF983" s="56"/>
      <c r="FG983" s="56"/>
      <c r="FH983" s="56"/>
      <c r="FI983" s="56"/>
      <c r="FJ983" s="56"/>
      <c r="FK983" s="56"/>
      <c r="FL983" s="56"/>
      <c r="FM983" s="56"/>
      <c r="FN983" s="56"/>
      <c r="FO983" s="56"/>
      <c r="FP983" s="56"/>
      <c r="FQ983" s="56"/>
      <c r="FR983" s="56"/>
      <c r="FS983" s="56"/>
      <c r="FT983" s="56"/>
      <c r="FU983" s="56"/>
      <c r="FV983" s="56"/>
      <c r="FW983" s="56"/>
      <c r="FX983" s="56"/>
      <c r="FY983" s="56"/>
      <c r="FZ983" s="56"/>
      <c r="GA983" s="56"/>
      <c r="GB983" s="56"/>
      <c r="GC983" s="56"/>
      <c r="GD983" s="56"/>
      <c r="GE983" s="56"/>
      <c r="GF983" s="56"/>
      <c r="GG983" s="56"/>
      <c r="GH983" s="56"/>
      <c r="GI983" s="56"/>
      <c r="GJ983" s="56"/>
      <c r="GK983" s="56"/>
      <c r="GL983" s="56"/>
      <c r="GM983" s="56"/>
      <c r="GN983" s="56"/>
      <c r="GO983" s="56"/>
      <c r="GP983" s="56"/>
      <c r="GQ983" s="56"/>
      <c r="GR983" s="56"/>
      <c r="GS983" s="56"/>
      <c r="GT983" s="56"/>
      <c r="GU983" s="56"/>
      <c r="GV983" s="56"/>
      <c r="GW983" s="56"/>
      <c r="GX983" s="56"/>
      <c r="GY983" s="56"/>
      <c r="GZ983" s="56"/>
      <c r="HA983" s="56"/>
      <c r="HB983" s="56"/>
      <c r="HC983" s="56"/>
      <c r="HD983" s="56"/>
      <c r="HE983" s="56"/>
      <c r="HF983" s="56"/>
      <c r="HG983" s="56"/>
      <c r="HH983" s="56"/>
      <c r="HI983" s="56"/>
      <c r="HJ983" s="56"/>
    </row>
    <row r="984" spans="1:218" ht="15.75" customHeight="1" x14ac:dyDescent="0.2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  <c r="BV984" s="56"/>
      <c r="BW984" s="56"/>
      <c r="BX984" s="56"/>
      <c r="BY984" s="56"/>
      <c r="BZ984" s="56"/>
      <c r="CA984" s="56"/>
      <c r="CB984" s="56"/>
      <c r="CC984" s="56"/>
      <c r="CD984" s="56"/>
      <c r="CE984" s="56"/>
      <c r="CF984" s="56"/>
      <c r="CG984" s="56"/>
      <c r="CH984" s="56"/>
      <c r="CI984" s="56"/>
      <c r="CJ984" s="56"/>
      <c r="CK984" s="56"/>
      <c r="CL984" s="56"/>
      <c r="CM984" s="56"/>
      <c r="CN984" s="56"/>
      <c r="CO984" s="56"/>
      <c r="CP984" s="56"/>
      <c r="CQ984" s="56"/>
      <c r="CR984" s="56"/>
      <c r="CS984" s="56"/>
      <c r="CT984" s="56"/>
      <c r="CU984" s="56"/>
      <c r="CV984" s="56"/>
      <c r="CW984" s="56"/>
      <c r="CX984" s="56"/>
      <c r="CY984" s="56"/>
      <c r="CZ984" s="56"/>
      <c r="DA984" s="56"/>
      <c r="DB984" s="56"/>
      <c r="DC984" s="56"/>
      <c r="DD984" s="56"/>
      <c r="DE984" s="56"/>
      <c r="DF984" s="56"/>
      <c r="DG984" s="56"/>
      <c r="DH984" s="56"/>
      <c r="DI984" s="56"/>
      <c r="DJ984" s="56"/>
      <c r="DK984" s="56"/>
      <c r="DL984" s="56"/>
      <c r="DM984" s="56"/>
      <c r="DN984" s="56"/>
      <c r="DO984" s="56"/>
      <c r="DP984" s="56"/>
      <c r="DQ984" s="56"/>
      <c r="DR984" s="56"/>
      <c r="DS984" s="56"/>
      <c r="DT984" s="56"/>
      <c r="DU984" s="56"/>
      <c r="DV984" s="56"/>
      <c r="DW984" s="56"/>
      <c r="DX984" s="56"/>
      <c r="DY984" s="56"/>
      <c r="DZ984" s="56"/>
      <c r="EA984" s="56"/>
      <c r="EB984" s="56"/>
      <c r="EC984" s="56"/>
      <c r="ED984" s="56"/>
      <c r="EE984" s="56"/>
      <c r="EF984" s="56"/>
      <c r="EG984" s="56"/>
      <c r="EH984" s="56"/>
      <c r="EI984" s="56"/>
      <c r="EJ984" s="56"/>
      <c r="EK984" s="56"/>
      <c r="EL984" s="56"/>
      <c r="EM984" s="56"/>
      <c r="EN984" s="56"/>
      <c r="EO984" s="56"/>
      <c r="EP984" s="56"/>
      <c r="EQ984" s="56"/>
      <c r="ER984" s="56"/>
      <c r="ES984" s="56"/>
      <c r="ET984" s="56"/>
      <c r="EU984" s="56"/>
      <c r="EV984" s="56"/>
      <c r="EW984" s="56"/>
      <c r="EX984" s="56"/>
      <c r="EY984" s="56"/>
      <c r="EZ984" s="56"/>
      <c r="FA984" s="56"/>
      <c r="FB984" s="56"/>
      <c r="FC984" s="56"/>
      <c r="FD984" s="56"/>
      <c r="FE984" s="56"/>
      <c r="FF984" s="56"/>
      <c r="FG984" s="56"/>
      <c r="FH984" s="56"/>
      <c r="FI984" s="56"/>
      <c r="FJ984" s="56"/>
      <c r="FK984" s="56"/>
      <c r="FL984" s="56"/>
      <c r="FM984" s="56"/>
      <c r="FN984" s="56"/>
      <c r="FO984" s="56"/>
      <c r="FP984" s="56"/>
      <c r="FQ984" s="56"/>
      <c r="FR984" s="56"/>
      <c r="FS984" s="56"/>
      <c r="FT984" s="56"/>
      <c r="FU984" s="56"/>
      <c r="FV984" s="56"/>
      <c r="FW984" s="56"/>
      <c r="FX984" s="56"/>
      <c r="FY984" s="56"/>
      <c r="FZ984" s="56"/>
      <c r="GA984" s="56"/>
      <c r="GB984" s="56"/>
      <c r="GC984" s="56"/>
      <c r="GD984" s="56"/>
      <c r="GE984" s="56"/>
      <c r="GF984" s="56"/>
      <c r="GG984" s="56"/>
      <c r="GH984" s="56"/>
      <c r="GI984" s="56"/>
      <c r="GJ984" s="56"/>
      <c r="GK984" s="56"/>
      <c r="GL984" s="56"/>
      <c r="GM984" s="56"/>
      <c r="GN984" s="56"/>
      <c r="GO984" s="56"/>
      <c r="GP984" s="56"/>
      <c r="GQ984" s="56"/>
      <c r="GR984" s="56"/>
      <c r="GS984" s="56"/>
      <c r="GT984" s="56"/>
      <c r="GU984" s="56"/>
      <c r="GV984" s="56"/>
      <c r="GW984" s="56"/>
      <c r="GX984" s="56"/>
      <c r="GY984" s="56"/>
      <c r="GZ984" s="56"/>
      <c r="HA984" s="56"/>
      <c r="HB984" s="56"/>
      <c r="HC984" s="56"/>
      <c r="HD984" s="56"/>
      <c r="HE984" s="56"/>
      <c r="HF984" s="56"/>
      <c r="HG984" s="56"/>
      <c r="HH984" s="56"/>
      <c r="HI984" s="56"/>
      <c r="HJ984" s="56"/>
    </row>
    <row r="985" spans="1:218" ht="15.75" customHeight="1" x14ac:dyDescent="0.2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  <c r="BV985" s="56"/>
      <c r="BW985" s="56"/>
      <c r="BX985" s="56"/>
      <c r="BY985" s="56"/>
      <c r="BZ985" s="56"/>
      <c r="CA985" s="56"/>
      <c r="CB985" s="56"/>
      <c r="CC985" s="56"/>
      <c r="CD985" s="56"/>
      <c r="CE985" s="56"/>
      <c r="CF985" s="56"/>
      <c r="CG985" s="56"/>
      <c r="CH985" s="56"/>
      <c r="CI985" s="56"/>
      <c r="CJ985" s="56"/>
      <c r="CK985" s="56"/>
      <c r="CL985" s="56"/>
      <c r="CM985" s="56"/>
      <c r="CN985" s="56"/>
      <c r="CO985" s="56"/>
      <c r="CP985" s="56"/>
      <c r="CQ985" s="56"/>
      <c r="CR985" s="56"/>
      <c r="CS985" s="56"/>
      <c r="CT985" s="56"/>
      <c r="CU985" s="56"/>
      <c r="CV985" s="56"/>
      <c r="CW985" s="56"/>
      <c r="CX985" s="56"/>
      <c r="CY985" s="56"/>
      <c r="CZ985" s="56"/>
      <c r="DA985" s="56"/>
      <c r="DB985" s="56"/>
      <c r="DC985" s="56"/>
      <c r="DD985" s="56"/>
      <c r="DE985" s="56"/>
      <c r="DF985" s="56"/>
      <c r="DG985" s="56"/>
      <c r="DH985" s="56"/>
      <c r="DI985" s="56"/>
      <c r="DJ985" s="56"/>
      <c r="DK985" s="56"/>
      <c r="DL985" s="56"/>
      <c r="DM985" s="56"/>
      <c r="DN985" s="56"/>
      <c r="DO985" s="56"/>
      <c r="DP985" s="56"/>
      <c r="DQ985" s="56"/>
      <c r="DR985" s="56"/>
      <c r="DS985" s="56"/>
      <c r="DT985" s="56"/>
      <c r="DU985" s="56"/>
      <c r="DV985" s="56"/>
      <c r="DW985" s="56"/>
      <c r="DX985" s="56"/>
      <c r="DY985" s="56"/>
      <c r="DZ985" s="56"/>
      <c r="EA985" s="56"/>
      <c r="EB985" s="56"/>
      <c r="EC985" s="56"/>
      <c r="ED985" s="56"/>
      <c r="EE985" s="56"/>
      <c r="EF985" s="56"/>
      <c r="EG985" s="56"/>
      <c r="EH985" s="56"/>
      <c r="EI985" s="56"/>
      <c r="EJ985" s="56"/>
      <c r="EK985" s="56"/>
      <c r="EL985" s="56"/>
      <c r="EM985" s="56"/>
      <c r="EN985" s="56"/>
      <c r="EO985" s="56"/>
      <c r="EP985" s="56"/>
      <c r="EQ985" s="56"/>
      <c r="ER985" s="56"/>
      <c r="ES985" s="56"/>
      <c r="ET985" s="56"/>
      <c r="EU985" s="56"/>
      <c r="EV985" s="56"/>
      <c r="EW985" s="56"/>
      <c r="EX985" s="56"/>
      <c r="EY985" s="56"/>
      <c r="EZ985" s="56"/>
      <c r="FA985" s="56"/>
      <c r="FB985" s="56"/>
      <c r="FC985" s="56"/>
      <c r="FD985" s="56"/>
      <c r="FE985" s="56"/>
      <c r="FF985" s="56"/>
      <c r="FG985" s="56"/>
      <c r="FH985" s="56"/>
      <c r="FI985" s="56"/>
      <c r="FJ985" s="56"/>
      <c r="FK985" s="56"/>
      <c r="FL985" s="56"/>
      <c r="FM985" s="56"/>
      <c r="FN985" s="56"/>
      <c r="FO985" s="56"/>
      <c r="FP985" s="56"/>
      <c r="FQ985" s="56"/>
      <c r="FR985" s="56"/>
      <c r="FS985" s="56"/>
      <c r="FT985" s="56"/>
      <c r="FU985" s="56"/>
      <c r="FV985" s="56"/>
      <c r="FW985" s="56"/>
      <c r="FX985" s="56"/>
      <c r="FY985" s="56"/>
      <c r="FZ985" s="56"/>
      <c r="GA985" s="56"/>
      <c r="GB985" s="56"/>
      <c r="GC985" s="56"/>
      <c r="GD985" s="56"/>
      <c r="GE985" s="56"/>
      <c r="GF985" s="56"/>
      <c r="GG985" s="56"/>
      <c r="GH985" s="56"/>
      <c r="GI985" s="56"/>
      <c r="GJ985" s="56"/>
      <c r="GK985" s="56"/>
      <c r="GL985" s="56"/>
      <c r="GM985" s="56"/>
      <c r="GN985" s="56"/>
      <c r="GO985" s="56"/>
      <c r="GP985" s="56"/>
      <c r="GQ985" s="56"/>
      <c r="GR985" s="56"/>
      <c r="GS985" s="56"/>
      <c r="GT985" s="56"/>
      <c r="GU985" s="56"/>
      <c r="GV985" s="56"/>
      <c r="GW985" s="56"/>
      <c r="GX985" s="56"/>
      <c r="GY985" s="56"/>
      <c r="GZ985" s="56"/>
      <c r="HA985" s="56"/>
      <c r="HB985" s="56"/>
      <c r="HC985" s="56"/>
      <c r="HD985" s="56"/>
      <c r="HE985" s="56"/>
      <c r="HF985" s="56"/>
      <c r="HG985" s="56"/>
      <c r="HH985" s="56"/>
      <c r="HI985" s="56"/>
      <c r="HJ985" s="56"/>
    </row>
    <row r="986" spans="1:218" ht="15.75" customHeight="1" x14ac:dyDescent="0.2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  <c r="BV986" s="56"/>
      <c r="BW986" s="56"/>
      <c r="BX986" s="56"/>
      <c r="BY986" s="56"/>
      <c r="BZ986" s="56"/>
      <c r="CA986" s="56"/>
      <c r="CB986" s="56"/>
      <c r="CC986" s="56"/>
      <c r="CD986" s="56"/>
      <c r="CE986" s="56"/>
      <c r="CF986" s="56"/>
      <c r="CG986" s="56"/>
      <c r="CH986" s="56"/>
      <c r="CI986" s="56"/>
      <c r="CJ986" s="56"/>
      <c r="CK986" s="56"/>
      <c r="CL986" s="56"/>
      <c r="CM986" s="56"/>
      <c r="CN986" s="56"/>
      <c r="CO986" s="56"/>
      <c r="CP986" s="56"/>
      <c r="CQ986" s="56"/>
      <c r="CR986" s="56"/>
      <c r="CS986" s="56"/>
      <c r="CT986" s="56"/>
      <c r="CU986" s="56"/>
      <c r="CV986" s="56"/>
      <c r="CW986" s="56"/>
      <c r="CX986" s="56"/>
      <c r="CY986" s="56"/>
      <c r="CZ986" s="56"/>
      <c r="DA986" s="56"/>
      <c r="DB986" s="56"/>
      <c r="DC986" s="56"/>
      <c r="DD986" s="56"/>
      <c r="DE986" s="56"/>
      <c r="DF986" s="56"/>
      <c r="DG986" s="56"/>
      <c r="DH986" s="56"/>
      <c r="DI986" s="56"/>
      <c r="DJ986" s="56"/>
      <c r="DK986" s="56"/>
      <c r="DL986" s="56"/>
      <c r="DM986" s="56"/>
      <c r="DN986" s="56"/>
      <c r="DO986" s="56"/>
      <c r="DP986" s="56"/>
      <c r="DQ986" s="56"/>
      <c r="DR986" s="56"/>
      <c r="DS986" s="56"/>
      <c r="DT986" s="56"/>
      <c r="DU986" s="56"/>
      <c r="DV986" s="56"/>
      <c r="DW986" s="56"/>
      <c r="DX986" s="56"/>
      <c r="DY986" s="56"/>
      <c r="DZ986" s="56"/>
      <c r="EA986" s="56"/>
      <c r="EB986" s="56"/>
      <c r="EC986" s="56"/>
      <c r="ED986" s="56"/>
      <c r="EE986" s="56"/>
      <c r="EF986" s="56"/>
      <c r="EG986" s="56"/>
      <c r="EH986" s="56"/>
      <c r="EI986" s="56"/>
      <c r="EJ986" s="56"/>
      <c r="EK986" s="56"/>
      <c r="EL986" s="56"/>
      <c r="EM986" s="56"/>
      <c r="EN986" s="56"/>
      <c r="EO986" s="56"/>
      <c r="EP986" s="56"/>
      <c r="EQ986" s="56"/>
      <c r="ER986" s="56"/>
      <c r="ES986" s="56"/>
      <c r="ET986" s="56"/>
      <c r="EU986" s="56"/>
      <c r="EV986" s="56"/>
      <c r="EW986" s="56"/>
      <c r="EX986" s="56"/>
      <c r="EY986" s="56"/>
      <c r="EZ986" s="56"/>
      <c r="FA986" s="56"/>
      <c r="FB986" s="56"/>
      <c r="FC986" s="56"/>
      <c r="FD986" s="56"/>
      <c r="FE986" s="56"/>
      <c r="FF986" s="56"/>
      <c r="FG986" s="56"/>
      <c r="FH986" s="56"/>
      <c r="FI986" s="56"/>
      <c r="FJ986" s="56"/>
      <c r="FK986" s="56"/>
      <c r="FL986" s="56"/>
      <c r="FM986" s="56"/>
      <c r="FN986" s="56"/>
      <c r="FO986" s="56"/>
      <c r="FP986" s="56"/>
      <c r="FQ986" s="56"/>
      <c r="FR986" s="56"/>
      <c r="FS986" s="56"/>
      <c r="FT986" s="56"/>
      <c r="FU986" s="56"/>
      <c r="FV986" s="56"/>
      <c r="FW986" s="56"/>
      <c r="FX986" s="56"/>
      <c r="FY986" s="56"/>
      <c r="FZ986" s="56"/>
      <c r="GA986" s="56"/>
      <c r="GB986" s="56"/>
      <c r="GC986" s="56"/>
      <c r="GD986" s="56"/>
      <c r="GE986" s="56"/>
      <c r="GF986" s="56"/>
      <c r="GG986" s="56"/>
      <c r="GH986" s="56"/>
      <c r="GI986" s="56"/>
      <c r="GJ986" s="56"/>
      <c r="GK986" s="56"/>
      <c r="GL986" s="56"/>
      <c r="GM986" s="56"/>
      <c r="GN986" s="56"/>
      <c r="GO986" s="56"/>
      <c r="GP986" s="56"/>
      <c r="GQ986" s="56"/>
      <c r="GR986" s="56"/>
      <c r="GS986" s="56"/>
      <c r="GT986" s="56"/>
      <c r="GU986" s="56"/>
      <c r="GV986" s="56"/>
      <c r="GW986" s="56"/>
      <c r="GX986" s="56"/>
      <c r="GY986" s="56"/>
      <c r="GZ986" s="56"/>
      <c r="HA986" s="56"/>
      <c r="HB986" s="56"/>
      <c r="HC986" s="56"/>
      <c r="HD986" s="56"/>
      <c r="HE986" s="56"/>
      <c r="HF986" s="56"/>
      <c r="HG986" s="56"/>
      <c r="HH986" s="56"/>
      <c r="HI986" s="56"/>
      <c r="HJ986" s="56"/>
    </row>
    <row r="987" spans="1:218" ht="15.75" customHeight="1" x14ac:dyDescent="0.2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  <c r="BV987" s="56"/>
      <c r="BW987" s="56"/>
      <c r="BX987" s="56"/>
      <c r="BY987" s="56"/>
      <c r="BZ987" s="56"/>
      <c r="CA987" s="56"/>
      <c r="CB987" s="56"/>
      <c r="CC987" s="56"/>
      <c r="CD987" s="56"/>
      <c r="CE987" s="56"/>
      <c r="CF987" s="56"/>
      <c r="CG987" s="56"/>
      <c r="CH987" s="56"/>
      <c r="CI987" s="56"/>
      <c r="CJ987" s="56"/>
      <c r="CK987" s="56"/>
      <c r="CL987" s="56"/>
      <c r="CM987" s="56"/>
      <c r="CN987" s="56"/>
      <c r="CO987" s="56"/>
      <c r="CP987" s="56"/>
      <c r="CQ987" s="56"/>
      <c r="CR987" s="56"/>
      <c r="CS987" s="56"/>
      <c r="CT987" s="56"/>
      <c r="CU987" s="56"/>
      <c r="CV987" s="56"/>
      <c r="CW987" s="56"/>
      <c r="CX987" s="56"/>
      <c r="CY987" s="56"/>
      <c r="CZ987" s="56"/>
      <c r="DA987" s="56"/>
      <c r="DB987" s="56"/>
      <c r="DC987" s="56"/>
      <c r="DD987" s="56"/>
      <c r="DE987" s="56"/>
      <c r="DF987" s="56"/>
      <c r="DG987" s="56"/>
      <c r="DH987" s="56"/>
      <c r="DI987" s="56"/>
      <c r="DJ987" s="56"/>
      <c r="DK987" s="56"/>
      <c r="DL987" s="56"/>
      <c r="DM987" s="56"/>
      <c r="DN987" s="56"/>
      <c r="DO987" s="56"/>
      <c r="DP987" s="56"/>
      <c r="DQ987" s="56"/>
      <c r="DR987" s="56"/>
      <c r="DS987" s="56"/>
      <c r="DT987" s="56"/>
      <c r="DU987" s="56"/>
      <c r="DV987" s="56"/>
      <c r="DW987" s="56"/>
      <c r="DX987" s="56"/>
      <c r="DY987" s="56"/>
      <c r="DZ987" s="56"/>
      <c r="EA987" s="56"/>
      <c r="EB987" s="56"/>
      <c r="EC987" s="56"/>
      <c r="ED987" s="56"/>
      <c r="EE987" s="56"/>
      <c r="EF987" s="56"/>
      <c r="EG987" s="56"/>
      <c r="EH987" s="56"/>
      <c r="EI987" s="56"/>
      <c r="EJ987" s="56"/>
      <c r="EK987" s="56"/>
      <c r="EL987" s="56"/>
      <c r="EM987" s="56"/>
      <c r="EN987" s="56"/>
      <c r="EO987" s="56"/>
      <c r="EP987" s="56"/>
      <c r="EQ987" s="56"/>
      <c r="ER987" s="56"/>
      <c r="ES987" s="56"/>
      <c r="ET987" s="56"/>
      <c r="EU987" s="56"/>
      <c r="EV987" s="56"/>
      <c r="EW987" s="56"/>
      <c r="EX987" s="56"/>
      <c r="EY987" s="56"/>
      <c r="EZ987" s="56"/>
      <c r="FA987" s="56"/>
      <c r="FB987" s="56"/>
      <c r="FC987" s="56"/>
      <c r="FD987" s="56"/>
      <c r="FE987" s="56"/>
      <c r="FF987" s="56"/>
      <c r="FG987" s="56"/>
      <c r="FH987" s="56"/>
      <c r="FI987" s="56"/>
      <c r="FJ987" s="56"/>
      <c r="FK987" s="56"/>
      <c r="FL987" s="56"/>
      <c r="FM987" s="56"/>
      <c r="FN987" s="56"/>
      <c r="FO987" s="56"/>
      <c r="FP987" s="56"/>
      <c r="FQ987" s="56"/>
      <c r="FR987" s="56"/>
      <c r="FS987" s="56"/>
      <c r="FT987" s="56"/>
      <c r="FU987" s="56"/>
      <c r="FV987" s="56"/>
      <c r="FW987" s="56"/>
      <c r="FX987" s="56"/>
      <c r="FY987" s="56"/>
      <c r="FZ987" s="56"/>
      <c r="GA987" s="56"/>
      <c r="GB987" s="56"/>
      <c r="GC987" s="56"/>
      <c r="GD987" s="56"/>
      <c r="GE987" s="56"/>
      <c r="GF987" s="56"/>
      <c r="GG987" s="56"/>
      <c r="GH987" s="56"/>
      <c r="GI987" s="56"/>
      <c r="GJ987" s="56"/>
      <c r="GK987" s="56"/>
      <c r="GL987" s="56"/>
      <c r="GM987" s="56"/>
      <c r="GN987" s="56"/>
      <c r="GO987" s="56"/>
      <c r="GP987" s="56"/>
      <c r="GQ987" s="56"/>
      <c r="GR987" s="56"/>
      <c r="GS987" s="56"/>
      <c r="GT987" s="56"/>
      <c r="GU987" s="56"/>
      <c r="GV987" s="56"/>
      <c r="GW987" s="56"/>
      <c r="GX987" s="56"/>
      <c r="GY987" s="56"/>
      <c r="GZ987" s="56"/>
      <c r="HA987" s="56"/>
      <c r="HB987" s="56"/>
      <c r="HC987" s="56"/>
      <c r="HD987" s="56"/>
      <c r="HE987" s="56"/>
      <c r="HF987" s="56"/>
      <c r="HG987" s="56"/>
      <c r="HH987" s="56"/>
      <c r="HI987" s="56"/>
      <c r="HJ987" s="56"/>
    </row>
    <row r="988" spans="1:218" ht="15.75" customHeight="1" x14ac:dyDescent="0.2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  <c r="BV988" s="56"/>
      <c r="BW988" s="56"/>
      <c r="BX988" s="56"/>
      <c r="BY988" s="56"/>
      <c r="BZ988" s="56"/>
      <c r="CA988" s="56"/>
      <c r="CB988" s="56"/>
      <c r="CC988" s="56"/>
      <c r="CD988" s="56"/>
      <c r="CE988" s="56"/>
      <c r="CF988" s="56"/>
      <c r="CG988" s="56"/>
      <c r="CH988" s="56"/>
      <c r="CI988" s="56"/>
      <c r="CJ988" s="56"/>
      <c r="CK988" s="56"/>
      <c r="CL988" s="56"/>
      <c r="CM988" s="56"/>
      <c r="CN988" s="56"/>
      <c r="CO988" s="56"/>
      <c r="CP988" s="56"/>
      <c r="CQ988" s="56"/>
      <c r="CR988" s="56"/>
      <c r="CS988" s="56"/>
      <c r="CT988" s="56"/>
      <c r="CU988" s="56"/>
      <c r="CV988" s="56"/>
      <c r="CW988" s="56"/>
      <c r="CX988" s="56"/>
      <c r="CY988" s="56"/>
      <c r="CZ988" s="56"/>
      <c r="DA988" s="56"/>
      <c r="DB988" s="56"/>
      <c r="DC988" s="56"/>
      <c r="DD988" s="56"/>
      <c r="DE988" s="56"/>
      <c r="DF988" s="56"/>
      <c r="DG988" s="56"/>
      <c r="DH988" s="56"/>
      <c r="DI988" s="56"/>
      <c r="DJ988" s="56"/>
      <c r="DK988" s="56"/>
      <c r="DL988" s="56"/>
      <c r="DM988" s="56"/>
      <c r="DN988" s="56"/>
      <c r="DO988" s="56"/>
      <c r="DP988" s="56"/>
      <c r="DQ988" s="56"/>
      <c r="DR988" s="56"/>
      <c r="DS988" s="56"/>
      <c r="DT988" s="56"/>
      <c r="DU988" s="56"/>
      <c r="DV988" s="56"/>
      <c r="DW988" s="56"/>
      <c r="DX988" s="56"/>
      <c r="DY988" s="56"/>
      <c r="DZ988" s="56"/>
      <c r="EA988" s="56"/>
      <c r="EB988" s="56"/>
      <c r="EC988" s="56"/>
      <c r="ED988" s="56"/>
      <c r="EE988" s="56"/>
      <c r="EF988" s="56"/>
      <c r="EG988" s="56"/>
      <c r="EH988" s="56"/>
      <c r="EI988" s="56"/>
      <c r="EJ988" s="56"/>
      <c r="EK988" s="56"/>
      <c r="EL988" s="56"/>
      <c r="EM988" s="56"/>
      <c r="EN988" s="56"/>
      <c r="EO988" s="56"/>
      <c r="EP988" s="56"/>
      <c r="EQ988" s="56"/>
      <c r="ER988" s="56"/>
      <c r="ES988" s="56"/>
      <c r="ET988" s="56"/>
      <c r="EU988" s="56"/>
      <c r="EV988" s="56"/>
      <c r="EW988" s="56"/>
      <c r="EX988" s="56"/>
      <c r="EY988" s="56"/>
      <c r="EZ988" s="56"/>
      <c r="FA988" s="56"/>
      <c r="FB988" s="56"/>
      <c r="FC988" s="56"/>
      <c r="FD988" s="56"/>
      <c r="FE988" s="56"/>
      <c r="FF988" s="56"/>
      <c r="FG988" s="56"/>
      <c r="FH988" s="56"/>
      <c r="FI988" s="56"/>
      <c r="FJ988" s="56"/>
      <c r="FK988" s="56"/>
      <c r="FL988" s="56"/>
      <c r="FM988" s="56"/>
      <c r="FN988" s="56"/>
      <c r="FO988" s="56"/>
      <c r="FP988" s="56"/>
      <c r="FQ988" s="56"/>
      <c r="FR988" s="56"/>
      <c r="FS988" s="56"/>
      <c r="FT988" s="56"/>
      <c r="FU988" s="56"/>
      <c r="FV988" s="56"/>
      <c r="FW988" s="56"/>
      <c r="FX988" s="56"/>
      <c r="FY988" s="56"/>
      <c r="FZ988" s="56"/>
      <c r="GA988" s="56"/>
      <c r="GB988" s="56"/>
      <c r="GC988" s="56"/>
      <c r="GD988" s="56"/>
      <c r="GE988" s="56"/>
      <c r="GF988" s="56"/>
      <c r="GG988" s="56"/>
      <c r="GH988" s="56"/>
      <c r="GI988" s="56"/>
      <c r="GJ988" s="56"/>
      <c r="GK988" s="56"/>
      <c r="GL988" s="56"/>
      <c r="GM988" s="56"/>
      <c r="GN988" s="56"/>
      <c r="GO988" s="56"/>
      <c r="GP988" s="56"/>
      <c r="GQ988" s="56"/>
      <c r="GR988" s="56"/>
      <c r="GS988" s="56"/>
      <c r="GT988" s="56"/>
      <c r="GU988" s="56"/>
      <c r="GV988" s="56"/>
      <c r="GW988" s="56"/>
      <c r="GX988" s="56"/>
      <c r="GY988" s="56"/>
      <c r="GZ988" s="56"/>
      <c r="HA988" s="56"/>
      <c r="HB988" s="56"/>
      <c r="HC988" s="56"/>
      <c r="HD988" s="56"/>
      <c r="HE988" s="56"/>
      <c r="HF988" s="56"/>
      <c r="HG988" s="56"/>
      <c r="HH988" s="56"/>
      <c r="HI988" s="56"/>
      <c r="HJ988" s="56"/>
    </row>
    <row r="989" spans="1:218" ht="15.75" customHeight="1" x14ac:dyDescent="0.2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  <c r="BV989" s="56"/>
      <c r="BW989" s="56"/>
      <c r="BX989" s="56"/>
      <c r="BY989" s="56"/>
      <c r="BZ989" s="56"/>
      <c r="CA989" s="56"/>
      <c r="CB989" s="56"/>
      <c r="CC989" s="56"/>
      <c r="CD989" s="56"/>
      <c r="CE989" s="56"/>
      <c r="CF989" s="56"/>
      <c r="CG989" s="56"/>
      <c r="CH989" s="56"/>
      <c r="CI989" s="56"/>
      <c r="CJ989" s="56"/>
      <c r="CK989" s="56"/>
      <c r="CL989" s="56"/>
      <c r="CM989" s="56"/>
      <c r="CN989" s="56"/>
      <c r="CO989" s="56"/>
      <c r="CP989" s="56"/>
      <c r="CQ989" s="56"/>
      <c r="CR989" s="56"/>
      <c r="CS989" s="56"/>
      <c r="CT989" s="56"/>
      <c r="CU989" s="56"/>
      <c r="CV989" s="56"/>
      <c r="CW989" s="56"/>
      <c r="CX989" s="56"/>
      <c r="CY989" s="56"/>
      <c r="CZ989" s="56"/>
      <c r="DA989" s="56"/>
      <c r="DB989" s="56"/>
      <c r="DC989" s="56"/>
      <c r="DD989" s="56"/>
      <c r="DE989" s="56"/>
      <c r="DF989" s="56"/>
      <c r="DG989" s="56"/>
      <c r="DH989" s="56"/>
      <c r="DI989" s="56"/>
      <c r="DJ989" s="56"/>
      <c r="DK989" s="56"/>
      <c r="DL989" s="56"/>
      <c r="DM989" s="56"/>
      <c r="DN989" s="56"/>
      <c r="DO989" s="56"/>
      <c r="DP989" s="56"/>
      <c r="DQ989" s="56"/>
      <c r="DR989" s="56"/>
      <c r="DS989" s="56"/>
      <c r="DT989" s="56"/>
      <c r="DU989" s="56"/>
      <c r="DV989" s="56"/>
      <c r="DW989" s="56"/>
      <c r="DX989" s="56"/>
      <c r="DY989" s="56"/>
      <c r="DZ989" s="56"/>
      <c r="EA989" s="56"/>
      <c r="EB989" s="56"/>
      <c r="EC989" s="56"/>
      <c r="ED989" s="56"/>
      <c r="EE989" s="56"/>
      <c r="EF989" s="56"/>
      <c r="EG989" s="56"/>
      <c r="EH989" s="56"/>
      <c r="EI989" s="56"/>
      <c r="EJ989" s="56"/>
      <c r="EK989" s="56"/>
      <c r="EL989" s="56"/>
      <c r="EM989" s="56"/>
      <c r="EN989" s="56"/>
      <c r="EO989" s="56"/>
      <c r="EP989" s="56"/>
      <c r="EQ989" s="56"/>
      <c r="ER989" s="56"/>
      <c r="ES989" s="56"/>
      <c r="ET989" s="56"/>
      <c r="EU989" s="56"/>
      <c r="EV989" s="56"/>
      <c r="EW989" s="56"/>
      <c r="EX989" s="56"/>
      <c r="EY989" s="56"/>
      <c r="EZ989" s="56"/>
      <c r="FA989" s="56"/>
      <c r="FB989" s="56"/>
      <c r="FC989" s="56"/>
      <c r="FD989" s="56"/>
      <c r="FE989" s="56"/>
      <c r="FF989" s="56"/>
      <c r="FG989" s="56"/>
      <c r="FH989" s="56"/>
      <c r="FI989" s="56"/>
      <c r="FJ989" s="56"/>
      <c r="FK989" s="56"/>
      <c r="FL989" s="56"/>
      <c r="FM989" s="56"/>
      <c r="FN989" s="56"/>
      <c r="FO989" s="56"/>
      <c r="FP989" s="56"/>
      <c r="FQ989" s="56"/>
      <c r="FR989" s="56"/>
      <c r="FS989" s="56"/>
      <c r="FT989" s="56"/>
      <c r="FU989" s="56"/>
      <c r="FV989" s="56"/>
      <c r="FW989" s="56"/>
      <c r="FX989" s="56"/>
      <c r="FY989" s="56"/>
      <c r="FZ989" s="56"/>
      <c r="GA989" s="56"/>
      <c r="GB989" s="56"/>
      <c r="GC989" s="56"/>
      <c r="GD989" s="56"/>
      <c r="GE989" s="56"/>
      <c r="GF989" s="56"/>
      <c r="GG989" s="56"/>
      <c r="GH989" s="56"/>
      <c r="GI989" s="56"/>
      <c r="GJ989" s="56"/>
      <c r="GK989" s="56"/>
      <c r="GL989" s="56"/>
      <c r="GM989" s="56"/>
      <c r="GN989" s="56"/>
      <c r="GO989" s="56"/>
      <c r="GP989" s="56"/>
      <c r="GQ989" s="56"/>
      <c r="GR989" s="56"/>
      <c r="GS989" s="56"/>
      <c r="GT989" s="56"/>
      <c r="GU989" s="56"/>
      <c r="GV989" s="56"/>
      <c r="GW989" s="56"/>
      <c r="GX989" s="56"/>
      <c r="GY989" s="56"/>
      <c r="GZ989" s="56"/>
      <c r="HA989" s="56"/>
      <c r="HB989" s="56"/>
      <c r="HC989" s="56"/>
      <c r="HD989" s="56"/>
      <c r="HE989" s="56"/>
      <c r="HF989" s="56"/>
      <c r="HG989" s="56"/>
      <c r="HH989" s="56"/>
      <c r="HI989" s="56"/>
      <c r="HJ989" s="56"/>
    </row>
    <row r="990" spans="1:218" ht="15.75" customHeight="1" x14ac:dyDescent="0.2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  <c r="BV990" s="56"/>
      <c r="BW990" s="56"/>
      <c r="BX990" s="56"/>
      <c r="BY990" s="56"/>
      <c r="BZ990" s="56"/>
      <c r="CA990" s="56"/>
      <c r="CB990" s="56"/>
      <c r="CC990" s="56"/>
      <c r="CD990" s="56"/>
      <c r="CE990" s="56"/>
      <c r="CF990" s="56"/>
      <c r="CG990" s="56"/>
      <c r="CH990" s="56"/>
      <c r="CI990" s="56"/>
      <c r="CJ990" s="56"/>
      <c r="CK990" s="56"/>
      <c r="CL990" s="56"/>
      <c r="CM990" s="56"/>
      <c r="CN990" s="56"/>
      <c r="CO990" s="56"/>
      <c r="CP990" s="56"/>
      <c r="CQ990" s="56"/>
      <c r="CR990" s="56"/>
      <c r="CS990" s="56"/>
      <c r="CT990" s="56"/>
      <c r="CU990" s="56"/>
      <c r="CV990" s="56"/>
      <c r="CW990" s="56"/>
      <c r="CX990" s="56"/>
      <c r="CY990" s="56"/>
      <c r="CZ990" s="56"/>
      <c r="DA990" s="56"/>
      <c r="DB990" s="56"/>
      <c r="DC990" s="56"/>
      <c r="DD990" s="56"/>
      <c r="DE990" s="56"/>
      <c r="DF990" s="56"/>
      <c r="DG990" s="56"/>
      <c r="DH990" s="56"/>
      <c r="DI990" s="56"/>
      <c r="DJ990" s="56"/>
      <c r="DK990" s="56"/>
      <c r="DL990" s="56"/>
      <c r="DM990" s="56"/>
      <c r="DN990" s="56"/>
      <c r="DO990" s="56"/>
      <c r="DP990" s="56"/>
      <c r="DQ990" s="56"/>
      <c r="DR990" s="56"/>
      <c r="DS990" s="56"/>
      <c r="DT990" s="56"/>
      <c r="DU990" s="56"/>
      <c r="DV990" s="56"/>
      <c r="DW990" s="56"/>
      <c r="DX990" s="56"/>
      <c r="DY990" s="56"/>
      <c r="DZ990" s="56"/>
      <c r="EA990" s="56"/>
      <c r="EB990" s="56"/>
      <c r="EC990" s="56"/>
      <c r="ED990" s="56"/>
      <c r="EE990" s="56"/>
      <c r="EF990" s="56"/>
      <c r="EG990" s="56"/>
      <c r="EH990" s="56"/>
      <c r="EI990" s="56"/>
      <c r="EJ990" s="56"/>
      <c r="EK990" s="56"/>
      <c r="EL990" s="56"/>
      <c r="EM990" s="56"/>
      <c r="EN990" s="56"/>
      <c r="EO990" s="56"/>
      <c r="EP990" s="56"/>
      <c r="EQ990" s="56"/>
      <c r="ER990" s="56"/>
      <c r="ES990" s="56"/>
      <c r="ET990" s="56"/>
      <c r="EU990" s="56"/>
      <c r="EV990" s="56"/>
      <c r="EW990" s="56"/>
      <c r="EX990" s="56"/>
      <c r="EY990" s="56"/>
      <c r="EZ990" s="56"/>
      <c r="FA990" s="56"/>
      <c r="FB990" s="56"/>
      <c r="FC990" s="56"/>
      <c r="FD990" s="56"/>
      <c r="FE990" s="56"/>
      <c r="FF990" s="56"/>
      <c r="FG990" s="56"/>
      <c r="FH990" s="56"/>
      <c r="FI990" s="56"/>
      <c r="FJ990" s="56"/>
      <c r="FK990" s="56"/>
      <c r="FL990" s="56"/>
      <c r="FM990" s="56"/>
      <c r="FN990" s="56"/>
      <c r="FO990" s="56"/>
      <c r="FP990" s="56"/>
      <c r="FQ990" s="56"/>
      <c r="FR990" s="56"/>
      <c r="FS990" s="56"/>
      <c r="FT990" s="56"/>
      <c r="FU990" s="56"/>
      <c r="FV990" s="56"/>
      <c r="FW990" s="56"/>
      <c r="FX990" s="56"/>
      <c r="FY990" s="56"/>
      <c r="FZ990" s="56"/>
      <c r="GA990" s="56"/>
      <c r="GB990" s="56"/>
      <c r="GC990" s="56"/>
      <c r="GD990" s="56"/>
      <c r="GE990" s="56"/>
      <c r="GF990" s="56"/>
      <c r="GG990" s="56"/>
      <c r="GH990" s="56"/>
      <c r="GI990" s="56"/>
      <c r="GJ990" s="56"/>
      <c r="GK990" s="56"/>
      <c r="GL990" s="56"/>
      <c r="GM990" s="56"/>
      <c r="GN990" s="56"/>
      <c r="GO990" s="56"/>
      <c r="GP990" s="56"/>
      <c r="GQ990" s="56"/>
      <c r="GR990" s="56"/>
      <c r="GS990" s="56"/>
      <c r="GT990" s="56"/>
      <c r="GU990" s="56"/>
      <c r="GV990" s="56"/>
      <c r="GW990" s="56"/>
      <c r="GX990" s="56"/>
      <c r="GY990" s="56"/>
      <c r="GZ990" s="56"/>
      <c r="HA990" s="56"/>
      <c r="HB990" s="56"/>
      <c r="HC990" s="56"/>
      <c r="HD990" s="56"/>
      <c r="HE990" s="56"/>
      <c r="HF990" s="56"/>
      <c r="HG990" s="56"/>
      <c r="HH990" s="56"/>
      <c r="HI990" s="56"/>
      <c r="HJ990" s="56"/>
    </row>
    <row r="991" spans="1:218" ht="15.75" customHeight="1" x14ac:dyDescent="0.2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  <c r="BV991" s="56"/>
      <c r="BW991" s="56"/>
      <c r="BX991" s="56"/>
      <c r="BY991" s="56"/>
      <c r="BZ991" s="56"/>
      <c r="CA991" s="56"/>
      <c r="CB991" s="56"/>
      <c r="CC991" s="56"/>
      <c r="CD991" s="56"/>
      <c r="CE991" s="56"/>
      <c r="CF991" s="56"/>
      <c r="CG991" s="56"/>
      <c r="CH991" s="56"/>
      <c r="CI991" s="56"/>
      <c r="CJ991" s="56"/>
      <c r="CK991" s="56"/>
      <c r="CL991" s="56"/>
      <c r="CM991" s="56"/>
      <c r="CN991" s="56"/>
      <c r="CO991" s="56"/>
      <c r="CP991" s="56"/>
      <c r="CQ991" s="56"/>
      <c r="CR991" s="56"/>
      <c r="CS991" s="56"/>
      <c r="CT991" s="56"/>
      <c r="CU991" s="56"/>
      <c r="CV991" s="56"/>
      <c r="CW991" s="56"/>
      <c r="CX991" s="56"/>
      <c r="CY991" s="56"/>
      <c r="CZ991" s="56"/>
      <c r="DA991" s="56"/>
      <c r="DB991" s="56"/>
      <c r="DC991" s="56"/>
      <c r="DD991" s="56"/>
      <c r="DE991" s="56"/>
      <c r="DF991" s="56"/>
      <c r="DG991" s="56"/>
      <c r="DH991" s="56"/>
      <c r="DI991" s="56"/>
      <c r="DJ991" s="56"/>
      <c r="DK991" s="56"/>
      <c r="DL991" s="56"/>
      <c r="DM991" s="56"/>
      <c r="DN991" s="56"/>
      <c r="DO991" s="56"/>
      <c r="DP991" s="56"/>
      <c r="DQ991" s="56"/>
      <c r="DR991" s="56"/>
      <c r="DS991" s="56"/>
      <c r="DT991" s="56"/>
      <c r="DU991" s="56"/>
      <c r="DV991" s="56"/>
      <c r="DW991" s="56"/>
      <c r="DX991" s="56"/>
      <c r="DY991" s="56"/>
      <c r="DZ991" s="56"/>
      <c r="EA991" s="56"/>
      <c r="EB991" s="56"/>
      <c r="EC991" s="56"/>
      <c r="ED991" s="56"/>
      <c r="EE991" s="56"/>
      <c r="EF991" s="56"/>
      <c r="EG991" s="56"/>
      <c r="EH991" s="56"/>
      <c r="EI991" s="56"/>
      <c r="EJ991" s="56"/>
      <c r="EK991" s="56"/>
      <c r="EL991" s="56"/>
      <c r="EM991" s="56"/>
      <c r="EN991" s="56"/>
      <c r="EO991" s="56"/>
      <c r="EP991" s="56"/>
      <c r="EQ991" s="56"/>
      <c r="ER991" s="56"/>
      <c r="ES991" s="56"/>
      <c r="ET991" s="56"/>
      <c r="EU991" s="56"/>
      <c r="EV991" s="56"/>
      <c r="EW991" s="56"/>
      <c r="EX991" s="56"/>
      <c r="EY991" s="56"/>
      <c r="EZ991" s="56"/>
      <c r="FA991" s="56"/>
      <c r="FB991" s="56"/>
      <c r="FC991" s="56"/>
      <c r="FD991" s="56"/>
      <c r="FE991" s="56"/>
      <c r="FF991" s="56"/>
      <c r="FG991" s="56"/>
      <c r="FH991" s="56"/>
      <c r="FI991" s="56"/>
      <c r="FJ991" s="56"/>
      <c r="FK991" s="56"/>
      <c r="FL991" s="56"/>
      <c r="FM991" s="56"/>
      <c r="FN991" s="56"/>
      <c r="FO991" s="56"/>
      <c r="FP991" s="56"/>
      <c r="FQ991" s="56"/>
      <c r="FR991" s="56"/>
      <c r="FS991" s="56"/>
      <c r="FT991" s="56"/>
      <c r="FU991" s="56"/>
      <c r="FV991" s="56"/>
      <c r="FW991" s="56"/>
      <c r="FX991" s="56"/>
      <c r="FY991" s="56"/>
      <c r="FZ991" s="56"/>
      <c r="GA991" s="56"/>
      <c r="GB991" s="56"/>
      <c r="GC991" s="56"/>
      <c r="GD991" s="56"/>
      <c r="GE991" s="56"/>
      <c r="GF991" s="56"/>
      <c r="GG991" s="56"/>
      <c r="GH991" s="56"/>
      <c r="GI991" s="56"/>
      <c r="GJ991" s="56"/>
      <c r="GK991" s="56"/>
      <c r="GL991" s="56"/>
      <c r="GM991" s="56"/>
      <c r="GN991" s="56"/>
      <c r="GO991" s="56"/>
      <c r="GP991" s="56"/>
      <c r="GQ991" s="56"/>
      <c r="GR991" s="56"/>
      <c r="GS991" s="56"/>
      <c r="GT991" s="56"/>
      <c r="GU991" s="56"/>
      <c r="GV991" s="56"/>
      <c r="GW991" s="56"/>
      <c r="GX991" s="56"/>
      <c r="GY991" s="56"/>
      <c r="GZ991" s="56"/>
      <c r="HA991" s="56"/>
      <c r="HB991" s="56"/>
      <c r="HC991" s="56"/>
      <c r="HD991" s="56"/>
      <c r="HE991" s="56"/>
      <c r="HF991" s="56"/>
      <c r="HG991" s="56"/>
      <c r="HH991" s="56"/>
      <c r="HI991" s="56"/>
      <c r="HJ991" s="56"/>
    </row>
    <row r="992" spans="1:218" ht="15.75" customHeight="1" x14ac:dyDescent="0.2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6"/>
      <c r="CA992" s="56"/>
      <c r="CB992" s="56"/>
      <c r="CC992" s="56"/>
      <c r="CD992" s="56"/>
      <c r="CE992" s="56"/>
      <c r="CF992" s="56"/>
      <c r="CG992" s="56"/>
      <c r="CH992" s="56"/>
      <c r="CI992" s="56"/>
      <c r="CJ992" s="56"/>
      <c r="CK992" s="56"/>
      <c r="CL992" s="56"/>
      <c r="CM992" s="56"/>
      <c r="CN992" s="56"/>
      <c r="CO992" s="56"/>
      <c r="CP992" s="56"/>
      <c r="CQ992" s="56"/>
      <c r="CR992" s="56"/>
      <c r="CS992" s="56"/>
      <c r="CT992" s="56"/>
      <c r="CU992" s="56"/>
      <c r="CV992" s="56"/>
      <c r="CW992" s="56"/>
      <c r="CX992" s="56"/>
      <c r="CY992" s="56"/>
      <c r="CZ992" s="56"/>
      <c r="DA992" s="56"/>
      <c r="DB992" s="56"/>
      <c r="DC992" s="56"/>
      <c r="DD992" s="56"/>
      <c r="DE992" s="56"/>
      <c r="DF992" s="56"/>
      <c r="DG992" s="56"/>
      <c r="DH992" s="56"/>
      <c r="DI992" s="56"/>
      <c r="DJ992" s="56"/>
      <c r="DK992" s="56"/>
      <c r="DL992" s="56"/>
      <c r="DM992" s="56"/>
      <c r="DN992" s="56"/>
      <c r="DO992" s="56"/>
      <c r="DP992" s="56"/>
      <c r="DQ992" s="56"/>
      <c r="DR992" s="56"/>
      <c r="DS992" s="56"/>
      <c r="DT992" s="56"/>
      <c r="DU992" s="56"/>
      <c r="DV992" s="56"/>
      <c r="DW992" s="56"/>
      <c r="DX992" s="56"/>
      <c r="DY992" s="56"/>
      <c r="DZ992" s="56"/>
      <c r="EA992" s="56"/>
      <c r="EB992" s="56"/>
      <c r="EC992" s="56"/>
      <c r="ED992" s="56"/>
      <c r="EE992" s="56"/>
      <c r="EF992" s="56"/>
      <c r="EG992" s="56"/>
      <c r="EH992" s="56"/>
      <c r="EI992" s="56"/>
      <c r="EJ992" s="56"/>
      <c r="EK992" s="56"/>
      <c r="EL992" s="56"/>
      <c r="EM992" s="56"/>
      <c r="EN992" s="56"/>
      <c r="EO992" s="56"/>
      <c r="EP992" s="56"/>
      <c r="EQ992" s="56"/>
      <c r="ER992" s="56"/>
      <c r="ES992" s="56"/>
      <c r="ET992" s="56"/>
      <c r="EU992" s="56"/>
      <c r="EV992" s="56"/>
      <c r="EW992" s="56"/>
      <c r="EX992" s="56"/>
      <c r="EY992" s="56"/>
      <c r="EZ992" s="56"/>
      <c r="FA992" s="56"/>
      <c r="FB992" s="56"/>
      <c r="FC992" s="56"/>
      <c r="FD992" s="56"/>
      <c r="FE992" s="56"/>
      <c r="FF992" s="56"/>
      <c r="FG992" s="56"/>
      <c r="FH992" s="56"/>
      <c r="FI992" s="56"/>
      <c r="FJ992" s="56"/>
      <c r="FK992" s="56"/>
      <c r="FL992" s="56"/>
      <c r="FM992" s="56"/>
      <c r="FN992" s="56"/>
      <c r="FO992" s="56"/>
      <c r="FP992" s="56"/>
      <c r="FQ992" s="56"/>
      <c r="FR992" s="56"/>
      <c r="FS992" s="56"/>
      <c r="FT992" s="56"/>
      <c r="FU992" s="56"/>
      <c r="FV992" s="56"/>
      <c r="FW992" s="56"/>
      <c r="FX992" s="56"/>
      <c r="FY992" s="56"/>
      <c r="FZ992" s="56"/>
      <c r="GA992" s="56"/>
      <c r="GB992" s="56"/>
      <c r="GC992" s="56"/>
      <c r="GD992" s="56"/>
      <c r="GE992" s="56"/>
      <c r="GF992" s="56"/>
      <c r="GG992" s="56"/>
      <c r="GH992" s="56"/>
      <c r="GI992" s="56"/>
      <c r="GJ992" s="56"/>
      <c r="GK992" s="56"/>
      <c r="GL992" s="56"/>
      <c r="GM992" s="56"/>
      <c r="GN992" s="56"/>
      <c r="GO992" s="56"/>
      <c r="GP992" s="56"/>
      <c r="GQ992" s="56"/>
      <c r="GR992" s="56"/>
      <c r="GS992" s="56"/>
      <c r="GT992" s="56"/>
      <c r="GU992" s="56"/>
      <c r="GV992" s="56"/>
      <c r="GW992" s="56"/>
      <c r="GX992" s="56"/>
      <c r="GY992" s="56"/>
      <c r="GZ992" s="56"/>
      <c r="HA992" s="56"/>
      <c r="HB992" s="56"/>
      <c r="HC992" s="56"/>
      <c r="HD992" s="56"/>
      <c r="HE992" s="56"/>
      <c r="HF992" s="56"/>
      <c r="HG992" s="56"/>
      <c r="HH992" s="56"/>
      <c r="HI992" s="56"/>
      <c r="HJ992" s="56"/>
    </row>
    <row r="993" spans="1:218" ht="15.75" customHeight="1" x14ac:dyDescent="0.2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  <c r="BV993" s="56"/>
      <c r="BW993" s="56"/>
      <c r="BX993" s="56"/>
      <c r="BY993" s="56"/>
      <c r="BZ993" s="56"/>
      <c r="CA993" s="56"/>
      <c r="CB993" s="56"/>
      <c r="CC993" s="56"/>
      <c r="CD993" s="56"/>
      <c r="CE993" s="56"/>
      <c r="CF993" s="56"/>
      <c r="CG993" s="56"/>
      <c r="CH993" s="56"/>
      <c r="CI993" s="56"/>
      <c r="CJ993" s="56"/>
      <c r="CK993" s="56"/>
      <c r="CL993" s="56"/>
      <c r="CM993" s="56"/>
      <c r="CN993" s="56"/>
      <c r="CO993" s="56"/>
      <c r="CP993" s="56"/>
      <c r="CQ993" s="56"/>
      <c r="CR993" s="56"/>
      <c r="CS993" s="56"/>
      <c r="CT993" s="56"/>
      <c r="CU993" s="56"/>
      <c r="CV993" s="56"/>
      <c r="CW993" s="56"/>
      <c r="CX993" s="56"/>
      <c r="CY993" s="56"/>
      <c r="CZ993" s="56"/>
      <c r="DA993" s="56"/>
      <c r="DB993" s="56"/>
      <c r="DC993" s="56"/>
      <c r="DD993" s="56"/>
      <c r="DE993" s="56"/>
      <c r="DF993" s="56"/>
      <c r="DG993" s="56"/>
      <c r="DH993" s="56"/>
      <c r="DI993" s="56"/>
      <c r="DJ993" s="56"/>
      <c r="DK993" s="56"/>
      <c r="DL993" s="56"/>
      <c r="DM993" s="56"/>
      <c r="DN993" s="56"/>
      <c r="DO993" s="56"/>
      <c r="DP993" s="56"/>
      <c r="DQ993" s="56"/>
      <c r="DR993" s="56"/>
      <c r="DS993" s="56"/>
      <c r="DT993" s="56"/>
      <c r="DU993" s="56"/>
      <c r="DV993" s="56"/>
      <c r="DW993" s="56"/>
      <c r="DX993" s="56"/>
      <c r="DY993" s="56"/>
      <c r="DZ993" s="56"/>
      <c r="EA993" s="56"/>
      <c r="EB993" s="56"/>
      <c r="EC993" s="56"/>
      <c r="ED993" s="56"/>
      <c r="EE993" s="56"/>
      <c r="EF993" s="56"/>
      <c r="EG993" s="56"/>
      <c r="EH993" s="56"/>
      <c r="EI993" s="56"/>
      <c r="EJ993" s="56"/>
      <c r="EK993" s="56"/>
      <c r="EL993" s="56"/>
      <c r="EM993" s="56"/>
      <c r="EN993" s="56"/>
      <c r="EO993" s="56"/>
      <c r="EP993" s="56"/>
      <c r="EQ993" s="56"/>
      <c r="ER993" s="56"/>
      <c r="ES993" s="56"/>
      <c r="ET993" s="56"/>
      <c r="EU993" s="56"/>
      <c r="EV993" s="56"/>
      <c r="EW993" s="56"/>
      <c r="EX993" s="56"/>
      <c r="EY993" s="56"/>
      <c r="EZ993" s="56"/>
      <c r="FA993" s="56"/>
      <c r="FB993" s="56"/>
      <c r="FC993" s="56"/>
      <c r="FD993" s="56"/>
      <c r="FE993" s="56"/>
      <c r="FF993" s="56"/>
      <c r="FG993" s="56"/>
      <c r="FH993" s="56"/>
      <c r="FI993" s="56"/>
      <c r="FJ993" s="56"/>
      <c r="FK993" s="56"/>
      <c r="FL993" s="56"/>
      <c r="FM993" s="56"/>
      <c r="FN993" s="56"/>
      <c r="FO993" s="56"/>
      <c r="FP993" s="56"/>
      <c r="FQ993" s="56"/>
      <c r="FR993" s="56"/>
      <c r="FS993" s="56"/>
      <c r="FT993" s="56"/>
      <c r="FU993" s="56"/>
      <c r="FV993" s="56"/>
      <c r="FW993" s="56"/>
      <c r="FX993" s="56"/>
      <c r="FY993" s="56"/>
      <c r="FZ993" s="56"/>
      <c r="GA993" s="56"/>
      <c r="GB993" s="56"/>
      <c r="GC993" s="56"/>
      <c r="GD993" s="56"/>
      <c r="GE993" s="56"/>
      <c r="GF993" s="56"/>
      <c r="GG993" s="56"/>
      <c r="GH993" s="56"/>
      <c r="GI993" s="56"/>
      <c r="GJ993" s="56"/>
      <c r="GK993" s="56"/>
      <c r="GL993" s="56"/>
      <c r="GM993" s="56"/>
      <c r="GN993" s="56"/>
      <c r="GO993" s="56"/>
      <c r="GP993" s="56"/>
      <c r="GQ993" s="56"/>
      <c r="GR993" s="56"/>
      <c r="GS993" s="56"/>
      <c r="GT993" s="56"/>
      <c r="GU993" s="56"/>
      <c r="GV993" s="56"/>
      <c r="GW993" s="56"/>
      <c r="GX993" s="56"/>
      <c r="GY993" s="56"/>
      <c r="GZ993" s="56"/>
      <c r="HA993" s="56"/>
      <c r="HB993" s="56"/>
      <c r="HC993" s="56"/>
      <c r="HD993" s="56"/>
      <c r="HE993" s="56"/>
      <c r="HF993" s="56"/>
      <c r="HG993" s="56"/>
      <c r="HH993" s="56"/>
      <c r="HI993" s="56"/>
      <c r="HJ993" s="56"/>
    </row>
    <row r="994" spans="1:218" ht="15.75" customHeight="1" x14ac:dyDescent="0.2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  <c r="BV994" s="56"/>
      <c r="BW994" s="56"/>
      <c r="BX994" s="56"/>
      <c r="BY994" s="56"/>
      <c r="BZ994" s="56"/>
      <c r="CA994" s="56"/>
      <c r="CB994" s="56"/>
      <c r="CC994" s="56"/>
      <c r="CD994" s="56"/>
      <c r="CE994" s="56"/>
      <c r="CF994" s="56"/>
      <c r="CG994" s="56"/>
      <c r="CH994" s="56"/>
      <c r="CI994" s="56"/>
      <c r="CJ994" s="56"/>
      <c r="CK994" s="56"/>
      <c r="CL994" s="56"/>
      <c r="CM994" s="56"/>
      <c r="CN994" s="56"/>
      <c r="CO994" s="56"/>
      <c r="CP994" s="56"/>
      <c r="CQ994" s="56"/>
      <c r="CR994" s="56"/>
      <c r="CS994" s="56"/>
      <c r="CT994" s="56"/>
      <c r="CU994" s="56"/>
      <c r="CV994" s="56"/>
      <c r="CW994" s="56"/>
      <c r="CX994" s="56"/>
      <c r="CY994" s="56"/>
      <c r="CZ994" s="56"/>
      <c r="DA994" s="56"/>
      <c r="DB994" s="56"/>
      <c r="DC994" s="56"/>
      <c r="DD994" s="56"/>
      <c r="DE994" s="56"/>
      <c r="DF994" s="56"/>
      <c r="DG994" s="56"/>
      <c r="DH994" s="56"/>
      <c r="DI994" s="56"/>
      <c r="DJ994" s="56"/>
      <c r="DK994" s="56"/>
      <c r="DL994" s="56"/>
      <c r="DM994" s="56"/>
      <c r="DN994" s="56"/>
      <c r="DO994" s="56"/>
      <c r="DP994" s="56"/>
      <c r="DQ994" s="56"/>
      <c r="DR994" s="56"/>
      <c r="DS994" s="56"/>
      <c r="DT994" s="56"/>
      <c r="DU994" s="56"/>
      <c r="DV994" s="56"/>
      <c r="DW994" s="56"/>
      <c r="DX994" s="56"/>
      <c r="DY994" s="56"/>
      <c r="DZ994" s="56"/>
      <c r="EA994" s="56"/>
      <c r="EB994" s="56"/>
      <c r="EC994" s="56"/>
      <c r="ED994" s="56"/>
      <c r="EE994" s="56"/>
      <c r="EF994" s="56"/>
      <c r="EG994" s="56"/>
      <c r="EH994" s="56"/>
      <c r="EI994" s="56"/>
      <c r="EJ994" s="56"/>
      <c r="EK994" s="56"/>
      <c r="EL994" s="56"/>
      <c r="EM994" s="56"/>
      <c r="EN994" s="56"/>
      <c r="EO994" s="56"/>
      <c r="EP994" s="56"/>
      <c r="EQ994" s="56"/>
      <c r="ER994" s="56"/>
      <c r="ES994" s="56"/>
      <c r="ET994" s="56"/>
      <c r="EU994" s="56"/>
      <c r="EV994" s="56"/>
      <c r="EW994" s="56"/>
      <c r="EX994" s="56"/>
      <c r="EY994" s="56"/>
      <c r="EZ994" s="56"/>
      <c r="FA994" s="56"/>
      <c r="FB994" s="56"/>
      <c r="FC994" s="56"/>
      <c r="FD994" s="56"/>
      <c r="FE994" s="56"/>
      <c r="FF994" s="56"/>
      <c r="FG994" s="56"/>
      <c r="FH994" s="56"/>
      <c r="FI994" s="56"/>
      <c r="FJ994" s="56"/>
      <c r="FK994" s="56"/>
      <c r="FL994" s="56"/>
      <c r="FM994" s="56"/>
      <c r="FN994" s="56"/>
      <c r="FO994" s="56"/>
      <c r="FP994" s="56"/>
      <c r="FQ994" s="56"/>
      <c r="FR994" s="56"/>
      <c r="FS994" s="56"/>
      <c r="FT994" s="56"/>
      <c r="FU994" s="56"/>
      <c r="FV994" s="56"/>
      <c r="FW994" s="56"/>
      <c r="FX994" s="56"/>
      <c r="FY994" s="56"/>
      <c r="FZ994" s="56"/>
      <c r="GA994" s="56"/>
      <c r="GB994" s="56"/>
      <c r="GC994" s="56"/>
      <c r="GD994" s="56"/>
      <c r="GE994" s="56"/>
      <c r="GF994" s="56"/>
      <c r="GG994" s="56"/>
      <c r="GH994" s="56"/>
      <c r="GI994" s="56"/>
      <c r="GJ994" s="56"/>
      <c r="GK994" s="56"/>
      <c r="GL994" s="56"/>
      <c r="GM994" s="56"/>
      <c r="GN994" s="56"/>
      <c r="GO994" s="56"/>
      <c r="GP994" s="56"/>
      <c r="GQ994" s="56"/>
      <c r="GR994" s="56"/>
      <c r="GS994" s="56"/>
      <c r="GT994" s="56"/>
      <c r="GU994" s="56"/>
      <c r="GV994" s="56"/>
      <c r="GW994" s="56"/>
      <c r="GX994" s="56"/>
      <c r="GY994" s="56"/>
      <c r="GZ994" s="56"/>
      <c r="HA994" s="56"/>
      <c r="HB994" s="56"/>
      <c r="HC994" s="56"/>
      <c r="HD994" s="56"/>
      <c r="HE994" s="56"/>
      <c r="HF994" s="56"/>
      <c r="HG994" s="56"/>
      <c r="HH994" s="56"/>
      <c r="HI994" s="56"/>
      <c r="HJ994" s="56"/>
    </row>
    <row r="995" spans="1:218" ht="15.75" customHeight="1" x14ac:dyDescent="0.2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  <c r="BV995" s="56"/>
      <c r="BW995" s="56"/>
      <c r="BX995" s="56"/>
      <c r="BY995" s="56"/>
      <c r="BZ995" s="56"/>
      <c r="CA995" s="56"/>
      <c r="CB995" s="56"/>
      <c r="CC995" s="56"/>
      <c r="CD995" s="56"/>
      <c r="CE995" s="56"/>
      <c r="CF995" s="56"/>
      <c r="CG995" s="56"/>
      <c r="CH995" s="56"/>
      <c r="CI995" s="56"/>
      <c r="CJ995" s="56"/>
      <c r="CK995" s="56"/>
      <c r="CL995" s="56"/>
      <c r="CM995" s="56"/>
      <c r="CN995" s="56"/>
      <c r="CO995" s="56"/>
      <c r="CP995" s="56"/>
      <c r="CQ995" s="56"/>
      <c r="CR995" s="56"/>
      <c r="CS995" s="56"/>
      <c r="CT995" s="56"/>
      <c r="CU995" s="56"/>
      <c r="CV995" s="56"/>
      <c r="CW995" s="56"/>
      <c r="CX995" s="56"/>
      <c r="CY995" s="56"/>
      <c r="CZ995" s="56"/>
      <c r="DA995" s="56"/>
      <c r="DB995" s="56"/>
      <c r="DC995" s="56"/>
      <c r="DD995" s="56"/>
      <c r="DE995" s="56"/>
      <c r="DF995" s="56"/>
      <c r="DG995" s="56"/>
      <c r="DH995" s="56"/>
      <c r="DI995" s="56"/>
      <c r="DJ995" s="56"/>
      <c r="DK995" s="56"/>
      <c r="DL995" s="56"/>
      <c r="DM995" s="56"/>
      <c r="DN995" s="56"/>
      <c r="DO995" s="56"/>
      <c r="DP995" s="56"/>
      <c r="DQ995" s="56"/>
      <c r="DR995" s="56"/>
      <c r="DS995" s="56"/>
      <c r="DT995" s="56"/>
      <c r="DU995" s="56"/>
      <c r="DV995" s="56"/>
      <c r="DW995" s="56"/>
      <c r="DX995" s="56"/>
      <c r="DY995" s="56"/>
      <c r="DZ995" s="56"/>
      <c r="EA995" s="56"/>
      <c r="EB995" s="56"/>
      <c r="EC995" s="56"/>
      <c r="ED995" s="56"/>
      <c r="EE995" s="56"/>
      <c r="EF995" s="56"/>
      <c r="EG995" s="56"/>
      <c r="EH995" s="56"/>
      <c r="EI995" s="56"/>
      <c r="EJ995" s="56"/>
      <c r="EK995" s="56"/>
      <c r="EL995" s="56"/>
      <c r="EM995" s="56"/>
      <c r="EN995" s="56"/>
      <c r="EO995" s="56"/>
      <c r="EP995" s="56"/>
      <c r="EQ995" s="56"/>
      <c r="ER995" s="56"/>
      <c r="ES995" s="56"/>
      <c r="ET995" s="56"/>
      <c r="EU995" s="56"/>
      <c r="EV995" s="56"/>
      <c r="EW995" s="56"/>
      <c r="EX995" s="56"/>
      <c r="EY995" s="56"/>
      <c r="EZ995" s="56"/>
      <c r="FA995" s="56"/>
      <c r="FB995" s="56"/>
      <c r="FC995" s="56"/>
      <c r="FD995" s="56"/>
      <c r="FE995" s="56"/>
      <c r="FF995" s="56"/>
      <c r="FG995" s="56"/>
      <c r="FH995" s="56"/>
      <c r="FI995" s="56"/>
      <c r="FJ995" s="56"/>
      <c r="FK995" s="56"/>
      <c r="FL995" s="56"/>
      <c r="FM995" s="56"/>
      <c r="FN995" s="56"/>
      <c r="FO995" s="56"/>
      <c r="FP995" s="56"/>
      <c r="FQ995" s="56"/>
      <c r="FR995" s="56"/>
      <c r="FS995" s="56"/>
      <c r="FT995" s="56"/>
      <c r="FU995" s="56"/>
      <c r="FV995" s="56"/>
      <c r="FW995" s="56"/>
      <c r="FX995" s="56"/>
      <c r="FY995" s="56"/>
      <c r="FZ995" s="56"/>
      <c r="GA995" s="56"/>
      <c r="GB995" s="56"/>
      <c r="GC995" s="56"/>
      <c r="GD995" s="56"/>
      <c r="GE995" s="56"/>
      <c r="GF995" s="56"/>
      <c r="GG995" s="56"/>
      <c r="GH995" s="56"/>
      <c r="GI995" s="56"/>
      <c r="GJ995" s="56"/>
      <c r="GK995" s="56"/>
      <c r="GL995" s="56"/>
      <c r="GM995" s="56"/>
      <c r="GN995" s="56"/>
      <c r="GO995" s="56"/>
      <c r="GP995" s="56"/>
      <c r="GQ995" s="56"/>
      <c r="GR995" s="56"/>
      <c r="GS995" s="56"/>
      <c r="GT995" s="56"/>
      <c r="GU995" s="56"/>
      <c r="GV995" s="56"/>
      <c r="GW995" s="56"/>
      <c r="GX995" s="56"/>
      <c r="GY995" s="56"/>
      <c r="GZ995" s="56"/>
      <c r="HA995" s="56"/>
      <c r="HB995" s="56"/>
      <c r="HC995" s="56"/>
      <c r="HD995" s="56"/>
      <c r="HE995" s="56"/>
      <c r="HF995" s="56"/>
      <c r="HG995" s="56"/>
      <c r="HH995" s="56"/>
      <c r="HI995" s="56"/>
      <c r="HJ995" s="56"/>
    </row>
    <row r="996" spans="1:218" ht="15.75" customHeight="1" x14ac:dyDescent="0.2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  <c r="BV996" s="56"/>
      <c r="BW996" s="56"/>
      <c r="BX996" s="56"/>
      <c r="BY996" s="56"/>
      <c r="BZ996" s="56"/>
      <c r="CA996" s="56"/>
      <c r="CB996" s="56"/>
      <c r="CC996" s="56"/>
      <c r="CD996" s="56"/>
      <c r="CE996" s="56"/>
      <c r="CF996" s="56"/>
      <c r="CG996" s="56"/>
      <c r="CH996" s="56"/>
      <c r="CI996" s="56"/>
      <c r="CJ996" s="56"/>
      <c r="CK996" s="56"/>
      <c r="CL996" s="56"/>
      <c r="CM996" s="56"/>
      <c r="CN996" s="56"/>
      <c r="CO996" s="56"/>
      <c r="CP996" s="56"/>
      <c r="CQ996" s="56"/>
      <c r="CR996" s="56"/>
      <c r="CS996" s="56"/>
      <c r="CT996" s="56"/>
      <c r="CU996" s="56"/>
      <c r="CV996" s="56"/>
      <c r="CW996" s="56"/>
      <c r="CX996" s="56"/>
      <c r="CY996" s="56"/>
      <c r="CZ996" s="56"/>
      <c r="DA996" s="56"/>
      <c r="DB996" s="56"/>
      <c r="DC996" s="56"/>
      <c r="DD996" s="56"/>
      <c r="DE996" s="56"/>
      <c r="DF996" s="56"/>
      <c r="DG996" s="56"/>
      <c r="DH996" s="56"/>
      <c r="DI996" s="56"/>
      <c r="DJ996" s="56"/>
      <c r="DK996" s="56"/>
      <c r="DL996" s="56"/>
      <c r="DM996" s="56"/>
      <c r="DN996" s="56"/>
      <c r="DO996" s="56"/>
      <c r="DP996" s="56"/>
      <c r="DQ996" s="56"/>
      <c r="DR996" s="56"/>
      <c r="DS996" s="56"/>
      <c r="DT996" s="56"/>
      <c r="DU996" s="56"/>
      <c r="DV996" s="56"/>
      <c r="DW996" s="56"/>
      <c r="DX996" s="56"/>
      <c r="DY996" s="56"/>
      <c r="DZ996" s="56"/>
      <c r="EA996" s="56"/>
      <c r="EB996" s="56"/>
      <c r="EC996" s="56"/>
      <c r="ED996" s="56"/>
      <c r="EE996" s="56"/>
      <c r="EF996" s="56"/>
      <c r="EG996" s="56"/>
      <c r="EH996" s="56"/>
      <c r="EI996" s="56"/>
      <c r="EJ996" s="56"/>
      <c r="EK996" s="56"/>
      <c r="EL996" s="56"/>
      <c r="EM996" s="56"/>
      <c r="EN996" s="56"/>
      <c r="EO996" s="56"/>
      <c r="EP996" s="56"/>
      <c r="EQ996" s="56"/>
      <c r="ER996" s="56"/>
      <c r="ES996" s="56"/>
      <c r="ET996" s="56"/>
      <c r="EU996" s="56"/>
      <c r="EV996" s="56"/>
      <c r="EW996" s="56"/>
      <c r="EX996" s="56"/>
      <c r="EY996" s="56"/>
      <c r="EZ996" s="56"/>
      <c r="FA996" s="56"/>
      <c r="FB996" s="56"/>
      <c r="FC996" s="56"/>
      <c r="FD996" s="56"/>
      <c r="FE996" s="56"/>
      <c r="FF996" s="56"/>
      <c r="FG996" s="56"/>
      <c r="FH996" s="56"/>
      <c r="FI996" s="56"/>
      <c r="FJ996" s="56"/>
      <c r="FK996" s="56"/>
      <c r="FL996" s="56"/>
      <c r="FM996" s="56"/>
      <c r="FN996" s="56"/>
      <c r="FO996" s="56"/>
      <c r="FP996" s="56"/>
      <c r="FQ996" s="56"/>
      <c r="FR996" s="56"/>
      <c r="FS996" s="56"/>
      <c r="FT996" s="56"/>
      <c r="FU996" s="56"/>
      <c r="FV996" s="56"/>
      <c r="FW996" s="56"/>
      <c r="FX996" s="56"/>
      <c r="FY996" s="56"/>
      <c r="FZ996" s="56"/>
      <c r="GA996" s="56"/>
      <c r="GB996" s="56"/>
      <c r="GC996" s="56"/>
      <c r="GD996" s="56"/>
      <c r="GE996" s="56"/>
      <c r="GF996" s="56"/>
      <c r="GG996" s="56"/>
      <c r="GH996" s="56"/>
      <c r="GI996" s="56"/>
      <c r="GJ996" s="56"/>
      <c r="GK996" s="56"/>
      <c r="GL996" s="56"/>
      <c r="GM996" s="56"/>
      <c r="GN996" s="56"/>
      <c r="GO996" s="56"/>
      <c r="GP996" s="56"/>
      <c r="GQ996" s="56"/>
      <c r="GR996" s="56"/>
      <c r="GS996" s="56"/>
      <c r="GT996" s="56"/>
      <c r="GU996" s="56"/>
      <c r="GV996" s="56"/>
      <c r="GW996" s="56"/>
      <c r="GX996" s="56"/>
      <c r="GY996" s="56"/>
      <c r="GZ996" s="56"/>
      <c r="HA996" s="56"/>
      <c r="HB996" s="56"/>
      <c r="HC996" s="56"/>
      <c r="HD996" s="56"/>
      <c r="HE996" s="56"/>
      <c r="HF996" s="56"/>
      <c r="HG996" s="56"/>
      <c r="HH996" s="56"/>
      <c r="HI996" s="56"/>
      <c r="HJ996" s="56"/>
    </row>
    <row r="997" spans="1:218" ht="15.75" customHeight="1" x14ac:dyDescent="0.2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  <c r="BV997" s="56"/>
      <c r="BW997" s="56"/>
      <c r="BX997" s="56"/>
      <c r="BY997" s="56"/>
      <c r="BZ997" s="56"/>
      <c r="CA997" s="56"/>
      <c r="CB997" s="56"/>
      <c r="CC997" s="56"/>
      <c r="CD997" s="56"/>
      <c r="CE997" s="56"/>
      <c r="CF997" s="56"/>
      <c r="CG997" s="56"/>
      <c r="CH997" s="56"/>
      <c r="CI997" s="56"/>
      <c r="CJ997" s="56"/>
      <c r="CK997" s="56"/>
      <c r="CL997" s="56"/>
      <c r="CM997" s="56"/>
      <c r="CN997" s="56"/>
      <c r="CO997" s="56"/>
      <c r="CP997" s="56"/>
      <c r="CQ997" s="56"/>
      <c r="CR997" s="56"/>
      <c r="CS997" s="56"/>
      <c r="CT997" s="56"/>
      <c r="CU997" s="56"/>
      <c r="CV997" s="56"/>
      <c r="CW997" s="56"/>
      <c r="CX997" s="56"/>
      <c r="CY997" s="56"/>
      <c r="CZ997" s="56"/>
      <c r="DA997" s="56"/>
      <c r="DB997" s="56"/>
      <c r="DC997" s="56"/>
      <c r="DD997" s="56"/>
      <c r="DE997" s="56"/>
      <c r="DF997" s="56"/>
      <c r="DG997" s="56"/>
      <c r="DH997" s="56"/>
      <c r="DI997" s="56"/>
      <c r="DJ997" s="56"/>
      <c r="DK997" s="56"/>
      <c r="DL997" s="56"/>
      <c r="DM997" s="56"/>
      <c r="DN997" s="56"/>
      <c r="DO997" s="56"/>
      <c r="DP997" s="56"/>
      <c r="DQ997" s="56"/>
      <c r="DR997" s="56"/>
      <c r="DS997" s="56"/>
      <c r="DT997" s="56"/>
      <c r="DU997" s="56"/>
      <c r="DV997" s="56"/>
      <c r="DW997" s="56"/>
      <c r="DX997" s="56"/>
      <c r="DY997" s="56"/>
      <c r="DZ997" s="56"/>
      <c r="EA997" s="56"/>
      <c r="EB997" s="56"/>
      <c r="EC997" s="56"/>
      <c r="ED997" s="56"/>
      <c r="EE997" s="56"/>
      <c r="EF997" s="56"/>
      <c r="EG997" s="56"/>
      <c r="EH997" s="56"/>
      <c r="EI997" s="56"/>
      <c r="EJ997" s="56"/>
      <c r="EK997" s="56"/>
      <c r="EL997" s="56"/>
      <c r="EM997" s="56"/>
      <c r="EN997" s="56"/>
      <c r="EO997" s="56"/>
      <c r="EP997" s="56"/>
      <c r="EQ997" s="56"/>
      <c r="ER997" s="56"/>
      <c r="ES997" s="56"/>
      <c r="ET997" s="56"/>
      <c r="EU997" s="56"/>
      <c r="EV997" s="56"/>
      <c r="EW997" s="56"/>
      <c r="EX997" s="56"/>
      <c r="EY997" s="56"/>
      <c r="EZ997" s="56"/>
      <c r="FA997" s="56"/>
      <c r="FB997" s="56"/>
      <c r="FC997" s="56"/>
      <c r="FD997" s="56"/>
      <c r="FE997" s="56"/>
      <c r="FF997" s="56"/>
      <c r="FG997" s="56"/>
      <c r="FH997" s="56"/>
      <c r="FI997" s="56"/>
      <c r="FJ997" s="56"/>
      <c r="FK997" s="56"/>
      <c r="FL997" s="56"/>
      <c r="FM997" s="56"/>
      <c r="FN997" s="56"/>
      <c r="FO997" s="56"/>
      <c r="FP997" s="56"/>
      <c r="FQ997" s="56"/>
      <c r="FR997" s="56"/>
      <c r="FS997" s="56"/>
      <c r="FT997" s="56"/>
      <c r="FU997" s="56"/>
      <c r="FV997" s="56"/>
      <c r="FW997" s="56"/>
      <c r="FX997" s="56"/>
      <c r="FY997" s="56"/>
      <c r="FZ997" s="56"/>
      <c r="GA997" s="56"/>
      <c r="GB997" s="56"/>
      <c r="GC997" s="56"/>
      <c r="GD997" s="56"/>
      <c r="GE997" s="56"/>
      <c r="GF997" s="56"/>
      <c r="GG997" s="56"/>
      <c r="GH997" s="56"/>
      <c r="GI997" s="56"/>
      <c r="GJ997" s="56"/>
      <c r="GK997" s="56"/>
      <c r="GL997" s="56"/>
      <c r="GM997" s="56"/>
      <c r="GN997" s="56"/>
      <c r="GO997" s="56"/>
      <c r="GP997" s="56"/>
      <c r="GQ997" s="56"/>
      <c r="GR997" s="56"/>
      <c r="GS997" s="56"/>
      <c r="GT997" s="56"/>
      <c r="GU997" s="56"/>
      <c r="GV997" s="56"/>
      <c r="GW997" s="56"/>
      <c r="GX997" s="56"/>
      <c r="GY997" s="56"/>
      <c r="GZ997" s="56"/>
      <c r="HA997" s="56"/>
      <c r="HB997" s="56"/>
      <c r="HC997" s="56"/>
      <c r="HD997" s="56"/>
      <c r="HE997" s="56"/>
      <c r="HF997" s="56"/>
      <c r="HG997" s="56"/>
      <c r="HH997" s="56"/>
      <c r="HI997" s="56"/>
      <c r="HJ997" s="56"/>
    </row>
    <row r="998" spans="1:218" ht="15.75" customHeight="1" x14ac:dyDescent="0.2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  <c r="BV998" s="56"/>
      <c r="BW998" s="56"/>
      <c r="BX998" s="56"/>
      <c r="BY998" s="56"/>
      <c r="BZ998" s="56"/>
      <c r="CA998" s="56"/>
      <c r="CB998" s="56"/>
      <c r="CC998" s="56"/>
      <c r="CD998" s="56"/>
      <c r="CE998" s="56"/>
      <c r="CF998" s="56"/>
      <c r="CG998" s="56"/>
      <c r="CH998" s="56"/>
      <c r="CI998" s="56"/>
      <c r="CJ998" s="56"/>
      <c r="CK998" s="56"/>
      <c r="CL998" s="56"/>
      <c r="CM998" s="56"/>
      <c r="CN998" s="56"/>
      <c r="CO998" s="56"/>
      <c r="CP998" s="56"/>
      <c r="CQ998" s="56"/>
      <c r="CR998" s="56"/>
      <c r="CS998" s="56"/>
      <c r="CT998" s="56"/>
      <c r="CU998" s="56"/>
      <c r="CV998" s="56"/>
      <c r="CW998" s="56"/>
      <c r="CX998" s="56"/>
      <c r="CY998" s="56"/>
      <c r="CZ998" s="56"/>
      <c r="DA998" s="56"/>
      <c r="DB998" s="56"/>
      <c r="DC998" s="56"/>
      <c r="DD998" s="56"/>
      <c r="DE998" s="56"/>
      <c r="DF998" s="56"/>
      <c r="DG998" s="56"/>
      <c r="DH998" s="56"/>
      <c r="DI998" s="56"/>
      <c r="DJ998" s="56"/>
      <c r="DK998" s="56"/>
      <c r="DL998" s="56"/>
      <c r="DM998" s="56"/>
      <c r="DN998" s="56"/>
      <c r="DO998" s="56"/>
      <c r="DP998" s="56"/>
      <c r="DQ998" s="56"/>
      <c r="DR998" s="56"/>
      <c r="DS998" s="56"/>
      <c r="DT998" s="56"/>
      <c r="DU998" s="56"/>
      <c r="DV998" s="56"/>
      <c r="DW998" s="56"/>
      <c r="DX998" s="56"/>
      <c r="DY998" s="56"/>
      <c r="DZ998" s="56"/>
      <c r="EA998" s="56"/>
      <c r="EB998" s="56"/>
      <c r="EC998" s="56"/>
      <c r="ED998" s="56"/>
      <c r="EE998" s="56"/>
      <c r="EF998" s="56"/>
      <c r="EG998" s="56"/>
      <c r="EH998" s="56"/>
      <c r="EI998" s="56"/>
      <c r="EJ998" s="56"/>
      <c r="EK998" s="56"/>
      <c r="EL998" s="56"/>
      <c r="EM998" s="56"/>
      <c r="EN998" s="56"/>
      <c r="EO998" s="56"/>
      <c r="EP998" s="56"/>
      <c r="EQ998" s="56"/>
      <c r="ER998" s="56"/>
      <c r="ES998" s="56"/>
      <c r="ET998" s="56"/>
      <c r="EU998" s="56"/>
      <c r="EV998" s="56"/>
      <c r="EW998" s="56"/>
      <c r="EX998" s="56"/>
      <c r="EY998" s="56"/>
      <c r="EZ998" s="56"/>
      <c r="FA998" s="56"/>
      <c r="FB998" s="56"/>
      <c r="FC998" s="56"/>
      <c r="FD998" s="56"/>
      <c r="FE998" s="56"/>
      <c r="FF998" s="56"/>
      <c r="FG998" s="56"/>
      <c r="FH998" s="56"/>
      <c r="FI998" s="56"/>
      <c r="FJ998" s="56"/>
      <c r="FK998" s="56"/>
      <c r="FL998" s="56"/>
      <c r="FM998" s="56"/>
      <c r="FN998" s="56"/>
      <c r="FO998" s="56"/>
      <c r="FP998" s="56"/>
      <c r="FQ998" s="56"/>
      <c r="FR998" s="56"/>
      <c r="FS998" s="56"/>
      <c r="FT998" s="56"/>
      <c r="FU998" s="56"/>
      <c r="FV998" s="56"/>
      <c r="FW998" s="56"/>
      <c r="FX998" s="56"/>
      <c r="FY998" s="56"/>
      <c r="FZ998" s="56"/>
      <c r="GA998" s="56"/>
      <c r="GB998" s="56"/>
      <c r="GC998" s="56"/>
      <c r="GD998" s="56"/>
      <c r="GE998" s="56"/>
      <c r="GF998" s="56"/>
      <c r="GG998" s="56"/>
      <c r="GH998" s="56"/>
      <c r="GI998" s="56"/>
      <c r="GJ998" s="56"/>
      <c r="GK998" s="56"/>
      <c r="GL998" s="56"/>
      <c r="GM998" s="56"/>
      <c r="GN998" s="56"/>
      <c r="GO998" s="56"/>
      <c r="GP998" s="56"/>
      <c r="GQ998" s="56"/>
      <c r="GR998" s="56"/>
      <c r="GS998" s="56"/>
      <c r="GT998" s="56"/>
      <c r="GU998" s="56"/>
      <c r="GV998" s="56"/>
      <c r="GW998" s="56"/>
      <c r="GX998" s="56"/>
      <c r="GY998" s="56"/>
      <c r="GZ998" s="56"/>
      <c r="HA998" s="56"/>
      <c r="HB998" s="56"/>
      <c r="HC998" s="56"/>
      <c r="HD998" s="56"/>
      <c r="HE998" s="56"/>
      <c r="HF998" s="56"/>
      <c r="HG998" s="56"/>
      <c r="HH998" s="56"/>
      <c r="HI998" s="56"/>
      <c r="HJ998" s="56"/>
    </row>
    <row r="999" spans="1:218" ht="15.75" customHeight="1" x14ac:dyDescent="0.2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  <c r="BV999" s="56"/>
      <c r="BW999" s="56"/>
      <c r="BX999" s="56"/>
      <c r="BY999" s="56"/>
      <c r="BZ999" s="56"/>
      <c r="CA999" s="56"/>
      <c r="CB999" s="56"/>
      <c r="CC999" s="56"/>
      <c r="CD999" s="56"/>
      <c r="CE999" s="56"/>
      <c r="CF999" s="56"/>
      <c r="CG999" s="56"/>
      <c r="CH999" s="56"/>
      <c r="CI999" s="56"/>
      <c r="CJ999" s="56"/>
      <c r="CK999" s="56"/>
      <c r="CL999" s="56"/>
      <c r="CM999" s="56"/>
      <c r="CN999" s="56"/>
      <c r="CO999" s="56"/>
      <c r="CP999" s="56"/>
      <c r="CQ999" s="56"/>
      <c r="CR999" s="56"/>
      <c r="CS999" s="56"/>
      <c r="CT999" s="56"/>
      <c r="CU999" s="56"/>
      <c r="CV999" s="56"/>
      <c r="CW999" s="56"/>
      <c r="CX999" s="56"/>
      <c r="CY999" s="56"/>
      <c r="CZ999" s="56"/>
      <c r="DA999" s="56"/>
      <c r="DB999" s="56"/>
      <c r="DC999" s="56"/>
      <c r="DD999" s="56"/>
      <c r="DE999" s="56"/>
      <c r="DF999" s="56"/>
      <c r="DG999" s="56"/>
      <c r="DH999" s="56"/>
      <c r="DI999" s="56"/>
      <c r="DJ999" s="56"/>
      <c r="DK999" s="56"/>
      <c r="DL999" s="56"/>
      <c r="DM999" s="56"/>
      <c r="DN999" s="56"/>
      <c r="DO999" s="56"/>
      <c r="DP999" s="56"/>
      <c r="DQ999" s="56"/>
      <c r="DR999" s="56"/>
      <c r="DS999" s="56"/>
      <c r="DT999" s="56"/>
      <c r="DU999" s="56"/>
      <c r="DV999" s="56"/>
      <c r="DW999" s="56"/>
      <c r="DX999" s="56"/>
      <c r="DY999" s="56"/>
      <c r="DZ999" s="56"/>
      <c r="EA999" s="56"/>
      <c r="EB999" s="56"/>
      <c r="EC999" s="56"/>
      <c r="ED999" s="56"/>
      <c r="EE999" s="56"/>
      <c r="EF999" s="56"/>
      <c r="EG999" s="56"/>
      <c r="EH999" s="56"/>
      <c r="EI999" s="56"/>
      <c r="EJ999" s="56"/>
      <c r="EK999" s="56"/>
      <c r="EL999" s="56"/>
      <c r="EM999" s="56"/>
      <c r="EN999" s="56"/>
      <c r="EO999" s="56"/>
      <c r="EP999" s="56"/>
      <c r="EQ999" s="56"/>
      <c r="ER999" s="56"/>
      <c r="ES999" s="56"/>
      <c r="ET999" s="56"/>
      <c r="EU999" s="56"/>
      <c r="EV999" s="56"/>
      <c r="EW999" s="56"/>
      <c r="EX999" s="56"/>
      <c r="EY999" s="56"/>
      <c r="EZ999" s="56"/>
      <c r="FA999" s="56"/>
      <c r="FB999" s="56"/>
      <c r="FC999" s="56"/>
      <c r="FD999" s="56"/>
      <c r="FE999" s="56"/>
      <c r="FF999" s="56"/>
      <c r="FG999" s="56"/>
      <c r="FH999" s="56"/>
      <c r="FI999" s="56"/>
      <c r="FJ999" s="56"/>
      <c r="FK999" s="56"/>
      <c r="FL999" s="56"/>
      <c r="FM999" s="56"/>
      <c r="FN999" s="56"/>
      <c r="FO999" s="56"/>
      <c r="FP999" s="56"/>
      <c r="FQ999" s="56"/>
      <c r="FR999" s="56"/>
      <c r="FS999" s="56"/>
      <c r="FT999" s="56"/>
      <c r="FU999" s="56"/>
      <c r="FV999" s="56"/>
      <c r="FW999" s="56"/>
      <c r="FX999" s="56"/>
      <c r="FY999" s="56"/>
      <c r="FZ999" s="56"/>
      <c r="GA999" s="56"/>
      <c r="GB999" s="56"/>
      <c r="GC999" s="56"/>
      <c r="GD999" s="56"/>
      <c r="GE999" s="56"/>
      <c r="GF999" s="56"/>
      <c r="GG999" s="56"/>
      <c r="GH999" s="56"/>
      <c r="GI999" s="56"/>
      <c r="GJ999" s="56"/>
      <c r="GK999" s="56"/>
      <c r="GL999" s="56"/>
      <c r="GM999" s="56"/>
      <c r="GN999" s="56"/>
      <c r="GO999" s="56"/>
      <c r="GP999" s="56"/>
      <c r="GQ999" s="56"/>
      <c r="GR999" s="56"/>
      <c r="GS999" s="56"/>
      <c r="GT999" s="56"/>
      <c r="GU999" s="56"/>
      <c r="GV999" s="56"/>
      <c r="GW999" s="56"/>
      <c r="GX999" s="56"/>
      <c r="GY999" s="56"/>
      <c r="GZ999" s="56"/>
      <c r="HA999" s="56"/>
      <c r="HB999" s="56"/>
      <c r="HC999" s="56"/>
      <c r="HD999" s="56"/>
      <c r="HE999" s="56"/>
      <c r="HF999" s="56"/>
      <c r="HG999" s="56"/>
      <c r="HH999" s="56"/>
      <c r="HI999" s="56"/>
      <c r="HJ999" s="56"/>
    </row>
    <row r="1000" spans="1:218" ht="15.75" customHeight="1" x14ac:dyDescent="0.2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  <c r="BV1000" s="56"/>
      <c r="BW1000" s="56"/>
      <c r="BX1000" s="56"/>
      <c r="BY1000" s="56"/>
      <c r="BZ1000" s="56"/>
      <c r="CA1000" s="56"/>
      <c r="CB1000" s="56"/>
      <c r="CC1000" s="56"/>
      <c r="CD1000" s="56"/>
      <c r="CE1000" s="56"/>
      <c r="CF1000" s="56"/>
      <c r="CG1000" s="56"/>
      <c r="CH1000" s="56"/>
      <c r="CI1000" s="56"/>
      <c r="CJ1000" s="56"/>
      <c r="CK1000" s="56"/>
      <c r="CL1000" s="56"/>
      <c r="CM1000" s="56"/>
      <c r="CN1000" s="56"/>
      <c r="CO1000" s="56"/>
      <c r="CP1000" s="56"/>
      <c r="CQ1000" s="56"/>
      <c r="CR1000" s="56"/>
      <c r="CS1000" s="56"/>
      <c r="CT1000" s="56"/>
      <c r="CU1000" s="56"/>
      <c r="CV1000" s="56"/>
      <c r="CW1000" s="56"/>
      <c r="CX1000" s="56"/>
      <c r="CY1000" s="56"/>
      <c r="CZ1000" s="56"/>
      <c r="DA1000" s="56"/>
      <c r="DB1000" s="56"/>
      <c r="DC1000" s="56"/>
      <c r="DD1000" s="56"/>
      <c r="DE1000" s="56"/>
      <c r="DF1000" s="56"/>
      <c r="DG1000" s="56"/>
      <c r="DH1000" s="56"/>
      <c r="DI1000" s="56"/>
      <c r="DJ1000" s="56"/>
      <c r="DK1000" s="56"/>
      <c r="DL1000" s="56"/>
      <c r="DM1000" s="56"/>
      <c r="DN1000" s="56"/>
      <c r="DO1000" s="56"/>
      <c r="DP1000" s="56"/>
      <c r="DQ1000" s="56"/>
      <c r="DR1000" s="56"/>
      <c r="DS1000" s="56"/>
      <c r="DT1000" s="56"/>
      <c r="DU1000" s="56"/>
      <c r="DV1000" s="56"/>
      <c r="DW1000" s="56"/>
      <c r="DX1000" s="56"/>
      <c r="DY1000" s="56"/>
      <c r="DZ1000" s="56"/>
      <c r="EA1000" s="56"/>
      <c r="EB1000" s="56"/>
      <c r="EC1000" s="56"/>
      <c r="ED1000" s="56"/>
      <c r="EE1000" s="56"/>
      <c r="EF1000" s="56"/>
      <c r="EG1000" s="56"/>
      <c r="EH1000" s="56"/>
      <c r="EI1000" s="56"/>
      <c r="EJ1000" s="56"/>
      <c r="EK1000" s="56"/>
      <c r="EL1000" s="56"/>
      <c r="EM1000" s="56"/>
      <c r="EN1000" s="56"/>
      <c r="EO1000" s="56"/>
      <c r="EP1000" s="56"/>
      <c r="EQ1000" s="56"/>
      <c r="ER1000" s="56"/>
      <c r="ES1000" s="56"/>
      <c r="ET1000" s="56"/>
      <c r="EU1000" s="56"/>
      <c r="EV1000" s="56"/>
      <c r="EW1000" s="56"/>
      <c r="EX1000" s="56"/>
      <c r="EY1000" s="56"/>
      <c r="EZ1000" s="56"/>
      <c r="FA1000" s="56"/>
      <c r="FB1000" s="56"/>
      <c r="FC1000" s="56"/>
      <c r="FD1000" s="56"/>
      <c r="FE1000" s="56"/>
      <c r="FF1000" s="56"/>
      <c r="FG1000" s="56"/>
      <c r="FH1000" s="56"/>
      <c r="FI1000" s="56"/>
      <c r="FJ1000" s="56"/>
      <c r="FK1000" s="56"/>
      <c r="FL1000" s="56"/>
      <c r="FM1000" s="56"/>
      <c r="FN1000" s="56"/>
      <c r="FO1000" s="56"/>
      <c r="FP1000" s="56"/>
      <c r="FQ1000" s="56"/>
      <c r="FR1000" s="56"/>
      <c r="FS1000" s="56"/>
      <c r="FT1000" s="56"/>
      <c r="FU1000" s="56"/>
      <c r="FV1000" s="56"/>
      <c r="FW1000" s="56"/>
      <c r="FX1000" s="56"/>
      <c r="FY1000" s="56"/>
      <c r="FZ1000" s="56"/>
      <c r="GA1000" s="56"/>
      <c r="GB1000" s="56"/>
      <c r="GC1000" s="56"/>
      <c r="GD1000" s="56"/>
      <c r="GE1000" s="56"/>
      <c r="GF1000" s="56"/>
      <c r="GG1000" s="56"/>
      <c r="GH1000" s="56"/>
      <c r="GI1000" s="56"/>
      <c r="GJ1000" s="56"/>
      <c r="GK1000" s="56"/>
      <c r="GL1000" s="56"/>
      <c r="GM1000" s="56"/>
      <c r="GN1000" s="56"/>
      <c r="GO1000" s="56"/>
      <c r="GP1000" s="56"/>
      <c r="GQ1000" s="56"/>
      <c r="GR1000" s="56"/>
      <c r="GS1000" s="56"/>
      <c r="GT1000" s="56"/>
      <c r="GU1000" s="56"/>
      <c r="GV1000" s="56"/>
      <c r="GW1000" s="56"/>
      <c r="GX1000" s="56"/>
      <c r="GY1000" s="56"/>
      <c r="GZ1000" s="56"/>
      <c r="HA1000" s="56"/>
      <c r="HB1000" s="56"/>
      <c r="HC1000" s="56"/>
      <c r="HD1000" s="56"/>
      <c r="HE1000" s="56"/>
      <c r="HF1000" s="56"/>
      <c r="HG1000" s="56"/>
      <c r="HH1000" s="56"/>
      <c r="HI1000" s="56"/>
      <c r="HJ1000" s="56"/>
    </row>
  </sheetData>
  <pageMargins left="0.75" right="0.75" top="1" bottom="1" header="0.51" footer="0.5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Z13"/>
  <sheetViews>
    <sheetView showGridLines="0" workbookViewId="0">
      <selection sqref="A1:L50"/>
    </sheetView>
  </sheetViews>
  <sheetFormatPr baseColWidth="10" defaultRowHeight="15" x14ac:dyDescent="0.25"/>
  <cols>
    <col min="1" max="1" width="8" style="49" customWidth="1"/>
    <col min="2" max="2" width="10" style="49" customWidth="1"/>
    <col min="3" max="3" width="24" style="49" customWidth="1"/>
    <col min="4" max="6" width="7" style="49" customWidth="1"/>
    <col min="7" max="7" width="16" style="49" customWidth="1"/>
    <col min="8" max="8" width="15" style="49" customWidth="1"/>
    <col min="9" max="9" width="20" style="49" customWidth="1"/>
    <col min="10" max="16384" width="11.42578125" style="49"/>
  </cols>
  <sheetData>
    <row r="1" spans="1:26" ht="24" customHeight="1" x14ac:dyDescent="0.25">
      <c r="A1" s="50" t="s">
        <v>128</v>
      </c>
      <c r="B1" s="50" t="s">
        <v>345</v>
      </c>
      <c r="C1" s="50" t="s">
        <v>346</v>
      </c>
      <c r="D1" s="50" t="s">
        <v>354</v>
      </c>
      <c r="E1" s="50" t="s">
        <v>353</v>
      </c>
      <c r="F1" s="50" t="s">
        <v>351</v>
      </c>
      <c r="G1" s="50" t="s">
        <v>355</v>
      </c>
      <c r="H1" s="50" t="s">
        <v>371</v>
      </c>
      <c r="I1" s="50" t="s">
        <v>372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4.25" customHeight="1" x14ac:dyDescent="0.25">
      <c r="A2" s="48" t="s">
        <v>75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4.25" customHeight="1" x14ac:dyDescent="0.25">
      <c r="A3" s="48" t="s">
        <v>76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4.25" customHeight="1" x14ac:dyDescent="0.25">
      <c r="A4" s="48" t="s">
        <v>77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4.25" customHeight="1" x14ac:dyDescent="0.25">
      <c r="A5" s="48" t="s">
        <v>78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4.25" customHeight="1" x14ac:dyDescent="0.25">
      <c r="A6" s="48" t="s">
        <v>79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4.25" customHeight="1" x14ac:dyDescent="0.25">
      <c r="A7" s="48" t="s">
        <v>80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4.25" customHeight="1" x14ac:dyDescent="0.25">
      <c r="A8" s="48" t="s">
        <v>81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4.25" customHeight="1" x14ac:dyDescent="0.25">
      <c r="A9" s="48" t="s">
        <v>82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4.25" customHeight="1" x14ac:dyDescent="0.25">
      <c r="A10" s="48" t="s">
        <v>83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4.25" customHeight="1" x14ac:dyDescent="0.25">
      <c r="A11" s="48" t="s">
        <v>84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4.25" customHeight="1" x14ac:dyDescent="0.25">
      <c r="A12" s="48" t="s">
        <v>85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4.25" customHeight="1" x14ac:dyDescent="0.25">
      <c r="A13" s="48" t="s">
        <v>86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</sheetData>
  <pageMargins left="0.7" right="0.7" top="0.75" bottom="0.75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Puntajes</vt:lpstr>
      <vt:lpstr>Puntaje Anterior</vt:lpstr>
      <vt:lpstr>ClaGrupo</vt:lpstr>
      <vt:lpstr>Clasif_Pron</vt:lpstr>
      <vt:lpstr>Participantes</vt:lpstr>
      <vt:lpstr>Partidos</vt:lpstr>
      <vt:lpstr>VGrupo</vt:lpstr>
      <vt:lpstr>Clasificacion</vt:lpstr>
      <vt:lpstr>Posiciones</vt:lpstr>
      <vt:lpstr>Grupo</vt:lpstr>
      <vt:lpstr>Mejores_Terceros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Jose E. Caballero E.</dc:creator>
  <cp:lastModifiedBy>Jose E. Caballero E.</cp:lastModifiedBy>
  <dcterms:created xsi:type="dcterms:W3CDTF">2026-06-23T01:41:04Z</dcterms:created>
  <dcterms:modified xsi:type="dcterms:W3CDTF">2026-06-27T19:36:48Z</dcterms:modified>
</cp:coreProperties>
</file>