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caballero\Desktop\polla\"/>
    </mc:Choice>
  </mc:AlternateContent>
  <bookViews>
    <workbookView xWindow="0" yWindow="0" windowWidth="28800" windowHeight="11820" firstSheet="2" activeTab="3"/>
  </bookViews>
  <sheets>
    <sheet name="Portada" sheetId="1" state="hidden" r:id="rId1"/>
    <sheet name="Equipos_Grupos" sheetId="2" state="hidden" r:id="rId2"/>
    <sheet name="Puntajes" sheetId="13" r:id="rId3"/>
    <sheet name="Participantes" sheetId="10" r:id="rId4"/>
    <sheet name="Partidos" sheetId="3" r:id="rId5"/>
    <sheet name="VGrupo" sheetId="14" r:id="rId6"/>
    <sheet name="Clasificacion" sheetId="4" r:id="rId7"/>
    <sheet name="Mejores_Terceros" sheetId="5" r:id="rId8"/>
    <sheet name="Llaves" sheetId="6" state="hidden" r:id="rId9"/>
    <sheet name="Fuentes" sheetId="7" state="hidden" r:id="rId10"/>
    <sheet name="Asignacion_3ros" sheetId="8" state="hidden" r:id="rId11"/>
    <sheet name="Tabla_3ros" sheetId="9" r:id="rId12"/>
    <sheet name="Grupo" sheetId="12" r:id="rId13"/>
  </sheets>
  <externalReferences>
    <externalReference r:id="rId14"/>
  </externalReferences>
  <definedNames>
    <definedName name="_xlnm._FilterDatabase" localSheetId="12" hidden="1">Grupo!$A$2:$AF$29</definedName>
    <definedName name="_xlnm._FilterDatabase" localSheetId="3" hidden="1">Participantes!$A$2:$AC$49</definedName>
    <definedName name="_xlnm._FilterDatabase" localSheetId="5" hidden="1">VGrupo!$A$2:$H$29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2" l="1"/>
  <c r="C49" i="12"/>
  <c r="E49" i="12"/>
  <c r="G49" i="12"/>
  <c r="H49" i="12"/>
  <c r="I49" i="12"/>
  <c r="K49" i="12"/>
  <c r="L49" i="12"/>
  <c r="O49" i="12"/>
  <c r="Q49" i="12" s="1"/>
  <c r="P49" i="12"/>
  <c r="S49" i="12"/>
  <c r="T49" i="12"/>
  <c r="W49" i="12"/>
  <c r="X49" i="12"/>
  <c r="AA49" i="12"/>
  <c r="AB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S49" i="12"/>
  <c r="B50" i="12"/>
  <c r="C50" i="12"/>
  <c r="E50" i="12"/>
  <c r="BS50" i="12" s="1"/>
  <c r="G50" i="12"/>
  <c r="H50" i="12"/>
  <c r="I50" i="12"/>
  <c r="K50" i="12"/>
  <c r="L50" i="12"/>
  <c r="O50" i="12"/>
  <c r="P50" i="12"/>
  <c r="S50" i="12"/>
  <c r="T50" i="12"/>
  <c r="W50" i="12"/>
  <c r="X50" i="12"/>
  <c r="AA50" i="12"/>
  <c r="AB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51" i="12"/>
  <c r="C51" i="12"/>
  <c r="E51" i="12"/>
  <c r="G51" i="12"/>
  <c r="H51" i="12"/>
  <c r="I51" i="12"/>
  <c r="BS51" i="12" s="1"/>
  <c r="K51" i="12"/>
  <c r="L51" i="12"/>
  <c r="M51" i="12" s="1"/>
  <c r="O51" i="12"/>
  <c r="P51" i="12"/>
  <c r="S51" i="12"/>
  <c r="T51" i="12"/>
  <c r="W51" i="12"/>
  <c r="X51" i="12"/>
  <c r="AA51" i="12"/>
  <c r="AB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E51" i="12"/>
  <c r="B49" i="14"/>
  <c r="C49" i="14"/>
  <c r="D49" i="14"/>
  <c r="E49" i="14"/>
  <c r="F49" i="14"/>
  <c r="G49" i="14"/>
  <c r="H49" i="14"/>
  <c r="I49" i="14"/>
  <c r="B50" i="14"/>
  <c r="C50" i="14"/>
  <c r="D50" i="14"/>
  <c r="E50" i="14"/>
  <c r="F50" i="14"/>
  <c r="G50" i="14"/>
  <c r="H50" i="14"/>
  <c r="B51" i="14"/>
  <c r="C51" i="14"/>
  <c r="D51" i="14"/>
  <c r="E51" i="14"/>
  <c r="F51" i="14"/>
  <c r="G51" i="14"/>
  <c r="A51" i="14"/>
  <c r="A49" i="14"/>
  <c r="A50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5" i="14"/>
  <c r="A48" i="13"/>
  <c r="C48" i="13"/>
  <c r="A49" i="13"/>
  <c r="C49" i="13"/>
  <c r="A47" i="13"/>
  <c r="C47" i="13"/>
  <c r="D47" i="13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H3" i="12"/>
  <c r="G3" i="12"/>
  <c r="I4" i="12" s="1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" i="12"/>
  <c r="C3" i="12"/>
  <c r="B3" i="12"/>
  <c r="A37" i="13"/>
  <c r="C37" i="13"/>
  <c r="A38" i="13"/>
  <c r="C38" i="13"/>
  <c r="A39" i="13"/>
  <c r="C39" i="13"/>
  <c r="A40" i="13"/>
  <c r="C40" i="13"/>
  <c r="A41" i="13"/>
  <c r="C41" i="13"/>
  <c r="A42" i="13"/>
  <c r="C42" i="13"/>
  <c r="A43" i="13"/>
  <c r="C43" i="13"/>
  <c r="A44" i="13"/>
  <c r="C44" i="13"/>
  <c r="A45" i="13"/>
  <c r="C45" i="13"/>
  <c r="A46" i="13"/>
  <c r="C46" i="13"/>
  <c r="D41" i="14"/>
  <c r="D42" i="14"/>
  <c r="B43" i="14"/>
  <c r="D43" i="14"/>
  <c r="C44" i="14"/>
  <c r="D44" i="14"/>
  <c r="D45" i="14"/>
  <c r="D46" i="14"/>
  <c r="D47" i="14"/>
  <c r="F47" i="14"/>
  <c r="D48" i="14"/>
  <c r="G48" i="14"/>
  <c r="B41" i="12"/>
  <c r="B41" i="14" s="1"/>
  <c r="C41" i="12"/>
  <c r="C41" i="14" s="1"/>
  <c r="G41" i="12"/>
  <c r="F41" i="14" s="1"/>
  <c r="H41" i="12"/>
  <c r="G41" i="14" s="1"/>
  <c r="K41" i="12"/>
  <c r="L41" i="12"/>
  <c r="O41" i="12"/>
  <c r="P41" i="12"/>
  <c r="S41" i="12"/>
  <c r="T41" i="12"/>
  <c r="W41" i="12"/>
  <c r="X41" i="12"/>
  <c r="AA41" i="12"/>
  <c r="AB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42" i="12"/>
  <c r="B42" i="14" s="1"/>
  <c r="C42" i="12"/>
  <c r="C42" i="14" s="1"/>
  <c r="G42" i="12"/>
  <c r="F42" i="14" s="1"/>
  <c r="H42" i="12"/>
  <c r="G42" i="14" s="1"/>
  <c r="K42" i="12"/>
  <c r="L42" i="12"/>
  <c r="O42" i="12"/>
  <c r="P42" i="12"/>
  <c r="S42" i="12"/>
  <c r="T42" i="12"/>
  <c r="W42" i="12"/>
  <c r="X42" i="12"/>
  <c r="AA42" i="12"/>
  <c r="AB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BC42" i="12"/>
  <c r="BD42" i="12"/>
  <c r="BE42" i="12"/>
  <c r="B43" i="12"/>
  <c r="C43" i="12"/>
  <c r="C43" i="14" s="1"/>
  <c r="G43" i="12"/>
  <c r="F43" i="14" s="1"/>
  <c r="H43" i="12"/>
  <c r="G43" i="14" s="1"/>
  <c r="K43" i="12"/>
  <c r="L43" i="12"/>
  <c r="O43" i="12"/>
  <c r="P43" i="12"/>
  <c r="S43" i="12"/>
  <c r="T43" i="12"/>
  <c r="W43" i="12"/>
  <c r="X43" i="12"/>
  <c r="AA43" i="12"/>
  <c r="AB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BC43" i="12"/>
  <c r="BD43" i="12"/>
  <c r="BE43" i="12"/>
  <c r="B44" i="12"/>
  <c r="B44" i="14" s="1"/>
  <c r="C44" i="12"/>
  <c r="G44" i="12"/>
  <c r="F44" i="14" s="1"/>
  <c r="H44" i="12"/>
  <c r="G44" i="14" s="1"/>
  <c r="K44" i="12"/>
  <c r="L44" i="12"/>
  <c r="O44" i="12"/>
  <c r="P44" i="12"/>
  <c r="S44" i="12"/>
  <c r="T44" i="12"/>
  <c r="W44" i="12"/>
  <c r="X44" i="12"/>
  <c r="AA44" i="12"/>
  <c r="AB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AY44" i="12"/>
  <c r="AZ44" i="12"/>
  <c r="BA44" i="12"/>
  <c r="BB44" i="12"/>
  <c r="BC44" i="12"/>
  <c r="BD44" i="12"/>
  <c r="BE44" i="12"/>
  <c r="B45" i="12"/>
  <c r="B45" i="14" s="1"/>
  <c r="C45" i="12"/>
  <c r="C45" i="14" s="1"/>
  <c r="G45" i="12"/>
  <c r="F45" i="14" s="1"/>
  <c r="H45" i="12"/>
  <c r="G45" i="14" s="1"/>
  <c r="K45" i="12"/>
  <c r="L45" i="12"/>
  <c r="O45" i="12"/>
  <c r="P45" i="12"/>
  <c r="S45" i="12"/>
  <c r="T45" i="12"/>
  <c r="W45" i="12"/>
  <c r="X45" i="12"/>
  <c r="AA45" i="12"/>
  <c r="AB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BC45" i="12"/>
  <c r="BD45" i="12"/>
  <c r="BE45" i="12"/>
  <c r="B46" i="12"/>
  <c r="B46" i="14" s="1"/>
  <c r="C46" i="12"/>
  <c r="C46" i="14" s="1"/>
  <c r="G46" i="12"/>
  <c r="F46" i="14" s="1"/>
  <c r="H46" i="12"/>
  <c r="G46" i="14" s="1"/>
  <c r="K46" i="12"/>
  <c r="L46" i="12"/>
  <c r="O46" i="12"/>
  <c r="P46" i="12"/>
  <c r="S46" i="12"/>
  <c r="T46" i="12"/>
  <c r="W46" i="12"/>
  <c r="X46" i="12"/>
  <c r="AA46" i="12"/>
  <c r="AB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BE46" i="12"/>
  <c r="B47" i="12"/>
  <c r="B47" i="14" s="1"/>
  <c r="C47" i="12"/>
  <c r="C47" i="14" s="1"/>
  <c r="G47" i="12"/>
  <c r="H47" i="12"/>
  <c r="G47" i="14" s="1"/>
  <c r="K47" i="12"/>
  <c r="L47" i="12"/>
  <c r="O47" i="12"/>
  <c r="P47" i="12"/>
  <c r="S47" i="12"/>
  <c r="T47" i="12"/>
  <c r="W47" i="12"/>
  <c r="X47" i="12"/>
  <c r="AA47" i="12"/>
  <c r="AB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AY47" i="12"/>
  <c r="AZ47" i="12"/>
  <c r="BA47" i="12"/>
  <c r="BB47" i="12"/>
  <c r="BC47" i="12"/>
  <c r="BD47" i="12"/>
  <c r="BE47" i="12"/>
  <c r="B48" i="12"/>
  <c r="B48" i="14" s="1"/>
  <c r="C48" i="12"/>
  <c r="C48" i="14" s="1"/>
  <c r="G48" i="12"/>
  <c r="F48" i="14" s="1"/>
  <c r="H48" i="12"/>
  <c r="K48" i="12"/>
  <c r="L48" i="12"/>
  <c r="O48" i="12"/>
  <c r="P48" i="12"/>
  <c r="S48" i="12"/>
  <c r="T48" i="12"/>
  <c r="W48" i="12"/>
  <c r="X48" i="12"/>
  <c r="AA48" i="12"/>
  <c r="AB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E48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3" i="14"/>
  <c r="A4" i="14"/>
  <c r="G1" i="14"/>
  <c r="G2" i="14" s="1"/>
  <c r="F1" i="14"/>
  <c r="F2" i="14" s="1"/>
  <c r="C1" i="14"/>
  <c r="C2" i="14" s="1"/>
  <c r="B1" i="14"/>
  <c r="B2" i="14" s="1"/>
  <c r="J12" i="13"/>
  <c r="J9" i="13"/>
  <c r="H12" i="13"/>
  <c r="G12" i="13"/>
  <c r="H9" i="13"/>
  <c r="G9" i="13"/>
  <c r="F1" i="13"/>
  <c r="U50" i="12" l="1"/>
  <c r="M50" i="12"/>
  <c r="AC51" i="12"/>
  <c r="Y51" i="12"/>
  <c r="AC49" i="12"/>
  <c r="M49" i="12"/>
  <c r="Q50" i="12"/>
  <c r="Y49" i="12"/>
  <c r="U51" i="12"/>
  <c r="AC50" i="12"/>
  <c r="U49" i="12"/>
  <c r="Q51" i="12"/>
  <c r="Y50" i="12"/>
  <c r="D48" i="13"/>
  <c r="I50" i="14"/>
  <c r="D49" i="13"/>
  <c r="I51" i="14"/>
  <c r="H51" i="14"/>
  <c r="BS4" i="12"/>
  <c r="I4" i="14" s="1"/>
  <c r="Y42" i="12"/>
  <c r="M41" i="12"/>
  <c r="B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2" i="13"/>
  <c r="G5" i="12"/>
  <c r="F5" i="14" s="1"/>
  <c r="H5" i="12"/>
  <c r="G5" i="14" s="1"/>
  <c r="G6" i="12"/>
  <c r="F6" i="14" s="1"/>
  <c r="H6" i="12"/>
  <c r="G6" i="14" s="1"/>
  <c r="G7" i="12"/>
  <c r="F7" i="14" s="1"/>
  <c r="H7" i="12"/>
  <c r="G7" i="14" s="1"/>
  <c r="G8" i="12"/>
  <c r="F8" i="14" s="1"/>
  <c r="H8" i="12"/>
  <c r="G8" i="14" s="1"/>
  <c r="G9" i="12"/>
  <c r="F9" i="14" s="1"/>
  <c r="H9" i="12"/>
  <c r="G9" i="14" s="1"/>
  <c r="G10" i="12"/>
  <c r="F10" i="14" s="1"/>
  <c r="H10" i="12"/>
  <c r="G10" i="14" s="1"/>
  <c r="G11" i="12"/>
  <c r="F11" i="14" s="1"/>
  <c r="H11" i="12"/>
  <c r="G11" i="14" s="1"/>
  <c r="G12" i="12"/>
  <c r="F12" i="14" s="1"/>
  <c r="H12" i="12"/>
  <c r="G12" i="14" s="1"/>
  <c r="G13" i="12"/>
  <c r="F13" i="14" s="1"/>
  <c r="H13" i="12"/>
  <c r="G13" i="14" s="1"/>
  <c r="G14" i="12"/>
  <c r="F14" i="14" s="1"/>
  <c r="H14" i="12"/>
  <c r="G14" i="14" s="1"/>
  <c r="G15" i="12"/>
  <c r="F15" i="14" s="1"/>
  <c r="H15" i="12"/>
  <c r="G15" i="14" s="1"/>
  <c r="G16" i="12"/>
  <c r="F16" i="14" s="1"/>
  <c r="H16" i="12"/>
  <c r="G16" i="14" s="1"/>
  <c r="G17" i="12"/>
  <c r="F17" i="14" s="1"/>
  <c r="H17" i="12"/>
  <c r="G17" i="14" s="1"/>
  <c r="G18" i="12"/>
  <c r="F18" i="14" s="1"/>
  <c r="H18" i="12"/>
  <c r="G18" i="14" s="1"/>
  <c r="G19" i="12"/>
  <c r="F19" i="14" s="1"/>
  <c r="H19" i="12"/>
  <c r="G19" i="14" s="1"/>
  <c r="G20" i="12"/>
  <c r="F20" i="14" s="1"/>
  <c r="H20" i="12"/>
  <c r="G20" i="14" s="1"/>
  <c r="G21" i="12"/>
  <c r="F21" i="14" s="1"/>
  <c r="H21" i="12"/>
  <c r="G21" i="14" s="1"/>
  <c r="G22" i="12"/>
  <c r="F22" i="14" s="1"/>
  <c r="H22" i="12"/>
  <c r="G22" i="14" s="1"/>
  <c r="G23" i="12"/>
  <c r="F23" i="14" s="1"/>
  <c r="H23" i="12"/>
  <c r="G23" i="14" s="1"/>
  <c r="G24" i="12"/>
  <c r="F24" i="14" s="1"/>
  <c r="H24" i="12"/>
  <c r="G24" i="14" s="1"/>
  <c r="G25" i="12"/>
  <c r="F25" i="14" s="1"/>
  <c r="H25" i="12"/>
  <c r="G25" i="14" s="1"/>
  <c r="G26" i="12"/>
  <c r="F26" i="14" s="1"/>
  <c r="H26" i="12"/>
  <c r="G26" i="14" s="1"/>
  <c r="G27" i="12"/>
  <c r="F27" i="14" s="1"/>
  <c r="H27" i="12"/>
  <c r="G27" i="14" s="1"/>
  <c r="G28" i="12"/>
  <c r="F28" i="14" s="1"/>
  <c r="H28" i="12"/>
  <c r="G28" i="14" s="1"/>
  <c r="G29" i="12"/>
  <c r="F29" i="14" s="1"/>
  <c r="H29" i="12"/>
  <c r="G29" i="14" s="1"/>
  <c r="G30" i="12"/>
  <c r="F30" i="14" s="1"/>
  <c r="H30" i="12"/>
  <c r="G30" i="14" s="1"/>
  <c r="G31" i="12"/>
  <c r="F31" i="14" s="1"/>
  <c r="H31" i="12"/>
  <c r="G31" i="14" s="1"/>
  <c r="G32" i="12"/>
  <c r="F32" i="14" s="1"/>
  <c r="H32" i="12"/>
  <c r="G32" i="14" s="1"/>
  <c r="G33" i="12"/>
  <c r="F33" i="14" s="1"/>
  <c r="H33" i="12"/>
  <c r="G33" i="14" s="1"/>
  <c r="G34" i="12"/>
  <c r="F34" i="14" s="1"/>
  <c r="H34" i="12"/>
  <c r="G34" i="14" s="1"/>
  <c r="G35" i="12"/>
  <c r="F35" i="14" s="1"/>
  <c r="H35" i="12"/>
  <c r="G35" i="14" s="1"/>
  <c r="G36" i="12"/>
  <c r="F36" i="14" s="1"/>
  <c r="H36" i="12"/>
  <c r="G36" i="14" s="1"/>
  <c r="G37" i="12"/>
  <c r="F37" i="14" s="1"/>
  <c r="H37" i="12"/>
  <c r="G37" i="14" s="1"/>
  <c r="G38" i="12"/>
  <c r="F38" i="14" s="1"/>
  <c r="H38" i="12"/>
  <c r="G38" i="14" s="1"/>
  <c r="G39" i="12"/>
  <c r="F39" i="14" s="1"/>
  <c r="H39" i="12"/>
  <c r="G39" i="14" s="1"/>
  <c r="G40" i="12"/>
  <c r="F40" i="14" s="1"/>
  <c r="H40" i="12"/>
  <c r="G40" i="14" s="1"/>
  <c r="H4" i="12"/>
  <c r="G4" i="14" s="1"/>
  <c r="G4" i="12"/>
  <c r="F4" i="14" s="1"/>
  <c r="C5" i="12"/>
  <c r="C5" i="14" s="1"/>
  <c r="C6" i="12"/>
  <c r="C6" i="14" s="1"/>
  <c r="C7" i="12"/>
  <c r="C7" i="14" s="1"/>
  <c r="C8" i="12"/>
  <c r="C8" i="14" s="1"/>
  <c r="C9" i="12"/>
  <c r="C9" i="14" s="1"/>
  <c r="C10" i="12"/>
  <c r="C10" i="14" s="1"/>
  <c r="C11" i="12"/>
  <c r="C11" i="14" s="1"/>
  <c r="C12" i="12"/>
  <c r="C12" i="14" s="1"/>
  <c r="C13" i="12"/>
  <c r="C13" i="14" s="1"/>
  <c r="C14" i="12"/>
  <c r="C14" i="14" s="1"/>
  <c r="C15" i="12"/>
  <c r="C15" i="14" s="1"/>
  <c r="C16" i="12"/>
  <c r="C16" i="14" s="1"/>
  <c r="C17" i="12"/>
  <c r="C17" i="14" s="1"/>
  <c r="C18" i="12"/>
  <c r="C18" i="14" s="1"/>
  <c r="C19" i="12"/>
  <c r="C19" i="14" s="1"/>
  <c r="C20" i="12"/>
  <c r="C20" i="14" s="1"/>
  <c r="C21" i="12"/>
  <c r="C21" i="14" s="1"/>
  <c r="C22" i="12"/>
  <c r="C22" i="14" s="1"/>
  <c r="C23" i="12"/>
  <c r="C23" i="14" s="1"/>
  <c r="C24" i="12"/>
  <c r="C24" i="14" s="1"/>
  <c r="C25" i="12"/>
  <c r="C25" i="14" s="1"/>
  <c r="C26" i="12"/>
  <c r="C26" i="14" s="1"/>
  <c r="C27" i="12"/>
  <c r="C27" i="14" s="1"/>
  <c r="C28" i="12"/>
  <c r="C28" i="14" s="1"/>
  <c r="C29" i="12"/>
  <c r="C29" i="14" s="1"/>
  <c r="C30" i="12"/>
  <c r="C30" i="14" s="1"/>
  <c r="C31" i="12"/>
  <c r="C31" i="14" s="1"/>
  <c r="C32" i="12"/>
  <c r="C32" i="14" s="1"/>
  <c r="C33" i="12"/>
  <c r="C33" i="14" s="1"/>
  <c r="C34" i="12"/>
  <c r="C34" i="14" s="1"/>
  <c r="C35" i="12"/>
  <c r="C35" i="14" s="1"/>
  <c r="C36" i="12"/>
  <c r="C36" i="14" s="1"/>
  <c r="C37" i="12"/>
  <c r="C37" i="14" s="1"/>
  <c r="C38" i="12"/>
  <c r="C38" i="14" s="1"/>
  <c r="C39" i="12"/>
  <c r="C39" i="14" s="1"/>
  <c r="C40" i="12"/>
  <c r="C40" i="14" s="1"/>
  <c r="C4" i="12"/>
  <c r="C4" i="14" s="1"/>
  <c r="B39" i="12"/>
  <c r="B40" i="12"/>
  <c r="B5" i="12"/>
  <c r="B5" i="14" s="1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4" i="12"/>
  <c r="AV3" i="12" a="1"/>
  <c r="AV3" i="12" s="1"/>
  <c r="AW3" i="12" a="1"/>
  <c r="AW3" i="12" s="1"/>
  <c r="AX3" i="12" a="1"/>
  <c r="AX3" i="12" s="1"/>
  <c r="AY3" i="12" a="1"/>
  <c r="AY3" i="12" s="1"/>
  <c r="AZ3" i="12" a="1"/>
  <c r="AZ3" i="12" s="1"/>
  <c r="BA3" i="12" a="1"/>
  <c r="BA3" i="12" s="1"/>
  <c r="BB3" i="12" a="1"/>
  <c r="BB3" i="12" s="1"/>
  <c r="BC3" i="12" a="1"/>
  <c r="BC3" i="12" s="1"/>
  <c r="BD3" i="12" a="1"/>
  <c r="BD3" i="12" s="1"/>
  <c r="BE3" i="12" a="1"/>
  <c r="BE3" i="12" s="1"/>
  <c r="BF3" i="12" a="1"/>
  <c r="BF3" i="12" s="1"/>
  <c r="BG3" i="12" a="1"/>
  <c r="BG3" i="12" s="1"/>
  <c r="BH3" i="12" a="1"/>
  <c r="BH3" i="12" s="1"/>
  <c r="BI3" i="12" a="1"/>
  <c r="BI3" i="12" s="1"/>
  <c r="BJ3" i="12" a="1"/>
  <c r="BJ3" i="12" s="1"/>
  <c r="BK3" i="12" a="1"/>
  <c r="BK3" i="12" s="1"/>
  <c r="BL3" i="12" a="1"/>
  <c r="BL3" i="12" s="1"/>
  <c r="BM3" i="12" a="1"/>
  <c r="BM3" i="12" s="1"/>
  <c r="BN3" i="12" a="1"/>
  <c r="BN3" i="12" s="1"/>
  <c r="BO3" i="12" a="1"/>
  <c r="BO3" i="12" s="1"/>
  <c r="BP3" i="12" a="1"/>
  <c r="BP3" i="12" s="1"/>
  <c r="BQ3" i="12" a="1"/>
  <c r="BQ3" i="12" s="1"/>
  <c r="BR3" i="12" a="1"/>
  <c r="BR3" i="12" s="1"/>
  <c r="AI3" i="12" a="1"/>
  <c r="AI3" i="12" s="1"/>
  <c r="AJ3" i="12" a="1"/>
  <c r="AJ3" i="12" s="1"/>
  <c r="AK3" i="12" a="1"/>
  <c r="AK3" i="12" s="1"/>
  <c r="AL3" i="12" a="1"/>
  <c r="AL3" i="12" s="1"/>
  <c r="AM3" i="12" a="1"/>
  <c r="AM3" i="12" s="1"/>
  <c r="AN3" i="12" a="1"/>
  <c r="AN3" i="12" s="1"/>
  <c r="AO3" i="12" a="1"/>
  <c r="AO3" i="12" s="1"/>
  <c r="AP3" i="12" a="1"/>
  <c r="AP3" i="12" s="1"/>
  <c r="AQ3" i="12" a="1"/>
  <c r="AQ3" i="12"/>
  <c r="AR3" i="12" a="1"/>
  <c r="AR3" i="12" s="1"/>
  <c r="AS3" i="12" a="1"/>
  <c r="AS3" i="12" s="1"/>
  <c r="AT3" i="12" a="1"/>
  <c r="AT3" i="12" s="1"/>
  <c r="AU3" i="12" a="1"/>
  <c r="AU3" i="12" s="1"/>
  <c r="AH3" i="12" a="1"/>
  <c r="AH3" i="12" s="1"/>
  <c r="AG3" i="12" a="1"/>
  <c r="AG3" i="12" s="1"/>
  <c r="AF3" i="12"/>
  <c r="AE3" i="12"/>
  <c r="AB3" i="12"/>
  <c r="AC47" i="12" s="1"/>
  <c r="AA3" i="12"/>
  <c r="X3" i="12"/>
  <c r="W3" i="12"/>
  <c r="T3" i="12"/>
  <c r="S3" i="12"/>
  <c r="U46" i="12" s="1"/>
  <c r="O3" i="12"/>
  <c r="Q44" i="12" s="1"/>
  <c r="AI1" i="12"/>
  <c r="AI2" i="12" s="1"/>
  <c r="AJ1" i="12"/>
  <c r="AJ2" i="12" s="1"/>
  <c r="AK1" i="12"/>
  <c r="AK2" i="12" s="1"/>
  <c r="AL1" i="12"/>
  <c r="AM1" i="12"/>
  <c r="AM2" i="12" s="1"/>
  <c r="AN1" i="12"/>
  <c r="AO1" i="12"/>
  <c r="AP1" i="12"/>
  <c r="AQ1" i="12"/>
  <c r="AR1" i="12"/>
  <c r="AR2" i="12" s="1"/>
  <c r="AS1" i="12"/>
  <c r="AS2" i="12" s="1"/>
  <c r="AT1" i="12"/>
  <c r="AT2" i="12" s="1"/>
  <c r="AU1" i="12"/>
  <c r="AU2" i="12" s="1"/>
  <c r="AV1" i="12"/>
  <c r="AW1" i="12"/>
  <c r="AX1" i="12"/>
  <c r="AY1" i="12"/>
  <c r="AZ1" i="12"/>
  <c r="AZ2" i="12" s="1"/>
  <c r="BA1" i="12"/>
  <c r="BA2" i="12" s="1"/>
  <c r="BB1" i="12"/>
  <c r="BB2" i="12" s="1"/>
  <c r="BC1" i="12"/>
  <c r="BC2" i="12" s="1"/>
  <c r="BD1" i="12"/>
  <c r="BD2" i="12" s="1"/>
  <c r="BE1" i="12"/>
  <c r="BE2" i="12" s="1"/>
  <c r="BF1" i="12"/>
  <c r="BG1" i="12"/>
  <c r="BH1" i="12"/>
  <c r="BI1" i="12"/>
  <c r="BJ1" i="12"/>
  <c r="BK1" i="12"/>
  <c r="BL1" i="12"/>
  <c r="BM1" i="12"/>
  <c r="BN1" i="12"/>
  <c r="BO1" i="12"/>
  <c r="BP1" i="12"/>
  <c r="BQ1" i="12"/>
  <c r="BR1" i="12"/>
  <c r="AG1" i="12"/>
  <c r="AG2" i="12" s="1"/>
  <c r="AH1" i="12"/>
  <c r="AH2" i="12" s="1"/>
  <c r="AL2" i="12"/>
  <c r="AN2" i="12"/>
  <c r="AO2" i="12"/>
  <c r="AP2" i="12"/>
  <c r="AQ2" i="12"/>
  <c r="AV2" i="12"/>
  <c r="AW2" i="12"/>
  <c r="AX2" i="12"/>
  <c r="AY2" i="12"/>
  <c r="AF1" i="12"/>
  <c r="AF2" i="12" s="1"/>
  <c r="AE1" i="12"/>
  <c r="AE2" i="12" s="1"/>
  <c r="AB1" i="12"/>
  <c r="AB2" i="12" s="1"/>
  <c r="AA1" i="12"/>
  <c r="AA2" i="12" s="1"/>
  <c r="X1" i="12"/>
  <c r="X2" i="12" s="1"/>
  <c r="W1" i="12"/>
  <c r="W2" i="12" s="1"/>
  <c r="T1" i="12"/>
  <c r="T2" i="12" s="1"/>
  <c r="S1" i="12"/>
  <c r="S2" i="12" s="1"/>
  <c r="P1" i="12"/>
  <c r="P2" i="12" s="1"/>
  <c r="O1" i="12"/>
  <c r="O2" i="12" s="1"/>
  <c r="L1" i="12"/>
  <c r="K1" i="12"/>
  <c r="K2" i="12" s="1"/>
  <c r="H1" i="12"/>
  <c r="H2" i="12" s="1"/>
  <c r="G1" i="12"/>
  <c r="G2" i="12" s="1"/>
  <c r="P3" i="12"/>
  <c r="Q42" i="12" s="1"/>
  <c r="L3" i="12"/>
  <c r="K3" i="12"/>
  <c r="M47" i="12" s="1"/>
  <c r="G3" i="14"/>
  <c r="F3" i="14"/>
  <c r="C3" i="14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BC23" i="12"/>
  <c r="BD23" i="12"/>
  <c r="BE23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AH40" i="12"/>
  <c r="AG40" i="12"/>
  <c r="AH39" i="12"/>
  <c r="AG39" i="12"/>
  <c r="AH38" i="12"/>
  <c r="AG38" i="12"/>
  <c r="AH37" i="12"/>
  <c r="AG37" i="12"/>
  <c r="AH36" i="12"/>
  <c r="AG36" i="12"/>
  <c r="AH35" i="12"/>
  <c r="AG35" i="12"/>
  <c r="AH34" i="12"/>
  <c r="AG34" i="12"/>
  <c r="AH33" i="12"/>
  <c r="AG33" i="12"/>
  <c r="AH32" i="12"/>
  <c r="AG32" i="12"/>
  <c r="AH31" i="12"/>
  <c r="AG31" i="12"/>
  <c r="AH30" i="12"/>
  <c r="AG30" i="12"/>
  <c r="AH29" i="12"/>
  <c r="AG29" i="12"/>
  <c r="AH28" i="12"/>
  <c r="AG28" i="12"/>
  <c r="AH27" i="12"/>
  <c r="AG27" i="12"/>
  <c r="AH26" i="12"/>
  <c r="AG26" i="12"/>
  <c r="AH25" i="12"/>
  <c r="AG25" i="12"/>
  <c r="AH24" i="12"/>
  <c r="AG24" i="12"/>
  <c r="AH23" i="12"/>
  <c r="AG23" i="12"/>
  <c r="AH22" i="12"/>
  <c r="AG22" i="12"/>
  <c r="AH21" i="12"/>
  <c r="AG21" i="12"/>
  <c r="AH20" i="12"/>
  <c r="AG20" i="12"/>
  <c r="AH19" i="12"/>
  <c r="AG19" i="12"/>
  <c r="AH18" i="12"/>
  <c r="AG18" i="12"/>
  <c r="AH17" i="12"/>
  <c r="AG17" i="12"/>
  <c r="AH16" i="12"/>
  <c r="AG16" i="12"/>
  <c r="AH15" i="12"/>
  <c r="AG15" i="12"/>
  <c r="AH14" i="12"/>
  <c r="AG14" i="12"/>
  <c r="AH13" i="12"/>
  <c r="AG13" i="12"/>
  <c r="AH12" i="12"/>
  <c r="AG12" i="12"/>
  <c r="AH11" i="12"/>
  <c r="AG11" i="12"/>
  <c r="AH10" i="12"/>
  <c r="AG10" i="12"/>
  <c r="AH9" i="12"/>
  <c r="AG9" i="12"/>
  <c r="AH8" i="12"/>
  <c r="AG8" i="12"/>
  <c r="AH7" i="12"/>
  <c r="AG7" i="12"/>
  <c r="AH6" i="12"/>
  <c r="AG6" i="12"/>
  <c r="AH5" i="12"/>
  <c r="AG5" i="12"/>
  <c r="AH4" i="12"/>
  <c r="AG4" i="12"/>
  <c r="B1" i="12"/>
  <c r="B2" i="12" s="1"/>
  <c r="C1" i="12"/>
  <c r="C2" i="12" s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" i="12"/>
  <c r="AF40" i="12"/>
  <c r="AE40" i="12"/>
  <c r="AB40" i="12"/>
  <c r="AA40" i="12"/>
  <c r="X40" i="12"/>
  <c r="W40" i="12"/>
  <c r="T40" i="12"/>
  <c r="S40" i="12"/>
  <c r="P40" i="12"/>
  <c r="O40" i="12"/>
  <c r="L40" i="12"/>
  <c r="K40" i="12"/>
  <c r="AF39" i="12"/>
  <c r="AE39" i="12"/>
  <c r="AB39" i="12"/>
  <c r="AA39" i="12"/>
  <c r="X39" i="12"/>
  <c r="W39" i="12"/>
  <c r="T39" i="12"/>
  <c r="S39" i="12"/>
  <c r="P39" i="12"/>
  <c r="O39" i="12"/>
  <c r="L39" i="12"/>
  <c r="K39" i="12"/>
  <c r="AF38" i="12"/>
  <c r="AE38" i="12"/>
  <c r="AB38" i="12"/>
  <c r="AA38" i="12"/>
  <c r="X38" i="12"/>
  <c r="W38" i="12"/>
  <c r="T38" i="12"/>
  <c r="S38" i="12"/>
  <c r="P38" i="12"/>
  <c r="O38" i="12"/>
  <c r="L38" i="12"/>
  <c r="K38" i="12"/>
  <c r="AF37" i="12"/>
  <c r="AE37" i="12"/>
  <c r="AB37" i="12"/>
  <c r="AA37" i="12"/>
  <c r="X37" i="12"/>
  <c r="W37" i="12"/>
  <c r="T37" i="12"/>
  <c r="S37" i="12"/>
  <c r="P37" i="12"/>
  <c r="O37" i="12"/>
  <c r="L37" i="12"/>
  <c r="K37" i="12"/>
  <c r="AF36" i="12"/>
  <c r="AE36" i="12"/>
  <c r="AB36" i="12"/>
  <c r="AA36" i="12"/>
  <c r="X36" i="12"/>
  <c r="W36" i="12"/>
  <c r="T36" i="12"/>
  <c r="S36" i="12"/>
  <c r="P36" i="12"/>
  <c r="O36" i="12"/>
  <c r="L36" i="12"/>
  <c r="K36" i="12"/>
  <c r="AF35" i="12"/>
  <c r="AE35" i="12"/>
  <c r="AB35" i="12"/>
  <c r="AA35" i="12"/>
  <c r="X35" i="12"/>
  <c r="W35" i="12"/>
  <c r="T35" i="12"/>
  <c r="S35" i="12"/>
  <c r="P35" i="12"/>
  <c r="O35" i="12"/>
  <c r="L35" i="12"/>
  <c r="K35" i="12"/>
  <c r="AF34" i="12"/>
  <c r="AE34" i="12"/>
  <c r="AB34" i="12"/>
  <c r="AA34" i="12"/>
  <c r="X34" i="12"/>
  <c r="W34" i="12"/>
  <c r="T34" i="12"/>
  <c r="S34" i="12"/>
  <c r="P34" i="12"/>
  <c r="O34" i="12"/>
  <c r="L34" i="12"/>
  <c r="K34" i="12"/>
  <c r="AF33" i="12"/>
  <c r="AE33" i="12"/>
  <c r="AB33" i="12"/>
  <c r="AA33" i="12"/>
  <c r="X33" i="12"/>
  <c r="W33" i="12"/>
  <c r="T33" i="12"/>
  <c r="S33" i="12"/>
  <c r="P33" i="12"/>
  <c r="O33" i="12"/>
  <c r="L33" i="12"/>
  <c r="K33" i="12"/>
  <c r="AF32" i="12"/>
  <c r="AE32" i="12"/>
  <c r="AB32" i="12"/>
  <c r="AA32" i="12"/>
  <c r="X32" i="12"/>
  <c r="W32" i="12"/>
  <c r="T32" i="12"/>
  <c r="S32" i="12"/>
  <c r="P32" i="12"/>
  <c r="O32" i="12"/>
  <c r="L32" i="12"/>
  <c r="K32" i="12"/>
  <c r="AF31" i="12"/>
  <c r="AE31" i="12"/>
  <c r="AB31" i="12"/>
  <c r="AA31" i="12"/>
  <c r="X31" i="12"/>
  <c r="W31" i="12"/>
  <c r="T31" i="12"/>
  <c r="S31" i="12"/>
  <c r="P31" i="12"/>
  <c r="O31" i="12"/>
  <c r="L31" i="12"/>
  <c r="K31" i="12"/>
  <c r="AF30" i="12"/>
  <c r="AE30" i="12"/>
  <c r="AB30" i="12"/>
  <c r="AA30" i="12"/>
  <c r="X30" i="12"/>
  <c r="W30" i="12"/>
  <c r="T30" i="12"/>
  <c r="S30" i="12"/>
  <c r="P30" i="12"/>
  <c r="O30" i="12"/>
  <c r="L30" i="12"/>
  <c r="K30" i="12"/>
  <c r="AF29" i="12"/>
  <c r="AE29" i="12"/>
  <c r="AB29" i="12"/>
  <c r="AA29" i="12"/>
  <c r="X29" i="12"/>
  <c r="W29" i="12"/>
  <c r="T29" i="12"/>
  <c r="S29" i="12"/>
  <c r="P29" i="12"/>
  <c r="O29" i="12"/>
  <c r="L29" i="12"/>
  <c r="K29" i="12"/>
  <c r="AF28" i="12"/>
  <c r="AE28" i="12"/>
  <c r="AB28" i="12"/>
  <c r="AA28" i="12"/>
  <c r="X28" i="12"/>
  <c r="W28" i="12"/>
  <c r="T28" i="12"/>
  <c r="S28" i="12"/>
  <c r="P28" i="12"/>
  <c r="O28" i="12"/>
  <c r="L28" i="12"/>
  <c r="K28" i="12"/>
  <c r="AF27" i="12"/>
  <c r="AE27" i="12"/>
  <c r="AB27" i="12"/>
  <c r="AA27" i="12"/>
  <c r="X27" i="12"/>
  <c r="W27" i="12"/>
  <c r="T27" i="12"/>
  <c r="S27" i="12"/>
  <c r="P27" i="12"/>
  <c r="O27" i="12"/>
  <c r="L27" i="12"/>
  <c r="K27" i="12"/>
  <c r="AF26" i="12"/>
  <c r="AE26" i="12"/>
  <c r="AB26" i="12"/>
  <c r="AA26" i="12"/>
  <c r="X26" i="12"/>
  <c r="W26" i="12"/>
  <c r="T26" i="12"/>
  <c r="S26" i="12"/>
  <c r="P26" i="12"/>
  <c r="O26" i="12"/>
  <c r="L26" i="12"/>
  <c r="K26" i="12"/>
  <c r="AF25" i="12"/>
  <c r="AE25" i="12"/>
  <c r="AB25" i="12"/>
  <c r="AA25" i="12"/>
  <c r="X25" i="12"/>
  <c r="W25" i="12"/>
  <c r="T25" i="12"/>
  <c r="S25" i="12"/>
  <c r="P25" i="12"/>
  <c r="O25" i="12"/>
  <c r="L25" i="12"/>
  <c r="K25" i="12"/>
  <c r="AF24" i="12"/>
  <c r="AE24" i="12"/>
  <c r="AB24" i="12"/>
  <c r="AA24" i="12"/>
  <c r="X24" i="12"/>
  <c r="W24" i="12"/>
  <c r="T24" i="12"/>
  <c r="S24" i="12"/>
  <c r="P24" i="12"/>
  <c r="O24" i="12"/>
  <c r="L24" i="12"/>
  <c r="K24" i="12"/>
  <c r="AF23" i="12"/>
  <c r="AE23" i="12"/>
  <c r="AB23" i="12"/>
  <c r="AA23" i="12"/>
  <c r="X23" i="12"/>
  <c r="W23" i="12"/>
  <c r="T23" i="12"/>
  <c r="S23" i="12"/>
  <c r="P23" i="12"/>
  <c r="O23" i="12"/>
  <c r="L23" i="12"/>
  <c r="K23" i="12"/>
  <c r="AF22" i="12"/>
  <c r="AE22" i="12"/>
  <c r="AB22" i="12"/>
  <c r="AA22" i="12"/>
  <c r="X22" i="12"/>
  <c r="W22" i="12"/>
  <c r="T22" i="12"/>
  <c r="S22" i="12"/>
  <c r="P22" i="12"/>
  <c r="O22" i="12"/>
  <c r="L22" i="12"/>
  <c r="K22" i="12"/>
  <c r="AF21" i="12"/>
  <c r="AE21" i="12"/>
  <c r="AB21" i="12"/>
  <c r="AA21" i="12"/>
  <c r="X21" i="12"/>
  <c r="W21" i="12"/>
  <c r="T21" i="12"/>
  <c r="S21" i="12"/>
  <c r="P21" i="12"/>
  <c r="O21" i="12"/>
  <c r="L21" i="12"/>
  <c r="K21" i="12"/>
  <c r="AF20" i="12"/>
  <c r="AE20" i="12"/>
  <c r="AB20" i="12"/>
  <c r="AA20" i="12"/>
  <c r="X20" i="12"/>
  <c r="W20" i="12"/>
  <c r="T20" i="12"/>
  <c r="S20" i="12"/>
  <c r="P20" i="12"/>
  <c r="O20" i="12"/>
  <c r="L20" i="12"/>
  <c r="K20" i="12"/>
  <c r="AF19" i="12"/>
  <c r="AE19" i="12"/>
  <c r="AB19" i="12"/>
  <c r="AA19" i="12"/>
  <c r="X19" i="12"/>
  <c r="W19" i="12"/>
  <c r="T19" i="12"/>
  <c r="S19" i="12"/>
  <c r="P19" i="12"/>
  <c r="O19" i="12"/>
  <c r="L19" i="12"/>
  <c r="K19" i="12"/>
  <c r="AF18" i="12"/>
  <c r="AE18" i="12"/>
  <c r="AB18" i="12"/>
  <c r="AA18" i="12"/>
  <c r="X18" i="12"/>
  <c r="W18" i="12"/>
  <c r="T18" i="12"/>
  <c r="S18" i="12"/>
  <c r="P18" i="12"/>
  <c r="O18" i="12"/>
  <c r="L18" i="12"/>
  <c r="K18" i="12"/>
  <c r="AF17" i="12"/>
  <c r="AE17" i="12"/>
  <c r="AB17" i="12"/>
  <c r="AA17" i="12"/>
  <c r="X17" i="12"/>
  <c r="W17" i="12"/>
  <c r="T17" i="12"/>
  <c r="S17" i="12"/>
  <c r="P17" i="12"/>
  <c r="O17" i="12"/>
  <c r="L17" i="12"/>
  <c r="K17" i="12"/>
  <c r="AF16" i="12"/>
  <c r="AE16" i="12"/>
  <c r="AB16" i="12"/>
  <c r="AA16" i="12"/>
  <c r="X16" i="12"/>
  <c r="W16" i="12"/>
  <c r="T16" i="12"/>
  <c r="S16" i="12"/>
  <c r="P16" i="12"/>
  <c r="O16" i="12"/>
  <c r="L16" i="12"/>
  <c r="K16" i="12"/>
  <c r="AF15" i="12"/>
  <c r="AE15" i="12"/>
  <c r="AB15" i="12"/>
  <c r="AA15" i="12"/>
  <c r="X15" i="12"/>
  <c r="W15" i="12"/>
  <c r="T15" i="12"/>
  <c r="S15" i="12"/>
  <c r="P15" i="12"/>
  <c r="O15" i="12"/>
  <c r="L15" i="12"/>
  <c r="K15" i="12"/>
  <c r="AF14" i="12"/>
  <c r="AE14" i="12"/>
  <c r="AB14" i="12"/>
  <c r="AA14" i="12"/>
  <c r="X14" i="12"/>
  <c r="W14" i="12"/>
  <c r="T14" i="12"/>
  <c r="S14" i="12"/>
  <c r="P14" i="12"/>
  <c r="O14" i="12"/>
  <c r="L14" i="12"/>
  <c r="K14" i="12"/>
  <c r="AF13" i="12"/>
  <c r="AE13" i="12"/>
  <c r="AB13" i="12"/>
  <c r="AA13" i="12"/>
  <c r="X13" i="12"/>
  <c r="W13" i="12"/>
  <c r="T13" i="12"/>
  <c r="S13" i="12"/>
  <c r="P13" i="12"/>
  <c r="O13" i="12"/>
  <c r="L13" i="12"/>
  <c r="K13" i="12"/>
  <c r="AF12" i="12"/>
  <c r="AE12" i="12"/>
  <c r="AB12" i="12"/>
  <c r="AA12" i="12"/>
  <c r="X12" i="12"/>
  <c r="W12" i="12"/>
  <c r="T12" i="12"/>
  <c r="S12" i="12"/>
  <c r="P12" i="12"/>
  <c r="O12" i="12"/>
  <c r="L12" i="12"/>
  <c r="K12" i="12"/>
  <c r="AF11" i="12"/>
  <c r="AE11" i="12"/>
  <c r="AB11" i="12"/>
  <c r="AA11" i="12"/>
  <c r="X11" i="12"/>
  <c r="W11" i="12"/>
  <c r="T11" i="12"/>
  <c r="S11" i="12"/>
  <c r="P11" i="12"/>
  <c r="O11" i="12"/>
  <c r="L11" i="12"/>
  <c r="K11" i="12"/>
  <c r="AF10" i="12"/>
  <c r="AE10" i="12"/>
  <c r="AB10" i="12"/>
  <c r="AA10" i="12"/>
  <c r="X10" i="12"/>
  <c r="W10" i="12"/>
  <c r="T10" i="12"/>
  <c r="S10" i="12"/>
  <c r="P10" i="12"/>
  <c r="O10" i="12"/>
  <c r="L10" i="12"/>
  <c r="K10" i="12"/>
  <c r="AF9" i="12"/>
  <c r="AE9" i="12"/>
  <c r="AB9" i="12"/>
  <c r="AA9" i="12"/>
  <c r="X9" i="12"/>
  <c r="W9" i="12"/>
  <c r="T9" i="12"/>
  <c r="S9" i="12"/>
  <c r="P9" i="12"/>
  <c r="O9" i="12"/>
  <c r="L9" i="12"/>
  <c r="K9" i="12"/>
  <c r="AF8" i="12"/>
  <c r="AE8" i="12"/>
  <c r="AB8" i="12"/>
  <c r="AA8" i="12"/>
  <c r="X8" i="12"/>
  <c r="W8" i="12"/>
  <c r="T8" i="12"/>
  <c r="S8" i="12"/>
  <c r="P8" i="12"/>
  <c r="O8" i="12"/>
  <c r="L8" i="12"/>
  <c r="K8" i="12"/>
  <c r="AF7" i="12"/>
  <c r="AE7" i="12"/>
  <c r="AB7" i="12"/>
  <c r="AA7" i="12"/>
  <c r="X7" i="12"/>
  <c r="W7" i="12"/>
  <c r="T7" i="12"/>
  <c r="S7" i="12"/>
  <c r="P7" i="12"/>
  <c r="O7" i="12"/>
  <c r="L7" i="12"/>
  <c r="K7" i="12"/>
  <c r="AF6" i="12"/>
  <c r="AE6" i="12"/>
  <c r="AB6" i="12"/>
  <c r="AA6" i="12"/>
  <c r="X6" i="12"/>
  <c r="W6" i="12"/>
  <c r="T6" i="12"/>
  <c r="S6" i="12"/>
  <c r="P6" i="12"/>
  <c r="O6" i="12"/>
  <c r="L6" i="12"/>
  <c r="K6" i="12"/>
  <c r="AF5" i="12"/>
  <c r="AE5" i="12"/>
  <c r="AB5" i="12"/>
  <c r="AA5" i="12"/>
  <c r="X5" i="12"/>
  <c r="W5" i="12"/>
  <c r="T5" i="12"/>
  <c r="S5" i="12"/>
  <c r="P5" i="12"/>
  <c r="O5" i="12"/>
  <c r="L5" i="12"/>
  <c r="K5" i="12"/>
  <c r="AF4" i="12"/>
  <c r="AE4" i="12"/>
  <c r="AB4" i="12"/>
  <c r="AA4" i="12"/>
  <c r="X4" i="12"/>
  <c r="W4" i="12"/>
  <c r="T4" i="12"/>
  <c r="S4" i="12"/>
  <c r="P4" i="12"/>
  <c r="O4" i="12"/>
  <c r="L4" i="12"/>
  <c r="K4" i="12"/>
  <c r="H46" i="14" l="1"/>
  <c r="BS46" i="12"/>
  <c r="I46" i="14" s="1"/>
  <c r="Y45" i="12"/>
  <c r="Y41" i="12"/>
  <c r="Q45" i="12"/>
  <c r="M44" i="12"/>
  <c r="AC44" i="12"/>
  <c r="U43" i="12"/>
  <c r="B3" i="14"/>
  <c r="U47" i="12"/>
  <c r="U42" i="12"/>
  <c r="U45" i="12"/>
  <c r="E43" i="14"/>
  <c r="AC43" i="12"/>
  <c r="Q46" i="12"/>
  <c r="AC42" i="12"/>
  <c r="AC46" i="12"/>
  <c r="M43" i="12"/>
  <c r="Y44" i="12"/>
  <c r="Y48" i="12"/>
  <c r="Q48" i="12"/>
  <c r="Y47" i="12"/>
  <c r="AC45" i="12"/>
  <c r="M46" i="12"/>
  <c r="M42" i="12"/>
  <c r="Q47" i="12"/>
  <c r="Q43" i="12"/>
  <c r="Y43" i="12"/>
  <c r="M45" i="12"/>
  <c r="AC41" i="12"/>
  <c r="AC48" i="12"/>
  <c r="M48" i="12"/>
  <c r="U44" i="12"/>
  <c r="U48" i="12"/>
  <c r="U41" i="12"/>
  <c r="Y46" i="12"/>
  <c r="Q41" i="12"/>
  <c r="E7" i="14"/>
  <c r="B7" i="14"/>
  <c r="E6" i="14"/>
  <c r="B6" i="14"/>
  <c r="E37" i="14"/>
  <c r="B37" i="14"/>
  <c r="E29" i="14"/>
  <c r="B29" i="14"/>
  <c r="E21" i="14"/>
  <c r="B21" i="14"/>
  <c r="E13" i="14"/>
  <c r="B13" i="14"/>
  <c r="E15" i="14"/>
  <c r="B15" i="14"/>
  <c r="E36" i="14"/>
  <c r="B36" i="14"/>
  <c r="E28" i="14"/>
  <c r="B28" i="14"/>
  <c r="E20" i="14"/>
  <c r="B20" i="14"/>
  <c r="E12" i="14"/>
  <c r="B12" i="14"/>
  <c r="E40" i="14"/>
  <c r="B40" i="14"/>
  <c r="J4" i="12"/>
  <c r="B4" i="14"/>
  <c r="E30" i="14"/>
  <c r="B30" i="14"/>
  <c r="E35" i="14"/>
  <c r="B35" i="14"/>
  <c r="E27" i="14"/>
  <c r="B27" i="14"/>
  <c r="E19" i="14"/>
  <c r="B19" i="14"/>
  <c r="E11" i="14"/>
  <c r="B11" i="14"/>
  <c r="E39" i="14"/>
  <c r="B39" i="14"/>
  <c r="E31" i="14"/>
  <c r="B31" i="14"/>
  <c r="E38" i="14"/>
  <c r="B38" i="14"/>
  <c r="E34" i="14"/>
  <c r="B34" i="14"/>
  <c r="E26" i="14"/>
  <c r="B26" i="14"/>
  <c r="E18" i="14"/>
  <c r="B18" i="14"/>
  <c r="E10" i="14"/>
  <c r="B10" i="14"/>
  <c r="E23" i="14"/>
  <c r="B23" i="14"/>
  <c r="E14" i="14"/>
  <c r="B14" i="14"/>
  <c r="E33" i="14"/>
  <c r="B33" i="14"/>
  <c r="E25" i="14"/>
  <c r="B25" i="14"/>
  <c r="E17" i="14"/>
  <c r="B17" i="14"/>
  <c r="E9" i="14"/>
  <c r="B9" i="14"/>
  <c r="E22" i="14"/>
  <c r="B22" i="14"/>
  <c r="E32" i="14"/>
  <c r="B32" i="14"/>
  <c r="E24" i="14"/>
  <c r="B24" i="14"/>
  <c r="E16" i="14"/>
  <c r="B16" i="14"/>
  <c r="E8" i="14"/>
  <c r="B8" i="14"/>
  <c r="H4" i="14"/>
  <c r="BS40" i="12"/>
  <c r="I40" i="14" s="1"/>
  <c r="BS39" i="12"/>
  <c r="I39" i="14" s="1"/>
  <c r="BS38" i="12"/>
  <c r="I38" i="14" s="1"/>
  <c r="BS37" i="12"/>
  <c r="I37" i="14" s="1"/>
  <c r="BS36" i="12"/>
  <c r="I36" i="14" s="1"/>
  <c r="BS35" i="12"/>
  <c r="I35" i="14" s="1"/>
  <c r="BS34" i="12"/>
  <c r="I34" i="14" s="1"/>
  <c r="BS33" i="12"/>
  <c r="I33" i="14" s="1"/>
  <c r="BS32" i="12"/>
  <c r="I32" i="14" s="1"/>
  <c r="BS31" i="12"/>
  <c r="I31" i="14" s="1"/>
  <c r="BS30" i="12"/>
  <c r="I30" i="14" s="1"/>
  <c r="BS29" i="12"/>
  <c r="I29" i="14" s="1"/>
  <c r="BS28" i="12"/>
  <c r="I28" i="14" s="1"/>
  <c r="BS27" i="12"/>
  <c r="I27" i="14" s="1"/>
  <c r="BS26" i="12"/>
  <c r="I26" i="14" s="1"/>
  <c r="BS25" i="12"/>
  <c r="I25" i="14" s="1"/>
  <c r="BS24" i="12"/>
  <c r="I24" i="14" s="1"/>
  <c r="BS23" i="12"/>
  <c r="I23" i="14" s="1"/>
  <c r="BS22" i="12"/>
  <c r="I22" i="14" s="1"/>
  <c r="BS21" i="12"/>
  <c r="I21" i="14" s="1"/>
  <c r="BS20" i="12"/>
  <c r="I20" i="14" s="1"/>
  <c r="BS19" i="12"/>
  <c r="I19" i="14" s="1"/>
  <c r="BS18" i="12"/>
  <c r="I18" i="14" s="1"/>
  <c r="BS17" i="12"/>
  <c r="I17" i="14" s="1"/>
  <c r="BS16" i="12"/>
  <c r="I16" i="14" s="1"/>
  <c r="BS15" i="12"/>
  <c r="I15" i="14" s="1"/>
  <c r="BS14" i="12"/>
  <c r="I14" i="14" s="1"/>
  <c r="BS13" i="12"/>
  <c r="I13" i="14" s="1"/>
  <c r="BS12" i="12"/>
  <c r="I12" i="14" s="1"/>
  <c r="BS11" i="12"/>
  <c r="I11" i="14" s="1"/>
  <c r="BS10" i="12"/>
  <c r="I10" i="14" s="1"/>
  <c r="BS9" i="12"/>
  <c r="I9" i="14" s="1"/>
  <c r="BS8" i="12"/>
  <c r="I8" i="14" s="1"/>
  <c r="BS7" i="12"/>
  <c r="I7" i="14" s="1"/>
  <c r="BS6" i="12"/>
  <c r="I6" i="14" s="1"/>
  <c r="U32" i="12"/>
  <c r="U10" i="12"/>
  <c r="AC36" i="12"/>
  <c r="M19" i="12"/>
  <c r="Y39" i="12"/>
  <c r="AC6" i="12"/>
  <c r="U25" i="12"/>
  <c r="U37" i="12"/>
  <c r="AC15" i="12"/>
  <c r="U17" i="12"/>
  <c r="U28" i="12"/>
  <c r="Y28" i="12"/>
  <c r="Y25" i="12"/>
  <c r="Y22" i="12"/>
  <c r="Y19" i="12"/>
  <c r="Y7" i="12"/>
  <c r="Y14" i="12"/>
  <c r="Y8" i="12"/>
  <c r="Y6" i="12"/>
  <c r="U35" i="12"/>
  <c r="U19" i="12"/>
  <c r="U30" i="12"/>
  <c r="U14" i="12"/>
  <c r="M37" i="12"/>
  <c r="M35" i="12"/>
  <c r="M32" i="12"/>
  <c r="M28" i="12"/>
  <c r="M4" i="12"/>
  <c r="M20" i="12"/>
  <c r="M23" i="12"/>
  <c r="AC35" i="12"/>
  <c r="AC19" i="12"/>
  <c r="AC28" i="12"/>
  <c r="AC20" i="12"/>
  <c r="AC23" i="12"/>
  <c r="Q39" i="12"/>
  <c r="Q28" i="12"/>
  <c r="Q26" i="12"/>
  <c r="Q24" i="12"/>
  <c r="Q21" i="12"/>
  <c r="Q19" i="12"/>
  <c r="Q7" i="12"/>
  <c r="Q6" i="12"/>
  <c r="Q14" i="12"/>
  <c r="Q8" i="12"/>
  <c r="Y5" i="12"/>
  <c r="AC13" i="12"/>
  <c r="AC29" i="12"/>
  <c r="U40" i="12"/>
  <c r="U8" i="12"/>
  <c r="AC8" i="12"/>
  <c r="M10" i="12"/>
  <c r="Y11" i="12"/>
  <c r="Q15" i="12"/>
  <c r="U16" i="12"/>
  <c r="Q17" i="12"/>
  <c r="M18" i="12"/>
  <c r="AC18" i="12"/>
  <c r="Y20" i="12"/>
  <c r="Y24" i="12"/>
  <c r="M30" i="12"/>
  <c r="AC30" i="12"/>
  <c r="Q34" i="12"/>
  <c r="Q36" i="12"/>
  <c r="Q13" i="12"/>
  <c r="Q5" i="12"/>
  <c r="Y21" i="12"/>
  <c r="U27" i="12"/>
  <c r="M31" i="12"/>
  <c r="AC31" i="12"/>
  <c r="U33" i="12"/>
  <c r="M12" i="12"/>
  <c r="Y31" i="12"/>
  <c r="Q4" i="12"/>
  <c r="AC5" i="12"/>
  <c r="M7" i="12"/>
  <c r="U7" i="12"/>
  <c r="AC7" i="12"/>
  <c r="M8" i="12"/>
  <c r="M9" i="12"/>
  <c r="Y10" i="12"/>
  <c r="Q11" i="12"/>
  <c r="Q12" i="12"/>
  <c r="AC12" i="12"/>
  <c r="U13" i="12"/>
  <c r="U15" i="12"/>
  <c r="Q18" i="12"/>
  <c r="Q23" i="12"/>
  <c r="Y26" i="12"/>
  <c r="U29" i="12"/>
  <c r="Y32" i="12"/>
  <c r="U34" i="12"/>
  <c r="AC39" i="12"/>
  <c r="U9" i="12"/>
  <c r="M11" i="12"/>
  <c r="Y12" i="12"/>
  <c r="Y23" i="12"/>
  <c r="Q27" i="12"/>
  <c r="Q33" i="12"/>
  <c r="U4" i="12"/>
  <c r="AC4" i="12"/>
  <c r="M6" i="12"/>
  <c r="U6" i="12"/>
  <c r="Y9" i="12"/>
  <c r="Q10" i="12"/>
  <c r="AC10" i="12"/>
  <c r="AC11" i="12"/>
  <c r="M16" i="12"/>
  <c r="Y16" i="12"/>
  <c r="Q20" i="12"/>
  <c r="M25" i="12"/>
  <c r="AC25" i="12"/>
  <c r="Y27" i="12"/>
  <c r="Q31" i="12"/>
  <c r="Y33" i="12"/>
  <c r="U36" i="12"/>
  <c r="AC37" i="12"/>
  <c r="Y38" i="12"/>
  <c r="M40" i="12"/>
  <c r="AC40" i="12"/>
  <c r="AC14" i="12"/>
  <c r="U5" i="12"/>
  <c r="AC9" i="12"/>
  <c r="Y13" i="12"/>
  <c r="Y15" i="12"/>
  <c r="Y17" i="12"/>
  <c r="U18" i="12"/>
  <c r="AC22" i="12"/>
  <c r="U23" i="12"/>
  <c r="Y29" i="12"/>
  <c r="AC32" i="12"/>
  <c r="Y34" i="12"/>
  <c r="M38" i="12"/>
  <c r="Q29" i="12"/>
  <c r="Q32" i="12"/>
  <c r="L2" i="12"/>
  <c r="M14" i="12" s="1"/>
  <c r="U11" i="12"/>
  <c r="U12" i="12"/>
  <c r="M13" i="12"/>
  <c r="M15" i="12"/>
  <c r="AC16" i="12"/>
  <c r="U20" i="12"/>
  <c r="Q25" i="12"/>
  <c r="M27" i="12"/>
  <c r="AC27" i="12"/>
  <c r="M29" i="12"/>
  <c r="U31" i="12"/>
  <c r="M33" i="12"/>
  <c r="AC33" i="12"/>
  <c r="Y36" i="12"/>
  <c r="AC38" i="12"/>
  <c r="Y4" i="12"/>
  <c r="M5" i="12"/>
  <c r="Q9" i="12"/>
  <c r="Q16" i="12"/>
  <c r="M17" i="12"/>
  <c r="AC17" i="12"/>
  <c r="Y18" i="12"/>
  <c r="Q22" i="12"/>
  <c r="M34" i="12"/>
  <c r="AC34" i="12"/>
  <c r="M36" i="12"/>
  <c r="Q37" i="12"/>
  <c r="Q38" i="12"/>
  <c r="M21" i="12"/>
  <c r="U21" i="12"/>
  <c r="AC21" i="12"/>
  <c r="M22" i="12"/>
  <c r="U22" i="12"/>
  <c r="M24" i="12"/>
  <c r="U24" i="12"/>
  <c r="AC24" i="12"/>
  <c r="M26" i="12"/>
  <c r="U26" i="12"/>
  <c r="AC26" i="12"/>
  <c r="Q30" i="12"/>
  <c r="Y30" i="12"/>
  <c r="Y37" i="12"/>
  <c r="Q35" i="12"/>
  <c r="Y35" i="12"/>
  <c r="M39" i="12"/>
  <c r="U39" i="12"/>
  <c r="U38" i="12"/>
  <c r="Q40" i="12"/>
  <c r="Y40" i="12"/>
  <c r="H43" i="14" l="1"/>
  <c r="BS43" i="12"/>
  <c r="H42" i="14"/>
  <c r="BS42" i="12"/>
  <c r="I42" i="14" s="1"/>
  <c r="H45" i="14"/>
  <c r="BS45" i="12"/>
  <c r="H44" i="14"/>
  <c r="BS44" i="12"/>
  <c r="H48" i="14"/>
  <c r="BS48" i="12"/>
  <c r="I48" i="14" s="1"/>
  <c r="H5" i="14"/>
  <c r="BS5" i="12"/>
  <c r="I5" i="14" s="1"/>
  <c r="H47" i="14"/>
  <c r="BS47" i="12"/>
  <c r="H41" i="14"/>
  <c r="BS41" i="12"/>
  <c r="E47" i="14"/>
  <c r="D44" i="13"/>
  <c r="E46" i="14"/>
  <c r="E44" i="14"/>
  <c r="E45" i="14"/>
  <c r="E41" i="14"/>
  <c r="E42" i="14"/>
  <c r="D40" i="13"/>
  <c r="E48" i="14"/>
  <c r="D46" i="13"/>
  <c r="D33" i="13"/>
  <c r="H35" i="14"/>
  <c r="D32" i="13"/>
  <c r="H34" i="14"/>
  <c r="D2" i="13"/>
  <c r="E4" i="14"/>
  <c r="D9" i="13"/>
  <c r="H11" i="14"/>
  <c r="D17" i="13"/>
  <c r="H19" i="14"/>
  <c r="D25" i="13"/>
  <c r="H27" i="14"/>
  <c r="E5" i="14"/>
  <c r="D10" i="13"/>
  <c r="H12" i="14"/>
  <c r="D18" i="13"/>
  <c r="H20" i="14"/>
  <c r="D26" i="13"/>
  <c r="H28" i="14"/>
  <c r="D34" i="13"/>
  <c r="H36" i="14"/>
  <c r="D16" i="13"/>
  <c r="H18" i="14"/>
  <c r="D11" i="13"/>
  <c r="H13" i="14"/>
  <c r="D19" i="13"/>
  <c r="H21" i="14"/>
  <c r="D27" i="13"/>
  <c r="H29" i="14"/>
  <c r="D35" i="13"/>
  <c r="H37" i="14"/>
  <c r="D4" i="13"/>
  <c r="H6" i="14"/>
  <c r="D12" i="13"/>
  <c r="H14" i="14"/>
  <c r="D20" i="13"/>
  <c r="H22" i="14"/>
  <c r="D28" i="13"/>
  <c r="H30" i="14"/>
  <c r="D36" i="13"/>
  <c r="H38" i="14"/>
  <c r="D24" i="13"/>
  <c r="H26" i="14"/>
  <c r="D5" i="13"/>
  <c r="H7" i="14"/>
  <c r="D13" i="13"/>
  <c r="H15" i="14"/>
  <c r="D21" i="13"/>
  <c r="H23" i="14"/>
  <c r="D29" i="13"/>
  <c r="H31" i="14"/>
  <c r="D37" i="13"/>
  <c r="H39" i="14"/>
  <c r="D8" i="13"/>
  <c r="H10" i="14"/>
  <c r="D6" i="13"/>
  <c r="H8" i="14"/>
  <c r="D14" i="13"/>
  <c r="H16" i="14"/>
  <c r="D22" i="13"/>
  <c r="H24" i="14"/>
  <c r="D30" i="13"/>
  <c r="H32" i="14"/>
  <c r="D38" i="13"/>
  <c r="H40" i="14"/>
  <c r="D7" i="13"/>
  <c r="H9" i="14"/>
  <c r="D15" i="13"/>
  <c r="H17" i="14"/>
  <c r="D23" i="13"/>
  <c r="H25" i="14"/>
  <c r="D31" i="13"/>
  <c r="H33" i="14"/>
  <c r="Q49" i="4"/>
  <c r="P49" i="4"/>
  <c r="I49" i="4"/>
  <c r="H49" i="4"/>
  <c r="F49" i="4"/>
  <c r="E49" i="4"/>
  <c r="D49" i="4"/>
  <c r="Q48" i="4"/>
  <c r="P48" i="4"/>
  <c r="I48" i="4"/>
  <c r="H48" i="4"/>
  <c r="F48" i="4"/>
  <c r="E48" i="4"/>
  <c r="D48" i="4"/>
  <c r="Q47" i="4"/>
  <c r="P47" i="4"/>
  <c r="I47" i="4"/>
  <c r="H47" i="4"/>
  <c r="F47" i="4"/>
  <c r="E47" i="4"/>
  <c r="D47" i="4"/>
  <c r="Q46" i="4"/>
  <c r="P46" i="4"/>
  <c r="I46" i="4"/>
  <c r="H46" i="4"/>
  <c r="F46" i="4"/>
  <c r="E46" i="4"/>
  <c r="D46" i="4"/>
  <c r="Q45" i="4"/>
  <c r="P45" i="4"/>
  <c r="I45" i="4"/>
  <c r="H45" i="4"/>
  <c r="F45" i="4"/>
  <c r="E45" i="4"/>
  <c r="D45" i="4"/>
  <c r="Q44" i="4"/>
  <c r="P44" i="4"/>
  <c r="I44" i="4"/>
  <c r="H44" i="4"/>
  <c r="F44" i="4"/>
  <c r="E44" i="4"/>
  <c r="D44" i="4"/>
  <c r="Q43" i="4"/>
  <c r="P43" i="4"/>
  <c r="I43" i="4"/>
  <c r="H43" i="4"/>
  <c r="F43" i="4"/>
  <c r="E43" i="4"/>
  <c r="D43" i="4"/>
  <c r="Q42" i="4"/>
  <c r="P42" i="4"/>
  <c r="I42" i="4"/>
  <c r="H42" i="4"/>
  <c r="F42" i="4"/>
  <c r="E42" i="4"/>
  <c r="D42" i="4"/>
  <c r="Q41" i="4"/>
  <c r="P41" i="4"/>
  <c r="I41" i="4"/>
  <c r="H41" i="4"/>
  <c r="F41" i="4"/>
  <c r="E41" i="4"/>
  <c r="D41" i="4"/>
  <c r="Q40" i="4"/>
  <c r="P40" i="4"/>
  <c r="I40" i="4"/>
  <c r="H40" i="4"/>
  <c r="F40" i="4"/>
  <c r="E40" i="4"/>
  <c r="D40" i="4"/>
  <c r="Q39" i="4"/>
  <c r="P39" i="4"/>
  <c r="I39" i="4"/>
  <c r="H39" i="4"/>
  <c r="F39" i="4"/>
  <c r="E39" i="4"/>
  <c r="D39" i="4"/>
  <c r="Q38" i="4"/>
  <c r="P38" i="4"/>
  <c r="I38" i="4"/>
  <c r="H38" i="4"/>
  <c r="F38" i="4"/>
  <c r="E38" i="4"/>
  <c r="D38" i="4"/>
  <c r="Q37" i="4"/>
  <c r="P37" i="4"/>
  <c r="I37" i="4"/>
  <c r="H37" i="4"/>
  <c r="F37" i="4"/>
  <c r="E37" i="4"/>
  <c r="D37" i="4"/>
  <c r="Q36" i="4"/>
  <c r="P36" i="4"/>
  <c r="I36" i="4"/>
  <c r="H36" i="4"/>
  <c r="F36" i="4"/>
  <c r="E36" i="4"/>
  <c r="D36" i="4"/>
  <c r="Q35" i="4"/>
  <c r="P35" i="4"/>
  <c r="I35" i="4"/>
  <c r="H35" i="4"/>
  <c r="F35" i="4"/>
  <c r="E35" i="4"/>
  <c r="D35" i="4"/>
  <c r="Q34" i="4"/>
  <c r="P34" i="4"/>
  <c r="I34" i="4"/>
  <c r="H34" i="4"/>
  <c r="F34" i="4"/>
  <c r="E34" i="4"/>
  <c r="D34" i="4"/>
  <c r="Q33" i="4"/>
  <c r="P33" i="4"/>
  <c r="I33" i="4"/>
  <c r="H33" i="4"/>
  <c r="F33" i="4"/>
  <c r="E33" i="4"/>
  <c r="D33" i="4"/>
  <c r="Q32" i="4"/>
  <c r="P32" i="4"/>
  <c r="I32" i="4"/>
  <c r="H32" i="4"/>
  <c r="F32" i="4"/>
  <c r="E32" i="4"/>
  <c r="D32" i="4"/>
  <c r="Q31" i="4"/>
  <c r="P31" i="4"/>
  <c r="I31" i="4"/>
  <c r="H31" i="4"/>
  <c r="F31" i="4"/>
  <c r="E31" i="4"/>
  <c r="D31" i="4"/>
  <c r="Q30" i="4"/>
  <c r="P30" i="4"/>
  <c r="I30" i="4"/>
  <c r="H30" i="4"/>
  <c r="F30" i="4"/>
  <c r="E30" i="4"/>
  <c r="D30" i="4"/>
  <c r="Q29" i="4"/>
  <c r="P29" i="4"/>
  <c r="I29" i="4"/>
  <c r="H29" i="4"/>
  <c r="F29" i="4"/>
  <c r="E29" i="4"/>
  <c r="D29" i="4"/>
  <c r="Q28" i="4"/>
  <c r="P28" i="4"/>
  <c r="I28" i="4"/>
  <c r="H28" i="4"/>
  <c r="F28" i="4"/>
  <c r="E28" i="4"/>
  <c r="D28" i="4"/>
  <c r="Q27" i="4"/>
  <c r="P27" i="4"/>
  <c r="I27" i="4"/>
  <c r="H27" i="4"/>
  <c r="F27" i="4"/>
  <c r="E27" i="4"/>
  <c r="D27" i="4"/>
  <c r="Q26" i="4"/>
  <c r="P26" i="4"/>
  <c r="I26" i="4"/>
  <c r="H26" i="4"/>
  <c r="F26" i="4"/>
  <c r="E26" i="4"/>
  <c r="D26" i="4"/>
  <c r="Q25" i="4"/>
  <c r="P25" i="4"/>
  <c r="I25" i="4"/>
  <c r="H25" i="4"/>
  <c r="F25" i="4"/>
  <c r="E25" i="4"/>
  <c r="D25" i="4"/>
  <c r="Q24" i="4"/>
  <c r="P24" i="4"/>
  <c r="I24" i="4"/>
  <c r="H24" i="4"/>
  <c r="F24" i="4"/>
  <c r="E24" i="4"/>
  <c r="D24" i="4"/>
  <c r="Q23" i="4"/>
  <c r="P23" i="4"/>
  <c r="I23" i="4"/>
  <c r="H23" i="4"/>
  <c r="F23" i="4"/>
  <c r="E23" i="4"/>
  <c r="D23" i="4"/>
  <c r="Q22" i="4"/>
  <c r="P22" i="4"/>
  <c r="I22" i="4"/>
  <c r="H22" i="4"/>
  <c r="F22" i="4"/>
  <c r="E22" i="4"/>
  <c r="D22" i="4"/>
  <c r="Q21" i="4"/>
  <c r="P21" i="4"/>
  <c r="I21" i="4"/>
  <c r="H21" i="4"/>
  <c r="F21" i="4"/>
  <c r="E21" i="4"/>
  <c r="D21" i="4"/>
  <c r="Q20" i="4"/>
  <c r="P20" i="4"/>
  <c r="I20" i="4"/>
  <c r="H20" i="4"/>
  <c r="F20" i="4"/>
  <c r="E20" i="4"/>
  <c r="D20" i="4"/>
  <c r="Q19" i="4"/>
  <c r="P19" i="4"/>
  <c r="I19" i="4"/>
  <c r="H19" i="4"/>
  <c r="F19" i="4"/>
  <c r="E19" i="4"/>
  <c r="D19" i="4"/>
  <c r="Q18" i="4"/>
  <c r="P18" i="4"/>
  <c r="I18" i="4"/>
  <c r="H18" i="4"/>
  <c r="F18" i="4"/>
  <c r="E18" i="4"/>
  <c r="D18" i="4"/>
  <c r="Q17" i="4"/>
  <c r="P17" i="4"/>
  <c r="I17" i="4"/>
  <c r="H17" i="4"/>
  <c r="F17" i="4"/>
  <c r="E17" i="4"/>
  <c r="D17" i="4"/>
  <c r="Q16" i="4"/>
  <c r="P16" i="4"/>
  <c r="I16" i="4"/>
  <c r="H16" i="4"/>
  <c r="F16" i="4"/>
  <c r="E16" i="4"/>
  <c r="D16" i="4"/>
  <c r="Q15" i="4"/>
  <c r="P15" i="4"/>
  <c r="I15" i="4"/>
  <c r="H15" i="4"/>
  <c r="F15" i="4"/>
  <c r="E15" i="4"/>
  <c r="D15" i="4"/>
  <c r="Q14" i="4"/>
  <c r="P14" i="4"/>
  <c r="I14" i="4"/>
  <c r="H14" i="4"/>
  <c r="F14" i="4"/>
  <c r="E14" i="4"/>
  <c r="D14" i="4"/>
  <c r="Q13" i="4"/>
  <c r="P13" i="4"/>
  <c r="I13" i="4"/>
  <c r="H13" i="4"/>
  <c r="F13" i="4"/>
  <c r="E13" i="4"/>
  <c r="D13" i="4"/>
  <c r="Q12" i="4"/>
  <c r="P12" i="4"/>
  <c r="I12" i="4"/>
  <c r="H12" i="4"/>
  <c r="F12" i="4"/>
  <c r="E12" i="4"/>
  <c r="D12" i="4"/>
  <c r="Q11" i="4"/>
  <c r="P11" i="4"/>
  <c r="I11" i="4"/>
  <c r="H11" i="4"/>
  <c r="F11" i="4"/>
  <c r="E11" i="4"/>
  <c r="D11" i="4"/>
  <c r="Q10" i="4"/>
  <c r="P10" i="4"/>
  <c r="I10" i="4"/>
  <c r="H10" i="4"/>
  <c r="F10" i="4"/>
  <c r="E10" i="4"/>
  <c r="D10" i="4"/>
  <c r="Q9" i="4"/>
  <c r="P9" i="4"/>
  <c r="I9" i="4"/>
  <c r="H9" i="4"/>
  <c r="F9" i="4"/>
  <c r="E9" i="4"/>
  <c r="D9" i="4"/>
  <c r="Q8" i="4"/>
  <c r="P8" i="4"/>
  <c r="I8" i="4"/>
  <c r="H8" i="4"/>
  <c r="F8" i="4"/>
  <c r="E8" i="4"/>
  <c r="D8" i="4"/>
  <c r="Q7" i="4"/>
  <c r="P7" i="4"/>
  <c r="I7" i="4"/>
  <c r="H7" i="4"/>
  <c r="F7" i="4"/>
  <c r="E7" i="4"/>
  <c r="D7" i="4"/>
  <c r="Q6" i="4"/>
  <c r="P6" i="4"/>
  <c r="I6" i="4"/>
  <c r="H6" i="4"/>
  <c r="F6" i="4"/>
  <c r="E6" i="4"/>
  <c r="D6" i="4"/>
  <c r="Q5" i="4"/>
  <c r="P5" i="4"/>
  <c r="I5" i="4"/>
  <c r="H5" i="4"/>
  <c r="F5" i="4"/>
  <c r="E5" i="4"/>
  <c r="D5" i="4"/>
  <c r="Q4" i="4"/>
  <c r="P4" i="4"/>
  <c r="I4" i="4"/>
  <c r="H4" i="4"/>
  <c r="F4" i="4"/>
  <c r="E4" i="4"/>
  <c r="D4" i="4"/>
  <c r="Q3" i="4"/>
  <c r="P3" i="4"/>
  <c r="I3" i="4"/>
  <c r="H3" i="4"/>
  <c r="F3" i="4"/>
  <c r="E3" i="4"/>
  <c r="D3" i="4"/>
  <c r="Q2" i="4"/>
  <c r="P2" i="4"/>
  <c r="I2" i="4"/>
  <c r="H2" i="4"/>
  <c r="F2" i="4"/>
  <c r="E2" i="4"/>
  <c r="D2" i="4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D42" i="13" l="1"/>
  <c r="I44" i="14"/>
  <c r="D3" i="13"/>
  <c r="D45" i="13"/>
  <c r="I47" i="14"/>
  <c r="D43" i="13"/>
  <c r="I45" i="14"/>
  <c r="D39" i="13"/>
  <c r="I41" i="14"/>
  <c r="D41" i="13"/>
  <c r="I43" i="14"/>
  <c r="J39" i="4"/>
  <c r="K22" i="4"/>
  <c r="K46" i="4"/>
  <c r="K5" i="4"/>
  <c r="K29" i="4"/>
  <c r="J5" i="4"/>
  <c r="K19" i="4"/>
  <c r="J17" i="4"/>
  <c r="J28" i="4"/>
  <c r="K9" i="4"/>
  <c r="J19" i="4"/>
  <c r="K33" i="4"/>
  <c r="J3" i="4"/>
  <c r="K42" i="4"/>
  <c r="J2" i="4"/>
  <c r="K37" i="4"/>
  <c r="K20" i="4"/>
  <c r="G48" i="4"/>
  <c r="K21" i="4"/>
  <c r="K2" i="4"/>
  <c r="J12" i="4"/>
  <c r="J33" i="4"/>
  <c r="J40" i="4"/>
  <c r="J30" i="4"/>
  <c r="J43" i="4"/>
  <c r="K10" i="4"/>
  <c r="J20" i="4"/>
  <c r="K34" i="4"/>
  <c r="J10" i="4"/>
  <c r="J34" i="4"/>
  <c r="K48" i="4"/>
  <c r="J41" i="4"/>
  <c r="K14" i="4"/>
  <c r="J24" i="4"/>
  <c r="J31" i="4"/>
  <c r="K4" i="4"/>
  <c r="G42" i="4"/>
  <c r="J45" i="4"/>
  <c r="J11" i="4"/>
  <c r="K25" i="4"/>
  <c r="K39" i="4"/>
  <c r="G19" i="4"/>
  <c r="J46" i="4"/>
  <c r="K13" i="4"/>
  <c r="J16" i="4"/>
  <c r="J13" i="4"/>
  <c r="G23" i="4"/>
  <c r="K30" i="4"/>
  <c r="J23" i="4"/>
  <c r="K27" i="4"/>
  <c r="J37" i="4"/>
  <c r="G44" i="4"/>
  <c r="J7" i="4"/>
  <c r="J27" i="4"/>
  <c r="G41" i="4"/>
  <c r="J44" i="4"/>
  <c r="K7" i="4"/>
  <c r="G11" i="4"/>
  <c r="G21" i="4"/>
  <c r="K31" i="4"/>
  <c r="J4" i="4"/>
  <c r="K11" i="4"/>
  <c r="G18" i="4"/>
  <c r="K18" i="4"/>
  <c r="K28" i="4"/>
  <c r="G35" i="4"/>
  <c r="J38" i="4"/>
  <c r="K45" i="4"/>
  <c r="K35" i="4"/>
  <c r="G25" i="4"/>
  <c r="G32" i="4"/>
  <c r="J8" i="4"/>
  <c r="J15" i="4"/>
  <c r="K32" i="4"/>
  <c r="G49" i="4"/>
  <c r="G16" i="4"/>
  <c r="J29" i="4"/>
  <c r="K6" i="4"/>
  <c r="K26" i="4"/>
  <c r="J14" i="4"/>
  <c r="J42" i="4"/>
  <c r="J48" i="4"/>
  <c r="G36" i="4"/>
  <c r="G9" i="4"/>
  <c r="G24" i="4"/>
  <c r="J36" i="4"/>
  <c r="K15" i="4"/>
  <c r="J18" i="4"/>
  <c r="G40" i="4"/>
  <c r="G43" i="4"/>
  <c r="J21" i="4"/>
  <c r="K40" i="4"/>
  <c r="K43" i="4"/>
  <c r="G46" i="4"/>
  <c r="K49" i="4"/>
  <c r="K3" i="4"/>
  <c r="J6" i="4"/>
  <c r="J9" i="4"/>
  <c r="G12" i="4"/>
  <c r="G31" i="4"/>
  <c r="G34" i="4"/>
  <c r="J49" i="4"/>
  <c r="G22" i="4"/>
  <c r="K16" i="4"/>
  <c r="J25" i="4"/>
  <c r="G7" i="4"/>
  <c r="J22" i="4"/>
  <c r="G29" i="4"/>
  <c r="G47" i="4"/>
  <c r="G4" i="4"/>
  <c r="K38" i="4"/>
  <c r="J47" i="4"/>
  <c r="G10" i="4"/>
  <c r="G17" i="4"/>
  <c r="K17" i="4"/>
  <c r="G20" i="4"/>
  <c r="J32" i="4"/>
  <c r="K44" i="4"/>
  <c r="J26" i="4"/>
  <c r="J35" i="4"/>
  <c r="G8" i="4"/>
  <c r="G5" i="4"/>
  <c r="K8" i="4"/>
  <c r="G33" i="4"/>
  <c r="G45" i="4"/>
  <c r="K23" i="4"/>
  <c r="G27" i="4"/>
  <c r="K12" i="4"/>
  <c r="K36" i="4"/>
  <c r="G6" i="4"/>
  <c r="G14" i="4"/>
  <c r="G38" i="4"/>
  <c r="G3" i="4"/>
  <c r="K47" i="4"/>
  <c r="G39" i="4"/>
  <c r="K24" i="4"/>
  <c r="G37" i="4"/>
  <c r="G2" i="4"/>
  <c r="G30" i="4"/>
  <c r="G13" i="4"/>
  <c r="G26" i="4"/>
  <c r="G28" i="4"/>
  <c r="G15" i="4"/>
  <c r="K41" i="4"/>
  <c r="M43" i="4" l="1"/>
  <c r="N43" i="4" s="1"/>
  <c r="M2" i="4"/>
  <c r="O2" i="4" s="1"/>
  <c r="M40" i="4"/>
  <c r="O40" i="4" s="1"/>
  <c r="M8" i="4"/>
  <c r="N8" i="4" s="1"/>
  <c r="M24" i="4"/>
  <c r="O24" i="4" s="1"/>
  <c r="M32" i="4"/>
  <c r="O32" i="4" s="1"/>
  <c r="M13" i="4"/>
  <c r="O13" i="4" s="1"/>
  <c r="M26" i="4"/>
  <c r="O26" i="4" s="1"/>
  <c r="M30" i="4"/>
  <c r="N30" i="4" s="1"/>
  <c r="M15" i="4"/>
  <c r="O15" i="4" s="1"/>
  <c r="M17" i="4"/>
  <c r="O17" i="4" s="1"/>
  <c r="M34" i="4"/>
  <c r="O34" i="4" s="1"/>
  <c r="M36" i="4"/>
  <c r="N36" i="4" s="1"/>
  <c r="M33" i="4"/>
  <c r="N33" i="4" s="1"/>
  <c r="M16" i="4"/>
  <c r="O16" i="4" s="1"/>
  <c r="M3" i="4"/>
  <c r="O3" i="4" s="1"/>
  <c r="M38" i="4"/>
  <c r="O38" i="4" s="1"/>
  <c r="M6" i="4"/>
  <c r="N6" i="4" s="1"/>
  <c r="M35" i="4"/>
  <c r="N35" i="4" s="1"/>
  <c r="M47" i="4"/>
  <c r="O47" i="4" s="1"/>
  <c r="M22" i="4"/>
  <c r="O22" i="4" s="1"/>
  <c r="M41" i="4"/>
  <c r="N41" i="4" s="1"/>
  <c r="M39" i="4"/>
  <c r="M23" i="4"/>
  <c r="M12" i="4"/>
  <c r="M18" i="4"/>
  <c r="O43" i="4"/>
  <c r="M31" i="4"/>
  <c r="M37" i="4"/>
  <c r="M9" i="4"/>
  <c r="M49" i="4"/>
  <c r="M42" i="4"/>
  <c r="M44" i="4"/>
  <c r="M25" i="4"/>
  <c r="M10" i="4"/>
  <c r="M46" i="4"/>
  <c r="M29" i="4"/>
  <c r="M45" i="4"/>
  <c r="M48" i="4"/>
  <c r="M5" i="4"/>
  <c r="M21" i="4"/>
  <c r="M28" i="4"/>
  <c r="M11" i="4"/>
  <c r="M7" i="4"/>
  <c r="M4" i="4"/>
  <c r="M27" i="4"/>
  <c r="M19" i="4"/>
  <c r="M20" i="4"/>
  <c r="M14" i="4"/>
  <c r="O8" i="4" l="1"/>
  <c r="N2" i="4"/>
  <c r="N40" i="4"/>
  <c r="N24" i="4"/>
  <c r="O30" i="4"/>
  <c r="N32" i="4"/>
  <c r="N13" i="4"/>
  <c r="N17" i="4"/>
  <c r="N26" i="4"/>
  <c r="N3" i="4"/>
  <c r="O36" i="4"/>
  <c r="N15" i="4"/>
  <c r="N34" i="4"/>
  <c r="O33" i="4"/>
  <c r="N16" i="4"/>
  <c r="N38" i="4"/>
  <c r="N22" i="4"/>
  <c r="O41" i="4"/>
  <c r="N47" i="4"/>
  <c r="O35" i="4"/>
  <c r="O6" i="4"/>
  <c r="B9" i="5"/>
  <c r="G9" i="5" s="1"/>
  <c r="O10" i="4"/>
  <c r="N10" i="4"/>
  <c r="B11" i="5"/>
  <c r="N25" i="4"/>
  <c r="O25" i="4"/>
  <c r="B3" i="5"/>
  <c r="O14" i="4"/>
  <c r="N14" i="4"/>
  <c r="O42" i="4"/>
  <c r="N42" i="4"/>
  <c r="O44" i="4"/>
  <c r="N44" i="4"/>
  <c r="O4" i="4"/>
  <c r="N4" i="4"/>
  <c r="B6" i="5"/>
  <c r="O11" i="4"/>
  <c r="N11" i="4"/>
  <c r="O39" i="4"/>
  <c r="N39" i="4"/>
  <c r="O28" i="4"/>
  <c r="N28" i="4"/>
  <c r="B12" i="5"/>
  <c r="N7" i="4"/>
  <c r="O7" i="4"/>
  <c r="O49" i="4"/>
  <c r="N49" i="4"/>
  <c r="O12" i="4"/>
  <c r="N12" i="4"/>
  <c r="N9" i="4"/>
  <c r="O9" i="4"/>
  <c r="O23" i="4"/>
  <c r="N23" i="4"/>
  <c r="O46" i="4"/>
  <c r="N46" i="4"/>
  <c r="O37" i="4"/>
  <c r="N37" i="4"/>
  <c r="O31" i="4"/>
  <c r="N31" i="4"/>
  <c r="O21" i="4"/>
  <c r="N21" i="4"/>
  <c r="B7" i="5"/>
  <c r="N18" i="4"/>
  <c r="O18" i="4"/>
  <c r="B13" i="5"/>
  <c r="O48" i="4"/>
  <c r="N48" i="4"/>
  <c r="O5" i="4"/>
  <c r="N5" i="4"/>
  <c r="B4" i="5"/>
  <c r="N45" i="4"/>
  <c r="O45" i="4"/>
  <c r="B10" i="5"/>
  <c r="O19" i="4"/>
  <c r="N19" i="4"/>
  <c r="O27" i="4"/>
  <c r="N27" i="4"/>
  <c r="B2" i="5"/>
  <c r="O20" i="4"/>
  <c r="N20" i="4"/>
  <c r="B5" i="5"/>
  <c r="N29" i="4"/>
  <c r="O29" i="4"/>
  <c r="B8" i="5"/>
  <c r="C9" i="5" l="1"/>
  <c r="D9" i="5"/>
  <c r="E9" i="5"/>
  <c r="G74" i="3"/>
  <c r="J74" i="3" s="1"/>
  <c r="F80" i="3"/>
  <c r="F9" i="5"/>
  <c r="L80" i="3"/>
  <c r="F74" i="3"/>
  <c r="F85" i="3"/>
  <c r="L86" i="3"/>
  <c r="L85" i="3"/>
  <c r="F79" i="3"/>
  <c r="G6" i="5"/>
  <c r="F6" i="5"/>
  <c r="E6" i="5"/>
  <c r="D6" i="5"/>
  <c r="C6" i="5"/>
  <c r="G8" i="5"/>
  <c r="F8" i="5"/>
  <c r="E8" i="5"/>
  <c r="D8" i="5"/>
  <c r="C8" i="5"/>
  <c r="G87" i="3"/>
  <c r="J87" i="3" s="1"/>
  <c r="F84" i="3"/>
  <c r="G7" i="5"/>
  <c r="F7" i="5"/>
  <c r="E7" i="5"/>
  <c r="D7" i="5"/>
  <c r="C7" i="5"/>
  <c r="G5" i="5"/>
  <c r="F5" i="5"/>
  <c r="E5" i="5"/>
  <c r="D5" i="5"/>
  <c r="C5" i="5"/>
  <c r="F88" i="3"/>
  <c r="F86" i="3"/>
  <c r="G84" i="3"/>
  <c r="J84" i="3" s="1"/>
  <c r="F82" i="3"/>
  <c r="G79" i="3"/>
  <c r="J79" i="3" s="1"/>
  <c r="M87" i="3"/>
  <c r="G76" i="3"/>
  <c r="J76" i="3" s="1"/>
  <c r="L76" i="3"/>
  <c r="F89" i="3"/>
  <c r="G85" i="3"/>
  <c r="J85" i="3" s="1"/>
  <c r="F76" i="3"/>
  <c r="G2" i="5"/>
  <c r="F2" i="5"/>
  <c r="E2" i="5"/>
  <c r="D2" i="5"/>
  <c r="C2" i="5"/>
  <c r="M76" i="3"/>
  <c r="M74" i="3"/>
  <c r="L81" i="3"/>
  <c r="L79" i="3"/>
  <c r="L83" i="3"/>
  <c r="L88" i="3"/>
  <c r="M85" i="3"/>
  <c r="L87" i="3"/>
  <c r="F87" i="3"/>
  <c r="G89" i="3"/>
  <c r="J89" i="3" s="1"/>
  <c r="F75" i="3"/>
  <c r="F81" i="3"/>
  <c r="M79" i="3"/>
  <c r="G10" i="5"/>
  <c r="F10" i="5"/>
  <c r="E10" i="5"/>
  <c r="D10" i="5"/>
  <c r="C10" i="5"/>
  <c r="F77" i="3"/>
  <c r="L84" i="3"/>
  <c r="F83" i="3"/>
  <c r="F78" i="3"/>
  <c r="L77" i="3"/>
  <c r="G11" i="5"/>
  <c r="F11" i="5"/>
  <c r="E11" i="5"/>
  <c r="D11" i="5"/>
  <c r="C11" i="5"/>
  <c r="M89" i="3"/>
  <c r="L82" i="3"/>
  <c r="M77" i="3"/>
  <c r="G12" i="5"/>
  <c r="F12" i="5"/>
  <c r="E12" i="5"/>
  <c r="D12" i="5"/>
  <c r="C12" i="5"/>
  <c r="L74" i="3"/>
  <c r="M84" i="3"/>
  <c r="G77" i="3"/>
  <c r="J77" i="3" s="1"/>
  <c r="L89" i="3"/>
  <c r="L78" i="3"/>
  <c r="G3" i="5"/>
  <c r="F3" i="5"/>
  <c r="E3" i="5"/>
  <c r="D3" i="5"/>
  <c r="C3" i="5"/>
  <c r="G4" i="5"/>
  <c r="F4" i="5"/>
  <c r="E4" i="5"/>
  <c r="D4" i="5"/>
  <c r="C4" i="5"/>
  <c r="G13" i="5"/>
  <c r="F13" i="5"/>
  <c r="E13" i="5"/>
  <c r="D13" i="5"/>
  <c r="C13" i="5"/>
  <c r="L75" i="3"/>
  <c r="F94" i="3" l="1"/>
  <c r="H12" i="6"/>
  <c r="H15" i="6"/>
  <c r="F96" i="3"/>
  <c r="G94" i="3"/>
  <c r="J94" i="3" s="1"/>
  <c r="H13" i="6"/>
  <c r="F92" i="3"/>
  <c r="H5" i="6"/>
  <c r="H4" i="6"/>
  <c r="G91" i="3"/>
  <c r="J91" i="3" s="1"/>
  <c r="H7" i="6"/>
  <c r="G92" i="3"/>
  <c r="H17" i="6"/>
  <c r="G96" i="3"/>
  <c r="J96" i="3" s="1"/>
  <c r="H2" i="6"/>
  <c r="F91" i="3"/>
  <c r="L91" i="3"/>
  <c r="H12" i="5"/>
  <c r="I12" i="5" s="1"/>
  <c r="H7" i="5"/>
  <c r="I7" i="5" s="1"/>
  <c r="H6" i="5"/>
  <c r="I6" i="5" s="1"/>
  <c r="H13" i="5"/>
  <c r="I13" i="5" s="1"/>
  <c r="H4" i="5"/>
  <c r="I4" i="5" s="1"/>
  <c r="L94" i="3"/>
  <c r="H3" i="5"/>
  <c r="I3" i="5" s="1"/>
  <c r="H9" i="5"/>
  <c r="I9" i="5" s="1"/>
  <c r="L92" i="3"/>
  <c r="H8" i="5"/>
  <c r="I8" i="5" s="1"/>
  <c r="M94" i="3"/>
  <c r="M91" i="3"/>
  <c r="H10" i="5"/>
  <c r="I10" i="5" s="1"/>
  <c r="M96" i="3"/>
  <c r="H5" i="5"/>
  <c r="I5" i="5" s="1"/>
  <c r="H11" i="5"/>
  <c r="I11" i="5" s="1"/>
  <c r="L96" i="3"/>
  <c r="H2" i="5"/>
  <c r="I2" i="5" s="1"/>
  <c r="M92" i="3"/>
  <c r="J92" i="3" l="1"/>
  <c r="H24" i="6"/>
  <c r="F101" i="3"/>
  <c r="L101" i="3"/>
  <c r="G98" i="3"/>
  <c r="J98" i="3" s="1"/>
  <c r="H19" i="6"/>
  <c r="M98" i="3"/>
  <c r="F99" i="3"/>
  <c r="L99" i="3"/>
  <c r="H22" i="6"/>
  <c r="H2" i="8"/>
  <c r="H5" i="8" s="1"/>
  <c r="H26" i="6" l="1"/>
  <c r="F102" i="3"/>
  <c r="H20" i="6"/>
  <c r="F100" i="3"/>
  <c r="L100" i="3"/>
  <c r="E6" i="8"/>
  <c r="G6" i="8" s="1"/>
  <c r="M82" i="3" s="1"/>
  <c r="H6" i="8"/>
  <c r="E7" i="8"/>
  <c r="G7" i="8" s="1"/>
  <c r="M83" i="3" s="1"/>
  <c r="E2" i="8"/>
  <c r="G2" i="8" s="1"/>
  <c r="M75" i="3" s="1"/>
  <c r="H7" i="8"/>
  <c r="E8" i="8"/>
  <c r="G8" i="8" s="1"/>
  <c r="M86" i="3" s="1"/>
  <c r="W2" i="8"/>
  <c r="H8" i="8"/>
  <c r="E3" i="8"/>
  <c r="G3" i="8" s="1"/>
  <c r="M78" i="3" s="1"/>
  <c r="E9" i="8"/>
  <c r="G9" i="8" s="1"/>
  <c r="M88" i="3" s="1"/>
  <c r="H3" i="8"/>
  <c r="H9" i="8"/>
  <c r="E4" i="8"/>
  <c r="F4" i="8" s="1"/>
  <c r="G80" i="3" s="1"/>
  <c r="H4" i="8"/>
  <c r="E5" i="8"/>
  <c r="G5" i="8" s="1"/>
  <c r="M81" i="3" s="1"/>
  <c r="J80" i="3" l="1"/>
  <c r="F5" i="8"/>
  <c r="G81" i="3" s="1"/>
  <c r="F9" i="8"/>
  <c r="G88" i="3" s="1"/>
  <c r="G4" i="8"/>
  <c r="M80" i="3" s="1"/>
  <c r="F8" i="8"/>
  <c r="G86" i="3" s="1"/>
  <c r="F6" i="8"/>
  <c r="G82" i="3" s="1"/>
  <c r="F2" i="8"/>
  <c r="G75" i="3" s="1"/>
  <c r="F7" i="8"/>
  <c r="G83" i="3" s="1"/>
  <c r="F3" i="8"/>
  <c r="G78" i="3" s="1"/>
  <c r="J83" i="3" l="1"/>
  <c r="J78" i="3"/>
  <c r="M90" i="3" s="1"/>
  <c r="J75" i="3"/>
  <c r="J86" i="3"/>
  <c r="L97" i="3" s="1"/>
  <c r="J88" i="3"/>
  <c r="J82" i="3"/>
  <c r="J81" i="3"/>
  <c r="M93" i="3" s="1"/>
  <c r="F93" i="3"/>
  <c r="H8" i="6"/>
  <c r="L93" i="3"/>
  <c r="H10" i="6" l="1"/>
  <c r="F95" i="3"/>
  <c r="H16" i="6"/>
  <c r="G97" i="3"/>
  <c r="J97" i="3" s="1"/>
  <c r="F90" i="3"/>
  <c r="H3" i="6"/>
  <c r="H9" i="6"/>
  <c r="G93" i="3"/>
  <c r="H11" i="6"/>
  <c r="G95" i="3"/>
  <c r="J95" i="3" s="1"/>
  <c r="L95" i="3"/>
  <c r="M97" i="3"/>
  <c r="H14" i="6"/>
  <c r="F97" i="3"/>
  <c r="L90" i="3"/>
  <c r="H6" i="6"/>
  <c r="G90" i="3"/>
  <c r="M95" i="3"/>
  <c r="H23" i="6" l="1"/>
  <c r="G99" i="3"/>
  <c r="M99" i="3"/>
  <c r="J90" i="3"/>
  <c r="J93" i="3"/>
  <c r="M100" i="3" s="1"/>
  <c r="H25" i="6"/>
  <c r="G101" i="3"/>
  <c r="J101" i="3" s="1"/>
  <c r="M101" i="3"/>
  <c r="G103" i="3" l="1"/>
  <c r="J103" i="3" s="1"/>
  <c r="H29" i="6"/>
  <c r="M103" i="3"/>
  <c r="H18" i="6"/>
  <c r="F98" i="3"/>
  <c r="L102" i="3" s="1"/>
  <c r="J99" i="3"/>
  <c r="M102" i="3" s="1"/>
  <c r="G100" i="3"/>
  <c r="J100" i="3" s="1"/>
  <c r="H21" i="6"/>
  <c r="L98" i="3"/>
  <c r="H28" i="6" l="1"/>
  <c r="F103" i="3"/>
  <c r="G104" i="3" s="1"/>
  <c r="J104" i="3" s="1"/>
  <c r="H32" i="6" s="1"/>
  <c r="L103" i="3"/>
  <c r="M104" i="3" s="1"/>
  <c r="H27" i="6"/>
  <c r="G102" i="3"/>
  <c r="J102" i="3" s="1"/>
  <c r="H31" i="6"/>
  <c r="G105" i="3"/>
  <c r="J105" i="3" s="1"/>
  <c r="H33" i="6" s="1"/>
  <c r="M105" i="3" l="1"/>
  <c r="F105" i="3"/>
  <c r="H30" i="6"/>
  <c r="L105" i="3"/>
  <c r="F104" i="3"/>
  <c r="L104" i="3"/>
  <c r="B3" i="13" l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<sst xmlns="http://schemas.openxmlformats.org/spreadsheetml/2006/main" count="6313" uniqueCount="924">
  <si>
    <t>Mundial FIFA 2026 - Calendario y clasificación</t>
  </si>
  <si>
    <t>Uso</t>
  </si>
  <si>
    <t>1</t>
  </si>
  <si>
    <t>Escribe los goles en la hoja Partidos, columnas H e I. Las tablas se recalculan automáticamente.</t>
  </si>
  <si>
    <t>2</t>
  </si>
  <si>
    <t>Las posiciones de grupo están identificadas como A1, A2, A3, A4, etc.</t>
  </si>
  <si>
    <t>3</t>
  </si>
  <si>
    <t>Los cruces de eliminatoria usan placeholders oficiales: 1A, 2B, 3C/D/E, W74, etc.</t>
  </si>
  <si>
    <t>4</t>
  </si>
  <si>
    <t>La hoja Clasificacion calcula puntos, goles y posición básica; al inicio conserva el orden A1-A4 por grupo.</t>
  </si>
  <si>
    <t>5</t>
  </si>
  <si>
    <t>La columna Desempate manual permite resolver empates complejos de FIFA: mayor número = mejor desempate.</t>
  </si>
  <si>
    <t>6</t>
  </si>
  <si>
    <t>Horarios en Eastern Time (ET), como en el calendario de FIFA/CBS.</t>
  </si>
  <si>
    <t>Contenido</t>
  </si>
  <si>
    <t>Equipos_Grupos</t>
  </si>
  <si>
    <t>Listado de grupos, posiciones y códigos.</t>
  </si>
  <si>
    <t>Partidos</t>
  </si>
  <si>
    <t>Los 104 partidos, con columnas para ingresar resultados.</t>
  </si>
  <si>
    <t>Clasificacion</t>
  </si>
  <si>
    <t>Tabla automática por grupo.</t>
  </si>
  <si>
    <t>Mejores_Terceros</t>
  </si>
  <si>
    <t>Ranking automático de los terceros lugares.</t>
  </si>
  <si>
    <t>Llaves</t>
  </si>
  <si>
    <t>Resumen del cuadro eliminatorio con placeholders.</t>
  </si>
  <si>
    <t>Fuentes</t>
  </si>
  <si>
    <t>URLs usadas para armar el archivo.</t>
  </si>
  <si>
    <t>Notas</t>
  </si>
  <si>
    <t>El calendario está sujeto a cambios por FIFA.</t>
  </si>
  <si>
    <t>Grupo</t>
  </si>
  <si>
    <t>Posición</t>
  </si>
  <si>
    <t>Código</t>
  </si>
  <si>
    <t>Equipo</t>
  </si>
  <si>
    <t>A</t>
  </si>
  <si>
    <t>A1</t>
  </si>
  <si>
    <t>MEX</t>
  </si>
  <si>
    <t>México</t>
  </si>
  <si>
    <t>A2</t>
  </si>
  <si>
    <t>RSA</t>
  </si>
  <si>
    <t>Sudáfrica</t>
  </si>
  <si>
    <t>A3</t>
  </si>
  <si>
    <t>KOR</t>
  </si>
  <si>
    <t>Corea República</t>
  </si>
  <si>
    <t>A4</t>
  </si>
  <si>
    <t>CZE</t>
  </si>
  <si>
    <t>Chequia</t>
  </si>
  <si>
    <t>B</t>
  </si>
  <si>
    <t>B1</t>
  </si>
  <si>
    <t>CAN</t>
  </si>
  <si>
    <t>Canadá</t>
  </si>
  <si>
    <t>B2</t>
  </si>
  <si>
    <t>BIH</t>
  </si>
  <si>
    <t>Bosnia y Herzegovina</t>
  </si>
  <si>
    <t>B3</t>
  </si>
  <si>
    <t>QAT</t>
  </si>
  <si>
    <t>Qatar</t>
  </si>
  <si>
    <t>B4</t>
  </si>
  <si>
    <t>SUI</t>
  </si>
  <si>
    <t>Suiza</t>
  </si>
  <si>
    <t>C</t>
  </si>
  <si>
    <t>C1</t>
  </si>
  <si>
    <t>BRA</t>
  </si>
  <si>
    <t>Brasil</t>
  </si>
  <si>
    <t>C2</t>
  </si>
  <si>
    <t>MAR</t>
  </si>
  <si>
    <t>Marruecos</t>
  </si>
  <si>
    <t>C3</t>
  </si>
  <si>
    <t>HAI</t>
  </si>
  <si>
    <t>Haití</t>
  </si>
  <si>
    <t>C4</t>
  </si>
  <si>
    <t>SCO</t>
  </si>
  <si>
    <t>Escocia</t>
  </si>
  <si>
    <t>D</t>
  </si>
  <si>
    <t>D1</t>
  </si>
  <si>
    <t>USA</t>
  </si>
  <si>
    <t>Estados Unidos</t>
  </si>
  <si>
    <t>D2</t>
  </si>
  <si>
    <t>PAR</t>
  </si>
  <si>
    <t>Paraguay</t>
  </si>
  <si>
    <t>D3</t>
  </si>
  <si>
    <t>AUS</t>
  </si>
  <si>
    <t>Australia</t>
  </si>
  <si>
    <t>D4</t>
  </si>
  <si>
    <t>TUR</t>
  </si>
  <si>
    <t>Türkiye</t>
  </si>
  <si>
    <t>E</t>
  </si>
  <si>
    <t>E1</t>
  </si>
  <si>
    <t>GER</t>
  </si>
  <si>
    <t>Alemania</t>
  </si>
  <si>
    <t>E2</t>
  </si>
  <si>
    <t>CUW</t>
  </si>
  <si>
    <t>Curazao</t>
  </si>
  <si>
    <t>E3</t>
  </si>
  <si>
    <t>CIV</t>
  </si>
  <si>
    <t>Costa de Marfil</t>
  </si>
  <si>
    <t>E4</t>
  </si>
  <si>
    <t>ECU</t>
  </si>
  <si>
    <t>Ecuador</t>
  </si>
  <si>
    <t>F</t>
  </si>
  <si>
    <t>F1</t>
  </si>
  <si>
    <t>NED</t>
  </si>
  <si>
    <t>Países Bajos</t>
  </si>
  <si>
    <t>F2</t>
  </si>
  <si>
    <t>JPN</t>
  </si>
  <si>
    <t>Japón</t>
  </si>
  <si>
    <t>F3</t>
  </si>
  <si>
    <t>SWE</t>
  </si>
  <si>
    <t>Suecia</t>
  </si>
  <si>
    <t>F4</t>
  </si>
  <si>
    <t>TUN</t>
  </si>
  <si>
    <t>Túnez</t>
  </si>
  <si>
    <t>G</t>
  </si>
  <si>
    <t>G1</t>
  </si>
  <si>
    <t>BEL</t>
  </si>
  <si>
    <t>Bélgica</t>
  </si>
  <si>
    <t>G2</t>
  </si>
  <si>
    <t>EGY</t>
  </si>
  <si>
    <t>Egipto</t>
  </si>
  <si>
    <t>G3</t>
  </si>
  <si>
    <t>IRN</t>
  </si>
  <si>
    <t>Irán</t>
  </si>
  <si>
    <t>G4</t>
  </si>
  <si>
    <t>NZL</t>
  </si>
  <si>
    <t>Nueva Zelanda</t>
  </si>
  <si>
    <t>H</t>
  </si>
  <si>
    <t>H1</t>
  </si>
  <si>
    <t>ESP</t>
  </si>
  <si>
    <t>España</t>
  </si>
  <si>
    <t>H2</t>
  </si>
  <si>
    <t>CPV</t>
  </si>
  <si>
    <t>Cabo Verde</t>
  </si>
  <si>
    <t>H3</t>
  </si>
  <si>
    <t>KSA</t>
  </si>
  <si>
    <t>Arabia Saudita</t>
  </si>
  <si>
    <t>H4</t>
  </si>
  <si>
    <t>URU</t>
  </si>
  <si>
    <t>Uruguay</t>
  </si>
  <si>
    <t>I</t>
  </si>
  <si>
    <t>I1</t>
  </si>
  <si>
    <t>FRA</t>
  </si>
  <si>
    <t>Francia</t>
  </si>
  <si>
    <t>I2</t>
  </si>
  <si>
    <t>SEN</t>
  </si>
  <si>
    <t>Senegal</t>
  </si>
  <si>
    <t>I3</t>
  </si>
  <si>
    <t>IRQ</t>
  </si>
  <si>
    <t>Irak</t>
  </si>
  <si>
    <t>I4</t>
  </si>
  <si>
    <t>NOR</t>
  </si>
  <si>
    <t>Noruega</t>
  </si>
  <si>
    <t>J</t>
  </si>
  <si>
    <t>J1</t>
  </si>
  <si>
    <t>ARG</t>
  </si>
  <si>
    <t>Argentina</t>
  </si>
  <si>
    <t>J2</t>
  </si>
  <si>
    <t>ALG</t>
  </si>
  <si>
    <t>Argelia</t>
  </si>
  <si>
    <t>J3</t>
  </si>
  <si>
    <t>AUT</t>
  </si>
  <si>
    <t>Austria</t>
  </si>
  <si>
    <t>J4</t>
  </si>
  <si>
    <t>JOR</t>
  </si>
  <si>
    <t>Jordania</t>
  </si>
  <si>
    <t>K</t>
  </si>
  <si>
    <t>K1</t>
  </si>
  <si>
    <t>POR</t>
  </si>
  <si>
    <t>Portugal</t>
  </si>
  <si>
    <t>K2</t>
  </si>
  <si>
    <t>COD</t>
  </si>
  <si>
    <t>RD Congo</t>
  </si>
  <si>
    <t>K3</t>
  </si>
  <si>
    <t>UZB</t>
  </si>
  <si>
    <t>Uzbekistán</t>
  </si>
  <si>
    <t>K4</t>
  </si>
  <si>
    <t>COL</t>
  </si>
  <si>
    <t>Colombia</t>
  </si>
  <si>
    <t>L</t>
  </si>
  <si>
    <t>L1</t>
  </si>
  <si>
    <t>ENG</t>
  </si>
  <si>
    <t>Inglaterra</t>
  </si>
  <si>
    <t>L2</t>
  </si>
  <si>
    <t>CRO</t>
  </si>
  <si>
    <t>Croacia</t>
  </si>
  <si>
    <t>L3</t>
  </si>
  <si>
    <t>GHA</t>
  </si>
  <si>
    <t>Ghana</t>
  </si>
  <si>
    <t>L4</t>
  </si>
  <si>
    <t>PAN</t>
  </si>
  <si>
    <t>Panamá</t>
  </si>
  <si>
    <t>Número</t>
  </si>
  <si>
    <t>Posición.</t>
  </si>
  <si>
    <t>Nombre</t>
  </si>
  <si>
    <t xml:space="preserve">Puntaje </t>
  </si>
  <si>
    <t>Bosnia</t>
  </si>
  <si>
    <t>Alberto</t>
  </si>
  <si>
    <t>Alfredo 1</t>
  </si>
  <si>
    <t>Alfredo 2</t>
  </si>
  <si>
    <t>Antonio</t>
  </si>
  <si>
    <t>Carlos</t>
  </si>
  <si>
    <t>Castillo L.</t>
  </si>
  <si>
    <t>Christofer</t>
  </si>
  <si>
    <t>Edward</t>
  </si>
  <si>
    <t>Espinosa L.</t>
  </si>
  <si>
    <t>Isabel 1</t>
  </si>
  <si>
    <t>Isabel 2</t>
  </si>
  <si>
    <t>Javier</t>
  </si>
  <si>
    <t>Jose C 1</t>
  </si>
  <si>
    <t>Jose C 2</t>
  </si>
  <si>
    <t>Jose C Ahiza</t>
  </si>
  <si>
    <t>Jose C Ana</t>
  </si>
  <si>
    <t>Jose C Judith</t>
  </si>
  <si>
    <t>Jovanna</t>
  </si>
  <si>
    <t>Kattia 1</t>
  </si>
  <si>
    <t>Kattia 2</t>
  </si>
  <si>
    <t>Maricela</t>
  </si>
  <si>
    <t>Milagros</t>
  </si>
  <si>
    <t>Mily CF 1</t>
  </si>
  <si>
    <t>Mily CF 2</t>
  </si>
  <si>
    <t>Mily Oliver</t>
  </si>
  <si>
    <t>Mily Zeynneth</t>
  </si>
  <si>
    <t>Nefreteri</t>
  </si>
  <si>
    <t>Ninoshka</t>
  </si>
  <si>
    <t>Osvaldo</t>
  </si>
  <si>
    <t>Peter</t>
  </si>
  <si>
    <t>Quinnie</t>
  </si>
  <si>
    <t>Radames</t>
  </si>
  <si>
    <t>Saul</t>
  </si>
  <si>
    <t>Silvia</t>
  </si>
  <si>
    <t>Waldo</t>
  </si>
  <si>
    <t>Puntaje1</t>
  </si>
  <si>
    <t>Columna4</t>
  </si>
  <si>
    <t>Puntaje2</t>
  </si>
  <si>
    <t>Puntaje4</t>
  </si>
  <si>
    <t>Puntaje3</t>
  </si>
  <si>
    <t>Puntaje6</t>
  </si>
  <si>
    <t>Puntaje8</t>
  </si>
  <si>
    <t>Puntaje5</t>
  </si>
  <si>
    <t>Puntaje10</t>
  </si>
  <si>
    <t>Puntaje12</t>
  </si>
  <si>
    <t>Puntaje7</t>
  </si>
  <si>
    <t>Puntaje14</t>
  </si>
  <si>
    <t>Columna1</t>
  </si>
  <si>
    <t>Columna3</t>
  </si>
  <si>
    <t>Puntaje</t>
  </si>
  <si>
    <t>Puntaje9</t>
  </si>
  <si>
    <t>Puntaje11</t>
  </si>
  <si>
    <t>Puntaje13</t>
  </si>
  <si>
    <t>Participante</t>
  </si>
  <si>
    <t>N°</t>
  </si>
  <si>
    <t>Fecha</t>
  </si>
  <si>
    <t>Hora ET</t>
  </si>
  <si>
    <t>Fase</t>
  </si>
  <si>
    <t>Local</t>
  </si>
  <si>
    <t>Visitante</t>
  </si>
  <si>
    <t>Goles Local</t>
  </si>
  <si>
    <t>Goles Visitante</t>
  </si>
  <si>
    <t>Ganador/Clasifica</t>
  </si>
  <si>
    <t>Sede</t>
  </si>
  <si>
    <t>Local código</t>
  </si>
  <si>
    <t>Visitante código</t>
  </si>
  <si>
    <t>Local posición</t>
  </si>
  <si>
    <t>Visitante posición</t>
  </si>
  <si>
    <t>Fuente/Nota</t>
  </si>
  <si>
    <t>Nota</t>
  </si>
  <si>
    <t>15:00</t>
  </si>
  <si>
    <t>Mexico City</t>
  </si>
  <si>
    <t>FIFA/CBS</t>
  </si>
  <si>
    <t>Eliminatorias: si una posición aún no está definida, F/G muestran la llave (1A, 2B, 3A/B/C..., W74, L101). Un grupo solo clasifica cuando sus 4 equipos tienen al menos 1 partido con marcador.</t>
  </si>
  <si>
    <t>22:00</t>
  </si>
  <si>
    <t>Guadalajara</t>
  </si>
  <si>
    <t>Toronto</t>
  </si>
  <si>
    <t>21:00</t>
  </si>
  <si>
    <t>Los Angeles</t>
  </si>
  <si>
    <t>Boston</t>
  </si>
  <si>
    <t>00:00</t>
  </si>
  <si>
    <t>Vancouver</t>
  </si>
  <si>
    <t>18:00</t>
  </si>
  <si>
    <t>New York New Jersey</t>
  </si>
  <si>
    <t>San Francisco Bay Area</t>
  </si>
  <si>
    <t>19:00</t>
  </si>
  <si>
    <t>Philadelphia</t>
  </si>
  <si>
    <t>13:00</t>
  </si>
  <si>
    <t>Houston</t>
  </si>
  <si>
    <t>16:00</t>
  </si>
  <si>
    <t>Dallas</t>
  </si>
  <si>
    <t>Monterrey</t>
  </si>
  <si>
    <t>Miami</t>
  </si>
  <si>
    <t>12:00</t>
  </si>
  <si>
    <t>Atlanta</t>
  </si>
  <si>
    <t>Seattle</t>
  </si>
  <si>
    <t>Kansas City</t>
  </si>
  <si>
    <t>20:30</t>
  </si>
  <si>
    <t>23:00</t>
  </si>
  <si>
    <t>20:00</t>
  </si>
  <si>
    <t>17:00</t>
  </si>
  <si>
    <t>19:30</t>
  </si>
  <si>
    <t>Ronda de 32</t>
  </si>
  <si>
    <t>2A</t>
  </si>
  <si>
    <t>2B</t>
  </si>
  <si>
    <t>16:30</t>
  </si>
  <si>
    <t>1E</t>
  </si>
  <si>
    <t>3A/B/C/D/F</t>
  </si>
  <si>
    <t>1F</t>
  </si>
  <si>
    <t>2C</t>
  </si>
  <si>
    <t>1C</t>
  </si>
  <si>
    <t>2F</t>
  </si>
  <si>
    <t>1I</t>
  </si>
  <si>
    <t>3C/D/F/G/H</t>
  </si>
  <si>
    <t>2E</t>
  </si>
  <si>
    <t>2I</t>
  </si>
  <si>
    <t>1A</t>
  </si>
  <si>
    <t>3C/E/F/H/I</t>
  </si>
  <si>
    <t>1L</t>
  </si>
  <si>
    <t>3E/H/I/J/K</t>
  </si>
  <si>
    <t>1D</t>
  </si>
  <si>
    <t>3B/E/F/I/J</t>
  </si>
  <si>
    <t>1G</t>
  </si>
  <si>
    <t>3A/E/H/I/J</t>
  </si>
  <si>
    <t>2K</t>
  </si>
  <si>
    <t>2L</t>
  </si>
  <si>
    <t>1H</t>
  </si>
  <si>
    <t>2J</t>
  </si>
  <si>
    <t>1B</t>
  </si>
  <si>
    <t>3E/F/G/I/J</t>
  </si>
  <si>
    <t>1J</t>
  </si>
  <si>
    <t>2H</t>
  </si>
  <si>
    <t>21:30</t>
  </si>
  <si>
    <t>1K</t>
  </si>
  <si>
    <t>3D/E/I/J/L</t>
  </si>
  <si>
    <t>14:00</t>
  </si>
  <si>
    <t>2D</t>
  </si>
  <si>
    <t>2G</t>
  </si>
  <si>
    <t>Octavos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</si>
  <si>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</si>
  <si>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</si>
  <si>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</si>
  <si>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</si>
  <si>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</si>
  <si>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</si>
  <si>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</si>
  <si>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</si>
  <si>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</si>
  <si>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</si>
  <si>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</si>
  <si>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</si>
  <si>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</si>
  <si>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</si>
  <si>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</si>
  <si>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</si>
  <si>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Cuartos</t>
  </si>
  <si>
    <t>W89</t>
  </si>
  <si>
    <t>W90</t>
  </si>
  <si>
    <t>W93</t>
  </si>
  <si>
    <t>W94</t>
  </si>
  <si>
    <t>W91</t>
  </si>
  <si>
    <t>W92</t>
  </si>
  <si>
    <t>W95</t>
  </si>
  <si>
    <t>W96</t>
  </si>
  <si>
    <t>Semifinal</t>
  </si>
  <si>
    <t>W97</t>
  </si>
  <si>
    <t>W98</t>
  </si>
  <si>
    <t>W99</t>
  </si>
  <si>
    <t>W100</t>
  </si>
  <si>
    <t>Tercer lugar</t>
  </si>
  <si>
    <t>L101</t>
  </si>
  <si>
    <t>L102</t>
  </si>
  <si>
    <t>Final</t>
  </si>
  <si>
    <t>W101</t>
  </si>
  <si>
    <t>W102</t>
  </si>
  <si>
    <t>PJ</t>
  </si>
  <si>
    <t>PG</t>
  </si>
  <si>
    <t>PE</t>
  </si>
  <si>
    <t>PP</t>
  </si>
  <si>
    <t>GF</t>
  </si>
  <si>
    <t>GC</t>
  </si>
  <si>
    <t>DG</t>
  </si>
  <si>
    <t>PTS</t>
  </si>
  <si>
    <t>Desempate manual</t>
  </si>
  <si>
    <t>Posición calculada</t>
  </si>
  <si>
    <t>Clasifica</t>
  </si>
  <si>
    <t>LlavePos</t>
  </si>
  <si>
    <t>Equipo_lookup</t>
  </si>
  <si>
    <t>Código_lookup</t>
  </si>
  <si>
    <t>Ranking tercero</t>
  </si>
  <si>
    <t>Clasifica entre mejores 8</t>
  </si>
  <si>
    <t>Equipo/Slot 1</t>
  </si>
  <si>
    <t>Equipo/Slot 2</t>
  </si>
  <si>
    <t>Ganador</t>
  </si>
  <si>
    <t>Fuente</t>
  </si>
  <si>
    <t>URL</t>
  </si>
  <si>
    <t>FIFA PDF calendario oficial</t>
  </si>
  <si>
    <t>https://digitalhub.fifa.com/asset/4b5d4417-3343-4732-9cdf-14b6662af407/FWC26-Match-Schedule_English.pdf</t>
  </si>
  <si>
    <t>Calendario oficial de FIFA, 10 abril 2026, horarios ET.</t>
  </si>
  <si>
    <t>CBS Sports calendario textual</t>
  </si>
  <si>
    <t>https://www.cbssports.com/soccer/news/2026-world-cup-schedule-time-location-groups-bracket-usmnt/</t>
  </si>
  <si>
    <t>Fechas, horarios, grupos, sedes y estructura de eliminatorias.</t>
  </si>
  <si>
    <t>El calendario puede cambiar; revisar fuente FIFA antes de usar oficialmente.</t>
  </si>
  <si>
    <t>Key</t>
  </si>
  <si>
    <t>Partido</t>
  </si>
  <si>
    <t>Lado</t>
  </si>
  <si>
    <t>Slot 3°</t>
  </si>
  <si>
    <t>Grupo asignado</t>
  </si>
  <si>
    <t>Clave mejores 8</t>
  </si>
  <si>
    <t>TestNested</t>
  </si>
  <si>
    <t>74V</t>
  </si>
  <si>
    <t>V</t>
  </si>
  <si>
    <t>77V</t>
  </si>
  <si>
    <t>79V</t>
  </si>
  <si>
    <t>80V</t>
  </si>
  <si>
    <t>81V</t>
  </si>
  <si>
    <t>82V</t>
  </si>
  <si>
    <t>85V</t>
  </si>
  <si>
    <t>87V</t>
  </si>
  <si>
    <t>Clave</t>
  </si>
  <si>
    <t>ABCDEFGH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</si>
  <si>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</si>
  <si>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</si>
  <si>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</si>
  <si>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</si>
  <si>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</si>
  <si>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</si>
  <si>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</si>
  <si>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</si>
  <si>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</si>
  <si>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ABCDEFIK</t>
  </si>
  <si>
    <t>ABCDEFIL</t>
  </si>
  <si>
    <t>ABCDEFJK</t>
  </si>
  <si>
    <t>ABCDEFJL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</si>
  <si>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</si>
  <si>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</si>
  <si>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</si>
  <si>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</si>
  <si>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</si>
  <si>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</si>
  <si>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</si>
  <si>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</si>
  <si>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</si>
  <si>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</si>
  <si>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</si>
  <si>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</si>
  <si>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</si>
  <si>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</si>
  <si>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</si>
  <si>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</si>
  <si>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</si>
  <si>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</si>
  <si>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</si>
  <si>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</si>
  <si>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</si>
  <si>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</si>
  <si>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</si>
  <si>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</si>
  <si>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</si>
  <si>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</si>
  <si>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</si>
  <si>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</si>
  <si>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</si>
  <si>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</si>
  <si>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</si>
  <si>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</si>
  <si>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</si>
  <si>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</si>
  <si>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</si>
  <si>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</si>
  <si>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</si>
  <si>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</si>
  <si>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</si>
  <si>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</si>
  <si>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</si>
  <si>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</si>
  <si>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</si>
  <si>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</si>
  <si>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</si>
  <si>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</si>
  <si>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</si>
  <si>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</si>
  <si>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</si>
  <si>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</si>
  <si>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</si>
  <si>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</si>
  <si>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</si>
  <si>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</si>
  <si>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</si>
  <si>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</si>
  <si>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</si>
  <si>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</si>
  <si>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</si>
  <si>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</si>
  <si>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</si>
  <si>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</si>
  <si>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</si>
  <si>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</si>
  <si>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</si>
  <si>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</si>
  <si>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</si>
  <si>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</si>
  <si>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</si>
  <si>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</si>
  <si>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</si>
  <si>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</si>
  <si>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</si>
  <si>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</si>
  <si>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</si>
  <si>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</si>
  <si>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</si>
  <si>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</si>
  <si>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</si>
  <si>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</si>
  <si>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</si>
  <si>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</si>
  <si>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</si>
  <si>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</si>
  <si>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</si>
  <si>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</si>
  <si>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</si>
  <si>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</si>
  <si>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</si>
  <si>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</si>
  <si>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</si>
  <si>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</si>
  <si>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</si>
  <si>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</si>
  <si>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</si>
  <si>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</si>
  <si>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</si>
  <si>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</si>
  <si>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</si>
  <si>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</si>
  <si>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</si>
  <si>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</si>
  <si>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</si>
  <si>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</si>
  <si>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</si>
  <si>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</si>
  <si>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</si>
  <si>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</si>
  <si>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</si>
  <si>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</si>
  <si>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</si>
  <si>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</si>
  <si>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</si>
  <si>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</si>
  <si>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</si>
  <si>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</si>
  <si>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</si>
  <si>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</si>
  <si>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</si>
  <si>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</si>
  <si>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</si>
  <si>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</si>
  <si>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</si>
  <si>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</si>
  <si>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</si>
  <si>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</si>
  <si>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</si>
  <si>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</si>
  <si>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</si>
  <si>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</si>
  <si>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</si>
  <si>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</si>
  <si>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</si>
  <si>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</si>
  <si>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</si>
  <si>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</si>
  <si>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</si>
  <si>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</si>
  <si>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</si>
  <si>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</si>
  <si>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</si>
  <si>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</si>
  <si>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</si>
  <si>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</si>
  <si>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</si>
  <si>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</si>
  <si>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</si>
  <si>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</si>
  <si>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</si>
  <si>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</si>
  <si>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</si>
  <si>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</si>
  <si>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</si>
  <si>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</si>
  <si>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</si>
  <si>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</si>
  <si>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</si>
  <si>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</si>
  <si>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</si>
  <si>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</si>
  <si>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</si>
  <si>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</si>
  <si>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</si>
  <si>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</si>
  <si>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</si>
  <si>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</si>
  <si>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</si>
  <si>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</si>
  <si>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</si>
  <si>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</si>
  <si>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</si>
  <si>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</si>
  <si>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</si>
  <si>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</si>
  <si>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</si>
  <si>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</si>
  <si>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</si>
  <si>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</si>
  <si>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</si>
  <si>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</si>
  <si>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</si>
  <si>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</si>
  <si>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</si>
  <si>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</si>
  <si>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</si>
  <si>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</si>
  <si>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</si>
  <si>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</si>
  <si>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</si>
  <si>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</si>
  <si>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</si>
  <si>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</si>
  <si>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</si>
  <si>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</si>
  <si>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</si>
  <si>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</si>
  <si>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</si>
  <si>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</si>
  <si>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</si>
  <si>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</si>
  <si>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</si>
  <si>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</si>
  <si>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</si>
  <si>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</si>
  <si>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</si>
  <si>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</si>
  <si>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</si>
  <si>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</si>
  <si>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</si>
  <si>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</si>
  <si>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</si>
  <si>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</si>
  <si>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</si>
  <si>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</si>
  <si>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</si>
  <si>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</si>
  <si>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</si>
  <si>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</si>
  <si>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</si>
  <si>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</si>
  <si>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</si>
  <si>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</si>
  <si>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</si>
  <si>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</si>
  <si>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</si>
  <si>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</si>
  <si>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</si>
  <si>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</si>
  <si>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</si>
  <si>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</si>
  <si>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</si>
  <si>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</si>
  <si>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</si>
  <si>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</si>
  <si>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</si>
  <si>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</si>
  <si>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</si>
  <si>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</si>
  <si>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</si>
  <si>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</si>
  <si>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</si>
  <si>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</si>
  <si>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</si>
  <si>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</si>
  <si>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</si>
  <si>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</si>
  <si>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</si>
  <si>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</si>
  <si>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</si>
  <si>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</si>
  <si>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</si>
  <si>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</si>
  <si>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</si>
  <si>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</si>
  <si>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</si>
  <si>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</si>
  <si>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</si>
  <si>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</si>
  <si>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</si>
  <si>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</si>
  <si>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</si>
  <si>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</si>
  <si>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</si>
  <si>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</si>
  <si>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</si>
  <si>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</si>
  <si>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</si>
  <si>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</si>
  <si>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</si>
  <si>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</si>
  <si>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</si>
  <si>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</si>
  <si>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</si>
  <si>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</si>
  <si>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</si>
  <si>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</si>
  <si>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</si>
  <si>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</si>
  <si>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</si>
  <si>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</si>
  <si>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</si>
  <si>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</si>
  <si>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</si>
  <si>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</si>
  <si>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</si>
  <si>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</si>
  <si>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</si>
  <si>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</si>
  <si>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</si>
  <si>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</si>
  <si>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</si>
  <si>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</si>
  <si>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</si>
  <si>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</si>
  <si>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</si>
  <si>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</si>
  <si>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</si>
  <si>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</si>
  <si>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</si>
  <si>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</si>
  <si>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</si>
  <si>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</si>
  <si>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</si>
  <si>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</si>
  <si>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</si>
  <si>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</si>
  <si>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</si>
  <si>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</si>
  <si>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</si>
  <si>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</si>
  <si>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</si>
  <si>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</si>
  <si>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</si>
  <si>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</si>
  <si>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</si>
  <si>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</si>
  <si>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</si>
  <si>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</si>
  <si>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</si>
  <si>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</si>
  <si>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</si>
  <si>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</si>
  <si>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</si>
  <si>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</si>
  <si>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</si>
  <si>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</si>
  <si>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</si>
  <si>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</si>
  <si>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</si>
  <si>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</si>
  <si>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</si>
  <si>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</si>
  <si>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</si>
  <si>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</si>
  <si>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</si>
  <si>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</si>
  <si>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</si>
  <si>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</si>
  <si>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</si>
  <si>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</si>
  <si>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</si>
  <si>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</si>
  <si>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</si>
  <si>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</si>
  <si>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</si>
  <si>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</si>
  <si>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</si>
  <si>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</si>
  <si>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</si>
  <si>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</si>
  <si>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</si>
  <si>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</si>
  <si>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</si>
  <si>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</si>
  <si>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</si>
  <si>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</si>
  <si>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</si>
  <si>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</si>
  <si>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</si>
  <si>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</si>
  <si>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</si>
  <si>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</si>
  <si>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</si>
  <si>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</si>
  <si>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</si>
  <si>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</si>
  <si>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</si>
  <si>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</si>
  <si>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</si>
  <si>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</si>
  <si>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</si>
  <si>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</si>
  <si>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</si>
  <si>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</si>
  <si>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</si>
  <si>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</si>
  <si>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</si>
  <si>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</si>
  <si>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</si>
  <si>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</si>
  <si>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</si>
  <si>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</si>
  <si>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</si>
  <si>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</si>
  <si>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</si>
  <si>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</si>
  <si>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</si>
  <si>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</si>
  <si>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</si>
  <si>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</si>
  <si>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</si>
  <si>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</si>
  <si>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</si>
  <si>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</si>
  <si>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</si>
  <si>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</si>
  <si>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</si>
  <si>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</si>
  <si>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</si>
  <si>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</si>
  <si>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</si>
  <si>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</si>
  <si>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</si>
  <si>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</si>
  <si>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</si>
  <si>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</si>
  <si>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</si>
  <si>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</si>
  <si>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</si>
  <si>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</si>
  <si>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</si>
  <si>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</si>
  <si>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</si>
  <si>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</si>
  <si>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</si>
  <si>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</si>
  <si>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</si>
  <si>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</si>
  <si>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</si>
  <si>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</si>
  <si>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</si>
  <si>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</si>
  <si>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</si>
  <si>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</si>
  <si>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</si>
  <si>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</si>
  <si>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</si>
  <si>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</si>
  <si>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</si>
  <si>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</si>
  <si>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</si>
  <si>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</si>
  <si>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</si>
  <si>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</si>
  <si>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</si>
  <si>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</si>
  <si>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</si>
  <si>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</si>
  <si>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</si>
  <si>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</si>
  <si>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</si>
  <si>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</si>
  <si>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</si>
  <si>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</si>
  <si>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</si>
  <si>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</si>
  <si>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</si>
  <si>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</si>
  <si>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</si>
  <si>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</si>
  <si>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</si>
  <si>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</si>
  <si>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</si>
  <si>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</si>
  <si>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</si>
  <si>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</si>
  <si>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</si>
  <si>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</si>
  <si>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</si>
  <si>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</si>
  <si>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</si>
  <si>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</si>
  <si>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</si>
  <si>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</si>
  <si>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</si>
  <si>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</si>
  <si>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</si>
  <si>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</si>
  <si>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</si>
  <si>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</si>
  <si>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</si>
  <si>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</si>
  <si>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</si>
  <si>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</si>
  <si>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</si>
  <si>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</si>
  <si>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</si>
  <si>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</si>
  <si>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</si>
  <si>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</si>
  <si>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</si>
  <si>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Corea</t>
  </si>
  <si>
    <t>Total</t>
  </si>
  <si>
    <t>Alexander</t>
  </si>
  <si>
    <t>Aneth</t>
  </si>
  <si>
    <t>Kevin</t>
  </si>
  <si>
    <t>Karina</t>
  </si>
  <si>
    <t>Frida</t>
  </si>
  <si>
    <t>Walder</t>
  </si>
  <si>
    <t>Lizka</t>
  </si>
  <si>
    <t>Marilyn</t>
  </si>
  <si>
    <t>Medica</t>
  </si>
  <si>
    <t>Cynthia</t>
  </si>
  <si>
    <t>Marco R.</t>
  </si>
  <si>
    <t>Luis Peña</t>
  </si>
  <si>
    <t>José de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</si>
</sst>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6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rlito"/>
    </font>
    <font>
      <b/>
      <sz val="12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theme="8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theme="8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4" fillId="3" borderId="0" xfId="0" applyFont="1" applyFill="1"/>
    <xf numFmtId="0" fontId="7" fillId="4" borderId="1" xfId="1" applyFont="1" applyFill="1" applyBorder="1"/>
    <xf numFmtId="0" fontId="8" fillId="5" borderId="2" xfId="1" applyFont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1" fillId="0" borderId="0" xfId="1"/>
    <xf numFmtId="0" fontId="7" fillId="4" borderId="5" xfId="1" applyFont="1" applyFill="1" applyBorder="1"/>
    <xf numFmtId="0" fontId="7" fillId="5" borderId="5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10" fillId="0" borderId="0" xfId="1" applyFont="1"/>
    <xf numFmtId="0" fontId="10" fillId="8" borderId="5" xfId="1" applyFont="1" applyFill="1" applyBorder="1" applyAlignment="1">
      <alignment horizontal="center"/>
    </xf>
    <xf numFmtId="0" fontId="10" fillId="9" borderId="7" xfId="1" applyFont="1" applyFill="1" applyBorder="1" applyAlignment="1">
      <alignment horizontal="center"/>
    </xf>
    <xf numFmtId="0" fontId="11" fillId="9" borderId="7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 vertical="center" wrapText="1"/>
    </xf>
    <xf numFmtId="0" fontId="10" fillId="7" borderId="7" xfId="1" applyFont="1" applyFill="1" applyBorder="1" applyAlignment="1">
      <alignment horizontal="center"/>
    </xf>
    <xf numFmtId="0" fontId="12" fillId="0" borderId="7" xfId="1" applyFont="1" applyBorder="1" applyAlignment="1">
      <alignment horizontal="left"/>
    </xf>
    <xf numFmtId="0" fontId="12" fillId="9" borderId="7" xfId="1" applyFont="1" applyFill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11" borderId="5" xfId="1" applyFont="1" applyFill="1" applyBorder="1" applyAlignment="1">
      <alignment horizontal="center"/>
    </xf>
    <xf numFmtId="0" fontId="12" fillId="10" borderId="5" xfId="1" applyFont="1" applyFill="1" applyBorder="1" applyAlignment="1">
      <alignment horizontal="center"/>
    </xf>
    <xf numFmtId="0" fontId="12" fillId="9" borderId="5" xfId="1" applyFont="1" applyFill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1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7" fillId="13" borderId="3" xfId="1" applyFont="1" applyFill="1" applyBorder="1" applyAlignment="1">
      <alignment horizontal="center"/>
    </xf>
    <xf numFmtId="0" fontId="10" fillId="14" borderId="16" xfId="1" applyFont="1" applyFill="1" applyBorder="1" applyAlignment="1">
      <alignment horizontal="center"/>
    </xf>
    <xf numFmtId="22" fontId="0" fillId="14" borderId="0" xfId="0" applyNumberFormat="1" applyFill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15" fillId="12" borderId="18" xfId="0" applyFont="1" applyFill="1" applyBorder="1" applyAlignment="1">
      <alignment horizontal="center"/>
    </xf>
    <xf numFmtId="0" fontId="15" fillId="12" borderId="19" xfId="0" applyFont="1" applyFill="1" applyBorder="1" applyAlignment="1">
      <alignment horizontal="center"/>
    </xf>
    <xf numFmtId="0" fontId="15" fillId="12" borderId="19" xfId="0" applyFont="1" applyFill="1" applyBorder="1" applyAlignment="1">
      <alignment horizontal="left"/>
    </xf>
    <xf numFmtId="0" fontId="15" fillId="12" borderId="2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7" fillId="4" borderId="21" xfId="1" applyFont="1" applyFill="1" applyBorder="1"/>
    <xf numFmtId="0" fontId="8" fillId="5" borderId="22" xfId="1" applyFont="1" applyFill="1" applyBorder="1" applyAlignment="1">
      <alignment horizontal="center"/>
    </xf>
    <xf numFmtId="0" fontId="7" fillId="4" borderId="25" xfId="1" applyFont="1" applyFill="1" applyBorder="1" applyAlignment="1">
      <alignment horizontal="center"/>
    </xf>
    <xf numFmtId="0" fontId="7" fillId="5" borderId="26" xfId="1" applyFont="1" applyFill="1" applyBorder="1" applyAlignment="1">
      <alignment horizontal="center"/>
    </xf>
    <xf numFmtId="0" fontId="7" fillId="5" borderId="27" xfId="1" applyFont="1" applyFill="1" applyBorder="1" applyAlignment="1">
      <alignment horizontal="center"/>
    </xf>
    <xf numFmtId="0" fontId="10" fillId="9" borderId="28" xfId="1" applyFont="1" applyFill="1" applyBorder="1" applyAlignment="1">
      <alignment horizontal="center"/>
    </xf>
    <xf numFmtId="0" fontId="10" fillId="9" borderId="29" xfId="1" applyFont="1" applyFill="1" applyBorder="1" applyAlignment="1">
      <alignment horizontal="center"/>
    </xf>
    <xf numFmtId="0" fontId="10" fillId="9" borderId="30" xfId="1" applyFont="1" applyFill="1" applyBorder="1" applyAlignment="1">
      <alignment horizontal="center"/>
    </xf>
    <xf numFmtId="0" fontId="10" fillId="9" borderId="31" xfId="1" applyFont="1" applyFill="1" applyBorder="1" applyAlignment="1">
      <alignment horizontal="center"/>
    </xf>
    <xf numFmtId="0" fontId="10" fillId="9" borderId="32" xfId="1" applyFont="1" applyFill="1" applyBorder="1" applyAlignment="1">
      <alignment horizontal="center"/>
    </xf>
    <xf numFmtId="0" fontId="8" fillId="5" borderId="23" xfId="1" applyFont="1" applyFill="1" applyBorder="1" applyAlignment="1">
      <alignment horizontal="center"/>
    </xf>
    <xf numFmtId="0" fontId="7" fillId="4" borderId="26" xfId="1" applyFont="1" applyFill="1" applyBorder="1"/>
    <xf numFmtId="0" fontId="7" fillId="4" borderId="27" xfId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7" xfId="0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 applyAlignment="1"/>
    <xf numFmtId="0" fontId="8" fillId="5" borderId="23" xfId="1" applyFont="1" applyFill="1" applyBorder="1" applyAlignment="1">
      <alignment horizontal="center"/>
    </xf>
    <xf numFmtId="0" fontId="8" fillId="5" borderId="24" xfId="1" applyFont="1" applyFill="1" applyBorder="1" applyAlignment="1">
      <alignment horizontal="center"/>
    </xf>
    <xf numFmtId="0" fontId="8" fillId="5" borderId="2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caballero/Desktop/index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ntes"/>
      <sheetName val="Posiciones"/>
      <sheetName val="Octavos"/>
      <sheetName val="Cuartos"/>
      <sheetName val="Semis"/>
      <sheetName val="TercerCuarto"/>
      <sheetName val="Final"/>
      <sheetName val="Mcuartos"/>
      <sheetName val="Msemis"/>
      <sheetName val="MTercero"/>
      <sheetName val="MFinal"/>
      <sheetName val="Marcad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G4" t="str">
            <v>2</v>
          </cell>
          <cell r="H4" t="str">
            <v>1</v>
          </cell>
          <cell r="I4" t="str">
            <v>1</v>
          </cell>
          <cell r="J4" t="str">
            <v>2</v>
          </cell>
          <cell r="K4">
            <v>3</v>
          </cell>
          <cell r="L4">
            <v>2</v>
          </cell>
          <cell r="M4">
            <v>3</v>
          </cell>
          <cell r="N4">
            <v>1</v>
          </cell>
          <cell r="O4">
            <v>2</v>
          </cell>
          <cell r="P4">
            <v>1</v>
          </cell>
          <cell r="Q4">
            <v>2</v>
          </cell>
          <cell r="R4">
            <v>1</v>
          </cell>
        </row>
        <row r="5">
          <cell r="G5" t="str">
            <v>2</v>
          </cell>
          <cell r="H5" t="str">
            <v>1</v>
          </cell>
          <cell r="I5" t="str">
            <v>3</v>
          </cell>
          <cell r="J5" t="str">
            <v>1</v>
          </cell>
          <cell r="K5">
            <v>4</v>
          </cell>
          <cell r="L5">
            <v>0</v>
          </cell>
          <cell r="M5">
            <v>3</v>
          </cell>
          <cell r="N5">
            <v>1</v>
          </cell>
          <cell r="O5">
            <v>2</v>
          </cell>
          <cell r="P5">
            <v>1</v>
          </cell>
          <cell r="Q5">
            <v>2</v>
          </cell>
          <cell r="R5">
            <v>1</v>
          </cell>
        </row>
        <row r="6">
          <cell r="G6" t="str">
            <v>0.</v>
          </cell>
          <cell r="H6" t="str">
            <v>0</v>
          </cell>
          <cell r="I6" t="str">
            <v>2</v>
          </cell>
          <cell r="J6" t="str">
            <v>1</v>
          </cell>
          <cell r="K6">
            <v>2</v>
          </cell>
          <cell r="L6">
            <v>0</v>
          </cell>
          <cell r="M6">
            <v>2</v>
          </cell>
          <cell r="N6">
            <v>1</v>
          </cell>
          <cell r="O6">
            <v>1</v>
          </cell>
          <cell r="P6">
            <v>1</v>
          </cell>
          <cell r="Q6">
            <v>2</v>
          </cell>
          <cell r="R6">
            <v>1</v>
          </cell>
        </row>
        <row r="7">
          <cell r="G7" t="str">
            <v>2</v>
          </cell>
          <cell r="H7" t="str">
            <v>1</v>
          </cell>
          <cell r="I7" t="str">
            <v>2</v>
          </cell>
          <cell r="J7" t="str">
            <v>1</v>
          </cell>
          <cell r="K7">
            <v>2</v>
          </cell>
          <cell r="L7">
            <v>1</v>
          </cell>
          <cell r="M7">
            <v>2</v>
          </cell>
          <cell r="N7">
            <v>0</v>
          </cell>
          <cell r="O7">
            <v>0</v>
          </cell>
          <cell r="P7">
            <v>1</v>
          </cell>
          <cell r="Q7">
            <v>3</v>
          </cell>
          <cell r="R7">
            <v>2</v>
          </cell>
        </row>
        <row r="8">
          <cell r="G8" t="str">
            <v>1</v>
          </cell>
          <cell r="H8" t="str">
            <v>0</v>
          </cell>
          <cell r="I8" t="str">
            <v>2</v>
          </cell>
          <cell r="J8" t="str">
            <v>1</v>
          </cell>
          <cell r="K8">
            <v>2</v>
          </cell>
          <cell r="L8">
            <v>1</v>
          </cell>
          <cell r="M8">
            <v>1</v>
          </cell>
          <cell r="N8">
            <v>2</v>
          </cell>
          <cell r="O8">
            <v>0</v>
          </cell>
          <cell r="P8">
            <v>1</v>
          </cell>
          <cell r="Q8">
            <v>2</v>
          </cell>
          <cell r="R8">
            <v>1</v>
          </cell>
        </row>
        <row r="9">
          <cell r="G9" t="str">
            <v>2</v>
          </cell>
          <cell r="H9" t="str">
            <v>1</v>
          </cell>
          <cell r="I9" t="str">
            <v>1</v>
          </cell>
          <cell r="J9" t="str">
            <v>2</v>
          </cell>
          <cell r="K9">
            <v>2</v>
          </cell>
          <cell r="L9">
            <v>1</v>
          </cell>
          <cell r="M9">
            <v>2</v>
          </cell>
          <cell r="N9">
            <v>1</v>
          </cell>
          <cell r="O9">
            <v>2</v>
          </cell>
          <cell r="P9">
            <v>1</v>
          </cell>
          <cell r="Q9">
            <v>1</v>
          </cell>
          <cell r="R9">
            <v>2</v>
          </cell>
        </row>
        <row r="10">
          <cell r="G10" t="str">
            <v>2</v>
          </cell>
          <cell r="H10" t="str">
            <v>2</v>
          </cell>
          <cell r="I10" t="str">
            <v>2</v>
          </cell>
          <cell r="J10" t="str">
            <v>1</v>
          </cell>
          <cell r="K10">
            <v>2</v>
          </cell>
          <cell r="L10">
            <v>1</v>
          </cell>
          <cell r="M10">
            <v>2</v>
          </cell>
          <cell r="N10">
            <v>1</v>
          </cell>
          <cell r="O10">
            <v>1</v>
          </cell>
          <cell r="P10">
            <v>2</v>
          </cell>
          <cell r="Q10">
            <v>2</v>
          </cell>
          <cell r="R10">
            <v>1</v>
          </cell>
        </row>
        <row r="11">
          <cell r="G11" t="str">
            <v>1</v>
          </cell>
          <cell r="H11" t="str">
            <v>2</v>
          </cell>
          <cell r="I11" t="str">
            <v>4</v>
          </cell>
          <cell r="J11" t="str">
            <v>1</v>
          </cell>
          <cell r="K11">
            <v>4</v>
          </cell>
          <cell r="L11">
            <v>0</v>
          </cell>
          <cell r="M11">
            <v>3</v>
          </cell>
          <cell r="N11">
            <v>1</v>
          </cell>
          <cell r="O11">
            <v>2</v>
          </cell>
          <cell r="P11">
            <v>1</v>
          </cell>
          <cell r="Q11">
            <v>1</v>
          </cell>
          <cell r="R11">
            <v>1</v>
          </cell>
        </row>
        <row r="12">
          <cell r="G12" t="str">
            <v>1</v>
          </cell>
          <cell r="H12" t="str">
            <v>2</v>
          </cell>
          <cell r="I12" t="str">
            <v>4</v>
          </cell>
          <cell r="J12" t="str">
            <v>1</v>
          </cell>
          <cell r="K12">
            <v>4</v>
          </cell>
          <cell r="L12">
            <v>0</v>
          </cell>
          <cell r="M12">
            <v>3</v>
          </cell>
          <cell r="N12">
            <v>1</v>
          </cell>
          <cell r="O12">
            <v>2</v>
          </cell>
          <cell r="P12">
            <v>2</v>
          </cell>
          <cell r="Q12">
            <v>1</v>
          </cell>
          <cell r="R12">
            <v>2</v>
          </cell>
        </row>
        <row r="13">
          <cell r="G13" t="str">
            <v>0</v>
          </cell>
          <cell r="H13" t="str">
            <v>2</v>
          </cell>
          <cell r="I13" t="str">
            <v>3</v>
          </cell>
          <cell r="J13" t="str">
            <v>1</v>
          </cell>
          <cell r="K13">
            <v>3</v>
          </cell>
          <cell r="L13">
            <v>1</v>
          </cell>
          <cell r="M13">
            <v>2</v>
          </cell>
          <cell r="N13">
            <v>1</v>
          </cell>
          <cell r="O13">
            <v>1</v>
          </cell>
          <cell r="P13">
            <v>2</v>
          </cell>
          <cell r="Q13">
            <v>1</v>
          </cell>
          <cell r="R13">
            <v>0</v>
          </cell>
        </row>
        <row r="14">
          <cell r="G14" t="str">
            <v>2</v>
          </cell>
          <cell r="H14" t="str">
            <v>1</v>
          </cell>
          <cell r="I14" t="str">
            <v>3</v>
          </cell>
          <cell r="J14" t="str">
            <v>0</v>
          </cell>
          <cell r="K14">
            <v>2</v>
          </cell>
          <cell r="L14">
            <v>3</v>
          </cell>
          <cell r="M14">
            <v>3</v>
          </cell>
          <cell r="N14">
            <v>2</v>
          </cell>
          <cell r="O14">
            <v>2</v>
          </cell>
          <cell r="P14">
            <v>1</v>
          </cell>
          <cell r="Q14">
            <v>0</v>
          </cell>
          <cell r="R14">
            <v>1</v>
          </cell>
        </row>
        <row r="15">
          <cell r="G15" t="str">
            <v>1</v>
          </cell>
          <cell r="H15" t="str">
            <v>0</v>
          </cell>
          <cell r="I15" t="str">
            <v>2</v>
          </cell>
          <cell r="J15" t="str">
            <v>1</v>
          </cell>
          <cell r="K15">
            <v>3</v>
          </cell>
          <cell r="L15">
            <v>0</v>
          </cell>
          <cell r="M15">
            <v>2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0</v>
          </cell>
        </row>
        <row r="16">
          <cell r="G16" t="str">
            <v>1</v>
          </cell>
          <cell r="H16" t="str">
            <v>2</v>
          </cell>
          <cell r="I16" t="str">
            <v>3</v>
          </cell>
          <cell r="J16" t="str">
            <v>1</v>
          </cell>
          <cell r="K16">
            <v>3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0</v>
          </cell>
          <cell r="R16">
            <v>1</v>
          </cell>
        </row>
        <row r="17">
          <cell r="G17" t="str">
            <v>1</v>
          </cell>
          <cell r="H17" t="str">
            <v>3</v>
          </cell>
          <cell r="I17" t="str">
            <v>2</v>
          </cell>
          <cell r="J17" t="str">
            <v>0</v>
          </cell>
          <cell r="K17">
            <v>4</v>
          </cell>
          <cell r="L17">
            <v>1</v>
          </cell>
          <cell r="M17">
            <v>2</v>
          </cell>
          <cell r="N17">
            <v>1</v>
          </cell>
          <cell r="O17">
            <v>3</v>
          </cell>
          <cell r="P17">
            <v>1</v>
          </cell>
          <cell r="Q17">
            <v>2</v>
          </cell>
          <cell r="R17">
            <v>3</v>
          </cell>
        </row>
        <row r="18">
          <cell r="G18" t="str">
            <v>2</v>
          </cell>
          <cell r="H18" t="str">
            <v>1</v>
          </cell>
          <cell r="I18" t="str">
            <v>3</v>
          </cell>
          <cell r="J18" t="str">
            <v>2</v>
          </cell>
          <cell r="K18">
            <v>2</v>
          </cell>
          <cell r="L18">
            <v>0</v>
          </cell>
          <cell r="M18">
            <v>3</v>
          </cell>
          <cell r="N18">
            <v>1</v>
          </cell>
          <cell r="O18">
            <v>3</v>
          </cell>
          <cell r="P18">
            <v>2</v>
          </cell>
          <cell r="Q18">
            <v>2</v>
          </cell>
          <cell r="R18">
            <v>3</v>
          </cell>
        </row>
        <row r="19">
          <cell r="G19" t="str">
            <v>2</v>
          </cell>
          <cell r="H19" t="str">
            <v>1</v>
          </cell>
          <cell r="I19" t="str">
            <v>3</v>
          </cell>
          <cell r="J19" t="str">
            <v>0</v>
          </cell>
          <cell r="K19">
            <v>2</v>
          </cell>
          <cell r="L19">
            <v>2</v>
          </cell>
          <cell r="M19">
            <v>2</v>
          </cell>
          <cell r="N19">
            <v>1</v>
          </cell>
          <cell r="O19">
            <v>1</v>
          </cell>
          <cell r="P19">
            <v>2</v>
          </cell>
          <cell r="Q19">
            <v>3</v>
          </cell>
          <cell r="R19">
            <v>1</v>
          </cell>
        </row>
        <row r="20">
          <cell r="G20" t="str">
            <v>2</v>
          </cell>
          <cell r="H20" t="str">
            <v>1</v>
          </cell>
          <cell r="I20" t="str">
            <v>3</v>
          </cell>
          <cell r="J20" t="str">
            <v>1</v>
          </cell>
          <cell r="K20">
            <v>2</v>
          </cell>
          <cell r="L20">
            <v>1</v>
          </cell>
          <cell r="M20">
            <v>3</v>
          </cell>
          <cell r="N20">
            <v>1</v>
          </cell>
          <cell r="O20">
            <v>1</v>
          </cell>
          <cell r="P20">
            <v>3</v>
          </cell>
          <cell r="Q20">
            <v>1</v>
          </cell>
          <cell r="R20">
            <v>2</v>
          </cell>
        </row>
        <row r="21">
          <cell r="G21" t="str">
            <v>0</v>
          </cell>
          <cell r="H21" t="str">
            <v>1</v>
          </cell>
          <cell r="I21" t="str">
            <v>2</v>
          </cell>
          <cell r="J21" t="str">
            <v>0</v>
          </cell>
          <cell r="K21">
            <v>2</v>
          </cell>
          <cell r="L21">
            <v>0</v>
          </cell>
          <cell r="M21">
            <v>3</v>
          </cell>
          <cell r="N21">
            <v>1</v>
          </cell>
          <cell r="O21">
            <v>0</v>
          </cell>
          <cell r="P21">
            <v>2</v>
          </cell>
          <cell r="Q21">
            <v>2</v>
          </cell>
          <cell r="R21">
            <v>0</v>
          </cell>
        </row>
        <row r="22">
          <cell r="G22" t="str">
            <v>2</v>
          </cell>
          <cell r="H22" t="str">
            <v>1</v>
          </cell>
          <cell r="I22" t="str">
            <v>2</v>
          </cell>
          <cell r="J22" t="str">
            <v>0</v>
          </cell>
          <cell r="K22">
            <v>3</v>
          </cell>
          <cell r="L22">
            <v>0</v>
          </cell>
          <cell r="M22">
            <v>4</v>
          </cell>
          <cell r="N22">
            <v>1</v>
          </cell>
          <cell r="O22">
            <v>2</v>
          </cell>
          <cell r="P22">
            <v>2</v>
          </cell>
          <cell r="Q22">
            <v>1</v>
          </cell>
          <cell r="R22">
            <v>1</v>
          </cell>
        </row>
        <row r="23">
          <cell r="G23" t="str">
            <v>1</v>
          </cell>
          <cell r="H23" t="str">
            <v>0</v>
          </cell>
          <cell r="I23" t="str">
            <v>2</v>
          </cell>
          <cell r="J23" t="str">
            <v>0</v>
          </cell>
          <cell r="K23">
            <v>2</v>
          </cell>
          <cell r="L23">
            <v>1</v>
          </cell>
          <cell r="M23">
            <v>1</v>
          </cell>
          <cell r="N23">
            <v>0</v>
          </cell>
          <cell r="O23">
            <v>0</v>
          </cell>
          <cell r="P23">
            <v>2</v>
          </cell>
          <cell r="Q23">
            <v>1</v>
          </cell>
          <cell r="R23">
            <v>0</v>
          </cell>
        </row>
        <row r="24">
          <cell r="G24" t="str">
            <v>2</v>
          </cell>
          <cell r="H24" t="str">
            <v>3</v>
          </cell>
          <cell r="I24" t="str">
            <v>4</v>
          </cell>
          <cell r="J24" t="str">
            <v>1</v>
          </cell>
          <cell r="K24">
            <v>3</v>
          </cell>
          <cell r="L24">
            <v>2</v>
          </cell>
          <cell r="M24">
            <v>4</v>
          </cell>
          <cell r="N24">
            <v>3</v>
          </cell>
          <cell r="O24">
            <v>2</v>
          </cell>
          <cell r="P24">
            <v>4</v>
          </cell>
          <cell r="Q24">
            <v>3</v>
          </cell>
          <cell r="R24">
            <v>1</v>
          </cell>
        </row>
        <row r="25">
          <cell r="G25" t="str">
            <v>2</v>
          </cell>
          <cell r="H25" t="str">
            <v>2</v>
          </cell>
          <cell r="I25" t="str">
            <v>4</v>
          </cell>
          <cell r="J25" t="str">
            <v>0</v>
          </cell>
          <cell r="K25">
            <v>3</v>
          </cell>
          <cell r="L25">
            <v>2</v>
          </cell>
          <cell r="M25">
            <v>2</v>
          </cell>
          <cell r="N25">
            <v>0</v>
          </cell>
          <cell r="O25">
            <v>2</v>
          </cell>
          <cell r="P25">
            <v>2</v>
          </cell>
          <cell r="Q25">
            <v>2</v>
          </cell>
          <cell r="R25">
            <v>1</v>
          </cell>
        </row>
        <row r="26">
          <cell r="G26" t="str">
            <v>2</v>
          </cell>
          <cell r="H26" t="str">
            <v>1</v>
          </cell>
          <cell r="I26" t="str">
            <v>3</v>
          </cell>
          <cell r="J26" t="str">
            <v>1</v>
          </cell>
          <cell r="K26">
            <v>3</v>
          </cell>
          <cell r="L26">
            <v>0</v>
          </cell>
          <cell r="M26">
            <v>3</v>
          </cell>
          <cell r="N26">
            <v>1</v>
          </cell>
          <cell r="O26">
            <v>2</v>
          </cell>
          <cell r="P26">
            <v>3</v>
          </cell>
          <cell r="Q26">
            <v>2</v>
          </cell>
          <cell r="R26">
            <v>1</v>
          </cell>
        </row>
        <row r="27">
          <cell r="G27" t="str">
            <v>0</v>
          </cell>
          <cell r="H27" t="str">
            <v>2</v>
          </cell>
          <cell r="I27" t="str">
            <v>3</v>
          </cell>
          <cell r="J27" t="str">
            <v>0</v>
          </cell>
          <cell r="K27">
            <v>4</v>
          </cell>
          <cell r="L27">
            <v>1</v>
          </cell>
          <cell r="M27">
            <v>4</v>
          </cell>
          <cell r="N27">
            <v>2</v>
          </cell>
          <cell r="O27">
            <v>1</v>
          </cell>
          <cell r="P27">
            <v>2</v>
          </cell>
          <cell r="Q27">
            <v>1</v>
          </cell>
          <cell r="R27">
            <v>0</v>
          </cell>
        </row>
        <row r="28">
          <cell r="G28" t="str">
            <v>0</v>
          </cell>
          <cell r="H28" t="str">
            <v>2</v>
          </cell>
          <cell r="I28" t="str">
            <v>2</v>
          </cell>
          <cell r="J28" t="str">
            <v>1</v>
          </cell>
          <cell r="K28">
            <v>3</v>
          </cell>
          <cell r="L28">
            <v>0</v>
          </cell>
          <cell r="M28">
            <v>3</v>
          </cell>
          <cell r="N28">
            <v>1</v>
          </cell>
          <cell r="O28">
            <v>2</v>
          </cell>
          <cell r="P28">
            <v>3</v>
          </cell>
          <cell r="Q28">
            <v>2</v>
          </cell>
          <cell r="R28">
            <v>0</v>
          </cell>
        </row>
        <row r="29">
          <cell r="G29" t="str">
            <v>0</v>
          </cell>
          <cell r="H29" t="str">
            <v>2</v>
          </cell>
          <cell r="I29" t="str">
            <v>3</v>
          </cell>
          <cell r="J29" t="str">
            <v>1</v>
          </cell>
          <cell r="K29">
            <v>2</v>
          </cell>
          <cell r="L29">
            <v>1</v>
          </cell>
          <cell r="M29">
            <v>1</v>
          </cell>
          <cell r="N29">
            <v>2</v>
          </cell>
          <cell r="O29">
            <v>1</v>
          </cell>
          <cell r="P29">
            <v>2</v>
          </cell>
          <cell r="Q29">
            <v>1</v>
          </cell>
          <cell r="R29">
            <v>3</v>
          </cell>
        </row>
        <row r="30">
          <cell r="G30" t="str">
            <v>2</v>
          </cell>
          <cell r="H30" t="str">
            <v>1</v>
          </cell>
          <cell r="I30" t="str">
            <v>2</v>
          </cell>
          <cell r="J30" t="str">
            <v>0</v>
          </cell>
          <cell r="K30">
            <v>2</v>
          </cell>
          <cell r="L30">
            <v>1</v>
          </cell>
          <cell r="M30">
            <v>2</v>
          </cell>
          <cell r="O30">
            <v>0</v>
          </cell>
          <cell r="P30">
            <v>2</v>
          </cell>
          <cell r="Q30">
            <v>2</v>
          </cell>
          <cell r="R30">
            <v>1</v>
          </cell>
        </row>
        <row r="31">
          <cell r="G31" t="str">
            <v>0</v>
          </cell>
          <cell r="H31" t="str">
            <v>1</v>
          </cell>
          <cell r="I31" t="str">
            <v>2</v>
          </cell>
          <cell r="J31" t="str">
            <v>1</v>
          </cell>
          <cell r="K31">
            <v>2</v>
          </cell>
          <cell r="L31">
            <v>0</v>
          </cell>
          <cell r="M31">
            <v>3</v>
          </cell>
          <cell r="N31">
            <v>1</v>
          </cell>
          <cell r="O31">
            <v>2</v>
          </cell>
          <cell r="P31">
            <v>1</v>
          </cell>
          <cell r="Q31">
            <v>2</v>
          </cell>
          <cell r="R31">
            <v>0</v>
          </cell>
        </row>
        <row r="32">
          <cell r="G32" t="str">
            <v>1</v>
          </cell>
          <cell r="H32" t="str">
            <v>1</v>
          </cell>
          <cell r="I32" t="str">
            <v>2</v>
          </cell>
          <cell r="J32" t="str">
            <v>0</v>
          </cell>
          <cell r="K32">
            <v>2</v>
          </cell>
          <cell r="L32">
            <v>0</v>
          </cell>
          <cell r="M32">
            <v>2</v>
          </cell>
          <cell r="N32">
            <v>0</v>
          </cell>
          <cell r="O32">
            <v>1</v>
          </cell>
          <cell r="P32">
            <v>0</v>
          </cell>
          <cell r="Q32">
            <v>0</v>
          </cell>
          <cell r="R32">
            <v>0</v>
          </cell>
        </row>
        <row r="33">
          <cell r="G33" t="str">
            <v>2</v>
          </cell>
          <cell r="H33" t="str">
            <v>1</v>
          </cell>
          <cell r="I33" t="str">
            <v>2</v>
          </cell>
          <cell r="J33" t="str">
            <v>0</v>
          </cell>
          <cell r="K33">
            <v>2</v>
          </cell>
          <cell r="L33">
            <v>0</v>
          </cell>
          <cell r="M33">
            <v>2</v>
          </cell>
          <cell r="N33">
            <v>1</v>
          </cell>
          <cell r="O33">
            <v>1</v>
          </cell>
          <cell r="P33">
            <v>1</v>
          </cell>
          <cell r="Q33">
            <v>2</v>
          </cell>
          <cell r="R33">
            <v>0</v>
          </cell>
        </row>
        <row r="34">
          <cell r="G34" t="str">
            <v>3</v>
          </cell>
          <cell r="H34" t="str">
            <v>1</v>
          </cell>
          <cell r="I34" t="str">
            <v>3</v>
          </cell>
          <cell r="J34" t="str">
            <v>0</v>
          </cell>
          <cell r="K34">
            <v>2</v>
          </cell>
          <cell r="L34">
            <v>0</v>
          </cell>
          <cell r="M34">
            <v>2</v>
          </cell>
          <cell r="N34">
            <v>1</v>
          </cell>
          <cell r="O34">
            <v>0</v>
          </cell>
          <cell r="P34">
            <v>2</v>
          </cell>
          <cell r="Q34">
            <v>3</v>
          </cell>
          <cell r="R34">
            <v>2</v>
          </cell>
        </row>
        <row r="35">
          <cell r="G35" t="str">
            <v>3</v>
          </cell>
          <cell r="H35" t="str">
            <v>1</v>
          </cell>
          <cell r="I35" t="str">
            <v>3</v>
          </cell>
          <cell r="J35" t="str">
            <v>0</v>
          </cell>
          <cell r="K35">
            <v>2</v>
          </cell>
          <cell r="L35">
            <v>0</v>
          </cell>
          <cell r="M35">
            <v>2</v>
          </cell>
          <cell r="N35">
            <v>1</v>
          </cell>
          <cell r="O35">
            <v>0</v>
          </cell>
          <cell r="P35">
            <v>2</v>
          </cell>
          <cell r="Q35">
            <v>3</v>
          </cell>
          <cell r="R35">
            <v>2</v>
          </cell>
        </row>
        <row r="36">
          <cell r="G36" t="str">
            <v>2</v>
          </cell>
          <cell r="H36" t="str">
            <v>1</v>
          </cell>
          <cell r="I36"/>
          <cell r="J36"/>
          <cell r="K36">
            <v>3</v>
          </cell>
          <cell r="L36">
            <v>1</v>
          </cell>
          <cell r="M36">
            <v>1</v>
          </cell>
          <cell r="N36">
            <v>2</v>
          </cell>
          <cell r="O36">
            <v>2</v>
          </cell>
          <cell r="P36">
            <v>2</v>
          </cell>
        </row>
        <row r="37">
          <cell r="G37" t="str">
            <v>2</v>
          </cell>
          <cell r="H37" t="str">
            <v>2</v>
          </cell>
          <cell r="I37"/>
          <cell r="J37"/>
          <cell r="K37">
            <v>3</v>
          </cell>
          <cell r="L37">
            <v>0</v>
          </cell>
          <cell r="M37">
            <v>2</v>
          </cell>
          <cell r="N37">
            <v>2</v>
          </cell>
          <cell r="O37">
            <v>1</v>
          </cell>
          <cell r="P37">
            <v>2</v>
          </cell>
        </row>
        <row r="38">
          <cell r="G38"/>
          <cell r="H38"/>
          <cell r="I38"/>
          <cell r="J38"/>
          <cell r="K38">
            <v>3</v>
          </cell>
          <cell r="L38">
            <v>1</v>
          </cell>
          <cell r="M38">
            <v>2</v>
          </cell>
          <cell r="N38">
            <v>2</v>
          </cell>
        </row>
        <row r="39">
          <cell r="G39"/>
          <cell r="H39"/>
          <cell r="I39"/>
          <cell r="J39"/>
          <cell r="K39">
            <v>2</v>
          </cell>
          <cell r="L39">
            <v>0</v>
          </cell>
          <cell r="M39">
            <v>3</v>
          </cell>
          <cell r="N39">
            <v>1</v>
          </cell>
        </row>
        <row r="40">
          <cell r="G40" t="str">
            <v>0</v>
          </cell>
          <cell r="H40" t="str">
            <v>1</v>
          </cell>
          <cell r="I40" t="str">
            <v>0</v>
          </cell>
          <cell r="J40" t="str">
            <v>0</v>
          </cell>
          <cell r="K40">
            <v>2</v>
          </cell>
          <cell r="L40">
            <v>0</v>
          </cell>
          <cell r="M40">
            <v>1</v>
          </cell>
          <cell r="N40">
            <v>0</v>
          </cell>
          <cell r="O40">
            <v>0</v>
          </cell>
          <cell r="P40">
            <v>1</v>
          </cell>
          <cell r="Q40">
            <v>2</v>
          </cell>
          <cell r="R40">
            <v>0</v>
          </cell>
        </row>
        <row r="41">
          <cell r="G41"/>
          <cell r="H41"/>
          <cell r="I41"/>
          <cell r="J41"/>
        </row>
      </sheetData>
    </sheetDataSet>
  </externalBook>
</externalLink>
</file>

<file path=xl/tables/table1.xml><?xml version="1.0" encoding="utf-8"?>
<table xmlns="http://schemas.openxmlformats.org/spreadsheetml/2006/main" id="1" name="tblEquipos" displayName="tblEquipos" ref="A1:D49">
  <tableColumns count="4">
    <tableColumn id="1" name="Grupo"/>
    <tableColumn id="2" name="Posición"/>
    <tableColumn id="3" name="Código"/>
    <tableColumn id="4" name="Equ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tidos" displayName="tblPartidos" ref="A1:P105">
  <tableColumns count="16">
    <tableColumn id="1" name="N°"/>
    <tableColumn id="2" name="Fecha"/>
    <tableColumn id="3" name="Hora ET"/>
    <tableColumn id="4" name="Fase"/>
    <tableColumn id="5" name="Grupo"/>
    <tableColumn id="6" name="Local"/>
    <tableColumn id="7" name="Visitante"/>
    <tableColumn id="8" name="Goles Local"/>
    <tableColumn id="9" name="Goles Visitante"/>
    <tableColumn id="10" name="Ganador/Clasifica"/>
    <tableColumn id="11" name="Sede"/>
    <tableColumn id="12" name="Local código"/>
    <tableColumn id="13" name="Visitante código"/>
    <tableColumn id="14" name="Local posición"/>
    <tableColumn id="15" name="Visitante posición"/>
    <tableColumn id="16" name="Fuente/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lasificacion" displayName="tblClasificacion" ref="A1:N49">
  <tableColumns count="14">
    <tableColumn id="1" name="Grupo"/>
    <tableColumn id="2" name="Código"/>
    <tableColumn id="3" name="Equipo"/>
    <tableColumn id="4" name="PJ"/>
    <tableColumn id="5" name="PG"/>
    <tableColumn id="6" name="PE"/>
    <tableColumn id="7" name="PP"/>
    <tableColumn id="8" name="GF"/>
    <tableColumn id="9" name="GC"/>
    <tableColumn id="10" name="DG"/>
    <tableColumn id="11" name="PTS"/>
    <tableColumn id="12" name="Desempate manual"/>
    <tableColumn id="13" name="Posición calculada"/>
    <tableColumn id="14" name="Clasif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Terceros" displayName="tblTerceros" ref="A1:I13">
  <tableColumns count="9">
    <tableColumn id="1" name="Grupo"/>
    <tableColumn id="2" name="Código"/>
    <tableColumn id="3" name="Equipo"/>
    <tableColumn id="4" name="PTS"/>
    <tableColumn id="5" name="DG"/>
    <tableColumn id="6" name="GF"/>
    <tableColumn id="7" name="Desempate manual"/>
    <tableColumn id="8" name="Ranking tercero"/>
    <tableColumn id="9" name="Clasifica entre mejores 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laves" displayName="tblLlaves" ref="A1:H33">
  <tableColumns count="8">
    <tableColumn id="1" name="N°"/>
    <tableColumn id="2" name="Fecha"/>
    <tableColumn id="3" name="Hora ET"/>
    <tableColumn id="4" name="Fase"/>
    <tableColumn id="5" name="Equipo/Slot 1"/>
    <tableColumn id="6" name="Equipo/Slot 2"/>
    <tableColumn id="7" name="Sede"/>
    <tableColumn id="8" name="Ga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sqref="A1:H1"/>
    </sheetView>
  </sheetViews>
  <sheetFormatPr baseColWidth="10" defaultColWidth="9" defaultRowHeight="14.25"/>
  <cols>
    <col min="1" max="1" width="14" customWidth="1"/>
    <col min="2" max="2" width="70" customWidth="1"/>
    <col min="3" max="8" width="12" customWidth="1"/>
  </cols>
  <sheetData>
    <row r="1" spans="1:8" ht="24" customHeight="1">
      <c r="A1" s="74" t="s">
        <v>0</v>
      </c>
      <c r="B1" s="75"/>
      <c r="C1" s="75"/>
      <c r="D1" s="75"/>
      <c r="E1" s="75"/>
      <c r="F1" s="75"/>
      <c r="G1" s="75"/>
      <c r="H1" s="75"/>
    </row>
    <row r="3" spans="1:8" ht="15">
      <c r="A3" s="1" t="s">
        <v>1</v>
      </c>
    </row>
    <row r="4" spans="1:8">
      <c r="A4" t="s">
        <v>2</v>
      </c>
      <c r="B4" t="s">
        <v>3</v>
      </c>
    </row>
    <row r="5" spans="1:8">
      <c r="A5" t="s">
        <v>4</v>
      </c>
      <c r="B5" t="s">
        <v>5</v>
      </c>
    </row>
    <row r="6" spans="1:8">
      <c r="A6" t="s">
        <v>6</v>
      </c>
      <c r="B6" t="s">
        <v>7</v>
      </c>
    </row>
    <row r="7" spans="1:8">
      <c r="A7" t="s">
        <v>8</v>
      </c>
      <c r="B7" t="s">
        <v>9</v>
      </c>
    </row>
    <row r="8" spans="1:8">
      <c r="A8" t="s">
        <v>10</v>
      </c>
      <c r="B8" t="s">
        <v>11</v>
      </c>
    </row>
    <row r="9" spans="1:8">
      <c r="A9" t="s">
        <v>12</v>
      </c>
      <c r="B9" t="s">
        <v>13</v>
      </c>
    </row>
    <row r="11" spans="1:8" ht="15">
      <c r="A11" s="1" t="s">
        <v>14</v>
      </c>
    </row>
    <row r="12" spans="1:8">
      <c r="A12" t="s">
        <v>15</v>
      </c>
      <c r="B12" t="s">
        <v>16</v>
      </c>
    </row>
    <row r="13" spans="1:8">
      <c r="A13" t="s">
        <v>17</v>
      </c>
      <c r="B13" t="s">
        <v>18</v>
      </c>
    </row>
    <row r="14" spans="1:8">
      <c r="A14" t="s">
        <v>19</v>
      </c>
      <c r="B14" t="s">
        <v>20</v>
      </c>
    </row>
    <row r="15" spans="1:8">
      <c r="A15" t="s">
        <v>21</v>
      </c>
      <c r="B15" t="s">
        <v>22</v>
      </c>
    </row>
    <row r="16" spans="1:8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workbookViewId="0"/>
  </sheetViews>
  <sheetFormatPr baseColWidth="10" defaultColWidth="9" defaultRowHeight="14.25"/>
  <cols>
    <col min="1" max="1" width="10" customWidth="1"/>
    <col min="2" max="2" width="12" customWidth="1"/>
    <col min="3" max="3" width="10" customWidth="1"/>
    <col min="4" max="4" width="26" customWidth="1"/>
  </cols>
  <sheetData>
    <row r="1" spans="1:26" ht="24" customHeight="1">
      <c r="A1" s="31" t="s">
        <v>29</v>
      </c>
      <c r="B1" s="31" t="s">
        <v>30</v>
      </c>
      <c r="C1" s="31" t="s">
        <v>31</v>
      </c>
      <c r="D1" s="31" t="s">
        <v>32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t="s">
        <v>33</v>
      </c>
      <c r="B2" t="s">
        <v>34</v>
      </c>
      <c r="C2" t="s">
        <v>35</v>
      </c>
      <c r="D2" t="s">
        <v>36</v>
      </c>
    </row>
    <row r="3" spans="1:26">
      <c r="A3" t="s">
        <v>33</v>
      </c>
      <c r="B3" t="s">
        <v>37</v>
      </c>
      <c r="C3" t="s">
        <v>38</v>
      </c>
      <c r="D3" t="s">
        <v>39</v>
      </c>
    </row>
    <row r="4" spans="1:26">
      <c r="A4" t="s">
        <v>33</v>
      </c>
      <c r="B4" t="s">
        <v>40</v>
      </c>
      <c r="C4" t="s">
        <v>41</v>
      </c>
      <c r="D4" t="s">
        <v>42</v>
      </c>
    </row>
    <row r="5" spans="1:26">
      <c r="A5" t="s">
        <v>33</v>
      </c>
      <c r="B5" t="s">
        <v>43</v>
      </c>
      <c r="C5" t="s">
        <v>44</v>
      </c>
      <c r="D5" t="s">
        <v>45</v>
      </c>
    </row>
    <row r="6" spans="1:26">
      <c r="A6" t="s">
        <v>46</v>
      </c>
      <c r="B6" t="s">
        <v>47</v>
      </c>
      <c r="C6" t="s">
        <v>48</v>
      </c>
      <c r="D6" t="s">
        <v>49</v>
      </c>
    </row>
    <row r="7" spans="1:26">
      <c r="A7" t="s">
        <v>46</v>
      </c>
      <c r="B7" t="s">
        <v>50</v>
      </c>
      <c r="C7" t="s">
        <v>51</v>
      </c>
      <c r="D7" t="s">
        <v>52</v>
      </c>
    </row>
    <row r="8" spans="1:26">
      <c r="A8" t="s">
        <v>46</v>
      </c>
      <c r="B8" t="s">
        <v>53</v>
      </c>
      <c r="C8" t="s">
        <v>54</v>
      </c>
      <c r="D8" t="s">
        <v>55</v>
      </c>
    </row>
    <row r="9" spans="1:26">
      <c r="A9" t="s">
        <v>46</v>
      </c>
      <c r="B9" t="s">
        <v>56</v>
      </c>
      <c r="C9" t="s">
        <v>57</v>
      </c>
      <c r="D9" t="s">
        <v>58</v>
      </c>
    </row>
    <row r="10" spans="1:26">
      <c r="A10" t="s">
        <v>59</v>
      </c>
      <c r="B10" t="s">
        <v>60</v>
      </c>
      <c r="C10" t="s">
        <v>61</v>
      </c>
      <c r="D10" t="s">
        <v>62</v>
      </c>
    </row>
    <row r="11" spans="1:26">
      <c r="A11" t="s">
        <v>59</v>
      </c>
      <c r="B11" t="s">
        <v>63</v>
      </c>
      <c r="C11" t="s">
        <v>64</v>
      </c>
      <c r="D11" t="s">
        <v>65</v>
      </c>
    </row>
    <row r="12" spans="1:26">
      <c r="A12" t="s">
        <v>59</v>
      </c>
      <c r="B12" t="s">
        <v>66</v>
      </c>
      <c r="C12" t="s">
        <v>67</v>
      </c>
      <c r="D12" t="s">
        <v>68</v>
      </c>
    </row>
    <row r="13" spans="1:26">
      <c r="A13" t="s">
        <v>59</v>
      </c>
      <c r="B13" t="s">
        <v>69</v>
      </c>
      <c r="C13" t="s">
        <v>70</v>
      </c>
      <c r="D13" t="s">
        <v>71</v>
      </c>
    </row>
    <row r="14" spans="1:26">
      <c r="A14" t="s">
        <v>72</v>
      </c>
      <c r="B14" t="s">
        <v>73</v>
      </c>
      <c r="C14" t="s">
        <v>74</v>
      </c>
      <c r="D14" t="s">
        <v>75</v>
      </c>
    </row>
    <row r="15" spans="1:26">
      <c r="A15" t="s">
        <v>72</v>
      </c>
      <c r="B15" t="s">
        <v>76</v>
      </c>
      <c r="C15" t="s">
        <v>77</v>
      </c>
      <c r="D15" t="s">
        <v>78</v>
      </c>
    </row>
    <row r="16" spans="1:26">
      <c r="A16" t="s">
        <v>72</v>
      </c>
      <c r="B16" t="s">
        <v>79</v>
      </c>
      <c r="C16" t="s">
        <v>80</v>
      </c>
      <c r="D16" t="s">
        <v>81</v>
      </c>
    </row>
    <row r="17" spans="1:4">
      <c r="A17" t="s">
        <v>72</v>
      </c>
      <c r="B17" t="s">
        <v>82</v>
      </c>
      <c r="C17" t="s">
        <v>83</v>
      </c>
      <c r="D17" t="s">
        <v>84</v>
      </c>
    </row>
    <row r="18" spans="1:4">
      <c r="A18" t="s">
        <v>85</v>
      </c>
      <c r="B18" t="s">
        <v>86</v>
      </c>
      <c r="C18" t="s">
        <v>87</v>
      </c>
      <c r="D18" t="s">
        <v>88</v>
      </c>
    </row>
    <row r="19" spans="1:4">
      <c r="A19" t="s">
        <v>85</v>
      </c>
      <c r="B19" t="s">
        <v>89</v>
      </c>
      <c r="C19" t="s">
        <v>90</v>
      </c>
      <c r="D19" t="s">
        <v>91</v>
      </c>
    </row>
    <row r="20" spans="1:4">
      <c r="A20" t="s">
        <v>85</v>
      </c>
      <c r="B20" t="s">
        <v>92</v>
      </c>
      <c r="C20" t="s">
        <v>93</v>
      </c>
      <c r="D20" t="s">
        <v>94</v>
      </c>
    </row>
    <row r="21" spans="1:4">
      <c r="A21" t="s">
        <v>85</v>
      </c>
      <c r="B21" t="s">
        <v>95</v>
      </c>
      <c r="C21" t="s">
        <v>96</v>
      </c>
      <c r="D21" t="s">
        <v>97</v>
      </c>
    </row>
    <row r="22" spans="1:4">
      <c r="A22" t="s">
        <v>98</v>
      </c>
      <c r="B22" t="s">
        <v>99</v>
      </c>
      <c r="C22" t="s">
        <v>100</v>
      </c>
      <c r="D22" t="s">
        <v>101</v>
      </c>
    </row>
    <row r="23" spans="1:4">
      <c r="A23" t="s">
        <v>98</v>
      </c>
      <c r="B23" t="s">
        <v>102</v>
      </c>
      <c r="C23" t="s">
        <v>103</v>
      </c>
      <c r="D23" t="s">
        <v>104</v>
      </c>
    </row>
    <row r="24" spans="1:4">
      <c r="A24" t="s">
        <v>98</v>
      </c>
      <c r="B24" t="s">
        <v>105</v>
      </c>
      <c r="C24" t="s">
        <v>106</v>
      </c>
      <c r="D24" t="s">
        <v>107</v>
      </c>
    </row>
    <row r="25" spans="1:4">
      <c r="A25" t="s">
        <v>98</v>
      </c>
      <c r="B25" t="s">
        <v>108</v>
      </c>
      <c r="C25" t="s">
        <v>109</v>
      </c>
      <c r="D25" t="s">
        <v>110</v>
      </c>
    </row>
    <row r="26" spans="1:4">
      <c r="A26" t="s">
        <v>111</v>
      </c>
      <c r="B26" t="s">
        <v>112</v>
      </c>
      <c r="C26" t="s">
        <v>113</v>
      </c>
      <c r="D26" t="s">
        <v>114</v>
      </c>
    </row>
    <row r="27" spans="1:4">
      <c r="A27" t="s">
        <v>111</v>
      </c>
      <c r="B27" t="s">
        <v>115</v>
      </c>
      <c r="C27" t="s">
        <v>116</v>
      </c>
      <c r="D27" t="s">
        <v>117</v>
      </c>
    </row>
    <row r="28" spans="1:4">
      <c r="A28" t="s">
        <v>111</v>
      </c>
      <c r="B28" t="s">
        <v>118</v>
      </c>
      <c r="C28" t="s">
        <v>119</v>
      </c>
      <c r="D28" t="s">
        <v>120</v>
      </c>
    </row>
    <row r="29" spans="1:4">
      <c r="A29" t="s">
        <v>111</v>
      </c>
      <c r="B29" t="s">
        <v>121</v>
      </c>
      <c r="C29" t="s">
        <v>122</v>
      </c>
      <c r="D29" t="s">
        <v>123</v>
      </c>
    </row>
    <row r="30" spans="1:4">
      <c r="A30" t="s">
        <v>124</v>
      </c>
      <c r="B30" t="s">
        <v>125</v>
      </c>
      <c r="C30" t="s">
        <v>126</v>
      </c>
      <c r="D30" t="s">
        <v>127</v>
      </c>
    </row>
    <row r="31" spans="1:4">
      <c r="A31" t="s">
        <v>124</v>
      </c>
      <c r="B31" t="s">
        <v>128</v>
      </c>
      <c r="C31" t="s">
        <v>129</v>
      </c>
      <c r="D31" t="s">
        <v>130</v>
      </c>
    </row>
    <row r="32" spans="1:4">
      <c r="A32" t="s">
        <v>124</v>
      </c>
      <c r="B32" t="s">
        <v>131</v>
      </c>
      <c r="C32" t="s">
        <v>132</v>
      </c>
      <c r="D32" t="s">
        <v>133</v>
      </c>
    </row>
    <row r="33" spans="1:4">
      <c r="A33" t="s">
        <v>124</v>
      </c>
      <c r="B33" t="s">
        <v>134</v>
      </c>
      <c r="C33" t="s">
        <v>135</v>
      </c>
      <c r="D33" t="s">
        <v>136</v>
      </c>
    </row>
    <row r="34" spans="1:4">
      <c r="A34" t="s">
        <v>137</v>
      </c>
      <c r="B34" t="s">
        <v>138</v>
      </c>
      <c r="C34" t="s">
        <v>139</v>
      </c>
      <c r="D34" t="s">
        <v>140</v>
      </c>
    </row>
    <row r="35" spans="1:4">
      <c r="A35" t="s">
        <v>137</v>
      </c>
      <c r="B35" t="s">
        <v>141</v>
      </c>
      <c r="C35" t="s">
        <v>142</v>
      </c>
      <c r="D35" t="s">
        <v>143</v>
      </c>
    </row>
    <row r="36" spans="1:4">
      <c r="A36" t="s">
        <v>137</v>
      </c>
      <c r="B36" t="s">
        <v>144</v>
      </c>
      <c r="C36" t="s">
        <v>145</v>
      </c>
      <c r="D36" t="s">
        <v>146</v>
      </c>
    </row>
    <row r="37" spans="1:4">
      <c r="A37" t="s">
        <v>137</v>
      </c>
      <c r="B37" t="s">
        <v>147</v>
      </c>
      <c r="C37" t="s">
        <v>148</v>
      </c>
      <c r="D37" t="s">
        <v>149</v>
      </c>
    </row>
    <row r="38" spans="1:4">
      <c r="A38" t="s">
        <v>150</v>
      </c>
      <c r="B38" t="s">
        <v>151</v>
      </c>
      <c r="C38" t="s">
        <v>152</v>
      </c>
      <c r="D38" t="s">
        <v>153</v>
      </c>
    </row>
    <row r="39" spans="1:4">
      <c r="A39" t="s">
        <v>150</v>
      </c>
      <c r="B39" t="s">
        <v>154</v>
      </c>
      <c r="C39" t="s">
        <v>155</v>
      </c>
      <c r="D39" t="s">
        <v>156</v>
      </c>
    </row>
    <row r="40" spans="1:4">
      <c r="A40" t="s">
        <v>150</v>
      </c>
      <c r="B40" t="s">
        <v>157</v>
      </c>
      <c r="C40" t="s">
        <v>158</v>
      </c>
      <c r="D40" t="s">
        <v>159</v>
      </c>
    </row>
    <row r="41" spans="1:4">
      <c r="A41" t="s">
        <v>150</v>
      </c>
      <c r="B41" t="s">
        <v>160</v>
      </c>
      <c r="C41" t="s">
        <v>161</v>
      </c>
      <c r="D41" t="s">
        <v>162</v>
      </c>
    </row>
    <row r="42" spans="1:4">
      <c r="A42" t="s">
        <v>163</v>
      </c>
      <c r="B42" t="s">
        <v>164</v>
      </c>
      <c r="C42" t="s">
        <v>165</v>
      </c>
      <c r="D42" t="s">
        <v>166</v>
      </c>
    </row>
    <row r="43" spans="1:4">
      <c r="A43" t="s">
        <v>163</v>
      </c>
      <c r="B43" t="s">
        <v>167</v>
      </c>
      <c r="C43" t="s">
        <v>168</v>
      </c>
      <c r="D43" t="s">
        <v>169</v>
      </c>
    </row>
    <row r="44" spans="1:4">
      <c r="A44" t="s">
        <v>163</v>
      </c>
      <c r="B44" t="s">
        <v>170</v>
      </c>
      <c r="C44" t="s">
        <v>171</v>
      </c>
      <c r="D44" t="s">
        <v>172</v>
      </c>
    </row>
    <row r="45" spans="1:4">
      <c r="A45" t="s">
        <v>163</v>
      </c>
      <c r="B45" t="s">
        <v>173</v>
      </c>
      <c r="C45" t="s">
        <v>174</v>
      </c>
      <c r="D45" t="s">
        <v>175</v>
      </c>
    </row>
    <row r="46" spans="1:4">
      <c r="A46" t="s">
        <v>176</v>
      </c>
      <c r="B46" t="s">
        <v>177</v>
      </c>
      <c r="C46" t="s">
        <v>178</v>
      </c>
      <c r="D46" t="s">
        <v>179</v>
      </c>
    </row>
    <row r="47" spans="1:4">
      <c r="A47" t="s">
        <v>176</v>
      </c>
      <c r="B47" t="s">
        <v>180</v>
      </c>
      <c r="C47" t="s">
        <v>181</v>
      </c>
      <c r="D47" t="s">
        <v>182</v>
      </c>
    </row>
    <row r="48" spans="1:4">
      <c r="A48" t="s">
        <v>176</v>
      </c>
      <c r="B48" t="s">
        <v>183</v>
      </c>
      <c r="C48" t="s">
        <v>184</v>
      </c>
      <c r="D48" t="s">
        <v>185</v>
      </c>
    </row>
    <row r="49" spans="1:4">
      <c r="A49" t="s">
        <v>176</v>
      </c>
      <c r="B49" t="s">
        <v>186</v>
      </c>
      <c r="C49" t="s">
        <v>187</v>
      </c>
      <c r="D49" t="s">
        <v>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G18" sqref="G18"/>
    </sheetView>
  </sheetViews>
  <sheetFormatPr baseColWidth="10" defaultColWidth="11" defaultRowHeight="14.25"/>
  <cols>
    <col min="1" max="2" width="11" style="42"/>
    <col min="3" max="3" width="11" style="45"/>
    <col min="4" max="4" width="11" style="42"/>
    <col min="6" max="6" width="15" customWidth="1"/>
    <col min="7" max="7" width="14.375" style="42" customWidth="1"/>
    <col min="8" max="8" width="11" style="42"/>
  </cols>
  <sheetData>
    <row r="1" spans="1:10" ht="16.5" thickBot="1">
      <c r="A1" s="46" t="s">
        <v>189</v>
      </c>
      <c r="B1" s="47" t="s">
        <v>190</v>
      </c>
      <c r="C1" s="48" t="s">
        <v>191</v>
      </c>
      <c r="D1" s="49" t="s">
        <v>192</v>
      </c>
      <c r="F1" s="35">
        <f ca="1">NOW()</f>
        <v>46184.73605324074</v>
      </c>
    </row>
    <row r="2" spans="1:10">
      <c r="A2" s="50">
        <f>Participantes!A2</f>
        <v>1</v>
      </c>
      <c r="B2" s="51">
        <f t="shared" ref="B2:B36" si="0">IF(ROW()=2,1,IF(D2=D1,B1,B1+1))</f>
        <v>1</v>
      </c>
      <c r="C2" s="52" t="str">
        <f>Participantes!B2</f>
        <v>Alberto</v>
      </c>
      <c r="D2" s="53">
        <f>Grupo!BS4</f>
        <v>0</v>
      </c>
    </row>
    <row r="3" spans="1:10">
      <c r="A3" s="36">
        <f>Participantes!A3</f>
        <v>2</v>
      </c>
      <c r="B3" s="37">
        <f t="shared" si="0"/>
        <v>1</v>
      </c>
      <c r="C3" s="43" t="str">
        <f>Participantes!B3</f>
        <v>Alexander</v>
      </c>
      <c r="D3" s="38">
        <f>Grupo!BS5</f>
        <v>0</v>
      </c>
    </row>
    <row r="4" spans="1:10">
      <c r="A4" s="36">
        <f>Participantes!A4</f>
        <v>3</v>
      </c>
      <c r="B4" s="37">
        <f t="shared" si="0"/>
        <v>1</v>
      </c>
      <c r="C4" s="43" t="str">
        <f>Participantes!B4</f>
        <v>Alfredo 1</v>
      </c>
      <c r="D4" s="38">
        <f>Grupo!BS6</f>
        <v>0</v>
      </c>
    </row>
    <row r="5" spans="1:10">
      <c r="A5" s="36">
        <f>Participantes!A5</f>
        <v>4</v>
      </c>
      <c r="B5" s="37">
        <f t="shared" si="0"/>
        <v>1</v>
      </c>
      <c r="C5" s="43" t="str">
        <f>Participantes!B5</f>
        <v>Alfredo 2</v>
      </c>
      <c r="D5" s="38">
        <f>Grupo!BS7</f>
        <v>0</v>
      </c>
    </row>
    <row r="6" spans="1:10">
      <c r="A6" s="36">
        <f>Participantes!A6</f>
        <v>5</v>
      </c>
      <c r="B6" s="37">
        <f t="shared" si="0"/>
        <v>1</v>
      </c>
      <c r="C6" s="43" t="str">
        <f>Participantes!B6</f>
        <v>Aneth</v>
      </c>
      <c r="D6" s="38">
        <f>Grupo!BS8</f>
        <v>0</v>
      </c>
    </row>
    <row r="7" spans="1:10">
      <c r="A7" s="36">
        <f>Participantes!A7</f>
        <v>6</v>
      </c>
      <c r="B7" s="37">
        <f t="shared" si="0"/>
        <v>1</v>
      </c>
      <c r="C7" s="43" t="str">
        <f>Participantes!B7</f>
        <v>Antonio</v>
      </c>
      <c r="D7" s="38">
        <f>Grupo!BS9</f>
        <v>0</v>
      </c>
    </row>
    <row r="8" spans="1:10" ht="15" thickBot="1">
      <c r="A8" s="36">
        <f>Participantes!A8</f>
        <v>7</v>
      </c>
      <c r="B8" s="37">
        <f t="shared" si="0"/>
        <v>1</v>
      </c>
      <c r="C8" s="43" t="str">
        <f>Participantes!B8</f>
        <v>Carlos</v>
      </c>
      <c r="D8" s="38">
        <f>Grupo!BS10</f>
        <v>0</v>
      </c>
    </row>
    <row r="9" spans="1:10">
      <c r="A9" s="36">
        <f>Participantes!A9</f>
        <v>8</v>
      </c>
      <c r="B9" s="37">
        <f t="shared" si="0"/>
        <v>1</v>
      </c>
      <c r="C9" s="43" t="str">
        <f>Participantes!B9</f>
        <v>Castillo L.</v>
      </c>
      <c r="D9" s="38">
        <f>Grupo!BS11</f>
        <v>0</v>
      </c>
      <c r="G9" s="50" t="str">
        <f>Partidos!F2</f>
        <v>México</v>
      </c>
      <c r="H9" s="53" t="str">
        <f>Partidos!G2</f>
        <v>Sudáfrica</v>
      </c>
      <c r="J9" t="str">
        <f>Partidos!C2</f>
        <v>15:00</v>
      </c>
    </row>
    <row r="10" spans="1:10" ht="15" thickBot="1">
      <c r="A10" s="36">
        <f>Participantes!A10</f>
        <v>9</v>
      </c>
      <c r="B10" s="37">
        <f t="shared" si="0"/>
        <v>1</v>
      </c>
      <c r="C10" s="43" t="str">
        <f>Participantes!B10</f>
        <v>Christofer</v>
      </c>
      <c r="D10" s="38">
        <f>Grupo!BS12</f>
        <v>0</v>
      </c>
      <c r="G10" s="39"/>
      <c r="H10" s="41"/>
    </row>
    <row r="11" spans="1:10" ht="15" thickBot="1">
      <c r="A11" s="36">
        <f>Participantes!A11</f>
        <v>10</v>
      </c>
      <c r="B11" s="37">
        <f t="shared" si="0"/>
        <v>1</v>
      </c>
      <c r="C11" s="43" t="str">
        <f>Participantes!B11</f>
        <v>Cynthia</v>
      </c>
      <c r="D11" s="38">
        <f>Grupo!BS13</f>
        <v>0</v>
      </c>
    </row>
    <row r="12" spans="1:10">
      <c r="A12" s="36">
        <f>Participantes!A12</f>
        <v>11</v>
      </c>
      <c r="B12" s="37">
        <f t="shared" si="0"/>
        <v>1</v>
      </c>
      <c r="C12" s="43" t="str">
        <f>Participantes!B12</f>
        <v>Edward</v>
      </c>
      <c r="D12" s="38">
        <f>Grupo!BS14</f>
        <v>0</v>
      </c>
      <c r="G12" s="50" t="str">
        <f>Partidos!F3</f>
        <v>Corea República</v>
      </c>
      <c r="H12" s="53" t="str">
        <f>Partidos!G3</f>
        <v>Chequia</v>
      </c>
      <c r="J12" t="str">
        <f>Partidos!C3</f>
        <v>22:00</v>
      </c>
    </row>
    <row r="13" spans="1:10" ht="15" thickBot="1">
      <c r="A13" s="36">
        <f>Participantes!A13</f>
        <v>12</v>
      </c>
      <c r="B13" s="37">
        <f t="shared" si="0"/>
        <v>1</v>
      </c>
      <c r="C13" s="43" t="str">
        <f>Participantes!B13</f>
        <v>Espinosa L.</v>
      </c>
      <c r="D13" s="38">
        <f>Grupo!BS15</f>
        <v>0</v>
      </c>
      <c r="G13" s="39"/>
      <c r="H13" s="41"/>
    </row>
    <row r="14" spans="1:10">
      <c r="A14" s="36">
        <f>Participantes!A14</f>
        <v>13</v>
      </c>
      <c r="B14" s="37">
        <f t="shared" si="0"/>
        <v>1</v>
      </c>
      <c r="C14" s="43" t="str">
        <f>Participantes!B14</f>
        <v>Frida</v>
      </c>
      <c r="D14" s="38">
        <f>Grupo!BS16</f>
        <v>0</v>
      </c>
    </row>
    <row r="15" spans="1:10">
      <c r="A15" s="36">
        <f>Participantes!A15</f>
        <v>14</v>
      </c>
      <c r="B15" s="37">
        <f t="shared" si="0"/>
        <v>1</v>
      </c>
      <c r="C15" s="43" t="str">
        <f>Participantes!B15</f>
        <v>Isabel 1</v>
      </c>
      <c r="D15" s="38">
        <f>Grupo!BS17</f>
        <v>0</v>
      </c>
    </row>
    <row r="16" spans="1:10">
      <c r="A16" s="36">
        <f>Participantes!A16</f>
        <v>15</v>
      </c>
      <c r="B16" s="37">
        <f t="shared" si="0"/>
        <v>1</v>
      </c>
      <c r="C16" s="43" t="str">
        <f>Participantes!B16</f>
        <v>Isabel 2</v>
      </c>
      <c r="D16" s="38">
        <f>Grupo!BS18</f>
        <v>0</v>
      </c>
    </row>
    <row r="17" spans="1:4">
      <c r="A17" s="36">
        <f>Participantes!A17</f>
        <v>16</v>
      </c>
      <c r="B17" s="37">
        <f t="shared" si="0"/>
        <v>1</v>
      </c>
      <c r="C17" s="43" t="str">
        <f>Participantes!B17</f>
        <v>Javier</v>
      </c>
      <c r="D17" s="38">
        <f>Grupo!BS19</f>
        <v>0</v>
      </c>
    </row>
    <row r="18" spans="1:4">
      <c r="A18" s="36">
        <f>Participantes!A18</f>
        <v>17</v>
      </c>
      <c r="B18" s="37">
        <f t="shared" si="0"/>
        <v>1</v>
      </c>
      <c r="C18" s="43" t="str">
        <f>Participantes!B18</f>
        <v>Jose C 1</v>
      </c>
      <c r="D18" s="38">
        <f>Grupo!BS20</f>
        <v>0</v>
      </c>
    </row>
    <row r="19" spans="1:4">
      <c r="A19" s="36">
        <f>Participantes!A19</f>
        <v>18</v>
      </c>
      <c r="B19" s="37">
        <f t="shared" si="0"/>
        <v>1</v>
      </c>
      <c r="C19" s="43" t="str">
        <f>Participantes!B19</f>
        <v>Jose C 2</v>
      </c>
      <c r="D19" s="38">
        <f>Grupo!BS21</f>
        <v>0</v>
      </c>
    </row>
    <row r="20" spans="1:4">
      <c r="A20" s="36">
        <f>Participantes!A20</f>
        <v>19</v>
      </c>
      <c r="B20" s="37">
        <f t="shared" si="0"/>
        <v>1</v>
      </c>
      <c r="C20" s="43" t="str">
        <f>Participantes!B20</f>
        <v>Jose C Ahiza</v>
      </c>
      <c r="D20" s="38">
        <f>Grupo!BS22</f>
        <v>0</v>
      </c>
    </row>
    <row r="21" spans="1:4">
      <c r="A21" s="36">
        <f>Participantes!A21</f>
        <v>20</v>
      </c>
      <c r="B21" s="37">
        <f t="shared" si="0"/>
        <v>1</v>
      </c>
      <c r="C21" s="43" t="str">
        <f>Participantes!B21</f>
        <v>Jose C Ana</v>
      </c>
      <c r="D21" s="38">
        <f>Grupo!BS23</f>
        <v>0</v>
      </c>
    </row>
    <row r="22" spans="1:4">
      <c r="A22" s="36">
        <f>Participantes!A22</f>
        <v>21</v>
      </c>
      <c r="B22" s="37">
        <f t="shared" si="0"/>
        <v>1</v>
      </c>
      <c r="C22" s="43" t="str">
        <f>Participantes!B22</f>
        <v>Jose C Judith</v>
      </c>
      <c r="D22" s="38">
        <f>Grupo!BS24</f>
        <v>0</v>
      </c>
    </row>
    <row r="23" spans="1:4">
      <c r="A23" s="36">
        <f>Participantes!A23</f>
        <v>22</v>
      </c>
      <c r="B23" s="37">
        <f t="shared" si="0"/>
        <v>1</v>
      </c>
      <c r="C23" s="43" t="str">
        <f>Participantes!B23</f>
        <v>José de León</v>
      </c>
      <c r="D23" s="38">
        <f>Grupo!BS25</f>
        <v>0</v>
      </c>
    </row>
    <row r="24" spans="1:4">
      <c r="A24" s="36">
        <f>Participantes!A24</f>
        <v>23</v>
      </c>
      <c r="B24" s="37">
        <f t="shared" si="0"/>
        <v>1</v>
      </c>
      <c r="C24" s="43" t="str">
        <f>Participantes!B24</f>
        <v>Jovanna</v>
      </c>
      <c r="D24" s="38">
        <f>Grupo!BS26</f>
        <v>0</v>
      </c>
    </row>
    <row r="25" spans="1:4">
      <c r="A25" s="36">
        <f>Participantes!A25</f>
        <v>24</v>
      </c>
      <c r="B25" s="37">
        <f t="shared" si="0"/>
        <v>1</v>
      </c>
      <c r="C25" s="43" t="str">
        <f>Participantes!B25</f>
        <v>Karina</v>
      </c>
      <c r="D25" s="38">
        <f>Grupo!BS27</f>
        <v>0</v>
      </c>
    </row>
    <row r="26" spans="1:4">
      <c r="A26" s="36">
        <f>Participantes!A26</f>
        <v>25</v>
      </c>
      <c r="B26" s="37">
        <f t="shared" si="0"/>
        <v>1</v>
      </c>
      <c r="C26" s="43" t="str">
        <f>Participantes!B26</f>
        <v>Kattia 1</v>
      </c>
      <c r="D26" s="38">
        <f>Grupo!BS28</f>
        <v>0</v>
      </c>
    </row>
    <row r="27" spans="1:4">
      <c r="A27" s="36">
        <f>Participantes!A27</f>
        <v>26</v>
      </c>
      <c r="B27" s="37">
        <f t="shared" si="0"/>
        <v>1</v>
      </c>
      <c r="C27" s="43" t="str">
        <f>Participantes!B27</f>
        <v>Kattia 2</v>
      </c>
      <c r="D27" s="38">
        <f>Grupo!BS29</f>
        <v>0</v>
      </c>
    </row>
    <row r="28" spans="1:4">
      <c r="A28" s="36">
        <f>Participantes!A28</f>
        <v>27</v>
      </c>
      <c r="B28" s="37">
        <f t="shared" si="0"/>
        <v>1</v>
      </c>
      <c r="C28" s="43" t="str">
        <f>Participantes!B28</f>
        <v>Kevin</v>
      </c>
      <c r="D28" s="38">
        <f>Grupo!BS30</f>
        <v>0</v>
      </c>
    </row>
    <row r="29" spans="1:4">
      <c r="A29" s="36">
        <f>Participantes!A29</f>
        <v>28</v>
      </c>
      <c r="B29" s="37">
        <f t="shared" si="0"/>
        <v>1</v>
      </c>
      <c r="C29" s="43" t="str">
        <f>Participantes!B29</f>
        <v>Lizka</v>
      </c>
      <c r="D29" s="38">
        <f>Grupo!BS31</f>
        <v>0</v>
      </c>
    </row>
    <row r="30" spans="1:4">
      <c r="A30" s="36">
        <f>Participantes!A30</f>
        <v>29</v>
      </c>
      <c r="B30" s="37">
        <f t="shared" si="0"/>
        <v>1</v>
      </c>
      <c r="C30" s="43" t="str">
        <f>Participantes!B30</f>
        <v>Luis Peña</v>
      </c>
      <c r="D30" s="38">
        <f>Grupo!BS32</f>
        <v>0</v>
      </c>
    </row>
    <row r="31" spans="1:4">
      <c r="A31" s="36">
        <f>Participantes!A31</f>
        <v>30</v>
      </c>
      <c r="B31" s="37">
        <f t="shared" si="0"/>
        <v>1</v>
      </c>
      <c r="C31" s="43" t="str">
        <f>Participantes!B31</f>
        <v>Marco R.</v>
      </c>
      <c r="D31" s="38">
        <f>Grupo!BS33</f>
        <v>0</v>
      </c>
    </row>
    <row r="32" spans="1:4">
      <c r="A32" s="36">
        <f>Participantes!A32</f>
        <v>31</v>
      </c>
      <c r="B32" s="37">
        <f t="shared" si="0"/>
        <v>1</v>
      </c>
      <c r="C32" s="43" t="str">
        <f>Participantes!B32</f>
        <v>Maricela</v>
      </c>
      <c r="D32" s="38">
        <f>Grupo!BS34</f>
        <v>0</v>
      </c>
    </row>
    <row r="33" spans="1:4">
      <c r="A33" s="36">
        <f>Participantes!A33</f>
        <v>32</v>
      </c>
      <c r="B33" s="37">
        <f t="shared" si="0"/>
        <v>1</v>
      </c>
      <c r="C33" s="43" t="str">
        <f>Participantes!B33</f>
        <v>Marilyn</v>
      </c>
      <c r="D33" s="38">
        <f>Grupo!BS35</f>
        <v>0</v>
      </c>
    </row>
    <row r="34" spans="1:4">
      <c r="A34" s="36">
        <f>Participantes!A34</f>
        <v>33</v>
      </c>
      <c r="B34" s="37">
        <f t="shared" si="0"/>
        <v>1</v>
      </c>
      <c r="C34" s="43" t="str">
        <f>Participantes!B34</f>
        <v>Medica</v>
      </c>
      <c r="D34" s="38">
        <f>Grupo!BS36</f>
        <v>0</v>
      </c>
    </row>
    <row r="35" spans="1:4">
      <c r="A35" s="36">
        <f>Participantes!A35</f>
        <v>34</v>
      </c>
      <c r="B35" s="37">
        <f t="shared" si="0"/>
        <v>1</v>
      </c>
      <c r="C35" s="43" t="str">
        <f>Participantes!B35</f>
        <v>Milagros</v>
      </c>
      <c r="D35" s="38">
        <f>Grupo!BS37</f>
        <v>0</v>
      </c>
    </row>
    <row r="36" spans="1:4">
      <c r="A36" s="36">
        <f>Participantes!A36</f>
        <v>35</v>
      </c>
      <c r="B36" s="37">
        <f t="shared" si="0"/>
        <v>1</v>
      </c>
      <c r="C36" s="43" t="str">
        <f>Participantes!B36</f>
        <v>Mily CF 1</v>
      </c>
      <c r="D36" s="38">
        <f>Grupo!BS38</f>
        <v>0</v>
      </c>
    </row>
    <row r="37" spans="1:4">
      <c r="A37" s="36">
        <f>Participantes!A37</f>
        <v>36</v>
      </c>
      <c r="B37" s="37">
        <f t="shared" ref="B37:B46" si="1">IF(ROW()=2,1,IF(D37=D36,B36,B36+1))</f>
        <v>1</v>
      </c>
      <c r="C37" s="43" t="str">
        <f>Participantes!B37</f>
        <v>Mily CF 2</v>
      </c>
      <c r="D37" s="38">
        <f>Grupo!BS39</f>
        <v>0</v>
      </c>
    </row>
    <row r="38" spans="1:4">
      <c r="A38" s="36">
        <f>Participantes!A38</f>
        <v>37</v>
      </c>
      <c r="B38" s="37">
        <f t="shared" si="1"/>
        <v>1</v>
      </c>
      <c r="C38" s="43" t="str">
        <f>Participantes!B38</f>
        <v>Mily Oliver</v>
      </c>
      <c r="D38" s="38">
        <f>Grupo!BS40</f>
        <v>0</v>
      </c>
    </row>
    <row r="39" spans="1:4">
      <c r="A39" s="36">
        <f>Participantes!A39</f>
        <v>38</v>
      </c>
      <c r="B39" s="37">
        <f t="shared" si="1"/>
        <v>1</v>
      </c>
      <c r="C39" s="43" t="str">
        <f>Participantes!B39</f>
        <v>Mily Zeynneth</v>
      </c>
      <c r="D39" s="38">
        <f>Grupo!BS41</f>
        <v>0</v>
      </c>
    </row>
    <row r="40" spans="1:4">
      <c r="A40" s="36">
        <f>Participantes!A40</f>
        <v>39</v>
      </c>
      <c r="B40" s="37">
        <f t="shared" si="1"/>
        <v>1</v>
      </c>
      <c r="C40" s="43" t="str">
        <f>Participantes!B40</f>
        <v>Nefreteri</v>
      </c>
      <c r="D40" s="38">
        <f>Grupo!BS42</f>
        <v>0</v>
      </c>
    </row>
    <row r="41" spans="1:4">
      <c r="A41" s="36">
        <f>Participantes!A41</f>
        <v>40</v>
      </c>
      <c r="B41" s="37">
        <f t="shared" si="1"/>
        <v>1</v>
      </c>
      <c r="C41" s="43" t="str">
        <f>Participantes!B41</f>
        <v>Ninoshka</v>
      </c>
      <c r="D41" s="38">
        <f>Grupo!BS43</f>
        <v>0</v>
      </c>
    </row>
    <row r="42" spans="1:4">
      <c r="A42" s="36">
        <f>Participantes!A42</f>
        <v>41</v>
      </c>
      <c r="B42" s="37">
        <f t="shared" si="1"/>
        <v>1</v>
      </c>
      <c r="C42" s="43" t="str">
        <f>Participantes!B42</f>
        <v>Osvaldo</v>
      </c>
      <c r="D42" s="38">
        <f>Grupo!BS44</f>
        <v>0</v>
      </c>
    </row>
    <row r="43" spans="1:4">
      <c r="A43" s="36">
        <f>Participantes!A43</f>
        <v>42</v>
      </c>
      <c r="B43" s="37">
        <f t="shared" si="1"/>
        <v>1</v>
      </c>
      <c r="C43" s="43" t="str">
        <f>Participantes!B43</f>
        <v>Peter</v>
      </c>
      <c r="D43" s="38">
        <f>Grupo!BS45</f>
        <v>0</v>
      </c>
    </row>
    <row r="44" spans="1:4">
      <c r="A44" s="36">
        <f>Participantes!A44</f>
        <v>43</v>
      </c>
      <c r="B44" s="37">
        <f t="shared" si="1"/>
        <v>1</v>
      </c>
      <c r="C44" s="43" t="str">
        <f>Participantes!B44</f>
        <v>Quinnie</v>
      </c>
      <c r="D44" s="38">
        <f>Grupo!BS46</f>
        <v>0</v>
      </c>
    </row>
    <row r="45" spans="1:4">
      <c r="A45" s="36">
        <f>Participantes!A45</f>
        <v>44</v>
      </c>
      <c r="B45" s="37">
        <f t="shared" si="1"/>
        <v>1</v>
      </c>
      <c r="C45" s="43" t="str">
        <f>Participantes!B45</f>
        <v>Radames</v>
      </c>
      <c r="D45" s="38">
        <f>Grupo!BS47</f>
        <v>0</v>
      </c>
    </row>
    <row r="46" spans="1:4">
      <c r="A46" s="36">
        <f>Participantes!A46</f>
        <v>45</v>
      </c>
      <c r="B46" s="37">
        <f t="shared" si="1"/>
        <v>1</v>
      </c>
      <c r="C46" s="43" t="str">
        <f>Participantes!B46</f>
        <v>Saul</v>
      </c>
      <c r="D46" s="38">
        <f>Grupo!BS48</f>
        <v>0</v>
      </c>
    </row>
    <row r="47" spans="1:4">
      <c r="A47" s="36">
        <f>Participantes!A47</f>
        <v>46</v>
      </c>
      <c r="B47" s="37">
        <f t="shared" ref="B47" si="2">IF(ROW()=2,1,IF(D47=D46,B46,B46+1))</f>
        <v>1</v>
      </c>
      <c r="C47" s="43" t="str">
        <f>Participantes!B47</f>
        <v>Silvia</v>
      </c>
      <c r="D47" s="38">
        <f>Grupo!BS49</f>
        <v>0</v>
      </c>
    </row>
    <row r="48" spans="1:4">
      <c r="A48" s="36">
        <f>Participantes!A48</f>
        <v>47</v>
      </c>
      <c r="B48" s="37">
        <f t="shared" ref="B48:B49" si="3">IF(ROW()=2,1,IF(D48=D47,B47,B47+1))</f>
        <v>1</v>
      </c>
      <c r="C48" s="43" t="str">
        <f>Participantes!B48</f>
        <v>Walder</v>
      </c>
      <c r="D48" s="38">
        <f>Grupo!BS50</f>
        <v>0</v>
      </c>
    </row>
    <row r="49" spans="1:4" ht="15" thickBot="1">
      <c r="A49" s="39">
        <f>Participantes!A49</f>
        <v>48</v>
      </c>
      <c r="B49" s="40">
        <f t="shared" si="3"/>
        <v>1</v>
      </c>
      <c r="C49" s="44" t="str">
        <f>Participantes!B49</f>
        <v>Waldo</v>
      </c>
      <c r="D49" s="41">
        <f>Grupo!BS51</f>
        <v>0</v>
      </c>
    </row>
  </sheetData>
  <sortState ref="A2:D36">
    <sortCondition ref="A2:A3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9"/>
  <sheetViews>
    <sheetView tabSelected="1" topLeftCell="B1" zoomScale="70" zoomScaleNormal="70" workbookViewId="0">
      <pane xSplit="1275" topLeftCell="AE1" activePane="topRight"/>
      <selection activeCell="B9" sqref="B9"/>
      <selection pane="topRight" activeCell="AE6" sqref="AE6:BF13"/>
    </sheetView>
  </sheetViews>
  <sheetFormatPr baseColWidth="10" defaultColWidth="11" defaultRowHeight="14.25"/>
  <cols>
    <col min="1" max="1" width="11" style="42"/>
    <col min="2" max="2" width="11" style="45"/>
    <col min="3" max="4" width="11" style="42"/>
    <col min="5" max="5" width="8.625" style="42" customWidth="1"/>
    <col min="6" max="146" width="11" style="42"/>
  </cols>
  <sheetData>
    <row r="1" spans="1:146" ht="15">
      <c r="A1" s="67"/>
      <c r="B1" s="71" t="s">
        <v>191</v>
      </c>
      <c r="C1" s="67" t="s">
        <v>36</v>
      </c>
      <c r="D1" s="67" t="s">
        <v>39</v>
      </c>
      <c r="E1" s="67" t="s">
        <v>909</v>
      </c>
      <c r="F1" s="67" t="s">
        <v>45</v>
      </c>
      <c r="G1" s="67" t="s">
        <v>49</v>
      </c>
      <c r="H1" s="67" t="s">
        <v>193</v>
      </c>
      <c r="I1" s="67" t="s">
        <v>75</v>
      </c>
      <c r="J1" s="67" t="s">
        <v>78</v>
      </c>
      <c r="K1" s="67" t="s">
        <v>68</v>
      </c>
      <c r="L1" s="67" t="s">
        <v>71</v>
      </c>
      <c r="M1" s="67" t="s">
        <v>81</v>
      </c>
      <c r="N1" s="67" t="s">
        <v>84</v>
      </c>
      <c r="O1" s="67" t="s">
        <v>62</v>
      </c>
      <c r="P1" s="67" t="s">
        <v>65</v>
      </c>
      <c r="Q1" s="67" t="s">
        <v>55</v>
      </c>
      <c r="R1" s="67" t="s">
        <v>58</v>
      </c>
      <c r="S1" s="67" t="s">
        <v>94</v>
      </c>
      <c r="T1" s="67" t="s">
        <v>97</v>
      </c>
      <c r="U1" s="67" t="s">
        <v>88</v>
      </c>
      <c r="V1" s="67" t="s">
        <v>91</v>
      </c>
      <c r="W1" s="67" t="s">
        <v>101</v>
      </c>
      <c r="X1" s="67" t="s">
        <v>104</v>
      </c>
      <c r="Y1" s="67" t="s">
        <v>107</v>
      </c>
      <c r="Z1" s="67" t="s">
        <v>110</v>
      </c>
      <c r="AA1" s="67" t="s">
        <v>133</v>
      </c>
      <c r="AB1" s="67" t="s">
        <v>136</v>
      </c>
      <c r="AC1" s="67" t="s">
        <v>127</v>
      </c>
      <c r="AD1" s="67" t="s">
        <v>130</v>
      </c>
      <c r="AE1" s="67" t="s">
        <v>120</v>
      </c>
      <c r="AF1" s="67" t="s">
        <v>123</v>
      </c>
      <c r="AG1" s="67" t="s">
        <v>114</v>
      </c>
      <c r="AH1" s="67" t="s">
        <v>117</v>
      </c>
      <c r="AI1" s="67" t="s">
        <v>140</v>
      </c>
      <c r="AJ1" s="67" t="s">
        <v>143</v>
      </c>
      <c r="AK1" s="67" t="s">
        <v>146</v>
      </c>
      <c r="AL1" s="67" t="s">
        <v>149</v>
      </c>
      <c r="AM1" s="67" t="s">
        <v>153</v>
      </c>
      <c r="AN1" s="67" t="s">
        <v>156</v>
      </c>
      <c r="AO1" s="67" t="s">
        <v>159</v>
      </c>
      <c r="AP1" s="67" t="s">
        <v>162</v>
      </c>
      <c r="AQ1" s="67" t="s">
        <v>185</v>
      </c>
      <c r="AR1" s="67" t="s">
        <v>188</v>
      </c>
      <c r="AS1" s="67" t="s">
        <v>179</v>
      </c>
      <c r="AT1" s="67" t="s">
        <v>182</v>
      </c>
      <c r="AU1" s="67" t="s">
        <v>166</v>
      </c>
      <c r="AV1" s="67" t="s">
        <v>169</v>
      </c>
      <c r="AW1" s="67" t="s">
        <v>172</v>
      </c>
      <c r="AX1" s="67" t="s">
        <v>175</v>
      </c>
      <c r="AY1" s="67" t="s">
        <v>45</v>
      </c>
      <c r="AZ1" s="67" t="s">
        <v>39</v>
      </c>
      <c r="BA1" s="67" t="s">
        <v>58</v>
      </c>
      <c r="BB1" s="67" t="s">
        <v>193</v>
      </c>
      <c r="BC1" s="67" t="s">
        <v>49</v>
      </c>
      <c r="BD1" s="67" t="s">
        <v>55</v>
      </c>
      <c r="BE1" s="67" t="s">
        <v>36</v>
      </c>
      <c r="BF1" s="67" t="s">
        <v>42</v>
      </c>
      <c r="BG1" s="67" t="s">
        <v>62</v>
      </c>
      <c r="BH1" s="67" t="s">
        <v>68</v>
      </c>
      <c r="BI1" s="67" t="s">
        <v>71</v>
      </c>
      <c r="BJ1" s="67" t="s">
        <v>65</v>
      </c>
      <c r="BK1" s="67" t="s">
        <v>84</v>
      </c>
      <c r="BL1" s="67" t="s">
        <v>78</v>
      </c>
      <c r="BM1" s="67" t="s">
        <v>75</v>
      </c>
      <c r="BN1" s="67" t="s">
        <v>81</v>
      </c>
      <c r="BO1" s="67" t="s">
        <v>88</v>
      </c>
      <c r="BP1" s="67" t="s">
        <v>94</v>
      </c>
      <c r="BQ1" s="67" t="s">
        <v>97</v>
      </c>
      <c r="BR1" s="67" t="s">
        <v>91</v>
      </c>
      <c r="BS1" s="67" t="s">
        <v>101</v>
      </c>
      <c r="BT1" s="67" t="s">
        <v>107</v>
      </c>
      <c r="BU1" s="67" t="s">
        <v>110</v>
      </c>
      <c r="BV1" s="67" t="s">
        <v>104</v>
      </c>
      <c r="BW1" s="67" t="s">
        <v>136</v>
      </c>
      <c r="BX1" s="67" t="s">
        <v>130</v>
      </c>
      <c r="BY1" s="67" t="s">
        <v>127</v>
      </c>
      <c r="BZ1" s="67" t="s">
        <v>133</v>
      </c>
      <c r="CA1" s="67" t="s">
        <v>114</v>
      </c>
      <c r="CB1" s="67" t="s">
        <v>120</v>
      </c>
      <c r="CC1" s="67" t="s">
        <v>123</v>
      </c>
      <c r="CD1" s="67" t="s">
        <v>117</v>
      </c>
      <c r="CE1" s="67" t="s">
        <v>149</v>
      </c>
      <c r="CF1" s="67" t="s">
        <v>143</v>
      </c>
      <c r="CG1" s="67" t="s">
        <v>140</v>
      </c>
      <c r="CH1" s="67" t="s">
        <v>146</v>
      </c>
      <c r="CI1" s="67" t="s">
        <v>153</v>
      </c>
      <c r="CJ1" s="67" t="s">
        <v>159</v>
      </c>
      <c r="CK1" s="67" t="s">
        <v>162</v>
      </c>
      <c r="CL1" s="67" t="s">
        <v>156</v>
      </c>
      <c r="CM1" s="67" t="s">
        <v>179</v>
      </c>
      <c r="CN1" s="67" t="s">
        <v>185</v>
      </c>
      <c r="CO1" s="67" t="s">
        <v>188</v>
      </c>
      <c r="CP1" s="67" t="s">
        <v>182</v>
      </c>
      <c r="CQ1" s="67" t="s">
        <v>166</v>
      </c>
      <c r="CR1" s="67" t="s">
        <v>172</v>
      </c>
      <c r="CS1" s="67" t="s">
        <v>175</v>
      </c>
      <c r="CT1" s="67" t="s">
        <v>169</v>
      </c>
      <c r="CU1" s="67" t="s">
        <v>71</v>
      </c>
      <c r="CV1" s="67" t="s">
        <v>62</v>
      </c>
      <c r="CW1" s="67" t="s">
        <v>65</v>
      </c>
      <c r="CX1" s="67" t="s">
        <v>68</v>
      </c>
      <c r="CY1" s="67" t="s">
        <v>58</v>
      </c>
      <c r="CZ1" s="67" t="s">
        <v>49</v>
      </c>
      <c r="DA1" s="67" t="s">
        <v>193</v>
      </c>
      <c r="DB1" s="67" t="s">
        <v>55</v>
      </c>
      <c r="DC1" s="67" t="s">
        <v>45</v>
      </c>
      <c r="DD1" s="67" t="s">
        <v>36</v>
      </c>
      <c r="DE1" s="67" t="s">
        <v>39</v>
      </c>
      <c r="DF1" s="67" t="s">
        <v>42</v>
      </c>
      <c r="DG1" s="67" t="s">
        <v>91</v>
      </c>
      <c r="DH1" s="67" t="s">
        <v>94</v>
      </c>
      <c r="DI1" s="67" t="s">
        <v>97</v>
      </c>
      <c r="DJ1" s="67" t="s">
        <v>88</v>
      </c>
      <c r="DK1" s="67" t="s">
        <v>104</v>
      </c>
      <c r="DL1" s="67" t="s">
        <v>107</v>
      </c>
      <c r="DM1" s="67" t="s">
        <v>110</v>
      </c>
      <c r="DN1" s="67" t="s">
        <v>101</v>
      </c>
      <c r="DO1" s="67" t="s">
        <v>84</v>
      </c>
      <c r="DP1" s="67" t="s">
        <v>75</v>
      </c>
      <c r="DQ1" s="67" t="s">
        <v>78</v>
      </c>
      <c r="DR1" s="67" t="s">
        <v>81</v>
      </c>
      <c r="DS1" s="67" t="s">
        <v>149</v>
      </c>
      <c r="DT1" s="67" t="s">
        <v>140</v>
      </c>
      <c r="DU1" s="67" t="s">
        <v>143</v>
      </c>
      <c r="DV1" s="67" t="s">
        <v>146</v>
      </c>
      <c r="DW1" s="67" t="s">
        <v>117</v>
      </c>
      <c r="DX1" s="67" t="s">
        <v>120</v>
      </c>
      <c r="DY1" s="67" t="s">
        <v>123</v>
      </c>
      <c r="DZ1" s="67" t="s">
        <v>114</v>
      </c>
      <c r="EA1" s="67" t="s">
        <v>130</v>
      </c>
      <c r="EB1" s="67" t="s">
        <v>133</v>
      </c>
      <c r="EC1" s="67" t="s">
        <v>136</v>
      </c>
      <c r="ED1" s="67" t="s">
        <v>127</v>
      </c>
      <c r="EE1" s="67" t="s">
        <v>188</v>
      </c>
      <c r="EF1" s="67" t="s">
        <v>179</v>
      </c>
      <c r="EG1" s="67" t="s">
        <v>182</v>
      </c>
      <c r="EH1" s="67" t="s">
        <v>185</v>
      </c>
      <c r="EI1" s="67" t="s">
        <v>156</v>
      </c>
      <c r="EJ1" s="67" t="s">
        <v>159</v>
      </c>
      <c r="EK1" s="67" t="s">
        <v>162</v>
      </c>
      <c r="EL1" s="67" t="s">
        <v>153</v>
      </c>
      <c r="EM1" s="67" t="s">
        <v>175</v>
      </c>
      <c r="EN1" s="67" t="s">
        <v>166</v>
      </c>
      <c r="EO1" s="67" t="s">
        <v>169</v>
      </c>
      <c r="EP1" s="67" t="s">
        <v>172</v>
      </c>
    </row>
    <row r="2" spans="1:146">
      <c r="A2" s="37">
        <v>1</v>
      </c>
      <c r="B2" s="43" t="s">
        <v>194</v>
      </c>
      <c r="C2" s="37">
        <v>1</v>
      </c>
      <c r="D2" s="37">
        <v>1</v>
      </c>
      <c r="E2" s="37">
        <v>2</v>
      </c>
      <c r="F2" s="37">
        <v>0</v>
      </c>
      <c r="G2" s="37">
        <v>2</v>
      </c>
      <c r="H2" s="37">
        <v>1</v>
      </c>
      <c r="I2" s="37">
        <v>1</v>
      </c>
      <c r="J2" s="37">
        <v>3</v>
      </c>
      <c r="K2" s="37">
        <v>0</v>
      </c>
      <c r="L2" s="37">
        <v>2</v>
      </c>
      <c r="M2" s="37">
        <v>0</v>
      </c>
      <c r="N2" s="37">
        <v>1</v>
      </c>
      <c r="O2" s="37">
        <v>1</v>
      </c>
      <c r="P2" s="37">
        <v>2</v>
      </c>
      <c r="Q2" s="37">
        <v>0</v>
      </c>
      <c r="R2" s="37">
        <v>2</v>
      </c>
      <c r="S2" s="37">
        <v>1</v>
      </c>
      <c r="T2" s="37">
        <v>2</v>
      </c>
      <c r="U2" s="37">
        <v>5</v>
      </c>
      <c r="V2" s="37">
        <v>0</v>
      </c>
      <c r="W2" s="37">
        <v>3</v>
      </c>
      <c r="X2" s="37">
        <v>0</v>
      </c>
      <c r="Y2" s="37">
        <v>1</v>
      </c>
      <c r="Z2" s="37">
        <v>1</v>
      </c>
      <c r="AA2" s="37">
        <v>0</v>
      </c>
      <c r="AB2" s="37">
        <v>2</v>
      </c>
      <c r="AC2" s="37">
        <v>6</v>
      </c>
      <c r="AD2" s="37">
        <v>0</v>
      </c>
      <c r="AE2" s="37">
        <v>0</v>
      </c>
      <c r="AF2" s="37">
        <v>0</v>
      </c>
      <c r="AG2" s="37">
        <v>2</v>
      </c>
      <c r="AH2" s="37">
        <v>0</v>
      </c>
      <c r="AI2" s="37">
        <v>4</v>
      </c>
      <c r="AJ2" s="37">
        <v>0</v>
      </c>
      <c r="AK2" s="37">
        <v>0</v>
      </c>
      <c r="AL2" s="37">
        <v>4</v>
      </c>
      <c r="AM2" s="37">
        <v>4</v>
      </c>
      <c r="AN2" s="37">
        <v>0</v>
      </c>
      <c r="AO2" s="37">
        <v>1</v>
      </c>
      <c r="AP2" s="37">
        <v>0</v>
      </c>
      <c r="AQ2" s="37">
        <v>2</v>
      </c>
      <c r="AR2" s="37">
        <v>1</v>
      </c>
      <c r="AS2" s="37">
        <v>4</v>
      </c>
      <c r="AT2" s="37">
        <v>2</v>
      </c>
      <c r="AU2" s="37">
        <v>5</v>
      </c>
      <c r="AV2" s="37">
        <v>0</v>
      </c>
      <c r="AW2" s="37">
        <v>0</v>
      </c>
      <c r="AX2" s="37">
        <v>3</v>
      </c>
      <c r="AY2" s="37">
        <v>0</v>
      </c>
      <c r="AZ2" s="37">
        <v>1</v>
      </c>
      <c r="BA2" s="37">
        <v>1</v>
      </c>
      <c r="BB2" s="37">
        <v>0</v>
      </c>
      <c r="BC2" s="37">
        <v>3</v>
      </c>
      <c r="BD2" s="37">
        <v>1</v>
      </c>
      <c r="BE2" s="37">
        <v>1</v>
      </c>
      <c r="BF2" s="37">
        <v>0</v>
      </c>
      <c r="BG2" s="37">
        <v>5</v>
      </c>
      <c r="BH2" s="37">
        <v>0</v>
      </c>
      <c r="BI2" s="37">
        <v>0</v>
      </c>
      <c r="BJ2" s="37">
        <v>3</v>
      </c>
      <c r="BK2" s="37">
        <v>2</v>
      </c>
      <c r="BL2" s="37">
        <v>3</v>
      </c>
      <c r="BM2" s="37">
        <v>2</v>
      </c>
      <c r="BN2" s="37">
        <v>1</v>
      </c>
      <c r="BO2" s="37">
        <v>4</v>
      </c>
      <c r="BP2" s="37">
        <v>0</v>
      </c>
      <c r="BQ2" s="37">
        <v>4</v>
      </c>
      <c r="BR2" s="37">
        <v>0</v>
      </c>
      <c r="BS2" s="37">
        <v>3</v>
      </c>
      <c r="BT2" s="37">
        <v>1</v>
      </c>
      <c r="BU2" s="37">
        <v>0</v>
      </c>
      <c r="BV2" s="37">
        <v>2</v>
      </c>
      <c r="BW2" s="37">
        <v>4</v>
      </c>
      <c r="BX2" s="37">
        <v>0</v>
      </c>
      <c r="BY2" s="37">
        <v>5</v>
      </c>
      <c r="BZ2" s="37">
        <v>0</v>
      </c>
      <c r="CA2" s="37">
        <v>3</v>
      </c>
      <c r="CB2" s="37">
        <v>0</v>
      </c>
      <c r="CC2" s="37">
        <v>1</v>
      </c>
      <c r="CD2" s="37">
        <v>2</v>
      </c>
      <c r="CE2" s="37">
        <v>2</v>
      </c>
      <c r="CF2" s="37">
        <v>2</v>
      </c>
      <c r="CG2" s="37">
        <v>5</v>
      </c>
      <c r="CH2" s="37">
        <v>0</v>
      </c>
      <c r="CI2" s="37">
        <v>3</v>
      </c>
      <c r="CJ2" s="37">
        <v>0</v>
      </c>
      <c r="CK2" s="37">
        <v>0</v>
      </c>
      <c r="CL2" s="37">
        <v>0</v>
      </c>
      <c r="CM2" s="37">
        <v>5</v>
      </c>
      <c r="CN2" s="37">
        <v>0</v>
      </c>
      <c r="CO2" s="37">
        <v>0</v>
      </c>
      <c r="CP2" s="37">
        <v>4</v>
      </c>
      <c r="CQ2" s="37">
        <v>5</v>
      </c>
      <c r="CR2" s="37">
        <v>0</v>
      </c>
      <c r="CS2" s="37">
        <v>2</v>
      </c>
      <c r="CT2" s="37">
        <v>1</v>
      </c>
      <c r="CU2" s="37">
        <v>0</v>
      </c>
      <c r="CV2" s="37">
        <v>4</v>
      </c>
      <c r="CW2" s="37">
        <v>4</v>
      </c>
      <c r="CX2" s="37">
        <v>0</v>
      </c>
      <c r="CY2" s="37">
        <v>3</v>
      </c>
      <c r="CZ2" s="37">
        <v>2</v>
      </c>
      <c r="DA2" s="37">
        <v>1</v>
      </c>
      <c r="DB2" s="37">
        <v>1</v>
      </c>
      <c r="DC2" s="37">
        <v>1</v>
      </c>
      <c r="DD2" s="37">
        <v>3</v>
      </c>
      <c r="DE2" s="37">
        <v>0</v>
      </c>
      <c r="DF2" s="37">
        <v>1</v>
      </c>
      <c r="DG2" s="37">
        <v>0</v>
      </c>
      <c r="DH2" s="37">
        <v>2</v>
      </c>
      <c r="DI2" s="37">
        <v>2</v>
      </c>
      <c r="DJ2" s="37">
        <v>4</v>
      </c>
      <c r="DK2" s="37">
        <v>2</v>
      </c>
      <c r="DL2" s="37">
        <v>2</v>
      </c>
      <c r="DM2" s="37">
        <v>0</v>
      </c>
      <c r="DN2" s="37">
        <v>3</v>
      </c>
      <c r="DO2" s="37">
        <v>1</v>
      </c>
      <c r="DP2" s="37">
        <v>0</v>
      </c>
      <c r="DQ2" s="37">
        <v>1</v>
      </c>
      <c r="DR2" s="37">
        <v>0</v>
      </c>
      <c r="DS2" s="37">
        <v>1</v>
      </c>
      <c r="DT2" s="37">
        <v>3</v>
      </c>
      <c r="DU2" s="37">
        <v>2</v>
      </c>
      <c r="DV2" s="37">
        <v>0</v>
      </c>
      <c r="DW2" s="37">
        <v>2</v>
      </c>
      <c r="DX2" s="37">
        <v>1</v>
      </c>
      <c r="DY2" s="37">
        <v>0</v>
      </c>
      <c r="DZ2" s="37">
        <v>4</v>
      </c>
      <c r="EA2" s="37">
        <v>0</v>
      </c>
      <c r="EB2" s="37">
        <v>1</v>
      </c>
      <c r="EC2" s="37">
        <v>1</v>
      </c>
      <c r="ED2" s="37">
        <v>2</v>
      </c>
      <c r="EE2" s="37">
        <v>0</v>
      </c>
      <c r="EF2" s="37">
        <v>6</v>
      </c>
      <c r="EG2" s="37">
        <v>3</v>
      </c>
      <c r="EH2" s="37">
        <v>0</v>
      </c>
      <c r="EI2" s="37">
        <v>0</v>
      </c>
      <c r="EJ2" s="37">
        <v>0</v>
      </c>
      <c r="EK2" s="37">
        <v>0</v>
      </c>
      <c r="EL2" s="37">
        <v>4</v>
      </c>
      <c r="EM2" s="37">
        <v>0</v>
      </c>
      <c r="EN2" s="37">
        <v>2</v>
      </c>
      <c r="EO2" s="37">
        <v>1</v>
      </c>
      <c r="EP2" s="37">
        <v>1</v>
      </c>
    </row>
    <row r="3" spans="1:146">
      <c r="A3" s="37">
        <v>2</v>
      </c>
      <c r="B3" s="43" t="s">
        <v>911</v>
      </c>
      <c r="C3" s="37">
        <v>2</v>
      </c>
      <c r="D3" s="37">
        <v>0</v>
      </c>
      <c r="E3" s="37">
        <v>1</v>
      </c>
      <c r="F3" s="37">
        <v>1</v>
      </c>
      <c r="G3" s="37">
        <v>1</v>
      </c>
      <c r="H3" s="37">
        <v>1</v>
      </c>
      <c r="I3" s="37">
        <v>2</v>
      </c>
      <c r="J3" s="37">
        <v>0</v>
      </c>
      <c r="K3" s="37">
        <v>0</v>
      </c>
      <c r="L3" s="37">
        <v>2</v>
      </c>
      <c r="M3" s="37">
        <v>1</v>
      </c>
      <c r="N3" s="37">
        <v>1</v>
      </c>
      <c r="O3" s="37">
        <v>2</v>
      </c>
      <c r="P3" s="37">
        <v>0</v>
      </c>
      <c r="Q3" s="37">
        <v>0</v>
      </c>
      <c r="R3" s="37">
        <v>1</v>
      </c>
      <c r="S3" s="37">
        <v>1</v>
      </c>
      <c r="T3" s="37">
        <v>1</v>
      </c>
      <c r="U3" s="37">
        <v>3</v>
      </c>
      <c r="V3" s="37">
        <v>0</v>
      </c>
      <c r="W3" s="37">
        <v>2</v>
      </c>
      <c r="X3" s="37">
        <v>1</v>
      </c>
      <c r="Y3" s="37">
        <v>1</v>
      </c>
      <c r="Z3" s="37">
        <v>0</v>
      </c>
      <c r="AA3" s="37">
        <v>1</v>
      </c>
      <c r="AB3" s="37">
        <v>2</v>
      </c>
      <c r="AC3" s="37">
        <v>3</v>
      </c>
      <c r="AD3" s="37">
        <v>0</v>
      </c>
      <c r="AE3" s="37">
        <v>0</v>
      </c>
      <c r="AF3" s="37">
        <v>0</v>
      </c>
      <c r="AG3" s="37">
        <v>2</v>
      </c>
      <c r="AH3" s="37">
        <v>0</v>
      </c>
      <c r="AI3" s="37">
        <v>2</v>
      </c>
      <c r="AJ3" s="37">
        <v>1</v>
      </c>
      <c r="AK3" s="37">
        <v>0</v>
      </c>
      <c r="AL3" s="37">
        <v>2</v>
      </c>
      <c r="AM3" s="37">
        <v>2</v>
      </c>
      <c r="AN3" s="37">
        <v>0</v>
      </c>
      <c r="AO3" s="37">
        <v>1</v>
      </c>
      <c r="AP3" s="37">
        <v>0</v>
      </c>
      <c r="AQ3" s="37">
        <v>1</v>
      </c>
      <c r="AR3" s="37">
        <v>2</v>
      </c>
      <c r="AS3" s="37">
        <v>1</v>
      </c>
      <c r="AT3" s="37">
        <v>0</v>
      </c>
      <c r="AU3" s="37">
        <v>2</v>
      </c>
      <c r="AV3" s="37">
        <v>0</v>
      </c>
      <c r="AW3" s="37">
        <v>1</v>
      </c>
      <c r="AX3" s="37">
        <v>1</v>
      </c>
      <c r="AY3" s="37">
        <v>1</v>
      </c>
      <c r="AZ3" s="37">
        <v>0</v>
      </c>
      <c r="BA3" s="37">
        <v>1</v>
      </c>
      <c r="BB3" s="37">
        <v>1</v>
      </c>
      <c r="BC3" s="37">
        <v>2</v>
      </c>
      <c r="BD3" s="37">
        <v>0</v>
      </c>
      <c r="BE3" s="37">
        <v>2</v>
      </c>
      <c r="BF3" s="37">
        <v>1</v>
      </c>
      <c r="BG3" s="37">
        <v>3</v>
      </c>
      <c r="BH3" s="37">
        <v>1</v>
      </c>
      <c r="BI3" s="37">
        <v>0</v>
      </c>
      <c r="BJ3" s="37">
        <v>1</v>
      </c>
      <c r="BK3" s="37">
        <v>0</v>
      </c>
      <c r="BL3" s="37">
        <v>1</v>
      </c>
      <c r="BM3" s="37">
        <v>2</v>
      </c>
      <c r="BN3" s="37">
        <v>1</v>
      </c>
      <c r="BO3" s="37">
        <v>2</v>
      </c>
      <c r="BP3" s="37">
        <v>1</v>
      </c>
      <c r="BQ3" s="37">
        <v>2</v>
      </c>
      <c r="BR3" s="37">
        <v>0</v>
      </c>
      <c r="BS3" s="37">
        <v>2</v>
      </c>
      <c r="BT3" s="37">
        <v>0</v>
      </c>
      <c r="BU3" s="37">
        <v>1</v>
      </c>
      <c r="BV3" s="37">
        <v>1</v>
      </c>
      <c r="BW3" s="37">
        <v>2</v>
      </c>
      <c r="BX3" s="37">
        <v>0</v>
      </c>
      <c r="BY3" s="37">
        <v>2</v>
      </c>
      <c r="BZ3" s="37">
        <v>0</v>
      </c>
      <c r="CA3" s="37">
        <v>3</v>
      </c>
      <c r="CB3" s="37">
        <v>1</v>
      </c>
      <c r="CC3" s="37">
        <v>0</v>
      </c>
      <c r="CD3" s="37">
        <v>2</v>
      </c>
      <c r="CE3" s="37">
        <v>1</v>
      </c>
      <c r="CF3" s="37">
        <v>2</v>
      </c>
      <c r="CG3" s="37">
        <v>3</v>
      </c>
      <c r="CH3" s="37">
        <v>0</v>
      </c>
      <c r="CI3" s="37">
        <v>3</v>
      </c>
      <c r="CJ3" s="37">
        <v>1</v>
      </c>
      <c r="CK3" s="37">
        <v>1</v>
      </c>
      <c r="CL3" s="37">
        <v>2</v>
      </c>
      <c r="CM3" s="37">
        <v>2</v>
      </c>
      <c r="CN3" s="37">
        <v>0</v>
      </c>
      <c r="CO3" s="37">
        <v>1</v>
      </c>
      <c r="CP3" s="37">
        <v>1</v>
      </c>
      <c r="CQ3" s="37">
        <v>3</v>
      </c>
      <c r="CR3" s="37">
        <v>0</v>
      </c>
      <c r="CS3" s="37">
        <v>2</v>
      </c>
      <c r="CT3" s="37">
        <v>1</v>
      </c>
      <c r="CU3" s="37">
        <v>1</v>
      </c>
      <c r="CV3" s="37">
        <v>2</v>
      </c>
      <c r="CW3" s="37">
        <v>2</v>
      </c>
      <c r="CX3" s="37">
        <v>0</v>
      </c>
      <c r="CY3" s="37">
        <v>0</v>
      </c>
      <c r="CZ3" s="37">
        <v>1</v>
      </c>
      <c r="DA3" s="37"/>
      <c r="DB3" s="37">
        <v>1</v>
      </c>
      <c r="DC3" s="37">
        <v>0</v>
      </c>
      <c r="DD3" s="37">
        <v>1</v>
      </c>
      <c r="DE3" s="37">
        <v>1</v>
      </c>
      <c r="DF3" s="37">
        <v>2</v>
      </c>
      <c r="DG3" s="37">
        <v>1</v>
      </c>
      <c r="DH3" s="37">
        <v>2</v>
      </c>
      <c r="DI3" s="37">
        <v>0</v>
      </c>
      <c r="DJ3" s="37">
        <v>2</v>
      </c>
      <c r="DK3" s="37">
        <v>2</v>
      </c>
      <c r="DL3" s="37">
        <v>1</v>
      </c>
      <c r="DM3" s="37">
        <v>1</v>
      </c>
      <c r="DN3" s="37">
        <v>3</v>
      </c>
      <c r="DO3" s="37">
        <v>1</v>
      </c>
      <c r="DP3" s="37">
        <v>1</v>
      </c>
      <c r="DQ3" s="37">
        <v>3</v>
      </c>
      <c r="DR3" s="37">
        <v>0</v>
      </c>
      <c r="DS3" s="37">
        <v>0</v>
      </c>
      <c r="DT3" s="37">
        <v>2</v>
      </c>
      <c r="DU3" s="37">
        <v>2</v>
      </c>
      <c r="DV3" s="37">
        <v>0</v>
      </c>
      <c r="DW3" s="37">
        <v>1</v>
      </c>
      <c r="DX3" s="37">
        <v>1</v>
      </c>
      <c r="DY3" s="37">
        <v>0</v>
      </c>
      <c r="DZ3" s="37">
        <v>2</v>
      </c>
      <c r="EA3" s="37">
        <v>0</v>
      </c>
      <c r="EB3" s="37">
        <v>2</v>
      </c>
      <c r="EC3" s="37">
        <v>1</v>
      </c>
      <c r="ED3" s="37">
        <v>2</v>
      </c>
      <c r="EE3" s="37">
        <v>1</v>
      </c>
      <c r="EF3" s="37">
        <v>2</v>
      </c>
      <c r="EG3" s="37">
        <v>2</v>
      </c>
      <c r="EH3" s="37">
        <v>0</v>
      </c>
      <c r="EI3" s="37"/>
      <c r="EJ3" s="37">
        <v>1</v>
      </c>
      <c r="EK3" s="37">
        <v>1</v>
      </c>
      <c r="EL3" s="37">
        <v>0</v>
      </c>
      <c r="EM3" s="37">
        <v>2</v>
      </c>
      <c r="EN3" s="37">
        <v>1</v>
      </c>
      <c r="EO3" s="37">
        <v>2</v>
      </c>
      <c r="EP3" s="37">
        <v>1</v>
      </c>
    </row>
    <row r="4" spans="1:146">
      <c r="A4" s="37">
        <v>3</v>
      </c>
      <c r="B4" s="43" t="s">
        <v>195</v>
      </c>
      <c r="C4" s="37">
        <v>2</v>
      </c>
      <c r="D4" s="37">
        <v>1</v>
      </c>
      <c r="E4" s="37">
        <v>1</v>
      </c>
      <c r="F4" s="37">
        <v>1</v>
      </c>
      <c r="G4" s="37">
        <v>1</v>
      </c>
      <c r="H4" s="37">
        <v>0</v>
      </c>
      <c r="I4" s="37">
        <v>2</v>
      </c>
      <c r="J4" s="37">
        <v>1</v>
      </c>
      <c r="K4" s="37">
        <v>1</v>
      </c>
      <c r="L4" s="37">
        <v>1</v>
      </c>
      <c r="M4" s="37">
        <v>1</v>
      </c>
      <c r="N4" s="37">
        <v>2</v>
      </c>
      <c r="O4" s="37">
        <v>2</v>
      </c>
      <c r="P4" s="37">
        <v>0</v>
      </c>
      <c r="Q4" s="37">
        <v>0</v>
      </c>
      <c r="R4" s="37">
        <v>2</v>
      </c>
      <c r="S4" s="37">
        <v>1</v>
      </c>
      <c r="T4" s="37">
        <v>1</v>
      </c>
      <c r="U4" s="37">
        <v>4</v>
      </c>
      <c r="V4" s="37">
        <v>0</v>
      </c>
      <c r="W4" s="37">
        <v>2</v>
      </c>
      <c r="X4" s="37">
        <v>1</v>
      </c>
      <c r="Y4" s="37">
        <v>2</v>
      </c>
      <c r="Z4" s="37">
        <v>0</v>
      </c>
      <c r="AA4" s="37">
        <v>0</v>
      </c>
      <c r="AB4" s="37">
        <v>1</v>
      </c>
      <c r="AC4" s="37">
        <v>2</v>
      </c>
      <c r="AD4" s="37">
        <v>0</v>
      </c>
      <c r="AE4" s="37">
        <v>1</v>
      </c>
      <c r="AF4" s="37">
        <v>0</v>
      </c>
      <c r="AG4" s="37">
        <v>2</v>
      </c>
      <c r="AH4" s="37">
        <v>1</v>
      </c>
      <c r="AI4" s="37">
        <v>3</v>
      </c>
      <c r="AJ4" s="37">
        <v>1</v>
      </c>
      <c r="AK4" s="37">
        <v>0</v>
      </c>
      <c r="AL4" s="37">
        <v>3</v>
      </c>
      <c r="AM4" s="37">
        <v>2</v>
      </c>
      <c r="AN4" s="37">
        <v>0</v>
      </c>
      <c r="AO4" s="37">
        <v>2</v>
      </c>
      <c r="AP4" s="37">
        <v>0</v>
      </c>
      <c r="AQ4" s="37">
        <v>1</v>
      </c>
      <c r="AR4" s="37">
        <v>1</v>
      </c>
      <c r="AS4" s="37">
        <v>2</v>
      </c>
      <c r="AT4" s="37">
        <v>1</v>
      </c>
      <c r="AU4" s="37">
        <v>3</v>
      </c>
      <c r="AV4" s="37">
        <v>0</v>
      </c>
      <c r="AW4" s="37">
        <v>0</v>
      </c>
      <c r="AX4" s="37">
        <v>2</v>
      </c>
      <c r="AY4" s="37">
        <v>2</v>
      </c>
      <c r="AZ4" s="37">
        <v>0</v>
      </c>
      <c r="BA4" s="37">
        <v>2</v>
      </c>
      <c r="BB4" s="37">
        <v>1</v>
      </c>
      <c r="BC4" s="37">
        <v>1</v>
      </c>
      <c r="BD4" s="37">
        <v>0</v>
      </c>
      <c r="BE4" s="37">
        <v>2</v>
      </c>
      <c r="BF4" s="37">
        <v>1</v>
      </c>
      <c r="BG4" s="37">
        <v>3</v>
      </c>
      <c r="BH4" s="37">
        <v>0</v>
      </c>
      <c r="BI4" s="37">
        <v>1</v>
      </c>
      <c r="BJ4" s="37">
        <v>2</v>
      </c>
      <c r="BK4" s="37">
        <v>2</v>
      </c>
      <c r="BL4" s="37">
        <v>0</v>
      </c>
      <c r="BM4" s="37">
        <v>2</v>
      </c>
      <c r="BN4" s="37">
        <v>0</v>
      </c>
      <c r="BO4" s="37">
        <v>3</v>
      </c>
      <c r="BP4" s="37">
        <v>1</v>
      </c>
      <c r="BQ4" s="37">
        <v>3</v>
      </c>
      <c r="BR4" s="37">
        <v>0</v>
      </c>
      <c r="BS4" s="37">
        <v>2</v>
      </c>
      <c r="BT4" s="37">
        <v>1</v>
      </c>
      <c r="BU4" s="37">
        <v>0</v>
      </c>
      <c r="BV4" s="37">
        <v>2</v>
      </c>
      <c r="BW4" s="37">
        <v>2</v>
      </c>
      <c r="BX4" s="37">
        <v>1</v>
      </c>
      <c r="BY4" s="37">
        <v>3</v>
      </c>
      <c r="BZ4" s="37">
        <v>1</v>
      </c>
      <c r="CA4" s="37">
        <v>3</v>
      </c>
      <c r="CB4" s="37">
        <v>0</v>
      </c>
      <c r="CC4" s="37">
        <v>0</v>
      </c>
      <c r="CD4" s="37">
        <v>2</v>
      </c>
      <c r="CE4" s="37">
        <v>2</v>
      </c>
      <c r="CF4" s="37">
        <v>1</v>
      </c>
      <c r="CG4" s="37">
        <v>3</v>
      </c>
      <c r="CH4" s="37">
        <v>0</v>
      </c>
      <c r="CI4" s="37">
        <v>2</v>
      </c>
      <c r="CJ4" s="37">
        <v>1</v>
      </c>
      <c r="CK4" s="37">
        <v>0</v>
      </c>
      <c r="CL4" s="37">
        <v>1</v>
      </c>
      <c r="CM4" s="37">
        <v>3</v>
      </c>
      <c r="CN4" s="37">
        <v>1</v>
      </c>
      <c r="CO4" s="37">
        <v>1</v>
      </c>
      <c r="CP4" s="37">
        <v>2</v>
      </c>
      <c r="CQ4" s="37">
        <v>3</v>
      </c>
      <c r="CR4" s="37">
        <v>0</v>
      </c>
      <c r="CS4" s="37">
        <v>2</v>
      </c>
      <c r="CT4" s="37">
        <v>0</v>
      </c>
      <c r="CU4" s="37">
        <v>1</v>
      </c>
      <c r="CV4" s="37">
        <v>3</v>
      </c>
      <c r="CW4" s="37">
        <v>2</v>
      </c>
      <c r="CX4" s="37">
        <v>1</v>
      </c>
      <c r="CY4" s="37">
        <v>2</v>
      </c>
      <c r="CZ4" s="37">
        <v>1</v>
      </c>
      <c r="DA4" s="37">
        <v>2</v>
      </c>
      <c r="DB4" s="37">
        <v>0</v>
      </c>
      <c r="DC4" s="37">
        <v>0</v>
      </c>
      <c r="DD4" s="37">
        <v>2</v>
      </c>
      <c r="DE4" s="37">
        <v>1</v>
      </c>
      <c r="DF4" s="37">
        <v>1</v>
      </c>
      <c r="DG4" s="37">
        <v>0</v>
      </c>
      <c r="DH4" s="37">
        <v>2</v>
      </c>
      <c r="DI4" s="37">
        <v>1</v>
      </c>
      <c r="DJ4" s="37">
        <v>3</v>
      </c>
      <c r="DK4" s="37">
        <v>2</v>
      </c>
      <c r="DL4" s="37">
        <v>2</v>
      </c>
      <c r="DM4" s="37">
        <v>0</v>
      </c>
      <c r="DN4" s="37">
        <v>3</v>
      </c>
      <c r="DO4" s="37">
        <v>2</v>
      </c>
      <c r="DP4" s="37">
        <v>1</v>
      </c>
      <c r="DQ4" s="37">
        <v>1</v>
      </c>
      <c r="DR4" s="37">
        <v>1</v>
      </c>
      <c r="DS4" s="37">
        <v>2</v>
      </c>
      <c r="DT4" s="37">
        <v>2</v>
      </c>
      <c r="DU4" s="37">
        <v>1</v>
      </c>
      <c r="DV4" s="37">
        <v>1</v>
      </c>
      <c r="DW4" s="37">
        <v>3</v>
      </c>
      <c r="DX4" s="37">
        <v>0</v>
      </c>
      <c r="DY4" s="37">
        <v>0</v>
      </c>
      <c r="DZ4" s="37">
        <v>3</v>
      </c>
      <c r="EA4" s="37">
        <v>0</v>
      </c>
      <c r="EB4" s="37">
        <v>1</v>
      </c>
      <c r="EC4" s="37">
        <v>1</v>
      </c>
      <c r="ED4" s="37">
        <v>2</v>
      </c>
      <c r="EE4" s="37">
        <v>0</v>
      </c>
      <c r="EF4" s="37">
        <v>3</v>
      </c>
      <c r="EG4" s="37">
        <v>2</v>
      </c>
      <c r="EH4" s="37">
        <v>0</v>
      </c>
      <c r="EI4" s="37">
        <v>1</v>
      </c>
      <c r="EJ4" s="37">
        <v>2</v>
      </c>
      <c r="EK4" s="37">
        <v>0</v>
      </c>
      <c r="EL4" s="37">
        <v>2</v>
      </c>
      <c r="EM4" s="37">
        <v>1</v>
      </c>
      <c r="EN4" s="37">
        <v>1</v>
      </c>
      <c r="EO4" s="37">
        <v>1</v>
      </c>
      <c r="EP4" s="37">
        <v>1</v>
      </c>
    </row>
    <row r="5" spans="1:146">
      <c r="A5" s="37">
        <v>4</v>
      </c>
      <c r="B5" s="43" t="s">
        <v>196</v>
      </c>
      <c r="C5" s="37">
        <v>2</v>
      </c>
      <c r="D5" s="37">
        <v>0</v>
      </c>
      <c r="E5" s="37">
        <v>0</v>
      </c>
      <c r="F5" s="37">
        <v>1</v>
      </c>
      <c r="G5" s="37">
        <v>2</v>
      </c>
      <c r="H5" s="37">
        <v>0</v>
      </c>
      <c r="I5" s="37">
        <v>2</v>
      </c>
      <c r="J5" s="37">
        <v>0</v>
      </c>
      <c r="K5" s="37">
        <v>0</v>
      </c>
      <c r="L5" s="37">
        <v>1</v>
      </c>
      <c r="M5" s="37">
        <v>0</v>
      </c>
      <c r="N5" s="37">
        <v>2</v>
      </c>
      <c r="O5" s="37">
        <v>2</v>
      </c>
      <c r="P5" s="37">
        <v>1</v>
      </c>
      <c r="Q5" s="37">
        <v>0</v>
      </c>
      <c r="R5" s="37">
        <v>2</v>
      </c>
      <c r="S5" s="37">
        <v>0</v>
      </c>
      <c r="T5" s="37">
        <v>1</v>
      </c>
      <c r="U5" s="37">
        <v>3</v>
      </c>
      <c r="V5" s="37">
        <v>0</v>
      </c>
      <c r="W5" s="37">
        <v>2</v>
      </c>
      <c r="X5" s="37">
        <v>2</v>
      </c>
      <c r="Y5" s="37">
        <v>2</v>
      </c>
      <c r="Z5" s="37">
        <v>1</v>
      </c>
      <c r="AA5" s="37">
        <v>1</v>
      </c>
      <c r="AB5" s="37">
        <v>1</v>
      </c>
      <c r="AC5" s="37">
        <v>3</v>
      </c>
      <c r="AD5" s="37">
        <v>0</v>
      </c>
      <c r="AE5" s="37">
        <v>0</v>
      </c>
      <c r="AF5" s="37">
        <v>0</v>
      </c>
      <c r="AG5" s="37">
        <v>3</v>
      </c>
      <c r="AH5" s="37">
        <v>1</v>
      </c>
      <c r="AI5" s="37">
        <v>3</v>
      </c>
      <c r="AJ5" s="37">
        <v>0</v>
      </c>
      <c r="AK5" s="37">
        <v>0</v>
      </c>
      <c r="AL5" s="37">
        <v>2</v>
      </c>
      <c r="AM5" s="37">
        <v>2</v>
      </c>
      <c r="AN5" s="37">
        <v>1</v>
      </c>
      <c r="AO5" s="37">
        <v>1</v>
      </c>
      <c r="AP5" s="37">
        <v>0</v>
      </c>
      <c r="AQ5" s="37">
        <v>1</v>
      </c>
      <c r="AR5" s="37">
        <v>2</v>
      </c>
      <c r="AS5" s="37">
        <v>1</v>
      </c>
      <c r="AT5" s="37">
        <v>1</v>
      </c>
      <c r="AU5" s="37">
        <v>2</v>
      </c>
      <c r="AV5" s="37">
        <v>0</v>
      </c>
      <c r="AW5" s="37">
        <v>0</v>
      </c>
      <c r="AX5" s="37">
        <v>3</v>
      </c>
      <c r="AY5" s="37">
        <v>2</v>
      </c>
      <c r="AZ5" s="37">
        <v>1</v>
      </c>
      <c r="BA5" s="37">
        <v>2</v>
      </c>
      <c r="BB5" s="37">
        <v>2</v>
      </c>
      <c r="BC5" s="37">
        <v>2</v>
      </c>
      <c r="BD5" s="37">
        <v>0</v>
      </c>
      <c r="BE5" s="37">
        <v>2</v>
      </c>
      <c r="BF5" s="37">
        <v>0</v>
      </c>
      <c r="BG5" s="37">
        <v>3</v>
      </c>
      <c r="BH5" s="37">
        <v>1</v>
      </c>
      <c r="BI5" s="37">
        <v>0</v>
      </c>
      <c r="BJ5" s="37">
        <v>2</v>
      </c>
      <c r="BK5" s="37">
        <v>2</v>
      </c>
      <c r="BL5" s="37">
        <v>1</v>
      </c>
      <c r="BM5" s="37">
        <v>3</v>
      </c>
      <c r="BN5" s="37">
        <v>0</v>
      </c>
      <c r="BO5" s="37">
        <v>4</v>
      </c>
      <c r="BP5" s="37">
        <v>1</v>
      </c>
      <c r="BQ5" s="37">
        <v>2</v>
      </c>
      <c r="BR5" s="37">
        <v>0</v>
      </c>
      <c r="BS5" s="37">
        <v>1</v>
      </c>
      <c r="BT5" s="37">
        <v>1</v>
      </c>
      <c r="BU5" s="37">
        <v>0</v>
      </c>
      <c r="BV5" s="37">
        <v>2</v>
      </c>
      <c r="BW5" s="37">
        <v>2</v>
      </c>
      <c r="BX5" s="37">
        <v>0</v>
      </c>
      <c r="BY5" s="37">
        <v>3</v>
      </c>
      <c r="BZ5" s="37">
        <v>1</v>
      </c>
      <c r="CA5" s="37">
        <v>3</v>
      </c>
      <c r="CB5" s="37">
        <v>0</v>
      </c>
      <c r="CC5" s="37">
        <v>0</v>
      </c>
      <c r="CD5" s="37">
        <v>3</v>
      </c>
      <c r="CE5" s="37">
        <v>4</v>
      </c>
      <c r="CF5" s="37">
        <v>1</v>
      </c>
      <c r="CG5" s="37">
        <v>3</v>
      </c>
      <c r="CH5" s="37">
        <v>0</v>
      </c>
      <c r="CI5" s="37">
        <v>2</v>
      </c>
      <c r="CJ5" s="37">
        <v>1</v>
      </c>
      <c r="CK5" s="37">
        <v>0</v>
      </c>
      <c r="CL5" s="37">
        <v>2</v>
      </c>
      <c r="CM5" s="37">
        <v>3</v>
      </c>
      <c r="CN5" s="37">
        <v>0</v>
      </c>
      <c r="CO5" s="37">
        <v>1</v>
      </c>
      <c r="CP5" s="37">
        <v>1</v>
      </c>
      <c r="CQ5" s="37">
        <v>3</v>
      </c>
      <c r="CR5" s="37">
        <v>0</v>
      </c>
      <c r="CS5" s="37">
        <v>3</v>
      </c>
      <c r="CT5" s="37">
        <v>0</v>
      </c>
      <c r="CU5" s="37">
        <v>0</v>
      </c>
      <c r="CV5" s="37">
        <v>3</v>
      </c>
      <c r="CW5" s="37">
        <v>2</v>
      </c>
      <c r="CX5" s="37">
        <v>0</v>
      </c>
      <c r="CY5" s="37">
        <v>1</v>
      </c>
      <c r="CZ5" s="37">
        <v>1</v>
      </c>
      <c r="DA5" s="37">
        <v>1</v>
      </c>
      <c r="DB5" s="37">
        <v>0</v>
      </c>
      <c r="DC5" s="37">
        <v>1</v>
      </c>
      <c r="DD5" s="37">
        <v>2</v>
      </c>
      <c r="DE5" s="37">
        <v>0</v>
      </c>
      <c r="DF5" s="37">
        <v>1</v>
      </c>
      <c r="DG5" s="37">
        <v>0</v>
      </c>
      <c r="DH5" s="37">
        <v>1</v>
      </c>
      <c r="DI5" s="37">
        <v>1</v>
      </c>
      <c r="DJ5" s="37">
        <v>2</v>
      </c>
      <c r="DK5" s="37">
        <v>2</v>
      </c>
      <c r="DL5" s="37">
        <v>2</v>
      </c>
      <c r="DM5" s="37">
        <v>0</v>
      </c>
      <c r="DN5" s="37">
        <v>2</v>
      </c>
      <c r="DO5" s="37">
        <v>1</v>
      </c>
      <c r="DP5" s="37">
        <v>1</v>
      </c>
      <c r="DQ5" s="37">
        <v>1</v>
      </c>
      <c r="DR5" s="37">
        <v>0</v>
      </c>
      <c r="DS5" s="37">
        <v>2</v>
      </c>
      <c r="DT5" s="37">
        <v>2</v>
      </c>
      <c r="DU5" s="37">
        <v>1</v>
      </c>
      <c r="DV5" s="37">
        <v>0</v>
      </c>
      <c r="DW5" s="37">
        <v>2</v>
      </c>
      <c r="DX5" s="37">
        <v>0</v>
      </c>
      <c r="DY5" s="37">
        <v>0</v>
      </c>
      <c r="DZ5" s="37">
        <v>4</v>
      </c>
      <c r="EA5" s="37">
        <v>0</v>
      </c>
      <c r="EB5" s="37">
        <v>2</v>
      </c>
      <c r="EC5" s="37">
        <v>1</v>
      </c>
      <c r="ED5" s="37">
        <v>3</v>
      </c>
      <c r="EE5" s="37">
        <v>1</v>
      </c>
      <c r="EF5" s="37">
        <v>4</v>
      </c>
      <c r="EG5" s="37">
        <v>2</v>
      </c>
      <c r="EH5" s="37">
        <v>1</v>
      </c>
      <c r="EI5" s="37">
        <v>1</v>
      </c>
      <c r="EJ5" s="37">
        <v>1</v>
      </c>
      <c r="EK5" s="37">
        <v>0</v>
      </c>
      <c r="EL5" s="37">
        <v>3</v>
      </c>
      <c r="EM5" s="37">
        <v>2</v>
      </c>
      <c r="EN5" s="37">
        <v>2</v>
      </c>
      <c r="EO5" s="37">
        <v>0</v>
      </c>
      <c r="EP5" s="37">
        <v>0</v>
      </c>
    </row>
    <row r="6" spans="1:146">
      <c r="A6" s="37">
        <v>5</v>
      </c>
      <c r="B6" s="43" t="s">
        <v>912</v>
      </c>
      <c r="C6" s="37">
        <v>2</v>
      </c>
      <c r="D6" s="37">
        <v>0</v>
      </c>
      <c r="E6" s="37">
        <v>1</v>
      </c>
      <c r="F6" s="37">
        <v>1</v>
      </c>
      <c r="G6" s="37">
        <v>2</v>
      </c>
      <c r="H6" s="37">
        <v>1</v>
      </c>
      <c r="I6" s="37">
        <v>2</v>
      </c>
      <c r="J6" s="37">
        <v>1</v>
      </c>
      <c r="K6" s="37">
        <v>2</v>
      </c>
      <c r="L6" s="37">
        <v>0</v>
      </c>
      <c r="M6" s="37">
        <v>1</v>
      </c>
      <c r="N6" s="37">
        <v>1</v>
      </c>
      <c r="O6" s="37">
        <v>2</v>
      </c>
      <c r="P6" s="37">
        <v>1</v>
      </c>
      <c r="Q6" s="37">
        <v>2</v>
      </c>
      <c r="R6" s="37">
        <v>0</v>
      </c>
      <c r="S6" s="37">
        <v>1</v>
      </c>
      <c r="T6" s="37">
        <v>1</v>
      </c>
      <c r="U6" s="37">
        <v>4</v>
      </c>
      <c r="V6" s="37">
        <v>0</v>
      </c>
      <c r="W6" s="37">
        <v>2</v>
      </c>
      <c r="X6" s="37">
        <v>1</v>
      </c>
      <c r="Y6" s="37">
        <v>1</v>
      </c>
      <c r="Z6" s="37">
        <v>0</v>
      </c>
      <c r="AA6" s="37">
        <v>3</v>
      </c>
      <c r="AB6" s="37">
        <v>0</v>
      </c>
      <c r="AC6" s="37">
        <v>3</v>
      </c>
      <c r="AD6" s="37">
        <v>0</v>
      </c>
      <c r="AE6" s="37">
        <v>2</v>
      </c>
      <c r="AF6" s="37">
        <v>0</v>
      </c>
      <c r="AG6" s="37">
        <v>2</v>
      </c>
      <c r="AH6" s="37">
        <v>1</v>
      </c>
      <c r="AI6" s="37">
        <v>2</v>
      </c>
      <c r="AJ6" s="37">
        <v>1</v>
      </c>
      <c r="AK6" s="37">
        <v>2</v>
      </c>
      <c r="AL6" s="37">
        <v>0</v>
      </c>
      <c r="AM6" s="37">
        <v>3</v>
      </c>
      <c r="AN6" s="37">
        <v>0</v>
      </c>
      <c r="AO6" s="37">
        <v>2</v>
      </c>
      <c r="AP6" s="37">
        <v>0</v>
      </c>
      <c r="AQ6" s="37">
        <v>1</v>
      </c>
      <c r="AR6" s="37">
        <v>1</v>
      </c>
      <c r="AS6" s="37">
        <v>2</v>
      </c>
      <c r="AT6" s="37">
        <v>1</v>
      </c>
      <c r="AU6" s="37">
        <v>3</v>
      </c>
      <c r="AV6" s="37">
        <v>0</v>
      </c>
      <c r="AW6" s="37">
        <v>2</v>
      </c>
      <c r="AX6" s="37">
        <v>0</v>
      </c>
      <c r="AY6" s="37">
        <v>2</v>
      </c>
      <c r="AZ6" s="37">
        <v>1</v>
      </c>
      <c r="BA6" s="37">
        <v>2</v>
      </c>
      <c r="BB6" s="37">
        <v>0</v>
      </c>
      <c r="BC6" s="37">
        <v>1</v>
      </c>
      <c r="BD6" s="37">
        <v>1</v>
      </c>
      <c r="BE6" s="37">
        <v>2</v>
      </c>
      <c r="BF6" s="37">
        <v>1</v>
      </c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</row>
    <row r="7" spans="1:146">
      <c r="A7" s="37">
        <v>6</v>
      </c>
      <c r="B7" s="43" t="s">
        <v>197</v>
      </c>
      <c r="C7" s="37">
        <v>2</v>
      </c>
      <c r="D7" s="37">
        <v>0</v>
      </c>
      <c r="E7" s="37">
        <v>1</v>
      </c>
      <c r="F7" s="37">
        <v>1</v>
      </c>
      <c r="G7" s="37">
        <v>3</v>
      </c>
      <c r="H7" s="37">
        <v>1</v>
      </c>
      <c r="I7" s="37">
        <v>2</v>
      </c>
      <c r="J7" s="37">
        <v>0</v>
      </c>
      <c r="K7" s="37">
        <v>0</v>
      </c>
      <c r="L7" s="37">
        <v>3</v>
      </c>
      <c r="M7" s="37">
        <v>1</v>
      </c>
      <c r="N7" s="37">
        <v>2</v>
      </c>
      <c r="O7" s="37">
        <v>2</v>
      </c>
      <c r="P7" s="37">
        <v>2</v>
      </c>
      <c r="Q7" s="37">
        <v>0</v>
      </c>
      <c r="R7" s="37">
        <v>2</v>
      </c>
      <c r="S7" s="37">
        <v>1</v>
      </c>
      <c r="T7" s="37">
        <v>1</v>
      </c>
      <c r="U7" s="37">
        <v>4</v>
      </c>
      <c r="V7" s="37">
        <v>0</v>
      </c>
      <c r="W7" s="37">
        <v>3</v>
      </c>
      <c r="X7" s="37">
        <v>0</v>
      </c>
      <c r="Y7" s="37">
        <v>2</v>
      </c>
      <c r="Z7" s="37">
        <v>1</v>
      </c>
      <c r="AA7" s="37">
        <v>0</v>
      </c>
      <c r="AB7" s="37">
        <v>1</v>
      </c>
      <c r="AC7" s="37">
        <v>3</v>
      </c>
      <c r="AD7" s="37">
        <v>0</v>
      </c>
      <c r="AE7" s="37">
        <v>0</v>
      </c>
      <c r="AF7" s="37">
        <v>2</v>
      </c>
      <c r="AG7" s="37">
        <v>3</v>
      </c>
      <c r="AH7" s="37">
        <v>1</v>
      </c>
      <c r="AI7" s="37">
        <v>4</v>
      </c>
      <c r="AJ7" s="37">
        <v>0</v>
      </c>
      <c r="AK7" s="37">
        <v>0</v>
      </c>
      <c r="AL7" s="37">
        <v>1</v>
      </c>
      <c r="AM7" s="37">
        <v>3</v>
      </c>
      <c r="AN7" s="37">
        <v>1</v>
      </c>
      <c r="AO7" s="37">
        <v>2</v>
      </c>
      <c r="AP7" s="37">
        <v>1</v>
      </c>
      <c r="AQ7" s="37">
        <v>0</v>
      </c>
      <c r="AR7" s="37">
        <v>1</v>
      </c>
      <c r="AS7" s="37">
        <v>3</v>
      </c>
      <c r="AT7" s="37">
        <v>2</v>
      </c>
      <c r="AU7" s="37">
        <v>4</v>
      </c>
      <c r="AV7" s="37">
        <v>0</v>
      </c>
      <c r="AW7" s="37">
        <v>0</v>
      </c>
      <c r="AX7" s="37">
        <v>4</v>
      </c>
      <c r="AY7" s="37">
        <v>0</v>
      </c>
      <c r="AZ7" s="37">
        <v>1</v>
      </c>
      <c r="BA7" s="37">
        <v>3</v>
      </c>
      <c r="BB7" s="37">
        <v>2</v>
      </c>
      <c r="BC7" s="37">
        <v>2</v>
      </c>
      <c r="BD7" s="37">
        <v>1</v>
      </c>
      <c r="BE7" s="37">
        <v>3</v>
      </c>
      <c r="BF7" s="37">
        <v>1</v>
      </c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</row>
    <row r="8" spans="1:146">
      <c r="A8" s="37">
        <v>7</v>
      </c>
      <c r="B8" s="43" t="s">
        <v>198</v>
      </c>
      <c r="C8" s="37">
        <v>2</v>
      </c>
      <c r="D8" s="37">
        <v>1</v>
      </c>
      <c r="E8" s="37">
        <v>1</v>
      </c>
      <c r="F8" s="37">
        <v>1</v>
      </c>
      <c r="G8" s="37">
        <v>2</v>
      </c>
      <c r="H8" s="37">
        <v>1</v>
      </c>
      <c r="I8" s="37">
        <v>2</v>
      </c>
      <c r="J8" s="37">
        <v>0</v>
      </c>
      <c r="K8" s="37">
        <v>0</v>
      </c>
      <c r="L8" s="37">
        <v>2</v>
      </c>
      <c r="M8" s="37">
        <v>1</v>
      </c>
      <c r="N8" s="37">
        <v>2</v>
      </c>
      <c r="O8" s="37">
        <v>2</v>
      </c>
      <c r="P8" s="37">
        <v>1</v>
      </c>
      <c r="Q8" s="37">
        <v>0</v>
      </c>
      <c r="R8" s="37">
        <v>2</v>
      </c>
      <c r="S8" s="37">
        <v>1</v>
      </c>
      <c r="T8" s="37">
        <v>1</v>
      </c>
      <c r="U8" s="37">
        <v>5</v>
      </c>
      <c r="V8" s="37">
        <v>0</v>
      </c>
      <c r="W8" s="37">
        <v>2</v>
      </c>
      <c r="X8" s="37">
        <v>1</v>
      </c>
      <c r="Y8" s="37">
        <v>2</v>
      </c>
      <c r="Z8" s="37">
        <v>0</v>
      </c>
      <c r="AA8" s="37">
        <v>0</v>
      </c>
      <c r="AB8" s="37">
        <v>2</v>
      </c>
      <c r="AC8" s="37">
        <v>4</v>
      </c>
      <c r="AD8" s="37">
        <v>0</v>
      </c>
      <c r="AE8" s="37">
        <v>2</v>
      </c>
      <c r="AF8" s="37">
        <v>0</v>
      </c>
      <c r="AG8" s="37">
        <v>2</v>
      </c>
      <c r="AH8" s="37">
        <v>0</v>
      </c>
      <c r="AI8" s="37">
        <v>2</v>
      </c>
      <c r="AJ8" s="37">
        <v>1</v>
      </c>
      <c r="AK8" s="37">
        <v>0</v>
      </c>
      <c r="AL8" s="37">
        <v>3</v>
      </c>
      <c r="AM8" s="37">
        <v>3</v>
      </c>
      <c r="AN8" s="37">
        <v>0</v>
      </c>
      <c r="AO8" s="37">
        <v>2</v>
      </c>
      <c r="AP8" s="37">
        <v>0</v>
      </c>
      <c r="AQ8" s="37">
        <v>1</v>
      </c>
      <c r="AR8" s="37">
        <v>2</v>
      </c>
      <c r="AS8" s="37">
        <v>2</v>
      </c>
      <c r="AT8" s="37">
        <v>1</v>
      </c>
      <c r="AU8" s="37">
        <v>3</v>
      </c>
      <c r="AV8" s="37">
        <v>0</v>
      </c>
      <c r="AW8" s="37">
        <v>0</v>
      </c>
      <c r="AX8" s="37">
        <v>2</v>
      </c>
      <c r="AY8" s="37">
        <v>2</v>
      </c>
      <c r="AZ8" s="37">
        <v>1</v>
      </c>
      <c r="BA8" s="37">
        <v>1</v>
      </c>
      <c r="BB8" s="37">
        <v>1</v>
      </c>
      <c r="BC8" s="37">
        <v>3</v>
      </c>
      <c r="BD8" s="37">
        <v>1</v>
      </c>
      <c r="BE8" s="37">
        <v>2</v>
      </c>
      <c r="BF8" s="37">
        <v>1</v>
      </c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</row>
    <row r="9" spans="1:146">
      <c r="A9" s="37">
        <v>8</v>
      </c>
      <c r="B9" s="43" t="s">
        <v>199</v>
      </c>
      <c r="C9" s="37">
        <v>2</v>
      </c>
      <c r="D9" s="37">
        <v>1</v>
      </c>
      <c r="E9" s="37">
        <v>2</v>
      </c>
      <c r="F9" s="37">
        <v>1</v>
      </c>
      <c r="G9" s="37">
        <v>1</v>
      </c>
      <c r="H9" s="37">
        <v>1</v>
      </c>
      <c r="I9" s="37">
        <v>2</v>
      </c>
      <c r="J9" s="37">
        <v>1</v>
      </c>
      <c r="K9" s="37">
        <v>0</v>
      </c>
      <c r="L9" s="37">
        <v>2</v>
      </c>
      <c r="M9" s="37">
        <v>1</v>
      </c>
      <c r="N9" s="37">
        <v>3</v>
      </c>
      <c r="O9" s="37">
        <v>2</v>
      </c>
      <c r="P9" s="37">
        <v>1</v>
      </c>
      <c r="Q9" s="37">
        <v>0</v>
      </c>
      <c r="R9" s="37">
        <v>3</v>
      </c>
      <c r="S9" s="37">
        <v>1</v>
      </c>
      <c r="T9" s="37">
        <v>1</v>
      </c>
      <c r="U9" s="37">
        <v>4</v>
      </c>
      <c r="V9" s="37">
        <v>0</v>
      </c>
      <c r="W9" s="37">
        <v>2</v>
      </c>
      <c r="X9" s="37">
        <v>2</v>
      </c>
      <c r="Y9" s="37">
        <v>2</v>
      </c>
      <c r="Z9" s="37">
        <v>11</v>
      </c>
      <c r="AA9" s="37">
        <v>0</v>
      </c>
      <c r="AB9" s="37">
        <v>2</v>
      </c>
      <c r="AC9" s="37">
        <v>4</v>
      </c>
      <c r="AD9" s="37">
        <v>0</v>
      </c>
      <c r="AE9" s="37">
        <v>2</v>
      </c>
      <c r="AF9" s="37">
        <v>0</v>
      </c>
      <c r="AG9" s="37">
        <v>3</v>
      </c>
      <c r="AH9" s="37">
        <v>1</v>
      </c>
      <c r="AI9" s="37">
        <v>2</v>
      </c>
      <c r="AJ9" s="37">
        <v>1</v>
      </c>
      <c r="AK9" s="37">
        <v>0</v>
      </c>
      <c r="AL9" s="37">
        <v>3</v>
      </c>
      <c r="AM9" s="37">
        <v>3</v>
      </c>
      <c r="AN9" s="37">
        <v>0</v>
      </c>
      <c r="AO9" s="37">
        <v>2</v>
      </c>
      <c r="AP9" s="37">
        <v>1</v>
      </c>
      <c r="AQ9" s="37">
        <v>2</v>
      </c>
      <c r="AR9" s="37">
        <v>1</v>
      </c>
      <c r="AS9" s="37">
        <v>2</v>
      </c>
      <c r="AT9" s="37">
        <v>2</v>
      </c>
      <c r="AU9" s="37">
        <v>3</v>
      </c>
      <c r="AV9" s="37">
        <v>0</v>
      </c>
      <c r="AW9" s="37">
        <v>1</v>
      </c>
      <c r="AX9" s="37">
        <v>1</v>
      </c>
      <c r="AY9" s="37">
        <v>3</v>
      </c>
      <c r="AZ9" s="37">
        <v>0</v>
      </c>
      <c r="BA9" s="37">
        <v>2</v>
      </c>
      <c r="BB9" s="37">
        <v>0</v>
      </c>
      <c r="BC9" s="37">
        <v>3</v>
      </c>
      <c r="BD9" s="37">
        <v>1</v>
      </c>
      <c r="BE9" s="37">
        <v>1</v>
      </c>
      <c r="BF9" s="37">
        <v>2</v>
      </c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</row>
    <row r="10" spans="1:146">
      <c r="A10" s="37">
        <v>9</v>
      </c>
      <c r="B10" s="43" t="s">
        <v>200</v>
      </c>
      <c r="C10" s="37">
        <v>2</v>
      </c>
      <c r="D10" s="37">
        <v>3</v>
      </c>
      <c r="E10" s="37">
        <v>1</v>
      </c>
      <c r="F10" s="37">
        <v>1</v>
      </c>
      <c r="G10" s="37">
        <v>1</v>
      </c>
      <c r="H10" s="37">
        <v>2</v>
      </c>
      <c r="I10" s="37">
        <v>2</v>
      </c>
      <c r="J10" s="37">
        <v>4</v>
      </c>
      <c r="K10" s="37">
        <v>3</v>
      </c>
      <c r="L10" s="37">
        <v>4</v>
      </c>
      <c r="M10" s="37">
        <v>2</v>
      </c>
      <c r="N10" s="37">
        <v>1</v>
      </c>
      <c r="O10" s="37">
        <v>5</v>
      </c>
      <c r="P10" s="37">
        <v>1</v>
      </c>
      <c r="Q10" s="37">
        <v>2</v>
      </c>
      <c r="R10" s="37">
        <v>1</v>
      </c>
      <c r="S10" s="37">
        <v>0</v>
      </c>
      <c r="T10" s="37">
        <v>3</v>
      </c>
      <c r="U10" s="37">
        <v>2</v>
      </c>
      <c r="V10" s="37">
        <v>2</v>
      </c>
      <c r="W10" s="37">
        <v>2</v>
      </c>
      <c r="X10" s="37">
        <v>5</v>
      </c>
      <c r="Y10" s="37">
        <v>4</v>
      </c>
      <c r="Z10" s="37">
        <v>1</v>
      </c>
      <c r="AA10" s="37">
        <v>1</v>
      </c>
      <c r="AB10" s="37">
        <v>2</v>
      </c>
      <c r="AC10" s="37">
        <v>3</v>
      </c>
      <c r="AD10" s="37">
        <v>1</v>
      </c>
      <c r="AE10" s="37">
        <v>1</v>
      </c>
      <c r="AF10" s="37">
        <v>1</v>
      </c>
      <c r="AG10" s="37">
        <v>2</v>
      </c>
      <c r="AH10" s="37">
        <v>0</v>
      </c>
      <c r="AI10" s="37">
        <v>1</v>
      </c>
      <c r="AJ10" s="37">
        <v>3</v>
      </c>
      <c r="AK10" s="37">
        <v>1</v>
      </c>
      <c r="AL10" s="37">
        <v>4</v>
      </c>
      <c r="AM10" s="37">
        <v>3</v>
      </c>
      <c r="AN10" s="37">
        <v>2</v>
      </c>
      <c r="AO10" s="37">
        <v>1</v>
      </c>
      <c r="AP10" s="37">
        <v>1</v>
      </c>
      <c r="AQ10" s="37">
        <v>1</v>
      </c>
      <c r="AR10" s="37">
        <v>3</v>
      </c>
      <c r="AS10" s="37">
        <v>2</v>
      </c>
      <c r="AT10" s="37">
        <v>1</v>
      </c>
      <c r="AU10" s="37">
        <v>7</v>
      </c>
      <c r="AV10" s="37">
        <v>4</v>
      </c>
      <c r="AW10" s="37">
        <v>1</v>
      </c>
      <c r="AX10" s="37">
        <v>2</v>
      </c>
      <c r="AY10" s="37">
        <v>2</v>
      </c>
      <c r="AZ10" s="37">
        <v>2</v>
      </c>
      <c r="BA10" s="37">
        <v>3</v>
      </c>
      <c r="BB10" s="37">
        <v>4</v>
      </c>
      <c r="BC10" s="37">
        <v>2</v>
      </c>
      <c r="BD10" s="37">
        <v>3</v>
      </c>
      <c r="BE10" s="37">
        <v>1</v>
      </c>
      <c r="BF10" s="37">
        <v>2</v>
      </c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</row>
    <row r="11" spans="1:146">
      <c r="A11" s="37">
        <v>10</v>
      </c>
      <c r="B11" s="72" t="s">
        <v>920</v>
      </c>
      <c r="C11" s="68">
        <v>1</v>
      </c>
      <c r="D11" s="68">
        <v>2</v>
      </c>
      <c r="E11" s="68">
        <v>1</v>
      </c>
      <c r="F11" s="68">
        <v>0</v>
      </c>
      <c r="G11" s="68">
        <v>2</v>
      </c>
      <c r="H11" s="68">
        <v>1</v>
      </c>
      <c r="I11" s="68">
        <v>0</v>
      </c>
      <c r="J11" s="68">
        <v>0</v>
      </c>
      <c r="K11" s="68">
        <v>1</v>
      </c>
      <c r="L11" s="68">
        <v>3</v>
      </c>
      <c r="M11" s="68">
        <v>1</v>
      </c>
      <c r="N11" s="68">
        <v>1</v>
      </c>
      <c r="O11" s="68">
        <v>2</v>
      </c>
      <c r="P11" s="68">
        <v>2</v>
      </c>
      <c r="Q11" s="68">
        <v>0</v>
      </c>
      <c r="R11" s="68">
        <v>1</v>
      </c>
      <c r="S11" s="68">
        <v>0</v>
      </c>
      <c r="T11" s="68">
        <v>1</v>
      </c>
      <c r="U11" s="68">
        <v>3</v>
      </c>
      <c r="V11" s="68">
        <v>1</v>
      </c>
      <c r="W11" s="68">
        <v>2</v>
      </c>
      <c r="X11" s="68">
        <v>2</v>
      </c>
      <c r="Y11" s="68">
        <v>3</v>
      </c>
      <c r="Z11" s="68">
        <v>1</v>
      </c>
      <c r="AA11" s="68">
        <v>2</v>
      </c>
      <c r="AB11" s="68">
        <v>2</v>
      </c>
      <c r="AC11" s="68">
        <v>3</v>
      </c>
      <c r="AD11" s="68">
        <v>1</v>
      </c>
      <c r="AE11" s="37">
        <v>1</v>
      </c>
      <c r="AF11" s="37">
        <v>1</v>
      </c>
      <c r="AG11" s="37">
        <v>0</v>
      </c>
      <c r="AH11" s="37">
        <v>0</v>
      </c>
      <c r="AI11" s="37">
        <v>2</v>
      </c>
      <c r="AJ11" s="37">
        <v>1</v>
      </c>
      <c r="AK11" s="37">
        <v>1</v>
      </c>
      <c r="AL11" s="37">
        <v>0</v>
      </c>
      <c r="AM11" s="37">
        <v>3</v>
      </c>
      <c r="AN11" s="37">
        <v>1</v>
      </c>
      <c r="AO11" s="37">
        <v>2</v>
      </c>
      <c r="AP11" s="37">
        <v>1</v>
      </c>
      <c r="AQ11" s="37">
        <v>0</v>
      </c>
      <c r="AR11" s="37">
        <v>1</v>
      </c>
      <c r="AS11" s="37">
        <v>3</v>
      </c>
      <c r="AT11" s="37">
        <v>1</v>
      </c>
      <c r="AU11" s="37">
        <v>2</v>
      </c>
      <c r="AV11" s="37">
        <v>1</v>
      </c>
      <c r="AW11" s="37">
        <v>1</v>
      </c>
      <c r="AX11" s="37">
        <v>3</v>
      </c>
      <c r="AY11" s="37">
        <v>1</v>
      </c>
      <c r="AZ11" s="37">
        <v>2</v>
      </c>
      <c r="BA11" s="37">
        <v>1</v>
      </c>
      <c r="BB11" s="37">
        <v>0</v>
      </c>
      <c r="BC11" s="37">
        <v>1</v>
      </c>
      <c r="BD11" s="37">
        <v>1</v>
      </c>
      <c r="BE11" s="37">
        <v>1</v>
      </c>
      <c r="BF11" s="37">
        <v>1</v>
      </c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</row>
    <row r="12" spans="1:146">
      <c r="A12" s="37">
        <v>11</v>
      </c>
      <c r="B12" s="43" t="s">
        <v>201</v>
      </c>
      <c r="C12" s="37">
        <v>2</v>
      </c>
      <c r="D12" s="37">
        <v>0</v>
      </c>
      <c r="E12" s="37">
        <v>2</v>
      </c>
      <c r="F12" s="37">
        <v>1</v>
      </c>
      <c r="G12" s="37">
        <v>2</v>
      </c>
      <c r="H12" s="37">
        <v>1</v>
      </c>
      <c r="I12" s="37">
        <v>2</v>
      </c>
      <c r="J12" s="37">
        <v>1</v>
      </c>
      <c r="K12" s="37">
        <v>0</v>
      </c>
      <c r="L12" s="37">
        <v>2</v>
      </c>
      <c r="M12" s="37">
        <v>0</v>
      </c>
      <c r="N12" s="37">
        <v>1</v>
      </c>
      <c r="O12" s="37">
        <v>2</v>
      </c>
      <c r="P12" s="37">
        <v>1</v>
      </c>
      <c r="Q12" s="37">
        <v>0</v>
      </c>
      <c r="R12" s="37">
        <v>2</v>
      </c>
      <c r="S12" s="37">
        <v>1</v>
      </c>
      <c r="T12" s="37">
        <v>1</v>
      </c>
      <c r="U12" s="37">
        <v>3</v>
      </c>
      <c r="V12" s="37">
        <v>0</v>
      </c>
      <c r="W12" s="37">
        <v>2</v>
      </c>
      <c r="X12" s="37">
        <v>1</v>
      </c>
      <c r="Y12" s="37">
        <v>2</v>
      </c>
      <c r="Z12" s="37">
        <v>0</v>
      </c>
      <c r="AA12" s="37">
        <v>1</v>
      </c>
      <c r="AB12" s="37">
        <v>2</v>
      </c>
      <c r="AC12" s="37">
        <v>4</v>
      </c>
      <c r="AD12" s="37">
        <v>0</v>
      </c>
      <c r="AE12" s="37">
        <v>1</v>
      </c>
      <c r="AF12" s="37">
        <v>0</v>
      </c>
      <c r="AG12" s="37">
        <v>2</v>
      </c>
      <c r="AH12" s="37">
        <v>1</v>
      </c>
      <c r="AI12" s="37">
        <v>2</v>
      </c>
      <c r="AJ12" s="37">
        <v>1</v>
      </c>
      <c r="AK12" s="37">
        <v>0</v>
      </c>
      <c r="AL12" s="37">
        <v>2</v>
      </c>
      <c r="AM12" s="37">
        <v>2</v>
      </c>
      <c r="AN12" s="37">
        <v>0</v>
      </c>
      <c r="AO12" s="37">
        <v>2</v>
      </c>
      <c r="AP12" s="37">
        <v>0</v>
      </c>
      <c r="AQ12" s="37">
        <v>1</v>
      </c>
      <c r="AR12" s="37">
        <v>2</v>
      </c>
      <c r="AS12" s="37">
        <v>2</v>
      </c>
      <c r="AT12" s="37">
        <v>1</v>
      </c>
      <c r="AU12" s="37">
        <v>2</v>
      </c>
      <c r="AV12" s="37">
        <v>1</v>
      </c>
      <c r="AW12" s="37">
        <v>1</v>
      </c>
      <c r="AX12" s="37">
        <v>2</v>
      </c>
      <c r="AY12" s="37">
        <v>2</v>
      </c>
      <c r="AZ12" s="37">
        <v>0</v>
      </c>
      <c r="BA12" s="37">
        <v>2</v>
      </c>
      <c r="BB12" s="37">
        <v>1</v>
      </c>
      <c r="BC12" s="37">
        <v>2</v>
      </c>
      <c r="BD12" s="37">
        <v>0</v>
      </c>
      <c r="BE12" s="37">
        <v>1</v>
      </c>
      <c r="BF12" s="37">
        <v>1</v>
      </c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</row>
    <row r="13" spans="1:146">
      <c r="A13" s="37">
        <v>12</v>
      </c>
      <c r="B13" s="43" t="s">
        <v>202</v>
      </c>
      <c r="C13" s="37">
        <v>2</v>
      </c>
      <c r="D13" s="37">
        <v>1</v>
      </c>
      <c r="E13" s="37">
        <v>1</v>
      </c>
      <c r="F13" s="37">
        <v>0</v>
      </c>
      <c r="G13" s="37">
        <v>3</v>
      </c>
      <c r="H13" s="37">
        <v>0</v>
      </c>
      <c r="I13" s="37">
        <v>2</v>
      </c>
      <c r="J13" s="37">
        <v>1</v>
      </c>
      <c r="K13" s="37">
        <v>3</v>
      </c>
      <c r="L13" s="37">
        <v>1</v>
      </c>
      <c r="M13" s="37">
        <v>1</v>
      </c>
      <c r="N13" s="37">
        <v>1</v>
      </c>
      <c r="O13" s="37">
        <v>2</v>
      </c>
      <c r="P13" s="37">
        <v>0</v>
      </c>
      <c r="Q13" s="37">
        <v>0</v>
      </c>
      <c r="R13" s="37">
        <v>0</v>
      </c>
      <c r="S13" s="37">
        <v>1</v>
      </c>
      <c r="T13" s="37">
        <v>2</v>
      </c>
      <c r="U13" s="37">
        <v>3</v>
      </c>
      <c r="V13" s="37">
        <v>0</v>
      </c>
      <c r="W13" s="37">
        <v>0</v>
      </c>
      <c r="X13" s="37">
        <v>2</v>
      </c>
      <c r="Y13" s="37">
        <v>1</v>
      </c>
      <c r="Z13" s="37">
        <v>1</v>
      </c>
      <c r="AA13" s="37">
        <v>0</v>
      </c>
      <c r="AB13" s="37">
        <v>1</v>
      </c>
      <c r="AC13" s="37">
        <v>2</v>
      </c>
      <c r="AD13" s="37">
        <v>0</v>
      </c>
      <c r="AE13" s="37">
        <v>2</v>
      </c>
      <c r="AF13" s="37">
        <v>0</v>
      </c>
      <c r="AG13" s="37">
        <v>1</v>
      </c>
      <c r="AH13" s="37">
        <v>0</v>
      </c>
      <c r="AI13" s="37">
        <v>3</v>
      </c>
      <c r="AJ13" s="37">
        <v>0</v>
      </c>
      <c r="AK13" s="37">
        <v>1</v>
      </c>
      <c r="AL13" s="37">
        <v>1</v>
      </c>
      <c r="AM13" s="37">
        <v>2</v>
      </c>
      <c r="AN13" s="37">
        <v>0</v>
      </c>
      <c r="AO13" s="37">
        <v>1</v>
      </c>
      <c r="AP13" s="37">
        <v>1</v>
      </c>
      <c r="AQ13" s="37">
        <v>0</v>
      </c>
      <c r="AR13" s="37">
        <v>1</v>
      </c>
      <c r="AS13" s="37">
        <v>1</v>
      </c>
      <c r="AT13" s="37">
        <v>0</v>
      </c>
      <c r="AU13" s="37">
        <v>2</v>
      </c>
      <c r="AV13" s="37">
        <v>0</v>
      </c>
      <c r="AW13" s="37">
        <v>1</v>
      </c>
      <c r="AX13" s="37">
        <v>2</v>
      </c>
      <c r="AY13" s="37">
        <v>1</v>
      </c>
      <c r="AZ13" s="37">
        <v>1</v>
      </c>
      <c r="BA13" s="37">
        <v>0</v>
      </c>
      <c r="BB13" s="37">
        <v>1</v>
      </c>
      <c r="BC13" s="37">
        <v>2</v>
      </c>
      <c r="BD13" s="37">
        <v>0</v>
      </c>
      <c r="BE13" s="37">
        <v>2</v>
      </c>
      <c r="BF13" s="37">
        <v>0</v>
      </c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</row>
    <row r="14" spans="1:146">
      <c r="A14" s="37">
        <v>13</v>
      </c>
      <c r="B14" s="43" t="s">
        <v>915</v>
      </c>
      <c r="C14" s="37">
        <v>2</v>
      </c>
      <c r="D14" s="37">
        <v>0</v>
      </c>
      <c r="E14" s="37">
        <v>1</v>
      </c>
      <c r="F14" s="37">
        <v>1</v>
      </c>
      <c r="G14" s="37">
        <v>0</v>
      </c>
      <c r="H14" s="37">
        <v>1</v>
      </c>
      <c r="I14" s="37">
        <v>0</v>
      </c>
      <c r="J14" s="37">
        <v>1</v>
      </c>
      <c r="K14" s="37">
        <v>0</v>
      </c>
      <c r="L14" s="37"/>
      <c r="M14" s="37">
        <v>1</v>
      </c>
      <c r="N14" s="37">
        <v>0</v>
      </c>
      <c r="O14" s="37">
        <v>3</v>
      </c>
      <c r="P14" s="37">
        <v>1</v>
      </c>
      <c r="Q14" s="37">
        <v>0</v>
      </c>
      <c r="R14" s="37">
        <v>1</v>
      </c>
      <c r="S14" s="37">
        <v>1</v>
      </c>
      <c r="T14" s="37">
        <v>0</v>
      </c>
      <c r="U14" s="37">
        <v>2</v>
      </c>
      <c r="V14" s="37">
        <v>0</v>
      </c>
      <c r="W14" s="37">
        <v>2</v>
      </c>
      <c r="X14" s="37">
        <v>1</v>
      </c>
      <c r="Y14" s="37">
        <v>2</v>
      </c>
      <c r="Z14" s="37">
        <v>1</v>
      </c>
      <c r="AA14" s="37">
        <v>1</v>
      </c>
      <c r="AB14" s="37">
        <v>2</v>
      </c>
      <c r="AC14" s="37">
        <v>2</v>
      </c>
      <c r="AD14" s="37">
        <v>0</v>
      </c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</row>
    <row r="15" spans="1:146">
      <c r="A15" s="37">
        <v>14</v>
      </c>
      <c r="B15" s="43" t="s">
        <v>203</v>
      </c>
      <c r="C15" s="37">
        <v>3</v>
      </c>
      <c r="D15" s="37">
        <v>1</v>
      </c>
      <c r="E15" s="37">
        <v>1</v>
      </c>
      <c r="F15" s="37">
        <v>1</v>
      </c>
      <c r="G15" s="37">
        <v>2</v>
      </c>
      <c r="H15" s="37">
        <v>1</v>
      </c>
      <c r="I15" s="37">
        <v>2</v>
      </c>
      <c r="J15" s="37">
        <v>2</v>
      </c>
      <c r="K15" s="37">
        <v>1</v>
      </c>
      <c r="L15" s="37">
        <v>3</v>
      </c>
      <c r="M15" s="37">
        <v>1</v>
      </c>
      <c r="N15" s="37">
        <v>2</v>
      </c>
      <c r="O15" s="37">
        <v>3</v>
      </c>
      <c r="P15" s="37">
        <v>2</v>
      </c>
      <c r="Q15" s="37">
        <v>0</v>
      </c>
      <c r="R15" s="37">
        <v>2</v>
      </c>
      <c r="S15" s="37">
        <v>1</v>
      </c>
      <c r="T15" s="37">
        <v>2</v>
      </c>
      <c r="U15" s="37">
        <v>5</v>
      </c>
      <c r="V15" s="37">
        <v>1</v>
      </c>
      <c r="W15" s="37">
        <v>2</v>
      </c>
      <c r="X15" s="37">
        <v>2</v>
      </c>
      <c r="Y15" s="37">
        <v>1</v>
      </c>
      <c r="Z15" s="37">
        <v>1</v>
      </c>
      <c r="AA15" s="37">
        <v>1</v>
      </c>
      <c r="AB15" s="37">
        <v>2</v>
      </c>
      <c r="AC15" s="37">
        <v>4</v>
      </c>
      <c r="AD15" s="37">
        <v>0</v>
      </c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</row>
    <row r="16" spans="1:146">
      <c r="A16" s="37">
        <v>15</v>
      </c>
      <c r="B16" s="43" t="s">
        <v>204</v>
      </c>
      <c r="C16" s="37">
        <v>1</v>
      </c>
      <c r="D16" s="37">
        <v>0</v>
      </c>
      <c r="E16" s="37">
        <v>2</v>
      </c>
      <c r="F16" s="37">
        <v>0</v>
      </c>
      <c r="G16" s="37">
        <v>2</v>
      </c>
      <c r="H16" s="37">
        <v>1</v>
      </c>
      <c r="I16" s="37">
        <v>3</v>
      </c>
      <c r="J16" s="37">
        <v>1</v>
      </c>
      <c r="K16" s="37">
        <v>0</v>
      </c>
      <c r="L16" s="37">
        <v>2</v>
      </c>
      <c r="M16" s="37">
        <v>0</v>
      </c>
      <c r="N16" s="37">
        <v>3</v>
      </c>
      <c r="O16" s="37">
        <v>4</v>
      </c>
      <c r="P16" s="37">
        <v>1</v>
      </c>
      <c r="Q16" s="37">
        <v>0</v>
      </c>
      <c r="R16" s="37">
        <v>1</v>
      </c>
      <c r="S16" s="37">
        <v>1</v>
      </c>
      <c r="T16" s="37">
        <v>1</v>
      </c>
      <c r="U16" s="37">
        <v>4</v>
      </c>
      <c r="V16" s="37">
        <v>0</v>
      </c>
      <c r="W16" s="37">
        <v>2</v>
      </c>
      <c r="X16" s="37">
        <v>1</v>
      </c>
      <c r="Y16" s="37">
        <v>3</v>
      </c>
      <c r="Z16" s="37">
        <v>0</v>
      </c>
      <c r="AA16" s="37">
        <v>0</v>
      </c>
      <c r="AB16" s="37">
        <v>1</v>
      </c>
      <c r="AC16" s="37">
        <v>5</v>
      </c>
      <c r="AD16" s="37">
        <v>0</v>
      </c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</row>
    <row r="17" spans="1:146">
      <c r="A17" s="37">
        <v>16</v>
      </c>
      <c r="B17" s="43" t="s">
        <v>205</v>
      </c>
      <c r="C17" s="37">
        <v>2</v>
      </c>
      <c r="D17" s="37">
        <v>0</v>
      </c>
      <c r="E17" s="37">
        <v>3</v>
      </c>
      <c r="F17" s="37">
        <v>1</v>
      </c>
      <c r="G17" s="37">
        <v>2</v>
      </c>
      <c r="H17" s="37">
        <v>1</v>
      </c>
      <c r="I17" s="37">
        <v>2</v>
      </c>
      <c r="J17" s="37">
        <v>1</v>
      </c>
      <c r="K17" s="37">
        <v>1</v>
      </c>
      <c r="L17" s="37">
        <v>1</v>
      </c>
      <c r="M17" s="37">
        <v>1</v>
      </c>
      <c r="N17" s="37">
        <v>2</v>
      </c>
      <c r="O17" s="37">
        <v>2</v>
      </c>
      <c r="P17" s="37">
        <v>1</v>
      </c>
      <c r="Q17" s="37">
        <v>1</v>
      </c>
      <c r="R17" s="37">
        <v>1</v>
      </c>
      <c r="S17" s="37">
        <v>1</v>
      </c>
      <c r="T17" s="37">
        <v>1</v>
      </c>
      <c r="U17" s="37">
        <v>3</v>
      </c>
      <c r="V17" s="37">
        <v>1</v>
      </c>
      <c r="W17" s="37">
        <v>2</v>
      </c>
      <c r="X17" s="37">
        <v>1</v>
      </c>
      <c r="Y17" s="37">
        <v>1</v>
      </c>
      <c r="Z17" s="37">
        <v>1</v>
      </c>
      <c r="AA17" s="37">
        <v>5</v>
      </c>
      <c r="AB17" s="37">
        <v>2</v>
      </c>
      <c r="AC17" s="37">
        <v>3</v>
      </c>
      <c r="AD17" s="37">
        <v>0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</row>
    <row r="18" spans="1:146">
      <c r="A18" s="37">
        <v>17</v>
      </c>
      <c r="B18" s="43" t="s">
        <v>206</v>
      </c>
      <c r="C18" s="37">
        <v>0</v>
      </c>
      <c r="D18" s="37">
        <v>1</v>
      </c>
      <c r="E18" s="37">
        <v>1</v>
      </c>
      <c r="F18" s="37">
        <v>1</v>
      </c>
      <c r="G18" s="37">
        <v>2</v>
      </c>
      <c r="H18" s="37">
        <v>1</v>
      </c>
      <c r="I18" s="37">
        <v>2</v>
      </c>
      <c r="J18" s="37">
        <v>2</v>
      </c>
      <c r="K18" s="37">
        <v>1</v>
      </c>
      <c r="L18" s="37">
        <v>0</v>
      </c>
      <c r="M18" s="37">
        <v>0</v>
      </c>
      <c r="N18" s="37">
        <v>2</v>
      </c>
      <c r="O18" s="37">
        <v>3</v>
      </c>
      <c r="P18" s="37">
        <v>2</v>
      </c>
      <c r="Q18" s="37">
        <v>0</v>
      </c>
      <c r="R18" s="37">
        <v>2</v>
      </c>
      <c r="S18" s="37">
        <v>1</v>
      </c>
      <c r="T18" s="37">
        <v>1</v>
      </c>
      <c r="U18" s="37">
        <v>3</v>
      </c>
      <c r="V18" s="37">
        <v>0</v>
      </c>
      <c r="W18" s="37">
        <v>2</v>
      </c>
      <c r="X18" s="37">
        <v>1</v>
      </c>
      <c r="Y18" s="37">
        <v>2</v>
      </c>
      <c r="Z18" s="37">
        <v>0</v>
      </c>
      <c r="AA18" s="37">
        <v>0</v>
      </c>
      <c r="AB18" s="37">
        <v>2</v>
      </c>
      <c r="AC18" s="37">
        <v>3</v>
      </c>
      <c r="AD18" s="37">
        <v>0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</row>
    <row r="19" spans="1:146">
      <c r="A19" s="37">
        <v>18</v>
      </c>
      <c r="B19" s="43" t="s">
        <v>207</v>
      </c>
      <c r="C19" s="37">
        <v>1</v>
      </c>
      <c r="D19" s="37">
        <v>0</v>
      </c>
      <c r="E19" s="37">
        <v>2</v>
      </c>
      <c r="F19" s="37">
        <v>1</v>
      </c>
      <c r="G19" s="37">
        <v>1</v>
      </c>
      <c r="H19" s="37">
        <v>1</v>
      </c>
      <c r="I19" s="37">
        <v>2</v>
      </c>
      <c r="J19" s="37">
        <v>2</v>
      </c>
      <c r="K19" s="37">
        <v>2</v>
      </c>
      <c r="L19" s="37">
        <v>0</v>
      </c>
      <c r="M19" s="37">
        <v>1</v>
      </c>
      <c r="N19" s="37">
        <v>2</v>
      </c>
      <c r="O19" s="37">
        <v>1</v>
      </c>
      <c r="P19" s="37">
        <v>2</v>
      </c>
      <c r="Q19" s="37">
        <v>1</v>
      </c>
      <c r="R19" s="37">
        <v>1</v>
      </c>
      <c r="S19" s="37">
        <v>2</v>
      </c>
      <c r="T19" s="37">
        <v>1</v>
      </c>
      <c r="U19" s="37">
        <v>4</v>
      </c>
      <c r="V19" s="37">
        <v>1</v>
      </c>
      <c r="W19" s="37"/>
      <c r="X19" s="37">
        <v>2</v>
      </c>
      <c r="Y19" s="37">
        <v>1</v>
      </c>
      <c r="Z19" s="37">
        <v>0</v>
      </c>
      <c r="AA19" s="37"/>
      <c r="AB19" s="37">
        <v>3</v>
      </c>
      <c r="AC19" s="37">
        <v>5</v>
      </c>
      <c r="AD19" s="37">
        <v>1</v>
      </c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</row>
    <row r="20" spans="1:146">
      <c r="A20" s="37">
        <v>19</v>
      </c>
      <c r="B20" s="43" t="s">
        <v>208</v>
      </c>
      <c r="C20" s="37">
        <v>2</v>
      </c>
      <c r="D20" s="37">
        <v>1</v>
      </c>
      <c r="E20" s="37">
        <v>2</v>
      </c>
      <c r="F20" s="37">
        <v>1</v>
      </c>
      <c r="G20" s="37">
        <v>2</v>
      </c>
      <c r="H20" s="37">
        <v>0</v>
      </c>
      <c r="I20" s="37">
        <v>3</v>
      </c>
      <c r="J20" s="37">
        <v>1</v>
      </c>
      <c r="K20" s="37">
        <v>0</v>
      </c>
      <c r="L20" s="37">
        <v>2</v>
      </c>
      <c r="M20" s="37">
        <v>1</v>
      </c>
      <c r="N20" s="37">
        <v>2</v>
      </c>
      <c r="O20" s="37">
        <v>2</v>
      </c>
      <c r="P20" s="37">
        <v>0</v>
      </c>
      <c r="Q20" s="37">
        <v>1</v>
      </c>
      <c r="R20" s="37">
        <v>2</v>
      </c>
      <c r="S20" s="37">
        <v>1</v>
      </c>
      <c r="T20" s="37">
        <v>1</v>
      </c>
      <c r="U20" s="37">
        <v>3</v>
      </c>
      <c r="V20" s="37">
        <v>0</v>
      </c>
      <c r="W20" s="37">
        <v>2</v>
      </c>
      <c r="X20" s="37">
        <v>0</v>
      </c>
      <c r="Y20" s="37">
        <v>2</v>
      </c>
      <c r="Z20" s="37">
        <v>1</v>
      </c>
      <c r="AA20" s="37">
        <v>0</v>
      </c>
      <c r="AB20" s="37">
        <v>2</v>
      </c>
      <c r="AC20" s="37">
        <v>3</v>
      </c>
      <c r="AD20" s="37">
        <v>0</v>
      </c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</row>
    <row r="21" spans="1:146">
      <c r="A21" s="37">
        <v>20</v>
      </c>
      <c r="B21" s="43" t="s">
        <v>209</v>
      </c>
      <c r="C21" s="37">
        <v>4</v>
      </c>
      <c r="D21" s="37">
        <v>2</v>
      </c>
      <c r="E21" s="37">
        <v>3</v>
      </c>
      <c r="F21" s="37">
        <v>1</v>
      </c>
      <c r="G21" s="37">
        <v>4</v>
      </c>
      <c r="H21" s="37">
        <v>0</v>
      </c>
      <c r="I21" s="37">
        <v>1</v>
      </c>
      <c r="J21" s="37">
        <v>2</v>
      </c>
      <c r="K21" s="37">
        <v>1</v>
      </c>
      <c r="L21" s="37">
        <v>1</v>
      </c>
      <c r="M21" s="37">
        <v>2</v>
      </c>
      <c r="N21" s="37">
        <v>1</v>
      </c>
      <c r="O21" s="37">
        <v>2</v>
      </c>
      <c r="P21" s="37">
        <v>0</v>
      </c>
      <c r="Q21" s="37">
        <v>0</v>
      </c>
      <c r="R21" s="37">
        <v>2</v>
      </c>
      <c r="S21" s="37">
        <v>2</v>
      </c>
      <c r="T21" s="37">
        <v>3</v>
      </c>
      <c r="U21" s="37">
        <v>6</v>
      </c>
      <c r="V21" s="37">
        <v>0</v>
      </c>
      <c r="W21" s="37">
        <v>3</v>
      </c>
      <c r="X21" s="37">
        <v>1</v>
      </c>
      <c r="Y21" s="37">
        <v>2</v>
      </c>
      <c r="Z21" s="37">
        <v>1</v>
      </c>
      <c r="AA21" s="37">
        <v>1</v>
      </c>
      <c r="AB21" s="37">
        <v>3</v>
      </c>
      <c r="AC21" s="37">
        <v>7</v>
      </c>
      <c r="AD21" s="37">
        <v>0</v>
      </c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</row>
    <row r="22" spans="1:146">
      <c r="A22" s="37">
        <v>21</v>
      </c>
      <c r="B22" s="43" t="s">
        <v>210</v>
      </c>
      <c r="C22" s="37">
        <v>3</v>
      </c>
      <c r="D22" s="37">
        <v>2</v>
      </c>
      <c r="E22" s="37">
        <v>2</v>
      </c>
      <c r="F22" s="37">
        <v>2</v>
      </c>
      <c r="G22" s="37">
        <v>3</v>
      </c>
      <c r="H22" s="37">
        <v>1</v>
      </c>
      <c r="I22" s="37">
        <v>3</v>
      </c>
      <c r="J22" s="37">
        <v>2</v>
      </c>
      <c r="K22" s="37">
        <v>1</v>
      </c>
      <c r="L22" s="37">
        <v>1</v>
      </c>
      <c r="M22" s="37">
        <v>2</v>
      </c>
      <c r="N22" s="37">
        <v>1</v>
      </c>
      <c r="O22" s="37">
        <v>3</v>
      </c>
      <c r="P22" s="37">
        <v>0</v>
      </c>
      <c r="Q22" s="37">
        <v>1</v>
      </c>
      <c r="R22" s="37">
        <v>2</v>
      </c>
      <c r="S22" s="37">
        <v>2</v>
      </c>
      <c r="T22" s="37">
        <v>2</v>
      </c>
      <c r="U22" s="37">
        <v>4</v>
      </c>
      <c r="V22" s="37">
        <v>0</v>
      </c>
      <c r="W22" s="37">
        <v>2</v>
      </c>
      <c r="X22" s="37">
        <v>0</v>
      </c>
      <c r="Y22" s="37">
        <v>3</v>
      </c>
      <c r="Z22" s="37">
        <v>1</v>
      </c>
      <c r="AA22" s="37">
        <v>0</v>
      </c>
      <c r="AB22" s="37">
        <v>2</v>
      </c>
      <c r="AC22" s="37">
        <v>5</v>
      </c>
      <c r="AD22" s="37">
        <v>0</v>
      </c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</row>
    <row r="23" spans="1:146">
      <c r="A23" s="37">
        <v>22</v>
      </c>
      <c r="B23" s="43" t="s">
        <v>923</v>
      </c>
      <c r="C23" s="37">
        <v>2</v>
      </c>
      <c r="D23" s="37">
        <v>1</v>
      </c>
      <c r="E23" s="37">
        <v>2</v>
      </c>
      <c r="F23" s="37">
        <v>1</v>
      </c>
      <c r="G23" s="37">
        <v>1</v>
      </c>
      <c r="H23" s="37">
        <v>0</v>
      </c>
      <c r="I23" s="37">
        <v>3</v>
      </c>
      <c r="J23" s="37">
        <v>0</v>
      </c>
      <c r="K23" s="37">
        <v>0</v>
      </c>
      <c r="L23" s="37">
        <v>3</v>
      </c>
      <c r="M23" s="37">
        <v>2</v>
      </c>
      <c r="N23" s="37">
        <v>2</v>
      </c>
      <c r="O23" s="37">
        <v>0</v>
      </c>
      <c r="P23" s="37">
        <v>2</v>
      </c>
      <c r="Q23" s="37">
        <v>1</v>
      </c>
      <c r="R23" s="37">
        <v>2</v>
      </c>
      <c r="S23" s="37">
        <v>4</v>
      </c>
      <c r="T23" s="37">
        <v>0</v>
      </c>
      <c r="U23" s="37">
        <v>1</v>
      </c>
      <c r="V23" s="37">
        <v>1</v>
      </c>
      <c r="W23" s="37">
        <v>1</v>
      </c>
      <c r="X23" s="37">
        <v>0</v>
      </c>
      <c r="Y23" s="37">
        <v>0</v>
      </c>
      <c r="Z23" s="37">
        <v>1</v>
      </c>
      <c r="AA23" s="37">
        <v>4</v>
      </c>
      <c r="AB23" s="37">
        <v>0</v>
      </c>
      <c r="AC23" s="37">
        <v>2</v>
      </c>
      <c r="AD23" s="37">
        <v>1</v>
      </c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</row>
    <row r="24" spans="1:146">
      <c r="A24" s="37">
        <v>23</v>
      </c>
      <c r="B24" s="43" t="s">
        <v>211</v>
      </c>
      <c r="C24" s="37">
        <v>5</v>
      </c>
      <c r="D24" s="37">
        <v>2</v>
      </c>
      <c r="E24" s="37">
        <v>1</v>
      </c>
      <c r="F24" s="37">
        <v>3</v>
      </c>
      <c r="G24" s="37">
        <v>0</v>
      </c>
      <c r="H24" s="37">
        <v>2</v>
      </c>
      <c r="I24" s="37">
        <v>1</v>
      </c>
      <c r="J24" s="37">
        <v>1</v>
      </c>
      <c r="K24" s="37">
        <v>0</v>
      </c>
      <c r="L24" s="37">
        <v>3</v>
      </c>
      <c r="M24" s="37">
        <v>0</v>
      </c>
      <c r="N24" s="37">
        <v>1</v>
      </c>
      <c r="O24" s="37">
        <v>3</v>
      </c>
      <c r="P24" s="37">
        <v>2</v>
      </c>
      <c r="Q24" s="37">
        <v>0</v>
      </c>
      <c r="R24" s="37">
        <v>4</v>
      </c>
      <c r="S24" s="37">
        <v>2</v>
      </c>
      <c r="T24" s="37">
        <v>1</v>
      </c>
      <c r="U24" s="37">
        <v>6</v>
      </c>
      <c r="V24" s="37">
        <v>1</v>
      </c>
      <c r="W24" s="37">
        <v>0</v>
      </c>
      <c r="X24" s="37">
        <v>2</v>
      </c>
      <c r="Y24" s="37">
        <v>3</v>
      </c>
      <c r="Z24" s="37">
        <v>1</v>
      </c>
      <c r="AA24" s="37">
        <v>1</v>
      </c>
      <c r="AB24" s="37">
        <v>0</v>
      </c>
      <c r="AC24" s="37">
        <v>2</v>
      </c>
      <c r="AD24" s="37">
        <v>0</v>
      </c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</row>
    <row r="25" spans="1:146">
      <c r="A25" s="37">
        <v>24</v>
      </c>
      <c r="B25" s="43" t="s">
        <v>914</v>
      </c>
      <c r="C25" s="37">
        <v>3</v>
      </c>
      <c r="D25" s="37">
        <v>1</v>
      </c>
      <c r="E25" s="37">
        <v>1</v>
      </c>
      <c r="F25" s="37">
        <v>2</v>
      </c>
      <c r="G25" s="37">
        <v>2</v>
      </c>
      <c r="H25" s="37">
        <v>1</v>
      </c>
      <c r="I25" s="37">
        <v>2</v>
      </c>
      <c r="J25" s="37">
        <v>1</v>
      </c>
      <c r="K25" s="37">
        <v>1</v>
      </c>
      <c r="L25" s="37">
        <v>3</v>
      </c>
      <c r="M25" s="37">
        <v>1</v>
      </c>
      <c r="N25" s="37">
        <v>1</v>
      </c>
      <c r="O25" s="37">
        <v>3</v>
      </c>
      <c r="P25" s="37">
        <v>2</v>
      </c>
      <c r="Q25" s="37">
        <v>1</v>
      </c>
      <c r="R25" s="37">
        <v>2</v>
      </c>
      <c r="S25" s="37">
        <v>2</v>
      </c>
      <c r="T25" s="37">
        <v>2</v>
      </c>
      <c r="U25" s="37">
        <v>3</v>
      </c>
      <c r="V25" s="37">
        <v>1</v>
      </c>
      <c r="W25" s="37">
        <v>3</v>
      </c>
      <c r="X25" s="37">
        <v>1</v>
      </c>
      <c r="Y25" s="37">
        <v>2</v>
      </c>
      <c r="Z25" s="37">
        <v>1</v>
      </c>
      <c r="AA25" s="37">
        <v>1</v>
      </c>
      <c r="AB25" s="37">
        <v>3</v>
      </c>
      <c r="AC25" s="37">
        <v>5</v>
      </c>
      <c r="AD25" s="37">
        <v>1</v>
      </c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</row>
    <row r="26" spans="1:146">
      <c r="A26" s="37">
        <v>25</v>
      </c>
      <c r="B26" s="43" t="s">
        <v>212</v>
      </c>
      <c r="C26" s="37">
        <v>2</v>
      </c>
      <c r="D26" s="37">
        <v>1</v>
      </c>
      <c r="E26" s="37">
        <v>2</v>
      </c>
      <c r="F26" s="37">
        <v>0</v>
      </c>
      <c r="G26" s="37">
        <v>3</v>
      </c>
      <c r="H26" s="37">
        <v>0</v>
      </c>
      <c r="I26" s="37">
        <v>2</v>
      </c>
      <c r="J26" s="37">
        <v>1</v>
      </c>
      <c r="K26" s="37">
        <v>0</v>
      </c>
      <c r="L26" s="37">
        <v>2</v>
      </c>
      <c r="M26" s="37">
        <v>2</v>
      </c>
      <c r="N26" s="37">
        <v>0</v>
      </c>
      <c r="O26" s="37">
        <v>2</v>
      </c>
      <c r="P26" s="37">
        <v>2</v>
      </c>
      <c r="Q26" s="37">
        <v>0</v>
      </c>
      <c r="R26" s="37">
        <v>2</v>
      </c>
      <c r="S26" s="37">
        <v>2</v>
      </c>
      <c r="T26" s="37">
        <v>1</v>
      </c>
      <c r="U26" s="37">
        <v>3</v>
      </c>
      <c r="V26" s="37">
        <v>1</v>
      </c>
      <c r="W26" s="37">
        <v>4</v>
      </c>
      <c r="X26" s="37">
        <v>0</v>
      </c>
      <c r="Y26" s="37">
        <v>2</v>
      </c>
      <c r="Z26" s="37">
        <v>0</v>
      </c>
      <c r="AA26" s="37">
        <v>1</v>
      </c>
      <c r="AB26" s="37">
        <v>3</v>
      </c>
      <c r="AC26" s="37">
        <v>3</v>
      </c>
      <c r="AD26" s="37">
        <v>1</v>
      </c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</row>
    <row r="27" spans="1:146">
      <c r="A27" s="37">
        <v>26</v>
      </c>
      <c r="B27" s="43" t="s">
        <v>213</v>
      </c>
      <c r="C27" s="37">
        <v>2</v>
      </c>
      <c r="D27" s="37">
        <v>0</v>
      </c>
      <c r="E27" s="37">
        <v>1</v>
      </c>
      <c r="F27" s="37">
        <v>1</v>
      </c>
      <c r="G27" s="37">
        <v>2</v>
      </c>
      <c r="H27" s="37">
        <v>1</v>
      </c>
      <c r="I27" s="37">
        <v>2</v>
      </c>
      <c r="J27" s="37">
        <v>1</v>
      </c>
      <c r="K27" s="37">
        <v>0</v>
      </c>
      <c r="L27" s="37">
        <v>3</v>
      </c>
      <c r="M27" s="37">
        <v>1</v>
      </c>
      <c r="N27" s="37">
        <v>1</v>
      </c>
      <c r="O27" s="37">
        <v>3</v>
      </c>
      <c r="P27" s="37">
        <v>2</v>
      </c>
      <c r="Q27" s="37">
        <v>0</v>
      </c>
      <c r="R27" s="37">
        <v>2</v>
      </c>
      <c r="S27" s="37">
        <v>2</v>
      </c>
      <c r="T27" s="37">
        <v>2</v>
      </c>
      <c r="U27" s="37">
        <v>4</v>
      </c>
      <c r="V27" s="37">
        <v>0</v>
      </c>
      <c r="W27" s="37">
        <v>2</v>
      </c>
      <c r="X27" s="37">
        <v>2</v>
      </c>
      <c r="Y27" s="37">
        <v>2</v>
      </c>
      <c r="Z27" s="37">
        <v>0</v>
      </c>
      <c r="AA27" s="37">
        <v>0</v>
      </c>
      <c r="AB27" s="37">
        <v>2</v>
      </c>
      <c r="AC27" s="37">
        <v>3</v>
      </c>
      <c r="AD27" s="37">
        <v>0</v>
      </c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</row>
    <row r="28" spans="1:146">
      <c r="A28" s="37">
        <v>27</v>
      </c>
      <c r="B28" s="43" t="s">
        <v>913</v>
      </c>
      <c r="C28" s="37">
        <v>2</v>
      </c>
      <c r="D28" s="37">
        <v>0</v>
      </c>
      <c r="E28" s="37">
        <v>1</v>
      </c>
      <c r="F28" s="37">
        <v>1</v>
      </c>
      <c r="G28" s="37">
        <v>1</v>
      </c>
      <c r="H28" s="37">
        <v>2</v>
      </c>
      <c r="I28" s="37">
        <v>2</v>
      </c>
      <c r="J28" s="37">
        <v>1</v>
      </c>
      <c r="K28" s="37">
        <v>0</v>
      </c>
      <c r="L28" s="37">
        <v>2</v>
      </c>
      <c r="M28" s="37">
        <v>1</v>
      </c>
      <c r="N28" s="37">
        <v>1</v>
      </c>
      <c r="O28" s="37">
        <v>3</v>
      </c>
      <c r="P28" s="37">
        <v>1</v>
      </c>
      <c r="Q28" s="37">
        <v>0</v>
      </c>
      <c r="R28" s="37">
        <v>2</v>
      </c>
      <c r="S28" s="37">
        <v>2</v>
      </c>
      <c r="T28" s="37">
        <v>2</v>
      </c>
      <c r="U28" s="37">
        <v>4</v>
      </c>
      <c r="V28" s="37">
        <v>0</v>
      </c>
      <c r="W28" s="37">
        <v>2</v>
      </c>
      <c r="X28" s="37">
        <v>1</v>
      </c>
      <c r="Y28" s="37">
        <v>1</v>
      </c>
      <c r="Z28" s="37">
        <v>0</v>
      </c>
      <c r="AA28" s="37">
        <v>0</v>
      </c>
      <c r="AB28" s="37">
        <v>2</v>
      </c>
      <c r="AC28" s="37">
        <v>3</v>
      </c>
      <c r="AD28" s="37">
        <v>0</v>
      </c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</row>
    <row r="29" spans="1:146">
      <c r="A29" s="37">
        <v>28</v>
      </c>
      <c r="B29" s="43" t="s">
        <v>917</v>
      </c>
      <c r="C29" s="37">
        <v>2</v>
      </c>
      <c r="D29" s="37">
        <v>0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2</v>
      </c>
      <c r="M29" s="37">
        <v>1</v>
      </c>
      <c r="N29" s="37">
        <v>2</v>
      </c>
      <c r="O29" s="37">
        <v>2</v>
      </c>
      <c r="P29" s="37">
        <v>1</v>
      </c>
      <c r="Q29" s="37">
        <v>0</v>
      </c>
      <c r="R29" s="37">
        <v>2</v>
      </c>
      <c r="S29" s="37">
        <v>1</v>
      </c>
      <c r="T29" s="37">
        <v>1</v>
      </c>
      <c r="U29" s="37">
        <v>3</v>
      </c>
      <c r="V29" s="37">
        <v>1</v>
      </c>
      <c r="W29" s="37">
        <v>2</v>
      </c>
      <c r="X29" s="37">
        <v>1</v>
      </c>
      <c r="Y29" s="37">
        <v>2</v>
      </c>
      <c r="Z29" s="37">
        <v>1</v>
      </c>
      <c r="AA29" s="37">
        <v>0</v>
      </c>
      <c r="AB29" s="37">
        <v>3</v>
      </c>
      <c r="AC29" s="37">
        <v>4</v>
      </c>
      <c r="AD29" s="37">
        <v>0</v>
      </c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</row>
    <row r="30" spans="1:146">
      <c r="A30" s="37">
        <v>29</v>
      </c>
      <c r="B30" s="72" t="s">
        <v>922</v>
      </c>
      <c r="C30" s="68">
        <v>2</v>
      </c>
      <c r="D30" s="68">
        <v>0</v>
      </c>
      <c r="E30" s="68">
        <v>2</v>
      </c>
      <c r="F30" s="68">
        <v>1</v>
      </c>
      <c r="G30" s="68">
        <v>1</v>
      </c>
      <c r="H30" s="68">
        <v>0</v>
      </c>
      <c r="I30" s="68">
        <v>2</v>
      </c>
      <c r="J30" s="68">
        <v>1</v>
      </c>
      <c r="K30" s="68">
        <v>1</v>
      </c>
      <c r="L30" s="68">
        <v>3</v>
      </c>
      <c r="M30" s="68">
        <v>0</v>
      </c>
      <c r="N30" s="68">
        <v>2</v>
      </c>
      <c r="O30" s="68">
        <v>2</v>
      </c>
      <c r="P30" s="68">
        <v>1</v>
      </c>
      <c r="Q30" s="68">
        <v>0</v>
      </c>
      <c r="R30" s="68">
        <v>4</v>
      </c>
      <c r="S30" s="68">
        <v>0</v>
      </c>
      <c r="T30" s="68">
        <v>2</v>
      </c>
      <c r="U30" s="68">
        <v>4</v>
      </c>
      <c r="V30" s="68">
        <v>0</v>
      </c>
      <c r="W30" s="68">
        <v>2</v>
      </c>
      <c r="X30" s="68">
        <v>2</v>
      </c>
      <c r="Y30" s="68">
        <v>2</v>
      </c>
      <c r="Z30" s="68">
        <v>0</v>
      </c>
      <c r="AA30" s="68">
        <v>0</v>
      </c>
      <c r="AB30" s="68">
        <v>2</v>
      </c>
      <c r="AC30" s="68">
        <v>7</v>
      </c>
      <c r="AD30" s="68">
        <v>0</v>
      </c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</row>
    <row r="31" spans="1:146">
      <c r="A31" s="37">
        <v>30</v>
      </c>
      <c r="B31" s="72" t="s">
        <v>921</v>
      </c>
      <c r="C31" s="68">
        <v>2</v>
      </c>
      <c r="D31" s="68">
        <v>1</v>
      </c>
      <c r="E31" s="68">
        <v>1</v>
      </c>
      <c r="F31" s="68">
        <v>1</v>
      </c>
      <c r="G31" s="68">
        <v>1</v>
      </c>
      <c r="H31" s="68">
        <v>1</v>
      </c>
      <c r="I31" s="68">
        <v>2</v>
      </c>
      <c r="J31" s="68">
        <v>1</v>
      </c>
      <c r="K31" s="68">
        <v>1</v>
      </c>
      <c r="L31" s="68">
        <v>2</v>
      </c>
      <c r="M31" s="68">
        <v>0</v>
      </c>
      <c r="N31" s="68">
        <v>1</v>
      </c>
      <c r="O31" s="68">
        <v>2</v>
      </c>
      <c r="P31" s="68">
        <v>1</v>
      </c>
      <c r="Q31" s="68">
        <v>0</v>
      </c>
      <c r="R31" s="68">
        <v>2</v>
      </c>
      <c r="S31" s="68">
        <v>1</v>
      </c>
      <c r="T31" s="68">
        <v>1</v>
      </c>
      <c r="U31" s="68">
        <v>4</v>
      </c>
      <c r="V31" s="68">
        <v>0</v>
      </c>
      <c r="W31" s="68">
        <v>1</v>
      </c>
      <c r="X31" s="68">
        <v>1</v>
      </c>
      <c r="Y31" s="68">
        <v>1</v>
      </c>
      <c r="Z31" s="68">
        <v>1</v>
      </c>
      <c r="AA31" s="68">
        <v>0</v>
      </c>
      <c r="AB31" s="68">
        <v>2</v>
      </c>
      <c r="AC31" s="68">
        <v>4</v>
      </c>
      <c r="AD31" s="68">
        <v>0</v>
      </c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</row>
    <row r="32" spans="1:146">
      <c r="A32" s="37">
        <v>31</v>
      </c>
      <c r="B32" s="43" t="s">
        <v>214</v>
      </c>
      <c r="C32" s="37">
        <v>3</v>
      </c>
      <c r="D32" s="37">
        <v>1</v>
      </c>
      <c r="E32" s="37">
        <v>2</v>
      </c>
      <c r="F32" s="37">
        <v>2</v>
      </c>
      <c r="G32" s="37">
        <v>3</v>
      </c>
      <c r="H32" s="37">
        <v>1</v>
      </c>
      <c r="I32" s="37">
        <v>2</v>
      </c>
      <c r="J32" s="37">
        <v>1</v>
      </c>
      <c r="K32" s="37">
        <v>0</v>
      </c>
      <c r="L32" s="37">
        <v>3</v>
      </c>
      <c r="M32" s="37">
        <v>1</v>
      </c>
      <c r="N32" s="37">
        <v>3</v>
      </c>
      <c r="O32" s="37">
        <v>4</v>
      </c>
      <c r="P32" s="37">
        <v>2</v>
      </c>
      <c r="Q32" s="37">
        <v>1</v>
      </c>
      <c r="R32" s="37">
        <v>2</v>
      </c>
      <c r="S32" s="37">
        <v>1</v>
      </c>
      <c r="T32" s="37">
        <v>3</v>
      </c>
      <c r="U32" s="37">
        <v>5</v>
      </c>
      <c r="V32" s="37">
        <v>0</v>
      </c>
      <c r="W32" s="37">
        <v>4</v>
      </c>
      <c r="X32" s="37">
        <v>1</v>
      </c>
      <c r="Y32" s="37">
        <v>2</v>
      </c>
      <c r="Z32" s="37">
        <v>2</v>
      </c>
      <c r="AA32" s="37">
        <v>1</v>
      </c>
      <c r="AB32" s="37">
        <v>3</v>
      </c>
      <c r="AC32" s="37">
        <v>5</v>
      </c>
      <c r="AD32" s="37">
        <v>0</v>
      </c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</row>
    <row r="33" spans="1:146">
      <c r="A33" s="37">
        <v>32</v>
      </c>
      <c r="B33" s="72" t="s">
        <v>918</v>
      </c>
      <c r="C33" s="68">
        <v>2</v>
      </c>
      <c r="D33" s="68">
        <v>0</v>
      </c>
      <c r="E33" s="68">
        <v>2</v>
      </c>
      <c r="F33" s="68">
        <v>1</v>
      </c>
      <c r="G33" s="68">
        <v>3</v>
      </c>
      <c r="H33" s="68">
        <v>0</v>
      </c>
      <c r="I33" s="68">
        <v>2</v>
      </c>
      <c r="J33" s="68">
        <v>0</v>
      </c>
      <c r="K33" s="68">
        <v>0</v>
      </c>
      <c r="L33" s="68">
        <v>2</v>
      </c>
      <c r="M33" s="68">
        <v>1</v>
      </c>
      <c r="N33" s="68">
        <v>1</v>
      </c>
      <c r="O33" s="68">
        <v>1</v>
      </c>
      <c r="P33" s="68">
        <v>1</v>
      </c>
      <c r="Q33" s="68">
        <v>1</v>
      </c>
      <c r="R33" s="68">
        <v>2</v>
      </c>
      <c r="S33" s="68">
        <v>3</v>
      </c>
      <c r="T33" s="68">
        <v>0</v>
      </c>
      <c r="U33" s="68">
        <v>2</v>
      </c>
      <c r="V33" s="68">
        <v>1</v>
      </c>
      <c r="W33" s="68">
        <v>2</v>
      </c>
      <c r="X33" s="68">
        <v>2</v>
      </c>
      <c r="Y33" s="68">
        <v>3</v>
      </c>
      <c r="Z33" s="68">
        <v>1</v>
      </c>
      <c r="AA33" s="68">
        <v>1</v>
      </c>
      <c r="AB33" s="68">
        <v>2</v>
      </c>
      <c r="AC33" s="68">
        <v>3</v>
      </c>
      <c r="AD33" s="68">
        <v>0</v>
      </c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</row>
    <row r="34" spans="1:146">
      <c r="A34" s="37">
        <v>33</v>
      </c>
      <c r="B34" s="72" t="s">
        <v>919</v>
      </c>
      <c r="C34" s="68">
        <v>2</v>
      </c>
      <c r="D34" s="68">
        <v>1</v>
      </c>
      <c r="E34" s="68">
        <v>1</v>
      </c>
      <c r="F34" s="68">
        <v>1</v>
      </c>
      <c r="G34" s="68">
        <v>1</v>
      </c>
      <c r="H34" s="68">
        <v>1</v>
      </c>
      <c r="I34" s="68">
        <v>1</v>
      </c>
      <c r="J34" s="68">
        <v>0</v>
      </c>
      <c r="K34" s="68">
        <v>0</v>
      </c>
      <c r="L34" s="68">
        <v>3</v>
      </c>
      <c r="M34" s="68">
        <v>0</v>
      </c>
      <c r="N34" s="68">
        <v>1</v>
      </c>
      <c r="O34" s="68">
        <v>2</v>
      </c>
      <c r="P34" s="68">
        <v>2</v>
      </c>
      <c r="Q34" s="68">
        <v>0</v>
      </c>
      <c r="R34" s="68">
        <v>2</v>
      </c>
      <c r="S34" s="68">
        <v>1</v>
      </c>
      <c r="T34" s="68">
        <v>1</v>
      </c>
      <c r="U34" s="68">
        <v>3</v>
      </c>
      <c r="V34" s="68">
        <v>1</v>
      </c>
      <c r="W34" s="68">
        <v>2</v>
      </c>
      <c r="X34" s="68">
        <v>2</v>
      </c>
      <c r="Y34" s="68">
        <v>2</v>
      </c>
      <c r="Z34" s="68">
        <v>0</v>
      </c>
      <c r="AA34" s="68">
        <v>0</v>
      </c>
      <c r="AB34" s="68">
        <v>1</v>
      </c>
      <c r="AC34" s="68">
        <v>4</v>
      </c>
      <c r="AD34" s="68">
        <v>0</v>
      </c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</row>
    <row r="35" spans="1:146">
      <c r="A35" s="37">
        <v>34</v>
      </c>
      <c r="B35" s="43" t="s">
        <v>215</v>
      </c>
      <c r="C35" s="37">
        <v>2</v>
      </c>
      <c r="D35" s="37">
        <v>0</v>
      </c>
      <c r="E35" s="37">
        <v>3</v>
      </c>
      <c r="F35" s="37">
        <v>1</v>
      </c>
      <c r="G35" s="37">
        <v>2</v>
      </c>
      <c r="H35" s="37">
        <v>1</v>
      </c>
      <c r="I35" s="37">
        <v>2</v>
      </c>
      <c r="J35" s="37">
        <v>1</v>
      </c>
      <c r="K35" s="37">
        <v>1</v>
      </c>
      <c r="L35" s="37">
        <v>1</v>
      </c>
      <c r="M35" s="37">
        <v>1</v>
      </c>
      <c r="N35" s="37">
        <v>2</v>
      </c>
      <c r="O35" s="37">
        <v>2</v>
      </c>
      <c r="P35" s="37">
        <v>1</v>
      </c>
      <c r="Q35" s="37">
        <v>1</v>
      </c>
      <c r="R35" s="37">
        <v>1</v>
      </c>
      <c r="S35" s="37">
        <v>1</v>
      </c>
      <c r="T35" s="37">
        <v>1</v>
      </c>
      <c r="U35" s="37">
        <v>3</v>
      </c>
      <c r="V35" s="37">
        <v>1</v>
      </c>
      <c r="W35" s="37">
        <v>2</v>
      </c>
      <c r="X35" s="37">
        <v>1</v>
      </c>
      <c r="Y35" s="37">
        <v>1</v>
      </c>
      <c r="Z35" s="37">
        <v>1</v>
      </c>
      <c r="AA35" s="37">
        <v>1</v>
      </c>
      <c r="AB35" s="37">
        <v>2</v>
      </c>
      <c r="AC35" s="37">
        <v>3</v>
      </c>
      <c r="AD35" s="37">
        <v>0</v>
      </c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</row>
    <row r="36" spans="1:146">
      <c r="A36" s="37">
        <v>35</v>
      </c>
      <c r="B36" s="43" t="s">
        <v>216</v>
      </c>
      <c r="C36" s="37">
        <v>3</v>
      </c>
      <c r="D36" s="37">
        <v>1</v>
      </c>
      <c r="E36" s="37">
        <v>2</v>
      </c>
      <c r="F36" s="37">
        <v>1</v>
      </c>
      <c r="G36" s="37">
        <v>2</v>
      </c>
      <c r="H36" s="37">
        <v>2</v>
      </c>
      <c r="I36" s="37">
        <v>3</v>
      </c>
      <c r="J36" s="37">
        <v>2</v>
      </c>
      <c r="K36" s="37">
        <v>2</v>
      </c>
      <c r="L36" s="37">
        <v>3</v>
      </c>
      <c r="M36" s="37">
        <v>3</v>
      </c>
      <c r="N36" s="37">
        <v>4</v>
      </c>
      <c r="O36" s="37">
        <v>4</v>
      </c>
      <c r="P36" s="37">
        <v>4</v>
      </c>
      <c r="Q36" s="37">
        <v>1</v>
      </c>
      <c r="R36" s="37">
        <v>2</v>
      </c>
      <c r="S36" s="37">
        <v>1</v>
      </c>
      <c r="T36" s="37">
        <v>3</v>
      </c>
      <c r="U36" s="37">
        <v>3</v>
      </c>
      <c r="V36" s="37">
        <v>1</v>
      </c>
      <c r="W36" s="37">
        <v>2</v>
      </c>
      <c r="X36" s="37">
        <v>2</v>
      </c>
      <c r="Y36" s="37">
        <v>2</v>
      </c>
      <c r="Z36" s="37">
        <v>1</v>
      </c>
      <c r="AA36" s="37">
        <v>2</v>
      </c>
      <c r="AB36" s="37">
        <v>2</v>
      </c>
      <c r="AC36" s="37">
        <v>3</v>
      </c>
      <c r="AD36" s="37">
        <v>1</v>
      </c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</row>
    <row r="37" spans="1:146">
      <c r="A37" s="37">
        <v>36</v>
      </c>
      <c r="B37" s="43" t="s">
        <v>217</v>
      </c>
      <c r="C37" s="37">
        <v>2</v>
      </c>
      <c r="D37" s="37">
        <v>1</v>
      </c>
      <c r="E37" s="37">
        <v>2</v>
      </c>
      <c r="F37" s="37">
        <v>0</v>
      </c>
      <c r="G37" s="37">
        <v>1</v>
      </c>
      <c r="H37" s="37">
        <v>0</v>
      </c>
      <c r="I37" s="37">
        <v>2</v>
      </c>
      <c r="J37" s="37">
        <v>1</v>
      </c>
      <c r="K37" s="37"/>
      <c r="L37" s="37">
        <v>1</v>
      </c>
      <c r="M37" s="37">
        <v>1</v>
      </c>
      <c r="N37" s="37">
        <v>2</v>
      </c>
      <c r="O37" s="37">
        <v>2</v>
      </c>
      <c r="P37" s="37">
        <v>1</v>
      </c>
      <c r="Q37" s="37">
        <v>0</v>
      </c>
      <c r="R37" s="37">
        <v>1</v>
      </c>
      <c r="S37" s="37">
        <v>2</v>
      </c>
      <c r="T37" s="37">
        <v>3</v>
      </c>
      <c r="U37" s="37">
        <v>3</v>
      </c>
      <c r="V37" s="37">
        <v>1</v>
      </c>
      <c r="W37" s="37">
        <v>2</v>
      </c>
      <c r="X37" s="37">
        <v>1</v>
      </c>
      <c r="Y37" s="37">
        <v>1</v>
      </c>
      <c r="Z37" s="37">
        <v>1</v>
      </c>
      <c r="AA37" s="37">
        <v>1</v>
      </c>
      <c r="AB37" s="37">
        <v>2</v>
      </c>
      <c r="AC37" s="37">
        <v>3</v>
      </c>
      <c r="AD37" s="37">
        <v>0</v>
      </c>
      <c r="AE37" s="37">
        <v>1</v>
      </c>
      <c r="AF37" s="37">
        <v>0</v>
      </c>
      <c r="AG37" s="37">
        <v>2</v>
      </c>
      <c r="AH37" s="37">
        <v>0</v>
      </c>
      <c r="AI37" s="37">
        <v>2</v>
      </c>
      <c r="AJ37" s="37">
        <v>1</v>
      </c>
      <c r="AK37" s="37">
        <v>0</v>
      </c>
      <c r="AL37" s="37">
        <v>2</v>
      </c>
      <c r="AM37" s="37">
        <v>2</v>
      </c>
      <c r="AN37" s="37">
        <v>0</v>
      </c>
      <c r="AO37" s="37">
        <v>1</v>
      </c>
      <c r="AP37" s="37">
        <v>0</v>
      </c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</row>
    <row r="38" spans="1:146">
      <c r="A38" s="37">
        <v>37</v>
      </c>
      <c r="B38" s="43" t="s">
        <v>218</v>
      </c>
      <c r="C38" s="37">
        <v>2</v>
      </c>
      <c r="D38" s="37">
        <v>0</v>
      </c>
      <c r="E38" s="37">
        <v>1</v>
      </c>
      <c r="F38" s="37">
        <v>1</v>
      </c>
      <c r="G38" s="37">
        <v>2</v>
      </c>
      <c r="H38" s="37">
        <v>1</v>
      </c>
      <c r="I38" s="37">
        <v>2</v>
      </c>
      <c r="J38" s="37">
        <v>0</v>
      </c>
      <c r="K38" s="37">
        <v>0</v>
      </c>
      <c r="L38" s="37">
        <v>0</v>
      </c>
      <c r="M38" s="37">
        <v>1</v>
      </c>
      <c r="N38" s="37">
        <v>2</v>
      </c>
      <c r="O38" s="37">
        <v>2</v>
      </c>
      <c r="P38" s="37">
        <v>1</v>
      </c>
      <c r="Q38" s="37">
        <v>0</v>
      </c>
      <c r="R38" s="37">
        <v>2</v>
      </c>
      <c r="S38" s="37">
        <v>1</v>
      </c>
      <c r="T38" s="37">
        <v>1</v>
      </c>
      <c r="U38" s="37">
        <v>3</v>
      </c>
      <c r="V38" s="37">
        <v>0</v>
      </c>
      <c r="W38" s="37">
        <v>2</v>
      </c>
      <c r="X38" s="37">
        <v>1</v>
      </c>
      <c r="Y38" s="37">
        <v>1</v>
      </c>
      <c r="Z38" s="37">
        <v>0</v>
      </c>
      <c r="AA38" s="37">
        <v>1</v>
      </c>
      <c r="AB38" s="37">
        <v>2</v>
      </c>
      <c r="AC38" s="37">
        <v>3</v>
      </c>
      <c r="AD38" s="37">
        <v>0</v>
      </c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</row>
    <row r="39" spans="1:146">
      <c r="A39" s="37">
        <v>38</v>
      </c>
      <c r="B39" s="43" t="s">
        <v>219</v>
      </c>
      <c r="C39" s="37">
        <v>3</v>
      </c>
      <c r="D39" s="37">
        <v>1</v>
      </c>
      <c r="E39" s="37">
        <v>2</v>
      </c>
      <c r="F39" s="37">
        <v>2</v>
      </c>
      <c r="G39" s="37">
        <v>3</v>
      </c>
      <c r="H39" s="37">
        <v>1</v>
      </c>
      <c r="I39" s="37">
        <v>3</v>
      </c>
      <c r="J39" s="37">
        <v>0</v>
      </c>
      <c r="K39" s="37">
        <v>0</v>
      </c>
      <c r="L39" s="37">
        <v>1</v>
      </c>
      <c r="M39" s="37">
        <v>2</v>
      </c>
      <c r="N39" s="37">
        <v>3</v>
      </c>
      <c r="O39" s="37">
        <v>3</v>
      </c>
      <c r="P39" s="37">
        <v>1</v>
      </c>
      <c r="Q39" s="37">
        <v>0</v>
      </c>
      <c r="R39" s="37"/>
      <c r="S39" s="37">
        <v>1</v>
      </c>
      <c r="T39" s="37">
        <v>2</v>
      </c>
      <c r="U39" s="37">
        <v>4</v>
      </c>
      <c r="V39" s="37">
        <v>0</v>
      </c>
      <c r="W39" s="37">
        <v>3</v>
      </c>
      <c r="X39" s="37">
        <v>1</v>
      </c>
      <c r="Y39" s="37">
        <v>2</v>
      </c>
      <c r="Z39" s="37">
        <v>1</v>
      </c>
      <c r="AA39" s="37">
        <v>2</v>
      </c>
      <c r="AB39" s="37">
        <v>3</v>
      </c>
      <c r="AC39" s="37">
        <v>4</v>
      </c>
      <c r="AD39" s="37">
        <v>1</v>
      </c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</row>
    <row r="40" spans="1:146">
      <c r="A40" s="37">
        <v>39</v>
      </c>
      <c r="B40" s="43" t="s">
        <v>220</v>
      </c>
      <c r="C40" s="37">
        <v>1</v>
      </c>
      <c r="D40" s="37">
        <v>2</v>
      </c>
      <c r="E40" s="37">
        <v>3</v>
      </c>
      <c r="F40" s="37">
        <v>0</v>
      </c>
      <c r="G40" s="37">
        <v>2</v>
      </c>
      <c r="H40" s="37">
        <v>0</v>
      </c>
      <c r="I40" s="37">
        <v>1</v>
      </c>
      <c r="J40" s="37">
        <v>2</v>
      </c>
      <c r="K40" s="37">
        <v>0</v>
      </c>
      <c r="L40" s="37">
        <v>1</v>
      </c>
      <c r="M40" s="37">
        <v>2</v>
      </c>
      <c r="N40" s="37">
        <v>2</v>
      </c>
      <c r="O40" s="37">
        <v>1</v>
      </c>
      <c r="P40" s="37">
        <v>1</v>
      </c>
      <c r="Q40" s="37">
        <v>0</v>
      </c>
      <c r="R40" s="37">
        <v>2</v>
      </c>
      <c r="S40" s="37">
        <v>2</v>
      </c>
      <c r="T40" s="37">
        <v>1</v>
      </c>
      <c r="U40" s="37">
        <v>3</v>
      </c>
      <c r="V40" s="37">
        <v>0</v>
      </c>
      <c r="W40" s="37">
        <v>2</v>
      </c>
      <c r="X40" s="37">
        <v>1</v>
      </c>
      <c r="Y40" s="37">
        <v>2</v>
      </c>
      <c r="Z40" s="37">
        <v>0</v>
      </c>
      <c r="AA40" s="37">
        <v>1</v>
      </c>
      <c r="AB40" s="37">
        <v>3</v>
      </c>
      <c r="AC40" s="37">
        <v>3</v>
      </c>
      <c r="AD40" s="37">
        <v>0</v>
      </c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</row>
    <row r="41" spans="1:146">
      <c r="A41" s="37">
        <v>40</v>
      </c>
      <c r="B41" s="43" t="s">
        <v>221</v>
      </c>
      <c r="C41" s="37">
        <v>2</v>
      </c>
      <c r="D41" s="37">
        <v>1</v>
      </c>
      <c r="E41" s="37">
        <v>1</v>
      </c>
      <c r="F41" s="37">
        <v>1</v>
      </c>
      <c r="G41" s="37">
        <v>2</v>
      </c>
      <c r="H41" s="37">
        <v>0</v>
      </c>
      <c r="I41" s="37">
        <v>1</v>
      </c>
      <c r="J41" s="37">
        <v>2</v>
      </c>
      <c r="K41" s="37">
        <v>0</v>
      </c>
      <c r="L41" s="37">
        <v>2</v>
      </c>
      <c r="M41" s="37">
        <v>1</v>
      </c>
      <c r="N41" s="37">
        <v>2</v>
      </c>
      <c r="O41" s="37">
        <v>3</v>
      </c>
      <c r="P41" s="37">
        <v>1</v>
      </c>
      <c r="Q41" s="37">
        <v>0</v>
      </c>
      <c r="R41" s="37">
        <v>2</v>
      </c>
      <c r="S41" s="37">
        <v>1</v>
      </c>
      <c r="T41" s="37">
        <v>1</v>
      </c>
      <c r="U41" s="37">
        <v>4</v>
      </c>
      <c r="V41" s="37">
        <v>0</v>
      </c>
      <c r="W41" s="37">
        <v>2</v>
      </c>
      <c r="X41" s="37">
        <v>1</v>
      </c>
      <c r="Y41" s="37">
        <v>2</v>
      </c>
      <c r="Z41" s="37">
        <v>0</v>
      </c>
      <c r="AA41" s="37">
        <v>0</v>
      </c>
      <c r="AB41" s="37">
        <v>2</v>
      </c>
      <c r="AC41" s="37">
        <v>3</v>
      </c>
      <c r="AD41" s="37">
        <v>0</v>
      </c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</row>
    <row r="42" spans="1:146">
      <c r="A42" s="37">
        <v>41</v>
      </c>
      <c r="B42" s="43" t="s">
        <v>222</v>
      </c>
      <c r="C42" s="37">
        <v>2</v>
      </c>
      <c r="D42" s="37">
        <v>1</v>
      </c>
      <c r="E42" s="37">
        <v>2</v>
      </c>
      <c r="F42" s="37">
        <v>1</v>
      </c>
      <c r="G42" s="37">
        <v>2</v>
      </c>
      <c r="H42" s="37">
        <v>1</v>
      </c>
      <c r="I42" s="37">
        <v>2</v>
      </c>
      <c r="J42" s="37">
        <v>1</v>
      </c>
      <c r="K42" s="37">
        <v>1</v>
      </c>
      <c r="L42" s="37">
        <v>1</v>
      </c>
      <c r="M42" s="37">
        <v>0</v>
      </c>
      <c r="N42" s="37">
        <v>2</v>
      </c>
      <c r="O42" s="37">
        <v>3</v>
      </c>
      <c r="P42" s="37">
        <v>2</v>
      </c>
      <c r="Q42" s="37">
        <v>1</v>
      </c>
      <c r="R42" s="37">
        <v>1</v>
      </c>
      <c r="S42" s="37">
        <v>1</v>
      </c>
      <c r="T42" s="37">
        <v>3</v>
      </c>
      <c r="U42" s="37">
        <v>3</v>
      </c>
      <c r="V42" s="37">
        <v>1</v>
      </c>
      <c r="W42" s="37">
        <v>2</v>
      </c>
      <c r="X42" s="37">
        <v>0</v>
      </c>
      <c r="Y42" s="37">
        <v>3</v>
      </c>
      <c r="Z42" s="37">
        <v>1</v>
      </c>
      <c r="AA42" s="37">
        <v>0</v>
      </c>
      <c r="AB42" s="37">
        <v>1</v>
      </c>
      <c r="AC42" s="37">
        <v>4</v>
      </c>
      <c r="AD42" s="37">
        <v>0</v>
      </c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</row>
    <row r="43" spans="1:146">
      <c r="A43" s="37">
        <v>42</v>
      </c>
      <c r="B43" s="43" t="s">
        <v>223</v>
      </c>
      <c r="C43" s="37">
        <v>2</v>
      </c>
      <c r="D43" s="37">
        <v>0</v>
      </c>
      <c r="E43" s="37">
        <v>1</v>
      </c>
      <c r="F43" s="37">
        <v>0</v>
      </c>
      <c r="G43" s="37">
        <v>1</v>
      </c>
      <c r="H43" s="37">
        <v>1</v>
      </c>
      <c r="I43" s="37">
        <v>2</v>
      </c>
      <c r="J43" s="37">
        <v>2</v>
      </c>
      <c r="K43" s="37">
        <v>0</v>
      </c>
      <c r="L43" s="37">
        <v>3</v>
      </c>
      <c r="M43" s="37">
        <v>1</v>
      </c>
      <c r="N43" s="37">
        <v>2</v>
      </c>
      <c r="O43" s="37">
        <v>1</v>
      </c>
      <c r="P43" s="37">
        <v>2</v>
      </c>
      <c r="Q43" s="37"/>
      <c r="R43" s="37">
        <v>2</v>
      </c>
      <c r="S43" s="37">
        <v>0</v>
      </c>
      <c r="T43" s="37">
        <v>2</v>
      </c>
      <c r="U43" s="37">
        <v>4</v>
      </c>
      <c r="V43" s="37">
        <v>0</v>
      </c>
      <c r="W43" s="37">
        <v>2</v>
      </c>
      <c r="X43" s="37">
        <v>2</v>
      </c>
      <c r="Y43" s="37">
        <v>2</v>
      </c>
      <c r="Z43" s="37">
        <v>0</v>
      </c>
      <c r="AA43" s="37">
        <v>1</v>
      </c>
      <c r="AB43" s="37">
        <v>3</v>
      </c>
      <c r="AC43" s="37">
        <v>3</v>
      </c>
      <c r="AD43" s="37">
        <v>0</v>
      </c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</row>
    <row r="44" spans="1:146">
      <c r="A44" s="37">
        <v>43</v>
      </c>
      <c r="B44" s="43" t="s">
        <v>224</v>
      </c>
      <c r="C44" s="37">
        <v>2</v>
      </c>
      <c r="D44" s="37">
        <v>0</v>
      </c>
      <c r="E44" s="37">
        <v>1</v>
      </c>
      <c r="F44" s="37">
        <v>1</v>
      </c>
      <c r="G44" s="37">
        <v>2</v>
      </c>
      <c r="H44" s="37">
        <v>1</v>
      </c>
      <c r="I44" s="37">
        <v>1</v>
      </c>
      <c r="J44" s="37">
        <v>1</v>
      </c>
      <c r="K44" s="37">
        <v>0</v>
      </c>
      <c r="L44" s="37">
        <v>2</v>
      </c>
      <c r="M44" s="37">
        <v>1</v>
      </c>
      <c r="N44" s="37">
        <v>2</v>
      </c>
      <c r="O44" s="37">
        <v>2</v>
      </c>
      <c r="P44" s="37">
        <v>1</v>
      </c>
      <c r="Q44" s="37">
        <v>0</v>
      </c>
      <c r="R44" s="37">
        <v>2</v>
      </c>
      <c r="S44" s="37">
        <v>1</v>
      </c>
      <c r="T44" s="37">
        <v>1</v>
      </c>
      <c r="U44" s="37">
        <v>5</v>
      </c>
      <c r="V44" s="37">
        <v>0</v>
      </c>
      <c r="W44" s="37">
        <v>2</v>
      </c>
      <c r="X44" s="37">
        <v>2</v>
      </c>
      <c r="Y44" s="37">
        <v>3</v>
      </c>
      <c r="Z44" s="37">
        <v>0</v>
      </c>
      <c r="AA44" s="37">
        <v>0</v>
      </c>
      <c r="AB44" s="37">
        <v>2</v>
      </c>
      <c r="AC44" s="37">
        <v>5</v>
      </c>
      <c r="AD44" s="37">
        <v>0</v>
      </c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</row>
    <row r="45" spans="1:146">
      <c r="A45" s="37">
        <v>44</v>
      </c>
      <c r="B45" s="73" t="s">
        <v>225</v>
      </c>
      <c r="C45" s="69">
        <v>2</v>
      </c>
      <c r="D45" s="69">
        <v>0</v>
      </c>
      <c r="E45" s="69">
        <v>0</v>
      </c>
      <c r="F45" s="69">
        <v>1</v>
      </c>
      <c r="G45" s="69">
        <v>1</v>
      </c>
      <c r="H45" s="69">
        <v>0</v>
      </c>
      <c r="I45" s="69">
        <v>2</v>
      </c>
      <c r="J45" s="69">
        <v>0</v>
      </c>
      <c r="K45" s="69">
        <v>1</v>
      </c>
      <c r="L45" s="69">
        <v>3</v>
      </c>
      <c r="M45" s="69">
        <v>2</v>
      </c>
      <c r="N45" s="69">
        <v>2</v>
      </c>
      <c r="O45" s="69">
        <v>3</v>
      </c>
      <c r="P45" s="69">
        <v>0</v>
      </c>
      <c r="Q45" s="69">
        <v>1</v>
      </c>
      <c r="R45" s="69">
        <v>2</v>
      </c>
      <c r="S45" s="69">
        <v>1</v>
      </c>
      <c r="T45" s="69">
        <v>1</v>
      </c>
      <c r="U45" s="69">
        <v>4</v>
      </c>
      <c r="V45" s="69">
        <v>0</v>
      </c>
      <c r="W45" s="69">
        <v>3</v>
      </c>
      <c r="X45" s="69">
        <v>2</v>
      </c>
      <c r="Y45" s="69">
        <v>2</v>
      </c>
      <c r="Z45" s="69">
        <v>0</v>
      </c>
      <c r="AA45" s="69">
        <v>1</v>
      </c>
      <c r="AB45" s="69">
        <v>2</v>
      </c>
      <c r="AC45" s="69">
        <v>3</v>
      </c>
      <c r="AD45" s="69">
        <v>1</v>
      </c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</row>
    <row r="46" spans="1:146">
      <c r="A46" s="37">
        <v>45</v>
      </c>
      <c r="B46" s="73" t="s">
        <v>226</v>
      </c>
      <c r="C46" s="69">
        <v>2</v>
      </c>
      <c r="D46" s="69">
        <v>0</v>
      </c>
      <c r="E46" s="69">
        <v>1</v>
      </c>
      <c r="F46" s="69">
        <v>1</v>
      </c>
      <c r="G46" s="69">
        <v>1</v>
      </c>
      <c r="H46" s="69">
        <v>0</v>
      </c>
      <c r="I46" s="69">
        <v>2</v>
      </c>
      <c r="J46" s="69">
        <v>1</v>
      </c>
      <c r="K46" s="69">
        <v>0</v>
      </c>
      <c r="L46" s="69">
        <v>1</v>
      </c>
      <c r="M46" s="69">
        <v>1</v>
      </c>
      <c r="N46" s="69">
        <v>2</v>
      </c>
      <c r="O46" s="69">
        <v>3</v>
      </c>
      <c r="P46" s="69">
        <v>1</v>
      </c>
      <c r="Q46" s="69">
        <v>0</v>
      </c>
      <c r="R46" s="69">
        <v>2</v>
      </c>
      <c r="S46" s="69">
        <v>1</v>
      </c>
      <c r="T46" s="69">
        <v>1</v>
      </c>
      <c r="U46" s="69">
        <v>2</v>
      </c>
      <c r="V46" s="69">
        <v>0</v>
      </c>
      <c r="W46" s="69">
        <v>2</v>
      </c>
      <c r="X46" s="69">
        <v>1</v>
      </c>
      <c r="Y46" s="69">
        <v>1</v>
      </c>
      <c r="Z46" s="69">
        <v>0</v>
      </c>
      <c r="AA46" s="69">
        <v>0</v>
      </c>
      <c r="AB46" s="69">
        <v>2</v>
      </c>
      <c r="AC46" s="69">
        <v>3</v>
      </c>
      <c r="AD46" s="69">
        <v>0</v>
      </c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</row>
    <row r="47" spans="1:146">
      <c r="A47" s="37">
        <v>46</v>
      </c>
      <c r="B47" s="73" t="s">
        <v>227</v>
      </c>
      <c r="C47" s="69">
        <v>2</v>
      </c>
      <c r="D47" s="69">
        <v>0</v>
      </c>
      <c r="E47" s="69">
        <v>1</v>
      </c>
      <c r="F47" s="69">
        <v>1</v>
      </c>
      <c r="G47" s="69">
        <v>2</v>
      </c>
      <c r="H47" s="69">
        <v>0</v>
      </c>
      <c r="I47" s="69">
        <v>2</v>
      </c>
      <c r="J47" s="69">
        <v>1</v>
      </c>
      <c r="K47" s="69">
        <v>1</v>
      </c>
      <c r="L47" s="69">
        <v>2</v>
      </c>
      <c r="M47" s="69">
        <v>1</v>
      </c>
      <c r="N47" s="69">
        <v>1</v>
      </c>
      <c r="O47" s="69">
        <v>2</v>
      </c>
      <c r="P47" s="69">
        <v>1</v>
      </c>
      <c r="Q47" s="69">
        <v>1</v>
      </c>
      <c r="R47" s="69">
        <v>2</v>
      </c>
      <c r="S47" s="69">
        <v>1</v>
      </c>
      <c r="T47" s="69">
        <v>1</v>
      </c>
      <c r="U47" s="69">
        <v>3</v>
      </c>
      <c r="V47" s="69">
        <v>0</v>
      </c>
      <c r="W47" s="69">
        <v>2</v>
      </c>
      <c r="X47" s="69">
        <v>1</v>
      </c>
      <c r="Y47" s="69">
        <v>2</v>
      </c>
      <c r="Z47" s="69">
        <v>0</v>
      </c>
      <c r="AA47" s="69">
        <v>0</v>
      </c>
      <c r="AB47" s="69">
        <v>2</v>
      </c>
      <c r="AC47" s="69">
        <v>3</v>
      </c>
      <c r="AD47" s="69">
        <v>0</v>
      </c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</row>
    <row r="48" spans="1:146">
      <c r="A48" s="37">
        <v>47</v>
      </c>
      <c r="B48" s="73" t="s">
        <v>916</v>
      </c>
      <c r="C48" s="69">
        <v>3</v>
      </c>
      <c r="D48" s="69">
        <v>1</v>
      </c>
      <c r="E48" s="69">
        <v>2</v>
      </c>
      <c r="F48" s="69">
        <v>2</v>
      </c>
      <c r="G48" s="69">
        <v>1</v>
      </c>
      <c r="H48" s="69">
        <v>2</v>
      </c>
      <c r="I48" s="69">
        <v>1</v>
      </c>
      <c r="J48" s="69">
        <v>0</v>
      </c>
      <c r="K48" s="69">
        <v>0</v>
      </c>
      <c r="L48" s="69">
        <v>1</v>
      </c>
      <c r="M48" s="69">
        <v>1</v>
      </c>
      <c r="N48" s="69">
        <v>2</v>
      </c>
      <c r="O48" s="69">
        <v>2</v>
      </c>
      <c r="P48" s="69">
        <v>2</v>
      </c>
      <c r="Q48" s="69">
        <v>0</v>
      </c>
      <c r="R48" s="69">
        <v>3</v>
      </c>
      <c r="S48" s="69">
        <v>1</v>
      </c>
      <c r="T48" s="69">
        <v>1</v>
      </c>
      <c r="U48" s="69">
        <v>4</v>
      </c>
      <c r="V48" s="69">
        <v>0</v>
      </c>
      <c r="W48" s="69">
        <v>2</v>
      </c>
      <c r="X48" s="69">
        <v>1</v>
      </c>
      <c r="Y48" s="69">
        <v>3</v>
      </c>
      <c r="Z48" s="69">
        <v>1</v>
      </c>
      <c r="AA48" s="69">
        <v>0</v>
      </c>
      <c r="AB48" s="69">
        <v>3</v>
      </c>
      <c r="AC48" s="69">
        <v>8</v>
      </c>
      <c r="AD48" s="69">
        <v>0</v>
      </c>
    </row>
    <row r="49" spans="1:30">
      <c r="A49" s="37">
        <v>48</v>
      </c>
      <c r="B49" s="73" t="s">
        <v>228</v>
      </c>
      <c r="C49" s="69">
        <v>2</v>
      </c>
      <c r="D49" s="69">
        <v>0</v>
      </c>
      <c r="E49" s="69">
        <v>1</v>
      </c>
      <c r="F49" s="69">
        <v>1</v>
      </c>
      <c r="G49" s="69">
        <v>2</v>
      </c>
      <c r="H49" s="69">
        <v>1</v>
      </c>
      <c r="I49" s="69">
        <v>1</v>
      </c>
      <c r="J49" s="69">
        <v>1</v>
      </c>
      <c r="K49" s="69">
        <v>1</v>
      </c>
      <c r="L49" s="69">
        <v>2</v>
      </c>
      <c r="M49" s="69">
        <v>1</v>
      </c>
      <c r="N49" s="69">
        <v>2</v>
      </c>
      <c r="O49" s="69">
        <v>1</v>
      </c>
      <c r="P49" s="69">
        <v>2</v>
      </c>
      <c r="Q49" s="69">
        <v>0</v>
      </c>
      <c r="R49" s="69">
        <v>3</v>
      </c>
      <c r="S49" s="69">
        <v>2</v>
      </c>
      <c r="T49" s="69">
        <v>1</v>
      </c>
      <c r="U49" s="69">
        <v>4</v>
      </c>
      <c r="V49" s="69">
        <v>0</v>
      </c>
      <c r="W49" s="69">
        <v>2</v>
      </c>
      <c r="X49" s="69">
        <v>2</v>
      </c>
      <c r="Y49" s="69">
        <v>2</v>
      </c>
      <c r="Z49" s="69">
        <v>1</v>
      </c>
      <c r="AA49" s="69">
        <v>0</v>
      </c>
      <c r="AB49" s="69">
        <v>2</v>
      </c>
      <c r="AC49" s="69">
        <v>3</v>
      </c>
      <c r="AD49" s="69">
        <v>0</v>
      </c>
    </row>
  </sheetData>
  <sortState ref="A2:EP49">
    <sortCondition ref="B2:B49"/>
  </sortState>
  <conditionalFormatting sqref="A2:XFD4 B5:XFD36 A5:A49">
    <cfRule type="expression" dxfId="1" priority="2">
      <formula>MOD(ROW(),2)=1</formula>
    </cfRule>
  </conditionalFormatting>
  <conditionalFormatting sqref="B37:XFD44 B45:AD49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topLeftCell="A13" workbookViewId="0">
      <selection activeCell="H4" sqref="H4"/>
    </sheetView>
  </sheetViews>
  <sheetFormatPr baseColWidth="10" defaultColWidth="9" defaultRowHeight="14.25"/>
  <cols>
    <col min="1" max="1" width="7" customWidth="1"/>
    <col min="2" max="2" width="12" customWidth="1"/>
    <col min="3" max="3" width="10" customWidth="1"/>
    <col min="4" max="4" width="14" customWidth="1"/>
    <col min="5" max="5" width="9" customWidth="1"/>
    <col min="6" max="7" width="22" customWidth="1"/>
    <col min="8" max="8" width="12" customWidth="1"/>
    <col min="9" max="9" width="14" customWidth="1"/>
    <col min="10" max="11" width="24" customWidth="1"/>
    <col min="12" max="13" width="12" customWidth="1"/>
    <col min="14" max="14" width="14" customWidth="1"/>
    <col min="15" max="15" width="16" customWidth="1"/>
    <col min="16" max="16" width="18" customWidth="1"/>
    <col min="17" max="17" width="38" customWidth="1"/>
  </cols>
  <sheetData>
    <row r="1" spans="1:26" ht="24" customHeight="1">
      <c r="A1" s="31" t="s">
        <v>248</v>
      </c>
      <c r="B1" s="32" t="s">
        <v>249</v>
      </c>
      <c r="C1" s="31" t="s">
        <v>250</v>
      </c>
      <c r="D1" s="31" t="s">
        <v>251</v>
      </c>
      <c r="E1" s="31" t="s">
        <v>29</v>
      </c>
      <c r="F1" s="31" t="s">
        <v>252</v>
      </c>
      <c r="G1" s="31" t="s">
        <v>253</v>
      </c>
      <c r="H1" s="31" t="s">
        <v>254</v>
      </c>
      <c r="I1" s="31" t="s">
        <v>255</v>
      </c>
      <c r="J1" s="31" t="s">
        <v>256</v>
      </c>
      <c r="K1" s="31" t="s">
        <v>257</v>
      </c>
      <c r="L1" s="31" t="s">
        <v>258</v>
      </c>
      <c r="M1" s="31" t="s">
        <v>259</v>
      </c>
      <c r="N1" s="31" t="s">
        <v>260</v>
      </c>
      <c r="O1" s="31" t="s">
        <v>261</v>
      </c>
      <c r="P1" s="31" t="s">
        <v>262</v>
      </c>
      <c r="Q1" s="31" t="s">
        <v>263</v>
      </c>
      <c r="R1" s="31"/>
      <c r="S1" s="31"/>
      <c r="T1" s="31"/>
      <c r="U1" s="31"/>
      <c r="V1" s="31"/>
      <c r="W1" s="31"/>
      <c r="X1" s="31"/>
      <c r="Y1" s="31"/>
      <c r="Z1" s="31"/>
    </row>
    <row r="2" spans="1:26" ht="71.25">
      <c r="A2">
        <v>1</v>
      </c>
      <c r="B2">
        <v>46184</v>
      </c>
      <c r="C2" t="s">
        <v>264</v>
      </c>
      <c r="D2" t="s">
        <v>29</v>
      </c>
      <c r="E2" t="s">
        <v>33</v>
      </c>
      <c r="F2" t="s">
        <v>36</v>
      </c>
      <c r="G2" t="s">
        <v>39</v>
      </c>
      <c r="J2" t="str">
        <f t="shared" ref="J2:J33" si="0">IF(OR(H2="",I2=""),"",IF(H2&gt;I2,F2,IF(I2&gt;H2,G2,"Empate")))</f>
        <v/>
      </c>
      <c r="K2" t="s">
        <v>265</v>
      </c>
      <c r="L2" t="s">
        <v>35</v>
      </c>
      <c r="M2" t="s">
        <v>38</v>
      </c>
      <c r="N2" t="s">
        <v>34</v>
      </c>
      <c r="O2" t="s">
        <v>37</v>
      </c>
      <c r="P2" t="s">
        <v>266</v>
      </c>
      <c r="Q2" s="2" t="s">
        <v>267</v>
      </c>
    </row>
    <row r="3" spans="1:26">
      <c r="A3">
        <v>2</v>
      </c>
      <c r="B3">
        <v>46184</v>
      </c>
      <c r="C3" t="s">
        <v>268</v>
      </c>
      <c r="D3" t="s">
        <v>29</v>
      </c>
      <c r="E3" t="s">
        <v>33</v>
      </c>
      <c r="F3" t="s">
        <v>42</v>
      </c>
      <c r="G3" t="s">
        <v>45</v>
      </c>
      <c r="J3" t="str">
        <f t="shared" si="0"/>
        <v/>
      </c>
      <c r="K3" t="s">
        <v>269</v>
      </c>
      <c r="L3" t="s">
        <v>41</v>
      </c>
      <c r="M3" t="s">
        <v>44</v>
      </c>
      <c r="N3" t="s">
        <v>40</v>
      </c>
      <c r="O3" t="s">
        <v>43</v>
      </c>
      <c r="P3" t="s">
        <v>266</v>
      </c>
    </row>
    <row r="4" spans="1:26">
      <c r="A4">
        <v>3</v>
      </c>
      <c r="B4">
        <v>46185</v>
      </c>
      <c r="C4" t="s">
        <v>264</v>
      </c>
      <c r="D4" t="s">
        <v>29</v>
      </c>
      <c r="E4" t="s">
        <v>46</v>
      </c>
      <c r="F4" t="s">
        <v>49</v>
      </c>
      <c r="G4" t="s">
        <v>52</v>
      </c>
      <c r="J4" t="str">
        <f t="shared" si="0"/>
        <v/>
      </c>
      <c r="K4" t="s">
        <v>270</v>
      </c>
      <c r="L4" t="s">
        <v>48</v>
      </c>
      <c r="M4" t="s">
        <v>51</v>
      </c>
      <c r="N4" t="s">
        <v>47</v>
      </c>
      <c r="O4" t="s">
        <v>50</v>
      </c>
      <c r="P4" t="s">
        <v>266</v>
      </c>
    </row>
    <row r="5" spans="1:26">
      <c r="A5">
        <v>4</v>
      </c>
      <c r="B5">
        <v>46185</v>
      </c>
      <c r="C5" t="s">
        <v>271</v>
      </c>
      <c r="D5" t="s">
        <v>29</v>
      </c>
      <c r="E5" t="s">
        <v>72</v>
      </c>
      <c r="F5" t="s">
        <v>75</v>
      </c>
      <c r="G5" t="s">
        <v>78</v>
      </c>
      <c r="J5" t="str">
        <f t="shared" si="0"/>
        <v/>
      </c>
      <c r="K5" t="s">
        <v>272</v>
      </c>
      <c r="L5" t="s">
        <v>74</v>
      </c>
      <c r="M5" t="s">
        <v>77</v>
      </c>
      <c r="N5" t="s">
        <v>73</v>
      </c>
      <c r="O5" t="s">
        <v>76</v>
      </c>
      <c r="P5" t="s">
        <v>266</v>
      </c>
    </row>
    <row r="6" spans="1:26">
      <c r="A6">
        <v>5</v>
      </c>
      <c r="B6">
        <v>46186</v>
      </c>
      <c r="C6" t="s">
        <v>271</v>
      </c>
      <c r="D6" t="s">
        <v>29</v>
      </c>
      <c r="E6" t="s">
        <v>59</v>
      </c>
      <c r="F6" t="s">
        <v>68</v>
      </c>
      <c r="G6" t="s">
        <v>71</v>
      </c>
      <c r="J6" t="str">
        <f t="shared" si="0"/>
        <v/>
      </c>
      <c r="K6" t="s">
        <v>273</v>
      </c>
      <c r="L6" t="s">
        <v>67</v>
      </c>
      <c r="M6" t="s">
        <v>70</v>
      </c>
      <c r="N6" t="s">
        <v>66</v>
      </c>
      <c r="O6" t="s">
        <v>69</v>
      </c>
      <c r="P6" t="s">
        <v>266</v>
      </c>
    </row>
    <row r="7" spans="1:26">
      <c r="A7">
        <v>6</v>
      </c>
      <c r="B7">
        <v>46186</v>
      </c>
      <c r="C7" t="s">
        <v>274</v>
      </c>
      <c r="D7" t="s">
        <v>29</v>
      </c>
      <c r="E7" t="s">
        <v>72</v>
      </c>
      <c r="F7" t="s">
        <v>81</v>
      </c>
      <c r="G7" t="s">
        <v>84</v>
      </c>
      <c r="J7" t="str">
        <f t="shared" si="0"/>
        <v/>
      </c>
      <c r="K7" t="s">
        <v>275</v>
      </c>
      <c r="L7" t="s">
        <v>80</v>
      </c>
      <c r="M7" t="s">
        <v>83</v>
      </c>
      <c r="N7" t="s">
        <v>79</v>
      </c>
      <c r="O7" t="s">
        <v>82</v>
      </c>
      <c r="P7" t="s">
        <v>266</v>
      </c>
    </row>
    <row r="8" spans="1:26">
      <c r="A8">
        <v>7</v>
      </c>
      <c r="B8">
        <v>46186</v>
      </c>
      <c r="C8" t="s">
        <v>276</v>
      </c>
      <c r="D8" t="s">
        <v>29</v>
      </c>
      <c r="E8" t="s">
        <v>59</v>
      </c>
      <c r="F8" t="s">
        <v>62</v>
      </c>
      <c r="G8" t="s">
        <v>65</v>
      </c>
      <c r="J8" t="str">
        <f t="shared" si="0"/>
        <v/>
      </c>
      <c r="K8" t="s">
        <v>277</v>
      </c>
      <c r="L8" t="s">
        <v>61</v>
      </c>
      <c r="M8" t="s">
        <v>64</v>
      </c>
      <c r="N8" t="s">
        <v>60</v>
      </c>
      <c r="O8" t="s">
        <v>63</v>
      </c>
      <c r="P8" t="s">
        <v>266</v>
      </c>
    </row>
    <row r="9" spans="1:26">
      <c r="A9">
        <v>8</v>
      </c>
      <c r="B9">
        <v>46186</v>
      </c>
      <c r="C9" t="s">
        <v>264</v>
      </c>
      <c r="D9" t="s">
        <v>29</v>
      </c>
      <c r="E9" t="s">
        <v>46</v>
      </c>
      <c r="F9" t="s">
        <v>55</v>
      </c>
      <c r="G9" t="s">
        <v>58</v>
      </c>
      <c r="J9" t="str">
        <f t="shared" si="0"/>
        <v/>
      </c>
      <c r="K9" t="s">
        <v>278</v>
      </c>
      <c r="L9" t="s">
        <v>54</v>
      </c>
      <c r="M9" t="s">
        <v>57</v>
      </c>
      <c r="N9" t="s">
        <v>53</v>
      </c>
      <c r="O9" t="s">
        <v>56</v>
      </c>
      <c r="P9" t="s">
        <v>266</v>
      </c>
    </row>
    <row r="10" spans="1:26">
      <c r="A10">
        <v>9</v>
      </c>
      <c r="B10">
        <v>46187</v>
      </c>
      <c r="C10" t="s">
        <v>279</v>
      </c>
      <c r="D10" t="s">
        <v>29</v>
      </c>
      <c r="E10" t="s">
        <v>85</v>
      </c>
      <c r="F10" t="s">
        <v>94</v>
      </c>
      <c r="G10" t="s">
        <v>97</v>
      </c>
      <c r="J10" t="str">
        <f t="shared" si="0"/>
        <v/>
      </c>
      <c r="K10" t="s">
        <v>280</v>
      </c>
      <c r="L10" t="s">
        <v>93</v>
      </c>
      <c r="M10" t="s">
        <v>96</v>
      </c>
      <c r="N10" t="s">
        <v>92</v>
      </c>
      <c r="O10" t="s">
        <v>95</v>
      </c>
      <c r="P10" t="s">
        <v>266</v>
      </c>
    </row>
    <row r="11" spans="1:26">
      <c r="A11">
        <v>10</v>
      </c>
      <c r="B11">
        <v>46187</v>
      </c>
      <c r="C11" t="s">
        <v>281</v>
      </c>
      <c r="D11" t="s">
        <v>29</v>
      </c>
      <c r="E11" t="s">
        <v>85</v>
      </c>
      <c r="F11" t="s">
        <v>88</v>
      </c>
      <c r="G11" t="s">
        <v>91</v>
      </c>
      <c r="J11" t="str">
        <f t="shared" si="0"/>
        <v/>
      </c>
      <c r="K11" t="s">
        <v>282</v>
      </c>
      <c r="L11" t="s">
        <v>87</v>
      </c>
      <c r="M11" t="s">
        <v>90</v>
      </c>
      <c r="N11" t="s">
        <v>86</v>
      </c>
      <c r="O11" t="s">
        <v>89</v>
      </c>
      <c r="P11" t="s">
        <v>266</v>
      </c>
    </row>
    <row r="12" spans="1:26">
      <c r="A12">
        <v>11</v>
      </c>
      <c r="B12">
        <v>46187</v>
      </c>
      <c r="C12" t="s">
        <v>283</v>
      </c>
      <c r="D12" t="s">
        <v>29</v>
      </c>
      <c r="E12" t="s">
        <v>98</v>
      </c>
      <c r="F12" t="s">
        <v>101</v>
      </c>
      <c r="G12" t="s">
        <v>104</v>
      </c>
      <c r="J12" t="str">
        <f t="shared" si="0"/>
        <v/>
      </c>
      <c r="K12" t="s">
        <v>284</v>
      </c>
      <c r="L12" t="s">
        <v>100</v>
      </c>
      <c r="M12" t="s">
        <v>103</v>
      </c>
      <c r="N12" t="s">
        <v>99</v>
      </c>
      <c r="O12" t="s">
        <v>102</v>
      </c>
      <c r="P12" t="s">
        <v>266</v>
      </c>
    </row>
    <row r="13" spans="1:26">
      <c r="A13">
        <v>12</v>
      </c>
      <c r="B13">
        <v>46187</v>
      </c>
      <c r="C13" t="s">
        <v>268</v>
      </c>
      <c r="D13" t="s">
        <v>29</v>
      </c>
      <c r="E13" t="s">
        <v>98</v>
      </c>
      <c r="F13" t="s">
        <v>107</v>
      </c>
      <c r="G13" t="s">
        <v>110</v>
      </c>
      <c r="J13" t="str">
        <f t="shared" si="0"/>
        <v/>
      </c>
      <c r="K13" t="s">
        <v>285</v>
      </c>
      <c r="L13" t="s">
        <v>106</v>
      </c>
      <c r="M13" t="s">
        <v>109</v>
      </c>
      <c r="N13" t="s">
        <v>105</v>
      </c>
      <c r="O13" t="s">
        <v>108</v>
      </c>
      <c r="P13" t="s">
        <v>266</v>
      </c>
    </row>
    <row r="14" spans="1:26">
      <c r="A14">
        <v>13</v>
      </c>
      <c r="B14">
        <v>46188</v>
      </c>
      <c r="C14" t="s">
        <v>276</v>
      </c>
      <c r="D14" t="s">
        <v>29</v>
      </c>
      <c r="E14" t="s">
        <v>124</v>
      </c>
      <c r="F14" t="s">
        <v>133</v>
      </c>
      <c r="G14" t="s">
        <v>136</v>
      </c>
      <c r="J14" t="str">
        <f t="shared" si="0"/>
        <v/>
      </c>
      <c r="K14" t="s">
        <v>286</v>
      </c>
      <c r="L14" t="s">
        <v>132</v>
      </c>
      <c r="M14" t="s">
        <v>135</v>
      </c>
      <c r="N14" t="s">
        <v>131</v>
      </c>
      <c r="O14" t="s">
        <v>134</v>
      </c>
      <c r="P14" t="s">
        <v>266</v>
      </c>
    </row>
    <row r="15" spans="1:26">
      <c r="A15">
        <v>14</v>
      </c>
      <c r="B15">
        <v>46188</v>
      </c>
      <c r="C15" t="s">
        <v>287</v>
      </c>
      <c r="D15" t="s">
        <v>29</v>
      </c>
      <c r="E15" t="s">
        <v>124</v>
      </c>
      <c r="F15" t="s">
        <v>127</v>
      </c>
      <c r="G15" t="s">
        <v>130</v>
      </c>
      <c r="J15" t="str">
        <f t="shared" si="0"/>
        <v/>
      </c>
      <c r="K15" t="s">
        <v>288</v>
      </c>
      <c r="L15" t="s">
        <v>126</v>
      </c>
      <c r="M15" t="s">
        <v>129</v>
      </c>
      <c r="N15" t="s">
        <v>125</v>
      </c>
      <c r="O15" t="s">
        <v>128</v>
      </c>
      <c r="P15" t="s">
        <v>266</v>
      </c>
    </row>
    <row r="16" spans="1:26">
      <c r="A16">
        <v>15</v>
      </c>
      <c r="B16">
        <v>46188</v>
      </c>
      <c r="C16" t="s">
        <v>271</v>
      </c>
      <c r="D16" t="s">
        <v>29</v>
      </c>
      <c r="E16" t="s">
        <v>111</v>
      </c>
      <c r="F16" t="s">
        <v>120</v>
      </c>
      <c r="G16" t="s">
        <v>123</v>
      </c>
      <c r="J16" t="str">
        <f t="shared" si="0"/>
        <v/>
      </c>
      <c r="K16" t="s">
        <v>272</v>
      </c>
      <c r="L16" t="s">
        <v>119</v>
      </c>
      <c r="M16" t="s">
        <v>122</v>
      </c>
      <c r="N16" t="s">
        <v>118</v>
      </c>
      <c r="O16" t="s">
        <v>121</v>
      </c>
      <c r="P16" t="s">
        <v>266</v>
      </c>
    </row>
    <row r="17" spans="1:16">
      <c r="A17">
        <v>16</v>
      </c>
      <c r="B17">
        <v>46188</v>
      </c>
      <c r="C17" t="s">
        <v>264</v>
      </c>
      <c r="D17" t="s">
        <v>29</v>
      </c>
      <c r="E17" t="s">
        <v>111</v>
      </c>
      <c r="F17" t="s">
        <v>114</v>
      </c>
      <c r="G17" t="s">
        <v>117</v>
      </c>
      <c r="J17" t="str">
        <f t="shared" si="0"/>
        <v/>
      </c>
      <c r="K17" t="s">
        <v>289</v>
      </c>
      <c r="L17" t="s">
        <v>113</v>
      </c>
      <c r="M17" t="s">
        <v>116</v>
      </c>
      <c r="N17" t="s">
        <v>112</v>
      </c>
      <c r="O17" t="s">
        <v>115</v>
      </c>
      <c r="P17" t="s">
        <v>266</v>
      </c>
    </row>
    <row r="18" spans="1:16">
      <c r="A18">
        <v>17</v>
      </c>
      <c r="B18">
        <v>46189</v>
      </c>
      <c r="C18" t="s">
        <v>264</v>
      </c>
      <c r="D18" t="s">
        <v>29</v>
      </c>
      <c r="E18" t="s">
        <v>137</v>
      </c>
      <c r="F18" t="s">
        <v>140</v>
      </c>
      <c r="G18" t="s">
        <v>143</v>
      </c>
      <c r="J18" t="str">
        <f t="shared" si="0"/>
        <v/>
      </c>
      <c r="K18" t="s">
        <v>277</v>
      </c>
      <c r="L18" t="s">
        <v>139</v>
      </c>
      <c r="M18" t="s">
        <v>142</v>
      </c>
      <c r="N18" t="s">
        <v>138</v>
      </c>
      <c r="O18" t="s">
        <v>141</v>
      </c>
      <c r="P18" t="s">
        <v>266</v>
      </c>
    </row>
    <row r="19" spans="1:16">
      <c r="A19">
        <v>18</v>
      </c>
      <c r="B19">
        <v>46189</v>
      </c>
      <c r="C19" t="s">
        <v>276</v>
      </c>
      <c r="D19" t="s">
        <v>29</v>
      </c>
      <c r="E19" t="s">
        <v>137</v>
      </c>
      <c r="F19" t="s">
        <v>146</v>
      </c>
      <c r="G19" t="s">
        <v>149</v>
      </c>
      <c r="J19" t="str">
        <f t="shared" si="0"/>
        <v/>
      </c>
      <c r="K19" t="s">
        <v>273</v>
      </c>
      <c r="L19" t="s">
        <v>145</v>
      </c>
      <c r="M19" t="s">
        <v>148</v>
      </c>
      <c r="N19" t="s">
        <v>144</v>
      </c>
      <c r="O19" t="s">
        <v>147</v>
      </c>
      <c r="P19" t="s">
        <v>266</v>
      </c>
    </row>
    <row r="20" spans="1:16">
      <c r="A20">
        <v>19</v>
      </c>
      <c r="B20">
        <v>46189</v>
      </c>
      <c r="C20" t="s">
        <v>271</v>
      </c>
      <c r="D20" t="s">
        <v>29</v>
      </c>
      <c r="E20" t="s">
        <v>150</v>
      </c>
      <c r="F20" t="s">
        <v>153</v>
      </c>
      <c r="G20" t="s">
        <v>156</v>
      </c>
      <c r="J20" t="str">
        <f t="shared" si="0"/>
        <v/>
      </c>
      <c r="K20" t="s">
        <v>290</v>
      </c>
      <c r="L20" t="s">
        <v>152</v>
      </c>
      <c r="M20" t="s">
        <v>155</v>
      </c>
      <c r="N20" t="s">
        <v>151</v>
      </c>
      <c r="O20" t="s">
        <v>154</v>
      </c>
      <c r="P20" t="s">
        <v>266</v>
      </c>
    </row>
    <row r="21" spans="1:16">
      <c r="A21">
        <v>20</v>
      </c>
      <c r="B21">
        <v>46189</v>
      </c>
      <c r="C21" t="s">
        <v>274</v>
      </c>
      <c r="D21" t="s">
        <v>29</v>
      </c>
      <c r="E21" t="s">
        <v>150</v>
      </c>
      <c r="F21" t="s">
        <v>159</v>
      </c>
      <c r="G21" t="s">
        <v>162</v>
      </c>
      <c r="J21" t="str">
        <f t="shared" si="0"/>
        <v/>
      </c>
      <c r="K21" t="s">
        <v>278</v>
      </c>
      <c r="L21" t="s">
        <v>158</v>
      </c>
      <c r="M21" t="s">
        <v>161</v>
      </c>
      <c r="N21" t="s">
        <v>157</v>
      </c>
      <c r="O21" t="s">
        <v>160</v>
      </c>
      <c r="P21" t="s">
        <v>266</v>
      </c>
    </row>
    <row r="22" spans="1:16">
      <c r="A22">
        <v>21</v>
      </c>
      <c r="B22">
        <v>46190</v>
      </c>
      <c r="C22" t="s">
        <v>279</v>
      </c>
      <c r="D22" t="s">
        <v>29</v>
      </c>
      <c r="E22" t="s">
        <v>176</v>
      </c>
      <c r="F22" t="s">
        <v>185</v>
      </c>
      <c r="G22" t="s">
        <v>188</v>
      </c>
      <c r="J22" t="str">
        <f t="shared" si="0"/>
        <v/>
      </c>
      <c r="K22" t="s">
        <v>270</v>
      </c>
      <c r="L22" t="s">
        <v>184</v>
      </c>
      <c r="M22" t="s">
        <v>187</v>
      </c>
      <c r="N22" t="s">
        <v>183</v>
      </c>
      <c r="O22" t="s">
        <v>186</v>
      </c>
      <c r="P22" t="s">
        <v>266</v>
      </c>
    </row>
    <row r="23" spans="1:16">
      <c r="A23">
        <v>22</v>
      </c>
      <c r="B23">
        <v>46190</v>
      </c>
      <c r="C23" t="s">
        <v>283</v>
      </c>
      <c r="D23" t="s">
        <v>29</v>
      </c>
      <c r="E23" t="s">
        <v>176</v>
      </c>
      <c r="F23" t="s">
        <v>179</v>
      </c>
      <c r="G23" t="s">
        <v>182</v>
      </c>
      <c r="J23" t="str">
        <f t="shared" si="0"/>
        <v/>
      </c>
      <c r="K23" t="s">
        <v>284</v>
      </c>
      <c r="L23" t="s">
        <v>178</v>
      </c>
      <c r="M23" t="s">
        <v>181</v>
      </c>
      <c r="N23" t="s">
        <v>177</v>
      </c>
      <c r="O23" t="s">
        <v>180</v>
      </c>
      <c r="P23" t="s">
        <v>266</v>
      </c>
    </row>
    <row r="24" spans="1:16">
      <c r="A24">
        <v>23</v>
      </c>
      <c r="B24">
        <v>46190</v>
      </c>
      <c r="C24" t="s">
        <v>281</v>
      </c>
      <c r="D24" t="s">
        <v>29</v>
      </c>
      <c r="E24" t="s">
        <v>163</v>
      </c>
      <c r="F24" t="s">
        <v>166</v>
      </c>
      <c r="G24" t="s">
        <v>169</v>
      </c>
      <c r="J24" t="str">
        <f t="shared" si="0"/>
        <v/>
      </c>
      <c r="K24" t="s">
        <v>282</v>
      </c>
      <c r="L24" t="s">
        <v>165</v>
      </c>
      <c r="M24" t="s">
        <v>168</v>
      </c>
      <c r="N24" t="s">
        <v>164</v>
      </c>
      <c r="O24" t="s">
        <v>167</v>
      </c>
      <c r="P24" t="s">
        <v>266</v>
      </c>
    </row>
    <row r="25" spans="1:16">
      <c r="A25">
        <v>24</v>
      </c>
      <c r="B25">
        <v>46190</v>
      </c>
      <c r="C25" t="s">
        <v>268</v>
      </c>
      <c r="D25" t="s">
        <v>29</v>
      </c>
      <c r="E25" t="s">
        <v>163</v>
      </c>
      <c r="F25" t="s">
        <v>172</v>
      </c>
      <c r="G25" t="s">
        <v>175</v>
      </c>
      <c r="J25" t="str">
        <f t="shared" si="0"/>
        <v/>
      </c>
      <c r="K25" t="s">
        <v>265</v>
      </c>
      <c r="L25" t="s">
        <v>171</v>
      </c>
      <c r="M25" t="s">
        <v>174</v>
      </c>
      <c r="N25" t="s">
        <v>170</v>
      </c>
      <c r="O25" t="s">
        <v>173</v>
      </c>
      <c r="P25" t="s">
        <v>266</v>
      </c>
    </row>
    <row r="26" spans="1:16">
      <c r="A26">
        <v>25</v>
      </c>
      <c r="B26">
        <v>46191</v>
      </c>
      <c r="C26" t="s">
        <v>287</v>
      </c>
      <c r="D26" t="s">
        <v>29</v>
      </c>
      <c r="E26" t="s">
        <v>33</v>
      </c>
      <c r="F26" t="s">
        <v>45</v>
      </c>
      <c r="G26" t="s">
        <v>39</v>
      </c>
      <c r="J26" t="str">
        <f t="shared" si="0"/>
        <v/>
      </c>
      <c r="K26" t="s">
        <v>288</v>
      </c>
      <c r="L26" t="s">
        <v>44</v>
      </c>
      <c r="M26" t="s">
        <v>38</v>
      </c>
      <c r="N26" t="s">
        <v>43</v>
      </c>
      <c r="O26" t="s">
        <v>37</v>
      </c>
      <c r="P26" t="s">
        <v>266</v>
      </c>
    </row>
    <row r="27" spans="1:16">
      <c r="A27">
        <v>26</v>
      </c>
      <c r="B27">
        <v>46191</v>
      </c>
      <c r="C27" t="s">
        <v>264</v>
      </c>
      <c r="D27" t="s">
        <v>29</v>
      </c>
      <c r="E27" t="s">
        <v>46</v>
      </c>
      <c r="F27" t="s">
        <v>58</v>
      </c>
      <c r="G27" t="s">
        <v>52</v>
      </c>
      <c r="J27" t="str">
        <f t="shared" si="0"/>
        <v/>
      </c>
      <c r="K27" t="s">
        <v>272</v>
      </c>
      <c r="L27" t="s">
        <v>57</v>
      </c>
      <c r="M27" t="s">
        <v>51</v>
      </c>
      <c r="N27" t="s">
        <v>56</v>
      </c>
      <c r="O27" t="s">
        <v>50</v>
      </c>
      <c r="P27" t="s">
        <v>266</v>
      </c>
    </row>
    <row r="28" spans="1:16">
      <c r="A28">
        <v>27</v>
      </c>
      <c r="B28">
        <v>46191</v>
      </c>
      <c r="C28" t="s">
        <v>276</v>
      </c>
      <c r="D28" t="s">
        <v>29</v>
      </c>
      <c r="E28" t="s">
        <v>46</v>
      </c>
      <c r="F28" t="s">
        <v>49</v>
      </c>
      <c r="G28" t="s">
        <v>55</v>
      </c>
      <c r="J28" t="str">
        <f t="shared" si="0"/>
        <v/>
      </c>
      <c r="K28" t="s">
        <v>275</v>
      </c>
      <c r="L28" t="s">
        <v>48</v>
      </c>
      <c r="M28" t="s">
        <v>54</v>
      </c>
      <c r="N28" t="s">
        <v>47</v>
      </c>
      <c r="O28" t="s">
        <v>53</v>
      </c>
      <c r="P28" t="s">
        <v>266</v>
      </c>
    </row>
    <row r="29" spans="1:16">
      <c r="A29">
        <v>28</v>
      </c>
      <c r="B29">
        <v>46191</v>
      </c>
      <c r="C29" t="s">
        <v>271</v>
      </c>
      <c r="D29" t="s">
        <v>29</v>
      </c>
      <c r="E29" t="s">
        <v>33</v>
      </c>
      <c r="F29" t="s">
        <v>36</v>
      </c>
      <c r="G29" t="s">
        <v>42</v>
      </c>
      <c r="J29" t="str">
        <f t="shared" si="0"/>
        <v/>
      </c>
      <c r="K29" t="s">
        <v>269</v>
      </c>
      <c r="L29" t="s">
        <v>35</v>
      </c>
      <c r="M29" t="s">
        <v>41</v>
      </c>
      <c r="N29" t="s">
        <v>34</v>
      </c>
      <c r="O29" t="s">
        <v>40</v>
      </c>
      <c r="P29" t="s">
        <v>266</v>
      </c>
    </row>
    <row r="30" spans="1:16">
      <c r="A30">
        <v>29</v>
      </c>
      <c r="B30">
        <v>46192</v>
      </c>
      <c r="C30" t="s">
        <v>291</v>
      </c>
      <c r="D30" t="s">
        <v>29</v>
      </c>
      <c r="E30" t="s">
        <v>59</v>
      </c>
      <c r="F30" t="s">
        <v>62</v>
      </c>
      <c r="G30" t="s">
        <v>68</v>
      </c>
      <c r="J30" t="str">
        <f t="shared" si="0"/>
        <v/>
      </c>
      <c r="K30" t="s">
        <v>280</v>
      </c>
      <c r="L30" t="s">
        <v>61</v>
      </c>
      <c r="M30" t="s">
        <v>67</v>
      </c>
      <c r="N30" t="s">
        <v>60</v>
      </c>
      <c r="O30" t="s">
        <v>66</v>
      </c>
      <c r="P30" t="s">
        <v>266</v>
      </c>
    </row>
    <row r="31" spans="1:16">
      <c r="A31">
        <v>30</v>
      </c>
      <c r="B31">
        <v>46192</v>
      </c>
      <c r="C31" t="s">
        <v>276</v>
      </c>
      <c r="D31" t="s">
        <v>29</v>
      </c>
      <c r="E31" t="s">
        <v>59</v>
      </c>
      <c r="F31" t="s">
        <v>71</v>
      </c>
      <c r="G31" t="s">
        <v>65</v>
      </c>
      <c r="J31" t="str">
        <f t="shared" si="0"/>
        <v/>
      </c>
      <c r="K31" t="s">
        <v>273</v>
      </c>
      <c r="L31" t="s">
        <v>70</v>
      </c>
      <c r="M31" t="s">
        <v>64</v>
      </c>
      <c r="N31" t="s">
        <v>69</v>
      </c>
      <c r="O31" t="s">
        <v>63</v>
      </c>
      <c r="P31" t="s">
        <v>266</v>
      </c>
    </row>
    <row r="32" spans="1:16">
      <c r="A32">
        <v>31</v>
      </c>
      <c r="B32">
        <v>46192</v>
      </c>
      <c r="C32" t="s">
        <v>292</v>
      </c>
      <c r="D32" t="s">
        <v>29</v>
      </c>
      <c r="E32" t="s">
        <v>72</v>
      </c>
      <c r="F32" t="s">
        <v>84</v>
      </c>
      <c r="G32" t="s">
        <v>78</v>
      </c>
      <c r="J32" t="str">
        <f t="shared" si="0"/>
        <v/>
      </c>
      <c r="K32" t="s">
        <v>278</v>
      </c>
      <c r="L32" t="s">
        <v>83</v>
      </c>
      <c r="M32" t="s">
        <v>77</v>
      </c>
      <c r="N32" t="s">
        <v>82</v>
      </c>
      <c r="O32" t="s">
        <v>76</v>
      </c>
      <c r="P32" t="s">
        <v>266</v>
      </c>
    </row>
    <row r="33" spans="1:16">
      <c r="A33">
        <v>32</v>
      </c>
      <c r="B33">
        <v>46192</v>
      </c>
      <c r="C33" t="s">
        <v>264</v>
      </c>
      <c r="D33" t="s">
        <v>29</v>
      </c>
      <c r="E33" t="s">
        <v>72</v>
      </c>
      <c r="F33" t="s">
        <v>75</v>
      </c>
      <c r="G33" t="s">
        <v>81</v>
      </c>
      <c r="J33" t="str">
        <f t="shared" si="0"/>
        <v/>
      </c>
      <c r="K33" t="s">
        <v>289</v>
      </c>
      <c r="L33" t="s">
        <v>74</v>
      </c>
      <c r="M33" t="s">
        <v>80</v>
      </c>
      <c r="N33" t="s">
        <v>73</v>
      </c>
      <c r="O33" t="s">
        <v>79</v>
      </c>
      <c r="P33" t="s">
        <v>266</v>
      </c>
    </row>
    <row r="34" spans="1:16">
      <c r="A34">
        <v>33</v>
      </c>
      <c r="B34">
        <v>46193</v>
      </c>
      <c r="C34" t="s">
        <v>283</v>
      </c>
      <c r="D34" t="s">
        <v>29</v>
      </c>
      <c r="E34" t="s">
        <v>85</v>
      </c>
      <c r="F34" t="s">
        <v>88</v>
      </c>
      <c r="G34" t="s">
        <v>94</v>
      </c>
      <c r="J34" t="str">
        <f t="shared" ref="J34:J65" si="1">IF(OR(H34="",I34=""),"",IF(H34&gt;I34,F34,IF(I34&gt;H34,G34,"Empate")))</f>
        <v/>
      </c>
      <c r="K34" t="s">
        <v>270</v>
      </c>
      <c r="L34" t="s">
        <v>87</v>
      </c>
      <c r="M34" t="s">
        <v>93</v>
      </c>
      <c r="N34" t="s">
        <v>86</v>
      </c>
      <c r="O34" t="s">
        <v>92</v>
      </c>
      <c r="P34" t="s">
        <v>266</v>
      </c>
    </row>
    <row r="35" spans="1:16">
      <c r="A35">
        <v>34</v>
      </c>
      <c r="B35">
        <v>46193</v>
      </c>
      <c r="C35" t="s">
        <v>293</v>
      </c>
      <c r="D35" t="s">
        <v>29</v>
      </c>
      <c r="E35" t="s">
        <v>85</v>
      </c>
      <c r="F35" t="s">
        <v>97</v>
      </c>
      <c r="G35" t="s">
        <v>91</v>
      </c>
      <c r="J35" t="str">
        <f t="shared" si="1"/>
        <v/>
      </c>
      <c r="K35" t="s">
        <v>290</v>
      </c>
      <c r="L35" t="s">
        <v>96</v>
      </c>
      <c r="M35" t="s">
        <v>90</v>
      </c>
      <c r="N35" t="s">
        <v>95</v>
      </c>
      <c r="O35" t="s">
        <v>89</v>
      </c>
      <c r="P35" t="s">
        <v>266</v>
      </c>
    </row>
    <row r="36" spans="1:16">
      <c r="A36">
        <v>35</v>
      </c>
      <c r="B36">
        <v>46193</v>
      </c>
      <c r="C36" t="s">
        <v>281</v>
      </c>
      <c r="D36" t="s">
        <v>29</v>
      </c>
      <c r="E36" t="s">
        <v>98</v>
      </c>
      <c r="F36" t="s">
        <v>101</v>
      </c>
      <c r="G36" t="s">
        <v>107</v>
      </c>
      <c r="J36" t="str">
        <f t="shared" si="1"/>
        <v/>
      </c>
      <c r="K36" t="s">
        <v>282</v>
      </c>
      <c r="L36" t="s">
        <v>100</v>
      </c>
      <c r="M36" t="s">
        <v>106</v>
      </c>
      <c r="N36" t="s">
        <v>99</v>
      </c>
      <c r="O36" t="s">
        <v>105</v>
      </c>
      <c r="P36" t="s">
        <v>266</v>
      </c>
    </row>
    <row r="37" spans="1:16">
      <c r="A37">
        <v>36</v>
      </c>
      <c r="B37">
        <v>46193</v>
      </c>
      <c r="C37" t="s">
        <v>274</v>
      </c>
      <c r="D37" t="s">
        <v>29</v>
      </c>
      <c r="E37" t="s">
        <v>98</v>
      </c>
      <c r="F37" t="s">
        <v>110</v>
      </c>
      <c r="G37" t="s">
        <v>104</v>
      </c>
      <c r="J37" t="str">
        <f t="shared" si="1"/>
        <v/>
      </c>
      <c r="K37" t="s">
        <v>285</v>
      </c>
      <c r="L37" t="s">
        <v>109</v>
      </c>
      <c r="M37" t="s">
        <v>103</v>
      </c>
      <c r="N37" t="s">
        <v>108</v>
      </c>
      <c r="O37" t="s">
        <v>102</v>
      </c>
      <c r="P37" t="s">
        <v>266</v>
      </c>
    </row>
    <row r="38" spans="1:16">
      <c r="A38">
        <v>37</v>
      </c>
      <c r="B38">
        <v>46194</v>
      </c>
      <c r="C38" t="s">
        <v>276</v>
      </c>
      <c r="D38" t="s">
        <v>29</v>
      </c>
      <c r="E38" t="s">
        <v>124</v>
      </c>
      <c r="F38" t="s">
        <v>136</v>
      </c>
      <c r="G38" t="s">
        <v>130</v>
      </c>
      <c r="J38" t="str">
        <f t="shared" si="1"/>
        <v/>
      </c>
      <c r="K38" t="s">
        <v>286</v>
      </c>
      <c r="L38" t="s">
        <v>135</v>
      </c>
      <c r="M38" t="s">
        <v>129</v>
      </c>
      <c r="N38" t="s">
        <v>134</v>
      </c>
      <c r="O38" t="s">
        <v>128</v>
      </c>
      <c r="P38" t="s">
        <v>266</v>
      </c>
    </row>
    <row r="39" spans="1:16">
      <c r="A39">
        <v>38</v>
      </c>
      <c r="B39">
        <v>46194</v>
      </c>
      <c r="C39" t="s">
        <v>287</v>
      </c>
      <c r="D39" t="s">
        <v>29</v>
      </c>
      <c r="E39" t="s">
        <v>124</v>
      </c>
      <c r="F39" t="s">
        <v>127</v>
      </c>
      <c r="G39" t="s">
        <v>133</v>
      </c>
      <c r="J39" t="str">
        <f t="shared" si="1"/>
        <v/>
      </c>
      <c r="K39" t="s">
        <v>288</v>
      </c>
      <c r="L39" t="s">
        <v>126</v>
      </c>
      <c r="M39" t="s">
        <v>132</v>
      </c>
      <c r="N39" t="s">
        <v>125</v>
      </c>
      <c r="O39" t="s">
        <v>131</v>
      </c>
      <c r="P39" t="s">
        <v>266</v>
      </c>
    </row>
    <row r="40" spans="1:16">
      <c r="A40">
        <v>39</v>
      </c>
      <c r="B40">
        <v>46194</v>
      </c>
      <c r="C40" t="s">
        <v>264</v>
      </c>
      <c r="D40" t="s">
        <v>29</v>
      </c>
      <c r="E40" t="s">
        <v>111</v>
      </c>
      <c r="F40" t="s">
        <v>114</v>
      </c>
      <c r="G40" t="s">
        <v>120</v>
      </c>
      <c r="J40" t="str">
        <f t="shared" si="1"/>
        <v/>
      </c>
      <c r="K40" t="s">
        <v>272</v>
      </c>
      <c r="L40" t="s">
        <v>113</v>
      </c>
      <c r="M40" t="s">
        <v>119</v>
      </c>
      <c r="N40" t="s">
        <v>112</v>
      </c>
      <c r="O40" t="s">
        <v>118</v>
      </c>
      <c r="P40" t="s">
        <v>266</v>
      </c>
    </row>
    <row r="41" spans="1:16">
      <c r="A41">
        <v>40</v>
      </c>
      <c r="B41">
        <v>46194</v>
      </c>
      <c r="C41" t="s">
        <v>271</v>
      </c>
      <c r="D41" t="s">
        <v>29</v>
      </c>
      <c r="E41" t="s">
        <v>111</v>
      </c>
      <c r="F41" t="s">
        <v>123</v>
      </c>
      <c r="G41" t="s">
        <v>117</v>
      </c>
      <c r="J41" t="str">
        <f t="shared" si="1"/>
        <v/>
      </c>
      <c r="K41" t="s">
        <v>275</v>
      </c>
      <c r="L41" t="s">
        <v>122</v>
      </c>
      <c r="M41" t="s">
        <v>116</v>
      </c>
      <c r="N41" t="s">
        <v>121</v>
      </c>
      <c r="O41" t="s">
        <v>115</v>
      </c>
      <c r="P41" t="s">
        <v>266</v>
      </c>
    </row>
    <row r="42" spans="1:16">
      <c r="A42">
        <v>41</v>
      </c>
      <c r="B42">
        <v>46195</v>
      </c>
      <c r="C42" t="s">
        <v>293</v>
      </c>
      <c r="D42" t="s">
        <v>29</v>
      </c>
      <c r="E42" t="s">
        <v>137</v>
      </c>
      <c r="F42" t="s">
        <v>149</v>
      </c>
      <c r="G42" t="s">
        <v>143</v>
      </c>
      <c r="J42" t="str">
        <f t="shared" si="1"/>
        <v/>
      </c>
      <c r="K42" t="s">
        <v>277</v>
      </c>
      <c r="L42" t="s">
        <v>148</v>
      </c>
      <c r="M42" t="s">
        <v>142</v>
      </c>
      <c r="N42" t="s">
        <v>147</v>
      </c>
      <c r="O42" t="s">
        <v>141</v>
      </c>
      <c r="P42" t="s">
        <v>266</v>
      </c>
    </row>
    <row r="43" spans="1:16">
      <c r="A43">
        <v>42</v>
      </c>
      <c r="B43">
        <v>46195</v>
      </c>
      <c r="C43" t="s">
        <v>294</v>
      </c>
      <c r="D43" t="s">
        <v>29</v>
      </c>
      <c r="E43" t="s">
        <v>137</v>
      </c>
      <c r="F43" t="s">
        <v>140</v>
      </c>
      <c r="G43" t="s">
        <v>146</v>
      </c>
      <c r="J43" t="str">
        <f t="shared" si="1"/>
        <v/>
      </c>
      <c r="K43" t="s">
        <v>280</v>
      </c>
      <c r="L43" t="s">
        <v>139</v>
      </c>
      <c r="M43" t="s">
        <v>145</v>
      </c>
      <c r="N43" t="s">
        <v>138</v>
      </c>
      <c r="O43" t="s">
        <v>144</v>
      </c>
      <c r="P43" t="s">
        <v>266</v>
      </c>
    </row>
    <row r="44" spans="1:16">
      <c r="A44">
        <v>43</v>
      </c>
      <c r="B44">
        <v>46195</v>
      </c>
      <c r="C44" t="s">
        <v>281</v>
      </c>
      <c r="D44" t="s">
        <v>29</v>
      </c>
      <c r="E44" t="s">
        <v>150</v>
      </c>
      <c r="F44" t="s">
        <v>153</v>
      </c>
      <c r="G44" t="s">
        <v>159</v>
      </c>
      <c r="J44" t="str">
        <f t="shared" si="1"/>
        <v/>
      </c>
      <c r="K44" t="s">
        <v>284</v>
      </c>
      <c r="L44" t="s">
        <v>152</v>
      </c>
      <c r="M44" t="s">
        <v>158</v>
      </c>
      <c r="N44" t="s">
        <v>151</v>
      </c>
      <c r="O44" t="s">
        <v>157</v>
      </c>
      <c r="P44" t="s">
        <v>266</v>
      </c>
    </row>
    <row r="45" spans="1:16">
      <c r="A45">
        <v>44</v>
      </c>
      <c r="B45">
        <v>46195</v>
      </c>
      <c r="C45" t="s">
        <v>292</v>
      </c>
      <c r="D45" t="s">
        <v>29</v>
      </c>
      <c r="E45" t="s">
        <v>150</v>
      </c>
      <c r="F45" t="s">
        <v>162</v>
      </c>
      <c r="G45" t="s">
        <v>156</v>
      </c>
      <c r="J45" t="str">
        <f t="shared" si="1"/>
        <v/>
      </c>
      <c r="K45" t="s">
        <v>278</v>
      </c>
      <c r="L45" t="s">
        <v>161</v>
      </c>
      <c r="M45" t="s">
        <v>155</v>
      </c>
      <c r="N45" t="s">
        <v>160</v>
      </c>
      <c r="O45" t="s">
        <v>154</v>
      </c>
      <c r="P45" t="s">
        <v>266</v>
      </c>
    </row>
    <row r="46" spans="1:16">
      <c r="A46">
        <v>45</v>
      </c>
      <c r="B46">
        <v>46196</v>
      </c>
      <c r="C46" t="s">
        <v>283</v>
      </c>
      <c r="D46" t="s">
        <v>29</v>
      </c>
      <c r="E46" t="s">
        <v>176</v>
      </c>
      <c r="F46" t="s">
        <v>179</v>
      </c>
      <c r="G46" t="s">
        <v>185</v>
      </c>
      <c r="J46" t="str">
        <f t="shared" si="1"/>
        <v/>
      </c>
      <c r="K46" t="s">
        <v>273</v>
      </c>
      <c r="L46" t="s">
        <v>178</v>
      </c>
      <c r="M46" t="s">
        <v>184</v>
      </c>
      <c r="N46" t="s">
        <v>177</v>
      </c>
      <c r="O46" t="s">
        <v>183</v>
      </c>
      <c r="P46" t="s">
        <v>266</v>
      </c>
    </row>
    <row r="47" spans="1:16">
      <c r="A47">
        <v>46</v>
      </c>
      <c r="B47">
        <v>46196</v>
      </c>
      <c r="C47" t="s">
        <v>279</v>
      </c>
      <c r="D47" t="s">
        <v>29</v>
      </c>
      <c r="E47" t="s">
        <v>176</v>
      </c>
      <c r="F47" t="s">
        <v>188</v>
      </c>
      <c r="G47" t="s">
        <v>182</v>
      </c>
      <c r="J47" t="str">
        <f t="shared" si="1"/>
        <v/>
      </c>
      <c r="K47" t="s">
        <v>270</v>
      </c>
      <c r="L47" t="s">
        <v>187</v>
      </c>
      <c r="M47" t="s">
        <v>181</v>
      </c>
      <c r="N47" t="s">
        <v>186</v>
      </c>
      <c r="O47" t="s">
        <v>180</v>
      </c>
      <c r="P47" t="s">
        <v>266</v>
      </c>
    </row>
    <row r="48" spans="1:16">
      <c r="A48">
        <v>47</v>
      </c>
      <c r="B48">
        <v>46196</v>
      </c>
      <c r="C48" t="s">
        <v>281</v>
      </c>
      <c r="D48" t="s">
        <v>29</v>
      </c>
      <c r="E48" t="s">
        <v>163</v>
      </c>
      <c r="F48" t="s">
        <v>166</v>
      </c>
      <c r="G48" t="s">
        <v>172</v>
      </c>
      <c r="J48" t="str">
        <f t="shared" si="1"/>
        <v/>
      </c>
      <c r="K48" t="s">
        <v>282</v>
      </c>
      <c r="L48" t="s">
        <v>165</v>
      </c>
      <c r="M48" t="s">
        <v>171</v>
      </c>
      <c r="N48" t="s">
        <v>164</v>
      </c>
      <c r="O48" t="s">
        <v>170</v>
      </c>
      <c r="P48" t="s">
        <v>266</v>
      </c>
    </row>
    <row r="49" spans="1:16">
      <c r="A49">
        <v>48</v>
      </c>
      <c r="B49">
        <v>46196</v>
      </c>
      <c r="C49" t="s">
        <v>268</v>
      </c>
      <c r="D49" t="s">
        <v>29</v>
      </c>
      <c r="E49" t="s">
        <v>163</v>
      </c>
      <c r="F49" t="s">
        <v>175</v>
      </c>
      <c r="G49" t="s">
        <v>169</v>
      </c>
      <c r="J49" t="str">
        <f t="shared" si="1"/>
        <v/>
      </c>
      <c r="K49" t="s">
        <v>269</v>
      </c>
      <c r="L49" t="s">
        <v>174</v>
      </c>
      <c r="M49" t="s">
        <v>168</v>
      </c>
      <c r="N49" t="s">
        <v>173</v>
      </c>
      <c r="O49" t="s">
        <v>167</v>
      </c>
      <c r="P49" t="s">
        <v>266</v>
      </c>
    </row>
    <row r="50" spans="1:16">
      <c r="A50">
        <v>49</v>
      </c>
      <c r="B50">
        <v>46197</v>
      </c>
      <c r="C50" t="s">
        <v>276</v>
      </c>
      <c r="D50" t="s">
        <v>29</v>
      </c>
      <c r="E50" t="s">
        <v>59</v>
      </c>
      <c r="F50" t="s">
        <v>71</v>
      </c>
      <c r="G50" t="s">
        <v>62</v>
      </c>
      <c r="J50" t="str">
        <f t="shared" si="1"/>
        <v/>
      </c>
      <c r="K50" t="s">
        <v>286</v>
      </c>
      <c r="L50" t="s">
        <v>70</v>
      </c>
      <c r="M50" t="s">
        <v>61</v>
      </c>
      <c r="N50" t="s">
        <v>69</v>
      </c>
      <c r="O50" t="s">
        <v>60</v>
      </c>
      <c r="P50" t="s">
        <v>266</v>
      </c>
    </row>
    <row r="51" spans="1:16">
      <c r="A51">
        <v>50</v>
      </c>
      <c r="B51">
        <v>46197</v>
      </c>
      <c r="C51" t="s">
        <v>276</v>
      </c>
      <c r="D51" t="s">
        <v>29</v>
      </c>
      <c r="E51" t="s">
        <v>59</v>
      </c>
      <c r="F51" t="s">
        <v>65</v>
      </c>
      <c r="G51" t="s">
        <v>68</v>
      </c>
      <c r="J51" t="str">
        <f t="shared" si="1"/>
        <v/>
      </c>
      <c r="K51" t="s">
        <v>288</v>
      </c>
      <c r="L51" t="s">
        <v>64</v>
      </c>
      <c r="M51" t="s">
        <v>67</v>
      </c>
      <c r="N51" t="s">
        <v>63</v>
      </c>
      <c r="O51" t="s">
        <v>66</v>
      </c>
      <c r="P51" t="s">
        <v>266</v>
      </c>
    </row>
    <row r="52" spans="1:16">
      <c r="A52">
        <v>51</v>
      </c>
      <c r="B52">
        <v>46197</v>
      </c>
      <c r="C52" t="s">
        <v>264</v>
      </c>
      <c r="D52" t="s">
        <v>29</v>
      </c>
      <c r="E52" t="s">
        <v>46</v>
      </c>
      <c r="F52" t="s">
        <v>58</v>
      </c>
      <c r="G52" t="s">
        <v>49</v>
      </c>
      <c r="J52" t="str">
        <f t="shared" si="1"/>
        <v/>
      </c>
      <c r="K52" t="s">
        <v>275</v>
      </c>
      <c r="L52" t="s">
        <v>57</v>
      </c>
      <c r="M52" t="s">
        <v>48</v>
      </c>
      <c r="N52" t="s">
        <v>56</v>
      </c>
      <c r="O52" t="s">
        <v>47</v>
      </c>
      <c r="P52" t="s">
        <v>266</v>
      </c>
    </row>
    <row r="53" spans="1:16">
      <c r="A53">
        <v>52</v>
      </c>
      <c r="B53">
        <v>46197</v>
      </c>
      <c r="C53" t="s">
        <v>264</v>
      </c>
      <c r="D53" t="s">
        <v>29</v>
      </c>
      <c r="E53" t="s">
        <v>46</v>
      </c>
      <c r="F53" t="s">
        <v>52</v>
      </c>
      <c r="G53" t="s">
        <v>55</v>
      </c>
      <c r="J53" t="str">
        <f t="shared" si="1"/>
        <v/>
      </c>
      <c r="K53" t="s">
        <v>289</v>
      </c>
      <c r="L53" t="s">
        <v>51</v>
      </c>
      <c r="M53" t="s">
        <v>54</v>
      </c>
      <c r="N53" t="s">
        <v>50</v>
      </c>
      <c r="O53" t="s">
        <v>53</v>
      </c>
      <c r="P53" t="s">
        <v>266</v>
      </c>
    </row>
    <row r="54" spans="1:16">
      <c r="A54">
        <v>53</v>
      </c>
      <c r="B54">
        <v>46197</v>
      </c>
      <c r="C54" t="s">
        <v>271</v>
      </c>
      <c r="D54" t="s">
        <v>29</v>
      </c>
      <c r="E54" t="s">
        <v>33</v>
      </c>
      <c r="F54" t="s">
        <v>45</v>
      </c>
      <c r="G54" t="s">
        <v>36</v>
      </c>
      <c r="J54" t="str">
        <f t="shared" si="1"/>
        <v/>
      </c>
      <c r="K54" t="s">
        <v>265</v>
      </c>
      <c r="L54" t="s">
        <v>44</v>
      </c>
      <c r="M54" t="s">
        <v>35</v>
      </c>
      <c r="N54" t="s">
        <v>43</v>
      </c>
      <c r="O54" t="s">
        <v>34</v>
      </c>
      <c r="P54" t="s">
        <v>266</v>
      </c>
    </row>
    <row r="55" spans="1:16">
      <c r="A55">
        <v>54</v>
      </c>
      <c r="B55">
        <v>46197</v>
      </c>
      <c r="C55" t="s">
        <v>271</v>
      </c>
      <c r="D55" t="s">
        <v>29</v>
      </c>
      <c r="E55" t="s">
        <v>33</v>
      </c>
      <c r="F55" t="s">
        <v>39</v>
      </c>
      <c r="G55" t="s">
        <v>42</v>
      </c>
      <c r="J55" t="str">
        <f t="shared" si="1"/>
        <v/>
      </c>
      <c r="K55" t="s">
        <v>285</v>
      </c>
      <c r="L55" t="s">
        <v>38</v>
      </c>
      <c r="M55" t="s">
        <v>41</v>
      </c>
      <c r="N55" t="s">
        <v>37</v>
      </c>
      <c r="O55" t="s">
        <v>40</v>
      </c>
      <c r="P55" t="s">
        <v>266</v>
      </c>
    </row>
    <row r="56" spans="1:16">
      <c r="A56">
        <v>55</v>
      </c>
      <c r="B56">
        <v>46198</v>
      </c>
      <c r="C56" t="s">
        <v>283</v>
      </c>
      <c r="D56" t="s">
        <v>29</v>
      </c>
      <c r="E56" t="s">
        <v>85</v>
      </c>
      <c r="F56" t="s">
        <v>91</v>
      </c>
      <c r="G56" t="s">
        <v>94</v>
      </c>
      <c r="J56" t="str">
        <f t="shared" si="1"/>
        <v/>
      </c>
      <c r="K56" t="s">
        <v>280</v>
      </c>
      <c r="L56" t="s">
        <v>90</v>
      </c>
      <c r="M56" t="s">
        <v>93</v>
      </c>
      <c r="N56" t="s">
        <v>89</v>
      </c>
      <c r="O56" t="s">
        <v>92</v>
      </c>
      <c r="P56" t="s">
        <v>266</v>
      </c>
    </row>
    <row r="57" spans="1:16">
      <c r="A57">
        <v>56</v>
      </c>
      <c r="B57">
        <v>46198</v>
      </c>
      <c r="C57" t="s">
        <v>283</v>
      </c>
      <c r="D57" t="s">
        <v>29</v>
      </c>
      <c r="E57" t="s">
        <v>85</v>
      </c>
      <c r="F57" t="s">
        <v>97</v>
      </c>
      <c r="G57" t="s">
        <v>88</v>
      </c>
      <c r="J57" t="str">
        <f t="shared" si="1"/>
        <v/>
      </c>
      <c r="K57" t="s">
        <v>277</v>
      </c>
      <c r="L57" t="s">
        <v>96</v>
      </c>
      <c r="M57" t="s">
        <v>87</v>
      </c>
      <c r="N57" t="s">
        <v>95</v>
      </c>
      <c r="O57" t="s">
        <v>86</v>
      </c>
      <c r="P57" t="s">
        <v>266</v>
      </c>
    </row>
    <row r="58" spans="1:16">
      <c r="A58">
        <v>57</v>
      </c>
      <c r="B58">
        <v>46198</v>
      </c>
      <c r="C58" t="s">
        <v>279</v>
      </c>
      <c r="D58" t="s">
        <v>29</v>
      </c>
      <c r="E58" t="s">
        <v>98</v>
      </c>
      <c r="F58" t="s">
        <v>104</v>
      </c>
      <c r="G58" t="s">
        <v>107</v>
      </c>
      <c r="J58" t="str">
        <f t="shared" si="1"/>
        <v/>
      </c>
      <c r="K58" t="s">
        <v>284</v>
      </c>
      <c r="L58" t="s">
        <v>103</v>
      </c>
      <c r="M58" t="s">
        <v>106</v>
      </c>
      <c r="N58" t="s">
        <v>102</v>
      </c>
      <c r="O58" t="s">
        <v>105</v>
      </c>
      <c r="P58" t="s">
        <v>266</v>
      </c>
    </row>
    <row r="59" spans="1:16">
      <c r="A59">
        <v>58</v>
      </c>
      <c r="B59">
        <v>46198</v>
      </c>
      <c r="C59" t="s">
        <v>279</v>
      </c>
      <c r="D59" t="s">
        <v>29</v>
      </c>
      <c r="E59" t="s">
        <v>98</v>
      </c>
      <c r="F59" t="s">
        <v>110</v>
      </c>
      <c r="G59" t="s">
        <v>101</v>
      </c>
      <c r="J59" t="str">
        <f t="shared" si="1"/>
        <v/>
      </c>
      <c r="K59" t="s">
        <v>290</v>
      </c>
      <c r="L59" t="s">
        <v>109</v>
      </c>
      <c r="M59" t="s">
        <v>100</v>
      </c>
      <c r="N59" t="s">
        <v>108</v>
      </c>
      <c r="O59" t="s">
        <v>99</v>
      </c>
      <c r="P59" t="s">
        <v>266</v>
      </c>
    </row>
    <row r="60" spans="1:16">
      <c r="A60">
        <v>59</v>
      </c>
      <c r="B60">
        <v>46198</v>
      </c>
      <c r="C60" t="s">
        <v>268</v>
      </c>
      <c r="D60" t="s">
        <v>29</v>
      </c>
      <c r="E60" t="s">
        <v>72</v>
      </c>
      <c r="F60" t="s">
        <v>84</v>
      </c>
      <c r="G60" t="s">
        <v>75</v>
      </c>
      <c r="J60" t="str">
        <f t="shared" si="1"/>
        <v/>
      </c>
      <c r="K60" t="s">
        <v>272</v>
      </c>
      <c r="L60" t="s">
        <v>83</v>
      </c>
      <c r="M60" t="s">
        <v>74</v>
      </c>
      <c r="N60" t="s">
        <v>82</v>
      </c>
      <c r="O60" t="s">
        <v>73</v>
      </c>
      <c r="P60" t="s">
        <v>266</v>
      </c>
    </row>
    <row r="61" spans="1:16">
      <c r="A61">
        <v>60</v>
      </c>
      <c r="B61">
        <v>46198</v>
      </c>
      <c r="C61" t="s">
        <v>268</v>
      </c>
      <c r="D61" t="s">
        <v>29</v>
      </c>
      <c r="E61" t="s">
        <v>72</v>
      </c>
      <c r="F61" t="s">
        <v>78</v>
      </c>
      <c r="G61" t="s">
        <v>81</v>
      </c>
      <c r="J61" t="str">
        <f t="shared" si="1"/>
        <v/>
      </c>
      <c r="K61" t="s">
        <v>278</v>
      </c>
      <c r="L61" t="s">
        <v>77</v>
      </c>
      <c r="M61" t="s">
        <v>80</v>
      </c>
      <c r="N61" t="s">
        <v>76</v>
      </c>
      <c r="O61" t="s">
        <v>79</v>
      </c>
      <c r="P61" t="s">
        <v>266</v>
      </c>
    </row>
    <row r="62" spans="1:16">
      <c r="A62">
        <v>61</v>
      </c>
      <c r="B62">
        <v>46199</v>
      </c>
      <c r="C62" t="s">
        <v>264</v>
      </c>
      <c r="D62" t="s">
        <v>29</v>
      </c>
      <c r="E62" t="s">
        <v>137</v>
      </c>
      <c r="F62" t="s">
        <v>149</v>
      </c>
      <c r="G62" t="s">
        <v>140</v>
      </c>
      <c r="J62" t="str">
        <f t="shared" si="1"/>
        <v/>
      </c>
      <c r="K62" t="s">
        <v>273</v>
      </c>
      <c r="L62" t="s">
        <v>148</v>
      </c>
      <c r="M62" t="s">
        <v>139</v>
      </c>
      <c r="N62" t="s">
        <v>147</v>
      </c>
      <c r="O62" t="s">
        <v>138</v>
      </c>
      <c r="P62" t="s">
        <v>266</v>
      </c>
    </row>
    <row r="63" spans="1:16">
      <c r="A63">
        <v>62</v>
      </c>
      <c r="B63">
        <v>46199</v>
      </c>
      <c r="C63" t="s">
        <v>264</v>
      </c>
      <c r="D63" t="s">
        <v>29</v>
      </c>
      <c r="E63" t="s">
        <v>137</v>
      </c>
      <c r="F63" t="s">
        <v>143</v>
      </c>
      <c r="G63" t="s">
        <v>146</v>
      </c>
      <c r="J63" t="str">
        <f t="shared" si="1"/>
        <v/>
      </c>
      <c r="K63" t="s">
        <v>270</v>
      </c>
      <c r="L63" t="s">
        <v>142</v>
      </c>
      <c r="M63" t="s">
        <v>145</v>
      </c>
      <c r="N63" t="s">
        <v>141</v>
      </c>
      <c r="O63" t="s">
        <v>144</v>
      </c>
      <c r="P63" t="s">
        <v>266</v>
      </c>
    </row>
    <row r="64" spans="1:16">
      <c r="A64">
        <v>63</v>
      </c>
      <c r="B64">
        <v>46199</v>
      </c>
      <c r="C64" t="s">
        <v>292</v>
      </c>
      <c r="D64" t="s">
        <v>29</v>
      </c>
      <c r="E64" t="s">
        <v>111</v>
      </c>
      <c r="F64" t="s">
        <v>117</v>
      </c>
      <c r="G64" t="s">
        <v>120</v>
      </c>
      <c r="J64" t="str">
        <f t="shared" si="1"/>
        <v/>
      </c>
      <c r="K64" t="s">
        <v>289</v>
      </c>
      <c r="L64" t="s">
        <v>116</v>
      </c>
      <c r="M64" t="s">
        <v>119</v>
      </c>
      <c r="N64" t="s">
        <v>115</v>
      </c>
      <c r="O64" t="s">
        <v>118</v>
      </c>
      <c r="P64" t="s">
        <v>266</v>
      </c>
    </row>
    <row r="65" spans="1:16">
      <c r="A65">
        <v>64</v>
      </c>
      <c r="B65">
        <v>46199</v>
      </c>
      <c r="C65" t="s">
        <v>292</v>
      </c>
      <c r="D65" t="s">
        <v>29</v>
      </c>
      <c r="E65" t="s">
        <v>111</v>
      </c>
      <c r="F65" t="s">
        <v>123</v>
      </c>
      <c r="G65" t="s">
        <v>114</v>
      </c>
      <c r="J65" t="str">
        <f t="shared" si="1"/>
        <v/>
      </c>
      <c r="K65" t="s">
        <v>275</v>
      </c>
      <c r="L65" t="s">
        <v>122</v>
      </c>
      <c r="M65" t="s">
        <v>113</v>
      </c>
      <c r="N65" t="s">
        <v>121</v>
      </c>
      <c r="O65" t="s">
        <v>112</v>
      </c>
      <c r="P65" t="s">
        <v>266</v>
      </c>
    </row>
    <row r="66" spans="1:16">
      <c r="A66">
        <v>65</v>
      </c>
      <c r="B66">
        <v>46199</v>
      </c>
      <c r="C66" t="s">
        <v>293</v>
      </c>
      <c r="D66" t="s">
        <v>29</v>
      </c>
      <c r="E66" t="s">
        <v>124</v>
      </c>
      <c r="F66" t="s">
        <v>130</v>
      </c>
      <c r="G66" t="s">
        <v>133</v>
      </c>
      <c r="J66" t="str">
        <f t="shared" ref="J66:J97" si="2">IF(OR(H66="",I66=""),"",IF(H66&gt;I66,F66,IF(I66&gt;H66,G66,"Empate")))</f>
        <v/>
      </c>
      <c r="K66" t="s">
        <v>282</v>
      </c>
      <c r="L66" t="s">
        <v>129</v>
      </c>
      <c r="M66" t="s">
        <v>132</v>
      </c>
      <c r="N66" t="s">
        <v>128</v>
      </c>
      <c r="O66" t="s">
        <v>131</v>
      </c>
      <c r="P66" t="s">
        <v>266</v>
      </c>
    </row>
    <row r="67" spans="1:16">
      <c r="A67">
        <v>66</v>
      </c>
      <c r="B67">
        <v>46199</v>
      </c>
      <c r="C67" t="s">
        <v>293</v>
      </c>
      <c r="D67" t="s">
        <v>29</v>
      </c>
      <c r="E67" t="s">
        <v>124</v>
      </c>
      <c r="F67" t="s">
        <v>136</v>
      </c>
      <c r="G67" t="s">
        <v>127</v>
      </c>
      <c r="J67" t="str">
        <f t="shared" si="2"/>
        <v/>
      </c>
      <c r="K67" t="s">
        <v>269</v>
      </c>
      <c r="L67" t="s">
        <v>135</v>
      </c>
      <c r="M67" t="s">
        <v>126</v>
      </c>
      <c r="N67" t="s">
        <v>134</v>
      </c>
      <c r="O67" t="s">
        <v>125</v>
      </c>
      <c r="P67" t="s">
        <v>266</v>
      </c>
    </row>
    <row r="68" spans="1:16">
      <c r="A68">
        <v>67</v>
      </c>
      <c r="B68">
        <v>46200</v>
      </c>
      <c r="C68" t="s">
        <v>294</v>
      </c>
      <c r="D68" t="s">
        <v>29</v>
      </c>
      <c r="E68" t="s">
        <v>176</v>
      </c>
      <c r="F68" t="s">
        <v>188</v>
      </c>
      <c r="G68" t="s">
        <v>179</v>
      </c>
      <c r="J68" t="str">
        <f t="shared" si="2"/>
        <v/>
      </c>
      <c r="K68" t="s">
        <v>277</v>
      </c>
      <c r="L68" t="s">
        <v>187</v>
      </c>
      <c r="M68" t="s">
        <v>178</v>
      </c>
      <c r="N68" t="s">
        <v>186</v>
      </c>
      <c r="O68" t="s">
        <v>177</v>
      </c>
      <c r="P68" t="s">
        <v>266</v>
      </c>
    </row>
    <row r="69" spans="1:16">
      <c r="A69">
        <v>68</v>
      </c>
      <c r="B69">
        <v>46200</v>
      </c>
      <c r="C69" t="s">
        <v>294</v>
      </c>
      <c r="D69" t="s">
        <v>29</v>
      </c>
      <c r="E69" t="s">
        <v>176</v>
      </c>
      <c r="F69" t="s">
        <v>182</v>
      </c>
      <c r="G69" t="s">
        <v>185</v>
      </c>
      <c r="J69" t="str">
        <f t="shared" si="2"/>
        <v/>
      </c>
      <c r="K69" t="s">
        <v>280</v>
      </c>
      <c r="L69" t="s">
        <v>181</v>
      </c>
      <c r="M69" t="s">
        <v>184</v>
      </c>
      <c r="N69" t="s">
        <v>180</v>
      </c>
      <c r="O69" t="s">
        <v>183</v>
      </c>
      <c r="P69" t="s">
        <v>266</v>
      </c>
    </row>
    <row r="70" spans="1:16">
      <c r="A70">
        <v>69</v>
      </c>
      <c r="B70">
        <v>46200</v>
      </c>
      <c r="C70" t="s">
        <v>268</v>
      </c>
      <c r="D70" t="s">
        <v>29</v>
      </c>
      <c r="E70" t="s">
        <v>150</v>
      </c>
      <c r="F70" t="s">
        <v>156</v>
      </c>
      <c r="G70" t="s">
        <v>159</v>
      </c>
      <c r="J70" t="str">
        <f t="shared" si="2"/>
        <v/>
      </c>
      <c r="K70" t="s">
        <v>290</v>
      </c>
      <c r="L70" t="s">
        <v>155</v>
      </c>
      <c r="M70" t="s">
        <v>158</v>
      </c>
      <c r="N70" t="s">
        <v>154</v>
      </c>
      <c r="O70" t="s">
        <v>157</v>
      </c>
      <c r="P70" t="s">
        <v>266</v>
      </c>
    </row>
    <row r="71" spans="1:16">
      <c r="A71">
        <v>70</v>
      </c>
      <c r="B71">
        <v>46200</v>
      </c>
      <c r="C71" t="s">
        <v>268</v>
      </c>
      <c r="D71" t="s">
        <v>29</v>
      </c>
      <c r="E71" t="s">
        <v>150</v>
      </c>
      <c r="F71" t="s">
        <v>162</v>
      </c>
      <c r="G71" t="s">
        <v>153</v>
      </c>
      <c r="J71" t="str">
        <f t="shared" si="2"/>
        <v/>
      </c>
      <c r="K71" t="s">
        <v>284</v>
      </c>
      <c r="L71" t="s">
        <v>161</v>
      </c>
      <c r="M71" t="s">
        <v>152</v>
      </c>
      <c r="N71" t="s">
        <v>160</v>
      </c>
      <c r="O71" t="s">
        <v>151</v>
      </c>
      <c r="P71" t="s">
        <v>266</v>
      </c>
    </row>
    <row r="72" spans="1:16">
      <c r="A72">
        <v>71</v>
      </c>
      <c r="B72">
        <v>46200</v>
      </c>
      <c r="C72" t="s">
        <v>295</v>
      </c>
      <c r="D72" t="s">
        <v>29</v>
      </c>
      <c r="E72" t="s">
        <v>163</v>
      </c>
      <c r="F72" t="s">
        <v>175</v>
      </c>
      <c r="G72" t="s">
        <v>166</v>
      </c>
      <c r="J72" t="str">
        <f t="shared" si="2"/>
        <v/>
      </c>
      <c r="K72" t="s">
        <v>286</v>
      </c>
      <c r="L72" t="s">
        <v>174</v>
      </c>
      <c r="M72" t="s">
        <v>165</v>
      </c>
      <c r="N72" t="s">
        <v>173</v>
      </c>
      <c r="O72" t="s">
        <v>164</v>
      </c>
      <c r="P72" t="s">
        <v>266</v>
      </c>
    </row>
    <row r="73" spans="1:16">
      <c r="A73">
        <v>72</v>
      </c>
      <c r="B73">
        <v>46200</v>
      </c>
      <c r="C73" t="s">
        <v>295</v>
      </c>
      <c r="D73" t="s">
        <v>29</v>
      </c>
      <c r="E73" t="s">
        <v>163</v>
      </c>
      <c r="F73" t="s">
        <v>169</v>
      </c>
      <c r="G73" t="s">
        <v>172</v>
      </c>
      <c r="J73" t="str">
        <f t="shared" si="2"/>
        <v/>
      </c>
      <c r="K73" t="s">
        <v>288</v>
      </c>
      <c r="L73" t="s">
        <v>168</v>
      </c>
      <c r="M73" t="s">
        <v>171</v>
      </c>
      <c r="N73" t="s">
        <v>167</v>
      </c>
      <c r="O73" t="s">
        <v>170</v>
      </c>
      <c r="P73" t="s">
        <v>266</v>
      </c>
    </row>
    <row r="74" spans="1:16">
      <c r="A74">
        <v>73</v>
      </c>
      <c r="B74">
        <v>46201</v>
      </c>
      <c r="C74" t="s">
        <v>264</v>
      </c>
      <c r="D74" t="s">
        <v>296</v>
      </c>
      <c r="F74" t="str">
        <f>IF(N74="","",IF(LEFT(N74,1)="3",IFERROR(IF(VLOOKUP($A74&amp;"L",Asignacion_3ros!$A$2:$G$9,6,FALSE)="",N74,VLOOKUP($A74&amp;"L",Asignacion_3ros!$A$2:$G$9,6,FALSE)),N74),IF(LEFT(N74,1)="W",IFERROR(IF(INDEX($J$2:$J$73,MATCH(VALUE(MID(N74,2,3)),$A$2:$A$73,0))="",N74,INDEX($J$2:$J$73,MATCH(VALUE(MID(N74,2,3)),$A$2:$A$73,0))),N74),IF(LEFT(N74,1)="L",IFERROR(IF(INDEX($J$2:$J$73,MATCH(VALUE(MID(N74,2,3)),$A$2:$A$73,0))=INDEX($F$2:$F$73,MATCH(VALUE(MID(N74,2,3)),$A$2:$A$73,0)),INDEX($G$2:$G$73,MATCH(VALUE(MID(N74,2,3)),$A$2:$A$73,0)),IF(INDEX($J$2:$J$73,MATCH(VALUE(MID(N74,2,3)),$A$2:$A$73,0))=INDEX($G$2:$G$73,MATCH(VALUE(MID(N74,2,3)),$A$2:$A$73,0)),INDEX($F$2:$F$73,MATCH(VALUE(MID(N74,2,3)),$A$2:$A$73,0)),N74)),N74),IFERROR(IF(VLOOKUP(RIGHT(N74,1)&amp;LEFT(N74,1),Clasificacion!$O$2:$Q$49,2,FALSE)="",N74,VLOOKUP(RIGHT(N74,1)&amp;LEFT(N74,1),Clasificacion!$O$2:$Q$49,2,FALSE)),N74)))))</f>
        <v>2A</v>
      </c>
      <c r="G74" t="str">
        <f>IF(O74="","",IF(LEFT(O74,1)="3",IFERROR(IF(VLOOKUP($A74&amp;"V",Asignacion_3ros!$A$2:$G$9,6,FALSE)="",O74,VLOOKUP($A74&amp;"V",Asignacion_3ros!$A$2:$G$9,6,FALSE)),O74),IF(LEFT(O74,1)="W",IFERROR(IF(INDEX($J$2:$J$73,MATCH(VALUE(MID(O74,2,3)),$A$2:$A$73,0))="",O74,INDEX($J$2:$J$73,MATCH(VALUE(MID(O74,2,3)),$A$2:$A$73,0))),O74),IF(LEFT(O74,1)="L",IFERROR(IF(INDEX($J$2:$J$73,MATCH(VALUE(MID(O74,2,3)),$A$2:$A$73,0))=INDEX($F$2:$F$73,MATCH(VALUE(MID(O74,2,3)),$A$2:$A$73,0)),INDEX($G$2:$G$73,MATCH(VALUE(MID(O74,2,3)),$A$2:$A$73,0)),IF(INDEX($J$2:$J$73,MATCH(VALUE(MID(O74,2,3)),$A$2:$A$73,0))=INDEX($G$2:$G$73,MATCH(VALUE(MID(O74,2,3)),$A$2:$A$73,0)),INDEX($F$2:$F$73,MATCH(VALUE(MID(O74,2,3)),$A$2:$A$73,0)),O74)),O74),IFERROR(IF(VLOOKUP(RIGHT(O74,1)&amp;LEFT(O74,1),Clasificacion!$O$2:$Q$49,2,FALSE)="",O74,VLOOKUP(RIGHT(O74,1)&amp;LEFT(O74,1),Clasificacion!$O$2:$Q$49,2,FALSE)),O74)))))</f>
        <v>2B</v>
      </c>
      <c r="J74" t="str">
        <f t="shared" si="2"/>
        <v/>
      </c>
      <c r="K74" t="s">
        <v>272</v>
      </c>
      <c r="L74" t="str">
        <f>IF(N74="","",IF(LEFT(N74,1)="3",IFERROR(IF(VLOOKUP($A74&amp;"L",Asignacion_3ros!$A$2:$G$9,7,FALSE)="",N74,VLOOKUP($A74&amp;"L",Asignacion_3ros!$A$2:$G$9,7,FALSE)),N74),IF(LEFT(N74,1)="W",IFERROR(IF(INDEX($J$2:$J$73,MATCH(VALUE(MID(N74,2,3)),$A$2:$A$73,0))=INDEX($F$2:$F$73,MATCH(VALUE(MID(N74,2,3)),$A$2:$A$73,0)),INDEX($L$2:$L$73,MATCH(VALUE(MID(N74,2,3)),$A$2:$A$73,0)),IF(INDEX($J$2:$J$73,MATCH(VALUE(MID(N74,2,3)),$A$2:$A$73,0))=INDEX($G$2:$G$73,MATCH(VALUE(MID(N74,2,3)),$A$2:$A$73,0)),INDEX($M$2:$M$73,MATCH(VALUE(MID(N74,2,3)),$A$2:$A$73,0)),N74)),N74),IF(LEFT(N74,1)="L",IFERROR(IF(INDEX($J$2:$J$73,MATCH(VALUE(MID(N74,2,3)),$A$2:$A$73,0))=INDEX($F$2:$F$73,MATCH(VALUE(MID(N74,2,3)),$A$2:$A$73,0)),INDEX($M$2:$M$73,MATCH(VALUE(MID(N74,2,3)),$A$2:$A$73,0)),IF(INDEX($J$2:$J$73,MATCH(VALUE(MID(N74,2,3)),$A$2:$A$73,0))=INDEX($G$2:$G$73,MATCH(VALUE(MID(N74,2,3)),$A$2:$A$73,0)),INDEX($L$2:$L$73,MATCH(VALUE(MID(N74,2,3)),$A$2:$A$73,0)),N74)),N74),IFERROR(IF(VLOOKUP(RIGHT(N74,1)&amp;LEFT(N74,1),Clasificacion!$O$2:$Q$49,3,FALSE)="",N74,VLOOKUP(RIGHT(N74,1)&amp;LEFT(N74,1),Clasificacion!$O$2:$Q$49,3,FALSE)),N74)))))</f>
        <v>2A</v>
      </c>
      <c r="M74" t="str">
        <f>IF(O74="","",IF(LEFT(O74,1)="3",IFERROR(IF(VLOOKUP($A74&amp;"V",Asignacion_3ros!$A$2:$G$9,7,FALSE)="",O74,VLOOKUP($A74&amp;"V",Asignacion_3ros!$A$2:$G$9,7,FALSE)),O74),IF(LEFT(O74,1)="W",IFERROR(IF(INDEX($J$2:$J$73,MATCH(VALUE(MID(O74,2,3)),$A$2:$A$73,0))=INDEX($F$2:$F$73,MATCH(VALUE(MID(O74,2,3)),$A$2:$A$73,0)),INDEX($L$2:$L$73,MATCH(VALUE(MID(O74,2,3)),$A$2:$A$73,0)),IF(INDEX($J$2:$J$73,MATCH(VALUE(MID(O74,2,3)),$A$2:$A$73,0))=INDEX($G$2:$G$73,MATCH(VALUE(MID(O74,2,3)),$A$2:$A$73,0)),INDEX($M$2:$M$73,MATCH(VALUE(MID(O74,2,3)),$A$2:$A$73,0)),O74)),O74),IF(LEFT(O74,1)="L",IFERROR(IF(INDEX($J$2:$J$73,MATCH(VALUE(MID(O74,2,3)),$A$2:$A$73,0))=INDEX($F$2:$F$73,MATCH(VALUE(MID(O74,2,3)),$A$2:$A$73,0)),INDEX($M$2:$M$73,MATCH(VALUE(MID(O74,2,3)),$A$2:$A$73,0)),IF(INDEX($J$2:$J$73,MATCH(VALUE(MID(O74,2,3)),$A$2:$A$73,0))=INDEX($G$2:$G$73,MATCH(VALUE(MID(O74,2,3)),$A$2:$A$73,0)),INDEX($L$2:$L$73,MATCH(VALUE(MID(O74,2,3)),$A$2:$A$73,0)),O74)),O74),IFERROR(IF(VLOOKUP(RIGHT(O74,1)&amp;LEFT(O74,1),Clasificacion!$O$2:$Q$49,3,FALSE)="",O74,VLOOKUP(RIGHT(O74,1)&amp;LEFT(O74,1),Clasificacion!$O$2:$Q$49,3,FALSE)),O74)))))</f>
        <v>2B</v>
      </c>
      <c r="N74" t="s">
        <v>297</v>
      </c>
      <c r="O74" t="s">
        <v>298</v>
      </c>
      <c r="P74" t="s">
        <v>266</v>
      </c>
    </row>
    <row r="75" spans="1:16">
      <c r="A75">
        <v>74</v>
      </c>
      <c r="B75">
        <v>46201</v>
      </c>
      <c r="C75" t="s">
        <v>299</v>
      </c>
      <c r="D75" t="s">
        <v>296</v>
      </c>
      <c r="F75" t="str">
        <f>IF(N75="","",IF(LEFT(N75,1)="3",IFERROR(IF(VLOOKUP($A75&amp;"L",Asignacion_3ros!$A$2:$G$9,6,FALSE)="",N75,VLOOKUP($A75&amp;"L",Asignacion_3ros!$A$2:$G$9,6,FALSE)),N75),IF(LEFT(N75,1)="W",IFERROR(IF(INDEX($J$2:$J$74,MATCH(VALUE(MID(N75,2,3)),$A$2:$A$74,0))="",N75,INDEX($J$2:$J$74,MATCH(VALUE(MID(N75,2,3)),$A$2:$A$74,0))),N75),IF(LEFT(N75,1)="L",IFERROR(IF(INDEX($J$2:$J$74,MATCH(VALUE(MID(N75,2,3)),$A$2:$A$74,0))=INDEX($F$2:$F$74,MATCH(VALUE(MID(N75,2,3)),$A$2:$A$74,0)),INDEX($G$2:$G$74,MATCH(VALUE(MID(N75,2,3)),$A$2:$A$74,0)),IF(INDEX($J$2:$J$74,MATCH(VALUE(MID(N75,2,3)),$A$2:$A$74,0))=INDEX($G$2:$G$74,MATCH(VALUE(MID(N75,2,3)),$A$2:$A$74,0)),INDEX($F$2:$F$74,MATCH(VALUE(MID(N75,2,3)),$A$2:$A$74,0)),N75)),N75),IFERROR(IF(VLOOKUP(RIGHT(N75,1)&amp;LEFT(N75,1),Clasificacion!$O$2:$Q$49,2,FALSE)="",N75,VLOOKUP(RIGHT(N75,1)&amp;LEFT(N75,1),Clasificacion!$O$2:$Q$49,2,FALSE)),N75)))))</f>
        <v>1E</v>
      </c>
      <c r="G75" t="str">
        <f>IF(O75="","",IF(LEFT(O75,1)="3",IFERROR(IF(VLOOKUP($A75&amp;"V",Asignacion_3ros!$A$2:$G$9,6,FALSE)="",O75,VLOOKUP($A75&amp;"V",Asignacion_3ros!$A$2:$G$9,6,FALSE)),O75),IF(LEFT(O75,1)="W",IFERROR(IF(INDEX($J$2:$J$74,MATCH(VALUE(MID(O75,2,3)),$A$2:$A$74,0))="",O75,INDEX($J$2:$J$74,MATCH(VALUE(MID(O75,2,3)),$A$2:$A$74,0))),O75),IF(LEFT(O75,1)="L",IFERROR(IF(INDEX($J$2:$J$74,MATCH(VALUE(MID(O75,2,3)),$A$2:$A$74,0))=INDEX($F$2:$F$74,MATCH(VALUE(MID(O75,2,3)),$A$2:$A$74,0)),INDEX($G$2:$G$74,MATCH(VALUE(MID(O75,2,3)),$A$2:$A$74,0)),IF(INDEX($J$2:$J$74,MATCH(VALUE(MID(O75,2,3)),$A$2:$A$74,0))=INDEX($G$2:$G$74,MATCH(VALUE(MID(O75,2,3)),$A$2:$A$74,0)),INDEX($F$2:$F$74,MATCH(VALUE(MID(O75,2,3)),$A$2:$A$74,0)),O75)),O75),IFERROR(IF(VLOOKUP(RIGHT(O75,1)&amp;LEFT(O75,1),Clasificacion!$O$2:$Q$49,2,FALSE)="",O75,VLOOKUP(RIGHT(O75,1)&amp;LEFT(O75,1),Clasificacion!$O$2:$Q$49,2,FALSE)),O75)))))</f>
        <v>Corea República</v>
      </c>
      <c r="J75" t="str">
        <f t="shared" si="2"/>
        <v/>
      </c>
      <c r="K75" t="s">
        <v>273</v>
      </c>
      <c r="L75" t="str">
        <f>IF(N75="","",IF(LEFT(N75,1)="3",IFERROR(IF(VLOOKUP($A75&amp;"L",Asignacion_3ros!$A$2:$G$9,7,FALSE)="",N75,VLOOKUP($A75&amp;"L",Asignacion_3ros!$A$2:$G$9,7,FALSE)),N75),IF(LEFT(N75,1)="W",IFERROR(IF(INDEX($J$2:$J$74,MATCH(VALUE(MID(N75,2,3)),$A$2:$A$74,0))=INDEX($F$2:$F$74,MATCH(VALUE(MID(N75,2,3)),$A$2:$A$74,0)),INDEX($L$2:$L$74,MATCH(VALUE(MID(N75,2,3)),$A$2:$A$74,0)),IF(INDEX($J$2:$J$74,MATCH(VALUE(MID(N75,2,3)),$A$2:$A$74,0))=INDEX($G$2:$G$74,MATCH(VALUE(MID(N75,2,3)),$A$2:$A$74,0)),INDEX($M$2:$M$74,MATCH(VALUE(MID(N75,2,3)),$A$2:$A$74,0)),N75)),N75),IF(LEFT(N75,1)="L",IFERROR(IF(INDEX($J$2:$J$74,MATCH(VALUE(MID(N75,2,3)),$A$2:$A$74,0))=INDEX($F$2:$F$74,MATCH(VALUE(MID(N75,2,3)),$A$2:$A$74,0)),INDEX($M$2:$M$74,MATCH(VALUE(MID(N75,2,3)),$A$2:$A$74,0)),IF(INDEX($J$2:$J$74,MATCH(VALUE(MID(N75,2,3)),$A$2:$A$74,0))=INDEX($G$2:$G$74,MATCH(VALUE(MID(N75,2,3)),$A$2:$A$74,0)),INDEX($L$2:$L$74,MATCH(VALUE(MID(N75,2,3)),$A$2:$A$74,0)),N75)),N75),IFERROR(IF(VLOOKUP(RIGHT(N75,1)&amp;LEFT(N75,1),Clasificacion!$O$2:$Q$49,3,FALSE)="",N75,VLOOKUP(RIGHT(N75,1)&amp;LEFT(N75,1),Clasificacion!$O$2:$Q$49,3,FALSE)),N75)))))</f>
        <v>1E</v>
      </c>
      <c r="M75" t="str">
        <f>IF(O75="","",IF(LEFT(O75,1)="3",IFERROR(IF(VLOOKUP($A75&amp;"V",Asignacion_3ros!$A$2:$G$9,7,FALSE)="",O75,VLOOKUP($A75&amp;"V",Asignacion_3ros!$A$2:$G$9,7,FALSE)),O75),IF(LEFT(O75,1)="W",IFERROR(IF(INDEX($J$2:$J$74,MATCH(VALUE(MID(O75,2,3)),$A$2:$A$74,0))=INDEX($F$2:$F$74,MATCH(VALUE(MID(O75,2,3)),$A$2:$A$74,0)),INDEX($L$2:$L$74,MATCH(VALUE(MID(O75,2,3)),$A$2:$A$74,0)),IF(INDEX($J$2:$J$74,MATCH(VALUE(MID(O75,2,3)),$A$2:$A$74,0))=INDEX($G$2:$G$74,MATCH(VALUE(MID(O75,2,3)),$A$2:$A$74,0)),INDEX($M$2:$M$74,MATCH(VALUE(MID(O75,2,3)),$A$2:$A$74,0)),O75)),O75),IF(LEFT(O75,1)="L",IFERROR(IF(INDEX($J$2:$J$74,MATCH(VALUE(MID(O75,2,3)),$A$2:$A$74,0))=INDEX($F$2:$F$74,MATCH(VALUE(MID(O75,2,3)),$A$2:$A$74,0)),INDEX($M$2:$M$74,MATCH(VALUE(MID(O75,2,3)),$A$2:$A$74,0)),IF(INDEX($J$2:$J$74,MATCH(VALUE(MID(O75,2,3)),$A$2:$A$74,0))=INDEX($G$2:$G$74,MATCH(VALUE(MID(O75,2,3)),$A$2:$A$74,0)),INDEX($L$2:$L$74,MATCH(VALUE(MID(O75,2,3)),$A$2:$A$74,0)),O75)),O75),IFERROR(IF(VLOOKUP(RIGHT(O75,1)&amp;LEFT(O75,1),Clasificacion!$O$2:$Q$49,3,FALSE)="",O75,VLOOKUP(RIGHT(O75,1)&amp;LEFT(O75,1),Clasificacion!$O$2:$Q$49,3,FALSE)),O75)))))</f>
        <v>KOR</v>
      </c>
      <c r="N75" t="s">
        <v>300</v>
      </c>
      <c r="O75" t="s">
        <v>301</v>
      </c>
      <c r="P75" t="s">
        <v>266</v>
      </c>
    </row>
    <row r="76" spans="1:16">
      <c r="A76">
        <v>75</v>
      </c>
      <c r="B76">
        <v>46202</v>
      </c>
      <c r="C76" t="s">
        <v>271</v>
      </c>
      <c r="D76" t="s">
        <v>296</v>
      </c>
      <c r="F76" t="str">
        <f>IF(N76="","",IF(LEFT(N76,1)="3",IFERROR(IF(VLOOKUP($A76&amp;"L",Asignacion_3ros!$A$2:$G$9,6,FALSE)="",N76,VLOOKUP($A76&amp;"L",Asignacion_3ros!$A$2:$G$9,6,FALSE)),N76),IF(LEFT(N76,1)="W",IFERROR(IF(INDEX($J$2:$J$75,MATCH(VALUE(MID(N76,2,3)),$A$2:$A$75,0))="",N76,INDEX($J$2:$J$75,MATCH(VALUE(MID(N76,2,3)),$A$2:$A$75,0))),N76),IF(LEFT(N76,1)="L",IFERROR(IF(INDEX($J$2:$J$75,MATCH(VALUE(MID(N76,2,3)),$A$2:$A$75,0))=INDEX($F$2:$F$75,MATCH(VALUE(MID(N76,2,3)),$A$2:$A$75,0)),INDEX($G$2:$G$75,MATCH(VALUE(MID(N76,2,3)),$A$2:$A$75,0)),IF(INDEX($J$2:$J$75,MATCH(VALUE(MID(N76,2,3)),$A$2:$A$75,0))=INDEX($G$2:$G$75,MATCH(VALUE(MID(N76,2,3)),$A$2:$A$75,0)),INDEX($F$2:$F$75,MATCH(VALUE(MID(N76,2,3)),$A$2:$A$75,0)),N76)),N76),IFERROR(IF(VLOOKUP(RIGHT(N76,1)&amp;LEFT(N76,1),Clasificacion!$O$2:$Q$49,2,FALSE)="",N76,VLOOKUP(RIGHT(N76,1)&amp;LEFT(N76,1),Clasificacion!$O$2:$Q$49,2,FALSE)),N76)))))</f>
        <v>1F</v>
      </c>
      <c r="G76" t="str">
        <f>IF(O76="","",IF(LEFT(O76,1)="3",IFERROR(IF(VLOOKUP($A76&amp;"V",Asignacion_3ros!$A$2:$G$9,6,FALSE)="",O76,VLOOKUP($A76&amp;"V",Asignacion_3ros!$A$2:$G$9,6,FALSE)),O76),IF(LEFT(O76,1)="W",IFERROR(IF(INDEX($J$2:$J$75,MATCH(VALUE(MID(O76,2,3)),$A$2:$A$75,0))="",O76,INDEX($J$2:$J$75,MATCH(VALUE(MID(O76,2,3)),$A$2:$A$75,0))),O76),IF(LEFT(O76,1)="L",IFERROR(IF(INDEX($J$2:$J$75,MATCH(VALUE(MID(O76,2,3)),$A$2:$A$75,0))=INDEX($F$2:$F$75,MATCH(VALUE(MID(O76,2,3)),$A$2:$A$75,0)),INDEX($G$2:$G$75,MATCH(VALUE(MID(O76,2,3)),$A$2:$A$75,0)),IF(INDEX($J$2:$J$75,MATCH(VALUE(MID(O76,2,3)),$A$2:$A$75,0))=INDEX($G$2:$G$75,MATCH(VALUE(MID(O76,2,3)),$A$2:$A$75,0)),INDEX($F$2:$F$75,MATCH(VALUE(MID(O76,2,3)),$A$2:$A$75,0)),O76)),O76),IFERROR(IF(VLOOKUP(RIGHT(O76,1)&amp;LEFT(O76,1),Clasificacion!$O$2:$Q$49,2,FALSE)="",O76,VLOOKUP(RIGHT(O76,1)&amp;LEFT(O76,1),Clasificacion!$O$2:$Q$49,2,FALSE)),O76)))))</f>
        <v>2C</v>
      </c>
      <c r="J76" t="str">
        <f t="shared" si="2"/>
        <v/>
      </c>
      <c r="K76" t="s">
        <v>285</v>
      </c>
      <c r="L76" t="str">
        <f>IF(N76="","",IF(LEFT(N76,1)="3",IFERROR(IF(VLOOKUP($A76&amp;"L",Asignacion_3ros!$A$2:$G$9,7,FALSE)="",N76,VLOOKUP($A76&amp;"L",Asignacion_3ros!$A$2:$G$9,7,FALSE)),N76),IF(LEFT(N76,1)="W",IFERROR(IF(INDEX($J$2:$J$75,MATCH(VALUE(MID(N76,2,3)),$A$2:$A$75,0))=INDEX($F$2:$F$75,MATCH(VALUE(MID(N76,2,3)),$A$2:$A$75,0)),INDEX($L$2:$L$75,MATCH(VALUE(MID(N76,2,3)),$A$2:$A$75,0)),IF(INDEX($J$2:$J$75,MATCH(VALUE(MID(N76,2,3)),$A$2:$A$75,0))=INDEX($G$2:$G$75,MATCH(VALUE(MID(N76,2,3)),$A$2:$A$75,0)),INDEX($M$2:$M$75,MATCH(VALUE(MID(N76,2,3)),$A$2:$A$75,0)),N76)),N76),IF(LEFT(N76,1)="L",IFERROR(IF(INDEX($J$2:$J$75,MATCH(VALUE(MID(N76,2,3)),$A$2:$A$75,0))=INDEX($F$2:$F$75,MATCH(VALUE(MID(N76,2,3)),$A$2:$A$75,0)),INDEX($M$2:$M$75,MATCH(VALUE(MID(N76,2,3)),$A$2:$A$75,0)),IF(INDEX($J$2:$J$75,MATCH(VALUE(MID(N76,2,3)),$A$2:$A$75,0))=INDEX($G$2:$G$75,MATCH(VALUE(MID(N76,2,3)),$A$2:$A$75,0)),INDEX($L$2:$L$75,MATCH(VALUE(MID(N76,2,3)),$A$2:$A$75,0)),N76)),N76),IFERROR(IF(VLOOKUP(RIGHT(N76,1)&amp;LEFT(N76,1),Clasificacion!$O$2:$Q$49,3,FALSE)="",N76,VLOOKUP(RIGHT(N76,1)&amp;LEFT(N76,1),Clasificacion!$O$2:$Q$49,3,FALSE)),N76)))))</f>
        <v>1F</v>
      </c>
      <c r="M76" t="str">
        <f>IF(O76="","",IF(LEFT(O76,1)="3",IFERROR(IF(VLOOKUP($A76&amp;"V",Asignacion_3ros!$A$2:$G$9,7,FALSE)="",O76,VLOOKUP($A76&amp;"V",Asignacion_3ros!$A$2:$G$9,7,FALSE)),O76),IF(LEFT(O76,1)="W",IFERROR(IF(INDEX($J$2:$J$75,MATCH(VALUE(MID(O76,2,3)),$A$2:$A$75,0))=INDEX($F$2:$F$75,MATCH(VALUE(MID(O76,2,3)),$A$2:$A$75,0)),INDEX($L$2:$L$75,MATCH(VALUE(MID(O76,2,3)),$A$2:$A$75,0)),IF(INDEX($J$2:$J$75,MATCH(VALUE(MID(O76,2,3)),$A$2:$A$75,0))=INDEX($G$2:$G$75,MATCH(VALUE(MID(O76,2,3)),$A$2:$A$75,0)),INDEX($M$2:$M$75,MATCH(VALUE(MID(O76,2,3)),$A$2:$A$75,0)),O76)),O76),IF(LEFT(O76,1)="L",IFERROR(IF(INDEX($J$2:$J$75,MATCH(VALUE(MID(O76,2,3)),$A$2:$A$75,0))=INDEX($F$2:$F$75,MATCH(VALUE(MID(O76,2,3)),$A$2:$A$75,0)),INDEX($M$2:$M$75,MATCH(VALUE(MID(O76,2,3)),$A$2:$A$75,0)),IF(INDEX($J$2:$J$75,MATCH(VALUE(MID(O76,2,3)),$A$2:$A$75,0))=INDEX($G$2:$G$75,MATCH(VALUE(MID(O76,2,3)),$A$2:$A$75,0)),INDEX($L$2:$L$75,MATCH(VALUE(MID(O76,2,3)),$A$2:$A$75,0)),O76)),O76),IFERROR(IF(VLOOKUP(RIGHT(O76,1)&amp;LEFT(O76,1),Clasificacion!$O$2:$Q$49,3,FALSE)="",O76,VLOOKUP(RIGHT(O76,1)&amp;LEFT(O76,1),Clasificacion!$O$2:$Q$49,3,FALSE)),O76)))))</f>
        <v>2C</v>
      </c>
      <c r="N76" t="s">
        <v>302</v>
      </c>
      <c r="O76" t="s">
        <v>303</v>
      </c>
      <c r="P76" t="s">
        <v>266</v>
      </c>
    </row>
    <row r="77" spans="1:16">
      <c r="A77">
        <v>76</v>
      </c>
      <c r="B77">
        <v>46202</v>
      </c>
      <c r="C77" t="s">
        <v>281</v>
      </c>
      <c r="D77" t="s">
        <v>296</v>
      </c>
      <c r="F77" t="str">
        <f>IF(N77="","",IF(LEFT(N77,1)="3",IFERROR(IF(VLOOKUP($A77&amp;"L",Asignacion_3ros!$A$2:$G$9,6,FALSE)="",N77,VLOOKUP($A77&amp;"L",Asignacion_3ros!$A$2:$G$9,6,FALSE)),N77),IF(LEFT(N77,1)="W",IFERROR(IF(INDEX($J$2:$J$76,MATCH(VALUE(MID(N77,2,3)),$A$2:$A$76,0))="",N77,INDEX($J$2:$J$76,MATCH(VALUE(MID(N77,2,3)),$A$2:$A$76,0))),N77),IF(LEFT(N77,1)="L",IFERROR(IF(INDEX($J$2:$J$76,MATCH(VALUE(MID(N77,2,3)),$A$2:$A$76,0))=INDEX($F$2:$F$76,MATCH(VALUE(MID(N77,2,3)),$A$2:$A$76,0)),INDEX($G$2:$G$76,MATCH(VALUE(MID(N77,2,3)),$A$2:$A$76,0)),IF(INDEX($J$2:$J$76,MATCH(VALUE(MID(N77,2,3)),$A$2:$A$76,0))=INDEX($G$2:$G$76,MATCH(VALUE(MID(N77,2,3)),$A$2:$A$76,0)),INDEX($F$2:$F$76,MATCH(VALUE(MID(N77,2,3)),$A$2:$A$76,0)),N77)),N77),IFERROR(IF(VLOOKUP(RIGHT(N77,1)&amp;LEFT(N77,1),Clasificacion!$O$2:$Q$49,2,FALSE)="",N77,VLOOKUP(RIGHT(N77,1)&amp;LEFT(N77,1),Clasificacion!$O$2:$Q$49,2,FALSE)),N77)))))</f>
        <v>1C</v>
      </c>
      <c r="G77" t="str">
        <f>IF(O77="","",IF(LEFT(O77,1)="3",IFERROR(IF(VLOOKUP($A77&amp;"V",Asignacion_3ros!$A$2:$G$9,6,FALSE)="",O77,VLOOKUP($A77&amp;"V",Asignacion_3ros!$A$2:$G$9,6,FALSE)),O77),IF(LEFT(O77,1)="W",IFERROR(IF(INDEX($J$2:$J$76,MATCH(VALUE(MID(O77,2,3)),$A$2:$A$76,0))="",O77,INDEX($J$2:$J$76,MATCH(VALUE(MID(O77,2,3)),$A$2:$A$76,0))),O77),IF(LEFT(O77,1)="L",IFERROR(IF(INDEX($J$2:$J$76,MATCH(VALUE(MID(O77,2,3)),$A$2:$A$76,0))=INDEX($F$2:$F$76,MATCH(VALUE(MID(O77,2,3)),$A$2:$A$76,0)),INDEX($G$2:$G$76,MATCH(VALUE(MID(O77,2,3)),$A$2:$A$76,0)),IF(INDEX($J$2:$J$76,MATCH(VALUE(MID(O77,2,3)),$A$2:$A$76,0))=INDEX($G$2:$G$76,MATCH(VALUE(MID(O77,2,3)),$A$2:$A$76,0)),INDEX($F$2:$F$76,MATCH(VALUE(MID(O77,2,3)),$A$2:$A$76,0)),O77)),O77),IFERROR(IF(VLOOKUP(RIGHT(O77,1)&amp;LEFT(O77,1),Clasificacion!$O$2:$Q$49,2,FALSE)="",O77,VLOOKUP(RIGHT(O77,1)&amp;LEFT(O77,1),Clasificacion!$O$2:$Q$49,2,FALSE)),O77)))))</f>
        <v>2F</v>
      </c>
      <c r="J77" t="str">
        <f t="shared" si="2"/>
        <v/>
      </c>
      <c r="K77" t="s">
        <v>282</v>
      </c>
      <c r="L77" t="str">
        <f>IF(N77="","",IF(LEFT(N77,1)="3",IFERROR(IF(VLOOKUP($A77&amp;"L",Asignacion_3ros!$A$2:$G$9,7,FALSE)="",N77,VLOOKUP($A77&amp;"L",Asignacion_3ros!$A$2:$G$9,7,FALSE)),N77),IF(LEFT(N77,1)="W",IFERROR(IF(INDEX($J$2:$J$76,MATCH(VALUE(MID(N77,2,3)),$A$2:$A$76,0))=INDEX($F$2:$F$76,MATCH(VALUE(MID(N77,2,3)),$A$2:$A$76,0)),INDEX($L$2:$L$76,MATCH(VALUE(MID(N77,2,3)),$A$2:$A$76,0)),IF(INDEX($J$2:$J$76,MATCH(VALUE(MID(N77,2,3)),$A$2:$A$76,0))=INDEX($G$2:$G$76,MATCH(VALUE(MID(N77,2,3)),$A$2:$A$76,0)),INDEX($M$2:$M$76,MATCH(VALUE(MID(N77,2,3)),$A$2:$A$76,0)),N77)),N77),IF(LEFT(N77,1)="L",IFERROR(IF(INDEX($J$2:$J$76,MATCH(VALUE(MID(N77,2,3)),$A$2:$A$76,0))=INDEX($F$2:$F$76,MATCH(VALUE(MID(N77,2,3)),$A$2:$A$76,0)),INDEX($M$2:$M$76,MATCH(VALUE(MID(N77,2,3)),$A$2:$A$76,0)),IF(INDEX($J$2:$J$76,MATCH(VALUE(MID(N77,2,3)),$A$2:$A$76,0))=INDEX($G$2:$G$76,MATCH(VALUE(MID(N77,2,3)),$A$2:$A$76,0)),INDEX($L$2:$L$76,MATCH(VALUE(MID(N77,2,3)),$A$2:$A$76,0)),N77)),N77),IFERROR(IF(VLOOKUP(RIGHT(N77,1)&amp;LEFT(N77,1),Clasificacion!$O$2:$Q$49,3,FALSE)="",N77,VLOOKUP(RIGHT(N77,1)&amp;LEFT(N77,1),Clasificacion!$O$2:$Q$49,3,FALSE)),N77)))))</f>
        <v>1C</v>
      </c>
      <c r="M77" t="str">
        <f>IF(O77="","",IF(LEFT(O77,1)="3",IFERROR(IF(VLOOKUP($A77&amp;"V",Asignacion_3ros!$A$2:$G$9,7,FALSE)="",O77,VLOOKUP($A77&amp;"V",Asignacion_3ros!$A$2:$G$9,7,FALSE)),O77),IF(LEFT(O77,1)="W",IFERROR(IF(INDEX($J$2:$J$76,MATCH(VALUE(MID(O77,2,3)),$A$2:$A$76,0))=INDEX($F$2:$F$76,MATCH(VALUE(MID(O77,2,3)),$A$2:$A$76,0)),INDEX($L$2:$L$76,MATCH(VALUE(MID(O77,2,3)),$A$2:$A$76,0)),IF(INDEX($J$2:$J$76,MATCH(VALUE(MID(O77,2,3)),$A$2:$A$76,0))=INDEX($G$2:$G$76,MATCH(VALUE(MID(O77,2,3)),$A$2:$A$76,0)),INDEX($M$2:$M$76,MATCH(VALUE(MID(O77,2,3)),$A$2:$A$76,0)),O77)),O77),IF(LEFT(O77,1)="L",IFERROR(IF(INDEX($J$2:$J$76,MATCH(VALUE(MID(O77,2,3)),$A$2:$A$76,0))=INDEX($F$2:$F$76,MATCH(VALUE(MID(O77,2,3)),$A$2:$A$76,0)),INDEX($M$2:$M$76,MATCH(VALUE(MID(O77,2,3)),$A$2:$A$76,0)),IF(INDEX($J$2:$J$76,MATCH(VALUE(MID(O77,2,3)),$A$2:$A$76,0))=INDEX($G$2:$G$76,MATCH(VALUE(MID(O77,2,3)),$A$2:$A$76,0)),INDEX($L$2:$L$76,MATCH(VALUE(MID(O77,2,3)),$A$2:$A$76,0)),O77)),O77),IFERROR(IF(VLOOKUP(RIGHT(O77,1)&amp;LEFT(O77,1),Clasificacion!$O$2:$Q$49,3,FALSE)="",O77,VLOOKUP(RIGHT(O77,1)&amp;LEFT(O77,1),Clasificacion!$O$2:$Q$49,3,FALSE)),O77)))))</f>
        <v>2F</v>
      </c>
      <c r="N77" t="s">
        <v>304</v>
      </c>
      <c r="O77" t="s">
        <v>305</v>
      </c>
      <c r="P77" t="s">
        <v>266</v>
      </c>
    </row>
    <row r="78" spans="1:16">
      <c r="A78">
        <v>77</v>
      </c>
      <c r="B78">
        <v>46202</v>
      </c>
      <c r="C78" t="s">
        <v>294</v>
      </c>
      <c r="D78" t="s">
        <v>296</v>
      </c>
      <c r="F78" t="str">
        <f>IF(N78="","",IF(LEFT(N78,1)="3",IFERROR(IF(VLOOKUP($A78&amp;"L",Asignacion_3ros!$A$2:$G$9,6,FALSE)="",N78,VLOOKUP($A78&amp;"L",Asignacion_3ros!$A$2:$G$9,6,FALSE)),N78),IF(LEFT(N78,1)="W",IFERROR(IF(INDEX($J$2:$J$77,MATCH(VALUE(MID(N78,2,3)),$A$2:$A$77,0))="",N78,INDEX($J$2:$J$77,MATCH(VALUE(MID(N78,2,3)),$A$2:$A$77,0))),N78),IF(LEFT(N78,1)="L",IFERROR(IF(INDEX($J$2:$J$77,MATCH(VALUE(MID(N78,2,3)),$A$2:$A$77,0))=INDEX($F$2:$F$77,MATCH(VALUE(MID(N78,2,3)),$A$2:$A$77,0)),INDEX($G$2:$G$77,MATCH(VALUE(MID(N78,2,3)),$A$2:$A$77,0)),IF(INDEX($J$2:$J$77,MATCH(VALUE(MID(N78,2,3)),$A$2:$A$77,0))=INDEX($G$2:$G$77,MATCH(VALUE(MID(N78,2,3)),$A$2:$A$77,0)),INDEX($F$2:$F$77,MATCH(VALUE(MID(N78,2,3)),$A$2:$A$77,0)),N78)),N78),IFERROR(IF(VLOOKUP(RIGHT(N78,1)&amp;LEFT(N78,1),Clasificacion!$O$2:$Q$49,2,FALSE)="",N78,VLOOKUP(RIGHT(N78,1)&amp;LEFT(N78,1),Clasificacion!$O$2:$Q$49,2,FALSE)),N78)))))</f>
        <v>1I</v>
      </c>
      <c r="G78" t="str">
        <f>IF(O78="","",IF(LEFT(O78,1)="3",IFERROR(IF(VLOOKUP($A78&amp;"V",Asignacion_3ros!$A$2:$G$9,6,FALSE)="",O78,VLOOKUP($A78&amp;"V",Asignacion_3ros!$A$2:$G$9,6,FALSE)),O78),IF(LEFT(O78,1)="W",IFERROR(IF(INDEX($J$2:$J$77,MATCH(VALUE(MID(O78,2,3)),$A$2:$A$77,0))="",O78,INDEX($J$2:$J$77,MATCH(VALUE(MID(O78,2,3)),$A$2:$A$77,0))),O78),IF(LEFT(O78,1)="L",IFERROR(IF(INDEX($J$2:$J$77,MATCH(VALUE(MID(O78,2,3)),$A$2:$A$77,0))=INDEX($F$2:$F$77,MATCH(VALUE(MID(O78,2,3)),$A$2:$A$77,0)),INDEX($G$2:$G$77,MATCH(VALUE(MID(O78,2,3)),$A$2:$A$77,0)),IF(INDEX($J$2:$J$77,MATCH(VALUE(MID(O78,2,3)),$A$2:$A$77,0))=INDEX($G$2:$G$77,MATCH(VALUE(MID(O78,2,3)),$A$2:$A$77,0)),INDEX($F$2:$F$77,MATCH(VALUE(MID(O78,2,3)),$A$2:$A$77,0)),O78)),O78),IFERROR(IF(VLOOKUP(RIGHT(O78,1)&amp;LEFT(O78,1),Clasificacion!$O$2:$Q$49,2,FALSE)="",O78,VLOOKUP(RIGHT(O78,1)&amp;LEFT(O78,1),Clasificacion!$O$2:$Q$49,2,FALSE)),O78)))))</f>
        <v>Qatar</v>
      </c>
      <c r="J78" t="str">
        <f t="shared" si="2"/>
        <v/>
      </c>
      <c r="K78" t="s">
        <v>277</v>
      </c>
      <c r="L78" t="str">
        <f>IF(N78="","",IF(LEFT(N78,1)="3",IFERROR(IF(VLOOKUP($A78&amp;"L",Asignacion_3ros!$A$2:$G$9,7,FALSE)="",N78,VLOOKUP($A78&amp;"L",Asignacion_3ros!$A$2:$G$9,7,FALSE)),N78),IF(LEFT(N78,1)="W",IFERROR(IF(INDEX($J$2:$J$77,MATCH(VALUE(MID(N78,2,3)),$A$2:$A$77,0))=INDEX($F$2:$F$77,MATCH(VALUE(MID(N78,2,3)),$A$2:$A$77,0)),INDEX($L$2:$L$77,MATCH(VALUE(MID(N78,2,3)),$A$2:$A$77,0)),IF(INDEX($J$2:$J$77,MATCH(VALUE(MID(N78,2,3)),$A$2:$A$77,0))=INDEX($G$2:$G$77,MATCH(VALUE(MID(N78,2,3)),$A$2:$A$77,0)),INDEX($M$2:$M$77,MATCH(VALUE(MID(N78,2,3)),$A$2:$A$77,0)),N78)),N78),IF(LEFT(N78,1)="L",IFERROR(IF(INDEX($J$2:$J$77,MATCH(VALUE(MID(N78,2,3)),$A$2:$A$77,0))=INDEX($F$2:$F$77,MATCH(VALUE(MID(N78,2,3)),$A$2:$A$77,0)),INDEX($M$2:$M$77,MATCH(VALUE(MID(N78,2,3)),$A$2:$A$77,0)),IF(INDEX($J$2:$J$77,MATCH(VALUE(MID(N78,2,3)),$A$2:$A$77,0))=INDEX($G$2:$G$77,MATCH(VALUE(MID(N78,2,3)),$A$2:$A$77,0)),INDEX($L$2:$L$77,MATCH(VALUE(MID(N78,2,3)),$A$2:$A$77,0)),N78)),N78),IFERROR(IF(VLOOKUP(RIGHT(N78,1)&amp;LEFT(N78,1),Clasificacion!$O$2:$Q$49,3,FALSE)="",N78,VLOOKUP(RIGHT(N78,1)&amp;LEFT(N78,1),Clasificacion!$O$2:$Q$49,3,FALSE)),N78)))))</f>
        <v>1I</v>
      </c>
      <c r="M78" t="str">
        <f>IF(O78="","",IF(LEFT(O78,1)="3",IFERROR(IF(VLOOKUP($A78&amp;"V",Asignacion_3ros!$A$2:$G$9,7,FALSE)="",O78,VLOOKUP($A78&amp;"V",Asignacion_3ros!$A$2:$G$9,7,FALSE)),O78),IF(LEFT(O78,1)="W",IFERROR(IF(INDEX($J$2:$J$77,MATCH(VALUE(MID(O78,2,3)),$A$2:$A$77,0))=INDEX($F$2:$F$77,MATCH(VALUE(MID(O78,2,3)),$A$2:$A$77,0)),INDEX($L$2:$L$77,MATCH(VALUE(MID(O78,2,3)),$A$2:$A$77,0)),IF(INDEX($J$2:$J$77,MATCH(VALUE(MID(O78,2,3)),$A$2:$A$77,0))=INDEX($G$2:$G$77,MATCH(VALUE(MID(O78,2,3)),$A$2:$A$77,0)),INDEX($M$2:$M$77,MATCH(VALUE(MID(O78,2,3)),$A$2:$A$77,0)),O78)),O78),IF(LEFT(O78,1)="L",IFERROR(IF(INDEX($J$2:$J$77,MATCH(VALUE(MID(O78,2,3)),$A$2:$A$77,0))=INDEX($F$2:$F$77,MATCH(VALUE(MID(O78,2,3)),$A$2:$A$77,0)),INDEX($M$2:$M$77,MATCH(VALUE(MID(O78,2,3)),$A$2:$A$77,0)),IF(INDEX($J$2:$J$77,MATCH(VALUE(MID(O78,2,3)),$A$2:$A$77,0))=INDEX($G$2:$G$77,MATCH(VALUE(MID(O78,2,3)),$A$2:$A$77,0)),INDEX($L$2:$L$77,MATCH(VALUE(MID(O78,2,3)),$A$2:$A$77,0)),O78)),O78),IFERROR(IF(VLOOKUP(RIGHT(O78,1)&amp;LEFT(O78,1),Clasificacion!$O$2:$Q$49,3,FALSE)="",O78,VLOOKUP(RIGHT(O78,1)&amp;LEFT(O78,1),Clasificacion!$O$2:$Q$49,3,FALSE)),O78)))))</f>
        <v>QAT</v>
      </c>
      <c r="N78" t="s">
        <v>306</v>
      </c>
      <c r="O78" t="s">
        <v>307</v>
      </c>
      <c r="P78" t="s">
        <v>266</v>
      </c>
    </row>
    <row r="79" spans="1:16">
      <c r="A79">
        <v>78</v>
      </c>
      <c r="B79">
        <v>46203</v>
      </c>
      <c r="C79" t="s">
        <v>281</v>
      </c>
      <c r="D79" t="s">
        <v>296</v>
      </c>
      <c r="F79" t="str">
        <f>IF(N79="","",IF(LEFT(N79,1)="3",IFERROR(IF(VLOOKUP($A79&amp;"L",Asignacion_3ros!$A$2:$G$9,6,FALSE)="",N79,VLOOKUP($A79&amp;"L",Asignacion_3ros!$A$2:$G$9,6,FALSE)),N79),IF(LEFT(N79,1)="W",IFERROR(IF(INDEX($J$2:$J$78,MATCH(VALUE(MID(N79,2,3)),$A$2:$A$78,0))="",N79,INDEX($J$2:$J$78,MATCH(VALUE(MID(N79,2,3)),$A$2:$A$78,0))),N79),IF(LEFT(N79,1)="L",IFERROR(IF(INDEX($J$2:$J$78,MATCH(VALUE(MID(N79,2,3)),$A$2:$A$78,0))=INDEX($F$2:$F$78,MATCH(VALUE(MID(N79,2,3)),$A$2:$A$78,0)),INDEX($G$2:$G$78,MATCH(VALUE(MID(N79,2,3)),$A$2:$A$78,0)),IF(INDEX($J$2:$J$78,MATCH(VALUE(MID(N79,2,3)),$A$2:$A$78,0))=INDEX($G$2:$G$78,MATCH(VALUE(MID(N79,2,3)),$A$2:$A$78,0)),INDEX($F$2:$F$78,MATCH(VALUE(MID(N79,2,3)),$A$2:$A$78,0)),N79)),N79),IFERROR(IF(VLOOKUP(RIGHT(N79,1)&amp;LEFT(N79,1),Clasificacion!$O$2:$Q$49,2,FALSE)="",N79,VLOOKUP(RIGHT(N79,1)&amp;LEFT(N79,1),Clasificacion!$O$2:$Q$49,2,FALSE)),N79)))))</f>
        <v>2E</v>
      </c>
      <c r="G79" t="str">
        <f>IF(O79="","",IF(LEFT(O79,1)="3",IFERROR(IF(VLOOKUP($A79&amp;"V",Asignacion_3ros!$A$2:$G$9,6,FALSE)="",O79,VLOOKUP($A79&amp;"V",Asignacion_3ros!$A$2:$G$9,6,FALSE)),O79),IF(LEFT(O79,1)="W",IFERROR(IF(INDEX($J$2:$J$78,MATCH(VALUE(MID(O79,2,3)),$A$2:$A$78,0))="",O79,INDEX($J$2:$J$78,MATCH(VALUE(MID(O79,2,3)),$A$2:$A$78,0))),O79),IF(LEFT(O79,1)="L",IFERROR(IF(INDEX($J$2:$J$78,MATCH(VALUE(MID(O79,2,3)),$A$2:$A$78,0))=INDEX($F$2:$F$78,MATCH(VALUE(MID(O79,2,3)),$A$2:$A$78,0)),INDEX($G$2:$G$78,MATCH(VALUE(MID(O79,2,3)),$A$2:$A$78,0)),IF(INDEX($J$2:$J$78,MATCH(VALUE(MID(O79,2,3)),$A$2:$A$78,0))=INDEX($G$2:$G$78,MATCH(VALUE(MID(O79,2,3)),$A$2:$A$78,0)),INDEX($F$2:$F$78,MATCH(VALUE(MID(O79,2,3)),$A$2:$A$78,0)),O79)),O79),IFERROR(IF(VLOOKUP(RIGHT(O79,1)&amp;LEFT(O79,1),Clasificacion!$O$2:$Q$49,2,FALSE)="",O79,VLOOKUP(RIGHT(O79,1)&amp;LEFT(O79,1),Clasificacion!$O$2:$Q$49,2,FALSE)),O79)))))</f>
        <v>2I</v>
      </c>
      <c r="J79" t="str">
        <f t="shared" si="2"/>
        <v/>
      </c>
      <c r="K79" t="s">
        <v>284</v>
      </c>
      <c r="L79" t="str">
        <f>IF(N79="","",IF(LEFT(N79,1)="3",IFERROR(IF(VLOOKUP($A79&amp;"L",Asignacion_3ros!$A$2:$G$9,7,FALSE)="",N79,VLOOKUP($A79&amp;"L",Asignacion_3ros!$A$2:$G$9,7,FALSE)),N79),IF(LEFT(N79,1)="W",IFERROR(IF(INDEX($J$2:$J$78,MATCH(VALUE(MID(N79,2,3)),$A$2:$A$78,0))=INDEX($F$2:$F$78,MATCH(VALUE(MID(N79,2,3)),$A$2:$A$78,0)),INDEX($L$2:$L$78,MATCH(VALUE(MID(N79,2,3)),$A$2:$A$78,0)),IF(INDEX($J$2:$J$78,MATCH(VALUE(MID(N79,2,3)),$A$2:$A$78,0))=INDEX($G$2:$G$78,MATCH(VALUE(MID(N79,2,3)),$A$2:$A$78,0)),INDEX($M$2:$M$78,MATCH(VALUE(MID(N79,2,3)),$A$2:$A$78,0)),N79)),N79),IF(LEFT(N79,1)="L",IFERROR(IF(INDEX($J$2:$J$78,MATCH(VALUE(MID(N79,2,3)),$A$2:$A$78,0))=INDEX($F$2:$F$78,MATCH(VALUE(MID(N79,2,3)),$A$2:$A$78,0)),INDEX($M$2:$M$78,MATCH(VALUE(MID(N79,2,3)),$A$2:$A$78,0)),IF(INDEX($J$2:$J$78,MATCH(VALUE(MID(N79,2,3)),$A$2:$A$78,0))=INDEX($G$2:$G$78,MATCH(VALUE(MID(N79,2,3)),$A$2:$A$78,0)),INDEX($L$2:$L$78,MATCH(VALUE(MID(N79,2,3)),$A$2:$A$78,0)),N79)),N79),IFERROR(IF(VLOOKUP(RIGHT(N79,1)&amp;LEFT(N79,1),Clasificacion!$O$2:$Q$49,3,FALSE)="",N79,VLOOKUP(RIGHT(N79,1)&amp;LEFT(N79,1),Clasificacion!$O$2:$Q$49,3,FALSE)),N79)))))</f>
        <v>2E</v>
      </c>
      <c r="M79" t="str">
        <f>IF(O79="","",IF(LEFT(O79,1)="3",IFERROR(IF(VLOOKUP($A79&amp;"V",Asignacion_3ros!$A$2:$G$9,7,FALSE)="",O79,VLOOKUP($A79&amp;"V",Asignacion_3ros!$A$2:$G$9,7,FALSE)),O79),IF(LEFT(O79,1)="W",IFERROR(IF(INDEX($J$2:$J$78,MATCH(VALUE(MID(O79,2,3)),$A$2:$A$78,0))=INDEX($F$2:$F$78,MATCH(VALUE(MID(O79,2,3)),$A$2:$A$78,0)),INDEX($L$2:$L$78,MATCH(VALUE(MID(O79,2,3)),$A$2:$A$78,0)),IF(INDEX($J$2:$J$78,MATCH(VALUE(MID(O79,2,3)),$A$2:$A$78,0))=INDEX($G$2:$G$78,MATCH(VALUE(MID(O79,2,3)),$A$2:$A$78,0)),INDEX($M$2:$M$78,MATCH(VALUE(MID(O79,2,3)),$A$2:$A$78,0)),O79)),O79),IF(LEFT(O79,1)="L",IFERROR(IF(INDEX($J$2:$J$78,MATCH(VALUE(MID(O79,2,3)),$A$2:$A$78,0))=INDEX($F$2:$F$78,MATCH(VALUE(MID(O79,2,3)),$A$2:$A$78,0)),INDEX($M$2:$M$78,MATCH(VALUE(MID(O79,2,3)),$A$2:$A$78,0)),IF(INDEX($J$2:$J$78,MATCH(VALUE(MID(O79,2,3)),$A$2:$A$78,0))=INDEX($G$2:$G$78,MATCH(VALUE(MID(O79,2,3)),$A$2:$A$78,0)),INDEX($L$2:$L$78,MATCH(VALUE(MID(O79,2,3)),$A$2:$A$78,0)),O79)),O79),IFERROR(IF(VLOOKUP(RIGHT(O79,1)&amp;LEFT(O79,1),Clasificacion!$O$2:$Q$49,3,FALSE)="",O79,VLOOKUP(RIGHT(O79,1)&amp;LEFT(O79,1),Clasificacion!$O$2:$Q$49,3,FALSE)),O79)))))</f>
        <v>2I</v>
      </c>
      <c r="N79" t="s">
        <v>308</v>
      </c>
      <c r="O79" t="s">
        <v>309</v>
      </c>
      <c r="P79" t="s">
        <v>266</v>
      </c>
    </row>
    <row r="80" spans="1:16">
      <c r="A80">
        <v>79</v>
      </c>
      <c r="B80">
        <v>46203</v>
      </c>
      <c r="C80" t="s">
        <v>271</v>
      </c>
      <c r="D80" t="s">
        <v>296</v>
      </c>
      <c r="F80" t="str">
        <f>IF(N80="","",IF(LEFT(N80,1)="3",IFERROR(IF(VLOOKUP($A80&amp;"L",Asignacion_3ros!$A$2:$G$9,6,FALSE)="",N80,VLOOKUP($A80&amp;"L",Asignacion_3ros!$A$2:$G$9,6,FALSE)),N80),IF(LEFT(N80,1)="W",IFERROR(IF(INDEX($J$2:$J$79,MATCH(VALUE(MID(N80,2,3)),$A$2:$A$79,0))="",N80,INDEX($J$2:$J$79,MATCH(VALUE(MID(N80,2,3)),$A$2:$A$79,0))),N80),IF(LEFT(N80,1)="L",IFERROR(IF(INDEX($J$2:$J$79,MATCH(VALUE(MID(N80,2,3)),$A$2:$A$79,0))=INDEX($F$2:$F$79,MATCH(VALUE(MID(N80,2,3)),$A$2:$A$79,0)),INDEX($G$2:$G$79,MATCH(VALUE(MID(N80,2,3)),$A$2:$A$79,0)),IF(INDEX($J$2:$J$79,MATCH(VALUE(MID(N80,2,3)),$A$2:$A$79,0))=INDEX($G$2:$G$79,MATCH(VALUE(MID(N80,2,3)),$A$2:$A$79,0)),INDEX($F$2:$F$79,MATCH(VALUE(MID(N80,2,3)),$A$2:$A$79,0)),N80)),N80),IFERROR(IF(VLOOKUP(RIGHT(N80,1)&amp;LEFT(N80,1),Clasificacion!$O$2:$Q$49,2,FALSE)="",N80,VLOOKUP(RIGHT(N80,1)&amp;LEFT(N80,1),Clasificacion!$O$2:$Q$49,2,FALSE)),N80)))))</f>
        <v>1A</v>
      </c>
      <c r="G80" t="str">
        <f>IF(O80="","",IF(LEFT(O80,1)="3",IFERROR(IF(VLOOKUP($A80&amp;"V",Asignacion_3ros!$A$2:$G$9,6,FALSE)="",O80,VLOOKUP($A80&amp;"V",Asignacion_3ros!$A$2:$G$9,6,FALSE)),O80),IF(LEFT(O80,1)="W",IFERROR(IF(INDEX($J$2:$J$79,MATCH(VALUE(MID(O80,2,3)),$A$2:$A$79,0))="",O80,INDEX($J$2:$J$79,MATCH(VALUE(MID(O80,2,3)),$A$2:$A$79,0))),O80),IF(LEFT(O80,1)="L",IFERROR(IF(INDEX($J$2:$J$79,MATCH(VALUE(MID(O80,2,3)),$A$2:$A$79,0))=INDEX($F$2:$F$79,MATCH(VALUE(MID(O80,2,3)),$A$2:$A$79,0)),INDEX($G$2:$G$79,MATCH(VALUE(MID(O80,2,3)),$A$2:$A$79,0)),IF(INDEX($J$2:$J$79,MATCH(VALUE(MID(O80,2,3)),$A$2:$A$79,0))=INDEX($G$2:$G$79,MATCH(VALUE(MID(O80,2,3)),$A$2:$A$79,0)),INDEX($F$2:$F$79,MATCH(VALUE(MID(O80,2,3)),$A$2:$A$79,0)),O80)),O80),IFERROR(IF(VLOOKUP(RIGHT(O80,1)&amp;LEFT(O80,1),Clasificacion!$O$2:$Q$49,2,FALSE)="",O80,VLOOKUP(RIGHT(O80,1)&amp;LEFT(O80,1),Clasificacion!$O$2:$Q$49,2,FALSE)),O80)))))</f>
        <v>Suiza</v>
      </c>
      <c r="J80" t="str">
        <f t="shared" si="2"/>
        <v/>
      </c>
      <c r="K80" t="s">
        <v>265</v>
      </c>
      <c r="L80" t="str">
        <f>IF(N80="","",IF(LEFT(N80,1)="3",IFERROR(IF(VLOOKUP($A80&amp;"L",Asignacion_3ros!$A$2:$G$9,7,FALSE)="",N80,VLOOKUP($A80&amp;"L",Asignacion_3ros!$A$2:$G$9,7,FALSE)),N80),IF(LEFT(N80,1)="W",IFERROR(IF(INDEX($J$2:$J$79,MATCH(VALUE(MID(N80,2,3)),$A$2:$A$79,0))=INDEX($F$2:$F$79,MATCH(VALUE(MID(N80,2,3)),$A$2:$A$79,0)),INDEX($L$2:$L$79,MATCH(VALUE(MID(N80,2,3)),$A$2:$A$79,0)),IF(INDEX($J$2:$J$79,MATCH(VALUE(MID(N80,2,3)),$A$2:$A$79,0))=INDEX($G$2:$G$79,MATCH(VALUE(MID(N80,2,3)),$A$2:$A$79,0)),INDEX($M$2:$M$79,MATCH(VALUE(MID(N80,2,3)),$A$2:$A$79,0)),N80)),N80),IF(LEFT(N80,1)="L",IFERROR(IF(INDEX($J$2:$J$79,MATCH(VALUE(MID(N80,2,3)),$A$2:$A$79,0))=INDEX($F$2:$F$79,MATCH(VALUE(MID(N80,2,3)),$A$2:$A$79,0)),INDEX($M$2:$M$79,MATCH(VALUE(MID(N80,2,3)),$A$2:$A$79,0)),IF(INDEX($J$2:$J$79,MATCH(VALUE(MID(N80,2,3)),$A$2:$A$79,0))=INDEX($G$2:$G$79,MATCH(VALUE(MID(N80,2,3)),$A$2:$A$79,0)),INDEX($L$2:$L$79,MATCH(VALUE(MID(N80,2,3)),$A$2:$A$79,0)),N80)),N80),IFERROR(IF(VLOOKUP(RIGHT(N80,1)&amp;LEFT(N80,1),Clasificacion!$O$2:$Q$49,3,FALSE)="",N80,VLOOKUP(RIGHT(N80,1)&amp;LEFT(N80,1),Clasificacion!$O$2:$Q$49,3,FALSE)),N80)))))</f>
        <v>1A</v>
      </c>
      <c r="M80" t="str">
        <f>IF(O80="","",IF(LEFT(O80,1)="3",IFERROR(IF(VLOOKUP($A80&amp;"V",Asignacion_3ros!$A$2:$G$9,7,FALSE)="",O80,VLOOKUP($A80&amp;"V",Asignacion_3ros!$A$2:$G$9,7,FALSE)),O80),IF(LEFT(O80,1)="W",IFERROR(IF(INDEX($J$2:$J$79,MATCH(VALUE(MID(O80,2,3)),$A$2:$A$79,0))=INDEX($F$2:$F$79,MATCH(VALUE(MID(O80,2,3)),$A$2:$A$79,0)),INDEX($L$2:$L$79,MATCH(VALUE(MID(O80,2,3)),$A$2:$A$79,0)),IF(INDEX($J$2:$J$79,MATCH(VALUE(MID(O80,2,3)),$A$2:$A$79,0))=INDEX($G$2:$G$79,MATCH(VALUE(MID(O80,2,3)),$A$2:$A$79,0)),INDEX($M$2:$M$79,MATCH(VALUE(MID(O80,2,3)),$A$2:$A$79,0)),O80)),O80),IF(LEFT(O80,1)="L",IFERROR(IF(INDEX($J$2:$J$79,MATCH(VALUE(MID(O80,2,3)),$A$2:$A$79,0))=INDEX($F$2:$F$79,MATCH(VALUE(MID(O80,2,3)),$A$2:$A$79,0)),INDEX($M$2:$M$79,MATCH(VALUE(MID(O80,2,3)),$A$2:$A$79,0)),IF(INDEX($J$2:$J$79,MATCH(VALUE(MID(O80,2,3)),$A$2:$A$79,0))=INDEX($G$2:$G$79,MATCH(VALUE(MID(O80,2,3)),$A$2:$A$79,0)),INDEX($L$2:$L$79,MATCH(VALUE(MID(O80,2,3)),$A$2:$A$79,0)),O80)),O80),IFERROR(IF(VLOOKUP(RIGHT(O80,1)&amp;LEFT(O80,1),Clasificacion!$O$2:$Q$49,3,FALSE)="",O80,VLOOKUP(RIGHT(O80,1)&amp;LEFT(O80,1),Clasificacion!$O$2:$Q$49,3,FALSE)),O80)))))</f>
        <v>SUI</v>
      </c>
      <c r="N80" t="s">
        <v>310</v>
      </c>
      <c r="O80" t="s">
        <v>311</v>
      </c>
      <c r="P80" t="s">
        <v>266</v>
      </c>
    </row>
    <row r="81" spans="1:16">
      <c r="A81">
        <v>80</v>
      </c>
      <c r="B81">
        <v>46203</v>
      </c>
      <c r="C81" t="s">
        <v>287</v>
      </c>
      <c r="D81" t="s">
        <v>296</v>
      </c>
      <c r="F81" t="str">
        <f>IF(N81="","",IF(LEFT(N81,1)="3",IFERROR(IF(VLOOKUP($A81&amp;"L",Asignacion_3ros!$A$2:$G$9,6,FALSE)="",N81,VLOOKUP($A81&amp;"L",Asignacion_3ros!$A$2:$G$9,6,FALSE)),N81),IF(LEFT(N81,1)="W",IFERROR(IF(INDEX($J$2:$J$80,MATCH(VALUE(MID(N81,2,3)),$A$2:$A$80,0))="",N81,INDEX($J$2:$J$80,MATCH(VALUE(MID(N81,2,3)),$A$2:$A$80,0))),N81),IF(LEFT(N81,1)="L",IFERROR(IF(INDEX($J$2:$J$80,MATCH(VALUE(MID(N81,2,3)),$A$2:$A$80,0))=INDEX($F$2:$F$80,MATCH(VALUE(MID(N81,2,3)),$A$2:$A$80,0)),INDEX($G$2:$G$80,MATCH(VALUE(MID(N81,2,3)),$A$2:$A$80,0)),IF(INDEX($J$2:$J$80,MATCH(VALUE(MID(N81,2,3)),$A$2:$A$80,0))=INDEX($G$2:$G$80,MATCH(VALUE(MID(N81,2,3)),$A$2:$A$80,0)),INDEX($F$2:$F$80,MATCH(VALUE(MID(N81,2,3)),$A$2:$A$80,0)),N81)),N81),IFERROR(IF(VLOOKUP(RIGHT(N81,1)&amp;LEFT(N81,1),Clasificacion!$O$2:$Q$49,2,FALSE)="",N81,VLOOKUP(RIGHT(N81,1)&amp;LEFT(N81,1),Clasificacion!$O$2:$Q$49,2,FALSE)),N81)))))</f>
        <v>1L</v>
      </c>
      <c r="G81" t="str">
        <f>IF(O81="","",IF(LEFT(O81,1)="3",IFERROR(IF(VLOOKUP($A81&amp;"V",Asignacion_3ros!$A$2:$G$9,6,FALSE)="",O81,VLOOKUP($A81&amp;"V",Asignacion_3ros!$A$2:$G$9,6,FALSE)),O81),IF(LEFT(O81,1)="W",IFERROR(IF(INDEX($J$2:$J$80,MATCH(VALUE(MID(O81,2,3)),$A$2:$A$80,0))="",O81,INDEX($J$2:$J$80,MATCH(VALUE(MID(O81,2,3)),$A$2:$A$80,0))),O81),IF(LEFT(O81,1)="L",IFERROR(IF(INDEX($J$2:$J$80,MATCH(VALUE(MID(O81,2,3)),$A$2:$A$80,0))=INDEX($F$2:$F$80,MATCH(VALUE(MID(O81,2,3)),$A$2:$A$80,0)),INDEX($G$2:$G$80,MATCH(VALUE(MID(O81,2,3)),$A$2:$A$80,0)),IF(INDEX($J$2:$J$80,MATCH(VALUE(MID(O81,2,3)),$A$2:$A$80,0))=INDEX($G$2:$G$80,MATCH(VALUE(MID(O81,2,3)),$A$2:$A$80,0)),INDEX($F$2:$F$80,MATCH(VALUE(MID(O81,2,3)),$A$2:$A$80,0)),O81)),O81),IFERROR(IF(VLOOKUP(RIGHT(O81,1)&amp;LEFT(O81,1),Clasificacion!$O$2:$Q$49,2,FALSE)="",O81,VLOOKUP(RIGHT(O81,1)&amp;LEFT(O81,1),Clasificacion!$O$2:$Q$49,2,FALSE)),O81)))))</f>
        <v>Canadá</v>
      </c>
      <c r="J81" t="str">
        <f t="shared" si="2"/>
        <v/>
      </c>
      <c r="K81" t="s">
        <v>288</v>
      </c>
      <c r="L81" t="str">
        <f>IF(N81="","",IF(LEFT(N81,1)="3",IFERROR(IF(VLOOKUP($A81&amp;"L",Asignacion_3ros!$A$2:$G$9,7,FALSE)="",N81,VLOOKUP($A81&amp;"L",Asignacion_3ros!$A$2:$G$9,7,FALSE)),N81),IF(LEFT(N81,1)="W",IFERROR(IF(INDEX($J$2:$J$80,MATCH(VALUE(MID(N81,2,3)),$A$2:$A$80,0))=INDEX($F$2:$F$80,MATCH(VALUE(MID(N81,2,3)),$A$2:$A$80,0)),INDEX($L$2:$L$80,MATCH(VALUE(MID(N81,2,3)),$A$2:$A$80,0)),IF(INDEX($J$2:$J$80,MATCH(VALUE(MID(N81,2,3)),$A$2:$A$80,0))=INDEX($G$2:$G$80,MATCH(VALUE(MID(N81,2,3)),$A$2:$A$80,0)),INDEX($M$2:$M$80,MATCH(VALUE(MID(N81,2,3)),$A$2:$A$80,0)),N81)),N81),IF(LEFT(N81,1)="L",IFERROR(IF(INDEX($J$2:$J$80,MATCH(VALUE(MID(N81,2,3)),$A$2:$A$80,0))=INDEX($F$2:$F$80,MATCH(VALUE(MID(N81,2,3)),$A$2:$A$80,0)),INDEX($M$2:$M$80,MATCH(VALUE(MID(N81,2,3)),$A$2:$A$80,0)),IF(INDEX($J$2:$J$80,MATCH(VALUE(MID(N81,2,3)),$A$2:$A$80,0))=INDEX($G$2:$G$80,MATCH(VALUE(MID(N81,2,3)),$A$2:$A$80,0)),INDEX($L$2:$L$80,MATCH(VALUE(MID(N81,2,3)),$A$2:$A$80,0)),N81)),N81),IFERROR(IF(VLOOKUP(RIGHT(N81,1)&amp;LEFT(N81,1),Clasificacion!$O$2:$Q$49,3,FALSE)="",N81,VLOOKUP(RIGHT(N81,1)&amp;LEFT(N81,1),Clasificacion!$O$2:$Q$49,3,FALSE)),N81)))))</f>
        <v>1L</v>
      </c>
      <c r="M81" t="str">
        <f>IF(O81="","",IF(LEFT(O81,1)="3",IFERROR(IF(VLOOKUP($A81&amp;"V",Asignacion_3ros!$A$2:$G$9,7,FALSE)="",O81,VLOOKUP($A81&amp;"V",Asignacion_3ros!$A$2:$G$9,7,FALSE)),O81),IF(LEFT(O81,1)="W",IFERROR(IF(INDEX($J$2:$J$80,MATCH(VALUE(MID(O81,2,3)),$A$2:$A$80,0))=INDEX($F$2:$F$80,MATCH(VALUE(MID(O81,2,3)),$A$2:$A$80,0)),INDEX($L$2:$L$80,MATCH(VALUE(MID(O81,2,3)),$A$2:$A$80,0)),IF(INDEX($J$2:$J$80,MATCH(VALUE(MID(O81,2,3)),$A$2:$A$80,0))=INDEX($G$2:$G$80,MATCH(VALUE(MID(O81,2,3)),$A$2:$A$80,0)),INDEX($M$2:$M$80,MATCH(VALUE(MID(O81,2,3)),$A$2:$A$80,0)),O81)),O81),IF(LEFT(O81,1)="L",IFERROR(IF(INDEX($J$2:$J$80,MATCH(VALUE(MID(O81,2,3)),$A$2:$A$80,0))=INDEX($F$2:$F$80,MATCH(VALUE(MID(O81,2,3)),$A$2:$A$80,0)),INDEX($M$2:$M$80,MATCH(VALUE(MID(O81,2,3)),$A$2:$A$80,0)),IF(INDEX($J$2:$J$80,MATCH(VALUE(MID(O81,2,3)),$A$2:$A$80,0))=INDEX($G$2:$G$80,MATCH(VALUE(MID(O81,2,3)),$A$2:$A$80,0)),INDEX($L$2:$L$80,MATCH(VALUE(MID(O81,2,3)),$A$2:$A$80,0)),O81)),O81),IFERROR(IF(VLOOKUP(RIGHT(O81,1)&amp;LEFT(O81,1),Clasificacion!$O$2:$Q$49,3,FALSE)="",O81,VLOOKUP(RIGHT(O81,1)&amp;LEFT(O81,1),Clasificacion!$O$2:$Q$49,3,FALSE)),O81)))))</f>
        <v>CAN</v>
      </c>
      <c r="N81" t="s">
        <v>312</v>
      </c>
      <c r="O81" t="s">
        <v>313</v>
      </c>
      <c r="P81" t="s">
        <v>266</v>
      </c>
    </row>
    <row r="82" spans="1:16">
      <c r="A82">
        <v>81</v>
      </c>
      <c r="B82">
        <v>46204</v>
      </c>
      <c r="C82" t="s">
        <v>293</v>
      </c>
      <c r="D82" t="s">
        <v>296</v>
      </c>
      <c r="F82" t="str">
        <f>IF(N82="","",IF(LEFT(N82,1)="3",IFERROR(IF(VLOOKUP($A82&amp;"L",Asignacion_3ros!$A$2:$G$9,6,FALSE)="",N82,VLOOKUP($A82&amp;"L",Asignacion_3ros!$A$2:$G$9,6,FALSE)),N82),IF(LEFT(N82,1)="W",IFERROR(IF(INDEX($J$2:$J$81,MATCH(VALUE(MID(N82,2,3)),$A$2:$A$81,0))="",N82,INDEX($J$2:$J$81,MATCH(VALUE(MID(N82,2,3)),$A$2:$A$81,0))),N82),IF(LEFT(N82,1)="L",IFERROR(IF(INDEX($J$2:$J$81,MATCH(VALUE(MID(N82,2,3)),$A$2:$A$81,0))=INDEX($F$2:$F$81,MATCH(VALUE(MID(N82,2,3)),$A$2:$A$81,0)),INDEX($G$2:$G$81,MATCH(VALUE(MID(N82,2,3)),$A$2:$A$81,0)),IF(INDEX($J$2:$J$81,MATCH(VALUE(MID(N82,2,3)),$A$2:$A$81,0))=INDEX($G$2:$G$81,MATCH(VALUE(MID(N82,2,3)),$A$2:$A$81,0)),INDEX($F$2:$F$81,MATCH(VALUE(MID(N82,2,3)),$A$2:$A$81,0)),N82)),N82),IFERROR(IF(VLOOKUP(RIGHT(N82,1)&amp;LEFT(N82,1),Clasificacion!$O$2:$Q$49,2,FALSE)="",N82,VLOOKUP(RIGHT(N82,1)&amp;LEFT(N82,1),Clasificacion!$O$2:$Q$49,2,FALSE)),N82)))))</f>
        <v>1D</v>
      </c>
      <c r="G82" t="str">
        <f>IF(O82="","",IF(LEFT(O82,1)="3",IFERROR(IF(VLOOKUP($A82&amp;"V",Asignacion_3ros!$A$2:$G$9,6,FALSE)="",O82,VLOOKUP($A82&amp;"V",Asignacion_3ros!$A$2:$G$9,6,FALSE)),O82),IF(LEFT(O82,1)="W",IFERROR(IF(INDEX($J$2:$J$81,MATCH(VALUE(MID(O82,2,3)),$A$2:$A$81,0))="",O82,INDEX($J$2:$J$81,MATCH(VALUE(MID(O82,2,3)),$A$2:$A$81,0))),O82),IF(LEFT(O82,1)="L",IFERROR(IF(INDEX($J$2:$J$81,MATCH(VALUE(MID(O82,2,3)),$A$2:$A$81,0))=INDEX($F$2:$F$81,MATCH(VALUE(MID(O82,2,3)),$A$2:$A$81,0)),INDEX($G$2:$G$81,MATCH(VALUE(MID(O82,2,3)),$A$2:$A$81,0)),IF(INDEX($J$2:$J$81,MATCH(VALUE(MID(O82,2,3)),$A$2:$A$81,0))=INDEX($G$2:$G$81,MATCH(VALUE(MID(O82,2,3)),$A$2:$A$81,0)),INDEX($F$2:$F$81,MATCH(VALUE(MID(O82,2,3)),$A$2:$A$81,0)),O82)),O82),IFERROR(IF(VLOOKUP(RIGHT(O82,1)&amp;LEFT(O82,1),Clasificacion!$O$2:$Q$49,2,FALSE)="",O82,VLOOKUP(RIGHT(O82,1)&amp;LEFT(O82,1),Clasificacion!$O$2:$Q$49,2,FALSE)),O82)))))</f>
        <v>Sudáfrica</v>
      </c>
      <c r="J82" t="str">
        <f t="shared" si="2"/>
        <v/>
      </c>
      <c r="K82" t="s">
        <v>278</v>
      </c>
      <c r="L82" t="str">
        <f>IF(N82="","",IF(LEFT(N82,1)="3",IFERROR(IF(VLOOKUP($A82&amp;"L",Asignacion_3ros!$A$2:$G$9,7,FALSE)="",N82,VLOOKUP($A82&amp;"L",Asignacion_3ros!$A$2:$G$9,7,FALSE)),N82),IF(LEFT(N82,1)="W",IFERROR(IF(INDEX($J$2:$J$81,MATCH(VALUE(MID(N82,2,3)),$A$2:$A$81,0))=INDEX($F$2:$F$81,MATCH(VALUE(MID(N82,2,3)),$A$2:$A$81,0)),INDEX($L$2:$L$81,MATCH(VALUE(MID(N82,2,3)),$A$2:$A$81,0)),IF(INDEX($J$2:$J$81,MATCH(VALUE(MID(N82,2,3)),$A$2:$A$81,0))=INDEX($G$2:$G$81,MATCH(VALUE(MID(N82,2,3)),$A$2:$A$81,0)),INDEX($M$2:$M$81,MATCH(VALUE(MID(N82,2,3)),$A$2:$A$81,0)),N82)),N82),IF(LEFT(N82,1)="L",IFERROR(IF(INDEX($J$2:$J$81,MATCH(VALUE(MID(N82,2,3)),$A$2:$A$81,0))=INDEX($F$2:$F$81,MATCH(VALUE(MID(N82,2,3)),$A$2:$A$81,0)),INDEX($M$2:$M$81,MATCH(VALUE(MID(N82,2,3)),$A$2:$A$81,0)),IF(INDEX($J$2:$J$81,MATCH(VALUE(MID(N82,2,3)),$A$2:$A$81,0))=INDEX($G$2:$G$81,MATCH(VALUE(MID(N82,2,3)),$A$2:$A$81,0)),INDEX($L$2:$L$81,MATCH(VALUE(MID(N82,2,3)),$A$2:$A$81,0)),N82)),N82),IFERROR(IF(VLOOKUP(RIGHT(N82,1)&amp;LEFT(N82,1),Clasificacion!$O$2:$Q$49,3,FALSE)="",N82,VLOOKUP(RIGHT(N82,1)&amp;LEFT(N82,1),Clasificacion!$O$2:$Q$49,3,FALSE)),N82)))))</f>
        <v>1D</v>
      </c>
      <c r="M82" t="str">
        <f>IF(O82="","",IF(LEFT(O82,1)="3",IFERROR(IF(VLOOKUP($A82&amp;"V",Asignacion_3ros!$A$2:$G$9,7,FALSE)="",O82,VLOOKUP($A82&amp;"V",Asignacion_3ros!$A$2:$G$9,7,FALSE)),O82),IF(LEFT(O82,1)="W",IFERROR(IF(INDEX($J$2:$J$81,MATCH(VALUE(MID(O82,2,3)),$A$2:$A$81,0))=INDEX($F$2:$F$81,MATCH(VALUE(MID(O82,2,3)),$A$2:$A$81,0)),INDEX($L$2:$L$81,MATCH(VALUE(MID(O82,2,3)),$A$2:$A$81,0)),IF(INDEX($J$2:$J$81,MATCH(VALUE(MID(O82,2,3)),$A$2:$A$81,0))=INDEX($G$2:$G$81,MATCH(VALUE(MID(O82,2,3)),$A$2:$A$81,0)),INDEX($M$2:$M$81,MATCH(VALUE(MID(O82,2,3)),$A$2:$A$81,0)),O82)),O82),IF(LEFT(O82,1)="L",IFERROR(IF(INDEX($J$2:$J$81,MATCH(VALUE(MID(O82,2,3)),$A$2:$A$81,0))=INDEX($F$2:$F$81,MATCH(VALUE(MID(O82,2,3)),$A$2:$A$81,0)),INDEX($M$2:$M$81,MATCH(VALUE(MID(O82,2,3)),$A$2:$A$81,0)),IF(INDEX($J$2:$J$81,MATCH(VALUE(MID(O82,2,3)),$A$2:$A$81,0))=INDEX($G$2:$G$81,MATCH(VALUE(MID(O82,2,3)),$A$2:$A$81,0)),INDEX($L$2:$L$81,MATCH(VALUE(MID(O82,2,3)),$A$2:$A$81,0)),O82)),O82),IFERROR(IF(VLOOKUP(RIGHT(O82,1)&amp;LEFT(O82,1),Clasificacion!$O$2:$Q$49,3,FALSE)="",O82,VLOOKUP(RIGHT(O82,1)&amp;LEFT(O82,1),Clasificacion!$O$2:$Q$49,3,FALSE)),O82)))))</f>
        <v>RSA</v>
      </c>
      <c r="N82" t="s">
        <v>314</v>
      </c>
      <c r="O82" t="s">
        <v>315</v>
      </c>
      <c r="P82" t="s">
        <v>266</v>
      </c>
    </row>
    <row r="83" spans="1:16">
      <c r="A83">
        <v>82</v>
      </c>
      <c r="B83">
        <v>46204</v>
      </c>
      <c r="C83" t="s">
        <v>283</v>
      </c>
      <c r="D83" t="s">
        <v>296</v>
      </c>
      <c r="F83" t="str">
        <f>IF(N83="","",IF(LEFT(N83,1)="3",IFERROR(IF(VLOOKUP($A83&amp;"L",Asignacion_3ros!$A$2:$G$9,6,FALSE)="",N83,VLOOKUP($A83&amp;"L",Asignacion_3ros!$A$2:$G$9,6,FALSE)),N83),IF(LEFT(N83,1)="W",IFERROR(IF(INDEX($J$2:$J$82,MATCH(VALUE(MID(N83,2,3)),$A$2:$A$82,0))="",N83,INDEX($J$2:$J$82,MATCH(VALUE(MID(N83,2,3)),$A$2:$A$82,0))),N83),IF(LEFT(N83,1)="L",IFERROR(IF(INDEX($J$2:$J$82,MATCH(VALUE(MID(N83,2,3)),$A$2:$A$82,0))=INDEX($F$2:$F$82,MATCH(VALUE(MID(N83,2,3)),$A$2:$A$82,0)),INDEX($G$2:$G$82,MATCH(VALUE(MID(N83,2,3)),$A$2:$A$82,0)),IF(INDEX($J$2:$J$82,MATCH(VALUE(MID(N83,2,3)),$A$2:$A$82,0))=INDEX($G$2:$G$82,MATCH(VALUE(MID(N83,2,3)),$A$2:$A$82,0)),INDEX($F$2:$F$82,MATCH(VALUE(MID(N83,2,3)),$A$2:$A$82,0)),N83)),N83),IFERROR(IF(VLOOKUP(RIGHT(N83,1)&amp;LEFT(N83,1),Clasificacion!$O$2:$Q$49,2,FALSE)="",N83,VLOOKUP(RIGHT(N83,1)&amp;LEFT(N83,1),Clasificacion!$O$2:$Q$49,2,FALSE)),N83)))))</f>
        <v>1G</v>
      </c>
      <c r="G83" t="str">
        <f>IF(O83="","",IF(LEFT(O83,1)="3",IFERROR(IF(VLOOKUP($A83&amp;"V",Asignacion_3ros!$A$2:$G$9,6,FALSE)="",O83,VLOOKUP($A83&amp;"V",Asignacion_3ros!$A$2:$G$9,6,FALSE)),O83),IF(LEFT(O83,1)="W",IFERROR(IF(INDEX($J$2:$J$82,MATCH(VALUE(MID(O83,2,3)),$A$2:$A$82,0))="",O83,INDEX($J$2:$J$82,MATCH(VALUE(MID(O83,2,3)),$A$2:$A$82,0))),O83),IF(LEFT(O83,1)="L",IFERROR(IF(INDEX($J$2:$J$82,MATCH(VALUE(MID(O83,2,3)),$A$2:$A$82,0))=INDEX($F$2:$F$82,MATCH(VALUE(MID(O83,2,3)),$A$2:$A$82,0)),INDEX($G$2:$G$82,MATCH(VALUE(MID(O83,2,3)),$A$2:$A$82,0)),IF(INDEX($J$2:$J$82,MATCH(VALUE(MID(O83,2,3)),$A$2:$A$82,0))=INDEX($G$2:$G$82,MATCH(VALUE(MID(O83,2,3)),$A$2:$A$82,0)),INDEX($F$2:$F$82,MATCH(VALUE(MID(O83,2,3)),$A$2:$A$82,0)),O83)),O83),IFERROR(IF(VLOOKUP(RIGHT(O83,1)&amp;LEFT(O83,1),Clasificacion!$O$2:$Q$49,2,FALSE)="",O83,VLOOKUP(RIGHT(O83,1)&amp;LEFT(O83,1),Clasificacion!$O$2:$Q$49,2,FALSE)),O83)))))</f>
        <v>México</v>
      </c>
      <c r="J83" t="str">
        <f t="shared" si="2"/>
        <v/>
      </c>
      <c r="K83" t="s">
        <v>289</v>
      </c>
      <c r="L83" t="str">
        <f>IF(N83="","",IF(LEFT(N83,1)="3",IFERROR(IF(VLOOKUP($A83&amp;"L",Asignacion_3ros!$A$2:$G$9,7,FALSE)="",N83,VLOOKUP($A83&amp;"L",Asignacion_3ros!$A$2:$G$9,7,FALSE)),N83),IF(LEFT(N83,1)="W",IFERROR(IF(INDEX($J$2:$J$82,MATCH(VALUE(MID(N83,2,3)),$A$2:$A$82,0))=INDEX($F$2:$F$82,MATCH(VALUE(MID(N83,2,3)),$A$2:$A$82,0)),INDEX($L$2:$L$82,MATCH(VALUE(MID(N83,2,3)),$A$2:$A$82,0)),IF(INDEX($J$2:$J$82,MATCH(VALUE(MID(N83,2,3)),$A$2:$A$82,0))=INDEX($G$2:$G$82,MATCH(VALUE(MID(N83,2,3)),$A$2:$A$82,0)),INDEX($M$2:$M$82,MATCH(VALUE(MID(N83,2,3)),$A$2:$A$82,0)),N83)),N83),IF(LEFT(N83,1)="L",IFERROR(IF(INDEX($J$2:$J$82,MATCH(VALUE(MID(N83,2,3)),$A$2:$A$82,0))=INDEX($F$2:$F$82,MATCH(VALUE(MID(N83,2,3)),$A$2:$A$82,0)),INDEX($M$2:$M$82,MATCH(VALUE(MID(N83,2,3)),$A$2:$A$82,0)),IF(INDEX($J$2:$J$82,MATCH(VALUE(MID(N83,2,3)),$A$2:$A$82,0))=INDEX($G$2:$G$82,MATCH(VALUE(MID(N83,2,3)),$A$2:$A$82,0)),INDEX($L$2:$L$82,MATCH(VALUE(MID(N83,2,3)),$A$2:$A$82,0)),N83)),N83),IFERROR(IF(VLOOKUP(RIGHT(N83,1)&amp;LEFT(N83,1),Clasificacion!$O$2:$Q$49,3,FALSE)="",N83,VLOOKUP(RIGHT(N83,1)&amp;LEFT(N83,1),Clasificacion!$O$2:$Q$49,3,FALSE)),N83)))))</f>
        <v>1G</v>
      </c>
      <c r="M83" t="str">
        <f>IF(O83="","",IF(LEFT(O83,1)="3",IFERROR(IF(VLOOKUP($A83&amp;"V",Asignacion_3ros!$A$2:$G$9,7,FALSE)="",O83,VLOOKUP($A83&amp;"V",Asignacion_3ros!$A$2:$G$9,7,FALSE)),O83),IF(LEFT(O83,1)="W",IFERROR(IF(INDEX($J$2:$J$82,MATCH(VALUE(MID(O83,2,3)),$A$2:$A$82,0))=INDEX($F$2:$F$82,MATCH(VALUE(MID(O83,2,3)),$A$2:$A$82,0)),INDEX($L$2:$L$82,MATCH(VALUE(MID(O83,2,3)),$A$2:$A$82,0)),IF(INDEX($J$2:$J$82,MATCH(VALUE(MID(O83,2,3)),$A$2:$A$82,0))=INDEX($G$2:$G$82,MATCH(VALUE(MID(O83,2,3)),$A$2:$A$82,0)),INDEX($M$2:$M$82,MATCH(VALUE(MID(O83,2,3)),$A$2:$A$82,0)),O83)),O83),IF(LEFT(O83,1)="L",IFERROR(IF(INDEX($J$2:$J$82,MATCH(VALUE(MID(O83,2,3)),$A$2:$A$82,0))=INDEX($F$2:$F$82,MATCH(VALUE(MID(O83,2,3)),$A$2:$A$82,0)),INDEX($M$2:$M$82,MATCH(VALUE(MID(O83,2,3)),$A$2:$A$82,0)),IF(INDEX($J$2:$J$82,MATCH(VALUE(MID(O83,2,3)),$A$2:$A$82,0))=INDEX($G$2:$G$82,MATCH(VALUE(MID(O83,2,3)),$A$2:$A$82,0)),INDEX($L$2:$L$82,MATCH(VALUE(MID(O83,2,3)),$A$2:$A$82,0)),O83)),O83),IFERROR(IF(VLOOKUP(RIGHT(O83,1)&amp;LEFT(O83,1),Clasificacion!$O$2:$Q$49,3,FALSE)="",O83,VLOOKUP(RIGHT(O83,1)&amp;LEFT(O83,1),Clasificacion!$O$2:$Q$49,3,FALSE)),O83)))))</f>
        <v>MEX</v>
      </c>
      <c r="N83" t="s">
        <v>316</v>
      </c>
      <c r="O83" t="s">
        <v>317</v>
      </c>
      <c r="P83" t="s">
        <v>266</v>
      </c>
    </row>
    <row r="84" spans="1:16">
      <c r="A84">
        <v>83</v>
      </c>
      <c r="B84">
        <v>46205</v>
      </c>
      <c r="C84" t="s">
        <v>279</v>
      </c>
      <c r="D84" t="s">
        <v>296</v>
      </c>
      <c r="F84" t="str">
        <f>IF(N84="","",IF(LEFT(N84,1)="3",IFERROR(IF(VLOOKUP($A84&amp;"L",Asignacion_3ros!$A$2:$G$9,6,FALSE)="",N84,VLOOKUP($A84&amp;"L",Asignacion_3ros!$A$2:$G$9,6,FALSE)),N84),IF(LEFT(N84,1)="W",IFERROR(IF(INDEX($J$2:$J$83,MATCH(VALUE(MID(N84,2,3)),$A$2:$A$83,0))="",N84,INDEX($J$2:$J$83,MATCH(VALUE(MID(N84,2,3)),$A$2:$A$83,0))),N84),IF(LEFT(N84,1)="L",IFERROR(IF(INDEX($J$2:$J$83,MATCH(VALUE(MID(N84,2,3)),$A$2:$A$83,0))=INDEX($F$2:$F$83,MATCH(VALUE(MID(N84,2,3)),$A$2:$A$83,0)),INDEX($G$2:$G$83,MATCH(VALUE(MID(N84,2,3)),$A$2:$A$83,0)),IF(INDEX($J$2:$J$83,MATCH(VALUE(MID(N84,2,3)),$A$2:$A$83,0))=INDEX($G$2:$G$83,MATCH(VALUE(MID(N84,2,3)),$A$2:$A$83,0)),INDEX($F$2:$F$83,MATCH(VALUE(MID(N84,2,3)),$A$2:$A$83,0)),N84)),N84),IFERROR(IF(VLOOKUP(RIGHT(N84,1)&amp;LEFT(N84,1),Clasificacion!$O$2:$Q$49,2,FALSE)="",N84,VLOOKUP(RIGHT(N84,1)&amp;LEFT(N84,1),Clasificacion!$O$2:$Q$49,2,FALSE)),N84)))))</f>
        <v>2K</v>
      </c>
      <c r="G84" t="str">
        <f>IF(O84="","",IF(LEFT(O84,1)="3",IFERROR(IF(VLOOKUP($A84&amp;"V",Asignacion_3ros!$A$2:$G$9,6,FALSE)="",O84,VLOOKUP($A84&amp;"V",Asignacion_3ros!$A$2:$G$9,6,FALSE)),O84),IF(LEFT(O84,1)="W",IFERROR(IF(INDEX($J$2:$J$83,MATCH(VALUE(MID(O84,2,3)),$A$2:$A$83,0))="",O84,INDEX($J$2:$J$83,MATCH(VALUE(MID(O84,2,3)),$A$2:$A$83,0))),O84),IF(LEFT(O84,1)="L",IFERROR(IF(INDEX($J$2:$J$83,MATCH(VALUE(MID(O84,2,3)),$A$2:$A$83,0))=INDEX($F$2:$F$83,MATCH(VALUE(MID(O84,2,3)),$A$2:$A$83,0)),INDEX($G$2:$G$83,MATCH(VALUE(MID(O84,2,3)),$A$2:$A$83,0)),IF(INDEX($J$2:$J$83,MATCH(VALUE(MID(O84,2,3)),$A$2:$A$83,0))=INDEX($G$2:$G$83,MATCH(VALUE(MID(O84,2,3)),$A$2:$A$83,0)),INDEX($F$2:$F$83,MATCH(VALUE(MID(O84,2,3)),$A$2:$A$83,0)),O84)),O84),IFERROR(IF(VLOOKUP(RIGHT(O84,1)&amp;LEFT(O84,1),Clasificacion!$O$2:$Q$49,2,FALSE)="",O84,VLOOKUP(RIGHT(O84,1)&amp;LEFT(O84,1),Clasificacion!$O$2:$Q$49,2,FALSE)),O84)))))</f>
        <v>2L</v>
      </c>
      <c r="J84" t="str">
        <f t="shared" si="2"/>
        <v/>
      </c>
      <c r="K84" t="s">
        <v>270</v>
      </c>
      <c r="L84" t="str">
        <f>IF(N84="","",IF(LEFT(N84,1)="3",IFERROR(IF(VLOOKUP($A84&amp;"L",Asignacion_3ros!$A$2:$G$9,7,FALSE)="",N84,VLOOKUP($A84&amp;"L",Asignacion_3ros!$A$2:$G$9,7,FALSE)),N84),IF(LEFT(N84,1)="W",IFERROR(IF(INDEX($J$2:$J$83,MATCH(VALUE(MID(N84,2,3)),$A$2:$A$83,0))=INDEX($F$2:$F$83,MATCH(VALUE(MID(N84,2,3)),$A$2:$A$83,0)),INDEX($L$2:$L$83,MATCH(VALUE(MID(N84,2,3)),$A$2:$A$83,0)),IF(INDEX($J$2:$J$83,MATCH(VALUE(MID(N84,2,3)),$A$2:$A$83,0))=INDEX($G$2:$G$83,MATCH(VALUE(MID(N84,2,3)),$A$2:$A$83,0)),INDEX($M$2:$M$83,MATCH(VALUE(MID(N84,2,3)),$A$2:$A$83,0)),N84)),N84),IF(LEFT(N84,1)="L",IFERROR(IF(INDEX($J$2:$J$83,MATCH(VALUE(MID(N84,2,3)),$A$2:$A$83,0))=INDEX($F$2:$F$83,MATCH(VALUE(MID(N84,2,3)),$A$2:$A$83,0)),INDEX($M$2:$M$83,MATCH(VALUE(MID(N84,2,3)),$A$2:$A$83,0)),IF(INDEX($J$2:$J$83,MATCH(VALUE(MID(N84,2,3)),$A$2:$A$83,0))=INDEX($G$2:$G$83,MATCH(VALUE(MID(N84,2,3)),$A$2:$A$83,0)),INDEX($L$2:$L$83,MATCH(VALUE(MID(N84,2,3)),$A$2:$A$83,0)),N84)),N84),IFERROR(IF(VLOOKUP(RIGHT(N84,1)&amp;LEFT(N84,1),Clasificacion!$O$2:$Q$49,3,FALSE)="",N84,VLOOKUP(RIGHT(N84,1)&amp;LEFT(N84,1),Clasificacion!$O$2:$Q$49,3,FALSE)),N84)))))</f>
        <v>2K</v>
      </c>
      <c r="M84" t="str">
        <f>IF(O84="","",IF(LEFT(O84,1)="3",IFERROR(IF(VLOOKUP($A84&amp;"V",Asignacion_3ros!$A$2:$G$9,7,FALSE)="",O84,VLOOKUP($A84&amp;"V",Asignacion_3ros!$A$2:$G$9,7,FALSE)),O84),IF(LEFT(O84,1)="W",IFERROR(IF(INDEX($J$2:$J$83,MATCH(VALUE(MID(O84,2,3)),$A$2:$A$83,0))=INDEX($F$2:$F$83,MATCH(VALUE(MID(O84,2,3)),$A$2:$A$83,0)),INDEX($L$2:$L$83,MATCH(VALUE(MID(O84,2,3)),$A$2:$A$83,0)),IF(INDEX($J$2:$J$83,MATCH(VALUE(MID(O84,2,3)),$A$2:$A$83,0))=INDEX($G$2:$G$83,MATCH(VALUE(MID(O84,2,3)),$A$2:$A$83,0)),INDEX($M$2:$M$83,MATCH(VALUE(MID(O84,2,3)),$A$2:$A$83,0)),O84)),O84),IF(LEFT(O84,1)="L",IFERROR(IF(INDEX($J$2:$J$83,MATCH(VALUE(MID(O84,2,3)),$A$2:$A$83,0))=INDEX($F$2:$F$83,MATCH(VALUE(MID(O84,2,3)),$A$2:$A$83,0)),INDEX($M$2:$M$83,MATCH(VALUE(MID(O84,2,3)),$A$2:$A$83,0)),IF(INDEX($J$2:$J$83,MATCH(VALUE(MID(O84,2,3)),$A$2:$A$83,0))=INDEX($G$2:$G$83,MATCH(VALUE(MID(O84,2,3)),$A$2:$A$83,0)),INDEX($L$2:$L$83,MATCH(VALUE(MID(O84,2,3)),$A$2:$A$83,0)),O84)),O84),IFERROR(IF(VLOOKUP(RIGHT(O84,1)&amp;LEFT(O84,1),Clasificacion!$O$2:$Q$49,3,FALSE)="",O84,VLOOKUP(RIGHT(O84,1)&amp;LEFT(O84,1),Clasificacion!$O$2:$Q$49,3,FALSE)),O84)))))</f>
        <v>2L</v>
      </c>
      <c r="N84" t="s">
        <v>318</v>
      </c>
      <c r="O84" t="s">
        <v>319</v>
      </c>
      <c r="P84" t="s">
        <v>266</v>
      </c>
    </row>
    <row r="85" spans="1:16">
      <c r="A85">
        <v>84</v>
      </c>
      <c r="B85">
        <v>46205</v>
      </c>
      <c r="C85" t="s">
        <v>264</v>
      </c>
      <c r="D85" t="s">
        <v>296</v>
      </c>
      <c r="F85" t="str">
        <f>IF(N85="","",IF(LEFT(N85,1)="3",IFERROR(IF(VLOOKUP($A85&amp;"L",Asignacion_3ros!$A$2:$G$9,6,FALSE)="",N85,VLOOKUP($A85&amp;"L",Asignacion_3ros!$A$2:$G$9,6,FALSE)),N85),IF(LEFT(N85,1)="W",IFERROR(IF(INDEX($J$2:$J$84,MATCH(VALUE(MID(N85,2,3)),$A$2:$A$84,0))="",N85,INDEX($J$2:$J$84,MATCH(VALUE(MID(N85,2,3)),$A$2:$A$84,0))),N85),IF(LEFT(N85,1)="L",IFERROR(IF(INDEX($J$2:$J$84,MATCH(VALUE(MID(N85,2,3)),$A$2:$A$84,0))=INDEX($F$2:$F$84,MATCH(VALUE(MID(N85,2,3)),$A$2:$A$84,0)),INDEX($G$2:$G$84,MATCH(VALUE(MID(N85,2,3)),$A$2:$A$84,0)),IF(INDEX($J$2:$J$84,MATCH(VALUE(MID(N85,2,3)),$A$2:$A$84,0))=INDEX($G$2:$G$84,MATCH(VALUE(MID(N85,2,3)),$A$2:$A$84,0)),INDEX($F$2:$F$84,MATCH(VALUE(MID(N85,2,3)),$A$2:$A$84,0)),N85)),N85),IFERROR(IF(VLOOKUP(RIGHT(N85,1)&amp;LEFT(N85,1),Clasificacion!$O$2:$Q$49,2,FALSE)="",N85,VLOOKUP(RIGHT(N85,1)&amp;LEFT(N85,1),Clasificacion!$O$2:$Q$49,2,FALSE)),N85)))))</f>
        <v>1H</v>
      </c>
      <c r="G85" t="str">
        <f>IF(O85="","",IF(LEFT(O85,1)="3",IFERROR(IF(VLOOKUP($A85&amp;"V",Asignacion_3ros!$A$2:$G$9,6,FALSE)="",O85,VLOOKUP($A85&amp;"V",Asignacion_3ros!$A$2:$G$9,6,FALSE)),O85),IF(LEFT(O85,1)="W",IFERROR(IF(INDEX($J$2:$J$84,MATCH(VALUE(MID(O85,2,3)),$A$2:$A$84,0))="",O85,INDEX($J$2:$J$84,MATCH(VALUE(MID(O85,2,3)),$A$2:$A$84,0))),O85),IF(LEFT(O85,1)="L",IFERROR(IF(INDEX($J$2:$J$84,MATCH(VALUE(MID(O85,2,3)),$A$2:$A$84,0))=INDEX($F$2:$F$84,MATCH(VALUE(MID(O85,2,3)),$A$2:$A$84,0)),INDEX($G$2:$G$84,MATCH(VALUE(MID(O85,2,3)),$A$2:$A$84,0)),IF(INDEX($J$2:$J$84,MATCH(VALUE(MID(O85,2,3)),$A$2:$A$84,0))=INDEX($G$2:$G$84,MATCH(VALUE(MID(O85,2,3)),$A$2:$A$84,0)),INDEX($F$2:$F$84,MATCH(VALUE(MID(O85,2,3)),$A$2:$A$84,0)),O85)),O85),IFERROR(IF(VLOOKUP(RIGHT(O85,1)&amp;LEFT(O85,1),Clasificacion!$O$2:$Q$49,2,FALSE)="",O85,VLOOKUP(RIGHT(O85,1)&amp;LEFT(O85,1),Clasificacion!$O$2:$Q$49,2,FALSE)),O85)))))</f>
        <v>2J</v>
      </c>
      <c r="J85" t="str">
        <f t="shared" si="2"/>
        <v/>
      </c>
      <c r="K85" t="s">
        <v>272</v>
      </c>
      <c r="L85" t="str">
        <f>IF(N85="","",IF(LEFT(N85,1)="3",IFERROR(IF(VLOOKUP($A85&amp;"L",Asignacion_3ros!$A$2:$G$9,7,FALSE)="",N85,VLOOKUP($A85&amp;"L",Asignacion_3ros!$A$2:$G$9,7,FALSE)),N85),IF(LEFT(N85,1)="W",IFERROR(IF(INDEX($J$2:$J$84,MATCH(VALUE(MID(N85,2,3)),$A$2:$A$84,0))=INDEX($F$2:$F$84,MATCH(VALUE(MID(N85,2,3)),$A$2:$A$84,0)),INDEX($L$2:$L$84,MATCH(VALUE(MID(N85,2,3)),$A$2:$A$84,0)),IF(INDEX($J$2:$J$84,MATCH(VALUE(MID(N85,2,3)),$A$2:$A$84,0))=INDEX($G$2:$G$84,MATCH(VALUE(MID(N85,2,3)),$A$2:$A$84,0)),INDEX($M$2:$M$84,MATCH(VALUE(MID(N85,2,3)),$A$2:$A$84,0)),N85)),N85),IF(LEFT(N85,1)="L",IFERROR(IF(INDEX($J$2:$J$84,MATCH(VALUE(MID(N85,2,3)),$A$2:$A$84,0))=INDEX($F$2:$F$84,MATCH(VALUE(MID(N85,2,3)),$A$2:$A$84,0)),INDEX($M$2:$M$84,MATCH(VALUE(MID(N85,2,3)),$A$2:$A$84,0)),IF(INDEX($J$2:$J$84,MATCH(VALUE(MID(N85,2,3)),$A$2:$A$84,0))=INDEX($G$2:$G$84,MATCH(VALUE(MID(N85,2,3)),$A$2:$A$84,0)),INDEX($L$2:$L$84,MATCH(VALUE(MID(N85,2,3)),$A$2:$A$84,0)),N85)),N85),IFERROR(IF(VLOOKUP(RIGHT(N85,1)&amp;LEFT(N85,1),Clasificacion!$O$2:$Q$49,3,FALSE)="",N85,VLOOKUP(RIGHT(N85,1)&amp;LEFT(N85,1),Clasificacion!$O$2:$Q$49,3,FALSE)),N85)))))</f>
        <v>1H</v>
      </c>
      <c r="M85" t="str">
        <f>IF(O85="","",IF(LEFT(O85,1)="3",IFERROR(IF(VLOOKUP($A85&amp;"V",Asignacion_3ros!$A$2:$G$9,7,FALSE)="",O85,VLOOKUP($A85&amp;"V",Asignacion_3ros!$A$2:$G$9,7,FALSE)),O85),IF(LEFT(O85,1)="W",IFERROR(IF(INDEX($J$2:$J$84,MATCH(VALUE(MID(O85,2,3)),$A$2:$A$84,0))=INDEX($F$2:$F$84,MATCH(VALUE(MID(O85,2,3)),$A$2:$A$84,0)),INDEX($L$2:$L$84,MATCH(VALUE(MID(O85,2,3)),$A$2:$A$84,0)),IF(INDEX($J$2:$J$84,MATCH(VALUE(MID(O85,2,3)),$A$2:$A$84,0))=INDEX($G$2:$G$84,MATCH(VALUE(MID(O85,2,3)),$A$2:$A$84,0)),INDEX($M$2:$M$84,MATCH(VALUE(MID(O85,2,3)),$A$2:$A$84,0)),O85)),O85),IF(LEFT(O85,1)="L",IFERROR(IF(INDEX($J$2:$J$84,MATCH(VALUE(MID(O85,2,3)),$A$2:$A$84,0))=INDEX($F$2:$F$84,MATCH(VALUE(MID(O85,2,3)),$A$2:$A$84,0)),INDEX($M$2:$M$84,MATCH(VALUE(MID(O85,2,3)),$A$2:$A$84,0)),IF(INDEX($J$2:$J$84,MATCH(VALUE(MID(O85,2,3)),$A$2:$A$84,0))=INDEX($G$2:$G$84,MATCH(VALUE(MID(O85,2,3)),$A$2:$A$84,0)),INDEX($L$2:$L$84,MATCH(VALUE(MID(O85,2,3)),$A$2:$A$84,0)),O85)),O85),IFERROR(IF(VLOOKUP(RIGHT(O85,1)&amp;LEFT(O85,1),Clasificacion!$O$2:$Q$49,3,FALSE)="",O85,VLOOKUP(RIGHT(O85,1)&amp;LEFT(O85,1),Clasificacion!$O$2:$Q$49,3,FALSE)),O85)))))</f>
        <v>2J</v>
      </c>
      <c r="N85" t="s">
        <v>320</v>
      </c>
      <c r="O85" t="s">
        <v>321</v>
      </c>
      <c r="P85" t="s">
        <v>266</v>
      </c>
    </row>
    <row r="86" spans="1:16">
      <c r="A86">
        <v>85</v>
      </c>
      <c r="B86">
        <v>46206</v>
      </c>
      <c r="C86" t="s">
        <v>292</v>
      </c>
      <c r="D86" t="s">
        <v>296</v>
      </c>
      <c r="F86" t="str">
        <f>IF(N86="","",IF(LEFT(N86,1)="3",IFERROR(IF(VLOOKUP($A86&amp;"L",Asignacion_3ros!$A$2:$G$9,6,FALSE)="",N86,VLOOKUP($A86&amp;"L",Asignacion_3ros!$A$2:$G$9,6,FALSE)),N86),IF(LEFT(N86,1)="W",IFERROR(IF(INDEX($J$2:$J$85,MATCH(VALUE(MID(N86,2,3)),$A$2:$A$85,0))="",N86,INDEX($J$2:$J$85,MATCH(VALUE(MID(N86,2,3)),$A$2:$A$85,0))),N86),IF(LEFT(N86,1)="L",IFERROR(IF(INDEX($J$2:$J$85,MATCH(VALUE(MID(N86,2,3)),$A$2:$A$85,0))=INDEX($F$2:$F$85,MATCH(VALUE(MID(N86,2,3)),$A$2:$A$85,0)),INDEX($G$2:$G$85,MATCH(VALUE(MID(N86,2,3)),$A$2:$A$85,0)),IF(INDEX($J$2:$J$85,MATCH(VALUE(MID(N86,2,3)),$A$2:$A$85,0))=INDEX($G$2:$G$85,MATCH(VALUE(MID(N86,2,3)),$A$2:$A$85,0)),INDEX($F$2:$F$85,MATCH(VALUE(MID(N86,2,3)),$A$2:$A$85,0)),N86)),N86),IFERROR(IF(VLOOKUP(RIGHT(N86,1)&amp;LEFT(N86,1),Clasificacion!$O$2:$Q$49,2,FALSE)="",N86,VLOOKUP(RIGHT(N86,1)&amp;LEFT(N86,1),Clasificacion!$O$2:$Q$49,2,FALSE)),N86)))))</f>
        <v>1B</v>
      </c>
      <c r="G86" t="str">
        <f>IF(O86="","",IF(LEFT(O86,1)="3",IFERROR(IF(VLOOKUP($A86&amp;"V",Asignacion_3ros!$A$2:$G$9,6,FALSE)="",O86,VLOOKUP($A86&amp;"V",Asignacion_3ros!$A$2:$G$9,6,FALSE)),O86),IF(LEFT(O86,1)="W",IFERROR(IF(INDEX($J$2:$J$85,MATCH(VALUE(MID(O86,2,3)),$A$2:$A$85,0))="",O86,INDEX($J$2:$J$85,MATCH(VALUE(MID(O86,2,3)),$A$2:$A$85,0))),O86),IF(LEFT(O86,1)="L",IFERROR(IF(INDEX($J$2:$J$85,MATCH(VALUE(MID(O86,2,3)),$A$2:$A$85,0))=INDEX($F$2:$F$85,MATCH(VALUE(MID(O86,2,3)),$A$2:$A$85,0)),INDEX($G$2:$G$85,MATCH(VALUE(MID(O86,2,3)),$A$2:$A$85,0)),IF(INDEX($J$2:$J$85,MATCH(VALUE(MID(O86,2,3)),$A$2:$A$85,0))=INDEX($G$2:$G$85,MATCH(VALUE(MID(O86,2,3)),$A$2:$A$85,0)),INDEX($F$2:$F$85,MATCH(VALUE(MID(O86,2,3)),$A$2:$A$85,0)),O86)),O86),IFERROR(IF(VLOOKUP(RIGHT(O86,1)&amp;LEFT(O86,1),Clasificacion!$O$2:$Q$49,2,FALSE)="",O86,VLOOKUP(RIGHT(O86,1)&amp;LEFT(O86,1),Clasificacion!$O$2:$Q$49,2,FALSE)),O86)))))</f>
        <v>Bosnia y Herzegovina</v>
      </c>
      <c r="J86" t="str">
        <f t="shared" si="2"/>
        <v/>
      </c>
      <c r="K86" t="s">
        <v>275</v>
      </c>
      <c r="L86" t="str">
        <f>IF(N86="","",IF(LEFT(N86,1)="3",IFERROR(IF(VLOOKUP($A86&amp;"L",Asignacion_3ros!$A$2:$G$9,7,FALSE)="",N86,VLOOKUP($A86&amp;"L",Asignacion_3ros!$A$2:$G$9,7,FALSE)),N86),IF(LEFT(N86,1)="W",IFERROR(IF(INDEX($J$2:$J$85,MATCH(VALUE(MID(N86,2,3)),$A$2:$A$85,0))=INDEX($F$2:$F$85,MATCH(VALUE(MID(N86,2,3)),$A$2:$A$85,0)),INDEX($L$2:$L$85,MATCH(VALUE(MID(N86,2,3)),$A$2:$A$85,0)),IF(INDEX($J$2:$J$85,MATCH(VALUE(MID(N86,2,3)),$A$2:$A$85,0))=INDEX($G$2:$G$85,MATCH(VALUE(MID(N86,2,3)),$A$2:$A$85,0)),INDEX($M$2:$M$85,MATCH(VALUE(MID(N86,2,3)),$A$2:$A$85,0)),N86)),N86),IF(LEFT(N86,1)="L",IFERROR(IF(INDEX($J$2:$J$85,MATCH(VALUE(MID(N86,2,3)),$A$2:$A$85,0))=INDEX($F$2:$F$85,MATCH(VALUE(MID(N86,2,3)),$A$2:$A$85,0)),INDEX($M$2:$M$85,MATCH(VALUE(MID(N86,2,3)),$A$2:$A$85,0)),IF(INDEX($J$2:$J$85,MATCH(VALUE(MID(N86,2,3)),$A$2:$A$85,0))=INDEX($G$2:$G$85,MATCH(VALUE(MID(N86,2,3)),$A$2:$A$85,0)),INDEX($L$2:$L$85,MATCH(VALUE(MID(N86,2,3)),$A$2:$A$85,0)),N86)),N86),IFERROR(IF(VLOOKUP(RIGHT(N86,1)&amp;LEFT(N86,1),Clasificacion!$O$2:$Q$49,3,FALSE)="",N86,VLOOKUP(RIGHT(N86,1)&amp;LEFT(N86,1),Clasificacion!$O$2:$Q$49,3,FALSE)),N86)))))</f>
        <v>1B</v>
      </c>
      <c r="M86" t="str">
        <f>IF(O86="","",IF(LEFT(O86,1)="3",IFERROR(IF(VLOOKUP($A86&amp;"V",Asignacion_3ros!$A$2:$G$9,7,FALSE)="",O86,VLOOKUP($A86&amp;"V",Asignacion_3ros!$A$2:$G$9,7,FALSE)),O86),IF(LEFT(O86,1)="W",IFERROR(IF(INDEX($J$2:$J$85,MATCH(VALUE(MID(O86,2,3)),$A$2:$A$85,0))=INDEX($F$2:$F$85,MATCH(VALUE(MID(O86,2,3)),$A$2:$A$85,0)),INDEX($L$2:$L$85,MATCH(VALUE(MID(O86,2,3)),$A$2:$A$85,0)),IF(INDEX($J$2:$J$85,MATCH(VALUE(MID(O86,2,3)),$A$2:$A$85,0))=INDEX($G$2:$G$85,MATCH(VALUE(MID(O86,2,3)),$A$2:$A$85,0)),INDEX($M$2:$M$85,MATCH(VALUE(MID(O86,2,3)),$A$2:$A$85,0)),O86)),O86),IF(LEFT(O86,1)="L",IFERROR(IF(INDEX($J$2:$J$85,MATCH(VALUE(MID(O86,2,3)),$A$2:$A$85,0))=INDEX($F$2:$F$85,MATCH(VALUE(MID(O86,2,3)),$A$2:$A$85,0)),INDEX($M$2:$M$85,MATCH(VALUE(MID(O86,2,3)),$A$2:$A$85,0)),IF(INDEX($J$2:$J$85,MATCH(VALUE(MID(O86,2,3)),$A$2:$A$85,0))=INDEX($G$2:$G$85,MATCH(VALUE(MID(O86,2,3)),$A$2:$A$85,0)),INDEX($L$2:$L$85,MATCH(VALUE(MID(O86,2,3)),$A$2:$A$85,0)),O86)),O86),IFERROR(IF(VLOOKUP(RIGHT(O86,1)&amp;LEFT(O86,1),Clasificacion!$O$2:$Q$49,3,FALSE)="",O86,VLOOKUP(RIGHT(O86,1)&amp;LEFT(O86,1),Clasificacion!$O$2:$Q$49,3,FALSE)),O86)))))</f>
        <v>BIH</v>
      </c>
      <c r="N86" t="s">
        <v>322</v>
      </c>
      <c r="O86" t="s">
        <v>323</v>
      </c>
      <c r="P86" t="s">
        <v>266</v>
      </c>
    </row>
    <row r="87" spans="1:16">
      <c r="A87">
        <v>86</v>
      </c>
      <c r="B87">
        <v>46206</v>
      </c>
      <c r="C87" t="s">
        <v>276</v>
      </c>
      <c r="D87" t="s">
        <v>296</v>
      </c>
      <c r="F87" t="str">
        <f>IF(N87="","",IF(LEFT(N87,1)="3",IFERROR(IF(VLOOKUP($A87&amp;"L",Asignacion_3ros!$A$2:$G$9,6,FALSE)="",N87,VLOOKUP($A87&amp;"L",Asignacion_3ros!$A$2:$G$9,6,FALSE)),N87),IF(LEFT(N87,1)="W",IFERROR(IF(INDEX($J$2:$J$86,MATCH(VALUE(MID(N87,2,3)),$A$2:$A$86,0))="",N87,INDEX($J$2:$J$86,MATCH(VALUE(MID(N87,2,3)),$A$2:$A$86,0))),N87),IF(LEFT(N87,1)="L",IFERROR(IF(INDEX($J$2:$J$86,MATCH(VALUE(MID(N87,2,3)),$A$2:$A$86,0))=INDEX($F$2:$F$86,MATCH(VALUE(MID(N87,2,3)),$A$2:$A$86,0)),INDEX($G$2:$G$86,MATCH(VALUE(MID(N87,2,3)),$A$2:$A$86,0)),IF(INDEX($J$2:$J$86,MATCH(VALUE(MID(N87,2,3)),$A$2:$A$86,0))=INDEX($G$2:$G$86,MATCH(VALUE(MID(N87,2,3)),$A$2:$A$86,0)),INDEX($F$2:$F$86,MATCH(VALUE(MID(N87,2,3)),$A$2:$A$86,0)),N87)),N87),IFERROR(IF(VLOOKUP(RIGHT(N87,1)&amp;LEFT(N87,1),Clasificacion!$O$2:$Q$49,2,FALSE)="",N87,VLOOKUP(RIGHT(N87,1)&amp;LEFT(N87,1),Clasificacion!$O$2:$Q$49,2,FALSE)),N87)))))</f>
        <v>1J</v>
      </c>
      <c r="G87" t="str">
        <f>IF(O87="","",IF(LEFT(O87,1)="3",IFERROR(IF(VLOOKUP($A87&amp;"V",Asignacion_3ros!$A$2:$G$9,6,FALSE)="",O87,VLOOKUP($A87&amp;"V",Asignacion_3ros!$A$2:$G$9,6,FALSE)),O87),IF(LEFT(O87,1)="W",IFERROR(IF(INDEX($J$2:$J$86,MATCH(VALUE(MID(O87,2,3)),$A$2:$A$86,0))="",O87,INDEX($J$2:$J$86,MATCH(VALUE(MID(O87,2,3)),$A$2:$A$86,0))),O87),IF(LEFT(O87,1)="L",IFERROR(IF(INDEX($J$2:$J$86,MATCH(VALUE(MID(O87,2,3)),$A$2:$A$86,0))=INDEX($F$2:$F$86,MATCH(VALUE(MID(O87,2,3)),$A$2:$A$86,0)),INDEX($G$2:$G$86,MATCH(VALUE(MID(O87,2,3)),$A$2:$A$86,0)),IF(INDEX($J$2:$J$86,MATCH(VALUE(MID(O87,2,3)),$A$2:$A$86,0))=INDEX($G$2:$G$86,MATCH(VALUE(MID(O87,2,3)),$A$2:$A$86,0)),INDEX($F$2:$F$86,MATCH(VALUE(MID(O87,2,3)),$A$2:$A$86,0)),O87)),O87),IFERROR(IF(VLOOKUP(RIGHT(O87,1)&amp;LEFT(O87,1),Clasificacion!$O$2:$Q$49,2,FALSE)="",O87,VLOOKUP(RIGHT(O87,1)&amp;LEFT(O87,1),Clasificacion!$O$2:$Q$49,2,FALSE)),O87)))))</f>
        <v>2H</v>
      </c>
      <c r="J87" t="str">
        <f t="shared" si="2"/>
        <v/>
      </c>
      <c r="K87" t="s">
        <v>286</v>
      </c>
      <c r="L87" t="str">
        <f>IF(N87="","",IF(LEFT(N87,1)="3",IFERROR(IF(VLOOKUP($A87&amp;"L",Asignacion_3ros!$A$2:$G$9,7,FALSE)="",N87,VLOOKUP($A87&amp;"L",Asignacion_3ros!$A$2:$G$9,7,FALSE)),N87),IF(LEFT(N87,1)="W",IFERROR(IF(INDEX($J$2:$J$86,MATCH(VALUE(MID(N87,2,3)),$A$2:$A$86,0))=INDEX($F$2:$F$86,MATCH(VALUE(MID(N87,2,3)),$A$2:$A$86,0)),INDEX($L$2:$L$86,MATCH(VALUE(MID(N87,2,3)),$A$2:$A$86,0)),IF(INDEX($J$2:$J$86,MATCH(VALUE(MID(N87,2,3)),$A$2:$A$86,0))=INDEX($G$2:$G$86,MATCH(VALUE(MID(N87,2,3)),$A$2:$A$86,0)),INDEX($M$2:$M$86,MATCH(VALUE(MID(N87,2,3)),$A$2:$A$86,0)),N87)),N87),IF(LEFT(N87,1)="L",IFERROR(IF(INDEX($J$2:$J$86,MATCH(VALUE(MID(N87,2,3)),$A$2:$A$86,0))=INDEX($F$2:$F$86,MATCH(VALUE(MID(N87,2,3)),$A$2:$A$86,0)),INDEX($M$2:$M$86,MATCH(VALUE(MID(N87,2,3)),$A$2:$A$86,0)),IF(INDEX($J$2:$J$86,MATCH(VALUE(MID(N87,2,3)),$A$2:$A$86,0))=INDEX($G$2:$G$86,MATCH(VALUE(MID(N87,2,3)),$A$2:$A$86,0)),INDEX($L$2:$L$86,MATCH(VALUE(MID(N87,2,3)),$A$2:$A$86,0)),N87)),N87),IFERROR(IF(VLOOKUP(RIGHT(N87,1)&amp;LEFT(N87,1),Clasificacion!$O$2:$Q$49,3,FALSE)="",N87,VLOOKUP(RIGHT(N87,1)&amp;LEFT(N87,1),Clasificacion!$O$2:$Q$49,3,FALSE)),N87)))))</f>
        <v>1J</v>
      </c>
      <c r="M87" t="str">
        <f>IF(O87="","",IF(LEFT(O87,1)="3",IFERROR(IF(VLOOKUP($A87&amp;"V",Asignacion_3ros!$A$2:$G$9,7,FALSE)="",O87,VLOOKUP($A87&amp;"V",Asignacion_3ros!$A$2:$G$9,7,FALSE)),O87),IF(LEFT(O87,1)="W",IFERROR(IF(INDEX($J$2:$J$86,MATCH(VALUE(MID(O87,2,3)),$A$2:$A$86,0))=INDEX($F$2:$F$86,MATCH(VALUE(MID(O87,2,3)),$A$2:$A$86,0)),INDEX($L$2:$L$86,MATCH(VALUE(MID(O87,2,3)),$A$2:$A$86,0)),IF(INDEX($J$2:$J$86,MATCH(VALUE(MID(O87,2,3)),$A$2:$A$86,0))=INDEX($G$2:$G$86,MATCH(VALUE(MID(O87,2,3)),$A$2:$A$86,0)),INDEX($M$2:$M$86,MATCH(VALUE(MID(O87,2,3)),$A$2:$A$86,0)),O87)),O87),IF(LEFT(O87,1)="L",IFERROR(IF(INDEX($J$2:$J$86,MATCH(VALUE(MID(O87,2,3)),$A$2:$A$86,0))=INDEX($F$2:$F$86,MATCH(VALUE(MID(O87,2,3)),$A$2:$A$86,0)),INDEX($M$2:$M$86,MATCH(VALUE(MID(O87,2,3)),$A$2:$A$86,0)),IF(INDEX($J$2:$J$86,MATCH(VALUE(MID(O87,2,3)),$A$2:$A$86,0))=INDEX($G$2:$G$86,MATCH(VALUE(MID(O87,2,3)),$A$2:$A$86,0)),INDEX($L$2:$L$86,MATCH(VALUE(MID(O87,2,3)),$A$2:$A$86,0)),O87)),O87),IFERROR(IF(VLOOKUP(RIGHT(O87,1)&amp;LEFT(O87,1),Clasificacion!$O$2:$Q$49,3,FALSE)="",O87,VLOOKUP(RIGHT(O87,1)&amp;LEFT(O87,1),Clasificacion!$O$2:$Q$49,3,FALSE)),O87)))))</f>
        <v>2H</v>
      </c>
      <c r="N87" t="s">
        <v>324</v>
      </c>
      <c r="O87" t="s">
        <v>325</v>
      </c>
      <c r="P87" t="s">
        <v>266</v>
      </c>
    </row>
    <row r="88" spans="1:16">
      <c r="A88">
        <v>87</v>
      </c>
      <c r="B88">
        <v>46206</v>
      </c>
      <c r="C88" t="s">
        <v>326</v>
      </c>
      <c r="D88" t="s">
        <v>296</v>
      </c>
      <c r="F88" t="str">
        <f>IF(N88="","",IF(LEFT(N88,1)="3",IFERROR(IF(VLOOKUP($A88&amp;"L",Asignacion_3ros!$A$2:$G$9,6,FALSE)="",N88,VLOOKUP($A88&amp;"L",Asignacion_3ros!$A$2:$G$9,6,FALSE)),N88),IF(LEFT(N88,1)="W",IFERROR(IF(INDEX($J$2:$J$87,MATCH(VALUE(MID(N88,2,3)),$A$2:$A$87,0))="",N88,INDEX($J$2:$J$87,MATCH(VALUE(MID(N88,2,3)),$A$2:$A$87,0))),N88),IF(LEFT(N88,1)="L",IFERROR(IF(INDEX($J$2:$J$87,MATCH(VALUE(MID(N88,2,3)),$A$2:$A$87,0))=INDEX($F$2:$F$87,MATCH(VALUE(MID(N88,2,3)),$A$2:$A$87,0)),INDEX($G$2:$G$87,MATCH(VALUE(MID(N88,2,3)),$A$2:$A$87,0)),IF(INDEX($J$2:$J$87,MATCH(VALUE(MID(N88,2,3)),$A$2:$A$87,0))=INDEX($G$2:$G$87,MATCH(VALUE(MID(N88,2,3)),$A$2:$A$87,0)),INDEX($F$2:$F$87,MATCH(VALUE(MID(N88,2,3)),$A$2:$A$87,0)),N88)),N88),IFERROR(IF(VLOOKUP(RIGHT(N88,1)&amp;LEFT(N88,1),Clasificacion!$O$2:$Q$49,2,FALSE)="",N88,VLOOKUP(RIGHT(N88,1)&amp;LEFT(N88,1),Clasificacion!$O$2:$Q$49,2,FALSE)),N88)))))</f>
        <v>1K</v>
      </c>
      <c r="G88" t="str">
        <f>IF(O88="","",IF(LEFT(O88,1)="3",IFERROR(IF(VLOOKUP($A88&amp;"V",Asignacion_3ros!$A$2:$G$9,6,FALSE)="",O88,VLOOKUP($A88&amp;"V",Asignacion_3ros!$A$2:$G$9,6,FALSE)),O88),IF(LEFT(O88,1)="W",IFERROR(IF(INDEX($J$2:$J$87,MATCH(VALUE(MID(O88,2,3)),$A$2:$A$87,0))="",O88,INDEX($J$2:$J$87,MATCH(VALUE(MID(O88,2,3)),$A$2:$A$87,0))),O88),IF(LEFT(O88,1)="L",IFERROR(IF(INDEX($J$2:$J$87,MATCH(VALUE(MID(O88,2,3)),$A$2:$A$87,0))=INDEX($F$2:$F$87,MATCH(VALUE(MID(O88,2,3)),$A$2:$A$87,0)),INDEX($G$2:$G$87,MATCH(VALUE(MID(O88,2,3)),$A$2:$A$87,0)),IF(INDEX($J$2:$J$87,MATCH(VALUE(MID(O88,2,3)),$A$2:$A$87,0))=INDEX($G$2:$G$87,MATCH(VALUE(MID(O88,2,3)),$A$2:$A$87,0)),INDEX($F$2:$F$87,MATCH(VALUE(MID(O88,2,3)),$A$2:$A$87,0)),O88)),O88),IFERROR(IF(VLOOKUP(RIGHT(O88,1)&amp;LEFT(O88,1),Clasificacion!$O$2:$Q$49,2,FALSE)="",O88,VLOOKUP(RIGHT(O88,1)&amp;LEFT(O88,1),Clasificacion!$O$2:$Q$49,2,FALSE)),O88)))))</f>
        <v>Chequia</v>
      </c>
      <c r="J88" t="str">
        <f t="shared" si="2"/>
        <v/>
      </c>
      <c r="K88" t="s">
        <v>290</v>
      </c>
      <c r="L88" t="str">
        <f>IF(N88="","",IF(LEFT(N88,1)="3",IFERROR(IF(VLOOKUP($A88&amp;"L",Asignacion_3ros!$A$2:$G$9,7,FALSE)="",N88,VLOOKUP($A88&amp;"L",Asignacion_3ros!$A$2:$G$9,7,FALSE)),N88),IF(LEFT(N88,1)="W",IFERROR(IF(INDEX($J$2:$J$87,MATCH(VALUE(MID(N88,2,3)),$A$2:$A$87,0))=INDEX($F$2:$F$87,MATCH(VALUE(MID(N88,2,3)),$A$2:$A$87,0)),INDEX($L$2:$L$87,MATCH(VALUE(MID(N88,2,3)),$A$2:$A$87,0)),IF(INDEX($J$2:$J$87,MATCH(VALUE(MID(N88,2,3)),$A$2:$A$87,0))=INDEX($G$2:$G$87,MATCH(VALUE(MID(N88,2,3)),$A$2:$A$87,0)),INDEX($M$2:$M$87,MATCH(VALUE(MID(N88,2,3)),$A$2:$A$87,0)),N88)),N88),IF(LEFT(N88,1)="L",IFERROR(IF(INDEX($J$2:$J$87,MATCH(VALUE(MID(N88,2,3)),$A$2:$A$87,0))=INDEX($F$2:$F$87,MATCH(VALUE(MID(N88,2,3)),$A$2:$A$87,0)),INDEX($M$2:$M$87,MATCH(VALUE(MID(N88,2,3)),$A$2:$A$87,0)),IF(INDEX($J$2:$J$87,MATCH(VALUE(MID(N88,2,3)),$A$2:$A$87,0))=INDEX($G$2:$G$87,MATCH(VALUE(MID(N88,2,3)),$A$2:$A$87,0)),INDEX($L$2:$L$87,MATCH(VALUE(MID(N88,2,3)),$A$2:$A$87,0)),N88)),N88),IFERROR(IF(VLOOKUP(RIGHT(N88,1)&amp;LEFT(N88,1),Clasificacion!$O$2:$Q$49,3,FALSE)="",N88,VLOOKUP(RIGHT(N88,1)&amp;LEFT(N88,1),Clasificacion!$O$2:$Q$49,3,FALSE)),N88)))))</f>
        <v>1K</v>
      </c>
      <c r="M88" t="str">
        <f>IF(O88="","",IF(LEFT(O88,1)="3",IFERROR(IF(VLOOKUP($A88&amp;"V",Asignacion_3ros!$A$2:$G$9,7,FALSE)="",O88,VLOOKUP($A88&amp;"V",Asignacion_3ros!$A$2:$G$9,7,FALSE)),O88),IF(LEFT(O88,1)="W",IFERROR(IF(INDEX($J$2:$J$87,MATCH(VALUE(MID(O88,2,3)),$A$2:$A$87,0))=INDEX($F$2:$F$87,MATCH(VALUE(MID(O88,2,3)),$A$2:$A$87,0)),INDEX($L$2:$L$87,MATCH(VALUE(MID(O88,2,3)),$A$2:$A$87,0)),IF(INDEX($J$2:$J$87,MATCH(VALUE(MID(O88,2,3)),$A$2:$A$87,0))=INDEX($G$2:$G$87,MATCH(VALUE(MID(O88,2,3)),$A$2:$A$87,0)),INDEX($M$2:$M$87,MATCH(VALUE(MID(O88,2,3)),$A$2:$A$87,0)),O88)),O88),IF(LEFT(O88,1)="L",IFERROR(IF(INDEX($J$2:$J$87,MATCH(VALUE(MID(O88,2,3)),$A$2:$A$87,0))=INDEX($F$2:$F$87,MATCH(VALUE(MID(O88,2,3)),$A$2:$A$87,0)),INDEX($M$2:$M$87,MATCH(VALUE(MID(O88,2,3)),$A$2:$A$87,0)),IF(INDEX($J$2:$J$87,MATCH(VALUE(MID(O88,2,3)),$A$2:$A$87,0))=INDEX($G$2:$G$87,MATCH(VALUE(MID(O88,2,3)),$A$2:$A$87,0)),INDEX($L$2:$L$87,MATCH(VALUE(MID(O88,2,3)),$A$2:$A$87,0)),O88)),O88),IFERROR(IF(VLOOKUP(RIGHT(O88,1)&amp;LEFT(O88,1),Clasificacion!$O$2:$Q$49,3,FALSE)="",O88,VLOOKUP(RIGHT(O88,1)&amp;LEFT(O88,1),Clasificacion!$O$2:$Q$49,3,FALSE)),O88)))))</f>
        <v>CZE</v>
      </c>
      <c r="N88" t="s">
        <v>327</v>
      </c>
      <c r="O88" t="s">
        <v>328</v>
      </c>
      <c r="P88" t="s">
        <v>266</v>
      </c>
    </row>
    <row r="89" spans="1:16">
      <c r="A89">
        <v>88</v>
      </c>
      <c r="B89">
        <v>46206</v>
      </c>
      <c r="C89" t="s">
        <v>329</v>
      </c>
      <c r="D89" t="s">
        <v>296</v>
      </c>
      <c r="F89" t="str">
        <f>IF(N89="","",IF(LEFT(N89,1)="3",IFERROR(IF(VLOOKUP($A89&amp;"L",Asignacion_3ros!$A$2:$G$9,6,FALSE)="",N89,VLOOKUP($A89&amp;"L",Asignacion_3ros!$A$2:$G$9,6,FALSE)),N89),IF(LEFT(N89,1)="W",IFERROR(IF(INDEX($J$2:$J$88,MATCH(VALUE(MID(N89,2,3)),$A$2:$A$88,0))="",N89,INDEX($J$2:$J$88,MATCH(VALUE(MID(N89,2,3)),$A$2:$A$88,0))),N89),IF(LEFT(N89,1)="L",IFERROR(IF(INDEX($J$2:$J$88,MATCH(VALUE(MID(N89,2,3)),$A$2:$A$88,0))=INDEX($F$2:$F$88,MATCH(VALUE(MID(N89,2,3)),$A$2:$A$88,0)),INDEX($G$2:$G$88,MATCH(VALUE(MID(N89,2,3)),$A$2:$A$88,0)),IF(INDEX($J$2:$J$88,MATCH(VALUE(MID(N89,2,3)),$A$2:$A$88,0))=INDEX($G$2:$G$88,MATCH(VALUE(MID(N89,2,3)),$A$2:$A$88,0)),INDEX($F$2:$F$88,MATCH(VALUE(MID(N89,2,3)),$A$2:$A$88,0)),N89)),N89),IFERROR(IF(VLOOKUP(RIGHT(N89,1)&amp;LEFT(N89,1),Clasificacion!$O$2:$Q$49,2,FALSE)="",N89,VLOOKUP(RIGHT(N89,1)&amp;LEFT(N89,1),Clasificacion!$O$2:$Q$49,2,FALSE)),N89)))))</f>
        <v>2D</v>
      </c>
      <c r="G89" t="str">
        <f>IF(O89="","",IF(LEFT(O89,1)="3",IFERROR(IF(VLOOKUP($A89&amp;"V",Asignacion_3ros!$A$2:$G$9,6,FALSE)="",O89,VLOOKUP($A89&amp;"V",Asignacion_3ros!$A$2:$G$9,6,FALSE)),O89),IF(LEFT(O89,1)="W",IFERROR(IF(INDEX($J$2:$J$88,MATCH(VALUE(MID(O89,2,3)),$A$2:$A$88,0))="",O89,INDEX($J$2:$J$88,MATCH(VALUE(MID(O89,2,3)),$A$2:$A$88,0))),O89),IF(LEFT(O89,1)="L",IFERROR(IF(INDEX($J$2:$J$88,MATCH(VALUE(MID(O89,2,3)),$A$2:$A$88,0))=INDEX($F$2:$F$88,MATCH(VALUE(MID(O89,2,3)),$A$2:$A$88,0)),INDEX($G$2:$G$88,MATCH(VALUE(MID(O89,2,3)),$A$2:$A$88,0)),IF(INDEX($J$2:$J$88,MATCH(VALUE(MID(O89,2,3)),$A$2:$A$88,0))=INDEX($G$2:$G$88,MATCH(VALUE(MID(O89,2,3)),$A$2:$A$88,0)),INDEX($F$2:$F$88,MATCH(VALUE(MID(O89,2,3)),$A$2:$A$88,0)),O89)),O89),IFERROR(IF(VLOOKUP(RIGHT(O89,1)&amp;LEFT(O89,1),Clasificacion!$O$2:$Q$49,2,FALSE)="",O89,VLOOKUP(RIGHT(O89,1)&amp;LEFT(O89,1),Clasificacion!$O$2:$Q$49,2,FALSE)),O89)))))</f>
        <v>2G</v>
      </c>
      <c r="J89" t="str">
        <f t="shared" si="2"/>
        <v/>
      </c>
      <c r="K89" t="s">
        <v>284</v>
      </c>
      <c r="L89" t="str">
        <f>IF(N89="","",IF(LEFT(N89,1)="3",IFERROR(IF(VLOOKUP($A89&amp;"L",Asignacion_3ros!$A$2:$G$9,7,FALSE)="",N89,VLOOKUP($A89&amp;"L",Asignacion_3ros!$A$2:$G$9,7,FALSE)),N89),IF(LEFT(N89,1)="W",IFERROR(IF(INDEX($J$2:$J$88,MATCH(VALUE(MID(N89,2,3)),$A$2:$A$88,0))=INDEX($F$2:$F$88,MATCH(VALUE(MID(N89,2,3)),$A$2:$A$88,0)),INDEX($L$2:$L$88,MATCH(VALUE(MID(N89,2,3)),$A$2:$A$88,0)),IF(INDEX($J$2:$J$88,MATCH(VALUE(MID(N89,2,3)),$A$2:$A$88,0))=INDEX($G$2:$G$88,MATCH(VALUE(MID(N89,2,3)),$A$2:$A$88,0)),INDEX($M$2:$M$88,MATCH(VALUE(MID(N89,2,3)),$A$2:$A$88,0)),N89)),N89),IF(LEFT(N89,1)="L",IFERROR(IF(INDEX($J$2:$J$88,MATCH(VALUE(MID(N89,2,3)),$A$2:$A$88,0))=INDEX($F$2:$F$88,MATCH(VALUE(MID(N89,2,3)),$A$2:$A$88,0)),INDEX($M$2:$M$88,MATCH(VALUE(MID(N89,2,3)),$A$2:$A$88,0)),IF(INDEX($J$2:$J$88,MATCH(VALUE(MID(N89,2,3)),$A$2:$A$88,0))=INDEX($G$2:$G$88,MATCH(VALUE(MID(N89,2,3)),$A$2:$A$88,0)),INDEX($L$2:$L$88,MATCH(VALUE(MID(N89,2,3)),$A$2:$A$88,0)),N89)),N89),IFERROR(IF(VLOOKUP(RIGHT(N89,1)&amp;LEFT(N89,1),Clasificacion!$O$2:$Q$49,3,FALSE)="",N89,VLOOKUP(RIGHT(N89,1)&amp;LEFT(N89,1),Clasificacion!$O$2:$Q$49,3,FALSE)),N89)))))</f>
        <v>2D</v>
      </c>
      <c r="M89" t="str">
        <f>IF(O89="","",IF(LEFT(O89,1)="3",IFERROR(IF(VLOOKUP($A89&amp;"V",Asignacion_3ros!$A$2:$G$9,7,FALSE)="",O89,VLOOKUP($A89&amp;"V",Asignacion_3ros!$A$2:$G$9,7,FALSE)),O89),IF(LEFT(O89,1)="W",IFERROR(IF(INDEX($J$2:$J$88,MATCH(VALUE(MID(O89,2,3)),$A$2:$A$88,0))=INDEX($F$2:$F$88,MATCH(VALUE(MID(O89,2,3)),$A$2:$A$88,0)),INDEX($L$2:$L$88,MATCH(VALUE(MID(O89,2,3)),$A$2:$A$88,0)),IF(INDEX($J$2:$J$88,MATCH(VALUE(MID(O89,2,3)),$A$2:$A$88,0))=INDEX($G$2:$G$88,MATCH(VALUE(MID(O89,2,3)),$A$2:$A$88,0)),INDEX($M$2:$M$88,MATCH(VALUE(MID(O89,2,3)),$A$2:$A$88,0)),O89)),O89),IF(LEFT(O89,1)="L",IFERROR(IF(INDEX($J$2:$J$88,MATCH(VALUE(MID(O89,2,3)),$A$2:$A$88,0))=INDEX($F$2:$F$88,MATCH(VALUE(MID(O89,2,3)),$A$2:$A$88,0)),INDEX($M$2:$M$88,MATCH(VALUE(MID(O89,2,3)),$A$2:$A$88,0)),IF(INDEX($J$2:$J$88,MATCH(VALUE(MID(O89,2,3)),$A$2:$A$88,0))=INDEX($G$2:$G$88,MATCH(VALUE(MID(O89,2,3)),$A$2:$A$88,0)),INDEX($L$2:$L$88,MATCH(VALUE(MID(O89,2,3)),$A$2:$A$88,0)),O89)),O89),IFERROR(IF(VLOOKUP(RIGHT(O89,1)&amp;LEFT(O89,1),Clasificacion!$O$2:$Q$49,3,FALSE)="",O89,VLOOKUP(RIGHT(O89,1)&amp;LEFT(O89,1),Clasificacion!$O$2:$Q$49,3,FALSE)),O89)))))</f>
        <v>2G</v>
      </c>
      <c r="N89" t="s">
        <v>330</v>
      </c>
      <c r="O89" t="s">
        <v>331</v>
      </c>
      <c r="P89" t="s">
        <v>266</v>
      </c>
    </row>
    <row r="90" spans="1:16">
      <c r="A90">
        <v>89</v>
      </c>
      <c r="B90">
        <v>46207</v>
      </c>
      <c r="C90" t="s">
        <v>294</v>
      </c>
      <c r="D90" t="s">
        <v>332</v>
      </c>
      <c r="F90" t="str">
        <f>IF(N90="","",IF(LEFT(N90,1)="3",IFERROR(IF(VLOOKUP($A90&amp;"L",Asignacion_3ros!$A$2:$G$9,6,FALSE)="",N90,VLOOKUP($A90&amp;"L",Asignacion_3ros!$A$2:$G$9,6,FALSE)),N90),IF(LEFT(N90,1)="W",IFERROR(IF(INDEX($J$2:$J$89,MATCH(VALUE(MID(N90,2,3)),$A$2:$A$89,0))="",N90,INDEX($J$2:$J$89,MATCH(VALUE(MID(N90,2,3)),$A$2:$A$89,0))),N90),IF(LEFT(N90,1)="L",IFERROR(IF(INDEX($J$2:$J$89,MATCH(VALUE(MID(N90,2,3)),$A$2:$A$89,0))=INDEX($F$2:$F$89,MATCH(VALUE(MID(N90,2,3)),$A$2:$A$89,0)),INDEX($G$2:$G$89,MATCH(VALUE(MID(N90,2,3)),$A$2:$A$89,0)),IF(INDEX($J$2:$J$89,MATCH(VALUE(MID(N90,2,3)),$A$2:$A$89,0))=INDEX($G$2:$G$89,MATCH(VALUE(MID(N90,2,3)),$A$2:$A$89,0)),INDEX($F$2:$F$89,MATCH(VALUE(MID(N90,2,3)),$A$2:$A$89,0)),N90)),N90),IFERROR(IF(VLOOKUP(RIGHT(N90,1)&amp;LEFT(N90,1),Clasificacion!$O$2:$Q$49,2,FALSE)="",N90,VLOOKUP(RIGHT(N90,1)&amp;LEFT(N90,1),Clasificacion!$O$2:$Q$49,2,FALSE)),N90)))))</f>
        <v>W74</v>
      </c>
      <c r="G90" t="str">
        <f>IF(O90="","",IF(LEFT(O90,1)="3",IFERROR(IF(VLOOKUP($A90&amp;"V",Asignacion_3ros!$A$2:$G$9,6,FALSE)="",O90,VLOOKUP($A90&amp;"V",Asignacion_3ros!$A$2:$G$9,6,FALSE)),O90),IF(LEFT(O90,1)="W",IFERROR(IF(INDEX($J$2:$J$89,MATCH(VALUE(MID(O90,2,3)),$A$2:$A$89,0))="",O90,INDEX($J$2:$J$89,MATCH(VALUE(MID(O90,2,3)),$A$2:$A$89,0))),O90),IF(LEFT(O90,1)="L",IFERROR(IF(INDEX($J$2:$J$89,MATCH(VALUE(MID(O90,2,3)),$A$2:$A$89,0))=INDEX($F$2:$F$89,MATCH(VALUE(MID(O90,2,3)),$A$2:$A$89,0)),INDEX($G$2:$G$89,MATCH(VALUE(MID(O90,2,3)),$A$2:$A$89,0)),IF(INDEX($J$2:$J$89,MATCH(VALUE(MID(O90,2,3)),$A$2:$A$89,0))=INDEX($G$2:$G$89,MATCH(VALUE(MID(O90,2,3)),$A$2:$A$89,0)),INDEX($F$2:$F$89,MATCH(VALUE(MID(O90,2,3)),$A$2:$A$89,0)),O90)),O90),IFERROR(IF(VLOOKUP(RIGHT(O90,1)&amp;LEFT(O90,1),Clasificacion!$O$2:$Q$49,2,FALSE)="",O90,VLOOKUP(RIGHT(O90,1)&amp;LEFT(O90,1),Clasificacion!$O$2:$Q$49,2,FALSE)),O90)))))</f>
        <v>W77</v>
      </c>
      <c r="J90" t="str">
        <f t="shared" si="2"/>
        <v/>
      </c>
      <c r="K90" t="s">
        <v>280</v>
      </c>
      <c r="L90" t="str">
        <f>IF(N90="","",IF(LEFT(N90,1)="3",IFERROR(IF(VLOOKUP($A90&amp;"L",Asignacion_3ros!$A$2:$G$9,7,FALSE)="",N90,VLOOKUP($A90&amp;"L",Asignacion_3ros!$A$2:$G$9,7,FALSE)),N90),IF(LEFT(N90,1)="W",IFERROR(IF(INDEX($J$2:$J$89,MATCH(VALUE(MID(N90,2,3)),$A$2:$A$89,0))=INDEX($F$2:$F$89,MATCH(VALUE(MID(N90,2,3)),$A$2:$A$89,0)),INDEX($L$2:$L$89,MATCH(VALUE(MID(N90,2,3)),$A$2:$A$89,0)),IF(INDEX($J$2:$J$89,MATCH(VALUE(MID(N90,2,3)),$A$2:$A$89,0))=INDEX($G$2:$G$89,MATCH(VALUE(MID(N90,2,3)),$A$2:$A$89,0)),INDEX($M$2:$M$89,MATCH(VALUE(MID(N90,2,3)),$A$2:$A$89,0)),N90)),N90),IF(LEFT(N90,1)="L",IFERROR(IF(INDEX($J$2:$J$89,MATCH(VALUE(MID(N90,2,3)),$A$2:$A$89,0))=INDEX($F$2:$F$89,MATCH(VALUE(MID(N90,2,3)),$A$2:$A$89,0)),INDEX($M$2:$M$89,MATCH(VALUE(MID(N90,2,3)),$A$2:$A$89,0)),IF(INDEX($J$2:$J$89,MATCH(VALUE(MID(N90,2,3)),$A$2:$A$89,0))=INDEX($G$2:$G$89,MATCH(VALUE(MID(N90,2,3)),$A$2:$A$89,0)),INDEX($L$2:$L$89,MATCH(VALUE(MID(N90,2,3)),$A$2:$A$89,0)),N90)),N90),IFERROR(IF(VLOOKUP(RIGHT(N90,1)&amp;LEFT(N90,1),Clasificacion!$O$2:$Q$49,3,FALSE)="",N90,VLOOKUP(RIGHT(N90,1)&amp;LEFT(N90,1),Clasificacion!$O$2:$Q$49,3,FALSE)),N90)))))</f>
        <v>W74</v>
      </c>
      <c r="M90" t="str">
        <f>IF(O90="","",IF(LEFT(O90,1)="3",IFERROR(IF(VLOOKUP($A90&amp;"V",Asignacion_3ros!$A$2:$G$9,7,FALSE)="",O90,VLOOKUP($A90&amp;"V",Asignacion_3ros!$A$2:$G$9,7,FALSE)),O90),IF(LEFT(O90,1)="W",IFERROR(IF(INDEX($J$2:$J$89,MATCH(VALUE(MID(O90,2,3)),$A$2:$A$89,0))=INDEX($F$2:$F$89,MATCH(VALUE(MID(O90,2,3)),$A$2:$A$89,0)),INDEX($L$2:$L$89,MATCH(VALUE(MID(O90,2,3)),$A$2:$A$89,0)),IF(INDEX($J$2:$J$89,MATCH(VALUE(MID(O90,2,3)),$A$2:$A$89,0))=INDEX($G$2:$G$89,MATCH(VALUE(MID(O90,2,3)),$A$2:$A$89,0)),INDEX($M$2:$M$89,MATCH(VALUE(MID(O90,2,3)),$A$2:$A$89,0)),O90)),O90),IF(LEFT(O90,1)="L",IFERROR(IF(INDEX($J$2:$J$89,MATCH(VALUE(MID(O90,2,3)),$A$2:$A$89,0))=INDEX($F$2:$F$89,MATCH(VALUE(MID(O90,2,3)),$A$2:$A$89,0)),INDEX($M$2:$M$89,MATCH(VALUE(MID(O90,2,3)),$A$2:$A$89,0)),IF(INDEX($J$2:$J$89,MATCH(VALUE(MID(O90,2,3)),$A$2:$A$89,0))=INDEX($G$2:$G$89,MATCH(VALUE(MID(O90,2,3)),$A$2:$A$89,0)),INDEX($L$2:$L$89,MATCH(VALUE(MID(O90,2,3)),$A$2:$A$89,0)),O90)),O90),IFERROR(IF(VLOOKUP(RIGHT(O90,1)&amp;LEFT(O90,1),Clasificacion!$O$2:$Q$49,3,FALSE)="",O90,VLOOKUP(RIGHT(O90,1)&amp;LEFT(O90,1),Clasificacion!$O$2:$Q$49,3,FALSE)),O90)))))</f>
        <v>W77</v>
      </c>
      <c r="N90" t="s">
        <v>333</v>
      </c>
      <c r="O90" t="s">
        <v>334</v>
      </c>
      <c r="P90" t="s">
        <v>266</v>
      </c>
    </row>
    <row r="91" spans="1:16">
      <c r="A91">
        <v>90</v>
      </c>
      <c r="B91">
        <v>46207</v>
      </c>
      <c r="C91" t="s">
        <v>281</v>
      </c>
      <c r="D91" t="s">
        <v>332</v>
      </c>
      <c r="F91" t="str">
        <f>IF(N91="","",IF(LEFT(N91,1)="3",IFERROR(IF(VLOOKUP($A91&amp;"L",Asignacion_3ros!$A$2:$G$9,6,FALSE)="",N91,VLOOKUP($A91&amp;"L",Asignacion_3ros!$A$2:$G$9,6,FALSE)),N91),IF(LEFT(N91,1)="W",IFERROR(IF(INDEX($J$2:$J$90,MATCH(VALUE(MID(N91,2,3)),$A$2:$A$90,0))="",N91,INDEX($J$2:$J$90,MATCH(VALUE(MID(N91,2,3)),$A$2:$A$90,0))),N91),IF(LEFT(N91,1)="L",IFERROR(IF(INDEX($J$2:$J$90,MATCH(VALUE(MID(N91,2,3)),$A$2:$A$90,0))=INDEX($F$2:$F$90,MATCH(VALUE(MID(N91,2,3)),$A$2:$A$90,0)),INDEX($G$2:$G$90,MATCH(VALUE(MID(N91,2,3)),$A$2:$A$90,0)),IF(INDEX($J$2:$J$90,MATCH(VALUE(MID(N91,2,3)),$A$2:$A$90,0))=INDEX($G$2:$G$90,MATCH(VALUE(MID(N91,2,3)),$A$2:$A$90,0)),INDEX($F$2:$F$90,MATCH(VALUE(MID(N91,2,3)),$A$2:$A$90,0)),N91)),N91),IFERROR(IF(VLOOKUP(RIGHT(N91,1)&amp;LEFT(N91,1),Clasificacion!$O$2:$Q$49,2,FALSE)="",N91,VLOOKUP(RIGHT(N91,1)&amp;LEFT(N91,1),Clasificacion!$O$2:$Q$49,2,FALSE)),N91)))))</f>
        <v>W73</v>
      </c>
      <c r="G91" t="str">
        <f>IF(O91="","",IF(LEFT(O91,1)="3",IFERROR(IF(VLOOKUP($A91&amp;"V",Asignacion_3ros!$A$2:$G$9,6,FALSE)="",O91,VLOOKUP($A91&amp;"V",Asignacion_3ros!$A$2:$G$9,6,FALSE)),O91),IF(LEFT(O91,1)="W",IFERROR(IF(INDEX($J$2:$J$90,MATCH(VALUE(MID(O91,2,3)),$A$2:$A$90,0))="",O91,INDEX($J$2:$J$90,MATCH(VALUE(MID(O91,2,3)),$A$2:$A$90,0))),O91),IF(LEFT(O91,1)="L",IFERROR(IF(INDEX($J$2:$J$90,MATCH(VALUE(MID(O91,2,3)),$A$2:$A$90,0))=INDEX($F$2:$F$90,MATCH(VALUE(MID(O91,2,3)),$A$2:$A$90,0)),INDEX($G$2:$G$90,MATCH(VALUE(MID(O91,2,3)),$A$2:$A$90,0)),IF(INDEX($J$2:$J$90,MATCH(VALUE(MID(O91,2,3)),$A$2:$A$90,0))=INDEX($G$2:$G$90,MATCH(VALUE(MID(O91,2,3)),$A$2:$A$90,0)),INDEX($F$2:$F$90,MATCH(VALUE(MID(O91,2,3)),$A$2:$A$90,0)),O91)),O91),IFERROR(IF(VLOOKUP(RIGHT(O91,1)&amp;LEFT(O91,1),Clasificacion!$O$2:$Q$49,2,FALSE)="",O91,VLOOKUP(RIGHT(O91,1)&amp;LEFT(O91,1),Clasificacion!$O$2:$Q$49,2,FALSE)),O91)))))</f>
        <v>W75</v>
      </c>
      <c r="J91" t="str">
        <f t="shared" si="2"/>
        <v/>
      </c>
      <c r="K91" t="s">
        <v>282</v>
      </c>
      <c r="L91" t="str">
        <f>IF(N91="","",IF(LEFT(N91,1)="3",IFERROR(IF(VLOOKUP($A91&amp;"L",Asignacion_3ros!$A$2:$G$9,7,FALSE)="",N91,VLOOKUP($A91&amp;"L",Asignacion_3ros!$A$2:$G$9,7,FALSE)),N91),IF(LEFT(N91,1)="W",IFERROR(IF(INDEX($J$2:$J$90,MATCH(VALUE(MID(N91,2,3)),$A$2:$A$90,0))=INDEX($F$2:$F$90,MATCH(VALUE(MID(N91,2,3)),$A$2:$A$90,0)),INDEX($L$2:$L$90,MATCH(VALUE(MID(N91,2,3)),$A$2:$A$90,0)),IF(INDEX($J$2:$J$90,MATCH(VALUE(MID(N91,2,3)),$A$2:$A$90,0))=INDEX($G$2:$G$90,MATCH(VALUE(MID(N91,2,3)),$A$2:$A$90,0)),INDEX($M$2:$M$90,MATCH(VALUE(MID(N91,2,3)),$A$2:$A$90,0)),N91)),N91),IF(LEFT(N91,1)="L",IFERROR(IF(INDEX($J$2:$J$90,MATCH(VALUE(MID(N91,2,3)),$A$2:$A$90,0))=INDEX($F$2:$F$90,MATCH(VALUE(MID(N91,2,3)),$A$2:$A$90,0)),INDEX($M$2:$M$90,MATCH(VALUE(MID(N91,2,3)),$A$2:$A$90,0)),IF(INDEX($J$2:$J$90,MATCH(VALUE(MID(N91,2,3)),$A$2:$A$90,0))=INDEX($G$2:$G$90,MATCH(VALUE(MID(N91,2,3)),$A$2:$A$90,0)),INDEX($L$2:$L$90,MATCH(VALUE(MID(N91,2,3)),$A$2:$A$90,0)),N91)),N91),IFERROR(IF(VLOOKUP(RIGHT(N91,1)&amp;LEFT(N91,1),Clasificacion!$O$2:$Q$49,3,FALSE)="",N91,VLOOKUP(RIGHT(N91,1)&amp;LEFT(N91,1),Clasificacion!$O$2:$Q$49,3,FALSE)),N91)))))</f>
        <v>W73</v>
      </c>
      <c r="M91" t="str">
        <f>IF(O91="","",IF(LEFT(O91,1)="3",IFERROR(IF(VLOOKUP($A91&amp;"V",Asignacion_3ros!$A$2:$G$9,7,FALSE)="",O91,VLOOKUP($A91&amp;"V",Asignacion_3ros!$A$2:$G$9,7,FALSE)),O91),IF(LEFT(O91,1)="W",IFERROR(IF(INDEX($J$2:$J$90,MATCH(VALUE(MID(O91,2,3)),$A$2:$A$90,0))=INDEX($F$2:$F$90,MATCH(VALUE(MID(O91,2,3)),$A$2:$A$90,0)),INDEX($L$2:$L$90,MATCH(VALUE(MID(O91,2,3)),$A$2:$A$90,0)),IF(INDEX($J$2:$J$90,MATCH(VALUE(MID(O91,2,3)),$A$2:$A$90,0))=INDEX($G$2:$G$90,MATCH(VALUE(MID(O91,2,3)),$A$2:$A$90,0)),INDEX($M$2:$M$90,MATCH(VALUE(MID(O91,2,3)),$A$2:$A$90,0)),O91)),O91),IF(LEFT(O91,1)="L",IFERROR(IF(INDEX($J$2:$J$90,MATCH(VALUE(MID(O91,2,3)),$A$2:$A$90,0))=INDEX($F$2:$F$90,MATCH(VALUE(MID(O91,2,3)),$A$2:$A$90,0)),INDEX($M$2:$M$90,MATCH(VALUE(MID(O91,2,3)),$A$2:$A$90,0)),IF(INDEX($J$2:$J$90,MATCH(VALUE(MID(O91,2,3)),$A$2:$A$90,0))=INDEX($G$2:$G$90,MATCH(VALUE(MID(O91,2,3)),$A$2:$A$90,0)),INDEX($L$2:$L$90,MATCH(VALUE(MID(O91,2,3)),$A$2:$A$90,0)),O91)),O91),IFERROR(IF(VLOOKUP(RIGHT(O91,1)&amp;LEFT(O91,1),Clasificacion!$O$2:$Q$49,3,FALSE)="",O91,VLOOKUP(RIGHT(O91,1)&amp;LEFT(O91,1),Clasificacion!$O$2:$Q$49,3,FALSE)),O91)))))</f>
        <v>W75</v>
      </c>
      <c r="N91" t="s">
        <v>335</v>
      </c>
      <c r="O91" t="s">
        <v>336</v>
      </c>
      <c r="P91" t="s">
        <v>266</v>
      </c>
    </row>
    <row r="92" spans="1:16">
      <c r="A92">
        <v>91</v>
      </c>
      <c r="B92">
        <v>46208</v>
      </c>
      <c r="C92" t="s">
        <v>283</v>
      </c>
      <c r="D92" t="s">
        <v>332</v>
      </c>
      <c r="F92" t="str">
        <f>IF(N92="","",IF(LEFT(N92,1)="3",IFERROR(IF(VLOOKUP($A92&amp;"L",Asignacion_3ros!$A$2:$G$9,6,FALSE)="",N92,VLOOKUP($A92&amp;"L",Asignacion_3ros!$A$2:$G$9,6,FALSE)),N92),IF(LEFT(N92,1)="W",IFERROR(IF(INDEX($J$2:$J$91,MATCH(VALUE(MID(N92,2,3)),$A$2:$A$91,0))="",N92,INDEX($J$2:$J$91,MATCH(VALUE(MID(N92,2,3)),$A$2:$A$91,0))),N92),IF(LEFT(N92,1)="L",IFERROR(IF(INDEX($J$2:$J$91,MATCH(VALUE(MID(N92,2,3)),$A$2:$A$91,0))=INDEX($F$2:$F$91,MATCH(VALUE(MID(N92,2,3)),$A$2:$A$91,0)),INDEX($G$2:$G$91,MATCH(VALUE(MID(N92,2,3)),$A$2:$A$91,0)),IF(INDEX($J$2:$J$91,MATCH(VALUE(MID(N92,2,3)),$A$2:$A$91,0))=INDEX($G$2:$G$91,MATCH(VALUE(MID(N92,2,3)),$A$2:$A$91,0)),INDEX($F$2:$F$91,MATCH(VALUE(MID(N92,2,3)),$A$2:$A$91,0)),N92)),N92),IFERROR(IF(VLOOKUP(RIGHT(N92,1)&amp;LEFT(N92,1),Clasificacion!$O$2:$Q$49,2,FALSE)="",N92,VLOOKUP(RIGHT(N92,1)&amp;LEFT(N92,1),Clasificacion!$O$2:$Q$49,2,FALSE)),N92)))))</f>
        <v>W76</v>
      </c>
      <c r="G92" t="str">
        <f>IF(O92="","",IF(LEFT(O92,1)="3",IFERROR(IF(VLOOKUP($A92&amp;"V",Asignacion_3ros!$A$2:$G$9,6,FALSE)="",O92,VLOOKUP($A92&amp;"V",Asignacion_3ros!$A$2:$G$9,6,FALSE)),O92),IF(LEFT(O92,1)="W",IFERROR(IF(INDEX($J$2:$J$91,MATCH(VALUE(MID(O92,2,3)),$A$2:$A$91,0))="",O92,INDEX($J$2:$J$91,MATCH(VALUE(MID(O92,2,3)),$A$2:$A$91,0))),O92),IF(LEFT(O92,1)="L",IFERROR(IF(INDEX($J$2:$J$91,MATCH(VALUE(MID(O92,2,3)),$A$2:$A$91,0))=INDEX($F$2:$F$91,MATCH(VALUE(MID(O92,2,3)),$A$2:$A$91,0)),INDEX($G$2:$G$91,MATCH(VALUE(MID(O92,2,3)),$A$2:$A$91,0)),IF(INDEX($J$2:$J$91,MATCH(VALUE(MID(O92,2,3)),$A$2:$A$91,0))=INDEX($G$2:$G$91,MATCH(VALUE(MID(O92,2,3)),$A$2:$A$91,0)),INDEX($F$2:$F$91,MATCH(VALUE(MID(O92,2,3)),$A$2:$A$91,0)),O92)),O92),IFERROR(IF(VLOOKUP(RIGHT(O92,1)&amp;LEFT(O92,1),Clasificacion!$O$2:$Q$49,2,FALSE)="",O92,VLOOKUP(RIGHT(O92,1)&amp;LEFT(O92,1),Clasificacion!$O$2:$Q$49,2,FALSE)),O92)))))</f>
        <v>W78</v>
      </c>
      <c r="J92" t="str">
        <f t="shared" si="2"/>
        <v/>
      </c>
      <c r="K92" t="s">
        <v>277</v>
      </c>
      <c r="L92" t="str">
        <f>IF(N92="","",IF(LEFT(N92,1)="3",IFERROR(IF(VLOOKUP($A92&amp;"L",Asignacion_3ros!$A$2:$G$9,7,FALSE)="",N92,VLOOKUP($A92&amp;"L",Asignacion_3ros!$A$2:$G$9,7,FALSE)),N92),IF(LEFT(N92,1)="W",IFERROR(IF(INDEX($J$2:$J$91,MATCH(VALUE(MID(N92,2,3)),$A$2:$A$91,0))=INDEX($F$2:$F$91,MATCH(VALUE(MID(N92,2,3)),$A$2:$A$91,0)),INDEX($L$2:$L$91,MATCH(VALUE(MID(N92,2,3)),$A$2:$A$91,0)),IF(INDEX($J$2:$J$91,MATCH(VALUE(MID(N92,2,3)),$A$2:$A$91,0))=INDEX($G$2:$G$91,MATCH(VALUE(MID(N92,2,3)),$A$2:$A$91,0)),INDEX($M$2:$M$91,MATCH(VALUE(MID(N92,2,3)),$A$2:$A$91,0)),N92)),N92),IF(LEFT(N92,1)="L",IFERROR(IF(INDEX($J$2:$J$91,MATCH(VALUE(MID(N92,2,3)),$A$2:$A$91,0))=INDEX($F$2:$F$91,MATCH(VALUE(MID(N92,2,3)),$A$2:$A$91,0)),INDEX($M$2:$M$91,MATCH(VALUE(MID(N92,2,3)),$A$2:$A$91,0)),IF(INDEX($J$2:$J$91,MATCH(VALUE(MID(N92,2,3)),$A$2:$A$91,0))=INDEX($G$2:$G$91,MATCH(VALUE(MID(N92,2,3)),$A$2:$A$91,0)),INDEX($L$2:$L$91,MATCH(VALUE(MID(N92,2,3)),$A$2:$A$91,0)),N92)),N92),IFERROR(IF(VLOOKUP(RIGHT(N92,1)&amp;LEFT(N92,1),Clasificacion!$O$2:$Q$49,3,FALSE)="",N92,VLOOKUP(RIGHT(N92,1)&amp;LEFT(N92,1),Clasificacion!$O$2:$Q$49,3,FALSE)),N92)))))</f>
        <v>W76</v>
      </c>
      <c r="M92" t="str">
        <f>IF(O92="","",IF(LEFT(O92,1)="3",IFERROR(IF(VLOOKUP($A92&amp;"V",Asignacion_3ros!$A$2:$G$9,7,FALSE)="",O92,VLOOKUP($A92&amp;"V",Asignacion_3ros!$A$2:$G$9,7,FALSE)),O92),IF(LEFT(O92,1)="W",IFERROR(IF(INDEX($J$2:$J$91,MATCH(VALUE(MID(O92,2,3)),$A$2:$A$91,0))=INDEX($F$2:$F$91,MATCH(VALUE(MID(O92,2,3)),$A$2:$A$91,0)),INDEX($L$2:$L$91,MATCH(VALUE(MID(O92,2,3)),$A$2:$A$91,0)),IF(INDEX($J$2:$J$91,MATCH(VALUE(MID(O92,2,3)),$A$2:$A$91,0))=INDEX($G$2:$G$91,MATCH(VALUE(MID(O92,2,3)),$A$2:$A$91,0)),INDEX($M$2:$M$91,MATCH(VALUE(MID(O92,2,3)),$A$2:$A$91,0)),O92)),O92),IF(LEFT(O92,1)="L",IFERROR(IF(INDEX($J$2:$J$91,MATCH(VALUE(MID(O92,2,3)),$A$2:$A$91,0))=INDEX($F$2:$F$91,MATCH(VALUE(MID(O92,2,3)),$A$2:$A$91,0)),INDEX($M$2:$M$91,MATCH(VALUE(MID(O92,2,3)),$A$2:$A$91,0)),IF(INDEX($J$2:$J$91,MATCH(VALUE(MID(O92,2,3)),$A$2:$A$91,0))=INDEX($G$2:$G$91,MATCH(VALUE(MID(O92,2,3)),$A$2:$A$91,0)),INDEX($L$2:$L$91,MATCH(VALUE(MID(O92,2,3)),$A$2:$A$91,0)),O92)),O92),IFERROR(IF(VLOOKUP(RIGHT(O92,1)&amp;LEFT(O92,1),Clasificacion!$O$2:$Q$49,3,FALSE)="",O92,VLOOKUP(RIGHT(O92,1)&amp;LEFT(O92,1),Clasificacion!$O$2:$Q$49,3,FALSE)),O92)))))</f>
        <v>W78</v>
      </c>
      <c r="N92" t="s">
        <v>337</v>
      </c>
      <c r="O92" t="s">
        <v>338</v>
      </c>
      <c r="P92" t="s">
        <v>266</v>
      </c>
    </row>
    <row r="93" spans="1:16">
      <c r="A93">
        <v>92</v>
      </c>
      <c r="B93">
        <v>46208</v>
      </c>
      <c r="C93" t="s">
        <v>293</v>
      </c>
      <c r="D93" t="s">
        <v>332</v>
      </c>
      <c r="F93" t="str">
        <f>IF(N93="","",IF(LEFT(N93,1)="3",IFERROR(IF(VLOOKUP($A93&amp;"L",Asignacion_3ros!$A$2:$G$9,6,FALSE)="",N93,VLOOKUP($A93&amp;"L",Asignacion_3ros!$A$2:$G$9,6,FALSE)),N93),IF(LEFT(N93,1)="W",IFERROR(IF(INDEX($J$2:$J$92,MATCH(VALUE(MID(N93,2,3)),$A$2:$A$92,0))="",N93,INDEX($J$2:$J$92,MATCH(VALUE(MID(N93,2,3)),$A$2:$A$92,0))),N93),IF(LEFT(N93,1)="L",IFERROR(IF(INDEX($J$2:$J$92,MATCH(VALUE(MID(N93,2,3)),$A$2:$A$92,0))=INDEX($F$2:$F$92,MATCH(VALUE(MID(N93,2,3)),$A$2:$A$92,0)),INDEX($G$2:$G$92,MATCH(VALUE(MID(N93,2,3)),$A$2:$A$92,0)),IF(INDEX($J$2:$J$92,MATCH(VALUE(MID(N93,2,3)),$A$2:$A$92,0))=INDEX($G$2:$G$92,MATCH(VALUE(MID(N93,2,3)),$A$2:$A$92,0)),INDEX($F$2:$F$92,MATCH(VALUE(MID(N93,2,3)),$A$2:$A$92,0)),N93)),N93),IFERROR(IF(VLOOKUP(RIGHT(N93,1)&amp;LEFT(N93,1),Clasificacion!$O$2:$Q$49,2,FALSE)="",N93,VLOOKUP(RIGHT(N93,1)&amp;LEFT(N93,1),Clasificacion!$O$2:$Q$49,2,FALSE)),N93)))))</f>
        <v>W79</v>
      </c>
      <c r="G93" t="str">
        <f>IF(O93="","",IF(LEFT(O93,1)="3",IFERROR(IF(VLOOKUP($A93&amp;"V",Asignacion_3ros!$A$2:$G$9,6,FALSE)="",O93,VLOOKUP($A93&amp;"V",Asignacion_3ros!$A$2:$G$9,6,FALSE)),O93),IF(LEFT(O93,1)="W",IFERROR(IF(INDEX($J$2:$J$92,MATCH(VALUE(MID(O93,2,3)),$A$2:$A$92,0))="",O93,INDEX($J$2:$J$92,MATCH(VALUE(MID(O93,2,3)),$A$2:$A$92,0))),O93),IF(LEFT(O93,1)="L",IFERROR(IF(INDEX($J$2:$J$92,MATCH(VALUE(MID(O93,2,3)),$A$2:$A$92,0))=INDEX($F$2:$F$92,MATCH(VALUE(MID(O93,2,3)),$A$2:$A$92,0)),INDEX($G$2:$G$92,MATCH(VALUE(MID(O93,2,3)),$A$2:$A$92,0)),IF(INDEX($J$2:$J$92,MATCH(VALUE(MID(O93,2,3)),$A$2:$A$92,0))=INDEX($G$2:$G$92,MATCH(VALUE(MID(O93,2,3)),$A$2:$A$92,0)),INDEX($F$2:$F$92,MATCH(VALUE(MID(O93,2,3)),$A$2:$A$92,0)),O93)),O93),IFERROR(IF(VLOOKUP(RIGHT(O93,1)&amp;LEFT(O93,1),Clasificacion!$O$2:$Q$49,2,FALSE)="",O93,VLOOKUP(RIGHT(O93,1)&amp;LEFT(O93,1),Clasificacion!$O$2:$Q$49,2,FALSE)),O93)))))</f>
        <v>W80</v>
      </c>
      <c r="J93" t="str">
        <f t="shared" si="2"/>
        <v/>
      </c>
      <c r="K93" t="s">
        <v>265</v>
      </c>
      <c r="L93" t="str">
        <f>IF(N93="","",IF(LEFT(N93,1)="3",IFERROR(IF(VLOOKUP($A93&amp;"L",Asignacion_3ros!$A$2:$G$9,7,FALSE)="",N93,VLOOKUP($A93&amp;"L",Asignacion_3ros!$A$2:$G$9,7,FALSE)),N93),IF(LEFT(N93,1)="W",IFERROR(IF(INDEX($J$2:$J$92,MATCH(VALUE(MID(N93,2,3)),$A$2:$A$92,0))=INDEX($F$2:$F$92,MATCH(VALUE(MID(N93,2,3)),$A$2:$A$92,0)),INDEX($L$2:$L$92,MATCH(VALUE(MID(N93,2,3)),$A$2:$A$92,0)),IF(INDEX($J$2:$J$92,MATCH(VALUE(MID(N93,2,3)),$A$2:$A$92,0))=INDEX($G$2:$G$92,MATCH(VALUE(MID(N93,2,3)),$A$2:$A$92,0)),INDEX($M$2:$M$92,MATCH(VALUE(MID(N93,2,3)),$A$2:$A$92,0)),N93)),N93),IF(LEFT(N93,1)="L",IFERROR(IF(INDEX($J$2:$J$92,MATCH(VALUE(MID(N93,2,3)),$A$2:$A$92,0))=INDEX($F$2:$F$92,MATCH(VALUE(MID(N93,2,3)),$A$2:$A$92,0)),INDEX($M$2:$M$92,MATCH(VALUE(MID(N93,2,3)),$A$2:$A$92,0)),IF(INDEX($J$2:$J$92,MATCH(VALUE(MID(N93,2,3)),$A$2:$A$92,0))=INDEX($G$2:$G$92,MATCH(VALUE(MID(N93,2,3)),$A$2:$A$92,0)),INDEX($L$2:$L$92,MATCH(VALUE(MID(N93,2,3)),$A$2:$A$92,0)),N93)),N93),IFERROR(IF(VLOOKUP(RIGHT(N93,1)&amp;LEFT(N93,1),Clasificacion!$O$2:$Q$49,3,FALSE)="",N93,VLOOKUP(RIGHT(N93,1)&amp;LEFT(N93,1),Clasificacion!$O$2:$Q$49,3,FALSE)),N93)))))</f>
        <v>W79</v>
      </c>
      <c r="M93" t="str">
        <f>IF(O93="","",IF(LEFT(O93,1)="3",IFERROR(IF(VLOOKUP($A93&amp;"V",Asignacion_3ros!$A$2:$G$9,7,FALSE)="",O93,VLOOKUP($A93&amp;"V",Asignacion_3ros!$A$2:$G$9,7,FALSE)),O93),IF(LEFT(O93,1)="W",IFERROR(IF(INDEX($J$2:$J$92,MATCH(VALUE(MID(O93,2,3)),$A$2:$A$92,0))=INDEX($F$2:$F$92,MATCH(VALUE(MID(O93,2,3)),$A$2:$A$92,0)),INDEX($L$2:$L$92,MATCH(VALUE(MID(O93,2,3)),$A$2:$A$92,0)),IF(INDEX($J$2:$J$92,MATCH(VALUE(MID(O93,2,3)),$A$2:$A$92,0))=INDEX($G$2:$G$92,MATCH(VALUE(MID(O93,2,3)),$A$2:$A$92,0)),INDEX($M$2:$M$92,MATCH(VALUE(MID(O93,2,3)),$A$2:$A$92,0)),O93)),O93),IF(LEFT(O93,1)="L",IFERROR(IF(INDEX($J$2:$J$92,MATCH(VALUE(MID(O93,2,3)),$A$2:$A$92,0))=INDEX($F$2:$F$92,MATCH(VALUE(MID(O93,2,3)),$A$2:$A$92,0)),INDEX($M$2:$M$92,MATCH(VALUE(MID(O93,2,3)),$A$2:$A$92,0)),IF(INDEX($J$2:$J$92,MATCH(VALUE(MID(O93,2,3)),$A$2:$A$92,0))=INDEX($G$2:$G$92,MATCH(VALUE(MID(O93,2,3)),$A$2:$A$92,0)),INDEX($L$2:$L$92,MATCH(VALUE(MID(O93,2,3)),$A$2:$A$92,0)),O93)),O93),IFERROR(IF(VLOOKUP(RIGHT(O93,1)&amp;LEFT(O93,1),Clasificacion!$O$2:$Q$49,3,FALSE)="",O93,VLOOKUP(RIGHT(O93,1)&amp;LEFT(O93,1),Clasificacion!$O$2:$Q$49,3,FALSE)),O93)))))</f>
        <v>W80</v>
      </c>
      <c r="N93" t="s">
        <v>339</v>
      </c>
      <c r="O93" t="s">
        <v>340</v>
      </c>
      <c r="P93" t="s">
        <v>266</v>
      </c>
    </row>
    <row r="94" spans="1:16">
      <c r="A94">
        <v>93</v>
      </c>
      <c r="B94">
        <v>46209</v>
      </c>
      <c r="C94" t="s">
        <v>264</v>
      </c>
      <c r="D94" t="s">
        <v>332</v>
      </c>
      <c r="F94" t="str">
        <f>IF(N94="","",IF(LEFT(N94,1)="3",IFERROR(IF(VLOOKUP($A94&amp;"L",Asignacion_3ros!$A$2:$G$9,6,FALSE)="",N94,VLOOKUP($A94&amp;"L",Asignacion_3ros!$A$2:$G$9,6,FALSE)),N94),IF(LEFT(N94,1)="W",IFERROR(IF(INDEX($J$2:$J$93,MATCH(VALUE(MID(N94,2,3)),$A$2:$A$93,0))="",N94,INDEX($J$2:$J$93,MATCH(VALUE(MID(N94,2,3)),$A$2:$A$93,0))),N94),IF(LEFT(N94,1)="L",IFERROR(IF(INDEX($J$2:$J$93,MATCH(VALUE(MID(N94,2,3)),$A$2:$A$93,0))=INDEX($F$2:$F$93,MATCH(VALUE(MID(N94,2,3)),$A$2:$A$93,0)),INDEX($G$2:$G$93,MATCH(VALUE(MID(N94,2,3)),$A$2:$A$93,0)),IF(INDEX($J$2:$J$93,MATCH(VALUE(MID(N94,2,3)),$A$2:$A$93,0))=INDEX($G$2:$G$93,MATCH(VALUE(MID(N94,2,3)),$A$2:$A$93,0)),INDEX($F$2:$F$93,MATCH(VALUE(MID(N94,2,3)),$A$2:$A$93,0)),N94)),N94),IFERROR(IF(VLOOKUP(RIGHT(N94,1)&amp;LEFT(N94,1),Clasificacion!$O$2:$Q$49,2,FALSE)="",N94,VLOOKUP(RIGHT(N94,1)&amp;LEFT(N94,1),Clasificacion!$O$2:$Q$49,2,FALSE)),N94)))))</f>
        <v>W83</v>
      </c>
      <c r="G94" t="str">
        <f>IF(O94="","",IF(LEFT(O94,1)="3",IFERROR(IF(VLOOKUP($A94&amp;"V",Asignacion_3ros!$A$2:$G$9,6,FALSE)="",O94,VLOOKUP($A94&amp;"V",Asignacion_3ros!$A$2:$G$9,6,FALSE)),O94),IF(LEFT(O94,1)="W",IFERROR(IF(INDEX($J$2:$J$93,MATCH(VALUE(MID(O94,2,3)),$A$2:$A$93,0))="",O94,INDEX($J$2:$J$93,MATCH(VALUE(MID(O94,2,3)),$A$2:$A$93,0))),O94),IF(LEFT(O94,1)="L",IFERROR(IF(INDEX($J$2:$J$93,MATCH(VALUE(MID(O94,2,3)),$A$2:$A$93,0))=INDEX($F$2:$F$93,MATCH(VALUE(MID(O94,2,3)),$A$2:$A$93,0)),INDEX($G$2:$G$93,MATCH(VALUE(MID(O94,2,3)),$A$2:$A$93,0)),IF(INDEX($J$2:$J$93,MATCH(VALUE(MID(O94,2,3)),$A$2:$A$93,0))=INDEX($G$2:$G$93,MATCH(VALUE(MID(O94,2,3)),$A$2:$A$93,0)),INDEX($F$2:$F$93,MATCH(VALUE(MID(O94,2,3)),$A$2:$A$93,0)),O94)),O94),IFERROR(IF(VLOOKUP(RIGHT(O94,1)&amp;LEFT(O94,1),Clasificacion!$O$2:$Q$49,2,FALSE)="",O94,VLOOKUP(RIGHT(O94,1)&amp;LEFT(O94,1),Clasificacion!$O$2:$Q$49,2,FALSE)),O94)))))</f>
        <v>W84</v>
      </c>
      <c r="J94" t="str">
        <f t="shared" si="2"/>
        <v/>
      </c>
      <c r="K94" t="s">
        <v>284</v>
      </c>
      <c r="L94" t="str">
        <f>IF(N94="","",IF(LEFT(N94,1)="3",IFERROR(IF(VLOOKUP($A94&amp;"L",Asignacion_3ros!$A$2:$G$9,7,FALSE)="",N94,VLOOKUP($A94&amp;"L",Asignacion_3ros!$A$2:$G$9,7,FALSE)),N94),IF(LEFT(N94,1)="W",IFERROR(IF(INDEX($J$2:$J$93,MATCH(VALUE(MID(N94,2,3)),$A$2:$A$93,0))=INDEX($F$2:$F$93,MATCH(VALUE(MID(N94,2,3)),$A$2:$A$93,0)),INDEX($L$2:$L$93,MATCH(VALUE(MID(N94,2,3)),$A$2:$A$93,0)),IF(INDEX($J$2:$J$93,MATCH(VALUE(MID(N94,2,3)),$A$2:$A$93,0))=INDEX($G$2:$G$93,MATCH(VALUE(MID(N94,2,3)),$A$2:$A$93,0)),INDEX($M$2:$M$93,MATCH(VALUE(MID(N94,2,3)),$A$2:$A$93,0)),N94)),N94),IF(LEFT(N94,1)="L",IFERROR(IF(INDEX($J$2:$J$93,MATCH(VALUE(MID(N94,2,3)),$A$2:$A$93,0))=INDEX($F$2:$F$93,MATCH(VALUE(MID(N94,2,3)),$A$2:$A$93,0)),INDEX($M$2:$M$93,MATCH(VALUE(MID(N94,2,3)),$A$2:$A$93,0)),IF(INDEX($J$2:$J$93,MATCH(VALUE(MID(N94,2,3)),$A$2:$A$93,0))=INDEX($G$2:$G$93,MATCH(VALUE(MID(N94,2,3)),$A$2:$A$93,0)),INDEX($L$2:$L$93,MATCH(VALUE(MID(N94,2,3)),$A$2:$A$93,0)),N94)),N94),IFERROR(IF(VLOOKUP(RIGHT(N94,1)&amp;LEFT(N94,1),Clasificacion!$O$2:$Q$49,3,FALSE)="",N94,VLOOKUP(RIGHT(N94,1)&amp;LEFT(N94,1),Clasificacion!$O$2:$Q$49,3,FALSE)),N94)))))</f>
        <v>W83</v>
      </c>
      <c r="M94" t="str">
        <f>IF(O94="","",IF(LEFT(O94,1)="3",IFERROR(IF(VLOOKUP($A94&amp;"V",Asignacion_3ros!$A$2:$G$9,7,FALSE)="",O94,VLOOKUP($A94&amp;"V",Asignacion_3ros!$A$2:$G$9,7,FALSE)),O94),IF(LEFT(O94,1)="W",IFERROR(IF(INDEX($J$2:$J$93,MATCH(VALUE(MID(O94,2,3)),$A$2:$A$93,0))=INDEX($F$2:$F$93,MATCH(VALUE(MID(O94,2,3)),$A$2:$A$93,0)),INDEX($L$2:$L$93,MATCH(VALUE(MID(O94,2,3)),$A$2:$A$93,0)),IF(INDEX($J$2:$J$93,MATCH(VALUE(MID(O94,2,3)),$A$2:$A$93,0))=INDEX($G$2:$G$93,MATCH(VALUE(MID(O94,2,3)),$A$2:$A$93,0)),INDEX($M$2:$M$93,MATCH(VALUE(MID(O94,2,3)),$A$2:$A$93,0)),O94)),O94),IF(LEFT(O94,1)="L",IFERROR(IF(INDEX($J$2:$J$93,MATCH(VALUE(MID(O94,2,3)),$A$2:$A$93,0))=INDEX($F$2:$F$93,MATCH(VALUE(MID(O94,2,3)),$A$2:$A$93,0)),INDEX($M$2:$M$93,MATCH(VALUE(MID(O94,2,3)),$A$2:$A$93,0)),IF(INDEX($J$2:$J$93,MATCH(VALUE(MID(O94,2,3)),$A$2:$A$93,0))=INDEX($G$2:$G$93,MATCH(VALUE(MID(O94,2,3)),$A$2:$A$93,0)),INDEX($L$2:$L$93,MATCH(VALUE(MID(O94,2,3)),$A$2:$A$93,0)),O94)),O94),IFERROR(IF(VLOOKUP(RIGHT(O94,1)&amp;LEFT(O94,1),Clasificacion!$O$2:$Q$49,3,FALSE)="",O94,VLOOKUP(RIGHT(O94,1)&amp;LEFT(O94,1),Clasificacion!$O$2:$Q$49,3,FALSE)),O94)))))</f>
        <v>W84</v>
      </c>
      <c r="N94" t="s">
        <v>341</v>
      </c>
      <c r="O94" t="s">
        <v>342</v>
      </c>
      <c r="P94" t="s">
        <v>266</v>
      </c>
    </row>
    <row r="95" spans="1:16">
      <c r="A95">
        <v>94</v>
      </c>
      <c r="B95">
        <v>46209</v>
      </c>
      <c r="C95" t="s">
        <v>293</v>
      </c>
      <c r="D95" t="s">
        <v>332</v>
      </c>
      <c r="F95" t="str">
        <f>IF(N95="","",IF(LEFT(N95,1)="3",IFERROR(IF(VLOOKUP($A95&amp;"L",Asignacion_3ros!$A$2:$G$9,6,FALSE)="",N95,VLOOKUP($A95&amp;"L",Asignacion_3ros!$A$2:$G$9,6,FALSE)),N95),IF(LEFT(N95,1)="W",IFERROR(IF(INDEX($J$2:$J$94,MATCH(VALUE(MID(N95,2,3)),$A$2:$A$94,0))="",N95,INDEX($J$2:$J$94,MATCH(VALUE(MID(N95,2,3)),$A$2:$A$94,0))),N95),IF(LEFT(N95,1)="L",IFERROR(IF(INDEX($J$2:$J$94,MATCH(VALUE(MID(N95,2,3)),$A$2:$A$94,0))=INDEX($F$2:$F$94,MATCH(VALUE(MID(N95,2,3)),$A$2:$A$94,0)),INDEX($G$2:$G$94,MATCH(VALUE(MID(N95,2,3)),$A$2:$A$94,0)),IF(INDEX($J$2:$J$94,MATCH(VALUE(MID(N95,2,3)),$A$2:$A$94,0))=INDEX($G$2:$G$94,MATCH(VALUE(MID(N95,2,3)),$A$2:$A$94,0)),INDEX($F$2:$F$94,MATCH(VALUE(MID(N95,2,3)),$A$2:$A$94,0)),N95)),N95),IFERROR(IF(VLOOKUP(RIGHT(N95,1)&amp;LEFT(N95,1),Clasificacion!$O$2:$Q$49,2,FALSE)="",N95,VLOOKUP(RIGHT(N95,1)&amp;LEFT(N95,1),Clasificacion!$O$2:$Q$49,2,FALSE)),N95)))))</f>
        <v>W81</v>
      </c>
      <c r="G95" t="str">
        <f>IF(O95="","",IF(LEFT(O95,1)="3",IFERROR(IF(VLOOKUP($A95&amp;"V",Asignacion_3ros!$A$2:$G$9,6,FALSE)="",O95,VLOOKUP($A95&amp;"V",Asignacion_3ros!$A$2:$G$9,6,FALSE)),O95),IF(LEFT(O95,1)="W",IFERROR(IF(INDEX($J$2:$J$94,MATCH(VALUE(MID(O95,2,3)),$A$2:$A$94,0))="",O95,INDEX($J$2:$J$94,MATCH(VALUE(MID(O95,2,3)),$A$2:$A$94,0))),O95),IF(LEFT(O95,1)="L",IFERROR(IF(INDEX($J$2:$J$94,MATCH(VALUE(MID(O95,2,3)),$A$2:$A$94,0))=INDEX($F$2:$F$94,MATCH(VALUE(MID(O95,2,3)),$A$2:$A$94,0)),INDEX($G$2:$G$94,MATCH(VALUE(MID(O95,2,3)),$A$2:$A$94,0)),IF(INDEX($J$2:$J$94,MATCH(VALUE(MID(O95,2,3)),$A$2:$A$94,0))=INDEX($G$2:$G$94,MATCH(VALUE(MID(O95,2,3)),$A$2:$A$94,0)),INDEX($F$2:$F$94,MATCH(VALUE(MID(O95,2,3)),$A$2:$A$94,0)),O95)),O95),IFERROR(IF(VLOOKUP(RIGHT(O95,1)&amp;LEFT(O95,1),Clasificacion!$O$2:$Q$49,2,FALSE)="",O95,VLOOKUP(RIGHT(O95,1)&amp;LEFT(O95,1),Clasificacion!$O$2:$Q$49,2,FALSE)),O95)))))</f>
        <v>W82</v>
      </c>
      <c r="J95" t="str">
        <f t="shared" si="2"/>
        <v/>
      </c>
      <c r="K95" t="s">
        <v>289</v>
      </c>
      <c r="L95" t="str">
        <f>IF(N95="","",IF(LEFT(N95,1)="3",IFERROR(IF(VLOOKUP($A95&amp;"L",Asignacion_3ros!$A$2:$G$9,7,FALSE)="",N95,VLOOKUP($A95&amp;"L",Asignacion_3ros!$A$2:$G$9,7,FALSE)),N95),IF(LEFT(N95,1)="W",IFERROR(IF(INDEX($J$2:$J$94,MATCH(VALUE(MID(N95,2,3)),$A$2:$A$94,0))=INDEX($F$2:$F$94,MATCH(VALUE(MID(N95,2,3)),$A$2:$A$94,0)),INDEX($L$2:$L$94,MATCH(VALUE(MID(N95,2,3)),$A$2:$A$94,0)),IF(INDEX($J$2:$J$94,MATCH(VALUE(MID(N95,2,3)),$A$2:$A$94,0))=INDEX($G$2:$G$94,MATCH(VALUE(MID(N95,2,3)),$A$2:$A$94,0)),INDEX($M$2:$M$94,MATCH(VALUE(MID(N95,2,3)),$A$2:$A$94,0)),N95)),N95),IF(LEFT(N95,1)="L",IFERROR(IF(INDEX($J$2:$J$94,MATCH(VALUE(MID(N95,2,3)),$A$2:$A$94,0))=INDEX($F$2:$F$94,MATCH(VALUE(MID(N95,2,3)),$A$2:$A$94,0)),INDEX($M$2:$M$94,MATCH(VALUE(MID(N95,2,3)),$A$2:$A$94,0)),IF(INDEX($J$2:$J$94,MATCH(VALUE(MID(N95,2,3)),$A$2:$A$94,0))=INDEX($G$2:$G$94,MATCH(VALUE(MID(N95,2,3)),$A$2:$A$94,0)),INDEX($L$2:$L$94,MATCH(VALUE(MID(N95,2,3)),$A$2:$A$94,0)),N95)),N95),IFERROR(IF(VLOOKUP(RIGHT(N95,1)&amp;LEFT(N95,1),Clasificacion!$O$2:$Q$49,3,FALSE)="",N95,VLOOKUP(RIGHT(N95,1)&amp;LEFT(N95,1),Clasificacion!$O$2:$Q$49,3,FALSE)),N95)))))</f>
        <v>W81</v>
      </c>
      <c r="M95" t="str">
        <f>IF(O95="","",IF(LEFT(O95,1)="3",IFERROR(IF(VLOOKUP($A95&amp;"V",Asignacion_3ros!$A$2:$G$9,7,FALSE)="",O95,VLOOKUP($A95&amp;"V",Asignacion_3ros!$A$2:$G$9,7,FALSE)),O95),IF(LEFT(O95,1)="W",IFERROR(IF(INDEX($J$2:$J$94,MATCH(VALUE(MID(O95,2,3)),$A$2:$A$94,0))=INDEX($F$2:$F$94,MATCH(VALUE(MID(O95,2,3)),$A$2:$A$94,0)),INDEX($L$2:$L$94,MATCH(VALUE(MID(O95,2,3)),$A$2:$A$94,0)),IF(INDEX($J$2:$J$94,MATCH(VALUE(MID(O95,2,3)),$A$2:$A$94,0))=INDEX($G$2:$G$94,MATCH(VALUE(MID(O95,2,3)),$A$2:$A$94,0)),INDEX($M$2:$M$94,MATCH(VALUE(MID(O95,2,3)),$A$2:$A$94,0)),O95)),O95),IF(LEFT(O95,1)="L",IFERROR(IF(INDEX($J$2:$J$94,MATCH(VALUE(MID(O95,2,3)),$A$2:$A$94,0))=INDEX($F$2:$F$94,MATCH(VALUE(MID(O95,2,3)),$A$2:$A$94,0)),INDEX($M$2:$M$94,MATCH(VALUE(MID(O95,2,3)),$A$2:$A$94,0)),IF(INDEX($J$2:$J$94,MATCH(VALUE(MID(O95,2,3)),$A$2:$A$94,0))=INDEX($G$2:$G$94,MATCH(VALUE(MID(O95,2,3)),$A$2:$A$94,0)),INDEX($L$2:$L$94,MATCH(VALUE(MID(O95,2,3)),$A$2:$A$94,0)),O95)),O95),IFERROR(IF(VLOOKUP(RIGHT(O95,1)&amp;LEFT(O95,1),Clasificacion!$O$2:$Q$49,3,FALSE)="",O95,VLOOKUP(RIGHT(O95,1)&amp;LEFT(O95,1),Clasificacion!$O$2:$Q$49,3,FALSE)),O95)))))</f>
        <v>W82</v>
      </c>
      <c r="N95" t="s">
        <v>343</v>
      </c>
      <c r="O95" t="s">
        <v>344</v>
      </c>
      <c r="P95" t="s">
        <v>266</v>
      </c>
    </row>
    <row r="96" spans="1:16">
      <c r="A96">
        <v>95</v>
      </c>
      <c r="B96">
        <v>46210</v>
      </c>
      <c r="C96" t="s">
        <v>287</v>
      </c>
      <c r="D96" t="s">
        <v>332</v>
      </c>
      <c r="F96" t="str">
        <f>IF(N96="","",IF(LEFT(N96,1)="3",IFERROR(IF(VLOOKUP($A96&amp;"L",Asignacion_3ros!$A$2:$G$9,6,FALSE)="",N96,VLOOKUP($A96&amp;"L",Asignacion_3ros!$A$2:$G$9,6,FALSE)),N96),IF(LEFT(N96,1)="W",IFERROR(IF(INDEX($J$2:$J$95,MATCH(VALUE(MID(N96,2,3)),$A$2:$A$95,0))="",N96,INDEX($J$2:$J$95,MATCH(VALUE(MID(N96,2,3)),$A$2:$A$95,0))),N96),IF(LEFT(N96,1)="L",IFERROR(IF(INDEX($J$2:$J$95,MATCH(VALUE(MID(N96,2,3)),$A$2:$A$95,0))=INDEX($F$2:$F$95,MATCH(VALUE(MID(N96,2,3)),$A$2:$A$95,0)),INDEX($G$2:$G$95,MATCH(VALUE(MID(N96,2,3)),$A$2:$A$95,0)),IF(INDEX($J$2:$J$95,MATCH(VALUE(MID(N96,2,3)),$A$2:$A$95,0))=INDEX($G$2:$G$95,MATCH(VALUE(MID(N96,2,3)),$A$2:$A$95,0)),INDEX($F$2:$F$95,MATCH(VALUE(MID(N96,2,3)),$A$2:$A$95,0)),N96)),N96),IFERROR(IF(VLOOKUP(RIGHT(N96,1)&amp;LEFT(N96,1),Clasificacion!$O$2:$Q$49,2,FALSE)="",N96,VLOOKUP(RIGHT(N96,1)&amp;LEFT(N96,1),Clasificacion!$O$2:$Q$49,2,FALSE)),N96)))))</f>
        <v>W86</v>
      </c>
      <c r="G96" t="str">
        <f>IF(O96="","",IF(LEFT(O96,1)="3",IFERROR(IF(VLOOKUP($A96&amp;"V",Asignacion_3ros!$A$2:$G$9,6,FALSE)="",O96,VLOOKUP($A96&amp;"V",Asignacion_3ros!$A$2:$G$9,6,FALSE)),O96),IF(LEFT(O96,1)="W",IFERROR(IF(INDEX($J$2:$J$95,MATCH(VALUE(MID(O96,2,3)),$A$2:$A$95,0))="",O96,INDEX($J$2:$J$95,MATCH(VALUE(MID(O96,2,3)),$A$2:$A$95,0))),O96),IF(LEFT(O96,1)="L",IFERROR(IF(INDEX($J$2:$J$95,MATCH(VALUE(MID(O96,2,3)),$A$2:$A$95,0))=INDEX($F$2:$F$95,MATCH(VALUE(MID(O96,2,3)),$A$2:$A$95,0)),INDEX($G$2:$G$95,MATCH(VALUE(MID(O96,2,3)),$A$2:$A$95,0)),IF(INDEX($J$2:$J$95,MATCH(VALUE(MID(O96,2,3)),$A$2:$A$95,0))=INDEX($G$2:$G$95,MATCH(VALUE(MID(O96,2,3)),$A$2:$A$95,0)),INDEX($F$2:$F$95,MATCH(VALUE(MID(O96,2,3)),$A$2:$A$95,0)),O96)),O96),IFERROR(IF(VLOOKUP(RIGHT(O96,1)&amp;LEFT(O96,1),Clasificacion!$O$2:$Q$49,2,FALSE)="",O96,VLOOKUP(RIGHT(O96,1)&amp;LEFT(O96,1),Clasificacion!$O$2:$Q$49,2,FALSE)),O96)))))</f>
        <v>W88</v>
      </c>
      <c r="J96" t="str">
        <f t="shared" si="2"/>
        <v/>
      </c>
      <c r="K96" t="s">
        <v>288</v>
      </c>
      <c r="L96" t="str">
        <f>IF(N96="","",IF(LEFT(N96,1)="3",IFERROR(IF(VLOOKUP($A96&amp;"L",Asignacion_3ros!$A$2:$G$9,7,FALSE)="",N96,VLOOKUP($A96&amp;"L",Asignacion_3ros!$A$2:$G$9,7,FALSE)),N96),IF(LEFT(N96,1)="W",IFERROR(IF(INDEX($J$2:$J$95,MATCH(VALUE(MID(N96,2,3)),$A$2:$A$95,0))=INDEX($F$2:$F$95,MATCH(VALUE(MID(N96,2,3)),$A$2:$A$95,0)),INDEX($L$2:$L$95,MATCH(VALUE(MID(N96,2,3)),$A$2:$A$95,0)),IF(INDEX($J$2:$J$95,MATCH(VALUE(MID(N96,2,3)),$A$2:$A$95,0))=INDEX($G$2:$G$95,MATCH(VALUE(MID(N96,2,3)),$A$2:$A$95,0)),INDEX($M$2:$M$95,MATCH(VALUE(MID(N96,2,3)),$A$2:$A$95,0)),N96)),N96),IF(LEFT(N96,1)="L",IFERROR(IF(INDEX($J$2:$J$95,MATCH(VALUE(MID(N96,2,3)),$A$2:$A$95,0))=INDEX($F$2:$F$95,MATCH(VALUE(MID(N96,2,3)),$A$2:$A$95,0)),INDEX($M$2:$M$95,MATCH(VALUE(MID(N96,2,3)),$A$2:$A$95,0)),IF(INDEX($J$2:$J$95,MATCH(VALUE(MID(N96,2,3)),$A$2:$A$95,0))=INDEX($G$2:$G$95,MATCH(VALUE(MID(N96,2,3)),$A$2:$A$95,0)),INDEX($L$2:$L$95,MATCH(VALUE(MID(N96,2,3)),$A$2:$A$95,0)),N96)),N96),IFERROR(IF(VLOOKUP(RIGHT(N96,1)&amp;LEFT(N96,1),Clasificacion!$O$2:$Q$49,3,FALSE)="",N96,VLOOKUP(RIGHT(N96,1)&amp;LEFT(N96,1),Clasificacion!$O$2:$Q$49,3,FALSE)),N96)))))</f>
        <v>W86</v>
      </c>
      <c r="M96" t="str">
        <f>IF(O96="","",IF(LEFT(O96,1)="3",IFERROR(IF(VLOOKUP($A96&amp;"V",Asignacion_3ros!$A$2:$G$9,7,FALSE)="",O96,VLOOKUP($A96&amp;"V",Asignacion_3ros!$A$2:$G$9,7,FALSE)),O96),IF(LEFT(O96,1)="W",IFERROR(IF(INDEX($J$2:$J$95,MATCH(VALUE(MID(O96,2,3)),$A$2:$A$95,0))=INDEX($F$2:$F$95,MATCH(VALUE(MID(O96,2,3)),$A$2:$A$95,0)),INDEX($L$2:$L$95,MATCH(VALUE(MID(O96,2,3)),$A$2:$A$95,0)),IF(INDEX($J$2:$J$95,MATCH(VALUE(MID(O96,2,3)),$A$2:$A$95,0))=INDEX($G$2:$G$95,MATCH(VALUE(MID(O96,2,3)),$A$2:$A$95,0)),INDEX($M$2:$M$95,MATCH(VALUE(MID(O96,2,3)),$A$2:$A$95,0)),O96)),O96),IF(LEFT(O96,1)="L",IFERROR(IF(INDEX($J$2:$J$95,MATCH(VALUE(MID(O96,2,3)),$A$2:$A$95,0))=INDEX($F$2:$F$95,MATCH(VALUE(MID(O96,2,3)),$A$2:$A$95,0)),INDEX($M$2:$M$95,MATCH(VALUE(MID(O96,2,3)),$A$2:$A$95,0)),IF(INDEX($J$2:$J$95,MATCH(VALUE(MID(O96,2,3)),$A$2:$A$95,0))=INDEX($G$2:$G$95,MATCH(VALUE(MID(O96,2,3)),$A$2:$A$95,0)),INDEX($L$2:$L$95,MATCH(VALUE(MID(O96,2,3)),$A$2:$A$95,0)),O96)),O96),IFERROR(IF(VLOOKUP(RIGHT(O96,1)&amp;LEFT(O96,1),Clasificacion!$O$2:$Q$49,3,FALSE)="",O96,VLOOKUP(RIGHT(O96,1)&amp;LEFT(O96,1),Clasificacion!$O$2:$Q$49,3,FALSE)),O96)))))</f>
        <v>W88</v>
      </c>
      <c r="N96" t="s">
        <v>345</v>
      </c>
      <c r="O96" t="s">
        <v>346</v>
      </c>
      <c r="P96" t="s">
        <v>266</v>
      </c>
    </row>
    <row r="97" spans="1:16">
      <c r="A97">
        <v>96</v>
      </c>
      <c r="B97">
        <v>46210</v>
      </c>
      <c r="C97" t="s">
        <v>283</v>
      </c>
      <c r="D97" t="s">
        <v>332</v>
      </c>
      <c r="F97" t="str">
        <f>IF(N97="","",IF(LEFT(N97,1)="3",IFERROR(IF(VLOOKUP($A97&amp;"L",Asignacion_3ros!$A$2:$G$9,6,FALSE)="",N97,VLOOKUP($A97&amp;"L",Asignacion_3ros!$A$2:$G$9,6,FALSE)),N97),IF(LEFT(N97,1)="W",IFERROR(IF(INDEX($J$2:$J$96,MATCH(VALUE(MID(N97,2,3)),$A$2:$A$96,0))="",N97,INDEX($J$2:$J$96,MATCH(VALUE(MID(N97,2,3)),$A$2:$A$96,0))),N97),IF(LEFT(N97,1)="L",IFERROR(IF(INDEX($J$2:$J$96,MATCH(VALUE(MID(N97,2,3)),$A$2:$A$96,0))=INDEX($F$2:$F$96,MATCH(VALUE(MID(N97,2,3)),$A$2:$A$96,0)),INDEX($G$2:$G$96,MATCH(VALUE(MID(N97,2,3)),$A$2:$A$96,0)),IF(INDEX($J$2:$J$96,MATCH(VALUE(MID(N97,2,3)),$A$2:$A$96,0))=INDEX($G$2:$G$96,MATCH(VALUE(MID(N97,2,3)),$A$2:$A$96,0)),INDEX($F$2:$F$96,MATCH(VALUE(MID(N97,2,3)),$A$2:$A$96,0)),N97)),N97),IFERROR(IF(VLOOKUP(RIGHT(N97,1)&amp;LEFT(N97,1),Clasificacion!$O$2:$Q$49,2,FALSE)="",N97,VLOOKUP(RIGHT(N97,1)&amp;LEFT(N97,1),Clasificacion!$O$2:$Q$49,2,FALSE)),N97)))))</f>
        <v>W85</v>
      </c>
      <c r="G97" t="str">
        <f>IF(O97="","",IF(LEFT(O97,1)="3",IFERROR(IF(VLOOKUP($A97&amp;"V",Asignacion_3ros!$A$2:$G$9,6,FALSE)="",O97,VLOOKUP($A97&amp;"V",Asignacion_3ros!$A$2:$G$9,6,FALSE)),O97),IF(LEFT(O97,1)="W",IFERROR(IF(INDEX($J$2:$J$96,MATCH(VALUE(MID(O97,2,3)),$A$2:$A$96,0))="",O97,INDEX($J$2:$J$96,MATCH(VALUE(MID(O97,2,3)),$A$2:$A$96,0))),O97),IF(LEFT(O97,1)="L",IFERROR(IF(INDEX($J$2:$J$96,MATCH(VALUE(MID(O97,2,3)),$A$2:$A$96,0))=INDEX($F$2:$F$96,MATCH(VALUE(MID(O97,2,3)),$A$2:$A$96,0)),INDEX($G$2:$G$96,MATCH(VALUE(MID(O97,2,3)),$A$2:$A$96,0)),IF(INDEX($J$2:$J$96,MATCH(VALUE(MID(O97,2,3)),$A$2:$A$96,0))=INDEX($G$2:$G$96,MATCH(VALUE(MID(O97,2,3)),$A$2:$A$96,0)),INDEX($F$2:$F$96,MATCH(VALUE(MID(O97,2,3)),$A$2:$A$96,0)),O97)),O97),IFERROR(IF(VLOOKUP(RIGHT(O97,1)&amp;LEFT(O97,1),Clasificacion!$O$2:$Q$49,2,FALSE)="",O97,VLOOKUP(RIGHT(O97,1)&amp;LEFT(O97,1),Clasificacion!$O$2:$Q$49,2,FALSE)),O97)))))</f>
        <v>W87</v>
      </c>
      <c r="J97" t="str">
        <f t="shared" si="2"/>
        <v/>
      </c>
      <c r="K97" t="s">
        <v>275</v>
      </c>
      <c r="L97" t="str">
        <f>IF(N97="","",IF(LEFT(N97,1)="3",IFERROR(IF(VLOOKUP($A97&amp;"L",Asignacion_3ros!$A$2:$G$9,7,FALSE)="",N97,VLOOKUP($A97&amp;"L",Asignacion_3ros!$A$2:$G$9,7,FALSE)),N97),IF(LEFT(N97,1)="W",IFERROR(IF(INDEX($J$2:$J$96,MATCH(VALUE(MID(N97,2,3)),$A$2:$A$96,0))=INDEX($F$2:$F$96,MATCH(VALUE(MID(N97,2,3)),$A$2:$A$96,0)),INDEX($L$2:$L$96,MATCH(VALUE(MID(N97,2,3)),$A$2:$A$96,0)),IF(INDEX($J$2:$J$96,MATCH(VALUE(MID(N97,2,3)),$A$2:$A$96,0))=INDEX($G$2:$G$96,MATCH(VALUE(MID(N97,2,3)),$A$2:$A$96,0)),INDEX($M$2:$M$96,MATCH(VALUE(MID(N97,2,3)),$A$2:$A$96,0)),N97)),N97),IF(LEFT(N97,1)="L",IFERROR(IF(INDEX($J$2:$J$96,MATCH(VALUE(MID(N97,2,3)),$A$2:$A$96,0))=INDEX($F$2:$F$96,MATCH(VALUE(MID(N97,2,3)),$A$2:$A$96,0)),INDEX($M$2:$M$96,MATCH(VALUE(MID(N97,2,3)),$A$2:$A$96,0)),IF(INDEX($J$2:$J$96,MATCH(VALUE(MID(N97,2,3)),$A$2:$A$96,0))=INDEX($G$2:$G$96,MATCH(VALUE(MID(N97,2,3)),$A$2:$A$96,0)),INDEX($L$2:$L$96,MATCH(VALUE(MID(N97,2,3)),$A$2:$A$96,0)),N97)),N97),IFERROR(IF(VLOOKUP(RIGHT(N97,1)&amp;LEFT(N97,1),Clasificacion!$O$2:$Q$49,3,FALSE)="",N97,VLOOKUP(RIGHT(N97,1)&amp;LEFT(N97,1),Clasificacion!$O$2:$Q$49,3,FALSE)),N97)))))</f>
        <v>W85</v>
      </c>
      <c r="M97" t="str">
        <f>IF(O97="","",IF(LEFT(O97,1)="3",IFERROR(IF(VLOOKUP($A97&amp;"V",Asignacion_3ros!$A$2:$G$9,7,FALSE)="",O97,VLOOKUP($A97&amp;"V",Asignacion_3ros!$A$2:$G$9,7,FALSE)),O97),IF(LEFT(O97,1)="W",IFERROR(IF(INDEX($J$2:$J$96,MATCH(VALUE(MID(O97,2,3)),$A$2:$A$96,0))=INDEX($F$2:$F$96,MATCH(VALUE(MID(O97,2,3)),$A$2:$A$96,0)),INDEX($L$2:$L$96,MATCH(VALUE(MID(O97,2,3)),$A$2:$A$96,0)),IF(INDEX($J$2:$J$96,MATCH(VALUE(MID(O97,2,3)),$A$2:$A$96,0))=INDEX($G$2:$G$96,MATCH(VALUE(MID(O97,2,3)),$A$2:$A$96,0)),INDEX($M$2:$M$96,MATCH(VALUE(MID(O97,2,3)),$A$2:$A$96,0)),O97)),O97),IF(LEFT(O97,1)="L",IFERROR(IF(INDEX($J$2:$J$96,MATCH(VALUE(MID(O97,2,3)),$A$2:$A$96,0))=INDEX($F$2:$F$96,MATCH(VALUE(MID(O97,2,3)),$A$2:$A$96,0)),INDEX($M$2:$M$96,MATCH(VALUE(MID(O97,2,3)),$A$2:$A$96,0)),IF(INDEX($J$2:$J$96,MATCH(VALUE(MID(O97,2,3)),$A$2:$A$96,0))=INDEX($G$2:$G$96,MATCH(VALUE(MID(O97,2,3)),$A$2:$A$96,0)),INDEX($L$2:$L$96,MATCH(VALUE(MID(O97,2,3)),$A$2:$A$96,0)),O97)),O97),IFERROR(IF(VLOOKUP(RIGHT(O97,1)&amp;LEFT(O97,1),Clasificacion!$O$2:$Q$49,3,FALSE)="",O97,VLOOKUP(RIGHT(O97,1)&amp;LEFT(O97,1),Clasificacion!$O$2:$Q$49,3,FALSE)),O97)))))</f>
        <v>W87</v>
      </c>
      <c r="N97" t="s">
        <v>347</v>
      </c>
      <c r="O97" t="s">
        <v>348</v>
      </c>
      <c r="P97" t="s">
        <v>266</v>
      </c>
    </row>
    <row r="98" spans="1:16">
      <c r="A98">
        <v>97</v>
      </c>
      <c r="B98">
        <v>46212</v>
      </c>
      <c r="C98" t="s">
        <v>283</v>
      </c>
      <c r="D98" t="s">
        <v>349</v>
      </c>
      <c r="F98" t="str">
        <f>IF(N98="","",IF(LEFT(N98,1)="3",IFERROR(IF(VLOOKUP($A98&amp;"L",Asignacion_3ros!$A$2:$G$9,6,FALSE)="",N98,VLOOKUP($A98&amp;"L",Asignacion_3ros!$A$2:$G$9,6,FALSE)),N98),IF(LEFT(N98,1)="W",IFERROR(IF(INDEX($J$2:$J$97,MATCH(VALUE(MID(N98,2,3)),$A$2:$A$97,0))="",N98,INDEX($J$2:$J$97,MATCH(VALUE(MID(N98,2,3)),$A$2:$A$97,0))),N98),IF(LEFT(N98,1)="L",IFERROR(IF(INDEX($J$2:$J$97,MATCH(VALUE(MID(N98,2,3)),$A$2:$A$97,0))=INDEX($F$2:$F$97,MATCH(VALUE(MID(N98,2,3)),$A$2:$A$97,0)),INDEX($G$2:$G$97,MATCH(VALUE(MID(N98,2,3)),$A$2:$A$97,0)),IF(INDEX($J$2:$J$97,MATCH(VALUE(MID(N98,2,3)),$A$2:$A$97,0))=INDEX($G$2:$G$97,MATCH(VALUE(MID(N98,2,3)),$A$2:$A$97,0)),INDEX($F$2:$F$97,MATCH(VALUE(MID(N98,2,3)),$A$2:$A$97,0)),N98)),N98),IFERROR(IF(VLOOKUP(RIGHT(N98,1)&amp;LEFT(N98,1),Clasificacion!$O$2:$Q$49,2,FALSE)="",N98,VLOOKUP(RIGHT(N98,1)&amp;LEFT(N98,1),Clasificacion!$O$2:$Q$49,2,FALSE)),N98)))))</f>
        <v>W89</v>
      </c>
      <c r="G98" t="str">
        <f>IF(O98="","",IF(LEFT(O98,1)="3",IFERROR(IF(VLOOKUP($A98&amp;"V",Asignacion_3ros!$A$2:$G$9,6,FALSE)="",O98,VLOOKUP($A98&amp;"V",Asignacion_3ros!$A$2:$G$9,6,FALSE)),O98),IF(LEFT(O98,1)="W",IFERROR(IF(INDEX($J$2:$J$97,MATCH(VALUE(MID(O98,2,3)),$A$2:$A$97,0))="",O98,INDEX($J$2:$J$97,MATCH(VALUE(MID(O98,2,3)),$A$2:$A$97,0))),O98),IF(LEFT(O98,1)="L",IFERROR(IF(INDEX($J$2:$J$97,MATCH(VALUE(MID(O98,2,3)),$A$2:$A$97,0))=INDEX($F$2:$F$97,MATCH(VALUE(MID(O98,2,3)),$A$2:$A$97,0)),INDEX($G$2:$G$97,MATCH(VALUE(MID(O98,2,3)),$A$2:$A$97,0)),IF(INDEX($J$2:$J$97,MATCH(VALUE(MID(O98,2,3)),$A$2:$A$97,0))=INDEX($G$2:$G$97,MATCH(VALUE(MID(O98,2,3)),$A$2:$A$97,0)),INDEX($F$2:$F$97,MATCH(VALUE(MID(O98,2,3)),$A$2:$A$97,0)),O98)),O98),IFERROR(IF(VLOOKUP(RIGHT(O98,1)&amp;LEFT(O98,1),Clasificacion!$O$2:$Q$49,2,FALSE)="",O98,VLOOKUP(RIGHT(O98,1)&amp;LEFT(O98,1),Clasificacion!$O$2:$Q$49,2,FALSE)),O98)))))</f>
        <v>W90</v>
      </c>
      <c r="J98" t="str">
        <f t="shared" ref="J98:J105" si="3">IF(OR(H98="",I98=""),"",IF(H98&gt;I98,F98,IF(I98&gt;H98,G98,"Empate")))</f>
        <v/>
      </c>
      <c r="K98" t="s">
        <v>273</v>
      </c>
      <c r="L98" t="str">
        <f>IF(N98="","",IF(LEFT(N98,1)="3",IFERROR(IF(VLOOKUP($A98&amp;"L",Asignacion_3ros!$A$2:$G$9,7,FALSE)="",N98,VLOOKUP($A98&amp;"L",Asignacion_3ros!$A$2:$G$9,7,FALSE)),N98),IF(LEFT(N98,1)="W",IFERROR(IF(INDEX($J$2:$J$97,MATCH(VALUE(MID(N98,2,3)),$A$2:$A$97,0))=INDEX($F$2:$F$97,MATCH(VALUE(MID(N98,2,3)),$A$2:$A$97,0)),INDEX($L$2:$L$97,MATCH(VALUE(MID(N98,2,3)),$A$2:$A$97,0)),IF(INDEX($J$2:$J$97,MATCH(VALUE(MID(N98,2,3)),$A$2:$A$97,0))=INDEX($G$2:$G$97,MATCH(VALUE(MID(N98,2,3)),$A$2:$A$97,0)),INDEX($M$2:$M$97,MATCH(VALUE(MID(N98,2,3)),$A$2:$A$97,0)),N98)),N98),IF(LEFT(N98,1)="L",IFERROR(IF(INDEX($J$2:$J$97,MATCH(VALUE(MID(N98,2,3)),$A$2:$A$97,0))=INDEX($F$2:$F$97,MATCH(VALUE(MID(N98,2,3)),$A$2:$A$97,0)),INDEX($M$2:$M$97,MATCH(VALUE(MID(N98,2,3)),$A$2:$A$97,0)),IF(INDEX($J$2:$J$97,MATCH(VALUE(MID(N98,2,3)),$A$2:$A$97,0))=INDEX($G$2:$G$97,MATCH(VALUE(MID(N98,2,3)),$A$2:$A$97,0)),INDEX($L$2:$L$97,MATCH(VALUE(MID(N98,2,3)),$A$2:$A$97,0)),N98)),N98),IFERROR(IF(VLOOKUP(RIGHT(N98,1)&amp;LEFT(N98,1),Clasificacion!$O$2:$Q$49,3,FALSE)="",N98,VLOOKUP(RIGHT(N98,1)&amp;LEFT(N98,1),Clasificacion!$O$2:$Q$49,3,FALSE)),N98)))))</f>
        <v>W89</v>
      </c>
      <c r="M98" t="str">
        <f>IF(O98="","",IF(LEFT(O98,1)="3",IFERROR(IF(VLOOKUP($A98&amp;"V",Asignacion_3ros!$A$2:$G$9,7,FALSE)="",O98,VLOOKUP($A98&amp;"V",Asignacion_3ros!$A$2:$G$9,7,FALSE)),O98),IF(LEFT(O98,1)="W",IFERROR(IF(INDEX($J$2:$J$97,MATCH(VALUE(MID(O98,2,3)),$A$2:$A$97,0))=INDEX($F$2:$F$97,MATCH(VALUE(MID(O98,2,3)),$A$2:$A$97,0)),INDEX($L$2:$L$97,MATCH(VALUE(MID(O98,2,3)),$A$2:$A$97,0)),IF(INDEX($J$2:$J$97,MATCH(VALUE(MID(O98,2,3)),$A$2:$A$97,0))=INDEX($G$2:$G$97,MATCH(VALUE(MID(O98,2,3)),$A$2:$A$97,0)),INDEX($M$2:$M$97,MATCH(VALUE(MID(O98,2,3)),$A$2:$A$97,0)),O98)),O98),IF(LEFT(O98,1)="L",IFERROR(IF(INDEX($J$2:$J$97,MATCH(VALUE(MID(O98,2,3)),$A$2:$A$97,0))=INDEX($F$2:$F$97,MATCH(VALUE(MID(O98,2,3)),$A$2:$A$97,0)),INDEX($M$2:$M$97,MATCH(VALUE(MID(O98,2,3)),$A$2:$A$97,0)),IF(INDEX($J$2:$J$97,MATCH(VALUE(MID(O98,2,3)),$A$2:$A$97,0))=INDEX($G$2:$G$97,MATCH(VALUE(MID(O98,2,3)),$A$2:$A$97,0)),INDEX($L$2:$L$97,MATCH(VALUE(MID(O98,2,3)),$A$2:$A$97,0)),O98)),O98),IFERROR(IF(VLOOKUP(RIGHT(O98,1)&amp;LEFT(O98,1),Clasificacion!$O$2:$Q$49,3,FALSE)="",O98,VLOOKUP(RIGHT(O98,1)&amp;LEFT(O98,1),Clasificacion!$O$2:$Q$49,3,FALSE)),O98)))))</f>
        <v>W90</v>
      </c>
      <c r="N98" t="s">
        <v>350</v>
      </c>
      <c r="O98" t="s">
        <v>351</v>
      </c>
      <c r="P98" t="s">
        <v>266</v>
      </c>
    </row>
    <row r="99" spans="1:16">
      <c r="A99">
        <v>98</v>
      </c>
      <c r="B99">
        <v>46213</v>
      </c>
      <c r="C99" t="s">
        <v>264</v>
      </c>
      <c r="D99" t="s">
        <v>349</v>
      </c>
      <c r="F99" t="str">
        <f>IF(N99="","",IF(LEFT(N99,1)="3",IFERROR(IF(VLOOKUP($A99&amp;"L",Asignacion_3ros!$A$2:$G$9,6,FALSE)="",N99,VLOOKUP($A99&amp;"L",Asignacion_3ros!$A$2:$G$9,6,FALSE)),N99),IF(LEFT(N99,1)="W",IFERROR(IF(INDEX($J$2:$J$98,MATCH(VALUE(MID(N99,2,3)),$A$2:$A$98,0))="",N99,INDEX($J$2:$J$98,MATCH(VALUE(MID(N99,2,3)),$A$2:$A$98,0))),N99),IF(LEFT(N99,1)="L",IFERROR(IF(INDEX($J$2:$J$98,MATCH(VALUE(MID(N99,2,3)),$A$2:$A$98,0))=INDEX($F$2:$F$98,MATCH(VALUE(MID(N99,2,3)),$A$2:$A$98,0)),INDEX($G$2:$G$98,MATCH(VALUE(MID(N99,2,3)),$A$2:$A$98,0)),IF(INDEX($J$2:$J$98,MATCH(VALUE(MID(N99,2,3)),$A$2:$A$98,0))=INDEX($G$2:$G$98,MATCH(VALUE(MID(N99,2,3)),$A$2:$A$98,0)),INDEX($F$2:$F$98,MATCH(VALUE(MID(N99,2,3)),$A$2:$A$98,0)),N99)),N99),IFERROR(IF(VLOOKUP(RIGHT(N99,1)&amp;LEFT(N99,1),Clasificacion!$O$2:$Q$49,2,FALSE)="",N99,VLOOKUP(RIGHT(N99,1)&amp;LEFT(N99,1),Clasificacion!$O$2:$Q$49,2,FALSE)),N99)))))</f>
        <v>W93</v>
      </c>
      <c r="G99" t="str">
        <f>IF(O99="","",IF(LEFT(O99,1)="3",IFERROR(IF(VLOOKUP($A99&amp;"V",Asignacion_3ros!$A$2:$G$9,6,FALSE)="",O99,VLOOKUP($A99&amp;"V",Asignacion_3ros!$A$2:$G$9,6,FALSE)),O99),IF(LEFT(O99,1)="W",IFERROR(IF(INDEX($J$2:$J$98,MATCH(VALUE(MID(O99,2,3)),$A$2:$A$98,0))="",O99,INDEX($J$2:$J$98,MATCH(VALUE(MID(O99,2,3)),$A$2:$A$98,0))),O99),IF(LEFT(O99,1)="L",IFERROR(IF(INDEX($J$2:$J$98,MATCH(VALUE(MID(O99,2,3)),$A$2:$A$98,0))=INDEX($F$2:$F$98,MATCH(VALUE(MID(O99,2,3)),$A$2:$A$98,0)),INDEX($G$2:$G$98,MATCH(VALUE(MID(O99,2,3)),$A$2:$A$98,0)),IF(INDEX($J$2:$J$98,MATCH(VALUE(MID(O99,2,3)),$A$2:$A$98,0))=INDEX($G$2:$G$98,MATCH(VALUE(MID(O99,2,3)),$A$2:$A$98,0)),INDEX($F$2:$F$98,MATCH(VALUE(MID(O99,2,3)),$A$2:$A$98,0)),O99)),O99),IFERROR(IF(VLOOKUP(RIGHT(O99,1)&amp;LEFT(O99,1),Clasificacion!$O$2:$Q$49,2,FALSE)="",O99,VLOOKUP(RIGHT(O99,1)&amp;LEFT(O99,1),Clasificacion!$O$2:$Q$49,2,FALSE)),O99)))))</f>
        <v>W94</v>
      </c>
      <c r="J99" t="str">
        <f t="shared" si="3"/>
        <v/>
      </c>
      <c r="K99" t="s">
        <v>272</v>
      </c>
      <c r="L99" t="str">
        <f>IF(N99="","",IF(LEFT(N99,1)="3",IFERROR(IF(VLOOKUP($A99&amp;"L",Asignacion_3ros!$A$2:$G$9,7,FALSE)="",N99,VLOOKUP($A99&amp;"L",Asignacion_3ros!$A$2:$G$9,7,FALSE)),N99),IF(LEFT(N99,1)="W",IFERROR(IF(INDEX($J$2:$J$98,MATCH(VALUE(MID(N99,2,3)),$A$2:$A$98,0))=INDEX($F$2:$F$98,MATCH(VALUE(MID(N99,2,3)),$A$2:$A$98,0)),INDEX($L$2:$L$98,MATCH(VALUE(MID(N99,2,3)),$A$2:$A$98,0)),IF(INDEX($J$2:$J$98,MATCH(VALUE(MID(N99,2,3)),$A$2:$A$98,0))=INDEX($G$2:$G$98,MATCH(VALUE(MID(N99,2,3)),$A$2:$A$98,0)),INDEX($M$2:$M$98,MATCH(VALUE(MID(N99,2,3)),$A$2:$A$98,0)),N99)),N99),IF(LEFT(N99,1)="L",IFERROR(IF(INDEX($J$2:$J$98,MATCH(VALUE(MID(N99,2,3)),$A$2:$A$98,0))=INDEX($F$2:$F$98,MATCH(VALUE(MID(N99,2,3)),$A$2:$A$98,0)),INDEX($M$2:$M$98,MATCH(VALUE(MID(N99,2,3)),$A$2:$A$98,0)),IF(INDEX($J$2:$J$98,MATCH(VALUE(MID(N99,2,3)),$A$2:$A$98,0))=INDEX($G$2:$G$98,MATCH(VALUE(MID(N99,2,3)),$A$2:$A$98,0)),INDEX($L$2:$L$98,MATCH(VALUE(MID(N99,2,3)),$A$2:$A$98,0)),N99)),N99),IFERROR(IF(VLOOKUP(RIGHT(N99,1)&amp;LEFT(N99,1),Clasificacion!$O$2:$Q$49,3,FALSE)="",N99,VLOOKUP(RIGHT(N99,1)&amp;LEFT(N99,1),Clasificacion!$O$2:$Q$49,3,FALSE)),N99)))))</f>
        <v>W93</v>
      </c>
      <c r="M99" t="str">
        <f>IF(O99="","",IF(LEFT(O99,1)="3",IFERROR(IF(VLOOKUP($A99&amp;"V",Asignacion_3ros!$A$2:$G$9,7,FALSE)="",O99,VLOOKUP($A99&amp;"V",Asignacion_3ros!$A$2:$G$9,7,FALSE)),O99),IF(LEFT(O99,1)="W",IFERROR(IF(INDEX($J$2:$J$98,MATCH(VALUE(MID(O99,2,3)),$A$2:$A$98,0))=INDEX($F$2:$F$98,MATCH(VALUE(MID(O99,2,3)),$A$2:$A$98,0)),INDEX($L$2:$L$98,MATCH(VALUE(MID(O99,2,3)),$A$2:$A$98,0)),IF(INDEX($J$2:$J$98,MATCH(VALUE(MID(O99,2,3)),$A$2:$A$98,0))=INDEX($G$2:$G$98,MATCH(VALUE(MID(O99,2,3)),$A$2:$A$98,0)),INDEX($M$2:$M$98,MATCH(VALUE(MID(O99,2,3)),$A$2:$A$98,0)),O99)),O99),IF(LEFT(O99,1)="L",IFERROR(IF(INDEX($J$2:$J$98,MATCH(VALUE(MID(O99,2,3)),$A$2:$A$98,0))=INDEX($F$2:$F$98,MATCH(VALUE(MID(O99,2,3)),$A$2:$A$98,0)),INDEX($M$2:$M$98,MATCH(VALUE(MID(O99,2,3)),$A$2:$A$98,0)),IF(INDEX($J$2:$J$98,MATCH(VALUE(MID(O99,2,3)),$A$2:$A$98,0))=INDEX($G$2:$G$98,MATCH(VALUE(MID(O99,2,3)),$A$2:$A$98,0)),INDEX($L$2:$L$98,MATCH(VALUE(MID(O99,2,3)),$A$2:$A$98,0)),O99)),O99),IFERROR(IF(VLOOKUP(RIGHT(O99,1)&amp;LEFT(O99,1),Clasificacion!$O$2:$Q$49,3,FALSE)="",O99,VLOOKUP(RIGHT(O99,1)&amp;LEFT(O99,1),Clasificacion!$O$2:$Q$49,3,FALSE)),O99)))))</f>
        <v>W94</v>
      </c>
      <c r="N99" t="s">
        <v>352</v>
      </c>
      <c r="O99" t="s">
        <v>353</v>
      </c>
      <c r="P99" t="s">
        <v>266</v>
      </c>
    </row>
    <row r="100" spans="1:16">
      <c r="A100">
        <v>99</v>
      </c>
      <c r="B100">
        <v>46214</v>
      </c>
      <c r="C100" t="s">
        <v>294</v>
      </c>
      <c r="D100" t="s">
        <v>349</v>
      </c>
      <c r="F100" t="str">
        <f>IF(N100="","",IF(LEFT(N100,1)="3",IFERROR(IF(VLOOKUP($A100&amp;"L",Asignacion_3ros!$A$2:$G$9,6,FALSE)="",N100,VLOOKUP($A100&amp;"L",Asignacion_3ros!$A$2:$G$9,6,FALSE)),N100),IF(LEFT(N100,1)="W",IFERROR(IF(INDEX($J$2:$J$99,MATCH(VALUE(MID(N100,2,3)),$A$2:$A$99,0))="",N100,INDEX($J$2:$J$99,MATCH(VALUE(MID(N100,2,3)),$A$2:$A$99,0))),N100),IF(LEFT(N100,1)="L",IFERROR(IF(INDEX($J$2:$J$99,MATCH(VALUE(MID(N100,2,3)),$A$2:$A$99,0))=INDEX($F$2:$F$99,MATCH(VALUE(MID(N100,2,3)),$A$2:$A$99,0)),INDEX($G$2:$G$99,MATCH(VALUE(MID(N100,2,3)),$A$2:$A$99,0)),IF(INDEX($J$2:$J$99,MATCH(VALUE(MID(N100,2,3)),$A$2:$A$99,0))=INDEX($G$2:$G$99,MATCH(VALUE(MID(N100,2,3)),$A$2:$A$99,0)),INDEX($F$2:$F$99,MATCH(VALUE(MID(N100,2,3)),$A$2:$A$99,0)),N100)),N100),IFERROR(IF(VLOOKUP(RIGHT(N100,1)&amp;LEFT(N100,1),Clasificacion!$O$2:$Q$49,2,FALSE)="",N100,VLOOKUP(RIGHT(N100,1)&amp;LEFT(N100,1),Clasificacion!$O$2:$Q$49,2,FALSE)),N100)))))</f>
        <v>W91</v>
      </c>
      <c r="G100" t="str">
        <f>IF(O100="","",IF(LEFT(O100,1)="3",IFERROR(IF(VLOOKUP($A100&amp;"V",Asignacion_3ros!$A$2:$G$9,6,FALSE)="",O100,VLOOKUP($A100&amp;"V",Asignacion_3ros!$A$2:$G$9,6,FALSE)),O100),IF(LEFT(O100,1)="W",IFERROR(IF(INDEX($J$2:$J$99,MATCH(VALUE(MID(O100,2,3)),$A$2:$A$99,0))="",O100,INDEX($J$2:$J$99,MATCH(VALUE(MID(O100,2,3)),$A$2:$A$99,0))),O100),IF(LEFT(O100,1)="L",IFERROR(IF(INDEX($J$2:$J$99,MATCH(VALUE(MID(O100,2,3)),$A$2:$A$99,0))=INDEX($F$2:$F$99,MATCH(VALUE(MID(O100,2,3)),$A$2:$A$99,0)),INDEX($G$2:$G$99,MATCH(VALUE(MID(O100,2,3)),$A$2:$A$99,0)),IF(INDEX($J$2:$J$99,MATCH(VALUE(MID(O100,2,3)),$A$2:$A$99,0))=INDEX($G$2:$G$99,MATCH(VALUE(MID(O100,2,3)),$A$2:$A$99,0)),INDEX($F$2:$F$99,MATCH(VALUE(MID(O100,2,3)),$A$2:$A$99,0)),O100)),O100),IFERROR(IF(VLOOKUP(RIGHT(O100,1)&amp;LEFT(O100,1),Clasificacion!$O$2:$Q$49,2,FALSE)="",O100,VLOOKUP(RIGHT(O100,1)&amp;LEFT(O100,1),Clasificacion!$O$2:$Q$49,2,FALSE)),O100)))))</f>
        <v>W92</v>
      </c>
      <c r="J100" t="str">
        <f t="shared" si="3"/>
        <v/>
      </c>
      <c r="K100" t="s">
        <v>286</v>
      </c>
      <c r="L100" t="str">
        <f>IF(N100="","",IF(LEFT(N100,1)="3",IFERROR(IF(VLOOKUP($A100&amp;"L",Asignacion_3ros!$A$2:$G$9,7,FALSE)="",N100,VLOOKUP($A100&amp;"L",Asignacion_3ros!$A$2:$G$9,7,FALSE)),N100),IF(LEFT(N100,1)="W",IFERROR(IF(INDEX($J$2:$J$99,MATCH(VALUE(MID(N100,2,3)),$A$2:$A$99,0))=INDEX($F$2:$F$99,MATCH(VALUE(MID(N100,2,3)),$A$2:$A$99,0)),INDEX($L$2:$L$99,MATCH(VALUE(MID(N100,2,3)),$A$2:$A$99,0)),IF(INDEX($J$2:$J$99,MATCH(VALUE(MID(N100,2,3)),$A$2:$A$99,0))=INDEX($G$2:$G$99,MATCH(VALUE(MID(N100,2,3)),$A$2:$A$99,0)),INDEX($M$2:$M$99,MATCH(VALUE(MID(N100,2,3)),$A$2:$A$99,0)),N100)),N100),IF(LEFT(N100,1)="L",IFERROR(IF(INDEX($J$2:$J$99,MATCH(VALUE(MID(N100,2,3)),$A$2:$A$99,0))=INDEX($F$2:$F$99,MATCH(VALUE(MID(N100,2,3)),$A$2:$A$99,0)),INDEX($M$2:$M$99,MATCH(VALUE(MID(N100,2,3)),$A$2:$A$99,0)),IF(INDEX($J$2:$J$99,MATCH(VALUE(MID(N100,2,3)),$A$2:$A$99,0))=INDEX($G$2:$G$99,MATCH(VALUE(MID(N100,2,3)),$A$2:$A$99,0)),INDEX($L$2:$L$99,MATCH(VALUE(MID(N100,2,3)),$A$2:$A$99,0)),N100)),N100),IFERROR(IF(VLOOKUP(RIGHT(N100,1)&amp;LEFT(N100,1),Clasificacion!$O$2:$Q$49,3,FALSE)="",N100,VLOOKUP(RIGHT(N100,1)&amp;LEFT(N100,1),Clasificacion!$O$2:$Q$49,3,FALSE)),N100)))))</f>
        <v>W91</v>
      </c>
      <c r="M100" t="str">
        <f>IF(O100="","",IF(LEFT(O100,1)="3",IFERROR(IF(VLOOKUP($A100&amp;"V",Asignacion_3ros!$A$2:$G$9,7,FALSE)="",O100,VLOOKUP($A100&amp;"V",Asignacion_3ros!$A$2:$G$9,7,FALSE)),O100),IF(LEFT(O100,1)="W",IFERROR(IF(INDEX($J$2:$J$99,MATCH(VALUE(MID(O100,2,3)),$A$2:$A$99,0))=INDEX($F$2:$F$99,MATCH(VALUE(MID(O100,2,3)),$A$2:$A$99,0)),INDEX($L$2:$L$99,MATCH(VALUE(MID(O100,2,3)),$A$2:$A$99,0)),IF(INDEX($J$2:$J$99,MATCH(VALUE(MID(O100,2,3)),$A$2:$A$99,0))=INDEX($G$2:$G$99,MATCH(VALUE(MID(O100,2,3)),$A$2:$A$99,0)),INDEX($M$2:$M$99,MATCH(VALUE(MID(O100,2,3)),$A$2:$A$99,0)),O100)),O100),IF(LEFT(O100,1)="L",IFERROR(IF(INDEX($J$2:$J$99,MATCH(VALUE(MID(O100,2,3)),$A$2:$A$99,0))=INDEX($F$2:$F$99,MATCH(VALUE(MID(O100,2,3)),$A$2:$A$99,0)),INDEX($M$2:$M$99,MATCH(VALUE(MID(O100,2,3)),$A$2:$A$99,0)),IF(INDEX($J$2:$J$99,MATCH(VALUE(MID(O100,2,3)),$A$2:$A$99,0))=INDEX($G$2:$G$99,MATCH(VALUE(MID(O100,2,3)),$A$2:$A$99,0)),INDEX($L$2:$L$99,MATCH(VALUE(MID(O100,2,3)),$A$2:$A$99,0)),O100)),O100),IFERROR(IF(VLOOKUP(RIGHT(O100,1)&amp;LEFT(O100,1),Clasificacion!$O$2:$Q$49,3,FALSE)="",O100,VLOOKUP(RIGHT(O100,1)&amp;LEFT(O100,1),Clasificacion!$O$2:$Q$49,3,FALSE)),O100)))))</f>
        <v>W92</v>
      </c>
      <c r="N100" t="s">
        <v>354</v>
      </c>
      <c r="O100" t="s">
        <v>355</v>
      </c>
      <c r="P100" t="s">
        <v>266</v>
      </c>
    </row>
    <row r="101" spans="1:16">
      <c r="A101">
        <v>100</v>
      </c>
      <c r="B101">
        <v>46214</v>
      </c>
      <c r="C101" t="s">
        <v>271</v>
      </c>
      <c r="D101" t="s">
        <v>349</v>
      </c>
      <c r="F101" t="str">
        <f>IF(N101="","",IF(LEFT(N101,1)="3",IFERROR(IF(VLOOKUP($A101&amp;"L",Asignacion_3ros!$A$2:$G$9,6,FALSE)="",N101,VLOOKUP($A101&amp;"L",Asignacion_3ros!$A$2:$G$9,6,FALSE)),N101),IF(LEFT(N101,1)="W",IFERROR(IF(INDEX($J$2:$J$100,MATCH(VALUE(MID(N101,2,3)),$A$2:$A$100,0))="",N101,INDEX($J$2:$J$100,MATCH(VALUE(MID(N101,2,3)),$A$2:$A$100,0))),N101),IF(LEFT(N101,1)="L",IFERROR(IF(INDEX($J$2:$J$100,MATCH(VALUE(MID(N101,2,3)),$A$2:$A$100,0))=INDEX($F$2:$F$100,MATCH(VALUE(MID(N101,2,3)),$A$2:$A$100,0)),INDEX($G$2:$G$100,MATCH(VALUE(MID(N101,2,3)),$A$2:$A$100,0)),IF(INDEX($J$2:$J$100,MATCH(VALUE(MID(N101,2,3)),$A$2:$A$100,0))=INDEX($G$2:$G$100,MATCH(VALUE(MID(N101,2,3)),$A$2:$A$100,0)),INDEX($F$2:$F$100,MATCH(VALUE(MID(N101,2,3)),$A$2:$A$100,0)),N101)),N101),IFERROR(IF(VLOOKUP(RIGHT(N101,1)&amp;LEFT(N101,1),Clasificacion!$O$2:$Q$49,2,FALSE)="",N101,VLOOKUP(RIGHT(N101,1)&amp;LEFT(N101,1),Clasificacion!$O$2:$Q$49,2,FALSE)),N101)))))</f>
        <v>W95</v>
      </c>
      <c r="G101" t="str">
        <f>IF(O101="","",IF(LEFT(O101,1)="3",IFERROR(IF(VLOOKUP($A101&amp;"V",Asignacion_3ros!$A$2:$G$9,6,FALSE)="",O101,VLOOKUP($A101&amp;"V",Asignacion_3ros!$A$2:$G$9,6,FALSE)),O101),IF(LEFT(O101,1)="W",IFERROR(IF(INDEX($J$2:$J$100,MATCH(VALUE(MID(O101,2,3)),$A$2:$A$100,0))="",O101,INDEX($J$2:$J$100,MATCH(VALUE(MID(O101,2,3)),$A$2:$A$100,0))),O101),IF(LEFT(O101,1)="L",IFERROR(IF(INDEX($J$2:$J$100,MATCH(VALUE(MID(O101,2,3)),$A$2:$A$100,0))=INDEX($F$2:$F$100,MATCH(VALUE(MID(O101,2,3)),$A$2:$A$100,0)),INDEX($G$2:$G$100,MATCH(VALUE(MID(O101,2,3)),$A$2:$A$100,0)),IF(INDEX($J$2:$J$100,MATCH(VALUE(MID(O101,2,3)),$A$2:$A$100,0))=INDEX($G$2:$G$100,MATCH(VALUE(MID(O101,2,3)),$A$2:$A$100,0)),INDEX($F$2:$F$100,MATCH(VALUE(MID(O101,2,3)),$A$2:$A$100,0)),O101)),O101),IFERROR(IF(VLOOKUP(RIGHT(O101,1)&amp;LEFT(O101,1),Clasificacion!$O$2:$Q$49,2,FALSE)="",O101,VLOOKUP(RIGHT(O101,1)&amp;LEFT(O101,1),Clasificacion!$O$2:$Q$49,2,FALSE)),O101)))))</f>
        <v>W96</v>
      </c>
      <c r="J101" t="str">
        <f t="shared" si="3"/>
        <v/>
      </c>
      <c r="K101" t="s">
        <v>290</v>
      </c>
      <c r="L101" t="str">
        <f>IF(N101="","",IF(LEFT(N101,1)="3",IFERROR(IF(VLOOKUP($A101&amp;"L",Asignacion_3ros!$A$2:$G$9,7,FALSE)="",N101,VLOOKUP($A101&amp;"L",Asignacion_3ros!$A$2:$G$9,7,FALSE)),N101),IF(LEFT(N101,1)="W",IFERROR(IF(INDEX($J$2:$J$100,MATCH(VALUE(MID(N101,2,3)),$A$2:$A$100,0))=INDEX($F$2:$F$100,MATCH(VALUE(MID(N101,2,3)),$A$2:$A$100,0)),INDEX($L$2:$L$100,MATCH(VALUE(MID(N101,2,3)),$A$2:$A$100,0)),IF(INDEX($J$2:$J$100,MATCH(VALUE(MID(N101,2,3)),$A$2:$A$100,0))=INDEX($G$2:$G$100,MATCH(VALUE(MID(N101,2,3)),$A$2:$A$100,0)),INDEX($M$2:$M$100,MATCH(VALUE(MID(N101,2,3)),$A$2:$A$100,0)),N101)),N101),IF(LEFT(N101,1)="L",IFERROR(IF(INDEX($J$2:$J$100,MATCH(VALUE(MID(N101,2,3)),$A$2:$A$100,0))=INDEX($F$2:$F$100,MATCH(VALUE(MID(N101,2,3)),$A$2:$A$100,0)),INDEX($M$2:$M$100,MATCH(VALUE(MID(N101,2,3)),$A$2:$A$100,0)),IF(INDEX($J$2:$J$100,MATCH(VALUE(MID(N101,2,3)),$A$2:$A$100,0))=INDEX($G$2:$G$100,MATCH(VALUE(MID(N101,2,3)),$A$2:$A$100,0)),INDEX($L$2:$L$100,MATCH(VALUE(MID(N101,2,3)),$A$2:$A$100,0)),N101)),N101),IFERROR(IF(VLOOKUP(RIGHT(N101,1)&amp;LEFT(N101,1),Clasificacion!$O$2:$Q$49,3,FALSE)="",N101,VLOOKUP(RIGHT(N101,1)&amp;LEFT(N101,1),Clasificacion!$O$2:$Q$49,3,FALSE)),N101)))))</f>
        <v>W95</v>
      </c>
      <c r="M101" t="str">
        <f>IF(O101="","",IF(LEFT(O101,1)="3",IFERROR(IF(VLOOKUP($A101&amp;"V",Asignacion_3ros!$A$2:$G$9,7,FALSE)="",O101,VLOOKUP($A101&amp;"V",Asignacion_3ros!$A$2:$G$9,7,FALSE)),O101),IF(LEFT(O101,1)="W",IFERROR(IF(INDEX($J$2:$J$100,MATCH(VALUE(MID(O101,2,3)),$A$2:$A$100,0))=INDEX($F$2:$F$100,MATCH(VALUE(MID(O101,2,3)),$A$2:$A$100,0)),INDEX($L$2:$L$100,MATCH(VALUE(MID(O101,2,3)),$A$2:$A$100,0)),IF(INDEX($J$2:$J$100,MATCH(VALUE(MID(O101,2,3)),$A$2:$A$100,0))=INDEX($G$2:$G$100,MATCH(VALUE(MID(O101,2,3)),$A$2:$A$100,0)),INDEX($M$2:$M$100,MATCH(VALUE(MID(O101,2,3)),$A$2:$A$100,0)),O101)),O101),IF(LEFT(O101,1)="L",IFERROR(IF(INDEX($J$2:$J$100,MATCH(VALUE(MID(O101,2,3)),$A$2:$A$100,0))=INDEX($F$2:$F$100,MATCH(VALUE(MID(O101,2,3)),$A$2:$A$100,0)),INDEX($M$2:$M$100,MATCH(VALUE(MID(O101,2,3)),$A$2:$A$100,0)),IF(INDEX($J$2:$J$100,MATCH(VALUE(MID(O101,2,3)),$A$2:$A$100,0))=INDEX($G$2:$G$100,MATCH(VALUE(MID(O101,2,3)),$A$2:$A$100,0)),INDEX($L$2:$L$100,MATCH(VALUE(MID(O101,2,3)),$A$2:$A$100,0)),O101)),O101),IFERROR(IF(VLOOKUP(RIGHT(O101,1)&amp;LEFT(O101,1),Clasificacion!$O$2:$Q$49,3,FALSE)="",O101,VLOOKUP(RIGHT(O101,1)&amp;LEFT(O101,1),Clasificacion!$O$2:$Q$49,3,FALSE)),O101)))))</f>
        <v>W96</v>
      </c>
      <c r="N101" t="s">
        <v>356</v>
      </c>
      <c r="O101" t="s">
        <v>357</v>
      </c>
      <c r="P101" t="s">
        <v>266</v>
      </c>
    </row>
    <row r="102" spans="1:16">
      <c r="A102">
        <v>101</v>
      </c>
      <c r="B102">
        <v>46217</v>
      </c>
      <c r="C102" t="s">
        <v>264</v>
      </c>
      <c r="D102" t="s">
        <v>358</v>
      </c>
      <c r="F102" t="str">
        <f>IF(N102="","",IF(LEFT(N102,1)="3",IFERROR(IF(VLOOKUP($A102&amp;"L",Asignacion_3ros!$A$2:$G$9,6,FALSE)="",N102,VLOOKUP($A102&amp;"L",Asignacion_3ros!$A$2:$G$9,6,FALSE)),N102),IF(LEFT(N102,1)="W",IFERROR(IF(INDEX($J$2:$J$101,MATCH(VALUE(MID(N102,2,3)),$A$2:$A$101,0))="",N102,INDEX($J$2:$J$101,MATCH(VALUE(MID(N102,2,3)),$A$2:$A$101,0))),N102),IF(LEFT(N102,1)="L",IFERROR(IF(INDEX($J$2:$J$101,MATCH(VALUE(MID(N102,2,3)),$A$2:$A$101,0))=INDEX($F$2:$F$101,MATCH(VALUE(MID(N102,2,3)),$A$2:$A$101,0)),INDEX($G$2:$G$101,MATCH(VALUE(MID(N102,2,3)),$A$2:$A$101,0)),IF(INDEX($J$2:$J$101,MATCH(VALUE(MID(N102,2,3)),$A$2:$A$101,0))=INDEX($G$2:$G$101,MATCH(VALUE(MID(N102,2,3)),$A$2:$A$101,0)),INDEX($F$2:$F$101,MATCH(VALUE(MID(N102,2,3)),$A$2:$A$101,0)),N102)),N102),IFERROR(IF(VLOOKUP(RIGHT(N102,1)&amp;LEFT(N102,1),Clasificacion!$O$2:$Q$49,2,FALSE)="",N102,VLOOKUP(RIGHT(N102,1)&amp;LEFT(N102,1),Clasificacion!$O$2:$Q$49,2,FALSE)),N102)))))</f>
        <v>W97</v>
      </c>
      <c r="G102" t="str">
        <f>IF(O102="","",IF(LEFT(O102,1)="3",IFERROR(IF(VLOOKUP($A102&amp;"V",Asignacion_3ros!$A$2:$G$9,6,FALSE)="",O102,VLOOKUP($A102&amp;"V",Asignacion_3ros!$A$2:$G$9,6,FALSE)),O102),IF(LEFT(O102,1)="W",IFERROR(IF(INDEX($J$2:$J$101,MATCH(VALUE(MID(O102,2,3)),$A$2:$A$101,0))="",O102,INDEX($J$2:$J$101,MATCH(VALUE(MID(O102,2,3)),$A$2:$A$101,0))),O102),IF(LEFT(O102,1)="L",IFERROR(IF(INDEX($J$2:$J$101,MATCH(VALUE(MID(O102,2,3)),$A$2:$A$101,0))=INDEX($F$2:$F$101,MATCH(VALUE(MID(O102,2,3)),$A$2:$A$101,0)),INDEX($G$2:$G$101,MATCH(VALUE(MID(O102,2,3)),$A$2:$A$101,0)),IF(INDEX($J$2:$J$101,MATCH(VALUE(MID(O102,2,3)),$A$2:$A$101,0))=INDEX($G$2:$G$101,MATCH(VALUE(MID(O102,2,3)),$A$2:$A$101,0)),INDEX($F$2:$F$101,MATCH(VALUE(MID(O102,2,3)),$A$2:$A$101,0)),O102)),O102),IFERROR(IF(VLOOKUP(RIGHT(O102,1)&amp;LEFT(O102,1),Clasificacion!$O$2:$Q$49,2,FALSE)="",O102,VLOOKUP(RIGHT(O102,1)&amp;LEFT(O102,1),Clasificacion!$O$2:$Q$49,2,FALSE)),O102)))))</f>
        <v>W98</v>
      </c>
      <c r="J102" t="str">
        <f t="shared" si="3"/>
        <v/>
      </c>
      <c r="K102" t="s">
        <v>284</v>
      </c>
      <c r="L102" t="str">
        <f>IF(N102="","",IF(LEFT(N102,1)="3",IFERROR(IF(VLOOKUP($A102&amp;"L",Asignacion_3ros!$A$2:$G$9,7,FALSE)="",N102,VLOOKUP($A102&amp;"L",Asignacion_3ros!$A$2:$G$9,7,FALSE)),N102),IF(LEFT(N102,1)="W",IFERROR(IF(INDEX($J$2:$J$101,MATCH(VALUE(MID(N102,2,3)),$A$2:$A$101,0))=INDEX($F$2:$F$101,MATCH(VALUE(MID(N102,2,3)),$A$2:$A$101,0)),INDEX($L$2:$L$101,MATCH(VALUE(MID(N102,2,3)),$A$2:$A$101,0)),IF(INDEX($J$2:$J$101,MATCH(VALUE(MID(N102,2,3)),$A$2:$A$101,0))=INDEX($G$2:$G$101,MATCH(VALUE(MID(N102,2,3)),$A$2:$A$101,0)),INDEX($M$2:$M$101,MATCH(VALUE(MID(N102,2,3)),$A$2:$A$101,0)),N102)),N102),IF(LEFT(N102,1)="L",IFERROR(IF(INDEX($J$2:$J$101,MATCH(VALUE(MID(N102,2,3)),$A$2:$A$101,0))=INDEX($F$2:$F$101,MATCH(VALUE(MID(N102,2,3)),$A$2:$A$101,0)),INDEX($M$2:$M$101,MATCH(VALUE(MID(N102,2,3)),$A$2:$A$101,0)),IF(INDEX($J$2:$J$101,MATCH(VALUE(MID(N102,2,3)),$A$2:$A$101,0))=INDEX($G$2:$G$101,MATCH(VALUE(MID(N102,2,3)),$A$2:$A$101,0)),INDEX($L$2:$L$101,MATCH(VALUE(MID(N102,2,3)),$A$2:$A$101,0)),N102)),N102),IFERROR(IF(VLOOKUP(RIGHT(N102,1)&amp;LEFT(N102,1),Clasificacion!$O$2:$Q$49,3,FALSE)="",N102,VLOOKUP(RIGHT(N102,1)&amp;LEFT(N102,1),Clasificacion!$O$2:$Q$49,3,FALSE)),N102)))))</f>
        <v>W97</v>
      </c>
      <c r="M102" t="str">
        <f>IF(O102="","",IF(LEFT(O102,1)="3",IFERROR(IF(VLOOKUP($A102&amp;"V",Asignacion_3ros!$A$2:$G$9,7,FALSE)="",O102,VLOOKUP($A102&amp;"V",Asignacion_3ros!$A$2:$G$9,7,FALSE)),O102),IF(LEFT(O102,1)="W",IFERROR(IF(INDEX($J$2:$J$101,MATCH(VALUE(MID(O102,2,3)),$A$2:$A$101,0))=INDEX($F$2:$F$101,MATCH(VALUE(MID(O102,2,3)),$A$2:$A$101,0)),INDEX($L$2:$L$101,MATCH(VALUE(MID(O102,2,3)),$A$2:$A$101,0)),IF(INDEX($J$2:$J$101,MATCH(VALUE(MID(O102,2,3)),$A$2:$A$101,0))=INDEX($G$2:$G$101,MATCH(VALUE(MID(O102,2,3)),$A$2:$A$101,0)),INDEX($M$2:$M$101,MATCH(VALUE(MID(O102,2,3)),$A$2:$A$101,0)),O102)),O102),IF(LEFT(O102,1)="L",IFERROR(IF(INDEX($J$2:$J$101,MATCH(VALUE(MID(O102,2,3)),$A$2:$A$101,0))=INDEX($F$2:$F$101,MATCH(VALUE(MID(O102,2,3)),$A$2:$A$101,0)),INDEX($M$2:$M$101,MATCH(VALUE(MID(O102,2,3)),$A$2:$A$101,0)),IF(INDEX($J$2:$J$101,MATCH(VALUE(MID(O102,2,3)),$A$2:$A$101,0))=INDEX($G$2:$G$101,MATCH(VALUE(MID(O102,2,3)),$A$2:$A$101,0)),INDEX($L$2:$L$101,MATCH(VALUE(MID(O102,2,3)),$A$2:$A$101,0)),O102)),O102),IFERROR(IF(VLOOKUP(RIGHT(O102,1)&amp;LEFT(O102,1),Clasificacion!$O$2:$Q$49,3,FALSE)="",O102,VLOOKUP(RIGHT(O102,1)&amp;LEFT(O102,1),Clasificacion!$O$2:$Q$49,3,FALSE)),O102)))))</f>
        <v>W98</v>
      </c>
      <c r="N102" t="s">
        <v>359</v>
      </c>
      <c r="O102" t="s">
        <v>360</v>
      </c>
      <c r="P102" t="s">
        <v>266</v>
      </c>
    </row>
    <row r="103" spans="1:16">
      <c r="A103">
        <v>102</v>
      </c>
      <c r="B103">
        <v>46218</v>
      </c>
      <c r="C103" t="s">
        <v>264</v>
      </c>
      <c r="D103" t="s">
        <v>358</v>
      </c>
      <c r="F103" t="str">
        <f>IF(N103="","",IF(LEFT(N103,1)="3",IFERROR(IF(VLOOKUP($A103&amp;"L",Asignacion_3ros!$A$2:$G$9,6,FALSE)="",N103,VLOOKUP($A103&amp;"L",Asignacion_3ros!$A$2:$G$9,6,FALSE)),N103),IF(LEFT(N103,1)="W",IFERROR(IF(INDEX($J$2:$J$102,MATCH(VALUE(MID(N103,2,3)),$A$2:$A$102,0))="",N103,INDEX($J$2:$J$102,MATCH(VALUE(MID(N103,2,3)),$A$2:$A$102,0))),N103),IF(LEFT(N103,1)="L",IFERROR(IF(INDEX($J$2:$J$102,MATCH(VALUE(MID(N103,2,3)),$A$2:$A$102,0))=INDEX($F$2:$F$102,MATCH(VALUE(MID(N103,2,3)),$A$2:$A$102,0)),INDEX($G$2:$G$102,MATCH(VALUE(MID(N103,2,3)),$A$2:$A$102,0)),IF(INDEX($J$2:$J$102,MATCH(VALUE(MID(N103,2,3)),$A$2:$A$102,0))=INDEX($G$2:$G$102,MATCH(VALUE(MID(N103,2,3)),$A$2:$A$102,0)),INDEX($F$2:$F$102,MATCH(VALUE(MID(N103,2,3)),$A$2:$A$102,0)),N103)),N103),IFERROR(IF(VLOOKUP(RIGHT(N103,1)&amp;LEFT(N103,1),Clasificacion!$O$2:$Q$49,2,FALSE)="",N103,VLOOKUP(RIGHT(N103,1)&amp;LEFT(N103,1),Clasificacion!$O$2:$Q$49,2,FALSE)),N103)))))</f>
        <v>W99</v>
      </c>
      <c r="G103" t="str">
        <f>IF(O103="","",IF(LEFT(O103,1)="3",IFERROR(IF(VLOOKUP($A103&amp;"V",Asignacion_3ros!$A$2:$G$9,6,FALSE)="",O103,VLOOKUP($A103&amp;"V",Asignacion_3ros!$A$2:$G$9,6,FALSE)),O103),IF(LEFT(O103,1)="W",IFERROR(IF(INDEX($J$2:$J$102,MATCH(VALUE(MID(O103,2,3)),$A$2:$A$102,0))="",O103,INDEX($J$2:$J$102,MATCH(VALUE(MID(O103,2,3)),$A$2:$A$102,0))),O103),IF(LEFT(O103,1)="L",IFERROR(IF(INDEX($J$2:$J$102,MATCH(VALUE(MID(O103,2,3)),$A$2:$A$102,0))=INDEX($F$2:$F$102,MATCH(VALUE(MID(O103,2,3)),$A$2:$A$102,0)),INDEX($G$2:$G$102,MATCH(VALUE(MID(O103,2,3)),$A$2:$A$102,0)),IF(INDEX($J$2:$J$102,MATCH(VALUE(MID(O103,2,3)),$A$2:$A$102,0))=INDEX($G$2:$G$102,MATCH(VALUE(MID(O103,2,3)),$A$2:$A$102,0)),INDEX($F$2:$F$102,MATCH(VALUE(MID(O103,2,3)),$A$2:$A$102,0)),O103)),O103),IFERROR(IF(VLOOKUP(RIGHT(O103,1)&amp;LEFT(O103,1),Clasificacion!$O$2:$Q$49,2,FALSE)="",O103,VLOOKUP(RIGHT(O103,1)&amp;LEFT(O103,1),Clasificacion!$O$2:$Q$49,2,FALSE)),O103)))))</f>
        <v>W100</v>
      </c>
      <c r="J103" t="str">
        <f t="shared" si="3"/>
        <v/>
      </c>
      <c r="K103" t="s">
        <v>288</v>
      </c>
      <c r="L103" t="str">
        <f>IF(N103="","",IF(LEFT(N103,1)="3",IFERROR(IF(VLOOKUP($A103&amp;"L",Asignacion_3ros!$A$2:$G$9,7,FALSE)="",N103,VLOOKUP($A103&amp;"L",Asignacion_3ros!$A$2:$G$9,7,FALSE)),N103),IF(LEFT(N103,1)="W",IFERROR(IF(INDEX($J$2:$J$102,MATCH(VALUE(MID(N103,2,3)),$A$2:$A$102,0))=INDEX($F$2:$F$102,MATCH(VALUE(MID(N103,2,3)),$A$2:$A$102,0)),INDEX($L$2:$L$102,MATCH(VALUE(MID(N103,2,3)),$A$2:$A$102,0)),IF(INDEX($J$2:$J$102,MATCH(VALUE(MID(N103,2,3)),$A$2:$A$102,0))=INDEX($G$2:$G$102,MATCH(VALUE(MID(N103,2,3)),$A$2:$A$102,0)),INDEX($M$2:$M$102,MATCH(VALUE(MID(N103,2,3)),$A$2:$A$102,0)),N103)),N103),IF(LEFT(N103,1)="L",IFERROR(IF(INDEX($J$2:$J$102,MATCH(VALUE(MID(N103,2,3)),$A$2:$A$102,0))=INDEX($F$2:$F$102,MATCH(VALUE(MID(N103,2,3)),$A$2:$A$102,0)),INDEX($M$2:$M$102,MATCH(VALUE(MID(N103,2,3)),$A$2:$A$102,0)),IF(INDEX($J$2:$J$102,MATCH(VALUE(MID(N103,2,3)),$A$2:$A$102,0))=INDEX($G$2:$G$102,MATCH(VALUE(MID(N103,2,3)),$A$2:$A$102,0)),INDEX($L$2:$L$102,MATCH(VALUE(MID(N103,2,3)),$A$2:$A$102,0)),N103)),N103),IFERROR(IF(VLOOKUP(RIGHT(N103,1)&amp;LEFT(N103,1),Clasificacion!$O$2:$Q$49,3,FALSE)="",N103,VLOOKUP(RIGHT(N103,1)&amp;LEFT(N103,1),Clasificacion!$O$2:$Q$49,3,FALSE)),N103)))))</f>
        <v>W99</v>
      </c>
      <c r="M103" t="str">
        <f>IF(O103="","",IF(LEFT(O103,1)="3",IFERROR(IF(VLOOKUP($A103&amp;"V",Asignacion_3ros!$A$2:$G$9,7,FALSE)="",O103,VLOOKUP($A103&amp;"V",Asignacion_3ros!$A$2:$G$9,7,FALSE)),O103),IF(LEFT(O103,1)="W",IFERROR(IF(INDEX($J$2:$J$102,MATCH(VALUE(MID(O103,2,3)),$A$2:$A$102,0))=INDEX($F$2:$F$102,MATCH(VALUE(MID(O103,2,3)),$A$2:$A$102,0)),INDEX($L$2:$L$102,MATCH(VALUE(MID(O103,2,3)),$A$2:$A$102,0)),IF(INDEX($J$2:$J$102,MATCH(VALUE(MID(O103,2,3)),$A$2:$A$102,0))=INDEX($G$2:$G$102,MATCH(VALUE(MID(O103,2,3)),$A$2:$A$102,0)),INDEX($M$2:$M$102,MATCH(VALUE(MID(O103,2,3)),$A$2:$A$102,0)),O103)),O103),IF(LEFT(O103,1)="L",IFERROR(IF(INDEX($J$2:$J$102,MATCH(VALUE(MID(O103,2,3)),$A$2:$A$102,0))=INDEX($F$2:$F$102,MATCH(VALUE(MID(O103,2,3)),$A$2:$A$102,0)),INDEX($M$2:$M$102,MATCH(VALUE(MID(O103,2,3)),$A$2:$A$102,0)),IF(INDEX($J$2:$J$102,MATCH(VALUE(MID(O103,2,3)),$A$2:$A$102,0))=INDEX($G$2:$G$102,MATCH(VALUE(MID(O103,2,3)),$A$2:$A$102,0)),INDEX($L$2:$L$102,MATCH(VALUE(MID(O103,2,3)),$A$2:$A$102,0)),O103)),O103),IFERROR(IF(VLOOKUP(RIGHT(O103,1)&amp;LEFT(O103,1),Clasificacion!$O$2:$Q$49,3,FALSE)="",O103,VLOOKUP(RIGHT(O103,1)&amp;LEFT(O103,1),Clasificacion!$O$2:$Q$49,3,FALSE)),O103)))))</f>
        <v>W100</v>
      </c>
      <c r="N103" t="s">
        <v>361</v>
      </c>
      <c r="O103" t="s">
        <v>362</v>
      </c>
      <c r="P103" t="s">
        <v>266</v>
      </c>
    </row>
    <row r="104" spans="1:16">
      <c r="A104">
        <v>103</v>
      </c>
      <c r="B104">
        <v>46221</v>
      </c>
      <c r="C104" t="s">
        <v>294</v>
      </c>
      <c r="D104" t="s">
        <v>363</v>
      </c>
      <c r="F104" t="str">
        <f>IF(N104="","",IF(LEFT(N104,1)="3",IFERROR(IF(VLOOKUP($A104&amp;"L",Asignacion_3ros!$A$2:$G$9,6,FALSE)="",N104,VLOOKUP($A104&amp;"L",Asignacion_3ros!$A$2:$G$9,6,FALSE)),N104),IF(LEFT(N104,1)="W",IFERROR(IF(INDEX($J$2:$J$103,MATCH(VALUE(MID(N104,2,3)),$A$2:$A$103,0))="",N104,INDEX($J$2:$J$103,MATCH(VALUE(MID(N104,2,3)),$A$2:$A$103,0))),N104),IF(LEFT(N104,1)="L",IFERROR(IF(INDEX($J$2:$J$103,MATCH(VALUE(MID(N104,2,3)),$A$2:$A$103,0))=INDEX($F$2:$F$103,MATCH(VALUE(MID(N104,2,3)),$A$2:$A$103,0)),INDEX($G$2:$G$103,MATCH(VALUE(MID(N104,2,3)),$A$2:$A$103,0)),IF(INDEX($J$2:$J$103,MATCH(VALUE(MID(N104,2,3)),$A$2:$A$103,0))=INDEX($G$2:$G$103,MATCH(VALUE(MID(N104,2,3)),$A$2:$A$103,0)),INDEX($F$2:$F$103,MATCH(VALUE(MID(N104,2,3)),$A$2:$A$103,0)),N104)),N104),IFERROR(IF(VLOOKUP(RIGHT(N104,1)&amp;LEFT(N104,1),Clasificacion!$O$2:$Q$49,2,FALSE)="",N104,VLOOKUP(RIGHT(N104,1)&amp;LEFT(N104,1),Clasificacion!$O$2:$Q$49,2,FALSE)),N104)))))</f>
        <v>L101</v>
      </c>
      <c r="G104" t="str">
        <f>IF(O104="","",IF(LEFT(O104,1)="3",IFERROR(IF(VLOOKUP($A104&amp;"V",Asignacion_3ros!$A$2:$G$9,6,FALSE)="",O104,VLOOKUP($A104&amp;"V",Asignacion_3ros!$A$2:$G$9,6,FALSE)),O104),IF(LEFT(O104,1)="W",IFERROR(IF(INDEX($J$2:$J$103,MATCH(VALUE(MID(O104,2,3)),$A$2:$A$103,0))="",O104,INDEX($J$2:$J$103,MATCH(VALUE(MID(O104,2,3)),$A$2:$A$103,0))),O104),IF(LEFT(O104,1)="L",IFERROR(IF(INDEX($J$2:$J$103,MATCH(VALUE(MID(O104,2,3)),$A$2:$A$103,0))=INDEX($F$2:$F$103,MATCH(VALUE(MID(O104,2,3)),$A$2:$A$103,0)),INDEX($G$2:$G$103,MATCH(VALUE(MID(O104,2,3)),$A$2:$A$103,0)),IF(INDEX($J$2:$J$103,MATCH(VALUE(MID(O104,2,3)),$A$2:$A$103,0))=INDEX($G$2:$G$103,MATCH(VALUE(MID(O104,2,3)),$A$2:$A$103,0)),INDEX($F$2:$F$103,MATCH(VALUE(MID(O104,2,3)),$A$2:$A$103,0)),O104)),O104),IFERROR(IF(VLOOKUP(RIGHT(O104,1)&amp;LEFT(O104,1),Clasificacion!$O$2:$Q$49,2,FALSE)="",O104,VLOOKUP(RIGHT(O104,1)&amp;LEFT(O104,1),Clasificacion!$O$2:$Q$49,2,FALSE)),O104)))))</f>
        <v>L102</v>
      </c>
      <c r="J104" t="str">
        <f t="shared" si="3"/>
        <v/>
      </c>
      <c r="K104" t="s">
        <v>286</v>
      </c>
      <c r="L104" t="str">
        <f>IF(N104="","",IF(LEFT(N104,1)="3",IFERROR(IF(VLOOKUP($A104&amp;"L",Asignacion_3ros!$A$2:$G$9,7,FALSE)="",N104,VLOOKUP($A104&amp;"L",Asignacion_3ros!$A$2:$G$9,7,FALSE)),N104),IF(LEFT(N104,1)="W",IFERROR(IF(INDEX($J$2:$J$103,MATCH(VALUE(MID(N104,2,3)),$A$2:$A$103,0))=INDEX($F$2:$F$103,MATCH(VALUE(MID(N104,2,3)),$A$2:$A$103,0)),INDEX($L$2:$L$103,MATCH(VALUE(MID(N104,2,3)),$A$2:$A$103,0)),IF(INDEX($J$2:$J$103,MATCH(VALUE(MID(N104,2,3)),$A$2:$A$103,0))=INDEX($G$2:$G$103,MATCH(VALUE(MID(N104,2,3)),$A$2:$A$103,0)),INDEX($M$2:$M$103,MATCH(VALUE(MID(N104,2,3)),$A$2:$A$103,0)),N104)),N104),IF(LEFT(N104,1)="L",IFERROR(IF(INDEX($J$2:$J$103,MATCH(VALUE(MID(N104,2,3)),$A$2:$A$103,0))=INDEX($F$2:$F$103,MATCH(VALUE(MID(N104,2,3)),$A$2:$A$103,0)),INDEX($M$2:$M$103,MATCH(VALUE(MID(N104,2,3)),$A$2:$A$103,0)),IF(INDEX($J$2:$J$103,MATCH(VALUE(MID(N104,2,3)),$A$2:$A$103,0))=INDEX($G$2:$G$103,MATCH(VALUE(MID(N104,2,3)),$A$2:$A$103,0)),INDEX($L$2:$L$103,MATCH(VALUE(MID(N104,2,3)),$A$2:$A$103,0)),N104)),N104),IFERROR(IF(VLOOKUP(RIGHT(N104,1)&amp;LEFT(N104,1),Clasificacion!$O$2:$Q$49,3,FALSE)="",N104,VLOOKUP(RIGHT(N104,1)&amp;LEFT(N104,1),Clasificacion!$O$2:$Q$49,3,FALSE)),N104)))))</f>
        <v>L101</v>
      </c>
      <c r="M104" t="str">
        <f>IF(O104="","",IF(LEFT(O104,1)="3",IFERROR(IF(VLOOKUP($A104&amp;"V",Asignacion_3ros!$A$2:$G$9,7,FALSE)="",O104,VLOOKUP($A104&amp;"V",Asignacion_3ros!$A$2:$G$9,7,FALSE)),O104),IF(LEFT(O104,1)="W",IFERROR(IF(INDEX($J$2:$J$103,MATCH(VALUE(MID(O104,2,3)),$A$2:$A$103,0))=INDEX($F$2:$F$103,MATCH(VALUE(MID(O104,2,3)),$A$2:$A$103,0)),INDEX($L$2:$L$103,MATCH(VALUE(MID(O104,2,3)),$A$2:$A$103,0)),IF(INDEX($J$2:$J$103,MATCH(VALUE(MID(O104,2,3)),$A$2:$A$103,0))=INDEX($G$2:$G$103,MATCH(VALUE(MID(O104,2,3)),$A$2:$A$103,0)),INDEX($M$2:$M$103,MATCH(VALUE(MID(O104,2,3)),$A$2:$A$103,0)),O104)),O104),IF(LEFT(O104,1)="L",IFERROR(IF(INDEX($J$2:$J$103,MATCH(VALUE(MID(O104,2,3)),$A$2:$A$103,0))=INDEX($F$2:$F$103,MATCH(VALUE(MID(O104,2,3)),$A$2:$A$103,0)),INDEX($M$2:$M$103,MATCH(VALUE(MID(O104,2,3)),$A$2:$A$103,0)),IF(INDEX($J$2:$J$103,MATCH(VALUE(MID(O104,2,3)),$A$2:$A$103,0))=INDEX($G$2:$G$103,MATCH(VALUE(MID(O104,2,3)),$A$2:$A$103,0)),INDEX($L$2:$L$103,MATCH(VALUE(MID(O104,2,3)),$A$2:$A$103,0)),O104)),O104),IFERROR(IF(VLOOKUP(RIGHT(O104,1)&amp;LEFT(O104,1),Clasificacion!$O$2:$Q$49,3,FALSE)="",O104,VLOOKUP(RIGHT(O104,1)&amp;LEFT(O104,1),Clasificacion!$O$2:$Q$49,3,FALSE)),O104)))))</f>
        <v>L102</v>
      </c>
      <c r="N104" t="s">
        <v>364</v>
      </c>
      <c r="O104" t="s">
        <v>365</v>
      </c>
      <c r="P104" t="s">
        <v>266</v>
      </c>
    </row>
    <row r="105" spans="1:16">
      <c r="A105">
        <v>104</v>
      </c>
      <c r="B105">
        <v>46222</v>
      </c>
      <c r="C105" t="s">
        <v>264</v>
      </c>
      <c r="D105" t="s">
        <v>366</v>
      </c>
      <c r="F105" t="str">
        <f>IF(N105="","",IF(LEFT(N105,1)="3",IFERROR(VLOOKUP($A105&amp;"L",Asignacion_3ros!$A$2:$G$9,6,FALSE),""),IF(LEFT(N105,1)="W",IFERROR(INDEX($J$2:$J$104,MATCH(VALUE(MID(N105,2,3)),$A$2:$A$104,0)),""),IF(LEFT(N105,1)="L",IFERROR(IF(INDEX($J$2:$J$104,MATCH(VALUE(MID(N105,2,3)),$A$2:$A$104,0))=INDEX($F$2:$F$104,MATCH(VALUE(MID(N105,2,3)),$A$2:$A$104,0)),INDEX($G$2:$G$104,MATCH(VALUE(MID(N105,2,3)),$A$2:$A$104,0)),IF(INDEX($J$2:$J$104,MATCH(VALUE(MID(N105,2,3)),$A$2:$A$104,0))=INDEX($G$2:$G$104,MATCH(VALUE(MID(N105,2,3)),$A$2:$A$104,0)),INDEX($F$2:$F$104,MATCH(VALUE(MID(N105,2,3)),$A$2:$A$104,0)),"")),""),IFERROR(VLOOKUP(RIGHT(N105,1)&amp;LEFT(N105,1),Clasificacion!$O$2:$Q$49,2,FALSE),"")))))</f>
        <v/>
      </c>
      <c r="G105" t="str">
        <f>IF(O105="","",IF(LEFT(O105,1)="3",IFERROR(VLOOKUP($A105&amp;"V",Asignacion_3ros!$A$2:$G$9,6,FALSE),""),IF(LEFT(O105,1)="W",IFERROR(INDEX($J$2:$J$104,MATCH(VALUE(MID(O105,2,3)),$A$2:$A$104,0)),""),IF(LEFT(O105,1)="L",IFERROR(IF(INDEX($J$2:$J$104,MATCH(VALUE(MID(O105,2,3)),$A$2:$A$104,0))=INDEX($F$2:$F$104,MATCH(VALUE(MID(O105,2,3)),$A$2:$A$104,0)),INDEX($G$2:$G$104,MATCH(VALUE(MID(O105,2,3)),$A$2:$A$104,0)),IF(INDEX($J$2:$J$104,MATCH(VALUE(MID(O105,2,3)),$A$2:$A$104,0))=INDEX($G$2:$G$104,MATCH(VALUE(MID(O105,2,3)),$A$2:$A$104,0)),INDEX($F$2:$F$104,MATCH(VALUE(MID(O105,2,3)),$A$2:$A$104,0)),"")),""),IFERROR(VLOOKUP(RIGHT(O105,1)&amp;LEFT(O105,1),Clasificacion!$O$2:$Q$49,2,FALSE),"")))))</f>
        <v/>
      </c>
      <c r="J105" t="str">
        <f t="shared" si="3"/>
        <v/>
      </c>
      <c r="K105" t="s">
        <v>277</v>
      </c>
      <c r="L105" t="str">
        <f>IF(N105="","",IF(LEFT(N105,1)="3",IFERROR(VLOOKUP($A105&amp;"L",Asignacion_3ros!$A$2:$G$9,7,FALSE),""),IF(LEFT(N105,1)="W",IFERROR(IF(INDEX($J$2:$J$104,MATCH(VALUE(MID(N105,2,3)),$A$2:$A$104,0))=INDEX($F$2:$F$104,MATCH(VALUE(MID(N105,2,3)),$A$2:$A$104,0)),INDEX($L$2:$L$104,MATCH(VALUE(MID(N105,2,3)),$A$2:$A$104,0)),IF(INDEX($J$2:$J$104,MATCH(VALUE(MID(N105,2,3)),$A$2:$A$104,0))=INDEX($G$2:$G$104,MATCH(VALUE(MID(N105,2,3)),$A$2:$A$104,0)),INDEX($M$2:$M$104,MATCH(VALUE(MID(N105,2,3)),$A$2:$A$104,0)),"")),""),IF(LEFT(N105,1)="L",IFERROR(IF(INDEX($J$2:$J$104,MATCH(VALUE(MID(N105,2,3)),$A$2:$A$104,0))=INDEX($F$2:$F$104,MATCH(VALUE(MID(N105,2,3)),$A$2:$A$104,0)),INDEX($M$2:$M$104,MATCH(VALUE(MID(N105,2,3)),$A$2:$A$104,0)),IF(INDEX($J$2:$J$104,MATCH(VALUE(MID(N105,2,3)),$A$2:$A$104,0))=INDEX($G$2:$G$104,MATCH(VALUE(MID(N105,2,3)),$A$2:$A$104,0)),INDEX($L$2:$L$104,MATCH(VALUE(MID(N105,2,3)),$A$2:$A$104,0)),"")),""),IFERROR(VLOOKUP(RIGHT(N105,1)&amp;LEFT(N105,1),Clasificacion!$O$2:$Q$49,3,FALSE),"")))))</f>
        <v/>
      </c>
      <c r="M105" t="str">
        <f>IF(O105="","",IF(LEFT(O105,1)="3",IFERROR(VLOOKUP($A105&amp;"V",Asignacion_3ros!$A$2:$G$9,7,FALSE),""),IF(LEFT(O105,1)="W",IFERROR(IF(INDEX($J$2:$J$104,MATCH(VALUE(MID(O105,2,3)),$A$2:$A$104,0))=INDEX($F$2:$F$104,MATCH(VALUE(MID(O105,2,3)),$A$2:$A$104,0)),INDEX($L$2:$L$104,MATCH(VALUE(MID(O105,2,3)),$A$2:$A$104,0)),IF(INDEX($J$2:$J$104,MATCH(VALUE(MID(O105,2,3)),$A$2:$A$104,0))=INDEX($G$2:$G$104,MATCH(VALUE(MID(O105,2,3)),$A$2:$A$104,0)),INDEX($M$2:$M$104,MATCH(VALUE(MID(O105,2,3)),$A$2:$A$104,0)),"")),""),IF(LEFT(O105,1)="L",IFERROR(IF(INDEX($J$2:$J$104,MATCH(VALUE(MID(O105,2,3)),$A$2:$A$104,0))=INDEX($F$2:$F$104,MATCH(VALUE(MID(O105,2,3)),$A$2:$A$104,0)),INDEX($M$2:$M$104,MATCH(VALUE(MID(O105,2,3)),$A$2:$A$104,0)),IF(INDEX($J$2:$J$104,MATCH(VALUE(MID(O105,2,3)),$A$2:$A$104,0))=INDEX($G$2:$G$104,MATCH(VALUE(MID(O105,2,3)),$A$2:$A$104,0)),INDEX($L$2:$L$104,MATCH(VALUE(MID(O105,2,3)),$A$2:$A$104,0)),"")),""),IFERROR(VLOOKUP(RIGHT(O105,1)&amp;LEFT(O105,1),Clasificacion!$O$2:$Q$49,3,FALSE),"")))))</f>
        <v/>
      </c>
      <c r="N105" t="s">
        <v>367</v>
      </c>
      <c r="O105" t="s">
        <v>368</v>
      </c>
      <c r="P105" t="s">
        <v>266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zoomScale="80" zoomScaleNormal="80" workbookViewId="0">
      <pane xSplit="1" topLeftCell="B1" activePane="topRight" state="frozen"/>
      <selection pane="topRight" activeCell="M11" sqref="L11:M11"/>
    </sheetView>
  </sheetViews>
  <sheetFormatPr baseColWidth="10" defaultColWidth="11" defaultRowHeight="15"/>
  <cols>
    <col min="1" max="1" width="24.25" style="9" customWidth="1"/>
    <col min="2" max="2" width="10.375" style="29" customWidth="1"/>
    <col min="3" max="3" width="15.5" style="29" customWidth="1"/>
    <col min="4" max="4" width="9.875" style="30" hidden="1" customWidth="1"/>
    <col min="5" max="5" width="10.375" style="29" customWidth="1"/>
    <col min="6" max="6" width="9.125" style="9" customWidth="1"/>
    <col min="7" max="7" width="9.75" style="9" customWidth="1"/>
    <col min="8" max="8" width="11.625" style="29" customWidth="1"/>
    <col min="9" max="16384" width="11" style="9"/>
  </cols>
  <sheetData>
    <row r="1" spans="1:9" ht="19.5" thickBot="1">
      <c r="A1" s="54"/>
      <c r="B1" s="55" t="str">
        <f>Participantes!C$1</f>
        <v>México</v>
      </c>
      <c r="C1" s="76" t="str">
        <f>Participantes!D$1</f>
        <v>Sudáfrica</v>
      </c>
      <c r="D1" s="77"/>
      <c r="E1" s="56" t="s">
        <v>229</v>
      </c>
      <c r="F1" s="55" t="str">
        <f>Participantes!E$1</f>
        <v>Corea</v>
      </c>
      <c r="G1" s="64" t="str">
        <f>Participantes!F$1</f>
        <v>Chequia</v>
      </c>
      <c r="H1" s="56" t="s">
        <v>231</v>
      </c>
      <c r="I1" s="33" t="s">
        <v>910</v>
      </c>
    </row>
    <row r="2" spans="1:9" s="15" customFormat="1" ht="20.25" hidden="1" thickTop="1" thickBot="1">
      <c r="A2" s="10" t="s">
        <v>241</v>
      </c>
      <c r="B2" s="57" t="str">
        <f>B1</f>
        <v>México</v>
      </c>
      <c r="C2" s="11" t="str">
        <f>C1</f>
        <v>Sudáfrica</v>
      </c>
      <c r="D2" s="12" t="s">
        <v>242</v>
      </c>
      <c r="E2" s="58" t="s">
        <v>243</v>
      </c>
      <c r="F2" s="65" t="str">
        <f>F1</f>
        <v>Corea</v>
      </c>
      <c r="G2" s="14" t="str">
        <f>G1</f>
        <v>Chequia</v>
      </c>
      <c r="H2" s="66" t="s">
        <v>233</v>
      </c>
    </row>
    <row r="3" spans="1:9" s="15" customFormat="1" ht="20.25" thickTop="1" thickBot="1">
      <c r="A3" s="16" t="s">
        <v>247</v>
      </c>
      <c r="B3" s="59" t="str">
        <f>Grupo!B3</f>
        <v/>
      </c>
      <c r="C3" s="17" t="str">
        <f>Grupo!C3</f>
        <v/>
      </c>
      <c r="D3" s="17">
        <f>Grupo!D3</f>
        <v>0</v>
      </c>
      <c r="E3" s="60"/>
      <c r="F3" s="59" t="str">
        <f>Grupo!G3</f>
        <v/>
      </c>
      <c r="G3" s="17" t="str">
        <f>Grupo!H3</f>
        <v/>
      </c>
      <c r="H3" s="60"/>
      <c r="I3" s="34"/>
    </row>
    <row r="4" spans="1:9" ht="20.25" thickTop="1" thickBot="1">
      <c r="A4" s="21" t="str">
        <f>Participantes!B2</f>
        <v>Alberto</v>
      </c>
      <c r="B4" s="59">
        <f>Grupo!B4</f>
        <v>1</v>
      </c>
      <c r="C4" s="17">
        <f>Grupo!C4</f>
        <v>1</v>
      </c>
      <c r="D4" s="17">
        <f>Grupo!D4</f>
        <v>0</v>
      </c>
      <c r="E4" s="60" t="str">
        <f>Grupo!E4</f>
        <v/>
      </c>
      <c r="F4" s="59">
        <f>Grupo!G4</f>
        <v>2</v>
      </c>
      <c r="G4" s="17">
        <f>Grupo!H4</f>
        <v>0</v>
      </c>
      <c r="H4" s="60" t="str">
        <f>Grupo!I4</f>
        <v/>
      </c>
      <c r="I4" s="34">
        <f>Grupo!BS4</f>
        <v>0</v>
      </c>
    </row>
    <row r="5" spans="1:9" ht="20.25" thickTop="1" thickBot="1">
      <c r="A5" s="21" t="str">
        <f>Participantes!B3</f>
        <v>Alexander</v>
      </c>
      <c r="B5" s="59">
        <f>Grupo!B5</f>
        <v>2</v>
      </c>
      <c r="C5" s="17">
        <f>Grupo!C5</f>
        <v>0</v>
      </c>
      <c r="D5" s="17">
        <f>Grupo!D5</f>
        <v>0</v>
      </c>
      <c r="E5" s="60" t="str">
        <f>Grupo!E5</f>
        <v/>
      </c>
      <c r="F5" s="59">
        <f>Grupo!G5</f>
        <v>1</v>
      </c>
      <c r="G5" s="17">
        <f>Grupo!H5</f>
        <v>1</v>
      </c>
      <c r="H5" s="60" t="str">
        <f>Grupo!I5</f>
        <v/>
      </c>
      <c r="I5" s="34">
        <f>Grupo!BS5</f>
        <v>0</v>
      </c>
    </row>
    <row r="6" spans="1:9" ht="20.25" thickTop="1" thickBot="1">
      <c r="A6" s="21" t="str">
        <f>Participantes!B4</f>
        <v>Alfredo 1</v>
      </c>
      <c r="B6" s="59">
        <f>Grupo!B6</f>
        <v>2</v>
      </c>
      <c r="C6" s="17">
        <f>Grupo!C6</f>
        <v>1</v>
      </c>
      <c r="D6" s="17">
        <f>Grupo!D6</f>
        <v>0</v>
      </c>
      <c r="E6" s="60" t="str">
        <f>Grupo!E6</f>
        <v/>
      </c>
      <c r="F6" s="59">
        <f>Grupo!G6</f>
        <v>1</v>
      </c>
      <c r="G6" s="17">
        <f>Grupo!H6</f>
        <v>1</v>
      </c>
      <c r="H6" s="60" t="str">
        <f>Grupo!I6</f>
        <v/>
      </c>
      <c r="I6" s="34">
        <f>Grupo!BS6</f>
        <v>0</v>
      </c>
    </row>
    <row r="7" spans="1:9" ht="20.25" thickTop="1" thickBot="1">
      <c r="A7" s="21" t="str">
        <f>Participantes!B5</f>
        <v>Alfredo 2</v>
      </c>
      <c r="B7" s="59">
        <f>Grupo!B7</f>
        <v>2</v>
      </c>
      <c r="C7" s="17">
        <f>Grupo!C7</f>
        <v>0</v>
      </c>
      <c r="D7" s="17">
        <f>Grupo!D7</f>
        <v>0</v>
      </c>
      <c r="E7" s="60" t="str">
        <f>Grupo!E7</f>
        <v/>
      </c>
      <c r="F7" s="59">
        <f>Grupo!G7</f>
        <v>0</v>
      </c>
      <c r="G7" s="17">
        <f>Grupo!H7</f>
        <v>1</v>
      </c>
      <c r="H7" s="60" t="str">
        <f>Grupo!I7</f>
        <v/>
      </c>
      <c r="I7" s="34">
        <f>Grupo!BS7</f>
        <v>0</v>
      </c>
    </row>
    <row r="8" spans="1:9" ht="20.25" thickTop="1" thickBot="1">
      <c r="A8" s="21" t="str">
        <f>Participantes!B6</f>
        <v>Aneth</v>
      </c>
      <c r="B8" s="59">
        <f>Grupo!B8</f>
        <v>2</v>
      </c>
      <c r="C8" s="17">
        <f>Grupo!C8</f>
        <v>0</v>
      </c>
      <c r="D8" s="17">
        <f>Grupo!D8</f>
        <v>0</v>
      </c>
      <c r="E8" s="60" t="str">
        <f>Grupo!E8</f>
        <v/>
      </c>
      <c r="F8" s="59">
        <f>Grupo!G8</f>
        <v>1</v>
      </c>
      <c r="G8" s="17">
        <f>Grupo!H8</f>
        <v>1</v>
      </c>
      <c r="H8" s="60" t="str">
        <f>Grupo!I8</f>
        <v/>
      </c>
      <c r="I8" s="34">
        <f>Grupo!BS8</f>
        <v>0</v>
      </c>
    </row>
    <row r="9" spans="1:9" ht="20.25" thickTop="1" thickBot="1">
      <c r="A9" s="21" t="str">
        <f>Participantes!B7</f>
        <v>Antonio</v>
      </c>
      <c r="B9" s="59">
        <f>Grupo!B9</f>
        <v>2</v>
      </c>
      <c r="C9" s="17">
        <f>Grupo!C9</f>
        <v>0</v>
      </c>
      <c r="D9" s="17">
        <f>Grupo!D9</f>
        <v>0</v>
      </c>
      <c r="E9" s="60" t="str">
        <f>Grupo!E9</f>
        <v/>
      </c>
      <c r="F9" s="59">
        <f>Grupo!G9</f>
        <v>1</v>
      </c>
      <c r="G9" s="17">
        <f>Grupo!H9</f>
        <v>1</v>
      </c>
      <c r="H9" s="60" t="str">
        <f>Grupo!I9</f>
        <v/>
      </c>
      <c r="I9" s="34">
        <f>Grupo!BS9</f>
        <v>0</v>
      </c>
    </row>
    <row r="10" spans="1:9" ht="20.25" thickTop="1" thickBot="1">
      <c r="A10" s="21" t="str">
        <f>Participantes!B8</f>
        <v>Carlos</v>
      </c>
      <c r="B10" s="59">
        <f>Grupo!B10</f>
        <v>2</v>
      </c>
      <c r="C10" s="17">
        <f>Grupo!C10</f>
        <v>1</v>
      </c>
      <c r="D10" s="17">
        <f>Grupo!D10</f>
        <v>0</v>
      </c>
      <c r="E10" s="60" t="str">
        <f>Grupo!E10</f>
        <v/>
      </c>
      <c r="F10" s="59">
        <f>Grupo!G10</f>
        <v>1</v>
      </c>
      <c r="G10" s="17">
        <f>Grupo!H10</f>
        <v>1</v>
      </c>
      <c r="H10" s="60" t="str">
        <f>Grupo!I10</f>
        <v/>
      </c>
      <c r="I10" s="34">
        <f>Grupo!BS10</f>
        <v>0</v>
      </c>
    </row>
    <row r="11" spans="1:9" ht="20.25" thickTop="1" thickBot="1">
      <c r="A11" s="21" t="str">
        <f>Participantes!B9</f>
        <v>Castillo L.</v>
      </c>
      <c r="B11" s="59">
        <f>Grupo!B11</f>
        <v>2</v>
      </c>
      <c r="C11" s="17">
        <f>Grupo!C11</f>
        <v>1</v>
      </c>
      <c r="D11" s="17">
        <f>Grupo!D11</f>
        <v>0</v>
      </c>
      <c r="E11" s="60" t="str">
        <f>Grupo!E11</f>
        <v/>
      </c>
      <c r="F11" s="59">
        <f>Grupo!G11</f>
        <v>2</v>
      </c>
      <c r="G11" s="17">
        <f>Grupo!H11</f>
        <v>1</v>
      </c>
      <c r="H11" s="60" t="str">
        <f>Grupo!I11</f>
        <v/>
      </c>
      <c r="I11" s="34">
        <f>Grupo!BS11</f>
        <v>0</v>
      </c>
    </row>
    <row r="12" spans="1:9" ht="20.25" thickTop="1" thickBot="1">
      <c r="A12" s="21" t="str">
        <f>Participantes!B10</f>
        <v>Christofer</v>
      </c>
      <c r="B12" s="59">
        <f>Grupo!B12</f>
        <v>2</v>
      </c>
      <c r="C12" s="17">
        <f>Grupo!C12</f>
        <v>3</v>
      </c>
      <c r="D12" s="17">
        <f>Grupo!D12</f>
        <v>0</v>
      </c>
      <c r="E12" s="60" t="str">
        <f>Grupo!E12</f>
        <v/>
      </c>
      <c r="F12" s="59">
        <f>Grupo!G12</f>
        <v>1</v>
      </c>
      <c r="G12" s="17">
        <f>Grupo!H12</f>
        <v>1</v>
      </c>
      <c r="H12" s="60" t="str">
        <f>Grupo!I12</f>
        <v/>
      </c>
      <c r="I12" s="34">
        <f>Grupo!BS12</f>
        <v>0</v>
      </c>
    </row>
    <row r="13" spans="1:9" ht="20.25" thickTop="1" thickBot="1">
      <c r="A13" s="21" t="str">
        <f>Participantes!B11</f>
        <v>Cynthia</v>
      </c>
      <c r="B13" s="59">
        <f>Grupo!B13</f>
        <v>1</v>
      </c>
      <c r="C13" s="17">
        <f>Grupo!C13</f>
        <v>2</v>
      </c>
      <c r="D13" s="17">
        <f>Grupo!D13</f>
        <v>0</v>
      </c>
      <c r="E13" s="60" t="str">
        <f>Grupo!E13</f>
        <v/>
      </c>
      <c r="F13" s="59">
        <f>Grupo!G13</f>
        <v>1</v>
      </c>
      <c r="G13" s="17">
        <f>Grupo!H13</f>
        <v>0</v>
      </c>
      <c r="H13" s="60" t="str">
        <f>Grupo!I13</f>
        <v/>
      </c>
      <c r="I13" s="34">
        <f>Grupo!BS13</f>
        <v>0</v>
      </c>
    </row>
    <row r="14" spans="1:9" ht="20.25" thickTop="1" thickBot="1">
      <c r="A14" s="21" t="str">
        <f>Participantes!B12</f>
        <v>Edward</v>
      </c>
      <c r="B14" s="59">
        <f>Grupo!B14</f>
        <v>2</v>
      </c>
      <c r="C14" s="17">
        <f>Grupo!C14</f>
        <v>0</v>
      </c>
      <c r="D14" s="17">
        <f>Grupo!D14</f>
        <v>0</v>
      </c>
      <c r="E14" s="60" t="str">
        <f>Grupo!E14</f>
        <v/>
      </c>
      <c r="F14" s="59">
        <f>Grupo!G14</f>
        <v>2</v>
      </c>
      <c r="G14" s="17">
        <f>Grupo!H14</f>
        <v>1</v>
      </c>
      <c r="H14" s="60" t="str">
        <f>Grupo!I14</f>
        <v/>
      </c>
      <c r="I14" s="34">
        <f>Grupo!BS14</f>
        <v>0</v>
      </c>
    </row>
    <row r="15" spans="1:9" ht="20.25" thickTop="1" thickBot="1">
      <c r="A15" s="21" t="str">
        <f>Participantes!B13</f>
        <v>Espinosa L.</v>
      </c>
      <c r="B15" s="59">
        <f>Grupo!B15</f>
        <v>2</v>
      </c>
      <c r="C15" s="17">
        <f>Grupo!C15</f>
        <v>1</v>
      </c>
      <c r="D15" s="17">
        <f>Grupo!D15</f>
        <v>0</v>
      </c>
      <c r="E15" s="60" t="str">
        <f>Grupo!E15</f>
        <v/>
      </c>
      <c r="F15" s="59">
        <f>Grupo!G15</f>
        <v>1</v>
      </c>
      <c r="G15" s="17">
        <f>Grupo!H15</f>
        <v>0</v>
      </c>
      <c r="H15" s="60" t="str">
        <f>Grupo!I15</f>
        <v/>
      </c>
      <c r="I15" s="34">
        <f>Grupo!BS15</f>
        <v>0</v>
      </c>
    </row>
    <row r="16" spans="1:9" ht="20.25" thickTop="1" thickBot="1">
      <c r="A16" s="21" t="str">
        <f>Participantes!B14</f>
        <v>Frida</v>
      </c>
      <c r="B16" s="59">
        <f>Grupo!B16</f>
        <v>2</v>
      </c>
      <c r="C16" s="17">
        <f>Grupo!C16</f>
        <v>0</v>
      </c>
      <c r="D16" s="17">
        <f>Grupo!D16</f>
        <v>0</v>
      </c>
      <c r="E16" s="60" t="str">
        <f>Grupo!E16</f>
        <v/>
      </c>
      <c r="F16" s="59">
        <f>Grupo!G16</f>
        <v>1</v>
      </c>
      <c r="G16" s="17">
        <f>Grupo!H16</f>
        <v>1</v>
      </c>
      <c r="H16" s="60" t="str">
        <f>Grupo!I16</f>
        <v/>
      </c>
      <c r="I16" s="34">
        <f>Grupo!BS16</f>
        <v>0</v>
      </c>
    </row>
    <row r="17" spans="1:9" ht="20.25" thickTop="1" thickBot="1">
      <c r="A17" s="21" t="str">
        <f>Participantes!B15</f>
        <v>Isabel 1</v>
      </c>
      <c r="B17" s="59">
        <f>Grupo!B17</f>
        <v>3</v>
      </c>
      <c r="C17" s="17">
        <f>Grupo!C17</f>
        <v>1</v>
      </c>
      <c r="D17" s="17">
        <f>Grupo!D17</f>
        <v>0</v>
      </c>
      <c r="E17" s="60" t="str">
        <f>Grupo!E17</f>
        <v/>
      </c>
      <c r="F17" s="59">
        <f>Grupo!G17</f>
        <v>1</v>
      </c>
      <c r="G17" s="17">
        <f>Grupo!H17</f>
        <v>1</v>
      </c>
      <c r="H17" s="60" t="str">
        <f>Grupo!I17</f>
        <v/>
      </c>
      <c r="I17" s="34">
        <f>Grupo!BS17</f>
        <v>0</v>
      </c>
    </row>
    <row r="18" spans="1:9" ht="20.25" thickTop="1" thickBot="1">
      <c r="A18" s="21" t="str">
        <f>Participantes!B16</f>
        <v>Isabel 2</v>
      </c>
      <c r="B18" s="59">
        <f>Grupo!B18</f>
        <v>1</v>
      </c>
      <c r="C18" s="17">
        <f>Grupo!C18</f>
        <v>0</v>
      </c>
      <c r="D18" s="17">
        <f>Grupo!D18</f>
        <v>0</v>
      </c>
      <c r="E18" s="60" t="str">
        <f>Grupo!E18</f>
        <v/>
      </c>
      <c r="F18" s="59">
        <f>Grupo!G18</f>
        <v>2</v>
      </c>
      <c r="G18" s="17">
        <f>Grupo!H18</f>
        <v>0</v>
      </c>
      <c r="H18" s="60" t="str">
        <f>Grupo!I18</f>
        <v/>
      </c>
      <c r="I18" s="34">
        <f>Grupo!BS18</f>
        <v>0</v>
      </c>
    </row>
    <row r="19" spans="1:9" ht="20.25" thickTop="1" thickBot="1">
      <c r="A19" s="21" t="str">
        <f>Participantes!B17</f>
        <v>Javier</v>
      </c>
      <c r="B19" s="59">
        <f>Grupo!B19</f>
        <v>2</v>
      </c>
      <c r="C19" s="17">
        <f>Grupo!C19</f>
        <v>0</v>
      </c>
      <c r="D19" s="17">
        <f>Grupo!D19</f>
        <v>0</v>
      </c>
      <c r="E19" s="60" t="str">
        <f>Grupo!E19</f>
        <v/>
      </c>
      <c r="F19" s="59">
        <f>Grupo!G19</f>
        <v>3</v>
      </c>
      <c r="G19" s="17">
        <f>Grupo!H19</f>
        <v>1</v>
      </c>
      <c r="H19" s="60" t="str">
        <f>Grupo!I19</f>
        <v/>
      </c>
      <c r="I19" s="34">
        <f>Grupo!BS19</f>
        <v>0</v>
      </c>
    </row>
    <row r="20" spans="1:9" ht="20.25" thickTop="1" thickBot="1">
      <c r="A20" s="21" t="str">
        <f>Participantes!B18</f>
        <v>Jose C 1</v>
      </c>
      <c r="B20" s="59">
        <f>Grupo!B20</f>
        <v>0</v>
      </c>
      <c r="C20" s="17">
        <f>Grupo!C20</f>
        <v>1</v>
      </c>
      <c r="D20" s="17">
        <f>Grupo!D20</f>
        <v>0</v>
      </c>
      <c r="E20" s="60" t="str">
        <f>Grupo!E20</f>
        <v/>
      </c>
      <c r="F20" s="59">
        <f>Grupo!G20</f>
        <v>1</v>
      </c>
      <c r="G20" s="17">
        <f>Grupo!H20</f>
        <v>1</v>
      </c>
      <c r="H20" s="60" t="str">
        <f>Grupo!I20</f>
        <v/>
      </c>
      <c r="I20" s="34">
        <f>Grupo!BS20</f>
        <v>0</v>
      </c>
    </row>
    <row r="21" spans="1:9" ht="20.25" thickTop="1" thickBot="1">
      <c r="A21" s="21" t="str">
        <f>Participantes!B19</f>
        <v>Jose C 2</v>
      </c>
      <c r="B21" s="59">
        <f>Grupo!B21</f>
        <v>1</v>
      </c>
      <c r="C21" s="17">
        <f>Grupo!C21</f>
        <v>0</v>
      </c>
      <c r="D21" s="17">
        <f>Grupo!D21</f>
        <v>0</v>
      </c>
      <c r="E21" s="60" t="str">
        <f>Grupo!E21</f>
        <v/>
      </c>
      <c r="F21" s="59">
        <f>Grupo!G21</f>
        <v>2</v>
      </c>
      <c r="G21" s="17">
        <f>Grupo!H21</f>
        <v>1</v>
      </c>
      <c r="H21" s="60" t="str">
        <f>Grupo!I21</f>
        <v/>
      </c>
      <c r="I21" s="34">
        <f>Grupo!BS21</f>
        <v>0</v>
      </c>
    </row>
    <row r="22" spans="1:9" ht="20.25" thickTop="1" thickBot="1">
      <c r="A22" s="21" t="str">
        <f>Participantes!B20</f>
        <v>Jose C Ahiza</v>
      </c>
      <c r="B22" s="59">
        <f>Grupo!B22</f>
        <v>2</v>
      </c>
      <c r="C22" s="17">
        <f>Grupo!C22</f>
        <v>1</v>
      </c>
      <c r="D22" s="17">
        <f>Grupo!D22</f>
        <v>0</v>
      </c>
      <c r="E22" s="60" t="str">
        <f>Grupo!E22</f>
        <v/>
      </c>
      <c r="F22" s="59">
        <f>Grupo!G22</f>
        <v>2</v>
      </c>
      <c r="G22" s="17">
        <f>Grupo!H22</f>
        <v>1</v>
      </c>
      <c r="H22" s="60" t="str">
        <f>Grupo!I22</f>
        <v/>
      </c>
      <c r="I22" s="34">
        <f>Grupo!BS22</f>
        <v>0</v>
      </c>
    </row>
    <row r="23" spans="1:9" ht="20.25" thickTop="1" thickBot="1">
      <c r="A23" s="21" t="str">
        <f>Participantes!B21</f>
        <v>Jose C Ana</v>
      </c>
      <c r="B23" s="59">
        <f>Grupo!B23</f>
        <v>4</v>
      </c>
      <c r="C23" s="17">
        <f>Grupo!C23</f>
        <v>2</v>
      </c>
      <c r="D23" s="17">
        <f>Grupo!D23</f>
        <v>0</v>
      </c>
      <c r="E23" s="60" t="str">
        <f>Grupo!E23</f>
        <v/>
      </c>
      <c r="F23" s="59">
        <f>Grupo!G23</f>
        <v>3</v>
      </c>
      <c r="G23" s="17">
        <f>Grupo!H23</f>
        <v>1</v>
      </c>
      <c r="H23" s="60" t="str">
        <f>Grupo!I23</f>
        <v/>
      </c>
      <c r="I23" s="34">
        <f>Grupo!BS23</f>
        <v>0</v>
      </c>
    </row>
    <row r="24" spans="1:9" ht="20.25" thickTop="1" thickBot="1">
      <c r="A24" s="21" t="str">
        <f>Participantes!B22</f>
        <v>Jose C Judith</v>
      </c>
      <c r="B24" s="59">
        <f>Grupo!B24</f>
        <v>3</v>
      </c>
      <c r="C24" s="17">
        <f>Grupo!C24</f>
        <v>2</v>
      </c>
      <c r="D24" s="17">
        <f>Grupo!D24</f>
        <v>0</v>
      </c>
      <c r="E24" s="60" t="str">
        <f>Grupo!E24</f>
        <v/>
      </c>
      <c r="F24" s="59">
        <f>Grupo!G24</f>
        <v>2</v>
      </c>
      <c r="G24" s="17">
        <f>Grupo!H24</f>
        <v>2</v>
      </c>
      <c r="H24" s="60" t="str">
        <f>Grupo!I24</f>
        <v/>
      </c>
      <c r="I24" s="34">
        <f>Grupo!BS24</f>
        <v>0</v>
      </c>
    </row>
    <row r="25" spans="1:9" ht="20.25" thickTop="1" thickBot="1">
      <c r="A25" s="21" t="str">
        <f>Participantes!B23</f>
        <v>José de León</v>
      </c>
      <c r="B25" s="59">
        <f>Grupo!B25</f>
        <v>2</v>
      </c>
      <c r="C25" s="17">
        <f>Grupo!C25</f>
        <v>1</v>
      </c>
      <c r="D25" s="17">
        <f>Grupo!D25</f>
        <v>0</v>
      </c>
      <c r="E25" s="60" t="str">
        <f>Grupo!E25</f>
        <v/>
      </c>
      <c r="F25" s="59">
        <f>Grupo!G25</f>
        <v>2</v>
      </c>
      <c r="G25" s="17">
        <f>Grupo!H25</f>
        <v>1</v>
      </c>
      <c r="H25" s="60" t="str">
        <f>Grupo!I25</f>
        <v/>
      </c>
      <c r="I25" s="34">
        <f>Grupo!BS25</f>
        <v>0</v>
      </c>
    </row>
    <row r="26" spans="1:9" ht="20.25" thickTop="1" thickBot="1">
      <c r="A26" s="21" t="str">
        <f>Participantes!B24</f>
        <v>Jovanna</v>
      </c>
      <c r="B26" s="59">
        <f>Grupo!B26</f>
        <v>5</v>
      </c>
      <c r="C26" s="17">
        <f>Grupo!C26</f>
        <v>2</v>
      </c>
      <c r="D26" s="17">
        <f>Grupo!D26</f>
        <v>0</v>
      </c>
      <c r="E26" s="60" t="str">
        <f>Grupo!E26</f>
        <v/>
      </c>
      <c r="F26" s="59">
        <f>Grupo!G26</f>
        <v>1</v>
      </c>
      <c r="G26" s="17">
        <f>Grupo!H26</f>
        <v>3</v>
      </c>
      <c r="H26" s="60" t="str">
        <f>Grupo!I26</f>
        <v/>
      </c>
      <c r="I26" s="34">
        <f>Grupo!BS26</f>
        <v>0</v>
      </c>
    </row>
    <row r="27" spans="1:9" ht="20.25" thickTop="1" thickBot="1">
      <c r="A27" s="21" t="str">
        <f>Participantes!B25</f>
        <v>Karina</v>
      </c>
      <c r="B27" s="59">
        <f>Grupo!B27</f>
        <v>3</v>
      </c>
      <c r="C27" s="17">
        <f>Grupo!C27</f>
        <v>1</v>
      </c>
      <c r="D27" s="17">
        <f>Grupo!D27</f>
        <v>0</v>
      </c>
      <c r="E27" s="60" t="str">
        <f>Grupo!E27</f>
        <v/>
      </c>
      <c r="F27" s="59">
        <f>Grupo!G27</f>
        <v>1</v>
      </c>
      <c r="G27" s="17">
        <f>Grupo!H27</f>
        <v>2</v>
      </c>
      <c r="H27" s="60" t="str">
        <f>Grupo!I27</f>
        <v/>
      </c>
      <c r="I27" s="34">
        <f>Grupo!BS27</f>
        <v>0</v>
      </c>
    </row>
    <row r="28" spans="1:9" ht="20.25" thickTop="1" thickBot="1">
      <c r="A28" s="21" t="str">
        <f>Participantes!B26</f>
        <v>Kattia 1</v>
      </c>
      <c r="B28" s="59">
        <f>Grupo!B28</f>
        <v>2</v>
      </c>
      <c r="C28" s="17">
        <f>Grupo!C28</f>
        <v>1</v>
      </c>
      <c r="D28" s="17">
        <f>Grupo!D28</f>
        <v>0</v>
      </c>
      <c r="E28" s="60" t="str">
        <f>Grupo!E28</f>
        <v/>
      </c>
      <c r="F28" s="59">
        <f>Grupo!G28</f>
        <v>2</v>
      </c>
      <c r="G28" s="17">
        <f>Grupo!H28</f>
        <v>0</v>
      </c>
      <c r="H28" s="60" t="str">
        <f>Grupo!I28</f>
        <v/>
      </c>
      <c r="I28" s="34">
        <f>Grupo!BS28</f>
        <v>0</v>
      </c>
    </row>
    <row r="29" spans="1:9" ht="20.25" thickTop="1" thickBot="1">
      <c r="A29" s="21" t="str">
        <f>Participantes!B27</f>
        <v>Kattia 2</v>
      </c>
      <c r="B29" s="59">
        <f>Grupo!B29</f>
        <v>2</v>
      </c>
      <c r="C29" s="17">
        <f>Grupo!C29</f>
        <v>0</v>
      </c>
      <c r="D29" s="17">
        <f>Grupo!D29</f>
        <v>0</v>
      </c>
      <c r="E29" s="60" t="str">
        <f>Grupo!E29</f>
        <v/>
      </c>
      <c r="F29" s="59">
        <f>Grupo!G29</f>
        <v>1</v>
      </c>
      <c r="G29" s="17">
        <f>Grupo!H29</f>
        <v>1</v>
      </c>
      <c r="H29" s="60" t="str">
        <f>Grupo!I29</f>
        <v/>
      </c>
      <c r="I29" s="34">
        <f>Grupo!BS29</f>
        <v>0</v>
      </c>
    </row>
    <row r="30" spans="1:9" ht="20.25" thickTop="1" thickBot="1">
      <c r="A30" s="21" t="str">
        <f>Participantes!B28</f>
        <v>Kevin</v>
      </c>
      <c r="B30" s="59">
        <f>Grupo!B30</f>
        <v>2</v>
      </c>
      <c r="C30" s="17">
        <f>Grupo!C30</f>
        <v>0</v>
      </c>
      <c r="D30" s="17">
        <f>Grupo!D30</f>
        <v>0</v>
      </c>
      <c r="E30" s="60" t="str">
        <f>Grupo!E30</f>
        <v/>
      </c>
      <c r="F30" s="59">
        <f>Grupo!G30</f>
        <v>1</v>
      </c>
      <c r="G30" s="17">
        <f>Grupo!H30</f>
        <v>1</v>
      </c>
      <c r="H30" s="60" t="str">
        <f>Grupo!I30</f>
        <v/>
      </c>
      <c r="I30" s="34">
        <f>Grupo!BS30</f>
        <v>0</v>
      </c>
    </row>
    <row r="31" spans="1:9" ht="20.25" thickTop="1" thickBot="1">
      <c r="A31" s="21" t="str">
        <f>Participantes!B29</f>
        <v>Lizka</v>
      </c>
      <c r="B31" s="59">
        <f>Grupo!B31</f>
        <v>2</v>
      </c>
      <c r="C31" s="17">
        <f>Grupo!C31</f>
        <v>0</v>
      </c>
      <c r="D31" s="17">
        <f>Grupo!D31</f>
        <v>0</v>
      </c>
      <c r="E31" s="60" t="str">
        <f>Grupo!E31</f>
        <v/>
      </c>
      <c r="F31" s="59">
        <f>Grupo!G31</f>
        <v>1</v>
      </c>
      <c r="G31" s="17">
        <f>Grupo!H31</f>
        <v>1</v>
      </c>
      <c r="H31" s="60" t="str">
        <f>Grupo!I31</f>
        <v/>
      </c>
      <c r="I31" s="34">
        <f>Grupo!BS31</f>
        <v>0</v>
      </c>
    </row>
    <row r="32" spans="1:9" ht="20.25" thickTop="1" thickBot="1">
      <c r="A32" s="21" t="str">
        <f>Participantes!B30</f>
        <v>Luis Peña</v>
      </c>
      <c r="B32" s="59">
        <f>Grupo!B32</f>
        <v>2</v>
      </c>
      <c r="C32" s="17">
        <f>Grupo!C32</f>
        <v>0</v>
      </c>
      <c r="D32" s="17">
        <f>Grupo!D32</f>
        <v>0</v>
      </c>
      <c r="E32" s="60" t="str">
        <f>Grupo!E32</f>
        <v/>
      </c>
      <c r="F32" s="59">
        <f>Grupo!G32</f>
        <v>2</v>
      </c>
      <c r="G32" s="17">
        <f>Grupo!H32</f>
        <v>1</v>
      </c>
      <c r="H32" s="60" t="str">
        <f>Grupo!I32</f>
        <v/>
      </c>
      <c r="I32" s="34">
        <f>Grupo!BS32</f>
        <v>0</v>
      </c>
    </row>
    <row r="33" spans="1:9" ht="20.25" thickTop="1" thickBot="1">
      <c r="A33" s="21" t="str">
        <f>Participantes!B31</f>
        <v>Marco R.</v>
      </c>
      <c r="B33" s="59">
        <f>Grupo!B33</f>
        <v>2</v>
      </c>
      <c r="C33" s="17">
        <f>Grupo!C33</f>
        <v>1</v>
      </c>
      <c r="D33" s="17">
        <f>Grupo!D33</f>
        <v>0</v>
      </c>
      <c r="E33" s="60" t="str">
        <f>Grupo!E33</f>
        <v/>
      </c>
      <c r="F33" s="59">
        <f>Grupo!G33</f>
        <v>1</v>
      </c>
      <c r="G33" s="17">
        <f>Grupo!H33</f>
        <v>1</v>
      </c>
      <c r="H33" s="60" t="str">
        <f>Grupo!I33</f>
        <v/>
      </c>
      <c r="I33" s="34">
        <f>Grupo!BS33</f>
        <v>0</v>
      </c>
    </row>
    <row r="34" spans="1:9" ht="20.25" thickTop="1" thickBot="1">
      <c r="A34" s="21" t="str">
        <f>Participantes!B32</f>
        <v>Maricela</v>
      </c>
      <c r="B34" s="59">
        <f>Grupo!B34</f>
        <v>3</v>
      </c>
      <c r="C34" s="17">
        <f>Grupo!C34</f>
        <v>1</v>
      </c>
      <c r="D34" s="17">
        <f>Grupo!D34</f>
        <v>0</v>
      </c>
      <c r="E34" s="60" t="str">
        <f>Grupo!E34</f>
        <v/>
      </c>
      <c r="F34" s="59">
        <f>Grupo!G34</f>
        <v>2</v>
      </c>
      <c r="G34" s="17">
        <f>Grupo!H34</f>
        <v>2</v>
      </c>
      <c r="H34" s="60" t="str">
        <f>Grupo!I34</f>
        <v/>
      </c>
      <c r="I34" s="34">
        <f>Grupo!BS34</f>
        <v>0</v>
      </c>
    </row>
    <row r="35" spans="1:9" ht="20.25" thickTop="1" thickBot="1">
      <c r="A35" s="21" t="str">
        <f>Participantes!B33</f>
        <v>Marilyn</v>
      </c>
      <c r="B35" s="59">
        <f>Grupo!B35</f>
        <v>2</v>
      </c>
      <c r="C35" s="17">
        <f>Grupo!C35</f>
        <v>0</v>
      </c>
      <c r="D35" s="17">
        <f>Grupo!D35</f>
        <v>0</v>
      </c>
      <c r="E35" s="60" t="str">
        <f>Grupo!E35</f>
        <v/>
      </c>
      <c r="F35" s="59">
        <f>Grupo!G35</f>
        <v>2</v>
      </c>
      <c r="G35" s="17">
        <f>Grupo!H35</f>
        <v>1</v>
      </c>
      <c r="H35" s="60" t="str">
        <f>Grupo!I35</f>
        <v/>
      </c>
      <c r="I35" s="34">
        <f>Grupo!BS35</f>
        <v>0</v>
      </c>
    </row>
    <row r="36" spans="1:9" ht="20.25" thickTop="1" thickBot="1">
      <c r="A36" s="21" t="str">
        <f>Participantes!B34</f>
        <v>Medica</v>
      </c>
      <c r="B36" s="59">
        <f>Grupo!B36</f>
        <v>2</v>
      </c>
      <c r="C36" s="17">
        <f>Grupo!C36</f>
        <v>1</v>
      </c>
      <c r="D36" s="17">
        <f>Grupo!D36</f>
        <v>0</v>
      </c>
      <c r="E36" s="60" t="str">
        <f>Grupo!E36</f>
        <v/>
      </c>
      <c r="F36" s="59">
        <f>Grupo!G36</f>
        <v>1</v>
      </c>
      <c r="G36" s="17">
        <f>Grupo!H36</f>
        <v>1</v>
      </c>
      <c r="H36" s="60" t="str">
        <f>Grupo!I36</f>
        <v/>
      </c>
      <c r="I36" s="34">
        <f>Grupo!BS36</f>
        <v>0</v>
      </c>
    </row>
    <row r="37" spans="1:9" ht="20.25" thickTop="1" thickBot="1">
      <c r="A37" s="21" t="str">
        <f>Participantes!B35</f>
        <v>Milagros</v>
      </c>
      <c r="B37" s="59">
        <f>Grupo!B37</f>
        <v>2</v>
      </c>
      <c r="C37" s="17">
        <f>Grupo!C37</f>
        <v>0</v>
      </c>
      <c r="D37" s="17">
        <f>Grupo!D37</f>
        <v>0</v>
      </c>
      <c r="E37" s="60" t="str">
        <f>Grupo!E37</f>
        <v/>
      </c>
      <c r="F37" s="59">
        <f>Grupo!G37</f>
        <v>3</v>
      </c>
      <c r="G37" s="17">
        <f>Grupo!H37</f>
        <v>1</v>
      </c>
      <c r="H37" s="60" t="str">
        <f>Grupo!I37</f>
        <v/>
      </c>
      <c r="I37" s="34">
        <f>Grupo!BS37</f>
        <v>0</v>
      </c>
    </row>
    <row r="38" spans="1:9" ht="20.25" thickTop="1" thickBot="1">
      <c r="A38" s="21" t="str">
        <f>Participantes!B36</f>
        <v>Mily CF 1</v>
      </c>
      <c r="B38" s="59">
        <f>Grupo!B38</f>
        <v>3</v>
      </c>
      <c r="C38" s="17">
        <f>Grupo!C38</f>
        <v>1</v>
      </c>
      <c r="D38" s="17">
        <f>Grupo!D38</f>
        <v>0</v>
      </c>
      <c r="E38" s="60" t="str">
        <f>Grupo!E38</f>
        <v/>
      </c>
      <c r="F38" s="59">
        <f>Grupo!G38</f>
        <v>2</v>
      </c>
      <c r="G38" s="17">
        <f>Grupo!H38</f>
        <v>1</v>
      </c>
      <c r="H38" s="60" t="str">
        <f>Grupo!I38</f>
        <v/>
      </c>
      <c r="I38" s="34">
        <f>Grupo!BS38</f>
        <v>0</v>
      </c>
    </row>
    <row r="39" spans="1:9" ht="20.25" thickTop="1" thickBot="1">
      <c r="A39" s="21" t="str">
        <f>Participantes!B37</f>
        <v>Mily CF 2</v>
      </c>
      <c r="B39" s="59">
        <f>Grupo!B39</f>
        <v>2</v>
      </c>
      <c r="C39" s="17">
        <f>Grupo!C39</f>
        <v>1</v>
      </c>
      <c r="D39" s="17">
        <f>Grupo!D39</f>
        <v>0</v>
      </c>
      <c r="E39" s="60" t="str">
        <f>Grupo!E39</f>
        <v/>
      </c>
      <c r="F39" s="59">
        <f>Grupo!G39</f>
        <v>2</v>
      </c>
      <c r="G39" s="17">
        <f>Grupo!H39</f>
        <v>0</v>
      </c>
      <c r="H39" s="60" t="str">
        <f>Grupo!I39</f>
        <v/>
      </c>
      <c r="I39" s="34">
        <f>Grupo!BS39</f>
        <v>0</v>
      </c>
    </row>
    <row r="40" spans="1:9" ht="20.25" thickTop="1" thickBot="1">
      <c r="A40" s="21" t="str">
        <f>Participantes!B38</f>
        <v>Mily Oliver</v>
      </c>
      <c r="B40" s="59">
        <f>Grupo!B40</f>
        <v>2</v>
      </c>
      <c r="C40" s="17">
        <f>Grupo!C40</f>
        <v>0</v>
      </c>
      <c r="D40" s="17">
        <f>Grupo!D40</f>
        <v>0</v>
      </c>
      <c r="E40" s="60" t="str">
        <f>Grupo!E40</f>
        <v/>
      </c>
      <c r="F40" s="59">
        <f>Grupo!G40</f>
        <v>1</v>
      </c>
      <c r="G40" s="17">
        <f>Grupo!H40</f>
        <v>1</v>
      </c>
      <c r="H40" s="60" t="str">
        <f>Grupo!I40</f>
        <v/>
      </c>
      <c r="I40" s="34">
        <f>Grupo!BS40</f>
        <v>0</v>
      </c>
    </row>
    <row r="41" spans="1:9" ht="20.25" thickTop="1" thickBot="1">
      <c r="A41" s="21" t="str">
        <f>Participantes!B39</f>
        <v>Mily Zeynneth</v>
      </c>
      <c r="B41" s="59">
        <f>Grupo!B41</f>
        <v>3</v>
      </c>
      <c r="C41" s="17">
        <f>Grupo!C41</f>
        <v>1</v>
      </c>
      <c r="D41" s="17">
        <f>Grupo!D41</f>
        <v>0</v>
      </c>
      <c r="E41" s="60" t="str">
        <f>Grupo!E41</f>
        <v/>
      </c>
      <c r="F41" s="59">
        <f>Grupo!G41</f>
        <v>2</v>
      </c>
      <c r="G41" s="17">
        <f>Grupo!H41</f>
        <v>2</v>
      </c>
      <c r="H41" s="60" t="str">
        <f>Grupo!I41</f>
        <v/>
      </c>
      <c r="I41" s="34">
        <f>Grupo!BS41</f>
        <v>0</v>
      </c>
    </row>
    <row r="42" spans="1:9" ht="20.25" thickTop="1" thickBot="1">
      <c r="A42" s="21" t="str">
        <f>Participantes!B40</f>
        <v>Nefreteri</v>
      </c>
      <c r="B42" s="59">
        <f>Grupo!B42</f>
        <v>1</v>
      </c>
      <c r="C42" s="17">
        <f>Grupo!C42</f>
        <v>2</v>
      </c>
      <c r="D42" s="17">
        <f>Grupo!D42</f>
        <v>0</v>
      </c>
      <c r="E42" s="60" t="str">
        <f>Grupo!E42</f>
        <v/>
      </c>
      <c r="F42" s="59">
        <f>Grupo!G42</f>
        <v>3</v>
      </c>
      <c r="G42" s="17">
        <f>Grupo!H42</f>
        <v>0</v>
      </c>
      <c r="H42" s="60" t="str">
        <f>Grupo!I42</f>
        <v/>
      </c>
      <c r="I42" s="34">
        <f>Grupo!BS42</f>
        <v>0</v>
      </c>
    </row>
    <row r="43" spans="1:9" ht="20.25" thickTop="1" thickBot="1">
      <c r="A43" s="21" t="str">
        <f>Participantes!B41</f>
        <v>Ninoshka</v>
      </c>
      <c r="B43" s="59">
        <f>Grupo!B43</f>
        <v>2</v>
      </c>
      <c r="C43" s="17">
        <f>Grupo!C43</f>
        <v>1</v>
      </c>
      <c r="D43" s="17">
        <f>Grupo!D43</f>
        <v>0</v>
      </c>
      <c r="E43" s="60" t="str">
        <f>Grupo!E43</f>
        <v/>
      </c>
      <c r="F43" s="59">
        <f>Grupo!G43</f>
        <v>1</v>
      </c>
      <c r="G43" s="17">
        <f>Grupo!H43</f>
        <v>1</v>
      </c>
      <c r="H43" s="60" t="str">
        <f>Grupo!I43</f>
        <v/>
      </c>
      <c r="I43" s="34">
        <f>Grupo!BS43</f>
        <v>0</v>
      </c>
    </row>
    <row r="44" spans="1:9" ht="20.25" thickTop="1" thickBot="1">
      <c r="A44" s="21" t="str">
        <f>Participantes!B42</f>
        <v>Osvaldo</v>
      </c>
      <c r="B44" s="59">
        <f>Grupo!B44</f>
        <v>2</v>
      </c>
      <c r="C44" s="17">
        <f>Grupo!C44</f>
        <v>1</v>
      </c>
      <c r="D44" s="17">
        <f>Grupo!D44</f>
        <v>0</v>
      </c>
      <c r="E44" s="60" t="str">
        <f>Grupo!E44</f>
        <v/>
      </c>
      <c r="F44" s="59">
        <f>Grupo!G44</f>
        <v>2</v>
      </c>
      <c r="G44" s="17">
        <f>Grupo!H44</f>
        <v>1</v>
      </c>
      <c r="H44" s="60" t="str">
        <f>Grupo!I44</f>
        <v/>
      </c>
      <c r="I44" s="34">
        <f>Grupo!BS44</f>
        <v>0</v>
      </c>
    </row>
    <row r="45" spans="1:9" ht="20.25" thickTop="1" thickBot="1">
      <c r="A45" s="21" t="str">
        <f>Participantes!B43</f>
        <v>Peter</v>
      </c>
      <c r="B45" s="59">
        <f>Grupo!B45</f>
        <v>2</v>
      </c>
      <c r="C45" s="17">
        <f>Grupo!C45</f>
        <v>0</v>
      </c>
      <c r="D45" s="17">
        <f>Grupo!D45</f>
        <v>0</v>
      </c>
      <c r="E45" s="60" t="str">
        <f>Grupo!E45</f>
        <v/>
      </c>
      <c r="F45" s="59">
        <f>Grupo!G45</f>
        <v>1</v>
      </c>
      <c r="G45" s="17">
        <f>Grupo!H45</f>
        <v>0</v>
      </c>
      <c r="H45" s="60" t="str">
        <f>Grupo!I45</f>
        <v/>
      </c>
      <c r="I45" s="34">
        <f>Grupo!BS45</f>
        <v>0</v>
      </c>
    </row>
    <row r="46" spans="1:9" ht="20.25" thickTop="1" thickBot="1">
      <c r="A46" s="21" t="str">
        <f>Participantes!B44</f>
        <v>Quinnie</v>
      </c>
      <c r="B46" s="59">
        <f>Grupo!B46</f>
        <v>2</v>
      </c>
      <c r="C46" s="17">
        <f>Grupo!C46</f>
        <v>0</v>
      </c>
      <c r="D46" s="17">
        <f>Grupo!D46</f>
        <v>0</v>
      </c>
      <c r="E46" s="60" t="str">
        <f>Grupo!E46</f>
        <v/>
      </c>
      <c r="F46" s="59">
        <f>Grupo!G46</f>
        <v>1</v>
      </c>
      <c r="G46" s="17">
        <f>Grupo!H46</f>
        <v>1</v>
      </c>
      <c r="H46" s="60" t="str">
        <f>Grupo!I46</f>
        <v/>
      </c>
      <c r="I46" s="34">
        <f>Grupo!BS46</f>
        <v>0</v>
      </c>
    </row>
    <row r="47" spans="1:9" ht="20.25" thickTop="1" thickBot="1">
      <c r="A47" s="21" t="str">
        <f>Participantes!B45</f>
        <v>Radames</v>
      </c>
      <c r="B47" s="59">
        <f>Grupo!B47</f>
        <v>2</v>
      </c>
      <c r="C47" s="17">
        <f>Grupo!C47</f>
        <v>0</v>
      </c>
      <c r="D47" s="17">
        <f>Grupo!D47</f>
        <v>0</v>
      </c>
      <c r="E47" s="60" t="str">
        <f>Grupo!E47</f>
        <v/>
      </c>
      <c r="F47" s="59">
        <f>Grupo!G47</f>
        <v>0</v>
      </c>
      <c r="G47" s="17">
        <f>Grupo!H47</f>
        <v>1</v>
      </c>
      <c r="H47" s="60" t="str">
        <f>Grupo!I47</f>
        <v/>
      </c>
      <c r="I47" s="34">
        <f>Grupo!BS47</f>
        <v>0</v>
      </c>
    </row>
    <row r="48" spans="1:9" ht="20.25" thickTop="1" thickBot="1">
      <c r="A48" s="21" t="str">
        <f>Participantes!B46</f>
        <v>Saul</v>
      </c>
      <c r="B48" s="59">
        <f>Grupo!B48</f>
        <v>2</v>
      </c>
      <c r="C48" s="17">
        <f>Grupo!C48</f>
        <v>0</v>
      </c>
      <c r="D48" s="17">
        <f>Grupo!D48</f>
        <v>0</v>
      </c>
      <c r="E48" s="60" t="str">
        <f>Grupo!E48</f>
        <v/>
      </c>
      <c r="F48" s="59">
        <f>Grupo!G48</f>
        <v>1</v>
      </c>
      <c r="G48" s="17">
        <f>Grupo!H48</f>
        <v>1</v>
      </c>
      <c r="H48" s="60" t="str">
        <f>Grupo!I48</f>
        <v/>
      </c>
      <c r="I48" s="34">
        <f>Grupo!BS48</f>
        <v>0</v>
      </c>
    </row>
    <row r="49" spans="1:9" ht="20.25" thickTop="1" thickBot="1">
      <c r="A49" s="21" t="str">
        <f>Participantes!B47</f>
        <v>Silvia</v>
      </c>
      <c r="B49" s="59">
        <f>Grupo!B49</f>
        <v>2</v>
      </c>
      <c r="C49" s="17">
        <f>Grupo!C49</f>
        <v>0</v>
      </c>
      <c r="D49" s="17">
        <f>Grupo!D49</f>
        <v>0</v>
      </c>
      <c r="E49" s="60" t="str">
        <f>Grupo!E49</f>
        <v/>
      </c>
      <c r="F49" s="59">
        <f>Grupo!G49</f>
        <v>1</v>
      </c>
      <c r="G49" s="17">
        <f>Grupo!H49</f>
        <v>1</v>
      </c>
      <c r="H49" s="60" t="str">
        <f>Grupo!I49</f>
        <v/>
      </c>
      <c r="I49" s="34">
        <f>Grupo!BS49</f>
        <v>0</v>
      </c>
    </row>
    <row r="50" spans="1:9" ht="20.25" thickTop="1" thickBot="1">
      <c r="A50" s="21" t="str">
        <f>Participantes!B48</f>
        <v>Walder</v>
      </c>
      <c r="B50" s="59">
        <f>Grupo!B50</f>
        <v>3</v>
      </c>
      <c r="C50" s="17">
        <f>Grupo!C50</f>
        <v>1</v>
      </c>
      <c r="D50" s="17">
        <f>Grupo!D50</f>
        <v>0</v>
      </c>
      <c r="E50" s="60" t="str">
        <f>Grupo!E50</f>
        <v/>
      </c>
      <c r="F50" s="59">
        <f>Grupo!G50</f>
        <v>2</v>
      </c>
      <c r="G50" s="17">
        <f>Grupo!H50</f>
        <v>2</v>
      </c>
      <c r="H50" s="60" t="str">
        <f>Grupo!I50</f>
        <v/>
      </c>
      <c r="I50" s="34">
        <f>Grupo!BS50</f>
        <v>0</v>
      </c>
    </row>
    <row r="51" spans="1:9" ht="20.25" thickTop="1" thickBot="1">
      <c r="A51" s="21" t="str">
        <f>Participantes!B49</f>
        <v>Waldo</v>
      </c>
      <c r="B51" s="61">
        <f>Grupo!B51</f>
        <v>2</v>
      </c>
      <c r="C51" s="62">
        <f>Grupo!C51</f>
        <v>0</v>
      </c>
      <c r="D51" s="62">
        <f>Grupo!D51</f>
        <v>0</v>
      </c>
      <c r="E51" s="63" t="str">
        <f>Grupo!E51</f>
        <v/>
      </c>
      <c r="F51" s="61">
        <f>Grupo!G51</f>
        <v>1</v>
      </c>
      <c r="G51" s="62">
        <f>Grupo!H51</f>
        <v>1</v>
      </c>
      <c r="H51" s="63" t="str">
        <f>Grupo!I51</f>
        <v/>
      </c>
      <c r="I51" s="34">
        <f>Grupo!BS51</f>
        <v>0</v>
      </c>
    </row>
  </sheetData>
  <mergeCells count="1">
    <mergeCell ref="C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workbookViewId="0"/>
  </sheetViews>
  <sheetFormatPr baseColWidth="10" defaultColWidth="9" defaultRowHeight="14.25"/>
  <cols>
    <col min="1" max="1" width="8" customWidth="1"/>
    <col min="2" max="2" width="10" customWidth="1"/>
    <col min="3" max="3" width="24" customWidth="1"/>
    <col min="4" max="10" width="6" customWidth="1"/>
    <col min="11" max="11" width="7" customWidth="1"/>
    <col min="12" max="13" width="16" customWidth="1"/>
    <col min="14" max="14" width="20" customWidth="1"/>
    <col min="15" max="17" width="14" customWidth="1"/>
  </cols>
  <sheetData>
    <row r="1" spans="1:26" ht="24" customHeight="1">
      <c r="A1" s="31" t="s">
        <v>29</v>
      </c>
      <c r="B1" s="31" t="s">
        <v>31</v>
      </c>
      <c r="C1" s="31" t="s">
        <v>32</v>
      </c>
      <c r="D1" s="31" t="s">
        <v>369</v>
      </c>
      <c r="E1" s="31" t="s">
        <v>370</v>
      </c>
      <c r="F1" s="31" t="s">
        <v>371</v>
      </c>
      <c r="G1" s="31" t="s">
        <v>372</v>
      </c>
      <c r="H1" s="31" t="s">
        <v>373</v>
      </c>
      <c r="I1" s="31" t="s">
        <v>374</v>
      </c>
      <c r="J1" s="31" t="s">
        <v>375</v>
      </c>
      <c r="K1" s="31" t="s">
        <v>376</v>
      </c>
      <c r="L1" s="31" t="s">
        <v>377</v>
      </c>
      <c r="M1" s="31" t="s">
        <v>378</v>
      </c>
      <c r="N1" s="31" t="s">
        <v>379</v>
      </c>
      <c r="O1" s="31" t="s">
        <v>380</v>
      </c>
      <c r="P1" s="31" t="s">
        <v>381</v>
      </c>
      <c r="Q1" s="31" t="s">
        <v>382</v>
      </c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t="s">
        <v>33</v>
      </c>
      <c r="B2" t="s">
        <v>35</v>
      </c>
      <c r="C2" t="s">
        <v>36</v>
      </c>
      <c r="D2">
        <f>COUNTIFS(Partidos!$L$2:$L$73,B2,Partidos!$H$2:$H$73,"&lt;&gt;")+COUNTIFS(Partidos!$M$2:$M$73,B2,Partidos!$I$2:$I$73,"&lt;&gt;")</f>
        <v>0</v>
      </c>
      <c r="E2">
        <f>SUMPRODUCT((Partidos!$L$2:$L$73=B2)*(Partidos!$H$2:$H$73&lt;&gt;"")*(Partidos!$H$2:$H$73&gt;Partidos!$I$2:$I$73))+SUMPRODUCT((Partidos!$M$2:$M$73=B2)*(Partidos!$I$2:$I$73&lt;&gt;"")*(Partidos!$I$2:$I$73&gt;Partidos!$H$2:$H$73))</f>
        <v>0</v>
      </c>
      <c r="F2">
        <f>SUMPRODUCT((Partidos!$L$2:$L$73=B2)*(Partidos!$H$2:$H$73&lt;&gt;"")*(Partidos!$H$2:$H$73=Partidos!$I$2:$I$73))+SUMPRODUCT((Partidos!$M$2:$M$73=B2)*(Partidos!$I$2:$I$73&lt;&gt;"")*(Partidos!$I$2:$I$73=Partidos!$H$2:$H$73))</f>
        <v>0</v>
      </c>
      <c r="G2">
        <f t="shared" ref="G2:G49" si="0">D2-E2-F2</f>
        <v>0</v>
      </c>
      <c r="H2">
        <f>SUMIFS(Partidos!$H$2:$H$73,Partidos!$L$2:$L$73,B2)+SUMIFS(Partidos!$I$2:$I$73,Partidos!$M$2:$M$73,B2)</f>
        <v>0</v>
      </c>
      <c r="I2">
        <f>SUMIFS(Partidos!$I$2:$I$73,Partidos!$L$2:$L$73,B2)+SUMIFS(Partidos!$H$2:$H$73,Partidos!$M$2:$M$73,B2)</f>
        <v>0</v>
      </c>
      <c r="J2">
        <f t="shared" ref="J2:J49" si="1">H2-I2</f>
        <v>0</v>
      </c>
      <c r="K2">
        <f t="shared" ref="K2:K49" si="2">E2*3+F2</f>
        <v>0</v>
      </c>
      <c r="L2">
        <v>0</v>
      </c>
      <c r="M2" t="str">
        <f t="shared" ref="M2:M49" si="3">IF(COUNTIFS($A$2:$A$49,A2,$D$2:$D$49,"&gt;=1")&lt;4,"",1+COUNTIFS($A$2:$A$49,A2,$K$2:$K$49,"&gt;"&amp;K2)+COUNTIFS($A$2:$A$49,A2,$K$2:$K$49,K2,$L$2:$L$49,"&gt;"&amp;L2)+COUNTIFS($A$2:$A$49,A2,$K$2:$K$49,K2,$L$2:$L$49,L2,$J$2:$J$49,"&gt;"&amp;J2)+COUNTIFS($A$2:$A$49,A2,$K$2:$K$49,K2,$L$2:$L$49,L2,$J$2:$J$49,J2,$H$2:$H$49,"&gt;"&amp;H2)+SUMPRODUCT(($A$2:$A$49=A2)*($K$2:$K$49=K2)*($L$2:$L$49=L2)*($J$2:$J$49=J2)*($H$2:$H$49=H2)*(ROW($A$2:$A$49)&lt;ROW(A2))))</f>
        <v/>
      </c>
      <c r="N2" t="str">
        <f t="shared" ref="N2:N49" si="4">IF(M2="","",IF(M2&lt;=2,"Directo",IF(M2=3,"Posible mejor 3°","")))</f>
        <v/>
      </c>
      <c r="O2" t="str">
        <f t="shared" ref="O2:O49" si="5">IF(M2="","",A2&amp;M2)</f>
        <v/>
      </c>
      <c r="P2" t="str">
        <f t="shared" ref="P2:P49" si="6">C2</f>
        <v>México</v>
      </c>
      <c r="Q2" t="str">
        <f t="shared" ref="Q2:Q49" si="7">B2</f>
        <v>MEX</v>
      </c>
    </row>
    <row r="3" spans="1:26">
      <c r="A3" t="s">
        <v>33</v>
      </c>
      <c r="B3" t="s">
        <v>38</v>
      </c>
      <c r="C3" t="s">
        <v>39</v>
      </c>
      <c r="D3">
        <f>COUNTIFS(Partidos!$L$2:$L$73,B3,Partidos!$H$2:$H$73,"&lt;&gt;")+COUNTIFS(Partidos!$M$2:$M$73,B3,Partidos!$I$2:$I$73,"&lt;&gt;")</f>
        <v>0</v>
      </c>
      <c r="E3">
        <f>SUMPRODUCT((Partidos!$L$2:$L$73=B3)*(Partidos!$H$2:$H$73&lt;&gt;"")*(Partidos!$H$2:$H$73&gt;Partidos!$I$2:$I$73))+SUMPRODUCT((Partidos!$M$2:$M$73=B3)*(Partidos!$I$2:$I$73&lt;&gt;"")*(Partidos!$I$2:$I$73&gt;Partidos!$H$2:$H$73))</f>
        <v>0</v>
      </c>
      <c r="F3">
        <f>SUMPRODUCT((Partidos!$L$2:$L$73=B3)*(Partidos!$H$2:$H$73&lt;&gt;"")*(Partidos!$H$2:$H$73=Partidos!$I$2:$I$73))+SUMPRODUCT((Partidos!$M$2:$M$73=B3)*(Partidos!$I$2:$I$73&lt;&gt;"")*(Partidos!$I$2:$I$73=Partidos!$H$2:$H$73))</f>
        <v>0</v>
      </c>
      <c r="G3">
        <f t="shared" si="0"/>
        <v>0</v>
      </c>
      <c r="H3">
        <f>SUMIFS(Partidos!$H$2:$H$73,Partidos!$L$2:$L$73,B3)+SUMIFS(Partidos!$I$2:$I$73,Partidos!$M$2:$M$73,B3)</f>
        <v>0</v>
      </c>
      <c r="I3">
        <f>SUMIFS(Partidos!$I$2:$I$73,Partidos!$L$2:$L$73,B3)+SUMIFS(Partidos!$H$2:$H$73,Partidos!$M$2:$M$73,B3)</f>
        <v>0</v>
      </c>
      <c r="J3">
        <f t="shared" si="1"/>
        <v>0</v>
      </c>
      <c r="K3">
        <f t="shared" si="2"/>
        <v>0</v>
      </c>
      <c r="L3">
        <v>0</v>
      </c>
      <c r="M3" t="str">
        <f t="shared" si="3"/>
        <v/>
      </c>
      <c r="N3" t="str">
        <f t="shared" si="4"/>
        <v/>
      </c>
      <c r="O3" t="str">
        <f t="shared" si="5"/>
        <v/>
      </c>
      <c r="P3" t="str">
        <f t="shared" si="6"/>
        <v>Sudáfrica</v>
      </c>
      <c r="Q3" t="str">
        <f t="shared" si="7"/>
        <v>RSA</v>
      </c>
    </row>
    <row r="4" spans="1:26">
      <c r="A4" t="s">
        <v>33</v>
      </c>
      <c r="B4" t="s">
        <v>41</v>
      </c>
      <c r="C4" t="s">
        <v>42</v>
      </c>
      <c r="D4">
        <f>COUNTIFS(Partidos!$L$2:$L$73,B4,Partidos!$H$2:$H$73,"&lt;&gt;")+COUNTIFS(Partidos!$M$2:$M$73,B4,Partidos!$I$2:$I$73,"&lt;&gt;")</f>
        <v>0</v>
      </c>
      <c r="E4">
        <f>SUMPRODUCT((Partidos!$L$2:$L$73=B4)*(Partidos!$H$2:$H$73&lt;&gt;"")*(Partidos!$H$2:$H$73&gt;Partidos!$I$2:$I$73))+SUMPRODUCT((Partidos!$M$2:$M$73=B4)*(Partidos!$I$2:$I$73&lt;&gt;"")*(Partidos!$I$2:$I$73&gt;Partidos!$H$2:$H$73))</f>
        <v>0</v>
      </c>
      <c r="F4">
        <f>SUMPRODUCT((Partidos!$L$2:$L$73=B4)*(Partidos!$H$2:$H$73&lt;&gt;"")*(Partidos!$H$2:$H$73=Partidos!$I$2:$I$73))+SUMPRODUCT((Partidos!$M$2:$M$73=B4)*(Partidos!$I$2:$I$73&lt;&gt;"")*(Partidos!$I$2:$I$73=Partidos!$H$2:$H$73))</f>
        <v>0</v>
      </c>
      <c r="G4">
        <f t="shared" si="0"/>
        <v>0</v>
      </c>
      <c r="H4">
        <f>SUMIFS(Partidos!$H$2:$H$73,Partidos!$L$2:$L$73,B4)+SUMIFS(Partidos!$I$2:$I$73,Partidos!$M$2:$M$73,B4)</f>
        <v>0</v>
      </c>
      <c r="I4">
        <f>SUMIFS(Partidos!$I$2:$I$73,Partidos!$L$2:$L$73,B4)+SUMIFS(Partidos!$H$2:$H$73,Partidos!$M$2:$M$73,B4)</f>
        <v>0</v>
      </c>
      <c r="J4">
        <f t="shared" si="1"/>
        <v>0</v>
      </c>
      <c r="K4">
        <f t="shared" si="2"/>
        <v>0</v>
      </c>
      <c r="L4">
        <v>0</v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>Corea República</v>
      </c>
      <c r="Q4" t="str">
        <f t="shared" si="7"/>
        <v>KOR</v>
      </c>
    </row>
    <row r="5" spans="1:26">
      <c r="A5" t="s">
        <v>33</v>
      </c>
      <c r="B5" t="s">
        <v>44</v>
      </c>
      <c r="C5" t="s">
        <v>45</v>
      </c>
      <c r="D5">
        <f>COUNTIFS(Partidos!$L$2:$L$73,B5,Partidos!$H$2:$H$73,"&lt;&gt;")+COUNTIFS(Partidos!$M$2:$M$73,B5,Partidos!$I$2:$I$73,"&lt;&gt;")</f>
        <v>0</v>
      </c>
      <c r="E5">
        <f>SUMPRODUCT((Partidos!$L$2:$L$73=B5)*(Partidos!$H$2:$H$73&lt;&gt;"")*(Partidos!$H$2:$H$73&gt;Partidos!$I$2:$I$73))+SUMPRODUCT((Partidos!$M$2:$M$73=B5)*(Partidos!$I$2:$I$73&lt;&gt;"")*(Partidos!$I$2:$I$73&gt;Partidos!$H$2:$H$73))</f>
        <v>0</v>
      </c>
      <c r="F5">
        <f>SUMPRODUCT((Partidos!$L$2:$L$73=B5)*(Partidos!$H$2:$H$73&lt;&gt;"")*(Partidos!$H$2:$H$73=Partidos!$I$2:$I$73))+SUMPRODUCT((Partidos!$M$2:$M$73=B5)*(Partidos!$I$2:$I$73&lt;&gt;"")*(Partidos!$I$2:$I$73=Partidos!$H$2:$H$73))</f>
        <v>0</v>
      </c>
      <c r="G5">
        <f t="shared" si="0"/>
        <v>0</v>
      </c>
      <c r="H5">
        <f>SUMIFS(Partidos!$H$2:$H$73,Partidos!$L$2:$L$73,B5)+SUMIFS(Partidos!$I$2:$I$73,Partidos!$M$2:$M$73,B5)</f>
        <v>0</v>
      </c>
      <c r="I5">
        <f>SUMIFS(Partidos!$I$2:$I$73,Partidos!$L$2:$L$73,B5)+SUMIFS(Partidos!$H$2:$H$73,Partidos!$M$2:$M$73,B5)</f>
        <v>0</v>
      </c>
      <c r="J5">
        <f t="shared" si="1"/>
        <v>0</v>
      </c>
      <c r="K5">
        <f t="shared" si="2"/>
        <v>0</v>
      </c>
      <c r="L5">
        <v>0</v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>Chequia</v>
      </c>
      <c r="Q5" t="str">
        <f t="shared" si="7"/>
        <v>CZE</v>
      </c>
    </row>
    <row r="6" spans="1:26">
      <c r="A6" t="s">
        <v>46</v>
      </c>
      <c r="B6" t="s">
        <v>48</v>
      </c>
      <c r="C6" t="s">
        <v>49</v>
      </c>
      <c r="D6">
        <f>COUNTIFS(Partidos!$L$2:$L$73,B6,Partidos!$H$2:$H$73,"&lt;&gt;")+COUNTIFS(Partidos!$M$2:$M$73,B6,Partidos!$I$2:$I$73,"&lt;&gt;")</f>
        <v>0</v>
      </c>
      <c r="E6">
        <f>SUMPRODUCT((Partidos!$L$2:$L$73=B6)*(Partidos!$H$2:$H$73&lt;&gt;"")*(Partidos!$H$2:$H$73&gt;Partidos!$I$2:$I$73))+SUMPRODUCT((Partidos!$M$2:$M$73=B6)*(Partidos!$I$2:$I$73&lt;&gt;"")*(Partidos!$I$2:$I$73&gt;Partidos!$H$2:$H$73))</f>
        <v>0</v>
      </c>
      <c r="F6">
        <f>SUMPRODUCT((Partidos!$L$2:$L$73=B6)*(Partidos!$H$2:$H$73&lt;&gt;"")*(Partidos!$H$2:$H$73=Partidos!$I$2:$I$73))+SUMPRODUCT((Partidos!$M$2:$M$73=B6)*(Partidos!$I$2:$I$73&lt;&gt;"")*(Partidos!$I$2:$I$73=Partidos!$H$2:$H$73))</f>
        <v>0</v>
      </c>
      <c r="G6">
        <f t="shared" si="0"/>
        <v>0</v>
      </c>
      <c r="H6">
        <f>SUMIFS(Partidos!$H$2:$H$73,Partidos!$L$2:$L$73,B6)+SUMIFS(Partidos!$I$2:$I$73,Partidos!$M$2:$M$73,B6)</f>
        <v>0</v>
      </c>
      <c r="I6">
        <f>SUMIFS(Partidos!$I$2:$I$73,Partidos!$L$2:$L$73,B6)+SUMIFS(Partidos!$H$2:$H$73,Partidos!$M$2:$M$73,B6)</f>
        <v>0</v>
      </c>
      <c r="J6">
        <f t="shared" si="1"/>
        <v>0</v>
      </c>
      <c r="K6">
        <f t="shared" si="2"/>
        <v>0</v>
      </c>
      <c r="L6">
        <v>0</v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>Canadá</v>
      </c>
      <c r="Q6" t="str">
        <f t="shared" si="7"/>
        <v>CAN</v>
      </c>
    </row>
    <row r="7" spans="1:26">
      <c r="A7" t="s">
        <v>46</v>
      </c>
      <c r="B7" t="s">
        <v>51</v>
      </c>
      <c r="C7" t="s">
        <v>52</v>
      </c>
      <c r="D7">
        <f>COUNTIFS(Partidos!$L$2:$L$73,B7,Partidos!$H$2:$H$73,"&lt;&gt;")+COUNTIFS(Partidos!$M$2:$M$73,B7,Partidos!$I$2:$I$73,"&lt;&gt;")</f>
        <v>0</v>
      </c>
      <c r="E7">
        <f>SUMPRODUCT((Partidos!$L$2:$L$73=B7)*(Partidos!$H$2:$H$73&lt;&gt;"")*(Partidos!$H$2:$H$73&gt;Partidos!$I$2:$I$73))+SUMPRODUCT((Partidos!$M$2:$M$73=B7)*(Partidos!$I$2:$I$73&lt;&gt;"")*(Partidos!$I$2:$I$73&gt;Partidos!$H$2:$H$73))</f>
        <v>0</v>
      </c>
      <c r="F7">
        <f>SUMPRODUCT((Partidos!$L$2:$L$73=B7)*(Partidos!$H$2:$H$73&lt;&gt;"")*(Partidos!$H$2:$H$73=Partidos!$I$2:$I$73))+SUMPRODUCT((Partidos!$M$2:$M$73=B7)*(Partidos!$I$2:$I$73&lt;&gt;"")*(Partidos!$I$2:$I$73=Partidos!$H$2:$H$73))</f>
        <v>0</v>
      </c>
      <c r="G7">
        <f t="shared" si="0"/>
        <v>0</v>
      </c>
      <c r="H7">
        <f>SUMIFS(Partidos!$H$2:$H$73,Partidos!$L$2:$L$73,B7)+SUMIFS(Partidos!$I$2:$I$73,Partidos!$M$2:$M$73,B7)</f>
        <v>0</v>
      </c>
      <c r="I7">
        <f>SUMIFS(Partidos!$I$2:$I$73,Partidos!$L$2:$L$73,B7)+SUMIFS(Partidos!$H$2:$H$73,Partidos!$M$2:$M$73,B7)</f>
        <v>0</v>
      </c>
      <c r="J7">
        <f t="shared" si="1"/>
        <v>0</v>
      </c>
      <c r="K7">
        <f t="shared" si="2"/>
        <v>0</v>
      </c>
      <c r="L7">
        <v>0</v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>Bosnia y Herzegovina</v>
      </c>
      <c r="Q7" t="str">
        <f t="shared" si="7"/>
        <v>BIH</v>
      </c>
    </row>
    <row r="8" spans="1:26">
      <c r="A8" t="s">
        <v>46</v>
      </c>
      <c r="B8" t="s">
        <v>54</v>
      </c>
      <c r="C8" t="s">
        <v>55</v>
      </c>
      <c r="D8">
        <f>COUNTIFS(Partidos!$L$2:$L$73,B8,Partidos!$H$2:$H$73,"&lt;&gt;")+COUNTIFS(Partidos!$M$2:$M$73,B8,Partidos!$I$2:$I$73,"&lt;&gt;")</f>
        <v>0</v>
      </c>
      <c r="E8">
        <f>SUMPRODUCT((Partidos!$L$2:$L$73=B8)*(Partidos!$H$2:$H$73&lt;&gt;"")*(Partidos!$H$2:$H$73&gt;Partidos!$I$2:$I$73))+SUMPRODUCT((Partidos!$M$2:$M$73=B8)*(Partidos!$I$2:$I$73&lt;&gt;"")*(Partidos!$I$2:$I$73&gt;Partidos!$H$2:$H$73))</f>
        <v>0</v>
      </c>
      <c r="F8">
        <f>SUMPRODUCT((Partidos!$L$2:$L$73=B8)*(Partidos!$H$2:$H$73&lt;&gt;"")*(Partidos!$H$2:$H$73=Partidos!$I$2:$I$73))+SUMPRODUCT((Partidos!$M$2:$M$73=B8)*(Partidos!$I$2:$I$73&lt;&gt;"")*(Partidos!$I$2:$I$73=Partidos!$H$2:$H$73))</f>
        <v>0</v>
      </c>
      <c r="G8">
        <f t="shared" si="0"/>
        <v>0</v>
      </c>
      <c r="H8">
        <f>SUMIFS(Partidos!$H$2:$H$73,Partidos!$L$2:$L$73,B8)+SUMIFS(Partidos!$I$2:$I$73,Partidos!$M$2:$M$73,B8)</f>
        <v>0</v>
      </c>
      <c r="I8">
        <f>SUMIFS(Partidos!$I$2:$I$73,Partidos!$L$2:$L$73,B8)+SUMIFS(Partidos!$H$2:$H$73,Partidos!$M$2:$M$73,B8)</f>
        <v>0</v>
      </c>
      <c r="J8">
        <f t="shared" si="1"/>
        <v>0</v>
      </c>
      <c r="K8">
        <f t="shared" si="2"/>
        <v>0</v>
      </c>
      <c r="L8">
        <v>0</v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>Qatar</v>
      </c>
      <c r="Q8" t="str">
        <f t="shared" si="7"/>
        <v>QAT</v>
      </c>
    </row>
    <row r="9" spans="1:26">
      <c r="A9" t="s">
        <v>46</v>
      </c>
      <c r="B9" t="s">
        <v>57</v>
      </c>
      <c r="C9" t="s">
        <v>58</v>
      </c>
      <c r="D9">
        <f>COUNTIFS(Partidos!$L$2:$L$73,B9,Partidos!$H$2:$H$73,"&lt;&gt;")+COUNTIFS(Partidos!$M$2:$M$73,B9,Partidos!$I$2:$I$73,"&lt;&gt;")</f>
        <v>0</v>
      </c>
      <c r="E9">
        <f>SUMPRODUCT((Partidos!$L$2:$L$73=B9)*(Partidos!$H$2:$H$73&lt;&gt;"")*(Partidos!$H$2:$H$73&gt;Partidos!$I$2:$I$73))+SUMPRODUCT((Partidos!$M$2:$M$73=B9)*(Partidos!$I$2:$I$73&lt;&gt;"")*(Partidos!$I$2:$I$73&gt;Partidos!$H$2:$H$73))</f>
        <v>0</v>
      </c>
      <c r="F9">
        <f>SUMPRODUCT((Partidos!$L$2:$L$73=B9)*(Partidos!$H$2:$H$73&lt;&gt;"")*(Partidos!$H$2:$H$73=Partidos!$I$2:$I$73))+SUMPRODUCT((Partidos!$M$2:$M$73=B9)*(Partidos!$I$2:$I$73&lt;&gt;"")*(Partidos!$I$2:$I$73=Partidos!$H$2:$H$73))</f>
        <v>0</v>
      </c>
      <c r="G9">
        <f t="shared" si="0"/>
        <v>0</v>
      </c>
      <c r="H9">
        <f>SUMIFS(Partidos!$H$2:$H$73,Partidos!$L$2:$L$73,B9)+SUMIFS(Partidos!$I$2:$I$73,Partidos!$M$2:$M$73,B9)</f>
        <v>0</v>
      </c>
      <c r="I9">
        <f>SUMIFS(Partidos!$I$2:$I$73,Partidos!$L$2:$L$73,B9)+SUMIFS(Partidos!$H$2:$H$73,Partidos!$M$2:$M$73,B9)</f>
        <v>0</v>
      </c>
      <c r="J9">
        <f t="shared" si="1"/>
        <v>0</v>
      </c>
      <c r="K9">
        <f t="shared" si="2"/>
        <v>0</v>
      </c>
      <c r="L9">
        <v>0</v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>Suiza</v>
      </c>
      <c r="Q9" t="str">
        <f t="shared" si="7"/>
        <v>SUI</v>
      </c>
    </row>
    <row r="10" spans="1:26">
      <c r="A10" t="s">
        <v>59</v>
      </c>
      <c r="B10" t="s">
        <v>61</v>
      </c>
      <c r="C10" t="s">
        <v>62</v>
      </c>
      <c r="D10">
        <f>COUNTIFS(Partidos!$L$2:$L$73,B10,Partidos!$H$2:$H$73,"&lt;&gt;")+COUNTIFS(Partidos!$M$2:$M$73,B10,Partidos!$I$2:$I$73,"&lt;&gt;")</f>
        <v>0</v>
      </c>
      <c r="E10">
        <f>SUMPRODUCT((Partidos!$L$2:$L$73=B10)*(Partidos!$H$2:$H$73&lt;&gt;"")*(Partidos!$H$2:$H$73&gt;Partidos!$I$2:$I$73))+SUMPRODUCT((Partidos!$M$2:$M$73=B10)*(Partidos!$I$2:$I$73&lt;&gt;"")*(Partidos!$I$2:$I$73&gt;Partidos!$H$2:$H$73))</f>
        <v>0</v>
      </c>
      <c r="F10">
        <f>SUMPRODUCT((Partidos!$L$2:$L$73=B10)*(Partidos!$H$2:$H$73&lt;&gt;"")*(Partidos!$H$2:$H$73=Partidos!$I$2:$I$73))+SUMPRODUCT((Partidos!$M$2:$M$73=B10)*(Partidos!$I$2:$I$73&lt;&gt;"")*(Partidos!$I$2:$I$73=Partidos!$H$2:$H$73))</f>
        <v>0</v>
      </c>
      <c r="G10">
        <f t="shared" si="0"/>
        <v>0</v>
      </c>
      <c r="H10">
        <f>SUMIFS(Partidos!$H$2:$H$73,Partidos!$L$2:$L$73,B10)+SUMIFS(Partidos!$I$2:$I$73,Partidos!$M$2:$M$73,B10)</f>
        <v>0</v>
      </c>
      <c r="I10">
        <f>SUMIFS(Partidos!$I$2:$I$73,Partidos!$L$2:$L$73,B10)+SUMIFS(Partidos!$H$2:$H$73,Partidos!$M$2:$M$73,B10)</f>
        <v>0</v>
      </c>
      <c r="J10">
        <f t="shared" si="1"/>
        <v>0</v>
      </c>
      <c r="K10">
        <f t="shared" si="2"/>
        <v>0</v>
      </c>
      <c r="L10">
        <v>0</v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>Brasil</v>
      </c>
      <c r="Q10" t="str">
        <f t="shared" si="7"/>
        <v>BRA</v>
      </c>
    </row>
    <row r="11" spans="1:26">
      <c r="A11" t="s">
        <v>59</v>
      </c>
      <c r="B11" t="s">
        <v>64</v>
      </c>
      <c r="C11" t="s">
        <v>65</v>
      </c>
      <c r="D11">
        <f>COUNTIFS(Partidos!$L$2:$L$73,B11,Partidos!$H$2:$H$73,"&lt;&gt;")+COUNTIFS(Partidos!$M$2:$M$73,B11,Partidos!$I$2:$I$73,"&lt;&gt;")</f>
        <v>0</v>
      </c>
      <c r="E11">
        <f>SUMPRODUCT((Partidos!$L$2:$L$73=B11)*(Partidos!$H$2:$H$73&lt;&gt;"")*(Partidos!$H$2:$H$73&gt;Partidos!$I$2:$I$73))+SUMPRODUCT((Partidos!$M$2:$M$73=B11)*(Partidos!$I$2:$I$73&lt;&gt;"")*(Partidos!$I$2:$I$73&gt;Partidos!$H$2:$H$73))</f>
        <v>0</v>
      </c>
      <c r="F11">
        <f>SUMPRODUCT((Partidos!$L$2:$L$73=B11)*(Partidos!$H$2:$H$73&lt;&gt;"")*(Partidos!$H$2:$H$73=Partidos!$I$2:$I$73))+SUMPRODUCT((Partidos!$M$2:$M$73=B11)*(Partidos!$I$2:$I$73&lt;&gt;"")*(Partidos!$I$2:$I$73=Partidos!$H$2:$H$73))</f>
        <v>0</v>
      </c>
      <c r="G11">
        <f t="shared" si="0"/>
        <v>0</v>
      </c>
      <c r="H11">
        <f>SUMIFS(Partidos!$H$2:$H$73,Partidos!$L$2:$L$73,B11)+SUMIFS(Partidos!$I$2:$I$73,Partidos!$M$2:$M$73,B11)</f>
        <v>0</v>
      </c>
      <c r="I11">
        <f>SUMIFS(Partidos!$I$2:$I$73,Partidos!$L$2:$L$73,B11)+SUMIFS(Partidos!$H$2:$H$73,Partidos!$M$2:$M$73,B11)</f>
        <v>0</v>
      </c>
      <c r="J11">
        <f t="shared" si="1"/>
        <v>0</v>
      </c>
      <c r="K11">
        <f t="shared" si="2"/>
        <v>0</v>
      </c>
      <c r="L11">
        <v>0</v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>Marruecos</v>
      </c>
      <c r="Q11" t="str">
        <f t="shared" si="7"/>
        <v>MAR</v>
      </c>
    </row>
    <row r="12" spans="1:26">
      <c r="A12" t="s">
        <v>59</v>
      </c>
      <c r="B12" t="s">
        <v>67</v>
      </c>
      <c r="C12" t="s">
        <v>68</v>
      </c>
      <c r="D12">
        <f>COUNTIFS(Partidos!$L$2:$L$73,B12,Partidos!$H$2:$H$73,"&lt;&gt;")+COUNTIFS(Partidos!$M$2:$M$73,B12,Partidos!$I$2:$I$73,"&lt;&gt;")</f>
        <v>0</v>
      </c>
      <c r="E12">
        <f>SUMPRODUCT((Partidos!$L$2:$L$73=B12)*(Partidos!$H$2:$H$73&lt;&gt;"")*(Partidos!$H$2:$H$73&gt;Partidos!$I$2:$I$73))+SUMPRODUCT((Partidos!$M$2:$M$73=B12)*(Partidos!$I$2:$I$73&lt;&gt;"")*(Partidos!$I$2:$I$73&gt;Partidos!$H$2:$H$73))</f>
        <v>0</v>
      </c>
      <c r="F12">
        <f>SUMPRODUCT((Partidos!$L$2:$L$73=B12)*(Partidos!$H$2:$H$73&lt;&gt;"")*(Partidos!$H$2:$H$73=Partidos!$I$2:$I$73))+SUMPRODUCT((Partidos!$M$2:$M$73=B12)*(Partidos!$I$2:$I$73&lt;&gt;"")*(Partidos!$I$2:$I$73=Partidos!$H$2:$H$73))</f>
        <v>0</v>
      </c>
      <c r="G12">
        <f t="shared" si="0"/>
        <v>0</v>
      </c>
      <c r="H12">
        <f>SUMIFS(Partidos!$H$2:$H$73,Partidos!$L$2:$L$73,B12)+SUMIFS(Partidos!$I$2:$I$73,Partidos!$M$2:$M$73,B12)</f>
        <v>0</v>
      </c>
      <c r="I12">
        <f>SUMIFS(Partidos!$I$2:$I$73,Partidos!$L$2:$L$73,B12)+SUMIFS(Partidos!$H$2:$H$73,Partidos!$M$2:$M$73,B12)</f>
        <v>0</v>
      </c>
      <c r="J12">
        <f t="shared" si="1"/>
        <v>0</v>
      </c>
      <c r="K12">
        <f t="shared" si="2"/>
        <v>0</v>
      </c>
      <c r="L12">
        <v>0</v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>Haití</v>
      </c>
      <c r="Q12" t="str">
        <f t="shared" si="7"/>
        <v>HAI</v>
      </c>
    </row>
    <row r="13" spans="1:26">
      <c r="A13" t="s">
        <v>59</v>
      </c>
      <c r="B13" t="s">
        <v>70</v>
      </c>
      <c r="C13" t="s">
        <v>71</v>
      </c>
      <c r="D13">
        <f>COUNTIFS(Partidos!$L$2:$L$73,B13,Partidos!$H$2:$H$73,"&lt;&gt;")+COUNTIFS(Partidos!$M$2:$M$73,B13,Partidos!$I$2:$I$73,"&lt;&gt;")</f>
        <v>0</v>
      </c>
      <c r="E13">
        <f>SUMPRODUCT((Partidos!$L$2:$L$73=B13)*(Partidos!$H$2:$H$73&lt;&gt;"")*(Partidos!$H$2:$H$73&gt;Partidos!$I$2:$I$73))+SUMPRODUCT((Partidos!$M$2:$M$73=B13)*(Partidos!$I$2:$I$73&lt;&gt;"")*(Partidos!$I$2:$I$73&gt;Partidos!$H$2:$H$73))</f>
        <v>0</v>
      </c>
      <c r="F13">
        <f>SUMPRODUCT((Partidos!$L$2:$L$73=B13)*(Partidos!$H$2:$H$73&lt;&gt;"")*(Partidos!$H$2:$H$73=Partidos!$I$2:$I$73))+SUMPRODUCT((Partidos!$M$2:$M$73=B13)*(Partidos!$I$2:$I$73&lt;&gt;"")*(Partidos!$I$2:$I$73=Partidos!$H$2:$H$73))</f>
        <v>0</v>
      </c>
      <c r="G13">
        <f t="shared" si="0"/>
        <v>0</v>
      </c>
      <c r="H13">
        <f>SUMIFS(Partidos!$H$2:$H$73,Partidos!$L$2:$L$73,B13)+SUMIFS(Partidos!$I$2:$I$73,Partidos!$M$2:$M$73,B13)</f>
        <v>0</v>
      </c>
      <c r="I13">
        <f>SUMIFS(Partidos!$I$2:$I$73,Partidos!$L$2:$L$73,B13)+SUMIFS(Partidos!$H$2:$H$73,Partidos!$M$2:$M$73,B13)</f>
        <v>0</v>
      </c>
      <c r="J13">
        <f t="shared" si="1"/>
        <v>0</v>
      </c>
      <c r="K13">
        <f t="shared" si="2"/>
        <v>0</v>
      </c>
      <c r="L13">
        <v>0</v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>Escocia</v>
      </c>
      <c r="Q13" t="str">
        <f t="shared" si="7"/>
        <v>SCO</v>
      </c>
    </row>
    <row r="14" spans="1:26">
      <c r="A14" t="s">
        <v>72</v>
      </c>
      <c r="B14" t="s">
        <v>74</v>
      </c>
      <c r="C14" t="s">
        <v>75</v>
      </c>
      <c r="D14">
        <f>COUNTIFS(Partidos!$L$2:$L$73,B14,Partidos!$H$2:$H$73,"&lt;&gt;")+COUNTIFS(Partidos!$M$2:$M$73,B14,Partidos!$I$2:$I$73,"&lt;&gt;")</f>
        <v>0</v>
      </c>
      <c r="E14">
        <f>SUMPRODUCT((Partidos!$L$2:$L$73=B14)*(Partidos!$H$2:$H$73&lt;&gt;"")*(Partidos!$H$2:$H$73&gt;Partidos!$I$2:$I$73))+SUMPRODUCT((Partidos!$M$2:$M$73=B14)*(Partidos!$I$2:$I$73&lt;&gt;"")*(Partidos!$I$2:$I$73&gt;Partidos!$H$2:$H$73))</f>
        <v>0</v>
      </c>
      <c r="F14">
        <f>SUMPRODUCT((Partidos!$L$2:$L$73=B14)*(Partidos!$H$2:$H$73&lt;&gt;"")*(Partidos!$H$2:$H$73=Partidos!$I$2:$I$73))+SUMPRODUCT((Partidos!$M$2:$M$73=B14)*(Partidos!$I$2:$I$73&lt;&gt;"")*(Partidos!$I$2:$I$73=Partidos!$H$2:$H$73))</f>
        <v>0</v>
      </c>
      <c r="G14">
        <f t="shared" si="0"/>
        <v>0</v>
      </c>
      <c r="H14">
        <f>SUMIFS(Partidos!$H$2:$H$73,Partidos!$L$2:$L$73,B14)+SUMIFS(Partidos!$I$2:$I$73,Partidos!$M$2:$M$73,B14)</f>
        <v>0</v>
      </c>
      <c r="I14">
        <f>SUMIFS(Partidos!$I$2:$I$73,Partidos!$L$2:$L$73,B14)+SUMIFS(Partidos!$H$2:$H$73,Partidos!$M$2:$M$73,B14)</f>
        <v>0</v>
      </c>
      <c r="J14">
        <f t="shared" si="1"/>
        <v>0</v>
      </c>
      <c r="K14">
        <f t="shared" si="2"/>
        <v>0</v>
      </c>
      <c r="L14">
        <v>0</v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>Estados Unidos</v>
      </c>
      <c r="Q14" t="str">
        <f t="shared" si="7"/>
        <v>USA</v>
      </c>
    </row>
    <row r="15" spans="1:26">
      <c r="A15" t="s">
        <v>72</v>
      </c>
      <c r="B15" t="s">
        <v>77</v>
      </c>
      <c r="C15" t="s">
        <v>78</v>
      </c>
      <c r="D15">
        <f>COUNTIFS(Partidos!$L$2:$L$73,B15,Partidos!$H$2:$H$73,"&lt;&gt;")+COUNTIFS(Partidos!$M$2:$M$73,B15,Partidos!$I$2:$I$73,"&lt;&gt;")</f>
        <v>0</v>
      </c>
      <c r="E15">
        <f>SUMPRODUCT((Partidos!$L$2:$L$73=B15)*(Partidos!$H$2:$H$73&lt;&gt;"")*(Partidos!$H$2:$H$73&gt;Partidos!$I$2:$I$73))+SUMPRODUCT((Partidos!$M$2:$M$73=B15)*(Partidos!$I$2:$I$73&lt;&gt;"")*(Partidos!$I$2:$I$73&gt;Partidos!$H$2:$H$73))</f>
        <v>0</v>
      </c>
      <c r="F15">
        <f>SUMPRODUCT((Partidos!$L$2:$L$73=B15)*(Partidos!$H$2:$H$73&lt;&gt;"")*(Partidos!$H$2:$H$73=Partidos!$I$2:$I$73))+SUMPRODUCT((Partidos!$M$2:$M$73=B15)*(Partidos!$I$2:$I$73&lt;&gt;"")*(Partidos!$I$2:$I$73=Partidos!$H$2:$H$73))</f>
        <v>0</v>
      </c>
      <c r="G15">
        <f t="shared" si="0"/>
        <v>0</v>
      </c>
      <c r="H15">
        <f>SUMIFS(Partidos!$H$2:$H$73,Partidos!$L$2:$L$73,B15)+SUMIFS(Partidos!$I$2:$I$73,Partidos!$M$2:$M$73,B15)</f>
        <v>0</v>
      </c>
      <c r="I15">
        <f>SUMIFS(Partidos!$I$2:$I$73,Partidos!$L$2:$L$73,B15)+SUMIFS(Partidos!$H$2:$H$73,Partidos!$M$2:$M$73,B15)</f>
        <v>0</v>
      </c>
      <c r="J15">
        <f t="shared" si="1"/>
        <v>0</v>
      </c>
      <c r="K15">
        <f t="shared" si="2"/>
        <v>0</v>
      </c>
      <c r="L15">
        <v>0</v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>Paraguay</v>
      </c>
      <c r="Q15" t="str">
        <f t="shared" si="7"/>
        <v>PAR</v>
      </c>
    </row>
    <row r="16" spans="1:26">
      <c r="A16" t="s">
        <v>72</v>
      </c>
      <c r="B16" t="s">
        <v>80</v>
      </c>
      <c r="C16" t="s">
        <v>81</v>
      </c>
      <c r="D16">
        <f>COUNTIFS(Partidos!$L$2:$L$73,B16,Partidos!$H$2:$H$73,"&lt;&gt;")+COUNTIFS(Partidos!$M$2:$M$73,B16,Partidos!$I$2:$I$73,"&lt;&gt;")</f>
        <v>0</v>
      </c>
      <c r="E16">
        <f>SUMPRODUCT((Partidos!$L$2:$L$73=B16)*(Partidos!$H$2:$H$73&lt;&gt;"")*(Partidos!$H$2:$H$73&gt;Partidos!$I$2:$I$73))+SUMPRODUCT((Partidos!$M$2:$M$73=B16)*(Partidos!$I$2:$I$73&lt;&gt;"")*(Partidos!$I$2:$I$73&gt;Partidos!$H$2:$H$73))</f>
        <v>0</v>
      </c>
      <c r="F16">
        <f>SUMPRODUCT((Partidos!$L$2:$L$73=B16)*(Partidos!$H$2:$H$73&lt;&gt;"")*(Partidos!$H$2:$H$73=Partidos!$I$2:$I$73))+SUMPRODUCT((Partidos!$M$2:$M$73=B16)*(Partidos!$I$2:$I$73&lt;&gt;"")*(Partidos!$I$2:$I$73=Partidos!$H$2:$H$73))</f>
        <v>0</v>
      </c>
      <c r="G16">
        <f t="shared" si="0"/>
        <v>0</v>
      </c>
      <c r="H16">
        <f>SUMIFS(Partidos!$H$2:$H$73,Partidos!$L$2:$L$73,B16)+SUMIFS(Partidos!$I$2:$I$73,Partidos!$M$2:$M$73,B16)</f>
        <v>0</v>
      </c>
      <c r="I16">
        <f>SUMIFS(Partidos!$I$2:$I$73,Partidos!$L$2:$L$73,B16)+SUMIFS(Partidos!$H$2:$H$73,Partidos!$M$2:$M$73,B16)</f>
        <v>0</v>
      </c>
      <c r="J16">
        <f t="shared" si="1"/>
        <v>0</v>
      </c>
      <c r="K16">
        <f t="shared" si="2"/>
        <v>0</v>
      </c>
      <c r="L16">
        <v>0</v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>Australia</v>
      </c>
      <c r="Q16" t="str">
        <f t="shared" si="7"/>
        <v>AUS</v>
      </c>
    </row>
    <row r="17" spans="1:17">
      <c r="A17" t="s">
        <v>72</v>
      </c>
      <c r="B17" t="s">
        <v>83</v>
      </c>
      <c r="C17" t="s">
        <v>84</v>
      </c>
      <c r="D17">
        <f>COUNTIFS(Partidos!$L$2:$L$73,B17,Partidos!$H$2:$H$73,"&lt;&gt;")+COUNTIFS(Partidos!$M$2:$M$73,B17,Partidos!$I$2:$I$73,"&lt;&gt;")</f>
        <v>0</v>
      </c>
      <c r="E17">
        <f>SUMPRODUCT((Partidos!$L$2:$L$73=B17)*(Partidos!$H$2:$H$73&lt;&gt;"")*(Partidos!$H$2:$H$73&gt;Partidos!$I$2:$I$73))+SUMPRODUCT((Partidos!$M$2:$M$73=B17)*(Partidos!$I$2:$I$73&lt;&gt;"")*(Partidos!$I$2:$I$73&gt;Partidos!$H$2:$H$73))</f>
        <v>0</v>
      </c>
      <c r="F17">
        <f>SUMPRODUCT((Partidos!$L$2:$L$73=B17)*(Partidos!$H$2:$H$73&lt;&gt;"")*(Partidos!$H$2:$H$73=Partidos!$I$2:$I$73))+SUMPRODUCT((Partidos!$M$2:$M$73=B17)*(Partidos!$I$2:$I$73&lt;&gt;"")*(Partidos!$I$2:$I$73=Partidos!$H$2:$H$73))</f>
        <v>0</v>
      </c>
      <c r="G17">
        <f t="shared" si="0"/>
        <v>0</v>
      </c>
      <c r="H17">
        <f>SUMIFS(Partidos!$H$2:$H$73,Partidos!$L$2:$L$73,B17)+SUMIFS(Partidos!$I$2:$I$73,Partidos!$M$2:$M$73,B17)</f>
        <v>0</v>
      </c>
      <c r="I17">
        <f>SUMIFS(Partidos!$I$2:$I$73,Partidos!$L$2:$L$73,B17)+SUMIFS(Partidos!$H$2:$H$73,Partidos!$M$2:$M$73,B17)</f>
        <v>0</v>
      </c>
      <c r="J17">
        <f t="shared" si="1"/>
        <v>0</v>
      </c>
      <c r="K17">
        <f t="shared" si="2"/>
        <v>0</v>
      </c>
      <c r="L17">
        <v>0</v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>Türkiye</v>
      </c>
      <c r="Q17" t="str">
        <f t="shared" si="7"/>
        <v>TUR</v>
      </c>
    </row>
    <row r="18" spans="1:17">
      <c r="A18" t="s">
        <v>85</v>
      </c>
      <c r="B18" t="s">
        <v>87</v>
      </c>
      <c r="C18" t="s">
        <v>88</v>
      </c>
      <c r="D18">
        <f>COUNTIFS(Partidos!$L$2:$L$73,B18,Partidos!$H$2:$H$73,"&lt;&gt;")+COUNTIFS(Partidos!$M$2:$M$73,B18,Partidos!$I$2:$I$73,"&lt;&gt;")</f>
        <v>0</v>
      </c>
      <c r="E18">
        <f>SUMPRODUCT((Partidos!$L$2:$L$73=B18)*(Partidos!$H$2:$H$73&lt;&gt;"")*(Partidos!$H$2:$H$73&gt;Partidos!$I$2:$I$73))+SUMPRODUCT((Partidos!$M$2:$M$73=B18)*(Partidos!$I$2:$I$73&lt;&gt;"")*(Partidos!$I$2:$I$73&gt;Partidos!$H$2:$H$73))</f>
        <v>0</v>
      </c>
      <c r="F18">
        <f>SUMPRODUCT((Partidos!$L$2:$L$73=B18)*(Partidos!$H$2:$H$73&lt;&gt;"")*(Partidos!$H$2:$H$73=Partidos!$I$2:$I$73))+SUMPRODUCT((Partidos!$M$2:$M$73=B18)*(Partidos!$I$2:$I$73&lt;&gt;"")*(Partidos!$I$2:$I$73=Partidos!$H$2:$H$73))</f>
        <v>0</v>
      </c>
      <c r="G18">
        <f t="shared" si="0"/>
        <v>0</v>
      </c>
      <c r="H18">
        <f>SUMIFS(Partidos!$H$2:$H$73,Partidos!$L$2:$L$73,B18)+SUMIFS(Partidos!$I$2:$I$73,Partidos!$M$2:$M$73,B18)</f>
        <v>0</v>
      </c>
      <c r="I18">
        <f>SUMIFS(Partidos!$I$2:$I$73,Partidos!$L$2:$L$73,B18)+SUMIFS(Partidos!$H$2:$H$73,Partidos!$M$2:$M$73,B18)</f>
        <v>0</v>
      </c>
      <c r="J18">
        <f t="shared" si="1"/>
        <v>0</v>
      </c>
      <c r="K18">
        <f t="shared" si="2"/>
        <v>0</v>
      </c>
      <c r="L18">
        <v>0</v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>Alemania</v>
      </c>
      <c r="Q18" t="str">
        <f t="shared" si="7"/>
        <v>GER</v>
      </c>
    </row>
    <row r="19" spans="1:17">
      <c r="A19" t="s">
        <v>85</v>
      </c>
      <c r="B19" t="s">
        <v>90</v>
      </c>
      <c r="C19" t="s">
        <v>91</v>
      </c>
      <c r="D19">
        <f>COUNTIFS(Partidos!$L$2:$L$73,B19,Partidos!$H$2:$H$73,"&lt;&gt;")+COUNTIFS(Partidos!$M$2:$M$73,B19,Partidos!$I$2:$I$73,"&lt;&gt;")</f>
        <v>0</v>
      </c>
      <c r="E19">
        <f>SUMPRODUCT((Partidos!$L$2:$L$73=B19)*(Partidos!$H$2:$H$73&lt;&gt;"")*(Partidos!$H$2:$H$73&gt;Partidos!$I$2:$I$73))+SUMPRODUCT((Partidos!$M$2:$M$73=B19)*(Partidos!$I$2:$I$73&lt;&gt;"")*(Partidos!$I$2:$I$73&gt;Partidos!$H$2:$H$73))</f>
        <v>0</v>
      </c>
      <c r="F19">
        <f>SUMPRODUCT((Partidos!$L$2:$L$73=B19)*(Partidos!$H$2:$H$73&lt;&gt;"")*(Partidos!$H$2:$H$73=Partidos!$I$2:$I$73))+SUMPRODUCT((Partidos!$M$2:$M$73=B19)*(Partidos!$I$2:$I$73&lt;&gt;"")*(Partidos!$I$2:$I$73=Partidos!$H$2:$H$73))</f>
        <v>0</v>
      </c>
      <c r="G19">
        <f t="shared" si="0"/>
        <v>0</v>
      </c>
      <c r="H19">
        <f>SUMIFS(Partidos!$H$2:$H$73,Partidos!$L$2:$L$73,B19)+SUMIFS(Partidos!$I$2:$I$73,Partidos!$M$2:$M$73,B19)</f>
        <v>0</v>
      </c>
      <c r="I19">
        <f>SUMIFS(Partidos!$I$2:$I$73,Partidos!$L$2:$L$73,B19)+SUMIFS(Partidos!$H$2:$H$73,Partidos!$M$2:$M$73,B19)</f>
        <v>0</v>
      </c>
      <c r="J19">
        <f t="shared" si="1"/>
        <v>0</v>
      </c>
      <c r="K19">
        <f t="shared" si="2"/>
        <v>0</v>
      </c>
      <c r="L19">
        <v>0</v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>Curazao</v>
      </c>
      <c r="Q19" t="str">
        <f t="shared" si="7"/>
        <v>CUW</v>
      </c>
    </row>
    <row r="20" spans="1:17">
      <c r="A20" t="s">
        <v>85</v>
      </c>
      <c r="B20" t="s">
        <v>93</v>
      </c>
      <c r="C20" t="s">
        <v>94</v>
      </c>
      <c r="D20">
        <f>COUNTIFS(Partidos!$L$2:$L$73,B20,Partidos!$H$2:$H$73,"&lt;&gt;")+COUNTIFS(Partidos!$M$2:$M$73,B20,Partidos!$I$2:$I$73,"&lt;&gt;")</f>
        <v>0</v>
      </c>
      <c r="E20">
        <f>SUMPRODUCT((Partidos!$L$2:$L$73=B20)*(Partidos!$H$2:$H$73&lt;&gt;"")*(Partidos!$H$2:$H$73&gt;Partidos!$I$2:$I$73))+SUMPRODUCT((Partidos!$M$2:$M$73=B20)*(Partidos!$I$2:$I$73&lt;&gt;"")*(Partidos!$I$2:$I$73&gt;Partidos!$H$2:$H$73))</f>
        <v>0</v>
      </c>
      <c r="F20">
        <f>SUMPRODUCT((Partidos!$L$2:$L$73=B20)*(Partidos!$H$2:$H$73&lt;&gt;"")*(Partidos!$H$2:$H$73=Partidos!$I$2:$I$73))+SUMPRODUCT((Partidos!$M$2:$M$73=B20)*(Partidos!$I$2:$I$73&lt;&gt;"")*(Partidos!$I$2:$I$73=Partidos!$H$2:$H$73))</f>
        <v>0</v>
      </c>
      <c r="G20">
        <f t="shared" si="0"/>
        <v>0</v>
      </c>
      <c r="H20">
        <f>SUMIFS(Partidos!$H$2:$H$73,Partidos!$L$2:$L$73,B20)+SUMIFS(Partidos!$I$2:$I$73,Partidos!$M$2:$M$73,B20)</f>
        <v>0</v>
      </c>
      <c r="I20">
        <f>SUMIFS(Partidos!$I$2:$I$73,Partidos!$L$2:$L$73,B20)+SUMIFS(Partidos!$H$2:$H$73,Partidos!$M$2:$M$73,B20)</f>
        <v>0</v>
      </c>
      <c r="J20">
        <f t="shared" si="1"/>
        <v>0</v>
      </c>
      <c r="K20">
        <f t="shared" si="2"/>
        <v>0</v>
      </c>
      <c r="L20">
        <v>0</v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>Costa de Marfil</v>
      </c>
      <c r="Q20" t="str">
        <f t="shared" si="7"/>
        <v>CIV</v>
      </c>
    </row>
    <row r="21" spans="1:17">
      <c r="A21" t="s">
        <v>85</v>
      </c>
      <c r="B21" t="s">
        <v>96</v>
      </c>
      <c r="C21" t="s">
        <v>97</v>
      </c>
      <c r="D21">
        <f>COUNTIFS(Partidos!$L$2:$L$73,B21,Partidos!$H$2:$H$73,"&lt;&gt;")+COUNTIFS(Partidos!$M$2:$M$73,B21,Partidos!$I$2:$I$73,"&lt;&gt;")</f>
        <v>0</v>
      </c>
      <c r="E21">
        <f>SUMPRODUCT((Partidos!$L$2:$L$73=B21)*(Partidos!$H$2:$H$73&lt;&gt;"")*(Partidos!$H$2:$H$73&gt;Partidos!$I$2:$I$73))+SUMPRODUCT((Partidos!$M$2:$M$73=B21)*(Partidos!$I$2:$I$73&lt;&gt;"")*(Partidos!$I$2:$I$73&gt;Partidos!$H$2:$H$73))</f>
        <v>0</v>
      </c>
      <c r="F21">
        <f>SUMPRODUCT((Partidos!$L$2:$L$73=B21)*(Partidos!$H$2:$H$73&lt;&gt;"")*(Partidos!$H$2:$H$73=Partidos!$I$2:$I$73))+SUMPRODUCT((Partidos!$M$2:$M$73=B21)*(Partidos!$I$2:$I$73&lt;&gt;"")*(Partidos!$I$2:$I$73=Partidos!$H$2:$H$73))</f>
        <v>0</v>
      </c>
      <c r="G21">
        <f t="shared" si="0"/>
        <v>0</v>
      </c>
      <c r="H21">
        <f>SUMIFS(Partidos!$H$2:$H$73,Partidos!$L$2:$L$73,B21)+SUMIFS(Partidos!$I$2:$I$73,Partidos!$M$2:$M$73,B21)</f>
        <v>0</v>
      </c>
      <c r="I21">
        <f>SUMIFS(Partidos!$I$2:$I$73,Partidos!$L$2:$L$73,B21)+SUMIFS(Partidos!$H$2:$H$73,Partidos!$M$2:$M$73,B21)</f>
        <v>0</v>
      </c>
      <c r="J21">
        <f t="shared" si="1"/>
        <v>0</v>
      </c>
      <c r="K21">
        <f t="shared" si="2"/>
        <v>0</v>
      </c>
      <c r="L21">
        <v>0</v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>Ecuador</v>
      </c>
      <c r="Q21" t="str">
        <f t="shared" si="7"/>
        <v>ECU</v>
      </c>
    </row>
    <row r="22" spans="1:17">
      <c r="A22" t="s">
        <v>98</v>
      </c>
      <c r="B22" t="s">
        <v>100</v>
      </c>
      <c r="C22" t="s">
        <v>101</v>
      </c>
      <c r="D22">
        <f>COUNTIFS(Partidos!$L$2:$L$73,B22,Partidos!$H$2:$H$73,"&lt;&gt;")+COUNTIFS(Partidos!$M$2:$M$73,B22,Partidos!$I$2:$I$73,"&lt;&gt;")</f>
        <v>0</v>
      </c>
      <c r="E22">
        <f>SUMPRODUCT((Partidos!$L$2:$L$73=B22)*(Partidos!$H$2:$H$73&lt;&gt;"")*(Partidos!$H$2:$H$73&gt;Partidos!$I$2:$I$73))+SUMPRODUCT((Partidos!$M$2:$M$73=B22)*(Partidos!$I$2:$I$73&lt;&gt;"")*(Partidos!$I$2:$I$73&gt;Partidos!$H$2:$H$73))</f>
        <v>0</v>
      </c>
      <c r="F22">
        <f>SUMPRODUCT((Partidos!$L$2:$L$73=B22)*(Partidos!$H$2:$H$73&lt;&gt;"")*(Partidos!$H$2:$H$73=Partidos!$I$2:$I$73))+SUMPRODUCT((Partidos!$M$2:$M$73=B22)*(Partidos!$I$2:$I$73&lt;&gt;"")*(Partidos!$I$2:$I$73=Partidos!$H$2:$H$73))</f>
        <v>0</v>
      </c>
      <c r="G22">
        <f t="shared" si="0"/>
        <v>0</v>
      </c>
      <c r="H22">
        <f>SUMIFS(Partidos!$H$2:$H$73,Partidos!$L$2:$L$73,B22)+SUMIFS(Partidos!$I$2:$I$73,Partidos!$M$2:$M$73,B22)</f>
        <v>0</v>
      </c>
      <c r="I22">
        <f>SUMIFS(Partidos!$I$2:$I$73,Partidos!$L$2:$L$73,B22)+SUMIFS(Partidos!$H$2:$H$73,Partidos!$M$2:$M$73,B22)</f>
        <v>0</v>
      </c>
      <c r="J22">
        <f t="shared" si="1"/>
        <v>0</v>
      </c>
      <c r="K22">
        <f t="shared" si="2"/>
        <v>0</v>
      </c>
      <c r="L22">
        <v>0</v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>Países Bajos</v>
      </c>
      <c r="Q22" t="str">
        <f t="shared" si="7"/>
        <v>NED</v>
      </c>
    </row>
    <row r="23" spans="1:17">
      <c r="A23" t="s">
        <v>98</v>
      </c>
      <c r="B23" t="s">
        <v>103</v>
      </c>
      <c r="C23" t="s">
        <v>104</v>
      </c>
      <c r="D23">
        <f>COUNTIFS(Partidos!$L$2:$L$73,B23,Partidos!$H$2:$H$73,"&lt;&gt;")+COUNTIFS(Partidos!$M$2:$M$73,B23,Partidos!$I$2:$I$73,"&lt;&gt;")</f>
        <v>0</v>
      </c>
      <c r="E23">
        <f>SUMPRODUCT((Partidos!$L$2:$L$73=B23)*(Partidos!$H$2:$H$73&lt;&gt;"")*(Partidos!$H$2:$H$73&gt;Partidos!$I$2:$I$73))+SUMPRODUCT((Partidos!$M$2:$M$73=B23)*(Partidos!$I$2:$I$73&lt;&gt;"")*(Partidos!$I$2:$I$73&gt;Partidos!$H$2:$H$73))</f>
        <v>0</v>
      </c>
      <c r="F23">
        <f>SUMPRODUCT((Partidos!$L$2:$L$73=B23)*(Partidos!$H$2:$H$73&lt;&gt;"")*(Partidos!$H$2:$H$73=Partidos!$I$2:$I$73))+SUMPRODUCT((Partidos!$M$2:$M$73=B23)*(Partidos!$I$2:$I$73&lt;&gt;"")*(Partidos!$I$2:$I$73=Partidos!$H$2:$H$73))</f>
        <v>0</v>
      </c>
      <c r="G23">
        <f t="shared" si="0"/>
        <v>0</v>
      </c>
      <c r="H23">
        <f>SUMIFS(Partidos!$H$2:$H$73,Partidos!$L$2:$L$73,B23)+SUMIFS(Partidos!$I$2:$I$73,Partidos!$M$2:$M$73,B23)</f>
        <v>0</v>
      </c>
      <c r="I23">
        <f>SUMIFS(Partidos!$I$2:$I$73,Partidos!$L$2:$L$73,B23)+SUMIFS(Partidos!$H$2:$H$73,Partidos!$M$2:$M$73,B23)</f>
        <v>0</v>
      </c>
      <c r="J23">
        <f t="shared" si="1"/>
        <v>0</v>
      </c>
      <c r="K23">
        <f t="shared" si="2"/>
        <v>0</v>
      </c>
      <c r="L23">
        <v>0</v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>Japón</v>
      </c>
      <c r="Q23" t="str">
        <f t="shared" si="7"/>
        <v>JPN</v>
      </c>
    </row>
    <row r="24" spans="1:17">
      <c r="A24" t="s">
        <v>98</v>
      </c>
      <c r="B24" t="s">
        <v>106</v>
      </c>
      <c r="C24" t="s">
        <v>107</v>
      </c>
      <c r="D24">
        <f>COUNTIFS(Partidos!$L$2:$L$73,B24,Partidos!$H$2:$H$73,"&lt;&gt;")+COUNTIFS(Partidos!$M$2:$M$73,B24,Partidos!$I$2:$I$73,"&lt;&gt;")</f>
        <v>0</v>
      </c>
      <c r="E24">
        <f>SUMPRODUCT((Partidos!$L$2:$L$73=B24)*(Partidos!$H$2:$H$73&lt;&gt;"")*(Partidos!$H$2:$H$73&gt;Partidos!$I$2:$I$73))+SUMPRODUCT((Partidos!$M$2:$M$73=B24)*(Partidos!$I$2:$I$73&lt;&gt;"")*(Partidos!$I$2:$I$73&gt;Partidos!$H$2:$H$73))</f>
        <v>0</v>
      </c>
      <c r="F24">
        <f>SUMPRODUCT((Partidos!$L$2:$L$73=B24)*(Partidos!$H$2:$H$73&lt;&gt;"")*(Partidos!$H$2:$H$73=Partidos!$I$2:$I$73))+SUMPRODUCT((Partidos!$M$2:$M$73=B24)*(Partidos!$I$2:$I$73&lt;&gt;"")*(Partidos!$I$2:$I$73=Partidos!$H$2:$H$73))</f>
        <v>0</v>
      </c>
      <c r="G24">
        <f t="shared" si="0"/>
        <v>0</v>
      </c>
      <c r="H24">
        <f>SUMIFS(Partidos!$H$2:$H$73,Partidos!$L$2:$L$73,B24)+SUMIFS(Partidos!$I$2:$I$73,Partidos!$M$2:$M$73,B24)</f>
        <v>0</v>
      </c>
      <c r="I24">
        <f>SUMIFS(Partidos!$I$2:$I$73,Partidos!$L$2:$L$73,B24)+SUMIFS(Partidos!$H$2:$H$73,Partidos!$M$2:$M$73,B24)</f>
        <v>0</v>
      </c>
      <c r="J24">
        <f t="shared" si="1"/>
        <v>0</v>
      </c>
      <c r="K24">
        <f t="shared" si="2"/>
        <v>0</v>
      </c>
      <c r="L24">
        <v>0</v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>Suecia</v>
      </c>
      <c r="Q24" t="str">
        <f t="shared" si="7"/>
        <v>SWE</v>
      </c>
    </row>
    <row r="25" spans="1:17">
      <c r="A25" t="s">
        <v>98</v>
      </c>
      <c r="B25" t="s">
        <v>109</v>
      </c>
      <c r="C25" t="s">
        <v>110</v>
      </c>
      <c r="D25">
        <f>COUNTIFS(Partidos!$L$2:$L$73,B25,Partidos!$H$2:$H$73,"&lt;&gt;")+COUNTIFS(Partidos!$M$2:$M$73,B25,Partidos!$I$2:$I$73,"&lt;&gt;")</f>
        <v>0</v>
      </c>
      <c r="E25">
        <f>SUMPRODUCT((Partidos!$L$2:$L$73=B25)*(Partidos!$H$2:$H$73&lt;&gt;"")*(Partidos!$H$2:$H$73&gt;Partidos!$I$2:$I$73))+SUMPRODUCT((Partidos!$M$2:$M$73=B25)*(Partidos!$I$2:$I$73&lt;&gt;"")*(Partidos!$I$2:$I$73&gt;Partidos!$H$2:$H$73))</f>
        <v>0</v>
      </c>
      <c r="F25">
        <f>SUMPRODUCT((Partidos!$L$2:$L$73=B25)*(Partidos!$H$2:$H$73&lt;&gt;"")*(Partidos!$H$2:$H$73=Partidos!$I$2:$I$73))+SUMPRODUCT((Partidos!$M$2:$M$73=B25)*(Partidos!$I$2:$I$73&lt;&gt;"")*(Partidos!$I$2:$I$73=Partidos!$H$2:$H$73))</f>
        <v>0</v>
      </c>
      <c r="G25">
        <f t="shared" si="0"/>
        <v>0</v>
      </c>
      <c r="H25">
        <f>SUMIFS(Partidos!$H$2:$H$73,Partidos!$L$2:$L$73,B25)+SUMIFS(Partidos!$I$2:$I$73,Partidos!$M$2:$M$73,B25)</f>
        <v>0</v>
      </c>
      <c r="I25">
        <f>SUMIFS(Partidos!$I$2:$I$73,Partidos!$L$2:$L$73,B25)+SUMIFS(Partidos!$H$2:$H$73,Partidos!$M$2:$M$73,B25)</f>
        <v>0</v>
      </c>
      <c r="J25">
        <f t="shared" si="1"/>
        <v>0</v>
      </c>
      <c r="K25">
        <f t="shared" si="2"/>
        <v>0</v>
      </c>
      <c r="L25">
        <v>0</v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>Túnez</v>
      </c>
      <c r="Q25" t="str">
        <f t="shared" si="7"/>
        <v>TUN</v>
      </c>
    </row>
    <row r="26" spans="1:17">
      <c r="A26" t="s">
        <v>111</v>
      </c>
      <c r="B26" t="s">
        <v>113</v>
      </c>
      <c r="C26" t="s">
        <v>114</v>
      </c>
      <c r="D26">
        <f>COUNTIFS(Partidos!$L$2:$L$73,B26,Partidos!$H$2:$H$73,"&lt;&gt;")+COUNTIFS(Partidos!$M$2:$M$73,B26,Partidos!$I$2:$I$73,"&lt;&gt;")</f>
        <v>0</v>
      </c>
      <c r="E26">
        <f>SUMPRODUCT((Partidos!$L$2:$L$73=B26)*(Partidos!$H$2:$H$73&lt;&gt;"")*(Partidos!$H$2:$H$73&gt;Partidos!$I$2:$I$73))+SUMPRODUCT((Partidos!$M$2:$M$73=B26)*(Partidos!$I$2:$I$73&lt;&gt;"")*(Partidos!$I$2:$I$73&gt;Partidos!$H$2:$H$73))</f>
        <v>0</v>
      </c>
      <c r="F26">
        <f>SUMPRODUCT((Partidos!$L$2:$L$73=B26)*(Partidos!$H$2:$H$73&lt;&gt;"")*(Partidos!$H$2:$H$73=Partidos!$I$2:$I$73))+SUMPRODUCT((Partidos!$M$2:$M$73=B26)*(Partidos!$I$2:$I$73&lt;&gt;"")*(Partidos!$I$2:$I$73=Partidos!$H$2:$H$73))</f>
        <v>0</v>
      </c>
      <c r="G26">
        <f t="shared" si="0"/>
        <v>0</v>
      </c>
      <c r="H26">
        <f>SUMIFS(Partidos!$H$2:$H$73,Partidos!$L$2:$L$73,B26)+SUMIFS(Partidos!$I$2:$I$73,Partidos!$M$2:$M$73,B26)</f>
        <v>0</v>
      </c>
      <c r="I26">
        <f>SUMIFS(Partidos!$I$2:$I$73,Partidos!$L$2:$L$73,B26)+SUMIFS(Partidos!$H$2:$H$73,Partidos!$M$2:$M$73,B26)</f>
        <v>0</v>
      </c>
      <c r="J26">
        <f t="shared" si="1"/>
        <v>0</v>
      </c>
      <c r="K26">
        <f t="shared" si="2"/>
        <v>0</v>
      </c>
      <c r="L26">
        <v>0</v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>Bélgica</v>
      </c>
      <c r="Q26" t="str">
        <f t="shared" si="7"/>
        <v>BEL</v>
      </c>
    </row>
    <row r="27" spans="1:17">
      <c r="A27" t="s">
        <v>111</v>
      </c>
      <c r="B27" t="s">
        <v>116</v>
      </c>
      <c r="C27" t="s">
        <v>117</v>
      </c>
      <c r="D27">
        <f>COUNTIFS(Partidos!$L$2:$L$73,B27,Partidos!$H$2:$H$73,"&lt;&gt;")+COUNTIFS(Partidos!$M$2:$M$73,B27,Partidos!$I$2:$I$73,"&lt;&gt;")</f>
        <v>0</v>
      </c>
      <c r="E27">
        <f>SUMPRODUCT((Partidos!$L$2:$L$73=B27)*(Partidos!$H$2:$H$73&lt;&gt;"")*(Partidos!$H$2:$H$73&gt;Partidos!$I$2:$I$73))+SUMPRODUCT((Partidos!$M$2:$M$73=B27)*(Partidos!$I$2:$I$73&lt;&gt;"")*(Partidos!$I$2:$I$73&gt;Partidos!$H$2:$H$73))</f>
        <v>0</v>
      </c>
      <c r="F27">
        <f>SUMPRODUCT((Partidos!$L$2:$L$73=B27)*(Partidos!$H$2:$H$73&lt;&gt;"")*(Partidos!$H$2:$H$73=Partidos!$I$2:$I$73))+SUMPRODUCT((Partidos!$M$2:$M$73=B27)*(Partidos!$I$2:$I$73&lt;&gt;"")*(Partidos!$I$2:$I$73=Partidos!$H$2:$H$73))</f>
        <v>0</v>
      </c>
      <c r="G27">
        <f t="shared" si="0"/>
        <v>0</v>
      </c>
      <c r="H27">
        <f>SUMIFS(Partidos!$H$2:$H$73,Partidos!$L$2:$L$73,B27)+SUMIFS(Partidos!$I$2:$I$73,Partidos!$M$2:$M$73,B27)</f>
        <v>0</v>
      </c>
      <c r="I27">
        <f>SUMIFS(Partidos!$I$2:$I$73,Partidos!$L$2:$L$73,B27)+SUMIFS(Partidos!$H$2:$H$73,Partidos!$M$2:$M$73,B27)</f>
        <v>0</v>
      </c>
      <c r="J27">
        <f t="shared" si="1"/>
        <v>0</v>
      </c>
      <c r="K27">
        <f t="shared" si="2"/>
        <v>0</v>
      </c>
      <c r="L27">
        <v>0</v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>Egipto</v>
      </c>
      <c r="Q27" t="str">
        <f t="shared" si="7"/>
        <v>EGY</v>
      </c>
    </row>
    <row r="28" spans="1:17">
      <c r="A28" t="s">
        <v>111</v>
      </c>
      <c r="B28" t="s">
        <v>119</v>
      </c>
      <c r="C28" t="s">
        <v>120</v>
      </c>
      <c r="D28">
        <f>COUNTIFS(Partidos!$L$2:$L$73,B28,Partidos!$H$2:$H$73,"&lt;&gt;")+COUNTIFS(Partidos!$M$2:$M$73,B28,Partidos!$I$2:$I$73,"&lt;&gt;")</f>
        <v>0</v>
      </c>
      <c r="E28">
        <f>SUMPRODUCT((Partidos!$L$2:$L$73=B28)*(Partidos!$H$2:$H$73&lt;&gt;"")*(Partidos!$H$2:$H$73&gt;Partidos!$I$2:$I$73))+SUMPRODUCT((Partidos!$M$2:$M$73=B28)*(Partidos!$I$2:$I$73&lt;&gt;"")*(Partidos!$I$2:$I$73&gt;Partidos!$H$2:$H$73))</f>
        <v>0</v>
      </c>
      <c r="F28">
        <f>SUMPRODUCT((Partidos!$L$2:$L$73=B28)*(Partidos!$H$2:$H$73&lt;&gt;"")*(Partidos!$H$2:$H$73=Partidos!$I$2:$I$73))+SUMPRODUCT((Partidos!$M$2:$M$73=B28)*(Partidos!$I$2:$I$73&lt;&gt;"")*(Partidos!$I$2:$I$73=Partidos!$H$2:$H$73))</f>
        <v>0</v>
      </c>
      <c r="G28">
        <f t="shared" si="0"/>
        <v>0</v>
      </c>
      <c r="H28">
        <f>SUMIFS(Partidos!$H$2:$H$73,Partidos!$L$2:$L$73,B28)+SUMIFS(Partidos!$I$2:$I$73,Partidos!$M$2:$M$73,B28)</f>
        <v>0</v>
      </c>
      <c r="I28">
        <f>SUMIFS(Partidos!$I$2:$I$73,Partidos!$L$2:$L$73,B28)+SUMIFS(Partidos!$H$2:$H$73,Partidos!$M$2:$M$73,B28)</f>
        <v>0</v>
      </c>
      <c r="J28">
        <f t="shared" si="1"/>
        <v>0</v>
      </c>
      <c r="K28">
        <f t="shared" si="2"/>
        <v>0</v>
      </c>
      <c r="L28">
        <v>0</v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>Irán</v>
      </c>
      <c r="Q28" t="str">
        <f t="shared" si="7"/>
        <v>IRN</v>
      </c>
    </row>
    <row r="29" spans="1:17">
      <c r="A29" t="s">
        <v>111</v>
      </c>
      <c r="B29" t="s">
        <v>122</v>
      </c>
      <c r="C29" t="s">
        <v>123</v>
      </c>
      <c r="D29">
        <f>COUNTIFS(Partidos!$L$2:$L$73,B29,Partidos!$H$2:$H$73,"&lt;&gt;")+COUNTIFS(Partidos!$M$2:$M$73,B29,Partidos!$I$2:$I$73,"&lt;&gt;")</f>
        <v>0</v>
      </c>
      <c r="E29">
        <f>SUMPRODUCT((Partidos!$L$2:$L$73=B29)*(Partidos!$H$2:$H$73&lt;&gt;"")*(Partidos!$H$2:$H$73&gt;Partidos!$I$2:$I$73))+SUMPRODUCT((Partidos!$M$2:$M$73=B29)*(Partidos!$I$2:$I$73&lt;&gt;"")*(Partidos!$I$2:$I$73&gt;Partidos!$H$2:$H$73))</f>
        <v>0</v>
      </c>
      <c r="F29">
        <f>SUMPRODUCT((Partidos!$L$2:$L$73=B29)*(Partidos!$H$2:$H$73&lt;&gt;"")*(Partidos!$H$2:$H$73=Partidos!$I$2:$I$73))+SUMPRODUCT((Partidos!$M$2:$M$73=B29)*(Partidos!$I$2:$I$73&lt;&gt;"")*(Partidos!$I$2:$I$73=Partidos!$H$2:$H$73))</f>
        <v>0</v>
      </c>
      <c r="G29">
        <f t="shared" si="0"/>
        <v>0</v>
      </c>
      <c r="H29">
        <f>SUMIFS(Partidos!$H$2:$H$73,Partidos!$L$2:$L$73,B29)+SUMIFS(Partidos!$I$2:$I$73,Partidos!$M$2:$M$73,B29)</f>
        <v>0</v>
      </c>
      <c r="I29">
        <f>SUMIFS(Partidos!$I$2:$I$73,Partidos!$L$2:$L$73,B29)+SUMIFS(Partidos!$H$2:$H$73,Partidos!$M$2:$M$73,B29)</f>
        <v>0</v>
      </c>
      <c r="J29">
        <f t="shared" si="1"/>
        <v>0</v>
      </c>
      <c r="K29">
        <f t="shared" si="2"/>
        <v>0</v>
      </c>
      <c r="L29">
        <v>0</v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>Nueva Zelanda</v>
      </c>
      <c r="Q29" t="str">
        <f t="shared" si="7"/>
        <v>NZL</v>
      </c>
    </row>
    <row r="30" spans="1:17">
      <c r="A30" t="s">
        <v>124</v>
      </c>
      <c r="B30" t="s">
        <v>126</v>
      </c>
      <c r="C30" t="s">
        <v>127</v>
      </c>
      <c r="D30">
        <f>COUNTIFS(Partidos!$L$2:$L$73,B30,Partidos!$H$2:$H$73,"&lt;&gt;")+COUNTIFS(Partidos!$M$2:$M$73,B30,Partidos!$I$2:$I$73,"&lt;&gt;")</f>
        <v>0</v>
      </c>
      <c r="E30">
        <f>SUMPRODUCT((Partidos!$L$2:$L$73=B30)*(Partidos!$H$2:$H$73&lt;&gt;"")*(Partidos!$H$2:$H$73&gt;Partidos!$I$2:$I$73))+SUMPRODUCT((Partidos!$M$2:$M$73=B30)*(Partidos!$I$2:$I$73&lt;&gt;"")*(Partidos!$I$2:$I$73&gt;Partidos!$H$2:$H$73))</f>
        <v>0</v>
      </c>
      <c r="F30">
        <f>SUMPRODUCT((Partidos!$L$2:$L$73=B30)*(Partidos!$H$2:$H$73&lt;&gt;"")*(Partidos!$H$2:$H$73=Partidos!$I$2:$I$73))+SUMPRODUCT((Partidos!$M$2:$M$73=B30)*(Partidos!$I$2:$I$73&lt;&gt;"")*(Partidos!$I$2:$I$73=Partidos!$H$2:$H$73))</f>
        <v>0</v>
      </c>
      <c r="G30">
        <f t="shared" si="0"/>
        <v>0</v>
      </c>
      <c r="H30">
        <f>SUMIFS(Partidos!$H$2:$H$73,Partidos!$L$2:$L$73,B30)+SUMIFS(Partidos!$I$2:$I$73,Partidos!$M$2:$M$73,B30)</f>
        <v>0</v>
      </c>
      <c r="I30">
        <f>SUMIFS(Partidos!$I$2:$I$73,Partidos!$L$2:$L$73,B30)+SUMIFS(Partidos!$H$2:$H$73,Partidos!$M$2:$M$73,B30)</f>
        <v>0</v>
      </c>
      <c r="J30">
        <f t="shared" si="1"/>
        <v>0</v>
      </c>
      <c r="K30">
        <f t="shared" si="2"/>
        <v>0</v>
      </c>
      <c r="L30">
        <v>0</v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>España</v>
      </c>
      <c r="Q30" t="str">
        <f t="shared" si="7"/>
        <v>ESP</v>
      </c>
    </row>
    <row r="31" spans="1:17">
      <c r="A31" t="s">
        <v>124</v>
      </c>
      <c r="B31" t="s">
        <v>129</v>
      </c>
      <c r="C31" t="s">
        <v>130</v>
      </c>
      <c r="D31">
        <f>COUNTIFS(Partidos!$L$2:$L$73,B31,Partidos!$H$2:$H$73,"&lt;&gt;")+COUNTIFS(Partidos!$M$2:$M$73,B31,Partidos!$I$2:$I$73,"&lt;&gt;")</f>
        <v>0</v>
      </c>
      <c r="E31">
        <f>SUMPRODUCT((Partidos!$L$2:$L$73=B31)*(Partidos!$H$2:$H$73&lt;&gt;"")*(Partidos!$H$2:$H$73&gt;Partidos!$I$2:$I$73))+SUMPRODUCT((Partidos!$M$2:$M$73=B31)*(Partidos!$I$2:$I$73&lt;&gt;"")*(Partidos!$I$2:$I$73&gt;Partidos!$H$2:$H$73))</f>
        <v>0</v>
      </c>
      <c r="F31">
        <f>SUMPRODUCT((Partidos!$L$2:$L$73=B31)*(Partidos!$H$2:$H$73&lt;&gt;"")*(Partidos!$H$2:$H$73=Partidos!$I$2:$I$73))+SUMPRODUCT((Partidos!$M$2:$M$73=B31)*(Partidos!$I$2:$I$73&lt;&gt;"")*(Partidos!$I$2:$I$73=Partidos!$H$2:$H$73))</f>
        <v>0</v>
      </c>
      <c r="G31">
        <f t="shared" si="0"/>
        <v>0</v>
      </c>
      <c r="H31">
        <f>SUMIFS(Partidos!$H$2:$H$73,Partidos!$L$2:$L$73,B31)+SUMIFS(Partidos!$I$2:$I$73,Partidos!$M$2:$M$73,B31)</f>
        <v>0</v>
      </c>
      <c r="I31">
        <f>SUMIFS(Partidos!$I$2:$I$73,Partidos!$L$2:$L$73,B31)+SUMIFS(Partidos!$H$2:$H$73,Partidos!$M$2:$M$73,B31)</f>
        <v>0</v>
      </c>
      <c r="J31">
        <f t="shared" si="1"/>
        <v>0</v>
      </c>
      <c r="K31">
        <f t="shared" si="2"/>
        <v>0</v>
      </c>
      <c r="L31">
        <v>0</v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>Cabo Verde</v>
      </c>
      <c r="Q31" t="str">
        <f t="shared" si="7"/>
        <v>CPV</v>
      </c>
    </row>
    <row r="32" spans="1:17">
      <c r="A32" t="s">
        <v>124</v>
      </c>
      <c r="B32" t="s">
        <v>132</v>
      </c>
      <c r="C32" t="s">
        <v>133</v>
      </c>
      <c r="D32">
        <f>COUNTIFS(Partidos!$L$2:$L$73,B32,Partidos!$H$2:$H$73,"&lt;&gt;")+COUNTIFS(Partidos!$M$2:$M$73,B32,Partidos!$I$2:$I$73,"&lt;&gt;")</f>
        <v>0</v>
      </c>
      <c r="E32">
        <f>SUMPRODUCT((Partidos!$L$2:$L$73=B32)*(Partidos!$H$2:$H$73&lt;&gt;"")*(Partidos!$H$2:$H$73&gt;Partidos!$I$2:$I$73))+SUMPRODUCT((Partidos!$M$2:$M$73=B32)*(Partidos!$I$2:$I$73&lt;&gt;"")*(Partidos!$I$2:$I$73&gt;Partidos!$H$2:$H$73))</f>
        <v>0</v>
      </c>
      <c r="F32">
        <f>SUMPRODUCT((Partidos!$L$2:$L$73=B32)*(Partidos!$H$2:$H$73&lt;&gt;"")*(Partidos!$H$2:$H$73=Partidos!$I$2:$I$73))+SUMPRODUCT((Partidos!$M$2:$M$73=B32)*(Partidos!$I$2:$I$73&lt;&gt;"")*(Partidos!$I$2:$I$73=Partidos!$H$2:$H$73))</f>
        <v>0</v>
      </c>
      <c r="G32">
        <f t="shared" si="0"/>
        <v>0</v>
      </c>
      <c r="H32">
        <f>SUMIFS(Partidos!$H$2:$H$73,Partidos!$L$2:$L$73,B32)+SUMIFS(Partidos!$I$2:$I$73,Partidos!$M$2:$M$73,B32)</f>
        <v>0</v>
      </c>
      <c r="I32">
        <f>SUMIFS(Partidos!$I$2:$I$73,Partidos!$L$2:$L$73,B32)+SUMIFS(Partidos!$H$2:$H$73,Partidos!$M$2:$M$73,B32)</f>
        <v>0</v>
      </c>
      <c r="J32">
        <f t="shared" si="1"/>
        <v>0</v>
      </c>
      <c r="K32">
        <f t="shared" si="2"/>
        <v>0</v>
      </c>
      <c r="L32">
        <v>0</v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>Arabia Saudita</v>
      </c>
      <c r="Q32" t="str">
        <f t="shared" si="7"/>
        <v>KSA</v>
      </c>
    </row>
    <row r="33" spans="1:17">
      <c r="A33" t="s">
        <v>124</v>
      </c>
      <c r="B33" t="s">
        <v>135</v>
      </c>
      <c r="C33" t="s">
        <v>136</v>
      </c>
      <c r="D33">
        <f>COUNTIFS(Partidos!$L$2:$L$73,B33,Partidos!$H$2:$H$73,"&lt;&gt;")+COUNTIFS(Partidos!$M$2:$M$73,B33,Partidos!$I$2:$I$73,"&lt;&gt;")</f>
        <v>0</v>
      </c>
      <c r="E33">
        <f>SUMPRODUCT((Partidos!$L$2:$L$73=B33)*(Partidos!$H$2:$H$73&lt;&gt;"")*(Partidos!$H$2:$H$73&gt;Partidos!$I$2:$I$73))+SUMPRODUCT((Partidos!$M$2:$M$73=B33)*(Partidos!$I$2:$I$73&lt;&gt;"")*(Partidos!$I$2:$I$73&gt;Partidos!$H$2:$H$73))</f>
        <v>0</v>
      </c>
      <c r="F33">
        <f>SUMPRODUCT((Partidos!$L$2:$L$73=B33)*(Partidos!$H$2:$H$73&lt;&gt;"")*(Partidos!$H$2:$H$73=Partidos!$I$2:$I$73))+SUMPRODUCT((Partidos!$M$2:$M$73=B33)*(Partidos!$I$2:$I$73&lt;&gt;"")*(Partidos!$I$2:$I$73=Partidos!$H$2:$H$73))</f>
        <v>0</v>
      </c>
      <c r="G33">
        <f t="shared" si="0"/>
        <v>0</v>
      </c>
      <c r="H33">
        <f>SUMIFS(Partidos!$H$2:$H$73,Partidos!$L$2:$L$73,B33)+SUMIFS(Partidos!$I$2:$I$73,Partidos!$M$2:$M$73,B33)</f>
        <v>0</v>
      </c>
      <c r="I33">
        <f>SUMIFS(Partidos!$I$2:$I$73,Partidos!$L$2:$L$73,B33)+SUMIFS(Partidos!$H$2:$H$73,Partidos!$M$2:$M$73,B33)</f>
        <v>0</v>
      </c>
      <c r="J33">
        <f t="shared" si="1"/>
        <v>0</v>
      </c>
      <c r="K33">
        <f t="shared" si="2"/>
        <v>0</v>
      </c>
      <c r="L33">
        <v>0</v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>Uruguay</v>
      </c>
      <c r="Q33" t="str">
        <f t="shared" si="7"/>
        <v>URU</v>
      </c>
    </row>
    <row r="34" spans="1:17">
      <c r="A34" t="s">
        <v>137</v>
      </c>
      <c r="B34" t="s">
        <v>139</v>
      </c>
      <c r="C34" t="s">
        <v>140</v>
      </c>
      <c r="D34">
        <f>COUNTIFS(Partidos!$L$2:$L$73,B34,Partidos!$H$2:$H$73,"&lt;&gt;")+COUNTIFS(Partidos!$M$2:$M$73,B34,Partidos!$I$2:$I$73,"&lt;&gt;")</f>
        <v>0</v>
      </c>
      <c r="E34">
        <f>SUMPRODUCT((Partidos!$L$2:$L$73=B34)*(Partidos!$H$2:$H$73&lt;&gt;"")*(Partidos!$H$2:$H$73&gt;Partidos!$I$2:$I$73))+SUMPRODUCT((Partidos!$M$2:$M$73=B34)*(Partidos!$I$2:$I$73&lt;&gt;"")*(Partidos!$I$2:$I$73&gt;Partidos!$H$2:$H$73))</f>
        <v>0</v>
      </c>
      <c r="F34">
        <f>SUMPRODUCT((Partidos!$L$2:$L$73=B34)*(Partidos!$H$2:$H$73&lt;&gt;"")*(Partidos!$H$2:$H$73=Partidos!$I$2:$I$73))+SUMPRODUCT((Partidos!$M$2:$M$73=B34)*(Partidos!$I$2:$I$73&lt;&gt;"")*(Partidos!$I$2:$I$73=Partidos!$H$2:$H$73))</f>
        <v>0</v>
      </c>
      <c r="G34">
        <f t="shared" si="0"/>
        <v>0</v>
      </c>
      <c r="H34">
        <f>SUMIFS(Partidos!$H$2:$H$73,Partidos!$L$2:$L$73,B34)+SUMIFS(Partidos!$I$2:$I$73,Partidos!$M$2:$M$73,B34)</f>
        <v>0</v>
      </c>
      <c r="I34">
        <f>SUMIFS(Partidos!$I$2:$I$73,Partidos!$L$2:$L$73,B34)+SUMIFS(Partidos!$H$2:$H$73,Partidos!$M$2:$M$73,B34)</f>
        <v>0</v>
      </c>
      <c r="J34">
        <f t="shared" si="1"/>
        <v>0</v>
      </c>
      <c r="K34">
        <f t="shared" si="2"/>
        <v>0</v>
      </c>
      <c r="L34">
        <v>0</v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>Francia</v>
      </c>
      <c r="Q34" t="str">
        <f t="shared" si="7"/>
        <v>FRA</v>
      </c>
    </row>
    <row r="35" spans="1:17">
      <c r="A35" t="s">
        <v>137</v>
      </c>
      <c r="B35" t="s">
        <v>142</v>
      </c>
      <c r="C35" t="s">
        <v>143</v>
      </c>
      <c r="D35">
        <f>COUNTIFS(Partidos!$L$2:$L$73,B35,Partidos!$H$2:$H$73,"&lt;&gt;")+COUNTIFS(Partidos!$M$2:$M$73,B35,Partidos!$I$2:$I$73,"&lt;&gt;")</f>
        <v>0</v>
      </c>
      <c r="E35">
        <f>SUMPRODUCT((Partidos!$L$2:$L$73=B35)*(Partidos!$H$2:$H$73&lt;&gt;"")*(Partidos!$H$2:$H$73&gt;Partidos!$I$2:$I$73))+SUMPRODUCT((Partidos!$M$2:$M$73=B35)*(Partidos!$I$2:$I$73&lt;&gt;"")*(Partidos!$I$2:$I$73&gt;Partidos!$H$2:$H$73))</f>
        <v>0</v>
      </c>
      <c r="F35">
        <f>SUMPRODUCT((Partidos!$L$2:$L$73=B35)*(Partidos!$H$2:$H$73&lt;&gt;"")*(Partidos!$H$2:$H$73=Partidos!$I$2:$I$73))+SUMPRODUCT((Partidos!$M$2:$M$73=B35)*(Partidos!$I$2:$I$73&lt;&gt;"")*(Partidos!$I$2:$I$73=Partidos!$H$2:$H$73))</f>
        <v>0</v>
      </c>
      <c r="G35">
        <f t="shared" si="0"/>
        <v>0</v>
      </c>
      <c r="H35">
        <f>SUMIFS(Partidos!$H$2:$H$73,Partidos!$L$2:$L$73,B35)+SUMIFS(Partidos!$I$2:$I$73,Partidos!$M$2:$M$73,B35)</f>
        <v>0</v>
      </c>
      <c r="I35">
        <f>SUMIFS(Partidos!$I$2:$I$73,Partidos!$L$2:$L$73,B35)+SUMIFS(Partidos!$H$2:$H$73,Partidos!$M$2:$M$73,B35)</f>
        <v>0</v>
      </c>
      <c r="J35">
        <f t="shared" si="1"/>
        <v>0</v>
      </c>
      <c r="K35">
        <f t="shared" si="2"/>
        <v>0</v>
      </c>
      <c r="L35">
        <v>0</v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>Senegal</v>
      </c>
      <c r="Q35" t="str">
        <f t="shared" si="7"/>
        <v>SEN</v>
      </c>
    </row>
    <row r="36" spans="1:17">
      <c r="A36" t="s">
        <v>137</v>
      </c>
      <c r="B36" t="s">
        <v>145</v>
      </c>
      <c r="C36" t="s">
        <v>146</v>
      </c>
      <c r="D36">
        <f>COUNTIFS(Partidos!$L$2:$L$73,B36,Partidos!$H$2:$H$73,"&lt;&gt;")+COUNTIFS(Partidos!$M$2:$M$73,B36,Partidos!$I$2:$I$73,"&lt;&gt;")</f>
        <v>0</v>
      </c>
      <c r="E36">
        <f>SUMPRODUCT((Partidos!$L$2:$L$73=B36)*(Partidos!$H$2:$H$73&lt;&gt;"")*(Partidos!$H$2:$H$73&gt;Partidos!$I$2:$I$73))+SUMPRODUCT((Partidos!$M$2:$M$73=B36)*(Partidos!$I$2:$I$73&lt;&gt;"")*(Partidos!$I$2:$I$73&gt;Partidos!$H$2:$H$73))</f>
        <v>0</v>
      </c>
      <c r="F36">
        <f>SUMPRODUCT((Partidos!$L$2:$L$73=B36)*(Partidos!$H$2:$H$73&lt;&gt;"")*(Partidos!$H$2:$H$73=Partidos!$I$2:$I$73))+SUMPRODUCT((Partidos!$M$2:$M$73=B36)*(Partidos!$I$2:$I$73&lt;&gt;"")*(Partidos!$I$2:$I$73=Partidos!$H$2:$H$73))</f>
        <v>0</v>
      </c>
      <c r="G36">
        <f t="shared" si="0"/>
        <v>0</v>
      </c>
      <c r="H36">
        <f>SUMIFS(Partidos!$H$2:$H$73,Partidos!$L$2:$L$73,B36)+SUMIFS(Partidos!$I$2:$I$73,Partidos!$M$2:$M$73,B36)</f>
        <v>0</v>
      </c>
      <c r="I36">
        <f>SUMIFS(Partidos!$I$2:$I$73,Partidos!$L$2:$L$73,B36)+SUMIFS(Partidos!$H$2:$H$73,Partidos!$M$2:$M$73,B36)</f>
        <v>0</v>
      </c>
      <c r="J36">
        <f t="shared" si="1"/>
        <v>0</v>
      </c>
      <c r="K36">
        <f t="shared" si="2"/>
        <v>0</v>
      </c>
      <c r="L36">
        <v>0</v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>Irak</v>
      </c>
      <c r="Q36" t="str">
        <f t="shared" si="7"/>
        <v>IRQ</v>
      </c>
    </row>
    <row r="37" spans="1:17">
      <c r="A37" t="s">
        <v>137</v>
      </c>
      <c r="B37" t="s">
        <v>148</v>
      </c>
      <c r="C37" t="s">
        <v>149</v>
      </c>
      <c r="D37">
        <f>COUNTIFS(Partidos!$L$2:$L$73,B37,Partidos!$H$2:$H$73,"&lt;&gt;")+COUNTIFS(Partidos!$M$2:$M$73,B37,Partidos!$I$2:$I$73,"&lt;&gt;")</f>
        <v>0</v>
      </c>
      <c r="E37">
        <f>SUMPRODUCT((Partidos!$L$2:$L$73=B37)*(Partidos!$H$2:$H$73&lt;&gt;"")*(Partidos!$H$2:$H$73&gt;Partidos!$I$2:$I$73))+SUMPRODUCT((Partidos!$M$2:$M$73=B37)*(Partidos!$I$2:$I$73&lt;&gt;"")*(Partidos!$I$2:$I$73&gt;Partidos!$H$2:$H$73))</f>
        <v>0</v>
      </c>
      <c r="F37">
        <f>SUMPRODUCT((Partidos!$L$2:$L$73=B37)*(Partidos!$H$2:$H$73&lt;&gt;"")*(Partidos!$H$2:$H$73=Partidos!$I$2:$I$73))+SUMPRODUCT((Partidos!$M$2:$M$73=B37)*(Partidos!$I$2:$I$73&lt;&gt;"")*(Partidos!$I$2:$I$73=Partidos!$H$2:$H$73))</f>
        <v>0</v>
      </c>
      <c r="G37">
        <f t="shared" si="0"/>
        <v>0</v>
      </c>
      <c r="H37">
        <f>SUMIFS(Partidos!$H$2:$H$73,Partidos!$L$2:$L$73,B37)+SUMIFS(Partidos!$I$2:$I$73,Partidos!$M$2:$M$73,B37)</f>
        <v>0</v>
      </c>
      <c r="I37">
        <f>SUMIFS(Partidos!$I$2:$I$73,Partidos!$L$2:$L$73,B37)+SUMIFS(Partidos!$H$2:$H$73,Partidos!$M$2:$M$73,B37)</f>
        <v>0</v>
      </c>
      <c r="J37">
        <f t="shared" si="1"/>
        <v>0</v>
      </c>
      <c r="K37">
        <f t="shared" si="2"/>
        <v>0</v>
      </c>
      <c r="L37">
        <v>0</v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>Noruega</v>
      </c>
      <c r="Q37" t="str">
        <f t="shared" si="7"/>
        <v>NOR</v>
      </c>
    </row>
    <row r="38" spans="1:17">
      <c r="A38" t="s">
        <v>150</v>
      </c>
      <c r="B38" t="s">
        <v>152</v>
      </c>
      <c r="C38" t="s">
        <v>153</v>
      </c>
      <c r="D38">
        <f>COUNTIFS(Partidos!$L$2:$L$73,B38,Partidos!$H$2:$H$73,"&lt;&gt;")+COUNTIFS(Partidos!$M$2:$M$73,B38,Partidos!$I$2:$I$73,"&lt;&gt;")</f>
        <v>0</v>
      </c>
      <c r="E38">
        <f>SUMPRODUCT((Partidos!$L$2:$L$73=B38)*(Partidos!$H$2:$H$73&lt;&gt;"")*(Partidos!$H$2:$H$73&gt;Partidos!$I$2:$I$73))+SUMPRODUCT((Partidos!$M$2:$M$73=B38)*(Partidos!$I$2:$I$73&lt;&gt;"")*(Partidos!$I$2:$I$73&gt;Partidos!$H$2:$H$73))</f>
        <v>0</v>
      </c>
      <c r="F38">
        <f>SUMPRODUCT((Partidos!$L$2:$L$73=B38)*(Partidos!$H$2:$H$73&lt;&gt;"")*(Partidos!$H$2:$H$73=Partidos!$I$2:$I$73))+SUMPRODUCT((Partidos!$M$2:$M$73=B38)*(Partidos!$I$2:$I$73&lt;&gt;"")*(Partidos!$I$2:$I$73=Partidos!$H$2:$H$73))</f>
        <v>0</v>
      </c>
      <c r="G38">
        <f t="shared" si="0"/>
        <v>0</v>
      </c>
      <c r="H38">
        <f>SUMIFS(Partidos!$H$2:$H$73,Partidos!$L$2:$L$73,B38)+SUMIFS(Partidos!$I$2:$I$73,Partidos!$M$2:$M$73,B38)</f>
        <v>0</v>
      </c>
      <c r="I38">
        <f>SUMIFS(Partidos!$I$2:$I$73,Partidos!$L$2:$L$73,B38)+SUMIFS(Partidos!$H$2:$H$73,Partidos!$M$2:$M$73,B38)</f>
        <v>0</v>
      </c>
      <c r="J38">
        <f t="shared" si="1"/>
        <v>0</v>
      </c>
      <c r="K38">
        <f t="shared" si="2"/>
        <v>0</v>
      </c>
      <c r="L38">
        <v>0</v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>Argentina</v>
      </c>
      <c r="Q38" t="str">
        <f t="shared" si="7"/>
        <v>ARG</v>
      </c>
    </row>
    <row r="39" spans="1:17">
      <c r="A39" t="s">
        <v>150</v>
      </c>
      <c r="B39" t="s">
        <v>155</v>
      </c>
      <c r="C39" t="s">
        <v>156</v>
      </c>
      <c r="D39">
        <f>COUNTIFS(Partidos!$L$2:$L$73,B39,Partidos!$H$2:$H$73,"&lt;&gt;")+COUNTIFS(Partidos!$M$2:$M$73,B39,Partidos!$I$2:$I$73,"&lt;&gt;")</f>
        <v>0</v>
      </c>
      <c r="E39">
        <f>SUMPRODUCT((Partidos!$L$2:$L$73=B39)*(Partidos!$H$2:$H$73&lt;&gt;"")*(Partidos!$H$2:$H$73&gt;Partidos!$I$2:$I$73))+SUMPRODUCT((Partidos!$M$2:$M$73=B39)*(Partidos!$I$2:$I$73&lt;&gt;"")*(Partidos!$I$2:$I$73&gt;Partidos!$H$2:$H$73))</f>
        <v>0</v>
      </c>
      <c r="F39">
        <f>SUMPRODUCT((Partidos!$L$2:$L$73=B39)*(Partidos!$H$2:$H$73&lt;&gt;"")*(Partidos!$H$2:$H$73=Partidos!$I$2:$I$73))+SUMPRODUCT((Partidos!$M$2:$M$73=B39)*(Partidos!$I$2:$I$73&lt;&gt;"")*(Partidos!$I$2:$I$73=Partidos!$H$2:$H$73))</f>
        <v>0</v>
      </c>
      <c r="G39">
        <f t="shared" si="0"/>
        <v>0</v>
      </c>
      <c r="H39">
        <f>SUMIFS(Partidos!$H$2:$H$73,Partidos!$L$2:$L$73,B39)+SUMIFS(Partidos!$I$2:$I$73,Partidos!$M$2:$M$73,B39)</f>
        <v>0</v>
      </c>
      <c r="I39">
        <f>SUMIFS(Partidos!$I$2:$I$73,Partidos!$L$2:$L$73,B39)+SUMIFS(Partidos!$H$2:$H$73,Partidos!$M$2:$M$73,B39)</f>
        <v>0</v>
      </c>
      <c r="J39">
        <f t="shared" si="1"/>
        <v>0</v>
      </c>
      <c r="K39">
        <f t="shared" si="2"/>
        <v>0</v>
      </c>
      <c r="L39">
        <v>0</v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>Argelia</v>
      </c>
      <c r="Q39" t="str">
        <f t="shared" si="7"/>
        <v>ALG</v>
      </c>
    </row>
    <row r="40" spans="1:17">
      <c r="A40" t="s">
        <v>150</v>
      </c>
      <c r="B40" t="s">
        <v>158</v>
      </c>
      <c r="C40" t="s">
        <v>159</v>
      </c>
      <c r="D40">
        <f>COUNTIFS(Partidos!$L$2:$L$73,B40,Partidos!$H$2:$H$73,"&lt;&gt;")+COUNTIFS(Partidos!$M$2:$M$73,B40,Partidos!$I$2:$I$73,"&lt;&gt;")</f>
        <v>0</v>
      </c>
      <c r="E40">
        <f>SUMPRODUCT((Partidos!$L$2:$L$73=B40)*(Partidos!$H$2:$H$73&lt;&gt;"")*(Partidos!$H$2:$H$73&gt;Partidos!$I$2:$I$73))+SUMPRODUCT((Partidos!$M$2:$M$73=B40)*(Partidos!$I$2:$I$73&lt;&gt;"")*(Partidos!$I$2:$I$73&gt;Partidos!$H$2:$H$73))</f>
        <v>0</v>
      </c>
      <c r="F40">
        <f>SUMPRODUCT((Partidos!$L$2:$L$73=B40)*(Partidos!$H$2:$H$73&lt;&gt;"")*(Partidos!$H$2:$H$73=Partidos!$I$2:$I$73))+SUMPRODUCT((Partidos!$M$2:$M$73=B40)*(Partidos!$I$2:$I$73&lt;&gt;"")*(Partidos!$I$2:$I$73=Partidos!$H$2:$H$73))</f>
        <v>0</v>
      </c>
      <c r="G40">
        <f t="shared" si="0"/>
        <v>0</v>
      </c>
      <c r="H40">
        <f>SUMIFS(Partidos!$H$2:$H$73,Partidos!$L$2:$L$73,B40)+SUMIFS(Partidos!$I$2:$I$73,Partidos!$M$2:$M$73,B40)</f>
        <v>0</v>
      </c>
      <c r="I40">
        <f>SUMIFS(Partidos!$I$2:$I$73,Partidos!$L$2:$L$73,B40)+SUMIFS(Partidos!$H$2:$H$73,Partidos!$M$2:$M$73,B40)</f>
        <v>0</v>
      </c>
      <c r="J40">
        <f t="shared" si="1"/>
        <v>0</v>
      </c>
      <c r="K40">
        <f t="shared" si="2"/>
        <v>0</v>
      </c>
      <c r="L40">
        <v>0</v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>Austria</v>
      </c>
      <c r="Q40" t="str">
        <f t="shared" si="7"/>
        <v>AUT</v>
      </c>
    </row>
    <row r="41" spans="1:17">
      <c r="A41" t="s">
        <v>150</v>
      </c>
      <c r="B41" t="s">
        <v>161</v>
      </c>
      <c r="C41" t="s">
        <v>162</v>
      </c>
      <c r="D41">
        <f>COUNTIFS(Partidos!$L$2:$L$73,B41,Partidos!$H$2:$H$73,"&lt;&gt;")+COUNTIFS(Partidos!$M$2:$M$73,B41,Partidos!$I$2:$I$73,"&lt;&gt;")</f>
        <v>0</v>
      </c>
      <c r="E41">
        <f>SUMPRODUCT((Partidos!$L$2:$L$73=B41)*(Partidos!$H$2:$H$73&lt;&gt;"")*(Partidos!$H$2:$H$73&gt;Partidos!$I$2:$I$73))+SUMPRODUCT((Partidos!$M$2:$M$73=B41)*(Partidos!$I$2:$I$73&lt;&gt;"")*(Partidos!$I$2:$I$73&gt;Partidos!$H$2:$H$73))</f>
        <v>0</v>
      </c>
      <c r="F41">
        <f>SUMPRODUCT((Partidos!$L$2:$L$73=B41)*(Partidos!$H$2:$H$73&lt;&gt;"")*(Partidos!$H$2:$H$73=Partidos!$I$2:$I$73))+SUMPRODUCT((Partidos!$M$2:$M$73=B41)*(Partidos!$I$2:$I$73&lt;&gt;"")*(Partidos!$I$2:$I$73=Partidos!$H$2:$H$73))</f>
        <v>0</v>
      </c>
      <c r="G41">
        <f t="shared" si="0"/>
        <v>0</v>
      </c>
      <c r="H41">
        <f>SUMIFS(Partidos!$H$2:$H$73,Partidos!$L$2:$L$73,B41)+SUMIFS(Partidos!$I$2:$I$73,Partidos!$M$2:$M$73,B41)</f>
        <v>0</v>
      </c>
      <c r="I41">
        <f>SUMIFS(Partidos!$I$2:$I$73,Partidos!$L$2:$L$73,B41)+SUMIFS(Partidos!$H$2:$H$73,Partidos!$M$2:$M$73,B41)</f>
        <v>0</v>
      </c>
      <c r="J41">
        <f t="shared" si="1"/>
        <v>0</v>
      </c>
      <c r="K41">
        <f t="shared" si="2"/>
        <v>0</v>
      </c>
      <c r="L41">
        <v>0</v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>Jordania</v>
      </c>
      <c r="Q41" t="str">
        <f t="shared" si="7"/>
        <v>JOR</v>
      </c>
    </row>
    <row r="42" spans="1:17">
      <c r="A42" t="s">
        <v>163</v>
      </c>
      <c r="B42" t="s">
        <v>165</v>
      </c>
      <c r="C42" t="s">
        <v>166</v>
      </c>
      <c r="D42">
        <f>COUNTIFS(Partidos!$L$2:$L$73,B42,Partidos!$H$2:$H$73,"&lt;&gt;")+COUNTIFS(Partidos!$M$2:$M$73,B42,Partidos!$I$2:$I$73,"&lt;&gt;")</f>
        <v>0</v>
      </c>
      <c r="E42">
        <f>SUMPRODUCT((Partidos!$L$2:$L$73=B42)*(Partidos!$H$2:$H$73&lt;&gt;"")*(Partidos!$H$2:$H$73&gt;Partidos!$I$2:$I$73))+SUMPRODUCT((Partidos!$M$2:$M$73=B42)*(Partidos!$I$2:$I$73&lt;&gt;"")*(Partidos!$I$2:$I$73&gt;Partidos!$H$2:$H$73))</f>
        <v>0</v>
      </c>
      <c r="F42">
        <f>SUMPRODUCT((Partidos!$L$2:$L$73=B42)*(Partidos!$H$2:$H$73&lt;&gt;"")*(Partidos!$H$2:$H$73=Partidos!$I$2:$I$73))+SUMPRODUCT((Partidos!$M$2:$M$73=B42)*(Partidos!$I$2:$I$73&lt;&gt;"")*(Partidos!$I$2:$I$73=Partidos!$H$2:$H$73))</f>
        <v>0</v>
      </c>
      <c r="G42">
        <f t="shared" si="0"/>
        <v>0</v>
      </c>
      <c r="H42">
        <f>SUMIFS(Partidos!$H$2:$H$73,Partidos!$L$2:$L$73,B42)+SUMIFS(Partidos!$I$2:$I$73,Partidos!$M$2:$M$73,B42)</f>
        <v>0</v>
      </c>
      <c r="I42">
        <f>SUMIFS(Partidos!$I$2:$I$73,Partidos!$L$2:$L$73,B42)+SUMIFS(Partidos!$H$2:$H$73,Partidos!$M$2:$M$73,B42)</f>
        <v>0</v>
      </c>
      <c r="J42">
        <f t="shared" si="1"/>
        <v>0</v>
      </c>
      <c r="K42">
        <f t="shared" si="2"/>
        <v>0</v>
      </c>
      <c r="L42">
        <v>0</v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>Portugal</v>
      </c>
      <c r="Q42" t="str">
        <f t="shared" si="7"/>
        <v>POR</v>
      </c>
    </row>
    <row r="43" spans="1:17">
      <c r="A43" t="s">
        <v>163</v>
      </c>
      <c r="B43" t="s">
        <v>168</v>
      </c>
      <c r="C43" t="s">
        <v>169</v>
      </c>
      <c r="D43">
        <f>COUNTIFS(Partidos!$L$2:$L$73,B43,Partidos!$H$2:$H$73,"&lt;&gt;")+COUNTIFS(Partidos!$M$2:$M$73,B43,Partidos!$I$2:$I$73,"&lt;&gt;")</f>
        <v>0</v>
      </c>
      <c r="E43">
        <f>SUMPRODUCT((Partidos!$L$2:$L$73=B43)*(Partidos!$H$2:$H$73&lt;&gt;"")*(Partidos!$H$2:$H$73&gt;Partidos!$I$2:$I$73))+SUMPRODUCT((Partidos!$M$2:$M$73=B43)*(Partidos!$I$2:$I$73&lt;&gt;"")*(Partidos!$I$2:$I$73&gt;Partidos!$H$2:$H$73))</f>
        <v>0</v>
      </c>
      <c r="F43">
        <f>SUMPRODUCT((Partidos!$L$2:$L$73=B43)*(Partidos!$H$2:$H$73&lt;&gt;"")*(Partidos!$H$2:$H$73=Partidos!$I$2:$I$73))+SUMPRODUCT((Partidos!$M$2:$M$73=B43)*(Partidos!$I$2:$I$73&lt;&gt;"")*(Partidos!$I$2:$I$73=Partidos!$H$2:$H$73))</f>
        <v>0</v>
      </c>
      <c r="G43">
        <f t="shared" si="0"/>
        <v>0</v>
      </c>
      <c r="H43">
        <f>SUMIFS(Partidos!$H$2:$H$73,Partidos!$L$2:$L$73,B43)+SUMIFS(Partidos!$I$2:$I$73,Partidos!$M$2:$M$73,B43)</f>
        <v>0</v>
      </c>
      <c r="I43">
        <f>SUMIFS(Partidos!$I$2:$I$73,Partidos!$L$2:$L$73,B43)+SUMIFS(Partidos!$H$2:$H$73,Partidos!$M$2:$M$73,B43)</f>
        <v>0</v>
      </c>
      <c r="J43">
        <f t="shared" si="1"/>
        <v>0</v>
      </c>
      <c r="K43">
        <f t="shared" si="2"/>
        <v>0</v>
      </c>
      <c r="L43">
        <v>0</v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>RD Congo</v>
      </c>
      <c r="Q43" t="str">
        <f t="shared" si="7"/>
        <v>COD</v>
      </c>
    </row>
    <row r="44" spans="1:17">
      <c r="A44" t="s">
        <v>163</v>
      </c>
      <c r="B44" t="s">
        <v>171</v>
      </c>
      <c r="C44" t="s">
        <v>172</v>
      </c>
      <c r="D44">
        <f>COUNTIFS(Partidos!$L$2:$L$73,B44,Partidos!$H$2:$H$73,"&lt;&gt;")+COUNTIFS(Partidos!$M$2:$M$73,B44,Partidos!$I$2:$I$73,"&lt;&gt;")</f>
        <v>0</v>
      </c>
      <c r="E44">
        <f>SUMPRODUCT((Partidos!$L$2:$L$73=B44)*(Partidos!$H$2:$H$73&lt;&gt;"")*(Partidos!$H$2:$H$73&gt;Partidos!$I$2:$I$73))+SUMPRODUCT((Partidos!$M$2:$M$73=B44)*(Partidos!$I$2:$I$73&lt;&gt;"")*(Partidos!$I$2:$I$73&gt;Partidos!$H$2:$H$73))</f>
        <v>0</v>
      </c>
      <c r="F44">
        <f>SUMPRODUCT((Partidos!$L$2:$L$73=B44)*(Partidos!$H$2:$H$73&lt;&gt;"")*(Partidos!$H$2:$H$73=Partidos!$I$2:$I$73))+SUMPRODUCT((Partidos!$M$2:$M$73=B44)*(Partidos!$I$2:$I$73&lt;&gt;"")*(Partidos!$I$2:$I$73=Partidos!$H$2:$H$73))</f>
        <v>0</v>
      </c>
      <c r="G44">
        <f t="shared" si="0"/>
        <v>0</v>
      </c>
      <c r="H44">
        <f>SUMIFS(Partidos!$H$2:$H$73,Partidos!$L$2:$L$73,B44)+SUMIFS(Partidos!$I$2:$I$73,Partidos!$M$2:$M$73,B44)</f>
        <v>0</v>
      </c>
      <c r="I44">
        <f>SUMIFS(Partidos!$I$2:$I$73,Partidos!$L$2:$L$73,B44)+SUMIFS(Partidos!$H$2:$H$73,Partidos!$M$2:$M$73,B44)</f>
        <v>0</v>
      </c>
      <c r="J44">
        <f t="shared" si="1"/>
        <v>0</v>
      </c>
      <c r="K44">
        <f t="shared" si="2"/>
        <v>0</v>
      </c>
      <c r="L44">
        <v>0</v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>Uzbekistán</v>
      </c>
      <c r="Q44" t="str">
        <f t="shared" si="7"/>
        <v>UZB</v>
      </c>
    </row>
    <row r="45" spans="1:17">
      <c r="A45" t="s">
        <v>163</v>
      </c>
      <c r="B45" t="s">
        <v>174</v>
      </c>
      <c r="C45" t="s">
        <v>175</v>
      </c>
      <c r="D45">
        <f>COUNTIFS(Partidos!$L$2:$L$73,B45,Partidos!$H$2:$H$73,"&lt;&gt;")+COUNTIFS(Partidos!$M$2:$M$73,B45,Partidos!$I$2:$I$73,"&lt;&gt;")</f>
        <v>0</v>
      </c>
      <c r="E45">
        <f>SUMPRODUCT((Partidos!$L$2:$L$73=B45)*(Partidos!$H$2:$H$73&lt;&gt;"")*(Partidos!$H$2:$H$73&gt;Partidos!$I$2:$I$73))+SUMPRODUCT((Partidos!$M$2:$M$73=B45)*(Partidos!$I$2:$I$73&lt;&gt;"")*(Partidos!$I$2:$I$73&gt;Partidos!$H$2:$H$73))</f>
        <v>0</v>
      </c>
      <c r="F45">
        <f>SUMPRODUCT((Partidos!$L$2:$L$73=B45)*(Partidos!$H$2:$H$73&lt;&gt;"")*(Partidos!$H$2:$H$73=Partidos!$I$2:$I$73))+SUMPRODUCT((Partidos!$M$2:$M$73=B45)*(Partidos!$I$2:$I$73&lt;&gt;"")*(Partidos!$I$2:$I$73=Partidos!$H$2:$H$73))</f>
        <v>0</v>
      </c>
      <c r="G45">
        <f t="shared" si="0"/>
        <v>0</v>
      </c>
      <c r="H45">
        <f>SUMIFS(Partidos!$H$2:$H$73,Partidos!$L$2:$L$73,B45)+SUMIFS(Partidos!$I$2:$I$73,Partidos!$M$2:$M$73,B45)</f>
        <v>0</v>
      </c>
      <c r="I45">
        <f>SUMIFS(Partidos!$I$2:$I$73,Partidos!$L$2:$L$73,B45)+SUMIFS(Partidos!$H$2:$H$73,Partidos!$M$2:$M$73,B45)</f>
        <v>0</v>
      </c>
      <c r="J45">
        <f t="shared" si="1"/>
        <v>0</v>
      </c>
      <c r="K45">
        <f t="shared" si="2"/>
        <v>0</v>
      </c>
      <c r="L45">
        <v>0</v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>Colombia</v>
      </c>
      <c r="Q45" t="str">
        <f t="shared" si="7"/>
        <v>COL</v>
      </c>
    </row>
    <row r="46" spans="1:17">
      <c r="A46" t="s">
        <v>176</v>
      </c>
      <c r="B46" t="s">
        <v>178</v>
      </c>
      <c r="C46" t="s">
        <v>179</v>
      </c>
      <c r="D46">
        <f>COUNTIFS(Partidos!$L$2:$L$73,B46,Partidos!$H$2:$H$73,"&lt;&gt;")+COUNTIFS(Partidos!$M$2:$M$73,B46,Partidos!$I$2:$I$73,"&lt;&gt;")</f>
        <v>0</v>
      </c>
      <c r="E46">
        <f>SUMPRODUCT((Partidos!$L$2:$L$73=B46)*(Partidos!$H$2:$H$73&lt;&gt;"")*(Partidos!$H$2:$H$73&gt;Partidos!$I$2:$I$73))+SUMPRODUCT((Partidos!$M$2:$M$73=B46)*(Partidos!$I$2:$I$73&lt;&gt;"")*(Partidos!$I$2:$I$73&gt;Partidos!$H$2:$H$73))</f>
        <v>0</v>
      </c>
      <c r="F46">
        <f>SUMPRODUCT((Partidos!$L$2:$L$73=B46)*(Partidos!$H$2:$H$73&lt;&gt;"")*(Partidos!$H$2:$H$73=Partidos!$I$2:$I$73))+SUMPRODUCT((Partidos!$M$2:$M$73=B46)*(Partidos!$I$2:$I$73&lt;&gt;"")*(Partidos!$I$2:$I$73=Partidos!$H$2:$H$73))</f>
        <v>0</v>
      </c>
      <c r="G46">
        <f t="shared" si="0"/>
        <v>0</v>
      </c>
      <c r="H46">
        <f>SUMIFS(Partidos!$H$2:$H$73,Partidos!$L$2:$L$73,B46)+SUMIFS(Partidos!$I$2:$I$73,Partidos!$M$2:$M$73,B46)</f>
        <v>0</v>
      </c>
      <c r="I46">
        <f>SUMIFS(Partidos!$I$2:$I$73,Partidos!$L$2:$L$73,B46)+SUMIFS(Partidos!$H$2:$H$73,Partidos!$M$2:$M$73,B46)</f>
        <v>0</v>
      </c>
      <c r="J46">
        <f t="shared" si="1"/>
        <v>0</v>
      </c>
      <c r="K46">
        <f t="shared" si="2"/>
        <v>0</v>
      </c>
      <c r="L46">
        <v>0</v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>Inglaterra</v>
      </c>
      <c r="Q46" t="str">
        <f t="shared" si="7"/>
        <v>ENG</v>
      </c>
    </row>
    <row r="47" spans="1:17">
      <c r="A47" t="s">
        <v>176</v>
      </c>
      <c r="B47" t="s">
        <v>181</v>
      </c>
      <c r="C47" t="s">
        <v>182</v>
      </c>
      <c r="D47">
        <f>COUNTIFS(Partidos!$L$2:$L$73,B47,Partidos!$H$2:$H$73,"&lt;&gt;")+COUNTIFS(Partidos!$M$2:$M$73,B47,Partidos!$I$2:$I$73,"&lt;&gt;")</f>
        <v>0</v>
      </c>
      <c r="E47">
        <f>SUMPRODUCT((Partidos!$L$2:$L$73=B47)*(Partidos!$H$2:$H$73&lt;&gt;"")*(Partidos!$H$2:$H$73&gt;Partidos!$I$2:$I$73))+SUMPRODUCT((Partidos!$M$2:$M$73=B47)*(Partidos!$I$2:$I$73&lt;&gt;"")*(Partidos!$I$2:$I$73&gt;Partidos!$H$2:$H$73))</f>
        <v>0</v>
      </c>
      <c r="F47">
        <f>SUMPRODUCT((Partidos!$L$2:$L$73=B47)*(Partidos!$H$2:$H$73&lt;&gt;"")*(Partidos!$H$2:$H$73=Partidos!$I$2:$I$73))+SUMPRODUCT((Partidos!$M$2:$M$73=B47)*(Partidos!$I$2:$I$73&lt;&gt;"")*(Partidos!$I$2:$I$73=Partidos!$H$2:$H$73))</f>
        <v>0</v>
      </c>
      <c r="G47">
        <f t="shared" si="0"/>
        <v>0</v>
      </c>
      <c r="H47">
        <f>SUMIFS(Partidos!$H$2:$H$73,Partidos!$L$2:$L$73,B47)+SUMIFS(Partidos!$I$2:$I$73,Partidos!$M$2:$M$73,B47)</f>
        <v>0</v>
      </c>
      <c r="I47">
        <f>SUMIFS(Partidos!$I$2:$I$73,Partidos!$L$2:$L$73,B47)+SUMIFS(Partidos!$H$2:$H$73,Partidos!$M$2:$M$73,B47)</f>
        <v>0</v>
      </c>
      <c r="J47">
        <f t="shared" si="1"/>
        <v>0</v>
      </c>
      <c r="K47">
        <f t="shared" si="2"/>
        <v>0</v>
      </c>
      <c r="L47">
        <v>0</v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>Croacia</v>
      </c>
      <c r="Q47" t="str">
        <f t="shared" si="7"/>
        <v>CRO</v>
      </c>
    </row>
    <row r="48" spans="1:17">
      <c r="A48" t="s">
        <v>176</v>
      </c>
      <c r="B48" t="s">
        <v>184</v>
      </c>
      <c r="C48" t="s">
        <v>185</v>
      </c>
      <c r="D48">
        <f>COUNTIFS(Partidos!$L$2:$L$73,B48,Partidos!$H$2:$H$73,"&lt;&gt;")+COUNTIFS(Partidos!$M$2:$M$73,B48,Partidos!$I$2:$I$73,"&lt;&gt;")</f>
        <v>0</v>
      </c>
      <c r="E48">
        <f>SUMPRODUCT((Partidos!$L$2:$L$73=B48)*(Partidos!$H$2:$H$73&lt;&gt;"")*(Partidos!$H$2:$H$73&gt;Partidos!$I$2:$I$73))+SUMPRODUCT((Partidos!$M$2:$M$73=B48)*(Partidos!$I$2:$I$73&lt;&gt;"")*(Partidos!$I$2:$I$73&gt;Partidos!$H$2:$H$73))</f>
        <v>0</v>
      </c>
      <c r="F48">
        <f>SUMPRODUCT((Partidos!$L$2:$L$73=B48)*(Partidos!$H$2:$H$73&lt;&gt;"")*(Partidos!$H$2:$H$73=Partidos!$I$2:$I$73))+SUMPRODUCT((Partidos!$M$2:$M$73=B48)*(Partidos!$I$2:$I$73&lt;&gt;"")*(Partidos!$I$2:$I$73=Partidos!$H$2:$H$73))</f>
        <v>0</v>
      </c>
      <c r="G48">
        <f t="shared" si="0"/>
        <v>0</v>
      </c>
      <c r="H48">
        <f>SUMIFS(Partidos!$H$2:$H$73,Partidos!$L$2:$L$73,B48)+SUMIFS(Partidos!$I$2:$I$73,Partidos!$M$2:$M$73,B48)</f>
        <v>0</v>
      </c>
      <c r="I48">
        <f>SUMIFS(Partidos!$I$2:$I$73,Partidos!$L$2:$L$73,B48)+SUMIFS(Partidos!$H$2:$H$73,Partidos!$M$2:$M$73,B48)</f>
        <v>0</v>
      </c>
      <c r="J48">
        <f t="shared" si="1"/>
        <v>0</v>
      </c>
      <c r="K48">
        <f t="shared" si="2"/>
        <v>0</v>
      </c>
      <c r="L48">
        <v>0</v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>Ghana</v>
      </c>
      <c r="Q48" t="str">
        <f t="shared" si="7"/>
        <v>GHA</v>
      </c>
    </row>
    <row r="49" spans="1:17">
      <c r="A49" t="s">
        <v>176</v>
      </c>
      <c r="B49" t="s">
        <v>187</v>
      </c>
      <c r="C49" t="s">
        <v>188</v>
      </c>
      <c r="D49">
        <f>COUNTIFS(Partidos!$L$2:$L$73,B49,Partidos!$H$2:$H$73,"&lt;&gt;")+COUNTIFS(Partidos!$M$2:$M$73,B49,Partidos!$I$2:$I$73,"&lt;&gt;")</f>
        <v>0</v>
      </c>
      <c r="E49">
        <f>SUMPRODUCT((Partidos!$L$2:$L$73=B49)*(Partidos!$H$2:$H$73&lt;&gt;"")*(Partidos!$H$2:$H$73&gt;Partidos!$I$2:$I$73))+SUMPRODUCT((Partidos!$M$2:$M$73=B49)*(Partidos!$I$2:$I$73&lt;&gt;"")*(Partidos!$I$2:$I$73&gt;Partidos!$H$2:$H$73))</f>
        <v>0</v>
      </c>
      <c r="F49">
        <f>SUMPRODUCT((Partidos!$L$2:$L$73=B49)*(Partidos!$H$2:$H$73&lt;&gt;"")*(Partidos!$H$2:$H$73=Partidos!$I$2:$I$73))+SUMPRODUCT((Partidos!$M$2:$M$73=B49)*(Partidos!$I$2:$I$73&lt;&gt;"")*(Partidos!$I$2:$I$73=Partidos!$H$2:$H$73))</f>
        <v>0</v>
      </c>
      <c r="G49">
        <f t="shared" si="0"/>
        <v>0</v>
      </c>
      <c r="H49">
        <f>SUMIFS(Partidos!$H$2:$H$73,Partidos!$L$2:$L$73,B49)+SUMIFS(Partidos!$I$2:$I$73,Partidos!$M$2:$M$73,B49)</f>
        <v>0</v>
      </c>
      <c r="I49">
        <f>SUMIFS(Partidos!$I$2:$I$73,Partidos!$L$2:$L$73,B49)+SUMIFS(Partidos!$H$2:$H$73,Partidos!$M$2:$M$73,B49)</f>
        <v>0</v>
      </c>
      <c r="J49">
        <f t="shared" si="1"/>
        <v>0</v>
      </c>
      <c r="K49">
        <f t="shared" si="2"/>
        <v>0</v>
      </c>
      <c r="L49">
        <v>0</v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>Panamá</v>
      </c>
      <c r="Q49" t="str">
        <f t="shared" si="7"/>
        <v>PAN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/>
  </sheetViews>
  <sheetFormatPr baseColWidth="10" defaultColWidth="9" defaultRowHeight="14.25"/>
  <cols>
    <col min="1" max="1" width="8" customWidth="1"/>
    <col min="2" max="2" width="10" customWidth="1"/>
    <col min="3" max="3" width="24" customWidth="1"/>
    <col min="4" max="6" width="7" customWidth="1"/>
    <col min="7" max="7" width="16" customWidth="1"/>
    <col min="8" max="8" width="15" customWidth="1"/>
    <col min="9" max="9" width="20" customWidth="1"/>
  </cols>
  <sheetData>
    <row r="1" spans="1:26" ht="24" customHeight="1">
      <c r="A1" s="31" t="s">
        <v>29</v>
      </c>
      <c r="B1" s="31" t="s">
        <v>31</v>
      </c>
      <c r="C1" s="31" t="s">
        <v>32</v>
      </c>
      <c r="D1" s="31" t="s">
        <v>376</v>
      </c>
      <c r="E1" s="31" t="s">
        <v>375</v>
      </c>
      <c r="F1" s="31" t="s">
        <v>373</v>
      </c>
      <c r="G1" s="31" t="s">
        <v>377</v>
      </c>
      <c r="H1" s="31" t="s">
        <v>383</v>
      </c>
      <c r="I1" s="31" t="s">
        <v>384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t="s">
        <v>33</v>
      </c>
      <c r="B2" t="str">
        <f>IFERROR(INDEX(Clasificacion!$B$2:$B$49,SUMPRODUCT((Clasificacion!$A$2:$A$49=A2)*(Clasificacion!$M$2:$M$49=3)*(ROW(Clasificacion!$B$2:$B$49)-ROW(Clasificacion!$B$2)+1))),"")</f>
        <v>MEX</v>
      </c>
      <c r="C2" t="str">
        <f>IF(B2="","",INDEX(Clasificacion!$C$2:$C$49,MATCH(B2,Clasificacion!$B$2:$B$49,0)))</f>
        <v>México</v>
      </c>
      <c r="D2">
        <f>IF(B2="","",INDEX(Clasificacion!$K$2:$K$49,MATCH(B2,Clasificacion!$B$2:$B$49,0)))</f>
        <v>0</v>
      </c>
      <c r="E2">
        <f>IF(B2="","",INDEX(Clasificacion!$J$2:$J$49,MATCH(B2,Clasificacion!$B$2:$B$49,0)))</f>
        <v>0</v>
      </c>
      <c r="F2">
        <f>IF(B2="","",INDEX(Clasificacion!$H$2:$H$49,MATCH(B2,Clasificacion!$B$2:$B$49,0)))</f>
        <v>0</v>
      </c>
      <c r="G2">
        <f>IF(B2="","",INDEX(Clasificacion!$L$2:$L$49,MATCH(B2,Clasificacion!$B$2:$B$49,0)))</f>
        <v>0</v>
      </c>
      <c r="H2">
        <f t="shared" ref="H2:H13" si="0">IF(B2="","",1+COUNTIFS($D$2:$D$13,"&gt;"&amp;D2)+COUNTIFS($D$2:$D$13,D2,$G$2:$G$13,"&gt;"&amp;G2)+COUNTIFS($D$2:$D$13,D2,$G$2:$G$13,G2,$E$2:$E$13,"&gt;"&amp;E2)+COUNTIFS($D$2:$D$13,D2,$G$2:$G$13,G2,$E$2:$E$13,E2,$F$2:$F$13,"&gt;"&amp;F2)+SUMPRODUCT(($D$2:$D$13=D2)*($G$2:$G$13=G2)*($E$2:$E$13=E2)*($F$2:$F$13=F2)*(ROW($A$2:$A$13)&lt;ROW(A2))))</f>
        <v>1</v>
      </c>
      <c r="I2" t="str">
        <f t="shared" ref="I2:I13" si="1">IF(H2="","",IF(H2&lt;=8,"Sí","No"))</f>
        <v>Sí</v>
      </c>
    </row>
    <row r="3" spans="1:26">
      <c r="A3" t="s">
        <v>46</v>
      </c>
      <c r="B3" t="str">
        <f>IFERROR(INDEX(Clasificacion!$B$2:$B$49,SUMPRODUCT((Clasificacion!$A$2:$A$49=A3)*(Clasificacion!$M$2:$M$49=3)*(ROW(Clasificacion!$B$2:$B$49)-ROW(Clasificacion!$B$2)+1))),"")</f>
        <v>RSA</v>
      </c>
      <c r="C3" t="str">
        <f>IF(B3="","",INDEX(Clasificacion!$C$2:$C$49,MATCH(B3,Clasificacion!$B$2:$B$49,0)))</f>
        <v>Sudáfrica</v>
      </c>
      <c r="D3">
        <f>IF(B3="","",INDEX(Clasificacion!$K$2:$K$49,MATCH(B3,Clasificacion!$B$2:$B$49,0)))</f>
        <v>0</v>
      </c>
      <c r="E3">
        <f>IF(B3="","",INDEX(Clasificacion!$J$2:$J$49,MATCH(B3,Clasificacion!$B$2:$B$49,0)))</f>
        <v>0</v>
      </c>
      <c r="F3">
        <f>IF(B3="","",INDEX(Clasificacion!$H$2:$H$49,MATCH(B3,Clasificacion!$B$2:$B$49,0)))</f>
        <v>0</v>
      </c>
      <c r="G3">
        <f>IF(B3="","",INDEX(Clasificacion!$L$2:$L$49,MATCH(B3,Clasificacion!$B$2:$B$49,0)))</f>
        <v>0</v>
      </c>
      <c r="H3">
        <f t="shared" si="0"/>
        <v>2</v>
      </c>
      <c r="I3" t="str">
        <f t="shared" si="1"/>
        <v>Sí</v>
      </c>
    </row>
    <row r="4" spans="1:26">
      <c r="A4" t="s">
        <v>59</v>
      </c>
      <c r="B4" t="str">
        <f>IFERROR(INDEX(Clasificacion!$B$2:$B$49,SUMPRODUCT((Clasificacion!$A$2:$A$49=A4)*(Clasificacion!$M$2:$M$49=3)*(ROW(Clasificacion!$B$2:$B$49)-ROW(Clasificacion!$B$2)+1))),"")</f>
        <v>KOR</v>
      </c>
      <c r="C4" t="str">
        <f>IF(B4="","",INDEX(Clasificacion!$C$2:$C$49,MATCH(B4,Clasificacion!$B$2:$B$49,0)))</f>
        <v>Corea República</v>
      </c>
      <c r="D4">
        <f>IF(B4="","",INDEX(Clasificacion!$K$2:$K$49,MATCH(B4,Clasificacion!$B$2:$B$49,0)))</f>
        <v>0</v>
      </c>
      <c r="E4">
        <f>IF(B4="","",INDEX(Clasificacion!$J$2:$J$49,MATCH(B4,Clasificacion!$B$2:$B$49,0)))</f>
        <v>0</v>
      </c>
      <c r="F4">
        <f>IF(B4="","",INDEX(Clasificacion!$H$2:$H$49,MATCH(B4,Clasificacion!$B$2:$B$49,0)))</f>
        <v>0</v>
      </c>
      <c r="G4">
        <f>IF(B4="","",INDEX(Clasificacion!$L$2:$L$49,MATCH(B4,Clasificacion!$B$2:$B$49,0)))</f>
        <v>0</v>
      </c>
      <c r="H4">
        <f t="shared" si="0"/>
        <v>3</v>
      </c>
      <c r="I4" t="str">
        <f t="shared" si="1"/>
        <v>Sí</v>
      </c>
    </row>
    <row r="5" spans="1:26">
      <c r="A5" t="s">
        <v>72</v>
      </c>
      <c r="B5" t="str">
        <f>IFERROR(INDEX(Clasificacion!$B$2:$B$49,SUMPRODUCT((Clasificacion!$A$2:$A$49=A5)*(Clasificacion!$M$2:$M$49=3)*(ROW(Clasificacion!$B$2:$B$49)-ROW(Clasificacion!$B$2)+1))),"")</f>
        <v>CZE</v>
      </c>
      <c r="C5" t="str">
        <f>IF(B5="","",INDEX(Clasificacion!$C$2:$C$49,MATCH(B5,Clasificacion!$B$2:$B$49,0)))</f>
        <v>Chequia</v>
      </c>
      <c r="D5">
        <f>IF(B5="","",INDEX(Clasificacion!$K$2:$K$49,MATCH(B5,Clasificacion!$B$2:$B$49,0)))</f>
        <v>0</v>
      </c>
      <c r="E5">
        <f>IF(B5="","",INDEX(Clasificacion!$J$2:$J$49,MATCH(B5,Clasificacion!$B$2:$B$49,0)))</f>
        <v>0</v>
      </c>
      <c r="F5">
        <f>IF(B5="","",INDEX(Clasificacion!$H$2:$H$49,MATCH(B5,Clasificacion!$B$2:$B$49,0)))</f>
        <v>0</v>
      </c>
      <c r="G5">
        <f>IF(B5="","",INDEX(Clasificacion!$L$2:$L$49,MATCH(B5,Clasificacion!$B$2:$B$49,0)))</f>
        <v>0</v>
      </c>
      <c r="H5">
        <f t="shared" si="0"/>
        <v>4</v>
      </c>
      <c r="I5" t="str">
        <f t="shared" si="1"/>
        <v>Sí</v>
      </c>
    </row>
    <row r="6" spans="1:26">
      <c r="A6" t="s">
        <v>85</v>
      </c>
      <c r="B6" t="str">
        <f>IFERROR(INDEX(Clasificacion!$B$2:$B$49,SUMPRODUCT((Clasificacion!$A$2:$A$49=A6)*(Clasificacion!$M$2:$M$49=3)*(ROW(Clasificacion!$B$2:$B$49)-ROW(Clasificacion!$B$2)+1))),"")</f>
        <v>CAN</v>
      </c>
      <c r="C6" t="str">
        <f>IF(B6="","",INDEX(Clasificacion!$C$2:$C$49,MATCH(B6,Clasificacion!$B$2:$B$49,0)))</f>
        <v>Canadá</v>
      </c>
      <c r="D6">
        <f>IF(B6="","",INDEX(Clasificacion!$K$2:$K$49,MATCH(B6,Clasificacion!$B$2:$B$49,0)))</f>
        <v>0</v>
      </c>
      <c r="E6">
        <f>IF(B6="","",INDEX(Clasificacion!$J$2:$J$49,MATCH(B6,Clasificacion!$B$2:$B$49,0)))</f>
        <v>0</v>
      </c>
      <c r="F6">
        <f>IF(B6="","",INDEX(Clasificacion!$H$2:$H$49,MATCH(B6,Clasificacion!$B$2:$B$49,0)))</f>
        <v>0</v>
      </c>
      <c r="G6">
        <f>IF(B6="","",INDEX(Clasificacion!$L$2:$L$49,MATCH(B6,Clasificacion!$B$2:$B$49,0)))</f>
        <v>0</v>
      </c>
      <c r="H6">
        <f t="shared" si="0"/>
        <v>5</v>
      </c>
      <c r="I6" t="str">
        <f t="shared" si="1"/>
        <v>Sí</v>
      </c>
    </row>
    <row r="7" spans="1:26">
      <c r="A7" t="s">
        <v>98</v>
      </c>
      <c r="B7" t="str">
        <f>IFERROR(INDEX(Clasificacion!$B$2:$B$49,SUMPRODUCT((Clasificacion!$A$2:$A$49=A7)*(Clasificacion!$M$2:$M$49=3)*(ROW(Clasificacion!$B$2:$B$49)-ROW(Clasificacion!$B$2)+1))),"")</f>
        <v>BIH</v>
      </c>
      <c r="C7" t="str">
        <f>IF(B7="","",INDEX(Clasificacion!$C$2:$C$49,MATCH(B7,Clasificacion!$B$2:$B$49,0)))</f>
        <v>Bosnia y Herzegovina</v>
      </c>
      <c r="D7">
        <f>IF(B7="","",INDEX(Clasificacion!$K$2:$K$49,MATCH(B7,Clasificacion!$B$2:$B$49,0)))</f>
        <v>0</v>
      </c>
      <c r="E7">
        <f>IF(B7="","",INDEX(Clasificacion!$J$2:$J$49,MATCH(B7,Clasificacion!$B$2:$B$49,0)))</f>
        <v>0</v>
      </c>
      <c r="F7">
        <f>IF(B7="","",INDEX(Clasificacion!$H$2:$H$49,MATCH(B7,Clasificacion!$B$2:$B$49,0)))</f>
        <v>0</v>
      </c>
      <c r="G7">
        <f>IF(B7="","",INDEX(Clasificacion!$L$2:$L$49,MATCH(B7,Clasificacion!$B$2:$B$49,0)))</f>
        <v>0</v>
      </c>
      <c r="H7">
        <f t="shared" si="0"/>
        <v>6</v>
      </c>
      <c r="I7" t="str">
        <f t="shared" si="1"/>
        <v>Sí</v>
      </c>
    </row>
    <row r="8" spans="1:26">
      <c r="A8" t="s">
        <v>111</v>
      </c>
      <c r="B8" t="str">
        <f>IFERROR(INDEX(Clasificacion!$B$2:$B$49,SUMPRODUCT((Clasificacion!$A$2:$A$49=A8)*(Clasificacion!$M$2:$M$49=3)*(ROW(Clasificacion!$B$2:$B$49)-ROW(Clasificacion!$B$2)+1))),"")</f>
        <v>QAT</v>
      </c>
      <c r="C8" t="str">
        <f>IF(B8="","",INDEX(Clasificacion!$C$2:$C$49,MATCH(B8,Clasificacion!$B$2:$B$49,0)))</f>
        <v>Qatar</v>
      </c>
      <c r="D8">
        <f>IF(B8="","",INDEX(Clasificacion!$K$2:$K$49,MATCH(B8,Clasificacion!$B$2:$B$49,0)))</f>
        <v>0</v>
      </c>
      <c r="E8">
        <f>IF(B8="","",INDEX(Clasificacion!$J$2:$J$49,MATCH(B8,Clasificacion!$B$2:$B$49,0)))</f>
        <v>0</v>
      </c>
      <c r="F8">
        <f>IF(B8="","",INDEX(Clasificacion!$H$2:$H$49,MATCH(B8,Clasificacion!$B$2:$B$49,0)))</f>
        <v>0</v>
      </c>
      <c r="G8">
        <f>IF(B8="","",INDEX(Clasificacion!$L$2:$L$49,MATCH(B8,Clasificacion!$B$2:$B$49,0)))</f>
        <v>0</v>
      </c>
      <c r="H8">
        <f t="shared" si="0"/>
        <v>7</v>
      </c>
      <c r="I8" t="str">
        <f t="shared" si="1"/>
        <v>Sí</v>
      </c>
    </row>
    <row r="9" spans="1:26">
      <c r="A9" t="s">
        <v>124</v>
      </c>
      <c r="B9" t="str">
        <f>IFERROR(INDEX(Clasificacion!$B$2:$B$49,SUMPRODUCT((Clasificacion!$A$2:$A$49=A9)*(Clasificacion!$M$2:$M$49=3)*(ROW(Clasificacion!$B$2:$B$49)-ROW(Clasificacion!$B$2)+1))),"")</f>
        <v>SUI</v>
      </c>
      <c r="C9" t="str">
        <f>IF(B9="","",INDEX(Clasificacion!$C$2:$C$49,MATCH(B9,Clasificacion!$B$2:$B$49,0)))</f>
        <v>Suiza</v>
      </c>
      <c r="D9">
        <f>IF(B9="","",INDEX(Clasificacion!$K$2:$K$49,MATCH(B9,Clasificacion!$B$2:$B$49,0)))</f>
        <v>0</v>
      </c>
      <c r="E9">
        <f>IF(B9="","",INDEX(Clasificacion!$J$2:$J$49,MATCH(B9,Clasificacion!$B$2:$B$49,0)))</f>
        <v>0</v>
      </c>
      <c r="F9">
        <f>IF(B9="","",INDEX(Clasificacion!$H$2:$H$49,MATCH(B9,Clasificacion!$B$2:$B$49,0)))</f>
        <v>0</v>
      </c>
      <c r="G9">
        <f>IF(B9="","",INDEX(Clasificacion!$L$2:$L$49,MATCH(B9,Clasificacion!$B$2:$B$49,0)))</f>
        <v>0</v>
      </c>
      <c r="H9">
        <f t="shared" si="0"/>
        <v>8</v>
      </c>
      <c r="I9" t="str">
        <f t="shared" si="1"/>
        <v>Sí</v>
      </c>
    </row>
    <row r="10" spans="1:26">
      <c r="A10" t="s">
        <v>137</v>
      </c>
      <c r="B10" t="str">
        <f>IFERROR(INDEX(Clasificacion!$B$2:$B$49,SUMPRODUCT((Clasificacion!$A$2:$A$49=A10)*(Clasificacion!$M$2:$M$49=3)*(ROW(Clasificacion!$B$2:$B$49)-ROW(Clasificacion!$B$2)+1))),"")</f>
        <v>BRA</v>
      </c>
      <c r="C10" t="str">
        <f>IF(B10="","",INDEX(Clasificacion!$C$2:$C$49,MATCH(B10,Clasificacion!$B$2:$B$49,0)))</f>
        <v>Brasil</v>
      </c>
      <c r="D10">
        <f>IF(B10="","",INDEX(Clasificacion!$K$2:$K$49,MATCH(B10,Clasificacion!$B$2:$B$49,0)))</f>
        <v>0</v>
      </c>
      <c r="E10">
        <f>IF(B10="","",INDEX(Clasificacion!$J$2:$J$49,MATCH(B10,Clasificacion!$B$2:$B$49,0)))</f>
        <v>0</v>
      </c>
      <c r="F10">
        <f>IF(B10="","",INDEX(Clasificacion!$H$2:$H$49,MATCH(B10,Clasificacion!$B$2:$B$49,0)))</f>
        <v>0</v>
      </c>
      <c r="G10">
        <f>IF(B10="","",INDEX(Clasificacion!$L$2:$L$49,MATCH(B10,Clasificacion!$B$2:$B$49,0)))</f>
        <v>0</v>
      </c>
      <c r="H10">
        <f t="shared" si="0"/>
        <v>9</v>
      </c>
      <c r="I10" t="str">
        <f t="shared" si="1"/>
        <v>No</v>
      </c>
    </row>
    <row r="11" spans="1:26">
      <c r="A11" t="s">
        <v>150</v>
      </c>
      <c r="B11" t="str">
        <f>IFERROR(INDEX(Clasificacion!$B$2:$B$49,SUMPRODUCT((Clasificacion!$A$2:$A$49=A11)*(Clasificacion!$M$2:$M$49=3)*(ROW(Clasificacion!$B$2:$B$49)-ROW(Clasificacion!$B$2)+1))),"")</f>
        <v>MAR</v>
      </c>
      <c r="C11" t="str">
        <f>IF(B11="","",INDEX(Clasificacion!$C$2:$C$49,MATCH(B11,Clasificacion!$B$2:$B$49,0)))</f>
        <v>Marruecos</v>
      </c>
      <c r="D11">
        <f>IF(B11="","",INDEX(Clasificacion!$K$2:$K$49,MATCH(B11,Clasificacion!$B$2:$B$49,0)))</f>
        <v>0</v>
      </c>
      <c r="E11">
        <f>IF(B11="","",INDEX(Clasificacion!$J$2:$J$49,MATCH(B11,Clasificacion!$B$2:$B$49,0)))</f>
        <v>0</v>
      </c>
      <c r="F11">
        <f>IF(B11="","",INDEX(Clasificacion!$H$2:$H$49,MATCH(B11,Clasificacion!$B$2:$B$49,0)))</f>
        <v>0</v>
      </c>
      <c r="G11">
        <f>IF(B11="","",INDEX(Clasificacion!$L$2:$L$49,MATCH(B11,Clasificacion!$B$2:$B$49,0)))</f>
        <v>0</v>
      </c>
      <c r="H11">
        <f t="shared" si="0"/>
        <v>10</v>
      </c>
      <c r="I11" t="str">
        <f t="shared" si="1"/>
        <v>No</v>
      </c>
    </row>
    <row r="12" spans="1:26">
      <c r="A12" t="s">
        <v>163</v>
      </c>
      <c r="B12" t="str">
        <f>IFERROR(INDEX(Clasificacion!$B$2:$B$49,SUMPRODUCT((Clasificacion!$A$2:$A$49=A12)*(Clasificacion!$M$2:$M$49=3)*(ROW(Clasificacion!$B$2:$B$49)-ROW(Clasificacion!$B$2)+1))),"")</f>
        <v>HAI</v>
      </c>
      <c r="C12" t="str">
        <f>IF(B12="","",INDEX(Clasificacion!$C$2:$C$49,MATCH(B12,Clasificacion!$B$2:$B$49,0)))</f>
        <v>Haití</v>
      </c>
      <c r="D12">
        <f>IF(B12="","",INDEX(Clasificacion!$K$2:$K$49,MATCH(B12,Clasificacion!$B$2:$B$49,0)))</f>
        <v>0</v>
      </c>
      <c r="E12">
        <f>IF(B12="","",INDEX(Clasificacion!$J$2:$J$49,MATCH(B12,Clasificacion!$B$2:$B$49,0)))</f>
        <v>0</v>
      </c>
      <c r="F12">
        <f>IF(B12="","",INDEX(Clasificacion!$H$2:$H$49,MATCH(B12,Clasificacion!$B$2:$B$49,0)))</f>
        <v>0</v>
      </c>
      <c r="G12">
        <f>IF(B12="","",INDEX(Clasificacion!$L$2:$L$49,MATCH(B12,Clasificacion!$B$2:$B$49,0)))</f>
        <v>0</v>
      </c>
      <c r="H12">
        <f t="shared" si="0"/>
        <v>11</v>
      </c>
      <c r="I12" t="str">
        <f t="shared" si="1"/>
        <v>No</v>
      </c>
    </row>
    <row r="13" spans="1:26">
      <c r="A13" t="s">
        <v>176</v>
      </c>
      <c r="B13" t="str">
        <f>IFERROR(INDEX(Clasificacion!$B$2:$B$49,SUMPRODUCT((Clasificacion!$A$2:$A$49=A13)*(Clasificacion!$M$2:$M$49=3)*(ROW(Clasificacion!$B$2:$B$49)-ROW(Clasificacion!$B$2)+1))),"")</f>
        <v>SCO</v>
      </c>
      <c r="C13" t="str">
        <f>IF(B13="","",INDEX(Clasificacion!$C$2:$C$49,MATCH(B13,Clasificacion!$B$2:$B$49,0)))</f>
        <v>Escocia</v>
      </c>
      <c r="D13">
        <f>IF(B13="","",INDEX(Clasificacion!$K$2:$K$49,MATCH(B13,Clasificacion!$B$2:$B$49,0)))</f>
        <v>0</v>
      </c>
      <c r="E13">
        <f>IF(B13="","",INDEX(Clasificacion!$J$2:$J$49,MATCH(B13,Clasificacion!$B$2:$B$49,0)))</f>
        <v>0</v>
      </c>
      <c r="F13">
        <f>IF(B13="","",INDEX(Clasificacion!$H$2:$H$49,MATCH(B13,Clasificacion!$B$2:$B$49,0)))</f>
        <v>0</v>
      </c>
      <c r="G13">
        <f>IF(B13="","",INDEX(Clasificacion!$L$2:$L$49,MATCH(B13,Clasificacion!$B$2:$B$49,0)))</f>
        <v>0</v>
      </c>
      <c r="H13">
        <f t="shared" si="0"/>
        <v>12</v>
      </c>
      <c r="I13" t="str">
        <f t="shared" si="1"/>
        <v>No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workbookViewId="0"/>
  </sheetViews>
  <sheetFormatPr baseColWidth="10" defaultColWidth="9" defaultRowHeight="14.25"/>
  <cols>
    <col min="1" max="1" width="7" customWidth="1"/>
    <col min="2" max="2" width="12" customWidth="1"/>
    <col min="3" max="3" width="10" customWidth="1"/>
    <col min="4" max="4" width="16" customWidth="1"/>
    <col min="5" max="7" width="24" customWidth="1"/>
    <col min="8" max="8" width="22" customWidth="1"/>
  </cols>
  <sheetData>
    <row r="1" spans="1:26" ht="24" customHeight="1">
      <c r="A1" s="31" t="s">
        <v>248</v>
      </c>
      <c r="B1" s="32" t="s">
        <v>249</v>
      </c>
      <c r="C1" s="31" t="s">
        <v>250</v>
      </c>
      <c r="D1" s="31" t="s">
        <v>251</v>
      </c>
      <c r="E1" s="31" t="s">
        <v>385</v>
      </c>
      <c r="F1" s="31" t="s">
        <v>386</v>
      </c>
      <c r="G1" s="31" t="s">
        <v>257</v>
      </c>
      <c r="H1" s="31" t="s">
        <v>387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>
        <v>73</v>
      </c>
      <c r="B2">
        <v>46201</v>
      </c>
      <c r="C2" t="s">
        <v>264</v>
      </c>
      <c r="D2" t="s">
        <v>296</v>
      </c>
      <c r="E2" t="s">
        <v>297</v>
      </c>
      <c r="F2" t="s">
        <v>298</v>
      </c>
      <c r="G2" t="s">
        <v>272</v>
      </c>
      <c r="H2" t="str">
        <f>INDEX(Partidos!$J$2:$J$105,MATCH(A2,Partidos!$A$2:$A$105,0))</f>
        <v/>
      </c>
    </row>
    <row r="3" spans="1:26">
      <c r="A3">
        <v>74</v>
      </c>
      <c r="B3">
        <v>46201</v>
      </c>
      <c r="C3" t="s">
        <v>299</v>
      </c>
      <c r="D3" t="s">
        <v>296</v>
      </c>
      <c r="E3" t="s">
        <v>300</v>
      </c>
      <c r="F3" t="s">
        <v>301</v>
      </c>
      <c r="G3" t="s">
        <v>273</v>
      </c>
      <c r="H3" t="str">
        <f>INDEX(Partidos!$J$2:$J$105,MATCH(A3,Partidos!$A$2:$A$105,0))</f>
        <v/>
      </c>
    </row>
    <row r="4" spans="1:26">
      <c r="A4">
        <v>75</v>
      </c>
      <c r="B4">
        <v>46202</v>
      </c>
      <c r="C4" t="s">
        <v>271</v>
      </c>
      <c r="D4" t="s">
        <v>296</v>
      </c>
      <c r="E4" t="s">
        <v>302</v>
      </c>
      <c r="F4" t="s">
        <v>303</v>
      </c>
      <c r="G4" t="s">
        <v>285</v>
      </c>
      <c r="H4" t="str">
        <f>INDEX(Partidos!$J$2:$J$105,MATCH(A4,Partidos!$A$2:$A$105,0))</f>
        <v/>
      </c>
    </row>
    <row r="5" spans="1:26">
      <c r="A5">
        <v>76</v>
      </c>
      <c r="B5">
        <v>46202</v>
      </c>
      <c r="C5" t="s">
        <v>281</v>
      </c>
      <c r="D5" t="s">
        <v>296</v>
      </c>
      <c r="E5" t="s">
        <v>304</v>
      </c>
      <c r="F5" t="s">
        <v>305</v>
      </c>
      <c r="G5" t="s">
        <v>282</v>
      </c>
      <c r="H5" t="str">
        <f>INDEX(Partidos!$J$2:$J$105,MATCH(A5,Partidos!$A$2:$A$105,0))</f>
        <v/>
      </c>
    </row>
    <row r="6" spans="1:26">
      <c r="A6">
        <v>77</v>
      </c>
      <c r="B6">
        <v>46202</v>
      </c>
      <c r="C6" t="s">
        <v>294</v>
      </c>
      <c r="D6" t="s">
        <v>296</v>
      </c>
      <c r="E6" t="s">
        <v>306</v>
      </c>
      <c r="F6" t="s">
        <v>307</v>
      </c>
      <c r="G6" t="s">
        <v>277</v>
      </c>
      <c r="H6" t="str">
        <f>INDEX(Partidos!$J$2:$J$105,MATCH(A6,Partidos!$A$2:$A$105,0))</f>
        <v/>
      </c>
    </row>
    <row r="7" spans="1:26">
      <c r="A7">
        <v>78</v>
      </c>
      <c r="B7">
        <v>46203</v>
      </c>
      <c r="C7" t="s">
        <v>281</v>
      </c>
      <c r="D7" t="s">
        <v>296</v>
      </c>
      <c r="E7" t="s">
        <v>308</v>
      </c>
      <c r="F7" t="s">
        <v>309</v>
      </c>
      <c r="G7" t="s">
        <v>284</v>
      </c>
      <c r="H7" t="str">
        <f>INDEX(Partidos!$J$2:$J$105,MATCH(A7,Partidos!$A$2:$A$105,0))</f>
        <v/>
      </c>
    </row>
    <row r="8" spans="1:26">
      <c r="A8">
        <v>79</v>
      </c>
      <c r="B8">
        <v>46203</v>
      </c>
      <c r="C8" t="s">
        <v>271</v>
      </c>
      <c r="D8" t="s">
        <v>296</v>
      </c>
      <c r="E8" t="s">
        <v>310</v>
      </c>
      <c r="F8" t="s">
        <v>311</v>
      </c>
      <c r="G8" t="s">
        <v>265</v>
      </c>
      <c r="H8" t="str">
        <f>INDEX(Partidos!$J$2:$J$105,MATCH(A8,Partidos!$A$2:$A$105,0))</f>
        <v/>
      </c>
    </row>
    <row r="9" spans="1:26">
      <c r="A9">
        <v>80</v>
      </c>
      <c r="B9">
        <v>46203</v>
      </c>
      <c r="C9" t="s">
        <v>287</v>
      </c>
      <c r="D9" t="s">
        <v>296</v>
      </c>
      <c r="E9" t="s">
        <v>312</v>
      </c>
      <c r="F9" t="s">
        <v>313</v>
      </c>
      <c r="G9" t="s">
        <v>288</v>
      </c>
      <c r="H9" t="str">
        <f>INDEX(Partidos!$J$2:$J$105,MATCH(A9,Partidos!$A$2:$A$105,0))</f>
        <v/>
      </c>
    </row>
    <row r="10" spans="1:26">
      <c r="A10">
        <v>81</v>
      </c>
      <c r="B10">
        <v>46204</v>
      </c>
      <c r="C10" t="s">
        <v>293</v>
      </c>
      <c r="D10" t="s">
        <v>296</v>
      </c>
      <c r="E10" t="s">
        <v>314</v>
      </c>
      <c r="F10" t="s">
        <v>315</v>
      </c>
      <c r="G10" t="s">
        <v>278</v>
      </c>
      <c r="H10" t="str">
        <f>INDEX(Partidos!$J$2:$J$105,MATCH(A10,Partidos!$A$2:$A$105,0))</f>
        <v/>
      </c>
    </row>
    <row r="11" spans="1:26">
      <c r="A11">
        <v>82</v>
      </c>
      <c r="B11">
        <v>46204</v>
      </c>
      <c r="C11" t="s">
        <v>283</v>
      </c>
      <c r="D11" t="s">
        <v>296</v>
      </c>
      <c r="E11" t="s">
        <v>316</v>
      </c>
      <c r="F11" t="s">
        <v>317</v>
      </c>
      <c r="G11" t="s">
        <v>289</v>
      </c>
      <c r="H11" t="str">
        <f>INDEX(Partidos!$J$2:$J$105,MATCH(A11,Partidos!$A$2:$A$105,0))</f>
        <v/>
      </c>
    </row>
    <row r="12" spans="1:26">
      <c r="A12">
        <v>83</v>
      </c>
      <c r="B12">
        <v>46205</v>
      </c>
      <c r="C12" t="s">
        <v>279</v>
      </c>
      <c r="D12" t="s">
        <v>296</v>
      </c>
      <c r="E12" t="s">
        <v>318</v>
      </c>
      <c r="F12" t="s">
        <v>319</v>
      </c>
      <c r="G12" t="s">
        <v>270</v>
      </c>
      <c r="H12" t="str">
        <f>INDEX(Partidos!$J$2:$J$105,MATCH(A12,Partidos!$A$2:$A$105,0))</f>
        <v/>
      </c>
    </row>
    <row r="13" spans="1:26">
      <c r="A13">
        <v>84</v>
      </c>
      <c r="B13">
        <v>46205</v>
      </c>
      <c r="C13" t="s">
        <v>264</v>
      </c>
      <c r="D13" t="s">
        <v>296</v>
      </c>
      <c r="E13" t="s">
        <v>320</v>
      </c>
      <c r="F13" t="s">
        <v>321</v>
      </c>
      <c r="G13" t="s">
        <v>272</v>
      </c>
      <c r="H13" t="str">
        <f>INDEX(Partidos!$J$2:$J$105,MATCH(A13,Partidos!$A$2:$A$105,0))</f>
        <v/>
      </c>
    </row>
    <row r="14" spans="1:26">
      <c r="A14">
        <v>85</v>
      </c>
      <c r="B14">
        <v>46206</v>
      </c>
      <c r="C14" t="s">
        <v>292</v>
      </c>
      <c r="D14" t="s">
        <v>296</v>
      </c>
      <c r="E14" t="s">
        <v>322</v>
      </c>
      <c r="F14" t="s">
        <v>323</v>
      </c>
      <c r="G14" t="s">
        <v>275</v>
      </c>
      <c r="H14" t="str">
        <f>INDEX(Partidos!$J$2:$J$105,MATCH(A14,Partidos!$A$2:$A$105,0))</f>
        <v/>
      </c>
    </row>
    <row r="15" spans="1:26">
      <c r="A15">
        <v>86</v>
      </c>
      <c r="B15">
        <v>46206</v>
      </c>
      <c r="C15" t="s">
        <v>276</v>
      </c>
      <c r="D15" t="s">
        <v>296</v>
      </c>
      <c r="E15" t="s">
        <v>324</v>
      </c>
      <c r="F15" t="s">
        <v>325</v>
      </c>
      <c r="G15" t="s">
        <v>286</v>
      </c>
      <c r="H15" t="str">
        <f>INDEX(Partidos!$J$2:$J$105,MATCH(A15,Partidos!$A$2:$A$105,0))</f>
        <v/>
      </c>
    </row>
    <row r="16" spans="1:26">
      <c r="A16">
        <v>87</v>
      </c>
      <c r="B16">
        <v>46206</v>
      </c>
      <c r="C16" t="s">
        <v>326</v>
      </c>
      <c r="D16" t="s">
        <v>296</v>
      </c>
      <c r="E16" t="s">
        <v>327</v>
      </c>
      <c r="F16" t="s">
        <v>328</v>
      </c>
      <c r="G16" t="s">
        <v>290</v>
      </c>
      <c r="H16" t="str">
        <f>INDEX(Partidos!$J$2:$J$105,MATCH(A16,Partidos!$A$2:$A$105,0))</f>
        <v/>
      </c>
    </row>
    <row r="17" spans="1:8">
      <c r="A17">
        <v>88</v>
      </c>
      <c r="B17">
        <v>46206</v>
      </c>
      <c r="C17" t="s">
        <v>329</v>
      </c>
      <c r="D17" t="s">
        <v>296</v>
      </c>
      <c r="E17" t="s">
        <v>330</v>
      </c>
      <c r="F17" t="s">
        <v>331</v>
      </c>
      <c r="G17" t="s">
        <v>284</v>
      </c>
      <c r="H17" t="str">
        <f>INDEX(Partidos!$J$2:$J$105,MATCH(A17,Partidos!$A$2:$A$105,0))</f>
        <v/>
      </c>
    </row>
    <row r="18" spans="1:8">
      <c r="A18">
        <v>89</v>
      </c>
      <c r="B18">
        <v>46207</v>
      </c>
      <c r="C18" t="s">
        <v>294</v>
      </c>
      <c r="D18" t="s">
        <v>332</v>
      </c>
      <c r="E18" t="s">
        <v>333</v>
      </c>
      <c r="F18" t="s">
        <v>334</v>
      </c>
      <c r="G18" t="s">
        <v>280</v>
      </c>
      <c r="H18" t="str">
        <f>INDEX(Partidos!$J$2:$J$105,MATCH(A18,Partidos!$A$2:$A$105,0))</f>
        <v/>
      </c>
    </row>
    <row r="19" spans="1:8">
      <c r="A19">
        <v>90</v>
      </c>
      <c r="B19">
        <v>46207</v>
      </c>
      <c r="C19" t="s">
        <v>281</v>
      </c>
      <c r="D19" t="s">
        <v>332</v>
      </c>
      <c r="E19" t="s">
        <v>335</v>
      </c>
      <c r="F19" t="s">
        <v>336</v>
      </c>
      <c r="G19" t="s">
        <v>282</v>
      </c>
      <c r="H19" t="str">
        <f>INDEX(Partidos!$J$2:$J$105,MATCH(A19,Partidos!$A$2:$A$105,0))</f>
        <v/>
      </c>
    </row>
    <row r="20" spans="1:8">
      <c r="A20">
        <v>91</v>
      </c>
      <c r="B20">
        <v>46208</v>
      </c>
      <c r="C20" t="s">
        <v>283</v>
      </c>
      <c r="D20" t="s">
        <v>332</v>
      </c>
      <c r="E20" t="s">
        <v>337</v>
      </c>
      <c r="F20" t="s">
        <v>338</v>
      </c>
      <c r="G20" t="s">
        <v>277</v>
      </c>
      <c r="H20" t="str">
        <f>INDEX(Partidos!$J$2:$J$105,MATCH(A20,Partidos!$A$2:$A$105,0))</f>
        <v/>
      </c>
    </row>
    <row r="21" spans="1:8">
      <c r="A21">
        <v>92</v>
      </c>
      <c r="B21">
        <v>46208</v>
      </c>
      <c r="C21" t="s">
        <v>293</v>
      </c>
      <c r="D21" t="s">
        <v>332</v>
      </c>
      <c r="E21" t="s">
        <v>339</v>
      </c>
      <c r="F21" t="s">
        <v>340</v>
      </c>
      <c r="G21" t="s">
        <v>265</v>
      </c>
      <c r="H21" t="str">
        <f>INDEX(Partidos!$J$2:$J$105,MATCH(A21,Partidos!$A$2:$A$105,0))</f>
        <v/>
      </c>
    </row>
    <row r="22" spans="1:8">
      <c r="A22">
        <v>93</v>
      </c>
      <c r="B22">
        <v>46209</v>
      </c>
      <c r="C22" t="s">
        <v>264</v>
      </c>
      <c r="D22" t="s">
        <v>332</v>
      </c>
      <c r="E22" t="s">
        <v>341</v>
      </c>
      <c r="F22" t="s">
        <v>342</v>
      </c>
      <c r="G22" t="s">
        <v>284</v>
      </c>
      <c r="H22" t="str">
        <f>INDEX(Partidos!$J$2:$J$105,MATCH(A22,Partidos!$A$2:$A$105,0))</f>
        <v/>
      </c>
    </row>
    <row r="23" spans="1:8">
      <c r="A23">
        <v>94</v>
      </c>
      <c r="B23">
        <v>46209</v>
      </c>
      <c r="C23" t="s">
        <v>293</v>
      </c>
      <c r="D23" t="s">
        <v>332</v>
      </c>
      <c r="E23" t="s">
        <v>343</v>
      </c>
      <c r="F23" t="s">
        <v>344</v>
      </c>
      <c r="G23" t="s">
        <v>289</v>
      </c>
      <c r="H23" t="str">
        <f>INDEX(Partidos!$J$2:$J$105,MATCH(A23,Partidos!$A$2:$A$105,0))</f>
        <v/>
      </c>
    </row>
    <row r="24" spans="1:8">
      <c r="A24">
        <v>95</v>
      </c>
      <c r="B24">
        <v>46210</v>
      </c>
      <c r="C24" t="s">
        <v>287</v>
      </c>
      <c r="D24" t="s">
        <v>332</v>
      </c>
      <c r="E24" t="s">
        <v>345</v>
      </c>
      <c r="F24" t="s">
        <v>346</v>
      </c>
      <c r="G24" t="s">
        <v>288</v>
      </c>
      <c r="H24" t="str">
        <f>INDEX(Partidos!$J$2:$J$105,MATCH(A24,Partidos!$A$2:$A$105,0))</f>
        <v/>
      </c>
    </row>
    <row r="25" spans="1:8">
      <c r="A25">
        <v>96</v>
      </c>
      <c r="B25">
        <v>46210</v>
      </c>
      <c r="C25" t="s">
        <v>283</v>
      </c>
      <c r="D25" t="s">
        <v>332</v>
      </c>
      <c r="E25" t="s">
        <v>347</v>
      </c>
      <c r="F25" t="s">
        <v>348</v>
      </c>
      <c r="G25" t="s">
        <v>275</v>
      </c>
      <c r="H25" t="str">
        <f>INDEX(Partidos!$J$2:$J$105,MATCH(A25,Partidos!$A$2:$A$105,0))</f>
        <v/>
      </c>
    </row>
    <row r="26" spans="1:8">
      <c r="A26">
        <v>97</v>
      </c>
      <c r="B26">
        <v>46212</v>
      </c>
      <c r="C26" t="s">
        <v>283</v>
      </c>
      <c r="D26" t="s">
        <v>349</v>
      </c>
      <c r="E26" t="s">
        <v>350</v>
      </c>
      <c r="F26" t="s">
        <v>351</v>
      </c>
      <c r="G26" t="s">
        <v>273</v>
      </c>
      <c r="H26" t="str">
        <f>INDEX(Partidos!$J$2:$J$105,MATCH(A26,Partidos!$A$2:$A$105,0))</f>
        <v/>
      </c>
    </row>
    <row r="27" spans="1:8">
      <c r="A27">
        <v>98</v>
      </c>
      <c r="B27">
        <v>46213</v>
      </c>
      <c r="C27" t="s">
        <v>264</v>
      </c>
      <c r="D27" t="s">
        <v>349</v>
      </c>
      <c r="E27" t="s">
        <v>352</v>
      </c>
      <c r="F27" t="s">
        <v>353</v>
      </c>
      <c r="G27" t="s">
        <v>272</v>
      </c>
      <c r="H27" t="str">
        <f>INDEX(Partidos!$J$2:$J$105,MATCH(A27,Partidos!$A$2:$A$105,0))</f>
        <v/>
      </c>
    </row>
    <row r="28" spans="1:8">
      <c r="A28">
        <v>99</v>
      </c>
      <c r="B28">
        <v>46214</v>
      </c>
      <c r="C28" t="s">
        <v>294</v>
      </c>
      <c r="D28" t="s">
        <v>349</v>
      </c>
      <c r="E28" t="s">
        <v>354</v>
      </c>
      <c r="F28" t="s">
        <v>355</v>
      </c>
      <c r="G28" t="s">
        <v>286</v>
      </c>
      <c r="H28" t="str">
        <f>INDEX(Partidos!$J$2:$J$105,MATCH(A28,Partidos!$A$2:$A$105,0))</f>
        <v/>
      </c>
    </row>
    <row r="29" spans="1:8">
      <c r="A29">
        <v>100</v>
      </c>
      <c r="B29">
        <v>46214</v>
      </c>
      <c r="C29" t="s">
        <v>271</v>
      </c>
      <c r="D29" t="s">
        <v>349</v>
      </c>
      <c r="E29" t="s">
        <v>356</v>
      </c>
      <c r="F29" t="s">
        <v>357</v>
      </c>
      <c r="G29" t="s">
        <v>290</v>
      </c>
      <c r="H29" t="str">
        <f>INDEX(Partidos!$J$2:$J$105,MATCH(A29,Partidos!$A$2:$A$105,0))</f>
        <v/>
      </c>
    </row>
    <row r="30" spans="1:8">
      <c r="A30">
        <v>101</v>
      </c>
      <c r="B30">
        <v>46217</v>
      </c>
      <c r="C30" t="s">
        <v>264</v>
      </c>
      <c r="D30" t="s">
        <v>358</v>
      </c>
      <c r="E30" t="s">
        <v>359</v>
      </c>
      <c r="F30" t="s">
        <v>360</v>
      </c>
      <c r="G30" t="s">
        <v>284</v>
      </c>
      <c r="H30" t="str">
        <f>INDEX(Partidos!$J$2:$J$105,MATCH(A30,Partidos!$A$2:$A$105,0))</f>
        <v/>
      </c>
    </row>
    <row r="31" spans="1:8">
      <c r="A31">
        <v>102</v>
      </c>
      <c r="B31">
        <v>46218</v>
      </c>
      <c r="C31" t="s">
        <v>264</v>
      </c>
      <c r="D31" t="s">
        <v>358</v>
      </c>
      <c r="E31" t="s">
        <v>361</v>
      </c>
      <c r="F31" t="s">
        <v>362</v>
      </c>
      <c r="G31" t="s">
        <v>288</v>
      </c>
      <c r="H31" t="str">
        <f>INDEX(Partidos!$J$2:$J$105,MATCH(A31,Partidos!$A$2:$A$105,0))</f>
        <v/>
      </c>
    </row>
    <row r="32" spans="1:8">
      <c r="A32">
        <v>103</v>
      </c>
      <c r="B32">
        <v>46221</v>
      </c>
      <c r="C32" t="s">
        <v>294</v>
      </c>
      <c r="D32" t="s">
        <v>363</v>
      </c>
      <c r="E32" t="s">
        <v>364</v>
      </c>
      <c r="F32" t="s">
        <v>365</v>
      </c>
      <c r="G32" t="s">
        <v>286</v>
      </c>
      <c r="H32" t="str">
        <f>INDEX(Partidos!$J$2:$J$105,MATCH(A32,Partidos!$A$2:$A$105,0))</f>
        <v/>
      </c>
    </row>
    <row r="33" spans="1:8">
      <c r="A33">
        <v>104</v>
      </c>
      <c r="B33">
        <v>46222</v>
      </c>
      <c r="C33" t="s">
        <v>264</v>
      </c>
      <c r="D33" t="s">
        <v>366</v>
      </c>
      <c r="E33" t="s">
        <v>367</v>
      </c>
      <c r="F33" t="s">
        <v>368</v>
      </c>
      <c r="G33" t="s">
        <v>277</v>
      </c>
      <c r="H33" t="str">
        <f>INDEX(Partidos!$J$2:$J$105,MATCH(A33,Partidos!$A$2:$A$105,0))</f>
        <v/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baseColWidth="10" defaultColWidth="9" defaultRowHeight="14.25"/>
  <cols>
    <col min="1" max="1" width="28" customWidth="1"/>
    <col min="2" max="2" width="90" customWidth="1"/>
    <col min="3" max="3" width="60" customWidth="1"/>
  </cols>
  <sheetData>
    <row r="1" spans="1:26" ht="24" customHeight="1">
      <c r="A1" s="31" t="s">
        <v>388</v>
      </c>
      <c r="B1" s="31" t="s">
        <v>389</v>
      </c>
      <c r="C1" s="31" t="s">
        <v>27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t="s">
        <v>390</v>
      </c>
      <c r="B2" t="s">
        <v>391</v>
      </c>
      <c r="C2" t="s">
        <v>392</v>
      </c>
    </row>
    <row r="3" spans="1:26">
      <c r="A3" t="s">
        <v>393</v>
      </c>
      <c r="B3" t="s">
        <v>394</v>
      </c>
      <c r="C3" t="s">
        <v>395</v>
      </c>
    </row>
    <row r="4" spans="1:26">
      <c r="A4" t="s">
        <v>263</v>
      </c>
      <c r="C4" t="s">
        <v>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/>
  </sheetViews>
  <sheetFormatPr baseColWidth="10" defaultColWidth="9" defaultRowHeight="14.25"/>
  <cols>
    <col min="1" max="3" width="14" customWidth="1"/>
    <col min="4" max="4" width="18" customWidth="1"/>
    <col min="5" max="5" width="14" customWidth="1"/>
    <col min="6" max="6" width="22" customWidth="1"/>
    <col min="7" max="7" width="14" customWidth="1"/>
    <col min="8" max="8" width="18" customWidth="1"/>
    <col min="9" max="19" width="14" customWidth="1"/>
  </cols>
  <sheetData>
    <row r="1" spans="1:23" ht="15">
      <c r="A1" s="3" t="s">
        <v>397</v>
      </c>
      <c r="B1" s="3" t="s">
        <v>398</v>
      </c>
      <c r="C1" s="3" t="s">
        <v>399</v>
      </c>
      <c r="D1" s="3" t="s">
        <v>400</v>
      </c>
      <c r="E1" s="3" t="s">
        <v>401</v>
      </c>
      <c r="F1" s="3" t="s">
        <v>32</v>
      </c>
      <c r="G1" s="3" t="s">
        <v>31</v>
      </c>
      <c r="H1" s="3" t="s">
        <v>402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t="s">
        <v>403</v>
      </c>
    </row>
    <row r="2" spans="1:23">
      <c r="A2" t="s">
        <v>404</v>
      </c>
      <c r="B2">
        <v>74</v>
      </c>
      <c r="C2" t="s">
        <v>405</v>
      </c>
      <c r="D2" t="s">
        <v>301</v>
      </c>
      <c r="E2" t="str">
        <f>IF($H$2="","",IFERROR(INDEX(Tabla_3ros!$B$2:$I$496,MATCH($H$2,Tabla_3ros!$A$2:$A$496,0),MATCH(B2,Tabla_3ros!$B$1:$I$1,0)),""))</f>
        <v>C</v>
      </c>
      <c r="F2" t="str">
        <f>IF(E2="","",VLOOKUP(E2,Mejores_Terceros!$A$2:$C$13,3,FALSE))</f>
        <v>Corea República</v>
      </c>
      <c r="G2" t="str">
        <f>IF(E2="","",VLOOKUP(E2,Mejores_Terceros!$A$2:$C$13,2,FALSE))</f>
        <v>KOR</v>
      </c>
      <c r="H2" t="str">
        <f>IF(Mejores_Terceros!$I$2="Sí",Mejores_Terceros!$A$2,"")&amp;IF(Mejores_Terceros!$I$3="Sí",Mejores_Terceros!$A$3,"")&amp;IF(Mejores_Terceros!$I$4="Sí",Mejores_Terceros!$A$4,"")&amp;IF(Mejores_Terceros!$I$5="Sí",Mejores_Terceros!$A$5,"")&amp;IF(Mejores_Terceros!$I$6="Sí",Mejores_Terceros!$A$6,"")&amp;IF(Mejores_Terceros!$I$7="Sí",Mejores_Terceros!$A$7,"")&amp;IF(Mejores_Terceros!$I$8="Sí",Mejores_Terceros!$A$8,"")&amp;IF(Mejores_Terceros!$I$9="Sí",Mejores_Terceros!$A$9,"")&amp;IF(Mejores_Terceros!$I$10="Sí",Mejores_Terceros!$A$10,"")&amp;IF(Mejores_Terceros!$I$11="Sí",Mejores_Terceros!$A$11,"")&amp;IF(Mejores_Terceros!$I$12="Sí",Mejores_Terceros!$A$12,"")&amp;IF(Mejores_Terceros!$I$13="Sí",Mejores_Terceros!$A$13,"")</f>
        <v>ABCDEFGH</v>
      </c>
      <c r="W2" t="str">
        <f>IF(MIN(H2:S2)=999,"",IF(H2=MIN(H2:S2),"A",IF(I2=MIN(H2:S2),"B",IF(J2=MIN(H2:S2),"C",IF(K2=MIN(H2:S2),"D",IF(L2=MIN(H2:S2),"E",IF(M2=MIN(H2:S2),"F",IF(N2=MIN(H2:S2),"G",IF(O2=MIN(H2:S2),"H",IF(P2=MIN(H2:S2),"I",IF(Q2=MIN(H2:S2),"J",IF(R2=MIN(H2:S2),"K",IF(S2=MIN(H2:S2),"L","")))))))))))))</f>
        <v>B</v>
      </c>
    </row>
    <row r="3" spans="1:23">
      <c r="A3" t="s">
        <v>406</v>
      </c>
      <c r="B3">
        <v>77</v>
      </c>
      <c r="C3" t="s">
        <v>405</v>
      </c>
      <c r="D3" t="s">
        <v>307</v>
      </c>
      <c r="E3" t="str">
        <f>IF($H$2="","",IFERROR(INDEX(Tabla_3ros!$B$2:$I$496,MATCH($H$2,Tabla_3ros!$A$2:$A$496,0),MATCH(B3,Tabla_3ros!$B$1:$I$1,0)),""))</f>
        <v>G</v>
      </c>
      <c r="F3" t="str">
        <f>IF(E3="","",VLOOKUP(E3,Mejores_Terceros!$A$2:$C$13,3,FALSE))</f>
        <v>Qatar</v>
      </c>
      <c r="G3" t="str">
        <f>IF(E3="","",VLOOKUP(E3,Mejores_Terceros!$A$2:$C$13,2,FALSE))</f>
        <v>QAT</v>
      </c>
      <c r="H3" t="str">
        <f t="shared" ref="H3:H9" si="0">$H$2</f>
        <v>ABCDEFGH</v>
      </c>
    </row>
    <row r="4" spans="1:23">
      <c r="A4" t="s">
        <v>407</v>
      </c>
      <c r="B4">
        <v>79</v>
      </c>
      <c r="C4" t="s">
        <v>405</v>
      </c>
      <c r="D4" t="s">
        <v>311</v>
      </c>
      <c r="E4" t="str">
        <f>IF($H$2="","",IFERROR(INDEX(Tabla_3ros!$B$2:$I$496,MATCH($H$2,Tabla_3ros!$A$2:$A$496,0),MATCH(B4,Tabla_3ros!$B$1:$I$1,0)),""))</f>
        <v>H</v>
      </c>
      <c r="F4" t="str">
        <f>IF(E4="","",VLOOKUP(E4,Mejores_Terceros!$A$2:$C$13,3,FALSE))</f>
        <v>Suiza</v>
      </c>
      <c r="G4" t="str">
        <f>IF(E4="","",VLOOKUP(E4,Mejores_Terceros!$A$2:$C$13,2,FALSE))</f>
        <v>SUI</v>
      </c>
      <c r="H4" t="str">
        <f t="shared" si="0"/>
        <v>ABCDEFGH</v>
      </c>
    </row>
    <row r="5" spans="1:23">
      <c r="A5" t="s">
        <v>408</v>
      </c>
      <c r="B5">
        <v>80</v>
      </c>
      <c r="C5" t="s">
        <v>405</v>
      </c>
      <c r="D5" t="s">
        <v>313</v>
      </c>
      <c r="E5" t="str">
        <f>IF($H$2="","",IFERROR(INDEX(Tabla_3ros!$B$2:$I$496,MATCH($H$2,Tabla_3ros!$A$2:$A$496,0),MATCH(B5,Tabla_3ros!$B$1:$I$1,0)),""))</f>
        <v>E</v>
      </c>
      <c r="F5" t="str">
        <f>IF(E5="","",VLOOKUP(E5,Mejores_Terceros!$A$2:$C$13,3,FALSE))</f>
        <v>Canadá</v>
      </c>
      <c r="G5" t="str">
        <f>IF(E5="","",VLOOKUP(E5,Mejores_Terceros!$A$2:$C$13,2,FALSE))</f>
        <v>CAN</v>
      </c>
      <c r="H5" t="str">
        <f t="shared" si="0"/>
        <v>ABCDEFGH</v>
      </c>
    </row>
    <row r="6" spans="1:23">
      <c r="A6" t="s">
        <v>409</v>
      </c>
      <c r="B6">
        <v>81</v>
      </c>
      <c r="C6" t="s">
        <v>405</v>
      </c>
      <c r="D6" t="s">
        <v>315</v>
      </c>
      <c r="E6" t="str">
        <f>IF($H$2="","",IFERROR(INDEX(Tabla_3ros!$B$2:$I$496,MATCH($H$2,Tabla_3ros!$A$2:$A$496,0),MATCH(B6,Tabla_3ros!$B$1:$I$1,0)),""))</f>
        <v>B</v>
      </c>
      <c r="F6" t="str">
        <f>IF(E6="","",VLOOKUP(E6,Mejores_Terceros!$A$2:$C$13,3,FALSE))</f>
        <v>Sudáfrica</v>
      </c>
      <c r="G6" t="str">
        <f>IF(E6="","",VLOOKUP(E6,Mejores_Terceros!$A$2:$C$13,2,FALSE))</f>
        <v>RSA</v>
      </c>
      <c r="H6" t="str">
        <f t="shared" si="0"/>
        <v>ABCDEFGH</v>
      </c>
    </row>
    <row r="7" spans="1:23">
      <c r="A7" t="s">
        <v>410</v>
      </c>
      <c r="B7">
        <v>82</v>
      </c>
      <c r="C7" t="s">
        <v>405</v>
      </c>
      <c r="D7" t="s">
        <v>317</v>
      </c>
      <c r="E7" t="str">
        <f>IF($H$2="","",IFERROR(INDEX(Tabla_3ros!$B$2:$I$496,MATCH($H$2,Tabla_3ros!$A$2:$A$496,0),MATCH(B7,Tabla_3ros!$B$1:$I$1,0)),""))</f>
        <v>A</v>
      </c>
      <c r="F7" t="str">
        <f>IF(E7="","",VLOOKUP(E7,Mejores_Terceros!$A$2:$C$13,3,FALSE))</f>
        <v>México</v>
      </c>
      <c r="G7" t="str">
        <f>IF(E7="","",VLOOKUP(E7,Mejores_Terceros!$A$2:$C$13,2,FALSE))</f>
        <v>MEX</v>
      </c>
      <c r="H7" t="str">
        <f t="shared" si="0"/>
        <v>ABCDEFGH</v>
      </c>
    </row>
    <row r="8" spans="1:23">
      <c r="A8" t="s">
        <v>411</v>
      </c>
      <c r="B8">
        <v>85</v>
      </c>
      <c r="C8" t="s">
        <v>405</v>
      </c>
      <c r="D8" t="s">
        <v>323</v>
      </c>
      <c r="E8" t="str">
        <f>IF($H$2="","",IFERROR(INDEX(Tabla_3ros!$B$2:$I$496,MATCH($H$2,Tabla_3ros!$A$2:$A$496,0),MATCH(B8,Tabla_3ros!$B$1:$I$1,0)),""))</f>
        <v>F</v>
      </c>
      <c r="F8" t="str">
        <f>IF(E8="","",VLOOKUP(E8,Mejores_Terceros!$A$2:$C$13,3,FALSE))</f>
        <v>Bosnia y Herzegovina</v>
      </c>
      <c r="G8" t="str">
        <f>IF(E8="","",VLOOKUP(E8,Mejores_Terceros!$A$2:$C$13,2,FALSE))</f>
        <v>BIH</v>
      </c>
      <c r="H8" t="str">
        <f t="shared" si="0"/>
        <v>ABCDEFGH</v>
      </c>
    </row>
    <row r="9" spans="1:23">
      <c r="A9" t="s">
        <v>412</v>
      </c>
      <c r="B9">
        <v>87</v>
      </c>
      <c r="C9" t="s">
        <v>405</v>
      </c>
      <c r="D9" t="s">
        <v>328</v>
      </c>
      <c r="E9" t="str">
        <f>IF($H$2="","",IFERROR(INDEX(Tabla_3ros!$B$2:$I$496,MATCH($H$2,Tabla_3ros!$A$2:$A$496,0),MATCH(B9,Tabla_3ros!$B$1:$I$1,0)),""))</f>
        <v>D</v>
      </c>
      <c r="F9" t="str">
        <f>IF(E9="","",VLOOKUP(E9,Mejores_Terceros!$A$2:$C$13,3,FALSE))</f>
        <v>Chequia</v>
      </c>
      <c r="G9" t="str">
        <f>IF(E9="","",VLOOKUP(E9,Mejores_Terceros!$A$2:$C$13,2,FALSE))</f>
        <v>CZE</v>
      </c>
      <c r="H9" t="str">
        <f t="shared" si="0"/>
        <v>ABCDEFGH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6"/>
  <sheetViews>
    <sheetView workbookViewId="0"/>
  </sheetViews>
  <sheetFormatPr baseColWidth="10" defaultColWidth="9" defaultRowHeight="14.25"/>
  <cols>
    <col min="1" max="1" width="16" customWidth="1"/>
    <col min="2" max="9" width="12" customWidth="1"/>
  </cols>
  <sheetData>
    <row r="1" spans="1:9" ht="15">
      <c r="A1" s="3" t="s">
        <v>413</v>
      </c>
      <c r="B1" s="3">
        <v>74</v>
      </c>
      <c r="C1" s="3">
        <v>77</v>
      </c>
      <c r="D1" s="3">
        <v>79</v>
      </c>
      <c r="E1" s="3">
        <v>80</v>
      </c>
      <c r="F1" s="3">
        <v>81</v>
      </c>
      <c r="G1" s="3">
        <v>82</v>
      </c>
      <c r="H1" s="3">
        <v>85</v>
      </c>
      <c r="I1" s="3">
        <v>87</v>
      </c>
    </row>
    <row r="2" spans="1:9">
      <c r="A2" t="s">
        <v>414</v>
      </c>
      <c r="B2" t="s">
        <v>59</v>
      </c>
      <c r="C2" t="s">
        <v>111</v>
      </c>
      <c r="D2" t="s">
        <v>124</v>
      </c>
      <c r="E2" t="s">
        <v>85</v>
      </c>
      <c r="F2" t="s">
        <v>46</v>
      </c>
      <c r="G2" t="s">
        <v>33</v>
      </c>
      <c r="H2" t="s">
        <v>98</v>
      </c>
      <c r="I2" t="s">
        <v>72</v>
      </c>
    </row>
    <row r="3" spans="1:9">
      <c r="A3" t="s">
        <v>415</v>
      </c>
      <c r="B3" t="s">
        <v>46</v>
      </c>
      <c r="C3" t="s">
        <v>98</v>
      </c>
      <c r="D3" t="s">
        <v>59</v>
      </c>
      <c r="E3" t="s">
        <v>85</v>
      </c>
      <c r="F3" t="s">
        <v>137</v>
      </c>
      <c r="G3" t="s">
        <v>33</v>
      </c>
      <c r="H3" t="s">
        <v>111</v>
      </c>
      <c r="I3" t="s">
        <v>72</v>
      </c>
    </row>
    <row r="4" spans="1:9">
      <c r="A4" t="s">
        <v>416</v>
      </c>
      <c r="B4" t="s">
        <v>46</v>
      </c>
      <c r="C4" t="s">
        <v>98</v>
      </c>
      <c r="D4" t="s">
        <v>59</v>
      </c>
      <c r="E4" t="s">
        <v>85</v>
      </c>
      <c r="F4" t="s">
        <v>150</v>
      </c>
      <c r="G4" t="s">
        <v>33</v>
      </c>
      <c r="H4" t="s">
        <v>111</v>
      </c>
      <c r="I4" t="s">
        <v>72</v>
      </c>
    </row>
    <row r="5" spans="1:9">
      <c r="A5" t="s">
        <v>417</v>
      </c>
      <c r="B5" t="s">
        <v>46</v>
      </c>
      <c r="C5" t="s">
        <v>98</v>
      </c>
      <c r="D5" t="s">
        <v>59</v>
      </c>
      <c r="E5" t="s">
        <v>163</v>
      </c>
      <c r="F5" t="s">
        <v>85</v>
      </c>
      <c r="G5" t="s">
        <v>33</v>
      </c>
      <c r="H5" t="s">
        <v>111</v>
      </c>
      <c r="I5" t="s">
        <v>72</v>
      </c>
    </row>
    <row r="6" spans="1:9">
      <c r="A6" t="s">
        <v>418</v>
      </c>
      <c r="B6" t="s">
        <v>72</v>
      </c>
      <c r="C6" t="s">
        <v>111</v>
      </c>
      <c r="D6" t="s">
        <v>59</v>
      </c>
      <c r="E6" t="s">
        <v>85</v>
      </c>
      <c r="F6" t="s">
        <v>46</v>
      </c>
      <c r="G6" t="s">
        <v>33</v>
      </c>
      <c r="H6" t="s">
        <v>98</v>
      </c>
      <c r="I6" t="s">
        <v>176</v>
      </c>
    </row>
    <row r="7" spans="1:9">
      <c r="A7" t="s">
        <v>419</v>
      </c>
      <c r="B7" t="s">
        <v>33</v>
      </c>
      <c r="C7" t="s">
        <v>59</v>
      </c>
      <c r="D7" t="s">
        <v>124</v>
      </c>
      <c r="E7" t="s">
        <v>85</v>
      </c>
      <c r="F7" t="s">
        <v>46</v>
      </c>
      <c r="G7" t="s">
        <v>137</v>
      </c>
      <c r="H7" t="s">
        <v>98</v>
      </c>
      <c r="I7" t="s">
        <v>72</v>
      </c>
    </row>
    <row r="8" spans="1:9">
      <c r="A8" t="s">
        <v>420</v>
      </c>
      <c r="B8" t="s">
        <v>33</v>
      </c>
      <c r="C8" t="s">
        <v>124</v>
      </c>
      <c r="D8" t="s">
        <v>59</v>
      </c>
      <c r="E8" t="s">
        <v>85</v>
      </c>
      <c r="F8" t="s">
        <v>46</v>
      </c>
      <c r="G8" t="s">
        <v>150</v>
      </c>
      <c r="H8" t="s">
        <v>98</v>
      </c>
      <c r="I8" t="s">
        <v>72</v>
      </c>
    </row>
    <row r="9" spans="1:9">
      <c r="A9" t="s">
        <v>421</v>
      </c>
      <c r="B9" t="s">
        <v>59</v>
      </c>
      <c r="C9" t="s">
        <v>124</v>
      </c>
      <c r="D9" t="s">
        <v>98</v>
      </c>
      <c r="E9" t="s">
        <v>163</v>
      </c>
      <c r="F9" t="s">
        <v>46</v>
      </c>
      <c r="G9" t="s">
        <v>33</v>
      </c>
      <c r="H9" t="s">
        <v>85</v>
      </c>
      <c r="I9" t="s">
        <v>72</v>
      </c>
    </row>
    <row r="10" spans="1:9">
      <c r="A10" t="s">
        <v>422</v>
      </c>
      <c r="B10" t="s">
        <v>72</v>
      </c>
      <c r="C10" t="s">
        <v>124</v>
      </c>
      <c r="D10" t="s">
        <v>59</v>
      </c>
      <c r="E10" t="s">
        <v>85</v>
      </c>
      <c r="F10" t="s">
        <v>46</v>
      </c>
      <c r="G10" t="s">
        <v>33</v>
      </c>
      <c r="H10" t="s">
        <v>98</v>
      </c>
      <c r="I10" t="s">
        <v>176</v>
      </c>
    </row>
    <row r="11" spans="1:9">
      <c r="A11" t="s">
        <v>423</v>
      </c>
      <c r="B11" t="s">
        <v>46</v>
      </c>
      <c r="C11" t="s">
        <v>59</v>
      </c>
      <c r="D11" t="s">
        <v>98</v>
      </c>
      <c r="E11" t="s">
        <v>85</v>
      </c>
      <c r="F11" t="s">
        <v>150</v>
      </c>
      <c r="G11" t="s">
        <v>33</v>
      </c>
      <c r="H11" t="s">
        <v>137</v>
      </c>
      <c r="I11" t="s">
        <v>72</v>
      </c>
    </row>
    <row r="12" spans="1:9">
      <c r="A12" t="s">
        <v>424</v>
      </c>
      <c r="B12" t="s">
        <v>46</v>
      </c>
      <c r="C12" t="s">
        <v>59</v>
      </c>
      <c r="D12" t="s">
        <v>98</v>
      </c>
      <c r="E12" t="s">
        <v>163</v>
      </c>
      <c r="F12" t="s">
        <v>137</v>
      </c>
      <c r="G12" t="s">
        <v>33</v>
      </c>
      <c r="H12" t="s">
        <v>85</v>
      </c>
      <c r="I12" t="s">
        <v>72</v>
      </c>
    </row>
    <row r="13" spans="1:9">
      <c r="A13" t="s">
        <v>425</v>
      </c>
      <c r="B13" t="s">
        <v>72</v>
      </c>
      <c r="C13" t="s">
        <v>59</v>
      </c>
      <c r="D13" t="s">
        <v>137</v>
      </c>
      <c r="E13" t="s">
        <v>85</v>
      </c>
      <c r="F13" t="s">
        <v>46</v>
      </c>
      <c r="G13" t="s">
        <v>33</v>
      </c>
      <c r="H13" t="s">
        <v>98</v>
      </c>
      <c r="I13" t="s">
        <v>176</v>
      </c>
    </row>
    <row r="14" spans="1:9">
      <c r="A14" t="s">
        <v>426</v>
      </c>
      <c r="B14" t="s">
        <v>46</v>
      </c>
      <c r="C14" t="s">
        <v>59</v>
      </c>
      <c r="D14" t="s">
        <v>85</v>
      </c>
      <c r="E14" t="s">
        <v>163</v>
      </c>
      <c r="F14" t="s">
        <v>150</v>
      </c>
      <c r="G14" t="s">
        <v>33</v>
      </c>
      <c r="H14" t="s">
        <v>98</v>
      </c>
      <c r="I14" t="s">
        <v>72</v>
      </c>
    </row>
    <row r="15" spans="1:9">
      <c r="A15" t="s">
        <v>427</v>
      </c>
      <c r="B15" t="s">
        <v>46</v>
      </c>
      <c r="C15" t="s">
        <v>72</v>
      </c>
      <c r="D15" t="s">
        <v>59</v>
      </c>
      <c r="E15" t="s">
        <v>85</v>
      </c>
      <c r="F15" t="s">
        <v>150</v>
      </c>
      <c r="G15" t="s">
        <v>33</v>
      </c>
      <c r="H15" t="s">
        <v>98</v>
      </c>
      <c r="I15" t="s">
        <v>176</v>
      </c>
    </row>
    <row r="16" spans="1:9">
      <c r="A16" t="s">
        <v>428</v>
      </c>
      <c r="B16" t="s">
        <v>98</v>
      </c>
      <c r="C16" t="s">
        <v>72</v>
      </c>
      <c r="D16" t="s">
        <v>59</v>
      </c>
      <c r="E16" t="s">
        <v>163</v>
      </c>
      <c r="F16" t="s">
        <v>46</v>
      </c>
      <c r="G16" t="s">
        <v>33</v>
      </c>
      <c r="H16" t="s">
        <v>85</v>
      </c>
      <c r="I16" t="s">
        <v>176</v>
      </c>
    </row>
    <row r="17" spans="1:9">
      <c r="A17" t="s">
        <v>429</v>
      </c>
      <c r="B17" t="s">
        <v>33</v>
      </c>
      <c r="C17" t="s">
        <v>59</v>
      </c>
      <c r="D17" t="s">
        <v>137</v>
      </c>
      <c r="E17" t="s">
        <v>85</v>
      </c>
      <c r="F17" t="s">
        <v>46</v>
      </c>
      <c r="G17" t="s">
        <v>124</v>
      </c>
      <c r="H17" t="s">
        <v>111</v>
      </c>
      <c r="I17" t="s">
        <v>72</v>
      </c>
    </row>
    <row r="18" spans="1:9">
      <c r="A18" t="s">
        <v>430</v>
      </c>
      <c r="B18" t="s">
        <v>33</v>
      </c>
      <c r="C18" t="s">
        <v>124</v>
      </c>
      <c r="D18" t="s">
        <v>59</v>
      </c>
      <c r="E18" t="s">
        <v>85</v>
      </c>
      <c r="F18" t="s">
        <v>46</v>
      </c>
      <c r="G18" t="s">
        <v>150</v>
      </c>
      <c r="H18" t="s">
        <v>111</v>
      </c>
      <c r="I18" t="s">
        <v>72</v>
      </c>
    </row>
    <row r="19" spans="1:9">
      <c r="A19" t="s">
        <v>431</v>
      </c>
      <c r="B19" t="s">
        <v>33</v>
      </c>
      <c r="C19" t="s">
        <v>111</v>
      </c>
      <c r="D19" t="s">
        <v>59</v>
      </c>
      <c r="E19" t="s">
        <v>163</v>
      </c>
      <c r="F19" t="s">
        <v>46</v>
      </c>
      <c r="G19" t="s">
        <v>124</v>
      </c>
      <c r="H19" t="s">
        <v>85</v>
      </c>
      <c r="I19" t="s">
        <v>72</v>
      </c>
    </row>
    <row r="20" spans="1:9">
      <c r="A20" t="s">
        <v>432</v>
      </c>
      <c r="B20" t="s">
        <v>72</v>
      </c>
      <c r="C20" t="s">
        <v>124</v>
      </c>
      <c r="D20" t="s">
        <v>59</v>
      </c>
      <c r="E20" t="s">
        <v>85</v>
      </c>
      <c r="F20" t="s">
        <v>46</v>
      </c>
      <c r="G20" t="s">
        <v>33</v>
      </c>
      <c r="H20" t="s">
        <v>111</v>
      </c>
      <c r="I20" t="s">
        <v>176</v>
      </c>
    </row>
    <row r="21" spans="1:9">
      <c r="A21" t="s">
        <v>433</v>
      </c>
      <c r="B21" t="s">
        <v>72</v>
      </c>
      <c r="C21" t="s">
        <v>59</v>
      </c>
      <c r="D21" t="s">
        <v>85</v>
      </c>
      <c r="E21" t="s">
        <v>137</v>
      </c>
      <c r="F21" t="s">
        <v>46</v>
      </c>
      <c r="G21" t="s">
        <v>33</v>
      </c>
      <c r="H21" t="s">
        <v>111</v>
      </c>
      <c r="I21" t="s">
        <v>150</v>
      </c>
    </row>
    <row r="22" spans="1:9">
      <c r="A22" t="s">
        <v>434</v>
      </c>
      <c r="B22" t="s">
        <v>72</v>
      </c>
      <c r="C22" t="s">
        <v>59</v>
      </c>
      <c r="D22" t="s">
        <v>85</v>
      </c>
      <c r="E22" t="s">
        <v>163</v>
      </c>
      <c r="F22" t="s">
        <v>46</v>
      </c>
      <c r="G22" t="s">
        <v>33</v>
      </c>
      <c r="H22" t="s">
        <v>111</v>
      </c>
      <c r="I22" t="s">
        <v>137</v>
      </c>
    </row>
    <row r="23" spans="1:9">
      <c r="A23" t="s">
        <v>435</v>
      </c>
      <c r="B23" t="s">
        <v>72</v>
      </c>
      <c r="C23" t="s">
        <v>111</v>
      </c>
      <c r="D23" t="s">
        <v>59</v>
      </c>
      <c r="E23" t="s">
        <v>85</v>
      </c>
      <c r="F23" t="s">
        <v>46</v>
      </c>
      <c r="G23" t="s">
        <v>33</v>
      </c>
      <c r="H23" t="s">
        <v>137</v>
      </c>
      <c r="I23" t="s">
        <v>176</v>
      </c>
    </row>
    <row r="24" spans="1:9">
      <c r="A24" t="s">
        <v>436</v>
      </c>
      <c r="B24" t="s">
        <v>33</v>
      </c>
      <c r="C24" t="s">
        <v>72</v>
      </c>
      <c r="D24" t="s">
        <v>59</v>
      </c>
      <c r="E24" t="s">
        <v>163</v>
      </c>
      <c r="F24" t="s">
        <v>46</v>
      </c>
      <c r="G24" t="s">
        <v>150</v>
      </c>
      <c r="H24" t="s">
        <v>111</v>
      </c>
      <c r="I24" t="s">
        <v>85</v>
      </c>
    </row>
    <row r="25" spans="1:9">
      <c r="A25" t="s">
        <v>437</v>
      </c>
      <c r="B25" t="s">
        <v>33</v>
      </c>
      <c r="C25" t="s">
        <v>72</v>
      </c>
      <c r="D25" t="s">
        <v>59</v>
      </c>
      <c r="E25" t="s">
        <v>85</v>
      </c>
      <c r="F25" t="s">
        <v>46</v>
      </c>
      <c r="G25" t="s">
        <v>150</v>
      </c>
      <c r="H25" t="s">
        <v>111</v>
      </c>
      <c r="I25" t="s">
        <v>176</v>
      </c>
    </row>
    <row r="26" spans="1:9">
      <c r="A26" t="s">
        <v>438</v>
      </c>
      <c r="B26" t="s">
        <v>72</v>
      </c>
      <c r="C26" t="s">
        <v>111</v>
      </c>
      <c r="D26" t="s">
        <v>59</v>
      </c>
      <c r="E26" t="s">
        <v>163</v>
      </c>
      <c r="F26" t="s">
        <v>46</v>
      </c>
      <c r="G26" t="s">
        <v>33</v>
      </c>
      <c r="H26" t="s">
        <v>85</v>
      </c>
      <c r="I26" t="s">
        <v>176</v>
      </c>
    </row>
    <row r="27" spans="1:9">
      <c r="A27" t="s">
        <v>439</v>
      </c>
      <c r="B27" t="s">
        <v>33</v>
      </c>
      <c r="C27" t="s">
        <v>59</v>
      </c>
      <c r="D27" t="s">
        <v>124</v>
      </c>
      <c r="E27" t="s">
        <v>137</v>
      </c>
      <c r="F27" t="s">
        <v>46</v>
      </c>
      <c r="G27" t="s">
        <v>150</v>
      </c>
      <c r="H27" t="s">
        <v>85</v>
      </c>
      <c r="I27" t="s">
        <v>72</v>
      </c>
    </row>
    <row r="28" spans="1:9">
      <c r="A28" t="s">
        <v>440</v>
      </c>
      <c r="B28" t="s">
        <v>33</v>
      </c>
      <c r="C28" t="s">
        <v>59</v>
      </c>
      <c r="D28" t="s">
        <v>124</v>
      </c>
      <c r="E28" t="s">
        <v>163</v>
      </c>
      <c r="F28" t="s">
        <v>46</v>
      </c>
      <c r="G28" t="s">
        <v>137</v>
      </c>
      <c r="H28" t="s">
        <v>85</v>
      </c>
      <c r="I28" t="s">
        <v>72</v>
      </c>
    </row>
    <row r="29" spans="1:9">
      <c r="A29" t="s">
        <v>441</v>
      </c>
      <c r="B29" t="s">
        <v>72</v>
      </c>
      <c r="C29" t="s">
        <v>59</v>
      </c>
      <c r="D29" t="s">
        <v>137</v>
      </c>
      <c r="E29" t="s">
        <v>124</v>
      </c>
      <c r="F29" t="s">
        <v>46</v>
      </c>
      <c r="G29" t="s">
        <v>33</v>
      </c>
      <c r="H29" t="s">
        <v>85</v>
      </c>
      <c r="I29" t="s">
        <v>176</v>
      </c>
    </row>
    <row r="30" spans="1:9">
      <c r="A30" t="s">
        <v>442</v>
      </c>
      <c r="B30" t="s">
        <v>33</v>
      </c>
      <c r="C30" t="s">
        <v>124</v>
      </c>
      <c r="D30" t="s">
        <v>59</v>
      </c>
      <c r="E30" t="s">
        <v>163</v>
      </c>
      <c r="F30" t="s">
        <v>46</v>
      </c>
      <c r="G30" t="s">
        <v>150</v>
      </c>
      <c r="H30" t="s">
        <v>85</v>
      </c>
      <c r="I30" t="s">
        <v>72</v>
      </c>
    </row>
    <row r="31" spans="1:9">
      <c r="A31" t="s">
        <v>443</v>
      </c>
      <c r="B31" t="s">
        <v>33</v>
      </c>
      <c r="C31" t="s">
        <v>72</v>
      </c>
      <c r="D31" t="s">
        <v>59</v>
      </c>
      <c r="E31" t="s">
        <v>124</v>
      </c>
      <c r="F31" t="s">
        <v>46</v>
      </c>
      <c r="G31" t="s">
        <v>150</v>
      </c>
      <c r="H31" t="s">
        <v>85</v>
      </c>
      <c r="I31" t="s">
        <v>176</v>
      </c>
    </row>
    <row r="32" spans="1:9">
      <c r="A32" t="s">
        <v>444</v>
      </c>
      <c r="B32" t="s">
        <v>72</v>
      </c>
      <c r="C32" t="s">
        <v>124</v>
      </c>
      <c r="D32" t="s">
        <v>59</v>
      </c>
      <c r="E32" t="s">
        <v>163</v>
      </c>
      <c r="F32" t="s">
        <v>46</v>
      </c>
      <c r="G32" t="s">
        <v>33</v>
      </c>
      <c r="H32" t="s">
        <v>85</v>
      </c>
      <c r="I32" t="s">
        <v>176</v>
      </c>
    </row>
    <row r="33" spans="1:9">
      <c r="A33" t="s">
        <v>445</v>
      </c>
      <c r="B33" t="s">
        <v>72</v>
      </c>
      <c r="C33" t="s">
        <v>59</v>
      </c>
      <c r="D33" t="s">
        <v>85</v>
      </c>
      <c r="E33" t="s">
        <v>163</v>
      </c>
      <c r="F33" t="s">
        <v>46</v>
      </c>
      <c r="G33" t="s">
        <v>33</v>
      </c>
      <c r="H33" t="s">
        <v>137</v>
      </c>
      <c r="I33" t="s">
        <v>150</v>
      </c>
    </row>
    <row r="34" spans="1:9">
      <c r="A34" t="s">
        <v>446</v>
      </c>
      <c r="B34" t="s">
        <v>72</v>
      </c>
      <c r="C34" t="s">
        <v>59</v>
      </c>
      <c r="D34" t="s">
        <v>85</v>
      </c>
      <c r="E34" t="s">
        <v>137</v>
      </c>
      <c r="F34" t="s">
        <v>46</v>
      </c>
      <c r="G34" t="s">
        <v>33</v>
      </c>
      <c r="H34" t="s">
        <v>150</v>
      </c>
      <c r="I34" t="s">
        <v>176</v>
      </c>
    </row>
    <row r="35" spans="1:9">
      <c r="A35" t="s">
        <v>447</v>
      </c>
      <c r="B35" t="s">
        <v>72</v>
      </c>
      <c r="C35" t="s">
        <v>59</v>
      </c>
      <c r="D35" t="s">
        <v>137</v>
      </c>
      <c r="E35" t="s">
        <v>163</v>
      </c>
      <c r="F35" t="s">
        <v>46</v>
      </c>
      <c r="G35" t="s">
        <v>33</v>
      </c>
      <c r="H35" t="s">
        <v>85</v>
      </c>
      <c r="I35" t="s">
        <v>176</v>
      </c>
    </row>
    <row r="36" spans="1:9">
      <c r="A36" t="s">
        <v>448</v>
      </c>
      <c r="B36" t="s">
        <v>72</v>
      </c>
      <c r="C36" t="s">
        <v>59</v>
      </c>
      <c r="D36" t="s">
        <v>85</v>
      </c>
      <c r="E36" t="s">
        <v>163</v>
      </c>
      <c r="F36" t="s">
        <v>46</v>
      </c>
      <c r="G36" t="s">
        <v>33</v>
      </c>
      <c r="H36" t="s">
        <v>150</v>
      </c>
      <c r="I36" t="s">
        <v>176</v>
      </c>
    </row>
    <row r="37" spans="1:9">
      <c r="A37" t="s">
        <v>449</v>
      </c>
      <c r="B37" t="s">
        <v>59</v>
      </c>
      <c r="C37" t="s">
        <v>111</v>
      </c>
      <c r="D37" t="s">
        <v>98</v>
      </c>
      <c r="E37" t="s">
        <v>124</v>
      </c>
      <c r="F37" t="s">
        <v>46</v>
      </c>
      <c r="G37" t="s">
        <v>33</v>
      </c>
      <c r="H37" t="s">
        <v>137</v>
      </c>
      <c r="I37" t="s">
        <v>72</v>
      </c>
    </row>
    <row r="38" spans="1:9">
      <c r="A38" t="s">
        <v>450</v>
      </c>
      <c r="B38" t="s">
        <v>46</v>
      </c>
      <c r="C38" t="s">
        <v>98</v>
      </c>
      <c r="D38" t="s">
        <v>59</v>
      </c>
      <c r="E38" t="s">
        <v>124</v>
      </c>
      <c r="F38" t="s">
        <v>150</v>
      </c>
      <c r="G38" t="s">
        <v>33</v>
      </c>
      <c r="H38" t="s">
        <v>111</v>
      </c>
      <c r="I38" t="s">
        <v>72</v>
      </c>
    </row>
    <row r="39" spans="1:9">
      <c r="A39" t="s">
        <v>451</v>
      </c>
      <c r="B39" t="s">
        <v>59</v>
      </c>
      <c r="C39" t="s">
        <v>111</v>
      </c>
      <c r="D39" t="s">
        <v>124</v>
      </c>
      <c r="E39" t="s">
        <v>163</v>
      </c>
      <c r="F39" t="s">
        <v>46</v>
      </c>
      <c r="G39" t="s">
        <v>33</v>
      </c>
      <c r="H39" t="s">
        <v>98</v>
      </c>
      <c r="I39" t="s">
        <v>72</v>
      </c>
    </row>
    <row r="40" spans="1:9">
      <c r="A40" t="s">
        <v>452</v>
      </c>
      <c r="B40" t="s">
        <v>72</v>
      </c>
      <c r="C40" t="s">
        <v>111</v>
      </c>
      <c r="D40" t="s">
        <v>59</v>
      </c>
      <c r="E40" t="s">
        <v>124</v>
      </c>
      <c r="F40" t="s">
        <v>46</v>
      </c>
      <c r="G40" t="s">
        <v>33</v>
      </c>
      <c r="H40" t="s">
        <v>98</v>
      </c>
      <c r="I40" t="s">
        <v>176</v>
      </c>
    </row>
    <row r="41" spans="1:9">
      <c r="A41" t="s">
        <v>453</v>
      </c>
      <c r="B41" t="s">
        <v>46</v>
      </c>
      <c r="C41" t="s">
        <v>98</v>
      </c>
      <c r="D41" t="s">
        <v>59</v>
      </c>
      <c r="E41" t="s">
        <v>137</v>
      </c>
      <c r="F41" t="s">
        <v>150</v>
      </c>
      <c r="G41" t="s">
        <v>33</v>
      </c>
      <c r="H41" t="s">
        <v>111</v>
      </c>
      <c r="I41" t="s">
        <v>72</v>
      </c>
    </row>
    <row r="42" spans="1:9">
      <c r="A42" t="s">
        <v>454</v>
      </c>
      <c r="B42" t="s">
        <v>46</v>
      </c>
      <c r="C42" t="s">
        <v>98</v>
      </c>
      <c r="D42" t="s">
        <v>59</v>
      </c>
      <c r="E42" t="s">
        <v>163</v>
      </c>
      <c r="F42" t="s">
        <v>137</v>
      </c>
      <c r="G42" t="s">
        <v>33</v>
      </c>
      <c r="H42" t="s">
        <v>111</v>
      </c>
      <c r="I42" t="s">
        <v>72</v>
      </c>
    </row>
    <row r="43" spans="1:9">
      <c r="A43" t="s">
        <v>455</v>
      </c>
      <c r="B43" t="s">
        <v>72</v>
      </c>
      <c r="C43" t="s">
        <v>111</v>
      </c>
      <c r="D43" t="s">
        <v>59</v>
      </c>
      <c r="E43" t="s">
        <v>137</v>
      </c>
      <c r="F43" t="s">
        <v>46</v>
      </c>
      <c r="G43" t="s">
        <v>33</v>
      </c>
      <c r="H43" t="s">
        <v>98</v>
      </c>
      <c r="I43" t="s">
        <v>176</v>
      </c>
    </row>
    <row r="44" spans="1:9">
      <c r="A44" t="s">
        <v>456</v>
      </c>
      <c r="B44" t="s">
        <v>46</v>
      </c>
      <c r="C44" t="s">
        <v>98</v>
      </c>
      <c r="D44" t="s">
        <v>59</v>
      </c>
      <c r="E44" t="s">
        <v>163</v>
      </c>
      <c r="F44" t="s">
        <v>150</v>
      </c>
      <c r="G44" t="s">
        <v>33</v>
      </c>
      <c r="H44" t="s">
        <v>111</v>
      </c>
      <c r="I44" t="s">
        <v>72</v>
      </c>
    </row>
    <row r="45" spans="1:9">
      <c r="A45" t="s">
        <v>457</v>
      </c>
      <c r="B45" t="s">
        <v>72</v>
      </c>
      <c r="C45" t="s">
        <v>111</v>
      </c>
      <c r="D45" t="s">
        <v>59</v>
      </c>
      <c r="E45" t="s">
        <v>150</v>
      </c>
      <c r="F45" t="s">
        <v>46</v>
      </c>
      <c r="G45" t="s">
        <v>33</v>
      </c>
      <c r="H45" t="s">
        <v>98</v>
      </c>
      <c r="I45" t="s">
        <v>176</v>
      </c>
    </row>
    <row r="46" spans="1:9">
      <c r="A46" t="s">
        <v>458</v>
      </c>
      <c r="B46" t="s">
        <v>72</v>
      </c>
      <c r="C46" t="s">
        <v>111</v>
      </c>
      <c r="D46" t="s">
        <v>59</v>
      </c>
      <c r="E46" t="s">
        <v>163</v>
      </c>
      <c r="F46" t="s">
        <v>46</v>
      </c>
      <c r="G46" t="s">
        <v>33</v>
      </c>
      <c r="H46" t="s">
        <v>98</v>
      </c>
      <c r="I46" t="s">
        <v>176</v>
      </c>
    </row>
    <row r="47" spans="1:9">
      <c r="A47" t="s">
        <v>459</v>
      </c>
      <c r="B47" t="s">
        <v>46</v>
      </c>
      <c r="C47" t="s">
        <v>59</v>
      </c>
      <c r="D47" t="s">
        <v>137</v>
      </c>
      <c r="E47" t="s">
        <v>124</v>
      </c>
      <c r="F47" t="s">
        <v>150</v>
      </c>
      <c r="G47" t="s">
        <v>33</v>
      </c>
      <c r="H47" t="s">
        <v>98</v>
      </c>
      <c r="I47" t="s">
        <v>72</v>
      </c>
    </row>
    <row r="48" spans="1:9">
      <c r="A48" t="s">
        <v>460</v>
      </c>
      <c r="B48" t="s">
        <v>33</v>
      </c>
      <c r="C48" t="s">
        <v>59</v>
      </c>
      <c r="D48" t="s">
        <v>124</v>
      </c>
      <c r="E48" t="s">
        <v>163</v>
      </c>
      <c r="F48" t="s">
        <v>46</v>
      </c>
      <c r="G48" t="s">
        <v>137</v>
      </c>
      <c r="H48" t="s">
        <v>98</v>
      </c>
      <c r="I48" t="s">
        <v>72</v>
      </c>
    </row>
    <row r="49" spans="1:9">
      <c r="A49" t="s">
        <v>461</v>
      </c>
      <c r="B49" t="s">
        <v>72</v>
      </c>
      <c r="C49" t="s">
        <v>59</v>
      </c>
      <c r="D49" t="s">
        <v>137</v>
      </c>
      <c r="E49" t="s">
        <v>124</v>
      </c>
      <c r="F49" t="s">
        <v>46</v>
      </c>
      <c r="G49" t="s">
        <v>33</v>
      </c>
      <c r="H49" t="s">
        <v>98</v>
      </c>
      <c r="I49" t="s">
        <v>176</v>
      </c>
    </row>
    <row r="50" spans="1:9">
      <c r="A50" t="s">
        <v>462</v>
      </c>
      <c r="B50" t="s">
        <v>33</v>
      </c>
      <c r="C50" t="s">
        <v>124</v>
      </c>
      <c r="D50" t="s">
        <v>59</v>
      </c>
      <c r="E50" t="s">
        <v>163</v>
      </c>
      <c r="F50" t="s">
        <v>46</v>
      </c>
      <c r="G50" t="s">
        <v>150</v>
      </c>
      <c r="H50" t="s">
        <v>98</v>
      </c>
      <c r="I50" t="s">
        <v>72</v>
      </c>
    </row>
    <row r="51" spans="1:9">
      <c r="A51" t="s">
        <v>463</v>
      </c>
      <c r="B51" t="s">
        <v>46</v>
      </c>
      <c r="C51" t="s">
        <v>72</v>
      </c>
      <c r="D51" t="s">
        <v>59</v>
      </c>
      <c r="E51" t="s">
        <v>124</v>
      </c>
      <c r="F51" t="s">
        <v>150</v>
      </c>
      <c r="G51" t="s">
        <v>33</v>
      </c>
      <c r="H51" t="s">
        <v>98</v>
      </c>
      <c r="I51" t="s">
        <v>176</v>
      </c>
    </row>
    <row r="52" spans="1:9">
      <c r="A52" t="s">
        <v>464</v>
      </c>
      <c r="B52" t="s">
        <v>72</v>
      </c>
      <c r="C52" t="s">
        <v>124</v>
      </c>
      <c r="D52" t="s">
        <v>59</v>
      </c>
      <c r="E52" t="s">
        <v>163</v>
      </c>
      <c r="F52" t="s">
        <v>46</v>
      </c>
      <c r="G52" t="s">
        <v>33</v>
      </c>
      <c r="H52" t="s">
        <v>98</v>
      </c>
      <c r="I52" t="s">
        <v>176</v>
      </c>
    </row>
    <row r="53" spans="1:9">
      <c r="A53" t="s">
        <v>465</v>
      </c>
      <c r="B53" t="s">
        <v>46</v>
      </c>
      <c r="C53" t="s">
        <v>59</v>
      </c>
      <c r="D53" t="s">
        <v>98</v>
      </c>
      <c r="E53" t="s">
        <v>163</v>
      </c>
      <c r="F53" t="s">
        <v>150</v>
      </c>
      <c r="G53" t="s">
        <v>33</v>
      </c>
      <c r="H53" t="s">
        <v>137</v>
      </c>
      <c r="I53" t="s">
        <v>72</v>
      </c>
    </row>
    <row r="54" spans="1:9">
      <c r="A54" t="s">
        <v>466</v>
      </c>
      <c r="B54" t="s">
        <v>46</v>
      </c>
      <c r="C54" t="s">
        <v>72</v>
      </c>
      <c r="D54" t="s">
        <v>59</v>
      </c>
      <c r="E54" t="s">
        <v>137</v>
      </c>
      <c r="F54" t="s">
        <v>150</v>
      </c>
      <c r="G54" t="s">
        <v>33</v>
      </c>
      <c r="H54" t="s">
        <v>98</v>
      </c>
      <c r="I54" t="s">
        <v>176</v>
      </c>
    </row>
    <row r="55" spans="1:9">
      <c r="A55" t="s">
        <v>467</v>
      </c>
      <c r="B55" t="s">
        <v>72</v>
      </c>
      <c r="C55" t="s">
        <v>59</v>
      </c>
      <c r="D55" t="s">
        <v>137</v>
      </c>
      <c r="E55" t="s">
        <v>163</v>
      </c>
      <c r="F55" t="s">
        <v>46</v>
      </c>
      <c r="G55" t="s">
        <v>33</v>
      </c>
      <c r="H55" t="s">
        <v>98</v>
      </c>
      <c r="I55" t="s">
        <v>176</v>
      </c>
    </row>
    <row r="56" spans="1:9">
      <c r="A56" t="s">
        <v>468</v>
      </c>
      <c r="B56" t="s">
        <v>46</v>
      </c>
      <c r="C56" t="s">
        <v>72</v>
      </c>
      <c r="D56" t="s">
        <v>59</v>
      </c>
      <c r="E56" t="s">
        <v>163</v>
      </c>
      <c r="F56" t="s">
        <v>150</v>
      </c>
      <c r="G56" t="s">
        <v>33</v>
      </c>
      <c r="H56" t="s">
        <v>98</v>
      </c>
      <c r="I56" t="s">
        <v>176</v>
      </c>
    </row>
    <row r="57" spans="1:9">
      <c r="A57" t="s">
        <v>469</v>
      </c>
      <c r="B57" t="s">
        <v>33</v>
      </c>
      <c r="C57" t="s">
        <v>72</v>
      </c>
      <c r="D57" t="s">
        <v>59</v>
      </c>
      <c r="E57" t="s">
        <v>124</v>
      </c>
      <c r="F57" t="s">
        <v>46</v>
      </c>
      <c r="G57" t="s">
        <v>150</v>
      </c>
      <c r="H57" t="s">
        <v>111</v>
      </c>
      <c r="I57" t="s">
        <v>137</v>
      </c>
    </row>
    <row r="58" spans="1:9">
      <c r="A58" t="s">
        <v>470</v>
      </c>
      <c r="B58" t="s">
        <v>33</v>
      </c>
      <c r="C58" t="s">
        <v>59</v>
      </c>
      <c r="D58" t="s">
        <v>137</v>
      </c>
      <c r="E58" t="s">
        <v>163</v>
      </c>
      <c r="F58" t="s">
        <v>46</v>
      </c>
      <c r="G58" t="s">
        <v>124</v>
      </c>
      <c r="H58" t="s">
        <v>111</v>
      </c>
      <c r="I58" t="s">
        <v>72</v>
      </c>
    </row>
    <row r="59" spans="1:9">
      <c r="A59" t="s">
        <v>471</v>
      </c>
      <c r="B59" t="s">
        <v>33</v>
      </c>
      <c r="C59" t="s">
        <v>72</v>
      </c>
      <c r="D59" t="s">
        <v>59</v>
      </c>
      <c r="E59" t="s">
        <v>124</v>
      </c>
      <c r="F59" t="s">
        <v>46</v>
      </c>
      <c r="G59" t="s">
        <v>137</v>
      </c>
      <c r="H59" t="s">
        <v>111</v>
      </c>
      <c r="I59" t="s">
        <v>176</v>
      </c>
    </row>
    <row r="60" spans="1:9">
      <c r="A60" t="s">
        <v>472</v>
      </c>
      <c r="B60" t="s">
        <v>33</v>
      </c>
      <c r="C60" t="s">
        <v>124</v>
      </c>
      <c r="D60" t="s">
        <v>59</v>
      </c>
      <c r="E60" t="s">
        <v>163</v>
      </c>
      <c r="F60" t="s">
        <v>46</v>
      </c>
      <c r="G60" t="s">
        <v>150</v>
      </c>
      <c r="H60" t="s">
        <v>111</v>
      </c>
      <c r="I60" t="s">
        <v>72</v>
      </c>
    </row>
    <row r="61" spans="1:9">
      <c r="A61" t="s">
        <v>473</v>
      </c>
      <c r="B61" t="s">
        <v>33</v>
      </c>
      <c r="C61" t="s">
        <v>72</v>
      </c>
      <c r="D61" t="s">
        <v>59</v>
      </c>
      <c r="E61" t="s">
        <v>124</v>
      </c>
      <c r="F61" t="s">
        <v>46</v>
      </c>
      <c r="G61" t="s">
        <v>150</v>
      </c>
      <c r="H61" t="s">
        <v>111</v>
      </c>
      <c r="I61" t="s">
        <v>176</v>
      </c>
    </row>
    <row r="62" spans="1:9">
      <c r="A62" t="s">
        <v>474</v>
      </c>
      <c r="B62" t="s">
        <v>72</v>
      </c>
      <c r="C62" t="s">
        <v>124</v>
      </c>
      <c r="D62" t="s">
        <v>59</v>
      </c>
      <c r="E62" t="s">
        <v>163</v>
      </c>
      <c r="F62" t="s">
        <v>46</v>
      </c>
      <c r="G62" t="s">
        <v>33</v>
      </c>
      <c r="H62" t="s">
        <v>111</v>
      </c>
      <c r="I62" t="s">
        <v>176</v>
      </c>
    </row>
    <row r="63" spans="1:9">
      <c r="A63" t="s">
        <v>475</v>
      </c>
      <c r="B63" t="s">
        <v>33</v>
      </c>
      <c r="C63" t="s">
        <v>72</v>
      </c>
      <c r="D63" t="s">
        <v>59</v>
      </c>
      <c r="E63" t="s">
        <v>163</v>
      </c>
      <c r="F63" t="s">
        <v>46</v>
      </c>
      <c r="G63" t="s">
        <v>150</v>
      </c>
      <c r="H63" t="s">
        <v>111</v>
      </c>
      <c r="I63" t="s">
        <v>137</v>
      </c>
    </row>
    <row r="64" spans="1:9">
      <c r="A64" t="s">
        <v>476</v>
      </c>
      <c r="B64" t="s">
        <v>33</v>
      </c>
      <c r="C64" t="s">
        <v>72</v>
      </c>
      <c r="D64" t="s">
        <v>59</v>
      </c>
      <c r="E64" t="s">
        <v>137</v>
      </c>
      <c r="F64" t="s">
        <v>46</v>
      </c>
      <c r="G64" t="s">
        <v>150</v>
      </c>
      <c r="H64" t="s">
        <v>111</v>
      </c>
      <c r="I64" t="s">
        <v>176</v>
      </c>
    </row>
    <row r="65" spans="1:9">
      <c r="A65" t="s">
        <v>477</v>
      </c>
      <c r="B65" t="s">
        <v>72</v>
      </c>
      <c r="C65" t="s">
        <v>111</v>
      </c>
      <c r="D65" t="s">
        <v>59</v>
      </c>
      <c r="E65" t="s">
        <v>163</v>
      </c>
      <c r="F65" t="s">
        <v>46</v>
      </c>
      <c r="G65" t="s">
        <v>33</v>
      </c>
      <c r="H65" t="s">
        <v>137</v>
      </c>
      <c r="I65" t="s">
        <v>176</v>
      </c>
    </row>
    <row r="66" spans="1:9">
      <c r="A66" t="s">
        <v>478</v>
      </c>
      <c r="B66" t="s">
        <v>72</v>
      </c>
      <c r="C66" t="s">
        <v>111</v>
      </c>
      <c r="D66" t="s">
        <v>59</v>
      </c>
      <c r="E66" t="s">
        <v>163</v>
      </c>
      <c r="F66" t="s">
        <v>46</v>
      </c>
      <c r="G66" t="s">
        <v>33</v>
      </c>
      <c r="H66" t="s">
        <v>150</v>
      </c>
      <c r="I66" t="s">
        <v>176</v>
      </c>
    </row>
    <row r="67" spans="1:9">
      <c r="A67" t="s">
        <v>479</v>
      </c>
      <c r="B67" t="s">
        <v>33</v>
      </c>
      <c r="C67" t="s">
        <v>124</v>
      </c>
      <c r="D67" t="s">
        <v>59</v>
      </c>
      <c r="E67" t="s">
        <v>163</v>
      </c>
      <c r="F67" t="s">
        <v>46</v>
      </c>
      <c r="G67" t="s">
        <v>150</v>
      </c>
      <c r="H67" t="s">
        <v>137</v>
      </c>
      <c r="I67" t="s">
        <v>72</v>
      </c>
    </row>
    <row r="68" spans="1:9">
      <c r="A68" t="s">
        <v>480</v>
      </c>
      <c r="B68" t="s">
        <v>33</v>
      </c>
      <c r="C68" t="s">
        <v>72</v>
      </c>
      <c r="D68" t="s">
        <v>59</v>
      </c>
      <c r="E68" t="s">
        <v>124</v>
      </c>
      <c r="F68" t="s">
        <v>46</v>
      </c>
      <c r="G68" t="s">
        <v>150</v>
      </c>
      <c r="H68" t="s">
        <v>137</v>
      </c>
      <c r="I68" t="s">
        <v>176</v>
      </c>
    </row>
    <row r="69" spans="1:9">
      <c r="A69" t="s">
        <v>481</v>
      </c>
      <c r="B69" t="s">
        <v>72</v>
      </c>
      <c r="C69" t="s">
        <v>124</v>
      </c>
      <c r="D69" t="s">
        <v>59</v>
      </c>
      <c r="E69" t="s">
        <v>163</v>
      </c>
      <c r="F69" t="s">
        <v>46</v>
      </c>
      <c r="G69" t="s">
        <v>33</v>
      </c>
      <c r="H69" t="s">
        <v>137</v>
      </c>
      <c r="I69" t="s">
        <v>176</v>
      </c>
    </row>
    <row r="70" spans="1:9">
      <c r="A70" t="s">
        <v>482</v>
      </c>
      <c r="B70" t="s">
        <v>72</v>
      </c>
      <c r="C70" t="s">
        <v>124</v>
      </c>
      <c r="D70" t="s">
        <v>59</v>
      </c>
      <c r="E70" t="s">
        <v>163</v>
      </c>
      <c r="F70" t="s">
        <v>46</v>
      </c>
      <c r="G70" t="s">
        <v>33</v>
      </c>
      <c r="H70" t="s">
        <v>150</v>
      </c>
      <c r="I70" t="s">
        <v>176</v>
      </c>
    </row>
    <row r="71" spans="1:9">
      <c r="A71" t="s">
        <v>483</v>
      </c>
      <c r="B71" t="s">
        <v>72</v>
      </c>
      <c r="C71" t="s">
        <v>59</v>
      </c>
      <c r="D71" t="s">
        <v>137</v>
      </c>
      <c r="E71" t="s">
        <v>163</v>
      </c>
      <c r="F71" t="s">
        <v>46</v>
      </c>
      <c r="G71" t="s">
        <v>33</v>
      </c>
      <c r="H71" t="s">
        <v>150</v>
      </c>
      <c r="I71" t="s">
        <v>176</v>
      </c>
    </row>
    <row r="72" spans="1:9">
      <c r="A72" t="s">
        <v>484</v>
      </c>
      <c r="B72" t="s">
        <v>59</v>
      </c>
      <c r="C72" t="s">
        <v>98</v>
      </c>
      <c r="D72" t="s">
        <v>137</v>
      </c>
      <c r="E72" t="s">
        <v>124</v>
      </c>
      <c r="F72" t="s">
        <v>46</v>
      </c>
      <c r="G72" t="s">
        <v>33</v>
      </c>
      <c r="H72" t="s">
        <v>111</v>
      </c>
      <c r="I72" t="s">
        <v>85</v>
      </c>
    </row>
    <row r="73" spans="1:9">
      <c r="A73" t="s">
        <v>485</v>
      </c>
      <c r="B73" t="s">
        <v>46</v>
      </c>
      <c r="C73" t="s">
        <v>98</v>
      </c>
      <c r="D73" t="s">
        <v>59</v>
      </c>
      <c r="E73" t="s">
        <v>124</v>
      </c>
      <c r="F73" t="s">
        <v>150</v>
      </c>
      <c r="G73" t="s">
        <v>33</v>
      </c>
      <c r="H73" t="s">
        <v>111</v>
      </c>
      <c r="I73" t="s">
        <v>85</v>
      </c>
    </row>
    <row r="74" spans="1:9">
      <c r="A74" t="s">
        <v>486</v>
      </c>
      <c r="B74" t="s">
        <v>59</v>
      </c>
      <c r="C74" t="s">
        <v>111</v>
      </c>
      <c r="D74" t="s">
        <v>124</v>
      </c>
      <c r="E74" t="s">
        <v>163</v>
      </c>
      <c r="F74" t="s">
        <v>46</v>
      </c>
      <c r="G74" t="s">
        <v>33</v>
      </c>
      <c r="H74" t="s">
        <v>98</v>
      </c>
      <c r="I74" t="s">
        <v>85</v>
      </c>
    </row>
    <row r="75" spans="1:9">
      <c r="A75" t="s">
        <v>487</v>
      </c>
      <c r="B75" t="s">
        <v>59</v>
      </c>
      <c r="C75" t="s">
        <v>111</v>
      </c>
      <c r="D75" t="s">
        <v>124</v>
      </c>
      <c r="E75" t="s">
        <v>85</v>
      </c>
      <c r="F75" t="s">
        <v>46</v>
      </c>
      <c r="G75" t="s">
        <v>33</v>
      </c>
      <c r="H75" t="s">
        <v>98</v>
      </c>
      <c r="I75" t="s">
        <v>176</v>
      </c>
    </row>
    <row r="76" spans="1:9">
      <c r="A76" t="s">
        <v>488</v>
      </c>
      <c r="B76" t="s">
        <v>46</v>
      </c>
      <c r="C76" t="s">
        <v>59</v>
      </c>
      <c r="D76" t="s">
        <v>98</v>
      </c>
      <c r="E76" t="s">
        <v>85</v>
      </c>
      <c r="F76" t="s">
        <v>150</v>
      </c>
      <c r="G76" t="s">
        <v>33</v>
      </c>
      <c r="H76" t="s">
        <v>111</v>
      </c>
      <c r="I76" t="s">
        <v>137</v>
      </c>
    </row>
    <row r="77" spans="1:9">
      <c r="A77" t="s">
        <v>489</v>
      </c>
      <c r="B77" t="s">
        <v>46</v>
      </c>
      <c r="C77" t="s">
        <v>59</v>
      </c>
      <c r="D77" t="s">
        <v>98</v>
      </c>
      <c r="E77" t="s">
        <v>163</v>
      </c>
      <c r="F77" t="s">
        <v>137</v>
      </c>
      <c r="G77" t="s">
        <v>33</v>
      </c>
      <c r="H77" t="s">
        <v>111</v>
      </c>
      <c r="I77" t="s">
        <v>85</v>
      </c>
    </row>
    <row r="78" spans="1:9">
      <c r="A78" t="s">
        <v>490</v>
      </c>
      <c r="B78" t="s">
        <v>46</v>
      </c>
      <c r="C78" t="s">
        <v>59</v>
      </c>
      <c r="D78" t="s">
        <v>98</v>
      </c>
      <c r="E78" t="s">
        <v>85</v>
      </c>
      <c r="F78" t="s">
        <v>137</v>
      </c>
      <c r="G78" t="s">
        <v>33</v>
      </c>
      <c r="H78" t="s">
        <v>111</v>
      </c>
      <c r="I78" t="s">
        <v>176</v>
      </c>
    </row>
    <row r="79" spans="1:9">
      <c r="A79" t="s">
        <v>491</v>
      </c>
      <c r="B79" t="s">
        <v>46</v>
      </c>
      <c r="C79" t="s">
        <v>98</v>
      </c>
      <c r="D79" t="s">
        <v>59</v>
      </c>
      <c r="E79" t="s">
        <v>163</v>
      </c>
      <c r="F79" t="s">
        <v>150</v>
      </c>
      <c r="G79" t="s">
        <v>33</v>
      </c>
      <c r="H79" t="s">
        <v>111</v>
      </c>
      <c r="I79" t="s">
        <v>85</v>
      </c>
    </row>
    <row r="80" spans="1:9">
      <c r="A80" t="s">
        <v>492</v>
      </c>
      <c r="B80" t="s">
        <v>46</v>
      </c>
      <c r="C80" t="s">
        <v>98</v>
      </c>
      <c r="D80" t="s">
        <v>59</v>
      </c>
      <c r="E80" t="s">
        <v>85</v>
      </c>
      <c r="F80" t="s">
        <v>150</v>
      </c>
      <c r="G80" t="s">
        <v>33</v>
      </c>
      <c r="H80" t="s">
        <v>111</v>
      </c>
      <c r="I80" t="s">
        <v>176</v>
      </c>
    </row>
    <row r="81" spans="1:9">
      <c r="A81" t="s">
        <v>493</v>
      </c>
      <c r="B81" t="s">
        <v>46</v>
      </c>
      <c r="C81" t="s">
        <v>59</v>
      </c>
      <c r="D81" t="s">
        <v>85</v>
      </c>
      <c r="E81" t="s">
        <v>163</v>
      </c>
      <c r="F81" t="s">
        <v>98</v>
      </c>
      <c r="G81" t="s">
        <v>33</v>
      </c>
      <c r="H81" t="s">
        <v>111</v>
      </c>
      <c r="I81" t="s">
        <v>176</v>
      </c>
    </row>
    <row r="82" spans="1:9">
      <c r="A82" t="s">
        <v>494</v>
      </c>
      <c r="B82" t="s">
        <v>33</v>
      </c>
      <c r="C82" t="s">
        <v>59</v>
      </c>
      <c r="D82" t="s">
        <v>98</v>
      </c>
      <c r="E82" t="s">
        <v>124</v>
      </c>
      <c r="F82" t="s">
        <v>46</v>
      </c>
      <c r="G82" t="s">
        <v>137</v>
      </c>
      <c r="H82" t="s">
        <v>150</v>
      </c>
      <c r="I82" t="s">
        <v>85</v>
      </c>
    </row>
    <row r="83" spans="1:9">
      <c r="A83" t="s">
        <v>495</v>
      </c>
      <c r="B83" t="s">
        <v>33</v>
      </c>
      <c r="C83" t="s">
        <v>59</v>
      </c>
      <c r="D83" t="s">
        <v>124</v>
      </c>
      <c r="E83" t="s">
        <v>163</v>
      </c>
      <c r="F83" t="s">
        <v>46</v>
      </c>
      <c r="G83" t="s">
        <v>137</v>
      </c>
      <c r="H83" t="s">
        <v>98</v>
      </c>
      <c r="I83" t="s">
        <v>85</v>
      </c>
    </row>
    <row r="84" spans="1:9">
      <c r="A84" t="s">
        <v>496</v>
      </c>
      <c r="B84" t="s">
        <v>33</v>
      </c>
      <c r="C84" t="s">
        <v>59</v>
      </c>
      <c r="D84" t="s">
        <v>124</v>
      </c>
      <c r="E84" t="s">
        <v>85</v>
      </c>
      <c r="F84" t="s">
        <v>46</v>
      </c>
      <c r="G84" t="s">
        <v>137</v>
      </c>
      <c r="H84" t="s">
        <v>98</v>
      </c>
      <c r="I84" t="s">
        <v>176</v>
      </c>
    </row>
    <row r="85" spans="1:9">
      <c r="A85" t="s">
        <v>497</v>
      </c>
      <c r="B85" t="s">
        <v>33</v>
      </c>
      <c r="C85" t="s">
        <v>59</v>
      </c>
      <c r="D85" t="s">
        <v>124</v>
      </c>
      <c r="E85" t="s">
        <v>163</v>
      </c>
      <c r="F85" t="s">
        <v>46</v>
      </c>
      <c r="G85" t="s">
        <v>150</v>
      </c>
      <c r="H85" t="s">
        <v>98</v>
      </c>
      <c r="I85" t="s">
        <v>85</v>
      </c>
    </row>
    <row r="86" spans="1:9">
      <c r="A86" t="s">
        <v>498</v>
      </c>
      <c r="B86" t="s">
        <v>33</v>
      </c>
      <c r="C86" t="s">
        <v>59</v>
      </c>
      <c r="D86" t="s">
        <v>124</v>
      </c>
      <c r="E86" t="s">
        <v>85</v>
      </c>
      <c r="F86" t="s">
        <v>46</v>
      </c>
      <c r="G86" t="s">
        <v>150</v>
      </c>
      <c r="H86" t="s">
        <v>98</v>
      </c>
      <c r="I86" t="s">
        <v>176</v>
      </c>
    </row>
    <row r="87" spans="1:9">
      <c r="A87" t="s">
        <v>499</v>
      </c>
      <c r="B87" t="s">
        <v>59</v>
      </c>
      <c r="C87" t="s">
        <v>98</v>
      </c>
      <c r="D87" t="s">
        <v>124</v>
      </c>
      <c r="E87" t="s">
        <v>163</v>
      </c>
      <c r="F87" t="s">
        <v>46</v>
      </c>
      <c r="G87" t="s">
        <v>33</v>
      </c>
      <c r="H87" t="s">
        <v>85</v>
      </c>
      <c r="I87" t="s">
        <v>176</v>
      </c>
    </row>
    <row r="88" spans="1:9">
      <c r="A88" t="s">
        <v>500</v>
      </c>
      <c r="B88" t="s">
        <v>33</v>
      </c>
      <c r="C88" t="s">
        <v>59</v>
      </c>
      <c r="D88" t="s">
        <v>98</v>
      </c>
      <c r="E88" t="s">
        <v>163</v>
      </c>
      <c r="F88" t="s">
        <v>46</v>
      </c>
      <c r="G88" t="s">
        <v>150</v>
      </c>
      <c r="H88" t="s">
        <v>137</v>
      </c>
      <c r="I88" t="s">
        <v>85</v>
      </c>
    </row>
    <row r="89" spans="1:9">
      <c r="A89" t="s">
        <v>501</v>
      </c>
      <c r="B89" t="s">
        <v>33</v>
      </c>
      <c r="C89" t="s">
        <v>59</v>
      </c>
      <c r="D89" t="s">
        <v>98</v>
      </c>
      <c r="E89" t="s">
        <v>85</v>
      </c>
      <c r="F89" t="s">
        <v>46</v>
      </c>
      <c r="G89" t="s">
        <v>150</v>
      </c>
      <c r="H89" t="s">
        <v>137</v>
      </c>
      <c r="I89" t="s">
        <v>176</v>
      </c>
    </row>
    <row r="90" spans="1:9">
      <c r="A90" t="s">
        <v>502</v>
      </c>
      <c r="B90" t="s">
        <v>46</v>
      </c>
      <c r="C90" t="s">
        <v>59</v>
      </c>
      <c r="D90" t="s">
        <v>98</v>
      </c>
      <c r="E90" t="s">
        <v>163</v>
      </c>
      <c r="F90" t="s">
        <v>137</v>
      </c>
      <c r="G90" t="s">
        <v>33</v>
      </c>
      <c r="H90" t="s">
        <v>85</v>
      </c>
      <c r="I90" t="s">
        <v>176</v>
      </c>
    </row>
    <row r="91" spans="1:9">
      <c r="A91" t="s">
        <v>503</v>
      </c>
      <c r="B91" t="s">
        <v>46</v>
      </c>
      <c r="C91" t="s">
        <v>59</v>
      </c>
      <c r="D91" t="s">
        <v>85</v>
      </c>
      <c r="E91" t="s">
        <v>163</v>
      </c>
      <c r="F91" t="s">
        <v>150</v>
      </c>
      <c r="G91" t="s">
        <v>33</v>
      </c>
      <c r="H91" t="s">
        <v>98</v>
      </c>
      <c r="I91" t="s">
        <v>176</v>
      </c>
    </row>
    <row r="92" spans="1:9">
      <c r="A92" t="s">
        <v>504</v>
      </c>
      <c r="B92" t="s">
        <v>33</v>
      </c>
      <c r="C92" t="s">
        <v>59</v>
      </c>
      <c r="D92" t="s">
        <v>124</v>
      </c>
      <c r="E92" t="s">
        <v>137</v>
      </c>
      <c r="F92" t="s">
        <v>46</v>
      </c>
      <c r="G92" t="s">
        <v>150</v>
      </c>
      <c r="H92" t="s">
        <v>111</v>
      </c>
      <c r="I92" t="s">
        <v>85</v>
      </c>
    </row>
    <row r="93" spans="1:9">
      <c r="A93" t="s">
        <v>505</v>
      </c>
      <c r="B93" t="s">
        <v>33</v>
      </c>
      <c r="C93" t="s">
        <v>59</v>
      </c>
      <c r="D93" t="s">
        <v>137</v>
      </c>
      <c r="E93" t="s">
        <v>163</v>
      </c>
      <c r="F93" t="s">
        <v>46</v>
      </c>
      <c r="G93" t="s">
        <v>124</v>
      </c>
      <c r="H93" t="s">
        <v>111</v>
      </c>
      <c r="I93" t="s">
        <v>85</v>
      </c>
    </row>
    <row r="94" spans="1:9">
      <c r="A94" t="s">
        <v>506</v>
      </c>
      <c r="B94" t="s">
        <v>33</v>
      </c>
      <c r="C94" t="s">
        <v>59</v>
      </c>
      <c r="D94" t="s">
        <v>137</v>
      </c>
      <c r="E94" t="s">
        <v>85</v>
      </c>
      <c r="F94" t="s">
        <v>46</v>
      </c>
      <c r="G94" t="s">
        <v>124</v>
      </c>
      <c r="H94" t="s">
        <v>111</v>
      </c>
      <c r="I94" t="s">
        <v>176</v>
      </c>
    </row>
    <row r="95" spans="1:9">
      <c r="A95" t="s">
        <v>507</v>
      </c>
      <c r="B95" t="s">
        <v>33</v>
      </c>
      <c r="C95" t="s">
        <v>124</v>
      </c>
      <c r="D95" t="s">
        <v>59</v>
      </c>
      <c r="E95" t="s">
        <v>163</v>
      </c>
      <c r="F95" t="s">
        <v>46</v>
      </c>
      <c r="G95" t="s">
        <v>150</v>
      </c>
      <c r="H95" t="s">
        <v>111</v>
      </c>
      <c r="I95" t="s">
        <v>85</v>
      </c>
    </row>
    <row r="96" spans="1:9">
      <c r="A96" t="s">
        <v>508</v>
      </c>
      <c r="B96" t="s">
        <v>33</v>
      </c>
      <c r="C96" t="s">
        <v>59</v>
      </c>
      <c r="D96" t="s">
        <v>85</v>
      </c>
      <c r="E96" t="s">
        <v>124</v>
      </c>
      <c r="F96" t="s">
        <v>46</v>
      </c>
      <c r="G96" t="s">
        <v>150</v>
      </c>
      <c r="H96" t="s">
        <v>111</v>
      </c>
      <c r="I96" t="s">
        <v>176</v>
      </c>
    </row>
    <row r="97" spans="1:9">
      <c r="A97" t="s">
        <v>509</v>
      </c>
      <c r="B97" t="s">
        <v>33</v>
      </c>
      <c r="C97" t="s">
        <v>111</v>
      </c>
      <c r="D97" t="s">
        <v>59</v>
      </c>
      <c r="E97" t="s">
        <v>163</v>
      </c>
      <c r="F97" t="s">
        <v>46</v>
      </c>
      <c r="G97" t="s">
        <v>124</v>
      </c>
      <c r="H97" t="s">
        <v>85</v>
      </c>
      <c r="I97" t="s">
        <v>176</v>
      </c>
    </row>
    <row r="98" spans="1:9">
      <c r="A98" t="s">
        <v>510</v>
      </c>
      <c r="B98" t="s">
        <v>33</v>
      </c>
      <c r="C98" t="s">
        <v>59</v>
      </c>
      <c r="D98" t="s">
        <v>85</v>
      </c>
      <c r="E98" t="s">
        <v>163</v>
      </c>
      <c r="F98" t="s">
        <v>46</v>
      </c>
      <c r="G98" t="s">
        <v>150</v>
      </c>
      <c r="H98" t="s">
        <v>111</v>
      </c>
      <c r="I98" t="s">
        <v>137</v>
      </c>
    </row>
    <row r="99" spans="1:9">
      <c r="A99" t="s">
        <v>511</v>
      </c>
      <c r="B99" t="s">
        <v>33</v>
      </c>
      <c r="C99" t="s">
        <v>59</v>
      </c>
      <c r="D99" t="s">
        <v>85</v>
      </c>
      <c r="E99" t="s">
        <v>137</v>
      </c>
      <c r="F99" t="s">
        <v>46</v>
      </c>
      <c r="G99" t="s">
        <v>150</v>
      </c>
      <c r="H99" t="s">
        <v>111</v>
      </c>
      <c r="I99" t="s">
        <v>176</v>
      </c>
    </row>
    <row r="100" spans="1:9">
      <c r="A100" t="s">
        <v>512</v>
      </c>
      <c r="B100" t="s">
        <v>33</v>
      </c>
      <c r="C100" t="s">
        <v>59</v>
      </c>
      <c r="D100" t="s">
        <v>85</v>
      </c>
      <c r="E100" t="s">
        <v>163</v>
      </c>
      <c r="F100" t="s">
        <v>46</v>
      </c>
      <c r="G100" t="s">
        <v>137</v>
      </c>
      <c r="H100" t="s">
        <v>111</v>
      </c>
      <c r="I100" t="s">
        <v>176</v>
      </c>
    </row>
    <row r="101" spans="1:9">
      <c r="A101" t="s">
        <v>513</v>
      </c>
      <c r="B101" t="s">
        <v>33</v>
      </c>
      <c r="C101" t="s">
        <v>59</v>
      </c>
      <c r="D101" t="s">
        <v>85</v>
      </c>
      <c r="E101" t="s">
        <v>163</v>
      </c>
      <c r="F101" t="s">
        <v>46</v>
      </c>
      <c r="G101" t="s">
        <v>150</v>
      </c>
      <c r="H101" t="s">
        <v>111</v>
      </c>
      <c r="I101" t="s">
        <v>176</v>
      </c>
    </row>
    <row r="102" spans="1:9">
      <c r="A102" t="s">
        <v>514</v>
      </c>
      <c r="B102" t="s">
        <v>33</v>
      </c>
      <c r="C102" t="s">
        <v>59</v>
      </c>
      <c r="D102" t="s">
        <v>124</v>
      </c>
      <c r="E102" t="s">
        <v>163</v>
      </c>
      <c r="F102" t="s">
        <v>46</v>
      </c>
      <c r="G102" t="s">
        <v>150</v>
      </c>
      <c r="H102" t="s">
        <v>85</v>
      </c>
      <c r="I102" t="s">
        <v>137</v>
      </c>
    </row>
    <row r="103" spans="1:9">
      <c r="A103" t="s">
        <v>515</v>
      </c>
      <c r="B103" t="s">
        <v>33</v>
      </c>
      <c r="C103" t="s">
        <v>59</v>
      </c>
      <c r="D103" t="s">
        <v>124</v>
      </c>
      <c r="E103" t="s">
        <v>137</v>
      </c>
      <c r="F103" t="s">
        <v>46</v>
      </c>
      <c r="G103" t="s">
        <v>150</v>
      </c>
      <c r="H103" t="s">
        <v>85</v>
      </c>
      <c r="I103" t="s">
        <v>176</v>
      </c>
    </row>
    <row r="104" spans="1:9">
      <c r="A104" t="s">
        <v>516</v>
      </c>
      <c r="B104" t="s">
        <v>33</v>
      </c>
      <c r="C104" t="s">
        <v>59</v>
      </c>
      <c r="D104" t="s">
        <v>124</v>
      </c>
      <c r="E104" t="s">
        <v>163</v>
      </c>
      <c r="F104" t="s">
        <v>46</v>
      </c>
      <c r="G104" t="s">
        <v>137</v>
      </c>
      <c r="H104" t="s">
        <v>85</v>
      </c>
      <c r="I104" t="s">
        <v>176</v>
      </c>
    </row>
    <row r="105" spans="1:9">
      <c r="A105" t="s">
        <v>517</v>
      </c>
      <c r="B105" t="s">
        <v>33</v>
      </c>
      <c r="C105" t="s">
        <v>59</v>
      </c>
      <c r="D105" t="s">
        <v>124</v>
      </c>
      <c r="E105" t="s">
        <v>163</v>
      </c>
      <c r="F105" t="s">
        <v>46</v>
      </c>
      <c r="G105" t="s">
        <v>150</v>
      </c>
      <c r="H105" t="s">
        <v>85</v>
      </c>
      <c r="I105" t="s">
        <v>176</v>
      </c>
    </row>
    <row r="106" spans="1:9">
      <c r="A106" t="s">
        <v>518</v>
      </c>
      <c r="B106" t="s">
        <v>33</v>
      </c>
      <c r="C106" t="s">
        <v>59</v>
      </c>
      <c r="D106" t="s">
        <v>85</v>
      </c>
      <c r="E106" t="s">
        <v>163</v>
      </c>
      <c r="F106" t="s">
        <v>46</v>
      </c>
      <c r="G106" t="s">
        <v>150</v>
      </c>
      <c r="H106" t="s">
        <v>137</v>
      </c>
      <c r="I106" t="s">
        <v>176</v>
      </c>
    </row>
    <row r="107" spans="1:9">
      <c r="A107" t="s">
        <v>519</v>
      </c>
      <c r="B107" t="s">
        <v>46</v>
      </c>
      <c r="C107" t="s">
        <v>98</v>
      </c>
      <c r="D107" t="s">
        <v>59</v>
      </c>
      <c r="E107" t="s">
        <v>124</v>
      </c>
      <c r="F107" t="s">
        <v>150</v>
      </c>
      <c r="G107" t="s">
        <v>33</v>
      </c>
      <c r="H107" t="s">
        <v>111</v>
      </c>
      <c r="I107" t="s">
        <v>137</v>
      </c>
    </row>
    <row r="108" spans="1:9">
      <c r="A108" t="s">
        <v>520</v>
      </c>
      <c r="B108" t="s">
        <v>59</v>
      </c>
      <c r="C108" t="s">
        <v>111</v>
      </c>
      <c r="D108" t="s">
        <v>124</v>
      </c>
      <c r="E108" t="s">
        <v>163</v>
      </c>
      <c r="F108" t="s">
        <v>46</v>
      </c>
      <c r="G108" t="s">
        <v>33</v>
      </c>
      <c r="H108" t="s">
        <v>98</v>
      </c>
      <c r="I108" t="s">
        <v>137</v>
      </c>
    </row>
    <row r="109" spans="1:9">
      <c r="A109" t="s">
        <v>521</v>
      </c>
      <c r="B109" t="s">
        <v>59</v>
      </c>
      <c r="C109" t="s">
        <v>98</v>
      </c>
      <c r="D109" t="s">
        <v>137</v>
      </c>
      <c r="E109" t="s">
        <v>124</v>
      </c>
      <c r="F109" t="s">
        <v>46</v>
      </c>
      <c r="G109" t="s">
        <v>33</v>
      </c>
      <c r="H109" t="s">
        <v>111</v>
      </c>
      <c r="I109" t="s">
        <v>176</v>
      </c>
    </row>
    <row r="110" spans="1:9">
      <c r="A110" t="s">
        <v>522</v>
      </c>
      <c r="B110" t="s">
        <v>59</v>
      </c>
      <c r="C110" t="s">
        <v>111</v>
      </c>
      <c r="D110" t="s">
        <v>124</v>
      </c>
      <c r="E110" t="s">
        <v>163</v>
      </c>
      <c r="F110" t="s">
        <v>46</v>
      </c>
      <c r="G110" t="s">
        <v>33</v>
      </c>
      <c r="H110" t="s">
        <v>98</v>
      </c>
      <c r="I110" t="s">
        <v>150</v>
      </c>
    </row>
    <row r="111" spans="1:9">
      <c r="A111" t="s">
        <v>523</v>
      </c>
      <c r="B111" t="s">
        <v>46</v>
      </c>
      <c r="C111" t="s">
        <v>98</v>
      </c>
      <c r="D111" t="s">
        <v>59</v>
      </c>
      <c r="E111" t="s">
        <v>124</v>
      </c>
      <c r="F111" t="s">
        <v>150</v>
      </c>
      <c r="G111" t="s">
        <v>33</v>
      </c>
      <c r="H111" t="s">
        <v>111</v>
      </c>
      <c r="I111" t="s">
        <v>176</v>
      </c>
    </row>
    <row r="112" spans="1:9">
      <c r="A112" t="s">
        <v>524</v>
      </c>
      <c r="B112" t="s">
        <v>59</v>
      </c>
      <c r="C112" t="s">
        <v>111</v>
      </c>
      <c r="D112" t="s">
        <v>124</v>
      </c>
      <c r="E112" t="s">
        <v>163</v>
      </c>
      <c r="F112" t="s">
        <v>46</v>
      </c>
      <c r="G112" t="s">
        <v>33</v>
      </c>
      <c r="H112" t="s">
        <v>98</v>
      </c>
      <c r="I112" t="s">
        <v>176</v>
      </c>
    </row>
    <row r="113" spans="1:9">
      <c r="A113" t="s">
        <v>525</v>
      </c>
      <c r="B113" t="s">
        <v>46</v>
      </c>
      <c r="C113" t="s">
        <v>98</v>
      </c>
      <c r="D113" t="s">
        <v>59</v>
      </c>
      <c r="E113" t="s">
        <v>163</v>
      </c>
      <c r="F113" t="s">
        <v>150</v>
      </c>
      <c r="G113" t="s">
        <v>33</v>
      </c>
      <c r="H113" t="s">
        <v>111</v>
      </c>
      <c r="I113" t="s">
        <v>137</v>
      </c>
    </row>
    <row r="114" spans="1:9">
      <c r="A114" t="s">
        <v>526</v>
      </c>
      <c r="B114" t="s">
        <v>46</v>
      </c>
      <c r="C114" t="s">
        <v>98</v>
      </c>
      <c r="D114" t="s">
        <v>59</v>
      </c>
      <c r="E114" t="s">
        <v>137</v>
      </c>
      <c r="F114" t="s">
        <v>150</v>
      </c>
      <c r="G114" t="s">
        <v>33</v>
      </c>
      <c r="H114" t="s">
        <v>111</v>
      </c>
      <c r="I114" t="s">
        <v>176</v>
      </c>
    </row>
    <row r="115" spans="1:9">
      <c r="A115" t="s">
        <v>527</v>
      </c>
      <c r="B115" t="s">
        <v>46</v>
      </c>
      <c r="C115" t="s">
        <v>59</v>
      </c>
      <c r="D115" t="s">
        <v>98</v>
      </c>
      <c r="E115" t="s">
        <v>163</v>
      </c>
      <c r="F115" t="s">
        <v>137</v>
      </c>
      <c r="G115" t="s">
        <v>33</v>
      </c>
      <c r="H115" t="s">
        <v>111</v>
      </c>
      <c r="I115" t="s">
        <v>176</v>
      </c>
    </row>
    <row r="116" spans="1:9">
      <c r="A116" t="s">
        <v>528</v>
      </c>
      <c r="B116" t="s">
        <v>46</v>
      </c>
      <c r="C116" t="s">
        <v>98</v>
      </c>
      <c r="D116" t="s">
        <v>59</v>
      </c>
      <c r="E116" t="s">
        <v>163</v>
      </c>
      <c r="F116" t="s">
        <v>150</v>
      </c>
      <c r="G116" t="s">
        <v>33</v>
      </c>
      <c r="H116" t="s">
        <v>111</v>
      </c>
      <c r="I116" t="s">
        <v>176</v>
      </c>
    </row>
    <row r="117" spans="1:9">
      <c r="A117" t="s">
        <v>529</v>
      </c>
      <c r="B117" t="s">
        <v>33</v>
      </c>
      <c r="C117" t="s">
        <v>59</v>
      </c>
      <c r="D117" t="s">
        <v>124</v>
      </c>
      <c r="E117" t="s">
        <v>163</v>
      </c>
      <c r="F117" t="s">
        <v>46</v>
      </c>
      <c r="G117" t="s">
        <v>150</v>
      </c>
      <c r="H117" t="s">
        <v>98</v>
      </c>
      <c r="I117" t="s">
        <v>137</v>
      </c>
    </row>
    <row r="118" spans="1:9">
      <c r="A118" t="s">
        <v>530</v>
      </c>
      <c r="B118" t="s">
        <v>33</v>
      </c>
      <c r="C118" t="s">
        <v>59</v>
      </c>
      <c r="D118" t="s">
        <v>98</v>
      </c>
      <c r="E118" t="s">
        <v>124</v>
      </c>
      <c r="F118" t="s">
        <v>46</v>
      </c>
      <c r="G118" t="s">
        <v>150</v>
      </c>
      <c r="H118" t="s">
        <v>137</v>
      </c>
      <c r="I118" t="s">
        <v>176</v>
      </c>
    </row>
    <row r="119" spans="1:9">
      <c r="A119" t="s">
        <v>531</v>
      </c>
      <c r="B119" t="s">
        <v>33</v>
      </c>
      <c r="C119" t="s">
        <v>59</v>
      </c>
      <c r="D119" t="s">
        <v>124</v>
      </c>
      <c r="E119" t="s">
        <v>163</v>
      </c>
      <c r="F119" t="s">
        <v>46</v>
      </c>
      <c r="G119" t="s">
        <v>137</v>
      </c>
      <c r="H119" t="s">
        <v>98</v>
      </c>
      <c r="I119" t="s">
        <v>176</v>
      </c>
    </row>
    <row r="120" spans="1:9">
      <c r="A120" t="s">
        <v>532</v>
      </c>
      <c r="B120" t="s">
        <v>33</v>
      </c>
      <c r="C120" t="s">
        <v>59</v>
      </c>
      <c r="D120" t="s">
        <v>124</v>
      </c>
      <c r="E120" t="s">
        <v>163</v>
      </c>
      <c r="F120" t="s">
        <v>46</v>
      </c>
      <c r="G120" t="s">
        <v>150</v>
      </c>
      <c r="H120" t="s">
        <v>98</v>
      </c>
      <c r="I120" t="s">
        <v>176</v>
      </c>
    </row>
    <row r="121" spans="1:9">
      <c r="A121" t="s">
        <v>533</v>
      </c>
      <c r="B121" t="s">
        <v>33</v>
      </c>
      <c r="C121" t="s">
        <v>59</v>
      </c>
      <c r="D121" t="s">
        <v>98</v>
      </c>
      <c r="E121" t="s">
        <v>163</v>
      </c>
      <c r="F121" t="s">
        <v>46</v>
      </c>
      <c r="G121" t="s">
        <v>150</v>
      </c>
      <c r="H121" t="s">
        <v>137</v>
      </c>
      <c r="I121" t="s">
        <v>176</v>
      </c>
    </row>
    <row r="122" spans="1:9">
      <c r="A122" t="s">
        <v>534</v>
      </c>
      <c r="B122" t="s">
        <v>33</v>
      </c>
      <c r="C122" t="s">
        <v>124</v>
      </c>
      <c r="D122" t="s">
        <v>59</v>
      </c>
      <c r="E122" t="s">
        <v>163</v>
      </c>
      <c r="F122" t="s">
        <v>46</v>
      </c>
      <c r="G122" t="s">
        <v>150</v>
      </c>
      <c r="H122" t="s">
        <v>111</v>
      </c>
      <c r="I122" t="s">
        <v>137</v>
      </c>
    </row>
    <row r="123" spans="1:9">
      <c r="A123" t="s">
        <v>535</v>
      </c>
      <c r="B123" t="s">
        <v>33</v>
      </c>
      <c r="C123" t="s">
        <v>59</v>
      </c>
      <c r="D123" t="s">
        <v>124</v>
      </c>
      <c r="E123" t="s">
        <v>137</v>
      </c>
      <c r="F123" t="s">
        <v>46</v>
      </c>
      <c r="G123" t="s">
        <v>150</v>
      </c>
      <c r="H123" t="s">
        <v>111</v>
      </c>
      <c r="I123" t="s">
        <v>176</v>
      </c>
    </row>
    <row r="124" spans="1:9">
      <c r="A124" t="s">
        <v>536</v>
      </c>
      <c r="B124" t="s">
        <v>33</v>
      </c>
      <c r="C124" t="s">
        <v>59</v>
      </c>
      <c r="D124" t="s">
        <v>137</v>
      </c>
      <c r="E124" t="s">
        <v>163</v>
      </c>
      <c r="F124" t="s">
        <v>46</v>
      </c>
      <c r="G124" t="s">
        <v>124</v>
      </c>
      <c r="H124" t="s">
        <v>111</v>
      </c>
      <c r="I124" t="s">
        <v>176</v>
      </c>
    </row>
    <row r="125" spans="1:9">
      <c r="A125" t="s">
        <v>537</v>
      </c>
      <c r="B125" t="s">
        <v>33</v>
      </c>
      <c r="C125" t="s">
        <v>124</v>
      </c>
      <c r="D125" t="s">
        <v>59</v>
      </c>
      <c r="E125" t="s">
        <v>163</v>
      </c>
      <c r="F125" t="s">
        <v>46</v>
      </c>
      <c r="G125" t="s">
        <v>150</v>
      </c>
      <c r="H125" t="s">
        <v>111</v>
      </c>
      <c r="I125" t="s">
        <v>176</v>
      </c>
    </row>
    <row r="126" spans="1:9">
      <c r="A126" t="s">
        <v>538</v>
      </c>
      <c r="B126" t="s">
        <v>33</v>
      </c>
      <c r="C126" t="s">
        <v>59</v>
      </c>
      <c r="D126" t="s">
        <v>137</v>
      </c>
      <c r="E126" t="s">
        <v>163</v>
      </c>
      <c r="F126" t="s">
        <v>46</v>
      </c>
      <c r="G126" t="s">
        <v>150</v>
      </c>
      <c r="H126" t="s">
        <v>111</v>
      </c>
      <c r="I126" t="s">
        <v>176</v>
      </c>
    </row>
    <row r="127" spans="1:9">
      <c r="A127" t="s">
        <v>539</v>
      </c>
      <c r="B127" t="s">
        <v>33</v>
      </c>
      <c r="C127" t="s">
        <v>59</v>
      </c>
      <c r="D127" t="s">
        <v>124</v>
      </c>
      <c r="E127" t="s">
        <v>163</v>
      </c>
      <c r="F127" t="s">
        <v>46</v>
      </c>
      <c r="G127" t="s">
        <v>150</v>
      </c>
      <c r="H127" t="s">
        <v>137</v>
      </c>
      <c r="I127" t="s">
        <v>176</v>
      </c>
    </row>
    <row r="128" spans="1:9">
      <c r="A128" t="s">
        <v>540</v>
      </c>
      <c r="B128" t="s">
        <v>33</v>
      </c>
      <c r="C128" t="s">
        <v>124</v>
      </c>
      <c r="D128" t="s">
        <v>98</v>
      </c>
      <c r="E128" t="s">
        <v>85</v>
      </c>
      <c r="F128" t="s">
        <v>46</v>
      </c>
      <c r="G128" t="s">
        <v>137</v>
      </c>
      <c r="H128" t="s">
        <v>111</v>
      </c>
      <c r="I128" t="s">
        <v>72</v>
      </c>
    </row>
    <row r="129" spans="1:9">
      <c r="A129" t="s">
        <v>541</v>
      </c>
      <c r="B129" t="s">
        <v>46</v>
      </c>
      <c r="C129" t="s">
        <v>98</v>
      </c>
      <c r="D129" t="s">
        <v>85</v>
      </c>
      <c r="E129" t="s">
        <v>124</v>
      </c>
      <c r="F129" t="s">
        <v>150</v>
      </c>
      <c r="G129" t="s">
        <v>33</v>
      </c>
      <c r="H129" t="s">
        <v>111</v>
      </c>
      <c r="I129" t="s">
        <v>72</v>
      </c>
    </row>
    <row r="130" spans="1:9">
      <c r="A130" t="s">
        <v>542</v>
      </c>
      <c r="B130" t="s">
        <v>98</v>
      </c>
      <c r="C130" t="s">
        <v>124</v>
      </c>
      <c r="D130" t="s">
        <v>85</v>
      </c>
      <c r="E130" t="s">
        <v>163</v>
      </c>
      <c r="F130" t="s">
        <v>46</v>
      </c>
      <c r="G130" t="s">
        <v>33</v>
      </c>
      <c r="H130" t="s">
        <v>111</v>
      </c>
      <c r="I130" t="s">
        <v>72</v>
      </c>
    </row>
    <row r="131" spans="1:9">
      <c r="A131" t="s">
        <v>543</v>
      </c>
      <c r="B131" t="s">
        <v>72</v>
      </c>
      <c r="C131" t="s">
        <v>124</v>
      </c>
      <c r="D131" t="s">
        <v>98</v>
      </c>
      <c r="E131" t="s">
        <v>85</v>
      </c>
      <c r="F131" t="s">
        <v>46</v>
      </c>
      <c r="G131" t="s">
        <v>33</v>
      </c>
      <c r="H131" t="s">
        <v>111</v>
      </c>
      <c r="I131" t="s">
        <v>176</v>
      </c>
    </row>
    <row r="132" spans="1:9">
      <c r="A132" t="s">
        <v>544</v>
      </c>
      <c r="B132" t="s">
        <v>98</v>
      </c>
      <c r="C132" t="s">
        <v>72</v>
      </c>
      <c r="D132" t="s">
        <v>85</v>
      </c>
      <c r="E132" t="s">
        <v>137</v>
      </c>
      <c r="F132" t="s">
        <v>46</v>
      </c>
      <c r="G132" t="s">
        <v>33</v>
      </c>
      <c r="H132" t="s">
        <v>111</v>
      </c>
      <c r="I132" t="s">
        <v>150</v>
      </c>
    </row>
    <row r="133" spans="1:9">
      <c r="A133" t="s">
        <v>545</v>
      </c>
      <c r="B133" t="s">
        <v>46</v>
      </c>
      <c r="C133" t="s">
        <v>72</v>
      </c>
      <c r="D133" t="s">
        <v>98</v>
      </c>
      <c r="E133" t="s">
        <v>163</v>
      </c>
      <c r="F133" t="s">
        <v>137</v>
      </c>
      <c r="G133" t="s">
        <v>33</v>
      </c>
      <c r="H133" t="s">
        <v>111</v>
      </c>
      <c r="I133" t="s">
        <v>85</v>
      </c>
    </row>
    <row r="134" spans="1:9">
      <c r="A134" t="s">
        <v>546</v>
      </c>
      <c r="B134" t="s">
        <v>46</v>
      </c>
      <c r="C134" t="s">
        <v>72</v>
      </c>
      <c r="D134" t="s">
        <v>98</v>
      </c>
      <c r="E134" t="s">
        <v>85</v>
      </c>
      <c r="F134" t="s">
        <v>137</v>
      </c>
      <c r="G134" t="s">
        <v>33</v>
      </c>
      <c r="H134" t="s">
        <v>111</v>
      </c>
      <c r="I134" t="s">
        <v>176</v>
      </c>
    </row>
    <row r="135" spans="1:9">
      <c r="A135" t="s">
        <v>547</v>
      </c>
      <c r="B135" t="s">
        <v>46</v>
      </c>
      <c r="C135" t="s">
        <v>98</v>
      </c>
      <c r="D135" t="s">
        <v>85</v>
      </c>
      <c r="E135" t="s">
        <v>163</v>
      </c>
      <c r="F135" t="s">
        <v>150</v>
      </c>
      <c r="G135" t="s">
        <v>33</v>
      </c>
      <c r="H135" t="s">
        <v>111</v>
      </c>
      <c r="I135" t="s">
        <v>72</v>
      </c>
    </row>
    <row r="136" spans="1:9">
      <c r="A136" t="s">
        <v>548</v>
      </c>
      <c r="B136" t="s">
        <v>72</v>
      </c>
      <c r="C136" t="s">
        <v>111</v>
      </c>
      <c r="D136" t="s">
        <v>85</v>
      </c>
      <c r="E136" t="s">
        <v>150</v>
      </c>
      <c r="F136" t="s">
        <v>46</v>
      </c>
      <c r="G136" t="s">
        <v>33</v>
      </c>
      <c r="H136" t="s">
        <v>98</v>
      </c>
      <c r="I136" t="s">
        <v>176</v>
      </c>
    </row>
    <row r="137" spans="1:9">
      <c r="A137" t="s">
        <v>549</v>
      </c>
      <c r="B137" t="s">
        <v>72</v>
      </c>
      <c r="C137" t="s">
        <v>111</v>
      </c>
      <c r="D137" t="s">
        <v>85</v>
      </c>
      <c r="E137" t="s">
        <v>163</v>
      </c>
      <c r="F137" t="s">
        <v>46</v>
      </c>
      <c r="G137" t="s">
        <v>33</v>
      </c>
      <c r="H137" t="s">
        <v>98</v>
      </c>
      <c r="I137" t="s">
        <v>176</v>
      </c>
    </row>
    <row r="138" spans="1:9">
      <c r="A138" t="s">
        <v>550</v>
      </c>
      <c r="B138" t="s">
        <v>33</v>
      </c>
      <c r="C138" t="s">
        <v>72</v>
      </c>
      <c r="D138" t="s">
        <v>98</v>
      </c>
      <c r="E138" t="s">
        <v>124</v>
      </c>
      <c r="F138" t="s">
        <v>46</v>
      </c>
      <c r="G138" t="s">
        <v>150</v>
      </c>
      <c r="H138" t="s">
        <v>137</v>
      </c>
      <c r="I138" t="s">
        <v>85</v>
      </c>
    </row>
    <row r="139" spans="1:9">
      <c r="A139" t="s">
        <v>551</v>
      </c>
      <c r="B139" t="s">
        <v>33</v>
      </c>
      <c r="C139" t="s">
        <v>72</v>
      </c>
      <c r="D139" t="s">
        <v>124</v>
      </c>
      <c r="E139" t="s">
        <v>163</v>
      </c>
      <c r="F139" t="s">
        <v>46</v>
      </c>
      <c r="G139" t="s">
        <v>137</v>
      </c>
      <c r="H139" t="s">
        <v>98</v>
      </c>
      <c r="I139" t="s">
        <v>85</v>
      </c>
    </row>
    <row r="140" spans="1:9">
      <c r="A140" t="s">
        <v>552</v>
      </c>
      <c r="B140" t="s">
        <v>33</v>
      </c>
      <c r="C140" t="s">
        <v>72</v>
      </c>
      <c r="D140" t="s">
        <v>124</v>
      </c>
      <c r="E140" t="s">
        <v>85</v>
      </c>
      <c r="F140" t="s">
        <v>46</v>
      </c>
      <c r="G140" t="s">
        <v>137</v>
      </c>
      <c r="H140" t="s">
        <v>98</v>
      </c>
      <c r="I140" t="s">
        <v>176</v>
      </c>
    </row>
    <row r="141" spans="1:9">
      <c r="A141" t="s">
        <v>553</v>
      </c>
      <c r="B141" t="s">
        <v>33</v>
      </c>
      <c r="C141" t="s">
        <v>72</v>
      </c>
      <c r="D141" t="s">
        <v>98</v>
      </c>
      <c r="E141" t="s">
        <v>163</v>
      </c>
      <c r="F141" t="s">
        <v>46</v>
      </c>
      <c r="G141" t="s">
        <v>124</v>
      </c>
      <c r="H141" t="s">
        <v>150</v>
      </c>
      <c r="I141" t="s">
        <v>85</v>
      </c>
    </row>
    <row r="142" spans="1:9">
      <c r="A142" t="s">
        <v>554</v>
      </c>
      <c r="B142" t="s">
        <v>46</v>
      </c>
      <c r="C142" t="s">
        <v>72</v>
      </c>
      <c r="D142" t="s">
        <v>85</v>
      </c>
      <c r="E142" t="s">
        <v>124</v>
      </c>
      <c r="F142" t="s">
        <v>150</v>
      </c>
      <c r="G142" t="s">
        <v>33</v>
      </c>
      <c r="H142" t="s">
        <v>98</v>
      </c>
      <c r="I142" t="s">
        <v>176</v>
      </c>
    </row>
    <row r="143" spans="1:9">
      <c r="A143" t="s">
        <v>555</v>
      </c>
      <c r="B143" t="s">
        <v>72</v>
      </c>
      <c r="C143" t="s">
        <v>124</v>
      </c>
      <c r="D143" t="s">
        <v>98</v>
      </c>
      <c r="E143" t="s">
        <v>163</v>
      </c>
      <c r="F143" t="s">
        <v>46</v>
      </c>
      <c r="G143" t="s">
        <v>33</v>
      </c>
      <c r="H143" t="s">
        <v>85</v>
      </c>
      <c r="I143" t="s">
        <v>176</v>
      </c>
    </row>
    <row r="144" spans="1:9">
      <c r="A144" t="s">
        <v>556</v>
      </c>
      <c r="B144" t="s">
        <v>46</v>
      </c>
      <c r="C144" t="s">
        <v>72</v>
      </c>
      <c r="D144" t="s">
        <v>85</v>
      </c>
      <c r="E144" t="s">
        <v>163</v>
      </c>
      <c r="F144" t="s">
        <v>150</v>
      </c>
      <c r="G144" t="s">
        <v>33</v>
      </c>
      <c r="H144" t="s">
        <v>98</v>
      </c>
      <c r="I144" t="s">
        <v>137</v>
      </c>
    </row>
    <row r="145" spans="1:9">
      <c r="A145" t="s">
        <v>557</v>
      </c>
      <c r="B145" t="s">
        <v>46</v>
      </c>
      <c r="C145" t="s">
        <v>72</v>
      </c>
      <c r="D145" t="s">
        <v>85</v>
      </c>
      <c r="E145" t="s">
        <v>137</v>
      </c>
      <c r="F145" t="s">
        <v>150</v>
      </c>
      <c r="G145" t="s">
        <v>33</v>
      </c>
      <c r="H145" t="s">
        <v>98</v>
      </c>
      <c r="I145" t="s">
        <v>176</v>
      </c>
    </row>
    <row r="146" spans="1:9">
      <c r="A146" t="s">
        <v>558</v>
      </c>
      <c r="B146" t="s">
        <v>46</v>
      </c>
      <c r="C146" t="s">
        <v>72</v>
      </c>
      <c r="D146" t="s">
        <v>85</v>
      </c>
      <c r="E146" t="s">
        <v>163</v>
      </c>
      <c r="F146" t="s">
        <v>137</v>
      </c>
      <c r="G146" t="s">
        <v>33</v>
      </c>
      <c r="H146" t="s">
        <v>98</v>
      </c>
      <c r="I146" t="s">
        <v>176</v>
      </c>
    </row>
    <row r="147" spans="1:9">
      <c r="A147" t="s">
        <v>559</v>
      </c>
      <c r="B147" t="s">
        <v>46</v>
      </c>
      <c r="C147" t="s">
        <v>72</v>
      </c>
      <c r="D147" t="s">
        <v>85</v>
      </c>
      <c r="E147" t="s">
        <v>163</v>
      </c>
      <c r="F147" t="s">
        <v>150</v>
      </c>
      <c r="G147" t="s">
        <v>33</v>
      </c>
      <c r="H147" t="s">
        <v>98</v>
      </c>
      <c r="I147" t="s">
        <v>176</v>
      </c>
    </row>
    <row r="148" spans="1:9">
      <c r="A148" t="s">
        <v>560</v>
      </c>
      <c r="B148" t="s">
        <v>33</v>
      </c>
      <c r="C148" t="s">
        <v>72</v>
      </c>
      <c r="D148" t="s">
        <v>85</v>
      </c>
      <c r="E148" t="s">
        <v>124</v>
      </c>
      <c r="F148" t="s">
        <v>46</v>
      </c>
      <c r="G148" t="s">
        <v>150</v>
      </c>
      <c r="H148" t="s">
        <v>111</v>
      </c>
      <c r="I148" t="s">
        <v>137</v>
      </c>
    </row>
    <row r="149" spans="1:9">
      <c r="A149" t="s">
        <v>561</v>
      </c>
      <c r="B149" t="s">
        <v>33</v>
      </c>
      <c r="C149" t="s">
        <v>72</v>
      </c>
      <c r="D149" t="s">
        <v>124</v>
      </c>
      <c r="E149" t="s">
        <v>163</v>
      </c>
      <c r="F149" t="s">
        <v>46</v>
      </c>
      <c r="G149" t="s">
        <v>137</v>
      </c>
      <c r="H149" t="s">
        <v>111</v>
      </c>
      <c r="I149" t="s">
        <v>85</v>
      </c>
    </row>
    <row r="150" spans="1:9">
      <c r="A150" t="s">
        <v>562</v>
      </c>
      <c r="B150" t="s">
        <v>33</v>
      </c>
      <c r="C150" t="s">
        <v>72</v>
      </c>
      <c r="D150" t="s">
        <v>85</v>
      </c>
      <c r="E150" t="s">
        <v>124</v>
      </c>
      <c r="F150" t="s">
        <v>46</v>
      </c>
      <c r="G150" t="s">
        <v>137</v>
      </c>
      <c r="H150" t="s">
        <v>111</v>
      </c>
      <c r="I150" t="s">
        <v>176</v>
      </c>
    </row>
    <row r="151" spans="1:9">
      <c r="A151" t="s">
        <v>563</v>
      </c>
      <c r="B151" t="s">
        <v>33</v>
      </c>
      <c r="C151" t="s">
        <v>124</v>
      </c>
      <c r="D151" t="s">
        <v>85</v>
      </c>
      <c r="E151" t="s">
        <v>163</v>
      </c>
      <c r="F151" t="s">
        <v>46</v>
      </c>
      <c r="G151" t="s">
        <v>150</v>
      </c>
      <c r="H151" t="s">
        <v>111</v>
      </c>
      <c r="I151" t="s">
        <v>72</v>
      </c>
    </row>
    <row r="152" spans="1:9">
      <c r="A152" t="s">
        <v>564</v>
      </c>
      <c r="B152" t="s">
        <v>33</v>
      </c>
      <c r="C152" t="s">
        <v>72</v>
      </c>
      <c r="D152" t="s">
        <v>85</v>
      </c>
      <c r="E152" t="s">
        <v>124</v>
      </c>
      <c r="F152" t="s">
        <v>46</v>
      </c>
      <c r="G152" t="s">
        <v>150</v>
      </c>
      <c r="H152" t="s">
        <v>111</v>
      </c>
      <c r="I152" t="s">
        <v>176</v>
      </c>
    </row>
    <row r="153" spans="1:9">
      <c r="A153" t="s">
        <v>565</v>
      </c>
      <c r="B153" t="s">
        <v>72</v>
      </c>
      <c r="C153" t="s">
        <v>124</v>
      </c>
      <c r="D153" t="s">
        <v>85</v>
      </c>
      <c r="E153" t="s">
        <v>163</v>
      </c>
      <c r="F153" t="s">
        <v>46</v>
      </c>
      <c r="G153" t="s">
        <v>33</v>
      </c>
      <c r="H153" t="s">
        <v>111</v>
      </c>
      <c r="I153" t="s">
        <v>176</v>
      </c>
    </row>
    <row r="154" spans="1:9">
      <c r="A154" t="s">
        <v>566</v>
      </c>
      <c r="B154" t="s">
        <v>33</v>
      </c>
      <c r="C154" t="s">
        <v>72</v>
      </c>
      <c r="D154" t="s">
        <v>85</v>
      </c>
      <c r="E154" t="s">
        <v>163</v>
      </c>
      <c r="F154" t="s">
        <v>46</v>
      </c>
      <c r="G154" t="s">
        <v>150</v>
      </c>
      <c r="H154" t="s">
        <v>111</v>
      </c>
      <c r="I154" t="s">
        <v>137</v>
      </c>
    </row>
    <row r="155" spans="1:9">
      <c r="A155" t="s">
        <v>567</v>
      </c>
      <c r="B155" t="s">
        <v>33</v>
      </c>
      <c r="C155" t="s">
        <v>72</v>
      </c>
      <c r="D155" t="s">
        <v>85</v>
      </c>
      <c r="E155" t="s">
        <v>137</v>
      </c>
      <c r="F155" t="s">
        <v>46</v>
      </c>
      <c r="G155" t="s">
        <v>150</v>
      </c>
      <c r="H155" t="s">
        <v>111</v>
      </c>
      <c r="I155" t="s">
        <v>176</v>
      </c>
    </row>
    <row r="156" spans="1:9">
      <c r="A156" t="s">
        <v>568</v>
      </c>
      <c r="B156" t="s">
        <v>33</v>
      </c>
      <c r="C156" t="s">
        <v>72</v>
      </c>
      <c r="D156" t="s">
        <v>85</v>
      </c>
      <c r="E156" t="s">
        <v>163</v>
      </c>
      <c r="F156" t="s">
        <v>46</v>
      </c>
      <c r="G156" t="s">
        <v>137</v>
      </c>
      <c r="H156" t="s">
        <v>111</v>
      </c>
      <c r="I156" t="s">
        <v>176</v>
      </c>
    </row>
    <row r="157" spans="1:9">
      <c r="A157" t="s">
        <v>569</v>
      </c>
      <c r="B157" t="s">
        <v>33</v>
      </c>
      <c r="C157" t="s">
        <v>72</v>
      </c>
      <c r="D157" t="s">
        <v>85</v>
      </c>
      <c r="E157" t="s">
        <v>163</v>
      </c>
      <c r="F157" t="s">
        <v>46</v>
      </c>
      <c r="G157" t="s">
        <v>150</v>
      </c>
      <c r="H157" t="s">
        <v>111</v>
      </c>
      <c r="I157" t="s">
        <v>176</v>
      </c>
    </row>
    <row r="158" spans="1:9">
      <c r="A158" t="s">
        <v>570</v>
      </c>
      <c r="B158" t="s">
        <v>33</v>
      </c>
      <c r="C158" t="s">
        <v>72</v>
      </c>
      <c r="D158" t="s">
        <v>85</v>
      </c>
      <c r="E158" t="s">
        <v>163</v>
      </c>
      <c r="F158" t="s">
        <v>46</v>
      </c>
      <c r="G158" t="s">
        <v>124</v>
      </c>
      <c r="H158" t="s">
        <v>137</v>
      </c>
      <c r="I158" t="s">
        <v>150</v>
      </c>
    </row>
    <row r="159" spans="1:9">
      <c r="A159" t="s">
        <v>571</v>
      </c>
      <c r="B159" t="s">
        <v>33</v>
      </c>
      <c r="C159" t="s">
        <v>72</v>
      </c>
      <c r="D159" t="s">
        <v>85</v>
      </c>
      <c r="E159" t="s">
        <v>124</v>
      </c>
      <c r="F159" t="s">
        <v>46</v>
      </c>
      <c r="G159" t="s">
        <v>150</v>
      </c>
      <c r="H159" t="s">
        <v>137</v>
      </c>
      <c r="I159" t="s">
        <v>176</v>
      </c>
    </row>
    <row r="160" spans="1:9">
      <c r="A160" t="s">
        <v>572</v>
      </c>
      <c r="B160" t="s">
        <v>33</v>
      </c>
      <c r="C160" t="s">
        <v>72</v>
      </c>
      <c r="D160" t="s">
        <v>124</v>
      </c>
      <c r="E160" t="s">
        <v>163</v>
      </c>
      <c r="F160" t="s">
        <v>46</v>
      </c>
      <c r="G160" t="s">
        <v>137</v>
      </c>
      <c r="H160" t="s">
        <v>85</v>
      </c>
      <c r="I160" t="s">
        <v>176</v>
      </c>
    </row>
    <row r="161" spans="1:9">
      <c r="A161" t="s">
        <v>573</v>
      </c>
      <c r="B161" t="s">
        <v>33</v>
      </c>
      <c r="C161" t="s">
        <v>72</v>
      </c>
      <c r="D161" t="s">
        <v>85</v>
      </c>
      <c r="E161" t="s">
        <v>163</v>
      </c>
      <c r="F161" t="s">
        <v>46</v>
      </c>
      <c r="G161" t="s">
        <v>124</v>
      </c>
      <c r="H161" t="s">
        <v>150</v>
      </c>
      <c r="I161" t="s">
        <v>176</v>
      </c>
    </row>
    <row r="162" spans="1:9">
      <c r="A162" t="s">
        <v>574</v>
      </c>
      <c r="B162" t="s">
        <v>33</v>
      </c>
      <c r="C162" t="s">
        <v>72</v>
      </c>
      <c r="D162" t="s">
        <v>85</v>
      </c>
      <c r="E162" t="s">
        <v>163</v>
      </c>
      <c r="F162" t="s">
        <v>46</v>
      </c>
      <c r="G162" t="s">
        <v>150</v>
      </c>
      <c r="H162" t="s">
        <v>137</v>
      </c>
      <c r="I162" t="s">
        <v>176</v>
      </c>
    </row>
    <row r="163" spans="1:9">
      <c r="A163" t="s">
        <v>575</v>
      </c>
      <c r="B163" t="s">
        <v>33</v>
      </c>
      <c r="C163" t="s">
        <v>72</v>
      </c>
      <c r="D163" t="s">
        <v>98</v>
      </c>
      <c r="E163" t="s">
        <v>124</v>
      </c>
      <c r="F163" t="s">
        <v>46</v>
      </c>
      <c r="G163" t="s">
        <v>150</v>
      </c>
      <c r="H163" t="s">
        <v>111</v>
      </c>
      <c r="I163" t="s">
        <v>137</v>
      </c>
    </row>
    <row r="164" spans="1:9">
      <c r="A164" t="s">
        <v>576</v>
      </c>
      <c r="B164" t="s">
        <v>33</v>
      </c>
      <c r="C164" t="s">
        <v>124</v>
      </c>
      <c r="D164" t="s">
        <v>98</v>
      </c>
      <c r="E164" t="s">
        <v>163</v>
      </c>
      <c r="F164" t="s">
        <v>46</v>
      </c>
      <c r="G164" t="s">
        <v>137</v>
      </c>
      <c r="H164" t="s">
        <v>111</v>
      </c>
      <c r="I164" t="s">
        <v>72</v>
      </c>
    </row>
    <row r="165" spans="1:9">
      <c r="A165" t="s">
        <v>577</v>
      </c>
      <c r="B165" t="s">
        <v>72</v>
      </c>
      <c r="C165" t="s">
        <v>111</v>
      </c>
      <c r="D165" t="s">
        <v>98</v>
      </c>
      <c r="E165" t="s">
        <v>124</v>
      </c>
      <c r="F165" t="s">
        <v>46</v>
      </c>
      <c r="G165" t="s">
        <v>33</v>
      </c>
      <c r="H165" t="s">
        <v>137</v>
      </c>
      <c r="I165" t="s">
        <v>176</v>
      </c>
    </row>
    <row r="166" spans="1:9">
      <c r="A166" t="s">
        <v>578</v>
      </c>
      <c r="B166" t="s">
        <v>33</v>
      </c>
      <c r="C166" t="s">
        <v>124</v>
      </c>
      <c r="D166" t="s">
        <v>98</v>
      </c>
      <c r="E166" t="s">
        <v>163</v>
      </c>
      <c r="F166" t="s">
        <v>46</v>
      </c>
      <c r="G166" t="s">
        <v>150</v>
      </c>
      <c r="H166" t="s">
        <v>111</v>
      </c>
      <c r="I166" t="s">
        <v>72</v>
      </c>
    </row>
    <row r="167" spans="1:9">
      <c r="A167" t="s">
        <v>579</v>
      </c>
      <c r="B167" t="s">
        <v>33</v>
      </c>
      <c r="C167" t="s">
        <v>72</v>
      </c>
      <c r="D167" t="s">
        <v>98</v>
      </c>
      <c r="E167" t="s">
        <v>124</v>
      </c>
      <c r="F167" t="s">
        <v>46</v>
      </c>
      <c r="G167" t="s">
        <v>150</v>
      </c>
      <c r="H167" t="s">
        <v>111</v>
      </c>
      <c r="I167" t="s">
        <v>176</v>
      </c>
    </row>
    <row r="168" spans="1:9">
      <c r="A168" t="s">
        <v>580</v>
      </c>
      <c r="B168" t="s">
        <v>72</v>
      </c>
      <c r="C168" t="s">
        <v>124</v>
      </c>
      <c r="D168" t="s">
        <v>98</v>
      </c>
      <c r="E168" t="s">
        <v>163</v>
      </c>
      <c r="F168" t="s">
        <v>46</v>
      </c>
      <c r="G168" t="s">
        <v>33</v>
      </c>
      <c r="H168" t="s">
        <v>111</v>
      </c>
      <c r="I168" t="s">
        <v>176</v>
      </c>
    </row>
    <row r="169" spans="1:9">
      <c r="A169" t="s">
        <v>581</v>
      </c>
      <c r="B169" t="s">
        <v>33</v>
      </c>
      <c r="C169" t="s">
        <v>72</v>
      </c>
      <c r="D169" t="s">
        <v>98</v>
      </c>
      <c r="E169" t="s">
        <v>163</v>
      </c>
      <c r="F169" t="s">
        <v>46</v>
      </c>
      <c r="G169" t="s">
        <v>150</v>
      </c>
      <c r="H169" t="s">
        <v>111</v>
      </c>
      <c r="I169" t="s">
        <v>137</v>
      </c>
    </row>
    <row r="170" spans="1:9">
      <c r="A170" t="s">
        <v>582</v>
      </c>
      <c r="B170" t="s">
        <v>46</v>
      </c>
      <c r="C170" t="s">
        <v>72</v>
      </c>
      <c r="D170" t="s">
        <v>98</v>
      </c>
      <c r="E170" t="s">
        <v>137</v>
      </c>
      <c r="F170" t="s">
        <v>150</v>
      </c>
      <c r="G170" t="s">
        <v>33</v>
      </c>
      <c r="H170" t="s">
        <v>111</v>
      </c>
      <c r="I170" t="s">
        <v>176</v>
      </c>
    </row>
    <row r="171" spans="1:9">
      <c r="A171" t="s">
        <v>583</v>
      </c>
      <c r="B171" t="s">
        <v>46</v>
      </c>
      <c r="C171" t="s">
        <v>72</v>
      </c>
      <c r="D171" t="s">
        <v>98</v>
      </c>
      <c r="E171" t="s">
        <v>163</v>
      </c>
      <c r="F171" t="s">
        <v>137</v>
      </c>
      <c r="G171" t="s">
        <v>33</v>
      </c>
      <c r="H171" t="s">
        <v>111</v>
      </c>
      <c r="I171" t="s">
        <v>176</v>
      </c>
    </row>
    <row r="172" spans="1:9">
      <c r="A172" t="s">
        <v>584</v>
      </c>
      <c r="B172" t="s">
        <v>46</v>
      </c>
      <c r="C172" t="s">
        <v>72</v>
      </c>
      <c r="D172" t="s">
        <v>98</v>
      </c>
      <c r="E172" t="s">
        <v>163</v>
      </c>
      <c r="F172" t="s">
        <v>150</v>
      </c>
      <c r="G172" t="s">
        <v>33</v>
      </c>
      <c r="H172" t="s">
        <v>111</v>
      </c>
      <c r="I172" t="s">
        <v>176</v>
      </c>
    </row>
    <row r="173" spans="1:9">
      <c r="A173" t="s">
        <v>585</v>
      </c>
      <c r="B173" t="s">
        <v>33</v>
      </c>
      <c r="C173" t="s">
        <v>72</v>
      </c>
      <c r="D173" t="s">
        <v>98</v>
      </c>
      <c r="E173" t="s">
        <v>163</v>
      </c>
      <c r="F173" t="s">
        <v>46</v>
      </c>
      <c r="G173" t="s">
        <v>124</v>
      </c>
      <c r="H173" t="s">
        <v>150</v>
      </c>
      <c r="I173" t="s">
        <v>137</v>
      </c>
    </row>
    <row r="174" spans="1:9">
      <c r="A174" t="s">
        <v>586</v>
      </c>
      <c r="B174" t="s">
        <v>33</v>
      </c>
      <c r="C174" t="s">
        <v>72</v>
      </c>
      <c r="D174" t="s">
        <v>98</v>
      </c>
      <c r="E174" t="s">
        <v>124</v>
      </c>
      <c r="F174" t="s">
        <v>46</v>
      </c>
      <c r="G174" t="s">
        <v>150</v>
      </c>
      <c r="H174" t="s">
        <v>137</v>
      </c>
      <c r="I174" t="s">
        <v>176</v>
      </c>
    </row>
    <row r="175" spans="1:9">
      <c r="A175" t="s">
        <v>587</v>
      </c>
      <c r="B175" t="s">
        <v>33</v>
      </c>
      <c r="C175" t="s">
        <v>72</v>
      </c>
      <c r="D175" t="s">
        <v>124</v>
      </c>
      <c r="E175" t="s">
        <v>163</v>
      </c>
      <c r="F175" t="s">
        <v>46</v>
      </c>
      <c r="G175" t="s">
        <v>137</v>
      </c>
      <c r="H175" t="s">
        <v>98</v>
      </c>
      <c r="I175" t="s">
        <v>176</v>
      </c>
    </row>
    <row r="176" spans="1:9">
      <c r="A176" t="s">
        <v>588</v>
      </c>
      <c r="B176" t="s">
        <v>33</v>
      </c>
      <c r="C176" t="s">
        <v>72</v>
      </c>
      <c r="D176" t="s">
        <v>98</v>
      </c>
      <c r="E176" t="s">
        <v>163</v>
      </c>
      <c r="F176" t="s">
        <v>46</v>
      </c>
      <c r="G176" t="s">
        <v>124</v>
      </c>
      <c r="H176" t="s">
        <v>150</v>
      </c>
      <c r="I176" t="s">
        <v>176</v>
      </c>
    </row>
    <row r="177" spans="1:9">
      <c r="A177" t="s">
        <v>589</v>
      </c>
      <c r="B177" t="s">
        <v>33</v>
      </c>
      <c r="C177" t="s">
        <v>72</v>
      </c>
      <c r="D177" t="s">
        <v>98</v>
      </c>
      <c r="E177" t="s">
        <v>163</v>
      </c>
      <c r="F177" t="s">
        <v>46</v>
      </c>
      <c r="G177" t="s">
        <v>150</v>
      </c>
      <c r="H177" t="s">
        <v>137</v>
      </c>
      <c r="I177" t="s">
        <v>176</v>
      </c>
    </row>
    <row r="178" spans="1:9">
      <c r="A178" t="s">
        <v>590</v>
      </c>
      <c r="B178" t="s">
        <v>33</v>
      </c>
      <c r="C178" t="s">
        <v>72</v>
      </c>
      <c r="D178" t="s">
        <v>124</v>
      </c>
      <c r="E178" t="s">
        <v>163</v>
      </c>
      <c r="F178" t="s">
        <v>46</v>
      </c>
      <c r="G178" t="s">
        <v>150</v>
      </c>
      <c r="H178" t="s">
        <v>111</v>
      </c>
      <c r="I178" t="s">
        <v>137</v>
      </c>
    </row>
    <row r="179" spans="1:9">
      <c r="A179" t="s">
        <v>591</v>
      </c>
      <c r="B179" t="s">
        <v>33</v>
      </c>
      <c r="C179" t="s">
        <v>72</v>
      </c>
      <c r="D179" t="s">
        <v>124</v>
      </c>
      <c r="E179" t="s">
        <v>137</v>
      </c>
      <c r="F179" t="s">
        <v>46</v>
      </c>
      <c r="G179" t="s">
        <v>150</v>
      </c>
      <c r="H179" t="s">
        <v>111</v>
      </c>
      <c r="I179" t="s">
        <v>176</v>
      </c>
    </row>
    <row r="180" spans="1:9">
      <c r="A180" t="s">
        <v>592</v>
      </c>
      <c r="B180" t="s">
        <v>33</v>
      </c>
      <c r="C180" t="s">
        <v>72</v>
      </c>
      <c r="D180" t="s">
        <v>124</v>
      </c>
      <c r="E180" t="s">
        <v>163</v>
      </c>
      <c r="F180" t="s">
        <v>46</v>
      </c>
      <c r="G180" t="s">
        <v>137</v>
      </c>
      <c r="H180" t="s">
        <v>111</v>
      </c>
      <c r="I180" t="s">
        <v>176</v>
      </c>
    </row>
    <row r="181" spans="1:9">
      <c r="A181" t="s">
        <v>593</v>
      </c>
      <c r="B181" t="s">
        <v>33</v>
      </c>
      <c r="C181" t="s">
        <v>72</v>
      </c>
      <c r="D181" t="s">
        <v>124</v>
      </c>
      <c r="E181" t="s">
        <v>163</v>
      </c>
      <c r="F181" t="s">
        <v>46</v>
      </c>
      <c r="G181" t="s">
        <v>150</v>
      </c>
      <c r="H181" t="s">
        <v>111</v>
      </c>
      <c r="I181" t="s">
        <v>176</v>
      </c>
    </row>
    <row r="182" spans="1:9">
      <c r="A182" t="s">
        <v>594</v>
      </c>
      <c r="B182" t="s">
        <v>33</v>
      </c>
      <c r="C182" t="s">
        <v>72</v>
      </c>
      <c r="D182" t="s">
        <v>137</v>
      </c>
      <c r="E182" t="s">
        <v>163</v>
      </c>
      <c r="F182" t="s">
        <v>46</v>
      </c>
      <c r="G182" t="s">
        <v>150</v>
      </c>
      <c r="H182" t="s">
        <v>111</v>
      </c>
      <c r="I182" t="s">
        <v>176</v>
      </c>
    </row>
    <row r="183" spans="1:9">
      <c r="A183" t="s">
        <v>595</v>
      </c>
      <c r="B183" t="s">
        <v>33</v>
      </c>
      <c r="C183" t="s">
        <v>72</v>
      </c>
      <c r="D183" t="s">
        <v>124</v>
      </c>
      <c r="E183" t="s">
        <v>163</v>
      </c>
      <c r="F183" t="s">
        <v>46</v>
      </c>
      <c r="G183" t="s">
        <v>150</v>
      </c>
      <c r="H183" t="s">
        <v>137</v>
      </c>
      <c r="I183" t="s">
        <v>176</v>
      </c>
    </row>
    <row r="184" spans="1:9">
      <c r="A184" t="s">
        <v>596</v>
      </c>
      <c r="B184" t="s">
        <v>33</v>
      </c>
      <c r="C184" t="s">
        <v>98</v>
      </c>
      <c r="D184" t="s">
        <v>124</v>
      </c>
      <c r="E184" t="s">
        <v>137</v>
      </c>
      <c r="F184" t="s">
        <v>46</v>
      </c>
      <c r="G184" t="s">
        <v>150</v>
      </c>
      <c r="H184" t="s">
        <v>111</v>
      </c>
      <c r="I184" t="s">
        <v>85</v>
      </c>
    </row>
    <row r="185" spans="1:9">
      <c r="A185" t="s">
        <v>597</v>
      </c>
      <c r="B185" t="s">
        <v>33</v>
      </c>
      <c r="C185" t="s">
        <v>98</v>
      </c>
      <c r="D185" t="s">
        <v>137</v>
      </c>
      <c r="E185" t="s">
        <v>163</v>
      </c>
      <c r="F185" t="s">
        <v>46</v>
      </c>
      <c r="G185" t="s">
        <v>124</v>
      </c>
      <c r="H185" t="s">
        <v>111</v>
      </c>
      <c r="I185" t="s">
        <v>85</v>
      </c>
    </row>
    <row r="186" spans="1:9">
      <c r="A186" t="s">
        <v>598</v>
      </c>
      <c r="B186" t="s">
        <v>33</v>
      </c>
      <c r="C186" t="s">
        <v>98</v>
      </c>
      <c r="D186" t="s">
        <v>137</v>
      </c>
      <c r="E186" t="s">
        <v>85</v>
      </c>
      <c r="F186" t="s">
        <v>46</v>
      </c>
      <c r="G186" t="s">
        <v>124</v>
      </c>
      <c r="H186" t="s">
        <v>111</v>
      </c>
      <c r="I186" t="s">
        <v>176</v>
      </c>
    </row>
    <row r="187" spans="1:9">
      <c r="A187" t="s">
        <v>599</v>
      </c>
      <c r="B187" t="s">
        <v>33</v>
      </c>
      <c r="C187" t="s">
        <v>111</v>
      </c>
      <c r="D187" t="s">
        <v>98</v>
      </c>
      <c r="E187" t="s">
        <v>163</v>
      </c>
      <c r="F187" t="s">
        <v>46</v>
      </c>
      <c r="G187" t="s">
        <v>124</v>
      </c>
      <c r="H187" t="s">
        <v>150</v>
      </c>
      <c r="I187" t="s">
        <v>85</v>
      </c>
    </row>
    <row r="188" spans="1:9">
      <c r="A188" t="s">
        <v>600</v>
      </c>
      <c r="B188" t="s">
        <v>33</v>
      </c>
      <c r="C188" t="s">
        <v>98</v>
      </c>
      <c r="D188" t="s">
        <v>85</v>
      </c>
      <c r="E188" t="s">
        <v>124</v>
      </c>
      <c r="F188" t="s">
        <v>46</v>
      </c>
      <c r="G188" t="s">
        <v>150</v>
      </c>
      <c r="H188" t="s">
        <v>111</v>
      </c>
      <c r="I188" t="s">
        <v>176</v>
      </c>
    </row>
    <row r="189" spans="1:9">
      <c r="A189" t="s">
        <v>601</v>
      </c>
      <c r="B189" t="s">
        <v>33</v>
      </c>
      <c r="C189" t="s">
        <v>124</v>
      </c>
      <c r="D189" t="s">
        <v>98</v>
      </c>
      <c r="E189" t="s">
        <v>163</v>
      </c>
      <c r="F189" t="s">
        <v>46</v>
      </c>
      <c r="G189" t="s">
        <v>85</v>
      </c>
      <c r="H189" t="s">
        <v>111</v>
      </c>
      <c r="I189" t="s">
        <v>176</v>
      </c>
    </row>
    <row r="190" spans="1:9">
      <c r="A190" t="s">
        <v>602</v>
      </c>
      <c r="B190" t="s">
        <v>33</v>
      </c>
      <c r="C190" t="s">
        <v>98</v>
      </c>
      <c r="D190" t="s">
        <v>85</v>
      </c>
      <c r="E190" t="s">
        <v>163</v>
      </c>
      <c r="F190" t="s">
        <v>46</v>
      </c>
      <c r="G190" t="s">
        <v>150</v>
      </c>
      <c r="H190" t="s">
        <v>111</v>
      </c>
      <c r="I190" t="s">
        <v>137</v>
      </c>
    </row>
    <row r="191" spans="1:9">
      <c r="A191" t="s">
        <v>603</v>
      </c>
      <c r="B191" t="s">
        <v>33</v>
      </c>
      <c r="C191" t="s">
        <v>98</v>
      </c>
      <c r="D191" t="s">
        <v>85</v>
      </c>
      <c r="E191" t="s">
        <v>137</v>
      </c>
      <c r="F191" t="s">
        <v>46</v>
      </c>
      <c r="G191" t="s">
        <v>150</v>
      </c>
      <c r="H191" t="s">
        <v>111</v>
      </c>
      <c r="I191" t="s">
        <v>176</v>
      </c>
    </row>
    <row r="192" spans="1:9">
      <c r="A192" t="s">
        <v>604</v>
      </c>
      <c r="B192" t="s">
        <v>33</v>
      </c>
      <c r="C192" t="s">
        <v>98</v>
      </c>
      <c r="D192" t="s">
        <v>85</v>
      </c>
      <c r="E192" t="s">
        <v>163</v>
      </c>
      <c r="F192" t="s">
        <v>46</v>
      </c>
      <c r="G192" t="s">
        <v>137</v>
      </c>
      <c r="H192" t="s">
        <v>111</v>
      </c>
      <c r="I192" t="s">
        <v>176</v>
      </c>
    </row>
    <row r="193" spans="1:9">
      <c r="A193" t="s">
        <v>605</v>
      </c>
      <c r="B193" t="s">
        <v>33</v>
      </c>
      <c r="C193" t="s">
        <v>98</v>
      </c>
      <c r="D193" t="s">
        <v>85</v>
      </c>
      <c r="E193" t="s">
        <v>163</v>
      </c>
      <c r="F193" t="s">
        <v>46</v>
      </c>
      <c r="G193" t="s">
        <v>150</v>
      </c>
      <c r="H193" t="s">
        <v>111</v>
      </c>
      <c r="I193" t="s">
        <v>176</v>
      </c>
    </row>
    <row r="194" spans="1:9">
      <c r="A194" t="s">
        <v>606</v>
      </c>
      <c r="B194" t="s">
        <v>33</v>
      </c>
      <c r="C194" t="s">
        <v>98</v>
      </c>
      <c r="D194" t="s">
        <v>124</v>
      </c>
      <c r="E194" t="s">
        <v>163</v>
      </c>
      <c r="F194" t="s">
        <v>46</v>
      </c>
      <c r="G194" t="s">
        <v>150</v>
      </c>
      <c r="H194" t="s">
        <v>137</v>
      </c>
      <c r="I194" t="s">
        <v>85</v>
      </c>
    </row>
    <row r="195" spans="1:9">
      <c r="A195" t="s">
        <v>607</v>
      </c>
      <c r="B195" t="s">
        <v>33</v>
      </c>
      <c r="C195" t="s">
        <v>98</v>
      </c>
      <c r="D195" t="s">
        <v>85</v>
      </c>
      <c r="E195" t="s">
        <v>124</v>
      </c>
      <c r="F195" t="s">
        <v>46</v>
      </c>
      <c r="G195" t="s">
        <v>150</v>
      </c>
      <c r="H195" t="s">
        <v>137</v>
      </c>
      <c r="I195" t="s">
        <v>176</v>
      </c>
    </row>
    <row r="196" spans="1:9">
      <c r="A196" t="s">
        <v>608</v>
      </c>
      <c r="B196" t="s">
        <v>33</v>
      </c>
      <c r="C196" t="s">
        <v>98</v>
      </c>
      <c r="D196" t="s">
        <v>124</v>
      </c>
      <c r="E196" t="s">
        <v>163</v>
      </c>
      <c r="F196" t="s">
        <v>46</v>
      </c>
      <c r="G196" t="s">
        <v>137</v>
      </c>
      <c r="H196" t="s">
        <v>85</v>
      </c>
      <c r="I196" t="s">
        <v>176</v>
      </c>
    </row>
    <row r="197" spans="1:9">
      <c r="A197" t="s">
        <v>609</v>
      </c>
      <c r="B197" t="s">
        <v>33</v>
      </c>
      <c r="C197" t="s">
        <v>98</v>
      </c>
      <c r="D197" t="s">
        <v>85</v>
      </c>
      <c r="E197" t="s">
        <v>163</v>
      </c>
      <c r="F197" t="s">
        <v>46</v>
      </c>
      <c r="G197" t="s">
        <v>124</v>
      </c>
      <c r="H197" t="s">
        <v>150</v>
      </c>
      <c r="I197" t="s">
        <v>176</v>
      </c>
    </row>
    <row r="198" spans="1:9">
      <c r="A198" t="s">
        <v>610</v>
      </c>
      <c r="B198" t="s">
        <v>33</v>
      </c>
      <c r="C198" t="s">
        <v>98</v>
      </c>
      <c r="D198" t="s">
        <v>85</v>
      </c>
      <c r="E198" t="s">
        <v>163</v>
      </c>
      <c r="F198" t="s">
        <v>46</v>
      </c>
      <c r="G198" t="s">
        <v>150</v>
      </c>
      <c r="H198" t="s">
        <v>137</v>
      </c>
      <c r="I198" t="s">
        <v>176</v>
      </c>
    </row>
    <row r="199" spans="1:9">
      <c r="A199" t="s">
        <v>611</v>
      </c>
      <c r="B199" t="s">
        <v>33</v>
      </c>
      <c r="C199" t="s">
        <v>111</v>
      </c>
      <c r="D199" t="s">
        <v>85</v>
      </c>
      <c r="E199" t="s">
        <v>163</v>
      </c>
      <c r="F199" t="s">
        <v>46</v>
      </c>
      <c r="G199" t="s">
        <v>124</v>
      </c>
      <c r="H199" t="s">
        <v>150</v>
      </c>
      <c r="I199" t="s">
        <v>137</v>
      </c>
    </row>
    <row r="200" spans="1:9">
      <c r="A200" t="s">
        <v>612</v>
      </c>
      <c r="B200" t="s">
        <v>33</v>
      </c>
      <c r="C200" t="s">
        <v>111</v>
      </c>
      <c r="D200" t="s">
        <v>85</v>
      </c>
      <c r="E200" t="s">
        <v>124</v>
      </c>
      <c r="F200" t="s">
        <v>46</v>
      </c>
      <c r="G200" t="s">
        <v>150</v>
      </c>
      <c r="H200" t="s">
        <v>137</v>
      </c>
      <c r="I200" t="s">
        <v>176</v>
      </c>
    </row>
    <row r="201" spans="1:9">
      <c r="A201" t="s">
        <v>613</v>
      </c>
      <c r="B201" t="s">
        <v>33</v>
      </c>
      <c r="C201" t="s">
        <v>111</v>
      </c>
      <c r="D201" t="s">
        <v>124</v>
      </c>
      <c r="E201" t="s">
        <v>163</v>
      </c>
      <c r="F201" t="s">
        <v>46</v>
      </c>
      <c r="G201" t="s">
        <v>137</v>
      </c>
      <c r="H201" t="s">
        <v>85</v>
      </c>
      <c r="I201" t="s">
        <v>176</v>
      </c>
    </row>
    <row r="202" spans="1:9">
      <c r="A202" t="s">
        <v>614</v>
      </c>
      <c r="B202" t="s">
        <v>33</v>
      </c>
      <c r="C202" t="s">
        <v>111</v>
      </c>
      <c r="D202" t="s">
        <v>85</v>
      </c>
      <c r="E202" t="s">
        <v>163</v>
      </c>
      <c r="F202" t="s">
        <v>46</v>
      </c>
      <c r="G202" t="s">
        <v>124</v>
      </c>
      <c r="H202" t="s">
        <v>150</v>
      </c>
      <c r="I202" t="s">
        <v>176</v>
      </c>
    </row>
    <row r="203" spans="1:9">
      <c r="A203" t="s">
        <v>615</v>
      </c>
      <c r="B203" t="s">
        <v>33</v>
      </c>
      <c r="C203" t="s">
        <v>111</v>
      </c>
      <c r="D203" t="s">
        <v>85</v>
      </c>
      <c r="E203" t="s">
        <v>163</v>
      </c>
      <c r="F203" t="s">
        <v>46</v>
      </c>
      <c r="G203" t="s">
        <v>150</v>
      </c>
      <c r="H203" t="s">
        <v>137</v>
      </c>
      <c r="I203" t="s">
        <v>176</v>
      </c>
    </row>
    <row r="204" spans="1:9">
      <c r="A204" t="s">
        <v>616</v>
      </c>
      <c r="B204" t="s">
        <v>33</v>
      </c>
      <c r="C204" t="s">
        <v>124</v>
      </c>
      <c r="D204" t="s">
        <v>85</v>
      </c>
      <c r="E204" t="s">
        <v>163</v>
      </c>
      <c r="F204" t="s">
        <v>46</v>
      </c>
      <c r="G204" t="s">
        <v>150</v>
      </c>
      <c r="H204" t="s">
        <v>137</v>
      </c>
      <c r="I204" t="s">
        <v>176</v>
      </c>
    </row>
    <row r="205" spans="1:9">
      <c r="A205" t="s">
        <v>617</v>
      </c>
      <c r="B205" t="s">
        <v>33</v>
      </c>
      <c r="C205" t="s">
        <v>111</v>
      </c>
      <c r="D205" t="s">
        <v>98</v>
      </c>
      <c r="E205" t="s">
        <v>163</v>
      </c>
      <c r="F205" t="s">
        <v>46</v>
      </c>
      <c r="G205" t="s">
        <v>124</v>
      </c>
      <c r="H205" t="s">
        <v>150</v>
      </c>
      <c r="I205" t="s">
        <v>137</v>
      </c>
    </row>
    <row r="206" spans="1:9">
      <c r="A206" t="s">
        <v>618</v>
      </c>
      <c r="B206" t="s">
        <v>33</v>
      </c>
      <c r="C206" t="s">
        <v>98</v>
      </c>
      <c r="D206" t="s">
        <v>124</v>
      </c>
      <c r="E206" t="s">
        <v>137</v>
      </c>
      <c r="F206" t="s">
        <v>46</v>
      </c>
      <c r="G206" t="s">
        <v>150</v>
      </c>
      <c r="H206" t="s">
        <v>111</v>
      </c>
      <c r="I206" t="s">
        <v>176</v>
      </c>
    </row>
    <row r="207" spans="1:9">
      <c r="A207" t="s">
        <v>619</v>
      </c>
      <c r="B207" t="s">
        <v>33</v>
      </c>
      <c r="C207" t="s">
        <v>98</v>
      </c>
      <c r="D207" t="s">
        <v>137</v>
      </c>
      <c r="E207" t="s">
        <v>163</v>
      </c>
      <c r="F207" t="s">
        <v>46</v>
      </c>
      <c r="G207" t="s">
        <v>124</v>
      </c>
      <c r="H207" t="s">
        <v>111</v>
      </c>
      <c r="I207" t="s">
        <v>176</v>
      </c>
    </row>
    <row r="208" spans="1:9">
      <c r="A208" t="s">
        <v>620</v>
      </c>
      <c r="B208" t="s">
        <v>33</v>
      </c>
      <c r="C208" t="s">
        <v>111</v>
      </c>
      <c r="D208" t="s">
        <v>98</v>
      </c>
      <c r="E208" t="s">
        <v>163</v>
      </c>
      <c r="F208" t="s">
        <v>46</v>
      </c>
      <c r="G208" t="s">
        <v>124</v>
      </c>
      <c r="H208" t="s">
        <v>150</v>
      </c>
      <c r="I208" t="s">
        <v>176</v>
      </c>
    </row>
    <row r="209" spans="1:9">
      <c r="A209" t="s">
        <v>621</v>
      </c>
      <c r="B209" t="s">
        <v>33</v>
      </c>
      <c r="C209" t="s">
        <v>98</v>
      </c>
      <c r="D209" t="s">
        <v>137</v>
      </c>
      <c r="E209" t="s">
        <v>163</v>
      </c>
      <c r="F209" t="s">
        <v>46</v>
      </c>
      <c r="G209" t="s">
        <v>150</v>
      </c>
      <c r="H209" t="s">
        <v>111</v>
      </c>
      <c r="I209" t="s">
        <v>176</v>
      </c>
    </row>
    <row r="210" spans="1:9">
      <c r="A210" t="s">
        <v>622</v>
      </c>
      <c r="B210" t="s">
        <v>33</v>
      </c>
      <c r="C210" t="s">
        <v>98</v>
      </c>
      <c r="D210" t="s">
        <v>124</v>
      </c>
      <c r="E210" t="s">
        <v>163</v>
      </c>
      <c r="F210" t="s">
        <v>46</v>
      </c>
      <c r="G210" t="s">
        <v>150</v>
      </c>
      <c r="H210" t="s">
        <v>137</v>
      </c>
      <c r="I210" t="s">
        <v>176</v>
      </c>
    </row>
    <row r="211" spans="1:9">
      <c r="A211" t="s">
        <v>623</v>
      </c>
      <c r="B211" t="s">
        <v>33</v>
      </c>
      <c r="C211" t="s">
        <v>111</v>
      </c>
      <c r="D211" t="s">
        <v>124</v>
      </c>
      <c r="E211" t="s">
        <v>163</v>
      </c>
      <c r="F211" t="s">
        <v>46</v>
      </c>
      <c r="G211" t="s">
        <v>150</v>
      </c>
      <c r="H211" t="s">
        <v>137</v>
      </c>
      <c r="I211" t="s">
        <v>176</v>
      </c>
    </row>
    <row r="212" spans="1:9">
      <c r="A212" t="s">
        <v>624</v>
      </c>
      <c r="B212" t="s">
        <v>33</v>
      </c>
      <c r="C212" t="s">
        <v>59</v>
      </c>
      <c r="D212" t="s">
        <v>137</v>
      </c>
      <c r="E212" t="s">
        <v>85</v>
      </c>
      <c r="F212" t="s">
        <v>98</v>
      </c>
      <c r="G212" t="s">
        <v>124</v>
      </c>
      <c r="H212" t="s">
        <v>111</v>
      </c>
      <c r="I212" t="s">
        <v>72</v>
      </c>
    </row>
    <row r="213" spans="1:9">
      <c r="A213" t="s">
        <v>625</v>
      </c>
      <c r="B213" t="s">
        <v>33</v>
      </c>
      <c r="C213" t="s">
        <v>124</v>
      </c>
      <c r="D213" t="s">
        <v>59</v>
      </c>
      <c r="E213" t="s">
        <v>85</v>
      </c>
      <c r="F213" t="s">
        <v>98</v>
      </c>
      <c r="G213" t="s">
        <v>150</v>
      </c>
      <c r="H213" t="s">
        <v>111</v>
      </c>
      <c r="I213" t="s">
        <v>72</v>
      </c>
    </row>
    <row r="214" spans="1:9">
      <c r="A214" t="s">
        <v>626</v>
      </c>
      <c r="B214" t="s">
        <v>59</v>
      </c>
      <c r="C214" t="s">
        <v>111</v>
      </c>
      <c r="D214" t="s">
        <v>124</v>
      </c>
      <c r="E214" t="s">
        <v>163</v>
      </c>
      <c r="F214" t="s">
        <v>85</v>
      </c>
      <c r="G214" t="s">
        <v>33</v>
      </c>
      <c r="H214" t="s">
        <v>98</v>
      </c>
      <c r="I214" t="s">
        <v>72</v>
      </c>
    </row>
    <row r="215" spans="1:9">
      <c r="A215" t="s">
        <v>627</v>
      </c>
      <c r="B215" t="s">
        <v>72</v>
      </c>
      <c r="C215" t="s">
        <v>124</v>
      </c>
      <c r="D215" t="s">
        <v>59</v>
      </c>
      <c r="E215" t="s">
        <v>85</v>
      </c>
      <c r="F215" t="s">
        <v>98</v>
      </c>
      <c r="G215" t="s">
        <v>33</v>
      </c>
      <c r="H215" t="s">
        <v>111</v>
      </c>
      <c r="I215" t="s">
        <v>176</v>
      </c>
    </row>
    <row r="216" spans="1:9">
      <c r="A216" t="s">
        <v>628</v>
      </c>
      <c r="B216" t="s">
        <v>33</v>
      </c>
      <c r="C216" t="s">
        <v>72</v>
      </c>
      <c r="D216" t="s">
        <v>59</v>
      </c>
      <c r="E216" t="s">
        <v>85</v>
      </c>
      <c r="F216" t="s">
        <v>98</v>
      </c>
      <c r="G216" t="s">
        <v>137</v>
      </c>
      <c r="H216" t="s">
        <v>111</v>
      </c>
      <c r="I216" t="s">
        <v>150</v>
      </c>
    </row>
    <row r="217" spans="1:9">
      <c r="A217" t="s">
        <v>629</v>
      </c>
      <c r="B217" t="s">
        <v>59</v>
      </c>
      <c r="C217" t="s">
        <v>111</v>
      </c>
      <c r="D217" t="s">
        <v>98</v>
      </c>
      <c r="E217" t="s">
        <v>163</v>
      </c>
      <c r="F217" t="s">
        <v>85</v>
      </c>
      <c r="G217" t="s">
        <v>33</v>
      </c>
      <c r="H217" t="s">
        <v>137</v>
      </c>
      <c r="I217" t="s">
        <v>72</v>
      </c>
    </row>
    <row r="218" spans="1:9">
      <c r="A218" t="s">
        <v>630</v>
      </c>
      <c r="B218" t="s">
        <v>72</v>
      </c>
      <c r="C218" t="s">
        <v>111</v>
      </c>
      <c r="D218" t="s">
        <v>59</v>
      </c>
      <c r="E218" t="s">
        <v>85</v>
      </c>
      <c r="F218" t="s">
        <v>98</v>
      </c>
      <c r="G218" t="s">
        <v>33</v>
      </c>
      <c r="H218" t="s">
        <v>137</v>
      </c>
      <c r="I218" t="s">
        <v>176</v>
      </c>
    </row>
    <row r="219" spans="1:9">
      <c r="A219" t="s">
        <v>631</v>
      </c>
      <c r="B219" t="s">
        <v>98</v>
      </c>
      <c r="C219" t="s">
        <v>111</v>
      </c>
      <c r="D219" t="s">
        <v>59</v>
      </c>
      <c r="E219" t="s">
        <v>163</v>
      </c>
      <c r="F219" t="s">
        <v>85</v>
      </c>
      <c r="G219" t="s">
        <v>33</v>
      </c>
      <c r="H219" t="s">
        <v>150</v>
      </c>
      <c r="I219" t="s">
        <v>72</v>
      </c>
    </row>
    <row r="220" spans="1:9">
      <c r="A220" t="s">
        <v>632</v>
      </c>
      <c r="B220" t="s">
        <v>72</v>
      </c>
      <c r="C220" t="s">
        <v>111</v>
      </c>
      <c r="D220" t="s">
        <v>59</v>
      </c>
      <c r="E220" t="s">
        <v>85</v>
      </c>
      <c r="F220" t="s">
        <v>98</v>
      </c>
      <c r="G220" t="s">
        <v>33</v>
      </c>
      <c r="H220" t="s">
        <v>150</v>
      </c>
      <c r="I220" t="s">
        <v>176</v>
      </c>
    </row>
    <row r="221" spans="1:9">
      <c r="A221" t="s">
        <v>633</v>
      </c>
      <c r="B221" t="s">
        <v>72</v>
      </c>
      <c r="C221" t="s">
        <v>111</v>
      </c>
      <c r="D221" t="s">
        <v>59</v>
      </c>
      <c r="E221" t="s">
        <v>163</v>
      </c>
      <c r="F221" t="s">
        <v>85</v>
      </c>
      <c r="G221" t="s">
        <v>33</v>
      </c>
      <c r="H221" t="s">
        <v>98</v>
      </c>
      <c r="I221" t="s">
        <v>176</v>
      </c>
    </row>
    <row r="222" spans="1:9">
      <c r="A222" t="s">
        <v>634</v>
      </c>
      <c r="B222" t="s">
        <v>33</v>
      </c>
      <c r="C222" t="s">
        <v>59</v>
      </c>
      <c r="D222" t="s">
        <v>124</v>
      </c>
      <c r="E222" t="s">
        <v>85</v>
      </c>
      <c r="F222" t="s">
        <v>98</v>
      </c>
      <c r="G222" t="s">
        <v>150</v>
      </c>
      <c r="H222" t="s">
        <v>137</v>
      </c>
      <c r="I222" t="s">
        <v>72</v>
      </c>
    </row>
    <row r="223" spans="1:9">
      <c r="A223" t="s">
        <v>635</v>
      </c>
      <c r="B223" t="s">
        <v>33</v>
      </c>
      <c r="C223" t="s">
        <v>59</v>
      </c>
      <c r="D223" t="s">
        <v>137</v>
      </c>
      <c r="E223" t="s">
        <v>163</v>
      </c>
      <c r="F223" t="s">
        <v>85</v>
      </c>
      <c r="G223" t="s">
        <v>124</v>
      </c>
      <c r="H223" t="s">
        <v>98</v>
      </c>
      <c r="I223" t="s">
        <v>72</v>
      </c>
    </row>
    <row r="224" spans="1:9">
      <c r="A224" t="s">
        <v>636</v>
      </c>
      <c r="B224" t="s">
        <v>72</v>
      </c>
      <c r="C224" t="s">
        <v>124</v>
      </c>
      <c r="D224" t="s">
        <v>59</v>
      </c>
      <c r="E224" t="s">
        <v>85</v>
      </c>
      <c r="F224" t="s">
        <v>98</v>
      </c>
      <c r="G224" t="s">
        <v>33</v>
      </c>
      <c r="H224" t="s">
        <v>137</v>
      </c>
      <c r="I224" t="s">
        <v>176</v>
      </c>
    </row>
    <row r="225" spans="1:9">
      <c r="A225" t="s">
        <v>637</v>
      </c>
      <c r="B225" t="s">
        <v>33</v>
      </c>
      <c r="C225" t="s">
        <v>124</v>
      </c>
      <c r="D225" t="s">
        <v>59</v>
      </c>
      <c r="E225" t="s">
        <v>163</v>
      </c>
      <c r="F225" t="s">
        <v>85</v>
      </c>
      <c r="G225" t="s">
        <v>150</v>
      </c>
      <c r="H225" t="s">
        <v>98</v>
      </c>
      <c r="I225" t="s">
        <v>72</v>
      </c>
    </row>
    <row r="226" spans="1:9">
      <c r="A226" t="s">
        <v>638</v>
      </c>
      <c r="B226" t="s">
        <v>72</v>
      </c>
      <c r="C226" t="s">
        <v>124</v>
      </c>
      <c r="D226" t="s">
        <v>59</v>
      </c>
      <c r="E226" t="s">
        <v>85</v>
      </c>
      <c r="F226" t="s">
        <v>98</v>
      </c>
      <c r="G226" t="s">
        <v>33</v>
      </c>
      <c r="H226" t="s">
        <v>150</v>
      </c>
      <c r="I226" t="s">
        <v>176</v>
      </c>
    </row>
    <row r="227" spans="1:9">
      <c r="A227" t="s">
        <v>639</v>
      </c>
      <c r="B227" t="s">
        <v>72</v>
      </c>
      <c r="C227" t="s">
        <v>124</v>
      </c>
      <c r="D227" t="s">
        <v>59</v>
      </c>
      <c r="E227" t="s">
        <v>163</v>
      </c>
      <c r="F227" t="s">
        <v>85</v>
      </c>
      <c r="G227" t="s">
        <v>33</v>
      </c>
      <c r="H227" t="s">
        <v>98</v>
      </c>
      <c r="I227" t="s">
        <v>176</v>
      </c>
    </row>
    <row r="228" spans="1:9">
      <c r="A228" t="s">
        <v>640</v>
      </c>
      <c r="B228" t="s">
        <v>33</v>
      </c>
      <c r="C228" t="s">
        <v>59</v>
      </c>
      <c r="D228" t="s">
        <v>85</v>
      </c>
      <c r="E228" t="s">
        <v>163</v>
      </c>
      <c r="F228" t="s">
        <v>98</v>
      </c>
      <c r="G228" t="s">
        <v>137</v>
      </c>
      <c r="H228" t="s">
        <v>150</v>
      </c>
      <c r="I228" t="s">
        <v>72</v>
      </c>
    </row>
    <row r="229" spans="1:9">
      <c r="A229" t="s">
        <v>641</v>
      </c>
      <c r="B229" t="s">
        <v>72</v>
      </c>
      <c r="C229" t="s">
        <v>59</v>
      </c>
      <c r="D229" t="s">
        <v>98</v>
      </c>
      <c r="E229" t="s">
        <v>85</v>
      </c>
      <c r="F229" t="s">
        <v>137</v>
      </c>
      <c r="G229" t="s">
        <v>33</v>
      </c>
      <c r="H229" t="s">
        <v>150</v>
      </c>
      <c r="I229" t="s">
        <v>176</v>
      </c>
    </row>
    <row r="230" spans="1:9">
      <c r="A230" t="s">
        <v>642</v>
      </c>
      <c r="B230" t="s">
        <v>72</v>
      </c>
      <c r="C230" t="s">
        <v>59</v>
      </c>
      <c r="D230" t="s">
        <v>137</v>
      </c>
      <c r="E230" t="s">
        <v>163</v>
      </c>
      <c r="F230" t="s">
        <v>85</v>
      </c>
      <c r="G230" t="s">
        <v>33</v>
      </c>
      <c r="H230" t="s">
        <v>98</v>
      </c>
      <c r="I230" t="s">
        <v>176</v>
      </c>
    </row>
    <row r="231" spans="1:9">
      <c r="A231" t="s">
        <v>643</v>
      </c>
      <c r="B231" t="s">
        <v>72</v>
      </c>
      <c r="C231" t="s">
        <v>59</v>
      </c>
      <c r="D231" t="s">
        <v>85</v>
      </c>
      <c r="E231" t="s">
        <v>163</v>
      </c>
      <c r="F231" t="s">
        <v>98</v>
      </c>
      <c r="G231" t="s">
        <v>33</v>
      </c>
      <c r="H231" t="s">
        <v>150</v>
      </c>
      <c r="I231" t="s">
        <v>176</v>
      </c>
    </row>
    <row r="232" spans="1:9">
      <c r="A232" t="s">
        <v>644</v>
      </c>
      <c r="B232" t="s">
        <v>33</v>
      </c>
      <c r="C232" t="s">
        <v>72</v>
      </c>
      <c r="D232" t="s">
        <v>59</v>
      </c>
      <c r="E232" t="s">
        <v>124</v>
      </c>
      <c r="F232" t="s">
        <v>85</v>
      </c>
      <c r="G232" t="s">
        <v>137</v>
      </c>
      <c r="H232" t="s">
        <v>111</v>
      </c>
      <c r="I232" t="s">
        <v>150</v>
      </c>
    </row>
    <row r="233" spans="1:9">
      <c r="A233" t="s">
        <v>645</v>
      </c>
      <c r="B233" t="s">
        <v>33</v>
      </c>
      <c r="C233" t="s">
        <v>59</v>
      </c>
      <c r="D233" t="s">
        <v>137</v>
      </c>
      <c r="E233" t="s">
        <v>163</v>
      </c>
      <c r="F233" t="s">
        <v>85</v>
      </c>
      <c r="G233" t="s">
        <v>124</v>
      </c>
      <c r="H233" t="s">
        <v>111</v>
      </c>
      <c r="I233" t="s">
        <v>72</v>
      </c>
    </row>
    <row r="234" spans="1:9">
      <c r="A234" t="s">
        <v>646</v>
      </c>
      <c r="B234" t="s">
        <v>33</v>
      </c>
      <c r="C234" t="s">
        <v>72</v>
      </c>
      <c r="D234" t="s">
        <v>59</v>
      </c>
      <c r="E234" t="s">
        <v>124</v>
      </c>
      <c r="F234" t="s">
        <v>85</v>
      </c>
      <c r="G234" t="s">
        <v>137</v>
      </c>
      <c r="H234" t="s">
        <v>111</v>
      </c>
      <c r="I234" t="s">
        <v>176</v>
      </c>
    </row>
    <row r="235" spans="1:9">
      <c r="A235" t="s">
        <v>647</v>
      </c>
      <c r="B235" t="s">
        <v>33</v>
      </c>
      <c r="C235" t="s">
        <v>124</v>
      </c>
      <c r="D235" t="s">
        <v>59</v>
      </c>
      <c r="E235" t="s">
        <v>163</v>
      </c>
      <c r="F235" t="s">
        <v>85</v>
      </c>
      <c r="G235" t="s">
        <v>150</v>
      </c>
      <c r="H235" t="s">
        <v>111</v>
      </c>
      <c r="I235" t="s">
        <v>72</v>
      </c>
    </row>
    <row r="236" spans="1:9">
      <c r="A236" t="s">
        <v>648</v>
      </c>
      <c r="B236" t="s">
        <v>33</v>
      </c>
      <c r="C236" t="s">
        <v>72</v>
      </c>
      <c r="D236" t="s">
        <v>59</v>
      </c>
      <c r="E236" t="s">
        <v>124</v>
      </c>
      <c r="F236" t="s">
        <v>85</v>
      </c>
      <c r="G236" t="s">
        <v>150</v>
      </c>
      <c r="H236" t="s">
        <v>111</v>
      </c>
      <c r="I236" t="s">
        <v>176</v>
      </c>
    </row>
    <row r="237" spans="1:9">
      <c r="A237" t="s">
        <v>649</v>
      </c>
      <c r="B237" t="s">
        <v>72</v>
      </c>
      <c r="C237" t="s">
        <v>124</v>
      </c>
      <c r="D237" t="s">
        <v>59</v>
      </c>
      <c r="E237" t="s">
        <v>163</v>
      </c>
      <c r="F237" t="s">
        <v>85</v>
      </c>
      <c r="G237" t="s">
        <v>33</v>
      </c>
      <c r="H237" t="s">
        <v>111</v>
      </c>
      <c r="I237" t="s">
        <v>176</v>
      </c>
    </row>
    <row r="238" spans="1:9">
      <c r="A238" t="s">
        <v>650</v>
      </c>
      <c r="B238" t="s">
        <v>33</v>
      </c>
      <c r="C238" t="s">
        <v>59</v>
      </c>
      <c r="D238" t="s">
        <v>85</v>
      </c>
      <c r="E238" t="s">
        <v>163</v>
      </c>
      <c r="F238" t="s">
        <v>137</v>
      </c>
      <c r="G238" t="s">
        <v>150</v>
      </c>
      <c r="H238" t="s">
        <v>111</v>
      </c>
      <c r="I238" t="s">
        <v>72</v>
      </c>
    </row>
    <row r="239" spans="1:9">
      <c r="A239" t="s">
        <v>651</v>
      </c>
      <c r="B239" t="s">
        <v>33</v>
      </c>
      <c r="C239" t="s">
        <v>72</v>
      </c>
      <c r="D239" t="s">
        <v>59</v>
      </c>
      <c r="E239" t="s">
        <v>85</v>
      </c>
      <c r="F239" t="s">
        <v>137</v>
      </c>
      <c r="G239" t="s">
        <v>150</v>
      </c>
      <c r="H239" t="s">
        <v>111</v>
      </c>
      <c r="I239" t="s">
        <v>176</v>
      </c>
    </row>
    <row r="240" spans="1:9">
      <c r="A240" t="s">
        <v>652</v>
      </c>
      <c r="B240" t="s">
        <v>72</v>
      </c>
      <c r="C240" t="s">
        <v>111</v>
      </c>
      <c r="D240" t="s">
        <v>59</v>
      </c>
      <c r="E240" t="s">
        <v>163</v>
      </c>
      <c r="F240" t="s">
        <v>85</v>
      </c>
      <c r="G240" t="s">
        <v>33</v>
      </c>
      <c r="H240" t="s">
        <v>137</v>
      </c>
      <c r="I240" t="s">
        <v>176</v>
      </c>
    </row>
    <row r="241" spans="1:9">
      <c r="A241" t="s">
        <v>653</v>
      </c>
      <c r="B241" t="s">
        <v>33</v>
      </c>
      <c r="C241" t="s">
        <v>72</v>
      </c>
      <c r="D241" t="s">
        <v>59</v>
      </c>
      <c r="E241" t="s">
        <v>163</v>
      </c>
      <c r="F241" t="s">
        <v>85</v>
      </c>
      <c r="G241" t="s">
        <v>150</v>
      </c>
      <c r="H241" t="s">
        <v>111</v>
      </c>
      <c r="I241" t="s">
        <v>176</v>
      </c>
    </row>
    <row r="242" spans="1:9">
      <c r="A242" t="s">
        <v>654</v>
      </c>
      <c r="B242" t="s">
        <v>33</v>
      </c>
      <c r="C242" t="s">
        <v>59</v>
      </c>
      <c r="D242" t="s">
        <v>124</v>
      </c>
      <c r="E242" t="s">
        <v>163</v>
      </c>
      <c r="F242" t="s">
        <v>85</v>
      </c>
      <c r="G242" t="s">
        <v>150</v>
      </c>
      <c r="H242" t="s">
        <v>137</v>
      </c>
      <c r="I242" t="s">
        <v>72</v>
      </c>
    </row>
    <row r="243" spans="1:9">
      <c r="A243" t="s">
        <v>655</v>
      </c>
      <c r="B243" t="s">
        <v>33</v>
      </c>
      <c r="C243" t="s">
        <v>72</v>
      </c>
      <c r="D243" t="s">
        <v>59</v>
      </c>
      <c r="E243" t="s">
        <v>124</v>
      </c>
      <c r="F243" t="s">
        <v>85</v>
      </c>
      <c r="G243" t="s">
        <v>150</v>
      </c>
      <c r="H243" t="s">
        <v>137</v>
      </c>
      <c r="I243" t="s">
        <v>176</v>
      </c>
    </row>
    <row r="244" spans="1:9">
      <c r="A244" t="s">
        <v>656</v>
      </c>
      <c r="B244" t="s">
        <v>72</v>
      </c>
      <c r="C244" t="s">
        <v>124</v>
      </c>
      <c r="D244" t="s">
        <v>59</v>
      </c>
      <c r="E244" t="s">
        <v>163</v>
      </c>
      <c r="F244" t="s">
        <v>85</v>
      </c>
      <c r="G244" t="s">
        <v>33</v>
      </c>
      <c r="H244" t="s">
        <v>137</v>
      </c>
      <c r="I244" t="s">
        <v>176</v>
      </c>
    </row>
    <row r="245" spans="1:9">
      <c r="A245" t="s">
        <v>657</v>
      </c>
      <c r="B245" t="s">
        <v>72</v>
      </c>
      <c r="C245" t="s">
        <v>124</v>
      </c>
      <c r="D245" t="s">
        <v>59</v>
      </c>
      <c r="E245" t="s">
        <v>163</v>
      </c>
      <c r="F245" t="s">
        <v>85</v>
      </c>
      <c r="G245" t="s">
        <v>33</v>
      </c>
      <c r="H245" t="s">
        <v>150</v>
      </c>
      <c r="I245" t="s">
        <v>176</v>
      </c>
    </row>
    <row r="246" spans="1:9">
      <c r="A246" t="s">
        <v>658</v>
      </c>
      <c r="B246" t="s">
        <v>72</v>
      </c>
      <c r="C246" t="s">
        <v>59</v>
      </c>
      <c r="D246" t="s">
        <v>85</v>
      </c>
      <c r="E246" t="s">
        <v>163</v>
      </c>
      <c r="F246" t="s">
        <v>137</v>
      </c>
      <c r="G246" t="s">
        <v>33</v>
      </c>
      <c r="H246" t="s">
        <v>150</v>
      </c>
      <c r="I246" t="s">
        <v>176</v>
      </c>
    </row>
    <row r="247" spans="1:9">
      <c r="A247" t="s">
        <v>659</v>
      </c>
      <c r="B247" t="s">
        <v>33</v>
      </c>
      <c r="C247" t="s">
        <v>72</v>
      </c>
      <c r="D247" t="s">
        <v>59</v>
      </c>
      <c r="E247" t="s">
        <v>124</v>
      </c>
      <c r="F247" t="s">
        <v>98</v>
      </c>
      <c r="G247" t="s">
        <v>137</v>
      </c>
      <c r="H247" t="s">
        <v>111</v>
      </c>
      <c r="I247" t="s">
        <v>150</v>
      </c>
    </row>
    <row r="248" spans="1:9">
      <c r="A248" t="s">
        <v>660</v>
      </c>
      <c r="B248" t="s">
        <v>33</v>
      </c>
      <c r="C248" t="s">
        <v>59</v>
      </c>
      <c r="D248" t="s">
        <v>137</v>
      </c>
      <c r="E248" t="s">
        <v>163</v>
      </c>
      <c r="F248" t="s">
        <v>98</v>
      </c>
      <c r="G248" t="s">
        <v>124</v>
      </c>
      <c r="H248" t="s">
        <v>111</v>
      </c>
      <c r="I248" t="s">
        <v>72</v>
      </c>
    </row>
    <row r="249" spans="1:9">
      <c r="A249" t="s">
        <v>661</v>
      </c>
      <c r="B249" t="s">
        <v>59</v>
      </c>
      <c r="C249" t="s">
        <v>72</v>
      </c>
      <c r="D249" t="s">
        <v>137</v>
      </c>
      <c r="E249" t="s">
        <v>124</v>
      </c>
      <c r="F249" t="s">
        <v>98</v>
      </c>
      <c r="G249" t="s">
        <v>33</v>
      </c>
      <c r="H249" t="s">
        <v>111</v>
      </c>
      <c r="I249" t="s">
        <v>176</v>
      </c>
    </row>
    <row r="250" spans="1:9">
      <c r="A250" t="s">
        <v>662</v>
      </c>
      <c r="B250" t="s">
        <v>33</v>
      </c>
      <c r="C250" t="s">
        <v>124</v>
      </c>
      <c r="D250" t="s">
        <v>59</v>
      </c>
      <c r="E250" t="s">
        <v>163</v>
      </c>
      <c r="F250" t="s">
        <v>98</v>
      </c>
      <c r="G250" t="s">
        <v>150</v>
      </c>
      <c r="H250" t="s">
        <v>111</v>
      </c>
      <c r="I250" t="s">
        <v>72</v>
      </c>
    </row>
    <row r="251" spans="1:9">
      <c r="A251" t="s">
        <v>663</v>
      </c>
      <c r="B251" t="s">
        <v>72</v>
      </c>
      <c r="C251" t="s">
        <v>111</v>
      </c>
      <c r="D251" t="s">
        <v>59</v>
      </c>
      <c r="E251" t="s">
        <v>124</v>
      </c>
      <c r="F251" t="s">
        <v>98</v>
      </c>
      <c r="G251" t="s">
        <v>33</v>
      </c>
      <c r="H251" t="s">
        <v>150</v>
      </c>
      <c r="I251" t="s">
        <v>176</v>
      </c>
    </row>
    <row r="252" spans="1:9">
      <c r="A252" t="s">
        <v>664</v>
      </c>
      <c r="B252" t="s">
        <v>72</v>
      </c>
      <c r="C252" t="s">
        <v>124</v>
      </c>
      <c r="D252" t="s">
        <v>59</v>
      </c>
      <c r="E252" t="s">
        <v>163</v>
      </c>
      <c r="F252" t="s">
        <v>98</v>
      </c>
      <c r="G252" t="s">
        <v>33</v>
      </c>
      <c r="H252" t="s">
        <v>111</v>
      </c>
      <c r="I252" t="s">
        <v>176</v>
      </c>
    </row>
    <row r="253" spans="1:9">
      <c r="A253" t="s">
        <v>665</v>
      </c>
      <c r="B253" t="s">
        <v>33</v>
      </c>
      <c r="C253" t="s">
        <v>72</v>
      </c>
      <c r="D253" t="s">
        <v>59</v>
      </c>
      <c r="E253" t="s">
        <v>163</v>
      </c>
      <c r="F253" t="s">
        <v>98</v>
      </c>
      <c r="G253" t="s">
        <v>137</v>
      </c>
      <c r="H253" t="s">
        <v>111</v>
      </c>
      <c r="I253" t="s">
        <v>150</v>
      </c>
    </row>
    <row r="254" spans="1:9">
      <c r="A254" t="s">
        <v>666</v>
      </c>
      <c r="B254" t="s">
        <v>72</v>
      </c>
      <c r="C254" t="s">
        <v>111</v>
      </c>
      <c r="D254" t="s">
        <v>59</v>
      </c>
      <c r="E254" t="s">
        <v>137</v>
      </c>
      <c r="F254" t="s">
        <v>98</v>
      </c>
      <c r="G254" t="s">
        <v>33</v>
      </c>
      <c r="H254" t="s">
        <v>150</v>
      </c>
      <c r="I254" t="s">
        <v>176</v>
      </c>
    </row>
    <row r="255" spans="1:9">
      <c r="A255" t="s">
        <v>667</v>
      </c>
      <c r="B255" t="s">
        <v>72</v>
      </c>
      <c r="C255" t="s">
        <v>111</v>
      </c>
      <c r="D255" t="s">
        <v>59</v>
      </c>
      <c r="E255" t="s">
        <v>163</v>
      </c>
      <c r="F255" t="s">
        <v>98</v>
      </c>
      <c r="G255" t="s">
        <v>33</v>
      </c>
      <c r="H255" t="s">
        <v>137</v>
      </c>
      <c r="I255" t="s">
        <v>176</v>
      </c>
    </row>
    <row r="256" spans="1:9">
      <c r="A256" t="s">
        <v>668</v>
      </c>
      <c r="B256" t="s">
        <v>72</v>
      </c>
      <c r="C256" t="s">
        <v>111</v>
      </c>
      <c r="D256" t="s">
        <v>59</v>
      </c>
      <c r="E256" t="s">
        <v>163</v>
      </c>
      <c r="F256" t="s">
        <v>98</v>
      </c>
      <c r="G256" t="s">
        <v>33</v>
      </c>
      <c r="H256" t="s">
        <v>150</v>
      </c>
      <c r="I256" t="s">
        <v>176</v>
      </c>
    </row>
    <row r="257" spans="1:9">
      <c r="A257" t="s">
        <v>669</v>
      </c>
      <c r="B257" t="s">
        <v>33</v>
      </c>
      <c r="C257" t="s">
        <v>124</v>
      </c>
      <c r="D257" t="s">
        <v>59</v>
      </c>
      <c r="E257" t="s">
        <v>163</v>
      </c>
      <c r="F257" t="s">
        <v>98</v>
      </c>
      <c r="G257" t="s">
        <v>150</v>
      </c>
      <c r="H257" t="s">
        <v>137</v>
      </c>
      <c r="I257" t="s">
        <v>72</v>
      </c>
    </row>
    <row r="258" spans="1:9">
      <c r="A258" t="s">
        <v>670</v>
      </c>
      <c r="B258" t="s">
        <v>33</v>
      </c>
      <c r="C258" t="s">
        <v>72</v>
      </c>
      <c r="D258" t="s">
        <v>59</v>
      </c>
      <c r="E258" t="s">
        <v>124</v>
      </c>
      <c r="F258" t="s">
        <v>98</v>
      </c>
      <c r="G258" t="s">
        <v>150</v>
      </c>
      <c r="H258" t="s">
        <v>137</v>
      </c>
      <c r="I258" t="s">
        <v>176</v>
      </c>
    </row>
    <row r="259" spans="1:9">
      <c r="A259" t="s">
        <v>671</v>
      </c>
      <c r="B259" t="s">
        <v>72</v>
      </c>
      <c r="C259" t="s">
        <v>124</v>
      </c>
      <c r="D259" t="s">
        <v>59</v>
      </c>
      <c r="E259" t="s">
        <v>163</v>
      </c>
      <c r="F259" t="s">
        <v>98</v>
      </c>
      <c r="G259" t="s">
        <v>33</v>
      </c>
      <c r="H259" t="s">
        <v>137</v>
      </c>
      <c r="I259" t="s">
        <v>176</v>
      </c>
    </row>
    <row r="260" spans="1:9">
      <c r="A260" t="s">
        <v>672</v>
      </c>
      <c r="B260" t="s">
        <v>72</v>
      </c>
      <c r="C260" t="s">
        <v>124</v>
      </c>
      <c r="D260" t="s">
        <v>59</v>
      </c>
      <c r="E260" t="s">
        <v>163</v>
      </c>
      <c r="F260" t="s">
        <v>98</v>
      </c>
      <c r="G260" t="s">
        <v>33</v>
      </c>
      <c r="H260" t="s">
        <v>150</v>
      </c>
      <c r="I260" t="s">
        <v>176</v>
      </c>
    </row>
    <row r="261" spans="1:9">
      <c r="A261" t="s">
        <v>673</v>
      </c>
      <c r="B261" t="s">
        <v>72</v>
      </c>
      <c r="C261" t="s">
        <v>59</v>
      </c>
      <c r="D261" t="s">
        <v>98</v>
      </c>
      <c r="E261" t="s">
        <v>163</v>
      </c>
      <c r="F261" t="s">
        <v>137</v>
      </c>
      <c r="G261" t="s">
        <v>33</v>
      </c>
      <c r="H261" t="s">
        <v>150</v>
      </c>
      <c r="I261" t="s">
        <v>176</v>
      </c>
    </row>
    <row r="262" spans="1:9">
      <c r="A262" t="s">
        <v>674</v>
      </c>
      <c r="B262" t="s">
        <v>33</v>
      </c>
      <c r="C262" t="s">
        <v>124</v>
      </c>
      <c r="D262" t="s">
        <v>59</v>
      </c>
      <c r="E262" t="s">
        <v>163</v>
      </c>
      <c r="F262" t="s">
        <v>137</v>
      </c>
      <c r="G262" t="s">
        <v>150</v>
      </c>
      <c r="H262" t="s">
        <v>111</v>
      </c>
      <c r="I262" t="s">
        <v>72</v>
      </c>
    </row>
    <row r="263" spans="1:9">
      <c r="A263" t="s">
        <v>675</v>
      </c>
      <c r="B263" t="s">
        <v>33</v>
      </c>
      <c r="C263" t="s">
        <v>72</v>
      </c>
      <c r="D263" t="s">
        <v>59</v>
      </c>
      <c r="E263" t="s">
        <v>124</v>
      </c>
      <c r="F263" t="s">
        <v>137</v>
      </c>
      <c r="G263" t="s">
        <v>150</v>
      </c>
      <c r="H263" t="s">
        <v>111</v>
      </c>
      <c r="I263" t="s">
        <v>176</v>
      </c>
    </row>
    <row r="264" spans="1:9">
      <c r="A264" t="s">
        <v>676</v>
      </c>
      <c r="B264" t="s">
        <v>72</v>
      </c>
      <c r="C264" t="s">
        <v>124</v>
      </c>
      <c r="D264" t="s">
        <v>59</v>
      </c>
      <c r="E264" t="s">
        <v>163</v>
      </c>
      <c r="F264" t="s">
        <v>137</v>
      </c>
      <c r="G264" t="s">
        <v>33</v>
      </c>
      <c r="H264" t="s">
        <v>111</v>
      </c>
      <c r="I264" t="s">
        <v>176</v>
      </c>
    </row>
    <row r="265" spans="1:9">
      <c r="A265" t="s">
        <v>677</v>
      </c>
      <c r="B265" t="s">
        <v>72</v>
      </c>
      <c r="C265" t="s">
        <v>124</v>
      </c>
      <c r="D265" t="s">
        <v>59</v>
      </c>
      <c r="E265" t="s">
        <v>163</v>
      </c>
      <c r="F265" t="s">
        <v>150</v>
      </c>
      <c r="G265" t="s">
        <v>33</v>
      </c>
      <c r="H265" t="s">
        <v>111</v>
      </c>
      <c r="I265" t="s">
        <v>176</v>
      </c>
    </row>
    <row r="266" spans="1:9">
      <c r="A266" t="s">
        <v>678</v>
      </c>
      <c r="B266" t="s">
        <v>33</v>
      </c>
      <c r="C266" t="s">
        <v>72</v>
      </c>
      <c r="D266" t="s">
        <v>59</v>
      </c>
      <c r="E266" t="s">
        <v>163</v>
      </c>
      <c r="F266" t="s">
        <v>137</v>
      </c>
      <c r="G266" t="s">
        <v>150</v>
      </c>
      <c r="H266" t="s">
        <v>111</v>
      </c>
      <c r="I266" t="s">
        <v>176</v>
      </c>
    </row>
    <row r="267" spans="1:9">
      <c r="A267" t="s">
        <v>679</v>
      </c>
      <c r="B267" t="s">
        <v>72</v>
      </c>
      <c r="C267" t="s">
        <v>124</v>
      </c>
      <c r="D267" t="s">
        <v>59</v>
      </c>
      <c r="E267" t="s">
        <v>163</v>
      </c>
      <c r="F267" t="s">
        <v>137</v>
      </c>
      <c r="G267" t="s">
        <v>33</v>
      </c>
      <c r="H267" t="s">
        <v>150</v>
      </c>
      <c r="I267" t="s">
        <v>176</v>
      </c>
    </row>
    <row r="268" spans="1:9">
      <c r="A268" t="s">
        <v>680</v>
      </c>
      <c r="B268" t="s">
        <v>33</v>
      </c>
      <c r="C268" t="s">
        <v>111</v>
      </c>
      <c r="D268" t="s">
        <v>59</v>
      </c>
      <c r="E268" t="s">
        <v>124</v>
      </c>
      <c r="F268" t="s">
        <v>98</v>
      </c>
      <c r="G268" t="s">
        <v>137</v>
      </c>
      <c r="H268" t="s">
        <v>150</v>
      </c>
      <c r="I268" t="s">
        <v>85</v>
      </c>
    </row>
    <row r="269" spans="1:9">
      <c r="A269" t="s">
        <v>681</v>
      </c>
      <c r="B269" t="s">
        <v>33</v>
      </c>
      <c r="C269" t="s">
        <v>59</v>
      </c>
      <c r="D269" t="s">
        <v>137</v>
      </c>
      <c r="E269" t="s">
        <v>163</v>
      </c>
      <c r="F269" t="s">
        <v>98</v>
      </c>
      <c r="G269" t="s">
        <v>124</v>
      </c>
      <c r="H269" t="s">
        <v>111</v>
      </c>
      <c r="I269" t="s">
        <v>85</v>
      </c>
    </row>
    <row r="270" spans="1:9">
      <c r="A270" t="s">
        <v>682</v>
      </c>
      <c r="B270" t="s">
        <v>33</v>
      </c>
      <c r="C270" t="s">
        <v>59</v>
      </c>
      <c r="D270" t="s">
        <v>137</v>
      </c>
      <c r="E270" t="s">
        <v>85</v>
      </c>
      <c r="F270" t="s">
        <v>98</v>
      </c>
      <c r="G270" t="s">
        <v>124</v>
      </c>
      <c r="H270" t="s">
        <v>111</v>
      </c>
      <c r="I270" t="s">
        <v>176</v>
      </c>
    </row>
    <row r="271" spans="1:9">
      <c r="A271" t="s">
        <v>683</v>
      </c>
      <c r="B271" t="s">
        <v>33</v>
      </c>
      <c r="C271" t="s">
        <v>124</v>
      </c>
      <c r="D271" t="s">
        <v>59</v>
      </c>
      <c r="E271" t="s">
        <v>163</v>
      </c>
      <c r="F271" t="s">
        <v>98</v>
      </c>
      <c r="G271" t="s">
        <v>150</v>
      </c>
      <c r="H271" t="s">
        <v>111</v>
      </c>
      <c r="I271" t="s">
        <v>85</v>
      </c>
    </row>
    <row r="272" spans="1:9">
      <c r="A272" t="s">
        <v>684</v>
      </c>
      <c r="B272" t="s">
        <v>33</v>
      </c>
      <c r="C272" t="s">
        <v>111</v>
      </c>
      <c r="D272" t="s">
        <v>59</v>
      </c>
      <c r="E272" t="s">
        <v>85</v>
      </c>
      <c r="F272" t="s">
        <v>98</v>
      </c>
      <c r="G272" t="s">
        <v>124</v>
      </c>
      <c r="H272" t="s">
        <v>150</v>
      </c>
      <c r="I272" t="s">
        <v>176</v>
      </c>
    </row>
    <row r="273" spans="1:9">
      <c r="A273" t="s">
        <v>685</v>
      </c>
      <c r="B273" t="s">
        <v>59</v>
      </c>
      <c r="C273" t="s">
        <v>111</v>
      </c>
      <c r="D273" t="s">
        <v>124</v>
      </c>
      <c r="E273" t="s">
        <v>163</v>
      </c>
      <c r="F273" t="s">
        <v>85</v>
      </c>
      <c r="G273" t="s">
        <v>33</v>
      </c>
      <c r="H273" t="s">
        <v>98</v>
      </c>
      <c r="I273" t="s">
        <v>176</v>
      </c>
    </row>
    <row r="274" spans="1:9">
      <c r="A274" t="s">
        <v>686</v>
      </c>
      <c r="B274" t="s">
        <v>33</v>
      </c>
      <c r="C274" t="s">
        <v>59</v>
      </c>
      <c r="D274" t="s">
        <v>98</v>
      </c>
      <c r="E274" t="s">
        <v>163</v>
      </c>
      <c r="F274" t="s">
        <v>150</v>
      </c>
      <c r="G274" t="s">
        <v>137</v>
      </c>
      <c r="H274" t="s">
        <v>111</v>
      </c>
      <c r="I274" t="s">
        <v>85</v>
      </c>
    </row>
    <row r="275" spans="1:9">
      <c r="A275" t="s">
        <v>687</v>
      </c>
      <c r="B275" t="s">
        <v>33</v>
      </c>
      <c r="C275" t="s">
        <v>59</v>
      </c>
      <c r="D275" t="s">
        <v>98</v>
      </c>
      <c r="E275" t="s">
        <v>85</v>
      </c>
      <c r="F275" t="s">
        <v>150</v>
      </c>
      <c r="G275" t="s">
        <v>137</v>
      </c>
      <c r="H275" t="s">
        <v>111</v>
      </c>
      <c r="I275" t="s">
        <v>176</v>
      </c>
    </row>
    <row r="276" spans="1:9">
      <c r="A276" t="s">
        <v>688</v>
      </c>
      <c r="B276" t="s">
        <v>33</v>
      </c>
      <c r="C276" t="s">
        <v>59</v>
      </c>
      <c r="D276" t="s">
        <v>137</v>
      </c>
      <c r="E276" t="s">
        <v>163</v>
      </c>
      <c r="F276" t="s">
        <v>98</v>
      </c>
      <c r="G276" t="s">
        <v>85</v>
      </c>
      <c r="H276" t="s">
        <v>111</v>
      </c>
      <c r="I276" t="s">
        <v>176</v>
      </c>
    </row>
    <row r="277" spans="1:9">
      <c r="A277" t="s">
        <v>689</v>
      </c>
      <c r="B277" t="s">
        <v>33</v>
      </c>
      <c r="C277" t="s">
        <v>111</v>
      </c>
      <c r="D277" t="s">
        <v>59</v>
      </c>
      <c r="E277" t="s">
        <v>163</v>
      </c>
      <c r="F277" t="s">
        <v>98</v>
      </c>
      <c r="G277" t="s">
        <v>85</v>
      </c>
      <c r="H277" t="s">
        <v>150</v>
      </c>
      <c r="I277" t="s">
        <v>176</v>
      </c>
    </row>
    <row r="278" spans="1:9">
      <c r="A278" t="s">
        <v>690</v>
      </c>
      <c r="B278" t="s">
        <v>33</v>
      </c>
      <c r="C278" t="s">
        <v>59</v>
      </c>
      <c r="D278" t="s">
        <v>124</v>
      </c>
      <c r="E278" t="s">
        <v>163</v>
      </c>
      <c r="F278" t="s">
        <v>98</v>
      </c>
      <c r="G278" t="s">
        <v>150</v>
      </c>
      <c r="H278" t="s">
        <v>137</v>
      </c>
      <c r="I278" t="s">
        <v>85</v>
      </c>
    </row>
    <row r="279" spans="1:9">
      <c r="A279" t="s">
        <v>691</v>
      </c>
      <c r="B279" t="s">
        <v>33</v>
      </c>
      <c r="C279" t="s">
        <v>59</v>
      </c>
      <c r="D279" t="s">
        <v>124</v>
      </c>
      <c r="E279" t="s">
        <v>85</v>
      </c>
      <c r="F279" t="s">
        <v>98</v>
      </c>
      <c r="G279" t="s">
        <v>150</v>
      </c>
      <c r="H279" t="s">
        <v>137</v>
      </c>
      <c r="I279" t="s">
        <v>176</v>
      </c>
    </row>
    <row r="280" spans="1:9">
      <c r="A280" t="s">
        <v>692</v>
      </c>
      <c r="B280" t="s">
        <v>33</v>
      </c>
      <c r="C280" t="s">
        <v>59</v>
      </c>
      <c r="D280" t="s">
        <v>137</v>
      </c>
      <c r="E280" t="s">
        <v>163</v>
      </c>
      <c r="F280" t="s">
        <v>85</v>
      </c>
      <c r="G280" t="s">
        <v>124</v>
      </c>
      <c r="H280" t="s">
        <v>98</v>
      </c>
      <c r="I280" t="s">
        <v>176</v>
      </c>
    </row>
    <row r="281" spans="1:9">
      <c r="A281" t="s">
        <v>693</v>
      </c>
      <c r="B281" t="s">
        <v>33</v>
      </c>
      <c r="C281" t="s">
        <v>59</v>
      </c>
      <c r="D281" t="s">
        <v>124</v>
      </c>
      <c r="E281" t="s">
        <v>163</v>
      </c>
      <c r="F281" t="s">
        <v>85</v>
      </c>
      <c r="G281" t="s">
        <v>150</v>
      </c>
      <c r="H281" t="s">
        <v>98</v>
      </c>
      <c r="I281" t="s">
        <v>176</v>
      </c>
    </row>
    <row r="282" spans="1:9">
      <c r="A282" t="s">
        <v>694</v>
      </c>
      <c r="B282" t="s">
        <v>33</v>
      </c>
      <c r="C282" t="s">
        <v>59</v>
      </c>
      <c r="D282" t="s">
        <v>85</v>
      </c>
      <c r="E282" t="s">
        <v>163</v>
      </c>
      <c r="F282" t="s">
        <v>98</v>
      </c>
      <c r="G282" t="s">
        <v>137</v>
      </c>
      <c r="H282" t="s">
        <v>150</v>
      </c>
      <c r="I282" t="s">
        <v>176</v>
      </c>
    </row>
    <row r="283" spans="1:9">
      <c r="A283" t="s">
        <v>695</v>
      </c>
      <c r="B283" t="s">
        <v>33</v>
      </c>
      <c r="C283" t="s">
        <v>59</v>
      </c>
      <c r="D283" t="s">
        <v>124</v>
      </c>
      <c r="E283" t="s">
        <v>163</v>
      </c>
      <c r="F283" t="s">
        <v>85</v>
      </c>
      <c r="G283" t="s">
        <v>150</v>
      </c>
      <c r="H283" t="s">
        <v>111</v>
      </c>
      <c r="I283" t="s">
        <v>137</v>
      </c>
    </row>
    <row r="284" spans="1:9">
      <c r="A284" t="s">
        <v>696</v>
      </c>
      <c r="B284" t="s">
        <v>33</v>
      </c>
      <c r="C284" t="s">
        <v>59</v>
      </c>
      <c r="D284" t="s">
        <v>124</v>
      </c>
      <c r="E284" t="s">
        <v>137</v>
      </c>
      <c r="F284" t="s">
        <v>85</v>
      </c>
      <c r="G284" t="s">
        <v>150</v>
      </c>
      <c r="H284" t="s">
        <v>111</v>
      </c>
      <c r="I284" t="s">
        <v>176</v>
      </c>
    </row>
    <row r="285" spans="1:9">
      <c r="A285" t="s">
        <v>697</v>
      </c>
      <c r="B285" t="s">
        <v>33</v>
      </c>
      <c r="C285" t="s">
        <v>59</v>
      </c>
      <c r="D285" t="s">
        <v>137</v>
      </c>
      <c r="E285" t="s">
        <v>163</v>
      </c>
      <c r="F285" t="s">
        <v>85</v>
      </c>
      <c r="G285" t="s">
        <v>124</v>
      </c>
      <c r="H285" t="s">
        <v>111</v>
      </c>
      <c r="I285" t="s">
        <v>176</v>
      </c>
    </row>
    <row r="286" spans="1:9">
      <c r="A286" t="s">
        <v>698</v>
      </c>
      <c r="B286" t="s">
        <v>33</v>
      </c>
      <c r="C286" t="s">
        <v>124</v>
      </c>
      <c r="D286" t="s">
        <v>59</v>
      </c>
      <c r="E286" t="s">
        <v>163</v>
      </c>
      <c r="F286" t="s">
        <v>85</v>
      </c>
      <c r="G286" t="s">
        <v>150</v>
      </c>
      <c r="H286" t="s">
        <v>111</v>
      </c>
      <c r="I286" t="s">
        <v>176</v>
      </c>
    </row>
    <row r="287" spans="1:9">
      <c r="A287" t="s">
        <v>699</v>
      </c>
      <c r="B287" t="s">
        <v>33</v>
      </c>
      <c r="C287" t="s">
        <v>59</v>
      </c>
      <c r="D287" t="s">
        <v>85</v>
      </c>
      <c r="E287" t="s">
        <v>163</v>
      </c>
      <c r="F287" t="s">
        <v>137</v>
      </c>
      <c r="G287" t="s">
        <v>150</v>
      </c>
      <c r="H287" t="s">
        <v>111</v>
      </c>
      <c r="I287" t="s">
        <v>176</v>
      </c>
    </row>
    <row r="288" spans="1:9">
      <c r="A288" t="s">
        <v>700</v>
      </c>
      <c r="B288" t="s">
        <v>33</v>
      </c>
      <c r="C288" t="s">
        <v>59</v>
      </c>
      <c r="D288" t="s">
        <v>124</v>
      </c>
      <c r="E288" t="s">
        <v>163</v>
      </c>
      <c r="F288" t="s">
        <v>85</v>
      </c>
      <c r="G288" t="s">
        <v>150</v>
      </c>
      <c r="H288" t="s">
        <v>137</v>
      </c>
      <c r="I288" t="s">
        <v>176</v>
      </c>
    </row>
    <row r="289" spans="1:9">
      <c r="A289" t="s">
        <v>701</v>
      </c>
      <c r="B289" t="s">
        <v>33</v>
      </c>
      <c r="C289" t="s">
        <v>124</v>
      </c>
      <c r="D289" t="s">
        <v>59</v>
      </c>
      <c r="E289" t="s">
        <v>163</v>
      </c>
      <c r="F289" t="s">
        <v>98</v>
      </c>
      <c r="G289" t="s">
        <v>150</v>
      </c>
      <c r="H289" t="s">
        <v>111</v>
      </c>
      <c r="I289" t="s">
        <v>137</v>
      </c>
    </row>
    <row r="290" spans="1:9">
      <c r="A290" t="s">
        <v>702</v>
      </c>
      <c r="B290" t="s">
        <v>33</v>
      </c>
      <c r="C290" t="s">
        <v>111</v>
      </c>
      <c r="D290" t="s">
        <v>59</v>
      </c>
      <c r="E290" t="s">
        <v>124</v>
      </c>
      <c r="F290" t="s">
        <v>98</v>
      </c>
      <c r="G290" t="s">
        <v>137</v>
      </c>
      <c r="H290" t="s">
        <v>150</v>
      </c>
      <c r="I290" t="s">
        <v>176</v>
      </c>
    </row>
    <row r="291" spans="1:9">
      <c r="A291" t="s">
        <v>703</v>
      </c>
      <c r="B291" t="s">
        <v>33</v>
      </c>
      <c r="C291" t="s">
        <v>59</v>
      </c>
      <c r="D291" t="s">
        <v>137</v>
      </c>
      <c r="E291" t="s">
        <v>163</v>
      </c>
      <c r="F291" t="s">
        <v>98</v>
      </c>
      <c r="G291" t="s">
        <v>124</v>
      </c>
      <c r="H291" t="s">
        <v>111</v>
      </c>
      <c r="I291" t="s">
        <v>176</v>
      </c>
    </row>
    <row r="292" spans="1:9">
      <c r="A292" t="s">
        <v>704</v>
      </c>
      <c r="B292" t="s">
        <v>33</v>
      </c>
      <c r="C292" t="s">
        <v>124</v>
      </c>
      <c r="D292" t="s">
        <v>59</v>
      </c>
      <c r="E292" t="s">
        <v>163</v>
      </c>
      <c r="F292" t="s">
        <v>98</v>
      </c>
      <c r="G292" t="s">
        <v>150</v>
      </c>
      <c r="H292" t="s">
        <v>111</v>
      </c>
      <c r="I292" t="s">
        <v>176</v>
      </c>
    </row>
    <row r="293" spans="1:9">
      <c r="A293" t="s">
        <v>705</v>
      </c>
      <c r="B293" t="s">
        <v>33</v>
      </c>
      <c r="C293" t="s">
        <v>111</v>
      </c>
      <c r="D293" t="s">
        <v>59</v>
      </c>
      <c r="E293" t="s">
        <v>163</v>
      </c>
      <c r="F293" t="s">
        <v>98</v>
      </c>
      <c r="G293" t="s">
        <v>137</v>
      </c>
      <c r="H293" t="s">
        <v>150</v>
      </c>
      <c r="I293" t="s">
        <v>176</v>
      </c>
    </row>
    <row r="294" spans="1:9">
      <c r="A294" t="s">
        <v>706</v>
      </c>
      <c r="B294" t="s">
        <v>33</v>
      </c>
      <c r="C294" t="s">
        <v>59</v>
      </c>
      <c r="D294" t="s">
        <v>124</v>
      </c>
      <c r="E294" t="s">
        <v>163</v>
      </c>
      <c r="F294" t="s">
        <v>98</v>
      </c>
      <c r="G294" t="s">
        <v>150</v>
      </c>
      <c r="H294" t="s">
        <v>137</v>
      </c>
      <c r="I294" t="s">
        <v>176</v>
      </c>
    </row>
    <row r="295" spans="1:9">
      <c r="A295" t="s">
        <v>707</v>
      </c>
      <c r="B295" t="s">
        <v>33</v>
      </c>
      <c r="C295" t="s">
        <v>124</v>
      </c>
      <c r="D295" t="s">
        <v>59</v>
      </c>
      <c r="E295" t="s">
        <v>163</v>
      </c>
      <c r="F295" t="s">
        <v>137</v>
      </c>
      <c r="G295" t="s">
        <v>150</v>
      </c>
      <c r="H295" t="s">
        <v>111</v>
      </c>
      <c r="I295" t="s">
        <v>176</v>
      </c>
    </row>
    <row r="296" spans="1:9">
      <c r="A296" t="s">
        <v>708</v>
      </c>
      <c r="B296" t="s">
        <v>33</v>
      </c>
      <c r="C296" t="s">
        <v>72</v>
      </c>
      <c r="D296" t="s">
        <v>98</v>
      </c>
      <c r="E296" t="s">
        <v>124</v>
      </c>
      <c r="F296" t="s">
        <v>137</v>
      </c>
      <c r="G296" t="s">
        <v>150</v>
      </c>
      <c r="H296" t="s">
        <v>111</v>
      </c>
      <c r="I296" t="s">
        <v>85</v>
      </c>
    </row>
    <row r="297" spans="1:9">
      <c r="A297" t="s">
        <v>709</v>
      </c>
      <c r="B297" t="s">
        <v>33</v>
      </c>
      <c r="C297" t="s">
        <v>111</v>
      </c>
      <c r="D297" t="s">
        <v>98</v>
      </c>
      <c r="E297" t="s">
        <v>163</v>
      </c>
      <c r="F297" t="s">
        <v>85</v>
      </c>
      <c r="G297" t="s">
        <v>124</v>
      </c>
      <c r="H297" t="s">
        <v>137</v>
      </c>
      <c r="I297" t="s">
        <v>72</v>
      </c>
    </row>
    <row r="298" spans="1:9">
      <c r="A298" t="s">
        <v>710</v>
      </c>
      <c r="B298" t="s">
        <v>33</v>
      </c>
      <c r="C298" t="s">
        <v>72</v>
      </c>
      <c r="D298" t="s">
        <v>137</v>
      </c>
      <c r="E298" t="s">
        <v>85</v>
      </c>
      <c r="F298" t="s">
        <v>98</v>
      </c>
      <c r="G298" t="s">
        <v>124</v>
      </c>
      <c r="H298" t="s">
        <v>111</v>
      </c>
      <c r="I298" t="s">
        <v>176</v>
      </c>
    </row>
    <row r="299" spans="1:9">
      <c r="A299" t="s">
        <v>711</v>
      </c>
      <c r="B299" t="s">
        <v>33</v>
      </c>
      <c r="C299" t="s">
        <v>111</v>
      </c>
      <c r="D299" t="s">
        <v>85</v>
      </c>
      <c r="E299" t="s">
        <v>163</v>
      </c>
      <c r="F299" t="s">
        <v>98</v>
      </c>
      <c r="G299" t="s">
        <v>124</v>
      </c>
      <c r="H299" t="s">
        <v>150</v>
      </c>
      <c r="I299" t="s">
        <v>72</v>
      </c>
    </row>
    <row r="300" spans="1:9">
      <c r="A300" t="s">
        <v>712</v>
      </c>
      <c r="B300" t="s">
        <v>33</v>
      </c>
      <c r="C300" t="s">
        <v>72</v>
      </c>
      <c r="D300" t="s">
        <v>85</v>
      </c>
      <c r="E300" t="s">
        <v>124</v>
      </c>
      <c r="F300" t="s">
        <v>98</v>
      </c>
      <c r="G300" t="s">
        <v>150</v>
      </c>
      <c r="H300" t="s">
        <v>111</v>
      </c>
      <c r="I300" t="s">
        <v>176</v>
      </c>
    </row>
    <row r="301" spans="1:9">
      <c r="A301" t="s">
        <v>713</v>
      </c>
      <c r="B301" t="s">
        <v>72</v>
      </c>
      <c r="C301" t="s">
        <v>124</v>
      </c>
      <c r="D301" t="s">
        <v>98</v>
      </c>
      <c r="E301" t="s">
        <v>163</v>
      </c>
      <c r="F301" t="s">
        <v>85</v>
      </c>
      <c r="G301" t="s">
        <v>33</v>
      </c>
      <c r="H301" t="s">
        <v>111</v>
      </c>
      <c r="I301" t="s">
        <v>176</v>
      </c>
    </row>
    <row r="302" spans="1:9">
      <c r="A302" t="s">
        <v>714</v>
      </c>
      <c r="B302" t="s">
        <v>33</v>
      </c>
      <c r="C302" t="s">
        <v>72</v>
      </c>
      <c r="D302" t="s">
        <v>85</v>
      </c>
      <c r="E302" t="s">
        <v>163</v>
      </c>
      <c r="F302" t="s">
        <v>98</v>
      </c>
      <c r="G302" t="s">
        <v>137</v>
      </c>
      <c r="H302" t="s">
        <v>111</v>
      </c>
      <c r="I302" t="s">
        <v>150</v>
      </c>
    </row>
    <row r="303" spans="1:9">
      <c r="A303" t="s">
        <v>715</v>
      </c>
      <c r="B303" t="s">
        <v>33</v>
      </c>
      <c r="C303" t="s">
        <v>72</v>
      </c>
      <c r="D303" t="s">
        <v>85</v>
      </c>
      <c r="E303" t="s">
        <v>137</v>
      </c>
      <c r="F303" t="s">
        <v>98</v>
      </c>
      <c r="G303" t="s">
        <v>150</v>
      </c>
      <c r="H303" t="s">
        <v>111</v>
      </c>
      <c r="I303" t="s">
        <v>176</v>
      </c>
    </row>
    <row r="304" spans="1:9">
      <c r="A304" t="s">
        <v>716</v>
      </c>
      <c r="B304" t="s">
        <v>33</v>
      </c>
      <c r="C304" t="s">
        <v>72</v>
      </c>
      <c r="D304" t="s">
        <v>98</v>
      </c>
      <c r="E304" t="s">
        <v>163</v>
      </c>
      <c r="F304" t="s">
        <v>137</v>
      </c>
      <c r="G304" t="s">
        <v>85</v>
      </c>
      <c r="H304" t="s">
        <v>111</v>
      </c>
      <c r="I304" t="s">
        <v>176</v>
      </c>
    </row>
    <row r="305" spans="1:9">
      <c r="A305" t="s">
        <v>717</v>
      </c>
      <c r="B305" t="s">
        <v>72</v>
      </c>
      <c r="C305" t="s">
        <v>111</v>
      </c>
      <c r="D305" t="s">
        <v>85</v>
      </c>
      <c r="E305" t="s">
        <v>163</v>
      </c>
      <c r="F305" t="s">
        <v>98</v>
      </c>
      <c r="G305" t="s">
        <v>33</v>
      </c>
      <c r="H305" t="s">
        <v>150</v>
      </c>
      <c r="I305" t="s">
        <v>176</v>
      </c>
    </row>
    <row r="306" spans="1:9">
      <c r="A306" t="s">
        <v>718</v>
      </c>
      <c r="B306" t="s">
        <v>33</v>
      </c>
      <c r="C306" t="s">
        <v>72</v>
      </c>
      <c r="D306" t="s">
        <v>98</v>
      </c>
      <c r="E306" t="s">
        <v>163</v>
      </c>
      <c r="F306" t="s">
        <v>137</v>
      </c>
      <c r="G306" t="s">
        <v>124</v>
      </c>
      <c r="H306" t="s">
        <v>150</v>
      </c>
      <c r="I306" t="s">
        <v>85</v>
      </c>
    </row>
    <row r="307" spans="1:9">
      <c r="A307" t="s">
        <v>719</v>
      </c>
      <c r="B307" t="s">
        <v>33</v>
      </c>
      <c r="C307" t="s">
        <v>72</v>
      </c>
      <c r="D307" t="s">
        <v>85</v>
      </c>
      <c r="E307" t="s">
        <v>124</v>
      </c>
      <c r="F307" t="s">
        <v>98</v>
      </c>
      <c r="G307" t="s">
        <v>137</v>
      </c>
      <c r="H307" t="s">
        <v>150</v>
      </c>
      <c r="I307" t="s">
        <v>176</v>
      </c>
    </row>
    <row r="308" spans="1:9">
      <c r="A308" t="s">
        <v>720</v>
      </c>
      <c r="B308" t="s">
        <v>33</v>
      </c>
      <c r="C308" t="s">
        <v>72</v>
      </c>
      <c r="D308" t="s">
        <v>137</v>
      </c>
      <c r="E308" t="s">
        <v>163</v>
      </c>
      <c r="F308" t="s">
        <v>85</v>
      </c>
      <c r="G308" t="s">
        <v>124</v>
      </c>
      <c r="H308" t="s">
        <v>98</v>
      </c>
      <c r="I308" t="s">
        <v>176</v>
      </c>
    </row>
    <row r="309" spans="1:9">
      <c r="A309" t="s">
        <v>721</v>
      </c>
      <c r="B309" t="s">
        <v>33</v>
      </c>
      <c r="C309" t="s">
        <v>72</v>
      </c>
      <c r="D309" t="s">
        <v>85</v>
      </c>
      <c r="E309" t="s">
        <v>163</v>
      </c>
      <c r="F309" t="s">
        <v>98</v>
      </c>
      <c r="G309" t="s">
        <v>124</v>
      </c>
      <c r="H309" t="s">
        <v>150</v>
      </c>
      <c r="I309" t="s">
        <v>176</v>
      </c>
    </row>
    <row r="310" spans="1:9">
      <c r="A310" t="s">
        <v>722</v>
      </c>
      <c r="B310" t="s">
        <v>33</v>
      </c>
      <c r="C310" t="s">
        <v>72</v>
      </c>
      <c r="D310" t="s">
        <v>85</v>
      </c>
      <c r="E310" t="s">
        <v>163</v>
      </c>
      <c r="F310" t="s">
        <v>98</v>
      </c>
      <c r="G310" t="s">
        <v>137</v>
      </c>
      <c r="H310" t="s">
        <v>150</v>
      </c>
      <c r="I310" t="s">
        <v>176</v>
      </c>
    </row>
    <row r="311" spans="1:9">
      <c r="A311" t="s">
        <v>723</v>
      </c>
      <c r="B311" t="s">
        <v>33</v>
      </c>
      <c r="C311" t="s">
        <v>72</v>
      </c>
      <c r="D311" t="s">
        <v>85</v>
      </c>
      <c r="E311" t="s">
        <v>163</v>
      </c>
      <c r="F311" t="s">
        <v>137</v>
      </c>
      <c r="G311" t="s">
        <v>124</v>
      </c>
      <c r="H311" t="s">
        <v>111</v>
      </c>
      <c r="I311" t="s">
        <v>150</v>
      </c>
    </row>
    <row r="312" spans="1:9">
      <c r="A312" t="s">
        <v>724</v>
      </c>
      <c r="B312" t="s">
        <v>33</v>
      </c>
      <c r="C312" t="s">
        <v>72</v>
      </c>
      <c r="D312" t="s">
        <v>85</v>
      </c>
      <c r="E312" t="s">
        <v>124</v>
      </c>
      <c r="F312" t="s">
        <v>137</v>
      </c>
      <c r="G312" t="s">
        <v>150</v>
      </c>
      <c r="H312" t="s">
        <v>111</v>
      </c>
      <c r="I312" t="s">
        <v>176</v>
      </c>
    </row>
    <row r="313" spans="1:9">
      <c r="A313" t="s">
        <v>725</v>
      </c>
      <c r="B313" t="s">
        <v>33</v>
      </c>
      <c r="C313" t="s">
        <v>72</v>
      </c>
      <c r="D313" t="s">
        <v>124</v>
      </c>
      <c r="E313" t="s">
        <v>163</v>
      </c>
      <c r="F313" t="s">
        <v>85</v>
      </c>
      <c r="G313" t="s">
        <v>137</v>
      </c>
      <c r="H313" t="s">
        <v>111</v>
      </c>
      <c r="I313" t="s">
        <v>176</v>
      </c>
    </row>
    <row r="314" spans="1:9">
      <c r="A314" t="s">
        <v>726</v>
      </c>
      <c r="B314" t="s">
        <v>33</v>
      </c>
      <c r="C314" t="s">
        <v>72</v>
      </c>
      <c r="D314" t="s">
        <v>85</v>
      </c>
      <c r="E314" t="s">
        <v>163</v>
      </c>
      <c r="F314" t="s">
        <v>150</v>
      </c>
      <c r="G314" t="s">
        <v>124</v>
      </c>
      <c r="H314" t="s">
        <v>111</v>
      </c>
      <c r="I314" t="s">
        <v>176</v>
      </c>
    </row>
    <row r="315" spans="1:9">
      <c r="A315" t="s">
        <v>727</v>
      </c>
      <c r="B315" t="s">
        <v>33</v>
      </c>
      <c r="C315" t="s">
        <v>72</v>
      </c>
      <c r="D315" t="s">
        <v>85</v>
      </c>
      <c r="E315" t="s">
        <v>163</v>
      </c>
      <c r="F315" t="s">
        <v>137</v>
      </c>
      <c r="G315" t="s">
        <v>150</v>
      </c>
      <c r="H315" t="s">
        <v>111</v>
      </c>
      <c r="I315" t="s">
        <v>176</v>
      </c>
    </row>
    <row r="316" spans="1:9">
      <c r="A316" t="s">
        <v>728</v>
      </c>
      <c r="B316" t="s">
        <v>33</v>
      </c>
      <c r="C316" t="s">
        <v>72</v>
      </c>
      <c r="D316" t="s">
        <v>85</v>
      </c>
      <c r="E316" t="s">
        <v>163</v>
      </c>
      <c r="F316" t="s">
        <v>137</v>
      </c>
      <c r="G316" t="s">
        <v>124</v>
      </c>
      <c r="H316" t="s">
        <v>150</v>
      </c>
      <c r="I316" t="s">
        <v>176</v>
      </c>
    </row>
    <row r="317" spans="1:9">
      <c r="A317" t="s">
        <v>729</v>
      </c>
      <c r="B317" t="s">
        <v>33</v>
      </c>
      <c r="C317" t="s">
        <v>111</v>
      </c>
      <c r="D317" t="s">
        <v>98</v>
      </c>
      <c r="E317" t="s">
        <v>163</v>
      </c>
      <c r="F317" t="s">
        <v>137</v>
      </c>
      <c r="G317" t="s">
        <v>124</v>
      </c>
      <c r="H317" t="s">
        <v>150</v>
      </c>
      <c r="I317" t="s">
        <v>72</v>
      </c>
    </row>
    <row r="318" spans="1:9">
      <c r="A318" t="s">
        <v>730</v>
      </c>
      <c r="B318" t="s">
        <v>33</v>
      </c>
      <c r="C318" t="s">
        <v>72</v>
      </c>
      <c r="D318" t="s">
        <v>98</v>
      </c>
      <c r="E318" t="s">
        <v>124</v>
      </c>
      <c r="F318" t="s">
        <v>137</v>
      </c>
      <c r="G318" t="s">
        <v>150</v>
      </c>
      <c r="H318" t="s">
        <v>111</v>
      </c>
      <c r="I318" t="s">
        <v>176</v>
      </c>
    </row>
    <row r="319" spans="1:9">
      <c r="A319" t="s">
        <v>731</v>
      </c>
      <c r="B319" t="s">
        <v>33</v>
      </c>
      <c r="C319" t="s">
        <v>72</v>
      </c>
      <c r="D319" t="s">
        <v>124</v>
      </c>
      <c r="E319" t="s">
        <v>163</v>
      </c>
      <c r="F319" t="s">
        <v>98</v>
      </c>
      <c r="G319" t="s">
        <v>137</v>
      </c>
      <c r="H319" t="s">
        <v>111</v>
      </c>
      <c r="I319" t="s">
        <v>176</v>
      </c>
    </row>
    <row r="320" spans="1:9">
      <c r="A320" t="s">
        <v>732</v>
      </c>
      <c r="B320" t="s">
        <v>33</v>
      </c>
      <c r="C320" t="s">
        <v>72</v>
      </c>
      <c r="D320" t="s">
        <v>98</v>
      </c>
      <c r="E320" t="s">
        <v>163</v>
      </c>
      <c r="F320" t="s">
        <v>150</v>
      </c>
      <c r="G320" t="s">
        <v>124</v>
      </c>
      <c r="H320" t="s">
        <v>111</v>
      </c>
      <c r="I320" t="s">
        <v>176</v>
      </c>
    </row>
    <row r="321" spans="1:9">
      <c r="A321" t="s">
        <v>733</v>
      </c>
      <c r="B321" t="s">
        <v>33</v>
      </c>
      <c r="C321" t="s">
        <v>72</v>
      </c>
      <c r="D321" t="s">
        <v>98</v>
      </c>
      <c r="E321" t="s">
        <v>163</v>
      </c>
      <c r="F321" t="s">
        <v>137</v>
      </c>
      <c r="G321" t="s">
        <v>150</v>
      </c>
      <c r="H321" t="s">
        <v>111</v>
      </c>
      <c r="I321" t="s">
        <v>176</v>
      </c>
    </row>
    <row r="322" spans="1:9">
      <c r="A322" t="s">
        <v>734</v>
      </c>
      <c r="B322" t="s">
        <v>33</v>
      </c>
      <c r="C322" t="s">
        <v>72</v>
      </c>
      <c r="D322" t="s">
        <v>98</v>
      </c>
      <c r="E322" t="s">
        <v>163</v>
      </c>
      <c r="F322" t="s">
        <v>137</v>
      </c>
      <c r="G322" t="s">
        <v>124</v>
      </c>
      <c r="H322" t="s">
        <v>150</v>
      </c>
      <c r="I322" t="s">
        <v>176</v>
      </c>
    </row>
    <row r="323" spans="1:9">
      <c r="A323" t="s">
        <v>735</v>
      </c>
      <c r="B323" t="s">
        <v>33</v>
      </c>
      <c r="C323" t="s">
        <v>72</v>
      </c>
      <c r="D323" t="s">
        <v>124</v>
      </c>
      <c r="E323" t="s">
        <v>163</v>
      </c>
      <c r="F323" t="s">
        <v>137</v>
      </c>
      <c r="G323" t="s">
        <v>150</v>
      </c>
      <c r="H323" t="s">
        <v>111</v>
      </c>
      <c r="I323" t="s">
        <v>176</v>
      </c>
    </row>
    <row r="324" spans="1:9">
      <c r="A324" t="s">
        <v>736</v>
      </c>
      <c r="B324" t="s">
        <v>33</v>
      </c>
      <c r="C324" t="s">
        <v>98</v>
      </c>
      <c r="D324" t="s">
        <v>124</v>
      </c>
      <c r="E324" t="s">
        <v>163</v>
      </c>
      <c r="F324" t="s">
        <v>137</v>
      </c>
      <c r="G324" t="s">
        <v>150</v>
      </c>
      <c r="H324" t="s">
        <v>111</v>
      </c>
      <c r="I324" t="s">
        <v>85</v>
      </c>
    </row>
    <row r="325" spans="1:9">
      <c r="A325" t="s">
        <v>737</v>
      </c>
      <c r="B325" t="s">
        <v>33</v>
      </c>
      <c r="C325" t="s">
        <v>98</v>
      </c>
      <c r="D325" t="s">
        <v>85</v>
      </c>
      <c r="E325" t="s">
        <v>124</v>
      </c>
      <c r="F325" t="s">
        <v>137</v>
      </c>
      <c r="G325" t="s">
        <v>150</v>
      </c>
      <c r="H325" t="s">
        <v>111</v>
      </c>
      <c r="I325" t="s">
        <v>176</v>
      </c>
    </row>
    <row r="326" spans="1:9">
      <c r="A326" t="s">
        <v>738</v>
      </c>
      <c r="B326" t="s">
        <v>33</v>
      </c>
      <c r="C326" t="s">
        <v>98</v>
      </c>
      <c r="D326" t="s">
        <v>137</v>
      </c>
      <c r="E326" t="s">
        <v>163</v>
      </c>
      <c r="F326" t="s">
        <v>85</v>
      </c>
      <c r="G326" t="s">
        <v>124</v>
      </c>
      <c r="H326" t="s">
        <v>111</v>
      </c>
      <c r="I326" t="s">
        <v>176</v>
      </c>
    </row>
    <row r="327" spans="1:9">
      <c r="A327" t="s">
        <v>739</v>
      </c>
      <c r="B327" t="s">
        <v>33</v>
      </c>
      <c r="C327" t="s">
        <v>98</v>
      </c>
      <c r="D327" t="s">
        <v>85</v>
      </c>
      <c r="E327" t="s">
        <v>163</v>
      </c>
      <c r="F327" t="s">
        <v>150</v>
      </c>
      <c r="G327" t="s">
        <v>124</v>
      </c>
      <c r="H327" t="s">
        <v>111</v>
      </c>
      <c r="I327" t="s">
        <v>176</v>
      </c>
    </row>
    <row r="328" spans="1:9">
      <c r="A328" t="s">
        <v>740</v>
      </c>
      <c r="B328" t="s">
        <v>33</v>
      </c>
      <c r="C328" t="s">
        <v>98</v>
      </c>
      <c r="D328" t="s">
        <v>85</v>
      </c>
      <c r="E328" t="s">
        <v>163</v>
      </c>
      <c r="F328" t="s">
        <v>150</v>
      </c>
      <c r="G328" t="s">
        <v>137</v>
      </c>
      <c r="H328" t="s">
        <v>111</v>
      </c>
      <c r="I328" t="s">
        <v>176</v>
      </c>
    </row>
    <row r="329" spans="1:9">
      <c r="A329" t="s">
        <v>741</v>
      </c>
      <c r="B329" t="s">
        <v>33</v>
      </c>
      <c r="C329" t="s">
        <v>98</v>
      </c>
      <c r="D329" t="s">
        <v>85</v>
      </c>
      <c r="E329" t="s">
        <v>163</v>
      </c>
      <c r="F329" t="s">
        <v>137</v>
      </c>
      <c r="G329" t="s">
        <v>124</v>
      </c>
      <c r="H329" t="s">
        <v>150</v>
      </c>
      <c r="I329" t="s">
        <v>176</v>
      </c>
    </row>
    <row r="330" spans="1:9">
      <c r="A330" t="s">
        <v>742</v>
      </c>
      <c r="B330" t="s">
        <v>33</v>
      </c>
      <c r="C330" t="s">
        <v>111</v>
      </c>
      <c r="D330" t="s">
        <v>85</v>
      </c>
      <c r="E330" t="s">
        <v>163</v>
      </c>
      <c r="F330" t="s">
        <v>137</v>
      </c>
      <c r="G330" t="s">
        <v>124</v>
      </c>
      <c r="H330" t="s">
        <v>150</v>
      </c>
      <c r="I330" t="s">
        <v>176</v>
      </c>
    </row>
    <row r="331" spans="1:9">
      <c r="A331" t="s">
        <v>743</v>
      </c>
      <c r="B331" t="s">
        <v>33</v>
      </c>
      <c r="C331" t="s">
        <v>98</v>
      </c>
      <c r="D331" t="s">
        <v>124</v>
      </c>
      <c r="E331" t="s">
        <v>163</v>
      </c>
      <c r="F331" t="s">
        <v>137</v>
      </c>
      <c r="G331" t="s">
        <v>150</v>
      </c>
      <c r="H331" t="s">
        <v>111</v>
      </c>
      <c r="I331" t="s">
        <v>176</v>
      </c>
    </row>
    <row r="332" spans="1:9">
      <c r="A332" t="s">
        <v>744</v>
      </c>
      <c r="B332" t="s">
        <v>59</v>
      </c>
      <c r="C332" t="s">
        <v>111</v>
      </c>
      <c r="D332" t="s">
        <v>98</v>
      </c>
      <c r="E332" t="s">
        <v>85</v>
      </c>
      <c r="F332" t="s">
        <v>46</v>
      </c>
      <c r="G332" t="s">
        <v>124</v>
      </c>
      <c r="H332" t="s">
        <v>137</v>
      </c>
      <c r="I332" t="s">
        <v>72</v>
      </c>
    </row>
    <row r="333" spans="1:9">
      <c r="A333" t="s">
        <v>745</v>
      </c>
      <c r="B333" t="s">
        <v>46</v>
      </c>
      <c r="C333" t="s">
        <v>98</v>
      </c>
      <c r="D333" t="s">
        <v>59</v>
      </c>
      <c r="E333" t="s">
        <v>85</v>
      </c>
      <c r="F333" t="s">
        <v>150</v>
      </c>
      <c r="G333" t="s">
        <v>124</v>
      </c>
      <c r="H333" t="s">
        <v>111</v>
      </c>
      <c r="I333" t="s">
        <v>72</v>
      </c>
    </row>
    <row r="334" spans="1:9">
      <c r="A334" t="s">
        <v>746</v>
      </c>
      <c r="B334" t="s">
        <v>59</v>
      </c>
      <c r="C334" t="s">
        <v>111</v>
      </c>
      <c r="D334" t="s">
        <v>124</v>
      </c>
      <c r="E334" t="s">
        <v>163</v>
      </c>
      <c r="F334" t="s">
        <v>46</v>
      </c>
      <c r="G334" t="s">
        <v>85</v>
      </c>
      <c r="H334" t="s">
        <v>98</v>
      </c>
      <c r="I334" t="s">
        <v>72</v>
      </c>
    </row>
    <row r="335" spans="1:9">
      <c r="A335" t="s">
        <v>747</v>
      </c>
      <c r="B335" t="s">
        <v>72</v>
      </c>
      <c r="C335" t="s">
        <v>111</v>
      </c>
      <c r="D335" t="s">
        <v>59</v>
      </c>
      <c r="E335" t="s">
        <v>85</v>
      </c>
      <c r="F335" t="s">
        <v>46</v>
      </c>
      <c r="G335" t="s">
        <v>124</v>
      </c>
      <c r="H335" t="s">
        <v>98</v>
      </c>
      <c r="I335" t="s">
        <v>176</v>
      </c>
    </row>
    <row r="336" spans="1:9">
      <c r="A336" t="s">
        <v>748</v>
      </c>
      <c r="B336" t="s">
        <v>46</v>
      </c>
      <c r="C336" t="s">
        <v>98</v>
      </c>
      <c r="D336" t="s">
        <v>59</v>
      </c>
      <c r="E336" t="s">
        <v>85</v>
      </c>
      <c r="F336" t="s">
        <v>150</v>
      </c>
      <c r="G336" t="s">
        <v>137</v>
      </c>
      <c r="H336" t="s">
        <v>111</v>
      </c>
      <c r="I336" t="s">
        <v>72</v>
      </c>
    </row>
    <row r="337" spans="1:9">
      <c r="A337" t="s">
        <v>749</v>
      </c>
      <c r="B337" t="s">
        <v>46</v>
      </c>
      <c r="C337" t="s">
        <v>98</v>
      </c>
      <c r="D337" t="s">
        <v>59</v>
      </c>
      <c r="E337" t="s">
        <v>163</v>
      </c>
      <c r="F337" t="s">
        <v>137</v>
      </c>
      <c r="G337" t="s">
        <v>85</v>
      </c>
      <c r="H337" t="s">
        <v>111</v>
      </c>
      <c r="I337" t="s">
        <v>72</v>
      </c>
    </row>
    <row r="338" spans="1:9">
      <c r="A338" t="s">
        <v>750</v>
      </c>
      <c r="B338" t="s">
        <v>72</v>
      </c>
      <c r="C338" t="s">
        <v>111</v>
      </c>
      <c r="D338" t="s">
        <v>59</v>
      </c>
      <c r="E338" t="s">
        <v>85</v>
      </c>
      <c r="F338" t="s">
        <v>46</v>
      </c>
      <c r="G338" t="s">
        <v>137</v>
      </c>
      <c r="H338" t="s">
        <v>98</v>
      </c>
      <c r="I338" t="s">
        <v>176</v>
      </c>
    </row>
    <row r="339" spans="1:9">
      <c r="A339" t="s">
        <v>751</v>
      </c>
      <c r="B339" t="s">
        <v>46</v>
      </c>
      <c r="C339" t="s">
        <v>98</v>
      </c>
      <c r="D339" t="s">
        <v>59</v>
      </c>
      <c r="E339" t="s">
        <v>163</v>
      </c>
      <c r="F339" t="s">
        <v>150</v>
      </c>
      <c r="G339" t="s">
        <v>85</v>
      </c>
      <c r="H339" t="s">
        <v>111</v>
      </c>
      <c r="I339" t="s">
        <v>72</v>
      </c>
    </row>
    <row r="340" spans="1:9">
      <c r="A340" t="s">
        <v>752</v>
      </c>
      <c r="B340" t="s">
        <v>72</v>
      </c>
      <c r="C340" t="s">
        <v>111</v>
      </c>
      <c r="D340" t="s">
        <v>59</v>
      </c>
      <c r="E340" t="s">
        <v>85</v>
      </c>
      <c r="F340" t="s">
        <v>46</v>
      </c>
      <c r="G340" t="s">
        <v>150</v>
      </c>
      <c r="H340" t="s">
        <v>98</v>
      </c>
      <c r="I340" t="s">
        <v>176</v>
      </c>
    </row>
    <row r="341" spans="1:9">
      <c r="A341" t="s">
        <v>753</v>
      </c>
      <c r="B341" t="s">
        <v>72</v>
      </c>
      <c r="C341" t="s">
        <v>111</v>
      </c>
      <c r="D341" t="s">
        <v>59</v>
      </c>
      <c r="E341" t="s">
        <v>163</v>
      </c>
      <c r="F341" t="s">
        <v>46</v>
      </c>
      <c r="G341" t="s">
        <v>85</v>
      </c>
      <c r="H341" t="s">
        <v>98</v>
      </c>
      <c r="I341" t="s">
        <v>176</v>
      </c>
    </row>
    <row r="342" spans="1:9">
      <c r="A342" t="s">
        <v>754</v>
      </c>
      <c r="B342" t="s">
        <v>46</v>
      </c>
      <c r="C342" t="s">
        <v>59</v>
      </c>
      <c r="D342" t="s">
        <v>98</v>
      </c>
      <c r="E342" t="s">
        <v>85</v>
      </c>
      <c r="F342" t="s">
        <v>150</v>
      </c>
      <c r="G342" t="s">
        <v>124</v>
      </c>
      <c r="H342" t="s">
        <v>137</v>
      </c>
      <c r="I342" t="s">
        <v>72</v>
      </c>
    </row>
    <row r="343" spans="1:9">
      <c r="A343" t="s">
        <v>755</v>
      </c>
      <c r="B343" t="s">
        <v>59</v>
      </c>
      <c r="C343" t="s">
        <v>124</v>
      </c>
      <c r="D343" t="s">
        <v>137</v>
      </c>
      <c r="E343" t="s">
        <v>163</v>
      </c>
      <c r="F343" t="s">
        <v>46</v>
      </c>
      <c r="G343" t="s">
        <v>85</v>
      </c>
      <c r="H343" t="s">
        <v>98</v>
      </c>
      <c r="I343" t="s">
        <v>72</v>
      </c>
    </row>
    <row r="344" spans="1:9">
      <c r="A344" t="s">
        <v>756</v>
      </c>
      <c r="B344" t="s">
        <v>72</v>
      </c>
      <c r="C344" t="s">
        <v>59</v>
      </c>
      <c r="D344" t="s">
        <v>137</v>
      </c>
      <c r="E344" t="s">
        <v>85</v>
      </c>
      <c r="F344" t="s">
        <v>46</v>
      </c>
      <c r="G344" t="s">
        <v>124</v>
      </c>
      <c r="H344" t="s">
        <v>98</v>
      </c>
      <c r="I344" t="s">
        <v>176</v>
      </c>
    </row>
    <row r="345" spans="1:9">
      <c r="A345" t="s">
        <v>757</v>
      </c>
      <c r="B345" t="s">
        <v>46</v>
      </c>
      <c r="C345" t="s">
        <v>124</v>
      </c>
      <c r="D345" t="s">
        <v>59</v>
      </c>
      <c r="E345" t="s">
        <v>163</v>
      </c>
      <c r="F345" t="s">
        <v>150</v>
      </c>
      <c r="G345" t="s">
        <v>85</v>
      </c>
      <c r="H345" t="s">
        <v>98</v>
      </c>
      <c r="I345" t="s">
        <v>72</v>
      </c>
    </row>
    <row r="346" spans="1:9">
      <c r="A346" t="s">
        <v>758</v>
      </c>
      <c r="B346" t="s">
        <v>46</v>
      </c>
      <c r="C346" t="s">
        <v>72</v>
      </c>
      <c r="D346" t="s">
        <v>59</v>
      </c>
      <c r="E346" t="s">
        <v>85</v>
      </c>
      <c r="F346" t="s">
        <v>150</v>
      </c>
      <c r="G346" t="s">
        <v>124</v>
      </c>
      <c r="H346" t="s">
        <v>98</v>
      </c>
      <c r="I346" t="s">
        <v>176</v>
      </c>
    </row>
    <row r="347" spans="1:9">
      <c r="A347" t="s">
        <v>759</v>
      </c>
      <c r="B347" t="s">
        <v>72</v>
      </c>
      <c r="C347" t="s">
        <v>124</v>
      </c>
      <c r="D347" t="s">
        <v>59</v>
      </c>
      <c r="E347" t="s">
        <v>163</v>
      </c>
      <c r="F347" t="s">
        <v>46</v>
      </c>
      <c r="G347" t="s">
        <v>85</v>
      </c>
      <c r="H347" t="s">
        <v>98</v>
      </c>
      <c r="I347" t="s">
        <v>176</v>
      </c>
    </row>
    <row r="348" spans="1:9">
      <c r="A348" t="s">
        <v>760</v>
      </c>
      <c r="B348" t="s">
        <v>46</v>
      </c>
      <c r="C348" t="s">
        <v>59</v>
      </c>
      <c r="D348" t="s">
        <v>98</v>
      </c>
      <c r="E348" t="s">
        <v>163</v>
      </c>
      <c r="F348" t="s">
        <v>150</v>
      </c>
      <c r="G348" t="s">
        <v>85</v>
      </c>
      <c r="H348" t="s">
        <v>137</v>
      </c>
      <c r="I348" t="s">
        <v>72</v>
      </c>
    </row>
    <row r="349" spans="1:9">
      <c r="A349" t="s">
        <v>761</v>
      </c>
      <c r="B349" t="s">
        <v>72</v>
      </c>
      <c r="C349" t="s">
        <v>59</v>
      </c>
      <c r="D349" t="s">
        <v>98</v>
      </c>
      <c r="E349" t="s">
        <v>85</v>
      </c>
      <c r="F349" t="s">
        <v>46</v>
      </c>
      <c r="G349" t="s">
        <v>137</v>
      </c>
      <c r="H349" t="s">
        <v>150</v>
      </c>
      <c r="I349" t="s">
        <v>176</v>
      </c>
    </row>
    <row r="350" spans="1:9">
      <c r="A350" t="s">
        <v>762</v>
      </c>
      <c r="B350" t="s">
        <v>72</v>
      </c>
      <c r="C350" t="s">
        <v>59</v>
      </c>
      <c r="D350" t="s">
        <v>137</v>
      </c>
      <c r="E350" t="s">
        <v>163</v>
      </c>
      <c r="F350" t="s">
        <v>46</v>
      </c>
      <c r="G350" t="s">
        <v>85</v>
      </c>
      <c r="H350" t="s">
        <v>98</v>
      </c>
      <c r="I350" t="s">
        <v>176</v>
      </c>
    </row>
    <row r="351" spans="1:9">
      <c r="A351" t="s">
        <v>763</v>
      </c>
      <c r="B351" t="s">
        <v>46</v>
      </c>
      <c r="C351" t="s">
        <v>72</v>
      </c>
      <c r="D351" t="s">
        <v>59</v>
      </c>
      <c r="E351" t="s">
        <v>163</v>
      </c>
      <c r="F351" t="s">
        <v>150</v>
      </c>
      <c r="G351" t="s">
        <v>85</v>
      </c>
      <c r="H351" t="s">
        <v>98</v>
      </c>
      <c r="I351" t="s">
        <v>176</v>
      </c>
    </row>
    <row r="352" spans="1:9">
      <c r="A352" t="s">
        <v>764</v>
      </c>
      <c r="B352" t="s">
        <v>46</v>
      </c>
      <c r="C352" t="s">
        <v>72</v>
      </c>
      <c r="D352" t="s">
        <v>59</v>
      </c>
      <c r="E352" t="s">
        <v>124</v>
      </c>
      <c r="F352" t="s">
        <v>85</v>
      </c>
      <c r="G352" t="s">
        <v>137</v>
      </c>
      <c r="H352" t="s">
        <v>111</v>
      </c>
      <c r="I352" t="s">
        <v>150</v>
      </c>
    </row>
    <row r="353" spans="1:9">
      <c r="A353" t="s">
        <v>765</v>
      </c>
      <c r="B353" t="s">
        <v>46</v>
      </c>
      <c r="C353" t="s">
        <v>59</v>
      </c>
      <c r="D353" t="s">
        <v>137</v>
      </c>
      <c r="E353" t="s">
        <v>163</v>
      </c>
      <c r="F353" t="s">
        <v>85</v>
      </c>
      <c r="G353" t="s">
        <v>124</v>
      </c>
      <c r="H353" t="s">
        <v>111</v>
      </c>
      <c r="I353" t="s">
        <v>72</v>
      </c>
    </row>
    <row r="354" spans="1:9">
      <c r="A354" t="s">
        <v>766</v>
      </c>
      <c r="B354" t="s">
        <v>46</v>
      </c>
      <c r="C354" t="s">
        <v>72</v>
      </c>
      <c r="D354" t="s">
        <v>59</v>
      </c>
      <c r="E354" t="s">
        <v>124</v>
      </c>
      <c r="F354" t="s">
        <v>85</v>
      </c>
      <c r="G354" t="s">
        <v>137</v>
      </c>
      <c r="H354" t="s">
        <v>111</v>
      </c>
      <c r="I354" t="s">
        <v>176</v>
      </c>
    </row>
    <row r="355" spans="1:9">
      <c r="A355" t="s">
        <v>767</v>
      </c>
      <c r="B355" t="s">
        <v>46</v>
      </c>
      <c r="C355" t="s">
        <v>72</v>
      </c>
      <c r="D355" t="s">
        <v>59</v>
      </c>
      <c r="E355" t="s">
        <v>163</v>
      </c>
      <c r="F355" t="s">
        <v>85</v>
      </c>
      <c r="G355" t="s">
        <v>124</v>
      </c>
      <c r="H355" t="s">
        <v>111</v>
      </c>
      <c r="I355" t="s">
        <v>150</v>
      </c>
    </row>
    <row r="356" spans="1:9">
      <c r="A356" t="s">
        <v>768</v>
      </c>
      <c r="B356" t="s">
        <v>46</v>
      </c>
      <c r="C356" t="s">
        <v>72</v>
      </c>
      <c r="D356" t="s">
        <v>59</v>
      </c>
      <c r="E356" t="s">
        <v>124</v>
      </c>
      <c r="F356" t="s">
        <v>85</v>
      </c>
      <c r="G356" t="s">
        <v>150</v>
      </c>
      <c r="H356" t="s">
        <v>111</v>
      </c>
      <c r="I356" t="s">
        <v>176</v>
      </c>
    </row>
    <row r="357" spans="1:9">
      <c r="A357" t="s">
        <v>769</v>
      </c>
      <c r="B357" t="s">
        <v>59</v>
      </c>
      <c r="C357" t="s">
        <v>72</v>
      </c>
      <c r="D357" t="s">
        <v>124</v>
      </c>
      <c r="E357" t="s">
        <v>163</v>
      </c>
      <c r="F357" t="s">
        <v>46</v>
      </c>
      <c r="G357" t="s">
        <v>85</v>
      </c>
      <c r="H357" t="s">
        <v>111</v>
      </c>
      <c r="I357" t="s">
        <v>176</v>
      </c>
    </row>
    <row r="358" spans="1:9">
      <c r="A358" t="s">
        <v>770</v>
      </c>
      <c r="B358" t="s">
        <v>46</v>
      </c>
      <c r="C358" t="s">
        <v>59</v>
      </c>
      <c r="D358" t="s">
        <v>85</v>
      </c>
      <c r="E358" t="s">
        <v>163</v>
      </c>
      <c r="F358" t="s">
        <v>150</v>
      </c>
      <c r="G358" t="s">
        <v>137</v>
      </c>
      <c r="H358" t="s">
        <v>111</v>
      </c>
      <c r="I358" t="s">
        <v>72</v>
      </c>
    </row>
    <row r="359" spans="1:9">
      <c r="A359" t="s">
        <v>771</v>
      </c>
      <c r="B359" t="s">
        <v>46</v>
      </c>
      <c r="C359" t="s">
        <v>72</v>
      </c>
      <c r="D359" t="s">
        <v>59</v>
      </c>
      <c r="E359" t="s">
        <v>85</v>
      </c>
      <c r="F359" t="s">
        <v>150</v>
      </c>
      <c r="G359" t="s">
        <v>137</v>
      </c>
      <c r="H359" t="s">
        <v>111</v>
      </c>
      <c r="I359" t="s">
        <v>176</v>
      </c>
    </row>
    <row r="360" spans="1:9">
      <c r="A360" t="s">
        <v>772</v>
      </c>
      <c r="B360" t="s">
        <v>72</v>
      </c>
      <c r="C360" t="s">
        <v>111</v>
      </c>
      <c r="D360" t="s">
        <v>59</v>
      </c>
      <c r="E360" t="s">
        <v>163</v>
      </c>
      <c r="F360" t="s">
        <v>46</v>
      </c>
      <c r="G360" t="s">
        <v>85</v>
      </c>
      <c r="H360" t="s">
        <v>137</v>
      </c>
      <c r="I360" t="s">
        <v>176</v>
      </c>
    </row>
    <row r="361" spans="1:9">
      <c r="A361" t="s">
        <v>773</v>
      </c>
      <c r="B361" t="s">
        <v>46</v>
      </c>
      <c r="C361" t="s">
        <v>72</v>
      </c>
      <c r="D361" t="s">
        <v>59</v>
      </c>
      <c r="E361" t="s">
        <v>163</v>
      </c>
      <c r="F361" t="s">
        <v>150</v>
      </c>
      <c r="G361" t="s">
        <v>85</v>
      </c>
      <c r="H361" t="s">
        <v>111</v>
      </c>
      <c r="I361" t="s">
        <v>176</v>
      </c>
    </row>
    <row r="362" spans="1:9">
      <c r="A362" t="s">
        <v>774</v>
      </c>
      <c r="B362" t="s">
        <v>46</v>
      </c>
      <c r="C362" t="s">
        <v>59</v>
      </c>
      <c r="D362" t="s">
        <v>124</v>
      </c>
      <c r="E362" t="s">
        <v>163</v>
      </c>
      <c r="F362" t="s">
        <v>137</v>
      </c>
      <c r="G362" t="s">
        <v>150</v>
      </c>
      <c r="H362" t="s">
        <v>85</v>
      </c>
      <c r="I362" t="s">
        <v>72</v>
      </c>
    </row>
    <row r="363" spans="1:9">
      <c r="A363" t="s">
        <v>775</v>
      </c>
      <c r="B363" t="s">
        <v>46</v>
      </c>
      <c r="C363" t="s">
        <v>72</v>
      </c>
      <c r="D363" t="s">
        <v>59</v>
      </c>
      <c r="E363" t="s">
        <v>124</v>
      </c>
      <c r="F363" t="s">
        <v>137</v>
      </c>
      <c r="G363" t="s">
        <v>150</v>
      </c>
      <c r="H363" t="s">
        <v>85</v>
      </c>
      <c r="I363" t="s">
        <v>176</v>
      </c>
    </row>
    <row r="364" spans="1:9">
      <c r="A364" t="s">
        <v>776</v>
      </c>
      <c r="B364" t="s">
        <v>59</v>
      </c>
      <c r="C364" t="s">
        <v>72</v>
      </c>
      <c r="D364" t="s">
        <v>137</v>
      </c>
      <c r="E364" t="s">
        <v>163</v>
      </c>
      <c r="F364" t="s">
        <v>46</v>
      </c>
      <c r="G364" t="s">
        <v>124</v>
      </c>
      <c r="H364" t="s">
        <v>85</v>
      </c>
      <c r="I364" t="s">
        <v>176</v>
      </c>
    </row>
    <row r="365" spans="1:9">
      <c r="A365" t="s">
        <v>777</v>
      </c>
      <c r="B365" t="s">
        <v>72</v>
      </c>
      <c r="C365" t="s">
        <v>124</v>
      </c>
      <c r="D365" t="s">
        <v>59</v>
      </c>
      <c r="E365" t="s">
        <v>163</v>
      </c>
      <c r="F365" t="s">
        <v>46</v>
      </c>
      <c r="G365" t="s">
        <v>150</v>
      </c>
      <c r="H365" t="s">
        <v>85</v>
      </c>
      <c r="I365" t="s">
        <v>176</v>
      </c>
    </row>
    <row r="366" spans="1:9">
      <c r="A366" t="s">
        <v>778</v>
      </c>
      <c r="B366" t="s">
        <v>72</v>
      </c>
      <c r="C366" t="s">
        <v>59</v>
      </c>
      <c r="D366" t="s">
        <v>85</v>
      </c>
      <c r="E366" t="s">
        <v>163</v>
      </c>
      <c r="F366" t="s">
        <v>46</v>
      </c>
      <c r="G366" t="s">
        <v>137</v>
      </c>
      <c r="H366" t="s">
        <v>150</v>
      </c>
      <c r="I366" t="s">
        <v>176</v>
      </c>
    </row>
    <row r="367" spans="1:9">
      <c r="A367" t="s">
        <v>779</v>
      </c>
      <c r="B367" t="s">
        <v>46</v>
      </c>
      <c r="C367" t="s">
        <v>98</v>
      </c>
      <c r="D367" t="s">
        <v>59</v>
      </c>
      <c r="E367" t="s">
        <v>124</v>
      </c>
      <c r="F367" t="s">
        <v>150</v>
      </c>
      <c r="G367" t="s">
        <v>137</v>
      </c>
      <c r="H367" t="s">
        <v>111</v>
      </c>
      <c r="I367" t="s">
        <v>72</v>
      </c>
    </row>
    <row r="368" spans="1:9">
      <c r="A368" t="s">
        <v>780</v>
      </c>
      <c r="B368" t="s">
        <v>59</v>
      </c>
      <c r="C368" t="s">
        <v>111</v>
      </c>
      <c r="D368" t="s">
        <v>98</v>
      </c>
      <c r="E368" t="s">
        <v>163</v>
      </c>
      <c r="F368" t="s">
        <v>46</v>
      </c>
      <c r="G368" t="s">
        <v>124</v>
      </c>
      <c r="H368" t="s">
        <v>137</v>
      </c>
      <c r="I368" t="s">
        <v>72</v>
      </c>
    </row>
    <row r="369" spans="1:9">
      <c r="A369" t="s">
        <v>781</v>
      </c>
      <c r="B369" t="s">
        <v>72</v>
      </c>
      <c r="C369" t="s">
        <v>111</v>
      </c>
      <c r="D369" t="s">
        <v>59</v>
      </c>
      <c r="E369" t="s">
        <v>124</v>
      </c>
      <c r="F369" t="s">
        <v>46</v>
      </c>
      <c r="G369" t="s">
        <v>137</v>
      </c>
      <c r="H369" t="s">
        <v>98</v>
      </c>
      <c r="I369" t="s">
        <v>176</v>
      </c>
    </row>
    <row r="370" spans="1:9">
      <c r="A370" t="s">
        <v>782</v>
      </c>
      <c r="B370" t="s">
        <v>46</v>
      </c>
      <c r="C370" t="s">
        <v>98</v>
      </c>
      <c r="D370" t="s">
        <v>59</v>
      </c>
      <c r="E370" t="s">
        <v>163</v>
      </c>
      <c r="F370" t="s">
        <v>150</v>
      </c>
      <c r="G370" t="s">
        <v>124</v>
      </c>
      <c r="H370" t="s">
        <v>111</v>
      </c>
      <c r="I370" t="s">
        <v>72</v>
      </c>
    </row>
    <row r="371" spans="1:9">
      <c r="A371" t="s">
        <v>783</v>
      </c>
      <c r="B371" t="s">
        <v>72</v>
      </c>
      <c r="C371" t="s">
        <v>111</v>
      </c>
      <c r="D371" t="s">
        <v>59</v>
      </c>
      <c r="E371" t="s">
        <v>124</v>
      </c>
      <c r="F371" t="s">
        <v>46</v>
      </c>
      <c r="G371" t="s">
        <v>150</v>
      </c>
      <c r="H371" t="s">
        <v>98</v>
      </c>
      <c r="I371" t="s">
        <v>176</v>
      </c>
    </row>
    <row r="372" spans="1:9">
      <c r="A372" t="s">
        <v>784</v>
      </c>
      <c r="B372" t="s">
        <v>72</v>
      </c>
      <c r="C372" t="s">
        <v>111</v>
      </c>
      <c r="D372" t="s">
        <v>59</v>
      </c>
      <c r="E372" t="s">
        <v>163</v>
      </c>
      <c r="F372" t="s">
        <v>46</v>
      </c>
      <c r="G372" t="s">
        <v>124</v>
      </c>
      <c r="H372" t="s">
        <v>98</v>
      </c>
      <c r="I372" t="s">
        <v>176</v>
      </c>
    </row>
    <row r="373" spans="1:9">
      <c r="A373" t="s">
        <v>785</v>
      </c>
      <c r="B373" t="s">
        <v>46</v>
      </c>
      <c r="C373" t="s">
        <v>98</v>
      </c>
      <c r="D373" t="s">
        <v>59</v>
      </c>
      <c r="E373" t="s">
        <v>163</v>
      </c>
      <c r="F373" t="s">
        <v>150</v>
      </c>
      <c r="G373" t="s">
        <v>137</v>
      </c>
      <c r="H373" t="s">
        <v>111</v>
      </c>
      <c r="I373" t="s">
        <v>72</v>
      </c>
    </row>
    <row r="374" spans="1:9">
      <c r="A374" t="s">
        <v>786</v>
      </c>
      <c r="B374" t="s">
        <v>72</v>
      </c>
      <c r="C374" t="s">
        <v>111</v>
      </c>
      <c r="D374" t="s">
        <v>59</v>
      </c>
      <c r="E374" t="s">
        <v>137</v>
      </c>
      <c r="F374" t="s">
        <v>46</v>
      </c>
      <c r="G374" t="s">
        <v>150</v>
      </c>
      <c r="H374" t="s">
        <v>98</v>
      </c>
      <c r="I374" t="s">
        <v>176</v>
      </c>
    </row>
    <row r="375" spans="1:9">
      <c r="A375" t="s">
        <v>787</v>
      </c>
      <c r="B375" t="s">
        <v>72</v>
      </c>
      <c r="C375" t="s">
        <v>111</v>
      </c>
      <c r="D375" t="s">
        <v>59</v>
      </c>
      <c r="E375" t="s">
        <v>163</v>
      </c>
      <c r="F375" t="s">
        <v>46</v>
      </c>
      <c r="G375" t="s">
        <v>137</v>
      </c>
      <c r="H375" t="s">
        <v>98</v>
      </c>
      <c r="I375" t="s">
        <v>176</v>
      </c>
    </row>
    <row r="376" spans="1:9">
      <c r="A376" t="s">
        <v>788</v>
      </c>
      <c r="B376" t="s">
        <v>72</v>
      </c>
      <c r="C376" t="s">
        <v>111</v>
      </c>
      <c r="D376" t="s">
        <v>59</v>
      </c>
      <c r="E376" t="s">
        <v>163</v>
      </c>
      <c r="F376" t="s">
        <v>46</v>
      </c>
      <c r="G376" t="s">
        <v>150</v>
      </c>
      <c r="H376" t="s">
        <v>98</v>
      </c>
      <c r="I376" t="s">
        <v>176</v>
      </c>
    </row>
    <row r="377" spans="1:9">
      <c r="A377" t="s">
        <v>789</v>
      </c>
      <c r="B377" t="s">
        <v>46</v>
      </c>
      <c r="C377" t="s">
        <v>59</v>
      </c>
      <c r="D377" t="s">
        <v>137</v>
      </c>
      <c r="E377" t="s">
        <v>163</v>
      </c>
      <c r="F377" t="s">
        <v>150</v>
      </c>
      <c r="G377" t="s">
        <v>124</v>
      </c>
      <c r="H377" t="s">
        <v>98</v>
      </c>
      <c r="I377" t="s">
        <v>72</v>
      </c>
    </row>
    <row r="378" spans="1:9">
      <c r="A378" t="s">
        <v>790</v>
      </c>
      <c r="B378" t="s">
        <v>46</v>
      </c>
      <c r="C378" t="s">
        <v>72</v>
      </c>
      <c r="D378" t="s">
        <v>59</v>
      </c>
      <c r="E378" t="s">
        <v>124</v>
      </c>
      <c r="F378" t="s">
        <v>150</v>
      </c>
      <c r="G378" t="s">
        <v>137</v>
      </c>
      <c r="H378" t="s">
        <v>98</v>
      </c>
      <c r="I378" t="s">
        <v>176</v>
      </c>
    </row>
    <row r="379" spans="1:9">
      <c r="A379" t="s">
        <v>791</v>
      </c>
      <c r="B379" t="s">
        <v>72</v>
      </c>
      <c r="C379" t="s">
        <v>59</v>
      </c>
      <c r="D379" t="s">
        <v>137</v>
      </c>
      <c r="E379" t="s">
        <v>163</v>
      </c>
      <c r="F379" t="s">
        <v>46</v>
      </c>
      <c r="G379" t="s">
        <v>124</v>
      </c>
      <c r="H379" t="s">
        <v>98</v>
      </c>
      <c r="I379" t="s">
        <v>176</v>
      </c>
    </row>
    <row r="380" spans="1:9">
      <c r="A380" t="s">
        <v>792</v>
      </c>
      <c r="B380" t="s">
        <v>46</v>
      </c>
      <c r="C380" t="s">
        <v>72</v>
      </c>
      <c r="D380" t="s">
        <v>59</v>
      </c>
      <c r="E380" t="s">
        <v>163</v>
      </c>
      <c r="F380" t="s">
        <v>150</v>
      </c>
      <c r="G380" t="s">
        <v>124</v>
      </c>
      <c r="H380" t="s">
        <v>98</v>
      </c>
      <c r="I380" t="s">
        <v>176</v>
      </c>
    </row>
    <row r="381" spans="1:9">
      <c r="A381" t="s">
        <v>793</v>
      </c>
      <c r="B381" t="s">
        <v>46</v>
      </c>
      <c r="C381" t="s">
        <v>72</v>
      </c>
      <c r="D381" t="s">
        <v>59</v>
      </c>
      <c r="E381" t="s">
        <v>163</v>
      </c>
      <c r="F381" t="s">
        <v>150</v>
      </c>
      <c r="G381" t="s">
        <v>137</v>
      </c>
      <c r="H381" t="s">
        <v>98</v>
      </c>
      <c r="I381" t="s">
        <v>176</v>
      </c>
    </row>
    <row r="382" spans="1:9">
      <c r="A382" t="s">
        <v>794</v>
      </c>
      <c r="B382" t="s">
        <v>46</v>
      </c>
      <c r="C382" t="s">
        <v>72</v>
      </c>
      <c r="D382" t="s">
        <v>59</v>
      </c>
      <c r="E382" t="s">
        <v>163</v>
      </c>
      <c r="F382" t="s">
        <v>137</v>
      </c>
      <c r="G382" t="s">
        <v>124</v>
      </c>
      <c r="H382" t="s">
        <v>111</v>
      </c>
      <c r="I382" t="s">
        <v>150</v>
      </c>
    </row>
    <row r="383" spans="1:9">
      <c r="A383" t="s">
        <v>795</v>
      </c>
      <c r="B383" t="s">
        <v>46</v>
      </c>
      <c r="C383" t="s">
        <v>72</v>
      </c>
      <c r="D383" t="s">
        <v>59</v>
      </c>
      <c r="E383" t="s">
        <v>124</v>
      </c>
      <c r="F383" t="s">
        <v>137</v>
      </c>
      <c r="G383" t="s">
        <v>150</v>
      </c>
      <c r="H383" t="s">
        <v>111</v>
      </c>
      <c r="I383" t="s">
        <v>176</v>
      </c>
    </row>
    <row r="384" spans="1:9">
      <c r="A384" t="s">
        <v>796</v>
      </c>
      <c r="B384" t="s">
        <v>59</v>
      </c>
      <c r="C384" t="s">
        <v>72</v>
      </c>
      <c r="D384" t="s">
        <v>137</v>
      </c>
      <c r="E384" t="s">
        <v>163</v>
      </c>
      <c r="F384" t="s">
        <v>46</v>
      </c>
      <c r="G384" t="s">
        <v>124</v>
      </c>
      <c r="H384" t="s">
        <v>111</v>
      </c>
      <c r="I384" t="s">
        <v>176</v>
      </c>
    </row>
    <row r="385" spans="1:9">
      <c r="A385" t="s">
        <v>797</v>
      </c>
      <c r="B385" t="s">
        <v>72</v>
      </c>
      <c r="C385" t="s">
        <v>111</v>
      </c>
      <c r="D385" t="s">
        <v>59</v>
      </c>
      <c r="E385" t="s">
        <v>163</v>
      </c>
      <c r="F385" t="s">
        <v>46</v>
      </c>
      <c r="G385" t="s">
        <v>124</v>
      </c>
      <c r="H385" t="s">
        <v>150</v>
      </c>
      <c r="I385" t="s">
        <v>176</v>
      </c>
    </row>
    <row r="386" spans="1:9">
      <c r="A386" t="s">
        <v>798</v>
      </c>
      <c r="B386" t="s">
        <v>46</v>
      </c>
      <c r="C386" t="s">
        <v>72</v>
      </c>
      <c r="D386" t="s">
        <v>59</v>
      </c>
      <c r="E386" t="s">
        <v>163</v>
      </c>
      <c r="F386" t="s">
        <v>150</v>
      </c>
      <c r="G386" t="s">
        <v>137</v>
      </c>
      <c r="H386" t="s">
        <v>111</v>
      </c>
      <c r="I386" t="s">
        <v>176</v>
      </c>
    </row>
    <row r="387" spans="1:9">
      <c r="A387" t="s">
        <v>799</v>
      </c>
      <c r="B387" t="s">
        <v>72</v>
      </c>
      <c r="C387" t="s">
        <v>124</v>
      </c>
      <c r="D387" t="s">
        <v>59</v>
      </c>
      <c r="E387" t="s">
        <v>163</v>
      </c>
      <c r="F387" t="s">
        <v>46</v>
      </c>
      <c r="G387" t="s">
        <v>150</v>
      </c>
      <c r="H387" t="s">
        <v>137</v>
      </c>
      <c r="I387" t="s">
        <v>176</v>
      </c>
    </row>
    <row r="388" spans="1:9">
      <c r="A388" t="s">
        <v>800</v>
      </c>
      <c r="B388" t="s">
        <v>46</v>
      </c>
      <c r="C388" t="s">
        <v>111</v>
      </c>
      <c r="D388" t="s">
        <v>59</v>
      </c>
      <c r="E388" t="s">
        <v>124</v>
      </c>
      <c r="F388" t="s">
        <v>98</v>
      </c>
      <c r="G388" t="s">
        <v>137</v>
      </c>
      <c r="H388" t="s">
        <v>150</v>
      </c>
      <c r="I388" t="s">
        <v>85</v>
      </c>
    </row>
    <row r="389" spans="1:9">
      <c r="A389" t="s">
        <v>801</v>
      </c>
      <c r="B389" t="s">
        <v>46</v>
      </c>
      <c r="C389" t="s">
        <v>59</v>
      </c>
      <c r="D389" t="s">
        <v>137</v>
      </c>
      <c r="E389" t="s">
        <v>163</v>
      </c>
      <c r="F389" t="s">
        <v>98</v>
      </c>
      <c r="G389" t="s">
        <v>124</v>
      </c>
      <c r="H389" t="s">
        <v>111</v>
      </c>
      <c r="I389" t="s">
        <v>85</v>
      </c>
    </row>
    <row r="390" spans="1:9">
      <c r="A390" t="s">
        <v>802</v>
      </c>
      <c r="B390" t="s">
        <v>46</v>
      </c>
      <c r="C390" t="s">
        <v>59</v>
      </c>
      <c r="D390" t="s">
        <v>137</v>
      </c>
      <c r="E390" t="s">
        <v>85</v>
      </c>
      <c r="F390" t="s">
        <v>98</v>
      </c>
      <c r="G390" t="s">
        <v>124</v>
      </c>
      <c r="H390" t="s">
        <v>111</v>
      </c>
      <c r="I390" t="s">
        <v>176</v>
      </c>
    </row>
    <row r="391" spans="1:9">
      <c r="A391" t="s">
        <v>803</v>
      </c>
      <c r="B391" t="s">
        <v>46</v>
      </c>
      <c r="C391" t="s">
        <v>98</v>
      </c>
      <c r="D391" t="s">
        <v>59</v>
      </c>
      <c r="E391" t="s">
        <v>163</v>
      </c>
      <c r="F391" t="s">
        <v>150</v>
      </c>
      <c r="G391" t="s">
        <v>124</v>
      </c>
      <c r="H391" t="s">
        <v>111</v>
      </c>
      <c r="I391" t="s">
        <v>85</v>
      </c>
    </row>
    <row r="392" spans="1:9">
      <c r="A392" t="s">
        <v>804</v>
      </c>
      <c r="B392" t="s">
        <v>46</v>
      </c>
      <c r="C392" t="s">
        <v>111</v>
      </c>
      <c r="D392" t="s">
        <v>59</v>
      </c>
      <c r="E392" t="s">
        <v>85</v>
      </c>
      <c r="F392" t="s">
        <v>98</v>
      </c>
      <c r="G392" t="s">
        <v>124</v>
      </c>
      <c r="H392" t="s">
        <v>150</v>
      </c>
      <c r="I392" t="s">
        <v>176</v>
      </c>
    </row>
    <row r="393" spans="1:9">
      <c r="A393" t="s">
        <v>805</v>
      </c>
      <c r="B393" t="s">
        <v>59</v>
      </c>
      <c r="C393" t="s">
        <v>111</v>
      </c>
      <c r="D393" t="s">
        <v>124</v>
      </c>
      <c r="E393" t="s">
        <v>163</v>
      </c>
      <c r="F393" t="s">
        <v>46</v>
      </c>
      <c r="G393" t="s">
        <v>85</v>
      </c>
      <c r="H393" t="s">
        <v>98</v>
      </c>
      <c r="I393" t="s">
        <v>176</v>
      </c>
    </row>
    <row r="394" spans="1:9">
      <c r="A394" t="s">
        <v>806</v>
      </c>
      <c r="B394" t="s">
        <v>46</v>
      </c>
      <c r="C394" t="s">
        <v>59</v>
      </c>
      <c r="D394" t="s">
        <v>98</v>
      </c>
      <c r="E394" t="s">
        <v>163</v>
      </c>
      <c r="F394" t="s">
        <v>150</v>
      </c>
      <c r="G394" t="s">
        <v>85</v>
      </c>
      <c r="H394" t="s">
        <v>111</v>
      </c>
      <c r="I394" t="s">
        <v>137</v>
      </c>
    </row>
    <row r="395" spans="1:9">
      <c r="A395" t="s">
        <v>807</v>
      </c>
      <c r="B395" t="s">
        <v>46</v>
      </c>
      <c r="C395" t="s">
        <v>59</v>
      </c>
      <c r="D395" t="s">
        <v>98</v>
      </c>
      <c r="E395" t="s">
        <v>85</v>
      </c>
      <c r="F395" t="s">
        <v>150</v>
      </c>
      <c r="G395" t="s">
        <v>137</v>
      </c>
      <c r="H395" t="s">
        <v>111</v>
      </c>
      <c r="I395" t="s">
        <v>176</v>
      </c>
    </row>
    <row r="396" spans="1:9">
      <c r="A396" t="s">
        <v>808</v>
      </c>
      <c r="B396" t="s">
        <v>46</v>
      </c>
      <c r="C396" t="s">
        <v>59</v>
      </c>
      <c r="D396" t="s">
        <v>137</v>
      </c>
      <c r="E396" t="s">
        <v>163</v>
      </c>
      <c r="F396" t="s">
        <v>98</v>
      </c>
      <c r="G396" t="s">
        <v>85</v>
      </c>
      <c r="H396" t="s">
        <v>111</v>
      </c>
      <c r="I396" t="s">
        <v>176</v>
      </c>
    </row>
    <row r="397" spans="1:9">
      <c r="A397" t="s">
        <v>809</v>
      </c>
      <c r="B397" t="s">
        <v>46</v>
      </c>
      <c r="C397" t="s">
        <v>98</v>
      </c>
      <c r="D397" t="s">
        <v>59</v>
      </c>
      <c r="E397" t="s">
        <v>163</v>
      </c>
      <c r="F397" t="s">
        <v>150</v>
      </c>
      <c r="G397" t="s">
        <v>85</v>
      </c>
      <c r="H397" t="s">
        <v>111</v>
      </c>
      <c r="I397" t="s">
        <v>176</v>
      </c>
    </row>
    <row r="398" spans="1:9">
      <c r="A398" t="s">
        <v>810</v>
      </c>
      <c r="B398" t="s">
        <v>46</v>
      </c>
      <c r="C398" t="s">
        <v>59</v>
      </c>
      <c r="D398" t="s">
        <v>98</v>
      </c>
      <c r="E398" t="s">
        <v>163</v>
      </c>
      <c r="F398" t="s">
        <v>150</v>
      </c>
      <c r="G398" t="s">
        <v>124</v>
      </c>
      <c r="H398" t="s">
        <v>137</v>
      </c>
      <c r="I398" t="s">
        <v>85</v>
      </c>
    </row>
    <row r="399" spans="1:9">
      <c r="A399" t="s">
        <v>811</v>
      </c>
      <c r="B399" t="s">
        <v>46</v>
      </c>
      <c r="C399" t="s">
        <v>59</v>
      </c>
      <c r="D399" t="s">
        <v>98</v>
      </c>
      <c r="E399" t="s">
        <v>85</v>
      </c>
      <c r="F399" t="s">
        <v>150</v>
      </c>
      <c r="G399" t="s">
        <v>124</v>
      </c>
      <c r="H399" t="s">
        <v>137</v>
      </c>
      <c r="I399" t="s">
        <v>176</v>
      </c>
    </row>
    <row r="400" spans="1:9">
      <c r="A400" t="s">
        <v>812</v>
      </c>
      <c r="B400" t="s">
        <v>46</v>
      </c>
      <c r="C400" t="s">
        <v>59</v>
      </c>
      <c r="D400" t="s">
        <v>124</v>
      </c>
      <c r="E400" t="s">
        <v>163</v>
      </c>
      <c r="F400" t="s">
        <v>137</v>
      </c>
      <c r="G400" t="s">
        <v>85</v>
      </c>
      <c r="H400" t="s">
        <v>98</v>
      </c>
      <c r="I400" t="s">
        <v>176</v>
      </c>
    </row>
    <row r="401" spans="1:9">
      <c r="A401" t="s">
        <v>813</v>
      </c>
      <c r="B401" t="s">
        <v>46</v>
      </c>
      <c r="C401" t="s">
        <v>59</v>
      </c>
      <c r="D401" t="s">
        <v>124</v>
      </c>
      <c r="E401" t="s">
        <v>163</v>
      </c>
      <c r="F401" t="s">
        <v>150</v>
      </c>
      <c r="G401" t="s">
        <v>85</v>
      </c>
      <c r="H401" t="s">
        <v>98</v>
      </c>
      <c r="I401" t="s">
        <v>176</v>
      </c>
    </row>
    <row r="402" spans="1:9">
      <c r="A402" t="s">
        <v>814</v>
      </c>
      <c r="B402" t="s">
        <v>46</v>
      </c>
      <c r="C402" t="s">
        <v>59</v>
      </c>
      <c r="D402" t="s">
        <v>98</v>
      </c>
      <c r="E402" t="s">
        <v>163</v>
      </c>
      <c r="F402" t="s">
        <v>150</v>
      </c>
      <c r="G402" t="s">
        <v>85</v>
      </c>
      <c r="H402" t="s">
        <v>137</v>
      </c>
      <c r="I402" t="s">
        <v>176</v>
      </c>
    </row>
    <row r="403" spans="1:9">
      <c r="A403" t="s">
        <v>815</v>
      </c>
      <c r="B403" t="s">
        <v>46</v>
      </c>
      <c r="C403" t="s">
        <v>59</v>
      </c>
      <c r="D403" t="s">
        <v>124</v>
      </c>
      <c r="E403" t="s">
        <v>163</v>
      </c>
      <c r="F403" t="s">
        <v>137</v>
      </c>
      <c r="G403" t="s">
        <v>150</v>
      </c>
      <c r="H403" t="s">
        <v>111</v>
      </c>
      <c r="I403" t="s">
        <v>85</v>
      </c>
    </row>
    <row r="404" spans="1:9">
      <c r="A404" t="s">
        <v>816</v>
      </c>
      <c r="B404" t="s">
        <v>46</v>
      </c>
      <c r="C404" t="s">
        <v>59</v>
      </c>
      <c r="D404" t="s">
        <v>124</v>
      </c>
      <c r="E404" t="s">
        <v>137</v>
      </c>
      <c r="F404" t="s">
        <v>85</v>
      </c>
      <c r="G404" t="s">
        <v>150</v>
      </c>
      <c r="H404" t="s">
        <v>111</v>
      </c>
      <c r="I404" t="s">
        <v>176</v>
      </c>
    </row>
    <row r="405" spans="1:9">
      <c r="A405" t="s">
        <v>817</v>
      </c>
      <c r="B405" t="s">
        <v>46</v>
      </c>
      <c r="C405" t="s">
        <v>59</v>
      </c>
      <c r="D405" t="s">
        <v>137</v>
      </c>
      <c r="E405" t="s">
        <v>163</v>
      </c>
      <c r="F405" t="s">
        <v>85</v>
      </c>
      <c r="G405" t="s">
        <v>124</v>
      </c>
      <c r="H405" t="s">
        <v>111</v>
      </c>
      <c r="I405" t="s">
        <v>176</v>
      </c>
    </row>
    <row r="406" spans="1:9">
      <c r="A406" t="s">
        <v>818</v>
      </c>
      <c r="B406" t="s">
        <v>46</v>
      </c>
      <c r="C406" t="s">
        <v>111</v>
      </c>
      <c r="D406" t="s">
        <v>59</v>
      </c>
      <c r="E406" t="s">
        <v>163</v>
      </c>
      <c r="F406" t="s">
        <v>85</v>
      </c>
      <c r="G406" t="s">
        <v>124</v>
      </c>
      <c r="H406" t="s">
        <v>150</v>
      </c>
      <c r="I406" t="s">
        <v>176</v>
      </c>
    </row>
    <row r="407" spans="1:9">
      <c r="A407" t="s">
        <v>819</v>
      </c>
      <c r="B407" t="s">
        <v>46</v>
      </c>
      <c r="C407" t="s">
        <v>59</v>
      </c>
      <c r="D407" t="s">
        <v>85</v>
      </c>
      <c r="E407" t="s">
        <v>163</v>
      </c>
      <c r="F407" t="s">
        <v>150</v>
      </c>
      <c r="G407" t="s">
        <v>137</v>
      </c>
      <c r="H407" t="s">
        <v>111</v>
      </c>
      <c r="I407" t="s">
        <v>176</v>
      </c>
    </row>
    <row r="408" spans="1:9">
      <c r="A408" t="s">
        <v>820</v>
      </c>
      <c r="B408" t="s">
        <v>46</v>
      </c>
      <c r="C408" t="s">
        <v>59</v>
      </c>
      <c r="D408" t="s">
        <v>124</v>
      </c>
      <c r="E408" t="s">
        <v>163</v>
      </c>
      <c r="F408" t="s">
        <v>137</v>
      </c>
      <c r="G408" t="s">
        <v>150</v>
      </c>
      <c r="H408" t="s">
        <v>85</v>
      </c>
      <c r="I408" t="s">
        <v>176</v>
      </c>
    </row>
    <row r="409" spans="1:9">
      <c r="A409" t="s">
        <v>821</v>
      </c>
      <c r="B409" t="s">
        <v>46</v>
      </c>
      <c r="C409" t="s">
        <v>98</v>
      </c>
      <c r="D409" t="s">
        <v>59</v>
      </c>
      <c r="E409" t="s">
        <v>163</v>
      </c>
      <c r="F409" t="s">
        <v>150</v>
      </c>
      <c r="G409" t="s">
        <v>124</v>
      </c>
      <c r="H409" t="s">
        <v>111</v>
      </c>
      <c r="I409" t="s">
        <v>137</v>
      </c>
    </row>
    <row r="410" spans="1:9">
      <c r="A410" t="s">
        <v>822</v>
      </c>
      <c r="B410" t="s">
        <v>46</v>
      </c>
      <c r="C410" t="s">
        <v>111</v>
      </c>
      <c r="D410" t="s">
        <v>59</v>
      </c>
      <c r="E410" t="s">
        <v>124</v>
      </c>
      <c r="F410" t="s">
        <v>98</v>
      </c>
      <c r="G410" t="s">
        <v>137</v>
      </c>
      <c r="H410" t="s">
        <v>150</v>
      </c>
      <c r="I410" t="s">
        <v>176</v>
      </c>
    </row>
    <row r="411" spans="1:9">
      <c r="A411" t="s">
        <v>823</v>
      </c>
      <c r="B411" t="s">
        <v>46</v>
      </c>
      <c r="C411" t="s">
        <v>59</v>
      </c>
      <c r="D411" t="s">
        <v>137</v>
      </c>
      <c r="E411" t="s">
        <v>163</v>
      </c>
      <c r="F411" t="s">
        <v>98</v>
      </c>
      <c r="G411" t="s">
        <v>124</v>
      </c>
      <c r="H411" t="s">
        <v>111</v>
      </c>
      <c r="I411" t="s">
        <v>176</v>
      </c>
    </row>
    <row r="412" spans="1:9">
      <c r="A412" t="s">
        <v>824</v>
      </c>
      <c r="B412" t="s">
        <v>46</v>
      </c>
      <c r="C412" t="s">
        <v>98</v>
      </c>
      <c r="D412" t="s">
        <v>59</v>
      </c>
      <c r="E412" t="s">
        <v>163</v>
      </c>
      <c r="F412" t="s">
        <v>150</v>
      </c>
      <c r="G412" t="s">
        <v>124</v>
      </c>
      <c r="H412" t="s">
        <v>111</v>
      </c>
      <c r="I412" t="s">
        <v>176</v>
      </c>
    </row>
    <row r="413" spans="1:9">
      <c r="A413" t="s">
        <v>825</v>
      </c>
      <c r="B413" t="s">
        <v>46</v>
      </c>
      <c r="C413" t="s">
        <v>98</v>
      </c>
      <c r="D413" t="s">
        <v>59</v>
      </c>
      <c r="E413" t="s">
        <v>163</v>
      </c>
      <c r="F413" t="s">
        <v>150</v>
      </c>
      <c r="G413" t="s">
        <v>137</v>
      </c>
      <c r="H413" t="s">
        <v>111</v>
      </c>
      <c r="I413" t="s">
        <v>176</v>
      </c>
    </row>
    <row r="414" spans="1:9">
      <c r="A414" t="s">
        <v>826</v>
      </c>
      <c r="B414" t="s">
        <v>46</v>
      </c>
      <c r="C414" t="s">
        <v>59</v>
      </c>
      <c r="D414" t="s">
        <v>98</v>
      </c>
      <c r="E414" t="s">
        <v>163</v>
      </c>
      <c r="F414" t="s">
        <v>150</v>
      </c>
      <c r="G414" t="s">
        <v>124</v>
      </c>
      <c r="H414" t="s">
        <v>137</v>
      </c>
      <c r="I414" t="s">
        <v>176</v>
      </c>
    </row>
    <row r="415" spans="1:9">
      <c r="A415" t="s">
        <v>827</v>
      </c>
      <c r="B415" t="s">
        <v>46</v>
      </c>
      <c r="C415" t="s">
        <v>111</v>
      </c>
      <c r="D415" t="s">
        <v>59</v>
      </c>
      <c r="E415" t="s">
        <v>163</v>
      </c>
      <c r="F415" t="s">
        <v>137</v>
      </c>
      <c r="G415" t="s">
        <v>124</v>
      </c>
      <c r="H415" t="s">
        <v>150</v>
      </c>
      <c r="I415" t="s">
        <v>176</v>
      </c>
    </row>
    <row r="416" spans="1:9">
      <c r="A416" t="s">
        <v>828</v>
      </c>
      <c r="B416" t="s">
        <v>46</v>
      </c>
      <c r="C416" t="s">
        <v>72</v>
      </c>
      <c r="D416" t="s">
        <v>98</v>
      </c>
      <c r="E416" t="s">
        <v>124</v>
      </c>
      <c r="F416" t="s">
        <v>137</v>
      </c>
      <c r="G416" t="s">
        <v>150</v>
      </c>
      <c r="H416" t="s">
        <v>111</v>
      </c>
      <c r="I416" t="s">
        <v>85</v>
      </c>
    </row>
    <row r="417" spans="1:9">
      <c r="A417" t="s">
        <v>829</v>
      </c>
      <c r="B417" t="s">
        <v>46</v>
      </c>
      <c r="C417" t="s">
        <v>111</v>
      </c>
      <c r="D417" t="s">
        <v>124</v>
      </c>
      <c r="E417" t="s">
        <v>163</v>
      </c>
      <c r="F417" t="s">
        <v>98</v>
      </c>
      <c r="G417" t="s">
        <v>85</v>
      </c>
      <c r="H417" t="s">
        <v>137</v>
      </c>
      <c r="I417" t="s">
        <v>72</v>
      </c>
    </row>
    <row r="418" spans="1:9">
      <c r="A418" t="s">
        <v>830</v>
      </c>
      <c r="B418" t="s">
        <v>46</v>
      </c>
      <c r="C418" t="s">
        <v>72</v>
      </c>
      <c r="D418" t="s">
        <v>137</v>
      </c>
      <c r="E418" t="s">
        <v>85</v>
      </c>
      <c r="F418" t="s">
        <v>98</v>
      </c>
      <c r="G418" t="s">
        <v>124</v>
      </c>
      <c r="H418" t="s">
        <v>111</v>
      </c>
      <c r="I418" t="s">
        <v>176</v>
      </c>
    </row>
    <row r="419" spans="1:9">
      <c r="A419" t="s">
        <v>831</v>
      </c>
      <c r="B419" t="s">
        <v>46</v>
      </c>
      <c r="C419" t="s">
        <v>111</v>
      </c>
      <c r="D419" t="s">
        <v>85</v>
      </c>
      <c r="E419" t="s">
        <v>163</v>
      </c>
      <c r="F419" t="s">
        <v>98</v>
      </c>
      <c r="G419" t="s">
        <v>124</v>
      </c>
      <c r="H419" t="s">
        <v>150</v>
      </c>
      <c r="I419" t="s">
        <v>72</v>
      </c>
    </row>
    <row r="420" spans="1:9">
      <c r="A420" t="s">
        <v>832</v>
      </c>
      <c r="B420" t="s">
        <v>46</v>
      </c>
      <c r="C420" t="s">
        <v>72</v>
      </c>
      <c r="D420" t="s">
        <v>85</v>
      </c>
      <c r="E420" t="s">
        <v>124</v>
      </c>
      <c r="F420" t="s">
        <v>98</v>
      </c>
      <c r="G420" t="s">
        <v>150</v>
      </c>
      <c r="H420" t="s">
        <v>111</v>
      </c>
      <c r="I420" t="s">
        <v>176</v>
      </c>
    </row>
    <row r="421" spans="1:9">
      <c r="A421" t="s">
        <v>833</v>
      </c>
      <c r="B421" t="s">
        <v>72</v>
      </c>
      <c r="C421" t="s">
        <v>124</v>
      </c>
      <c r="D421" t="s">
        <v>98</v>
      </c>
      <c r="E421" t="s">
        <v>163</v>
      </c>
      <c r="F421" t="s">
        <v>46</v>
      </c>
      <c r="G421" t="s">
        <v>85</v>
      </c>
      <c r="H421" t="s">
        <v>111</v>
      </c>
      <c r="I421" t="s">
        <v>176</v>
      </c>
    </row>
    <row r="422" spans="1:9">
      <c r="A422" t="s">
        <v>834</v>
      </c>
      <c r="B422" t="s">
        <v>46</v>
      </c>
      <c r="C422" t="s">
        <v>72</v>
      </c>
      <c r="D422" t="s">
        <v>85</v>
      </c>
      <c r="E422" t="s">
        <v>163</v>
      </c>
      <c r="F422" t="s">
        <v>98</v>
      </c>
      <c r="G422" t="s">
        <v>137</v>
      </c>
      <c r="H422" t="s">
        <v>111</v>
      </c>
      <c r="I422" t="s">
        <v>150</v>
      </c>
    </row>
    <row r="423" spans="1:9">
      <c r="A423" t="s">
        <v>835</v>
      </c>
      <c r="B423" t="s">
        <v>46</v>
      </c>
      <c r="C423" t="s">
        <v>72</v>
      </c>
      <c r="D423" t="s">
        <v>85</v>
      </c>
      <c r="E423" t="s">
        <v>137</v>
      </c>
      <c r="F423" t="s">
        <v>98</v>
      </c>
      <c r="G423" t="s">
        <v>150</v>
      </c>
      <c r="H423" t="s">
        <v>111</v>
      </c>
      <c r="I423" t="s">
        <v>176</v>
      </c>
    </row>
    <row r="424" spans="1:9">
      <c r="A424" t="s">
        <v>836</v>
      </c>
      <c r="B424" t="s">
        <v>46</v>
      </c>
      <c r="C424" t="s">
        <v>72</v>
      </c>
      <c r="D424" t="s">
        <v>98</v>
      </c>
      <c r="E424" t="s">
        <v>163</v>
      </c>
      <c r="F424" t="s">
        <v>137</v>
      </c>
      <c r="G424" t="s">
        <v>85</v>
      </c>
      <c r="H424" t="s">
        <v>111</v>
      </c>
      <c r="I424" t="s">
        <v>176</v>
      </c>
    </row>
    <row r="425" spans="1:9">
      <c r="A425" t="s">
        <v>837</v>
      </c>
      <c r="B425" t="s">
        <v>72</v>
      </c>
      <c r="C425" t="s">
        <v>111</v>
      </c>
      <c r="D425" t="s">
        <v>85</v>
      </c>
      <c r="E425" t="s">
        <v>163</v>
      </c>
      <c r="F425" t="s">
        <v>46</v>
      </c>
      <c r="G425" t="s">
        <v>150</v>
      </c>
      <c r="H425" t="s">
        <v>98</v>
      </c>
      <c r="I425" t="s">
        <v>176</v>
      </c>
    </row>
    <row r="426" spans="1:9">
      <c r="A426" t="s">
        <v>838</v>
      </c>
      <c r="B426" t="s">
        <v>46</v>
      </c>
      <c r="C426" t="s">
        <v>72</v>
      </c>
      <c r="D426" t="s">
        <v>98</v>
      </c>
      <c r="E426" t="s">
        <v>163</v>
      </c>
      <c r="F426" t="s">
        <v>150</v>
      </c>
      <c r="G426" t="s">
        <v>124</v>
      </c>
      <c r="H426" t="s">
        <v>137</v>
      </c>
      <c r="I426" t="s">
        <v>85</v>
      </c>
    </row>
    <row r="427" spans="1:9">
      <c r="A427" t="s">
        <v>839</v>
      </c>
      <c r="B427" t="s">
        <v>46</v>
      </c>
      <c r="C427" t="s">
        <v>72</v>
      </c>
      <c r="D427" t="s">
        <v>85</v>
      </c>
      <c r="E427" t="s">
        <v>124</v>
      </c>
      <c r="F427" t="s">
        <v>150</v>
      </c>
      <c r="G427" t="s">
        <v>137</v>
      </c>
      <c r="H427" t="s">
        <v>98</v>
      </c>
      <c r="I427" t="s">
        <v>176</v>
      </c>
    </row>
    <row r="428" spans="1:9">
      <c r="A428" t="s">
        <v>840</v>
      </c>
      <c r="B428" t="s">
        <v>46</v>
      </c>
      <c r="C428" t="s">
        <v>72</v>
      </c>
      <c r="D428" t="s">
        <v>124</v>
      </c>
      <c r="E428" t="s">
        <v>163</v>
      </c>
      <c r="F428" t="s">
        <v>137</v>
      </c>
      <c r="G428" t="s">
        <v>85</v>
      </c>
      <c r="H428" t="s">
        <v>98</v>
      </c>
      <c r="I428" t="s">
        <v>176</v>
      </c>
    </row>
    <row r="429" spans="1:9">
      <c r="A429" t="s">
        <v>841</v>
      </c>
      <c r="B429" t="s">
        <v>46</v>
      </c>
      <c r="C429" t="s">
        <v>72</v>
      </c>
      <c r="D429" t="s">
        <v>85</v>
      </c>
      <c r="E429" t="s">
        <v>163</v>
      </c>
      <c r="F429" t="s">
        <v>150</v>
      </c>
      <c r="G429" t="s">
        <v>124</v>
      </c>
      <c r="H429" t="s">
        <v>98</v>
      </c>
      <c r="I429" t="s">
        <v>176</v>
      </c>
    </row>
    <row r="430" spans="1:9">
      <c r="A430" t="s">
        <v>842</v>
      </c>
      <c r="B430" t="s">
        <v>46</v>
      </c>
      <c r="C430" t="s">
        <v>72</v>
      </c>
      <c r="D430" t="s">
        <v>85</v>
      </c>
      <c r="E430" t="s">
        <v>163</v>
      </c>
      <c r="F430" t="s">
        <v>150</v>
      </c>
      <c r="G430" t="s">
        <v>137</v>
      </c>
      <c r="H430" t="s">
        <v>98</v>
      </c>
      <c r="I430" t="s">
        <v>176</v>
      </c>
    </row>
    <row r="431" spans="1:9">
      <c r="A431" t="s">
        <v>843</v>
      </c>
      <c r="B431" t="s">
        <v>46</v>
      </c>
      <c r="C431" t="s">
        <v>72</v>
      </c>
      <c r="D431" t="s">
        <v>85</v>
      </c>
      <c r="E431" t="s">
        <v>163</v>
      </c>
      <c r="F431" t="s">
        <v>137</v>
      </c>
      <c r="G431" t="s">
        <v>124</v>
      </c>
      <c r="H431" t="s">
        <v>111</v>
      </c>
      <c r="I431" t="s">
        <v>150</v>
      </c>
    </row>
    <row r="432" spans="1:9">
      <c r="A432" t="s">
        <v>844</v>
      </c>
      <c r="B432" t="s">
        <v>46</v>
      </c>
      <c r="C432" t="s">
        <v>72</v>
      </c>
      <c r="D432" t="s">
        <v>85</v>
      </c>
      <c r="E432" t="s">
        <v>124</v>
      </c>
      <c r="F432" t="s">
        <v>137</v>
      </c>
      <c r="G432" t="s">
        <v>150</v>
      </c>
      <c r="H432" t="s">
        <v>111</v>
      </c>
      <c r="I432" t="s">
        <v>176</v>
      </c>
    </row>
    <row r="433" spans="1:9">
      <c r="A433" t="s">
        <v>845</v>
      </c>
      <c r="B433" t="s">
        <v>46</v>
      </c>
      <c r="C433" t="s">
        <v>72</v>
      </c>
      <c r="D433" t="s">
        <v>124</v>
      </c>
      <c r="E433" t="s">
        <v>163</v>
      </c>
      <c r="F433" t="s">
        <v>85</v>
      </c>
      <c r="G433" t="s">
        <v>137</v>
      </c>
      <c r="H433" t="s">
        <v>111</v>
      </c>
      <c r="I433" t="s">
        <v>176</v>
      </c>
    </row>
    <row r="434" spans="1:9">
      <c r="A434" t="s">
        <v>846</v>
      </c>
      <c r="B434" t="s">
        <v>46</v>
      </c>
      <c r="C434" t="s">
        <v>72</v>
      </c>
      <c r="D434" t="s">
        <v>85</v>
      </c>
      <c r="E434" t="s">
        <v>163</v>
      </c>
      <c r="F434" t="s">
        <v>150</v>
      </c>
      <c r="G434" t="s">
        <v>124</v>
      </c>
      <c r="H434" t="s">
        <v>111</v>
      </c>
      <c r="I434" t="s">
        <v>176</v>
      </c>
    </row>
    <row r="435" spans="1:9">
      <c r="A435" t="s">
        <v>847</v>
      </c>
      <c r="B435" t="s">
        <v>46</v>
      </c>
      <c r="C435" t="s">
        <v>72</v>
      </c>
      <c r="D435" t="s">
        <v>85</v>
      </c>
      <c r="E435" t="s">
        <v>163</v>
      </c>
      <c r="F435" t="s">
        <v>150</v>
      </c>
      <c r="G435" t="s">
        <v>137</v>
      </c>
      <c r="H435" t="s">
        <v>111</v>
      </c>
      <c r="I435" t="s">
        <v>176</v>
      </c>
    </row>
    <row r="436" spans="1:9">
      <c r="A436" t="s">
        <v>848</v>
      </c>
      <c r="B436" t="s">
        <v>46</v>
      </c>
      <c r="C436" t="s">
        <v>72</v>
      </c>
      <c r="D436" t="s">
        <v>85</v>
      </c>
      <c r="E436" t="s">
        <v>163</v>
      </c>
      <c r="F436" t="s">
        <v>150</v>
      </c>
      <c r="G436" t="s">
        <v>124</v>
      </c>
      <c r="H436" t="s">
        <v>137</v>
      </c>
      <c r="I436" t="s">
        <v>176</v>
      </c>
    </row>
    <row r="437" spans="1:9">
      <c r="A437" t="s">
        <v>849</v>
      </c>
      <c r="B437" t="s">
        <v>46</v>
      </c>
      <c r="C437" t="s">
        <v>111</v>
      </c>
      <c r="D437" t="s">
        <v>98</v>
      </c>
      <c r="E437" t="s">
        <v>163</v>
      </c>
      <c r="F437" t="s">
        <v>137</v>
      </c>
      <c r="G437" t="s">
        <v>124</v>
      </c>
      <c r="H437" t="s">
        <v>150</v>
      </c>
      <c r="I437" t="s">
        <v>72</v>
      </c>
    </row>
    <row r="438" spans="1:9">
      <c r="A438" t="s">
        <v>850</v>
      </c>
      <c r="B438" t="s">
        <v>46</v>
      </c>
      <c r="C438" t="s">
        <v>72</v>
      </c>
      <c r="D438" t="s">
        <v>98</v>
      </c>
      <c r="E438" t="s">
        <v>124</v>
      </c>
      <c r="F438" t="s">
        <v>137</v>
      </c>
      <c r="G438" t="s">
        <v>150</v>
      </c>
      <c r="H438" t="s">
        <v>111</v>
      </c>
      <c r="I438" t="s">
        <v>176</v>
      </c>
    </row>
    <row r="439" spans="1:9">
      <c r="A439" t="s">
        <v>851</v>
      </c>
      <c r="B439" t="s">
        <v>46</v>
      </c>
      <c r="C439" t="s">
        <v>72</v>
      </c>
      <c r="D439" t="s">
        <v>98</v>
      </c>
      <c r="E439" t="s">
        <v>163</v>
      </c>
      <c r="F439" t="s">
        <v>137</v>
      </c>
      <c r="G439" t="s">
        <v>124</v>
      </c>
      <c r="H439" t="s">
        <v>111</v>
      </c>
      <c r="I439" t="s">
        <v>176</v>
      </c>
    </row>
    <row r="440" spans="1:9">
      <c r="A440" t="s">
        <v>852</v>
      </c>
      <c r="B440" t="s">
        <v>46</v>
      </c>
      <c r="C440" t="s">
        <v>72</v>
      </c>
      <c r="D440" t="s">
        <v>98</v>
      </c>
      <c r="E440" t="s">
        <v>163</v>
      </c>
      <c r="F440" t="s">
        <v>150</v>
      </c>
      <c r="G440" t="s">
        <v>124</v>
      </c>
      <c r="H440" t="s">
        <v>111</v>
      </c>
      <c r="I440" t="s">
        <v>176</v>
      </c>
    </row>
    <row r="441" spans="1:9">
      <c r="A441" t="s">
        <v>853</v>
      </c>
      <c r="B441" t="s">
        <v>46</v>
      </c>
      <c r="C441" t="s">
        <v>72</v>
      </c>
      <c r="D441" t="s">
        <v>98</v>
      </c>
      <c r="E441" t="s">
        <v>163</v>
      </c>
      <c r="F441" t="s">
        <v>150</v>
      </c>
      <c r="G441" t="s">
        <v>137</v>
      </c>
      <c r="H441" t="s">
        <v>111</v>
      </c>
      <c r="I441" t="s">
        <v>176</v>
      </c>
    </row>
    <row r="442" spans="1:9">
      <c r="A442" t="s">
        <v>854</v>
      </c>
      <c r="B442" t="s">
        <v>46</v>
      </c>
      <c r="C442" t="s">
        <v>72</v>
      </c>
      <c r="D442" t="s">
        <v>98</v>
      </c>
      <c r="E442" t="s">
        <v>163</v>
      </c>
      <c r="F442" t="s">
        <v>150</v>
      </c>
      <c r="G442" t="s">
        <v>124</v>
      </c>
      <c r="H442" t="s">
        <v>137</v>
      </c>
      <c r="I442" t="s">
        <v>176</v>
      </c>
    </row>
    <row r="443" spans="1:9">
      <c r="A443" t="s">
        <v>855</v>
      </c>
      <c r="B443" t="s">
        <v>46</v>
      </c>
      <c r="C443" t="s">
        <v>72</v>
      </c>
      <c r="D443" t="s">
        <v>124</v>
      </c>
      <c r="E443" t="s">
        <v>163</v>
      </c>
      <c r="F443" t="s">
        <v>137</v>
      </c>
      <c r="G443" t="s">
        <v>150</v>
      </c>
      <c r="H443" t="s">
        <v>111</v>
      </c>
      <c r="I443" t="s">
        <v>176</v>
      </c>
    </row>
    <row r="444" spans="1:9">
      <c r="A444" t="s">
        <v>856</v>
      </c>
      <c r="B444" t="s">
        <v>46</v>
      </c>
      <c r="C444" t="s">
        <v>98</v>
      </c>
      <c r="D444" t="s">
        <v>124</v>
      </c>
      <c r="E444" t="s">
        <v>163</v>
      </c>
      <c r="F444" t="s">
        <v>137</v>
      </c>
      <c r="G444" t="s">
        <v>150</v>
      </c>
      <c r="H444" t="s">
        <v>111</v>
      </c>
      <c r="I444" t="s">
        <v>85</v>
      </c>
    </row>
    <row r="445" spans="1:9">
      <c r="A445" t="s">
        <v>857</v>
      </c>
      <c r="B445" t="s">
        <v>46</v>
      </c>
      <c r="C445" t="s">
        <v>98</v>
      </c>
      <c r="D445" t="s">
        <v>85</v>
      </c>
      <c r="E445" t="s">
        <v>124</v>
      </c>
      <c r="F445" t="s">
        <v>137</v>
      </c>
      <c r="G445" t="s">
        <v>150</v>
      </c>
      <c r="H445" t="s">
        <v>111</v>
      </c>
      <c r="I445" t="s">
        <v>176</v>
      </c>
    </row>
    <row r="446" spans="1:9">
      <c r="A446" t="s">
        <v>858</v>
      </c>
      <c r="B446" t="s">
        <v>46</v>
      </c>
      <c r="C446" t="s">
        <v>98</v>
      </c>
      <c r="D446" t="s">
        <v>137</v>
      </c>
      <c r="E446" t="s">
        <v>163</v>
      </c>
      <c r="F446" t="s">
        <v>85</v>
      </c>
      <c r="G446" t="s">
        <v>124</v>
      </c>
      <c r="H446" t="s">
        <v>111</v>
      </c>
      <c r="I446" t="s">
        <v>176</v>
      </c>
    </row>
    <row r="447" spans="1:9">
      <c r="A447" t="s">
        <v>859</v>
      </c>
      <c r="B447" t="s">
        <v>46</v>
      </c>
      <c r="C447" t="s">
        <v>98</v>
      </c>
      <c r="D447" t="s">
        <v>85</v>
      </c>
      <c r="E447" t="s">
        <v>163</v>
      </c>
      <c r="F447" t="s">
        <v>150</v>
      </c>
      <c r="G447" t="s">
        <v>124</v>
      </c>
      <c r="H447" t="s">
        <v>111</v>
      </c>
      <c r="I447" t="s">
        <v>176</v>
      </c>
    </row>
    <row r="448" spans="1:9">
      <c r="A448" t="s">
        <v>860</v>
      </c>
      <c r="B448" t="s">
        <v>46</v>
      </c>
      <c r="C448" t="s">
        <v>98</v>
      </c>
      <c r="D448" t="s">
        <v>85</v>
      </c>
      <c r="E448" t="s">
        <v>163</v>
      </c>
      <c r="F448" t="s">
        <v>150</v>
      </c>
      <c r="G448" t="s">
        <v>137</v>
      </c>
      <c r="H448" t="s">
        <v>111</v>
      </c>
      <c r="I448" t="s">
        <v>176</v>
      </c>
    </row>
    <row r="449" spans="1:9">
      <c r="A449" t="s">
        <v>861</v>
      </c>
      <c r="B449" t="s">
        <v>46</v>
      </c>
      <c r="C449" t="s">
        <v>98</v>
      </c>
      <c r="D449" t="s">
        <v>85</v>
      </c>
      <c r="E449" t="s">
        <v>163</v>
      </c>
      <c r="F449" t="s">
        <v>150</v>
      </c>
      <c r="G449" t="s">
        <v>124</v>
      </c>
      <c r="H449" t="s">
        <v>137</v>
      </c>
      <c r="I449" t="s">
        <v>176</v>
      </c>
    </row>
    <row r="450" spans="1:9">
      <c r="A450" t="s">
        <v>862</v>
      </c>
      <c r="B450" t="s">
        <v>46</v>
      </c>
      <c r="C450" t="s">
        <v>111</v>
      </c>
      <c r="D450" t="s">
        <v>85</v>
      </c>
      <c r="E450" t="s">
        <v>163</v>
      </c>
      <c r="F450" t="s">
        <v>137</v>
      </c>
      <c r="G450" t="s">
        <v>124</v>
      </c>
      <c r="H450" t="s">
        <v>150</v>
      </c>
      <c r="I450" t="s">
        <v>176</v>
      </c>
    </row>
    <row r="451" spans="1:9">
      <c r="A451" t="s">
        <v>863</v>
      </c>
      <c r="B451" t="s">
        <v>46</v>
      </c>
      <c r="C451" t="s">
        <v>98</v>
      </c>
      <c r="D451" t="s">
        <v>124</v>
      </c>
      <c r="E451" t="s">
        <v>163</v>
      </c>
      <c r="F451" t="s">
        <v>137</v>
      </c>
      <c r="G451" t="s">
        <v>150</v>
      </c>
      <c r="H451" t="s">
        <v>111</v>
      </c>
      <c r="I451" t="s">
        <v>176</v>
      </c>
    </row>
    <row r="452" spans="1:9">
      <c r="A452" t="s">
        <v>864</v>
      </c>
      <c r="B452" t="s">
        <v>59</v>
      </c>
      <c r="C452" t="s">
        <v>72</v>
      </c>
      <c r="D452" t="s">
        <v>124</v>
      </c>
      <c r="E452" t="s">
        <v>85</v>
      </c>
      <c r="F452" t="s">
        <v>98</v>
      </c>
      <c r="G452" t="s">
        <v>137</v>
      </c>
      <c r="H452" t="s">
        <v>111</v>
      </c>
      <c r="I452" t="s">
        <v>150</v>
      </c>
    </row>
    <row r="453" spans="1:9">
      <c r="A453" t="s">
        <v>865</v>
      </c>
      <c r="B453" t="s">
        <v>59</v>
      </c>
      <c r="C453" t="s">
        <v>111</v>
      </c>
      <c r="D453" t="s">
        <v>98</v>
      </c>
      <c r="E453" t="s">
        <v>163</v>
      </c>
      <c r="F453" t="s">
        <v>85</v>
      </c>
      <c r="G453" t="s">
        <v>124</v>
      </c>
      <c r="H453" t="s">
        <v>137</v>
      </c>
      <c r="I453" t="s">
        <v>72</v>
      </c>
    </row>
    <row r="454" spans="1:9">
      <c r="A454" t="s">
        <v>866</v>
      </c>
      <c r="B454" t="s">
        <v>59</v>
      </c>
      <c r="C454" t="s">
        <v>72</v>
      </c>
      <c r="D454" t="s">
        <v>137</v>
      </c>
      <c r="E454" t="s">
        <v>85</v>
      </c>
      <c r="F454" t="s">
        <v>98</v>
      </c>
      <c r="G454" t="s">
        <v>124</v>
      </c>
      <c r="H454" t="s">
        <v>111</v>
      </c>
      <c r="I454" t="s">
        <v>176</v>
      </c>
    </row>
    <row r="455" spans="1:9">
      <c r="A455" t="s">
        <v>867</v>
      </c>
      <c r="B455" t="s">
        <v>59</v>
      </c>
      <c r="C455" t="s">
        <v>111</v>
      </c>
      <c r="D455" t="s">
        <v>98</v>
      </c>
      <c r="E455" t="s">
        <v>163</v>
      </c>
      <c r="F455" t="s">
        <v>85</v>
      </c>
      <c r="G455" t="s">
        <v>124</v>
      </c>
      <c r="H455" t="s">
        <v>150</v>
      </c>
      <c r="I455" t="s">
        <v>72</v>
      </c>
    </row>
    <row r="456" spans="1:9">
      <c r="A456" t="s">
        <v>868</v>
      </c>
      <c r="B456" t="s">
        <v>59</v>
      </c>
      <c r="C456" t="s">
        <v>72</v>
      </c>
      <c r="D456" t="s">
        <v>124</v>
      </c>
      <c r="E456" t="s">
        <v>85</v>
      </c>
      <c r="F456" t="s">
        <v>98</v>
      </c>
      <c r="G456" t="s">
        <v>150</v>
      </c>
      <c r="H456" t="s">
        <v>111</v>
      </c>
      <c r="I456" t="s">
        <v>176</v>
      </c>
    </row>
    <row r="457" spans="1:9">
      <c r="A457" t="s">
        <v>869</v>
      </c>
      <c r="B457" t="s">
        <v>72</v>
      </c>
      <c r="C457" t="s">
        <v>111</v>
      </c>
      <c r="D457" t="s">
        <v>59</v>
      </c>
      <c r="E457" t="s">
        <v>163</v>
      </c>
      <c r="F457" t="s">
        <v>85</v>
      </c>
      <c r="G457" t="s">
        <v>124</v>
      </c>
      <c r="H457" t="s">
        <v>98</v>
      </c>
      <c r="I457" t="s">
        <v>176</v>
      </c>
    </row>
    <row r="458" spans="1:9">
      <c r="A458" t="s">
        <v>870</v>
      </c>
      <c r="B458" t="s">
        <v>59</v>
      </c>
      <c r="C458" t="s">
        <v>72</v>
      </c>
      <c r="D458" t="s">
        <v>98</v>
      </c>
      <c r="E458" t="s">
        <v>163</v>
      </c>
      <c r="F458" t="s">
        <v>137</v>
      </c>
      <c r="G458" t="s">
        <v>85</v>
      </c>
      <c r="H458" t="s">
        <v>111</v>
      </c>
      <c r="I458" t="s">
        <v>150</v>
      </c>
    </row>
    <row r="459" spans="1:9">
      <c r="A459" t="s">
        <v>871</v>
      </c>
      <c r="B459" t="s">
        <v>59</v>
      </c>
      <c r="C459" t="s">
        <v>72</v>
      </c>
      <c r="D459" t="s">
        <v>98</v>
      </c>
      <c r="E459" t="s">
        <v>85</v>
      </c>
      <c r="F459" t="s">
        <v>150</v>
      </c>
      <c r="G459" t="s">
        <v>137</v>
      </c>
      <c r="H459" t="s">
        <v>111</v>
      </c>
      <c r="I459" t="s">
        <v>176</v>
      </c>
    </row>
    <row r="460" spans="1:9">
      <c r="A460" t="s">
        <v>872</v>
      </c>
      <c r="B460" t="s">
        <v>59</v>
      </c>
      <c r="C460" t="s">
        <v>72</v>
      </c>
      <c r="D460" t="s">
        <v>137</v>
      </c>
      <c r="E460" t="s">
        <v>163</v>
      </c>
      <c r="F460" t="s">
        <v>98</v>
      </c>
      <c r="G460" t="s">
        <v>85</v>
      </c>
      <c r="H460" t="s">
        <v>111</v>
      </c>
      <c r="I460" t="s">
        <v>176</v>
      </c>
    </row>
    <row r="461" spans="1:9">
      <c r="A461" t="s">
        <v>873</v>
      </c>
      <c r="B461" t="s">
        <v>72</v>
      </c>
      <c r="C461" t="s">
        <v>111</v>
      </c>
      <c r="D461" t="s">
        <v>59</v>
      </c>
      <c r="E461" t="s">
        <v>163</v>
      </c>
      <c r="F461" t="s">
        <v>98</v>
      </c>
      <c r="G461" t="s">
        <v>85</v>
      </c>
      <c r="H461" t="s">
        <v>150</v>
      </c>
      <c r="I461" t="s">
        <v>176</v>
      </c>
    </row>
    <row r="462" spans="1:9">
      <c r="A462" t="s">
        <v>874</v>
      </c>
      <c r="B462" t="s">
        <v>59</v>
      </c>
      <c r="C462" t="s">
        <v>72</v>
      </c>
      <c r="D462" t="s">
        <v>124</v>
      </c>
      <c r="E462" t="s">
        <v>163</v>
      </c>
      <c r="F462" t="s">
        <v>98</v>
      </c>
      <c r="G462" t="s">
        <v>150</v>
      </c>
      <c r="H462" t="s">
        <v>137</v>
      </c>
      <c r="I462" t="s">
        <v>85</v>
      </c>
    </row>
    <row r="463" spans="1:9">
      <c r="A463" t="s">
        <v>875</v>
      </c>
      <c r="B463" t="s">
        <v>59</v>
      </c>
      <c r="C463" t="s">
        <v>72</v>
      </c>
      <c r="D463" t="s">
        <v>124</v>
      </c>
      <c r="E463" t="s">
        <v>85</v>
      </c>
      <c r="F463" t="s">
        <v>98</v>
      </c>
      <c r="G463" t="s">
        <v>150</v>
      </c>
      <c r="H463" t="s">
        <v>137</v>
      </c>
      <c r="I463" t="s">
        <v>176</v>
      </c>
    </row>
    <row r="464" spans="1:9">
      <c r="A464" t="s">
        <v>876</v>
      </c>
      <c r="B464" t="s">
        <v>59</v>
      </c>
      <c r="C464" t="s">
        <v>72</v>
      </c>
      <c r="D464" t="s">
        <v>137</v>
      </c>
      <c r="E464" t="s">
        <v>163</v>
      </c>
      <c r="F464" t="s">
        <v>85</v>
      </c>
      <c r="G464" t="s">
        <v>124</v>
      </c>
      <c r="H464" t="s">
        <v>98</v>
      </c>
      <c r="I464" t="s">
        <v>176</v>
      </c>
    </row>
    <row r="465" spans="1:9">
      <c r="A465" t="s">
        <v>877</v>
      </c>
      <c r="B465" t="s">
        <v>59</v>
      </c>
      <c r="C465" t="s">
        <v>72</v>
      </c>
      <c r="D465" t="s">
        <v>98</v>
      </c>
      <c r="E465" t="s">
        <v>163</v>
      </c>
      <c r="F465" t="s">
        <v>85</v>
      </c>
      <c r="G465" t="s">
        <v>124</v>
      </c>
      <c r="H465" t="s">
        <v>150</v>
      </c>
      <c r="I465" t="s">
        <v>176</v>
      </c>
    </row>
    <row r="466" spans="1:9">
      <c r="A466" t="s">
        <v>878</v>
      </c>
      <c r="B466" t="s">
        <v>59</v>
      </c>
      <c r="C466" t="s">
        <v>72</v>
      </c>
      <c r="D466" t="s">
        <v>98</v>
      </c>
      <c r="E466" t="s">
        <v>163</v>
      </c>
      <c r="F466" t="s">
        <v>137</v>
      </c>
      <c r="G466" t="s">
        <v>85</v>
      </c>
      <c r="H466" t="s">
        <v>150</v>
      </c>
      <c r="I466" t="s">
        <v>176</v>
      </c>
    </row>
    <row r="467" spans="1:9">
      <c r="A467" t="s">
        <v>879</v>
      </c>
      <c r="B467" t="s">
        <v>59</v>
      </c>
      <c r="C467" t="s">
        <v>72</v>
      </c>
      <c r="D467" t="s">
        <v>124</v>
      </c>
      <c r="E467" t="s">
        <v>163</v>
      </c>
      <c r="F467" t="s">
        <v>85</v>
      </c>
      <c r="G467" t="s">
        <v>137</v>
      </c>
      <c r="H467" t="s">
        <v>111</v>
      </c>
      <c r="I467" t="s">
        <v>150</v>
      </c>
    </row>
    <row r="468" spans="1:9">
      <c r="A468" t="s">
        <v>880</v>
      </c>
      <c r="B468" t="s">
        <v>59</v>
      </c>
      <c r="C468" t="s">
        <v>72</v>
      </c>
      <c r="D468" t="s">
        <v>124</v>
      </c>
      <c r="E468" t="s">
        <v>137</v>
      </c>
      <c r="F468" t="s">
        <v>85</v>
      </c>
      <c r="G468" t="s">
        <v>150</v>
      </c>
      <c r="H468" t="s">
        <v>111</v>
      </c>
      <c r="I468" t="s">
        <v>176</v>
      </c>
    </row>
    <row r="469" spans="1:9">
      <c r="A469" t="s">
        <v>881</v>
      </c>
      <c r="B469" t="s">
        <v>59</v>
      </c>
      <c r="C469" t="s">
        <v>72</v>
      </c>
      <c r="D469" t="s">
        <v>137</v>
      </c>
      <c r="E469" t="s">
        <v>163</v>
      </c>
      <c r="F469" t="s">
        <v>85</v>
      </c>
      <c r="G469" t="s">
        <v>124</v>
      </c>
      <c r="H469" t="s">
        <v>111</v>
      </c>
      <c r="I469" t="s">
        <v>176</v>
      </c>
    </row>
    <row r="470" spans="1:9">
      <c r="A470" t="s">
        <v>882</v>
      </c>
      <c r="B470" t="s">
        <v>59</v>
      </c>
      <c r="C470" t="s">
        <v>72</v>
      </c>
      <c r="D470" t="s">
        <v>124</v>
      </c>
      <c r="E470" t="s">
        <v>163</v>
      </c>
      <c r="F470" t="s">
        <v>85</v>
      </c>
      <c r="G470" t="s">
        <v>150</v>
      </c>
      <c r="H470" t="s">
        <v>111</v>
      </c>
      <c r="I470" t="s">
        <v>176</v>
      </c>
    </row>
    <row r="471" spans="1:9">
      <c r="A471" t="s">
        <v>883</v>
      </c>
      <c r="B471" t="s">
        <v>59</v>
      </c>
      <c r="C471" t="s">
        <v>72</v>
      </c>
      <c r="D471" t="s">
        <v>85</v>
      </c>
      <c r="E471" t="s">
        <v>163</v>
      </c>
      <c r="F471" t="s">
        <v>137</v>
      </c>
      <c r="G471" t="s">
        <v>150</v>
      </c>
      <c r="H471" t="s">
        <v>111</v>
      </c>
      <c r="I471" t="s">
        <v>176</v>
      </c>
    </row>
    <row r="472" spans="1:9">
      <c r="A472" t="s">
        <v>884</v>
      </c>
      <c r="B472" t="s">
        <v>59</v>
      </c>
      <c r="C472" t="s">
        <v>72</v>
      </c>
      <c r="D472" t="s">
        <v>124</v>
      </c>
      <c r="E472" t="s">
        <v>163</v>
      </c>
      <c r="F472" t="s">
        <v>85</v>
      </c>
      <c r="G472" t="s">
        <v>150</v>
      </c>
      <c r="H472" t="s">
        <v>137</v>
      </c>
      <c r="I472" t="s">
        <v>176</v>
      </c>
    </row>
    <row r="473" spans="1:9">
      <c r="A473" t="s">
        <v>885</v>
      </c>
      <c r="B473" t="s">
        <v>59</v>
      </c>
      <c r="C473" t="s">
        <v>72</v>
      </c>
      <c r="D473" t="s">
        <v>124</v>
      </c>
      <c r="E473" t="s">
        <v>163</v>
      </c>
      <c r="F473" t="s">
        <v>98</v>
      </c>
      <c r="G473" t="s">
        <v>137</v>
      </c>
      <c r="H473" t="s">
        <v>111</v>
      </c>
      <c r="I473" t="s">
        <v>150</v>
      </c>
    </row>
    <row r="474" spans="1:9">
      <c r="A474" t="s">
        <v>886</v>
      </c>
      <c r="B474" t="s">
        <v>59</v>
      </c>
      <c r="C474" t="s">
        <v>72</v>
      </c>
      <c r="D474" t="s">
        <v>98</v>
      </c>
      <c r="E474" t="s">
        <v>124</v>
      </c>
      <c r="F474" t="s">
        <v>150</v>
      </c>
      <c r="G474" t="s">
        <v>137</v>
      </c>
      <c r="H474" t="s">
        <v>111</v>
      </c>
      <c r="I474" t="s">
        <v>176</v>
      </c>
    </row>
    <row r="475" spans="1:9">
      <c r="A475" t="s">
        <v>887</v>
      </c>
      <c r="B475" t="s">
        <v>59</v>
      </c>
      <c r="C475" t="s">
        <v>72</v>
      </c>
      <c r="D475" t="s">
        <v>137</v>
      </c>
      <c r="E475" t="s">
        <v>163</v>
      </c>
      <c r="F475" t="s">
        <v>98</v>
      </c>
      <c r="G475" t="s">
        <v>124</v>
      </c>
      <c r="H475" t="s">
        <v>111</v>
      </c>
      <c r="I475" t="s">
        <v>176</v>
      </c>
    </row>
    <row r="476" spans="1:9">
      <c r="A476" t="s">
        <v>888</v>
      </c>
      <c r="B476" t="s">
        <v>72</v>
      </c>
      <c r="C476" t="s">
        <v>111</v>
      </c>
      <c r="D476" t="s">
        <v>59</v>
      </c>
      <c r="E476" t="s">
        <v>163</v>
      </c>
      <c r="F476" t="s">
        <v>98</v>
      </c>
      <c r="G476" t="s">
        <v>124</v>
      </c>
      <c r="H476" t="s">
        <v>150</v>
      </c>
      <c r="I476" t="s">
        <v>176</v>
      </c>
    </row>
    <row r="477" spans="1:9">
      <c r="A477" t="s">
        <v>889</v>
      </c>
      <c r="B477" t="s">
        <v>72</v>
      </c>
      <c r="C477" t="s">
        <v>111</v>
      </c>
      <c r="D477" t="s">
        <v>59</v>
      </c>
      <c r="E477" t="s">
        <v>163</v>
      </c>
      <c r="F477" t="s">
        <v>98</v>
      </c>
      <c r="G477" t="s">
        <v>137</v>
      </c>
      <c r="H477" t="s">
        <v>150</v>
      </c>
      <c r="I477" t="s">
        <v>176</v>
      </c>
    </row>
    <row r="478" spans="1:9">
      <c r="A478" t="s">
        <v>890</v>
      </c>
      <c r="B478" t="s">
        <v>59</v>
      </c>
      <c r="C478" t="s">
        <v>72</v>
      </c>
      <c r="D478" t="s">
        <v>124</v>
      </c>
      <c r="E478" t="s">
        <v>163</v>
      </c>
      <c r="F478" t="s">
        <v>98</v>
      </c>
      <c r="G478" t="s">
        <v>150</v>
      </c>
      <c r="H478" t="s">
        <v>137</v>
      </c>
      <c r="I478" t="s">
        <v>176</v>
      </c>
    </row>
    <row r="479" spans="1:9">
      <c r="A479" t="s">
        <v>891</v>
      </c>
      <c r="B479" t="s">
        <v>59</v>
      </c>
      <c r="C479" t="s">
        <v>72</v>
      </c>
      <c r="D479" t="s">
        <v>124</v>
      </c>
      <c r="E479" t="s">
        <v>163</v>
      </c>
      <c r="F479" t="s">
        <v>137</v>
      </c>
      <c r="G479" t="s">
        <v>150</v>
      </c>
      <c r="H479" t="s">
        <v>111</v>
      </c>
      <c r="I479" t="s">
        <v>176</v>
      </c>
    </row>
    <row r="480" spans="1:9">
      <c r="A480" t="s">
        <v>892</v>
      </c>
      <c r="B480" t="s">
        <v>59</v>
      </c>
      <c r="C480" t="s">
        <v>98</v>
      </c>
      <c r="D480" t="s">
        <v>124</v>
      </c>
      <c r="E480" t="s">
        <v>163</v>
      </c>
      <c r="F480" t="s">
        <v>137</v>
      </c>
      <c r="G480" t="s">
        <v>150</v>
      </c>
      <c r="H480" t="s">
        <v>111</v>
      </c>
      <c r="I480" t="s">
        <v>85</v>
      </c>
    </row>
    <row r="481" spans="1:9">
      <c r="A481" t="s">
        <v>893</v>
      </c>
      <c r="B481" t="s">
        <v>59</v>
      </c>
      <c r="C481" t="s">
        <v>98</v>
      </c>
      <c r="D481" t="s">
        <v>124</v>
      </c>
      <c r="E481" t="s">
        <v>137</v>
      </c>
      <c r="F481" t="s">
        <v>85</v>
      </c>
      <c r="G481" t="s">
        <v>150</v>
      </c>
      <c r="H481" t="s">
        <v>111</v>
      </c>
      <c r="I481" t="s">
        <v>176</v>
      </c>
    </row>
    <row r="482" spans="1:9">
      <c r="A482" t="s">
        <v>894</v>
      </c>
      <c r="B482" t="s">
        <v>59</v>
      </c>
      <c r="C482" t="s">
        <v>98</v>
      </c>
      <c r="D482" t="s">
        <v>137</v>
      </c>
      <c r="E482" t="s">
        <v>163</v>
      </c>
      <c r="F482" t="s">
        <v>85</v>
      </c>
      <c r="G482" t="s">
        <v>124</v>
      </c>
      <c r="H482" t="s">
        <v>111</v>
      </c>
      <c r="I482" t="s">
        <v>176</v>
      </c>
    </row>
    <row r="483" spans="1:9">
      <c r="A483" t="s">
        <v>895</v>
      </c>
      <c r="B483" t="s">
        <v>59</v>
      </c>
      <c r="C483" t="s">
        <v>111</v>
      </c>
      <c r="D483" t="s">
        <v>98</v>
      </c>
      <c r="E483" t="s">
        <v>163</v>
      </c>
      <c r="F483" t="s">
        <v>85</v>
      </c>
      <c r="G483" t="s">
        <v>124</v>
      </c>
      <c r="H483" t="s">
        <v>150</v>
      </c>
      <c r="I483" t="s">
        <v>176</v>
      </c>
    </row>
    <row r="484" spans="1:9">
      <c r="A484" t="s">
        <v>896</v>
      </c>
      <c r="B484" t="s">
        <v>59</v>
      </c>
      <c r="C484" t="s">
        <v>98</v>
      </c>
      <c r="D484" t="s">
        <v>85</v>
      </c>
      <c r="E484" t="s">
        <v>163</v>
      </c>
      <c r="F484" t="s">
        <v>150</v>
      </c>
      <c r="G484" t="s">
        <v>137</v>
      </c>
      <c r="H484" t="s">
        <v>111</v>
      </c>
      <c r="I484" t="s">
        <v>176</v>
      </c>
    </row>
    <row r="485" spans="1:9">
      <c r="A485" t="s">
        <v>897</v>
      </c>
      <c r="B485" t="s">
        <v>59</v>
      </c>
      <c r="C485" t="s">
        <v>98</v>
      </c>
      <c r="D485" t="s">
        <v>124</v>
      </c>
      <c r="E485" t="s">
        <v>163</v>
      </c>
      <c r="F485" t="s">
        <v>85</v>
      </c>
      <c r="G485" t="s">
        <v>150</v>
      </c>
      <c r="H485" t="s">
        <v>137</v>
      </c>
      <c r="I485" t="s">
        <v>176</v>
      </c>
    </row>
    <row r="486" spans="1:9">
      <c r="A486" t="s">
        <v>898</v>
      </c>
      <c r="B486" t="s">
        <v>59</v>
      </c>
      <c r="C486" t="s">
        <v>111</v>
      </c>
      <c r="D486" t="s">
        <v>124</v>
      </c>
      <c r="E486" t="s">
        <v>163</v>
      </c>
      <c r="F486" t="s">
        <v>85</v>
      </c>
      <c r="G486" t="s">
        <v>150</v>
      </c>
      <c r="H486" t="s">
        <v>137</v>
      </c>
      <c r="I486" t="s">
        <v>176</v>
      </c>
    </row>
    <row r="487" spans="1:9">
      <c r="A487" t="s">
        <v>899</v>
      </c>
      <c r="B487" t="s">
        <v>59</v>
      </c>
      <c r="C487" t="s">
        <v>111</v>
      </c>
      <c r="D487" t="s">
        <v>124</v>
      </c>
      <c r="E487" t="s">
        <v>163</v>
      </c>
      <c r="F487" t="s">
        <v>98</v>
      </c>
      <c r="G487" t="s">
        <v>150</v>
      </c>
      <c r="H487" t="s">
        <v>137</v>
      </c>
      <c r="I487" t="s">
        <v>176</v>
      </c>
    </row>
    <row r="488" spans="1:9">
      <c r="A488" t="s">
        <v>900</v>
      </c>
      <c r="B488" t="s">
        <v>72</v>
      </c>
      <c r="C488" t="s">
        <v>98</v>
      </c>
      <c r="D488" t="s">
        <v>124</v>
      </c>
      <c r="E488" t="s">
        <v>163</v>
      </c>
      <c r="F488" t="s">
        <v>137</v>
      </c>
      <c r="G488" t="s">
        <v>150</v>
      </c>
      <c r="H488" t="s">
        <v>111</v>
      </c>
      <c r="I488" t="s">
        <v>85</v>
      </c>
    </row>
    <row r="489" spans="1:9">
      <c r="A489" t="s">
        <v>901</v>
      </c>
      <c r="B489" t="s">
        <v>72</v>
      </c>
      <c r="C489" t="s">
        <v>98</v>
      </c>
      <c r="D489" t="s">
        <v>85</v>
      </c>
      <c r="E489" t="s">
        <v>124</v>
      </c>
      <c r="F489" t="s">
        <v>137</v>
      </c>
      <c r="G489" t="s">
        <v>150</v>
      </c>
      <c r="H489" t="s">
        <v>111</v>
      </c>
      <c r="I489" t="s">
        <v>176</v>
      </c>
    </row>
    <row r="490" spans="1:9">
      <c r="A490" t="s">
        <v>902</v>
      </c>
      <c r="B490" t="s">
        <v>72</v>
      </c>
      <c r="C490" t="s">
        <v>98</v>
      </c>
      <c r="D490" t="s">
        <v>137</v>
      </c>
      <c r="E490" t="s">
        <v>163</v>
      </c>
      <c r="F490" t="s">
        <v>85</v>
      </c>
      <c r="G490" t="s">
        <v>124</v>
      </c>
      <c r="H490" t="s">
        <v>111</v>
      </c>
      <c r="I490" t="s">
        <v>176</v>
      </c>
    </row>
    <row r="491" spans="1:9">
      <c r="A491" t="s">
        <v>903</v>
      </c>
      <c r="B491" t="s">
        <v>72</v>
      </c>
      <c r="C491" t="s">
        <v>111</v>
      </c>
      <c r="D491" t="s">
        <v>85</v>
      </c>
      <c r="E491" t="s">
        <v>163</v>
      </c>
      <c r="F491" t="s">
        <v>98</v>
      </c>
      <c r="G491" t="s">
        <v>124</v>
      </c>
      <c r="H491" t="s">
        <v>150</v>
      </c>
      <c r="I491" t="s">
        <v>176</v>
      </c>
    </row>
    <row r="492" spans="1:9">
      <c r="A492" t="s">
        <v>904</v>
      </c>
      <c r="B492" t="s">
        <v>72</v>
      </c>
      <c r="C492" t="s">
        <v>98</v>
      </c>
      <c r="D492" t="s">
        <v>85</v>
      </c>
      <c r="E492" t="s">
        <v>163</v>
      </c>
      <c r="F492" t="s">
        <v>150</v>
      </c>
      <c r="G492" t="s">
        <v>137</v>
      </c>
      <c r="H492" t="s">
        <v>111</v>
      </c>
      <c r="I492" t="s">
        <v>176</v>
      </c>
    </row>
    <row r="493" spans="1:9">
      <c r="A493" t="s">
        <v>905</v>
      </c>
      <c r="B493" t="s">
        <v>72</v>
      </c>
      <c r="C493" t="s">
        <v>98</v>
      </c>
      <c r="D493" t="s">
        <v>85</v>
      </c>
      <c r="E493" t="s">
        <v>163</v>
      </c>
      <c r="F493" t="s">
        <v>137</v>
      </c>
      <c r="G493" t="s">
        <v>124</v>
      </c>
      <c r="H493" t="s">
        <v>150</v>
      </c>
      <c r="I493" t="s">
        <v>176</v>
      </c>
    </row>
    <row r="494" spans="1:9">
      <c r="A494" t="s">
        <v>906</v>
      </c>
      <c r="B494" t="s">
        <v>72</v>
      </c>
      <c r="C494" t="s">
        <v>111</v>
      </c>
      <c r="D494" t="s">
        <v>85</v>
      </c>
      <c r="E494" t="s">
        <v>163</v>
      </c>
      <c r="F494" t="s">
        <v>137</v>
      </c>
      <c r="G494" t="s">
        <v>124</v>
      </c>
      <c r="H494" t="s">
        <v>150</v>
      </c>
      <c r="I494" t="s">
        <v>176</v>
      </c>
    </row>
    <row r="495" spans="1:9">
      <c r="A495" t="s">
        <v>907</v>
      </c>
      <c r="B495" t="s">
        <v>72</v>
      </c>
      <c r="C495" t="s">
        <v>111</v>
      </c>
      <c r="D495" t="s">
        <v>98</v>
      </c>
      <c r="E495" t="s">
        <v>163</v>
      </c>
      <c r="F495" t="s">
        <v>137</v>
      </c>
      <c r="G495" t="s">
        <v>124</v>
      </c>
      <c r="H495" t="s">
        <v>150</v>
      </c>
      <c r="I495" t="s">
        <v>176</v>
      </c>
    </row>
    <row r="496" spans="1:9">
      <c r="A496" t="s">
        <v>908</v>
      </c>
      <c r="B496" t="s">
        <v>98</v>
      </c>
      <c r="C496" t="s">
        <v>111</v>
      </c>
      <c r="D496" t="s">
        <v>85</v>
      </c>
      <c r="E496" t="s">
        <v>163</v>
      </c>
      <c r="F496" t="s">
        <v>137</v>
      </c>
      <c r="G496" t="s">
        <v>124</v>
      </c>
      <c r="H496" t="s">
        <v>150</v>
      </c>
      <c r="I496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2"/>
  <sheetViews>
    <sheetView zoomScale="80" zoomScaleNormal="80" workbookViewId="0">
      <pane xSplit="1" topLeftCell="B1" activePane="topRight" state="frozen"/>
      <selection pane="topRight" activeCell="BW52" sqref="BW52"/>
    </sheetView>
  </sheetViews>
  <sheetFormatPr baseColWidth="10" defaultColWidth="11" defaultRowHeight="15"/>
  <cols>
    <col min="1" max="1" width="24.25" style="9" customWidth="1"/>
    <col min="2" max="2" width="10.375" style="29" customWidth="1"/>
    <col min="3" max="3" width="15.5" style="29" customWidth="1"/>
    <col min="4" max="4" width="9.875" style="30" hidden="1" customWidth="1"/>
    <col min="5" max="5" width="10.375" style="29" customWidth="1"/>
    <col min="6" max="6" width="0.25" style="29" customWidth="1"/>
    <col min="7" max="7" width="9.125" style="9" customWidth="1"/>
    <col min="8" max="8" width="9.75" style="9" customWidth="1"/>
    <col min="9" max="9" width="11.625" style="29" customWidth="1"/>
    <col min="10" max="10" width="0.25" style="29" customWidth="1"/>
    <col min="11" max="11" width="0" style="9" hidden="1" customWidth="1"/>
    <col min="12" max="12" width="10" style="9" hidden="1" customWidth="1"/>
    <col min="13" max="13" width="11.625" style="29" hidden="1" customWidth="1"/>
    <col min="14" max="14" width="0.25" style="29" hidden="1" customWidth="1"/>
    <col min="15" max="15" width="10" style="9" hidden="1" customWidth="1"/>
    <col min="16" max="16" width="9.125" style="9" hidden="1" customWidth="1"/>
    <col min="17" max="17" width="11.125" style="29" hidden="1" customWidth="1"/>
    <col min="18" max="18" width="0.25" style="29" hidden="1" customWidth="1"/>
    <col min="19" max="19" width="0" style="9" hidden="1" customWidth="1"/>
    <col min="20" max="20" width="10.125" style="9" hidden="1" customWidth="1"/>
    <col min="21" max="21" width="11.625" style="29" hidden="1" customWidth="1"/>
    <col min="22" max="22" width="0.25" style="29" hidden="1" customWidth="1"/>
    <col min="23" max="24" width="0" style="9" hidden="1" customWidth="1"/>
    <col min="25" max="25" width="12.875" style="29" hidden="1" customWidth="1"/>
    <col min="26" max="26" width="0.25" style="29" hidden="1" customWidth="1"/>
    <col min="27" max="28" width="0" style="9" hidden="1" customWidth="1"/>
    <col min="29" max="29" width="12.875" style="29" hidden="1" customWidth="1"/>
    <col min="30" max="30" width="0.25" style="29" hidden="1" customWidth="1"/>
    <col min="31" max="31" width="8.25" style="9" hidden="1" customWidth="1"/>
    <col min="32" max="32" width="8.375" style="9" hidden="1" customWidth="1"/>
    <col min="33" max="33" width="21.125" style="9" hidden="1" customWidth="1"/>
    <col min="34" max="34" width="8.375" style="9" hidden="1" customWidth="1"/>
    <col min="35" max="35" width="8.25" style="9" hidden="1" customWidth="1"/>
    <col min="36" max="36" width="8.375" style="9" hidden="1" customWidth="1"/>
    <col min="37" max="37" width="8.25" style="9" hidden="1" customWidth="1"/>
    <col min="38" max="38" width="8.375" style="9" hidden="1" customWidth="1"/>
    <col min="39" max="39" width="8.25" style="9" hidden="1" customWidth="1"/>
    <col min="40" max="40" width="8.375" style="9" hidden="1" customWidth="1"/>
    <col min="41" max="41" width="8.25" style="9" hidden="1" customWidth="1"/>
    <col min="42" max="42" width="8.375" style="9" hidden="1" customWidth="1"/>
    <col min="43" max="43" width="8.25" style="9" hidden="1" customWidth="1"/>
    <col min="44" max="44" width="8.375" style="9" hidden="1" customWidth="1"/>
    <col min="45" max="45" width="8.25" style="9" hidden="1" customWidth="1"/>
    <col min="46" max="46" width="8.375" style="9" hidden="1" customWidth="1"/>
    <col min="47" max="47" width="8.25" style="9" hidden="1" customWidth="1"/>
    <col min="48" max="48" width="8.375" style="9" hidden="1" customWidth="1"/>
    <col min="49" max="49" width="8.25" style="9" hidden="1" customWidth="1"/>
    <col min="50" max="50" width="8.375" style="9" hidden="1" customWidth="1"/>
    <col min="51" max="51" width="8.25" style="9" hidden="1" customWidth="1"/>
    <col min="52" max="52" width="8.375" style="9" hidden="1" customWidth="1"/>
    <col min="53" max="53" width="8.25" style="9" hidden="1" customWidth="1"/>
    <col min="54" max="54" width="8.375" style="9" hidden="1" customWidth="1"/>
    <col min="55" max="55" width="8.25" style="9" hidden="1" customWidth="1"/>
    <col min="56" max="56" width="8.375" style="9" hidden="1" customWidth="1"/>
    <col min="57" max="57" width="8.25" style="9" hidden="1" customWidth="1"/>
    <col min="58" max="70" width="0" style="9" hidden="1" customWidth="1"/>
    <col min="71" max="16384" width="11" style="9"/>
  </cols>
  <sheetData>
    <row r="1" spans="1:71" ht="19.5" thickBot="1">
      <c r="A1" s="4"/>
      <c r="B1" s="5" t="str">
        <f>Participantes!C$1</f>
        <v>México</v>
      </c>
      <c r="C1" s="78" t="str">
        <f>Participantes!D$1</f>
        <v>Sudáfrica</v>
      </c>
      <c r="D1" s="79"/>
      <c r="E1" s="6" t="s">
        <v>229</v>
      </c>
      <c r="F1" s="7" t="s">
        <v>230</v>
      </c>
      <c r="G1" s="5" t="str">
        <f>Participantes!E$1</f>
        <v>Corea</v>
      </c>
      <c r="H1" s="5" t="str">
        <f>Participantes!F$1</f>
        <v>Chequia</v>
      </c>
      <c r="I1" s="8" t="s">
        <v>231</v>
      </c>
      <c r="J1" s="7" t="s">
        <v>232</v>
      </c>
      <c r="K1" s="5" t="str">
        <f>Participantes!G$1</f>
        <v>Canadá</v>
      </c>
      <c r="L1" s="5" t="str">
        <f>Participantes!H$1</f>
        <v>Bosnia</v>
      </c>
      <c r="M1" s="8" t="s">
        <v>233</v>
      </c>
      <c r="N1" s="7" t="s">
        <v>234</v>
      </c>
      <c r="O1" s="5" t="str">
        <f>Participantes!I$1</f>
        <v>Estados Unidos</v>
      </c>
      <c r="P1" s="5" t="str">
        <f>Participantes!J$1</f>
        <v>Paraguay</v>
      </c>
      <c r="Q1" s="8" t="s">
        <v>233</v>
      </c>
      <c r="R1" s="7" t="s">
        <v>235</v>
      </c>
      <c r="S1" s="5" t="str">
        <f>Participantes!K$1</f>
        <v>Haití</v>
      </c>
      <c r="T1" s="5" t="str">
        <f>Participantes!L$1</f>
        <v>Escocia</v>
      </c>
      <c r="U1" s="8" t="s">
        <v>236</v>
      </c>
      <c r="V1" s="7" t="s">
        <v>237</v>
      </c>
      <c r="W1" s="5" t="str">
        <f>Participantes!M$1</f>
        <v>Australia</v>
      </c>
      <c r="X1" s="5" t="str">
        <f>Participantes!N$1</f>
        <v>Türkiye</v>
      </c>
      <c r="Y1" s="8" t="s">
        <v>234</v>
      </c>
      <c r="Z1" s="7" t="s">
        <v>238</v>
      </c>
      <c r="AA1" s="5" t="str">
        <f>Participantes!O$1</f>
        <v>Brasil</v>
      </c>
      <c r="AB1" s="5" t="str">
        <f>Participantes!P$1</f>
        <v>Marruecos</v>
      </c>
      <c r="AC1" s="8" t="s">
        <v>239</v>
      </c>
      <c r="AD1" s="7" t="s">
        <v>240</v>
      </c>
      <c r="AE1" s="5" t="str">
        <f>Participantes!Q$1</f>
        <v>Qatar</v>
      </c>
      <c r="AF1" s="5" t="str">
        <f>Participantes!R$1</f>
        <v>Suiza</v>
      </c>
      <c r="AG1" s="5" t="str">
        <f>Participantes!S$1</f>
        <v>Costa de Marfil</v>
      </c>
      <c r="AH1" s="5" t="str">
        <f>Participantes!T$1</f>
        <v>Ecuador</v>
      </c>
      <c r="AI1" s="5" t="str">
        <f>Participantes!U$1</f>
        <v>Alemania</v>
      </c>
      <c r="AJ1" s="5" t="str">
        <f>Participantes!V$1</f>
        <v>Curazao</v>
      </c>
      <c r="AK1" s="5" t="str">
        <f>Participantes!W$1</f>
        <v>Países Bajos</v>
      </c>
      <c r="AL1" s="5" t="str">
        <f>Participantes!X$1</f>
        <v>Japón</v>
      </c>
      <c r="AM1" s="5" t="str">
        <f>Participantes!Y$1</f>
        <v>Suecia</v>
      </c>
      <c r="AN1" s="5" t="str">
        <f>Participantes!Z$1</f>
        <v>Túnez</v>
      </c>
      <c r="AO1" s="5" t="str">
        <f>Participantes!AA$1</f>
        <v>Arabia Saudita</v>
      </c>
      <c r="AP1" s="5" t="str">
        <f>Participantes!AB$1</f>
        <v>Uruguay</v>
      </c>
      <c r="AQ1" s="5" t="str">
        <f>Participantes!AC$1</f>
        <v>España</v>
      </c>
      <c r="AR1" s="5" t="str">
        <f>Participantes!AD$1</f>
        <v>Cabo Verde</v>
      </c>
      <c r="AS1" s="5" t="str">
        <f>Participantes!AE$1</f>
        <v>Irán</v>
      </c>
      <c r="AT1" s="5" t="str">
        <f>Participantes!AF$1</f>
        <v>Nueva Zelanda</v>
      </c>
      <c r="AU1" s="5" t="str">
        <f>Participantes!AG$1</f>
        <v>Bélgica</v>
      </c>
      <c r="AV1" s="5" t="str">
        <f>Participantes!AH$1</f>
        <v>Egipto</v>
      </c>
      <c r="AW1" s="5" t="str">
        <f>Participantes!AI$1</f>
        <v>Francia</v>
      </c>
      <c r="AX1" s="5" t="str">
        <f>Participantes!AJ$1</f>
        <v>Senegal</v>
      </c>
      <c r="AY1" s="5" t="str">
        <f>Participantes!AK$1</f>
        <v>Irak</v>
      </c>
      <c r="AZ1" s="5" t="str">
        <f>Participantes!AL$1</f>
        <v>Noruega</v>
      </c>
      <c r="BA1" s="5" t="str">
        <f>Participantes!AM$1</f>
        <v>Argentina</v>
      </c>
      <c r="BB1" s="5" t="str">
        <f>Participantes!AN$1</f>
        <v>Argelia</v>
      </c>
      <c r="BC1" s="5" t="str">
        <f>Participantes!AO$1</f>
        <v>Austria</v>
      </c>
      <c r="BD1" s="5" t="str">
        <f>Participantes!AP$1</f>
        <v>Jordania</v>
      </c>
      <c r="BE1" s="5" t="str">
        <f>Participantes!AQ$1</f>
        <v>Ghana</v>
      </c>
      <c r="BF1" s="5" t="str">
        <f>Participantes!AR$1</f>
        <v>Panamá</v>
      </c>
      <c r="BG1" s="5" t="str">
        <f>Participantes!AS$1</f>
        <v>Inglaterra</v>
      </c>
      <c r="BH1" s="5" t="str">
        <f>Participantes!AT$1</f>
        <v>Croacia</v>
      </c>
      <c r="BI1" s="5" t="str">
        <f>Participantes!AU$1</f>
        <v>Portugal</v>
      </c>
      <c r="BJ1" s="5" t="str">
        <f>Participantes!AV$1</f>
        <v>RD Congo</v>
      </c>
      <c r="BK1" s="5" t="str">
        <f>Participantes!AW$1</f>
        <v>Uzbekistán</v>
      </c>
      <c r="BL1" s="5" t="str">
        <f>Participantes!AX$1</f>
        <v>Colombia</v>
      </c>
      <c r="BM1" s="5" t="str">
        <f>Participantes!AY$1</f>
        <v>Chequia</v>
      </c>
      <c r="BN1" s="5" t="str">
        <f>Participantes!AZ$1</f>
        <v>Sudáfrica</v>
      </c>
      <c r="BO1" s="5" t="str">
        <f>Participantes!BA$1</f>
        <v>Suiza</v>
      </c>
      <c r="BP1" s="5" t="str">
        <f>Participantes!BB$1</f>
        <v>Bosnia</v>
      </c>
      <c r="BQ1" s="5" t="str">
        <f>Participantes!BC$1</f>
        <v>Canadá</v>
      </c>
      <c r="BR1" s="5" t="str">
        <f>Participantes!BD$1</f>
        <v>Qatar</v>
      </c>
    </row>
    <row r="2" spans="1:71" s="15" customFormat="1" ht="20.25" hidden="1" thickTop="1" thickBot="1">
      <c r="A2" s="10" t="s">
        <v>241</v>
      </c>
      <c r="B2" s="11" t="str">
        <f>B1</f>
        <v>México</v>
      </c>
      <c r="C2" s="11" t="str">
        <f>C1</f>
        <v>Sudáfrica</v>
      </c>
      <c r="D2" s="12" t="s">
        <v>242</v>
      </c>
      <c r="E2" s="11" t="s">
        <v>243</v>
      </c>
      <c r="F2" s="13" t="s">
        <v>230</v>
      </c>
      <c r="G2" s="10" t="str">
        <f>G1</f>
        <v>Corea</v>
      </c>
      <c r="H2" s="14" t="str">
        <f>H1</f>
        <v>Chequia</v>
      </c>
      <c r="I2" s="14" t="s">
        <v>233</v>
      </c>
      <c r="J2" s="13" t="s">
        <v>232</v>
      </c>
      <c r="K2" s="10" t="str">
        <f>K1</f>
        <v>Canadá</v>
      </c>
      <c r="L2" s="10" t="str">
        <f>L1</f>
        <v>Bosnia</v>
      </c>
      <c r="M2" s="14" t="s">
        <v>236</v>
      </c>
      <c r="N2" s="13" t="s">
        <v>234</v>
      </c>
      <c r="O2" s="10" t="str">
        <f>O1</f>
        <v>Estados Unidos</v>
      </c>
      <c r="P2" s="10" t="str">
        <f>P1</f>
        <v>Paraguay</v>
      </c>
      <c r="Q2" s="14" t="s">
        <v>239</v>
      </c>
      <c r="R2" s="13" t="s">
        <v>235</v>
      </c>
      <c r="S2" s="10" t="str">
        <f>S1</f>
        <v>Haití</v>
      </c>
      <c r="T2" s="14" t="str">
        <f>T1</f>
        <v>Escocia</v>
      </c>
      <c r="U2" s="14" t="s">
        <v>244</v>
      </c>
      <c r="V2" s="13" t="s">
        <v>237</v>
      </c>
      <c r="W2" s="10" t="str">
        <f>W1</f>
        <v>Australia</v>
      </c>
      <c r="X2" s="10" t="str">
        <f>X1</f>
        <v>Türkiye</v>
      </c>
      <c r="Y2" s="14" t="s">
        <v>245</v>
      </c>
      <c r="Z2" s="13" t="s">
        <v>238</v>
      </c>
      <c r="AA2" s="10" t="str">
        <f>AA1</f>
        <v>Brasil</v>
      </c>
      <c r="AB2" s="10" t="str">
        <f>AB1</f>
        <v>Marruecos</v>
      </c>
      <c r="AC2" s="14" t="s">
        <v>246</v>
      </c>
      <c r="AD2" s="13" t="s">
        <v>240</v>
      </c>
      <c r="AE2" s="10" t="str">
        <f>AE1</f>
        <v>Qatar</v>
      </c>
      <c r="AF2" s="10" t="str">
        <f>AF1</f>
        <v>Suiza</v>
      </c>
      <c r="AG2" s="10" t="str">
        <f>AG1</f>
        <v>Costa de Marfil</v>
      </c>
      <c r="AH2" s="10" t="str">
        <f>AH1</f>
        <v>Ecuador</v>
      </c>
      <c r="AI2" s="10" t="str">
        <f t="shared" ref="AI2:AJ2" si="0">AI1</f>
        <v>Alemania</v>
      </c>
      <c r="AJ2" s="10" t="str">
        <f t="shared" si="0"/>
        <v>Curazao</v>
      </c>
      <c r="AK2" s="10" t="str">
        <f t="shared" ref="AK2:AL2" si="1">AK1</f>
        <v>Países Bajos</v>
      </c>
      <c r="AL2" s="10" t="str">
        <f t="shared" si="1"/>
        <v>Japón</v>
      </c>
      <c r="AM2" s="10" t="str">
        <f t="shared" ref="AM2:AN2" si="2">AM1</f>
        <v>Suecia</v>
      </c>
      <c r="AN2" s="10" t="str">
        <f t="shared" si="2"/>
        <v>Túnez</v>
      </c>
      <c r="AO2" s="10" t="str">
        <f t="shared" ref="AO2:AP2" si="3">AO1</f>
        <v>Arabia Saudita</v>
      </c>
      <c r="AP2" s="10" t="str">
        <f t="shared" si="3"/>
        <v>Uruguay</v>
      </c>
      <c r="AQ2" s="10" t="str">
        <f t="shared" ref="AQ2:AR2" si="4">AQ1</f>
        <v>España</v>
      </c>
      <c r="AR2" s="10" t="str">
        <f t="shared" si="4"/>
        <v>Cabo Verde</v>
      </c>
      <c r="AS2" s="10" t="str">
        <f t="shared" ref="AS2:AT2" si="5">AS1</f>
        <v>Irán</v>
      </c>
      <c r="AT2" s="10" t="str">
        <f t="shared" si="5"/>
        <v>Nueva Zelanda</v>
      </c>
      <c r="AU2" s="10" t="str">
        <f t="shared" ref="AU2:AV2" si="6">AU1</f>
        <v>Bélgica</v>
      </c>
      <c r="AV2" s="10" t="str">
        <f t="shared" si="6"/>
        <v>Egipto</v>
      </c>
      <c r="AW2" s="10" t="str">
        <f t="shared" ref="AW2:AX2" si="7">AW1</f>
        <v>Francia</v>
      </c>
      <c r="AX2" s="10" t="str">
        <f t="shared" si="7"/>
        <v>Senegal</v>
      </c>
      <c r="AY2" s="10" t="str">
        <f t="shared" ref="AY2:AZ2" si="8">AY1</f>
        <v>Irak</v>
      </c>
      <c r="AZ2" s="10" t="str">
        <f t="shared" si="8"/>
        <v>Noruega</v>
      </c>
      <c r="BA2" s="10" t="str">
        <f t="shared" ref="BA2:BB2" si="9">BA1</f>
        <v>Argentina</v>
      </c>
      <c r="BB2" s="10" t="str">
        <f t="shared" si="9"/>
        <v>Argelia</v>
      </c>
      <c r="BC2" s="10" t="str">
        <f t="shared" ref="BC2:BD2" si="10">BC1</f>
        <v>Austria</v>
      </c>
      <c r="BD2" s="10" t="str">
        <f t="shared" si="10"/>
        <v>Jordania</v>
      </c>
      <c r="BE2" s="10" t="str">
        <f t="shared" ref="BE2" si="11">BE1</f>
        <v>Ghana</v>
      </c>
    </row>
    <row r="3" spans="1:71" s="15" customFormat="1" ht="20.25" thickTop="1" thickBot="1">
      <c r="A3" s="16" t="s">
        <v>247</v>
      </c>
      <c r="B3" s="17" t="str">
        <f>IF(Partidos!$H2="","",Partidos!$H2)</f>
        <v/>
      </c>
      <c r="C3" s="17" t="str">
        <f>IF(Partidos!$I2="","",Partidos!$I2)</f>
        <v/>
      </c>
      <c r="D3" s="18"/>
      <c r="E3" s="17"/>
      <c r="F3" s="19"/>
      <c r="G3" s="17" t="str">
        <f>IF(Partidos!$H3="","",Partidos!$H3)</f>
        <v/>
      </c>
      <c r="H3" s="17" t="str">
        <f>IF(Partidos!$I3="","",Partidos!$I3)</f>
        <v/>
      </c>
      <c r="I3" s="17"/>
      <c r="J3" s="19"/>
      <c r="K3" s="17">
        <f>Partidos!$H4</f>
        <v>0</v>
      </c>
      <c r="L3" s="17">
        <f>Partidos!$I4</f>
        <v>0</v>
      </c>
      <c r="M3" s="17"/>
      <c r="N3" s="19"/>
      <c r="O3" s="17">
        <f>Partidos!$H5</f>
        <v>0</v>
      </c>
      <c r="P3" s="17">
        <f>Partidos!$I5</f>
        <v>0</v>
      </c>
      <c r="Q3" s="20"/>
      <c r="R3" s="19"/>
      <c r="S3" s="17">
        <f>Partidos!$H6</f>
        <v>0</v>
      </c>
      <c r="T3" s="17">
        <f>Partidos!$I6</f>
        <v>0</v>
      </c>
      <c r="U3" s="20"/>
      <c r="V3" s="19"/>
      <c r="W3" s="17">
        <f>Partidos!$H7</f>
        <v>0</v>
      </c>
      <c r="X3" s="17">
        <f>Partidos!$I7</f>
        <v>0</v>
      </c>
      <c r="Y3" s="20"/>
      <c r="Z3" s="19"/>
      <c r="AA3" s="17">
        <f>Partidos!$H8</f>
        <v>0</v>
      </c>
      <c r="AB3" s="17">
        <f>Partidos!$I8</f>
        <v>0</v>
      </c>
      <c r="AC3" s="20"/>
      <c r="AD3" s="19"/>
      <c r="AE3" s="17">
        <f>Partidos!$H9</f>
        <v>0</v>
      </c>
      <c r="AF3" s="17">
        <f>Partidos!$I9</f>
        <v>0</v>
      </c>
      <c r="AG3" s="17" cm="1">
        <f t="array" ref="AG3">INDEX(Partidos!$H:$H, INT((COLUMN()-COLUMN($O$3))/2)+1)</f>
        <v>0</v>
      </c>
      <c r="AH3" s="17" cm="1">
        <f t="array" ref="AH3">INDEX(Partidos!$I:$I, INT((COLUMN()-COLUMN($O$3))/2)+1)</f>
        <v>0</v>
      </c>
      <c r="AI3" s="17" cm="1">
        <f t="array" ref="AI3">INDEX(Partidos!$H:$H, INT((COLUMN()-COLUMN($O$3))/2)+1)</f>
        <v>0</v>
      </c>
      <c r="AJ3" s="17" cm="1">
        <f t="array" ref="AJ3">INDEX(Partidos!$I:$I, INT((COLUMN()-COLUMN($O$3))/2)+1)</f>
        <v>0</v>
      </c>
      <c r="AK3" s="17" cm="1">
        <f t="array" ref="AK3">INDEX(Partidos!$H:$H, INT((COLUMN()-COLUMN($O$3))/2)+1)</f>
        <v>0</v>
      </c>
      <c r="AL3" s="17" cm="1">
        <f t="array" ref="AL3">INDEX(Partidos!$I:$I, INT((COLUMN()-COLUMN($O$3))/2)+1)</f>
        <v>0</v>
      </c>
      <c r="AM3" s="17" cm="1">
        <f t="array" ref="AM3">INDEX(Partidos!$H:$H, INT((COLUMN()-COLUMN($O$3))/2)+1)</f>
        <v>0</v>
      </c>
      <c r="AN3" s="17" cm="1">
        <f t="array" ref="AN3">INDEX(Partidos!$I:$I, INT((COLUMN()-COLUMN($O$3))/2)+1)</f>
        <v>0</v>
      </c>
      <c r="AO3" s="17" cm="1">
        <f t="array" ref="AO3">INDEX(Partidos!$H:$H, INT((COLUMN()-COLUMN($O$3))/2)+1)</f>
        <v>0</v>
      </c>
      <c r="AP3" s="17" cm="1">
        <f t="array" ref="AP3">INDEX(Partidos!$I:$I, INT((COLUMN()-COLUMN($O$3))/2)+1)</f>
        <v>0</v>
      </c>
      <c r="AQ3" s="17" cm="1">
        <f t="array" ref="AQ3">INDEX(Partidos!$H:$H, INT((COLUMN()-COLUMN($O$3))/2)+1)</f>
        <v>0</v>
      </c>
      <c r="AR3" s="17" cm="1">
        <f t="array" ref="AR3">INDEX(Partidos!$I:$I, INT((COLUMN()-COLUMN($O$3))/2)+1)</f>
        <v>0</v>
      </c>
      <c r="AS3" s="17" cm="1">
        <f t="array" ref="AS3">INDEX(Partidos!$H:$H, INT((COLUMN()-COLUMN($O$3))/2)+1)</f>
        <v>0</v>
      </c>
      <c r="AT3" s="17" cm="1">
        <f t="array" ref="AT3">INDEX(Partidos!$I:$I, INT((COLUMN()-COLUMN($O$3))/2)+1)</f>
        <v>0</v>
      </c>
      <c r="AU3" s="17" cm="1">
        <f t="array" ref="AU3">INDEX(Partidos!$H:$H, INT((COLUMN()-COLUMN($O$3))/2)+1)</f>
        <v>0</v>
      </c>
      <c r="AV3" s="17" cm="1">
        <f t="array" ref="AV3">INDEX(Partidos!$H:$H, INT((COLUMN()-COLUMN($O$3))/2)+1)</f>
        <v>0</v>
      </c>
      <c r="AW3" s="17" cm="1">
        <f t="array" ref="AW3">INDEX(Partidos!$I:$I, INT((COLUMN()-COLUMN($O$3))/2)+1)</f>
        <v>0</v>
      </c>
      <c r="AX3" s="17" cm="1">
        <f t="array" ref="AX3">INDEX(Partidos!$H:$H, INT((COLUMN()-COLUMN($O$3))/2)+1)</f>
        <v>0</v>
      </c>
      <c r="AY3" s="17" cm="1">
        <f t="array" ref="AY3">INDEX(Partidos!$I:$I, INT((COLUMN()-COLUMN($O$3))/2)+1)</f>
        <v>0</v>
      </c>
      <c r="AZ3" s="17" cm="1">
        <f t="array" ref="AZ3">INDEX(Partidos!$H:$H, INT((COLUMN()-COLUMN($O$3))/2)+1)</f>
        <v>0</v>
      </c>
      <c r="BA3" s="17" cm="1">
        <f t="array" ref="BA3">INDEX(Partidos!$I:$I, INT((COLUMN()-COLUMN($O$3))/2)+1)</f>
        <v>0</v>
      </c>
      <c r="BB3" s="17" cm="1">
        <f t="array" ref="BB3">INDEX(Partidos!$H:$H, INT((COLUMN()-COLUMN($O$3))/2)+1)</f>
        <v>0</v>
      </c>
      <c r="BC3" s="17" cm="1">
        <f t="array" ref="BC3">INDEX(Partidos!$I:$I, INT((COLUMN()-COLUMN($O$3))/2)+1)</f>
        <v>0</v>
      </c>
      <c r="BD3" s="17" cm="1">
        <f t="array" ref="BD3">INDEX(Partidos!$H:$H, INT((COLUMN()-COLUMN($O$3))/2)+1)</f>
        <v>0</v>
      </c>
      <c r="BE3" s="17" cm="1">
        <f t="array" ref="BE3">INDEX(Partidos!$I:$I, INT((COLUMN()-COLUMN($O$3))/2)+1)</f>
        <v>0</v>
      </c>
      <c r="BF3" s="17" cm="1">
        <f t="array" ref="BF3">INDEX(Partidos!$H:$H, INT((COLUMN()-COLUMN($O$3))/2)+1)</f>
        <v>0</v>
      </c>
      <c r="BG3" s="17" cm="1">
        <f t="array" ref="BG3">INDEX(Partidos!$I:$I, INT((COLUMN()-COLUMN($O$3))/2)+1)</f>
        <v>0</v>
      </c>
      <c r="BH3" s="17" cm="1">
        <f t="array" ref="BH3">INDEX(Partidos!$H:$H, INT((COLUMN()-COLUMN($O$3))/2)+1)</f>
        <v>0</v>
      </c>
      <c r="BI3" s="17" cm="1">
        <f t="array" ref="BI3">INDEX(Partidos!$I:$I, INT((COLUMN()-COLUMN($O$3))/2)+1)</f>
        <v>0</v>
      </c>
      <c r="BJ3" s="17" cm="1">
        <f t="array" ref="BJ3">INDEX(Partidos!$H:$H, INT((COLUMN()-COLUMN($O$3))/2)+1)</f>
        <v>0</v>
      </c>
      <c r="BK3" s="17" cm="1">
        <f t="array" ref="BK3">INDEX(Partidos!$H:$H, INT((COLUMN()-COLUMN($O$3))/2)+1)</f>
        <v>0</v>
      </c>
      <c r="BL3" s="17" cm="1">
        <f t="array" ref="BL3">INDEX(Partidos!$I:$I, INT((COLUMN()-COLUMN($O$3))/2)+1)</f>
        <v>0</v>
      </c>
      <c r="BM3" s="17" cm="1">
        <f t="array" ref="BM3">INDEX(Partidos!$H:$H, INT((COLUMN()-COLUMN($O$3))/2)+1)</f>
        <v>0</v>
      </c>
      <c r="BN3" s="17" cm="1">
        <f t="array" ref="BN3">INDEX(Partidos!$I:$I, INT((COLUMN()-COLUMN($O$3))/2)+1)</f>
        <v>0</v>
      </c>
      <c r="BO3" s="17" cm="1">
        <f t="array" ref="BO3">INDEX(Partidos!$H:$H, INT((COLUMN()-COLUMN($O$3))/2)+1)</f>
        <v>0</v>
      </c>
      <c r="BP3" s="17" cm="1">
        <f t="array" ref="BP3">INDEX(Partidos!$I:$I, INT((COLUMN()-COLUMN($O$3))/2)+1)</f>
        <v>0</v>
      </c>
      <c r="BQ3" s="17" cm="1">
        <f t="array" ref="BQ3">INDEX(Partidos!$H:$H, INT((COLUMN()-COLUMN($O$3))/2)+1)</f>
        <v>0</v>
      </c>
      <c r="BR3" s="17" cm="1">
        <f t="array" ref="BR3">INDEX(Partidos!$I:$I, INT((COLUMN()-COLUMN($O$3))/2)+1)</f>
        <v>0</v>
      </c>
    </row>
    <row r="4" spans="1:71" ht="17.25" thickTop="1" thickBot="1">
      <c r="A4" s="21" t="str">
        <f>Participantes!B2</f>
        <v>Alberto</v>
      </c>
      <c r="B4" s="22">
        <f>Participantes!$C2</f>
        <v>1</v>
      </c>
      <c r="C4" s="22">
        <f>Participantes!$D2</f>
        <v>1</v>
      </c>
      <c r="D4" s="22"/>
      <c r="E4" s="22" t="str">
        <f>IF($B$3="","",(IF(AND($B4=$B$3,$C$3=$C4),3,IF(AND($B$3&gt;$C$3,$B4&gt;$C4),1,IF(AND($C$3&gt;$B$3,$C4&gt;$B4),1,IF(AND($C$3=$B$3,$C4=$B4),1,0))))))</f>
        <v/>
      </c>
      <c r="F4" s="23"/>
      <c r="G4" s="22">
        <f>Participantes!$E2</f>
        <v>2</v>
      </c>
      <c r="H4" s="22">
        <f>Participantes!$F2</f>
        <v>0</v>
      </c>
      <c r="I4" s="22" t="str">
        <f>IF($G$3="","",(IF(AND($G4=$B$3,$H$3=$H4),3,IF(AND($G$3&gt;$H$3,$G4&gt;$H4),1,IF(AND($H$3&gt;$G$3,$H4&gt;$G4),1,IF(AND($H$3=$G$3,$H4=$G4),1,0))))))</f>
        <v/>
      </c>
      <c r="J4" s="22">
        <f>(IF(AND($B4=$B$3,$C$3=$C4),3,IF(AND($B$3&gt;$C$3,$B4&gt;$C4),1,IF(AND($C$3&gt;$B$3,$C4&gt;$B4),1,IF(AND($C$3=$B$3,$C4=$B4),1,0)))))</f>
        <v>1</v>
      </c>
      <c r="K4" s="23">
        <f>[1]Marcadores!K4</f>
        <v>3</v>
      </c>
      <c r="L4" s="23">
        <f>[1]Marcadores!L4</f>
        <v>2</v>
      </c>
      <c r="M4" s="23" t="e">
        <f>(IF(AND(K4=K$3, L$3=L4),3,IF(AND(K$3&gt;L$3, K4&gt;L4),2,IF(AND(L$3&gt;K$3,L4&gt;K4), 2, IF(AND(L$3=K$3, L4=K4),2,0))))+IF(#REF!=#REF!,3,0)+IF(AND(#REF!=#REF!,#REF!=#REF!,#REF!&lt;&gt;""),5,0))*IF(K$3="",0,1)</f>
        <v>#REF!</v>
      </c>
      <c r="N4" s="19"/>
      <c r="O4" s="23">
        <f>[1]Marcadores!M4</f>
        <v>3</v>
      </c>
      <c r="P4" s="23">
        <f>[1]Marcadores!N4</f>
        <v>1</v>
      </c>
      <c r="Q4" s="23" t="e">
        <f>(IF(AND(O4=O$3, P$3=P4),3,IF(AND(O$3&gt;P$3, O4&gt;P4),2,IF(AND(P$3&gt;O$3,P4&gt;O4), 2, IF(AND(P$3=O$3, P4=O4),2,0))))+IF(#REF!=#REF!,3,0)+IF(AND(#REF!=#REF!,#REF!=#REF!,#REF!&lt;&gt;""),5,0))*IF(O$3="",0,1)</f>
        <v>#REF!</v>
      </c>
      <c r="R4" s="23"/>
      <c r="S4" s="23" t="str">
        <f>[1]Marcadores!G4</f>
        <v>2</v>
      </c>
      <c r="T4" s="23" t="str">
        <f>[1]Marcadores!H4</f>
        <v>1</v>
      </c>
      <c r="U4" s="23" t="e">
        <f>(IF(AND(S4=S$3, T$3=T4),3,IF(AND(S$3&gt;T$3, S4&gt;T4),2,IF(AND(T$3&gt;S$3,T4&gt;S4), 2, IF(AND(T$3=S$3, T4=S4),2,0))))+IF(#REF!=#REF!,3,0)+IF(AND(#REF!=#REF!,#REF!=#REF!,#REF!&lt;&gt;""),5,0))*IF(S$3="",0,1)</f>
        <v>#REF!</v>
      </c>
      <c r="V4" s="23"/>
      <c r="W4" s="23" t="str">
        <f>[1]Marcadores!I4</f>
        <v>1</v>
      </c>
      <c r="X4" s="23" t="str">
        <f>[1]Marcadores!J4</f>
        <v>2</v>
      </c>
      <c r="Y4" s="23" t="e">
        <f>(IF(AND(W4=W$3, X$3=X4),3,IF(AND(W$3&gt;X$3, W4&gt;X4),2,IF(AND(X$3&gt;W$3,X4&gt;W4), 2, IF(AND(X$3=W$3, X4=W4),2,0))))+IF(#REF!=#REF!,3,0)+IF(AND(#REF!=#REF!,#REF!=#REF!,#REF!&lt;&gt;""),5,0))*IF(W$3="",0,1)</f>
        <v>#REF!</v>
      </c>
      <c r="Z4" s="23"/>
      <c r="AA4" s="23">
        <f>[1]Marcadores!O4</f>
        <v>2</v>
      </c>
      <c r="AB4" s="23">
        <f>[1]Marcadores!P4</f>
        <v>1</v>
      </c>
      <c r="AC4" s="23" t="e">
        <f>(IF(AND(AA4=AB$3,#REF!= AB4),3,IF(AND(AB$3&gt;#REF!, AA4&gt;AB4),2,IF(AND(#REF!&gt;AB$3,AB4&gt;AA4), 2, IF(AND(#REF!=AB$3, AB4=AA4),2,0))))+IF(#REF!=#REF!,3,0)+IF(AND(#REF!=#REF!,#REF!=#REF!,#REF!&lt;&gt;""),5,0))*IF(AB$3="",0,1)</f>
        <v>#REF!</v>
      </c>
      <c r="AD4" s="23"/>
      <c r="AE4" s="23">
        <f>[1]Marcadores!Q4</f>
        <v>2</v>
      </c>
      <c r="AF4" s="23">
        <f>[1]Marcadores!R4</f>
        <v>1</v>
      </c>
      <c r="AG4" s="23">
        <f>[1]Marcadores!T4</f>
        <v>0</v>
      </c>
      <c r="AH4" s="23">
        <f>[1]Marcadores!U4</f>
        <v>0</v>
      </c>
      <c r="AI4" s="23">
        <f>[1]Marcadores!W4</f>
        <v>0</v>
      </c>
      <c r="AJ4" s="23">
        <f>[1]Marcadores!X4</f>
        <v>0</v>
      </c>
      <c r="AK4" s="23">
        <f>[1]Marcadores!Z4</f>
        <v>0</v>
      </c>
      <c r="AL4" s="23">
        <f>[1]Marcadores!AA4</f>
        <v>0</v>
      </c>
      <c r="AM4" s="23">
        <f>[1]Marcadores!AC4</f>
        <v>0</v>
      </c>
      <c r="AN4" s="23">
        <f>[1]Marcadores!AD4</f>
        <v>0</v>
      </c>
      <c r="AO4" s="23">
        <f>[1]Marcadores!AF4</f>
        <v>0</v>
      </c>
      <c r="AP4" s="23">
        <f>[1]Marcadores!AG4</f>
        <v>0</v>
      </c>
      <c r="AQ4" s="23">
        <f>[1]Marcadores!AI4</f>
        <v>0</v>
      </c>
      <c r="AR4" s="23">
        <f>[1]Marcadores!AJ4</f>
        <v>0</v>
      </c>
      <c r="AS4" s="23">
        <f>[1]Marcadores!AL4</f>
        <v>0</v>
      </c>
      <c r="AT4" s="23">
        <f>[1]Marcadores!AM4</f>
        <v>0</v>
      </c>
      <c r="AU4" s="23">
        <f>[1]Marcadores!AO4</f>
        <v>0</v>
      </c>
      <c r="AV4" s="23">
        <f>[1]Marcadores!AP4</f>
        <v>0</v>
      </c>
      <c r="AW4" s="23">
        <f>[1]Marcadores!AR4</f>
        <v>0</v>
      </c>
      <c r="AX4" s="23">
        <f>[1]Marcadores!AS4</f>
        <v>0</v>
      </c>
      <c r="AY4" s="23">
        <f>[1]Marcadores!AU4</f>
        <v>0</v>
      </c>
      <c r="AZ4" s="23">
        <f>[1]Marcadores!AV4</f>
        <v>0</v>
      </c>
      <c r="BA4" s="23">
        <f>[1]Marcadores!AX4</f>
        <v>0</v>
      </c>
      <c r="BB4" s="23">
        <f>[1]Marcadores!AY4</f>
        <v>0</v>
      </c>
      <c r="BC4" s="23">
        <f>[1]Marcadores!BA4</f>
        <v>0</v>
      </c>
      <c r="BD4" s="23">
        <f>[1]Marcadores!BB4</f>
        <v>0</v>
      </c>
      <c r="BE4" s="23">
        <f>[1]Marcadores!BD4</f>
        <v>0</v>
      </c>
      <c r="BS4" s="9">
        <f>IF(E4="",0)+IF(I4="",0)</f>
        <v>0</v>
      </c>
    </row>
    <row r="5" spans="1:71" ht="17.25" thickTop="1" thickBot="1">
      <c r="A5" s="21" t="str">
        <f>Participantes!B3</f>
        <v>Alexander</v>
      </c>
      <c r="B5" s="22">
        <f>Participantes!$C3</f>
        <v>2</v>
      </c>
      <c r="C5" s="22">
        <f>Participantes!$D3</f>
        <v>0</v>
      </c>
      <c r="D5" s="24"/>
      <c r="E5" s="22" t="str">
        <f t="shared" ref="E5:E51" si="12">IF($B$3="","",(IF(AND($B5=$B$3,$C$3=$C5),3,IF(AND($B$3&gt;$C$3,$B5&gt;$C5),1,IF(AND($C$3&gt;$B$3,$C5&gt;$B5),1,IF(AND($C$3=$B$3,$C5=$B5),1,0))))))</f>
        <v/>
      </c>
      <c r="F5" s="25"/>
      <c r="G5" s="22">
        <f>Participantes!$E3</f>
        <v>1</v>
      </c>
      <c r="H5" s="22">
        <f>Participantes!$F3</f>
        <v>1</v>
      </c>
      <c r="I5" s="22" t="str">
        <f t="shared" ref="I5:I51" si="13">IF($G$3="","",(IF(AND($G5=$B$3,$H$3=$H5),3,IF(AND($G$3&gt;$H$3,$G5&gt;$H5),1,IF(AND($H$3&gt;$G$3,$H5&gt;$G5),1,IF(AND($H$3=$G$3,$H5=$G5),1,0))))))</f>
        <v/>
      </c>
      <c r="J5" s="25"/>
      <c r="K5" s="25">
        <f>[1]Marcadores!K5</f>
        <v>4</v>
      </c>
      <c r="L5" s="25">
        <f>[1]Marcadores!L5</f>
        <v>0</v>
      </c>
      <c r="M5" s="25" t="e">
        <f>(IF(AND(K5=K$3, L$3=L5),3,IF(AND(K$3&gt;L$3, K5&gt;L5),2,IF(AND(L$3&gt;K$3,L5&gt;K5), 2, IF(AND(L$3=K$3, L5=K5),2,0))))+IF(#REF!=#REF!,3,0)+IF(AND(#REF!=#REF!,#REF!=#REF!,#REF!&lt;&gt;""),5,0))*IF(K$3="",0,1)</f>
        <v>#REF!</v>
      </c>
      <c r="N5" s="19"/>
      <c r="O5" s="25">
        <f>[1]Marcadores!M5</f>
        <v>3</v>
      </c>
      <c r="P5" s="25">
        <f>[1]Marcadores!N5</f>
        <v>1</v>
      </c>
      <c r="Q5" s="25" t="e">
        <f>(IF(AND(O5=O$3, P$3=P5),3,IF(AND(O$3&gt;P$3, O5&gt;P5),2,IF(AND(P$3&gt;O$3,P5&gt;O5), 2, IF(AND(P$3=O$3, P5=O5),2,0))))+IF(#REF!=#REF!,3,0)+IF(AND(#REF!=#REF!,#REF!=#REF!,#REF!&lt;&gt;""),5,0))*IF(O$3="",0,1)</f>
        <v>#REF!</v>
      </c>
      <c r="R5" s="25"/>
      <c r="S5" s="25" t="str">
        <f>[1]Marcadores!G5</f>
        <v>2</v>
      </c>
      <c r="T5" s="25" t="str">
        <f>[1]Marcadores!H5</f>
        <v>1</v>
      </c>
      <c r="U5" s="25" t="e">
        <f>(IF(AND(S5=S$3, T$3=T5),3,IF(AND(S$3&gt;T$3, S5&gt;T5),2,IF(AND(T$3&gt;S$3,T5&gt;S5), 2, IF(AND(T$3=S$3, T5=S5),2,0))))+IF(#REF!=#REF!,3,0)+IF(AND(#REF!=#REF!,#REF!=#REF!,#REF!&lt;&gt;""),5,0))*IF(S$3="",0,1)</f>
        <v>#REF!</v>
      </c>
      <c r="V5" s="25"/>
      <c r="W5" s="25" t="str">
        <f>[1]Marcadores!I5</f>
        <v>3</v>
      </c>
      <c r="X5" s="25" t="str">
        <f>[1]Marcadores!J5</f>
        <v>1</v>
      </c>
      <c r="Y5" s="25" t="e">
        <f>(IF(AND(W5=W$3, X$3=X5),3,IF(AND(W$3&gt;X$3, W5&gt;X5),2,IF(AND(X$3&gt;W$3,X5&gt;W5), 2, IF(AND(X$3=W$3, X5=W5),2,0))))+IF(#REF!=#REF!,3,0)+IF(AND(#REF!=#REF!,#REF!=#REF!,#REF!&lt;&gt;""),5,0))*IF(W$3="",0,1)</f>
        <v>#REF!</v>
      </c>
      <c r="Z5" s="25"/>
      <c r="AA5" s="25">
        <f>[1]Marcadores!O5</f>
        <v>2</v>
      </c>
      <c r="AB5" s="25">
        <f>[1]Marcadores!P5</f>
        <v>1</v>
      </c>
      <c r="AC5" s="25" t="e">
        <f>(IF(AND(AA5=AB$3,#REF!= AB5),3,IF(AND(AB$3&gt;#REF!, AA5&gt;AB5),2,IF(AND(#REF!&gt;AB$3,AB5&gt;AA5), 2, IF(AND(#REF!=AB$3, AB5=AA5),2,0))))+IF(#REF!=#REF!,3,0)+IF(AND(#REF!=#REF!,#REF!=#REF!,#REF!&lt;&gt;""),5,0))*IF(AB$3="",0,1)</f>
        <v>#REF!</v>
      </c>
      <c r="AD5" s="25"/>
      <c r="AE5" s="25">
        <f>[1]Marcadores!Q5</f>
        <v>2</v>
      </c>
      <c r="AF5" s="25">
        <f>[1]Marcadores!R5</f>
        <v>1</v>
      </c>
      <c r="AG5" s="25">
        <f>[1]Marcadores!T5</f>
        <v>0</v>
      </c>
      <c r="AH5" s="25">
        <f>[1]Marcadores!U5</f>
        <v>0</v>
      </c>
      <c r="AI5" s="25">
        <f>[1]Marcadores!W5</f>
        <v>0</v>
      </c>
      <c r="AJ5" s="25">
        <f>[1]Marcadores!X5</f>
        <v>0</v>
      </c>
      <c r="AK5" s="25">
        <f>[1]Marcadores!Z5</f>
        <v>0</v>
      </c>
      <c r="AL5" s="25">
        <f>[1]Marcadores!AA5</f>
        <v>0</v>
      </c>
      <c r="AM5" s="25">
        <f>[1]Marcadores!AC5</f>
        <v>0</v>
      </c>
      <c r="AN5" s="25">
        <f>[1]Marcadores!AD5</f>
        <v>0</v>
      </c>
      <c r="AO5" s="25">
        <f>[1]Marcadores!AF5</f>
        <v>0</v>
      </c>
      <c r="AP5" s="25">
        <f>[1]Marcadores!AG5</f>
        <v>0</v>
      </c>
      <c r="AQ5" s="25">
        <f>[1]Marcadores!AI5</f>
        <v>0</v>
      </c>
      <c r="AR5" s="25">
        <f>[1]Marcadores!AJ5</f>
        <v>0</v>
      </c>
      <c r="AS5" s="25">
        <f>[1]Marcadores!AL5</f>
        <v>0</v>
      </c>
      <c r="AT5" s="25">
        <f>[1]Marcadores!AM5</f>
        <v>0</v>
      </c>
      <c r="AU5" s="25">
        <f>[1]Marcadores!AO5</f>
        <v>0</v>
      </c>
      <c r="AV5" s="25">
        <f>[1]Marcadores!AP5</f>
        <v>0</v>
      </c>
      <c r="AW5" s="25">
        <f>[1]Marcadores!AR5</f>
        <v>0</v>
      </c>
      <c r="AX5" s="25">
        <f>[1]Marcadores!AS5</f>
        <v>0</v>
      </c>
      <c r="AY5" s="25">
        <f>[1]Marcadores!AU5</f>
        <v>0</v>
      </c>
      <c r="AZ5" s="25">
        <f>[1]Marcadores!AV5</f>
        <v>0</v>
      </c>
      <c r="BA5" s="25">
        <f>[1]Marcadores!AX5</f>
        <v>0</v>
      </c>
      <c r="BB5" s="25">
        <f>[1]Marcadores!AY5</f>
        <v>0</v>
      </c>
      <c r="BC5" s="25">
        <f>[1]Marcadores!BA5</f>
        <v>0</v>
      </c>
      <c r="BD5" s="25">
        <f>[1]Marcadores!BB5</f>
        <v>0</v>
      </c>
      <c r="BE5" s="25">
        <f>[1]Marcadores!BD5</f>
        <v>0</v>
      </c>
      <c r="BS5" s="9">
        <f t="shared" ref="BS5:BS48" si="14">IF(E5="",0)+IF(I5="",0)</f>
        <v>0</v>
      </c>
    </row>
    <row r="6" spans="1:71" ht="17.25" thickTop="1" thickBot="1">
      <c r="A6" s="21" t="str">
        <f>Participantes!B4</f>
        <v>Alfredo 1</v>
      </c>
      <c r="B6" s="22">
        <f>Participantes!$C4</f>
        <v>2</v>
      </c>
      <c r="C6" s="22">
        <f>Participantes!$D4</f>
        <v>1</v>
      </c>
      <c r="D6" s="26"/>
      <c r="E6" s="22" t="str">
        <f t="shared" si="12"/>
        <v/>
      </c>
      <c r="F6" s="27"/>
      <c r="G6" s="22">
        <f>Participantes!$E4</f>
        <v>1</v>
      </c>
      <c r="H6" s="22">
        <f>Participantes!$F4</f>
        <v>1</v>
      </c>
      <c r="I6" s="22" t="str">
        <f t="shared" si="13"/>
        <v/>
      </c>
      <c r="J6" s="27"/>
      <c r="K6" s="27">
        <f>[1]Marcadores!K6</f>
        <v>2</v>
      </c>
      <c r="L6" s="27">
        <f>[1]Marcadores!L6</f>
        <v>0</v>
      </c>
      <c r="M6" s="27" t="e">
        <f>(IF(AND(K6=K$3, L$3=L6),3,IF(AND(K$3&gt;L$3, K6&gt;L6),2,IF(AND(L$3&gt;K$3,L6&gt;K6), 2, IF(AND(L$3=K$3, L6=K6),2,0))))+IF(#REF!=#REF!,3,0)+IF(AND(#REF!=#REF!,#REF!=#REF!,#REF!&lt;&gt;""),5,0))*IF(K$3="",0,1)</f>
        <v>#REF!</v>
      </c>
      <c r="N6" s="28"/>
      <c r="O6" s="27">
        <f>[1]Marcadores!M6</f>
        <v>2</v>
      </c>
      <c r="P6" s="27">
        <f>[1]Marcadores!N6</f>
        <v>1</v>
      </c>
      <c r="Q6" s="27" t="e">
        <f>(IF(AND(O6=O$3, P$3=P6),3,IF(AND(O$3&gt;P$3, O6&gt;P6),2,IF(AND(P$3&gt;O$3,P6&gt;O6), 2, IF(AND(P$3=O$3, P6=O6),2,0))))+IF(#REF!=#REF!,3,0)+IF(AND(#REF!=#REF!,#REF!=#REF!,#REF!&lt;&gt;""),5,0))*IF(O$3="",0,1)</f>
        <v>#REF!</v>
      </c>
      <c r="R6" s="27"/>
      <c r="S6" s="27" t="str">
        <f>[1]Marcadores!G6</f>
        <v>0.</v>
      </c>
      <c r="T6" s="27" t="str">
        <f>[1]Marcadores!H6</f>
        <v>0</v>
      </c>
      <c r="U6" s="27" t="e">
        <f>(IF(AND(S6=S$3, T$3=T6),3,IF(AND(S$3&gt;T$3, S6&gt;T6),2,IF(AND(T$3&gt;S$3,T6&gt;S6), 2, IF(AND(T$3=S$3, T6=S6),2,0))))+IF(#REF!=#REF!,3,0)+IF(AND(#REF!=#REF!,#REF!=#REF!,#REF!&lt;&gt;""),5,0))*IF(S$3="",0,1)</f>
        <v>#REF!</v>
      </c>
      <c r="V6" s="27"/>
      <c r="W6" s="27" t="str">
        <f>[1]Marcadores!I6</f>
        <v>2</v>
      </c>
      <c r="X6" s="27" t="str">
        <f>[1]Marcadores!J6</f>
        <v>1</v>
      </c>
      <c r="Y6" s="27" t="e">
        <f>(IF(AND(W6=W$3, X$3=X6),3,IF(AND(W$3&gt;X$3, W6&gt;X6),2,IF(AND(X$3&gt;W$3,X6&gt;W6), 2, IF(AND(X$3=W$3, X6=W6),2,0))))+IF(#REF!=#REF!,3,0)+IF(AND(#REF!=#REF!,#REF!=#REF!,#REF!&lt;&gt;""),5,0))*IF(W$3="",0,1)</f>
        <v>#REF!</v>
      </c>
      <c r="Z6" s="27"/>
      <c r="AA6" s="27">
        <f>[1]Marcadores!O6</f>
        <v>1</v>
      </c>
      <c r="AB6" s="27">
        <f>[1]Marcadores!P6</f>
        <v>1</v>
      </c>
      <c r="AC6" s="27" t="e">
        <f>(IF(AND(AA6=AB$3,#REF!= AB6),3,IF(AND(AB$3&gt;#REF!, AA6&gt;AB6),2,IF(AND(#REF!&gt;AB$3,AB6&gt;AA6), 2, IF(AND(#REF!=AB$3, AB6=AA6),2,0))))+IF(#REF!=#REF!,3,0)+IF(AND(#REF!=#REF!,#REF!=#REF!,#REF!&lt;&gt;""),5,0))*IF(AB$3="",0,1)</f>
        <v>#REF!</v>
      </c>
      <c r="AD6" s="27"/>
      <c r="AE6" s="27">
        <f>[1]Marcadores!Q6</f>
        <v>2</v>
      </c>
      <c r="AF6" s="27">
        <f>[1]Marcadores!R6</f>
        <v>1</v>
      </c>
      <c r="AG6" s="27">
        <f>[1]Marcadores!T6</f>
        <v>0</v>
      </c>
      <c r="AH6" s="27">
        <f>[1]Marcadores!U6</f>
        <v>0</v>
      </c>
      <c r="AI6" s="27">
        <f>[1]Marcadores!W6</f>
        <v>0</v>
      </c>
      <c r="AJ6" s="27">
        <f>[1]Marcadores!X6</f>
        <v>0</v>
      </c>
      <c r="AK6" s="27">
        <f>[1]Marcadores!Z6</f>
        <v>0</v>
      </c>
      <c r="AL6" s="27">
        <f>[1]Marcadores!AA6</f>
        <v>0</v>
      </c>
      <c r="AM6" s="27">
        <f>[1]Marcadores!AC6</f>
        <v>0</v>
      </c>
      <c r="AN6" s="27">
        <f>[1]Marcadores!AD6</f>
        <v>0</v>
      </c>
      <c r="AO6" s="27">
        <f>[1]Marcadores!AF6</f>
        <v>0</v>
      </c>
      <c r="AP6" s="27">
        <f>[1]Marcadores!AG6</f>
        <v>0</v>
      </c>
      <c r="AQ6" s="27">
        <f>[1]Marcadores!AI6</f>
        <v>0</v>
      </c>
      <c r="AR6" s="27">
        <f>[1]Marcadores!AJ6</f>
        <v>0</v>
      </c>
      <c r="AS6" s="27">
        <f>[1]Marcadores!AL6</f>
        <v>0</v>
      </c>
      <c r="AT6" s="27">
        <f>[1]Marcadores!AM6</f>
        <v>0</v>
      </c>
      <c r="AU6" s="27">
        <f>[1]Marcadores!AO6</f>
        <v>0</v>
      </c>
      <c r="AV6" s="27">
        <f>[1]Marcadores!AP6</f>
        <v>0</v>
      </c>
      <c r="AW6" s="27">
        <f>[1]Marcadores!AR6</f>
        <v>0</v>
      </c>
      <c r="AX6" s="27">
        <f>[1]Marcadores!AS6</f>
        <v>0</v>
      </c>
      <c r="AY6" s="27">
        <f>[1]Marcadores!AU6</f>
        <v>0</v>
      </c>
      <c r="AZ6" s="27">
        <f>[1]Marcadores!AV6</f>
        <v>0</v>
      </c>
      <c r="BA6" s="27">
        <f>[1]Marcadores!AX6</f>
        <v>0</v>
      </c>
      <c r="BB6" s="27">
        <f>[1]Marcadores!AY6</f>
        <v>0</v>
      </c>
      <c r="BC6" s="27">
        <f>[1]Marcadores!BA6</f>
        <v>0</v>
      </c>
      <c r="BD6" s="27">
        <f>[1]Marcadores!BB6</f>
        <v>0</v>
      </c>
      <c r="BE6" s="27">
        <f>[1]Marcadores!BD6</f>
        <v>0</v>
      </c>
      <c r="BS6" s="9">
        <f t="shared" si="14"/>
        <v>0</v>
      </c>
    </row>
    <row r="7" spans="1:71" ht="17.25" thickTop="1" thickBot="1">
      <c r="A7" s="21" t="str">
        <f>Participantes!B5</f>
        <v>Alfredo 2</v>
      </c>
      <c r="B7" s="22">
        <f>Participantes!$C5</f>
        <v>2</v>
      </c>
      <c r="C7" s="22">
        <f>Participantes!$D5</f>
        <v>0</v>
      </c>
      <c r="D7" s="24"/>
      <c r="E7" s="22" t="str">
        <f t="shared" si="12"/>
        <v/>
      </c>
      <c r="F7" s="25"/>
      <c r="G7" s="22">
        <f>Participantes!$E5</f>
        <v>0</v>
      </c>
      <c r="H7" s="22">
        <f>Participantes!$F5</f>
        <v>1</v>
      </c>
      <c r="I7" s="22" t="str">
        <f t="shared" si="13"/>
        <v/>
      </c>
      <c r="J7" s="25"/>
      <c r="K7" s="25">
        <f>[1]Marcadores!K7</f>
        <v>2</v>
      </c>
      <c r="L7" s="25">
        <f>[1]Marcadores!L7</f>
        <v>1</v>
      </c>
      <c r="M7" s="25" t="e">
        <f>(IF(AND(K7=K$3, L$3=L7),3,IF(AND(K$3&gt;L$3, K7&gt;L7),2,IF(AND(L$3&gt;K$3,L7&gt;K7), 2, IF(AND(L$3=K$3, L7=K7),2,0))))+IF(#REF!=#REF!,3,0)+IF(AND(#REF!=#REF!,#REF!=#REF!,#REF!&lt;&gt;""),5,0))*IF(K$3="",0,1)</f>
        <v>#REF!</v>
      </c>
      <c r="N7" s="28"/>
      <c r="O7" s="25">
        <f>[1]Marcadores!M7</f>
        <v>2</v>
      </c>
      <c r="P7" s="25">
        <f>[1]Marcadores!N7</f>
        <v>0</v>
      </c>
      <c r="Q7" s="25" t="e">
        <f>(IF(AND(O7=O$3, P$3=P7),3,IF(AND(O$3&gt;P$3, O7&gt;P7),2,IF(AND(P$3&gt;O$3,P7&gt;O7), 2, IF(AND(P$3=O$3, P7=O7),2,0))))+IF(#REF!=#REF!,3,0)+IF(AND(#REF!=#REF!,#REF!=#REF!,#REF!&lt;&gt;""),5,0))*IF(O$3="",0,1)</f>
        <v>#REF!</v>
      </c>
      <c r="R7" s="25"/>
      <c r="S7" s="25" t="str">
        <f>[1]Marcadores!G7</f>
        <v>2</v>
      </c>
      <c r="T7" s="25" t="str">
        <f>[1]Marcadores!H7</f>
        <v>1</v>
      </c>
      <c r="U7" s="25" t="e">
        <f>(IF(AND(S7=S$3, T$3=T7),3,IF(AND(S$3&gt;T$3, S7&gt;T7),2,IF(AND(T$3&gt;S$3,T7&gt;S7), 2, IF(AND(T$3=S$3, T7=S7),2,0))))+IF(#REF!=#REF!,3,0)+IF(AND(#REF!=#REF!,#REF!=#REF!,#REF!&lt;&gt;""),5,0))*IF(S$3="",0,1)</f>
        <v>#REF!</v>
      </c>
      <c r="V7" s="25"/>
      <c r="W7" s="25" t="str">
        <f>[1]Marcadores!I7</f>
        <v>2</v>
      </c>
      <c r="X7" s="25" t="str">
        <f>[1]Marcadores!J7</f>
        <v>1</v>
      </c>
      <c r="Y7" s="25" t="e">
        <f>(IF(AND(W7=W$3, X$3=X7),3,IF(AND(W$3&gt;X$3, W7&gt;X7),2,IF(AND(X$3&gt;W$3,X7&gt;W7), 2, IF(AND(X$3=W$3, X7=W7),2,0))))+IF(#REF!=#REF!,3,0)+IF(AND(#REF!=#REF!,#REF!=#REF!,#REF!&lt;&gt;""),5,0))*IF(W$3="",0,1)</f>
        <v>#REF!</v>
      </c>
      <c r="Z7" s="25"/>
      <c r="AA7" s="25">
        <f>[1]Marcadores!O7</f>
        <v>0</v>
      </c>
      <c r="AB7" s="25">
        <f>[1]Marcadores!P7</f>
        <v>1</v>
      </c>
      <c r="AC7" s="25" t="e">
        <f>(IF(AND(AA7=AB$3,#REF!= AB7),3,IF(AND(AB$3&gt;#REF!, AA7&gt;AB7),2,IF(AND(#REF!&gt;AB$3,AB7&gt;AA7), 2, IF(AND(#REF!=AB$3, AB7=AA7),2,0))))+IF(#REF!=#REF!,3,0)+IF(AND(#REF!=#REF!,#REF!=#REF!,#REF!&lt;&gt;""),5,0))*IF(AB$3="",0,1)</f>
        <v>#REF!</v>
      </c>
      <c r="AD7" s="25"/>
      <c r="AE7" s="25">
        <f>[1]Marcadores!Q7</f>
        <v>3</v>
      </c>
      <c r="AF7" s="25">
        <f>[1]Marcadores!R7</f>
        <v>2</v>
      </c>
      <c r="AG7" s="25">
        <f>[1]Marcadores!T7</f>
        <v>0</v>
      </c>
      <c r="AH7" s="25">
        <f>[1]Marcadores!U7</f>
        <v>0</v>
      </c>
      <c r="AI7" s="25">
        <f>[1]Marcadores!W7</f>
        <v>0</v>
      </c>
      <c r="AJ7" s="25">
        <f>[1]Marcadores!X7</f>
        <v>0</v>
      </c>
      <c r="AK7" s="25">
        <f>[1]Marcadores!Z7</f>
        <v>0</v>
      </c>
      <c r="AL7" s="25">
        <f>[1]Marcadores!AA7</f>
        <v>0</v>
      </c>
      <c r="AM7" s="25">
        <f>[1]Marcadores!AC7</f>
        <v>0</v>
      </c>
      <c r="AN7" s="25">
        <f>[1]Marcadores!AD7</f>
        <v>0</v>
      </c>
      <c r="AO7" s="25">
        <f>[1]Marcadores!AF7</f>
        <v>0</v>
      </c>
      <c r="AP7" s="25">
        <f>[1]Marcadores!AG7</f>
        <v>0</v>
      </c>
      <c r="AQ7" s="25">
        <f>[1]Marcadores!AI7</f>
        <v>0</v>
      </c>
      <c r="AR7" s="25">
        <f>[1]Marcadores!AJ7</f>
        <v>0</v>
      </c>
      <c r="AS7" s="25">
        <f>[1]Marcadores!AL7</f>
        <v>0</v>
      </c>
      <c r="AT7" s="25">
        <f>[1]Marcadores!AM7</f>
        <v>0</v>
      </c>
      <c r="AU7" s="25">
        <f>[1]Marcadores!AO7</f>
        <v>0</v>
      </c>
      <c r="AV7" s="25">
        <f>[1]Marcadores!AP7</f>
        <v>0</v>
      </c>
      <c r="AW7" s="25">
        <f>[1]Marcadores!AR7</f>
        <v>0</v>
      </c>
      <c r="AX7" s="25">
        <f>[1]Marcadores!AS7</f>
        <v>0</v>
      </c>
      <c r="AY7" s="25">
        <f>[1]Marcadores!AU7</f>
        <v>0</v>
      </c>
      <c r="AZ7" s="25">
        <f>[1]Marcadores!AV7</f>
        <v>0</v>
      </c>
      <c r="BA7" s="25">
        <f>[1]Marcadores!AX7</f>
        <v>0</v>
      </c>
      <c r="BB7" s="25">
        <f>[1]Marcadores!AY7</f>
        <v>0</v>
      </c>
      <c r="BC7" s="25">
        <f>[1]Marcadores!BA7</f>
        <v>0</v>
      </c>
      <c r="BD7" s="25">
        <f>[1]Marcadores!BB7</f>
        <v>0</v>
      </c>
      <c r="BE7" s="25">
        <f>[1]Marcadores!BD7</f>
        <v>0</v>
      </c>
      <c r="BS7" s="9">
        <f t="shared" si="14"/>
        <v>0</v>
      </c>
    </row>
    <row r="8" spans="1:71" ht="17.25" thickTop="1" thickBot="1">
      <c r="A8" s="21" t="str">
        <f>Participantes!B6</f>
        <v>Aneth</v>
      </c>
      <c r="B8" s="22">
        <f>Participantes!$C6</f>
        <v>2</v>
      </c>
      <c r="C8" s="22">
        <f>Participantes!$D6</f>
        <v>0</v>
      </c>
      <c r="D8" s="26"/>
      <c r="E8" s="22" t="str">
        <f t="shared" si="12"/>
        <v/>
      </c>
      <c r="F8" s="27"/>
      <c r="G8" s="22">
        <f>Participantes!$E6</f>
        <v>1</v>
      </c>
      <c r="H8" s="22">
        <f>Participantes!$F6</f>
        <v>1</v>
      </c>
      <c r="I8" s="22" t="str">
        <f t="shared" si="13"/>
        <v/>
      </c>
      <c r="J8" s="27"/>
      <c r="K8" s="27">
        <f>[1]Marcadores!K8</f>
        <v>2</v>
      </c>
      <c r="L8" s="27">
        <f>[1]Marcadores!L8</f>
        <v>1</v>
      </c>
      <c r="M8" s="27" t="e">
        <f>(IF(AND(K8=K$3, L$3=L8),3,IF(AND(K$3&gt;L$3, K8&gt;L8),2,IF(AND(L$3&gt;K$3,L8&gt;K8), 2, IF(AND(L$3=K$3, L8=K8),2,0))))+IF(#REF!=#REF!,3,0)+IF(AND(#REF!=#REF!,#REF!=#REF!,#REF!&lt;&gt;""),5,0))*IF(K$3="",0,1)</f>
        <v>#REF!</v>
      </c>
      <c r="N8" s="28"/>
      <c r="O8" s="27">
        <f>[1]Marcadores!M8</f>
        <v>1</v>
      </c>
      <c r="P8" s="27">
        <f>[1]Marcadores!N8</f>
        <v>2</v>
      </c>
      <c r="Q8" s="27" t="e">
        <f>(IF(AND(O8=O$3, P$3=P8),3,IF(AND(O$3&gt;P$3, O8&gt;P8),2,IF(AND(P$3&gt;O$3,P8&gt;O8), 2, IF(AND(P$3=O$3, P8=O8),2,0))))+IF(#REF!=#REF!,3,0)+IF(AND(#REF!=#REF!,#REF!=#REF!,#REF!&lt;&gt;""),5,0))*IF(O$3="",0,1)</f>
        <v>#REF!</v>
      </c>
      <c r="R8" s="27"/>
      <c r="S8" s="27" t="str">
        <f>[1]Marcadores!G8</f>
        <v>1</v>
      </c>
      <c r="T8" s="27" t="str">
        <f>[1]Marcadores!H8</f>
        <v>0</v>
      </c>
      <c r="U8" s="27" t="e">
        <f>(IF(AND(S8=S$3, T$3=T8),3,IF(AND(S$3&gt;T$3, S8&gt;T8),2,IF(AND(T$3&gt;S$3,T8&gt;S8), 2, IF(AND(T$3=S$3, T8=S8),2,0))))+IF(#REF!=#REF!,3,0)+IF(AND(#REF!=#REF!,#REF!=#REF!,#REF!&lt;&gt;""),5,0))*IF(S$3="",0,1)</f>
        <v>#REF!</v>
      </c>
      <c r="V8" s="27"/>
      <c r="W8" s="27" t="str">
        <f>[1]Marcadores!I8</f>
        <v>2</v>
      </c>
      <c r="X8" s="27" t="str">
        <f>[1]Marcadores!J8</f>
        <v>1</v>
      </c>
      <c r="Y8" s="27" t="e">
        <f>(IF(AND(W8=W$3, X$3=X8),3,IF(AND(W$3&gt;X$3, W8&gt;X8),2,IF(AND(X$3&gt;W$3,X8&gt;W8), 2, IF(AND(X$3=W$3, X8=W8),2,0))))+IF(#REF!=#REF!,3,0)+IF(AND(#REF!=#REF!,#REF!=#REF!,#REF!&lt;&gt;""),5,0))*IF(W$3="",0,1)</f>
        <v>#REF!</v>
      </c>
      <c r="Z8" s="27"/>
      <c r="AA8" s="27">
        <f>[1]Marcadores!O8</f>
        <v>0</v>
      </c>
      <c r="AB8" s="27">
        <f>[1]Marcadores!P8</f>
        <v>1</v>
      </c>
      <c r="AC8" s="27" t="e">
        <f>(IF(AND(AA8=AB$3,#REF!= AB8),3,IF(AND(AB$3&gt;#REF!, AA8&gt;AB8),2,IF(AND(#REF!&gt;AB$3,AB8&gt;AA8), 2, IF(AND(#REF!=AB$3, AB8=AA8),2,0))))+IF(#REF!=#REF!,3,0)+IF(AND(#REF!=#REF!,#REF!=#REF!,#REF!&lt;&gt;""),5,0))*IF(AB$3="",0,1)</f>
        <v>#REF!</v>
      </c>
      <c r="AD8" s="27"/>
      <c r="AE8" s="27">
        <f>[1]Marcadores!Q8</f>
        <v>2</v>
      </c>
      <c r="AF8" s="27">
        <f>[1]Marcadores!R8</f>
        <v>1</v>
      </c>
      <c r="AG8" s="27">
        <f>[1]Marcadores!T8</f>
        <v>0</v>
      </c>
      <c r="AH8" s="27">
        <f>[1]Marcadores!U8</f>
        <v>0</v>
      </c>
      <c r="AI8" s="27">
        <f>[1]Marcadores!W8</f>
        <v>0</v>
      </c>
      <c r="AJ8" s="27">
        <f>[1]Marcadores!X8</f>
        <v>0</v>
      </c>
      <c r="AK8" s="27">
        <f>[1]Marcadores!Z8</f>
        <v>0</v>
      </c>
      <c r="AL8" s="27">
        <f>[1]Marcadores!AA8</f>
        <v>0</v>
      </c>
      <c r="AM8" s="27">
        <f>[1]Marcadores!AC8</f>
        <v>0</v>
      </c>
      <c r="AN8" s="27">
        <f>[1]Marcadores!AD8</f>
        <v>0</v>
      </c>
      <c r="AO8" s="27">
        <f>[1]Marcadores!AF8</f>
        <v>0</v>
      </c>
      <c r="AP8" s="27">
        <f>[1]Marcadores!AG8</f>
        <v>0</v>
      </c>
      <c r="AQ8" s="27">
        <f>[1]Marcadores!AI8</f>
        <v>0</v>
      </c>
      <c r="AR8" s="27">
        <f>[1]Marcadores!AJ8</f>
        <v>0</v>
      </c>
      <c r="AS8" s="27">
        <f>[1]Marcadores!AL8</f>
        <v>0</v>
      </c>
      <c r="AT8" s="27">
        <f>[1]Marcadores!AM8</f>
        <v>0</v>
      </c>
      <c r="AU8" s="27">
        <f>[1]Marcadores!AO8</f>
        <v>0</v>
      </c>
      <c r="AV8" s="27">
        <f>[1]Marcadores!AP8</f>
        <v>0</v>
      </c>
      <c r="AW8" s="27">
        <f>[1]Marcadores!AR8</f>
        <v>0</v>
      </c>
      <c r="AX8" s="27">
        <f>[1]Marcadores!AS8</f>
        <v>0</v>
      </c>
      <c r="AY8" s="27">
        <f>[1]Marcadores!AU8</f>
        <v>0</v>
      </c>
      <c r="AZ8" s="27">
        <f>[1]Marcadores!AV8</f>
        <v>0</v>
      </c>
      <c r="BA8" s="27">
        <f>[1]Marcadores!AX8</f>
        <v>0</v>
      </c>
      <c r="BB8" s="27">
        <f>[1]Marcadores!AY8</f>
        <v>0</v>
      </c>
      <c r="BC8" s="27">
        <f>[1]Marcadores!BA8</f>
        <v>0</v>
      </c>
      <c r="BD8" s="27">
        <f>[1]Marcadores!BB8</f>
        <v>0</v>
      </c>
      <c r="BE8" s="27">
        <f>[1]Marcadores!BD8</f>
        <v>0</v>
      </c>
      <c r="BS8" s="9">
        <f t="shared" si="14"/>
        <v>0</v>
      </c>
    </row>
    <row r="9" spans="1:71" ht="17.25" thickTop="1" thickBot="1">
      <c r="A9" s="21" t="str">
        <f>Participantes!B7</f>
        <v>Antonio</v>
      </c>
      <c r="B9" s="22">
        <f>Participantes!$C7</f>
        <v>2</v>
      </c>
      <c r="C9" s="22">
        <f>Participantes!$D7</f>
        <v>0</v>
      </c>
      <c r="D9" s="24"/>
      <c r="E9" s="22" t="str">
        <f t="shared" si="12"/>
        <v/>
      </c>
      <c r="F9" s="25"/>
      <c r="G9" s="22">
        <f>Participantes!$E7</f>
        <v>1</v>
      </c>
      <c r="H9" s="22">
        <f>Participantes!$F7</f>
        <v>1</v>
      </c>
      <c r="I9" s="22" t="str">
        <f t="shared" si="13"/>
        <v/>
      </c>
      <c r="J9" s="25"/>
      <c r="K9" s="25">
        <f>[1]Marcadores!K9</f>
        <v>2</v>
      </c>
      <c r="L9" s="25">
        <f>[1]Marcadores!L9</f>
        <v>1</v>
      </c>
      <c r="M9" s="25" t="e">
        <f>(IF(AND(K9=K$3, L$3=L9),3,IF(AND(K$3&gt;L$3, K9&gt;L9),2,IF(AND(L$3&gt;K$3,L9&gt;K9), 2, IF(AND(L$3=K$3, L9=K9),2,0))))+IF(#REF!=#REF!,3,0)+IF(AND(#REF!=#REF!,#REF!=#REF!,#REF!&lt;&gt;""),5,0))*IF(K$3="",0,1)</f>
        <v>#REF!</v>
      </c>
      <c r="N9" s="28"/>
      <c r="O9" s="25">
        <f>[1]Marcadores!M9</f>
        <v>2</v>
      </c>
      <c r="P9" s="25">
        <f>[1]Marcadores!N9</f>
        <v>1</v>
      </c>
      <c r="Q9" s="25" t="e">
        <f>(IF(AND(O9=O$3, P$3=P9),3,IF(AND(O$3&gt;P$3, O9&gt;P9),2,IF(AND(P$3&gt;O$3,P9&gt;O9), 2, IF(AND(P$3=O$3, P9=O9),2,0))))+IF(#REF!=#REF!,3,0)+IF(AND(#REF!=#REF!,#REF!=#REF!,#REF!&lt;&gt;""),5,0))*IF(O$3="",0,1)</f>
        <v>#REF!</v>
      </c>
      <c r="R9" s="25"/>
      <c r="S9" s="25" t="str">
        <f>[1]Marcadores!G9</f>
        <v>2</v>
      </c>
      <c r="T9" s="25" t="str">
        <f>[1]Marcadores!H9</f>
        <v>1</v>
      </c>
      <c r="U9" s="25" t="e">
        <f>(IF(AND(S9=S$3, T$3=T9),3,IF(AND(S$3&gt;T$3, S9&gt;T9),2,IF(AND(T$3&gt;S$3,T9&gt;S9), 2, IF(AND(T$3=S$3, T9=S9),2,0))))+IF(#REF!=#REF!,3,0)+IF(AND(#REF!=#REF!,#REF!=#REF!,#REF!&lt;&gt;""),5,0))*IF(S$3="",0,1)</f>
        <v>#REF!</v>
      </c>
      <c r="V9" s="25"/>
      <c r="W9" s="25" t="str">
        <f>[1]Marcadores!I9</f>
        <v>1</v>
      </c>
      <c r="X9" s="25" t="str">
        <f>[1]Marcadores!J9</f>
        <v>2</v>
      </c>
      <c r="Y9" s="25" t="e">
        <f>(IF(AND(W9=W$3, X$3=X9),3,IF(AND(W$3&gt;X$3, W9&gt;X9),2,IF(AND(X$3&gt;W$3,X9&gt;W9), 2, IF(AND(X$3=W$3, X9=W9),2,0))))+IF(#REF!=#REF!,3,0)+IF(AND(#REF!=#REF!,#REF!=#REF!,#REF!&lt;&gt;""),5,0))*IF(W$3="",0,1)</f>
        <v>#REF!</v>
      </c>
      <c r="Z9" s="25"/>
      <c r="AA9" s="25">
        <f>[1]Marcadores!O9</f>
        <v>2</v>
      </c>
      <c r="AB9" s="25">
        <f>[1]Marcadores!P9</f>
        <v>1</v>
      </c>
      <c r="AC9" s="25" t="e">
        <f>(IF(AND(AA9=AB$3,#REF!= AB9),3,IF(AND(AB$3&gt;#REF!, AA9&gt;AB9),2,IF(AND(#REF!&gt;AB$3,AB9&gt;AA9), 2, IF(AND(#REF!=AB$3, AB9=AA9),2,0))))+IF(#REF!=#REF!,3,0)+IF(AND(#REF!=#REF!,#REF!=#REF!,#REF!&lt;&gt;""),5,0))*IF(AB$3="",0,1)</f>
        <v>#REF!</v>
      </c>
      <c r="AD9" s="25"/>
      <c r="AE9" s="25">
        <f>[1]Marcadores!Q9</f>
        <v>1</v>
      </c>
      <c r="AF9" s="25">
        <f>[1]Marcadores!R9</f>
        <v>2</v>
      </c>
      <c r="AG9" s="25">
        <f>[1]Marcadores!T9</f>
        <v>0</v>
      </c>
      <c r="AH9" s="25">
        <f>[1]Marcadores!U9</f>
        <v>0</v>
      </c>
      <c r="AI9" s="25">
        <f>[1]Marcadores!W9</f>
        <v>0</v>
      </c>
      <c r="AJ9" s="25">
        <f>[1]Marcadores!X9</f>
        <v>0</v>
      </c>
      <c r="AK9" s="25">
        <f>[1]Marcadores!Z9</f>
        <v>0</v>
      </c>
      <c r="AL9" s="25">
        <f>[1]Marcadores!AA9</f>
        <v>0</v>
      </c>
      <c r="AM9" s="25">
        <f>[1]Marcadores!AC9</f>
        <v>0</v>
      </c>
      <c r="AN9" s="25">
        <f>[1]Marcadores!AD9</f>
        <v>0</v>
      </c>
      <c r="AO9" s="25">
        <f>[1]Marcadores!AF9</f>
        <v>0</v>
      </c>
      <c r="AP9" s="25">
        <f>[1]Marcadores!AG9</f>
        <v>0</v>
      </c>
      <c r="AQ9" s="25">
        <f>[1]Marcadores!AI9</f>
        <v>0</v>
      </c>
      <c r="AR9" s="25">
        <f>[1]Marcadores!AJ9</f>
        <v>0</v>
      </c>
      <c r="AS9" s="25">
        <f>[1]Marcadores!AL9</f>
        <v>0</v>
      </c>
      <c r="AT9" s="25">
        <f>[1]Marcadores!AM9</f>
        <v>0</v>
      </c>
      <c r="AU9" s="25">
        <f>[1]Marcadores!AO9</f>
        <v>0</v>
      </c>
      <c r="AV9" s="25">
        <f>[1]Marcadores!AP9</f>
        <v>0</v>
      </c>
      <c r="AW9" s="25">
        <f>[1]Marcadores!AR9</f>
        <v>0</v>
      </c>
      <c r="AX9" s="25">
        <f>[1]Marcadores!AS9</f>
        <v>0</v>
      </c>
      <c r="AY9" s="25">
        <f>[1]Marcadores!AU9</f>
        <v>0</v>
      </c>
      <c r="AZ9" s="25">
        <f>[1]Marcadores!AV9</f>
        <v>0</v>
      </c>
      <c r="BA9" s="25">
        <f>[1]Marcadores!AX9</f>
        <v>0</v>
      </c>
      <c r="BB9" s="25">
        <f>[1]Marcadores!AY9</f>
        <v>0</v>
      </c>
      <c r="BC9" s="25">
        <f>[1]Marcadores!BA9</f>
        <v>0</v>
      </c>
      <c r="BD9" s="25">
        <f>[1]Marcadores!BB9</f>
        <v>0</v>
      </c>
      <c r="BE9" s="25">
        <f>[1]Marcadores!BD9</f>
        <v>0</v>
      </c>
      <c r="BS9" s="9">
        <f t="shared" si="14"/>
        <v>0</v>
      </c>
    </row>
    <row r="10" spans="1:71" ht="17.25" thickTop="1" thickBot="1">
      <c r="A10" s="21" t="str">
        <f>Participantes!B8</f>
        <v>Carlos</v>
      </c>
      <c r="B10" s="22">
        <f>Participantes!$C8</f>
        <v>2</v>
      </c>
      <c r="C10" s="22">
        <f>Participantes!$D8</f>
        <v>1</v>
      </c>
      <c r="D10" s="26"/>
      <c r="E10" s="22" t="str">
        <f t="shared" si="12"/>
        <v/>
      </c>
      <c r="F10" s="27"/>
      <c r="G10" s="22">
        <f>Participantes!$E8</f>
        <v>1</v>
      </c>
      <c r="H10" s="22">
        <f>Participantes!$F8</f>
        <v>1</v>
      </c>
      <c r="I10" s="22" t="str">
        <f t="shared" si="13"/>
        <v/>
      </c>
      <c r="J10" s="27"/>
      <c r="K10" s="27">
        <f>[1]Marcadores!K10</f>
        <v>2</v>
      </c>
      <c r="L10" s="27">
        <f>[1]Marcadores!L10</f>
        <v>1</v>
      </c>
      <c r="M10" s="27" t="e">
        <f>(IF(AND(K10=K$3, L$3=L10),3,IF(AND(K$3&gt;L$3, K10&gt;L10),2,IF(AND(L$3&gt;K$3,L10&gt;K10), 2, IF(AND(L$3=K$3, L10=K10),2,0))))+IF(#REF!=#REF!,3,0)+IF(AND(#REF!=#REF!,#REF!=#REF!,#REF!&lt;&gt;""),5,0))*IF(K$3="",0,1)</f>
        <v>#REF!</v>
      </c>
      <c r="N10" s="28"/>
      <c r="O10" s="27">
        <f>[1]Marcadores!M10</f>
        <v>2</v>
      </c>
      <c r="P10" s="27">
        <f>[1]Marcadores!N10</f>
        <v>1</v>
      </c>
      <c r="Q10" s="27" t="e">
        <f>(IF(AND(O10=O$3, P$3=P10),3,IF(AND(O$3&gt;P$3, O10&gt;P10),2,IF(AND(P$3&gt;O$3,P10&gt;O10), 2, IF(AND(P$3=O$3, P10=O10),2,0))))+IF(#REF!=#REF!,3,0)+IF(AND(#REF!=#REF!,#REF!=#REF!,#REF!&lt;&gt;""),5,0))*IF(O$3="",0,1)</f>
        <v>#REF!</v>
      </c>
      <c r="R10" s="27"/>
      <c r="S10" s="27" t="str">
        <f>[1]Marcadores!G10</f>
        <v>2</v>
      </c>
      <c r="T10" s="27" t="str">
        <f>[1]Marcadores!H10</f>
        <v>2</v>
      </c>
      <c r="U10" s="27" t="e">
        <f>(IF(AND(S10=S$3, T$3=T10),3,IF(AND(S$3&gt;T$3, S10&gt;T10),2,IF(AND(T$3&gt;S$3,T10&gt;S10), 2, IF(AND(T$3=S$3, T10=S10),2,0))))+IF(#REF!=#REF!,3,0)+IF(AND(#REF!=#REF!,#REF!=#REF!,#REF!&lt;&gt;""),5,0))*IF(S$3="",0,1)</f>
        <v>#REF!</v>
      </c>
      <c r="V10" s="27"/>
      <c r="W10" s="27" t="str">
        <f>[1]Marcadores!I10</f>
        <v>2</v>
      </c>
      <c r="X10" s="27" t="str">
        <f>[1]Marcadores!J10</f>
        <v>1</v>
      </c>
      <c r="Y10" s="27" t="e">
        <f>(IF(AND(W10=W$3, X$3=X10),3,IF(AND(W$3&gt;X$3, W10&gt;X10),2,IF(AND(X$3&gt;W$3,X10&gt;W10), 2, IF(AND(X$3=W$3, X10=W10),2,0))))+IF(#REF!=#REF!,3,0)+IF(AND(#REF!=#REF!,#REF!=#REF!,#REF!&lt;&gt;""),5,0))*IF(W$3="",0,1)</f>
        <v>#REF!</v>
      </c>
      <c r="Z10" s="27"/>
      <c r="AA10" s="27">
        <f>[1]Marcadores!O10</f>
        <v>1</v>
      </c>
      <c r="AB10" s="27">
        <f>[1]Marcadores!P10</f>
        <v>2</v>
      </c>
      <c r="AC10" s="27" t="e">
        <f>(IF(AND(AA10=AB$3,#REF!= AB10),3,IF(AND(AB$3&gt;#REF!, AA10&gt;AB10),2,IF(AND(#REF!&gt;AB$3,AB10&gt;AA10), 2, IF(AND(#REF!=AB$3, AB10=AA10),2,0))))+IF(#REF!=#REF!,3,0)+IF(AND(#REF!=#REF!,#REF!=#REF!,#REF!&lt;&gt;""),5,0))*IF(AB$3="",0,1)</f>
        <v>#REF!</v>
      </c>
      <c r="AD10" s="27"/>
      <c r="AE10" s="27">
        <f>[1]Marcadores!Q10</f>
        <v>2</v>
      </c>
      <c r="AF10" s="27">
        <f>[1]Marcadores!R10</f>
        <v>1</v>
      </c>
      <c r="AG10" s="27">
        <f>[1]Marcadores!T10</f>
        <v>0</v>
      </c>
      <c r="AH10" s="27">
        <f>[1]Marcadores!U10</f>
        <v>0</v>
      </c>
      <c r="AI10" s="27">
        <f>[1]Marcadores!W10</f>
        <v>0</v>
      </c>
      <c r="AJ10" s="27">
        <f>[1]Marcadores!X10</f>
        <v>0</v>
      </c>
      <c r="AK10" s="27">
        <f>[1]Marcadores!Z10</f>
        <v>0</v>
      </c>
      <c r="AL10" s="27">
        <f>[1]Marcadores!AA10</f>
        <v>0</v>
      </c>
      <c r="AM10" s="27">
        <f>[1]Marcadores!AC10</f>
        <v>0</v>
      </c>
      <c r="AN10" s="27">
        <f>[1]Marcadores!AD10</f>
        <v>0</v>
      </c>
      <c r="AO10" s="27">
        <f>[1]Marcadores!AF10</f>
        <v>0</v>
      </c>
      <c r="AP10" s="27">
        <f>[1]Marcadores!AG10</f>
        <v>0</v>
      </c>
      <c r="AQ10" s="27">
        <f>[1]Marcadores!AI10</f>
        <v>0</v>
      </c>
      <c r="AR10" s="27">
        <f>[1]Marcadores!AJ10</f>
        <v>0</v>
      </c>
      <c r="AS10" s="27">
        <f>[1]Marcadores!AL10</f>
        <v>0</v>
      </c>
      <c r="AT10" s="27">
        <f>[1]Marcadores!AM10</f>
        <v>0</v>
      </c>
      <c r="AU10" s="27">
        <f>[1]Marcadores!AO10</f>
        <v>0</v>
      </c>
      <c r="AV10" s="27">
        <f>[1]Marcadores!AP10</f>
        <v>0</v>
      </c>
      <c r="AW10" s="27">
        <f>[1]Marcadores!AR10</f>
        <v>0</v>
      </c>
      <c r="AX10" s="27">
        <f>[1]Marcadores!AS10</f>
        <v>0</v>
      </c>
      <c r="AY10" s="27">
        <f>[1]Marcadores!AU10</f>
        <v>0</v>
      </c>
      <c r="AZ10" s="27">
        <f>[1]Marcadores!AV10</f>
        <v>0</v>
      </c>
      <c r="BA10" s="27">
        <f>[1]Marcadores!AX10</f>
        <v>0</v>
      </c>
      <c r="BB10" s="27">
        <f>[1]Marcadores!AY10</f>
        <v>0</v>
      </c>
      <c r="BC10" s="27">
        <f>[1]Marcadores!BA10</f>
        <v>0</v>
      </c>
      <c r="BD10" s="27">
        <f>[1]Marcadores!BB10</f>
        <v>0</v>
      </c>
      <c r="BE10" s="27">
        <f>[1]Marcadores!BD10</f>
        <v>0</v>
      </c>
      <c r="BS10" s="9">
        <f t="shared" si="14"/>
        <v>0</v>
      </c>
    </row>
    <row r="11" spans="1:71" ht="17.25" thickTop="1" thickBot="1">
      <c r="A11" s="21" t="str">
        <f>Participantes!B9</f>
        <v>Castillo L.</v>
      </c>
      <c r="B11" s="22">
        <f>Participantes!$C9</f>
        <v>2</v>
      </c>
      <c r="C11" s="22">
        <f>Participantes!$D9</f>
        <v>1</v>
      </c>
      <c r="D11" s="24"/>
      <c r="E11" s="22" t="str">
        <f t="shared" si="12"/>
        <v/>
      </c>
      <c r="F11" s="25"/>
      <c r="G11" s="22">
        <f>Participantes!$E9</f>
        <v>2</v>
      </c>
      <c r="H11" s="22">
        <f>Participantes!$F9</f>
        <v>1</v>
      </c>
      <c r="I11" s="22" t="str">
        <f t="shared" si="13"/>
        <v/>
      </c>
      <c r="J11" s="25"/>
      <c r="K11" s="25">
        <f>[1]Marcadores!K11</f>
        <v>4</v>
      </c>
      <c r="L11" s="25">
        <f>[1]Marcadores!L11</f>
        <v>0</v>
      </c>
      <c r="M11" s="25" t="e">
        <f>(IF(AND(K11=K$3, L$3=L11),3,IF(AND(K$3&gt;L$3, K11&gt;L11),2,IF(AND(L$3&gt;K$3,L11&gt;K11), 2, IF(AND(L$3=K$3, L11=K11),2,0))))+IF(#REF!=#REF!,3,0)+IF(AND(#REF!=#REF!,#REF!=#REF!,#REF!&lt;&gt;""),5,0))*IF(K$3="",0,1)</f>
        <v>#REF!</v>
      </c>
      <c r="N11" s="28"/>
      <c r="O11" s="25">
        <f>[1]Marcadores!M11</f>
        <v>3</v>
      </c>
      <c r="P11" s="25">
        <f>[1]Marcadores!N11</f>
        <v>1</v>
      </c>
      <c r="Q11" s="25" t="e">
        <f>(IF(AND(O11=O$3, P$3=P11),3,IF(AND(O$3&gt;P$3, O11&gt;P11),2,IF(AND(P$3&gt;O$3,P11&gt;O11), 2, IF(AND(P$3=O$3, P11=O11),2,0))))+IF(#REF!=#REF!,3,0)+IF(AND(#REF!=#REF!,#REF!=#REF!,#REF!&lt;&gt;""),5,0))*IF(O$3="",0,1)</f>
        <v>#REF!</v>
      </c>
      <c r="R11" s="25"/>
      <c r="S11" s="25" t="str">
        <f>[1]Marcadores!G11</f>
        <v>1</v>
      </c>
      <c r="T11" s="25" t="str">
        <f>[1]Marcadores!H11</f>
        <v>2</v>
      </c>
      <c r="U11" s="25" t="e">
        <f>(IF(AND(S11=S$3, T$3=T11),3,IF(AND(S$3&gt;T$3, S11&gt;T11),2,IF(AND(T$3&gt;S$3,T11&gt;S11), 2, IF(AND(T$3=S$3, T11=S11),2,0))))+IF(#REF!=#REF!,3,0)+IF(AND(#REF!=#REF!,#REF!=#REF!,#REF!&lt;&gt;""),5,0))*IF(S$3="",0,1)</f>
        <v>#REF!</v>
      </c>
      <c r="V11" s="25"/>
      <c r="W11" s="25" t="str">
        <f>[1]Marcadores!I11</f>
        <v>4</v>
      </c>
      <c r="X11" s="25" t="str">
        <f>[1]Marcadores!J11</f>
        <v>1</v>
      </c>
      <c r="Y11" s="25" t="e">
        <f>(IF(AND(W11=W$3, X$3=X11),3,IF(AND(W$3&gt;X$3, W11&gt;X11),2,IF(AND(X$3&gt;W$3,X11&gt;W11), 2, IF(AND(X$3=W$3, X11=W11),2,0))))+IF(#REF!=#REF!,3,0)+IF(AND(#REF!=#REF!,#REF!=#REF!,#REF!&lt;&gt;""),5,0))*IF(W$3="",0,1)</f>
        <v>#REF!</v>
      </c>
      <c r="Z11" s="25"/>
      <c r="AA11" s="25">
        <f>[1]Marcadores!O11</f>
        <v>2</v>
      </c>
      <c r="AB11" s="25">
        <f>[1]Marcadores!P11</f>
        <v>1</v>
      </c>
      <c r="AC11" s="25" t="e">
        <f>(IF(AND(AA11=AB$3,#REF!= AB11),3,IF(AND(AB$3&gt;#REF!, AA11&gt;AB11),2,IF(AND(#REF!&gt;AB$3,AB11&gt;AA11), 2, IF(AND(#REF!=AB$3, AB11=AA11),2,0))))+IF(#REF!=#REF!,3,0)+IF(AND(#REF!=#REF!,#REF!=#REF!,#REF!&lt;&gt;""),5,0))*IF(AB$3="",0,1)</f>
        <v>#REF!</v>
      </c>
      <c r="AD11" s="25"/>
      <c r="AE11" s="25">
        <f>[1]Marcadores!Q11</f>
        <v>1</v>
      </c>
      <c r="AF11" s="25">
        <f>[1]Marcadores!R11</f>
        <v>1</v>
      </c>
      <c r="AG11" s="25">
        <f>[1]Marcadores!T11</f>
        <v>0</v>
      </c>
      <c r="AH11" s="25">
        <f>[1]Marcadores!U11</f>
        <v>0</v>
      </c>
      <c r="AI11" s="25">
        <f>[1]Marcadores!W11</f>
        <v>0</v>
      </c>
      <c r="AJ11" s="25">
        <f>[1]Marcadores!X11</f>
        <v>0</v>
      </c>
      <c r="AK11" s="25">
        <f>[1]Marcadores!Z11</f>
        <v>0</v>
      </c>
      <c r="AL11" s="25">
        <f>[1]Marcadores!AA11</f>
        <v>0</v>
      </c>
      <c r="AM11" s="25">
        <f>[1]Marcadores!AC11</f>
        <v>0</v>
      </c>
      <c r="AN11" s="25">
        <f>[1]Marcadores!AD11</f>
        <v>0</v>
      </c>
      <c r="AO11" s="25">
        <f>[1]Marcadores!AF11</f>
        <v>0</v>
      </c>
      <c r="AP11" s="25">
        <f>[1]Marcadores!AG11</f>
        <v>0</v>
      </c>
      <c r="AQ11" s="25">
        <f>[1]Marcadores!AI11</f>
        <v>0</v>
      </c>
      <c r="AR11" s="25">
        <f>[1]Marcadores!AJ11</f>
        <v>0</v>
      </c>
      <c r="AS11" s="25">
        <f>[1]Marcadores!AL11</f>
        <v>0</v>
      </c>
      <c r="AT11" s="25">
        <f>[1]Marcadores!AM11</f>
        <v>0</v>
      </c>
      <c r="AU11" s="25">
        <f>[1]Marcadores!AO11</f>
        <v>0</v>
      </c>
      <c r="AV11" s="25">
        <f>[1]Marcadores!AP11</f>
        <v>0</v>
      </c>
      <c r="AW11" s="25">
        <f>[1]Marcadores!AR11</f>
        <v>0</v>
      </c>
      <c r="AX11" s="25">
        <f>[1]Marcadores!AS11</f>
        <v>0</v>
      </c>
      <c r="AY11" s="25">
        <f>[1]Marcadores!AU11</f>
        <v>0</v>
      </c>
      <c r="AZ11" s="25">
        <f>[1]Marcadores!AV11</f>
        <v>0</v>
      </c>
      <c r="BA11" s="25">
        <f>[1]Marcadores!AX11</f>
        <v>0</v>
      </c>
      <c r="BB11" s="25">
        <f>[1]Marcadores!AY11</f>
        <v>0</v>
      </c>
      <c r="BC11" s="25">
        <f>[1]Marcadores!BA11</f>
        <v>0</v>
      </c>
      <c r="BD11" s="25">
        <f>[1]Marcadores!BB11</f>
        <v>0</v>
      </c>
      <c r="BE11" s="25">
        <f>[1]Marcadores!BD11</f>
        <v>0</v>
      </c>
      <c r="BS11" s="9">
        <f t="shared" si="14"/>
        <v>0</v>
      </c>
    </row>
    <row r="12" spans="1:71" ht="17.25" thickTop="1" thickBot="1">
      <c r="A12" s="21" t="str">
        <f>Participantes!B10</f>
        <v>Christofer</v>
      </c>
      <c r="B12" s="22">
        <f>Participantes!$C10</f>
        <v>2</v>
      </c>
      <c r="C12" s="22">
        <f>Participantes!$D10</f>
        <v>3</v>
      </c>
      <c r="D12" s="26"/>
      <c r="E12" s="22" t="str">
        <f t="shared" si="12"/>
        <v/>
      </c>
      <c r="F12" s="27"/>
      <c r="G12" s="22">
        <f>Participantes!$E10</f>
        <v>1</v>
      </c>
      <c r="H12" s="22">
        <f>Participantes!$F10</f>
        <v>1</v>
      </c>
      <c r="I12" s="22" t="str">
        <f t="shared" si="13"/>
        <v/>
      </c>
      <c r="J12" s="27"/>
      <c r="K12" s="27">
        <f>[1]Marcadores!K12</f>
        <v>4</v>
      </c>
      <c r="L12" s="27">
        <f>[1]Marcadores!L12</f>
        <v>0</v>
      </c>
      <c r="M12" s="27" t="e">
        <f>(IF(AND(K12=K$3, L$3=L12),3,IF(AND(K$3&gt;L$3, K12&gt;L12),2,IF(AND(L$3&gt;K$3,L12&gt;K12), 2, IF(AND(L$3=K$3, L12=K12),2,0))))+IF(#REF!=#REF!,3,0)+IF(AND(#REF!=#REF!,#REF!=#REF!,#REF!&lt;&gt;""),5,0))*IF(K$3="",0,1)</f>
        <v>#REF!</v>
      </c>
      <c r="N12" s="28"/>
      <c r="O12" s="27">
        <f>[1]Marcadores!M12</f>
        <v>3</v>
      </c>
      <c r="P12" s="27">
        <f>[1]Marcadores!N12</f>
        <v>1</v>
      </c>
      <c r="Q12" s="27" t="e">
        <f>(IF(AND(O12=O$3, P$3=P12),3,IF(AND(O$3&gt;P$3, O12&gt;P12),2,IF(AND(P$3&gt;O$3,P12&gt;O12), 2, IF(AND(P$3=O$3, P12=O12),2,0))))+IF(#REF!=#REF!,3,0)+IF(AND(#REF!=#REF!,#REF!=#REF!,#REF!&lt;&gt;""),5,0))*IF(O$3="",0,1)</f>
        <v>#REF!</v>
      </c>
      <c r="R12" s="27"/>
      <c r="S12" s="27" t="str">
        <f>[1]Marcadores!G12</f>
        <v>1</v>
      </c>
      <c r="T12" s="27" t="str">
        <f>[1]Marcadores!H12</f>
        <v>2</v>
      </c>
      <c r="U12" s="27" t="e">
        <f>(IF(AND(S12=S$3, T$3=T12),3,IF(AND(S$3&gt;T$3, S12&gt;T12),2,IF(AND(T$3&gt;S$3,T12&gt;S12), 2, IF(AND(T$3=S$3, T12=S12),2,0))))+IF(#REF!=#REF!,3,0)+IF(AND(#REF!=#REF!,#REF!=#REF!,#REF!&lt;&gt;""),5,0))*IF(S$3="",0,1)</f>
        <v>#REF!</v>
      </c>
      <c r="V12" s="27"/>
      <c r="W12" s="27" t="str">
        <f>[1]Marcadores!I12</f>
        <v>4</v>
      </c>
      <c r="X12" s="27" t="str">
        <f>[1]Marcadores!J12</f>
        <v>1</v>
      </c>
      <c r="Y12" s="27" t="e">
        <f>(IF(AND(W12=W$3, X$3=X12),3,IF(AND(W$3&gt;X$3, W12&gt;X12),2,IF(AND(X$3&gt;W$3,X12&gt;W12), 2, IF(AND(X$3=W$3, X12=W12),2,0))))+IF(#REF!=#REF!,3,0)+IF(AND(#REF!=#REF!,#REF!=#REF!,#REF!&lt;&gt;""),5,0))*IF(W$3="",0,1)</f>
        <v>#REF!</v>
      </c>
      <c r="Z12" s="27"/>
      <c r="AA12" s="27">
        <f>[1]Marcadores!O12</f>
        <v>2</v>
      </c>
      <c r="AB12" s="27">
        <f>[1]Marcadores!P12</f>
        <v>2</v>
      </c>
      <c r="AC12" s="27" t="e">
        <f>(IF(AND(AA12=AB$3,#REF!= AB12),3,IF(AND(AB$3&gt;#REF!, AA12&gt;AB12),2,IF(AND(#REF!&gt;AB$3,AB12&gt;AA12), 2, IF(AND(#REF!=AB$3, AB12=AA12),2,0))))+IF(#REF!=#REF!,3,0)+IF(AND(#REF!=#REF!,#REF!=#REF!,#REF!&lt;&gt;""),5,0))*IF(AB$3="",0,1)</f>
        <v>#REF!</v>
      </c>
      <c r="AD12" s="27"/>
      <c r="AE12" s="27">
        <f>[1]Marcadores!Q12</f>
        <v>1</v>
      </c>
      <c r="AF12" s="27">
        <f>[1]Marcadores!R12</f>
        <v>2</v>
      </c>
      <c r="AG12" s="27">
        <f>[1]Marcadores!T12</f>
        <v>0</v>
      </c>
      <c r="AH12" s="27">
        <f>[1]Marcadores!U12</f>
        <v>0</v>
      </c>
      <c r="AI12" s="27">
        <f>[1]Marcadores!W12</f>
        <v>0</v>
      </c>
      <c r="AJ12" s="27">
        <f>[1]Marcadores!X12</f>
        <v>0</v>
      </c>
      <c r="AK12" s="27">
        <f>[1]Marcadores!Z12</f>
        <v>0</v>
      </c>
      <c r="AL12" s="27">
        <f>[1]Marcadores!AA12</f>
        <v>0</v>
      </c>
      <c r="AM12" s="27">
        <f>[1]Marcadores!AC12</f>
        <v>0</v>
      </c>
      <c r="AN12" s="27">
        <f>[1]Marcadores!AD12</f>
        <v>0</v>
      </c>
      <c r="AO12" s="27">
        <f>[1]Marcadores!AF12</f>
        <v>0</v>
      </c>
      <c r="AP12" s="27">
        <f>[1]Marcadores!AG12</f>
        <v>0</v>
      </c>
      <c r="AQ12" s="27">
        <f>[1]Marcadores!AI12</f>
        <v>0</v>
      </c>
      <c r="AR12" s="27">
        <f>[1]Marcadores!AJ12</f>
        <v>0</v>
      </c>
      <c r="AS12" s="27">
        <f>[1]Marcadores!AL12</f>
        <v>0</v>
      </c>
      <c r="AT12" s="27">
        <f>[1]Marcadores!AM12</f>
        <v>0</v>
      </c>
      <c r="AU12" s="27">
        <f>[1]Marcadores!AO12</f>
        <v>0</v>
      </c>
      <c r="AV12" s="27">
        <f>[1]Marcadores!AP12</f>
        <v>0</v>
      </c>
      <c r="AW12" s="27">
        <f>[1]Marcadores!AR12</f>
        <v>0</v>
      </c>
      <c r="AX12" s="27">
        <f>[1]Marcadores!AS12</f>
        <v>0</v>
      </c>
      <c r="AY12" s="27">
        <f>[1]Marcadores!AU12</f>
        <v>0</v>
      </c>
      <c r="AZ12" s="27">
        <f>[1]Marcadores!AV12</f>
        <v>0</v>
      </c>
      <c r="BA12" s="27">
        <f>[1]Marcadores!AX12</f>
        <v>0</v>
      </c>
      <c r="BB12" s="27">
        <f>[1]Marcadores!AY12</f>
        <v>0</v>
      </c>
      <c r="BC12" s="27">
        <f>[1]Marcadores!BA12</f>
        <v>0</v>
      </c>
      <c r="BD12" s="27">
        <f>[1]Marcadores!BB12</f>
        <v>0</v>
      </c>
      <c r="BE12" s="27">
        <f>[1]Marcadores!BD12</f>
        <v>0</v>
      </c>
      <c r="BS12" s="9">
        <f t="shared" si="14"/>
        <v>0</v>
      </c>
    </row>
    <row r="13" spans="1:71" ht="17.25" thickTop="1" thickBot="1">
      <c r="A13" s="21" t="str">
        <f>Participantes!B11</f>
        <v>Cynthia</v>
      </c>
      <c r="B13" s="22">
        <f>Participantes!$C11</f>
        <v>1</v>
      </c>
      <c r="C13" s="22">
        <f>Participantes!$D11</f>
        <v>2</v>
      </c>
      <c r="D13" s="24"/>
      <c r="E13" s="22" t="str">
        <f t="shared" si="12"/>
        <v/>
      </c>
      <c r="F13" s="25"/>
      <c r="G13" s="22">
        <f>Participantes!$E11</f>
        <v>1</v>
      </c>
      <c r="H13" s="22">
        <f>Participantes!$F11</f>
        <v>0</v>
      </c>
      <c r="I13" s="22" t="str">
        <f t="shared" si="13"/>
        <v/>
      </c>
      <c r="J13" s="25"/>
      <c r="K13" s="25">
        <f>[1]Marcadores!K13</f>
        <v>3</v>
      </c>
      <c r="L13" s="25">
        <f>[1]Marcadores!L13</f>
        <v>1</v>
      </c>
      <c r="M13" s="25" t="e">
        <f>(IF(AND(K13=K$3, L$3=L13),3,IF(AND(K$3&gt;L$3, K13&gt;L13),2,IF(AND(L$3&gt;K$3,L13&gt;K13), 2, IF(AND(L$3=K$3, L13=K13),2,0))))+IF(#REF!=#REF!,3,0)+IF(AND(#REF!=#REF!,#REF!=#REF!,#REF!&lt;&gt;""),5,0))*IF(K$3="",0,1)</f>
        <v>#REF!</v>
      </c>
      <c r="N13" s="28"/>
      <c r="O13" s="25">
        <f>[1]Marcadores!M13</f>
        <v>2</v>
      </c>
      <c r="P13" s="25">
        <f>[1]Marcadores!N13</f>
        <v>1</v>
      </c>
      <c r="Q13" s="25" t="e">
        <f>(IF(AND(O13=O$3, P$3=P13),3,IF(AND(O$3&gt;P$3, O13&gt;P13),2,IF(AND(P$3&gt;O$3,P13&gt;O13), 2, IF(AND(P$3=O$3, P13=O13),2,0))))+IF(#REF!=#REF!,3,0)+IF(AND(#REF!=#REF!,#REF!=#REF!,#REF!&lt;&gt;""),5,0))*IF(O$3="",0,1)</f>
        <v>#REF!</v>
      </c>
      <c r="R13" s="25"/>
      <c r="S13" s="25" t="str">
        <f>[1]Marcadores!G13</f>
        <v>0</v>
      </c>
      <c r="T13" s="25" t="str">
        <f>[1]Marcadores!H13</f>
        <v>2</v>
      </c>
      <c r="U13" s="25" t="e">
        <f>(IF(AND(S13=S$3, T$3=T13),3,IF(AND(S$3&gt;T$3, S13&gt;T13),2,IF(AND(T$3&gt;S$3,T13&gt;S13), 2, IF(AND(T$3=S$3, T13=S13),2,0))))+IF(#REF!=#REF!,3,0)+IF(AND(#REF!=#REF!,#REF!=#REF!,#REF!&lt;&gt;""),5,0))*IF(S$3="",0,1)</f>
        <v>#REF!</v>
      </c>
      <c r="V13" s="25"/>
      <c r="W13" s="25" t="str">
        <f>[1]Marcadores!I13</f>
        <v>3</v>
      </c>
      <c r="X13" s="25" t="str">
        <f>[1]Marcadores!J13</f>
        <v>1</v>
      </c>
      <c r="Y13" s="25" t="e">
        <f>(IF(AND(W13=W$3, X$3=X13),3,IF(AND(W$3&gt;X$3, W13&gt;X13),2,IF(AND(X$3&gt;W$3,X13&gt;W13), 2, IF(AND(X$3=W$3, X13=W13),2,0))))+IF(#REF!=#REF!,3,0)+IF(AND(#REF!=#REF!,#REF!=#REF!,#REF!&lt;&gt;""),5,0))*IF(W$3="",0,1)</f>
        <v>#REF!</v>
      </c>
      <c r="Z13" s="25"/>
      <c r="AA13" s="25">
        <f>[1]Marcadores!O13</f>
        <v>1</v>
      </c>
      <c r="AB13" s="25">
        <f>[1]Marcadores!P13</f>
        <v>2</v>
      </c>
      <c r="AC13" s="25" t="e">
        <f>(IF(AND(AA13=AB$3,#REF!= AB13),3,IF(AND(AB$3&gt;#REF!, AA13&gt;AB13),2,IF(AND(#REF!&gt;AB$3,AB13&gt;AA13), 2, IF(AND(#REF!=AB$3, AB13=AA13),2,0))))+IF(#REF!=#REF!,3,0)+IF(AND(#REF!=#REF!,#REF!=#REF!,#REF!&lt;&gt;""),5,0))*IF(AB$3="",0,1)</f>
        <v>#REF!</v>
      </c>
      <c r="AD13" s="25"/>
      <c r="AE13" s="25">
        <f>[1]Marcadores!Q13</f>
        <v>1</v>
      </c>
      <c r="AF13" s="25">
        <f>[1]Marcadores!R13</f>
        <v>0</v>
      </c>
      <c r="AG13" s="25">
        <f>[1]Marcadores!T13</f>
        <v>0</v>
      </c>
      <c r="AH13" s="25">
        <f>[1]Marcadores!U13</f>
        <v>0</v>
      </c>
      <c r="AI13" s="25">
        <f>[1]Marcadores!W13</f>
        <v>0</v>
      </c>
      <c r="AJ13" s="25">
        <f>[1]Marcadores!X13</f>
        <v>0</v>
      </c>
      <c r="AK13" s="25">
        <f>[1]Marcadores!Z13</f>
        <v>0</v>
      </c>
      <c r="AL13" s="25">
        <f>[1]Marcadores!AA13</f>
        <v>0</v>
      </c>
      <c r="AM13" s="25">
        <f>[1]Marcadores!AC13</f>
        <v>0</v>
      </c>
      <c r="AN13" s="25">
        <f>[1]Marcadores!AD13</f>
        <v>0</v>
      </c>
      <c r="AO13" s="25">
        <f>[1]Marcadores!AF13</f>
        <v>0</v>
      </c>
      <c r="AP13" s="25">
        <f>[1]Marcadores!AG13</f>
        <v>0</v>
      </c>
      <c r="AQ13" s="25">
        <f>[1]Marcadores!AI13</f>
        <v>0</v>
      </c>
      <c r="AR13" s="25">
        <f>[1]Marcadores!AJ13</f>
        <v>0</v>
      </c>
      <c r="AS13" s="25">
        <f>[1]Marcadores!AL13</f>
        <v>0</v>
      </c>
      <c r="AT13" s="25">
        <f>[1]Marcadores!AM13</f>
        <v>0</v>
      </c>
      <c r="AU13" s="25">
        <f>[1]Marcadores!AO13</f>
        <v>0</v>
      </c>
      <c r="AV13" s="25">
        <f>[1]Marcadores!AP13</f>
        <v>0</v>
      </c>
      <c r="AW13" s="25">
        <f>[1]Marcadores!AR13</f>
        <v>0</v>
      </c>
      <c r="AX13" s="25">
        <f>[1]Marcadores!AS13</f>
        <v>0</v>
      </c>
      <c r="AY13" s="25">
        <f>[1]Marcadores!AU13</f>
        <v>0</v>
      </c>
      <c r="AZ13" s="25">
        <f>[1]Marcadores!AV13</f>
        <v>0</v>
      </c>
      <c r="BA13" s="25">
        <f>[1]Marcadores!AX13</f>
        <v>0</v>
      </c>
      <c r="BB13" s="25">
        <f>[1]Marcadores!AY13</f>
        <v>0</v>
      </c>
      <c r="BC13" s="25">
        <f>[1]Marcadores!BA13</f>
        <v>0</v>
      </c>
      <c r="BD13" s="25">
        <f>[1]Marcadores!BB13</f>
        <v>0</v>
      </c>
      <c r="BE13" s="25">
        <f>[1]Marcadores!BD13</f>
        <v>0</v>
      </c>
      <c r="BS13" s="9">
        <f t="shared" si="14"/>
        <v>0</v>
      </c>
    </row>
    <row r="14" spans="1:71" ht="17.25" thickTop="1" thickBot="1">
      <c r="A14" s="21" t="str">
        <f>Participantes!B12</f>
        <v>Edward</v>
      </c>
      <c r="B14" s="22">
        <f>Participantes!$C12</f>
        <v>2</v>
      </c>
      <c r="C14" s="22">
        <f>Participantes!$D12</f>
        <v>0</v>
      </c>
      <c r="D14" s="26"/>
      <c r="E14" s="22" t="str">
        <f t="shared" si="12"/>
        <v/>
      </c>
      <c r="F14" s="27"/>
      <c r="G14" s="22">
        <f>Participantes!$E12</f>
        <v>2</v>
      </c>
      <c r="H14" s="22">
        <f>Participantes!$F12</f>
        <v>1</v>
      </c>
      <c r="I14" s="22" t="str">
        <f t="shared" si="13"/>
        <v/>
      </c>
      <c r="J14" s="27"/>
      <c r="K14" s="27">
        <f>[1]Marcadores!K14</f>
        <v>2</v>
      </c>
      <c r="L14" s="27">
        <f>[1]Marcadores!L14</f>
        <v>3</v>
      </c>
      <c r="M14" s="27" t="e">
        <f>(IF(AND(K14=K$3, L$3=L14),3,IF(AND(K$3&gt;L$3, K14&gt;L14),2,IF(AND(L$3&gt;K$3,L14&gt;K14), 2, IF(AND(L$3=K$3, L14=K14),2,0))))+IF(#REF!=#REF!,3,0)+IF(AND(#REF!=#REF!,#REF!=#REF!,#REF!&lt;&gt;""),5,0))*IF(K$3="",0,1)</f>
        <v>#REF!</v>
      </c>
      <c r="N14" s="28"/>
      <c r="O14" s="27">
        <f>[1]Marcadores!M14</f>
        <v>3</v>
      </c>
      <c r="P14" s="27">
        <f>[1]Marcadores!N14</f>
        <v>2</v>
      </c>
      <c r="Q14" s="27" t="e">
        <f>(IF(AND(O14=O$3, P$3=P14),3,IF(AND(O$3&gt;P$3, O14&gt;P14),2,IF(AND(P$3&gt;O$3,P14&gt;O14), 2, IF(AND(P$3=O$3, P14=O14),2,0))))+IF(#REF!=#REF!,3,0)+IF(AND(#REF!=#REF!,#REF!=#REF!,#REF!&lt;&gt;""),5,0))*IF(O$3="",0,1)</f>
        <v>#REF!</v>
      </c>
      <c r="R14" s="27"/>
      <c r="S14" s="27" t="str">
        <f>[1]Marcadores!G14</f>
        <v>2</v>
      </c>
      <c r="T14" s="27" t="str">
        <f>[1]Marcadores!H14</f>
        <v>1</v>
      </c>
      <c r="U14" s="27" t="e">
        <f>(IF(AND(S14=S$3, T$3=T14),3,IF(AND(S$3&gt;T$3, S14&gt;T14),2,IF(AND(T$3&gt;S$3,T14&gt;S14), 2, IF(AND(T$3=S$3, T14=S14),2,0))))+IF(#REF!=#REF!,3,0)+IF(AND(#REF!=#REF!,#REF!=#REF!,#REF!&lt;&gt;""),5,0))*IF(S$3="",0,1)</f>
        <v>#REF!</v>
      </c>
      <c r="V14" s="27"/>
      <c r="W14" s="27" t="str">
        <f>[1]Marcadores!I14</f>
        <v>3</v>
      </c>
      <c r="X14" s="27" t="str">
        <f>[1]Marcadores!J14</f>
        <v>0</v>
      </c>
      <c r="Y14" s="27" t="e">
        <f>(IF(AND(W14=W$3, X$3=X14),3,IF(AND(W$3&gt;X$3, W14&gt;X14),2,IF(AND(X$3&gt;W$3,X14&gt;W14), 2, IF(AND(X$3=W$3, X14=W14),2,0))))+IF(#REF!=#REF!,3,0)+IF(AND(#REF!=#REF!,#REF!=#REF!,#REF!&lt;&gt;""),5,0))*IF(W$3="",0,1)</f>
        <v>#REF!</v>
      </c>
      <c r="Z14" s="27"/>
      <c r="AA14" s="27">
        <f>[1]Marcadores!O14</f>
        <v>2</v>
      </c>
      <c r="AB14" s="27">
        <f>[1]Marcadores!P14</f>
        <v>1</v>
      </c>
      <c r="AC14" s="27" t="e">
        <f>(IF(AND(AA14=AB$3,#REF!= AB14),3,IF(AND(AB$3&gt;#REF!, AA14&gt;AB14),2,IF(AND(#REF!&gt;AB$3,AB14&gt;AA14), 2, IF(AND(#REF!=AB$3, AB14=AA14),2,0))))+IF(#REF!=#REF!,3,0)+IF(AND(#REF!=#REF!,#REF!=#REF!,#REF!&lt;&gt;""),5,0))*IF(AB$3="",0,1)</f>
        <v>#REF!</v>
      </c>
      <c r="AD14" s="27"/>
      <c r="AE14" s="27">
        <f>[1]Marcadores!Q14</f>
        <v>0</v>
      </c>
      <c r="AF14" s="27">
        <f>[1]Marcadores!R14</f>
        <v>1</v>
      </c>
      <c r="AG14" s="27">
        <f>[1]Marcadores!T14</f>
        <v>0</v>
      </c>
      <c r="AH14" s="27">
        <f>[1]Marcadores!U14</f>
        <v>0</v>
      </c>
      <c r="AI14" s="27">
        <f>[1]Marcadores!W14</f>
        <v>0</v>
      </c>
      <c r="AJ14" s="27">
        <f>[1]Marcadores!X14</f>
        <v>0</v>
      </c>
      <c r="AK14" s="27">
        <f>[1]Marcadores!Z14</f>
        <v>0</v>
      </c>
      <c r="AL14" s="27">
        <f>[1]Marcadores!AA14</f>
        <v>0</v>
      </c>
      <c r="AM14" s="27">
        <f>[1]Marcadores!AC14</f>
        <v>0</v>
      </c>
      <c r="AN14" s="27">
        <f>[1]Marcadores!AD14</f>
        <v>0</v>
      </c>
      <c r="AO14" s="27">
        <f>[1]Marcadores!AF14</f>
        <v>0</v>
      </c>
      <c r="AP14" s="27">
        <f>[1]Marcadores!AG14</f>
        <v>0</v>
      </c>
      <c r="AQ14" s="27">
        <f>[1]Marcadores!AI14</f>
        <v>0</v>
      </c>
      <c r="AR14" s="27">
        <f>[1]Marcadores!AJ14</f>
        <v>0</v>
      </c>
      <c r="AS14" s="27">
        <f>[1]Marcadores!AL14</f>
        <v>0</v>
      </c>
      <c r="AT14" s="27">
        <f>[1]Marcadores!AM14</f>
        <v>0</v>
      </c>
      <c r="AU14" s="27">
        <f>[1]Marcadores!AO14</f>
        <v>0</v>
      </c>
      <c r="AV14" s="27">
        <f>[1]Marcadores!AP14</f>
        <v>0</v>
      </c>
      <c r="AW14" s="27">
        <f>[1]Marcadores!AR14</f>
        <v>0</v>
      </c>
      <c r="AX14" s="27">
        <f>[1]Marcadores!AS14</f>
        <v>0</v>
      </c>
      <c r="AY14" s="27">
        <f>[1]Marcadores!AU14</f>
        <v>0</v>
      </c>
      <c r="AZ14" s="27">
        <f>[1]Marcadores!AV14</f>
        <v>0</v>
      </c>
      <c r="BA14" s="27">
        <f>[1]Marcadores!AX14</f>
        <v>0</v>
      </c>
      <c r="BB14" s="27">
        <f>[1]Marcadores!AY14</f>
        <v>0</v>
      </c>
      <c r="BC14" s="27">
        <f>[1]Marcadores!BA14</f>
        <v>0</v>
      </c>
      <c r="BD14" s="27">
        <f>[1]Marcadores!BB14</f>
        <v>0</v>
      </c>
      <c r="BE14" s="27">
        <f>[1]Marcadores!BD14</f>
        <v>0</v>
      </c>
      <c r="BS14" s="9">
        <f t="shared" si="14"/>
        <v>0</v>
      </c>
    </row>
    <row r="15" spans="1:71" ht="17.25" thickTop="1" thickBot="1">
      <c r="A15" s="21" t="str">
        <f>Participantes!B13</f>
        <v>Espinosa L.</v>
      </c>
      <c r="B15" s="22">
        <f>Participantes!$C13</f>
        <v>2</v>
      </c>
      <c r="C15" s="22">
        <f>Participantes!$D13</f>
        <v>1</v>
      </c>
      <c r="D15" s="24"/>
      <c r="E15" s="22" t="str">
        <f t="shared" si="12"/>
        <v/>
      </c>
      <c r="F15" s="25"/>
      <c r="G15" s="22">
        <f>Participantes!$E13</f>
        <v>1</v>
      </c>
      <c r="H15" s="22">
        <f>Participantes!$F13</f>
        <v>0</v>
      </c>
      <c r="I15" s="22" t="str">
        <f t="shared" si="13"/>
        <v/>
      </c>
      <c r="J15" s="25"/>
      <c r="K15" s="25">
        <f>[1]Marcadores!K15</f>
        <v>3</v>
      </c>
      <c r="L15" s="25">
        <f>[1]Marcadores!L15</f>
        <v>0</v>
      </c>
      <c r="M15" s="25" t="e">
        <f>(IF(AND(K15=K$3, L$3=L15),3,IF(AND(K$3&gt;L$3, K15&gt;L15),2,IF(AND(L$3&gt;K$3,L15&gt;K15), 2, IF(AND(L$3=K$3, L15=K15),2,0))))+IF(#REF!=#REF!,3,0)+IF(AND(#REF!=#REF!,#REF!=#REF!,#REF!&lt;&gt;""),5,0))*IF(K$3="",0,1)</f>
        <v>#REF!</v>
      </c>
      <c r="N15" s="28"/>
      <c r="O15" s="25">
        <f>[1]Marcadores!M15</f>
        <v>2</v>
      </c>
      <c r="P15" s="25">
        <f>[1]Marcadores!N15</f>
        <v>1</v>
      </c>
      <c r="Q15" s="25" t="e">
        <f>(IF(AND(O15=O$3, P$3=P15),3,IF(AND(O$3&gt;P$3, O15&gt;P15),2,IF(AND(P$3&gt;O$3,P15&gt;O15), 2, IF(AND(P$3=O$3, P15=O15),2,0))))+IF(#REF!=#REF!,3,0)+IF(AND(#REF!=#REF!,#REF!=#REF!,#REF!&lt;&gt;""),5,0))*IF(O$3="",0,1)</f>
        <v>#REF!</v>
      </c>
      <c r="R15" s="25"/>
      <c r="S15" s="25" t="str">
        <f>[1]Marcadores!G15</f>
        <v>1</v>
      </c>
      <c r="T15" s="25" t="str">
        <f>[1]Marcadores!H15</f>
        <v>0</v>
      </c>
      <c r="U15" s="25" t="e">
        <f>(IF(AND(S15=S$3, T$3=T15),3,IF(AND(S$3&gt;T$3, S15&gt;T15),2,IF(AND(T$3&gt;S$3,T15&gt;S15), 2, IF(AND(T$3=S$3, T15=S15),2,0))))+IF(#REF!=#REF!,3,0)+IF(AND(#REF!=#REF!,#REF!=#REF!,#REF!&lt;&gt;""),5,0))*IF(S$3="",0,1)</f>
        <v>#REF!</v>
      </c>
      <c r="V15" s="25"/>
      <c r="W15" s="25" t="str">
        <f>[1]Marcadores!I15</f>
        <v>2</v>
      </c>
      <c r="X15" s="25" t="str">
        <f>[1]Marcadores!J15</f>
        <v>1</v>
      </c>
      <c r="Y15" s="25" t="e">
        <f>(IF(AND(W15=W$3, X$3=X15),3,IF(AND(W$3&gt;X$3, W15&gt;X15),2,IF(AND(X$3&gt;W$3,X15&gt;W15), 2, IF(AND(X$3=W$3, X15=W15),2,0))))+IF(#REF!=#REF!,3,0)+IF(AND(#REF!=#REF!,#REF!=#REF!,#REF!&lt;&gt;""),5,0))*IF(W$3="",0,1)</f>
        <v>#REF!</v>
      </c>
      <c r="Z15" s="25"/>
      <c r="AA15" s="25">
        <f>[1]Marcadores!O15</f>
        <v>1</v>
      </c>
      <c r="AB15" s="25">
        <f>[1]Marcadores!P15</f>
        <v>1</v>
      </c>
      <c r="AC15" s="25" t="e">
        <f>(IF(AND(AA15=AB$3,#REF!= AB15),3,IF(AND(AB$3&gt;#REF!, AA15&gt;AB15),2,IF(AND(#REF!&gt;AB$3,AB15&gt;AA15), 2, IF(AND(#REF!=AB$3, AB15=AA15),2,0))))+IF(#REF!=#REF!,3,0)+IF(AND(#REF!=#REF!,#REF!=#REF!,#REF!&lt;&gt;""),5,0))*IF(AB$3="",0,1)</f>
        <v>#REF!</v>
      </c>
      <c r="AD15" s="25"/>
      <c r="AE15" s="25">
        <f>[1]Marcadores!Q15</f>
        <v>1</v>
      </c>
      <c r="AF15" s="25">
        <f>[1]Marcadores!R15</f>
        <v>0</v>
      </c>
      <c r="AG15" s="25">
        <f>[1]Marcadores!T15</f>
        <v>0</v>
      </c>
      <c r="AH15" s="25">
        <f>[1]Marcadores!U15</f>
        <v>0</v>
      </c>
      <c r="AI15" s="25">
        <f>[1]Marcadores!W15</f>
        <v>0</v>
      </c>
      <c r="AJ15" s="25">
        <f>[1]Marcadores!X15</f>
        <v>0</v>
      </c>
      <c r="AK15" s="25">
        <f>[1]Marcadores!Z15</f>
        <v>0</v>
      </c>
      <c r="AL15" s="25">
        <f>[1]Marcadores!AA15</f>
        <v>0</v>
      </c>
      <c r="AM15" s="25">
        <f>[1]Marcadores!AC15</f>
        <v>0</v>
      </c>
      <c r="AN15" s="25">
        <f>[1]Marcadores!AD15</f>
        <v>0</v>
      </c>
      <c r="AO15" s="25">
        <f>[1]Marcadores!AF15</f>
        <v>0</v>
      </c>
      <c r="AP15" s="25">
        <f>[1]Marcadores!AG15</f>
        <v>0</v>
      </c>
      <c r="AQ15" s="25">
        <f>[1]Marcadores!AI15</f>
        <v>0</v>
      </c>
      <c r="AR15" s="25">
        <f>[1]Marcadores!AJ15</f>
        <v>0</v>
      </c>
      <c r="AS15" s="25">
        <f>[1]Marcadores!AL15</f>
        <v>0</v>
      </c>
      <c r="AT15" s="25">
        <f>[1]Marcadores!AM15</f>
        <v>0</v>
      </c>
      <c r="AU15" s="25">
        <f>[1]Marcadores!AO15</f>
        <v>0</v>
      </c>
      <c r="AV15" s="25">
        <f>[1]Marcadores!AP15</f>
        <v>0</v>
      </c>
      <c r="AW15" s="25">
        <f>[1]Marcadores!AR15</f>
        <v>0</v>
      </c>
      <c r="AX15" s="25">
        <f>[1]Marcadores!AS15</f>
        <v>0</v>
      </c>
      <c r="AY15" s="25">
        <f>[1]Marcadores!AU15</f>
        <v>0</v>
      </c>
      <c r="AZ15" s="25">
        <f>[1]Marcadores!AV15</f>
        <v>0</v>
      </c>
      <c r="BA15" s="25">
        <f>[1]Marcadores!AX15</f>
        <v>0</v>
      </c>
      <c r="BB15" s="25">
        <f>[1]Marcadores!AY15</f>
        <v>0</v>
      </c>
      <c r="BC15" s="25">
        <f>[1]Marcadores!BA15</f>
        <v>0</v>
      </c>
      <c r="BD15" s="25">
        <f>[1]Marcadores!BB15</f>
        <v>0</v>
      </c>
      <c r="BE15" s="25">
        <f>[1]Marcadores!BD15</f>
        <v>0</v>
      </c>
      <c r="BS15" s="9">
        <f t="shared" si="14"/>
        <v>0</v>
      </c>
    </row>
    <row r="16" spans="1:71" ht="17.25" thickTop="1" thickBot="1">
      <c r="A16" s="21" t="str">
        <f>Participantes!B14</f>
        <v>Frida</v>
      </c>
      <c r="B16" s="22">
        <f>Participantes!$C14</f>
        <v>2</v>
      </c>
      <c r="C16" s="22">
        <f>Participantes!$D14</f>
        <v>0</v>
      </c>
      <c r="D16" s="26"/>
      <c r="E16" s="22" t="str">
        <f t="shared" si="12"/>
        <v/>
      </c>
      <c r="F16" s="27"/>
      <c r="G16" s="22">
        <f>Participantes!$E14</f>
        <v>1</v>
      </c>
      <c r="H16" s="22">
        <f>Participantes!$F14</f>
        <v>1</v>
      </c>
      <c r="I16" s="22" t="str">
        <f t="shared" si="13"/>
        <v/>
      </c>
      <c r="J16" s="27"/>
      <c r="K16" s="27">
        <f>[1]Marcadores!K16</f>
        <v>3</v>
      </c>
      <c r="L16" s="27">
        <f>[1]Marcadores!L16</f>
        <v>0</v>
      </c>
      <c r="M16" s="27" t="e">
        <f>(IF(AND(K16=K$3, L$3=L16),3,IF(AND(K$3&gt;L$3, K16&gt;L16),2,IF(AND(L$3&gt;K$3,L16&gt;K16), 2, IF(AND(L$3=K$3, L16=K16),2,0))))+IF(#REF!=#REF!,3,0)+IF(AND(#REF!=#REF!,#REF!=#REF!,#REF!&lt;&gt;""),5,0))*IF(K$3="",0,1)</f>
        <v>#REF!</v>
      </c>
      <c r="N16" s="28"/>
      <c r="O16" s="27">
        <f>[1]Marcadores!M16</f>
        <v>1</v>
      </c>
      <c r="P16" s="27">
        <f>[1]Marcadores!N16</f>
        <v>2</v>
      </c>
      <c r="Q16" s="27" t="e">
        <f>(IF(AND(O16=O$3, P$3=P16),3,IF(AND(O$3&gt;P$3, O16&gt;P16),2,IF(AND(P$3&gt;O$3,P16&gt;O16), 2, IF(AND(P$3=O$3, P16=O16),2,0))))+IF(#REF!=#REF!,3,0)+IF(AND(#REF!=#REF!,#REF!=#REF!,#REF!&lt;&gt;""),5,0))*IF(O$3="",0,1)</f>
        <v>#REF!</v>
      </c>
      <c r="R16" s="27"/>
      <c r="S16" s="27" t="str">
        <f>[1]Marcadores!G16</f>
        <v>1</v>
      </c>
      <c r="T16" s="27" t="str">
        <f>[1]Marcadores!H16</f>
        <v>2</v>
      </c>
      <c r="U16" s="27" t="e">
        <f>(IF(AND(S16=S$3, T$3=T16),3,IF(AND(S$3&gt;T$3, S16&gt;T16),2,IF(AND(T$3&gt;S$3,T16&gt;S16), 2, IF(AND(T$3=S$3, T16=S16),2,0))))+IF(#REF!=#REF!,3,0)+IF(AND(#REF!=#REF!,#REF!=#REF!,#REF!&lt;&gt;""),5,0))*IF(S$3="",0,1)</f>
        <v>#REF!</v>
      </c>
      <c r="V16" s="27"/>
      <c r="W16" s="27" t="str">
        <f>[1]Marcadores!I16</f>
        <v>3</v>
      </c>
      <c r="X16" s="27" t="str">
        <f>[1]Marcadores!J16</f>
        <v>1</v>
      </c>
      <c r="Y16" s="27" t="e">
        <f>(IF(AND(W16=W$3, X$3=X16),3,IF(AND(W$3&gt;X$3, W16&gt;X16),2,IF(AND(X$3&gt;W$3,X16&gt;W16), 2, IF(AND(X$3=W$3, X16=W16),2,0))))+IF(#REF!=#REF!,3,0)+IF(AND(#REF!=#REF!,#REF!=#REF!,#REF!&lt;&gt;""),5,0))*IF(W$3="",0,1)</f>
        <v>#REF!</v>
      </c>
      <c r="Z16" s="27"/>
      <c r="AA16" s="27">
        <f>[1]Marcadores!O16</f>
        <v>1</v>
      </c>
      <c r="AB16" s="27">
        <f>[1]Marcadores!P16</f>
        <v>2</v>
      </c>
      <c r="AC16" s="27" t="e">
        <f>(IF(AND(AA16=AB$3,#REF!= AB16),3,IF(AND(AB$3&gt;#REF!, AA16&gt;AB16),2,IF(AND(#REF!&gt;AB$3,AB16&gt;AA16), 2, IF(AND(#REF!=AB$3, AB16=AA16),2,0))))+IF(#REF!=#REF!,3,0)+IF(AND(#REF!=#REF!,#REF!=#REF!,#REF!&lt;&gt;""),5,0))*IF(AB$3="",0,1)</f>
        <v>#REF!</v>
      </c>
      <c r="AD16" s="27"/>
      <c r="AE16" s="27">
        <f>[1]Marcadores!Q16</f>
        <v>0</v>
      </c>
      <c r="AF16" s="27">
        <f>[1]Marcadores!R16</f>
        <v>1</v>
      </c>
      <c r="AG16" s="27">
        <f>[1]Marcadores!T16</f>
        <v>0</v>
      </c>
      <c r="AH16" s="27">
        <f>[1]Marcadores!U16</f>
        <v>0</v>
      </c>
      <c r="AI16" s="27">
        <f>[1]Marcadores!W16</f>
        <v>0</v>
      </c>
      <c r="AJ16" s="27">
        <f>[1]Marcadores!X16</f>
        <v>0</v>
      </c>
      <c r="AK16" s="27">
        <f>[1]Marcadores!Z16</f>
        <v>0</v>
      </c>
      <c r="AL16" s="27">
        <f>[1]Marcadores!AA16</f>
        <v>0</v>
      </c>
      <c r="AM16" s="27">
        <f>[1]Marcadores!AC16</f>
        <v>0</v>
      </c>
      <c r="AN16" s="27">
        <f>[1]Marcadores!AD16</f>
        <v>0</v>
      </c>
      <c r="AO16" s="27">
        <f>[1]Marcadores!AF16</f>
        <v>0</v>
      </c>
      <c r="AP16" s="27">
        <f>[1]Marcadores!AG16</f>
        <v>0</v>
      </c>
      <c r="AQ16" s="27">
        <f>[1]Marcadores!AI16</f>
        <v>0</v>
      </c>
      <c r="AR16" s="27">
        <f>[1]Marcadores!AJ16</f>
        <v>0</v>
      </c>
      <c r="AS16" s="27">
        <f>[1]Marcadores!AL16</f>
        <v>0</v>
      </c>
      <c r="AT16" s="27">
        <f>[1]Marcadores!AM16</f>
        <v>0</v>
      </c>
      <c r="AU16" s="27">
        <f>[1]Marcadores!AO16</f>
        <v>0</v>
      </c>
      <c r="AV16" s="27">
        <f>[1]Marcadores!AP16</f>
        <v>0</v>
      </c>
      <c r="AW16" s="27">
        <f>[1]Marcadores!AR16</f>
        <v>0</v>
      </c>
      <c r="AX16" s="27">
        <f>[1]Marcadores!AS16</f>
        <v>0</v>
      </c>
      <c r="AY16" s="27">
        <f>[1]Marcadores!AU16</f>
        <v>0</v>
      </c>
      <c r="AZ16" s="27">
        <f>[1]Marcadores!AV16</f>
        <v>0</v>
      </c>
      <c r="BA16" s="27">
        <f>[1]Marcadores!AX16</f>
        <v>0</v>
      </c>
      <c r="BB16" s="27">
        <f>[1]Marcadores!AY16</f>
        <v>0</v>
      </c>
      <c r="BC16" s="27">
        <f>[1]Marcadores!BA16</f>
        <v>0</v>
      </c>
      <c r="BD16" s="27">
        <f>[1]Marcadores!BB16</f>
        <v>0</v>
      </c>
      <c r="BE16" s="27">
        <f>[1]Marcadores!BD16</f>
        <v>0</v>
      </c>
      <c r="BS16" s="9">
        <f t="shared" si="14"/>
        <v>0</v>
      </c>
    </row>
    <row r="17" spans="1:71" ht="17.25" thickTop="1" thickBot="1">
      <c r="A17" s="21" t="str">
        <f>Participantes!B15</f>
        <v>Isabel 1</v>
      </c>
      <c r="B17" s="22">
        <f>Participantes!$C15</f>
        <v>3</v>
      </c>
      <c r="C17" s="22">
        <f>Participantes!$D15</f>
        <v>1</v>
      </c>
      <c r="D17" s="24"/>
      <c r="E17" s="22" t="str">
        <f t="shared" si="12"/>
        <v/>
      </c>
      <c r="F17" s="25"/>
      <c r="G17" s="22">
        <f>Participantes!$E15</f>
        <v>1</v>
      </c>
      <c r="H17" s="22">
        <f>Participantes!$F15</f>
        <v>1</v>
      </c>
      <c r="I17" s="22" t="str">
        <f t="shared" si="13"/>
        <v/>
      </c>
      <c r="J17" s="25"/>
      <c r="K17" s="25">
        <f>[1]Marcadores!K17</f>
        <v>4</v>
      </c>
      <c r="L17" s="25">
        <f>[1]Marcadores!L17</f>
        <v>1</v>
      </c>
      <c r="M17" s="25" t="e">
        <f>(IF(AND(K17=K$3, L$3=L17),3,IF(AND(K$3&gt;L$3, K17&gt;L17),2,IF(AND(L$3&gt;K$3,L17&gt;K17), 2, IF(AND(L$3=K$3, L17=K17),2,0))))+IF(#REF!=#REF!,3,0)+IF(AND(#REF!=#REF!,#REF!=#REF!,#REF!&lt;&gt;""),5,0))*IF(K$3="",0,1)</f>
        <v>#REF!</v>
      </c>
      <c r="N17" s="28"/>
      <c r="O17" s="25">
        <f>[1]Marcadores!M17</f>
        <v>2</v>
      </c>
      <c r="P17" s="25">
        <f>[1]Marcadores!N17</f>
        <v>1</v>
      </c>
      <c r="Q17" s="25" t="e">
        <f>(IF(AND(O17=O$3, P$3=P17),3,IF(AND(O$3&gt;P$3, O17&gt;P17),2,IF(AND(P$3&gt;O$3,P17&gt;O17), 2, IF(AND(P$3=O$3, P17=O17),2,0))))+IF(#REF!=#REF!,3,0)+IF(AND(#REF!=#REF!,#REF!=#REF!,#REF!&lt;&gt;""),5,0))*IF(O$3="",0,1)</f>
        <v>#REF!</v>
      </c>
      <c r="R17" s="25"/>
      <c r="S17" s="25" t="str">
        <f>[1]Marcadores!G17</f>
        <v>1</v>
      </c>
      <c r="T17" s="25" t="str">
        <f>[1]Marcadores!H17</f>
        <v>3</v>
      </c>
      <c r="U17" s="25" t="e">
        <f>(IF(AND(S17=S$3, T$3=T17),3,IF(AND(S$3&gt;T$3, S17&gt;T17),2,IF(AND(T$3&gt;S$3,T17&gt;S17), 2, IF(AND(T$3=S$3, T17=S17),2,0))))+IF(#REF!=#REF!,3,0)+IF(AND(#REF!=#REF!,#REF!=#REF!,#REF!&lt;&gt;""),5,0))*IF(S$3="",0,1)</f>
        <v>#REF!</v>
      </c>
      <c r="V17" s="25"/>
      <c r="W17" s="25" t="str">
        <f>[1]Marcadores!I17</f>
        <v>2</v>
      </c>
      <c r="X17" s="25" t="str">
        <f>[1]Marcadores!J17</f>
        <v>0</v>
      </c>
      <c r="Y17" s="25" t="e">
        <f>(IF(AND(W17=W$3, X$3=X17),3,IF(AND(W$3&gt;X$3, W17&gt;X17),2,IF(AND(X$3&gt;W$3,X17&gt;W17), 2, IF(AND(X$3=W$3, X17=W17),2,0))))+IF(#REF!=#REF!,3,0)+IF(AND(#REF!=#REF!,#REF!=#REF!,#REF!&lt;&gt;""),5,0))*IF(W$3="",0,1)</f>
        <v>#REF!</v>
      </c>
      <c r="Z17" s="25"/>
      <c r="AA17" s="25">
        <f>[1]Marcadores!O17</f>
        <v>3</v>
      </c>
      <c r="AB17" s="25">
        <f>[1]Marcadores!P17</f>
        <v>1</v>
      </c>
      <c r="AC17" s="25" t="e">
        <f>(IF(AND(AA17=AB$3,#REF!= AB17),3,IF(AND(AB$3&gt;#REF!, AA17&gt;AB17),2,IF(AND(#REF!&gt;AB$3,AB17&gt;AA17), 2, IF(AND(#REF!=AB$3, AB17=AA17),2,0))))+IF(#REF!=#REF!,3,0)+IF(AND(#REF!=#REF!,#REF!=#REF!,#REF!&lt;&gt;""),5,0))*IF(AB$3="",0,1)</f>
        <v>#REF!</v>
      </c>
      <c r="AD17" s="25"/>
      <c r="AE17" s="25">
        <f>[1]Marcadores!Q17</f>
        <v>2</v>
      </c>
      <c r="AF17" s="25">
        <f>[1]Marcadores!R17</f>
        <v>3</v>
      </c>
      <c r="AG17" s="25">
        <f>[1]Marcadores!T17</f>
        <v>0</v>
      </c>
      <c r="AH17" s="25">
        <f>[1]Marcadores!U17</f>
        <v>0</v>
      </c>
      <c r="AI17" s="25">
        <f>[1]Marcadores!W17</f>
        <v>0</v>
      </c>
      <c r="AJ17" s="25">
        <f>[1]Marcadores!X17</f>
        <v>0</v>
      </c>
      <c r="AK17" s="25">
        <f>[1]Marcadores!Z17</f>
        <v>0</v>
      </c>
      <c r="AL17" s="25">
        <f>[1]Marcadores!AA17</f>
        <v>0</v>
      </c>
      <c r="AM17" s="25">
        <f>[1]Marcadores!AC17</f>
        <v>0</v>
      </c>
      <c r="AN17" s="25">
        <f>[1]Marcadores!AD17</f>
        <v>0</v>
      </c>
      <c r="AO17" s="25">
        <f>[1]Marcadores!AF17</f>
        <v>0</v>
      </c>
      <c r="AP17" s="25">
        <f>[1]Marcadores!AG17</f>
        <v>0</v>
      </c>
      <c r="AQ17" s="25">
        <f>[1]Marcadores!AI17</f>
        <v>0</v>
      </c>
      <c r="AR17" s="25">
        <f>[1]Marcadores!AJ17</f>
        <v>0</v>
      </c>
      <c r="AS17" s="25">
        <f>[1]Marcadores!AL17</f>
        <v>0</v>
      </c>
      <c r="AT17" s="25">
        <f>[1]Marcadores!AM17</f>
        <v>0</v>
      </c>
      <c r="AU17" s="25">
        <f>[1]Marcadores!AO17</f>
        <v>0</v>
      </c>
      <c r="AV17" s="25">
        <f>[1]Marcadores!AP17</f>
        <v>0</v>
      </c>
      <c r="AW17" s="25">
        <f>[1]Marcadores!AR17</f>
        <v>0</v>
      </c>
      <c r="AX17" s="25">
        <f>[1]Marcadores!AS17</f>
        <v>0</v>
      </c>
      <c r="AY17" s="25">
        <f>[1]Marcadores!AU17</f>
        <v>0</v>
      </c>
      <c r="AZ17" s="25">
        <f>[1]Marcadores!AV17</f>
        <v>0</v>
      </c>
      <c r="BA17" s="25">
        <f>[1]Marcadores!AX17</f>
        <v>0</v>
      </c>
      <c r="BB17" s="25">
        <f>[1]Marcadores!AY17</f>
        <v>0</v>
      </c>
      <c r="BC17" s="25">
        <f>[1]Marcadores!BA17</f>
        <v>0</v>
      </c>
      <c r="BD17" s="25">
        <f>[1]Marcadores!BB17</f>
        <v>0</v>
      </c>
      <c r="BE17" s="25">
        <f>[1]Marcadores!BD17</f>
        <v>0</v>
      </c>
      <c r="BS17" s="9">
        <f t="shared" si="14"/>
        <v>0</v>
      </c>
    </row>
    <row r="18" spans="1:71" ht="17.25" thickTop="1" thickBot="1">
      <c r="A18" s="21" t="str">
        <f>Participantes!B16</f>
        <v>Isabel 2</v>
      </c>
      <c r="B18" s="22">
        <f>Participantes!$C16</f>
        <v>1</v>
      </c>
      <c r="C18" s="22">
        <f>Participantes!$D16</f>
        <v>0</v>
      </c>
      <c r="D18" s="26"/>
      <c r="E18" s="22" t="str">
        <f t="shared" si="12"/>
        <v/>
      </c>
      <c r="F18" s="27"/>
      <c r="G18" s="22">
        <f>Participantes!$E16</f>
        <v>2</v>
      </c>
      <c r="H18" s="22">
        <f>Participantes!$F16</f>
        <v>0</v>
      </c>
      <c r="I18" s="22" t="str">
        <f t="shared" si="13"/>
        <v/>
      </c>
      <c r="J18" s="27"/>
      <c r="K18" s="27">
        <f>[1]Marcadores!K18</f>
        <v>2</v>
      </c>
      <c r="L18" s="27">
        <f>[1]Marcadores!L18</f>
        <v>0</v>
      </c>
      <c r="M18" s="27" t="e">
        <f>(IF(AND(K18=K$3, L$3=L18),3,IF(AND(K$3&gt;L$3, K18&gt;L18),2,IF(AND(L$3&gt;K$3,L18&gt;K18), 2, IF(AND(L$3=K$3, L18=K18),2,0))))+IF(#REF!=#REF!,3,0)+IF(AND(#REF!=#REF!,#REF!=#REF!,#REF!&lt;&gt;""),5,0))*IF(K$3="",0,1)</f>
        <v>#REF!</v>
      </c>
      <c r="N18" s="28"/>
      <c r="O18" s="27">
        <f>[1]Marcadores!M18</f>
        <v>3</v>
      </c>
      <c r="P18" s="27">
        <f>[1]Marcadores!N18</f>
        <v>1</v>
      </c>
      <c r="Q18" s="27" t="e">
        <f>(IF(AND(O18=O$3, P$3=P18),3,IF(AND(O$3&gt;P$3, O18&gt;P18),2,IF(AND(P$3&gt;O$3,P18&gt;O18), 2, IF(AND(P$3=O$3, P18=O18),2,0))))+IF(#REF!=#REF!,3,0)+IF(AND(#REF!=#REF!,#REF!=#REF!,#REF!&lt;&gt;""),5,0))*IF(O$3="",0,1)</f>
        <v>#REF!</v>
      </c>
      <c r="R18" s="27"/>
      <c r="S18" s="27" t="str">
        <f>[1]Marcadores!G18</f>
        <v>2</v>
      </c>
      <c r="T18" s="27" t="str">
        <f>[1]Marcadores!H18</f>
        <v>1</v>
      </c>
      <c r="U18" s="27" t="e">
        <f>(IF(AND(S18=S$3, T$3=T18),3,IF(AND(S$3&gt;T$3, S18&gt;T18),2,IF(AND(T$3&gt;S$3,T18&gt;S18), 2, IF(AND(T$3=S$3, T18=S18),2,0))))+IF(#REF!=#REF!,3,0)+IF(AND(#REF!=#REF!,#REF!=#REF!,#REF!&lt;&gt;""),5,0))*IF(S$3="",0,1)</f>
        <v>#REF!</v>
      </c>
      <c r="V18" s="27"/>
      <c r="W18" s="27" t="str">
        <f>[1]Marcadores!I18</f>
        <v>3</v>
      </c>
      <c r="X18" s="27" t="str">
        <f>[1]Marcadores!J18</f>
        <v>2</v>
      </c>
      <c r="Y18" s="27" t="e">
        <f>(IF(AND(W18=W$3, X$3=X18),3,IF(AND(W$3&gt;X$3, W18&gt;X18),2,IF(AND(X$3&gt;W$3,X18&gt;W18), 2, IF(AND(X$3=W$3, X18=W18),2,0))))+IF(#REF!=#REF!,3,0)+IF(AND(#REF!=#REF!,#REF!=#REF!,#REF!&lt;&gt;""),5,0))*IF(W$3="",0,1)</f>
        <v>#REF!</v>
      </c>
      <c r="Z18" s="27"/>
      <c r="AA18" s="27">
        <f>[1]Marcadores!O18</f>
        <v>3</v>
      </c>
      <c r="AB18" s="27">
        <f>[1]Marcadores!P18</f>
        <v>2</v>
      </c>
      <c r="AC18" s="27" t="e">
        <f>(IF(AND(AA18=AB$3,#REF!= AB18),3,IF(AND(AB$3&gt;#REF!, AA18&gt;AB18),2,IF(AND(#REF!&gt;AB$3,AB18&gt;AA18), 2, IF(AND(#REF!=AB$3, AB18=AA18),2,0))))+IF(#REF!=#REF!,3,0)+IF(AND(#REF!=#REF!,#REF!=#REF!,#REF!&lt;&gt;""),5,0))*IF(AB$3="",0,1)</f>
        <v>#REF!</v>
      </c>
      <c r="AD18" s="27"/>
      <c r="AE18" s="27">
        <f>[1]Marcadores!Q18</f>
        <v>2</v>
      </c>
      <c r="AF18" s="27">
        <f>[1]Marcadores!R18</f>
        <v>3</v>
      </c>
      <c r="AG18" s="27">
        <f>[1]Marcadores!T18</f>
        <v>0</v>
      </c>
      <c r="AH18" s="27">
        <f>[1]Marcadores!U18</f>
        <v>0</v>
      </c>
      <c r="AI18" s="27">
        <f>[1]Marcadores!W18</f>
        <v>0</v>
      </c>
      <c r="AJ18" s="27">
        <f>[1]Marcadores!X18</f>
        <v>0</v>
      </c>
      <c r="AK18" s="27">
        <f>[1]Marcadores!Z18</f>
        <v>0</v>
      </c>
      <c r="AL18" s="27">
        <f>[1]Marcadores!AA18</f>
        <v>0</v>
      </c>
      <c r="AM18" s="27">
        <f>[1]Marcadores!AC18</f>
        <v>0</v>
      </c>
      <c r="AN18" s="27">
        <f>[1]Marcadores!AD18</f>
        <v>0</v>
      </c>
      <c r="AO18" s="27">
        <f>[1]Marcadores!AF18</f>
        <v>0</v>
      </c>
      <c r="AP18" s="27">
        <f>[1]Marcadores!AG18</f>
        <v>0</v>
      </c>
      <c r="AQ18" s="27">
        <f>[1]Marcadores!AI18</f>
        <v>0</v>
      </c>
      <c r="AR18" s="27">
        <f>[1]Marcadores!AJ18</f>
        <v>0</v>
      </c>
      <c r="AS18" s="27">
        <f>[1]Marcadores!AL18</f>
        <v>0</v>
      </c>
      <c r="AT18" s="27">
        <f>[1]Marcadores!AM18</f>
        <v>0</v>
      </c>
      <c r="AU18" s="27">
        <f>[1]Marcadores!AO18</f>
        <v>0</v>
      </c>
      <c r="AV18" s="27">
        <f>[1]Marcadores!AP18</f>
        <v>0</v>
      </c>
      <c r="AW18" s="27">
        <f>[1]Marcadores!AR18</f>
        <v>0</v>
      </c>
      <c r="AX18" s="27">
        <f>[1]Marcadores!AS18</f>
        <v>0</v>
      </c>
      <c r="AY18" s="27">
        <f>[1]Marcadores!AU18</f>
        <v>0</v>
      </c>
      <c r="AZ18" s="27">
        <f>[1]Marcadores!AV18</f>
        <v>0</v>
      </c>
      <c r="BA18" s="27">
        <f>[1]Marcadores!AX18</f>
        <v>0</v>
      </c>
      <c r="BB18" s="27">
        <f>[1]Marcadores!AY18</f>
        <v>0</v>
      </c>
      <c r="BC18" s="27">
        <f>[1]Marcadores!BA18</f>
        <v>0</v>
      </c>
      <c r="BD18" s="27">
        <f>[1]Marcadores!BB18</f>
        <v>0</v>
      </c>
      <c r="BE18" s="27">
        <f>[1]Marcadores!BD18</f>
        <v>0</v>
      </c>
      <c r="BS18" s="9">
        <f t="shared" si="14"/>
        <v>0</v>
      </c>
    </row>
    <row r="19" spans="1:71" ht="17.25" thickTop="1" thickBot="1">
      <c r="A19" s="21" t="str">
        <f>Participantes!B17</f>
        <v>Javier</v>
      </c>
      <c r="B19" s="22">
        <f>Participantes!$C17</f>
        <v>2</v>
      </c>
      <c r="C19" s="22">
        <f>Participantes!$D17</f>
        <v>0</v>
      </c>
      <c r="D19" s="24"/>
      <c r="E19" s="22" t="str">
        <f t="shared" si="12"/>
        <v/>
      </c>
      <c r="F19" s="25"/>
      <c r="G19" s="22">
        <f>Participantes!$E17</f>
        <v>3</v>
      </c>
      <c r="H19" s="22">
        <f>Participantes!$F17</f>
        <v>1</v>
      </c>
      <c r="I19" s="22" t="str">
        <f t="shared" si="13"/>
        <v/>
      </c>
      <c r="J19" s="25"/>
      <c r="K19" s="25">
        <f>[1]Marcadores!K19</f>
        <v>2</v>
      </c>
      <c r="L19" s="25">
        <f>[1]Marcadores!L19</f>
        <v>2</v>
      </c>
      <c r="M19" s="25" t="e">
        <f>(IF(AND(K19=K$3, L$3=L19),3,IF(AND(K$3&gt;L$3, K19&gt;L19),2,IF(AND(L$3&gt;K$3,L19&gt;K19), 2, IF(AND(L$3=K$3, L19=K19),2,0))))+IF(#REF!=#REF!,3,0)+IF(AND(#REF!=#REF!,#REF!=#REF!,#REF!&lt;&gt;""),5,0))*IF(K$3="",0,1)</f>
        <v>#REF!</v>
      </c>
      <c r="N19" s="28"/>
      <c r="O19" s="25">
        <f>[1]Marcadores!M19</f>
        <v>2</v>
      </c>
      <c r="P19" s="25">
        <f>[1]Marcadores!N19</f>
        <v>1</v>
      </c>
      <c r="Q19" s="25" t="e">
        <f>(IF(AND(O19=O$3, P$3=P19),3,IF(AND(O$3&gt;P$3, O19&gt;P19),2,IF(AND(P$3&gt;O$3,P19&gt;O19), 2, IF(AND(P$3=O$3, P19=O19),2,0))))+IF(#REF!=#REF!,3,0)+IF(AND(#REF!=#REF!,#REF!=#REF!,#REF!&lt;&gt;""),5,0))*IF(O$3="",0,1)</f>
        <v>#REF!</v>
      </c>
      <c r="R19" s="25"/>
      <c r="S19" s="25" t="str">
        <f>[1]Marcadores!G19</f>
        <v>2</v>
      </c>
      <c r="T19" s="25" t="str">
        <f>[1]Marcadores!H19</f>
        <v>1</v>
      </c>
      <c r="U19" s="25" t="e">
        <f>(IF(AND(S19=S$3, T$3=T19),3,IF(AND(S$3&gt;T$3, S19&gt;T19),2,IF(AND(T$3&gt;S$3,T19&gt;S19), 2, IF(AND(T$3=S$3, T19=S19),2,0))))+IF(#REF!=#REF!,3,0)+IF(AND(#REF!=#REF!,#REF!=#REF!,#REF!&lt;&gt;""),5,0))*IF(S$3="",0,1)</f>
        <v>#REF!</v>
      </c>
      <c r="V19" s="25"/>
      <c r="W19" s="25" t="str">
        <f>[1]Marcadores!I19</f>
        <v>3</v>
      </c>
      <c r="X19" s="25" t="str">
        <f>[1]Marcadores!J19</f>
        <v>0</v>
      </c>
      <c r="Y19" s="25" t="e">
        <f>(IF(AND(W19=W$3, X$3=X19),3,IF(AND(W$3&gt;X$3, W19&gt;X19),2,IF(AND(X$3&gt;W$3,X19&gt;W19), 2, IF(AND(X$3=W$3, X19=W19),2,0))))+IF(#REF!=#REF!,3,0)+IF(AND(#REF!=#REF!,#REF!=#REF!,#REF!&lt;&gt;""),5,0))*IF(W$3="",0,1)</f>
        <v>#REF!</v>
      </c>
      <c r="Z19" s="25"/>
      <c r="AA19" s="25">
        <f>[1]Marcadores!O19</f>
        <v>1</v>
      </c>
      <c r="AB19" s="25">
        <f>[1]Marcadores!P19</f>
        <v>2</v>
      </c>
      <c r="AC19" s="25" t="e">
        <f>(IF(AND(AA19=AB$3,#REF!= AB19),3,IF(AND(AB$3&gt;#REF!, AA19&gt;AB19),2,IF(AND(#REF!&gt;AB$3,AB19&gt;AA19), 2, IF(AND(#REF!=AB$3, AB19=AA19),2,0))))+IF(#REF!=#REF!,3,0)+IF(AND(#REF!=#REF!,#REF!=#REF!,#REF!&lt;&gt;""),5,0))*IF(AB$3="",0,1)</f>
        <v>#REF!</v>
      </c>
      <c r="AD19" s="25"/>
      <c r="AE19" s="25">
        <f>[1]Marcadores!Q19</f>
        <v>3</v>
      </c>
      <c r="AF19" s="25">
        <f>[1]Marcadores!R19</f>
        <v>1</v>
      </c>
      <c r="AG19" s="25">
        <f>[1]Marcadores!T19</f>
        <v>0</v>
      </c>
      <c r="AH19" s="25">
        <f>[1]Marcadores!U19</f>
        <v>0</v>
      </c>
      <c r="AI19" s="25">
        <f>[1]Marcadores!W19</f>
        <v>0</v>
      </c>
      <c r="AJ19" s="25">
        <f>[1]Marcadores!X19</f>
        <v>0</v>
      </c>
      <c r="AK19" s="25">
        <f>[1]Marcadores!Z19</f>
        <v>0</v>
      </c>
      <c r="AL19" s="25">
        <f>[1]Marcadores!AA19</f>
        <v>0</v>
      </c>
      <c r="AM19" s="25">
        <f>[1]Marcadores!AC19</f>
        <v>0</v>
      </c>
      <c r="AN19" s="25">
        <f>[1]Marcadores!AD19</f>
        <v>0</v>
      </c>
      <c r="AO19" s="25">
        <f>[1]Marcadores!AF19</f>
        <v>0</v>
      </c>
      <c r="AP19" s="25">
        <f>[1]Marcadores!AG19</f>
        <v>0</v>
      </c>
      <c r="AQ19" s="25">
        <f>[1]Marcadores!AI19</f>
        <v>0</v>
      </c>
      <c r="AR19" s="25">
        <f>[1]Marcadores!AJ19</f>
        <v>0</v>
      </c>
      <c r="AS19" s="25">
        <f>[1]Marcadores!AL19</f>
        <v>0</v>
      </c>
      <c r="AT19" s="25">
        <f>[1]Marcadores!AM19</f>
        <v>0</v>
      </c>
      <c r="AU19" s="25">
        <f>[1]Marcadores!AO19</f>
        <v>0</v>
      </c>
      <c r="AV19" s="25">
        <f>[1]Marcadores!AP19</f>
        <v>0</v>
      </c>
      <c r="AW19" s="25">
        <f>[1]Marcadores!AR19</f>
        <v>0</v>
      </c>
      <c r="AX19" s="25">
        <f>[1]Marcadores!AS19</f>
        <v>0</v>
      </c>
      <c r="AY19" s="25">
        <f>[1]Marcadores!AU19</f>
        <v>0</v>
      </c>
      <c r="AZ19" s="25">
        <f>[1]Marcadores!AV19</f>
        <v>0</v>
      </c>
      <c r="BA19" s="25">
        <f>[1]Marcadores!AX19</f>
        <v>0</v>
      </c>
      <c r="BB19" s="25">
        <f>[1]Marcadores!AY19</f>
        <v>0</v>
      </c>
      <c r="BC19" s="25">
        <f>[1]Marcadores!BA19</f>
        <v>0</v>
      </c>
      <c r="BD19" s="25">
        <f>[1]Marcadores!BB19</f>
        <v>0</v>
      </c>
      <c r="BE19" s="25">
        <f>[1]Marcadores!BD19</f>
        <v>0</v>
      </c>
      <c r="BS19" s="9">
        <f t="shared" si="14"/>
        <v>0</v>
      </c>
    </row>
    <row r="20" spans="1:71" ht="17.25" thickTop="1" thickBot="1">
      <c r="A20" s="21" t="str">
        <f>Participantes!B18</f>
        <v>Jose C 1</v>
      </c>
      <c r="B20" s="22">
        <f>Participantes!$C18</f>
        <v>0</v>
      </c>
      <c r="C20" s="22">
        <f>Participantes!$D18</f>
        <v>1</v>
      </c>
      <c r="D20" s="26"/>
      <c r="E20" s="22" t="str">
        <f t="shared" si="12"/>
        <v/>
      </c>
      <c r="F20" s="27"/>
      <c r="G20" s="22">
        <f>Participantes!$E18</f>
        <v>1</v>
      </c>
      <c r="H20" s="22">
        <f>Participantes!$F18</f>
        <v>1</v>
      </c>
      <c r="I20" s="22" t="str">
        <f t="shared" si="13"/>
        <v/>
      </c>
      <c r="J20" s="27"/>
      <c r="K20" s="27">
        <f>[1]Marcadores!K20</f>
        <v>2</v>
      </c>
      <c r="L20" s="27">
        <f>[1]Marcadores!L20</f>
        <v>1</v>
      </c>
      <c r="M20" s="27" t="e">
        <f>(IF(AND(K20=K$3, L$3=L20),3,IF(AND(K$3&gt;L$3, K20&gt;L20),2,IF(AND(L$3&gt;K$3,L20&gt;K20), 2, IF(AND(L$3=K$3, L20=K20),2,0))))+IF(#REF!=#REF!,3,0)+IF(AND(#REF!=#REF!,#REF!=#REF!,#REF!&lt;&gt;""),5,0))*IF(K$3="",0,1)</f>
        <v>#REF!</v>
      </c>
      <c r="N20" s="28"/>
      <c r="O20" s="27">
        <f>[1]Marcadores!M20</f>
        <v>3</v>
      </c>
      <c r="P20" s="27">
        <f>[1]Marcadores!N20</f>
        <v>1</v>
      </c>
      <c r="Q20" s="27" t="e">
        <f>(IF(AND(O20=O$3, P$3=P20),3,IF(AND(O$3&gt;P$3, O20&gt;P20),2,IF(AND(P$3&gt;O$3,P20&gt;O20), 2, IF(AND(P$3=O$3, P20=O20),2,0))))+IF(#REF!=#REF!,3,0)+IF(AND(#REF!=#REF!,#REF!=#REF!,#REF!&lt;&gt;""),5,0))*IF(O$3="",0,1)</f>
        <v>#REF!</v>
      </c>
      <c r="R20" s="27"/>
      <c r="S20" s="27" t="str">
        <f>[1]Marcadores!G20</f>
        <v>2</v>
      </c>
      <c r="T20" s="27" t="str">
        <f>[1]Marcadores!H20</f>
        <v>1</v>
      </c>
      <c r="U20" s="27" t="e">
        <f>(IF(AND(S20=S$3, T$3=T20),3,IF(AND(S$3&gt;T$3, S20&gt;T20),2,IF(AND(T$3&gt;S$3,T20&gt;S20), 2, IF(AND(T$3=S$3, T20=S20),2,0))))+IF(#REF!=#REF!,3,0)+IF(AND(#REF!=#REF!,#REF!=#REF!,#REF!&lt;&gt;""),5,0))*IF(S$3="",0,1)</f>
        <v>#REF!</v>
      </c>
      <c r="V20" s="27"/>
      <c r="W20" s="27" t="str">
        <f>[1]Marcadores!I20</f>
        <v>3</v>
      </c>
      <c r="X20" s="27" t="str">
        <f>[1]Marcadores!J20</f>
        <v>1</v>
      </c>
      <c r="Y20" s="27" t="e">
        <f>(IF(AND(W20=W$3, X$3=X20),3,IF(AND(W$3&gt;X$3, W20&gt;X20),2,IF(AND(X$3&gt;W$3,X20&gt;W20), 2, IF(AND(X$3=W$3, X20=W20),2,0))))+IF(#REF!=#REF!,3,0)+IF(AND(#REF!=#REF!,#REF!=#REF!,#REF!&lt;&gt;""),5,0))*IF(W$3="",0,1)</f>
        <v>#REF!</v>
      </c>
      <c r="Z20" s="27"/>
      <c r="AA20" s="27">
        <f>[1]Marcadores!O20</f>
        <v>1</v>
      </c>
      <c r="AB20" s="27">
        <f>[1]Marcadores!P20</f>
        <v>3</v>
      </c>
      <c r="AC20" s="27" t="e">
        <f>(IF(AND(AA20=AB$3,#REF!= AB20),3,IF(AND(AB$3&gt;#REF!, AA20&gt;AB20),2,IF(AND(#REF!&gt;AB$3,AB20&gt;AA20), 2, IF(AND(#REF!=AB$3, AB20=AA20),2,0))))+IF(#REF!=#REF!,3,0)+IF(AND(#REF!=#REF!,#REF!=#REF!,#REF!&lt;&gt;""),5,0))*IF(AB$3="",0,1)</f>
        <v>#REF!</v>
      </c>
      <c r="AD20" s="27"/>
      <c r="AE20" s="27">
        <f>[1]Marcadores!Q20</f>
        <v>1</v>
      </c>
      <c r="AF20" s="27">
        <f>[1]Marcadores!R20</f>
        <v>2</v>
      </c>
      <c r="AG20" s="27">
        <f>[1]Marcadores!T20</f>
        <v>0</v>
      </c>
      <c r="AH20" s="27">
        <f>[1]Marcadores!U20</f>
        <v>0</v>
      </c>
      <c r="AI20" s="27">
        <f>[1]Marcadores!W20</f>
        <v>0</v>
      </c>
      <c r="AJ20" s="27">
        <f>[1]Marcadores!X20</f>
        <v>0</v>
      </c>
      <c r="AK20" s="27">
        <f>[1]Marcadores!Z20</f>
        <v>0</v>
      </c>
      <c r="AL20" s="27">
        <f>[1]Marcadores!AA20</f>
        <v>0</v>
      </c>
      <c r="AM20" s="27">
        <f>[1]Marcadores!AC20</f>
        <v>0</v>
      </c>
      <c r="AN20" s="27">
        <f>[1]Marcadores!AD20</f>
        <v>0</v>
      </c>
      <c r="AO20" s="27">
        <f>[1]Marcadores!AF20</f>
        <v>0</v>
      </c>
      <c r="AP20" s="27">
        <f>[1]Marcadores!AG20</f>
        <v>0</v>
      </c>
      <c r="AQ20" s="27">
        <f>[1]Marcadores!AI20</f>
        <v>0</v>
      </c>
      <c r="AR20" s="27">
        <f>[1]Marcadores!AJ20</f>
        <v>0</v>
      </c>
      <c r="AS20" s="27">
        <f>[1]Marcadores!AL20</f>
        <v>0</v>
      </c>
      <c r="AT20" s="27">
        <f>[1]Marcadores!AM20</f>
        <v>0</v>
      </c>
      <c r="AU20" s="27">
        <f>[1]Marcadores!AO20</f>
        <v>0</v>
      </c>
      <c r="AV20" s="27">
        <f>[1]Marcadores!AP20</f>
        <v>0</v>
      </c>
      <c r="AW20" s="27">
        <f>[1]Marcadores!AR20</f>
        <v>0</v>
      </c>
      <c r="AX20" s="27">
        <f>[1]Marcadores!AS20</f>
        <v>0</v>
      </c>
      <c r="AY20" s="27">
        <f>[1]Marcadores!AU20</f>
        <v>0</v>
      </c>
      <c r="AZ20" s="27">
        <f>[1]Marcadores!AV20</f>
        <v>0</v>
      </c>
      <c r="BA20" s="27">
        <f>[1]Marcadores!AX20</f>
        <v>0</v>
      </c>
      <c r="BB20" s="27">
        <f>[1]Marcadores!AY20</f>
        <v>0</v>
      </c>
      <c r="BC20" s="27">
        <f>[1]Marcadores!BA20</f>
        <v>0</v>
      </c>
      <c r="BD20" s="27">
        <f>[1]Marcadores!BB20</f>
        <v>0</v>
      </c>
      <c r="BE20" s="27">
        <f>[1]Marcadores!BD20</f>
        <v>0</v>
      </c>
      <c r="BS20" s="9">
        <f t="shared" si="14"/>
        <v>0</v>
      </c>
    </row>
    <row r="21" spans="1:71" ht="17.25" thickTop="1" thickBot="1">
      <c r="A21" s="21" t="str">
        <f>Participantes!B19</f>
        <v>Jose C 2</v>
      </c>
      <c r="B21" s="22">
        <f>Participantes!$C19</f>
        <v>1</v>
      </c>
      <c r="C21" s="22">
        <f>Participantes!$D19</f>
        <v>0</v>
      </c>
      <c r="D21" s="24"/>
      <c r="E21" s="22" t="str">
        <f t="shared" si="12"/>
        <v/>
      </c>
      <c r="F21" s="25"/>
      <c r="G21" s="22">
        <f>Participantes!$E19</f>
        <v>2</v>
      </c>
      <c r="H21" s="22">
        <f>Participantes!$F19</f>
        <v>1</v>
      </c>
      <c r="I21" s="22" t="str">
        <f t="shared" si="13"/>
        <v/>
      </c>
      <c r="J21" s="25"/>
      <c r="K21" s="25">
        <f>[1]Marcadores!K21</f>
        <v>2</v>
      </c>
      <c r="L21" s="25">
        <f>[1]Marcadores!L21</f>
        <v>0</v>
      </c>
      <c r="M21" s="25" t="e">
        <f>(IF(AND(K21=K$3, L$3=L21),3,IF(AND(K$3&gt;L$3, K21&gt;L21),2,IF(AND(L$3&gt;K$3,L21&gt;K21), 2, IF(AND(L$3=K$3, L21=K21),2,0))))+IF(#REF!=#REF!,3,0)+IF(AND(#REF!=#REF!,#REF!=#REF!,#REF!&lt;&gt;""),5,0))*IF(K$3="",0,1)</f>
        <v>#REF!</v>
      </c>
      <c r="N21" s="28"/>
      <c r="O21" s="25">
        <f>[1]Marcadores!M21</f>
        <v>3</v>
      </c>
      <c r="P21" s="25">
        <f>[1]Marcadores!N21</f>
        <v>1</v>
      </c>
      <c r="Q21" s="25" t="e">
        <f>(IF(AND(O21=O$3, P$3=P21),3,IF(AND(O$3&gt;P$3, O21&gt;P21),2,IF(AND(P$3&gt;O$3,P21&gt;O21), 2, IF(AND(P$3=O$3, P21=O21),2,0))))+IF(#REF!=#REF!,3,0)+IF(AND(#REF!=#REF!,#REF!=#REF!,#REF!&lt;&gt;""),5,0))*IF(O$3="",0,1)</f>
        <v>#REF!</v>
      </c>
      <c r="R21" s="25"/>
      <c r="S21" s="25" t="str">
        <f>[1]Marcadores!G21</f>
        <v>0</v>
      </c>
      <c r="T21" s="25" t="str">
        <f>[1]Marcadores!H21</f>
        <v>1</v>
      </c>
      <c r="U21" s="25" t="e">
        <f>(IF(AND(S21=S$3, T$3=T21),3,IF(AND(S$3&gt;T$3, S21&gt;T21),2,IF(AND(T$3&gt;S$3,T21&gt;S21), 2, IF(AND(T$3=S$3, T21=S21),2,0))))+IF(#REF!=#REF!,3,0)+IF(AND(#REF!=#REF!,#REF!=#REF!,#REF!&lt;&gt;""),5,0))*IF(S$3="",0,1)</f>
        <v>#REF!</v>
      </c>
      <c r="V21" s="25"/>
      <c r="W21" s="25" t="str">
        <f>[1]Marcadores!I21</f>
        <v>2</v>
      </c>
      <c r="X21" s="25" t="str">
        <f>[1]Marcadores!J21</f>
        <v>0</v>
      </c>
      <c r="Y21" s="25" t="e">
        <f>(IF(AND(W21=W$3, X$3=X21),3,IF(AND(W$3&gt;X$3, W21&gt;X21),2,IF(AND(X$3&gt;W$3,X21&gt;W21), 2, IF(AND(X$3=W$3, X21=W21),2,0))))+IF(#REF!=#REF!,3,0)+IF(AND(#REF!=#REF!,#REF!=#REF!,#REF!&lt;&gt;""),5,0))*IF(W$3="",0,1)</f>
        <v>#REF!</v>
      </c>
      <c r="Z21" s="25"/>
      <c r="AA21" s="25">
        <f>[1]Marcadores!O21</f>
        <v>0</v>
      </c>
      <c r="AB21" s="25">
        <f>[1]Marcadores!P21</f>
        <v>2</v>
      </c>
      <c r="AC21" s="25" t="e">
        <f>(IF(AND(AA21=AB$3,#REF!= AB21),3,IF(AND(AB$3&gt;#REF!, AA21&gt;AB21),2,IF(AND(#REF!&gt;AB$3,AB21&gt;AA21), 2, IF(AND(#REF!=AB$3, AB21=AA21),2,0))))+IF(#REF!=#REF!,3,0)+IF(AND(#REF!=#REF!,#REF!=#REF!,#REF!&lt;&gt;""),5,0))*IF(AB$3="",0,1)</f>
        <v>#REF!</v>
      </c>
      <c r="AD21" s="25"/>
      <c r="AE21" s="25">
        <f>[1]Marcadores!Q21</f>
        <v>2</v>
      </c>
      <c r="AF21" s="25">
        <f>[1]Marcadores!R21</f>
        <v>0</v>
      </c>
      <c r="AG21" s="25">
        <f>[1]Marcadores!T21</f>
        <v>0</v>
      </c>
      <c r="AH21" s="25">
        <f>[1]Marcadores!U21</f>
        <v>0</v>
      </c>
      <c r="AI21" s="25">
        <f>[1]Marcadores!W21</f>
        <v>0</v>
      </c>
      <c r="AJ21" s="25">
        <f>[1]Marcadores!X21</f>
        <v>0</v>
      </c>
      <c r="AK21" s="25">
        <f>[1]Marcadores!Z21</f>
        <v>0</v>
      </c>
      <c r="AL21" s="25">
        <f>[1]Marcadores!AA21</f>
        <v>0</v>
      </c>
      <c r="AM21" s="25">
        <f>[1]Marcadores!AC21</f>
        <v>0</v>
      </c>
      <c r="AN21" s="25">
        <f>[1]Marcadores!AD21</f>
        <v>0</v>
      </c>
      <c r="AO21" s="25">
        <f>[1]Marcadores!AF21</f>
        <v>0</v>
      </c>
      <c r="AP21" s="25">
        <f>[1]Marcadores!AG21</f>
        <v>0</v>
      </c>
      <c r="AQ21" s="25">
        <f>[1]Marcadores!AI21</f>
        <v>0</v>
      </c>
      <c r="AR21" s="25">
        <f>[1]Marcadores!AJ21</f>
        <v>0</v>
      </c>
      <c r="AS21" s="25">
        <f>[1]Marcadores!AL21</f>
        <v>0</v>
      </c>
      <c r="AT21" s="25">
        <f>[1]Marcadores!AM21</f>
        <v>0</v>
      </c>
      <c r="AU21" s="25">
        <f>[1]Marcadores!AO21</f>
        <v>0</v>
      </c>
      <c r="AV21" s="25">
        <f>[1]Marcadores!AP21</f>
        <v>0</v>
      </c>
      <c r="AW21" s="25">
        <f>[1]Marcadores!AR21</f>
        <v>0</v>
      </c>
      <c r="AX21" s="25">
        <f>[1]Marcadores!AS21</f>
        <v>0</v>
      </c>
      <c r="AY21" s="25">
        <f>[1]Marcadores!AU21</f>
        <v>0</v>
      </c>
      <c r="AZ21" s="25">
        <f>[1]Marcadores!AV21</f>
        <v>0</v>
      </c>
      <c r="BA21" s="25">
        <f>[1]Marcadores!AX21</f>
        <v>0</v>
      </c>
      <c r="BB21" s="25">
        <f>[1]Marcadores!AY21</f>
        <v>0</v>
      </c>
      <c r="BC21" s="25">
        <f>[1]Marcadores!BA21</f>
        <v>0</v>
      </c>
      <c r="BD21" s="25">
        <f>[1]Marcadores!BB21</f>
        <v>0</v>
      </c>
      <c r="BE21" s="25">
        <f>[1]Marcadores!BD21</f>
        <v>0</v>
      </c>
      <c r="BS21" s="9">
        <f t="shared" si="14"/>
        <v>0</v>
      </c>
    </row>
    <row r="22" spans="1:71" ht="17.25" thickTop="1" thickBot="1">
      <c r="A22" s="21" t="str">
        <f>Participantes!B20</f>
        <v>Jose C Ahiza</v>
      </c>
      <c r="B22" s="22">
        <f>Participantes!$C20</f>
        <v>2</v>
      </c>
      <c r="C22" s="22">
        <f>Participantes!$D20</f>
        <v>1</v>
      </c>
      <c r="D22" s="26"/>
      <c r="E22" s="22" t="str">
        <f t="shared" si="12"/>
        <v/>
      </c>
      <c r="F22" s="27"/>
      <c r="G22" s="22">
        <f>Participantes!$E20</f>
        <v>2</v>
      </c>
      <c r="H22" s="22">
        <f>Participantes!$F20</f>
        <v>1</v>
      </c>
      <c r="I22" s="22" t="str">
        <f t="shared" si="13"/>
        <v/>
      </c>
      <c r="J22" s="27"/>
      <c r="K22" s="27">
        <f>[1]Marcadores!K22</f>
        <v>3</v>
      </c>
      <c r="L22" s="27">
        <f>[1]Marcadores!L22</f>
        <v>0</v>
      </c>
      <c r="M22" s="27" t="e">
        <f>(IF(AND(K22=K$3, L$3=L22),3,IF(AND(K$3&gt;L$3, K22&gt;L22),2,IF(AND(L$3&gt;K$3,L22&gt;K22), 2, IF(AND(L$3=K$3, L22=K22),2,0))))+IF(#REF!=#REF!,3,0)+IF(AND(#REF!=#REF!,#REF!=#REF!,#REF!&lt;&gt;""),5,0))*IF(K$3="",0,1)</f>
        <v>#REF!</v>
      </c>
      <c r="N22" s="28"/>
      <c r="O22" s="27">
        <f>[1]Marcadores!M22</f>
        <v>4</v>
      </c>
      <c r="P22" s="27">
        <f>[1]Marcadores!N22</f>
        <v>1</v>
      </c>
      <c r="Q22" s="27" t="e">
        <f>(IF(AND(O22=O$3, P$3=P22),3,IF(AND(O$3&gt;P$3, O22&gt;P22),2,IF(AND(P$3&gt;O$3,P22&gt;O22), 2, IF(AND(P$3=O$3, P22=O22),2,0))))+IF(#REF!=#REF!,3,0)+IF(AND(#REF!=#REF!,#REF!=#REF!,#REF!&lt;&gt;""),5,0))*IF(O$3="",0,1)</f>
        <v>#REF!</v>
      </c>
      <c r="R22" s="27"/>
      <c r="S22" s="27" t="str">
        <f>[1]Marcadores!G22</f>
        <v>2</v>
      </c>
      <c r="T22" s="27" t="str">
        <f>[1]Marcadores!H22</f>
        <v>1</v>
      </c>
      <c r="U22" s="27" t="e">
        <f>(IF(AND(S22=S$3, T$3=T22),3,IF(AND(S$3&gt;T$3, S22&gt;T22),2,IF(AND(T$3&gt;S$3,T22&gt;S22), 2, IF(AND(T$3=S$3, T22=S22),2,0))))+IF(#REF!=#REF!,3,0)+IF(AND(#REF!=#REF!,#REF!=#REF!,#REF!&lt;&gt;""),5,0))*IF(S$3="",0,1)</f>
        <v>#REF!</v>
      </c>
      <c r="V22" s="27"/>
      <c r="W22" s="27" t="str">
        <f>[1]Marcadores!I22</f>
        <v>2</v>
      </c>
      <c r="X22" s="27" t="str">
        <f>[1]Marcadores!J22</f>
        <v>0</v>
      </c>
      <c r="Y22" s="27" t="e">
        <f>(IF(AND(W22=W$3, X$3=X22),3,IF(AND(W$3&gt;X$3, W22&gt;X22),2,IF(AND(X$3&gt;W$3,X22&gt;W22), 2, IF(AND(X$3=W$3, X22=W22),2,0))))+IF(#REF!=#REF!,3,0)+IF(AND(#REF!=#REF!,#REF!=#REF!,#REF!&lt;&gt;""),5,0))*IF(W$3="",0,1)</f>
        <v>#REF!</v>
      </c>
      <c r="Z22" s="27"/>
      <c r="AA22" s="27">
        <f>[1]Marcadores!O22</f>
        <v>2</v>
      </c>
      <c r="AB22" s="27">
        <f>[1]Marcadores!P22</f>
        <v>2</v>
      </c>
      <c r="AC22" s="27" t="e">
        <f>(IF(AND(AA22=AB$3,#REF!= AB22),3,IF(AND(AB$3&gt;#REF!, AA22&gt;AB22),2,IF(AND(#REF!&gt;AB$3,AB22&gt;AA22), 2, IF(AND(#REF!=AB$3, AB22=AA22),2,0))))+IF(#REF!=#REF!,3,0)+IF(AND(#REF!=#REF!,#REF!=#REF!,#REF!&lt;&gt;""),5,0))*IF(AB$3="",0,1)</f>
        <v>#REF!</v>
      </c>
      <c r="AD22" s="27"/>
      <c r="AE22" s="27">
        <f>[1]Marcadores!Q22</f>
        <v>1</v>
      </c>
      <c r="AF22" s="27">
        <f>[1]Marcadores!R22</f>
        <v>1</v>
      </c>
      <c r="AG22" s="27">
        <f>[1]Marcadores!T22</f>
        <v>0</v>
      </c>
      <c r="AH22" s="27">
        <f>[1]Marcadores!U22</f>
        <v>0</v>
      </c>
      <c r="AI22" s="27">
        <f>[1]Marcadores!W22</f>
        <v>0</v>
      </c>
      <c r="AJ22" s="27">
        <f>[1]Marcadores!X22</f>
        <v>0</v>
      </c>
      <c r="AK22" s="27">
        <f>[1]Marcadores!Z22</f>
        <v>0</v>
      </c>
      <c r="AL22" s="27">
        <f>[1]Marcadores!AA22</f>
        <v>0</v>
      </c>
      <c r="AM22" s="27">
        <f>[1]Marcadores!AC22</f>
        <v>0</v>
      </c>
      <c r="AN22" s="27">
        <f>[1]Marcadores!AD22</f>
        <v>0</v>
      </c>
      <c r="AO22" s="27">
        <f>[1]Marcadores!AF22</f>
        <v>0</v>
      </c>
      <c r="AP22" s="27">
        <f>[1]Marcadores!AG22</f>
        <v>0</v>
      </c>
      <c r="AQ22" s="27">
        <f>[1]Marcadores!AI22</f>
        <v>0</v>
      </c>
      <c r="AR22" s="27">
        <f>[1]Marcadores!AJ22</f>
        <v>0</v>
      </c>
      <c r="AS22" s="27">
        <f>[1]Marcadores!AL22</f>
        <v>0</v>
      </c>
      <c r="AT22" s="27">
        <f>[1]Marcadores!AM22</f>
        <v>0</v>
      </c>
      <c r="AU22" s="27">
        <f>[1]Marcadores!AO22</f>
        <v>0</v>
      </c>
      <c r="AV22" s="27">
        <f>[1]Marcadores!AP22</f>
        <v>0</v>
      </c>
      <c r="AW22" s="27">
        <f>[1]Marcadores!AR22</f>
        <v>0</v>
      </c>
      <c r="AX22" s="27">
        <f>[1]Marcadores!AS22</f>
        <v>0</v>
      </c>
      <c r="AY22" s="27">
        <f>[1]Marcadores!AU22</f>
        <v>0</v>
      </c>
      <c r="AZ22" s="27">
        <f>[1]Marcadores!AV22</f>
        <v>0</v>
      </c>
      <c r="BA22" s="27">
        <f>[1]Marcadores!AX22</f>
        <v>0</v>
      </c>
      <c r="BB22" s="27">
        <f>[1]Marcadores!AY22</f>
        <v>0</v>
      </c>
      <c r="BC22" s="27">
        <f>[1]Marcadores!BA22</f>
        <v>0</v>
      </c>
      <c r="BD22" s="27">
        <f>[1]Marcadores!BB22</f>
        <v>0</v>
      </c>
      <c r="BE22" s="27">
        <f>[1]Marcadores!BD22</f>
        <v>0</v>
      </c>
      <c r="BS22" s="9">
        <f t="shared" si="14"/>
        <v>0</v>
      </c>
    </row>
    <row r="23" spans="1:71" ht="17.25" thickTop="1" thickBot="1">
      <c r="A23" s="21" t="str">
        <f>Participantes!B21</f>
        <v>Jose C Ana</v>
      </c>
      <c r="B23" s="22">
        <f>Participantes!$C21</f>
        <v>4</v>
      </c>
      <c r="C23" s="22">
        <f>Participantes!$D21</f>
        <v>2</v>
      </c>
      <c r="D23" s="24"/>
      <c r="E23" s="22" t="str">
        <f t="shared" si="12"/>
        <v/>
      </c>
      <c r="F23" s="25"/>
      <c r="G23" s="22">
        <f>Participantes!$E21</f>
        <v>3</v>
      </c>
      <c r="H23" s="22">
        <f>Participantes!$F21</f>
        <v>1</v>
      </c>
      <c r="I23" s="22" t="str">
        <f t="shared" si="13"/>
        <v/>
      </c>
      <c r="J23" s="25"/>
      <c r="K23" s="25">
        <f>[1]Marcadores!K23</f>
        <v>2</v>
      </c>
      <c r="L23" s="25">
        <f>[1]Marcadores!L23</f>
        <v>1</v>
      </c>
      <c r="M23" s="25" t="e">
        <f>(IF(AND(K23=K$3, L$3=L23),3,IF(AND(K$3&gt;L$3, K23&gt;L23),2,IF(AND(L$3&gt;K$3,L23&gt;K23), 2, IF(AND(L$3=K$3, L23=K23),2,0))))+IF(#REF!=#REF!,3,0)+IF(AND(#REF!=#REF!,#REF!=#REF!,#REF!&lt;&gt;""),5,0))*IF(K$3="",0,1)</f>
        <v>#REF!</v>
      </c>
      <c r="N23" s="28"/>
      <c r="O23" s="25">
        <f>[1]Marcadores!M23</f>
        <v>1</v>
      </c>
      <c r="P23" s="25">
        <f>[1]Marcadores!N23</f>
        <v>0</v>
      </c>
      <c r="Q23" s="25" t="e">
        <f>(IF(AND(O23=O$3, P$3=P23),3,IF(AND(O$3&gt;P$3, O23&gt;P23),2,IF(AND(P$3&gt;O$3,P23&gt;O23), 2, IF(AND(P$3=O$3, P23=O23),2,0))))+IF(#REF!=#REF!,3,0)+IF(AND(#REF!=#REF!,#REF!=#REF!,#REF!&lt;&gt;""),5,0))*IF(O$3="",0,1)</f>
        <v>#REF!</v>
      </c>
      <c r="R23" s="25"/>
      <c r="S23" s="25" t="str">
        <f>[1]Marcadores!G23</f>
        <v>1</v>
      </c>
      <c r="T23" s="25" t="str">
        <f>[1]Marcadores!H23</f>
        <v>0</v>
      </c>
      <c r="U23" s="25" t="e">
        <f>(IF(AND(S23=S$3, T$3=T23),3,IF(AND(S$3&gt;T$3, S23&gt;T23),2,IF(AND(T$3&gt;S$3,T23&gt;S23), 2, IF(AND(T$3=S$3, T23=S23),2,0))))+IF(#REF!=#REF!,3,0)+IF(AND(#REF!=#REF!,#REF!=#REF!,#REF!&lt;&gt;""),5,0))*IF(S$3="",0,1)</f>
        <v>#REF!</v>
      </c>
      <c r="V23" s="25"/>
      <c r="W23" s="25" t="str">
        <f>[1]Marcadores!I23</f>
        <v>2</v>
      </c>
      <c r="X23" s="25" t="str">
        <f>[1]Marcadores!J23</f>
        <v>0</v>
      </c>
      <c r="Y23" s="25" t="e">
        <f>(IF(AND(W23=W$3, X$3=X23),3,IF(AND(W$3&gt;X$3, W23&gt;X23),2,IF(AND(X$3&gt;W$3,X23&gt;W23), 2, IF(AND(X$3=W$3, X23=W23),2,0))))+IF(#REF!=#REF!,3,0)+IF(AND(#REF!=#REF!,#REF!=#REF!,#REF!&lt;&gt;""),5,0))*IF(W$3="",0,1)</f>
        <v>#REF!</v>
      </c>
      <c r="Z23" s="25"/>
      <c r="AA23" s="25">
        <f>[1]Marcadores!O23</f>
        <v>0</v>
      </c>
      <c r="AB23" s="25">
        <f>[1]Marcadores!P23</f>
        <v>2</v>
      </c>
      <c r="AC23" s="25" t="e">
        <f>(IF(AND(AA23=AB$3,#REF!= AB23),3,IF(AND(AB$3&gt;#REF!, AA23&gt;AB23),2,IF(AND(#REF!&gt;AB$3,AB23&gt;AA23), 2, IF(AND(#REF!=AB$3, AB23=AA23),2,0))))+IF(#REF!=#REF!,3,0)+IF(AND(#REF!=#REF!,#REF!=#REF!,#REF!&lt;&gt;""),5,0))*IF(AB$3="",0,1)</f>
        <v>#REF!</v>
      </c>
      <c r="AD23" s="25"/>
      <c r="AE23" s="25">
        <f>[1]Marcadores!Q23</f>
        <v>1</v>
      </c>
      <c r="AF23" s="25">
        <f>[1]Marcadores!R23</f>
        <v>0</v>
      </c>
      <c r="AG23" s="25">
        <f>[1]Marcadores!T23</f>
        <v>0</v>
      </c>
      <c r="AH23" s="25">
        <f>[1]Marcadores!U23</f>
        <v>0</v>
      </c>
      <c r="AI23" s="25">
        <f>[1]Marcadores!W23</f>
        <v>0</v>
      </c>
      <c r="AJ23" s="25">
        <f>[1]Marcadores!X23</f>
        <v>0</v>
      </c>
      <c r="AK23" s="25">
        <f>[1]Marcadores!Z23</f>
        <v>0</v>
      </c>
      <c r="AL23" s="25">
        <f>[1]Marcadores!AA23</f>
        <v>0</v>
      </c>
      <c r="AM23" s="25">
        <f>[1]Marcadores!AC23</f>
        <v>0</v>
      </c>
      <c r="AN23" s="25">
        <f>[1]Marcadores!AD23</f>
        <v>0</v>
      </c>
      <c r="AO23" s="25">
        <f>[1]Marcadores!AF23</f>
        <v>0</v>
      </c>
      <c r="AP23" s="25">
        <f>[1]Marcadores!AG23</f>
        <v>0</v>
      </c>
      <c r="AQ23" s="25">
        <f>[1]Marcadores!AI23</f>
        <v>0</v>
      </c>
      <c r="AR23" s="25">
        <f>[1]Marcadores!AJ23</f>
        <v>0</v>
      </c>
      <c r="AS23" s="25">
        <f>[1]Marcadores!AL23</f>
        <v>0</v>
      </c>
      <c r="AT23" s="25">
        <f>[1]Marcadores!AM23</f>
        <v>0</v>
      </c>
      <c r="AU23" s="25">
        <f>[1]Marcadores!AO23</f>
        <v>0</v>
      </c>
      <c r="AV23" s="25">
        <f>[1]Marcadores!AP23</f>
        <v>0</v>
      </c>
      <c r="AW23" s="25">
        <f>[1]Marcadores!AR23</f>
        <v>0</v>
      </c>
      <c r="AX23" s="25">
        <f>[1]Marcadores!AS23</f>
        <v>0</v>
      </c>
      <c r="AY23" s="25">
        <f>[1]Marcadores!AU23</f>
        <v>0</v>
      </c>
      <c r="AZ23" s="25">
        <f>[1]Marcadores!AV23</f>
        <v>0</v>
      </c>
      <c r="BA23" s="25">
        <f>[1]Marcadores!AX23</f>
        <v>0</v>
      </c>
      <c r="BB23" s="25">
        <f>[1]Marcadores!AY23</f>
        <v>0</v>
      </c>
      <c r="BC23" s="25">
        <f>[1]Marcadores!BA23</f>
        <v>0</v>
      </c>
      <c r="BD23" s="25">
        <f>[1]Marcadores!BB23</f>
        <v>0</v>
      </c>
      <c r="BE23" s="25">
        <f>[1]Marcadores!BD23</f>
        <v>0</v>
      </c>
      <c r="BS23" s="9">
        <f t="shared" si="14"/>
        <v>0</v>
      </c>
    </row>
    <row r="24" spans="1:71" ht="17.25" thickTop="1" thickBot="1">
      <c r="A24" s="21" t="str">
        <f>Participantes!B22</f>
        <v>Jose C Judith</v>
      </c>
      <c r="B24" s="22">
        <f>Participantes!$C22</f>
        <v>3</v>
      </c>
      <c r="C24" s="22">
        <f>Participantes!$D22</f>
        <v>2</v>
      </c>
      <c r="D24" s="26"/>
      <c r="E24" s="22" t="str">
        <f t="shared" si="12"/>
        <v/>
      </c>
      <c r="F24" s="27"/>
      <c r="G24" s="22">
        <f>Participantes!$E22</f>
        <v>2</v>
      </c>
      <c r="H24" s="22">
        <f>Participantes!$F22</f>
        <v>2</v>
      </c>
      <c r="I24" s="22" t="str">
        <f t="shared" si="13"/>
        <v/>
      </c>
      <c r="J24" s="27"/>
      <c r="K24" s="27">
        <f>[1]Marcadores!K24</f>
        <v>3</v>
      </c>
      <c r="L24" s="27">
        <f>[1]Marcadores!L24</f>
        <v>2</v>
      </c>
      <c r="M24" s="27" t="e">
        <f>(IF(AND(K24=K$3, L$3=L24),3,IF(AND(K$3&gt;L$3, K24&gt;L24),2,IF(AND(L$3&gt;K$3,L24&gt;K24), 2, IF(AND(L$3=K$3, L24=K24),2,0))))+IF(#REF!=#REF!,3,0)+IF(AND(#REF!=#REF!,#REF!=#REF!,#REF!&lt;&gt;""),5,0))*IF(K$3="",0,1)</f>
        <v>#REF!</v>
      </c>
      <c r="N24" s="28"/>
      <c r="O24" s="27">
        <f>[1]Marcadores!M24</f>
        <v>4</v>
      </c>
      <c r="P24" s="27">
        <f>[1]Marcadores!N24</f>
        <v>3</v>
      </c>
      <c r="Q24" s="27" t="e">
        <f>(IF(AND(O24=O$3, P$3=P24),3,IF(AND(O$3&gt;P$3, O24&gt;P24),2,IF(AND(P$3&gt;O$3,P24&gt;O24), 2, IF(AND(P$3=O$3, P24=O24),2,0))))+IF(#REF!=#REF!,3,0)+IF(AND(#REF!=#REF!,#REF!=#REF!,#REF!&lt;&gt;""),5,0))*IF(O$3="",0,1)</f>
        <v>#REF!</v>
      </c>
      <c r="R24" s="27"/>
      <c r="S24" s="27" t="str">
        <f>[1]Marcadores!G24</f>
        <v>2</v>
      </c>
      <c r="T24" s="27" t="str">
        <f>[1]Marcadores!H24</f>
        <v>3</v>
      </c>
      <c r="U24" s="27" t="e">
        <f>(IF(AND(S24=S$3, T$3=T24),3,IF(AND(S$3&gt;T$3, S24&gt;T24),2,IF(AND(T$3&gt;S$3,T24&gt;S24), 2, IF(AND(T$3=S$3, T24=S24),2,0))))+IF(#REF!=#REF!,3,0)+IF(AND(#REF!=#REF!,#REF!=#REF!,#REF!&lt;&gt;""),5,0))*IF(S$3="",0,1)</f>
        <v>#REF!</v>
      </c>
      <c r="V24" s="27"/>
      <c r="W24" s="27" t="str">
        <f>[1]Marcadores!I24</f>
        <v>4</v>
      </c>
      <c r="X24" s="27" t="str">
        <f>[1]Marcadores!J24</f>
        <v>1</v>
      </c>
      <c r="Y24" s="27" t="e">
        <f>(IF(AND(W24=W$3, X$3=X24),3,IF(AND(W$3&gt;X$3, W24&gt;X24),2,IF(AND(X$3&gt;W$3,X24&gt;W24), 2, IF(AND(X$3=W$3, X24=W24),2,0))))+IF(#REF!=#REF!,3,0)+IF(AND(#REF!=#REF!,#REF!=#REF!,#REF!&lt;&gt;""),5,0))*IF(W$3="",0,1)</f>
        <v>#REF!</v>
      </c>
      <c r="Z24" s="27"/>
      <c r="AA24" s="27">
        <f>[1]Marcadores!O24</f>
        <v>2</v>
      </c>
      <c r="AB24" s="27">
        <f>[1]Marcadores!P24</f>
        <v>4</v>
      </c>
      <c r="AC24" s="27" t="e">
        <f>(IF(AND(AA24=AB$3,#REF!= AB24),3,IF(AND(AB$3&gt;#REF!, AA24&gt;AB24),2,IF(AND(#REF!&gt;AB$3,AB24&gt;AA24), 2, IF(AND(#REF!=AB$3, AB24=AA24),2,0))))+IF(#REF!=#REF!,3,0)+IF(AND(#REF!=#REF!,#REF!=#REF!,#REF!&lt;&gt;""),5,0))*IF(AB$3="",0,1)</f>
        <v>#REF!</v>
      </c>
      <c r="AD24" s="27"/>
      <c r="AE24" s="27">
        <f>[1]Marcadores!Q24</f>
        <v>3</v>
      </c>
      <c r="AF24" s="27">
        <f>[1]Marcadores!R24</f>
        <v>1</v>
      </c>
      <c r="AG24" s="27">
        <f>[1]Marcadores!T24</f>
        <v>0</v>
      </c>
      <c r="AH24" s="27">
        <f>[1]Marcadores!U24</f>
        <v>0</v>
      </c>
      <c r="AI24" s="27">
        <f>[1]Marcadores!W24</f>
        <v>0</v>
      </c>
      <c r="AJ24" s="27">
        <f>[1]Marcadores!X24</f>
        <v>0</v>
      </c>
      <c r="AK24" s="27">
        <f>[1]Marcadores!Z24</f>
        <v>0</v>
      </c>
      <c r="AL24" s="27">
        <f>[1]Marcadores!AA24</f>
        <v>0</v>
      </c>
      <c r="AM24" s="27">
        <f>[1]Marcadores!AC24</f>
        <v>0</v>
      </c>
      <c r="AN24" s="27">
        <f>[1]Marcadores!AD24</f>
        <v>0</v>
      </c>
      <c r="AO24" s="27">
        <f>[1]Marcadores!AF24</f>
        <v>0</v>
      </c>
      <c r="AP24" s="27">
        <f>[1]Marcadores!AG24</f>
        <v>0</v>
      </c>
      <c r="AQ24" s="27">
        <f>[1]Marcadores!AI24</f>
        <v>0</v>
      </c>
      <c r="AR24" s="27">
        <f>[1]Marcadores!AJ24</f>
        <v>0</v>
      </c>
      <c r="AS24" s="27">
        <f>[1]Marcadores!AL24</f>
        <v>0</v>
      </c>
      <c r="AT24" s="27">
        <f>[1]Marcadores!AM24</f>
        <v>0</v>
      </c>
      <c r="AU24" s="27">
        <f>[1]Marcadores!AO24</f>
        <v>0</v>
      </c>
      <c r="AV24" s="27">
        <f>[1]Marcadores!AP24</f>
        <v>0</v>
      </c>
      <c r="AW24" s="27">
        <f>[1]Marcadores!AR24</f>
        <v>0</v>
      </c>
      <c r="AX24" s="27">
        <f>[1]Marcadores!AS24</f>
        <v>0</v>
      </c>
      <c r="AY24" s="27">
        <f>[1]Marcadores!AU24</f>
        <v>0</v>
      </c>
      <c r="AZ24" s="27">
        <f>[1]Marcadores!AV24</f>
        <v>0</v>
      </c>
      <c r="BA24" s="27">
        <f>[1]Marcadores!AX24</f>
        <v>0</v>
      </c>
      <c r="BB24" s="27">
        <f>[1]Marcadores!AY24</f>
        <v>0</v>
      </c>
      <c r="BC24" s="27">
        <f>[1]Marcadores!BA24</f>
        <v>0</v>
      </c>
      <c r="BD24" s="27">
        <f>[1]Marcadores!BB24</f>
        <v>0</v>
      </c>
      <c r="BE24" s="27">
        <f>[1]Marcadores!BD24</f>
        <v>0</v>
      </c>
      <c r="BS24" s="9">
        <f t="shared" si="14"/>
        <v>0</v>
      </c>
    </row>
    <row r="25" spans="1:71" ht="17.25" thickTop="1" thickBot="1">
      <c r="A25" s="21" t="str">
        <f>Participantes!B23</f>
        <v>José de León</v>
      </c>
      <c r="B25" s="22">
        <f>Participantes!$C23</f>
        <v>2</v>
      </c>
      <c r="C25" s="22">
        <f>Participantes!$D23</f>
        <v>1</v>
      </c>
      <c r="D25" s="24"/>
      <c r="E25" s="22" t="str">
        <f t="shared" si="12"/>
        <v/>
      </c>
      <c r="F25" s="25"/>
      <c r="G25" s="22">
        <f>Participantes!$E23</f>
        <v>2</v>
      </c>
      <c r="H25" s="22">
        <f>Participantes!$F23</f>
        <v>1</v>
      </c>
      <c r="I25" s="22" t="str">
        <f t="shared" si="13"/>
        <v/>
      </c>
      <c r="J25" s="25"/>
      <c r="K25" s="25">
        <f>[1]Marcadores!K25</f>
        <v>3</v>
      </c>
      <c r="L25" s="25">
        <f>[1]Marcadores!L25</f>
        <v>2</v>
      </c>
      <c r="M25" s="25" t="e">
        <f>(IF(AND(K25=K$3, L$3=L25),3,IF(AND(K$3&gt;L$3, K25&gt;L25),2,IF(AND(L$3&gt;K$3,L25&gt;K25), 2, IF(AND(L$3=K$3, L25=K25),2,0))))+IF(#REF!=#REF!,3,0)+IF(AND(#REF!=#REF!,#REF!=#REF!,#REF!&lt;&gt;""),5,0))*IF(K$3="",0,1)</f>
        <v>#REF!</v>
      </c>
      <c r="N25" s="28"/>
      <c r="O25" s="25">
        <f>[1]Marcadores!M25</f>
        <v>2</v>
      </c>
      <c r="P25" s="25">
        <f>[1]Marcadores!N25</f>
        <v>0</v>
      </c>
      <c r="Q25" s="25" t="e">
        <f>(IF(AND(O25=O$3, P$3=P25),3,IF(AND(O$3&gt;P$3, O25&gt;P25),2,IF(AND(P$3&gt;O$3,P25&gt;O25), 2, IF(AND(P$3=O$3, P25=O25),2,0))))+IF(#REF!=#REF!,3,0)+IF(AND(#REF!=#REF!,#REF!=#REF!,#REF!&lt;&gt;""),5,0))*IF(O$3="",0,1)</f>
        <v>#REF!</v>
      </c>
      <c r="R25" s="25"/>
      <c r="S25" s="25" t="str">
        <f>[1]Marcadores!G25</f>
        <v>2</v>
      </c>
      <c r="T25" s="25" t="str">
        <f>[1]Marcadores!H25</f>
        <v>2</v>
      </c>
      <c r="U25" s="25" t="e">
        <f>(IF(AND(S25=S$3, T$3=T25),3,IF(AND(S$3&gt;T$3, S25&gt;T25),2,IF(AND(T$3&gt;S$3,T25&gt;S25), 2, IF(AND(T$3=S$3, T25=S25),2,0))))+IF(#REF!=#REF!,3,0)+IF(AND(#REF!=#REF!,#REF!=#REF!,#REF!&lt;&gt;""),5,0))*IF(S$3="",0,1)</f>
        <v>#REF!</v>
      </c>
      <c r="V25" s="25"/>
      <c r="W25" s="25" t="str">
        <f>[1]Marcadores!I25</f>
        <v>4</v>
      </c>
      <c r="X25" s="25" t="str">
        <f>[1]Marcadores!J25</f>
        <v>0</v>
      </c>
      <c r="Y25" s="25" t="e">
        <f>(IF(AND(W25=W$3, X$3=X25),3,IF(AND(W$3&gt;X$3, W25&gt;X25),2,IF(AND(X$3&gt;W$3,X25&gt;W25), 2, IF(AND(X$3=W$3, X25=W25),2,0))))+IF(#REF!=#REF!,3,0)+IF(AND(#REF!=#REF!,#REF!=#REF!,#REF!&lt;&gt;""),5,0))*IF(W$3="",0,1)</f>
        <v>#REF!</v>
      </c>
      <c r="Z25" s="25"/>
      <c r="AA25" s="25">
        <f>[1]Marcadores!O25</f>
        <v>2</v>
      </c>
      <c r="AB25" s="25">
        <f>[1]Marcadores!P25</f>
        <v>2</v>
      </c>
      <c r="AC25" s="25" t="e">
        <f>(IF(AND(AA25=AB$3,#REF!= AB25),3,IF(AND(AB$3&gt;#REF!, AA25&gt;AB25),2,IF(AND(#REF!&gt;AB$3,AB25&gt;AA25), 2, IF(AND(#REF!=AB$3, AB25=AA25),2,0))))+IF(#REF!=#REF!,3,0)+IF(AND(#REF!=#REF!,#REF!=#REF!,#REF!&lt;&gt;""),5,0))*IF(AB$3="",0,1)</f>
        <v>#REF!</v>
      </c>
      <c r="AD25" s="25"/>
      <c r="AE25" s="25">
        <f>[1]Marcadores!Q25</f>
        <v>2</v>
      </c>
      <c r="AF25" s="25">
        <f>[1]Marcadores!R25</f>
        <v>1</v>
      </c>
      <c r="AG25" s="25">
        <f>[1]Marcadores!T25</f>
        <v>0</v>
      </c>
      <c r="AH25" s="25">
        <f>[1]Marcadores!U25</f>
        <v>0</v>
      </c>
      <c r="AI25" s="25">
        <f>[1]Marcadores!W25</f>
        <v>0</v>
      </c>
      <c r="AJ25" s="25">
        <f>[1]Marcadores!X25</f>
        <v>0</v>
      </c>
      <c r="AK25" s="25">
        <f>[1]Marcadores!Z25</f>
        <v>0</v>
      </c>
      <c r="AL25" s="25">
        <f>[1]Marcadores!AA25</f>
        <v>0</v>
      </c>
      <c r="AM25" s="25">
        <f>[1]Marcadores!AC25</f>
        <v>0</v>
      </c>
      <c r="AN25" s="25">
        <f>[1]Marcadores!AD25</f>
        <v>0</v>
      </c>
      <c r="AO25" s="25">
        <f>[1]Marcadores!AF25</f>
        <v>0</v>
      </c>
      <c r="AP25" s="25">
        <f>[1]Marcadores!AG25</f>
        <v>0</v>
      </c>
      <c r="AQ25" s="25">
        <f>[1]Marcadores!AI25</f>
        <v>0</v>
      </c>
      <c r="AR25" s="25">
        <f>[1]Marcadores!AJ25</f>
        <v>0</v>
      </c>
      <c r="AS25" s="25">
        <f>[1]Marcadores!AL25</f>
        <v>0</v>
      </c>
      <c r="AT25" s="25">
        <f>[1]Marcadores!AM25</f>
        <v>0</v>
      </c>
      <c r="AU25" s="25">
        <f>[1]Marcadores!AO25</f>
        <v>0</v>
      </c>
      <c r="AV25" s="25">
        <f>[1]Marcadores!AP25</f>
        <v>0</v>
      </c>
      <c r="AW25" s="25">
        <f>[1]Marcadores!AR25</f>
        <v>0</v>
      </c>
      <c r="AX25" s="25">
        <f>[1]Marcadores!AS25</f>
        <v>0</v>
      </c>
      <c r="AY25" s="25">
        <f>[1]Marcadores!AU25</f>
        <v>0</v>
      </c>
      <c r="AZ25" s="25">
        <f>[1]Marcadores!AV25</f>
        <v>0</v>
      </c>
      <c r="BA25" s="25">
        <f>[1]Marcadores!AX25</f>
        <v>0</v>
      </c>
      <c r="BB25" s="25">
        <f>[1]Marcadores!AY25</f>
        <v>0</v>
      </c>
      <c r="BC25" s="25">
        <f>[1]Marcadores!BA25</f>
        <v>0</v>
      </c>
      <c r="BD25" s="25">
        <f>[1]Marcadores!BB25</f>
        <v>0</v>
      </c>
      <c r="BE25" s="25">
        <f>[1]Marcadores!BD25</f>
        <v>0</v>
      </c>
      <c r="BS25" s="9">
        <f t="shared" si="14"/>
        <v>0</v>
      </c>
    </row>
    <row r="26" spans="1:71" ht="17.25" thickTop="1" thickBot="1">
      <c r="A26" s="21" t="str">
        <f>Participantes!B24</f>
        <v>Jovanna</v>
      </c>
      <c r="B26" s="22">
        <f>Participantes!$C24</f>
        <v>5</v>
      </c>
      <c r="C26" s="22">
        <f>Participantes!$D24</f>
        <v>2</v>
      </c>
      <c r="D26" s="26"/>
      <c r="E26" s="22" t="str">
        <f t="shared" si="12"/>
        <v/>
      </c>
      <c r="F26" s="27"/>
      <c r="G26" s="22">
        <f>Participantes!$E24</f>
        <v>1</v>
      </c>
      <c r="H26" s="22">
        <f>Participantes!$F24</f>
        <v>3</v>
      </c>
      <c r="I26" s="22" t="str">
        <f t="shared" si="13"/>
        <v/>
      </c>
      <c r="J26" s="27"/>
      <c r="K26" s="27">
        <f>[1]Marcadores!K26</f>
        <v>3</v>
      </c>
      <c r="L26" s="27">
        <f>[1]Marcadores!L26</f>
        <v>0</v>
      </c>
      <c r="M26" s="27" t="e">
        <f>(IF(AND(K26=K$3, L$3=L26),3,IF(AND(K$3&gt;L$3, K26&gt;L26),2,IF(AND(L$3&gt;K$3,L26&gt;K26), 2, IF(AND(L$3=K$3, L26=K26),2,0))))+IF(#REF!=#REF!,3,0)+IF(AND(#REF!=#REF!,#REF!=#REF!,#REF!&lt;&gt;""),5,0))*IF(K$3="",0,1)</f>
        <v>#REF!</v>
      </c>
      <c r="N26" s="28"/>
      <c r="O26" s="27">
        <f>[1]Marcadores!M26</f>
        <v>3</v>
      </c>
      <c r="P26" s="27">
        <f>[1]Marcadores!N26</f>
        <v>1</v>
      </c>
      <c r="Q26" s="27" t="e">
        <f>(IF(AND(O26=O$3, P$3=P26),3,IF(AND(O$3&gt;P$3, O26&gt;P26),2,IF(AND(P$3&gt;O$3,P26&gt;O26), 2, IF(AND(P$3=O$3, P26=O26),2,0))))+IF(#REF!=#REF!,3,0)+IF(AND(#REF!=#REF!,#REF!=#REF!,#REF!&lt;&gt;""),5,0))*IF(O$3="",0,1)</f>
        <v>#REF!</v>
      </c>
      <c r="R26" s="27"/>
      <c r="S26" s="27" t="str">
        <f>[1]Marcadores!G26</f>
        <v>2</v>
      </c>
      <c r="T26" s="27" t="str">
        <f>[1]Marcadores!H26</f>
        <v>1</v>
      </c>
      <c r="U26" s="27" t="e">
        <f>(IF(AND(S26=S$3, T$3=T26),3,IF(AND(S$3&gt;T$3, S26&gt;T26),2,IF(AND(T$3&gt;S$3,T26&gt;S26), 2, IF(AND(T$3=S$3, T26=S26),2,0))))+IF(#REF!=#REF!,3,0)+IF(AND(#REF!=#REF!,#REF!=#REF!,#REF!&lt;&gt;""),5,0))*IF(S$3="",0,1)</f>
        <v>#REF!</v>
      </c>
      <c r="V26" s="27"/>
      <c r="W26" s="27" t="str">
        <f>[1]Marcadores!I26</f>
        <v>3</v>
      </c>
      <c r="X26" s="27" t="str">
        <f>[1]Marcadores!J26</f>
        <v>1</v>
      </c>
      <c r="Y26" s="27" t="e">
        <f>(IF(AND(W26=W$3, X$3=X26),3,IF(AND(W$3&gt;X$3, W26&gt;X26),2,IF(AND(X$3&gt;W$3,X26&gt;W26), 2, IF(AND(X$3=W$3, X26=W26),2,0))))+IF(#REF!=#REF!,3,0)+IF(AND(#REF!=#REF!,#REF!=#REF!,#REF!&lt;&gt;""),5,0))*IF(W$3="",0,1)</f>
        <v>#REF!</v>
      </c>
      <c r="Z26" s="27"/>
      <c r="AA26" s="27">
        <f>[1]Marcadores!O26</f>
        <v>2</v>
      </c>
      <c r="AB26" s="27">
        <f>[1]Marcadores!P26</f>
        <v>3</v>
      </c>
      <c r="AC26" s="27" t="e">
        <f>(IF(AND(AA26=AB$3,#REF!= AB26),3,IF(AND(AB$3&gt;#REF!, AA26&gt;AB26),2,IF(AND(#REF!&gt;AB$3,AB26&gt;AA26), 2, IF(AND(#REF!=AB$3, AB26=AA26),2,0))))+IF(#REF!=#REF!,3,0)+IF(AND(#REF!=#REF!,#REF!=#REF!,#REF!&lt;&gt;""),5,0))*IF(AB$3="",0,1)</f>
        <v>#REF!</v>
      </c>
      <c r="AD26" s="27"/>
      <c r="AE26" s="27">
        <f>[1]Marcadores!Q26</f>
        <v>2</v>
      </c>
      <c r="AF26" s="27">
        <f>[1]Marcadores!R26</f>
        <v>1</v>
      </c>
      <c r="AG26" s="27">
        <f>[1]Marcadores!T26</f>
        <v>0</v>
      </c>
      <c r="AH26" s="27">
        <f>[1]Marcadores!U26</f>
        <v>0</v>
      </c>
      <c r="AI26" s="27">
        <f>[1]Marcadores!W26</f>
        <v>0</v>
      </c>
      <c r="AJ26" s="27">
        <f>[1]Marcadores!X26</f>
        <v>0</v>
      </c>
      <c r="AK26" s="27">
        <f>[1]Marcadores!Z26</f>
        <v>0</v>
      </c>
      <c r="AL26" s="27">
        <f>[1]Marcadores!AA26</f>
        <v>0</v>
      </c>
      <c r="AM26" s="27">
        <f>[1]Marcadores!AC26</f>
        <v>0</v>
      </c>
      <c r="AN26" s="27">
        <f>[1]Marcadores!AD26</f>
        <v>0</v>
      </c>
      <c r="AO26" s="27">
        <f>[1]Marcadores!AF26</f>
        <v>0</v>
      </c>
      <c r="AP26" s="27">
        <f>[1]Marcadores!AG26</f>
        <v>0</v>
      </c>
      <c r="AQ26" s="27">
        <f>[1]Marcadores!AI26</f>
        <v>0</v>
      </c>
      <c r="AR26" s="27">
        <f>[1]Marcadores!AJ26</f>
        <v>0</v>
      </c>
      <c r="AS26" s="27">
        <f>[1]Marcadores!AL26</f>
        <v>0</v>
      </c>
      <c r="AT26" s="27">
        <f>[1]Marcadores!AM26</f>
        <v>0</v>
      </c>
      <c r="AU26" s="27">
        <f>[1]Marcadores!AO26</f>
        <v>0</v>
      </c>
      <c r="AV26" s="27">
        <f>[1]Marcadores!AP26</f>
        <v>0</v>
      </c>
      <c r="AW26" s="27">
        <f>[1]Marcadores!AR26</f>
        <v>0</v>
      </c>
      <c r="AX26" s="27">
        <f>[1]Marcadores!AS26</f>
        <v>0</v>
      </c>
      <c r="AY26" s="27">
        <f>[1]Marcadores!AU26</f>
        <v>0</v>
      </c>
      <c r="AZ26" s="27">
        <f>[1]Marcadores!AV26</f>
        <v>0</v>
      </c>
      <c r="BA26" s="27">
        <f>[1]Marcadores!AX26</f>
        <v>0</v>
      </c>
      <c r="BB26" s="27">
        <f>[1]Marcadores!AY26</f>
        <v>0</v>
      </c>
      <c r="BC26" s="27">
        <f>[1]Marcadores!BA26</f>
        <v>0</v>
      </c>
      <c r="BD26" s="27">
        <f>[1]Marcadores!BB26</f>
        <v>0</v>
      </c>
      <c r="BE26" s="27">
        <f>[1]Marcadores!BD26</f>
        <v>0</v>
      </c>
      <c r="BS26" s="9">
        <f t="shared" si="14"/>
        <v>0</v>
      </c>
    </row>
    <row r="27" spans="1:71" ht="17.25" thickTop="1" thickBot="1">
      <c r="A27" s="21" t="str">
        <f>Participantes!B25</f>
        <v>Karina</v>
      </c>
      <c r="B27" s="22">
        <f>Participantes!$C25</f>
        <v>3</v>
      </c>
      <c r="C27" s="22">
        <f>Participantes!$D25</f>
        <v>1</v>
      </c>
      <c r="D27" s="24"/>
      <c r="E27" s="22" t="str">
        <f t="shared" si="12"/>
        <v/>
      </c>
      <c r="F27" s="25"/>
      <c r="G27" s="22">
        <f>Participantes!$E25</f>
        <v>1</v>
      </c>
      <c r="H27" s="22">
        <f>Participantes!$F25</f>
        <v>2</v>
      </c>
      <c r="I27" s="22" t="str">
        <f t="shared" si="13"/>
        <v/>
      </c>
      <c r="J27" s="25"/>
      <c r="K27" s="25">
        <f>[1]Marcadores!K27</f>
        <v>4</v>
      </c>
      <c r="L27" s="25">
        <f>[1]Marcadores!L27</f>
        <v>1</v>
      </c>
      <c r="M27" s="25" t="e">
        <f>(IF(AND(K27=K$3, L$3=L27),3,IF(AND(K$3&gt;L$3, K27&gt;L27),2,IF(AND(L$3&gt;K$3,L27&gt;K27), 2, IF(AND(L$3=K$3, L27=K27),2,0))))+IF(#REF!=#REF!,3,0)+IF(AND(#REF!=#REF!,#REF!=#REF!,#REF!&lt;&gt;""),5,0))*IF(K$3="",0,1)</f>
        <v>#REF!</v>
      </c>
      <c r="N27" s="28"/>
      <c r="O27" s="25">
        <f>[1]Marcadores!M27</f>
        <v>4</v>
      </c>
      <c r="P27" s="25">
        <f>[1]Marcadores!N27</f>
        <v>2</v>
      </c>
      <c r="Q27" s="25" t="e">
        <f>(IF(AND(O27=O$3, P$3=P27),3,IF(AND(O$3&gt;P$3, O27&gt;P27),2,IF(AND(P$3&gt;O$3,P27&gt;O27), 2, IF(AND(P$3=O$3, P27=O27),2,0))))+IF(#REF!=#REF!,3,0)+IF(AND(#REF!=#REF!,#REF!=#REF!,#REF!&lt;&gt;""),5,0))*IF(O$3="",0,1)</f>
        <v>#REF!</v>
      </c>
      <c r="R27" s="25"/>
      <c r="S27" s="25" t="str">
        <f>[1]Marcadores!G27</f>
        <v>0</v>
      </c>
      <c r="T27" s="25" t="str">
        <f>[1]Marcadores!H27</f>
        <v>2</v>
      </c>
      <c r="U27" s="25" t="e">
        <f>(IF(AND(S27=S$3, T$3=T27),3,IF(AND(S$3&gt;T$3, S27&gt;T27),2,IF(AND(T$3&gt;S$3,T27&gt;S27), 2, IF(AND(T$3=S$3, T27=S27),2,0))))+IF(#REF!=#REF!,3,0)+IF(AND(#REF!=#REF!,#REF!=#REF!,#REF!&lt;&gt;""),5,0))*IF(S$3="",0,1)</f>
        <v>#REF!</v>
      </c>
      <c r="V27" s="25"/>
      <c r="W27" s="25" t="str">
        <f>[1]Marcadores!I27</f>
        <v>3</v>
      </c>
      <c r="X27" s="25" t="str">
        <f>[1]Marcadores!J27</f>
        <v>0</v>
      </c>
      <c r="Y27" s="25" t="e">
        <f>(IF(AND(W27=W$3, X$3=X27),3,IF(AND(W$3&gt;X$3, W27&gt;X27),2,IF(AND(X$3&gt;W$3,X27&gt;W27), 2, IF(AND(X$3=W$3, X27=W27),2,0))))+IF(#REF!=#REF!,3,0)+IF(AND(#REF!=#REF!,#REF!=#REF!,#REF!&lt;&gt;""),5,0))*IF(W$3="",0,1)</f>
        <v>#REF!</v>
      </c>
      <c r="Z27" s="25"/>
      <c r="AA27" s="25">
        <f>[1]Marcadores!O27</f>
        <v>1</v>
      </c>
      <c r="AB27" s="25">
        <f>[1]Marcadores!P27</f>
        <v>2</v>
      </c>
      <c r="AC27" s="25" t="e">
        <f>(IF(AND(AA27=AB$3,#REF!= AB27),3,IF(AND(AB$3&gt;#REF!, AA27&gt;AB27),2,IF(AND(#REF!&gt;AB$3,AB27&gt;AA27), 2, IF(AND(#REF!=AB$3, AB27=AA27),2,0))))+IF(#REF!=#REF!,3,0)+IF(AND(#REF!=#REF!,#REF!=#REF!,#REF!&lt;&gt;""),5,0))*IF(AB$3="",0,1)</f>
        <v>#REF!</v>
      </c>
      <c r="AD27" s="25"/>
      <c r="AE27" s="25">
        <f>[1]Marcadores!Q27</f>
        <v>1</v>
      </c>
      <c r="AF27" s="25">
        <f>[1]Marcadores!R27</f>
        <v>0</v>
      </c>
      <c r="AG27" s="25">
        <f>[1]Marcadores!T27</f>
        <v>0</v>
      </c>
      <c r="AH27" s="25">
        <f>[1]Marcadores!U27</f>
        <v>0</v>
      </c>
      <c r="AI27" s="25">
        <f>[1]Marcadores!W27</f>
        <v>0</v>
      </c>
      <c r="AJ27" s="25">
        <f>[1]Marcadores!X27</f>
        <v>0</v>
      </c>
      <c r="AK27" s="25">
        <f>[1]Marcadores!Z27</f>
        <v>0</v>
      </c>
      <c r="AL27" s="25">
        <f>[1]Marcadores!AA27</f>
        <v>0</v>
      </c>
      <c r="AM27" s="25">
        <f>[1]Marcadores!AC27</f>
        <v>0</v>
      </c>
      <c r="AN27" s="25">
        <f>[1]Marcadores!AD27</f>
        <v>0</v>
      </c>
      <c r="AO27" s="25">
        <f>[1]Marcadores!AF27</f>
        <v>0</v>
      </c>
      <c r="AP27" s="25">
        <f>[1]Marcadores!AG27</f>
        <v>0</v>
      </c>
      <c r="AQ27" s="25">
        <f>[1]Marcadores!AI27</f>
        <v>0</v>
      </c>
      <c r="AR27" s="25">
        <f>[1]Marcadores!AJ27</f>
        <v>0</v>
      </c>
      <c r="AS27" s="25">
        <f>[1]Marcadores!AL27</f>
        <v>0</v>
      </c>
      <c r="AT27" s="25">
        <f>[1]Marcadores!AM27</f>
        <v>0</v>
      </c>
      <c r="AU27" s="25">
        <f>[1]Marcadores!AO27</f>
        <v>0</v>
      </c>
      <c r="AV27" s="25">
        <f>[1]Marcadores!AP27</f>
        <v>0</v>
      </c>
      <c r="AW27" s="25">
        <f>[1]Marcadores!AR27</f>
        <v>0</v>
      </c>
      <c r="AX27" s="25">
        <f>[1]Marcadores!AS27</f>
        <v>0</v>
      </c>
      <c r="AY27" s="25">
        <f>[1]Marcadores!AU27</f>
        <v>0</v>
      </c>
      <c r="AZ27" s="25">
        <f>[1]Marcadores!AV27</f>
        <v>0</v>
      </c>
      <c r="BA27" s="25">
        <f>[1]Marcadores!AX27</f>
        <v>0</v>
      </c>
      <c r="BB27" s="25">
        <f>[1]Marcadores!AY27</f>
        <v>0</v>
      </c>
      <c r="BC27" s="25">
        <f>[1]Marcadores!BA27</f>
        <v>0</v>
      </c>
      <c r="BD27" s="25">
        <f>[1]Marcadores!BB27</f>
        <v>0</v>
      </c>
      <c r="BE27" s="25">
        <f>[1]Marcadores!BD27</f>
        <v>0</v>
      </c>
      <c r="BS27" s="9">
        <f t="shared" si="14"/>
        <v>0</v>
      </c>
    </row>
    <row r="28" spans="1:71" ht="17.25" thickTop="1" thickBot="1">
      <c r="A28" s="21" t="str">
        <f>Participantes!B26</f>
        <v>Kattia 1</v>
      </c>
      <c r="B28" s="22">
        <f>Participantes!$C26</f>
        <v>2</v>
      </c>
      <c r="C28" s="22">
        <f>Participantes!$D26</f>
        <v>1</v>
      </c>
      <c r="D28" s="26"/>
      <c r="E28" s="22" t="str">
        <f t="shared" si="12"/>
        <v/>
      </c>
      <c r="F28" s="27"/>
      <c r="G28" s="22">
        <f>Participantes!$E26</f>
        <v>2</v>
      </c>
      <c r="H28" s="22">
        <f>Participantes!$F26</f>
        <v>0</v>
      </c>
      <c r="I28" s="22" t="str">
        <f t="shared" si="13"/>
        <v/>
      </c>
      <c r="J28" s="27"/>
      <c r="K28" s="27">
        <f>[1]Marcadores!K28</f>
        <v>3</v>
      </c>
      <c r="L28" s="27">
        <f>[1]Marcadores!L28</f>
        <v>0</v>
      </c>
      <c r="M28" s="27" t="e">
        <f>(IF(AND(K28=K$3, L$3=L28),3,IF(AND(K$3&gt;L$3, K28&gt;L28),2,IF(AND(L$3&gt;K$3,L28&gt;K28), 2, IF(AND(L$3=K$3, L28=K28),2,0))))+IF(#REF!=#REF!,3,0)+IF(AND(#REF!=#REF!,#REF!=#REF!,#REF!&lt;&gt;""),5,0))*IF(K$3="",0,1)</f>
        <v>#REF!</v>
      </c>
      <c r="N28" s="28"/>
      <c r="O28" s="27">
        <f>[1]Marcadores!M28</f>
        <v>3</v>
      </c>
      <c r="P28" s="27">
        <f>[1]Marcadores!N28</f>
        <v>1</v>
      </c>
      <c r="Q28" s="27" t="e">
        <f>(IF(AND(O28=O$3, P$3=P28),3,IF(AND(O$3&gt;P$3, O28&gt;P28),2,IF(AND(P$3&gt;O$3,P28&gt;O28), 2, IF(AND(P$3=O$3, P28=O28),2,0))))+IF(#REF!=#REF!,3,0)+IF(AND(#REF!=#REF!,#REF!=#REF!,#REF!&lt;&gt;""),5,0))*IF(O$3="",0,1)</f>
        <v>#REF!</v>
      </c>
      <c r="R28" s="27"/>
      <c r="S28" s="27" t="str">
        <f>[1]Marcadores!G28</f>
        <v>0</v>
      </c>
      <c r="T28" s="27" t="str">
        <f>[1]Marcadores!H28</f>
        <v>2</v>
      </c>
      <c r="U28" s="27" t="e">
        <f>(IF(AND(S28=S$3, T$3=T28),3,IF(AND(S$3&gt;T$3, S28&gt;T28),2,IF(AND(T$3&gt;S$3,T28&gt;S28), 2, IF(AND(T$3=S$3, T28=S28),2,0))))+IF(#REF!=#REF!,3,0)+IF(AND(#REF!=#REF!,#REF!=#REF!,#REF!&lt;&gt;""),5,0))*IF(S$3="",0,1)</f>
        <v>#REF!</v>
      </c>
      <c r="V28" s="27"/>
      <c r="W28" s="27" t="str">
        <f>[1]Marcadores!I28</f>
        <v>2</v>
      </c>
      <c r="X28" s="27" t="str">
        <f>[1]Marcadores!J28</f>
        <v>1</v>
      </c>
      <c r="Y28" s="27" t="e">
        <f>(IF(AND(W28=W$3, X$3=X28),3,IF(AND(W$3&gt;X$3, W28&gt;X28),2,IF(AND(X$3&gt;W$3,X28&gt;W28), 2, IF(AND(X$3=W$3, X28=W28),2,0))))+IF(#REF!=#REF!,3,0)+IF(AND(#REF!=#REF!,#REF!=#REF!,#REF!&lt;&gt;""),5,0))*IF(W$3="",0,1)</f>
        <v>#REF!</v>
      </c>
      <c r="Z28" s="27"/>
      <c r="AA28" s="27">
        <f>[1]Marcadores!O28</f>
        <v>2</v>
      </c>
      <c r="AB28" s="27">
        <f>[1]Marcadores!P28</f>
        <v>3</v>
      </c>
      <c r="AC28" s="27" t="e">
        <f>(IF(AND(AA28=AB$3,#REF!= AB28),3,IF(AND(AB$3&gt;#REF!, AA28&gt;AB28),2,IF(AND(#REF!&gt;AB$3,AB28&gt;AA28), 2, IF(AND(#REF!=AB$3, AB28=AA28),2,0))))+IF(#REF!=#REF!,3,0)+IF(AND(#REF!=#REF!,#REF!=#REF!,#REF!&lt;&gt;""),5,0))*IF(AB$3="",0,1)</f>
        <v>#REF!</v>
      </c>
      <c r="AD28" s="27"/>
      <c r="AE28" s="27">
        <f>[1]Marcadores!Q28</f>
        <v>2</v>
      </c>
      <c r="AF28" s="27">
        <f>[1]Marcadores!R28</f>
        <v>0</v>
      </c>
      <c r="AG28" s="27">
        <f>[1]Marcadores!T28</f>
        <v>0</v>
      </c>
      <c r="AH28" s="27">
        <f>[1]Marcadores!U28</f>
        <v>0</v>
      </c>
      <c r="AI28" s="27">
        <f>[1]Marcadores!W28</f>
        <v>0</v>
      </c>
      <c r="AJ28" s="27">
        <f>[1]Marcadores!X28</f>
        <v>0</v>
      </c>
      <c r="AK28" s="27">
        <f>[1]Marcadores!Z28</f>
        <v>0</v>
      </c>
      <c r="AL28" s="27">
        <f>[1]Marcadores!AA28</f>
        <v>0</v>
      </c>
      <c r="AM28" s="27">
        <f>[1]Marcadores!AC28</f>
        <v>0</v>
      </c>
      <c r="AN28" s="27">
        <f>[1]Marcadores!AD28</f>
        <v>0</v>
      </c>
      <c r="AO28" s="27">
        <f>[1]Marcadores!AF28</f>
        <v>0</v>
      </c>
      <c r="AP28" s="27">
        <f>[1]Marcadores!AG28</f>
        <v>0</v>
      </c>
      <c r="AQ28" s="27">
        <f>[1]Marcadores!AI28</f>
        <v>0</v>
      </c>
      <c r="AR28" s="27">
        <f>[1]Marcadores!AJ28</f>
        <v>0</v>
      </c>
      <c r="AS28" s="27">
        <f>[1]Marcadores!AL28</f>
        <v>0</v>
      </c>
      <c r="AT28" s="27">
        <f>[1]Marcadores!AM28</f>
        <v>0</v>
      </c>
      <c r="AU28" s="27">
        <f>[1]Marcadores!AO28</f>
        <v>0</v>
      </c>
      <c r="AV28" s="27">
        <f>[1]Marcadores!AP28</f>
        <v>0</v>
      </c>
      <c r="AW28" s="27">
        <f>[1]Marcadores!AR28</f>
        <v>0</v>
      </c>
      <c r="AX28" s="27">
        <f>[1]Marcadores!AS28</f>
        <v>0</v>
      </c>
      <c r="AY28" s="27">
        <f>[1]Marcadores!AU28</f>
        <v>0</v>
      </c>
      <c r="AZ28" s="27">
        <f>[1]Marcadores!AV28</f>
        <v>0</v>
      </c>
      <c r="BA28" s="27">
        <f>[1]Marcadores!AX28</f>
        <v>0</v>
      </c>
      <c r="BB28" s="27">
        <f>[1]Marcadores!AY28</f>
        <v>0</v>
      </c>
      <c r="BC28" s="27">
        <f>[1]Marcadores!BA28</f>
        <v>0</v>
      </c>
      <c r="BD28" s="27">
        <f>[1]Marcadores!BB28</f>
        <v>0</v>
      </c>
      <c r="BE28" s="27">
        <f>[1]Marcadores!BD28</f>
        <v>0</v>
      </c>
      <c r="BS28" s="9">
        <f t="shared" si="14"/>
        <v>0</v>
      </c>
    </row>
    <row r="29" spans="1:71" ht="17.25" thickTop="1" thickBot="1">
      <c r="A29" s="21" t="str">
        <f>Participantes!B27</f>
        <v>Kattia 2</v>
      </c>
      <c r="B29" s="22">
        <f>Participantes!$C27</f>
        <v>2</v>
      </c>
      <c r="C29" s="22">
        <f>Participantes!$D27</f>
        <v>0</v>
      </c>
      <c r="D29" s="24"/>
      <c r="E29" s="22" t="str">
        <f t="shared" si="12"/>
        <v/>
      </c>
      <c r="F29" s="25"/>
      <c r="G29" s="22">
        <f>Participantes!$E27</f>
        <v>1</v>
      </c>
      <c r="H29" s="22">
        <f>Participantes!$F27</f>
        <v>1</v>
      </c>
      <c r="I29" s="22" t="str">
        <f t="shared" si="13"/>
        <v/>
      </c>
      <c r="J29" s="25"/>
      <c r="K29" s="25">
        <f>[1]Marcadores!K29</f>
        <v>2</v>
      </c>
      <c r="L29" s="25">
        <f>[1]Marcadores!L29</f>
        <v>1</v>
      </c>
      <c r="M29" s="25" t="e">
        <f>(IF(AND(K29=K$3, L$3=L29),3,IF(AND(K$3&gt;L$3, K29&gt;L29),2,IF(AND(L$3&gt;K$3,L29&gt;K29), 2, IF(AND(L$3=K$3, L29=K29),2,0))))+IF(#REF!=#REF!,3,0)+IF(AND(#REF!=#REF!,#REF!=#REF!,#REF!&lt;&gt;""),5,0))*IF(K$3="",0,1)</f>
        <v>#REF!</v>
      </c>
      <c r="N29" s="28"/>
      <c r="O29" s="25">
        <f>[1]Marcadores!M29</f>
        <v>1</v>
      </c>
      <c r="P29" s="25">
        <f>[1]Marcadores!N29</f>
        <v>2</v>
      </c>
      <c r="Q29" s="25" t="e">
        <f>(IF(AND(O29=O$3, P$3=P29),3,IF(AND(O$3&gt;P$3, O29&gt;P29),2,IF(AND(P$3&gt;O$3,P29&gt;O29), 2, IF(AND(P$3=O$3, P29=O29),2,0))))+IF(#REF!=#REF!,3,0)+IF(AND(#REF!=#REF!,#REF!=#REF!,#REF!&lt;&gt;""),5,0))*IF(O$3="",0,1)</f>
        <v>#REF!</v>
      </c>
      <c r="R29" s="25"/>
      <c r="S29" s="25" t="str">
        <f>[1]Marcadores!G29</f>
        <v>0</v>
      </c>
      <c r="T29" s="25" t="str">
        <f>[1]Marcadores!H29</f>
        <v>2</v>
      </c>
      <c r="U29" s="25" t="e">
        <f>(IF(AND(S29=S$3, T$3=T29),3,IF(AND(S$3&gt;T$3, S29&gt;T29),2,IF(AND(T$3&gt;S$3,T29&gt;S29), 2, IF(AND(T$3=S$3, T29=S29),2,0))))+IF(#REF!=#REF!,3,0)+IF(AND(#REF!=#REF!,#REF!=#REF!,#REF!&lt;&gt;""),5,0))*IF(S$3="",0,1)</f>
        <v>#REF!</v>
      </c>
      <c r="V29" s="25"/>
      <c r="W29" s="25" t="str">
        <f>[1]Marcadores!I29</f>
        <v>3</v>
      </c>
      <c r="X29" s="25" t="str">
        <f>[1]Marcadores!J29</f>
        <v>1</v>
      </c>
      <c r="Y29" s="25" t="e">
        <f>(IF(AND(W29=W$3, X$3=X29),3,IF(AND(W$3&gt;X$3, W29&gt;X29),2,IF(AND(X$3&gt;W$3,X29&gt;W29), 2, IF(AND(X$3=W$3, X29=W29),2,0))))+IF(#REF!=#REF!,3,0)+IF(AND(#REF!=#REF!,#REF!=#REF!,#REF!&lt;&gt;""),5,0))*IF(W$3="",0,1)</f>
        <v>#REF!</v>
      </c>
      <c r="Z29" s="25"/>
      <c r="AA29" s="25">
        <f>[1]Marcadores!O29</f>
        <v>1</v>
      </c>
      <c r="AB29" s="25">
        <f>[1]Marcadores!P29</f>
        <v>2</v>
      </c>
      <c r="AC29" s="25" t="e">
        <f>(IF(AND(AA29=AB$3,#REF!= AB29),3,IF(AND(AB$3&gt;#REF!, AA29&gt;AB29),2,IF(AND(#REF!&gt;AB$3,AB29&gt;AA29), 2, IF(AND(#REF!=AB$3, AB29=AA29),2,0))))+IF(#REF!=#REF!,3,0)+IF(AND(#REF!=#REF!,#REF!=#REF!,#REF!&lt;&gt;""),5,0))*IF(AB$3="",0,1)</f>
        <v>#REF!</v>
      </c>
      <c r="AD29" s="25"/>
      <c r="AE29" s="25">
        <f>[1]Marcadores!Q29</f>
        <v>1</v>
      </c>
      <c r="AF29" s="25">
        <f>[1]Marcadores!R29</f>
        <v>3</v>
      </c>
      <c r="AG29" s="25">
        <f>[1]Marcadores!T29</f>
        <v>0</v>
      </c>
      <c r="AH29" s="25">
        <f>[1]Marcadores!U29</f>
        <v>0</v>
      </c>
      <c r="AI29" s="25">
        <f>[1]Marcadores!W29</f>
        <v>0</v>
      </c>
      <c r="AJ29" s="25">
        <f>[1]Marcadores!X29</f>
        <v>0</v>
      </c>
      <c r="AK29" s="25">
        <f>[1]Marcadores!Z29</f>
        <v>0</v>
      </c>
      <c r="AL29" s="25">
        <f>[1]Marcadores!AA29</f>
        <v>0</v>
      </c>
      <c r="AM29" s="25">
        <f>[1]Marcadores!AC29</f>
        <v>0</v>
      </c>
      <c r="AN29" s="25">
        <f>[1]Marcadores!AD29</f>
        <v>0</v>
      </c>
      <c r="AO29" s="25">
        <f>[1]Marcadores!AF29</f>
        <v>0</v>
      </c>
      <c r="AP29" s="25">
        <f>[1]Marcadores!AG29</f>
        <v>0</v>
      </c>
      <c r="AQ29" s="25">
        <f>[1]Marcadores!AI29</f>
        <v>0</v>
      </c>
      <c r="AR29" s="25">
        <f>[1]Marcadores!AJ29</f>
        <v>0</v>
      </c>
      <c r="AS29" s="25">
        <f>[1]Marcadores!AL29</f>
        <v>0</v>
      </c>
      <c r="AT29" s="25">
        <f>[1]Marcadores!AM29</f>
        <v>0</v>
      </c>
      <c r="AU29" s="25">
        <f>[1]Marcadores!AO29</f>
        <v>0</v>
      </c>
      <c r="AV29" s="25">
        <f>[1]Marcadores!AP29</f>
        <v>0</v>
      </c>
      <c r="AW29" s="25">
        <f>[1]Marcadores!AR29</f>
        <v>0</v>
      </c>
      <c r="AX29" s="25">
        <f>[1]Marcadores!AS29</f>
        <v>0</v>
      </c>
      <c r="AY29" s="25">
        <f>[1]Marcadores!AU29</f>
        <v>0</v>
      </c>
      <c r="AZ29" s="25">
        <f>[1]Marcadores!AV29</f>
        <v>0</v>
      </c>
      <c r="BA29" s="25">
        <f>[1]Marcadores!AX29</f>
        <v>0</v>
      </c>
      <c r="BB29" s="25">
        <f>[1]Marcadores!AY29</f>
        <v>0</v>
      </c>
      <c r="BC29" s="25">
        <f>[1]Marcadores!BA29</f>
        <v>0</v>
      </c>
      <c r="BD29" s="25">
        <f>[1]Marcadores!BB29</f>
        <v>0</v>
      </c>
      <c r="BE29" s="25">
        <f>[1]Marcadores!BD29</f>
        <v>0</v>
      </c>
      <c r="BS29" s="9">
        <f t="shared" si="14"/>
        <v>0</v>
      </c>
    </row>
    <row r="30" spans="1:71" ht="17.25" thickTop="1" thickBot="1">
      <c r="A30" s="21" t="str">
        <f>Participantes!B28</f>
        <v>Kevin</v>
      </c>
      <c r="B30" s="22">
        <f>Participantes!$C28</f>
        <v>2</v>
      </c>
      <c r="C30" s="22">
        <f>Participantes!$D28</f>
        <v>0</v>
      </c>
      <c r="D30" s="26"/>
      <c r="E30" s="22" t="str">
        <f t="shared" si="12"/>
        <v/>
      </c>
      <c r="F30" s="27"/>
      <c r="G30" s="22">
        <f>Participantes!$E28</f>
        <v>1</v>
      </c>
      <c r="H30" s="22">
        <f>Participantes!$F28</f>
        <v>1</v>
      </c>
      <c r="I30" s="22" t="str">
        <f t="shared" si="13"/>
        <v/>
      </c>
      <c r="J30" s="27"/>
      <c r="K30" s="27">
        <f>[1]Marcadores!K30</f>
        <v>2</v>
      </c>
      <c r="L30" s="27">
        <f>[1]Marcadores!L30</f>
        <v>1</v>
      </c>
      <c r="M30" s="27" t="e">
        <f>(IF(AND(K30=K$3, L$3=L30),3,IF(AND(K$3&gt;L$3, K30&gt;L30),2,IF(AND(L$3&gt;K$3,L30&gt;K30), 2, IF(AND(L$3=K$3, L30=K30),2,0))))+IF(#REF!=#REF!,3,0)+IF(AND(#REF!=#REF!,#REF!=#REF!,#REF!&lt;&gt;""),5,0))*IF(K$3="",0,1)</f>
        <v>#REF!</v>
      </c>
      <c r="N30" s="28"/>
      <c r="O30" s="27">
        <f>[1]Marcadores!M30</f>
        <v>2</v>
      </c>
      <c r="P30" s="27">
        <f>[1]Marcadores!N30</f>
        <v>0</v>
      </c>
      <c r="Q30" s="27" t="e">
        <f>(IF(AND(O30=O$3, P$3=P30),3,IF(AND(O$3&gt;P$3, O30&gt;P30),2,IF(AND(P$3&gt;O$3,P30&gt;O30), 2, IF(AND(P$3=O$3, P30=O30),2,0))))+IF(#REF!=#REF!,3,0)+IF(AND(#REF!=#REF!,#REF!=#REF!,#REF!&lt;&gt;""),5,0))*IF(O$3="",0,1)</f>
        <v>#REF!</v>
      </c>
      <c r="R30" s="27"/>
      <c r="S30" s="27" t="str">
        <f>[1]Marcadores!G30</f>
        <v>2</v>
      </c>
      <c r="T30" s="27" t="str">
        <f>[1]Marcadores!H30</f>
        <v>1</v>
      </c>
      <c r="U30" s="27" t="e">
        <f>(IF(AND(S30=S$3, T$3=T30),3,IF(AND(S$3&gt;T$3, S30&gt;T30),2,IF(AND(T$3&gt;S$3,T30&gt;S30), 2, IF(AND(T$3=S$3, T30=S30),2,0))))+IF(#REF!=#REF!,3,0)+IF(AND(#REF!=#REF!,#REF!=#REF!,#REF!&lt;&gt;""),5,0))*IF(S$3="",0,1)</f>
        <v>#REF!</v>
      </c>
      <c r="V30" s="27"/>
      <c r="W30" s="27" t="str">
        <f>[1]Marcadores!I30</f>
        <v>2</v>
      </c>
      <c r="X30" s="27" t="str">
        <f>[1]Marcadores!J30</f>
        <v>0</v>
      </c>
      <c r="Y30" s="27" t="e">
        <f>(IF(AND(W30=W$3, X$3=X30),3,IF(AND(W$3&gt;X$3, W30&gt;X30),2,IF(AND(X$3&gt;W$3,X30&gt;W30), 2, IF(AND(X$3=W$3, X30=W30),2,0))))+IF(#REF!=#REF!,3,0)+IF(AND(#REF!=#REF!,#REF!=#REF!,#REF!&lt;&gt;""),5,0))*IF(W$3="",0,1)</f>
        <v>#REF!</v>
      </c>
      <c r="Z30" s="27"/>
      <c r="AA30" s="27">
        <f>[1]Marcadores!O30</f>
        <v>0</v>
      </c>
      <c r="AB30" s="27">
        <f>[1]Marcadores!P30</f>
        <v>2</v>
      </c>
      <c r="AC30" s="27" t="e">
        <f>(IF(AND(AA30=AB$3,#REF!= AB30),3,IF(AND(AB$3&gt;#REF!, AA30&gt;AB30),2,IF(AND(#REF!&gt;AB$3,AB30&gt;AA30), 2, IF(AND(#REF!=AB$3, AB30=AA30),2,0))))+IF(#REF!=#REF!,3,0)+IF(AND(#REF!=#REF!,#REF!=#REF!,#REF!&lt;&gt;""),5,0))*IF(AB$3="",0,1)</f>
        <v>#REF!</v>
      </c>
      <c r="AD30" s="27"/>
      <c r="AE30" s="27">
        <f>[1]Marcadores!Q30</f>
        <v>2</v>
      </c>
      <c r="AF30" s="27">
        <f>[1]Marcadores!R30</f>
        <v>1</v>
      </c>
      <c r="AG30" s="27">
        <f>[1]Marcadores!T30</f>
        <v>0</v>
      </c>
      <c r="AH30" s="27">
        <f>[1]Marcadores!U30</f>
        <v>0</v>
      </c>
      <c r="AI30" s="27">
        <f>[1]Marcadores!W30</f>
        <v>0</v>
      </c>
      <c r="AJ30" s="27">
        <f>[1]Marcadores!X30</f>
        <v>0</v>
      </c>
      <c r="AK30" s="27">
        <f>[1]Marcadores!Z30</f>
        <v>0</v>
      </c>
      <c r="AL30" s="27">
        <f>[1]Marcadores!AA30</f>
        <v>0</v>
      </c>
      <c r="AM30" s="27">
        <f>[1]Marcadores!AC30</f>
        <v>0</v>
      </c>
      <c r="AN30" s="27">
        <f>[1]Marcadores!AD30</f>
        <v>0</v>
      </c>
      <c r="AO30" s="27">
        <f>[1]Marcadores!AF30</f>
        <v>0</v>
      </c>
      <c r="AP30" s="27">
        <f>[1]Marcadores!AG30</f>
        <v>0</v>
      </c>
      <c r="AQ30" s="27">
        <f>[1]Marcadores!AI30</f>
        <v>0</v>
      </c>
      <c r="AR30" s="27">
        <f>[1]Marcadores!AJ30</f>
        <v>0</v>
      </c>
      <c r="AS30" s="27">
        <f>[1]Marcadores!AL30</f>
        <v>0</v>
      </c>
      <c r="AT30" s="27">
        <f>[1]Marcadores!AM30</f>
        <v>0</v>
      </c>
      <c r="AU30" s="27">
        <f>[1]Marcadores!AO30</f>
        <v>0</v>
      </c>
      <c r="AV30" s="27">
        <f>[1]Marcadores!AP30</f>
        <v>0</v>
      </c>
      <c r="AW30" s="27">
        <f>[1]Marcadores!AR30</f>
        <v>0</v>
      </c>
      <c r="AX30" s="27">
        <f>[1]Marcadores!AS30</f>
        <v>0</v>
      </c>
      <c r="AY30" s="27">
        <f>[1]Marcadores!AU30</f>
        <v>0</v>
      </c>
      <c r="AZ30" s="27">
        <f>[1]Marcadores!AV30</f>
        <v>0</v>
      </c>
      <c r="BA30" s="27">
        <f>[1]Marcadores!AX30</f>
        <v>0</v>
      </c>
      <c r="BB30" s="27">
        <f>[1]Marcadores!AY30</f>
        <v>0</v>
      </c>
      <c r="BC30" s="27">
        <f>[1]Marcadores!BA30</f>
        <v>0</v>
      </c>
      <c r="BD30" s="27">
        <f>[1]Marcadores!BB30</f>
        <v>0</v>
      </c>
      <c r="BE30" s="27">
        <f>[1]Marcadores!BD30</f>
        <v>0</v>
      </c>
      <c r="BS30" s="9">
        <f t="shared" si="14"/>
        <v>0</v>
      </c>
    </row>
    <row r="31" spans="1:71" ht="17.25" thickTop="1" thickBot="1">
      <c r="A31" s="21" t="str">
        <f>Participantes!B29</f>
        <v>Lizka</v>
      </c>
      <c r="B31" s="22">
        <f>Participantes!$C29</f>
        <v>2</v>
      </c>
      <c r="C31" s="22">
        <f>Participantes!$D29</f>
        <v>0</v>
      </c>
      <c r="D31" s="24"/>
      <c r="E31" s="22" t="str">
        <f t="shared" si="12"/>
        <v/>
      </c>
      <c r="F31" s="25"/>
      <c r="G31" s="22">
        <f>Participantes!$E29</f>
        <v>1</v>
      </c>
      <c r="H31" s="22">
        <f>Participantes!$F29</f>
        <v>1</v>
      </c>
      <c r="I31" s="22" t="str">
        <f t="shared" si="13"/>
        <v/>
      </c>
      <c r="J31" s="25"/>
      <c r="K31" s="25">
        <f>[1]Marcadores!K31</f>
        <v>2</v>
      </c>
      <c r="L31" s="25">
        <f>[1]Marcadores!L31</f>
        <v>0</v>
      </c>
      <c r="M31" s="25" t="e">
        <f>(IF(AND(K31=K$3, L$3=L31),3,IF(AND(K$3&gt;L$3, K31&gt;L31),2,IF(AND(L$3&gt;K$3,L31&gt;K31), 2, IF(AND(L$3=K$3, L31=K31),2,0))))+IF(#REF!=#REF!,3,0)+IF(AND(#REF!=#REF!,#REF!=#REF!,#REF!&lt;&gt;""),5,0))*IF(K$3="",0,1)</f>
        <v>#REF!</v>
      </c>
      <c r="N31" s="28"/>
      <c r="O31" s="25">
        <f>[1]Marcadores!M31</f>
        <v>3</v>
      </c>
      <c r="P31" s="25">
        <f>[1]Marcadores!N31</f>
        <v>1</v>
      </c>
      <c r="Q31" s="25" t="e">
        <f>(IF(AND(O31=O$3, P$3=P31),3,IF(AND(O$3&gt;P$3, O31&gt;P31),2,IF(AND(P$3&gt;O$3,P31&gt;O31), 2, IF(AND(P$3=O$3, P31=O31),2,0))))+IF(#REF!=#REF!,3,0)+IF(AND(#REF!=#REF!,#REF!=#REF!,#REF!&lt;&gt;""),5,0))*IF(O$3="",0,1)</f>
        <v>#REF!</v>
      </c>
      <c r="R31" s="25"/>
      <c r="S31" s="25" t="str">
        <f>[1]Marcadores!G31</f>
        <v>0</v>
      </c>
      <c r="T31" s="25" t="str">
        <f>[1]Marcadores!H31</f>
        <v>1</v>
      </c>
      <c r="U31" s="25" t="e">
        <f>(IF(AND(S31=S$3, T$3=T31),3,IF(AND(S$3&gt;T$3, S31&gt;T31),2,IF(AND(T$3&gt;S$3,T31&gt;S31), 2, IF(AND(T$3=S$3, T31=S31),2,0))))+IF(#REF!=#REF!,3,0)+IF(AND(#REF!=#REF!,#REF!=#REF!,#REF!&lt;&gt;""),5,0))*IF(S$3="",0,1)</f>
        <v>#REF!</v>
      </c>
      <c r="V31" s="25"/>
      <c r="W31" s="25" t="str">
        <f>[1]Marcadores!I31</f>
        <v>2</v>
      </c>
      <c r="X31" s="25" t="str">
        <f>[1]Marcadores!J31</f>
        <v>1</v>
      </c>
      <c r="Y31" s="25" t="e">
        <f>(IF(AND(W31=W$3, X$3=X31),3,IF(AND(W$3&gt;X$3, W31&gt;X31),2,IF(AND(X$3&gt;W$3,X31&gt;W31), 2, IF(AND(X$3=W$3, X31=W31),2,0))))+IF(#REF!=#REF!,3,0)+IF(AND(#REF!=#REF!,#REF!=#REF!,#REF!&lt;&gt;""),5,0))*IF(W$3="",0,1)</f>
        <v>#REF!</v>
      </c>
      <c r="Z31" s="25"/>
      <c r="AA31" s="25">
        <f>[1]Marcadores!O31</f>
        <v>2</v>
      </c>
      <c r="AB31" s="25">
        <f>[1]Marcadores!P31</f>
        <v>1</v>
      </c>
      <c r="AC31" s="25" t="e">
        <f>(IF(AND(AA31=AB$3,#REF!= AB31),3,IF(AND(AB$3&gt;#REF!, AA31&gt;AB31),2,IF(AND(#REF!&gt;AB$3,AB31&gt;AA31), 2, IF(AND(#REF!=AB$3, AB31=AA31),2,0))))+IF(#REF!=#REF!,3,0)+IF(AND(#REF!=#REF!,#REF!=#REF!,#REF!&lt;&gt;""),5,0))*IF(AB$3="",0,1)</f>
        <v>#REF!</v>
      </c>
      <c r="AD31" s="25"/>
      <c r="AE31" s="25">
        <f>[1]Marcadores!Q31</f>
        <v>2</v>
      </c>
      <c r="AF31" s="25">
        <f>[1]Marcadores!R31</f>
        <v>0</v>
      </c>
      <c r="AG31" s="25">
        <f>[1]Marcadores!T31</f>
        <v>0</v>
      </c>
      <c r="AH31" s="25">
        <f>[1]Marcadores!U31</f>
        <v>0</v>
      </c>
      <c r="AI31" s="25">
        <f>[1]Marcadores!W31</f>
        <v>0</v>
      </c>
      <c r="AJ31" s="25">
        <f>[1]Marcadores!X31</f>
        <v>0</v>
      </c>
      <c r="AK31" s="25">
        <f>[1]Marcadores!Z31</f>
        <v>0</v>
      </c>
      <c r="AL31" s="25">
        <f>[1]Marcadores!AA31</f>
        <v>0</v>
      </c>
      <c r="AM31" s="25">
        <f>[1]Marcadores!AC31</f>
        <v>0</v>
      </c>
      <c r="AN31" s="25">
        <f>[1]Marcadores!AD31</f>
        <v>0</v>
      </c>
      <c r="AO31" s="25">
        <f>[1]Marcadores!AF31</f>
        <v>0</v>
      </c>
      <c r="AP31" s="25">
        <f>[1]Marcadores!AG31</f>
        <v>0</v>
      </c>
      <c r="AQ31" s="25">
        <f>[1]Marcadores!AI31</f>
        <v>0</v>
      </c>
      <c r="AR31" s="25">
        <f>[1]Marcadores!AJ31</f>
        <v>0</v>
      </c>
      <c r="AS31" s="25">
        <f>[1]Marcadores!AL31</f>
        <v>0</v>
      </c>
      <c r="AT31" s="25">
        <f>[1]Marcadores!AM31</f>
        <v>0</v>
      </c>
      <c r="AU31" s="25">
        <f>[1]Marcadores!AO31</f>
        <v>0</v>
      </c>
      <c r="AV31" s="25">
        <f>[1]Marcadores!AP31</f>
        <v>0</v>
      </c>
      <c r="AW31" s="25">
        <f>[1]Marcadores!AR31</f>
        <v>0</v>
      </c>
      <c r="AX31" s="25">
        <f>[1]Marcadores!AS31</f>
        <v>0</v>
      </c>
      <c r="AY31" s="25">
        <f>[1]Marcadores!AU31</f>
        <v>0</v>
      </c>
      <c r="AZ31" s="25">
        <f>[1]Marcadores!AV31</f>
        <v>0</v>
      </c>
      <c r="BA31" s="25">
        <f>[1]Marcadores!AX31</f>
        <v>0</v>
      </c>
      <c r="BB31" s="25">
        <f>[1]Marcadores!AY31</f>
        <v>0</v>
      </c>
      <c r="BC31" s="25">
        <f>[1]Marcadores!BA31</f>
        <v>0</v>
      </c>
      <c r="BD31" s="25">
        <f>[1]Marcadores!BB31</f>
        <v>0</v>
      </c>
      <c r="BE31" s="25">
        <f>[1]Marcadores!BD31</f>
        <v>0</v>
      </c>
      <c r="BS31" s="9">
        <f t="shared" si="14"/>
        <v>0</v>
      </c>
    </row>
    <row r="32" spans="1:71" ht="17.25" thickTop="1" thickBot="1">
      <c r="A32" s="21" t="str">
        <f>Participantes!B30</f>
        <v>Luis Peña</v>
      </c>
      <c r="B32" s="22">
        <f>Participantes!$C30</f>
        <v>2</v>
      </c>
      <c r="C32" s="22">
        <f>Participantes!$D30</f>
        <v>0</v>
      </c>
      <c r="D32" s="26"/>
      <c r="E32" s="22" t="str">
        <f t="shared" si="12"/>
        <v/>
      </c>
      <c r="F32" s="27"/>
      <c r="G32" s="22">
        <f>Participantes!$E30</f>
        <v>2</v>
      </c>
      <c r="H32" s="22">
        <f>Participantes!$F30</f>
        <v>1</v>
      </c>
      <c r="I32" s="22" t="str">
        <f t="shared" si="13"/>
        <v/>
      </c>
      <c r="J32" s="27"/>
      <c r="K32" s="27">
        <f>[1]Marcadores!K32</f>
        <v>2</v>
      </c>
      <c r="L32" s="27">
        <f>[1]Marcadores!L32</f>
        <v>0</v>
      </c>
      <c r="M32" s="27" t="e">
        <f>(IF(AND(K32=K$3, L$3=L32),3,IF(AND(K$3&gt;L$3, K32&gt;L32),2,IF(AND(L$3&gt;K$3,L32&gt;K32), 2, IF(AND(L$3=K$3, L32=K32),2,0))))+IF(#REF!=#REF!,3,0)+IF(AND(#REF!=#REF!,#REF!=#REF!,#REF!&lt;&gt;""),5,0))*IF(K$3="",0,1)</f>
        <v>#REF!</v>
      </c>
      <c r="N32" s="28"/>
      <c r="O32" s="27">
        <f>[1]Marcadores!M32</f>
        <v>2</v>
      </c>
      <c r="P32" s="27">
        <f>[1]Marcadores!N32</f>
        <v>0</v>
      </c>
      <c r="Q32" s="27" t="e">
        <f>(IF(AND(O32=O$3, P$3=P32),3,IF(AND(O$3&gt;P$3, O32&gt;P32),2,IF(AND(P$3&gt;O$3,P32&gt;O32), 2, IF(AND(P$3=O$3, P32=O32),2,0))))+IF(#REF!=#REF!,3,0)+IF(AND(#REF!=#REF!,#REF!=#REF!,#REF!&lt;&gt;""),5,0))*IF(O$3="",0,1)</f>
        <v>#REF!</v>
      </c>
      <c r="R32" s="27"/>
      <c r="S32" s="27" t="str">
        <f>[1]Marcadores!G32</f>
        <v>1</v>
      </c>
      <c r="T32" s="27" t="str">
        <f>[1]Marcadores!H32</f>
        <v>1</v>
      </c>
      <c r="U32" s="27" t="e">
        <f>(IF(AND(S32=S$3, T$3=T32),3,IF(AND(S$3&gt;T$3, S32&gt;T32),2,IF(AND(T$3&gt;S$3,T32&gt;S32), 2, IF(AND(T$3=S$3, T32=S32),2,0))))+IF(#REF!=#REF!,3,0)+IF(AND(#REF!=#REF!,#REF!=#REF!,#REF!&lt;&gt;""),5,0))*IF(S$3="",0,1)</f>
        <v>#REF!</v>
      </c>
      <c r="V32" s="27"/>
      <c r="W32" s="27" t="str">
        <f>[1]Marcadores!I32</f>
        <v>2</v>
      </c>
      <c r="X32" s="27" t="str">
        <f>[1]Marcadores!J32</f>
        <v>0</v>
      </c>
      <c r="Y32" s="27" t="e">
        <f>(IF(AND(W32=W$3, X$3=X32),3,IF(AND(W$3&gt;X$3, W32&gt;X32),2,IF(AND(X$3&gt;W$3,X32&gt;W32), 2, IF(AND(X$3=W$3, X32=W32),2,0))))+IF(#REF!=#REF!,3,0)+IF(AND(#REF!=#REF!,#REF!=#REF!,#REF!&lt;&gt;""),5,0))*IF(W$3="",0,1)</f>
        <v>#REF!</v>
      </c>
      <c r="Z32" s="27"/>
      <c r="AA32" s="27">
        <f>[1]Marcadores!O32</f>
        <v>1</v>
      </c>
      <c r="AB32" s="27">
        <f>[1]Marcadores!P32</f>
        <v>0</v>
      </c>
      <c r="AC32" s="27" t="e">
        <f>(IF(AND(AA32=AB$3,#REF!= AB32),3,IF(AND(AB$3&gt;#REF!, AA32&gt;AB32),2,IF(AND(#REF!&gt;AB$3,AB32&gt;AA32), 2, IF(AND(#REF!=AB$3, AB32=AA32),2,0))))+IF(#REF!=#REF!,3,0)+IF(AND(#REF!=#REF!,#REF!=#REF!,#REF!&lt;&gt;""),5,0))*IF(AB$3="",0,1)</f>
        <v>#REF!</v>
      </c>
      <c r="AD32" s="27"/>
      <c r="AE32" s="27">
        <f>[1]Marcadores!Q32</f>
        <v>0</v>
      </c>
      <c r="AF32" s="27">
        <f>[1]Marcadores!R32</f>
        <v>0</v>
      </c>
      <c r="AG32" s="27">
        <f>[1]Marcadores!T32</f>
        <v>0</v>
      </c>
      <c r="AH32" s="27">
        <f>[1]Marcadores!U32</f>
        <v>0</v>
      </c>
      <c r="AI32" s="27">
        <f>[1]Marcadores!W32</f>
        <v>0</v>
      </c>
      <c r="AJ32" s="27">
        <f>[1]Marcadores!X32</f>
        <v>0</v>
      </c>
      <c r="AK32" s="27">
        <f>[1]Marcadores!Z32</f>
        <v>0</v>
      </c>
      <c r="AL32" s="27">
        <f>[1]Marcadores!AA32</f>
        <v>0</v>
      </c>
      <c r="AM32" s="27">
        <f>[1]Marcadores!AC32</f>
        <v>0</v>
      </c>
      <c r="AN32" s="27">
        <f>[1]Marcadores!AD32</f>
        <v>0</v>
      </c>
      <c r="AO32" s="27">
        <f>[1]Marcadores!AF32</f>
        <v>0</v>
      </c>
      <c r="AP32" s="27">
        <f>[1]Marcadores!AG32</f>
        <v>0</v>
      </c>
      <c r="AQ32" s="27">
        <f>[1]Marcadores!AI32</f>
        <v>0</v>
      </c>
      <c r="AR32" s="27">
        <f>[1]Marcadores!AJ32</f>
        <v>0</v>
      </c>
      <c r="AS32" s="27">
        <f>[1]Marcadores!AL32</f>
        <v>0</v>
      </c>
      <c r="AT32" s="27">
        <f>[1]Marcadores!AM32</f>
        <v>0</v>
      </c>
      <c r="AU32" s="27">
        <f>[1]Marcadores!AO32</f>
        <v>0</v>
      </c>
      <c r="AV32" s="27">
        <f>[1]Marcadores!AP32</f>
        <v>0</v>
      </c>
      <c r="AW32" s="27">
        <f>[1]Marcadores!AR32</f>
        <v>0</v>
      </c>
      <c r="AX32" s="27">
        <f>[1]Marcadores!AS32</f>
        <v>0</v>
      </c>
      <c r="AY32" s="27">
        <f>[1]Marcadores!AU32</f>
        <v>0</v>
      </c>
      <c r="AZ32" s="27">
        <f>[1]Marcadores!AV32</f>
        <v>0</v>
      </c>
      <c r="BA32" s="27">
        <f>[1]Marcadores!AX32</f>
        <v>0</v>
      </c>
      <c r="BB32" s="27">
        <f>[1]Marcadores!AY32</f>
        <v>0</v>
      </c>
      <c r="BC32" s="27">
        <f>[1]Marcadores!BA32</f>
        <v>0</v>
      </c>
      <c r="BD32" s="27">
        <f>[1]Marcadores!BB32</f>
        <v>0</v>
      </c>
      <c r="BE32" s="27">
        <f>[1]Marcadores!BD32</f>
        <v>0</v>
      </c>
      <c r="BS32" s="9">
        <f t="shared" si="14"/>
        <v>0</v>
      </c>
    </row>
    <row r="33" spans="1:71" ht="17.25" thickTop="1" thickBot="1">
      <c r="A33" s="21" t="str">
        <f>Participantes!B31</f>
        <v>Marco R.</v>
      </c>
      <c r="B33" s="22">
        <f>Participantes!$C31</f>
        <v>2</v>
      </c>
      <c r="C33" s="22">
        <f>Participantes!$D31</f>
        <v>1</v>
      </c>
      <c r="D33" s="24"/>
      <c r="E33" s="22" t="str">
        <f t="shared" si="12"/>
        <v/>
      </c>
      <c r="F33" s="25"/>
      <c r="G33" s="22">
        <f>Participantes!$E31</f>
        <v>1</v>
      </c>
      <c r="H33" s="22">
        <f>Participantes!$F31</f>
        <v>1</v>
      </c>
      <c r="I33" s="22" t="str">
        <f t="shared" si="13"/>
        <v/>
      </c>
      <c r="J33" s="25"/>
      <c r="K33" s="25">
        <f>[1]Marcadores!K33</f>
        <v>2</v>
      </c>
      <c r="L33" s="25">
        <f>[1]Marcadores!L33</f>
        <v>0</v>
      </c>
      <c r="M33" s="25" t="e">
        <f>(IF(AND(K33=K$3, L$3=L33),3,IF(AND(K$3&gt;L$3, K33&gt;L33),2,IF(AND(L$3&gt;K$3,L33&gt;K33), 2, IF(AND(L$3=K$3, L33=K33),2,0))))+IF(#REF!=#REF!,3,0)+IF(AND(#REF!=#REF!,#REF!=#REF!,#REF!&lt;&gt;""),5,0))*IF(K$3="",0,1)</f>
        <v>#REF!</v>
      </c>
      <c r="N33" s="28"/>
      <c r="O33" s="25">
        <f>[1]Marcadores!M33</f>
        <v>2</v>
      </c>
      <c r="P33" s="25">
        <f>[1]Marcadores!N33</f>
        <v>1</v>
      </c>
      <c r="Q33" s="25" t="e">
        <f>(IF(AND(O33=O$3, P$3=P33),3,IF(AND(O$3&gt;P$3, O33&gt;P33),2,IF(AND(P$3&gt;O$3,P33&gt;O33), 2, IF(AND(P$3=O$3, P33=O33),2,0))))+IF(#REF!=#REF!,3,0)+IF(AND(#REF!=#REF!,#REF!=#REF!,#REF!&lt;&gt;""),5,0))*IF(O$3="",0,1)</f>
        <v>#REF!</v>
      </c>
      <c r="R33" s="25"/>
      <c r="S33" s="25" t="str">
        <f>[1]Marcadores!G33</f>
        <v>2</v>
      </c>
      <c r="T33" s="25" t="str">
        <f>[1]Marcadores!H33</f>
        <v>1</v>
      </c>
      <c r="U33" s="25" t="e">
        <f>(IF(AND(S33=S$3, T$3=T33),3,IF(AND(S$3&gt;T$3, S33&gt;T33),2,IF(AND(T$3&gt;S$3,T33&gt;S33), 2, IF(AND(T$3=S$3, T33=S33),2,0))))+IF(#REF!=#REF!,3,0)+IF(AND(#REF!=#REF!,#REF!=#REF!,#REF!&lt;&gt;""),5,0))*IF(S$3="",0,1)</f>
        <v>#REF!</v>
      </c>
      <c r="V33" s="25"/>
      <c r="W33" s="25" t="str">
        <f>[1]Marcadores!I33</f>
        <v>2</v>
      </c>
      <c r="X33" s="25" t="str">
        <f>[1]Marcadores!J33</f>
        <v>0</v>
      </c>
      <c r="Y33" s="25" t="e">
        <f>(IF(AND(W33=W$3, X$3=X33),3,IF(AND(W$3&gt;X$3, W33&gt;X33),2,IF(AND(X$3&gt;W$3,X33&gt;W33), 2, IF(AND(X$3=W$3, X33=W33),2,0))))+IF(#REF!=#REF!,3,0)+IF(AND(#REF!=#REF!,#REF!=#REF!,#REF!&lt;&gt;""),5,0))*IF(W$3="",0,1)</f>
        <v>#REF!</v>
      </c>
      <c r="Z33" s="25"/>
      <c r="AA33" s="25">
        <f>[1]Marcadores!O33</f>
        <v>1</v>
      </c>
      <c r="AB33" s="25">
        <f>[1]Marcadores!P33</f>
        <v>1</v>
      </c>
      <c r="AC33" s="25" t="e">
        <f>(IF(AND(AA33=AB$3,#REF!= AB33),3,IF(AND(AB$3&gt;#REF!, AA33&gt;AB33),2,IF(AND(#REF!&gt;AB$3,AB33&gt;AA33), 2, IF(AND(#REF!=AB$3, AB33=AA33),2,0))))+IF(#REF!=#REF!,3,0)+IF(AND(#REF!=#REF!,#REF!=#REF!,#REF!&lt;&gt;""),5,0))*IF(AB$3="",0,1)</f>
        <v>#REF!</v>
      </c>
      <c r="AD33" s="25"/>
      <c r="AE33" s="25">
        <f>[1]Marcadores!Q33</f>
        <v>2</v>
      </c>
      <c r="AF33" s="25">
        <f>[1]Marcadores!R33</f>
        <v>0</v>
      </c>
      <c r="AG33" s="25">
        <f>[1]Marcadores!T33</f>
        <v>0</v>
      </c>
      <c r="AH33" s="25">
        <f>[1]Marcadores!U33</f>
        <v>0</v>
      </c>
      <c r="AI33" s="25">
        <f>[1]Marcadores!W33</f>
        <v>0</v>
      </c>
      <c r="AJ33" s="25">
        <f>[1]Marcadores!X33</f>
        <v>0</v>
      </c>
      <c r="AK33" s="25">
        <f>[1]Marcadores!Z33</f>
        <v>0</v>
      </c>
      <c r="AL33" s="25">
        <f>[1]Marcadores!AA33</f>
        <v>0</v>
      </c>
      <c r="AM33" s="25">
        <f>[1]Marcadores!AC33</f>
        <v>0</v>
      </c>
      <c r="AN33" s="25">
        <f>[1]Marcadores!AD33</f>
        <v>0</v>
      </c>
      <c r="AO33" s="25">
        <f>[1]Marcadores!AF33</f>
        <v>0</v>
      </c>
      <c r="AP33" s="25">
        <f>[1]Marcadores!AG33</f>
        <v>0</v>
      </c>
      <c r="AQ33" s="25">
        <f>[1]Marcadores!AI33</f>
        <v>0</v>
      </c>
      <c r="AR33" s="25">
        <f>[1]Marcadores!AJ33</f>
        <v>0</v>
      </c>
      <c r="AS33" s="25">
        <f>[1]Marcadores!AL33</f>
        <v>0</v>
      </c>
      <c r="AT33" s="25">
        <f>[1]Marcadores!AM33</f>
        <v>0</v>
      </c>
      <c r="AU33" s="25">
        <f>[1]Marcadores!AO33</f>
        <v>0</v>
      </c>
      <c r="AV33" s="25">
        <f>[1]Marcadores!AP33</f>
        <v>0</v>
      </c>
      <c r="AW33" s="25">
        <f>[1]Marcadores!AR33</f>
        <v>0</v>
      </c>
      <c r="AX33" s="25">
        <f>[1]Marcadores!AS33</f>
        <v>0</v>
      </c>
      <c r="AY33" s="25">
        <f>[1]Marcadores!AU33</f>
        <v>0</v>
      </c>
      <c r="AZ33" s="25">
        <f>[1]Marcadores!AV33</f>
        <v>0</v>
      </c>
      <c r="BA33" s="25">
        <f>[1]Marcadores!AX33</f>
        <v>0</v>
      </c>
      <c r="BB33" s="25">
        <f>[1]Marcadores!AY33</f>
        <v>0</v>
      </c>
      <c r="BC33" s="25">
        <f>[1]Marcadores!BA33</f>
        <v>0</v>
      </c>
      <c r="BD33" s="25">
        <f>[1]Marcadores!BB33</f>
        <v>0</v>
      </c>
      <c r="BE33" s="25">
        <f>[1]Marcadores!BD33</f>
        <v>0</v>
      </c>
      <c r="BS33" s="9">
        <f t="shared" si="14"/>
        <v>0</v>
      </c>
    </row>
    <row r="34" spans="1:71" ht="17.25" thickTop="1" thickBot="1">
      <c r="A34" s="21" t="str">
        <f>Participantes!B32</f>
        <v>Maricela</v>
      </c>
      <c r="B34" s="22">
        <f>Participantes!$C32</f>
        <v>3</v>
      </c>
      <c r="C34" s="22">
        <f>Participantes!$D32</f>
        <v>1</v>
      </c>
      <c r="D34" s="26"/>
      <c r="E34" s="22" t="str">
        <f t="shared" si="12"/>
        <v/>
      </c>
      <c r="F34" s="27"/>
      <c r="G34" s="22">
        <f>Participantes!$E32</f>
        <v>2</v>
      </c>
      <c r="H34" s="22">
        <f>Participantes!$F32</f>
        <v>2</v>
      </c>
      <c r="I34" s="22" t="str">
        <f t="shared" si="13"/>
        <v/>
      </c>
      <c r="J34" s="27"/>
      <c r="K34" s="27">
        <f>[1]Marcadores!K34</f>
        <v>2</v>
      </c>
      <c r="L34" s="27">
        <f>[1]Marcadores!L34</f>
        <v>0</v>
      </c>
      <c r="M34" s="27" t="e">
        <f>(IF(AND(K34=K$3, L$3=L34),3,IF(AND(K$3&gt;L$3, K34&gt;L34),2,IF(AND(L$3&gt;K$3,L34&gt;K34), 2, IF(AND(L$3=K$3, L34=K34),2,0))))+IF(#REF!=#REF!,3,0)+IF(AND(#REF!=#REF!,#REF!=#REF!,#REF!&lt;&gt;""),5,0))*IF(K$3="",0,1)</f>
        <v>#REF!</v>
      </c>
      <c r="N34" s="28"/>
      <c r="O34" s="27">
        <f>[1]Marcadores!M34</f>
        <v>2</v>
      </c>
      <c r="P34" s="27">
        <f>[1]Marcadores!N34</f>
        <v>1</v>
      </c>
      <c r="Q34" s="27" t="e">
        <f>(IF(AND(O34=O$3, P$3=P34),3,IF(AND(O$3&gt;P$3, O34&gt;P34),2,IF(AND(P$3&gt;O$3,P34&gt;O34), 2, IF(AND(P$3=O$3, P34=O34),2,0))))+IF(#REF!=#REF!,3,0)+IF(AND(#REF!=#REF!,#REF!=#REF!,#REF!&lt;&gt;""),5,0))*IF(O$3="",0,1)</f>
        <v>#REF!</v>
      </c>
      <c r="R34" s="27"/>
      <c r="S34" s="27" t="str">
        <f>[1]Marcadores!G34</f>
        <v>3</v>
      </c>
      <c r="T34" s="27" t="str">
        <f>[1]Marcadores!H34</f>
        <v>1</v>
      </c>
      <c r="U34" s="27" t="e">
        <f>(IF(AND(S34=S$3, T$3=T34),3,IF(AND(S$3&gt;T$3, S34&gt;T34),2,IF(AND(T$3&gt;S$3,T34&gt;S34), 2, IF(AND(T$3=S$3, T34=S34),2,0))))+IF(#REF!=#REF!,3,0)+IF(AND(#REF!=#REF!,#REF!=#REF!,#REF!&lt;&gt;""),5,0))*IF(S$3="",0,1)</f>
        <v>#REF!</v>
      </c>
      <c r="V34" s="27"/>
      <c r="W34" s="27" t="str">
        <f>[1]Marcadores!I34</f>
        <v>3</v>
      </c>
      <c r="X34" s="27" t="str">
        <f>[1]Marcadores!J34</f>
        <v>0</v>
      </c>
      <c r="Y34" s="27" t="e">
        <f>(IF(AND(W34=W$3, X$3=X34),3,IF(AND(W$3&gt;X$3, W34&gt;X34),2,IF(AND(X$3&gt;W$3,X34&gt;W34), 2, IF(AND(X$3=W$3, X34=W34),2,0))))+IF(#REF!=#REF!,3,0)+IF(AND(#REF!=#REF!,#REF!=#REF!,#REF!&lt;&gt;""),5,0))*IF(W$3="",0,1)</f>
        <v>#REF!</v>
      </c>
      <c r="Z34" s="27"/>
      <c r="AA34" s="27">
        <f>[1]Marcadores!O34</f>
        <v>0</v>
      </c>
      <c r="AB34" s="27">
        <f>[1]Marcadores!P34</f>
        <v>2</v>
      </c>
      <c r="AC34" s="27" t="e">
        <f>(IF(AND(AA34=AB$3,#REF!= AB34),3,IF(AND(AB$3&gt;#REF!, AA34&gt;AB34),2,IF(AND(#REF!&gt;AB$3,AB34&gt;AA34), 2, IF(AND(#REF!=AB$3, AB34=AA34),2,0))))+IF(#REF!=#REF!,3,0)+IF(AND(#REF!=#REF!,#REF!=#REF!,#REF!&lt;&gt;""),5,0))*IF(AB$3="",0,1)</f>
        <v>#REF!</v>
      </c>
      <c r="AD34" s="27"/>
      <c r="AE34" s="27">
        <f>[1]Marcadores!Q34</f>
        <v>3</v>
      </c>
      <c r="AF34" s="27">
        <f>[1]Marcadores!R34</f>
        <v>2</v>
      </c>
      <c r="AG34" s="27">
        <f>[1]Marcadores!T34</f>
        <v>0</v>
      </c>
      <c r="AH34" s="27">
        <f>[1]Marcadores!U34</f>
        <v>0</v>
      </c>
      <c r="AI34" s="27">
        <f>[1]Marcadores!W34</f>
        <v>0</v>
      </c>
      <c r="AJ34" s="27">
        <f>[1]Marcadores!X34</f>
        <v>0</v>
      </c>
      <c r="AK34" s="27">
        <f>[1]Marcadores!Z34</f>
        <v>0</v>
      </c>
      <c r="AL34" s="27">
        <f>[1]Marcadores!AA34</f>
        <v>0</v>
      </c>
      <c r="AM34" s="27">
        <f>[1]Marcadores!AC34</f>
        <v>0</v>
      </c>
      <c r="AN34" s="27">
        <f>[1]Marcadores!AD34</f>
        <v>0</v>
      </c>
      <c r="AO34" s="27">
        <f>[1]Marcadores!AF34</f>
        <v>0</v>
      </c>
      <c r="AP34" s="27">
        <f>[1]Marcadores!AG34</f>
        <v>0</v>
      </c>
      <c r="AQ34" s="27">
        <f>[1]Marcadores!AI34</f>
        <v>0</v>
      </c>
      <c r="AR34" s="27">
        <f>[1]Marcadores!AJ34</f>
        <v>0</v>
      </c>
      <c r="AS34" s="27">
        <f>[1]Marcadores!AL34</f>
        <v>0</v>
      </c>
      <c r="AT34" s="27">
        <f>[1]Marcadores!AM34</f>
        <v>0</v>
      </c>
      <c r="AU34" s="27">
        <f>[1]Marcadores!AO34</f>
        <v>0</v>
      </c>
      <c r="AV34" s="27">
        <f>[1]Marcadores!AP34</f>
        <v>0</v>
      </c>
      <c r="AW34" s="27">
        <f>[1]Marcadores!AR34</f>
        <v>0</v>
      </c>
      <c r="AX34" s="27">
        <f>[1]Marcadores!AS34</f>
        <v>0</v>
      </c>
      <c r="AY34" s="27">
        <f>[1]Marcadores!AU34</f>
        <v>0</v>
      </c>
      <c r="AZ34" s="27">
        <f>[1]Marcadores!AV34</f>
        <v>0</v>
      </c>
      <c r="BA34" s="27">
        <f>[1]Marcadores!AX34</f>
        <v>0</v>
      </c>
      <c r="BB34" s="27">
        <f>[1]Marcadores!AY34</f>
        <v>0</v>
      </c>
      <c r="BC34" s="27">
        <f>[1]Marcadores!BA34</f>
        <v>0</v>
      </c>
      <c r="BD34" s="27">
        <f>[1]Marcadores!BB34</f>
        <v>0</v>
      </c>
      <c r="BE34" s="27">
        <f>[1]Marcadores!BD34</f>
        <v>0</v>
      </c>
      <c r="BS34" s="9">
        <f t="shared" si="14"/>
        <v>0</v>
      </c>
    </row>
    <row r="35" spans="1:71" ht="17.25" thickTop="1" thickBot="1">
      <c r="A35" s="21" t="str">
        <f>Participantes!B33</f>
        <v>Marilyn</v>
      </c>
      <c r="B35" s="22">
        <f>Participantes!$C33</f>
        <v>2</v>
      </c>
      <c r="C35" s="22">
        <f>Participantes!$D33</f>
        <v>0</v>
      </c>
      <c r="D35" s="24"/>
      <c r="E35" s="22" t="str">
        <f t="shared" si="12"/>
        <v/>
      </c>
      <c r="F35" s="25"/>
      <c r="G35" s="22">
        <f>Participantes!$E33</f>
        <v>2</v>
      </c>
      <c r="H35" s="22">
        <f>Participantes!$F33</f>
        <v>1</v>
      </c>
      <c r="I35" s="22" t="str">
        <f t="shared" si="13"/>
        <v/>
      </c>
      <c r="J35" s="25"/>
      <c r="K35" s="25">
        <f>[1]Marcadores!K35</f>
        <v>2</v>
      </c>
      <c r="L35" s="25">
        <f>[1]Marcadores!L35</f>
        <v>0</v>
      </c>
      <c r="M35" s="25" t="e">
        <f>(IF(AND(K35=K$3, L$3=L35),3,IF(AND(K$3&gt;L$3, K35&gt;L35),2,IF(AND(L$3&gt;K$3,L35&gt;K35), 2, IF(AND(L$3=K$3, L35=K35),2,0))))+IF(#REF!=#REF!,3,0)+IF(AND(#REF!=#REF!,#REF!=#REF!,#REF!&lt;&gt;""),5,0))*IF(K$3="",0,1)</f>
        <v>#REF!</v>
      </c>
      <c r="N35" s="28"/>
      <c r="O35" s="25">
        <f>[1]Marcadores!M35</f>
        <v>2</v>
      </c>
      <c r="P35" s="25">
        <f>[1]Marcadores!N35</f>
        <v>1</v>
      </c>
      <c r="Q35" s="25" t="e">
        <f>(IF(AND(O35=O$3, P$3=P35),3,IF(AND(O$3&gt;P$3, O35&gt;P35),2,IF(AND(P$3&gt;O$3,P35&gt;O35), 2, IF(AND(P$3=O$3, P35=O35),2,0))))+IF(#REF!=#REF!,3,0)+IF(AND(#REF!=#REF!,#REF!=#REF!,#REF!&lt;&gt;""),5,0))*IF(O$3="",0,1)</f>
        <v>#REF!</v>
      </c>
      <c r="R35" s="25"/>
      <c r="S35" s="25" t="str">
        <f>[1]Marcadores!G35</f>
        <v>3</v>
      </c>
      <c r="T35" s="25" t="str">
        <f>[1]Marcadores!H35</f>
        <v>1</v>
      </c>
      <c r="U35" s="25" t="e">
        <f>(IF(AND(S35=S$3, T$3=T35),3,IF(AND(S$3&gt;T$3, S35&gt;T35),2,IF(AND(T$3&gt;S$3,T35&gt;S35), 2, IF(AND(T$3=S$3, T35=S35),2,0))))+IF(#REF!=#REF!,3,0)+IF(AND(#REF!=#REF!,#REF!=#REF!,#REF!&lt;&gt;""),5,0))*IF(S$3="",0,1)</f>
        <v>#REF!</v>
      </c>
      <c r="V35" s="25"/>
      <c r="W35" s="25" t="str">
        <f>[1]Marcadores!I35</f>
        <v>3</v>
      </c>
      <c r="X35" s="25" t="str">
        <f>[1]Marcadores!J35</f>
        <v>0</v>
      </c>
      <c r="Y35" s="25" t="e">
        <f>(IF(AND(W35=W$3, X$3=X35),3,IF(AND(W$3&gt;X$3, W35&gt;X35),2,IF(AND(X$3&gt;W$3,X35&gt;W35), 2, IF(AND(X$3=W$3, X35=W35),2,0))))+IF(#REF!=#REF!,3,0)+IF(AND(#REF!=#REF!,#REF!=#REF!,#REF!&lt;&gt;""),5,0))*IF(W$3="",0,1)</f>
        <v>#REF!</v>
      </c>
      <c r="Z35" s="25"/>
      <c r="AA35" s="25">
        <f>[1]Marcadores!O35</f>
        <v>0</v>
      </c>
      <c r="AB35" s="25">
        <f>[1]Marcadores!P35</f>
        <v>2</v>
      </c>
      <c r="AC35" s="25" t="e">
        <f>(IF(AND(AA35=AB$3,#REF!= AB35),3,IF(AND(AB$3&gt;#REF!, AA35&gt;AB35),2,IF(AND(#REF!&gt;AB$3,AB35&gt;AA35), 2, IF(AND(#REF!=AB$3, AB35=AA35),2,0))))+IF(#REF!=#REF!,3,0)+IF(AND(#REF!=#REF!,#REF!=#REF!,#REF!&lt;&gt;""),5,0))*IF(AB$3="",0,1)</f>
        <v>#REF!</v>
      </c>
      <c r="AD35" s="25"/>
      <c r="AE35" s="25">
        <f>[1]Marcadores!Q35</f>
        <v>3</v>
      </c>
      <c r="AF35" s="25">
        <f>[1]Marcadores!R35</f>
        <v>2</v>
      </c>
      <c r="AG35" s="25">
        <f>[1]Marcadores!T35</f>
        <v>0</v>
      </c>
      <c r="AH35" s="25">
        <f>[1]Marcadores!U35</f>
        <v>0</v>
      </c>
      <c r="AI35" s="25">
        <f>[1]Marcadores!W35</f>
        <v>0</v>
      </c>
      <c r="AJ35" s="25">
        <f>[1]Marcadores!X35</f>
        <v>0</v>
      </c>
      <c r="AK35" s="25">
        <f>[1]Marcadores!Z35</f>
        <v>0</v>
      </c>
      <c r="AL35" s="25">
        <f>[1]Marcadores!AA35</f>
        <v>0</v>
      </c>
      <c r="AM35" s="25">
        <f>[1]Marcadores!AC35</f>
        <v>0</v>
      </c>
      <c r="AN35" s="25">
        <f>[1]Marcadores!AD35</f>
        <v>0</v>
      </c>
      <c r="AO35" s="25">
        <f>[1]Marcadores!AF35</f>
        <v>0</v>
      </c>
      <c r="AP35" s="25">
        <f>[1]Marcadores!AG35</f>
        <v>0</v>
      </c>
      <c r="AQ35" s="25">
        <f>[1]Marcadores!AI35</f>
        <v>0</v>
      </c>
      <c r="AR35" s="25">
        <f>[1]Marcadores!AJ35</f>
        <v>0</v>
      </c>
      <c r="AS35" s="25">
        <f>[1]Marcadores!AL35</f>
        <v>0</v>
      </c>
      <c r="AT35" s="25">
        <f>[1]Marcadores!AM35</f>
        <v>0</v>
      </c>
      <c r="AU35" s="25">
        <f>[1]Marcadores!AO35</f>
        <v>0</v>
      </c>
      <c r="AV35" s="25">
        <f>[1]Marcadores!AP35</f>
        <v>0</v>
      </c>
      <c r="AW35" s="25">
        <f>[1]Marcadores!AR35</f>
        <v>0</v>
      </c>
      <c r="AX35" s="25">
        <f>[1]Marcadores!AS35</f>
        <v>0</v>
      </c>
      <c r="AY35" s="25">
        <f>[1]Marcadores!AU35</f>
        <v>0</v>
      </c>
      <c r="AZ35" s="25">
        <f>[1]Marcadores!AV35</f>
        <v>0</v>
      </c>
      <c r="BA35" s="25">
        <f>[1]Marcadores!AX35</f>
        <v>0</v>
      </c>
      <c r="BB35" s="25">
        <f>[1]Marcadores!AY35</f>
        <v>0</v>
      </c>
      <c r="BC35" s="25">
        <f>[1]Marcadores!BA35</f>
        <v>0</v>
      </c>
      <c r="BD35" s="25">
        <f>[1]Marcadores!BB35</f>
        <v>0</v>
      </c>
      <c r="BE35" s="25">
        <f>[1]Marcadores!BD35</f>
        <v>0</v>
      </c>
      <c r="BS35" s="9">
        <f t="shared" si="14"/>
        <v>0</v>
      </c>
    </row>
    <row r="36" spans="1:71" ht="17.25" thickTop="1" thickBot="1">
      <c r="A36" s="21" t="str">
        <f>Participantes!B34</f>
        <v>Medica</v>
      </c>
      <c r="B36" s="22">
        <f>Participantes!$C34</f>
        <v>2</v>
      </c>
      <c r="C36" s="22">
        <f>Participantes!$D34</f>
        <v>1</v>
      </c>
      <c r="D36" s="26"/>
      <c r="E36" s="22" t="str">
        <f t="shared" si="12"/>
        <v/>
      </c>
      <c r="F36" s="27"/>
      <c r="G36" s="22">
        <f>Participantes!$E34</f>
        <v>1</v>
      </c>
      <c r="H36" s="22">
        <f>Participantes!$F34</f>
        <v>1</v>
      </c>
      <c r="I36" s="22" t="str">
        <f t="shared" si="13"/>
        <v/>
      </c>
      <c r="J36" s="27"/>
      <c r="K36" s="27">
        <f>[1]Marcadores!K36</f>
        <v>3</v>
      </c>
      <c r="L36" s="27">
        <f>[1]Marcadores!L36</f>
        <v>1</v>
      </c>
      <c r="M36" s="27" t="e">
        <f>(IF(AND(K36=K$3, L$3=L36),3,IF(AND(K$3&gt;L$3, K36&gt;L36),2,IF(AND(L$3&gt;K$3,L36&gt;K36), 2, IF(AND(L$3=K$3, L36=K36),2,0))))+IF(#REF!=#REF!,3,0)+IF(AND(#REF!=#REF!,#REF!=#REF!,#REF!&lt;&gt;""),5,0))*IF(K$3="",0,1)</f>
        <v>#REF!</v>
      </c>
      <c r="N36" s="28"/>
      <c r="O36" s="27">
        <f>[1]Marcadores!M36</f>
        <v>1</v>
      </c>
      <c r="P36" s="27">
        <f>[1]Marcadores!N36</f>
        <v>2</v>
      </c>
      <c r="Q36" s="27" t="e">
        <f>(IF(AND(O36=O$3, P$3=P36),3,IF(AND(O$3&gt;P$3, O36&gt;P36),2,IF(AND(P$3&gt;O$3,P36&gt;O36), 2, IF(AND(P$3=O$3, P36=O36),2,0))))+IF(#REF!=#REF!,3,0)+IF(AND(#REF!=#REF!,#REF!=#REF!,#REF!&lt;&gt;""),5,0))*IF(O$3="",0,1)</f>
        <v>#REF!</v>
      </c>
      <c r="R36" s="27"/>
      <c r="S36" s="27" t="str">
        <f>[1]Marcadores!G36</f>
        <v>2</v>
      </c>
      <c r="T36" s="27" t="str">
        <f>[1]Marcadores!H36</f>
        <v>1</v>
      </c>
      <c r="U36" s="27" t="e">
        <f>(IF(AND(S36=S$3, T$3=T36),3,IF(AND(S$3&gt;T$3, S36&gt;T36),2,IF(AND(T$3&gt;S$3,T36&gt;S36), 2, IF(AND(T$3=S$3, T36=S36),2,0))))+IF(#REF!=#REF!,3,0)+IF(AND(#REF!=#REF!,#REF!=#REF!,#REF!&lt;&gt;""),5,0))*IF(S$3="",0,1)</f>
        <v>#REF!</v>
      </c>
      <c r="V36" s="27"/>
      <c r="W36" s="27">
        <f>[1]Marcadores!I36</f>
        <v>0</v>
      </c>
      <c r="X36" s="27">
        <f>[1]Marcadores!J36</f>
        <v>0</v>
      </c>
      <c r="Y36" s="27" t="e">
        <f>(IF(AND(W36=W$3, X$3=X36),3,IF(AND(W$3&gt;X$3, W36&gt;X36),2,IF(AND(X$3&gt;W$3,X36&gt;W36), 2, IF(AND(X$3=W$3, X36=W36),2,0))))+IF(#REF!=#REF!,3,0)+IF(AND(#REF!=#REF!,#REF!=#REF!,#REF!&lt;&gt;""),5,0))*IF(W$3="",0,1)</f>
        <v>#REF!</v>
      </c>
      <c r="Z36" s="27"/>
      <c r="AA36" s="27">
        <f>[1]Marcadores!O36</f>
        <v>2</v>
      </c>
      <c r="AB36" s="27">
        <f>[1]Marcadores!P36</f>
        <v>2</v>
      </c>
      <c r="AC36" s="27" t="e">
        <f>(IF(AND(AA36=AB$3,#REF!= AB36),3,IF(AND(AB$3&gt;#REF!, AA36&gt;AB36),2,IF(AND(#REF!&gt;AB$3,AB36&gt;AA36), 2, IF(AND(#REF!=AB$3, AB36=AA36),2,0))))+IF(#REF!=#REF!,3,0)+IF(AND(#REF!=#REF!,#REF!=#REF!,#REF!&lt;&gt;""),5,0))*IF(AB$3="",0,1)</f>
        <v>#REF!</v>
      </c>
      <c r="AD36" s="27"/>
      <c r="AE36" s="27">
        <f>[1]Marcadores!Q36</f>
        <v>0</v>
      </c>
      <c r="AF36" s="27">
        <f>[1]Marcadores!R36</f>
        <v>0</v>
      </c>
      <c r="AG36" s="27">
        <f>[1]Marcadores!T36</f>
        <v>0</v>
      </c>
      <c r="AH36" s="27">
        <f>[1]Marcadores!U36</f>
        <v>0</v>
      </c>
      <c r="AI36" s="27">
        <f>[1]Marcadores!W36</f>
        <v>0</v>
      </c>
      <c r="AJ36" s="27">
        <f>[1]Marcadores!X36</f>
        <v>0</v>
      </c>
      <c r="AK36" s="27">
        <f>[1]Marcadores!Z36</f>
        <v>0</v>
      </c>
      <c r="AL36" s="27">
        <f>[1]Marcadores!AA36</f>
        <v>0</v>
      </c>
      <c r="AM36" s="27">
        <f>[1]Marcadores!AC36</f>
        <v>0</v>
      </c>
      <c r="AN36" s="27">
        <f>[1]Marcadores!AD36</f>
        <v>0</v>
      </c>
      <c r="AO36" s="27">
        <f>[1]Marcadores!AF36</f>
        <v>0</v>
      </c>
      <c r="AP36" s="27">
        <f>[1]Marcadores!AG36</f>
        <v>0</v>
      </c>
      <c r="AQ36" s="27">
        <f>[1]Marcadores!AI36</f>
        <v>0</v>
      </c>
      <c r="AR36" s="27">
        <f>[1]Marcadores!AJ36</f>
        <v>0</v>
      </c>
      <c r="AS36" s="27">
        <f>[1]Marcadores!AL36</f>
        <v>0</v>
      </c>
      <c r="AT36" s="27">
        <f>[1]Marcadores!AM36</f>
        <v>0</v>
      </c>
      <c r="AU36" s="27">
        <f>[1]Marcadores!AO36</f>
        <v>0</v>
      </c>
      <c r="AV36" s="27">
        <f>[1]Marcadores!AP36</f>
        <v>0</v>
      </c>
      <c r="AW36" s="27">
        <f>[1]Marcadores!AR36</f>
        <v>0</v>
      </c>
      <c r="AX36" s="27">
        <f>[1]Marcadores!AS36</f>
        <v>0</v>
      </c>
      <c r="AY36" s="27">
        <f>[1]Marcadores!AU36</f>
        <v>0</v>
      </c>
      <c r="AZ36" s="27">
        <f>[1]Marcadores!AV36</f>
        <v>0</v>
      </c>
      <c r="BA36" s="27">
        <f>[1]Marcadores!AX36</f>
        <v>0</v>
      </c>
      <c r="BB36" s="27">
        <f>[1]Marcadores!AY36</f>
        <v>0</v>
      </c>
      <c r="BC36" s="27">
        <f>[1]Marcadores!BA36</f>
        <v>0</v>
      </c>
      <c r="BD36" s="27">
        <f>[1]Marcadores!BB36</f>
        <v>0</v>
      </c>
      <c r="BE36" s="27">
        <f>[1]Marcadores!BD36</f>
        <v>0</v>
      </c>
      <c r="BS36" s="9">
        <f t="shared" si="14"/>
        <v>0</v>
      </c>
    </row>
    <row r="37" spans="1:71" ht="17.25" thickTop="1" thickBot="1">
      <c r="A37" s="21" t="str">
        <f>Participantes!B35</f>
        <v>Milagros</v>
      </c>
      <c r="B37" s="22">
        <f>Participantes!$C35</f>
        <v>2</v>
      </c>
      <c r="C37" s="22">
        <f>Participantes!$D35</f>
        <v>0</v>
      </c>
      <c r="D37" s="24"/>
      <c r="E37" s="22" t="str">
        <f t="shared" si="12"/>
        <v/>
      </c>
      <c r="F37" s="25"/>
      <c r="G37" s="22">
        <f>Participantes!$E35</f>
        <v>3</v>
      </c>
      <c r="H37" s="22">
        <f>Participantes!$F35</f>
        <v>1</v>
      </c>
      <c r="I37" s="22" t="str">
        <f t="shared" si="13"/>
        <v/>
      </c>
      <c r="J37" s="25"/>
      <c r="K37" s="25">
        <f>[1]Marcadores!K37</f>
        <v>3</v>
      </c>
      <c r="L37" s="25">
        <f>[1]Marcadores!L37</f>
        <v>0</v>
      </c>
      <c r="M37" s="25" t="e">
        <f>(IF(AND(K37=K$3, L$3=L37),3,IF(AND(K$3&gt;L$3, K37&gt;L37),2,IF(AND(L$3&gt;K$3,L37&gt;K37), 2, IF(AND(L$3=K$3, L37=K37),2,0))))+IF(#REF!=#REF!,3,0)+IF(AND(#REF!=#REF!,#REF!=#REF!,#REF!&lt;&gt;""),5,0))*IF(K$3="",0,1)</f>
        <v>#REF!</v>
      </c>
      <c r="N37" s="28"/>
      <c r="O37" s="25">
        <f>[1]Marcadores!M37</f>
        <v>2</v>
      </c>
      <c r="P37" s="25">
        <f>[1]Marcadores!N37</f>
        <v>2</v>
      </c>
      <c r="Q37" s="25" t="e">
        <f>(IF(AND(O37=O$3, P$3=P37),3,IF(AND(O$3&gt;P$3, O37&gt;P37),2,IF(AND(P$3&gt;O$3,P37&gt;O37), 2, IF(AND(P$3=O$3, P37=O37),2,0))))+IF(#REF!=#REF!,3,0)+IF(AND(#REF!=#REF!,#REF!=#REF!,#REF!&lt;&gt;""),5,0))*IF(O$3="",0,1)</f>
        <v>#REF!</v>
      </c>
      <c r="R37" s="25"/>
      <c r="S37" s="25" t="str">
        <f>[1]Marcadores!G37</f>
        <v>2</v>
      </c>
      <c r="T37" s="25" t="str">
        <f>[1]Marcadores!H37</f>
        <v>2</v>
      </c>
      <c r="U37" s="25" t="e">
        <f>(IF(AND(S37=S$3, T$3=T37),3,IF(AND(S$3&gt;T$3, S37&gt;T37),2,IF(AND(T$3&gt;S$3,T37&gt;S37), 2, IF(AND(T$3=S$3, T37=S37),2,0))))+IF(#REF!=#REF!,3,0)+IF(AND(#REF!=#REF!,#REF!=#REF!,#REF!&lt;&gt;""),5,0))*IF(S$3="",0,1)</f>
        <v>#REF!</v>
      </c>
      <c r="V37" s="25"/>
      <c r="W37" s="25">
        <f>[1]Marcadores!I37</f>
        <v>0</v>
      </c>
      <c r="X37" s="25">
        <f>[1]Marcadores!J37</f>
        <v>0</v>
      </c>
      <c r="Y37" s="25" t="e">
        <f>(IF(AND(W37=W$3, X$3=X37),3,IF(AND(W$3&gt;X$3, W37&gt;X37),2,IF(AND(X$3&gt;W$3,X37&gt;W37), 2, IF(AND(X$3=W$3, X37=W37),2,0))))+IF(#REF!=#REF!,3,0)+IF(AND(#REF!=#REF!,#REF!=#REF!,#REF!&lt;&gt;""),5,0))*IF(W$3="",0,1)</f>
        <v>#REF!</v>
      </c>
      <c r="Z37" s="25"/>
      <c r="AA37" s="25">
        <f>[1]Marcadores!O37</f>
        <v>1</v>
      </c>
      <c r="AB37" s="25">
        <f>[1]Marcadores!P37</f>
        <v>2</v>
      </c>
      <c r="AC37" s="25" t="e">
        <f>(IF(AND(AA37=AB$3,#REF!= AB37),3,IF(AND(AB$3&gt;#REF!, AA37&gt;AB37),2,IF(AND(#REF!&gt;AB$3,AB37&gt;AA37), 2, IF(AND(#REF!=AB$3, AB37=AA37),2,0))))+IF(#REF!=#REF!,3,0)+IF(AND(#REF!=#REF!,#REF!=#REF!,#REF!&lt;&gt;""),5,0))*IF(AB$3="",0,1)</f>
        <v>#REF!</v>
      </c>
      <c r="AD37" s="25"/>
      <c r="AE37" s="25">
        <f>[1]Marcadores!Q37</f>
        <v>0</v>
      </c>
      <c r="AF37" s="25">
        <f>[1]Marcadores!R37</f>
        <v>0</v>
      </c>
      <c r="AG37" s="25">
        <f>[1]Marcadores!T37</f>
        <v>0</v>
      </c>
      <c r="AH37" s="25">
        <f>[1]Marcadores!U37</f>
        <v>0</v>
      </c>
      <c r="AI37" s="25">
        <f>[1]Marcadores!W37</f>
        <v>0</v>
      </c>
      <c r="AJ37" s="25">
        <f>[1]Marcadores!X37</f>
        <v>0</v>
      </c>
      <c r="AK37" s="25">
        <f>[1]Marcadores!Z37</f>
        <v>0</v>
      </c>
      <c r="AL37" s="25">
        <f>[1]Marcadores!AA37</f>
        <v>0</v>
      </c>
      <c r="AM37" s="25">
        <f>[1]Marcadores!AC37</f>
        <v>0</v>
      </c>
      <c r="AN37" s="25">
        <f>[1]Marcadores!AD37</f>
        <v>0</v>
      </c>
      <c r="AO37" s="25">
        <f>[1]Marcadores!AF37</f>
        <v>0</v>
      </c>
      <c r="AP37" s="25">
        <f>[1]Marcadores!AG37</f>
        <v>0</v>
      </c>
      <c r="AQ37" s="25">
        <f>[1]Marcadores!AI37</f>
        <v>0</v>
      </c>
      <c r="AR37" s="25">
        <f>[1]Marcadores!AJ37</f>
        <v>0</v>
      </c>
      <c r="AS37" s="25">
        <f>[1]Marcadores!AL37</f>
        <v>0</v>
      </c>
      <c r="AT37" s="25">
        <f>[1]Marcadores!AM37</f>
        <v>0</v>
      </c>
      <c r="AU37" s="25">
        <f>[1]Marcadores!AO37</f>
        <v>0</v>
      </c>
      <c r="AV37" s="25">
        <f>[1]Marcadores!AP37</f>
        <v>0</v>
      </c>
      <c r="AW37" s="25">
        <f>[1]Marcadores!AR37</f>
        <v>0</v>
      </c>
      <c r="AX37" s="25">
        <f>[1]Marcadores!AS37</f>
        <v>0</v>
      </c>
      <c r="AY37" s="25">
        <f>[1]Marcadores!AU37</f>
        <v>0</v>
      </c>
      <c r="AZ37" s="25">
        <f>[1]Marcadores!AV37</f>
        <v>0</v>
      </c>
      <c r="BA37" s="25">
        <f>[1]Marcadores!AX37</f>
        <v>0</v>
      </c>
      <c r="BB37" s="25">
        <f>[1]Marcadores!AY37</f>
        <v>0</v>
      </c>
      <c r="BC37" s="25">
        <f>[1]Marcadores!BA37</f>
        <v>0</v>
      </c>
      <c r="BD37" s="25">
        <f>[1]Marcadores!BB37</f>
        <v>0</v>
      </c>
      <c r="BE37" s="25">
        <f>[1]Marcadores!BD37</f>
        <v>0</v>
      </c>
      <c r="BS37" s="9">
        <f t="shared" si="14"/>
        <v>0</v>
      </c>
    </row>
    <row r="38" spans="1:71" ht="17.25" thickTop="1" thickBot="1">
      <c r="A38" s="21" t="str">
        <f>Participantes!B36</f>
        <v>Mily CF 1</v>
      </c>
      <c r="B38" s="22">
        <f>Participantes!$C36</f>
        <v>3</v>
      </c>
      <c r="C38" s="22">
        <f>Participantes!$D36</f>
        <v>1</v>
      </c>
      <c r="D38" s="26"/>
      <c r="E38" s="22" t="str">
        <f t="shared" si="12"/>
        <v/>
      </c>
      <c r="F38" s="27"/>
      <c r="G38" s="22">
        <f>Participantes!$E36</f>
        <v>2</v>
      </c>
      <c r="H38" s="22">
        <f>Participantes!$F36</f>
        <v>1</v>
      </c>
      <c r="I38" s="22" t="str">
        <f t="shared" si="13"/>
        <v/>
      </c>
      <c r="J38" s="27"/>
      <c r="K38" s="27">
        <f>[1]Marcadores!K38</f>
        <v>3</v>
      </c>
      <c r="L38" s="27">
        <f>[1]Marcadores!L38</f>
        <v>1</v>
      </c>
      <c r="M38" s="27" t="e">
        <f>(IF(AND(K38=K$3, L$3=L38),3,IF(AND(K$3&gt;L$3, K38&gt;L38),2,IF(AND(L$3&gt;K$3,L38&gt;K38), 2, IF(AND(L$3=K$3, L38=K38),2,0))))+IF(#REF!=#REF!,3,0)+IF(AND(#REF!=#REF!,#REF!=#REF!,#REF!&lt;&gt;""),5,0))*IF(K$3="",0,1)</f>
        <v>#REF!</v>
      </c>
      <c r="N38" s="28"/>
      <c r="O38" s="27">
        <f>[1]Marcadores!M38</f>
        <v>2</v>
      </c>
      <c r="P38" s="27">
        <f>[1]Marcadores!N38</f>
        <v>2</v>
      </c>
      <c r="Q38" s="27" t="e">
        <f>(IF(AND(O38=O$3, P$3=P38),3,IF(AND(O$3&gt;P$3, O38&gt;P38),2,IF(AND(P$3&gt;O$3,P38&gt;O38), 2, IF(AND(P$3=O$3, P38=O38),2,0))))+IF(#REF!=#REF!,3,0)+IF(AND(#REF!=#REF!,#REF!=#REF!,#REF!&lt;&gt;""),5,0))*IF(O$3="",0,1)</f>
        <v>#REF!</v>
      </c>
      <c r="R38" s="27"/>
      <c r="S38" s="27">
        <f>[1]Marcadores!G38</f>
        <v>0</v>
      </c>
      <c r="T38" s="27">
        <f>[1]Marcadores!H38</f>
        <v>0</v>
      </c>
      <c r="U38" s="27" t="e">
        <f>(IF(AND(S38=S$3, T$3=T38),3,IF(AND(S$3&gt;T$3, S38&gt;T38),2,IF(AND(T$3&gt;S$3,T38&gt;S38), 2, IF(AND(T$3=S$3, T38=S38),2,0))))+IF(#REF!=#REF!,3,0)+IF(AND(#REF!=#REF!,#REF!=#REF!,#REF!&lt;&gt;""),5,0))*IF(S$3="",0,1)</f>
        <v>#REF!</v>
      </c>
      <c r="V38" s="27"/>
      <c r="W38" s="27">
        <f>[1]Marcadores!I38</f>
        <v>0</v>
      </c>
      <c r="X38" s="27">
        <f>[1]Marcadores!J38</f>
        <v>0</v>
      </c>
      <c r="Y38" s="27" t="e">
        <f>(IF(AND(W38=W$3, X$3=X38),3,IF(AND(W$3&gt;X$3, W38&gt;X38),2,IF(AND(X$3&gt;W$3,X38&gt;W38), 2, IF(AND(X$3=W$3, X38=W38),2,0))))+IF(#REF!=#REF!,3,0)+IF(AND(#REF!=#REF!,#REF!=#REF!,#REF!&lt;&gt;""),5,0))*IF(W$3="",0,1)</f>
        <v>#REF!</v>
      </c>
      <c r="Z38" s="27"/>
      <c r="AA38" s="27">
        <f>[1]Marcadores!O38</f>
        <v>0</v>
      </c>
      <c r="AB38" s="27">
        <f>[1]Marcadores!P38</f>
        <v>0</v>
      </c>
      <c r="AC38" s="27" t="e">
        <f>(IF(AND(AA38=AB$3,#REF!= AB38),3,IF(AND(AB$3&gt;#REF!, AA38&gt;AB38),2,IF(AND(#REF!&gt;AB$3,AB38&gt;AA38), 2, IF(AND(#REF!=AB$3, AB38=AA38),2,0))))+IF(#REF!=#REF!,3,0)+IF(AND(#REF!=#REF!,#REF!=#REF!,#REF!&lt;&gt;""),5,0))*IF(AB$3="",0,1)</f>
        <v>#REF!</v>
      </c>
      <c r="AD38" s="27"/>
      <c r="AE38" s="27">
        <f>[1]Marcadores!Q38</f>
        <v>0</v>
      </c>
      <c r="AF38" s="27">
        <f>[1]Marcadores!R38</f>
        <v>0</v>
      </c>
      <c r="AG38" s="27">
        <f>[1]Marcadores!T38</f>
        <v>0</v>
      </c>
      <c r="AH38" s="27">
        <f>[1]Marcadores!U38</f>
        <v>0</v>
      </c>
      <c r="AI38" s="27">
        <f>[1]Marcadores!W38</f>
        <v>0</v>
      </c>
      <c r="AJ38" s="27">
        <f>[1]Marcadores!X38</f>
        <v>0</v>
      </c>
      <c r="AK38" s="27">
        <f>[1]Marcadores!Z38</f>
        <v>0</v>
      </c>
      <c r="AL38" s="27">
        <f>[1]Marcadores!AA38</f>
        <v>0</v>
      </c>
      <c r="AM38" s="27">
        <f>[1]Marcadores!AC38</f>
        <v>0</v>
      </c>
      <c r="AN38" s="27">
        <f>[1]Marcadores!AD38</f>
        <v>0</v>
      </c>
      <c r="AO38" s="27">
        <f>[1]Marcadores!AF38</f>
        <v>0</v>
      </c>
      <c r="AP38" s="27">
        <f>[1]Marcadores!AG38</f>
        <v>0</v>
      </c>
      <c r="AQ38" s="27">
        <f>[1]Marcadores!AI38</f>
        <v>0</v>
      </c>
      <c r="AR38" s="27">
        <f>[1]Marcadores!AJ38</f>
        <v>0</v>
      </c>
      <c r="AS38" s="27">
        <f>[1]Marcadores!AL38</f>
        <v>0</v>
      </c>
      <c r="AT38" s="27">
        <f>[1]Marcadores!AM38</f>
        <v>0</v>
      </c>
      <c r="AU38" s="27">
        <f>[1]Marcadores!AO38</f>
        <v>0</v>
      </c>
      <c r="AV38" s="27">
        <f>[1]Marcadores!AP38</f>
        <v>0</v>
      </c>
      <c r="AW38" s="27">
        <f>[1]Marcadores!AR38</f>
        <v>0</v>
      </c>
      <c r="AX38" s="27">
        <f>[1]Marcadores!AS38</f>
        <v>0</v>
      </c>
      <c r="AY38" s="27">
        <f>[1]Marcadores!AU38</f>
        <v>0</v>
      </c>
      <c r="AZ38" s="27">
        <f>[1]Marcadores!AV38</f>
        <v>0</v>
      </c>
      <c r="BA38" s="27">
        <f>[1]Marcadores!AX38</f>
        <v>0</v>
      </c>
      <c r="BB38" s="27">
        <f>[1]Marcadores!AY38</f>
        <v>0</v>
      </c>
      <c r="BC38" s="27">
        <f>[1]Marcadores!BA38</f>
        <v>0</v>
      </c>
      <c r="BD38" s="27">
        <f>[1]Marcadores!BB38</f>
        <v>0</v>
      </c>
      <c r="BE38" s="27">
        <f>[1]Marcadores!BD38</f>
        <v>0</v>
      </c>
      <c r="BS38" s="9">
        <f t="shared" si="14"/>
        <v>0</v>
      </c>
    </row>
    <row r="39" spans="1:71" ht="17.25" thickTop="1" thickBot="1">
      <c r="A39" s="21" t="str">
        <f>Participantes!B37</f>
        <v>Mily CF 2</v>
      </c>
      <c r="B39" s="22">
        <f>Participantes!$C37</f>
        <v>2</v>
      </c>
      <c r="C39" s="22">
        <f>Participantes!$D37</f>
        <v>1</v>
      </c>
      <c r="D39" s="24"/>
      <c r="E39" s="22" t="str">
        <f t="shared" si="12"/>
        <v/>
      </c>
      <c r="F39" s="25"/>
      <c r="G39" s="22">
        <f>Participantes!$E37</f>
        <v>2</v>
      </c>
      <c r="H39" s="22">
        <f>Participantes!$F37</f>
        <v>0</v>
      </c>
      <c r="I39" s="22" t="str">
        <f t="shared" si="13"/>
        <v/>
      </c>
      <c r="J39" s="25"/>
      <c r="K39" s="25">
        <f>[1]Marcadores!K39</f>
        <v>2</v>
      </c>
      <c r="L39" s="25">
        <f>[1]Marcadores!L39</f>
        <v>0</v>
      </c>
      <c r="M39" s="25" t="e">
        <f>(IF(AND(K39=K$3, L$3=L39),3,IF(AND(K$3&gt;L$3, K39&gt;L39),2,IF(AND(L$3&gt;K$3,L39&gt;K39), 2, IF(AND(L$3=K$3, L39=K39),2,0))))+IF(#REF!=#REF!,3,0)+IF(AND(#REF!=#REF!,#REF!=#REF!,#REF!&lt;&gt;""),5,0))*IF(K$3="",0,1)</f>
        <v>#REF!</v>
      </c>
      <c r="N39" s="28"/>
      <c r="O39" s="25">
        <f>[1]Marcadores!M39</f>
        <v>3</v>
      </c>
      <c r="P39" s="25">
        <f>[1]Marcadores!N39</f>
        <v>1</v>
      </c>
      <c r="Q39" s="25" t="e">
        <f>(IF(AND(O39=O$3, P$3=P39),3,IF(AND(O$3&gt;P$3, O39&gt;P39),2,IF(AND(P$3&gt;O$3,P39&gt;O39), 2, IF(AND(P$3=O$3, P39=O39),2,0))))+IF(#REF!=#REF!,3,0)+IF(AND(#REF!=#REF!,#REF!=#REF!,#REF!&lt;&gt;""),5,0))*IF(O$3="",0,1)</f>
        <v>#REF!</v>
      </c>
      <c r="R39" s="25"/>
      <c r="S39" s="25">
        <f>[1]Marcadores!G39</f>
        <v>0</v>
      </c>
      <c r="T39" s="25">
        <f>[1]Marcadores!H39</f>
        <v>0</v>
      </c>
      <c r="U39" s="25" t="e">
        <f>(IF(AND(S39=S$3, T$3=T39),3,IF(AND(S$3&gt;T$3, S39&gt;T39),2,IF(AND(T$3&gt;S$3,T39&gt;S39), 2, IF(AND(T$3=S$3, T39=S39),2,0))))+IF(#REF!=#REF!,3,0)+IF(AND(#REF!=#REF!,#REF!=#REF!,#REF!&lt;&gt;""),5,0))*IF(S$3="",0,1)</f>
        <v>#REF!</v>
      </c>
      <c r="V39" s="25"/>
      <c r="W39" s="25">
        <f>[1]Marcadores!I39</f>
        <v>0</v>
      </c>
      <c r="X39" s="25">
        <f>[1]Marcadores!J39</f>
        <v>0</v>
      </c>
      <c r="Y39" s="25" t="e">
        <f>(IF(AND(W39=W$3, X$3=X39),3,IF(AND(W$3&gt;X$3, W39&gt;X39),2,IF(AND(X$3&gt;W$3,X39&gt;W39), 2, IF(AND(X$3=W$3, X39=W39),2,0))))+IF(#REF!=#REF!,3,0)+IF(AND(#REF!=#REF!,#REF!=#REF!,#REF!&lt;&gt;""),5,0))*IF(W$3="",0,1)</f>
        <v>#REF!</v>
      </c>
      <c r="Z39" s="25"/>
      <c r="AA39" s="25">
        <f>[1]Marcadores!O39</f>
        <v>0</v>
      </c>
      <c r="AB39" s="25">
        <f>[1]Marcadores!P39</f>
        <v>0</v>
      </c>
      <c r="AC39" s="25" t="e">
        <f>(IF(AND(AA39=AB$3,#REF!= AB39),3,IF(AND(AB$3&gt;#REF!, AA39&gt;AB39),2,IF(AND(#REF!&gt;AB$3,AB39&gt;AA39), 2, IF(AND(#REF!=AB$3, AB39=AA39),2,0))))+IF(#REF!=#REF!,3,0)+IF(AND(#REF!=#REF!,#REF!=#REF!,#REF!&lt;&gt;""),5,0))*IF(AB$3="",0,1)</f>
        <v>#REF!</v>
      </c>
      <c r="AD39" s="25"/>
      <c r="AE39" s="25">
        <f>[1]Marcadores!Q39</f>
        <v>0</v>
      </c>
      <c r="AF39" s="25">
        <f>[1]Marcadores!R39</f>
        <v>0</v>
      </c>
      <c r="AG39" s="25">
        <f>[1]Marcadores!T39</f>
        <v>0</v>
      </c>
      <c r="AH39" s="25">
        <f>[1]Marcadores!U39</f>
        <v>0</v>
      </c>
      <c r="AI39" s="25">
        <f>[1]Marcadores!W39</f>
        <v>0</v>
      </c>
      <c r="AJ39" s="25">
        <f>[1]Marcadores!X39</f>
        <v>0</v>
      </c>
      <c r="AK39" s="25">
        <f>[1]Marcadores!Z39</f>
        <v>0</v>
      </c>
      <c r="AL39" s="25">
        <f>[1]Marcadores!AA39</f>
        <v>0</v>
      </c>
      <c r="AM39" s="25">
        <f>[1]Marcadores!AC39</f>
        <v>0</v>
      </c>
      <c r="AN39" s="25">
        <f>[1]Marcadores!AD39</f>
        <v>0</v>
      </c>
      <c r="AO39" s="25">
        <f>[1]Marcadores!AF39</f>
        <v>0</v>
      </c>
      <c r="AP39" s="25">
        <f>[1]Marcadores!AG39</f>
        <v>0</v>
      </c>
      <c r="AQ39" s="25">
        <f>[1]Marcadores!AI39</f>
        <v>0</v>
      </c>
      <c r="AR39" s="25">
        <f>[1]Marcadores!AJ39</f>
        <v>0</v>
      </c>
      <c r="AS39" s="25">
        <f>[1]Marcadores!AL39</f>
        <v>0</v>
      </c>
      <c r="AT39" s="25">
        <f>[1]Marcadores!AM39</f>
        <v>0</v>
      </c>
      <c r="AU39" s="25">
        <f>[1]Marcadores!AO39</f>
        <v>0</v>
      </c>
      <c r="AV39" s="25">
        <f>[1]Marcadores!AP39</f>
        <v>0</v>
      </c>
      <c r="AW39" s="25">
        <f>[1]Marcadores!AR39</f>
        <v>0</v>
      </c>
      <c r="AX39" s="25">
        <f>[1]Marcadores!AS39</f>
        <v>0</v>
      </c>
      <c r="AY39" s="25">
        <f>[1]Marcadores!AU39</f>
        <v>0</v>
      </c>
      <c r="AZ39" s="25">
        <f>[1]Marcadores!AV39</f>
        <v>0</v>
      </c>
      <c r="BA39" s="25">
        <f>[1]Marcadores!AX39</f>
        <v>0</v>
      </c>
      <c r="BB39" s="25">
        <f>[1]Marcadores!AY39</f>
        <v>0</v>
      </c>
      <c r="BC39" s="25">
        <f>[1]Marcadores!BA39</f>
        <v>0</v>
      </c>
      <c r="BD39" s="25">
        <f>[1]Marcadores!BB39</f>
        <v>0</v>
      </c>
      <c r="BE39" s="25">
        <f>[1]Marcadores!BD39</f>
        <v>0</v>
      </c>
      <c r="BS39" s="9">
        <f t="shared" si="14"/>
        <v>0</v>
      </c>
    </row>
    <row r="40" spans="1:71" ht="17.25" thickTop="1" thickBot="1">
      <c r="A40" s="21" t="str">
        <f>Participantes!B38</f>
        <v>Mily Oliver</v>
      </c>
      <c r="B40" s="22">
        <f>Participantes!$C38</f>
        <v>2</v>
      </c>
      <c r="C40" s="22">
        <f>Participantes!$D38</f>
        <v>0</v>
      </c>
      <c r="D40" s="26"/>
      <c r="E40" s="22" t="str">
        <f t="shared" si="12"/>
        <v/>
      </c>
      <c r="F40" s="27"/>
      <c r="G40" s="22">
        <f>Participantes!$E38</f>
        <v>1</v>
      </c>
      <c r="H40" s="22">
        <f>Participantes!$F38</f>
        <v>1</v>
      </c>
      <c r="I40" s="22" t="str">
        <f t="shared" si="13"/>
        <v/>
      </c>
      <c r="J40" s="27"/>
      <c r="K40" s="27">
        <f>[1]Marcadores!K40</f>
        <v>2</v>
      </c>
      <c r="L40" s="27">
        <f>[1]Marcadores!L40</f>
        <v>0</v>
      </c>
      <c r="M40" s="27" t="e">
        <f>(IF(AND(K40=K$3, L$3=L40),3,IF(AND(K$3&gt;L$3, K40&gt;L40),2,IF(AND(L$3&gt;K$3,L40&gt;K40), 2, IF(AND(L$3=K$3, L40=K40),2,0))))+IF(#REF!=#REF!,3,0)+IF(AND(#REF!=#REF!,#REF!=#REF!,#REF!&lt;&gt;""),5,0))*IF(K$3="",0,1)</f>
        <v>#REF!</v>
      </c>
      <c r="N40" s="28"/>
      <c r="O40" s="27">
        <f>[1]Marcadores!M40</f>
        <v>1</v>
      </c>
      <c r="P40" s="27">
        <f>[1]Marcadores!N40</f>
        <v>0</v>
      </c>
      <c r="Q40" s="27" t="e">
        <f>(IF(AND(O40=O$3, P$3=P40),3,IF(AND(O$3&gt;P$3, O40&gt;P40),2,IF(AND(P$3&gt;O$3,P40&gt;O40), 2, IF(AND(P$3=O$3, P40=O40),2,0))))+IF(#REF!=#REF!,3,0)+IF(AND(#REF!=#REF!,#REF!=#REF!,#REF!&lt;&gt;""),5,0))*IF(O$3="",0,1)</f>
        <v>#REF!</v>
      </c>
      <c r="R40" s="27"/>
      <c r="S40" s="27" t="str">
        <f>[1]Marcadores!G40</f>
        <v>0</v>
      </c>
      <c r="T40" s="27" t="str">
        <f>[1]Marcadores!H40</f>
        <v>1</v>
      </c>
      <c r="U40" s="27" t="e">
        <f>(IF(AND(S40=S$3, T$3=T40),3,IF(AND(S$3&gt;T$3, S40&gt;T40),2,IF(AND(T$3&gt;S$3,T40&gt;S40), 2, IF(AND(T$3=S$3, T40=S40),2,0))))+IF(#REF!=#REF!,3,0)+IF(AND(#REF!=#REF!,#REF!=#REF!,#REF!&lt;&gt;""),5,0))*IF(S$3="",0,1)</f>
        <v>#REF!</v>
      </c>
      <c r="V40" s="27"/>
      <c r="W40" s="27" t="str">
        <f>[1]Marcadores!I40</f>
        <v>0</v>
      </c>
      <c r="X40" s="27" t="str">
        <f>[1]Marcadores!J40</f>
        <v>0</v>
      </c>
      <c r="Y40" s="27" t="e">
        <f>(IF(AND(W40=W$3, X$3=X40),3,IF(AND(W$3&gt;X$3, W40&gt;X40),2,IF(AND(X$3&gt;W$3,X40&gt;W40), 2, IF(AND(X$3=W$3, X40=W40),2,0))))+IF(#REF!=#REF!,3,0)+IF(AND(#REF!=#REF!,#REF!=#REF!,#REF!&lt;&gt;""),5,0))*IF(W$3="",0,1)</f>
        <v>#REF!</v>
      </c>
      <c r="Z40" s="27"/>
      <c r="AA40" s="27">
        <f>[1]Marcadores!O40</f>
        <v>0</v>
      </c>
      <c r="AB40" s="27">
        <f>[1]Marcadores!P40</f>
        <v>1</v>
      </c>
      <c r="AC40" s="27" t="e">
        <f>(IF(AND(AA40=AB$3,#REF!= AB40),3,IF(AND(AB$3&gt;#REF!, AA40&gt;AB40),2,IF(AND(#REF!&gt;AB$3,AB40&gt;AA40), 2, IF(AND(#REF!=AB$3, AB40=AA40),2,0))))+IF(#REF!=#REF!,3,0)+IF(AND(#REF!=#REF!,#REF!=#REF!,#REF!&lt;&gt;""),5,0))*IF(AB$3="",0,1)</f>
        <v>#REF!</v>
      </c>
      <c r="AD40" s="27"/>
      <c r="AE40" s="27">
        <f>[1]Marcadores!Q40</f>
        <v>2</v>
      </c>
      <c r="AF40" s="27">
        <f>[1]Marcadores!R40</f>
        <v>0</v>
      </c>
      <c r="AG40" s="27">
        <f>[1]Marcadores!T40</f>
        <v>0</v>
      </c>
      <c r="AH40" s="27">
        <f>[1]Marcadores!U40</f>
        <v>0</v>
      </c>
      <c r="AI40" s="27">
        <f>[1]Marcadores!W40</f>
        <v>0</v>
      </c>
      <c r="AJ40" s="27">
        <f>[1]Marcadores!X40</f>
        <v>0</v>
      </c>
      <c r="AK40" s="27">
        <f>[1]Marcadores!Z40</f>
        <v>0</v>
      </c>
      <c r="AL40" s="27">
        <f>[1]Marcadores!AA40</f>
        <v>0</v>
      </c>
      <c r="AM40" s="27">
        <f>[1]Marcadores!AC40</f>
        <v>0</v>
      </c>
      <c r="AN40" s="27">
        <f>[1]Marcadores!AD40</f>
        <v>0</v>
      </c>
      <c r="AO40" s="27">
        <f>[1]Marcadores!AF40</f>
        <v>0</v>
      </c>
      <c r="AP40" s="27">
        <f>[1]Marcadores!AG40</f>
        <v>0</v>
      </c>
      <c r="AQ40" s="27">
        <f>[1]Marcadores!AI40</f>
        <v>0</v>
      </c>
      <c r="AR40" s="27">
        <f>[1]Marcadores!AJ40</f>
        <v>0</v>
      </c>
      <c r="AS40" s="27">
        <f>[1]Marcadores!AL40</f>
        <v>0</v>
      </c>
      <c r="AT40" s="27">
        <f>[1]Marcadores!AM40</f>
        <v>0</v>
      </c>
      <c r="AU40" s="27">
        <f>[1]Marcadores!AO40</f>
        <v>0</v>
      </c>
      <c r="AV40" s="27">
        <f>[1]Marcadores!AP40</f>
        <v>0</v>
      </c>
      <c r="AW40" s="27">
        <f>[1]Marcadores!AR40</f>
        <v>0</v>
      </c>
      <c r="AX40" s="27">
        <f>[1]Marcadores!AS40</f>
        <v>0</v>
      </c>
      <c r="AY40" s="27">
        <f>[1]Marcadores!AU40</f>
        <v>0</v>
      </c>
      <c r="AZ40" s="27">
        <f>[1]Marcadores!AV40</f>
        <v>0</v>
      </c>
      <c r="BA40" s="27">
        <f>[1]Marcadores!AX40</f>
        <v>0</v>
      </c>
      <c r="BB40" s="27">
        <f>[1]Marcadores!AY40</f>
        <v>0</v>
      </c>
      <c r="BC40" s="27">
        <f>[1]Marcadores!BA40</f>
        <v>0</v>
      </c>
      <c r="BD40" s="27">
        <f>[1]Marcadores!BB40</f>
        <v>0</v>
      </c>
      <c r="BE40" s="27">
        <f>[1]Marcadores!BD40</f>
        <v>0</v>
      </c>
      <c r="BS40" s="9">
        <f t="shared" si="14"/>
        <v>0</v>
      </c>
    </row>
    <row r="41" spans="1:71" ht="17.25" thickTop="1" thickBot="1">
      <c r="A41" s="21" t="str">
        <f>Participantes!B39</f>
        <v>Mily Zeynneth</v>
      </c>
      <c r="B41" s="22">
        <f>Participantes!$C39</f>
        <v>3</v>
      </c>
      <c r="C41" s="22">
        <f>Participantes!$D39</f>
        <v>1</v>
      </c>
      <c r="D41" s="26"/>
      <c r="E41" s="22" t="str">
        <f t="shared" si="12"/>
        <v/>
      </c>
      <c r="F41" s="27"/>
      <c r="G41" s="22">
        <f>Participantes!$E39</f>
        <v>2</v>
      </c>
      <c r="H41" s="22">
        <f>Participantes!$F39</f>
        <v>2</v>
      </c>
      <c r="I41" s="22" t="str">
        <f t="shared" si="13"/>
        <v/>
      </c>
      <c r="J41" s="27"/>
      <c r="K41" s="27">
        <f>[1]Marcadores!K41</f>
        <v>0</v>
      </c>
      <c r="L41" s="27">
        <f>[1]Marcadores!L41</f>
        <v>0</v>
      </c>
      <c r="M41" s="27" t="e">
        <f>(IF(AND(K41=K$3, L$3=L41),3,IF(AND(K$3&gt;L$3, K41&gt;L41),2,IF(AND(L$3&gt;K$3,L41&gt;K41), 2, IF(AND(L$3=K$3, L41=K41),2,0))))+IF(#REF!=#REF!,3,0)+IF(AND(#REF!=#REF!,#REF!=#REF!,#REF!&lt;&gt;""),5,0))*IF(K$3="",0,1)</f>
        <v>#REF!</v>
      </c>
      <c r="N41" s="28"/>
      <c r="O41" s="27">
        <f>[1]Marcadores!M41</f>
        <v>0</v>
      </c>
      <c r="P41" s="27">
        <f>[1]Marcadores!N41</f>
        <v>0</v>
      </c>
      <c r="Q41" s="27" t="e">
        <f>(IF(AND(O41=O$3, P$3=P41),3,IF(AND(O$3&gt;P$3, O41&gt;P41),2,IF(AND(P$3&gt;O$3,P41&gt;O41), 2, IF(AND(P$3=O$3, P41=O41),2,0))))+IF(#REF!=#REF!,3,0)+IF(AND(#REF!=#REF!,#REF!=#REF!,#REF!&lt;&gt;""),5,0))*IF(O$3="",0,1)</f>
        <v>#REF!</v>
      </c>
      <c r="R41" s="27"/>
      <c r="S41" s="27">
        <f>[1]Marcadores!G41</f>
        <v>0</v>
      </c>
      <c r="T41" s="27">
        <f>[1]Marcadores!H41</f>
        <v>0</v>
      </c>
      <c r="U41" s="27" t="e">
        <f>(IF(AND(S41=S$3, T$3=T41),3,IF(AND(S$3&gt;T$3, S41&gt;T41),2,IF(AND(T$3&gt;S$3,T41&gt;S41), 2, IF(AND(T$3=S$3, T41=S41),2,0))))+IF(#REF!=#REF!,3,0)+IF(AND(#REF!=#REF!,#REF!=#REF!,#REF!&lt;&gt;""),5,0))*IF(S$3="",0,1)</f>
        <v>#REF!</v>
      </c>
      <c r="V41" s="27"/>
      <c r="W41" s="27">
        <f>[1]Marcadores!I41</f>
        <v>0</v>
      </c>
      <c r="X41" s="27">
        <f>[1]Marcadores!J41</f>
        <v>0</v>
      </c>
      <c r="Y41" s="27" t="e">
        <f>(IF(AND(W41=W$3, X$3=X41),3,IF(AND(W$3&gt;X$3, W41&gt;X41),2,IF(AND(X$3&gt;W$3,X41&gt;W41), 2, IF(AND(X$3=W$3, X41=W41),2,0))))+IF(#REF!=#REF!,3,0)+IF(AND(#REF!=#REF!,#REF!=#REF!,#REF!&lt;&gt;""),5,0))*IF(W$3="",0,1)</f>
        <v>#REF!</v>
      </c>
      <c r="Z41" s="27"/>
      <c r="AA41" s="27">
        <f>[1]Marcadores!O41</f>
        <v>0</v>
      </c>
      <c r="AB41" s="27">
        <f>[1]Marcadores!P41</f>
        <v>0</v>
      </c>
      <c r="AC41" s="27" t="e">
        <f>(IF(AND(AA41=AB$3,#REF!= AB41),3,IF(AND(AB$3&gt;#REF!, AA41&gt;AB41),2,IF(AND(#REF!&gt;AB$3,AB41&gt;AA41), 2, IF(AND(#REF!=AB$3, AB41=AA41),2,0))))+IF(#REF!=#REF!,3,0)+IF(AND(#REF!=#REF!,#REF!=#REF!,#REF!&lt;&gt;""),5,0))*IF(AB$3="",0,1)</f>
        <v>#REF!</v>
      </c>
      <c r="AD41" s="27"/>
      <c r="AE41" s="27">
        <f>[1]Marcadores!Q41</f>
        <v>0</v>
      </c>
      <c r="AF41" s="27">
        <f>[1]Marcadores!R41</f>
        <v>0</v>
      </c>
      <c r="AG41" s="27">
        <f>[1]Marcadores!T41</f>
        <v>0</v>
      </c>
      <c r="AH41" s="27">
        <f>[1]Marcadores!U41</f>
        <v>0</v>
      </c>
      <c r="AI41" s="27">
        <f>[1]Marcadores!W41</f>
        <v>0</v>
      </c>
      <c r="AJ41" s="27">
        <f>[1]Marcadores!X41</f>
        <v>0</v>
      </c>
      <c r="AK41" s="27">
        <f>[1]Marcadores!Z41</f>
        <v>0</v>
      </c>
      <c r="AL41" s="27">
        <f>[1]Marcadores!AA41</f>
        <v>0</v>
      </c>
      <c r="AM41" s="27">
        <f>[1]Marcadores!AC41</f>
        <v>0</v>
      </c>
      <c r="AN41" s="27">
        <f>[1]Marcadores!AD41</f>
        <v>0</v>
      </c>
      <c r="AO41" s="27">
        <f>[1]Marcadores!AF41</f>
        <v>0</v>
      </c>
      <c r="AP41" s="27">
        <f>[1]Marcadores!AG41</f>
        <v>0</v>
      </c>
      <c r="AQ41" s="27">
        <f>[1]Marcadores!AI41</f>
        <v>0</v>
      </c>
      <c r="AR41" s="27">
        <f>[1]Marcadores!AJ41</f>
        <v>0</v>
      </c>
      <c r="AS41" s="27">
        <f>[1]Marcadores!AL41</f>
        <v>0</v>
      </c>
      <c r="AT41" s="27">
        <f>[1]Marcadores!AM41</f>
        <v>0</v>
      </c>
      <c r="AU41" s="27">
        <f>[1]Marcadores!AO41</f>
        <v>0</v>
      </c>
      <c r="AV41" s="27">
        <f>[1]Marcadores!AP41</f>
        <v>0</v>
      </c>
      <c r="AW41" s="27">
        <f>[1]Marcadores!AR41</f>
        <v>0</v>
      </c>
      <c r="AX41" s="27">
        <f>[1]Marcadores!AS41</f>
        <v>0</v>
      </c>
      <c r="AY41" s="27">
        <f>[1]Marcadores!AU41</f>
        <v>0</v>
      </c>
      <c r="AZ41" s="27">
        <f>[1]Marcadores!AV41</f>
        <v>0</v>
      </c>
      <c r="BA41" s="27">
        <f>[1]Marcadores!AX41</f>
        <v>0</v>
      </c>
      <c r="BB41" s="27">
        <f>[1]Marcadores!AY41</f>
        <v>0</v>
      </c>
      <c r="BC41" s="27">
        <f>[1]Marcadores!BA41</f>
        <v>0</v>
      </c>
      <c r="BD41" s="27">
        <f>[1]Marcadores!BB41</f>
        <v>0</v>
      </c>
      <c r="BE41" s="27">
        <f>[1]Marcadores!BD41</f>
        <v>0</v>
      </c>
      <c r="BS41" s="9">
        <f t="shared" si="14"/>
        <v>0</v>
      </c>
    </row>
    <row r="42" spans="1:71" ht="17.25" thickTop="1" thickBot="1">
      <c r="A42" s="21" t="str">
        <f>Participantes!B40</f>
        <v>Nefreteri</v>
      </c>
      <c r="B42" s="22">
        <f>Participantes!$C40</f>
        <v>1</v>
      </c>
      <c r="C42" s="22">
        <f>Participantes!$D40</f>
        <v>2</v>
      </c>
      <c r="D42" s="26"/>
      <c r="E42" s="22" t="str">
        <f t="shared" si="12"/>
        <v/>
      </c>
      <c r="F42" s="27"/>
      <c r="G42" s="22">
        <f>Participantes!$E40</f>
        <v>3</v>
      </c>
      <c r="H42" s="22">
        <f>Participantes!$F40</f>
        <v>0</v>
      </c>
      <c r="I42" s="22" t="str">
        <f t="shared" si="13"/>
        <v/>
      </c>
      <c r="J42" s="27"/>
      <c r="K42" s="27">
        <f>[1]Marcadores!K42</f>
        <v>0</v>
      </c>
      <c r="L42" s="27">
        <f>[1]Marcadores!L42</f>
        <v>0</v>
      </c>
      <c r="M42" s="27" t="e">
        <f>(IF(AND(K42=K$3, L$3=L42),3,IF(AND(K$3&gt;L$3, K42&gt;L42),2,IF(AND(L$3&gt;K$3,L42&gt;K42), 2, IF(AND(L$3=K$3, L42=K42),2,0))))+IF(#REF!=#REF!,3,0)+IF(AND(#REF!=#REF!,#REF!=#REF!,#REF!&lt;&gt;""),5,0))*IF(K$3="",0,1)</f>
        <v>#REF!</v>
      </c>
      <c r="N42" s="28"/>
      <c r="O42" s="27">
        <f>[1]Marcadores!M42</f>
        <v>0</v>
      </c>
      <c r="P42" s="27">
        <f>[1]Marcadores!N42</f>
        <v>0</v>
      </c>
      <c r="Q42" s="27" t="e">
        <f>(IF(AND(O42=O$3, P$3=P42),3,IF(AND(O$3&gt;P$3, O42&gt;P42),2,IF(AND(P$3&gt;O$3,P42&gt;O42), 2, IF(AND(P$3=O$3, P42=O42),2,0))))+IF(#REF!=#REF!,3,0)+IF(AND(#REF!=#REF!,#REF!=#REF!,#REF!&lt;&gt;""),5,0))*IF(O$3="",0,1)</f>
        <v>#REF!</v>
      </c>
      <c r="R42" s="27"/>
      <c r="S42" s="27">
        <f>[1]Marcadores!G42</f>
        <v>0</v>
      </c>
      <c r="T42" s="27">
        <f>[1]Marcadores!H42</f>
        <v>0</v>
      </c>
      <c r="U42" s="27" t="e">
        <f>(IF(AND(S42=S$3, T$3=T42),3,IF(AND(S$3&gt;T$3, S42&gt;T42),2,IF(AND(T$3&gt;S$3,T42&gt;S42), 2, IF(AND(T$3=S$3, T42=S42),2,0))))+IF(#REF!=#REF!,3,0)+IF(AND(#REF!=#REF!,#REF!=#REF!,#REF!&lt;&gt;""),5,0))*IF(S$3="",0,1)</f>
        <v>#REF!</v>
      </c>
      <c r="V42" s="27"/>
      <c r="W42" s="27">
        <f>[1]Marcadores!I42</f>
        <v>0</v>
      </c>
      <c r="X42" s="27">
        <f>[1]Marcadores!J42</f>
        <v>0</v>
      </c>
      <c r="Y42" s="27" t="e">
        <f>(IF(AND(W42=W$3, X$3=X42),3,IF(AND(W$3&gt;X$3, W42&gt;X42),2,IF(AND(X$3&gt;W$3,X42&gt;W42), 2, IF(AND(X$3=W$3, X42=W42),2,0))))+IF(#REF!=#REF!,3,0)+IF(AND(#REF!=#REF!,#REF!=#REF!,#REF!&lt;&gt;""),5,0))*IF(W$3="",0,1)</f>
        <v>#REF!</v>
      </c>
      <c r="Z42" s="27"/>
      <c r="AA42" s="27">
        <f>[1]Marcadores!O42</f>
        <v>0</v>
      </c>
      <c r="AB42" s="27">
        <f>[1]Marcadores!P42</f>
        <v>0</v>
      </c>
      <c r="AC42" s="27" t="e">
        <f>(IF(AND(AA42=AB$3,#REF!= AB42),3,IF(AND(AB$3&gt;#REF!, AA42&gt;AB42),2,IF(AND(#REF!&gt;AB$3,AB42&gt;AA42), 2, IF(AND(#REF!=AB$3, AB42=AA42),2,0))))+IF(#REF!=#REF!,3,0)+IF(AND(#REF!=#REF!,#REF!=#REF!,#REF!&lt;&gt;""),5,0))*IF(AB$3="",0,1)</f>
        <v>#REF!</v>
      </c>
      <c r="AD42" s="27"/>
      <c r="AE42" s="27">
        <f>[1]Marcadores!Q42</f>
        <v>0</v>
      </c>
      <c r="AF42" s="27">
        <f>[1]Marcadores!R42</f>
        <v>0</v>
      </c>
      <c r="AG42" s="27">
        <f>[1]Marcadores!T42</f>
        <v>0</v>
      </c>
      <c r="AH42" s="27">
        <f>[1]Marcadores!U42</f>
        <v>0</v>
      </c>
      <c r="AI42" s="27">
        <f>[1]Marcadores!W42</f>
        <v>0</v>
      </c>
      <c r="AJ42" s="27">
        <f>[1]Marcadores!X42</f>
        <v>0</v>
      </c>
      <c r="AK42" s="27">
        <f>[1]Marcadores!Z42</f>
        <v>0</v>
      </c>
      <c r="AL42" s="27">
        <f>[1]Marcadores!AA42</f>
        <v>0</v>
      </c>
      <c r="AM42" s="27">
        <f>[1]Marcadores!AC42</f>
        <v>0</v>
      </c>
      <c r="AN42" s="27">
        <f>[1]Marcadores!AD42</f>
        <v>0</v>
      </c>
      <c r="AO42" s="27">
        <f>[1]Marcadores!AF42</f>
        <v>0</v>
      </c>
      <c r="AP42" s="27">
        <f>[1]Marcadores!AG42</f>
        <v>0</v>
      </c>
      <c r="AQ42" s="27">
        <f>[1]Marcadores!AI42</f>
        <v>0</v>
      </c>
      <c r="AR42" s="27">
        <f>[1]Marcadores!AJ42</f>
        <v>0</v>
      </c>
      <c r="AS42" s="27">
        <f>[1]Marcadores!AL42</f>
        <v>0</v>
      </c>
      <c r="AT42" s="27">
        <f>[1]Marcadores!AM42</f>
        <v>0</v>
      </c>
      <c r="AU42" s="27">
        <f>[1]Marcadores!AO42</f>
        <v>0</v>
      </c>
      <c r="AV42" s="27">
        <f>[1]Marcadores!AP42</f>
        <v>0</v>
      </c>
      <c r="AW42" s="27">
        <f>[1]Marcadores!AR42</f>
        <v>0</v>
      </c>
      <c r="AX42" s="27">
        <f>[1]Marcadores!AS42</f>
        <v>0</v>
      </c>
      <c r="AY42" s="27">
        <f>[1]Marcadores!AU42</f>
        <v>0</v>
      </c>
      <c r="AZ42" s="27">
        <f>[1]Marcadores!AV42</f>
        <v>0</v>
      </c>
      <c r="BA42" s="27">
        <f>[1]Marcadores!AX42</f>
        <v>0</v>
      </c>
      <c r="BB42" s="27">
        <f>[1]Marcadores!AY42</f>
        <v>0</v>
      </c>
      <c r="BC42" s="27">
        <f>[1]Marcadores!BA42</f>
        <v>0</v>
      </c>
      <c r="BD42" s="27">
        <f>[1]Marcadores!BB42</f>
        <v>0</v>
      </c>
      <c r="BE42" s="27">
        <f>[1]Marcadores!BD42</f>
        <v>0</v>
      </c>
      <c r="BS42" s="9">
        <f t="shared" si="14"/>
        <v>0</v>
      </c>
    </row>
    <row r="43" spans="1:71" ht="17.25" thickTop="1" thickBot="1">
      <c r="A43" s="21" t="str">
        <f>Participantes!B41</f>
        <v>Ninoshka</v>
      </c>
      <c r="B43" s="22">
        <f>Participantes!$C41</f>
        <v>2</v>
      </c>
      <c r="C43" s="22">
        <f>Participantes!$D41</f>
        <v>1</v>
      </c>
      <c r="D43" s="26"/>
      <c r="E43" s="22" t="str">
        <f t="shared" si="12"/>
        <v/>
      </c>
      <c r="F43" s="27"/>
      <c r="G43" s="22">
        <f>Participantes!$E41</f>
        <v>1</v>
      </c>
      <c r="H43" s="22">
        <f>Participantes!$F41</f>
        <v>1</v>
      </c>
      <c r="I43" s="22" t="str">
        <f t="shared" si="13"/>
        <v/>
      </c>
      <c r="J43" s="27"/>
      <c r="K43" s="27">
        <f>[1]Marcadores!K43</f>
        <v>0</v>
      </c>
      <c r="L43" s="27">
        <f>[1]Marcadores!L43</f>
        <v>0</v>
      </c>
      <c r="M43" s="27" t="e">
        <f>(IF(AND(K43=K$3, L$3=L43),3,IF(AND(K$3&gt;L$3, K43&gt;L43),2,IF(AND(L$3&gt;K$3,L43&gt;K43), 2, IF(AND(L$3=K$3, L43=K43),2,0))))+IF(#REF!=#REF!,3,0)+IF(AND(#REF!=#REF!,#REF!=#REF!,#REF!&lt;&gt;""),5,0))*IF(K$3="",0,1)</f>
        <v>#REF!</v>
      </c>
      <c r="N43" s="28"/>
      <c r="O43" s="27">
        <f>[1]Marcadores!M43</f>
        <v>0</v>
      </c>
      <c r="P43" s="27">
        <f>[1]Marcadores!N43</f>
        <v>0</v>
      </c>
      <c r="Q43" s="27" t="e">
        <f>(IF(AND(O43=O$3, P$3=P43),3,IF(AND(O$3&gt;P$3, O43&gt;P43),2,IF(AND(P$3&gt;O$3,P43&gt;O43), 2, IF(AND(P$3=O$3, P43=O43),2,0))))+IF(#REF!=#REF!,3,0)+IF(AND(#REF!=#REF!,#REF!=#REF!,#REF!&lt;&gt;""),5,0))*IF(O$3="",0,1)</f>
        <v>#REF!</v>
      </c>
      <c r="R43" s="27"/>
      <c r="S43" s="27">
        <f>[1]Marcadores!G43</f>
        <v>0</v>
      </c>
      <c r="T43" s="27">
        <f>[1]Marcadores!H43</f>
        <v>0</v>
      </c>
      <c r="U43" s="27" t="e">
        <f>(IF(AND(S43=S$3, T$3=T43),3,IF(AND(S$3&gt;T$3, S43&gt;T43),2,IF(AND(T$3&gt;S$3,T43&gt;S43), 2, IF(AND(T$3=S$3, T43=S43),2,0))))+IF(#REF!=#REF!,3,0)+IF(AND(#REF!=#REF!,#REF!=#REF!,#REF!&lt;&gt;""),5,0))*IF(S$3="",0,1)</f>
        <v>#REF!</v>
      </c>
      <c r="V43" s="27"/>
      <c r="W43" s="27">
        <f>[1]Marcadores!I43</f>
        <v>0</v>
      </c>
      <c r="X43" s="27">
        <f>[1]Marcadores!J43</f>
        <v>0</v>
      </c>
      <c r="Y43" s="27" t="e">
        <f>(IF(AND(W43=W$3, X$3=X43),3,IF(AND(W$3&gt;X$3, W43&gt;X43),2,IF(AND(X$3&gt;W$3,X43&gt;W43), 2, IF(AND(X$3=W$3, X43=W43),2,0))))+IF(#REF!=#REF!,3,0)+IF(AND(#REF!=#REF!,#REF!=#REF!,#REF!&lt;&gt;""),5,0))*IF(W$3="",0,1)</f>
        <v>#REF!</v>
      </c>
      <c r="Z43" s="27"/>
      <c r="AA43" s="27">
        <f>[1]Marcadores!O43</f>
        <v>0</v>
      </c>
      <c r="AB43" s="27">
        <f>[1]Marcadores!P43</f>
        <v>0</v>
      </c>
      <c r="AC43" s="27" t="e">
        <f>(IF(AND(AA43=AB$3,#REF!= AB43),3,IF(AND(AB$3&gt;#REF!, AA43&gt;AB43),2,IF(AND(#REF!&gt;AB$3,AB43&gt;AA43), 2, IF(AND(#REF!=AB$3, AB43=AA43),2,0))))+IF(#REF!=#REF!,3,0)+IF(AND(#REF!=#REF!,#REF!=#REF!,#REF!&lt;&gt;""),5,0))*IF(AB$3="",0,1)</f>
        <v>#REF!</v>
      </c>
      <c r="AD43" s="27"/>
      <c r="AE43" s="27">
        <f>[1]Marcadores!Q43</f>
        <v>0</v>
      </c>
      <c r="AF43" s="27">
        <f>[1]Marcadores!R43</f>
        <v>0</v>
      </c>
      <c r="AG43" s="27">
        <f>[1]Marcadores!T43</f>
        <v>0</v>
      </c>
      <c r="AH43" s="27">
        <f>[1]Marcadores!U43</f>
        <v>0</v>
      </c>
      <c r="AI43" s="27">
        <f>[1]Marcadores!W43</f>
        <v>0</v>
      </c>
      <c r="AJ43" s="27">
        <f>[1]Marcadores!X43</f>
        <v>0</v>
      </c>
      <c r="AK43" s="27">
        <f>[1]Marcadores!Z43</f>
        <v>0</v>
      </c>
      <c r="AL43" s="27">
        <f>[1]Marcadores!AA43</f>
        <v>0</v>
      </c>
      <c r="AM43" s="27">
        <f>[1]Marcadores!AC43</f>
        <v>0</v>
      </c>
      <c r="AN43" s="27">
        <f>[1]Marcadores!AD43</f>
        <v>0</v>
      </c>
      <c r="AO43" s="27">
        <f>[1]Marcadores!AF43</f>
        <v>0</v>
      </c>
      <c r="AP43" s="27">
        <f>[1]Marcadores!AG43</f>
        <v>0</v>
      </c>
      <c r="AQ43" s="27">
        <f>[1]Marcadores!AI43</f>
        <v>0</v>
      </c>
      <c r="AR43" s="27">
        <f>[1]Marcadores!AJ43</f>
        <v>0</v>
      </c>
      <c r="AS43" s="27">
        <f>[1]Marcadores!AL43</f>
        <v>0</v>
      </c>
      <c r="AT43" s="27">
        <f>[1]Marcadores!AM43</f>
        <v>0</v>
      </c>
      <c r="AU43" s="27">
        <f>[1]Marcadores!AO43</f>
        <v>0</v>
      </c>
      <c r="AV43" s="27">
        <f>[1]Marcadores!AP43</f>
        <v>0</v>
      </c>
      <c r="AW43" s="27">
        <f>[1]Marcadores!AR43</f>
        <v>0</v>
      </c>
      <c r="AX43" s="27">
        <f>[1]Marcadores!AS43</f>
        <v>0</v>
      </c>
      <c r="AY43" s="27">
        <f>[1]Marcadores!AU43</f>
        <v>0</v>
      </c>
      <c r="AZ43" s="27">
        <f>[1]Marcadores!AV43</f>
        <v>0</v>
      </c>
      <c r="BA43" s="27">
        <f>[1]Marcadores!AX43</f>
        <v>0</v>
      </c>
      <c r="BB43" s="27">
        <f>[1]Marcadores!AY43</f>
        <v>0</v>
      </c>
      <c r="BC43" s="27">
        <f>[1]Marcadores!BA43</f>
        <v>0</v>
      </c>
      <c r="BD43" s="27">
        <f>[1]Marcadores!BB43</f>
        <v>0</v>
      </c>
      <c r="BE43" s="27">
        <f>[1]Marcadores!BD43</f>
        <v>0</v>
      </c>
      <c r="BS43" s="9">
        <f t="shared" si="14"/>
        <v>0</v>
      </c>
    </row>
    <row r="44" spans="1:71" ht="17.25" thickTop="1" thickBot="1">
      <c r="A44" s="21" t="str">
        <f>Participantes!B42</f>
        <v>Osvaldo</v>
      </c>
      <c r="B44" s="22">
        <f>Participantes!$C42</f>
        <v>2</v>
      </c>
      <c r="C44" s="22">
        <f>Participantes!$D42</f>
        <v>1</v>
      </c>
      <c r="D44" s="26"/>
      <c r="E44" s="22" t="str">
        <f t="shared" si="12"/>
        <v/>
      </c>
      <c r="F44" s="27"/>
      <c r="G44" s="22">
        <f>Participantes!$E42</f>
        <v>2</v>
      </c>
      <c r="H44" s="22">
        <f>Participantes!$F42</f>
        <v>1</v>
      </c>
      <c r="I44" s="22" t="str">
        <f t="shared" si="13"/>
        <v/>
      </c>
      <c r="J44" s="27"/>
      <c r="K44" s="27">
        <f>[1]Marcadores!K44</f>
        <v>0</v>
      </c>
      <c r="L44" s="27">
        <f>[1]Marcadores!L44</f>
        <v>0</v>
      </c>
      <c r="M44" s="27" t="e">
        <f>(IF(AND(K44=K$3, L$3=L44),3,IF(AND(K$3&gt;L$3, K44&gt;L44),2,IF(AND(L$3&gt;K$3,L44&gt;K44), 2, IF(AND(L$3=K$3, L44=K44),2,0))))+IF(#REF!=#REF!,3,0)+IF(AND(#REF!=#REF!,#REF!=#REF!,#REF!&lt;&gt;""),5,0))*IF(K$3="",0,1)</f>
        <v>#REF!</v>
      </c>
      <c r="N44" s="28"/>
      <c r="O44" s="27">
        <f>[1]Marcadores!M44</f>
        <v>0</v>
      </c>
      <c r="P44" s="27">
        <f>[1]Marcadores!N44</f>
        <v>0</v>
      </c>
      <c r="Q44" s="27" t="e">
        <f>(IF(AND(O44=O$3, P$3=P44),3,IF(AND(O$3&gt;P$3, O44&gt;P44),2,IF(AND(P$3&gt;O$3,P44&gt;O44), 2, IF(AND(P$3=O$3, P44=O44),2,0))))+IF(#REF!=#REF!,3,0)+IF(AND(#REF!=#REF!,#REF!=#REF!,#REF!&lt;&gt;""),5,0))*IF(O$3="",0,1)</f>
        <v>#REF!</v>
      </c>
      <c r="R44" s="27"/>
      <c r="S44" s="27">
        <f>[1]Marcadores!G44</f>
        <v>0</v>
      </c>
      <c r="T44" s="27">
        <f>[1]Marcadores!H44</f>
        <v>0</v>
      </c>
      <c r="U44" s="27" t="e">
        <f>(IF(AND(S44=S$3, T$3=T44),3,IF(AND(S$3&gt;T$3, S44&gt;T44),2,IF(AND(T$3&gt;S$3,T44&gt;S44), 2, IF(AND(T$3=S$3, T44=S44),2,0))))+IF(#REF!=#REF!,3,0)+IF(AND(#REF!=#REF!,#REF!=#REF!,#REF!&lt;&gt;""),5,0))*IF(S$3="",0,1)</f>
        <v>#REF!</v>
      </c>
      <c r="V44" s="27"/>
      <c r="W44" s="27">
        <f>[1]Marcadores!I44</f>
        <v>0</v>
      </c>
      <c r="X44" s="27">
        <f>[1]Marcadores!J44</f>
        <v>0</v>
      </c>
      <c r="Y44" s="27" t="e">
        <f>(IF(AND(W44=W$3, X$3=X44),3,IF(AND(W$3&gt;X$3, W44&gt;X44),2,IF(AND(X$3&gt;W$3,X44&gt;W44), 2, IF(AND(X$3=W$3, X44=W44),2,0))))+IF(#REF!=#REF!,3,0)+IF(AND(#REF!=#REF!,#REF!=#REF!,#REF!&lt;&gt;""),5,0))*IF(W$3="",0,1)</f>
        <v>#REF!</v>
      </c>
      <c r="Z44" s="27"/>
      <c r="AA44" s="27">
        <f>[1]Marcadores!O44</f>
        <v>0</v>
      </c>
      <c r="AB44" s="27">
        <f>[1]Marcadores!P44</f>
        <v>0</v>
      </c>
      <c r="AC44" s="27" t="e">
        <f>(IF(AND(AA44=AB$3,#REF!= AB44),3,IF(AND(AB$3&gt;#REF!, AA44&gt;AB44),2,IF(AND(#REF!&gt;AB$3,AB44&gt;AA44), 2, IF(AND(#REF!=AB$3, AB44=AA44),2,0))))+IF(#REF!=#REF!,3,0)+IF(AND(#REF!=#REF!,#REF!=#REF!,#REF!&lt;&gt;""),5,0))*IF(AB$3="",0,1)</f>
        <v>#REF!</v>
      </c>
      <c r="AD44" s="27"/>
      <c r="AE44" s="27">
        <f>[1]Marcadores!Q44</f>
        <v>0</v>
      </c>
      <c r="AF44" s="27">
        <f>[1]Marcadores!R44</f>
        <v>0</v>
      </c>
      <c r="AG44" s="27">
        <f>[1]Marcadores!T44</f>
        <v>0</v>
      </c>
      <c r="AH44" s="27">
        <f>[1]Marcadores!U44</f>
        <v>0</v>
      </c>
      <c r="AI44" s="27">
        <f>[1]Marcadores!W44</f>
        <v>0</v>
      </c>
      <c r="AJ44" s="27">
        <f>[1]Marcadores!X44</f>
        <v>0</v>
      </c>
      <c r="AK44" s="27">
        <f>[1]Marcadores!Z44</f>
        <v>0</v>
      </c>
      <c r="AL44" s="27">
        <f>[1]Marcadores!AA44</f>
        <v>0</v>
      </c>
      <c r="AM44" s="27">
        <f>[1]Marcadores!AC44</f>
        <v>0</v>
      </c>
      <c r="AN44" s="27">
        <f>[1]Marcadores!AD44</f>
        <v>0</v>
      </c>
      <c r="AO44" s="27">
        <f>[1]Marcadores!AF44</f>
        <v>0</v>
      </c>
      <c r="AP44" s="27">
        <f>[1]Marcadores!AG44</f>
        <v>0</v>
      </c>
      <c r="AQ44" s="27">
        <f>[1]Marcadores!AI44</f>
        <v>0</v>
      </c>
      <c r="AR44" s="27">
        <f>[1]Marcadores!AJ44</f>
        <v>0</v>
      </c>
      <c r="AS44" s="27">
        <f>[1]Marcadores!AL44</f>
        <v>0</v>
      </c>
      <c r="AT44" s="27">
        <f>[1]Marcadores!AM44</f>
        <v>0</v>
      </c>
      <c r="AU44" s="27">
        <f>[1]Marcadores!AO44</f>
        <v>0</v>
      </c>
      <c r="AV44" s="27">
        <f>[1]Marcadores!AP44</f>
        <v>0</v>
      </c>
      <c r="AW44" s="27">
        <f>[1]Marcadores!AR44</f>
        <v>0</v>
      </c>
      <c r="AX44" s="27">
        <f>[1]Marcadores!AS44</f>
        <v>0</v>
      </c>
      <c r="AY44" s="27">
        <f>[1]Marcadores!AU44</f>
        <v>0</v>
      </c>
      <c r="AZ44" s="27">
        <f>[1]Marcadores!AV44</f>
        <v>0</v>
      </c>
      <c r="BA44" s="27">
        <f>[1]Marcadores!AX44</f>
        <v>0</v>
      </c>
      <c r="BB44" s="27">
        <f>[1]Marcadores!AY44</f>
        <v>0</v>
      </c>
      <c r="BC44" s="27">
        <f>[1]Marcadores!BA44</f>
        <v>0</v>
      </c>
      <c r="BD44" s="27">
        <f>[1]Marcadores!BB44</f>
        <v>0</v>
      </c>
      <c r="BE44" s="27">
        <f>[1]Marcadores!BD44</f>
        <v>0</v>
      </c>
      <c r="BS44" s="9">
        <f t="shared" si="14"/>
        <v>0</v>
      </c>
    </row>
    <row r="45" spans="1:71" ht="17.25" thickTop="1" thickBot="1">
      <c r="A45" s="21" t="str">
        <f>Participantes!B43</f>
        <v>Peter</v>
      </c>
      <c r="B45" s="22">
        <f>Participantes!$C43</f>
        <v>2</v>
      </c>
      <c r="C45" s="22">
        <f>Participantes!$D43</f>
        <v>0</v>
      </c>
      <c r="D45" s="26"/>
      <c r="E45" s="22" t="str">
        <f t="shared" si="12"/>
        <v/>
      </c>
      <c r="F45" s="27"/>
      <c r="G45" s="22">
        <f>Participantes!$E43</f>
        <v>1</v>
      </c>
      <c r="H45" s="22">
        <f>Participantes!$F43</f>
        <v>0</v>
      </c>
      <c r="I45" s="22" t="str">
        <f t="shared" si="13"/>
        <v/>
      </c>
      <c r="J45" s="27"/>
      <c r="K45" s="27">
        <f>[1]Marcadores!K45</f>
        <v>0</v>
      </c>
      <c r="L45" s="27">
        <f>[1]Marcadores!L45</f>
        <v>0</v>
      </c>
      <c r="M45" s="27" t="e">
        <f>(IF(AND(K45=K$3, L$3=L45),3,IF(AND(K$3&gt;L$3, K45&gt;L45),2,IF(AND(L$3&gt;K$3,L45&gt;K45), 2, IF(AND(L$3=K$3, L45=K45),2,0))))+IF(#REF!=#REF!,3,0)+IF(AND(#REF!=#REF!,#REF!=#REF!,#REF!&lt;&gt;""),5,0))*IF(K$3="",0,1)</f>
        <v>#REF!</v>
      </c>
      <c r="N45" s="28"/>
      <c r="O45" s="27">
        <f>[1]Marcadores!M45</f>
        <v>0</v>
      </c>
      <c r="P45" s="27">
        <f>[1]Marcadores!N45</f>
        <v>0</v>
      </c>
      <c r="Q45" s="27" t="e">
        <f>(IF(AND(O45=O$3, P$3=P45),3,IF(AND(O$3&gt;P$3, O45&gt;P45),2,IF(AND(P$3&gt;O$3,P45&gt;O45), 2, IF(AND(P$3=O$3, P45=O45),2,0))))+IF(#REF!=#REF!,3,0)+IF(AND(#REF!=#REF!,#REF!=#REF!,#REF!&lt;&gt;""),5,0))*IF(O$3="",0,1)</f>
        <v>#REF!</v>
      </c>
      <c r="R45" s="27"/>
      <c r="S45" s="27">
        <f>[1]Marcadores!G45</f>
        <v>0</v>
      </c>
      <c r="T45" s="27">
        <f>[1]Marcadores!H45</f>
        <v>0</v>
      </c>
      <c r="U45" s="27" t="e">
        <f>(IF(AND(S45=S$3, T$3=T45),3,IF(AND(S$3&gt;T$3, S45&gt;T45),2,IF(AND(T$3&gt;S$3,T45&gt;S45), 2, IF(AND(T$3=S$3, T45=S45),2,0))))+IF(#REF!=#REF!,3,0)+IF(AND(#REF!=#REF!,#REF!=#REF!,#REF!&lt;&gt;""),5,0))*IF(S$3="",0,1)</f>
        <v>#REF!</v>
      </c>
      <c r="V45" s="27"/>
      <c r="W45" s="27">
        <f>[1]Marcadores!I45</f>
        <v>0</v>
      </c>
      <c r="X45" s="27">
        <f>[1]Marcadores!J45</f>
        <v>0</v>
      </c>
      <c r="Y45" s="27" t="e">
        <f>(IF(AND(W45=W$3, X$3=X45),3,IF(AND(W$3&gt;X$3, W45&gt;X45),2,IF(AND(X$3&gt;W$3,X45&gt;W45), 2, IF(AND(X$3=W$3, X45=W45),2,0))))+IF(#REF!=#REF!,3,0)+IF(AND(#REF!=#REF!,#REF!=#REF!,#REF!&lt;&gt;""),5,0))*IF(W$3="",0,1)</f>
        <v>#REF!</v>
      </c>
      <c r="Z45" s="27"/>
      <c r="AA45" s="27">
        <f>[1]Marcadores!O45</f>
        <v>0</v>
      </c>
      <c r="AB45" s="27">
        <f>[1]Marcadores!P45</f>
        <v>0</v>
      </c>
      <c r="AC45" s="27" t="e">
        <f>(IF(AND(AA45=AB$3,#REF!= AB45),3,IF(AND(AB$3&gt;#REF!, AA45&gt;AB45),2,IF(AND(#REF!&gt;AB$3,AB45&gt;AA45), 2, IF(AND(#REF!=AB$3, AB45=AA45),2,0))))+IF(#REF!=#REF!,3,0)+IF(AND(#REF!=#REF!,#REF!=#REF!,#REF!&lt;&gt;""),5,0))*IF(AB$3="",0,1)</f>
        <v>#REF!</v>
      </c>
      <c r="AD45" s="27"/>
      <c r="AE45" s="27">
        <f>[1]Marcadores!Q45</f>
        <v>0</v>
      </c>
      <c r="AF45" s="27">
        <f>[1]Marcadores!R45</f>
        <v>0</v>
      </c>
      <c r="AG45" s="27">
        <f>[1]Marcadores!T45</f>
        <v>0</v>
      </c>
      <c r="AH45" s="27">
        <f>[1]Marcadores!U45</f>
        <v>0</v>
      </c>
      <c r="AI45" s="27">
        <f>[1]Marcadores!W45</f>
        <v>0</v>
      </c>
      <c r="AJ45" s="27">
        <f>[1]Marcadores!X45</f>
        <v>0</v>
      </c>
      <c r="AK45" s="27">
        <f>[1]Marcadores!Z45</f>
        <v>0</v>
      </c>
      <c r="AL45" s="27">
        <f>[1]Marcadores!AA45</f>
        <v>0</v>
      </c>
      <c r="AM45" s="27">
        <f>[1]Marcadores!AC45</f>
        <v>0</v>
      </c>
      <c r="AN45" s="27">
        <f>[1]Marcadores!AD45</f>
        <v>0</v>
      </c>
      <c r="AO45" s="27">
        <f>[1]Marcadores!AF45</f>
        <v>0</v>
      </c>
      <c r="AP45" s="27">
        <f>[1]Marcadores!AG45</f>
        <v>0</v>
      </c>
      <c r="AQ45" s="27">
        <f>[1]Marcadores!AI45</f>
        <v>0</v>
      </c>
      <c r="AR45" s="27">
        <f>[1]Marcadores!AJ45</f>
        <v>0</v>
      </c>
      <c r="AS45" s="27">
        <f>[1]Marcadores!AL45</f>
        <v>0</v>
      </c>
      <c r="AT45" s="27">
        <f>[1]Marcadores!AM45</f>
        <v>0</v>
      </c>
      <c r="AU45" s="27">
        <f>[1]Marcadores!AO45</f>
        <v>0</v>
      </c>
      <c r="AV45" s="27">
        <f>[1]Marcadores!AP45</f>
        <v>0</v>
      </c>
      <c r="AW45" s="27">
        <f>[1]Marcadores!AR45</f>
        <v>0</v>
      </c>
      <c r="AX45" s="27">
        <f>[1]Marcadores!AS45</f>
        <v>0</v>
      </c>
      <c r="AY45" s="27">
        <f>[1]Marcadores!AU45</f>
        <v>0</v>
      </c>
      <c r="AZ45" s="27">
        <f>[1]Marcadores!AV45</f>
        <v>0</v>
      </c>
      <c r="BA45" s="27">
        <f>[1]Marcadores!AX45</f>
        <v>0</v>
      </c>
      <c r="BB45" s="27">
        <f>[1]Marcadores!AY45</f>
        <v>0</v>
      </c>
      <c r="BC45" s="27">
        <f>[1]Marcadores!BA45</f>
        <v>0</v>
      </c>
      <c r="BD45" s="27">
        <f>[1]Marcadores!BB45</f>
        <v>0</v>
      </c>
      <c r="BE45" s="27">
        <f>[1]Marcadores!BD45</f>
        <v>0</v>
      </c>
      <c r="BS45" s="9">
        <f t="shared" si="14"/>
        <v>0</v>
      </c>
    </row>
    <row r="46" spans="1:71" ht="17.25" thickTop="1" thickBot="1">
      <c r="A46" s="21" t="str">
        <f>Participantes!B44</f>
        <v>Quinnie</v>
      </c>
      <c r="B46" s="22">
        <f>Participantes!$C44</f>
        <v>2</v>
      </c>
      <c r="C46" s="22">
        <f>Participantes!$D44</f>
        <v>0</v>
      </c>
      <c r="D46" s="26"/>
      <c r="E46" s="22" t="str">
        <f t="shared" si="12"/>
        <v/>
      </c>
      <c r="F46" s="27"/>
      <c r="G46" s="22">
        <f>Participantes!$E44</f>
        <v>1</v>
      </c>
      <c r="H46" s="22">
        <f>Participantes!$F44</f>
        <v>1</v>
      </c>
      <c r="I46" s="22" t="str">
        <f t="shared" si="13"/>
        <v/>
      </c>
      <c r="J46" s="27"/>
      <c r="K46" s="27">
        <f>[1]Marcadores!K46</f>
        <v>0</v>
      </c>
      <c r="L46" s="27">
        <f>[1]Marcadores!L46</f>
        <v>0</v>
      </c>
      <c r="M46" s="27" t="e">
        <f>(IF(AND(K46=K$3, L$3=L46),3,IF(AND(K$3&gt;L$3, K46&gt;L46),2,IF(AND(L$3&gt;K$3,L46&gt;K46), 2, IF(AND(L$3=K$3, L46=K46),2,0))))+IF(#REF!=#REF!,3,0)+IF(AND(#REF!=#REF!,#REF!=#REF!,#REF!&lt;&gt;""),5,0))*IF(K$3="",0,1)</f>
        <v>#REF!</v>
      </c>
      <c r="N46" s="28"/>
      <c r="O46" s="27">
        <f>[1]Marcadores!M46</f>
        <v>0</v>
      </c>
      <c r="P46" s="27">
        <f>[1]Marcadores!N46</f>
        <v>0</v>
      </c>
      <c r="Q46" s="27" t="e">
        <f>(IF(AND(O46=O$3, P$3=P46),3,IF(AND(O$3&gt;P$3, O46&gt;P46),2,IF(AND(P$3&gt;O$3,P46&gt;O46), 2, IF(AND(P$3=O$3, P46=O46),2,0))))+IF(#REF!=#REF!,3,0)+IF(AND(#REF!=#REF!,#REF!=#REF!,#REF!&lt;&gt;""),5,0))*IF(O$3="",0,1)</f>
        <v>#REF!</v>
      </c>
      <c r="R46" s="27"/>
      <c r="S46" s="27">
        <f>[1]Marcadores!G46</f>
        <v>0</v>
      </c>
      <c r="T46" s="27">
        <f>[1]Marcadores!H46</f>
        <v>0</v>
      </c>
      <c r="U46" s="27" t="e">
        <f>(IF(AND(S46=S$3, T$3=T46),3,IF(AND(S$3&gt;T$3, S46&gt;T46),2,IF(AND(T$3&gt;S$3,T46&gt;S46), 2, IF(AND(T$3=S$3, T46=S46),2,0))))+IF(#REF!=#REF!,3,0)+IF(AND(#REF!=#REF!,#REF!=#REF!,#REF!&lt;&gt;""),5,0))*IF(S$3="",0,1)</f>
        <v>#REF!</v>
      </c>
      <c r="V46" s="27"/>
      <c r="W46" s="27">
        <f>[1]Marcadores!I46</f>
        <v>0</v>
      </c>
      <c r="X46" s="27">
        <f>[1]Marcadores!J46</f>
        <v>0</v>
      </c>
      <c r="Y46" s="27" t="e">
        <f>(IF(AND(W46=W$3, X$3=X46),3,IF(AND(W$3&gt;X$3, W46&gt;X46),2,IF(AND(X$3&gt;W$3,X46&gt;W46), 2, IF(AND(X$3=W$3, X46=W46),2,0))))+IF(#REF!=#REF!,3,0)+IF(AND(#REF!=#REF!,#REF!=#REF!,#REF!&lt;&gt;""),5,0))*IF(W$3="",0,1)</f>
        <v>#REF!</v>
      </c>
      <c r="Z46" s="27"/>
      <c r="AA46" s="27">
        <f>[1]Marcadores!O46</f>
        <v>0</v>
      </c>
      <c r="AB46" s="27">
        <f>[1]Marcadores!P46</f>
        <v>0</v>
      </c>
      <c r="AC46" s="27" t="e">
        <f>(IF(AND(AA46=AB$3,#REF!= AB46),3,IF(AND(AB$3&gt;#REF!, AA46&gt;AB46),2,IF(AND(#REF!&gt;AB$3,AB46&gt;AA46), 2, IF(AND(#REF!=AB$3, AB46=AA46),2,0))))+IF(#REF!=#REF!,3,0)+IF(AND(#REF!=#REF!,#REF!=#REF!,#REF!&lt;&gt;""),5,0))*IF(AB$3="",0,1)</f>
        <v>#REF!</v>
      </c>
      <c r="AD46" s="27"/>
      <c r="AE46" s="27">
        <f>[1]Marcadores!Q46</f>
        <v>0</v>
      </c>
      <c r="AF46" s="27">
        <f>[1]Marcadores!R46</f>
        <v>0</v>
      </c>
      <c r="AG46" s="27">
        <f>[1]Marcadores!T46</f>
        <v>0</v>
      </c>
      <c r="AH46" s="27">
        <f>[1]Marcadores!U46</f>
        <v>0</v>
      </c>
      <c r="AI46" s="27">
        <f>[1]Marcadores!W46</f>
        <v>0</v>
      </c>
      <c r="AJ46" s="27">
        <f>[1]Marcadores!X46</f>
        <v>0</v>
      </c>
      <c r="AK46" s="27">
        <f>[1]Marcadores!Z46</f>
        <v>0</v>
      </c>
      <c r="AL46" s="27">
        <f>[1]Marcadores!AA46</f>
        <v>0</v>
      </c>
      <c r="AM46" s="27">
        <f>[1]Marcadores!AC46</f>
        <v>0</v>
      </c>
      <c r="AN46" s="27">
        <f>[1]Marcadores!AD46</f>
        <v>0</v>
      </c>
      <c r="AO46" s="27">
        <f>[1]Marcadores!AF46</f>
        <v>0</v>
      </c>
      <c r="AP46" s="27">
        <f>[1]Marcadores!AG46</f>
        <v>0</v>
      </c>
      <c r="AQ46" s="27">
        <f>[1]Marcadores!AI46</f>
        <v>0</v>
      </c>
      <c r="AR46" s="27">
        <f>[1]Marcadores!AJ46</f>
        <v>0</v>
      </c>
      <c r="AS46" s="27">
        <f>[1]Marcadores!AL46</f>
        <v>0</v>
      </c>
      <c r="AT46" s="27">
        <f>[1]Marcadores!AM46</f>
        <v>0</v>
      </c>
      <c r="AU46" s="27">
        <f>[1]Marcadores!AO46</f>
        <v>0</v>
      </c>
      <c r="AV46" s="27">
        <f>[1]Marcadores!AP46</f>
        <v>0</v>
      </c>
      <c r="AW46" s="27">
        <f>[1]Marcadores!AR46</f>
        <v>0</v>
      </c>
      <c r="AX46" s="27">
        <f>[1]Marcadores!AS46</f>
        <v>0</v>
      </c>
      <c r="AY46" s="27">
        <f>[1]Marcadores!AU46</f>
        <v>0</v>
      </c>
      <c r="AZ46" s="27">
        <f>[1]Marcadores!AV46</f>
        <v>0</v>
      </c>
      <c r="BA46" s="27">
        <f>[1]Marcadores!AX46</f>
        <v>0</v>
      </c>
      <c r="BB46" s="27">
        <f>[1]Marcadores!AY46</f>
        <v>0</v>
      </c>
      <c r="BC46" s="27">
        <f>[1]Marcadores!BA46</f>
        <v>0</v>
      </c>
      <c r="BD46" s="27">
        <f>[1]Marcadores!BB46</f>
        <v>0</v>
      </c>
      <c r="BE46" s="27">
        <f>[1]Marcadores!BD46</f>
        <v>0</v>
      </c>
      <c r="BS46" s="9">
        <f t="shared" si="14"/>
        <v>0</v>
      </c>
    </row>
    <row r="47" spans="1:71" ht="17.25" thickTop="1" thickBot="1">
      <c r="A47" s="21" t="str">
        <f>Participantes!B45</f>
        <v>Radames</v>
      </c>
      <c r="B47" s="22">
        <f>Participantes!$C45</f>
        <v>2</v>
      </c>
      <c r="C47" s="22">
        <f>Participantes!$D45</f>
        <v>0</v>
      </c>
      <c r="D47" s="26"/>
      <c r="E47" s="22" t="str">
        <f t="shared" si="12"/>
        <v/>
      </c>
      <c r="F47" s="27"/>
      <c r="G47" s="22">
        <f>Participantes!$E45</f>
        <v>0</v>
      </c>
      <c r="H47" s="22">
        <f>Participantes!$F45</f>
        <v>1</v>
      </c>
      <c r="I47" s="22" t="str">
        <f t="shared" si="13"/>
        <v/>
      </c>
      <c r="J47" s="27"/>
      <c r="K47" s="27">
        <f>[1]Marcadores!K47</f>
        <v>0</v>
      </c>
      <c r="L47" s="27">
        <f>[1]Marcadores!L47</f>
        <v>0</v>
      </c>
      <c r="M47" s="27" t="e">
        <f>(IF(AND(K47=K$3, L$3=L47),3,IF(AND(K$3&gt;L$3, K47&gt;L47),2,IF(AND(L$3&gt;K$3,L47&gt;K47), 2, IF(AND(L$3=K$3, L47=K47),2,0))))+IF(#REF!=#REF!,3,0)+IF(AND(#REF!=#REF!,#REF!=#REF!,#REF!&lt;&gt;""),5,0))*IF(K$3="",0,1)</f>
        <v>#REF!</v>
      </c>
      <c r="N47" s="28"/>
      <c r="O47" s="27">
        <f>[1]Marcadores!M47</f>
        <v>0</v>
      </c>
      <c r="P47" s="27">
        <f>[1]Marcadores!N47</f>
        <v>0</v>
      </c>
      <c r="Q47" s="27" t="e">
        <f>(IF(AND(O47=O$3, P$3=P47),3,IF(AND(O$3&gt;P$3, O47&gt;P47),2,IF(AND(P$3&gt;O$3,P47&gt;O47), 2, IF(AND(P$3=O$3, P47=O47),2,0))))+IF(#REF!=#REF!,3,0)+IF(AND(#REF!=#REF!,#REF!=#REF!,#REF!&lt;&gt;""),5,0))*IF(O$3="",0,1)</f>
        <v>#REF!</v>
      </c>
      <c r="R47" s="27"/>
      <c r="S47" s="27">
        <f>[1]Marcadores!G47</f>
        <v>0</v>
      </c>
      <c r="T47" s="27">
        <f>[1]Marcadores!H47</f>
        <v>0</v>
      </c>
      <c r="U47" s="27" t="e">
        <f>(IF(AND(S47=S$3, T$3=T47),3,IF(AND(S$3&gt;T$3, S47&gt;T47),2,IF(AND(T$3&gt;S$3,T47&gt;S47), 2, IF(AND(T$3=S$3, T47=S47),2,0))))+IF(#REF!=#REF!,3,0)+IF(AND(#REF!=#REF!,#REF!=#REF!,#REF!&lt;&gt;""),5,0))*IF(S$3="",0,1)</f>
        <v>#REF!</v>
      </c>
      <c r="V47" s="27"/>
      <c r="W47" s="27">
        <f>[1]Marcadores!I47</f>
        <v>0</v>
      </c>
      <c r="X47" s="27">
        <f>[1]Marcadores!J47</f>
        <v>0</v>
      </c>
      <c r="Y47" s="27" t="e">
        <f>(IF(AND(W47=W$3, X$3=X47),3,IF(AND(W$3&gt;X$3, W47&gt;X47),2,IF(AND(X$3&gt;W$3,X47&gt;W47), 2, IF(AND(X$3=W$3, X47=W47),2,0))))+IF(#REF!=#REF!,3,0)+IF(AND(#REF!=#REF!,#REF!=#REF!,#REF!&lt;&gt;""),5,0))*IF(W$3="",0,1)</f>
        <v>#REF!</v>
      </c>
      <c r="Z47" s="27"/>
      <c r="AA47" s="27">
        <f>[1]Marcadores!O47</f>
        <v>0</v>
      </c>
      <c r="AB47" s="27">
        <f>[1]Marcadores!P47</f>
        <v>0</v>
      </c>
      <c r="AC47" s="27" t="e">
        <f>(IF(AND(AA47=AB$3,#REF!= AB47),3,IF(AND(AB$3&gt;#REF!, AA47&gt;AB47),2,IF(AND(#REF!&gt;AB$3,AB47&gt;AA47), 2, IF(AND(#REF!=AB$3, AB47=AA47),2,0))))+IF(#REF!=#REF!,3,0)+IF(AND(#REF!=#REF!,#REF!=#REF!,#REF!&lt;&gt;""),5,0))*IF(AB$3="",0,1)</f>
        <v>#REF!</v>
      </c>
      <c r="AD47" s="27"/>
      <c r="AE47" s="27">
        <f>[1]Marcadores!Q47</f>
        <v>0</v>
      </c>
      <c r="AF47" s="27">
        <f>[1]Marcadores!R47</f>
        <v>0</v>
      </c>
      <c r="AG47" s="27">
        <f>[1]Marcadores!T47</f>
        <v>0</v>
      </c>
      <c r="AH47" s="27">
        <f>[1]Marcadores!U47</f>
        <v>0</v>
      </c>
      <c r="AI47" s="27">
        <f>[1]Marcadores!W47</f>
        <v>0</v>
      </c>
      <c r="AJ47" s="27">
        <f>[1]Marcadores!X47</f>
        <v>0</v>
      </c>
      <c r="AK47" s="27">
        <f>[1]Marcadores!Z47</f>
        <v>0</v>
      </c>
      <c r="AL47" s="27">
        <f>[1]Marcadores!AA47</f>
        <v>0</v>
      </c>
      <c r="AM47" s="27">
        <f>[1]Marcadores!AC47</f>
        <v>0</v>
      </c>
      <c r="AN47" s="27">
        <f>[1]Marcadores!AD47</f>
        <v>0</v>
      </c>
      <c r="AO47" s="27">
        <f>[1]Marcadores!AF47</f>
        <v>0</v>
      </c>
      <c r="AP47" s="27">
        <f>[1]Marcadores!AG47</f>
        <v>0</v>
      </c>
      <c r="AQ47" s="27">
        <f>[1]Marcadores!AI47</f>
        <v>0</v>
      </c>
      <c r="AR47" s="27">
        <f>[1]Marcadores!AJ47</f>
        <v>0</v>
      </c>
      <c r="AS47" s="27">
        <f>[1]Marcadores!AL47</f>
        <v>0</v>
      </c>
      <c r="AT47" s="27">
        <f>[1]Marcadores!AM47</f>
        <v>0</v>
      </c>
      <c r="AU47" s="27">
        <f>[1]Marcadores!AO47</f>
        <v>0</v>
      </c>
      <c r="AV47" s="27">
        <f>[1]Marcadores!AP47</f>
        <v>0</v>
      </c>
      <c r="AW47" s="27">
        <f>[1]Marcadores!AR47</f>
        <v>0</v>
      </c>
      <c r="AX47" s="27">
        <f>[1]Marcadores!AS47</f>
        <v>0</v>
      </c>
      <c r="AY47" s="27">
        <f>[1]Marcadores!AU47</f>
        <v>0</v>
      </c>
      <c r="AZ47" s="27">
        <f>[1]Marcadores!AV47</f>
        <v>0</v>
      </c>
      <c r="BA47" s="27">
        <f>[1]Marcadores!AX47</f>
        <v>0</v>
      </c>
      <c r="BB47" s="27">
        <f>[1]Marcadores!AY47</f>
        <v>0</v>
      </c>
      <c r="BC47" s="27">
        <f>[1]Marcadores!BA47</f>
        <v>0</v>
      </c>
      <c r="BD47" s="27">
        <f>[1]Marcadores!BB47</f>
        <v>0</v>
      </c>
      <c r="BE47" s="27">
        <f>[1]Marcadores!BD47</f>
        <v>0</v>
      </c>
      <c r="BS47" s="9">
        <f t="shared" si="14"/>
        <v>0</v>
      </c>
    </row>
    <row r="48" spans="1:71" ht="17.25" thickTop="1" thickBot="1">
      <c r="A48" s="21" t="str">
        <f>Participantes!B46</f>
        <v>Saul</v>
      </c>
      <c r="B48" s="22">
        <f>Participantes!$C46</f>
        <v>2</v>
      </c>
      <c r="C48" s="22">
        <f>Participantes!$D46</f>
        <v>0</v>
      </c>
      <c r="D48" s="26"/>
      <c r="E48" s="22" t="str">
        <f t="shared" si="12"/>
        <v/>
      </c>
      <c r="F48" s="27"/>
      <c r="G48" s="22">
        <f>Participantes!$E46</f>
        <v>1</v>
      </c>
      <c r="H48" s="22">
        <f>Participantes!$F46</f>
        <v>1</v>
      </c>
      <c r="I48" s="22" t="str">
        <f t="shared" si="13"/>
        <v/>
      </c>
      <c r="J48" s="27"/>
      <c r="K48" s="27">
        <f>[1]Marcadores!K48</f>
        <v>0</v>
      </c>
      <c r="L48" s="27">
        <f>[1]Marcadores!L48</f>
        <v>0</v>
      </c>
      <c r="M48" s="27" t="e">
        <f>(IF(AND(K48=K$3, L$3=L48),3,IF(AND(K$3&gt;L$3, K48&gt;L48),2,IF(AND(L$3&gt;K$3,L48&gt;K48), 2, IF(AND(L$3=K$3, L48=K48),2,0))))+IF(#REF!=#REF!,3,0)+IF(AND(#REF!=#REF!,#REF!=#REF!,#REF!&lt;&gt;""),5,0))*IF(K$3="",0,1)</f>
        <v>#REF!</v>
      </c>
      <c r="N48" s="28"/>
      <c r="O48" s="27">
        <f>[1]Marcadores!M48</f>
        <v>0</v>
      </c>
      <c r="P48" s="27">
        <f>[1]Marcadores!N48</f>
        <v>0</v>
      </c>
      <c r="Q48" s="27" t="e">
        <f>(IF(AND(O48=O$3, P$3=P48),3,IF(AND(O$3&gt;P$3, O48&gt;P48),2,IF(AND(P$3&gt;O$3,P48&gt;O48), 2, IF(AND(P$3=O$3, P48=O48),2,0))))+IF(#REF!=#REF!,3,0)+IF(AND(#REF!=#REF!,#REF!=#REF!,#REF!&lt;&gt;""),5,0))*IF(O$3="",0,1)</f>
        <v>#REF!</v>
      </c>
      <c r="R48" s="27"/>
      <c r="S48" s="27">
        <f>[1]Marcadores!G48</f>
        <v>0</v>
      </c>
      <c r="T48" s="27">
        <f>[1]Marcadores!H48</f>
        <v>0</v>
      </c>
      <c r="U48" s="27" t="e">
        <f>(IF(AND(S48=S$3, T$3=T48),3,IF(AND(S$3&gt;T$3, S48&gt;T48),2,IF(AND(T$3&gt;S$3,T48&gt;S48), 2, IF(AND(T$3=S$3, T48=S48),2,0))))+IF(#REF!=#REF!,3,0)+IF(AND(#REF!=#REF!,#REF!=#REF!,#REF!&lt;&gt;""),5,0))*IF(S$3="",0,1)</f>
        <v>#REF!</v>
      </c>
      <c r="V48" s="27"/>
      <c r="W48" s="27">
        <f>[1]Marcadores!I48</f>
        <v>0</v>
      </c>
      <c r="X48" s="27">
        <f>[1]Marcadores!J48</f>
        <v>0</v>
      </c>
      <c r="Y48" s="27" t="e">
        <f>(IF(AND(W48=W$3, X$3=X48),3,IF(AND(W$3&gt;X$3, W48&gt;X48),2,IF(AND(X$3&gt;W$3,X48&gt;W48), 2, IF(AND(X$3=W$3, X48=W48),2,0))))+IF(#REF!=#REF!,3,0)+IF(AND(#REF!=#REF!,#REF!=#REF!,#REF!&lt;&gt;""),5,0))*IF(W$3="",0,1)</f>
        <v>#REF!</v>
      </c>
      <c r="Z48" s="27"/>
      <c r="AA48" s="27">
        <f>[1]Marcadores!O48</f>
        <v>0</v>
      </c>
      <c r="AB48" s="27">
        <f>[1]Marcadores!P48</f>
        <v>0</v>
      </c>
      <c r="AC48" s="27" t="e">
        <f>(IF(AND(AA48=AB$3,#REF!= AB48),3,IF(AND(AB$3&gt;#REF!, AA48&gt;AB48),2,IF(AND(#REF!&gt;AB$3,AB48&gt;AA48), 2, IF(AND(#REF!=AB$3, AB48=AA48),2,0))))+IF(#REF!=#REF!,3,0)+IF(AND(#REF!=#REF!,#REF!=#REF!,#REF!&lt;&gt;""),5,0))*IF(AB$3="",0,1)</f>
        <v>#REF!</v>
      </c>
      <c r="AD48" s="27"/>
      <c r="AE48" s="27">
        <f>[1]Marcadores!Q48</f>
        <v>0</v>
      </c>
      <c r="AF48" s="27">
        <f>[1]Marcadores!R48</f>
        <v>0</v>
      </c>
      <c r="AG48" s="27">
        <f>[1]Marcadores!T48</f>
        <v>0</v>
      </c>
      <c r="AH48" s="27">
        <f>[1]Marcadores!U48</f>
        <v>0</v>
      </c>
      <c r="AI48" s="27">
        <f>[1]Marcadores!W48</f>
        <v>0</v>
      </c>
      <c r="AJ48" s="27">
        <f>[1]Marcadores!X48</f>
        <v>0</v>
      </c>
      <c r="AK48" s="27">
        <f>[1]Marcadores!Z48</f>
        <v>0</v>
      </c>
      <c r="AL48" s="27">
        <f>[1]Marcadores!AA48</f>
        <v>0</v>
      </c>
      <c r="AM48" s="27">
        <f>[1]Marcadores!AC48</f>
        <v>0</v>
      </c>
      <c r="AN48" s="27">
        <f>[1]Marcadores!AD48</f>
        <v>0</v>
      </c>
      <c r="AO48" s="27">
        <f>[1]Marcadores!AF48</f>
        <v>0</v>
      </c>
      <c r="AP48" s="27">
        <f>[1]Marcadores!AG48</f>
        <v>0</v>
      </c>
      <c r="AQ48" s="27">
        <f>[1]Marcadores!AI48</f>
        <v>0</v>
      </c>
      <c r="AR48" s="27">
        <f>[1]Marcadores!AJ48</f>
        <v>0</v>
      </c>
      <c r="AS48" s="27">
        <f>[1]Marcadores!AL48</f>
        <v>0</v>
      </c>
      <c r="AT48" s="27">
        <f>[1]Marcadores!AM48</f>
        <v>0</v>
      </c>
      <c r="AU48" s="27">
        <f>[1]Marcadores!AO48</f>
        <v>0</v>
      </c>
      <c r="AV48" s="27">
        <f>[1]Marcadores!AP48</f>
        <v>0</v>
      </c>
      <c r="AW48" s="27">
        <f>[1]Marcadores!AR48</f>
        <v>0</v>
      </c>
      <c r="AX48" s="27">
        <f>[1]Marcadores!AS48</f>
        <v>0</v>
      </c>
      <c r="AY48" s="27">
        <f>[1]Marcadores!AU48</f>
        <v>0</v>
      </c>
      <c r="AZ48" s="27">
        <f>[1]Marcadores!AV48</f>
        <v>0</v>
      </c>
      <c r="BA48" s="27">
        <f>[1]Marcadores!AX48</f>
        <v>0</v>
      </c>
      <c r="BB48" s="27">
        <f>[1]Marcadores!AY48</f>
        <v>0</v>
      </c>
      <c r="BC48" s="27">
        <f>[1]Marcadores!BA48</f>
        <v>0</v>
      </c>
      <c r="BD48" s="27">
        <f>[1]Marcadores!BB48</f>
        <v>0</v>
      </c>
      <c r="BE48" s="27">
        <f>[1]Marcadores!BD48</f>
        <v>0</v>
      </c>
      <c r="BS48" s="9">
        <f t="shared" si="14"/>
        <v>0</v>
      </c>
    </row>
    <row r="49" spans="1:71" ht="17.25" thickTop="1" thickBot="1">
      <c r="A49" s="21" t="str">
        <f>Participantes!B47</f>
        <v>Silvia</v>
      </c>
      <c r="B49" s="22">
        <f>Participantes!$C47</f>
        <v>2</v>
      </c>
      <c r="C49" s="22">
        <f>Participantes!$D47</f>
        <v>0</v>
      </c>
      <c r="D49" s="26"/>
      <c r="E49" s="22" t="str">
        <f t="shared" si="12"/>
        <v/>
      </c>
      <c r="F49" s="27"/>
      <c r="G49" s="22">
        <f>Participantes!$E47</f>
        <v>1</v>
      </c>
      <c r="H49" s="22">
        <f>Participantes!$F47</f>
        <v>1</v>
      </c>
      <c r="I49" s="22" t="str">
        <f t="shared" si="13"/>
        <v/>
      </c>
      <c r="J49" s="27"/>
      <c r="K49" s="27">
        <f>[1]Marcadores!K49</f>
        <v>0</v>
      </c>
      <c r="L49" s="27">
        <f>[1]Marcadores!L49</f>
        <v>0</v>
      </c>
      <c r="M49" s="27" t="e">
        <f>(IF(AND(K49=K$3, L$3=L49),3,IF(AND(K$3&gt;L$3, K49&gt;L49),2,IF(AND(L$3&gt;K$3,L49&gt;K49), 2, IF(AND(L$3=K$3, L49=K49),2,0))))+IF(#REF!=#REF!,3,0)+IF(AND(#REF!=#REF!,#REF!=#REF!,#REF!&lt;&gt;""),5,0))*IF(K$3="",0,1)</f>
        <v>#REF!</v>
      </c>
      <c r="N49" s="28"/>
      <c r="O49" s="27">
        <f>[1]Marcadores!M49</f>
        <v>0</v>
      </c>
      <c r="P49" s="27">
        <f>[1]Marcadores!N49</f>
        <v>0</v>
      </c>
      <c r="Q49" s="27" t="e">
        <f>(IF(AND(O49=O$3, P$3=P49),3,IF(AND(O$3&gt;P$3, O49&gt;P49),2,IF(AND(P$3&gt;O$3,P49&gt;O49), 2, IF(AND(P$3=O$3, P49=O49),2,0))))+IF(#REF!=#REF!,3,0)+IF(AND(#REF!=#REF!,#REF!=#REF!,#REF!&lt;&gt;""),5,0))*IF(O$3="",0,1)</f>
        <v>#REF!</v>
      </c>
      <c r="R49" s="27"/>
      <c r="S49" s="27">
        <f>[1]Marcadores!G49</f>
        <v>0</v>
      </c>
      <c r="T49" s="27">
        <f>[1]Marcadores!H49</f>
        <v>0</v>
      </c>
      <c r="U49" s="27" t="e">
        <f>(IF(AND(S49=S$3, T$3=T49),3,IF(AND(S$3&gt;T$3, S49&gt;T49),2,IF(AND(T$3&gt;S$3,T49&gt;S49), 2, IF(AND(T$3=S$3, T49=S49),2,0))))+IF(#REF!=#REF!,3,0)+IF(AND(#REF!=#REF!,#REF!=#REF!,#REF!&lt;&gt;""),5,0))*IF(S$3="",0,1)</f>
        <v>#REF!</v>
      </c>
      <c r="V49" s="27"/>
      <c r="W49" s="27">
        <f>[1]Marcadores!I49</f>
        <v>0</v>
      </c>
      <c r="X49" s="27">
        <f>[1]Marcadores!J49</f>
        <v>0</v>
      </c>
      <c r="Y49" s="27" t="e">
        <f>(IF(AND(W49=W$3, X$3=X49),3,IF(AND(W$3&gt;X$3, W49&gt;X49),2,IF(AND(X$3&gt;W$3,X49&gt;W49), 2, IF(AND(X$3=W$3, X49=W49),2,0))))+IF(#REF!=#REF!,3,0)+IF(AND(#REF!=#REF!,#REF!=#REF!,#REF!&lt;&gt;""),5,0))*IF(W$3="",0,1)</f>
        <v>#REF!</v>
      </c>
      <c r="Z49" s="27"/>
      <c r="AA49" s="27">
        <f>[1]Marcadores!O49</f>
        <v>0</v>
      </c>
      <c r="AB49" s="27">
        <f>[1]Marcadores!P49</f>
        <v>0</v>
      </c>
      <c r="AC49" s="27" t="e">
        <f>(IF(AND(AA49=AB$3,#REF!= AB49),3,IF(AND(AB$3&gt;#REF!, AA49&gt;AB49),2,IF(AND(#REF!&gt;AB$3,AB49&gt;AA49), 2, IF(AND(#REF!=AB$3, AB49=AA49),2,0))))+IF(#REF!=#REF!,3,0)+IF(AND(#REF!=#REF!,#REF!=#REF!,#REF!&lt;&gt;""),5,0))*IF(AB$3="",0,1)</f>
        <v>#REF!</v>
      </c>
      <c r="AD49" s="27"/>
      <c r="AE49" s="27">
        <f>[1]Marcadores!Q49</f>
        <v>0</v>
      </c>
      <c r="AF49" s="27">
        <f>[1]Marcadores!R49</f>
        <v>0</v>
      </c>
      <c r="AG49" s="27">
        <f>[1]Marcadores!T49</f>
        <v>0</v>
      </c>
      <c r="AH49" s="27">
        <f>[1]Marcadores!U49</f>
        <v>0</v>
      </c>
      <c r="AI49" s="27">
        <f>[1]Marcadores!W49</f>
        <v>0</v>
      </c>
      <c r="AJ49" s="27">
        <f>[1]Marcadores!X49</f>
        <v>0</v>
      </c>
      <c r="AK49" s="27">
        <f>[1]Marcadores!Z49</f>
        <v>0</v>
      </c>
      <c r="AL49" s="27">
        <f>[1]Marcadores!AA49</f>
        <v>0</v>
      </c>
      <c r="AM49" s="27">
        <f>[1]Marcadores!AC49</f>
        <v>0</v>
      </c>
      <c r="AN49" s="27">
        <f>[1]Marcadores!AD49</f>
        <v>0</v>
      </c>
      <c r="AO49" s="27">
        <f>[1]Marcadores!AF49</f>
        <v>0</v>
      </c>
      <c r="AP49" s="27">
        <f>[1]Marcadores!AG49</f>
        <v>0</v>
      </c>
      <c r="AQ49" s="27">
        <f>[1]Marcadores!AI49</f>
        <v>0</v>
      </c>
      <c r="AR49" s="27">
        <f>[1]Marcadores!AJ49</f>
        <v>0</v>
      </c>
      <c r="AS49" s="27">
        <f>[1]Marcadores!AL49</f>
        <v>0</v>
      </c>
      <c r="AT49" s="27">
        <f>[1]Marcadores!AM49</f>
        <v>0</v>
      </c>
      <c r="AU49" s="27">
        <f>[1]Marcadores!AO49</f>
        <v>0</v>
      </c>
      <c r="AV49" s="27">
        <f>[1]Marcadores!AP49</f>
        <v>0</v>
      </c>
      <c r="AW49" s="27">
        <f>[1]Marcadores!AR49</f>
        <v>0</v>
      </c>
      <c r="AX49" s="27">
        <f>[1]Marcadores!AS49</f>
        <v>0</v>
      </c>
      <c r="AY49" s="27">
        <f>[1]Marcadores!AU49</f>
        <v>0</v>
      </c>
      <c r="AZ49" s="27">
        <f>[1]Marcadores!AV49</f>
        <v>0</v>
      </c>
      <c r="BA49" s="27">
        <f>[1]Marcadores!AX49</f>
        <v>0</v>
      </c>
      <c r="BB49" s="27">
        <f>[1]Marcadores!AY49</f>
        <v>0</v>
      </c>
      <c r="BC49" s="27">
        <f>[1]Marcadores!BA49</f>
        <v>0</v>
      </c>
      <c r="BD49" s="27">
        <f>[1]Marcadores!BB49</f>
        <v>0</v>
      </c>
      <c r="BE49" s="27">
        <f>[1]Marcadores!BD49</f>
        <v>0</v>
      </c>
      <c r="BS49" s="9">
        <f t="shared" ref="BS49:BS51" si="15">IF(E49="",0)+IF(I49="",0)</f>
        <v>0</v>
      </c>
    </row>
    <row r="50" spans="1:71" ht="17.25" thickTop="1" thickBot="1">
      <c r="A50" s="21" t="str">
        <f>Participantes!B48</f>
        <v>Walder</v>
      </c>
      <c r="B50" s="22">
        <f>Participantes!$C48</f>
        <v>3</v>
      </c>
      <c r="C50" s="22">
        <f>Participantes!$D48</f>
        <v>1</v>
      </c>
      <c r="D50" s="26"/>
      <c r="E50" s="22" t="str">
        <f t="shared" si="12"/>
        <v/>
      </c>
      <c r="F50" s="27"/>
      <c r="G50" s="22">
        <f>Participantes!$E48</f>
        <v>2</v>
      </c>
      <c r="H50" s="22">
        <f>Participantes!$F48</f>
        <v>2</v>
      </c>
      <c r="I50" s="22" t="str">
        <f t="shared" si="13"/>
        <v/>
      </c>
      <c r="J50" s="27"/>
      <c r="K50" s="27">
        <f>[1]Marcadores!K50</f>
        <v>0</v>
      </c>
      <c r="L50" s="27">
        <f>[1]Marcadores!L50</f>
        <v>0</v>
      </c>
      <c r="M50" s="27" t="e">
        <f>(IF(AND(K50=K$3, L$3=L50),3,IF(AND(K$3&gt;L$3, K50&gt;L50),2,IF(AND(L$3&gt;K$3,L50&gt;K50), 2, IF(AND(L$3=K$3, L50=K50),2,0))))+IF(#REF!=#REF!,3,0)+IF(AND(#REF!=#REF!,#REF!=#REF!,#REF!&lt;&gt;""),5,0))*IF(K$3="",0,1)</f>
        <v>#REF!</v>
      </c>
      <c r="N50" s="28"/>
      <c r="O50" s="27">
        <f>[1]Marcadores!M50</f>
        <v>0</v>
      </c>
      <c r="P50" s="27">
        <f>[1]Marcadores!N50</f>
        <v>0</v>
      </c>
      <c r="Q50" s="27" t="e">
        <f>(IF(AND(O50=O$3, P$3=P50),3,IF(AND(O$3&gt;P$3, O50&gt;P50),2,IF(AND(P$3&gt;O$3,P50&gt;O50), 2, IF(AND(P$3=O$3, P50=O50),2,0))))+IF(#REF!=#REF!,3,0)+IF(AND(#REF!=#REF!,#REF!=#REF!,#REF!&lt;&gt;""),5,0))*IF(O$3="",0,1)</f>
        <v>#REF!</v>
      </c>
      <c r="R50" s="27"/>
      <c r="S50" s="27">
        <f>[1]Marcadores!G50</f>
        <v>0</v>
      </c>
      <c r="T50" s="27">
        <f>[1]Marcadores!H50</f>
        <v>0</v>
      </c>
      <c r="U50" s="27" t="e">
        <f>(IF(AND(S50=S$3, T$3=T50),3,IF(AND(S$3&gt;T$3, S50&gt;T50),2,IF(AND(T$3&gt;S$3,T50&gt;S50), 2, IF(AND(T$3=S$3, T50=S50),2,0))))+IF(#REF!=#REF!,3,0)+IF(AND(#REF!=#REF!,#REF!=#REF!,#REF!&lt;&gt;""),5,0))*IF(S$3="",0,1)</f>
        <v>#REF!</v>
      </c>
      <c r="V50" s="27"/>
      <c r="W50" s="27">
        <f>[1]Marcadores!I50</f>
        <v>0</v>
      </c>
      <c r="X50" s="27">
        <f>[1]Marcadores!J50</f>
        <v>0</v>
      </c>
      <c r="Y50" s="27" t="e">
        <f>(IF(AND(W50=W$3, X$3=X50),3,IF(AND(W$3&gt;X$3, W50&gt;X50),2,IF(AND(X$3&gt;W$3,X50&gt;W50), 2, IF(AND(X$3=W$3, X50=W50),2,0))))+IF(#REF!=#REF!,3,0)+IF(AND(#REF!=#REF!,#REF!=#REF!,#REF!&lt;&gt;""),5,0))*IF(W$3="",0,1)</f>
        <v>#REF!</v>
      </c>
      <c r="Z50" s="27"/>
      <c r="AA50" s="27">
        <f>[1]Marcadores!O50</f>
        <v>0</v>
      </c>
      <c r="AB50" s="27">
        <f>[1]Marcadores!P50</f>
        <v>0</v>
      </c>
      <c r="AC50" s="27" t="e">
        <f>(IF(AND(AA50=AB$3,#REF!= AB50),3,IF(AND(AB$3&gt;#REF!, AA50&gt;AB50),2,IF(AND(#REF!&gt;AB$3,AB50&gt;AA50), 2, IF(AND(#REF!=AB$3, AB50=AA50),2,0))))+IF(#REF!=#REF!,3,0)+IF(AND(#REF!=#REF!,#REF!=#REF!,#REF!&lt;&gt;""),5,0))*IF(AB$3="",0,1)</f>
        <v>#REF!</v>
      </c>
      <c r="AD50" s="27"/>
      <c r="AE50" s="27">
        <f>[1]Marcadores!Q50</f>
        <v>0</v>
      </c>
      <c r="AF50" s="27">
        <f>[1]Marcadores!R50</f>
        <v>0</v>
      </c>
      <c r="AG50" s="27">
        <f>[1]Marcadores!T50</f>
        <v>0</v>
      </c>
      <c r="AH50" s="27">
        <f>[1]Marcadores!U50</f>
        <v>0</v>
      </c>
      <c r="AI50" s="27">
        <f>[1]Marcadores!W50</f>
        <v>0</v>
      </c>
      <c r="AJ50" s="27">
        <f>[1]Marcadores!X50</f>
        <v>0</v>
      </c>
      <c r="AK50" s="27">
        <f>[1]Marcadores!Z50</f>
        <v>0</v>
      </c>
      <c r="AL50" s="27">
        <f>[1]Marcadores!AA50</f>
        <v>0</v>
      </c>
      <c r="AM50" s="27">
        <f>[1]Marcadores!AC50</f>
        <v>0</v>
      </c>
      <c r="AN50" s="27">
        <f>[1]Marcadores!AD50</f>
        <v>0</v>
      </c>
      <c r="AO50" s="27">
        <f>[1]Marcadores!AF50</f>
        <v>0</v>
      </c>
      <c r="AP50" s="27">
        <f>[1]Marcadores!AG50</f>
        <v>0</v>
      </c>
      <c r="AQ50" s="27">
        <f>[1]Marcadores!AI50</f>
        <v>0</v>
      </c>
      <c r="AR50" s="27">
        <f>[1]Marcadores!AJ50</f>
        <v>0</v>
      </c>
      <c r="AS50" s="27">
        <f>[1]Marcadores!AL50</f>
        <v>0</v>
      </c>
      <c r="AT50" s="27">
        <f>[1]Marcadores!AM50</f>
        <v>0</v>
      </c>
      <c r="AU50" s="27">
        <f>[1]Marcadores!AO50</f>
        <v>0</v>
      </c>
      <c r="AV50" s="27">
        <f>[1]Marcadores!AP50</f>
        <v>0</v>
      </c>
      <c r="AW50" s="27">
        <f>[1]Marcadores!AR50</f>
        <v>0</v>
      </c>
      <c r="AX50" s="27">
        <f>[1]Marcadores!AS50</f>
        <v>0</v>
      </c>
      <c r="AY50" s="27">
        <f>[1]Marcadores!AU50</f>
        <v>0</v>
      </c>
      <c r="AZ50" s="27">
        <f>[1]Marcadores!AV50</f>
        <v>0</v>
      </c>
      <c r="BA50" s="27">
        <f>[1]Marcadores!AX50</f>
        <v>0</v>
      </c>
      <c r="BB50" s="27">
        <f>[1]Marcadores!AY50</f>
        <v>0</v>
      </c>
      <c r="BC50" s="27">
        <f>[1]Marcadores!BA50</f>
        <v>0</v>
      </c>
      <c r="BD50" s="27">
        <f>[1]Marcadores!BB50</f>
        <v>0</v>
      </c>
      <c r="BE50" s="27">
        <f>[1]Marcadores!BD50</f>
        <v>0</v>
      </c>
      <c r="BS50" s="9">
        <f t="shared" si="15"/>
        <v>0</v>
      </c>
    </row>
    <row r="51" spans="1:71" ht="17.25" thickTop="1" thickBot="1">
      <c r="A51" s="21" t="str">
        <f>Participantes!B49</f>
        <v>Waldo</v>
      </c>
      <c r="B51" s="22">
        <f>Participantes!$C49</f>
        <v>2</v>
      </c>
      <c r="C51" s="22">
        <f>Participantes!$D49</f>
        <v>0</v>
      </c>
      <c r="D51" s="26"/>
      <c r="E51" s="22" t="str">
        <f t="shared" si="12"/>
        <v/>
      </c>
      <c r="F51" s="27"/>
      <c r="G51" s="22">
        <f>Participantes!$E49</f>
        <v>1</v>
      </c>
      <c r="H51" s="22">
        <f>Participantes!$F49</f>
        <v>1</v>
      </c>
      <c r="I51" s="22" t="str">
        <f t="shared" si="13"/>
        <v/>
      </c>
      <c r="J51" s="27"/>
      <c r="K51" s="27">
        <f>[1]Marcadores!K51</f>
        <v>0</v>
      </c>
      <c r="L51" s="27">
        <f>[1]Marcadores!L51</f>
        <v>0</v>
      </c>
      <c r="M51" s="27" t="e">
        <f>(IF(AND(K51=K$3, L$3=L51),3,IF(AND(K$3&gt;L$3, K51&gt;L51),2,IF(AND(L$3&gt;K$3,L51&gt;K51), 2, IF(AND(L$3=K$3, L51=K51),2,0))))+IF(#REF!=#REF!,3,0)+IF(AND(#REF!=#REF!,#REF!=#REF!,#REF!&lt;&gt;""),5,0))*IF(K$3="",0,1)</f>
        <v>#REF!</v>
      </c>
      <c r="N51" s="28"/>
      <c r="O51" s="27">
        <f>[1]Marcadores!M51</f>
        <v>0</v>
      </c>
      <c r="P51" s="27">
        <f>[1]Marcadores!N51</f>
        <v>0</v>
      </c>
      <c r="Q51" s="27" t="e">
        <f>(IF(AND(O51=O$3, P$3=P51),3,IF(AND(O$3&gt;P$3, O51&gt;P51),2,IF(AND(P$3&gt;O$3,P51&gt;O51), 2, IF(AND(P$3=O$3, P51=O51),2,0))))+IF(#REF!=#REF!,3,0)+IF(AND(#REF!=#REF!,#REF!=#REF!,#REF!&lt;&gt;""),5,0))*IF(O$3="",0,1)</f>
        <v>#REF!</v>
      </c>
      <c r="R51" s="27"/>
      <c r="S51" s="27">
        <f>[1]Marcadores!G51</f>
        <v>0</v>
      </c>
      <c r="T51" s="27">
        <f>[1]Marcadores!H51</f>
        <v>0</v>
      </c>
      <c r="U51" s="27" t="e">
        <f>(IF(AND(S51=S$3, T$3=T51),3,IF(AND(S$3&gt;T$3, S51&gt;T51),2,IF(AND(T$3&gt;S$3,T51&gt;S51), 2, IF(AND(T$3=S$3, T51=S51),2,0))))+IF(#REF!=#REF!,3,0)+IF(AND(#REF!=#REF!,#REF!=#REF!,#REF!&lt;&gt;""),5,0))*IF(S$3="",0,1)</f>
        <v>#REF!</v>
      </c>
      <c r="V51" s="27"/>
      <c r="W51" s="27">
        <f>[1]Marcadores!I51</f>
        <v>0</v>
      </c>
      <c r="X51" s="27">
        <f>[1]Marcadores!J51</f>
        <v>0</v>
      </c>
      <c r="Y51" s="27" t="e">
        <f>(IF(AND(W51=W$3, X$3=X51),3,IF(AND(W$3&gt;X$3, W51&gt;X51),2,IF(AND(X$3&gt;W$3,X51&gt;W51), 2, IF(AND(X$3=W$3, X51=W51),2,0))))+IF(#REF!=#REF!,3,0)+IF(AND(#REF!=#REF!,#REF!=#REF!,#REF!&lt;&gt;""),5,0))*IF(W$3="",0,1)</f>
        <v>#REF!</v>
      </c>
      <c r="Z51" s="27"/>
      <c r="AA51" s="27">
        <f>[1]Marcadores!O51</f>
        <v>0</v>
      </c>
      <c r="AB51" s="27">
        <f>[1]Marcadores!P51</f>
        <v>0</v>
      </c>
      <c r="AC51" s="27" t="e">
        <f>(IF(AND(AA51=AB$3,#REF!= AB51),3,IF(AND(AB$3&gt;#REF!, AA51&gt;AB51),2,IF(AND(#REF!&gt;AB$3,AB51&gt;AA51), 2, IF(AND(#REF!=AB$3, AB51=AA51),2,0))))+IF(#REF!=#REF!,3,0)+IF(AND(#REF!=#REF!,#REF!=#REF!,#REF!&lt;&gt;""),5,0))*IF(AB$3="",0,1)</f>
        <v>#REF!</v>
      </c>
      <c r="AD51" s="27"/>
      <c r="AE51" s="27">
        <f>[1]Marcadores!Q51</f>
        <v>0</v>
      </c>
      <c r="AF51" s="27">
        <f>[1]Marcadores!R51</f>
        <v>0</v>
      </c>
      <c r="AG51" s="27">
        <f>[1]Marcadores!T51</f>
        <v>0</v>
      </c>
      <c r="AH51" s="27">
        <f>[1]Marcadores!U51</f>
        <v>0</v>
      </c>
      <c r="AI51" s="27">
        <f>[1]Marcadores!W51</f>
        <v>0</v>
      </c>
      <c r="AJ51" s="27">
        <f>[1]Marcadores!X51</f>
        <v>0</v>
      </c>
      <c r="AK51" s="27">
        <f>[1]Marcadores!Z51</f>
        <v>0</v>
      </c>
      <c r="AL51" s="27">
        <f>[1]Marcadores!AA51</f>
        <v>0</v>
      </c>
      <c r="AM51" s="27">
        <f>[1]Marcadores!AC51</f>
        <v>0</v>
      </c>
      <c r="AN51" s="27">
        <f>[1]Marcadores!AD51</f>
        <v>0</v>
      </c>
      <c r="AO51" s="27">
        <f>[1]Marcadores!AF51</f>
        <v>0</v>
      </c>
      <c r="AP51" s="27">
        <f>[1]Marcadores!AG51</f>
        <v>0</v>
      </c>
      <c r="AQ51" s="27">
        <f>[1]Marcadores!AI51</f>
        <v>0</v>
      </c>
      <c r="AR51" s="27">
        <f>[1]Marcadores!AJ51</f>
        <v>0</v>
      </c>
      <c r="AS51" s="27">
        <f>[1]Marcadores!AL51</f>
        <v>0</v>
      </c>
      <c r="AT51" s="27">
        <f>[1]Marcadores!AM51</f>
        <v>0</v>
      </c>
      <c r="AU51" s="27">
        <f>[1]Marcadores!AO51</f>
        <v>0</v>
      </c>
      <c r="AV51" s="27">
        <f>[1]Marcadores!AP51</f>
        <v>0</v>
      </c>
      <c r="AW51" s="27">
        <f>[1]Marcadores!AR51</f>
        <v>0</v>
      </c>
      <c r="AX51" s="27">
        <f>[1]Marcadores!AS51</f>
        <v>0</v>
      </c>
      <c r="AY51" s="27">
        <f>[1]Marcadores!AU51</f>
        <v>0</v>
      </c>
      <c r="AZ51" s="27">
        <f>[1]Marcadores!AV51</f>
        <v>0</v>
      </c>
      <c r="BA51" s="27">
        <f>[1]Marcadores!AX51</f>
        <v>0</v>
      </c>
      <c r="BB51" s="27">
        <f>[1]Marcadores!AY51</f>
        <v>0</v>
      </c>
      <c r="BC51" s="27">
        <f>[1]Marcadores!BA51</f>
        <v>0</v>
      </c>
      <c r="BD51" s="27">
        <f>[1]Marcadores!BB51</f>
        <v>0</v>
      </c>
      <c r="BE51" s="27">
        <f>[1]Marcadores!BD51</f>
        <v>0</v>
      </c>
      <c r="BS51" s="9">
        <f t="shared" si="15"/>
        <v>0</v>
      </c>
    </row>
    <row r="52" spans="1:71" ht="16.5" thickTop="1">
      <c r="A52" s="21">
        <f>Participantes!B50</f>
        <v>0</v>
      </c>
    </row>
  </sheetData>
  <mergeCells count="1">
    <mergeCell ref="C1:D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Portada</vt:lpstr>
      <vt:lpstr>Equipos_Grupos</vt:lpstr>
      <vt:lpstr>Puntajes</vt:lpstr>
      <vt:lpstr>Participantes</vt:lpstr>
      <vt:lpstr>Partidos</vt:lpstr>
      <vt:lpstr>VGrupo</vt:lpstr>
      <vt:lpstr>Clasificacion</vt:lpstr>
      <vt:lpstr>Mejores_Terceros</vt:lpstr>
      <vt:lpstr>Llaves</vt:lpstr>
      <vt:lpstr>Fuentes</vt:lpstr>
      <vt:lpstr>Asignacion_3ros</vt:lpstr>
      <vt:lpstr>Tabla_3ros</vt:lpstr>
      <vt:lpstr>Grupo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E. Caballero E.</dc:creator>
  <cp:keywords/>
  <dc:description/>
  <cp:lastModifiedBy>Jose E. Caballero E.</cp:lastModifiedBy>
  <cp:revision/>
  <dcterms:created xsi:type="dcterms:W3CDTF">2026-06-11T14:02:41Z</dcterms:created>
  <dcterms:modified xsi:type="dcterms:W3CDTF">2026-06-11T22:43:22Z</dcterms:modified>
  <cp:category/>
  <cp:contentStatus/>
</cp:coreProperties>
</file>